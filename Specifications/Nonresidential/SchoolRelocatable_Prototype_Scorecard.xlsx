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981" documentId="8_{C3D9D8B7-32F4-426B-AB76-7445DD196EAA}" xr6:coauthVersionLast="47" xr6:coauthVersionMax="47" xr10:uidLastSave="{C115584E-201A-4D19-8250-098167371610}"/>
  <bookViews>
    <workbookView xWindow="28680" yWindow="-120" windowWidth="29040" windowHeight="15720" activeTab="1" xr2:uid="{EAC23EE3-0CA0-4FF8-990D-9B21A59FA3E0}"/>
  </bookViews>
  <sheets>
    <sheet name="Notes" sheetId="23" r:id="rId1"/>
    <sheet name="Prototype" sheetId="2" r:id="rId2"/>
    <sheet name="Zones" sheetId="13" r:id="rId3"/>
    <sheet name="HVAC System" sheetId="14" r:id="rId4"/>
    <sheet name="Envelope" sheetId="1" r:id="rId5"/>
    <sheet name="Thermostat" sheetId="31" r:id="rId6"/>
    <sheet name="Ventilation" sheetId="18" r:id="rId7"/>
    <sheet name="Water Heater" sheetId="7"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2" state="hidden" r:id="rId17"/>
  </sheets>
  <definedNames>
    <definedName name="_xlnm._FilterDatabase" localSheetId="10" hidden="1">Equipment!$A$2:$E$4</definedName>
    <definedName name="_xlnm._FilterDatabase" localSheetId="11" hidden="1">Schedules!$A$2:$AP$3</definedName>
    <definedName name="_xlnm._FilterDatabase" localSheetId="2" hidden="1">Zones!$A$2:$K$5</definedName>
    <definedName name="nonparticipating_forecastzone_scale_factor" localSheetId="16">#REF!</definedName>
    <definedName name="nonparticipating_forecastzone_scale_factor">'Energy Usage'!#REF!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1" l="1"/>
  <c r="T4" i="20"/>
  <c r="U4" i="20"/>
  <c r="T5" i="20"/>
  <c r="U5" i="20"/>
  <c r="T6" i="20"/>
  <c r="U6" i="20"/>
  <c r="T7" i="20"/>
  <c r="U7" i="20"/>
  <c r="T8" i="20"/>
  <c r="U8" i="20"/>
  <c r="T9" i="20"/>
  <c r="U9" i="20"/>
  <c r="T10" i="20"/>
  <c r="U10" i="20"/>
  <c r="T11" i="20"/>
  <c r="U11" i="20"/>
  <c r="T12" i="20"/>
  <c r="U12" i="20"/>
  <c r="T13" i="20"/>
  <c r="U13" i="20"/>
  <c r="T14" i="20"/>
  <c r="U14" i="20"/>
  <c r="T15" i="20"/>
  <c r="U15" i="20"/>
  <c r="T16" i="20"/>
  <c r="U16" i="20"/>
  <c r="T17" i="20"/>
  <c r="U17" i="20"/>
  <c r="T18" i="20"/>
  <c r="U18" i="20"/>
  <c r="U3" i="20"/>
  <c r="T3" i="20"/>
  <c r="J4" i="20"/>
  <c r="K4" i="20"/>
  <c r="J5" i="20"/>
  <c r="K5" i="20"/>
  <c r="J6" i="20"/>
  <c r="K6" i="20"/>
  <c r="J7" i="20"/>
  <c r="K7" i="20"/>
  <c r="J8" i="20"/>
  <c r="K8" i="20"/>
  <c r="J9" i="20"/>
  <c r="K9" i="20"/>
  <c r="J10" i="20"/>
  <c r="K10" i="20"/>
  <c r="J11" i="20"/>
  <c r="K11" i="20"/>
  <c r="J12" i="20"/>
  <c r="K12" i="20"/>
  <c r="J13" i="20"/>
  <c r="K13" i="20"/>
  <c r="J14" i="20"/>
  <c r="K14" i="20"/>
  <c r="J15" i="20"/>
  <c r="K15" i="20"/>
  <c r="J16" i="20"/>
  <c r="K16" i="20"/>
  <c r="J17" i="20"/>
  <c r="K17" i="20"/>
  <c r="J18" i="20"/>
  <c r="K18" i="20"/>
  <c r="K3" i="20"/>
  <c r="J3" i="20"/>
  <c r="S4" i="20"/>
  <c r="S5" i="20"/>
  <c r="S6" i="20"/>
  <c r="S7" i="20"/>
  <c r="S8" i="20"/>
  <c r="S9" i="20"/>
  <c r="S10" i="20"/>
  <c r="S11" i="20"/>
  <c r="S12" i="20"/>
  <c r="S13" i="20"/>
  <c r="S14" i="20"/>
  <c r="S15" i="20"/>
  <c r="S16" i="20"/>
  <c r="S17" i="20"/>
  <c r="S18" i="20"/>
  <c r="S3" i="20"/>
  <c r="A3" i="20"/>
  <c r="N1" i="20"/>
  <c r="N3" i="20" l="1"/>
  <c r="A1" i="20" l="1"/>
  <c r="L18" i="20"/>
  <c r="L17" i="20"/>
  <c r="L16" i="20"/>
  <c r="L15" i="20"/>
  <c r="L13" i="20"/>
  <c r="L12" i="20"/>
  <c r="L11" i="20"/>
  <c r="L9" i="20"/>
  <c r="L8" i="20"/>
  <c r="L7" i="20"/>
  <c r="L6" i="20"/>
  <c r="L5" i="20"/>
  <c r="L4" i="20"/>
  <c r="L3" i="20"/>
  <c r="L14" i="20" l="1"/>
  <c r="L10" i="20"/>
  <c r="V7" i="20"/>
  <c r="V12" i="20"/>
  <c r="V18" i="20"/>
  <c r="V10" i="20"/>
  <c r="V16" i="20"/>
  <c r="V5" i="20"/>
  <c r="V8" i="20"/>
  <c r="V11" i="20"/>
  <c r="V3" i="20"/>
  <c r="V14" i="20"/>
  <c r="V6" i="20"/>
  <c r="V17" i="20"/>
  <c r="V9" i="20"/>
  <c r="V4" i="20"/>
  <c r="V15" i="20"/>
  <c r="V13" i="20"/>
  <c r="B15" i="7" l="1"/>
  <c r="A4" i="18"/>
  <c r="A3" i="18"/>
  <c r="G28" i="28"/>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9" i="28"/>
  <c r="F30" i="28"/>
  <c r="F28" i="28"/>
  <c r="G25" i="28" l="1"/>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A1" i="1"/>
  <c r="A1" i="13"/>
  <c r="B18" i="1" l="1"/>
  <c r="B13" i="1"/>
  <c r="B8" i="1"/>
  <c r="B3" i="1"/>
  <c r="J18" i="1"/>
  <c r="K18" i="1"/>
  <c r="L18" i="1"/>
  <c r="M18" i="1"/>
  <c r="N18" i="1"/>
  <c r="O18" i="1"/>
  <c r="P18" i="1"/>
  <c r="Q18" i="1"/>
  <c r="R18" i="1"/>
  <c r="S18" i="1"/>
  <c r="T18" i="1"/>
  <c r="U18" i="1"/>
  <c r="V18" i="1"/>
  <c r="W18" i="1"/>
  <c r="X18" i="1"/>
  <c r="J19" i="1"/>
  <c r="K19" i="1"/>
  <c r="L19" i="1"/>
  <c r="M19" i="1"/>
  <c r="N19" i="1"/>
  <c r="O19" i="1"/>
  <c r="P19" i="1"/>
  <c r="Q19" i="1"/>
  <c r="R19" i="1"/>
  <c r="S19" i="1"/>
  <c r="T19" i="1"/>
  <c r="U19" i="1"/>
  <c r="V19" i="1"/>
  <c r="W19" i="1"/>
  <c r="X19" i="1"/>
  <c r="I19" i="1"/>
  <c r="I18" i="1"/>
  <c r="J13" i="1"/>
  <c r="K13" i="1"/>
  <c r="L13" i="1"/>
  <c r="M13" i="1"/>
  <c r="N13" i="1"/>
  <c r="O13" i="1"/>
  <c r="P13" i="1"/>
  <c r="Q13" i="1"/>
  <c r="R13" i="1"/>
  <c r="S13" i="1"/>
  <c r="T13" i="1"/>
  <c r="U13" i="1"/>
  <c r="V13" i="1"/>
  <c r="W13" i="1"/>
  <c r="X13" i="1"/>
  <c r="J14" i="1"/>
  <c r="K14" i="1"/>
  <c r="L14" i="1"/>
  <c r="M14" i="1"/>
  <c r="N14" i="1"/>
  <c r="O14" i="1"/>
  <c r="P14" i="1"/>
  <c r="Q14" i="1"/>
  <c r="R14" i="1"/>
  <c r="S14" i="1"/>
  <c r="T14" i="1"/>
  <c r="U14" i="1"/>
  <c r="V14" i="1"/>
  <c r="W14" i="1"/>
  <c r="X14" i="1"/>
  <c r="I14" i="1"/>
  <c r="I13" i="1"/>
  <c r="G20" i="7" l="1"/>
  <c r="E3" i="7"/>
  <c r="D23" i="14"/>
  <c r="D20" i="14"/>
  <c r="K5" i="13"/>
  <c r="H5" i="13"/>
  <c r="G5" i="13"/>
  <c r="F5" i="13" s="1"/>
  <c r="J3" i="13"/>
  <c r="J5" i="13" s="1"/>
  <c r="A1" i="28"/>
  <c r="A1" i="14"/>
  <c r="A1" i="22"/>
  <c r="A1" i="27"/>
  <c r="A1" i="29"/>
  <c r="A1" i="9"/>
  <c r="A1" i="25"/>
  <c r="A1" i="7"/>
  <c r="F3" i="13" l="1"/>
  <c r="F4" i="13"/>
  <c r="F9" i="7" l="1"/>
  <c r="C13" i="9"/>
  <c r="B25" i="9"/>
  <c r="B23" i="9"/>
  <c r="A5" i="18"/>
  <c r="B23" i="2"/>
  <c r="B21" i="2" s="1"/>
  <c r="C15" i="7" l="1"/>
  <c r="D15" i="7" s="1"/>
  <c r="B17" i="7"/>
  <c r="B9" i="2"/>
  <c r="A8" i="7" l="1"/>
  <c r="E8" i="7" l="1"/>
  <c r="E9" i="7" s="1"/>
  <c r="C12" i="9" l="1"/>
  <c r="B21" i="9"/>
  <c r="A4" i="29" l="1"/>
  <c r="A3" i="29"/>
  <c r="A5" i="25"/>
  <c r="A4" i="25"/>
  <c r="G8" i="7"/>
  <c r="G9" i="7" s="1"/>
  <c r="D8" i="7"/>
  <c r="C4" i="18"/>
  <c r="H4" i="18" s="1"/>
  <c r="D4" i="18"/>
  <c r="J4" i="18" s="1"/>
  <c r="D3" i="18"/>
  <c r="C3" i="18"/>
  <c r="B4" i="18"/>
  <c r="B3" i="18"/>
  <c r="I4" i="18" l="1"/>
  <c r="K4" i="18" s="1"/>
  <c r="D9" i="7"/>
  <c r="H8" i="7"/>
  <c r="C5" i="18" l="1"/>
  <c r="D5" i="18" l="1"/>
  <c r="G11" i="9"/>
  <c r="G10" i="9"/>
  <c r="B5" i="18" l="1"/>
  <c r="G13" i="9" l="1"/>
  <c r="H9" i="7" l="1"/>
  <c r="A7" i="9"/>
  <c r="A1" i="18"/>
  <c r="B30" i="7"/>
  <c r="A4" i="21" l="1"/>
  <c r="G12" i="9"/>
  <c r="G15" i="9" s="1"/>
  <c r="G9" i="9" l="1"/>
  <c r="A1" i="31"/>
  <c r="G14" i="9" l="1"/>
  <c r="A3" i="9" s="1"/>
  <c r="G16" i="9" l="1"/>
  <c r="B3" i="9"/>
  <c r="C3" i="9" l="1"/>
  <c r="J3" i="18"/>
  <c r="J5" i="18" s="1"/>
  <c r="I3" i="18" l="1"/>
  <c r="I5" i="18" s="1"/>
  <c r="H3" i="18"/>
  <c r="H5" i="18" s="1"/>
  <c r="K3" i="18" l="1"/>
  <c r="K5" i="18" s="1"/>
  <c r="H5" i="21" l="1"/>
  <c r="H6" i="21"/>
  <c r="H7" i="21"/>
  <c r="H8" i="21"/>
  <c r="H9" i="21"/>
  <c r="H10" i="21"/>
  <c r="H11" i="21"/>
  <c r="H12" i="21"/>
  <c r="H13" i="21"/>
  <c r="H14" i="21"/>
  <c r="H15" i="21"/>
  <c r="H16" i="21"/>
  <c r="H17" i="21"/>
  <c r="H18" i="21"/>
  <c r="H19" i="21"/>
  <c r="H4" i="21"/>
  <c r="E15" i="7" l="1"/>
  <c r="C17" i="7"/>
  <c r="D17" i="7" s="1"/>
  <c r="E17" i="7" l="1"/>
  <c r="D3" i="7" l="1"/>
  <c r="D4" i="7"/>
  <c r="I15" i="7" l="1"/>
  <c r="E4" i="7"/>
</calcChain>
</file>

<file path=xl/sharedStrings.xml><?xml version="1.0" encoding="utf-8"?>
<sst xmlns="http://schemas.openxmlformats.org/spreadsheetml/2006/main" count="646" uniqueCount="421">
  <si>
    <t>Data Sources</t>
  </si>
  <si>
    <t>Dataset</t>
  </si>
  <si>
    <t>DSA Drawings for relocatable schools</t>
  </si>
  <si>
    <t>Berkeley Lab article</t>
  </si>
  <si>
    <t>https://www2.lbl.gov/Science-Articles/Archive/EETD-portable-classrooms.html</t>
  </si>
  <si>
    <t>California Portable Classroom Study</t>
  </si>
  <si>
    <t>https://ww2.arb.ca.gov/sites/default/files/classic/research/apr/reports/l3006.pdf</t>
  </si>
  <si>
    <t>California Legislature Environmental Health Condions in California's Portable Classrooms</t>
  </si>
  <si>
    <t>https://ww2.arb.ca.gov/sites/default/files/2020-05/pcs_v3_es_03-23-04.pdf</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</si>
  <si>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</si>
  <si>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</si>
  <si>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</si>
  <si>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</si>
  <si>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</si>
  <si>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</si>
  <si>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</si>
  <si>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</si>
  <si>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</si>
  <si>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</si>
  <si>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</si>
  <si>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</si>
  <si>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</si>
  <si>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</si>
  <si>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2010</t>
  </si>
  <si>
    <t>file:///N:/Prj_SUS/2023/S23668%20SCE%20CA%20Prototypes%20Development/Technical/NR/0_Input%20data/Lighting/PNNL-20405.pdf</t>
  </si>
  <si>
    <t>Other</t>
  </si>
  <si>
    <t>Air leakage Memo, NORESCO, 2025</t>
  </si>
  <si>
    <t>Infiltration_rate_report_14May2025-Short-Version.docx</t>
  </si>
  <si>
    <t>BARD Engineering Specification Guide for SPVHP</t>
  </si>
  <si>
    <t>Construction Rate</t>
  </si>
  <si>
    <t>Notes</t>
  </si>
  <si>
    <t>NORESCO, Updated November 2025</t>
  </si>
  <si>
    <t>SchoolRelocatable</t>
  </si>
  <si>
    <t>Characteristic</t>
  </si>
  <si>
    <t>Value</t>
  </si>
  <si>
    <t>Building Type</t>
  </si>
  <si>
    <t>Relocatable School</t>
  </si>
  <si>
    <t>Building Category</t>
  </si>
  <si>
    <t>Nonresidential</t>
  </si>
  <si>
    <t>Vintages</t>
  </si>
  <si>
    <t>4 Vintages: Pre-1978, 1978-1997,1998-2007, 2008-2018
New Construction (2019+)</t>
  </si>
  <si>
    <t xml:space="preserve">Based on the vintage bin analysis
</t>
  </si>
  <si>
    <t>NonRes-Vintage bins-Draft Report-30Nov2023-Final.docx</t>
  </si>
  <si>
    <t>Shape</t>
  </si>
  <si>
    <t xml:space="preserve">The analysis uses prototype geometry originally developed by CEC. </t>
  </si>
  <si>
    <t>Total Floor Area (ft²)</t>
  </si>
  <si>
    <t>Same as CEC</t>
  </si>
  <si>
    <t>Aspect Ratio</t>
  </si>
  <si>
    <t>Number of Floors</t>
  </si>
  <si>
    <t>Roof type</t>
  </si>
  <si>
    <t>Flat</t>
  </si>
  <si>
    <t>WWR</t>
  </si>
  <si>
    <t>Shading Geometry</t>
  </si>
  <si>
    <t xml:space="preserve">No Shades </t>
  </si>
  <si>
    <t>Floor to floor height (feet)</t>
  </si>
  <si>
    <t>12 ft</t>
  </si>
  <si>
    <t>Floor to ceiling height (feet)</t>
  </si>
  <si>
    <t>Glazing sill height (feet)</t>
  </si>
  <si>
    <t>2.9 ft</t>
  </si>
  <si>
    <t>Above grade wall area (ft²)</t>
  </si>
  <si>
    <t>Gross wall area  (ft²)</t>
  </si>
  <si>
    <t>Roof area  (ft²)</t>
  </si>
  <si>
    <t>Underground Gross Wall Area  (ft²)</t>
  </si>
  <si>
    <t>Space Type</t>
  </si>
  <si>
    <t>Space/Thermal Zone</t>
  </si>
  <si>
    <t>HVAC System Name/AHU Name</t>
  </si>
  <si>
    <t>Schedule Category</t>
  </si>
  <si>
    <t>Conditioned (Y/N)</t>
  </si>
  <si>
    <t>Area Fraction</t>
  </si>
  <si>
    <t>Area (ft²)</t>
  </si>
  <si>
    <t>Volume (ft³)</t>
  </si>
  <si>
    <t>Multipliers</t>
  </si>
  <si>
    <t>Number of People</t>
  </si>
  <si>
    <t xml:space="preserve">People 
(Persons/1,000 ft²)
[T24, 2025,Table 120.1-A] </t>
  </si>
  <si>
    <t>Classroom, Lecture, Training, Vocational Areas</t>
  </si>
  <si>
    <t>Classroom</t>
  </si>
  <si>
    <t>BaseAirSys5</t>
  </si>
  <si>
    <t>Y</t>
  </si>
  <si>
    <t>Unoccupied-Exclude from Gross Floor Area</t>
  </si>
  <si>
    <t>Crawlspace</t>
  </si>
  <si>
    <t>N</t>
  </si>
  <si>
    <t>Total (2 Space types)</t>
  </si>
  <si>
    <t>Total (2 spaces)</t>
  </si>
  <si>
    <t>Total ( 1 HVAC zone)</t>
  </si>
  <si>
    <t>Total (1 Schedule categories)</t>
  </si>
  <si>
    <t xml:space="preserve"> Total (1 Conditioned zones)</t>
  </si>
  <si>
    <t>Vintage</t>
  </si>
  <si>
    <t>Zones</t>
  </si>
  <si>
    <t xml:space="preserve">Heating </t>
  </si>
  <si>
    <t>Cooling</t>
  </si>
  <si>
    <t>Air Distribution</t>
  </si>
  <si>
    <t>Other System</t>
  </si>
  <si>
    <t>Source</t>
  </si>
  <si>
    <t>Note</t>
  </si>
  <si>
    <t>Existing</t>
  </si>
  <si>
    <t>SPVHP</t>
  </si>
  <si>
    <t>DX Coil</t>
  </si>
  <si>
    <t>CAV</t>
  </si>
  <si>
    <t xml:space="preserve">Economizer*
Fix Dry bulb; integrated; 
High DB Temperature Lockout: 75 °F </t>
  </si>
  <si>
    <t>ACM 2025</t>
  </si>
  <si>
    <t>System 3b</t>
  </si>
  <si>
    <t>New Construction</t>
  </si>
  <si>
    <t xml:space="preserve">Efficiency of HVAC system </t>
  </si>
  <si>
    <t>Upgrade/Installed year</t>
  </si>
  <si>
    <t>Heating DX</t>
  </si>
  <si>
    <t>Supplumentary Heating Coil</t>
  </si>
  <si>
    <t>Cooling DX</t>
  </si>
  <si>
    <t>Pre 1978</t>
  </si>
  <si>
    <t>COP = 3</t>
  </si>
  <si>
    <t>Efficiency: 100% (Electric)</t>
  </si>
  <si>
    <t>EER = 9.0</t>
  </si>
  <si>
    <t>10 CFR 431.97, Table 10 to paragraph (e)(2): SPVHP &lt;65,000 Btu/h → EER 9.0, COP 3.0 (federal standard effective Jan 1, 2010; used here for legacy/vintage modeling consistency)</t>
  </si>
  <si>
    <t>1978-1997</t>
  </si>
  <si>
    <t>1998-2007</t>
  </si>
  <si>
    <t>2008-2018</t>
  </si>
  <si>
    <t>10 CFR 431.97, Table 10 to paragraph (e)(2): SPVHP &lt;65,000 Btu/h → EER 9.0, COP 3.0 (still governing in 2013; later update came in 2019)</t>
  </si>
  <si>
    <t>COP = 3.3</t>
  </si>
  <si>
    <t>EER = 11.0</t>
  </si>
  <si>
    <t>CEC 2025 Space-Conditioning Efficiency Tables, Table 5 (row: SPVHP &lt;65,000 Btu/h → EER 11.0, COP 3.3, test AHRI 390). The table cites 10 CFR 431 Subpart F as the federal basis</t>
  </si>
  <si>
    <t>Fan power</t>
  </si>
  <si>
    <t>Approach</t>
  </si>
  <si>
    <t>System</t>
  </si>
  <si>
    <t>Total Static Pressure (TSP)</t>
  </si>
  <si>
    <t>Fan Efficiency</t>
  </si>
  <si>
    <t>Fan Motor and Drive Efficiency</t>
  </si>
  <si>
    <t>W/cfm</t>
  </si>
  <si>
    <t xml:space="preserve">Engineering Judgment
</t>
  </si>
  <si>
    <t>Brake horse power (bhp)=(Supply cfm*TSP in w.c.)/(6356*Fan efficiency)</t>
  </si>
  <si>
    <t>Fan power (w/cfm) = bhp/motor and drive efficiency *746</t>
  </si>
  <si>
    <t>Engineering Judgment</t>
  </si>
  <si>
    <t>* 0.9 is an average fan efficiency according to ACM 2025, Table 14</t>
  </si>
  <si>
    <t>Fan total eff (E+ input) = 0.65 x Motor_eff</t>
  </si>
  <si>
    <t>TSP (E+ input) in w.c. = Motor_eff/746 x (6356 x Fan_eff) x W/cfm</t>
  </si>
  <si>
    <t>Fan_eff=0.65</t>
  </si>
  <si>
    <t>Background Data [To be deleted prior to publication]</t>
  </si>
  <si>
    <t>Element</t>
  </si>
  <si>
    <t>Prototype</t>
  </si>
  <si>
    <t xml:space="preserve"> Assembly Type</t>
  </si>
  <si>
    <t>Construction</t>
  </si>
  <si>
    <t>Thermal Properties</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</si>
  <si>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</si>
  <si>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</si>
  <si>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</si>
  <si>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</si>
  <si>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</si>
  <si>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</si>
  <si>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</si>
  <si>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</si>
  <si>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</si>
  <si>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</si>
  <si>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</si>
  <si>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</si>
  <si>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</si>
  <si>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</si>
  <si>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</si>
  <si>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</si>
  <si>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</si>
  <si>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</si>
  <si>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</si>
  <si>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Metal-framed walls + insulation + Gypsum board</t>
  </si>
  <si>
    <t>U-factor IP</t>
  </si>
  <si>
    <t>N/A</t>
  </si>
  <si>
    <t>ASHRAE 90.1, 2022, Table A3.3.3.1, 3.5", R-0</t>
  </si>
  <si>
    <t>Heat Capacity was considered 10.0-14.99 (Btu/F-ft²)</t>
  </si>
  <si>
    <t>TABLE 1-H-NonRes Bldgs</t>
  </si>
  <si>
    <t>TABLE 140.3-B-NonRes Bldgs</t>
  </si>
  <si>
    <t>2019+</t>
  </si>
  <si>
    <t>Roof</t>
  </si>
  <si>
    <t>FlatRoof_WoodFramedAndOther_NonRes</t>
  </si>
  <si>
    <t>Built-up Roof
steel truss + cavity insulation + plywood deck + above deck insulation + membrane + coverboard</t>
  </si>
  <si>
    <t>U-value IP</t>
  </si>
  <si>
    <t>Considering 30 years for roof/ insulation replacement.</t>
  </si>
  <si>
    <t>Table 1-H</t>
  </si>
  <si>
    <t>Table 140.3-B</t>
  </si>
  <si>
    <t>Windows_Nonrs</t>
  </si>
  <si>
    <t>OperableWindow_NonRes</t>
  </si>
  <si>
    <t xml:space="preserve">CBECS 2018 shows that ~58% of Large Hotels that were built before 2000 are single pane </t>
  </si>
  <si>
    <t>ASHRAE Handbook of Fundamentals for single pane &amp; T24, 2013  for double pane (58%-42%)</t>
  </si>
  <si>
    <t>Double pane</t>
  </si>
  <si>
    <t>Table1-H</t>
  </si>
  <si>
    <t xml:space="preserve">Table 140.3-B </t>
  </si>
  <si>
    <t>SHGC</t>
  </si>
  <si>
    <t>Table 1-H (based on non north with WWR 30-40% )</t>
  </si>
  <si>
    <t>Table 140.3-B  (100% fixed, 0% operable)</t>
  </si>
  <si>
    <t>* California Legislature Environmental Health Condions in California's Portable Classrooms</t>
  </si>
  <si>
    <t>Infiltration</t>
  </si>
  <si>
    <t>I_75
6-Sided Inifltration rate 
@ 75 pa</t>
  </si>
  <si>
    <t xml:space="preserve"> I-design (cfm/ft²) 
(4-sided Infiltration rate at normal presure) 
(Design flow rate approach and Flow/Exterior Wall Area calulation method) </t>
  </si>
  <si>
    <t>2022 CASE report (Table 38)</t>
  </si>
  <si>
    <t>2022 CASE report (Table 38) &amp;
T24, 2008-2016 (Table 140.3-B)--Air barrier is required in CZ 10-16</t>
  </si>
  <si>
    <t>2022 CASE report (Table 38) &amp;  
T24, 2025 (Table 140.3-B)--Air barrier is required in all CZs</t>
  </si>
  <si>
    <t>Source:  T24 air barrier requirements (all editions) and the standardized infiltration rate reported in the 2022 CASE report and Dodge 2023 data</t>
  </si>
  <si>
    <t xml:space="preserve">Air Lekage Memo: </t>
  </si>
  <si>
    <t>Statewide</t>
  </si>
  <si>
    <t>Setpoint</t>
  </si>
  <si>
    <t>School Heating Setpoint (F)</t>
  </si>
  <si>
    <t>T24 2022 - Appendix 5.4B</t>
  </si>
  <si>
    <t>School Heating Setback (F)</t>
  </si>
  <si>
    <t>School Cooling Setpoint (F)</t>
  </si>
  <si>
    <t>School Cooling Setback (F)</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</si>
  <si>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</si>
  <si>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</si>
  <si>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</si>
  <si>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</si>
  <si>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</si>
  <si>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</si>
  <si>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</si>
  <si>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</si>
  <si>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WH Type</t>
  </si>
  <si>
    <t>Efficiency</t>
  </si>
  <si>
    <t>Tank Volume (gal)</t>
  </si>
  <si>
    <t>Tank Loss</t>
  </si>
  <si>
    <t xml:space="preserve">Existing  </t>
  </si>
  <si>
    <t>Electric</t>
  </si>
  <si>
    <t>(Btu/hr)</t>
  </si>
  <si>
    <t>(%/hr)</t>
  </si>
  <si>
    <t>Section 1605.1. Federal and State Standards for Federally-Regulated Appliances.</t>
  </si>
  <si>
    <t>Peak Hot Water Consumption</t>
  </si>
  <si>
    <t>Space Name</t>
  </si>
  <si>
    <t>Baseline WH Type 
[T24, 2022, Appendix 5.4A , sheet: "2022 SpaceFuncData-Input"]</t>
  </si>
  <si>
    <t>New Construction: Baseline WH Type 
ACM 2025</t>
  </si>
  <si>
    <t>Total Area (ft²)</t>
  </si>
  <si>
    <t>Hot Water Usage Specification
(gal/hr per person)  
[T24, 2022, Appendix 5.4A , sheet: "2022 SpaceFuncData-Input"]</t>
  </si>
  <si>
    <t>Peak Hot Water Usage
(gal/hr)</t>
  </si>
  <si>
    <t>Peak Hot Water Usage
(gal/min)</t>
  </si>
  <si>
    <t>Total</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</si>
  <si>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</si>
  <si>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</si>
  <si>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</si>
  <si>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</si>
  <si>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</si>
  <si>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</si>
  <si>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Unit</t>
  </si>
  <si>
    <t>Off/On Cycle Loss Coefficient to Ambient Temp (Btu/h-F)</t>
  </si>
  <si>
    <t xml:space="preserve">Electric WH </t>
  </si>
  <si>
    <t>%hr</t>
  </si>
  <si>
    <t>Standby loss equation: Title 20, §1605.1 Table F-4 
WH capacity equation: ACM, 2025, 5.9.2: Rated capacity section)</t>
  </si>
  <si>
    <t>-</t>
  </si>
  <si>
    <t>Standby Loss for Existing</t>
  </si>
  <si>
    <t>Btu/hr</t>
  </si>
  <si>
    <t>Maximum flow rate (GPM)</t>
  </si>
  <si>
    <t>CALGreen §5.303.3.4.1 (Title 24, Part 11, 2025)</t>
  </si>
  <si>
    <t>Design supply temperature (F)</t>
  </si>
  <si>
    <t>Ref: T24 2022 - Appendix 5.4B</t>
  </si>
  <si>
    <t>Cold Water supply temperature (F)</t>
  </si>
  <si>
    <t>Ref: ACM, 2025, 5.9.2: Rated capacity section</t>
  </si>
  <si>
    <t>WH system factor</t>
  </si>
  <si>
    <t>Reheat multiplier</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</si>
  <si>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</si>
  <si>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**For Gas Water Heater: UA(Btu/h-°F)​=Q˙​SL​ (Btu/h)/ΔT (∘F)​</t>
  </si>
  <si>
    <t>Ambient temp</t>
  </si>
  <si>
    <t>Delta T</t>
  </si>
  <si>
    <t>** For Electric Water Heater: UA(Btu/h-°F)​= 0.0834 *SL​ (%/hr)*V gal</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</si>
  <si>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</si>
  <si>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</si>
  <si>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</si>
  <si>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</si>
  <si>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</si>
  <si>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</si>
  <si>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</si>
  <si>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</si>
  <si>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</si>
  <si>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</si>
  <si>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</si>
  <si>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</si>
  <si>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</si>
  <si>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Lighting Power Allowance 
[T24, 2025, Table 140.7-A &amp; 140.7-B]</t>
  </si>
  <si>
    <t>Exterior Lighting Power (W)</t>
  </si>
  <si>
    <t>IWA (Initial Wattage Allowance)</t>
  </si>
  <si>
    <t>(W)</t>
  </si>
  <si>
    <t>Parking area</t>
  </si>
  <si>
    <t xml:space="preserve"> 400 ft² for every parking space 
1 parking space per 830 ft² of gross building area </t>
  </si>
  <si>
    <t>(ft²)</t>
  </si>
  <si>
    <t>(W/ft²)</t>
  </si>
  <si>
    <t>Building Entrance</t>
  </si>
  <si>
    <t>5 building entrance per PNNL Model (1 per 10,000 ft² footprint)</t>
  </si>
  <si>
    <t>(count)</t>
  </si>
  <si>
    <t>(W/ea)</t>
  </si>
  <si>
    <t>Hardscape Ornamental Light</t>
  </si>
  <si>
    <t>0.1 ft² per 1 ft² of gross building area for hardscape ornamental light</t>
  </si>
  <si>
    <t>Building façade</t>
  </si>
  <si>
    <t>0.1 W per 1 ft² of facade area 
Façade Area = Perimeter × 0.5 × max ( height and 30) (30 ft is the max height that is lit) * 
The 0.5 factor assumes that only half of the perimeter walls are lit.
-Formula ia developed based on the 2019 Outdoor Lighting CASE report</t>
  </si>
  <si>
    <t>Non-motion-controlled Luminaires</t>
  </si>
  <si>
    <t>Max Height (ft)</t>
  </si>
  <si>
    <t>Building footprint</t>
  </si>
  <si>
    <t>Floors</t>
  </si>
  <si>
    <t>Perimeter(ft)</t>
  </si>
  <si>
    <t>Total floor area (ft²)</t>
  </si>
  <si>
    <t>Hour</t>
  </si>
  <si>
    <t>Saturday</t>
  </si>
  <si>
    <t>Sunday</t>
  </si>
  <si>
    <t>Weekday</t>
  </si>
  <si>
    <t>Plug load Power Density (W/ft²)</t>
  </si>
  <si>
    <t>Gas Power Density (Btu/hr-ft²)</t>
  </si>
  <si>
    <t>Refrigeration Power Density (W/ft²)</t>
  </si>
  <si>
    <t>T24 2022 - Appendix 5.4A</t>
  </si>
  <si>
    <t>Zone</t>
  </si>
  <si>
    <t>Schedule</t>
  </si>
  <si>
    <t>Type</t>
  </si>
  <si>
    <t>School Zones</t>
  </si>
  <si>
    <t xml:space="preserve"> Classroom</t>
  </si>
  <si>
    <t>Occupancy</t>
  </si>
  <si>
    <t>T24 2022 - Appendix 5.4B [School]</t>
  </si>
  <si>
    <t>Lights</t>
  </si>
  <si>
    <t>ElecEquipment</t>
  </si>
  <si>
    <t>ServiceHotWater</t>
  </si>
  <si>
    <t>GasEquipment</t>
  </si>
  <si>
    <t>Refrigeration</t>
  </si>
  <si>
    <t>HVACAvail</t>
  </si>
  <si>
    <t>HtgSetpt</t>
  </si>
  <si>
    <t>ClgSetpt</t>
  </si>
  <si>
    <t>Building</t>
  </si>
  <si>
    <t>ExtLightingNonMotionCtrl</t>
  </si>
  <si>
    <t>ExtLightingMotionCtrl</t>
  </si>
  <si>
    <t>MeetingPeopleActivityLevel</t>
  </si>
  <si>
    <t xml:space="preserve">Based on Activilty level schedules in  CEC Prototypes </t>
  </si>
  <si>
    <t>CZ</t>
  </si>
  <si>
    <r>
      <rPr>
        <b/>
        <sz val="10"/>
        <color theme="1"/>
        <rFont val="Arial"/>
        <family val="2"/>
      </rPr>
      <t xml:space="preserve">Ref: </t>
    </r>
    <r>
      <rPr>
        <sz val="10"/>
        <color theme="1"/>
        <rFont val="Arial"/>
        <family val="2"/>
      </rPr>
      <t xml:space="preserve">CEUS 2022 Report </t>
    </r>
  </si>
  <si>
    <t>Vintage Bin</t>
  </si>
  <si>
    <t>Pre-1978</t>
  </si>
  <si>
    <t>Not available</t>
  </si>
  <si>
    <t>Ref: CEUS 2022 dataset</t>
  </si>
  <si>
    <t>TBD</t>
  </si>
  <si>
    <t>Space Function</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</si>
  <si>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</si>
  <si>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</si>
  <si>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</si>
  <si>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</si>
  <si>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</si>
  <si>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</si>
  <si>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</si>
  <si>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</si>
  <si>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</si>
  <si>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</si>
  <si>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</si>
  <si>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</si>
  <si>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</si>
  <si>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</si>
  <si>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</si>
  <si>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</si>
  <si>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</si>
  <si>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</si>
  <si>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</si>
  <si>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</si>
  <si>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</si>
  <si>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</si>
  <si>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</si>
  <si>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</si>
  <si>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</si>
  <si>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</si>
  <si>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</si>
  <si>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</si>
  <si>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</si>
  <si>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</si>
  <si>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</si>
  <si>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</si>
  <si>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</si>
  <si>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</si>
  <si>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</si>
  <si>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</si>
  <si>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</si>
  <si>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</si>
  <si>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</si>
  <si>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</si>
  <si>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</si>
  <si>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</si>
  <si>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</si>
  <si>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</si>
  <si>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</si>
  <si>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</si>
  <si>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</si>
  <si>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</si>
  <si>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</si>
  <si>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</si>
  <si>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 (Note 2)</t>
  </si>
  <si>
    <t>Pharmacy Area</t>
  </si>
  <si>
    <t>Retail Sales Area (Grocery Sales)</t>
  </si>
  <si>
    <t>Retail Sales Area (Retail Merchandise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</si>
  <si>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</si>
  <si>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</si>
  <si>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</si>
  <si>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</si>
  <si>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</si>
  <si>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</si>
  <si>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</si>
  <si>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</si>
  <si>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</si>
  <si>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</si>
  <si>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</si>
  <si>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</si>
  <si>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</si>
  <si>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</si>
  <si>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</si>
  <si>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</si>
  <si>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</si>
  <si>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</si>
  <si>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</si>
  <si>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</si>
  <si>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</si>
  <si>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</si>
  <si>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Elevator</t>
  </si>
  <si>
    <t>CalBEM Electricity EUI (KBTU/ft²)</t>
  </si>
  <si>
    <t>CalBEM Gas EUI (KBTU/ft²)</t>
  </si>
  <si>
    <t>CalBEM Total  EUI (KBTU/ft²)</t>
  </si>
  <si>
    <t>New Construction  Electricity EUI (KBTU/ft²)</t>
  </si>
  <si>
    <t>New Construction  Gas EUI (KBTU/ft²)</t>
  </si>
  <si>
    <t>New Construction  Total EUI (KBTU/ft²)</t>
  </si>
  <si>
    <t>National Average</t>
  </si>
  <si>
    <t xml:space="preserve">And by applying FZ-CZ multipliers for converting  FZ  data to  CZ  data </t>
  </si>
  <si>
    <t>National Average Acceptable EUI Range</t>
  </si>
  <si>
    <t xml:space="preserve">CEUS 2022 Acceptable EUI Range </t>
  </si>
  <si>
    <t>Total Floorspace (Thousand of ft²)</t>
  </si>
  <si>
    <t>CEUS 2023 Electricity EUI (kBtu/ft²)</t>
  </si>
  <si>
    <t>CEUS 2023 Gas EUI  (kBtu/ft²)</t>
  </si>
  <si>
    <t>CEUS 2023 Total EUI (kBtu/ft²)</t>
  </si>
  <si>
    <t>Acceptable Range (25% Higher)</t>
  </si>
  <si>
    <t>Acceptable Range (25% Lower)</t>
  </si>
  <si>
    <t>Acceptable Range
(25% Higher)</t>
  </si>
  <si>
    <t>Acceptable Range
(25% Lower)</t>
  </si>
  <si>
    <r>
      <rPr>
        <sz val="9"/>
        <color rgb="FF000000"/>
        <rFont val="Arial"/>
        <family val="2"/>
      </rPr>
      <t xml:space="preserve">T24 2022 - Appendix 5.4B
</t>
    </r>
    <r>
      <rPr>
        <sz val="9"/>
        <color rgb="FF00B050"/>
        <rFont val="Arial"/>
        <family val="2"/>
      </rPr>
      <t xml:space="preserve">
</t>
    </r>
  </si>
  <si>
    <r>
      <rPr>
        <sz val="10"/>
        <color rgb="FF000000"/>
        <rFont val="Arial"/>
        <family val="2"/>
      </rPr>
      <t xml:space="preserve">T24 2022 - Appendix 5.4B
</t>
    </r>
    <r>
      <rPr>
        <sz val="9"/>
        <color rgb="FF00B05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</si>
</sst>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0;\-0;[Color15]0"/>
    <numFmt numFmtId="171" formatCode="_(* #,##0.0_);_(* \(#,##0.0\);_(* &quot;-&quot;??_);_(@_)"/>
    <numFmt numFmtId="172" formatCode="_(* #,##0_);_(* \(#,##0\);_(* &quot;-&quot;?_);_(@_)"/>
    <numFmt numFmtId="173" formatCode="#,##0.0_);\(#,##0.0\)"/>
  </numFmts>
  <fonts count="38"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sz val="11"/>
      <color rgb="FF0070C0"/>
      <name val="Arial"/>
      <family val="2"/>
    </font>
    <font>
      <b/>
      <sz val="10"/>
      <name val="Arial"/>
      <family val="2"/>
    </font>
    <font>
      <b/>
      <sz val="10"/>
      <color indexed="8"/>
      <name val="Arial"/>
      <family val="2"/>
    </font>
    <font>
      <sz val="10"/>
      <color rgb="FFFF0000"/>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sz val="14"/>
      <color rgb="FF000000"/>
      <name val="Times New Roman"/>
      <family val="1"/>
    </font>
    <font>
      <sz val="9"/>
      <name val="Arial"/>
      <family val="2"/>
    </font>
    <font>
      <sz val="9"/>
      <color rgb="FF00B050"/>
      <name val="Arial"/>
      <family val="2"/>
    </font>
    <font>
      <sz val="9"/>
      <color rgb="FF000000"/>
      <name val="Arial"/>
      <family val="2"/>
    </font>
  </fonts>
  <fills count="14">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rgb="FF203764"/>
        <bgColor rgb="FF000000"/>
      </patternFill>
    </fill>
    <fill>
      <patternFill patternType="solid">
        <fgColor rgb="FFFFFFFF"/>
        <bgColor rgb="FF000000"/>
      </patternFill>
    </fill>
    <fill>
      <patternFill patternType="solid">
        <fgColor theme="0" tint="-0.34998626667073579"/>
        <bgColor indexed="64"/>
      </patternFill>
    </fill>
    <fill>
      <patternFill patternType="solid">
        <fgColor rgb="FFFFF2CC"/>
        <bgColor rgb="FF000000"/>
      </patternFill>
    </fill>
  </fills>
  <borders count="105">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rgb="FF595959"/>
      </left>
      <right style="thin">
        <color rgb="FF595959"/>
      </right>
      <top style="thin">
        <color rgb="FF595959"/>
      </top>
      <bottom style="thin">
        <color rgb="FF595959"/>
      </bottom>
      <diagonal/>
    </border>
    <border>
      <left style="thin">
        <color indexed="64"/>
      </left>
      <right style="thin">
        <color indexed="64"/>
      </right>
      <top style="thin">
        <color indexed="64"/>
      </top>
      <bottom style="thin">
        <color rgb="FF000000"/>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bottom style="thin">
        <color rgb="FF808080"/>
      </bottom>
      <diagonal/>
    </border>
    <border>
      <left style="thin">
        <color theme="0" tint="-0.499984740745262"/>
      </left>
      <right/>
      <top style="thin">
        <color indexed="64"/>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thin">
        <color indexed="64"/>
      </left>
      <right style="thin">
        <color indexed="64"/>
      </right>
      <top/>
      <bottom style="medium">
        <color indexed="64"/>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rgb="FF000000"/>
      </left>
      <right style="thin">
        <color indexed="64"/>
      </right>
      <top style="thin">
        <color indexed="64"/>
      </top>
      <bottom/>
      <diagonal/>
    </border>
    <border>
      <left/>
      <right/>
      <top/>
      <bottom style="thin">
        <color rgb="FF000000"/>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indexed="64"/>
      </left>
      <right/>
      <top/>
      <bottom style="thin">
        <color theme="0" tint="-0.499984740745262"/>
      </bottom>
      <diagonal/>
    </border>
    <border>
      <left/>
      <right/>
      <top/>
      <bottom style="thin">
        <color theme="0" tint="-0.499984740745262"/>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s>
  <cellStyleXfs count="13">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3" fillId="0" borderId="0"/>
    <xf numFmtId="0" fontId="15" fillId="0" borderId="0" applyNumberFormat="0" applyFill="0" applyBorder="0" applyAlignment="0" applyProtection="0"/>
    <xf numFmtId="0" fontId="6" fillId="0" borderId="0"/>
    <xf numFmtId="0" fontId="6" fillId="0" borderId="0"/>
  </cellStyleXfs>
  <cellXfs count="445">
    <xf numFmtId="0" fontId="0" fillId="0" borderId="0" xfId="0"/>
    <xf numFmtId="0" fontId="0" fillId="0" borderId="0" xfId="0" applyAlignment="1">
      <alignment vertical="center"/>
    </xf>
    <xf numFmtId="0" fontId="8" fillId="0" borderId="0" xfId="5"/>
    <xf numFmtId="0" fontId="11" fillId="0" borderId="0" xfId="0" applyFont="1"/>
    <xf numFmtId="0" fontId="11" fillId="0" borderId="0" xfId="0" applyFont="1" applyAlignment="1">
      <alignment horizontal="center" vertical="center"/>
    </xf>
    <xf numFmtId="0" fontId="6"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wrapText="1"/>
    </xf>
    <xf numFmtId="0" fontId="14" fillId="0" borderId="0" xfId="0" applyFont="1" applyAlignment="1">
      <alignment vertical="center"/>
    </xf>
    <xf numFmtId="3" fontId="1" fillId="0" borderId="2" xfId="1" applyNumberFormat="1" applyBorder="1" applyAlignment="1">
      <alignment horizontal="center" vertical="center" wrapText="1"/>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3" fontId="6" fillId="0" borderId="2" xfId="7" applyNumberFormat="1" applyFont="1" applyBorder="1" applyAlignment="1">
      <alignment horizontal="center" vertical="center"/>
    </xf>
    <xf numFmtId="0" fontId="6" fillId="0" borderId="0" xfId="0" applyFont="1" applyAlignment="1">
      <alignment horizontal="center" vertical="top" wrapText="1"/>
    </xf>
    <xf numFmtId="0" fontId="6" fillId="0" borderId="0" xfId="0" applyFont="1" applyAlignment="1">
      <alignment horizontal="left" vertical="top"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6" borderId="2" xfId="0" applyFont="1" applyFill="1" applyBorder="1" applyAlignment="1">
      <alignment horizontal="center" vertical="center" wrapText="1"/>
    </xf>
    <xf numFmtId="0" fontId="19" fillId="6" borderId="2" xfId="0" applyFont="1" applyFill="1" applyBorder="1" applyAlignment="1">
      <alignment horizontal="center" vertic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6" fillId="0" borderId="0" xfId="0" applyNumberFormat="1" applyFont="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6" fillId="0" borderId="21" xfId="4" applyBorder="1" applyAlignment="1">
      <alignment horizontal="center" vertical="center"/>
    </xf>
    <xf numFmtId="9" fontId="6" fillId="0" borderId="21" xfId="2" applyFont="1" applyFill="1" applyBorder="1" applyAlignment="1">
      <alignment horizontal="center" vertical="center"/>
    </xf>
    <xf numFmtId="3" fontId="6" fillId="0" borderId="2" xfId="0" applyNumberFormat="1" applyFont="1" applyBorder="1" applyAlignment="1">
      <alignment horizontal="center" vertical="center"/>
    </xf>
    <xf numFmtId="0" fontId="23" fillId="0" borderId="0" xfId="0" applyFont="1" applyAlignment="1">
      <alignment horizontal="center" vertical="center"/>
    </xf>
    <xf numFmtId="0" fontId="26" fillId="4" borderId="0" xfId="0" applyFont="1" applyFill="1" applyAlignment="1">
      <alignment vertical="center" wrapText="1"/>
    </xf>
    <xf numFmtId="0" fontId="23" fillId="4" borderId="0" xfId="0" applyFont="1" applyFill="1" applyAlignment="1">
      <alignment horizontal="center" vertical="center"/>
    </xf>
    <xf numFmtId="165" fontId="23" fillId="4" borderId="0" xfId="0" applyNumberFormat="1" applyFont="1" applyFill="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left" vertical="center"/>
    </xf>
    <xf numFmtId="0" fontId="25"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1" xfId="0" applyNumberFormat="1" applyFont="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168" fontId="23" fillId="0" borderId="0" xfId="0" applyNumberFormat="1" applyFont="1" applyAlignment="1">
      <alignment horizontal="center" vertical="center"/>
    </xf>
    <xf numFmtId="9" fontId="6" fillId="0" borderId="22" xfId="0" applyNumberFormat="1" applyFont="1" applyBorder="1" applyAlignment="1">
      <alignment horizontal="center"/>
    </xf>
    <xf numFmtId="0" fontId="27" fillId="0" borderId="0" xfId="0" applyFont="1"/>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22" fillId="0" borderId="0" xfId="0" applyFont="1" applyAlignment="1">
      <alignment horizontal="left" vertical="center" wrapText="1"/>
    </xf>
    <xf numFmtId="0" fontId="19" fillId="6" borderId="12" xfId="0" applyFont="1" applyFill="1" applyBorder="1" applyAlignment="1">
      <alignment horizontal="center" vertical="center" wrapText="1"/>
    </xf>
    <xf numFmtId="0" fontId="11" fillId="0" borderId="0" xfId="0" applyFont="1" applyAlignment="1">
      <alignment horizontal="center"/>
    </xf>
    <xf numFmtId="43" fontId="6" fillId="0" borderId="0" xfId="0" applyNumberFormat="1" applyFont="1"/>
    <xf numFmtId="0" fontId="10" fillId="0" borderId="0" xfId="3" applyFont="1" applyBorder="1" applyAlignment="1">
      <alignment horizontal="left" vertical="center" wrapText="1"/>
    </xf>
    <xf numFmtId="169" fontId="6" fillId="0" borderId="0" xfId="6" applyNumberFormat="1" applyFont="1" applyBorder="1" applyAlignment="1">
      <alignment horizontal="left" vertical="center"/>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0" fontId="21" fillId="0" borderId="0" xfId="0" applyFont="1"/>
    <xf numFmtId="16" fontId="0" fillId="0" borderId="0" xfId="0" applyNumberFormat="1" applyAlignment="1">
      <alignment horizontal="left"/>
    </xf>
    <xf numFmtId="0" fontId="24" fillId="0" borderId="0" xfId="0" applyFont="1" applyAlignment="1">
      <alignment vertical="center"/>
    </xf>
    <xf numFmtId="0" fontId="24" fillId="0" borderId="0" xfId="0" applyFont="1" applyAlignment="1">
      <alignment horizontal="center" vertical="center"/>
    </xf>
    <xf numFmtId="0" fontId="19" fillId="9" borderId="2" xfId="0" applyFont="1" applyFill="1" applyBorder="1" applyAlignment="1">
      <alignment horizontal="center" vertical="center"/>
    </xf>
    <xf numFmtId="0" fontId="30" fillId="0" borderId="0" xfId="0" applyFont="1" applyAlignment="1">
      <alignment vertical="center"/>
    </xf>
    <xf numFmtId="169" fontId="24" fillId="0" borderId="2" xfId="6" applyNumberFormat="1" applyFont="1" applyBorder="1" applyAlignment="1">
      <alignment horizontal="center" vertical="center"/>
    </xf>
    <xf numFmtId="169" fontId="24" fillId="0" borderId="2" xfId="6" applyNumberFormat="1" applyFont="1" applyBorder="1" applyAlignment="1">
      <alignment horizontal="center" vertical="center" wrapText="1"/>
    </xf>
    <xf numFmtId="0" fontId="25" fillId="9" borderId="2" xfId="0" applyFont="1" applyFill="1" applyBorder="1" applyAlignment="1">
      <alignment horizontal="center" vertical="center"/>
    </xf>
    <xf numFmtId="0" fontId="7" fillId="2" borderId="0" xfId="0" applyFont="1" applyFill="1" applyAlignment="1">
      <alignment vertical="center"/>
    </xf>
    <xf numFmtId="2" fontId="6" fillId="0" borderId="2" xfId="0" applyNumberFormat="1" applyFont="1" applyBorder="1" applyAlignment="1">
      <alignment horizontal="center" vertical="center" wrapText="1"/>
    </xf>
    <xf numFmtId="0" fontId="1" fillId="0" borderId="0" xfId="1" applyAlignment="1">
      <alignment vertical="center" wrapText="1"/>
    </xf>
    <xf numFmtId="0" fontId="12" fillId="0" borderId="0" xfId="0" applyFont="1" applyAlignment="1">
      <alignment vertical="center" wrapText="1"/>
    </xf>
    <xf numFmtId="0" fontId="24" fillId="11" borderId="14" xfId="0" applyFont="1" applyFill="1" applyBorder="1" applyAlignment="1">
      <alignment vertical="center"/>
    </xf>
    <xf numFmtId="0" fontId="24" fillId="11" borderId="19" xfId="0" applyFont="1" applyFill="1" applyBorder="1" applyAlignment="1">
      <alignment vertical="center"/>
    </xf>
    <xf numFmtId="0" fontId="24" fillId="0" borderId="0" xfId="0" applyFont="1" applyAlignment="1">
      <alignment horizontal="center" vertical="center" wrapText="1"/>
    </xf>
    <xf numFmtId="0" fontId="29" fillId="10" borderId="0" xfId="0" applyFont="1" applyFill="1" applyAlignment="1">
      <alignment horizontal="center" vertical="center"/>
    </xf>
    <xf numFmtId="169" fontId="6" fillId="0" borderId="0" xfId="0" applyNumberFormat="1" applyFont="1"/>
    <xf numFmtId="0" fontId="24" fillId="11" borderId="35" xfId="0" applyFont="1" applyFill="1" applyBorder="1" applyAlignment="1">
      <alignment vertical="center"/>
    </xf>
    <xf numFmtId="0" fontId="13" fillId="0" borderId="0" xfId="0" applyFont="1"/>
    <xf numFmtId="0" fontId="17" fillId="0" borderId="0" xfId="0" applyFont="1"/>
    <xf numFmtId="170" fontId="31" fillId="0" borderId="0" xfId="0" applyNumberFormat="1" applyFont="1"/>
    <xf numFmtId="0" fontId="6" fillId="0" borderId="2" xfId="0" applyFont="1" applyBorder="1" applyAlignment="1">
      <alignment horizontal="right" vertical="center"/>
    </xf>
    <xf numFmtId="169" fontId="6" fillId="0" borderId="2" xfId="6" applyNumberFormat="1" applyFont="1" applyBorder="1" applyAlignment="1">
      <alignment horizontal="right" vertical="center" wrapText="1"/>
    </xf>
    <xf numFmtId="169" fontId="6" fillId="0" borderId="2" xfId="0" applyNumberFormat="1" applyFont="1" applyBorder="1" applyAlignment="1">
      <alignment horizontal="right" vertical="center"/>
    </xf>
    <xf numFmtId="3" fontId="6" fillId="0" borderId="0" xfId="0" applyNumberFormat="1" applyFont="1"/>
    <xf numFmtId="169" fontId="6" fillId="0" borderId="2" xfId="6" applyNumberFormat="1" applyFont="1" applyBorder="1" applyAlignment="1">
      <alignment horizontal="right" vertical="center"/>
    </xf>
    <xf numFmtId="0" fontId="11" fillId="0" borderId="0" xfId="0" applyFont="1" applyAlignment="1">
      <alignment vertical="center"/>
    </xf>
    <xf numFmtId="165" fontId="11" fillId="0" borderId="0" xfId="2" applyNumberFormat="1" applyFont="1"/>
    <xf numFmtId="0" fontId="0" fillId="0" borderId="0" xfId="0" applyAlignment="1">
      <alignment horizontal="left"/>
    </xf>
    <xf numFmtId="0" fontId="6" fillId="0" borderId="22" xfId="4" applyBorder="1" applyAlignment="1">
      <alignment horizontal="center" vertical="center"/>
    </xf>
    <xf numFmtId="0" fontId="6" fillId="0" borderId="0" xfId="0" applyFont="1" applyAlignment="1">
      <alignment horizontal="center" vertical="center"/>
    </xf>
    <xf numFmtId="0" fontId="25" fillId="9" borderId="37" xfId="0" applyFont="1" applyFill="1" applyBorder="1" applyAlignment="1">
      <alignment horizontal="center" vertical="center" wrapText="1"/>
    </xf>
    <xf numFmtId="1" fontId="1" fillId="0" borderId="2" xfId="7" applyNumberFormat="1" applyFont="1" applyBorder="1" applyAlignment="1">
      <alignment horizontal="center" vertical="center"/>
    </xf>
    <xf numFmtId="0" fontId="10" fillId="0" borderId="2" xfId="3" applyFont="1" applyFill="1" applyBorder="1" applyAlignment="1">
      <alignment horizontal="center" vertical="center" wrapText="1"/>
    </xf>
    <xf numFmtId="3" fontId="10" fillId="0" borderId="2" xfId="3" applyNumberFormat="1" applyFont="1" applyFill="1" applyBorder="1" applyAlignment="1">
      <alignment horizontal="center" vertical="center" wrapText="1"/>
    </xf>
    <xf numFmtId="3" fontId="10" fillId="0" borderId="2" xfId="3" applyNumberFormat="1" applyFont="1" applyBorder="1" applyAlignment="1">
      <alignment horizontal="center" vertical="center" wrapText="1"/>
    </xf>
    <xf numFmtId="0" fontId="33" fillId="11" borderId="13" xfId="0" applyFont="1" applyFill="1" applyBorder="1" applyAlignment="1">
      <alignment horizontal="left" vertical="center"/>
    </xf>
    <xf numFmtId="0" fontId="24" fillId="11" borderId="0" xfId="0" applyFont="1" applyFill="1" applyAlignment="1">
      <alignment vertical="center"/>
    </xf>
    <xf numFmtId="0" fontId="33" fillId="11" borderId="18" xfId="0" applyFont="1" applyFill="1" applyBorder="1" applyAlignment="1">
      <alignment horizontal="left" vertical="center"/>
    </xf>
    <xf numFmtId="0" fontId="7" fillId="6" borderId="38" xfId="0" applyFont="1" applyFill="1" applyBorder="1" applyAlignment="1">
      <alignment horizontal="center" vertical="center"/>
    </xf>
    <xf numFmtId="1" fontId="10" fillId="0" borderId="2" xfId="3" applyNumberFormat="1" applyFont="1" applyBorder="1" applyAlignment="1">
      <alignment horizontal="left" vertical="center" wrapText="1"/>
    </xf>
    <xf numFmtId="1" fontId="6" fillId="0" borderId="2" xfId="0" applyNumberFormat="1" applyFont="1" applyBorder="1" applyAlignment="1">
      <alignment horizontal="left" vertical="center"/>
    </xf>
    <xf numFmtId="1" fontId="6" fillId="0" borderId="2" xfId="0" applyNumberFormat="1" applyFont="1" applyBorder="1" applyAlignment="1">
      <alignment horizontal="left" vertical="center" wrapText="1"/>
    </xf>
    <xf numFmtId="0" fontId="8" fillId="0" borderId="0" xfId="5" applyBorder="1"/>
    <xf numFmtId="0" fontId="24" fillId="0" borderId="0" xfId="0" applyFont="1" applyAlignment="1">
      <alignment wrapText="1"/>
    </xf>
    <xf numFmtId="0" fontId="1" fillId="0" borderId="2" xfId="1" applyBorder="1" applyAlignment="1">
      <alignment vertical="center" wrapText="1"/>
    </xf>
    <xf numFmtId="2" fontId="6" fillId="0" borderId="2" xfId="0" applyNumberFormat="1" applyFont="1" applyBorder="1" applyAlignment="1">
      <alignment horizontal="center" vertical="center"/>
    </xf>
    <xf numFmtId="0" fontId="30" fillId="0" borderId="0" xfId="0" applyFont="1"/>
    <xf numFmtId="0" fontId="10" fillId="0" borderId="2" xfId="3" applyFont="1" applyBorder="1" applyAlignment="1">
      <alignment horizontal="left" vertical="center" wrapText="1"/>
    </xf>
    <xf numFmtId="0" fontId="25" fillId="6" borderId="2" xfId="0" applyFont="1" applyFill="1" applyBorder="1" applyAlignment="1">
      <alignment horizontal="left" vertical="center" wrapText="1"/>
    </xf>
    <xf numFmtId="170" fontId="6" fillId="0" borderId="2" xfId="0" applyNumberFormat="1" applyFont="1" applyBorder="1" applyAlignment="1">
      <alignment vertical="center"/>
    </xf>
    <xf numFmtId="170" fontId="1" fillId="0" borderId="2" xfId="0" applyNumberFormat="1" applyFont="1" applyBorder="1" applyAlignment="1">
      <alignment vertical="center"/>
    </xf>
    <xf numFmtId="0" fontId="19" fillId="6" borderId="2" xfId="0" applyFont="1" applyFill="1" applyBorder="1" applyAlignment="1">
      <alignment vertical="center"/>
    </xf>
    <xf numFmtId="0" fontId="1" fillId="0" borderId="2" xfId="1" applyBorder="1" applyAlignment="1">
      <alignment vertical="center"/>
    </xf>
    <xf numFmtId="0" fontId="32" fillId="0" borderId="2" xfId="0" applyFont="1" applyBorder="1" applyAlignment="1">
      <alignment horizontal="left" vertical="top" wrapText="1"/>
    </xf>
    <xf numFmtId="169" fontId="6" fillId="0" borderId="2" xfId="6" applyNumberFormat="1" applyFont="1" applyBorder="1" applyAlignment="1">
      <alignment horizontal="center" vertical="center"/>
    </xf>
    <xf numFmtId="169" fontId="32" fillId="0" borderId="2" xfId="6" applyNumberFormat="1" applyFont="1" applyBorder="1" applyAlignment="1">
      <alignment horizontal="center" vertical="center" wrapText="1"/>
    </xf>
    <xf numFmtId="0" fontId="34" fillId="0" borderId="0" xfId="0" applyFont="1" applyAlignment="1">
      <alignment horizontal="right" vertical="center" wrapText="1"/>
    </xf>
    <xf numFmtId="0" fontId="6" fillId="0" borderId="41" xfId="0" applyFont="1" applyBorder="1" applyAlignment="1">
      <alignment horizontal="left" vertical="center" wrapText="1"/>
    </xf>
    <xf numFmtId="169" fontId="6" fillId="0" borderId="3" xfId="6" applyNumberFormat="1" applyFont="1" applyBorder="1" applyAlignment="1">
      <alignment horizontal="left" vertical="center"/>
    </xf>
    <xf numFmtId="0" fontId="10" fillId="0" borderId="42" xfId="3" applyFont="1" applyBorder="1" applyAlignment="1">
      <alignment horizontal="left" vertical="center" wrapText="1"/>
    </xf>
    <xf numFmtId="169" fontId="6" fillId="0" borderId="36" xfId="6" applyNumberFormat="1" applyFont="1" applyBorder="1" applyAlignment="1">
      <alignment horizontal="left" vertical="center"/>
    </xf>
    <xf numFmtId="169" fontId="6" fillId="0" borderId="2" xfId="0" applyNumberFormat="1" applyFont="1" applyBorder="1" applyAlignment="1">
      <alignment vertical="center"/>
    </xf>
    <xf numFmtId="43" fontId="6" fillId="0" borderId="11" xfId="0" applyNumberFormat="1" applyFont="1" applyBorder="1" applyAlignment="1">
      <alignment vertical="center"/>
    </xf>
    <xf numFmtId="165" fontId="24" fillId="0" borderId="2" xfId="0" applyNumberFormat="1" applyFont="1" applyBorder="1" applyAlignment="1">
      <alignment vertical="center"/>
    </xf>
    <xf numFmtId="169" fontId="6" fillId="0" borderId="36" xfId="0" applyNumberFormat="1" applyFont="1" applyBorder="1" applyAlignment="1">
      <alignment vertical="center"/>
    </xf>
    <xf numFmtId="172" fontId="6" fillId="0" borderId="36" xfId="0" applyNumberFormat="1" applyFont="1" applyBorder="1" applyAlignment="1">
      <alignment vertical="center"/>
    </xf>
    <xf numFmtId="0" fontId="24" fillId="0" borderId="36" xfId="0" applyFont="1" applyBorder="1" applyAlignment="1">
      <alignment vertical="center"/>
    </xf>
    <xf numFmtId="169" fontId="6" fillId="0" borderId="24" xfId="0" applyNumberFormat="1" applyFont="1" applyBorder="1" applyAlignment="1">
      <alignment horizontal="center" vertical="center" wrapText="1"/>
    </xf>
    <xf numFmtId="0" fontId="19" fillId="9" borderId="44" xfId="0" applyFont="1" applyFill="1" applyBorder="1" applyAlignment="1">
      <alignment horizontal="center" vertical="center"/>
    </xf>
    <xf numFmtId="0" fontId="19" fillId="9" borderId="45" xfId="0" applyFont="1" applyFill="1" applyBorder="1" applyAlignment="1">
      <alignment horizontal="center" vertical="center"/>
    </xf>
    <xf numFmtId="0" fontId="19" fillId="9" borderId="46" xfId="0" applyFont="1" applyFill="1" applyBorder="1" applyAlignment="1">
      <alignment horizontal="center" vertical="center" wrapText="1"/>
    </xf>
    <xf numFmtId="0" fontId="25" fillId="9" borderId="45" xfId="0" applyFont="1" applyFill="1" applyBorder="1" applyAlignment="1">
      <alignment horizontal="center" vertical="center" wrapText="1"/>
    </xf>
    <xf numFmtId="0" fontId="25" fillId="9" borderId="45" xfId="0" applyFont="1" applyFill="1" applyBorder="1" applyAlignment="1">
      <alignment horizontal="center" vertical="center"/>
    </xf>
    <xf numFmtId="0" fontId="25" fillId="9" borderId="34" xfId="0" applyFont="1" applyFill="1" applyBorder="1" applyAlignment="1">
      <alignment horizontal="center" vertical="center"/>
    </xf>
    <xf numFmtId="1" fontId="6" fillId="0" borderId="0" xfId="0" applyNumberFormat="1" applyFont="1" applyAlignment="1">
      <alignment horizontal="left" vertical="center"/>
    </xf>
    <xf numFmtId="0" fontId="11" fillId="0" borderId="0" xfId="0" applyFont="1" applyAlignment="1">
      <alignment wrapText="1"/>
    </xf>
    <xf numFmtId="0" fontId="24" fillId="0" borderId="2" xfId="0" applyFont="1" applyBorder="1" applyAlignment="1">
      <alignment horizontal="center" vertical="center"/>
    </xf>
    <xf numFmtId="0" fontId="6" fillId="0" borderId="24" xfId="0" applyFont="1" applyBorder="1" applyAlignment="1">
      <alignment horizontal="center" vertical="center" wrapText="1"/>
    </xf>
    <xf numFmtId="0" fontId="6" fillId="0" borderId="3" xfId="0" applyFont="1" applyBorder="1"/>
    <xf numFmtId="0" fontId="28" fillId="0" borderId="0" xfId="0" applyFont="1" applyAlignment="1">
      <alignment vertical="center" wrapText="1"/>
    </xf>
    <xf numFmtId="0" fontId="6" fillId="0" borderId="24" xfId="0" applyFont="1" applyBorder="1" applyAlignment="1">
      <alignment vertical="center"/>
    </xf>
    <xf numFmtId="0" fontId="6" fillId="0" borderId="24" xfId="0" applyFont="1" applyBorder="1" applyAlignment="1">
      <alignment vertical="center" wrapText="1"/>
    </xf>
    <xf numFmtId="166" fontId="6" fillId="0" borderId="2" xfId="7" applyNumberFormat="1" applyFont="1" applyBorder="1" applyAlignment="1">
      <alignment horizontal="center" vertical="center"/>
    </xf>
    <xf numFmtId="164" fontId="6" fillId="0" borderId="2" xfId="2" applyNumberFormat="1" applyFont="1" applyBorder="1" applyAlignment="1">
      <alignment horizontal="center" vertical="center"/>
    </xf>
    <xf numFmtId="0" fontId="7" fillId="0" borderId="0" xfId="0" applyFont="1" applyAlignment="1">
      <alignment horizontal="center" vertical="center"/>
    </xf>
    <xf numFmtId="0" fontId="16" fillId="0" borderId="0" xfId="0" applyFont="1"/>
    <xf numFmtId="0" fontId="31" fillId="0" borderId="0" xfId="0" applyFont="1"/>
    <xf numFmtId="3" fontId="24" fillId="0" borderId="0" xfId="0" applyNumberFormat="1" applyFont="1" applyAlignment="1">
      <alignment horizontal="left"/>
    </xf>
    <xf numFmtId="3" fontId="6" fillId="0" borderId="0" xfId="0" applyNumberFormat="1" applyFont="1" applyAlignment="1">
      <alignment horizontal="left"/>
    </xf>
    <xf numFmtId="0" fontId="2" fillId="0" borderId="0" xfId="3" applyFont="1" applyBorder="1"/>
    <xf numFmtId="0" fontId="2" fillId="0" borderId="0" xfId="3" applyFont="1" applyFill="1" applyBorder="1"/>
    <xf numFmtId="9" fontId="6" fillId="0" borderId="2" xfId="0" applyNumberFormat="1" applyFont="1" applyBorder="1" applyAlignment="1">
      <alignment horizontal="center" vertical="center"/>
    </xf>
    <xf numFmtId="3" fontId="10" fillId="0" borderId="2" xfId="6" applyNumberFormat="1" applyFont="1" applyFill="1" applyBorder="1" applyAlignment="1">
      <alignment horizontal="center" vertical="center" wrapText="1"/>
    </xf>
    <xf numFmtId="2" fontId="24" fillId="0" borderId="2" xfId="0" applyNumberFormat="1" applyFont="1" applyBorder="1" applyAlignment="1">
      <alignment horizontal="center" vertical="center" wrapText="1"/>
    </xf>
    <xf numFmtId="0" fontId="6" fillId="0" borderId="2" xfId="0" applyFont="1" applyBorder="1" applyAlignment="1">
      <alignment horizontal="left" vertical="top" wrapText="1"/>
    </xf>
    <xf numFmtId="169" fontId="6" fillId="0" borderId="2" xfId="6" applyNumberFormat="1" applyFont="1" applyBorder="1" applyAlignment="1">
      <alignment horizontal="left" vertical="top" wrapText="1"/>
    </xf>
    <xf numFmtId="43" fontId="6" fillId="0" borderId="2" xfId="6" applyFont="1" applyBorder="1" applyAlignment="1">
      <alignment horizontal="left" vertical="top" wrapText="1"/>
    </xf>
    <xf numFmtId="1" fontId="6" fillId="0" borderId="2" xfId="0" applyNumberFormat="1" applyFont="1" applyBorder="1" applyAlignment="1">
      <alignment horizontal="left" vertical="top"/>
    </xf>
    <xf numFmtId="43" fontId="6" fillId="0" borderId="2" xfId="0" applyNumberFormat="1" applyFont="1" applyBorder="1" applyAlignment="1">
      <alignment horizontal="left" vertical="top"/>
    </xf>
    <xf numFmtId="0" fontId="6" fillId="0" borderId="24" xfId="0" applyFont="1" applyBorder="1" applyAlignment="1">
      <alignment horizontal="left" vertical="center" wrapText="1"/>
    </xf>
    <xf numFmtId="165" fontId="6" fillId="0" borderId="2" xfId="0" applyNumberFormat="1" applyFont="1" applyBorder="1" applyAlignment="1">
      <alignment horizontal="center" vertical="center"/>
    </xf>
    <xf numFmtId="165" fontId="6" fillId="0" borderId="3" xfId="0" applyNumberFormat="1" applyFont="1" applyBorder="1" applyAlignment="1">
      <alignment horizontal="center" vertical="center"/>
    </xf>
    <xf numFmtId="0" fontId="24" fillId="0" borderId="0" xfId="0" applyFont="1" applyAlignment="1">
      <alignment horizontal="left"/>
    </xf>
    <xf numFmtId="165" fontId="6" fillId="0" borderId="24" xfId="0" applyNumberFormat="1" applyFont="1" applyBorder="1" applyAlignment="1">
      <alignment horizontal="center" vertical="center" wrapText="1"/>
    </xf>
    <xf numFmtId="1" fontId="6" fillId="0" borderId="2" xfId="6" applyNumberFormat="1" applyFont="1" applyBorder="1" applyAlignment="1">
      <alignment horizontal="center" vertical="center" wrapText="1"/>
    </xf>
    <xf numFmtId="1" fontId="6" fillId="0" borderId="2" xfId="6" applyNumberFormat="1" applyFont="1" applyBorder="1" applyAlignment="1">
      <alignment horizontal="center" vertical="center"/>
    </xf>
    <xf numFmtId="165" fontId="6" fillId="0" borderId="2" xfId="6" applyNumberFormat="1" applyFont="1" applyBorder="1" applyAlignment="1">
      <alignment horizontal="center" vertical="center"/>
    </xf>
    <xf numFmtId="0" fontId="24" fillId="0" borderId="17" xfId="0" applyFont="1" applyBorder="1" applyAlignment="1">
      <alignment horizontal="center" vertical="center"/>
    </xf>
    <xf numFmtId="3" fontId="1" fillId="0" borderId="2" xfId="7" applyNumberFormat="1" applyFont="1" applyBorder="1" applyAlignment="1">
      <alignment horizontal="center" vertical="center"/>
    </xf>
    <xf numFmtId="0" fontId="6" fillId="0" borderId="49" xfId="0" applyFont="1" applyBorder="1" applyAlignment="1">
      <alignment horizontal="center" vertical="center"/>
    </xf>
    <xf numFmtId="0" fontId="1" fillId="0" borderId="50" xfId="0" applyFont="1" applyBorder="1" applyAlignment="1">
      <alignment horizontal="center" vertical="center"/>
    </xf>
    <xf numFmtId="0" fontId="6" fillId="0" borderId="50" xfId="0" applyFont="1" applyBorder="1" applyAlignment="1">
      <alignment horizontal="center" vertical="center" wrapText="1"/>
    </xf>
    <xf numFmtId="0" fontId="24" fillId="0" borderId="51" xfId="0" applyFont="1" applyBorder="1" applyAlignment="1">
      <alignment horizontal="center" vertical="center" wrapText="1"/>
    </xf>
    <xf numFmtId="0" fontId="24" fillId="0" borderId="35" xfId="0" applyFont="1" applyBorder="1" applyAlignment="1">
      <alignment wrapText="1"/>
    </xf>
    <xf numFmtId="0" fontId="7" fillId="6" borderId="21" xfId="0" applyFont="1" applyFill="1" applyBorder="1" applyAlignment="1">
      <alignment horizontal="center" vertical="center"/>
    </xf>
    <xf numFmtId="169" fontId="6" fillId="0" borderId="0" xfId="0" applyNumberFormat="1" applyFont="1" applyAlignment="1">
      <alignment horizontal="center" vertical="center"/>
    </xf>
    <xf numFmtId="169" fontId="6" fillId="0" borderId="0" xfId="6" applyNumberFormat="1" applyFont="1" applyBorder="1" applyAlignment="1">
      <alignment horizontal="center" vertical="center"/>
    </xf>
    <xf numFmtId="43" fontId="6" fillId="0" borderId="0" xfId="0" applyNumberFormat="1" applyFont="1" applyAlignment="1">
      <alignment vertical="center"/>
    </xf>
    <xf numFmtId="43" fontId="6" fillId="0" borderId="36" xfId="0" applyNumberFormat="1" applyFont="1" applyBorder="1" applyAlignment="1">
      <alignment vertical="center"/>
    </xf>
    <xf numFmtId="166" fontId="24" fillId="0" borderId="35" xfId="0" applyNumberFormat="1" applyFont="1" applyBorder="1" applyAlignment="1">
      <alignment vertical="center"/>
    </xf>
    <xf numFmtId="3" fontId="21" fillId="0" borderId="2" xfId="7" applyNumberFormat="1" applyFont="1" applyBorder="1" applyAlignment="1">
      <alignment horizontal="center" vertical="center"/>
    </xf>
    <xf numFmtId="0" fontId="6" fillId="0" borderId="39" xfId="0" applyFont="1" applyBorder="1" applyAlignment="1">
      <alignment horizontal="center" vertical="center"/>
    </xf>
    <xf numFmtId="2" fontId="6" fillId="0" borderId="1" xfId="0" applyNumberFormat="1" applyFont="1" applyBorder="1" applyAlignment="1">
      <alignment horizontal="center" vertical="center"/>
    </xf>
    <xf numFmtId="2" fontId="6" fillId="0" borderId="5" xfId="0" applyNumberFormat="1" applyFont="1" applyBorder="1" applyAlignment="1">
      <alignment horizontal="center" vertical="center"/>
    </xf>
    <xf numFmtId="0" fontId="6" fillId="0" borderId="11" xfId="0" applyFont="1" applyBorder="1" applyAlignment="1">
      <alignment horizontal="center" vertical="center"/>
    </xf>
    <xf numFmtId="2" fontId="6" fillId="0" borderId="7" xfId="0" applyNumberFormat="1" applyFont="1" applyBorder="1" applyAlignment="1">
      <alignment horizontal="center" vertical="center"/>
    </xf>
    <xf numFmtId="0" fontId="6" fillId="0" borderId="40" xfId="0" applyFont="1" applyBorder="1" applyAlignment="1">
      <alignment horizontal="center" vertical="center"/>
    </xf>
    <xf numFmtId="2" fontId="6" fillId="0" borderId="30" xfId="0" applyNumberFormat="1" applyFont="1" applyBorder="1" applyAlignment="1">
      <alignment horizontal="center" vertical="center"/>
    </xf>
    <xf numFmtId="2" fontId="6" fillId="0" borderId="9" xfId="0" applyNumberFormat="1" applyFont="1" applyBorder="1" applyAlignment="1">
      <alignment horizontal="center" vertical="center"/>
    </xf>
    <xf numFmtId="0" fontId="6" fillId="0" borderId="54"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0" fontId="6" fillId="0" borderId="55" xfId="0" applyFont="1" applyBorder="1" applyAlignment="1">
      <alignment horizontal="center" vertical="center"/>
    </xf>
    <xf numFmtId="2" fontId="6" fillId="0" borderId="24" xfId="0" applyNumberFormat="1" applyFont="1" applyBorder="1" applyAlignment="1">
      <alignment horizontal="center" vertical="center"/>
    </xf>
    <xf numFmtId="2" fontId="6" fillId="0" borderId="26" xfId="0" applyNumberFormat="1" applyFont="1" applyBorder="1" applyAlignment="1">
      <alignment horizontal="center" vertical="center"/>
    </xf>
    <xf numFmtId="0" fontId="6" fillId="0" borderId="56" xfId="0" applyFont="1" applyBorder="1" applyAlignment="1">
      <alignment horizontal="center" vertical="center"/>
    </xf>
    <xf numFmtId="2" fontId="6" fillId="0" borderId="27" xfId="0" applyNumberFormat="1" applyFont="1" applyBorder="1" applyAlignment="1">
      <alignment horizontal="center" vertical="center"/>
    </xf>
    <xf numFmtId="2" fontId="6" fillId="0" borderId="28" xfId="0" applyNumberFormat="1" applyFont="1" applyBorder="1" applyAlignment="1">
      <alignment horizontal="center" vertical="center"/>
    </xf>
    <xf numFmtId="0" fontId="6" fillId="0" borderId="57" xfId="0" applyFont="1" applyBorder="1" applyAlignment="1">
      <alignment horizontal="center" vertical="center"/>
    </xf>
    <xf numFmtId="0" fontId="7" fillId="6" borderId="23" xfId="0" applyFont="1" applyFill="1" applyBorder="1" applyAlignment="1">
      <alignment horizontal="center" vertical="center"/>
    </xf>
    <xf numFmtId="0" fontId="7" fillId="6" borderId="23"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6" fillId="0" borderId="66" xfId="0" applyFont="1" applyBorder="1" applyAlignment="1">
      <alignment horizontal="left" vertical="center" wrapText="1"/>
    </xf>
    <xf numFmtId="169" fontId="6" fillId="0" borderId="12" xfId="0" applyNumberFormat="1" applyFont="1" applyBorder="1" applyAlignment="1">
      <alignment vertical="center"/>
    </xf>
    <xf numFmtId="169" fontId="6" fillId="0" borderId="13" xfId="6" applyNumberFormat="1" applyFont="1" applyBorder="1" applyAlignment="1">
      <alignment horizontal="left" vertical="center"/>
    </xf>
    <xf numFmtId="169" fontId="6" fillId="0" borderId="67" xfId="0" applyNumberFormat="1" applyFont="1" applyBorder="1" applyAlignment="1">
      <alignment vertical="center"/>
    </xf>
    <xf numFmtId="43" fontId="6" fillId="0" borderId="15" xfId="0" applyNumberFormat="1" applyFont="1" applyBorder="1" applyAlignment="1">
      <alignment vertical="center"/>
    </xf>
    <xf numFmtId="165" fontId="24" fillId="0" borderId="12" xfId="0" applyNumberFormat="1" applyFont="1" applyBorder="1" applyAlignment="1">
      <alignment vertical="center"/>
    </xf>
    <xf numFmtId="171" fontId="6" fillId="0" borderId="24" xfId="0" applyNumberFormat="1" applyFont="1" applyBorder="1" applyAlignment="1">
      <alignment vertical="center"/>
    </xf>
    <xf numFmtId="171" fontId="6" fillId="0" borderId="43" xfId="0" applyNumberFormat="1" applyFont="1" applyBorder="1" applyAlignment="1">
      <alignment vertical="center"/>
    </xf>
    <xf numFmtId="173" fontId="6" fillId="0" borderId="24" xfId="0" applyNumberFormat="1" applyFont="1" applyBorder="1" applyAlignment="1">
      <alignment horizontal="center" vertical="center" wrapText="1"/>
    </xf>
    <xf numFmtId="173" fontId="1" fillId="0" borderId="24" xfId="0" applyNumberFormat="1" applyFont="1" applyBorder="1" applyAlignment="1">
      <alignment horizontal="center" vertical="center" wrapText="1"/>
    </xf>
    <xf numFmtId="0" fontId="23" fillId="0" borderId="70" xfId="0" applyFont="1" applyBorder="1" applyAlignment="1">
      <alignment horizontal="center" vertical="center"/>
    </xf>
    <xf numFmtId="0" fontId="23" fillId="0" borderId="75" xfId="0" applyFont="1" applyBorder="1" applyAlignment="1">
      <alignment horizontal="center" vertical="center"/>
    </xf>
    <xf numFmtId="0" fontId="23" fillId="0" borderId="80" xfId="0" applyFont="1" applyBorder="1" applyAlignment="1">
      <alignment horizontal="center" vertical="center"/>
    </xf>
    <xf numFmtId="0" fontId="8" fillId="0" borderId="2" xfId="5" applyBorder="1" applyAlignment="1">
      <alignment horizontal="center" vertical="center"/>
    </xf>
    <xf numFmtId="168" fontId="6" fillId="0" borderId="73" xfId="0" applyNumberFormat="1" applyFont="1" applyBorder="1" applyAlignment="1">
      <alignment horizontal="center" vertical="center"/>
    </xf>
    <xf numFmtId="0" fontId="6" fillId="7" borderId="73" xfId="0" applyFont="1" applyFill="1" applyBorder="1" applyAlignment="1">
      <alignment horizontal="center" vertical="center"/>
    </xf>
    <xf numFmtId="0" fontId="6" fillId="7" borderId="73" xfId="0" applyFont="1" applyFill="1" applyBorder="1" applyAlignment="1">
      <alignment horizontal="center" vertical="center" wrapText="1"/>
    </xf>
    <xf numFmtId="0" fontId="6" fillId="5" borderId="73" xfId="0" applyFont="1" applyFill="1" applyBorder="1" applyAlignment="1">
      <alignment horizontal="center" vertical="center"/>
    </xf>
    <xf numFmtId="0" fontId="6" fillId="3" borderId="73" xfId="0" applyFont="1" applyFill="1" applyBorder="1" applyAlignment="1">
      <alignment horizontal="center" vertical="center"/>
    </xf>
    <xf numFmtId="168" fontId="6" fillId="3" borderId="73" xfId="0" applyNumberFormat="1" applyFont="1" applyFill="1" applyBorder="1" applyAlignment="1">
      <alignment horizontal="center" vertical="center"/>
    </xf>
    <xf numFmtId="0" fontId="6" fillId="12" borderId="73" xfId="0" applyFont="1" applyFill="1" applyBorder="1" applyAlignment="1">
      <alignment horizontal="center" vertical="center"/>
    </xf>
    <xf numFmtId="0" fontId="1" fillId="12" borderId="73" xfId="0" applyFont="1" applyFill="1" applyBorder="1" applyAlignment="1">
      <alignment horizontal="center" vertical="center"/>
    </xf>
    <xf numFmtId="0" fontId="1" fillId="12" borderId="73" xfId="0" applyFont="1" applyFill="1" applyBorder="1" applyAlignment="1">
      <alignment horizontal="center" vertical="center" wrapText="1"/>
    </xf>
    <xf numFmtId="168" fontId="6" fillId="7" borderId="73" xfId="0" applyNumberFormat="1" applyFont="1" applyFill="1" applyBorder="1" applyAlignment="1">
      <alignment horizontal="center" vertical="center"/>
    </xf>
    <xf numFmtId="168" fontId="6" fillId="5" borderId="73" xfId="0" applyNumberFormat="1" applyFont="1" applyFill="1" applyBorder="1" applyAlignment="1">
      <alignment horizontal="center" vertical="center"/>
    </xf>
    <xf numFmtId="168" fontId="1" fillId="12" borderId="73" xfId="0" applyNumberFormat="1" applyFont="1" applyFill="1" applyBorder="1" applyAlignment="1">
      <alignment horizontal="center" vertical="center"/>
    </xf>
    <xf numFmtId="0" fontId="6" fillId="0" borderId="4" xfId="0" applyFont="1" applyBorder="1" applyAlignment="1">
      <alignment horizontal="center" vertical="center"/>
    </xf>
    <xf numFmtId="1" fontId="6" fillId="0" borderId="1" xfId="0" applyNumberFormat="1" applyFont="1" applyBorder="1" applyAlignment="1">
      <alignment horizontal="center" vertical="center"/>
    </xf>
    <xf numFmtId="1" fontId="6" fillId="0" borderId="5" xfId="0" applyNumberFormat="1" applyFont="1" applyBorder="1" applyAlignment="1">
      <alignment horizontal="center" vertical="center"/>
    </xf>
    <xf numFmtId="0" fontId="6" fillId="0" borderId="6" xfId="0" applyFont="1" applyBorder="1" applyAlignment="1">
      <alignment horizontal="center" vertical="center"/>
    </xf>
    <xf numFmtId="1" fontId="6" fillId="0" borderId="2" xfId="0" applyNumberFormat="1" applyFont="1" applyBorder="1" applyAlignment="1">
      <alignment horizontal="center" vertical="center"/>
    </xf>
    <xf numFmtId="1" fontId="6" fillId="0" borderId="7" xfId="0" applyNumberFormat="1" applyFont="1" applyBorder="1" applyAlignment="1">
      <alignment horizontal="center" vertical="center"/>
    </xf>
    <xf numFmtId="0" fontId="6" fillId="0" borderId="8" xfId="0" applyFont="1" applyBorder="1" applyAlignment="1">
      <alignment horizontal="center" vertical="center"/>
    </xf>
    <xf numFmtId="1" fontId="6" fillId="0" borderId="30" xfId="0" applyNumberFormat="1" applyFont="1" applyBorder="1" applyAlignment="1">
      <alignment horizontal="center" vertical="center"/>
    </xf>
    <xf numFmtId="1" fontId="6" fillId="0" borderId="9" xfId="0" applyNumberFormat="1" applyFont="1" applyBorder="1" applyAlignment="1">
      <alignment horizontal="center" vertical="center"/>
    </xf>
    <xf numFmtId="1" fontId="35" fillId="0" borderId="61" xfId="0" applyNumberFormat="1" applyFont="1" applyBorder="1" applyAlignment="1">
      <alignment horizontal="center" vertical="center"/>
    </xf>
    <xf numFmtId="1" fontId="35" fillId="0" borderId="71" xfId="0" applyNumberFormat="1" applyFont="1" applyBorder="1" applyAlignment="1">
      <alignment horizontal="center" vertical="center"/>
    </xf>
    <xf numFmtId="1" fontId="35" fillId="0" borderId="73" xfId="0" applyNumberFormat="1" applyFont="1" applyBorder="1" applyAlignment="1">
      <alignment horizontal="center" vertical="center"/>
    </xf>
    <xf numFmtId="1" fontId="35" fillId="0" borderId="76" xfId="0" applyNumberFormat="1" applyFont="1" applyBorder="1" applyAlignment="1">
      <alignment horizontal="center" vertical="center"/>
    </xf>
    <xf numFmtId="1" fontId="35" fillId="0" borderId="78" xfId="0" applyNumberFormat="1" applyFont="1" applyBorder="1" applyAlignment="1">
      <alignment horizontal="center" vertical="center"/>
    </xf>
    <xf numFmtId="1" fontId="35" fillId="0" borderId="81" xfId="0" applyNumberFormat="1" applyFont="1" applyBorder="1" applyAlignment="1">
      <alignment horizontal="center" vertical="center"/>
    </xf>
    <xf numFmtId="0" fontId="23" fillId="0" borderId="57" xfId="0" applyFont="1" applyBorder="1" applyAlignment="1">
      <alignment horizontal="center" vertical="center"/>
    </xf>
    <xf numFmtId="0" fontId="23" fillId="0" borderId="55" xfId="0" applyFont="1" applyBorder="1" applyAlignment="1">
      <alignment horizontal="center" vertical="center"/>
    </xf>
    <xf numFmtId="0" fontId="23" fillId="0" borderId="56" xfId="0" applyFont="1" applyBorder="1" applyAlignment="1">
      <alignment horizontal="center" vertical="center"/>
    </xf>
    <xf numFmtId="2" fontId="23" fillId="0" borderId="1" xfId="0" applyNumberFormat="1" applyFont="1" applyBorder="1" applyAlignment="1">
      <alignment horizontal="center" vertical="center"/>
    </xf>
    <xf numFmtId="2" fontId="23" fillId="0" borderId="2" xfId="0" applyNumberFormat="1" applyFont="1" applyBorder="1" applyAlignment="1">
      <alignment horizontal="center" vertical="center"/>
    </xf>
    <xf numFmtId="2" fontId="23" fillId="0" borderId="30" xfId="0" applyNumberFormat="1" applyFont="1" applyBorder="1" applyAlignment="1">
      <alignment horizontal="center" vertical="center"/>
    </xf>
    <xf numFmtId="0" fontId="23" fillId="0" borderId="95" xfId="0" applyFont="1" applyBorder="1" applyAlignment="1">
      <alignment horizontal="center" vertical="center"/>
    </xf>
    <xf numFmtId="1" fontId="35" fillId="0" borderId="93" xfId="0" applyNumberFormat="1" applyFont="1" applyBorder="1" applyAlignment="1">
      <alignment horizontal="center" vertical="center"/>
    </xf>
    <xf numFmtId="1" fontId="35" fillId="0" borderId="96" xfId="0" applyNumberFormat="1" applyFont="1" applyBorder="1" applyAlignment="1">
      <alignment horizontal="center" vertical="center"/>
    </xf>
    <xf numFmtId="1" fontId="35" fillId="0" borderId="98" xfId="0" applyNumberFormat="1" applyFont="1" applyBorder="1" applyAlignment="1">
      <alignment horizontal="center" vertical="center"/>
    </xf>
    <xf numFmtId="0" fontId="23" fillId="0" borderId="103" xfId="0" applyFont="1" applyBorder="1" applyAlignment="1">
      <alignment horizontal="center" vertical="center"/>
    </xf>
    <xf numFmtId="1" fontId="35" fillId="0" borderId="100" xfId="0" applyNumberFormat="1" applyFont="1" applyBorder="1" applyAlignment="1">
      <alignment horizontal="center" vertical="center"/>
    </xf>
    <xf numFmtId="1" fontId="35" fillId="0" borderId="104" xfId="0" applyNumberFormat="1" applyFont="1" applyBorder="1" applyAlignment="1">
      <alignment horizontal="center" vertical="center"/>
    </xf>
    <xf numFmtId="0" fontId="23" fillId="0" borderId="86" xfId="0" applyFont="1" applyBorder="1" applyAlignment="1">
      <alignment horizontal="center" vertical="center"/>
    </xf>
    <xf numFmtId="1" fontId="35" fillId="0" borderId="85" xfId="0" applyNumberFormat="1" applyFont="1" applyBorder="1" applyAlignment="1">
      <alignment horizontal="center" vertical="center"/>
    </xf>
    <xf numFmtId="1" fontId="35" fillId="0" borderId="87" xfId="0" applyNumberFormat="1" applyFont="1" applyBorder="1" applyAlignment="1">
      <alignment horizontal="center" vertical="center"/>
    </xf>
    <xf numFmtId="0" fontId="7" fillId="2" borderId="0" xfId="0" applyFont="1" applyFill="1" applyAlignment="1">
      <alignment horizontal="left" vertical="center"/>
    </xf>
    <xf numFmtId="0" fontId="7" fillId="2" borderId="0" xfId="0" applyFont="1" applyFill="1" applyAlignment="1">
      <alignment horizontal="center" vertical="center"/>
    </xf>
    <xf numFmtId="0" fontId="24" fillId="0" borderId="0" xfId="0" applyFont="1"/>
    <xf numFmtId="0" fontId="6" fillId="0" borderId="0" xfId="0" applyFont="1" applyAlignment="1">
      <alignment horizontal="center"/>
    </xf>
    <xf numFmtId="0" fontId="8" fillId="0" borderId="0" xfId="5" applyBorder="1" applyAlignment="1">
      <alignment horizontal="left"/>
    </xf>
    <xf numFmtId="0" fontId="24" fillId="0" borderId="0" xfId="0" applyFont="1" applyAlignment="1">
      <alignment horizontal="left" vertical="center"/>
    </xf>
    <xf numFmtId="0" fontId="6" fillId="0" borderId="0" xfId="0" applyFont="1" applyAlignment="1">
      <alignment horizontal="left"/>
    </xf>
    <xf numFmtId="0" fontId="24" fillId="0" borderId="0" xfId="0" applyFont="1" applyAlignment="1">
      <alignment horizontal="center"/>
    </xf>
    <xf numFmtId="0" fontId="6" fillId="0" borderId="0" xfId="0" applyFont="1" applyAlignment="1">
      <alignment horizontal="left" vertical="center"/>
    </xf>
    <xf numFmtId="0" fontId="6" fillId="0" borderId="0" xfId="0" applyFont="1" applyAlignment="1">
      <alignment horizontal="left" vertical="center" wrapText="1"/>
    </xf>
    <xf numFmtId="0" fontId="6" fillId="0" borderId="73" xfId="0" applyFont="1" applyBorder="1" applyAlignment="1">
      <alignment horizontal="center" vertical="center" wrapText="1"/>
    </xf>
    <xf numFmtId="0" fontId="6" fillId="0" borderId="73" xfId="0" applyFont="1" applyBorder="1" applyAlignment="1">
      <alignment horizontal="center" vertical="center"/>
    </xf>
    <xf numFmtId="0" fontId="7" fillId="6" borderId="2" xfId="0" applyFont="1" applyFill="1" applyBorder="1" applyAlignment="1">
      <alignment horizontal="center" vertical="center" wrapText="1"/>
    </xf>
    <xf numFmtId="0" fontId="6" fillId="0" borderId="2" xfId="0" applyFont="1" applyBorder="1" applyAlignment="1">
      <alignment horizontal="left" vertical="center"/>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19" fillId="9"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12" xfId="0" applyFont="1" applyBorder="1" applyAlignment="1">
      <alignment horizontal="center" vertical="center"/>
    </xf>
    <xf numFmtId="0" fontId="7" fillId="6" borderId="2" xfId="0" applyFont="1" applyFill="1" applyBorder="1" applyAlignment="1">
      <alignment horizontal="center" vertical="center"/>
    </xf>
    <xf numFmtId="0" fontId="25" fillId="6" borderId="2" xfId="0" applyFont="1" applyFill="1" applyBorder="1" applyAlignment="1">
      <alignment horizontal="center" vertical="center" wrapText="1"/>
    </xf>
    <xf numFmtId="0" fontId="7" fillId="6" borderId="12" xfId="0" applyFont="1" applyFill="1" applyBorder="1" applyAlignment="1">
      <alignment horizontal="center" vertical="center"/>
    </xf>
    <xf numFmtId="0" fontId="1" fillId="0" borderId="2" xfId="0" applyFont="1" applyBorder="1" applyAlignment="1">
      <alignment horizontal="center" vertical="center"/>
    </xf>
    <xf numFmtId="0" fontId="19" fillId="6" borderId="2" xfId="0" applyFont="1" applyFill="1" applyBorder="1" applyAlignment="1">
      <alignment horizontal="center" vertical="center" wrapText="1"/>
    </xf>
    <xf numFmtId="9" fontId="6" fillId="0" borderId="22" xfId="2" applyFont="1" applyFill="1" applyBorder="1" applyAlignment="1">
      <alignment horizontal="center" vertical="center"/>
    </xf>
    <xf numFmtId="0" fontId="25" fillId="6" borderId="2" xfId="0" applyFont="1" applyFill="1" applyBorder="1" applyAlignment="1">
      <alignment horizontal="center" vertical="center"/>
    </xf>
    <xf numFmtId="0" fontId="3" fillId="0" borderId="0" xfId="0" applyFont="1" applyAlignment="1">
      <alignment vertical="center" wrapText="1"/>
    </xf>
    <xf numFmtId="10" fontId="0" fillId="0" borderId="0" xfId="0" applyNumberFormat="1" applyAlignment="1">
      <alignment vertical="center" wrapText="1"/>
    </xf>
    <xf numFmtId="0" fontId="19" fillId="13" borderId="2" xfId="0" applyFont="1" applyFill="1" applyBorder="1" applyAlignment="1">
      <alignment horizontal="center" vertical="center" wrapText="1"/>
    </xf>
    <xf numFmtId="165" fontId="24" fillId="0" borderId="2" xfId="0" applyNumberFormat="1" applyFont="1" applyBorder="1" applyAlignment="1">
      <alignment horizontal="center" vertical="center"/>
    </xf>
    <xf numFmtId="0" fontId="6" fillId="0" borderId="2" xfId="4" applyBorder="1" applyAlignment="1">
      <alignment horizontal="center" vertical="center"/>
    </xf>
    <xf numFmtId="171" fontId="6" fillId="0" borderId="2" xfId="6" applyNumberFormat="1" applyFont="1" applyBorder="1" applyAlignment="1">
      <alignment vertical="center"/>
    </xf>
    <xf numFmtId="171" fontId="6" fillId="0" borderId="2" xfId="0" applyNumberFormat="1" applyFont="1" applyBorder="1"/>
    <xf numFmtId="171" fontId="24" fillId="0" borderId="2" xfId="0" applyNumberFormat="1" applyFont="1" applyBorder="1" applyAlignment="1">
      <alignment vertical="center"/>
    </xf>
    <xf numFmtId="171" fontId="6" fillId="0" borderId="2" xfId="0" applyNumberFormat="1" applyFont="1" applyBorder="1" applyAlignment="1">
      <alignment vertical="center"/>
    </xf>
    <xf numFmtId="0" fontId="8" fillId="0" borderId="0" xfId="5" applyAlignment="1">
      <alignment horizontal="center"/>
    </xf>
    <xf numFmtId="0" fontId="6" fillId="0" borderId="0" xfId="0" applyFont="1" applyAlignment="1">
      <alignment horizontal="center"/>
    </xf>
    <xf numFmtId="0" fontId="6" fillId="0" borderId="0" xfId="0" applyFont="1" applyAlignment="1">
      <alignment horizontal="left" vertical="center" wrapText="1"/>
    </xf>
    <xf numFmtId="0" fontId="24" fillId="0" borderId="0" xfId="0" applyFont="1" applyAlignment="1">
      <alignment horizontal="left" vertical="center"/>
    </xf>
    <xf numFmtId="0" fontId="8" fillId="0" borderId="0" xfId="5" applyBorder="1" applyAlignment="1">
      <alignment horizontal="left"/>
    </xf>
    <xf numFmtId="0" fontId="12" fillId="8" borderId="0" xfId="0" applyFont="1" applyFill="1" applyAlignment="1">
      <alignment horizontal="center" vertical="center"/>
    </xf>
    <xf numFmtId="0" fontId="6" fillId="0" borderId="0" xfId="0" applyFont="1" applyAlignment="1">
      <alignment horizontal="left"/>
    </xf>
    <xf numFmtId="0" fontId="24" fillId="0" borderId="0" xfId="0" applyFont="1" applyAlignment="1">
      <alignment horizontal="center"/>
    </xf>
    <xf numFmtId="0" fontId="8" fillId="0" borderId="0" xfId="5" applyBorder="1" applyAlignment="1">
      <alignment horizontal="center"/>
    </xf>
    <xf numFmtId="0" fontId="6" fillId="0" borderId="0" xfId="0" applyFont="1" applyAlignment="1">
      <alignment horizontal="left" vertical="center"/>
    </xf>
    <xf numFmtId="0" fontId="18" fillId="0" borderId="0" xfId="0" applyFont="1" applyAlignment="1">
      <alignment horizontal="left" vertical="center"/>
    </xf>
    <xf numFmtId="0" fontId="12" fillId="8" borderId="2" xfId="1" applyFont="1" applyFill="1" applyBorder="1" applyAlignment="1">
      <alignment horizontal="center" vertical="center" wrapText="1"/>
    </xf>
    <xf numFmtId="0" fontId="12" fillId="8" borderId="31" xfId="0" applyFont="1" applyFill="1" applyBorder="1" applyAlignment="1">
      <alignment horizontal="center" vertical="center"/>
    </xf>
    <xf numFmtId="0" fontId="12" fillId="8" borderId="32" xfId="0" applyFont="1" applyFill="1" applyBorder="1" applyAlignment="1">
      <alignment horizontal="center" vertical="center"/>
    </xf>
    <xf numFmtId="0" fontId="12" fillId="8" borderId="33" xfId="0" applyFont="1" applyFill="1" applyBorder="1" applyAlignment="1">
      <alignment horizontal="center" vertical="center"/>
    </xf>
    <xf numFmtId="0" fontId="12" fillId="8" borderId="63" xfId="0" applyFont="1" applyFill="1" applyBorder="1" applyAlignment="1">
      <alignment horizontal="center" vertical="center" wrapText="1"/>
    </xf>
    <xf numFmtId="0" fontId="12" fillId="8" borderId="0" xfId="0" applyFont="1" applyFill="1" applyAlignment="1">
      <alignment horizontal="center" vertical="center" wrapText="1"/>
    </xf>
    <xf numFmtId="0" fontId="29" fillId="10" borderId="64" xfId="0" applyFont="1" applyFill="1" applyBorder="1" applyAlignment="1">
      <alignment horizontal="center" vertical="center"/>
    </xf>
    <xf numFmtId="0" fontId="29" fillId="10" borderId="65" xfId="0" applyFont="1" applyFill="1" applyBorder="1" applyAlignment="1">
      <alignment horizontal="center" vertical="center"/>
    </xf>
    <xf numFmtId="0" fontId="24" fillId="0" borderId="0" xfId="0" applyFont="1"/>
    <xf numFmtId="0" fontId="19" fillId="9" borderId="2"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24" fillId="0" borderId="12"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17"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11" xfId="0" applyFont="1" applyBorder="1" applyAlignment="1">
      <alignment horizontal="center" vertical="center" wrapText="1"/>
    </xf>
    <xf numFmtId="0" fontId="24" fillId="0" borderId="2" xfId="0" applyFont="1" applyBorder="1" applyAlignment="1">
      <alignment horizontal="center" vertical="center" wrapText="1"/>
    </xf>
    <xf numFmtId="49" fontId="1" fillId="0" borderId="2" xfId="0" applyNumberFormat="1" applyFont="1" applyBorder="1" applyAlignment="1">
      <alignment horizontal="center" vertical="center" wrapText="1"/>
    </xf>
    <xf numFmtId="0" fontId="6" fillId="0" borderId="2" xfId="0" applyFont="1" applyBorder="1" applyAlignment="1">
      <alignment horizontal="center" vertical="center"/>
    </xf>
    <xf numFmtId="0" fontId="24" fillId="0" borderId="12" xfId="0" applyFont="1" applyBorder="1" applyAlignment="1">
      <alignment horizontal="center" vertical="center"/>
    </xf>
    <xf numFmtId="0" fontId="24" fillId="0" borderId="16" xfId="0" applyFont="1" applyBorder="1" applyAlignment="1">
      <alignment horizontal="center" vertical="center"/>
    </xf>
    <xf numFmtId="0" fontId="24" fillId="0" borderId="52" xfId="0" applyFont="1" applyBorder="1" applyAlignment="1">
      <alignment horizontal="center" vertical="center"/>
    </xf>
    <xf numFmtId="0" fontId="6" fillId="0" borderId="2" xfId="0" applyFont="1" applyBorder="1" applyAlignment="1">
      <alignment horizontal="left" vertical="center"/>
    </xf>
    <xf numFmtId="0" fontId="6" fillId="0" borderId="12"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12" fillId="8" borderId="82" xfId="0" applyFont="1" applyFill="1" applyBorder="1" applyAlignment="1">
      <alignment horizontal="center" vertical="center" wrapText="1"/>
    </xf>
    <xf numFmtId="0" fontId="12" fillId="8" borderId="83" xfId="0" applyFont="1" applyFill="1" applyBorder="1" applyAlignment="1">
      <alignment horizontal="center" vertical="center" wrapText="1"/>
    </xf>
    <xf numFmtId="0" fontId="6" fillId="0" borderId="73" xfId="0" applyFont="1" applyBorder="1" applyAlignment="1">
      <alignment horizontal="center" vertical="center" wrapText="1"/>
    </xf>
    <xf numFmtId="0" fontId="6" fillId="0" borderId="73" xfId="0" applyFont="1" applyBorder="1" applyAlignment="1">
      <alignment horizontal="center" vertical="center"/>
    </xf>
    <xf numFmtId="0" fontId="6" fillId="0" borderId="12"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88" xfId="0" applyFont="1" applyBorder="1" applyAlignment="1">
      <alignment horizontal="center" vertical="center" wrapText="1"/>
    </xf>
    <xf numFmtId="0" fontId="6" fillId="0" borderId="85" xfId="0" applyFont="1" applyBorder="1" applyAlignment="1">
      <alignment horizontal="center" vertical="center" wrapText="1"/>
    </xf>
    <xf numFmtId="0" fontId="12" fillId="8" borderId="19" xfId="0" applyFont="1" applyFill="1" applyBorder="1" applyAlignment="1">
      <alignment horizontal="center" vertical="center"/>
    </xf>
    <xf numFmtId="0" fontId="7" fillId="6" borderId="2" xfId="0" applyFont="1" applyFill="1" applyBorder="1" applyAlignment="1">
      <alignment horizontal="center" vertical="center" wrapText="1"/>
    </xf>
    <xf numFmtId="167" fontId="6" fillId="0" borderId="2"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6" xfId="0" applyFont="1" applyBorder="1" applyAlignment="1">
      <alignment horizontal="center" vertical="center" wrapText="1"/>
    </xf>
    <xf numFmtId="0" fontId="0" fillId="0" borderId="2" xfId="0" applyBorder="1" applyAlignment="1">
      <alignment horizontal="center" vertical="center" wrapText="1"/>
    </xf>
    <xf numFmtId="0" fontId="29" fillId="10" borderId="31" xfId="0" applyFont="1" applyFill="1" applyBorder="1" applyAlignment="1">
      <alignment horizontal="center" vertical="center"/>
    </xf>
    <xf numFmtId="0" fontId="29" fillId="10" borderId="32" xfId="0" applyFont="1" applyFill="1" applyBorder="1" applyAlignment="1">
      <alignment horizontal="center" vertical="center"/>
    </xf>
    <xf numFmtId="0" fontId="29" fillId="10" borderId="3" xfId="0" applyFont="1" applyFill="1" applyBorder="1" applyAlignment="1">
      <alignment horizontal="center" vertical="center" wrapText="1"/>
    </xf>
    <xf numFmtId="0" fontId="29" fillId="10" borderId="10" xfId="0" applyFont="1" applyFill="1" applyBorder="1" applyAlignment="1">
      <alignment horizontal="center" vertical="center" wrapText="1"/>
    </xf>
    <xf numFmtId="0" fontId="29" fillId="10" borderId="11" xfId="0" applyFont="1" applyFill="1" applyBorder="1" applyAlignment="1">
      <alignment horizontal="center" vertical="center" wrapText="1"/>
    </xf>
    <xf numFmtId="0" fontId="19" fillId="6" borderId="47" xfId="0" applyFont="1" applyFill="1" applyBorder="1" applyAlignment="1">
      <alignment horizontal="center" vertical="center" wrapText="1"/>
    </xf>
    <xf numFmtId="0" fontId="19" fillId="6" borderId="48" xfId="0" applyFont="1" applyFill="1" applyBorder="1" applyAlignment="1">
      <alignment horizontal="center" vertical="center" wrapText="1"/>
    </xf>
    <xf numFmtId="0" fontId="12" fillId="8" borderId="18" xfId="0" applyFont="1" applyFill="1" applyBorder="1" applyAlignment="1">
      <alignment horizontal="center" vertical="center" wrapText="1"/>
    </xf>
    <xf numFmtId="0" fontId="12" fillId="8" borderId="19" xfId="0" applyFont="1" applyFill="1" applyBorder="1" applyAlignment="1">
      <alignment horizontal="center" vertical="center" wrapText="1"/>
    </xf>
    <xf numFmtId="0" fontId="7" fillId="6" borderId="2" xfId="0" applyFont="1" applyFill="1" applyBorder="1" applyAlignment="1">
      <alignment horizontal="center" vertical="center"/>
    </xf>
    <xf numFmtId="0" fontId="12" fillId="8" borderId="2" xfId="0" applyFont="1" applyFill="1" applyBorder="1" applyAlignment="1">
      <alignment horizontal="center" vertical="center"/>
    </xf>
    <xf numFmtId="0" fontId="25" fillId="6" borderId="2" xfId="0" applyFont="1" applyFill="1" applyBorder="1" applyAlignment="1">
      <alignment horizontal="center" vertical="center" wrapText="1"/>
    </xf>
    <xf numFmtId="0" fontId="9" fillId="8" borderId="0" xfId="0" applyFont="1" applyFill="1" applyAlignment="1">
      <alignment horizontal="center" vertical="center" wrapText="1"/>
    </xf>
    <xf numFmtId="0" fontId="12" fillId="8" borderId="13" xfId="0" applyFont="1" applyFill="1" applyBorder="1" applyAlignment="1">
      <alignment horizontal="center" vertical="center"/>
    </xf>
    <xf numFmtId="0" fontId="12" fillId="8" borderId="14" xfId="0" applyFont="1" applyFill="1" applyBorder="1" applyAlignment="1">
      <alignment horizontal="center" vertical="center"/>
    </xf>
    <xf numFmtId="0" fontId="12" fillId="8" borderId="15" xfId="0" applyFont="1" applyFill="1" applyBorder="1" applyAlignment="1">
      <alignment horizontal="center" vertical="center"/>
    </xf>
    <xf numFmtId="0" fontId="23" fillId="0" borderId="89" xfId="0" applyFont="1" applyBorder="1" applyAlignment="1">
      <alignment horizontal="center" vertical="center" wrapText="1"/>
    </xf>
    <xf numFmtId="0" fontId="23" fillId="0" borderId="90" xfId="0" applyFont="1" applyBorder="1" applyAlignment="1">
      <alignment horizontal="center" vertical="center" wrapText="1"/>
    </xf>
    <xf numFmtId="0" fontId="23" fillId="0" borderId="91" xfId="0" applyFont="1" applyBorder="1" applyAlignment="1">
      <alignment horizontal="center" vertical="center" wrapText="1"/>
    </xf>
    <xf numFmtId="0" fontId="24" fillId="0" borderId="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9" xfId="0" applyFont="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6" fillId="0" borderId="45" xfId="0" applyFont="1" applyBorder="1" applyAlignment="1">
      <alignment horizontal="center" vertical="center" wrapText="1"/>
    </xf>
    <xf numFmtId="0" fontId="6" fillId="0" borderId="58" xfId="0" applyFont="1" applyBorder="1" applyAlignment="1">
      <alignment horizontal="center" vertical="center" wrapText="1"/>
    </xf>
    <xf numFmtId="0" fontId="6" fillId="0" borderId="5" xfId="0" applyFont="1" applyBorder="1" applyAlignment="1">
      <alignment horizontal="center" vertical="center" wrapText="1"/>
    </xf>
    <xf numFmtId="0" fontId="23" fillId="0" borderId="68" xfId="0" applyFont="1" applyBorder="1" applyAlignment="1">
      <alignment horizontal="center" vertical="center" wrapText="1"/>
    </xf>
    <xf numFmtId="0" fontId="23" fillId="0" borderId="72" xfId="0" applyFont="1" applyBorder="1" applyAlignment="1">
      <alignment horizontal="center" vertical="center" wrapText="1"/>
    </xf>
    <xf numFmtId="0" fontId="23" fillId="0" borderId="77" xfId="0" applyFont="1" applyBorder="1" applyAlignment="1">
      <alignment horizontal="center" vertical="center" wrapText="1"/>
    </xf>
    <xf numFmtId="0" fontId="19" fillId="6" borderId="0" xfId="0" applyFont="1" applyFill="1" applyAlignment="1">
      <alignment horizontal="center" vertical="center" wrapText="1"/>
    </xf>
    <xf numFmtId="0" fontId="23" fillId="0" borderId="62" xfId="0" applyFont="1" applyBorder="1" applyAlignment="1">
      <alignment horizontal="center" vertical="center"/>
    </xf>
    <xf numFmtId="0" fontId="23" fillId="0" borderId="59" xfId="0" applyFont="1" applyBorder="1" applyAlignment="1">
      <alignment horizontal="center" vertical="center"/>
    </xf>
    <xf numFmtId="0" fontId="23" fillId="0" borderId="60" xfId="0" applyFont="1" applyBorder="1" applyAlignment="1">
      <alignment horizontal="center" vertical="center"/>
    </xf>
    <xf numFmtId="0" fontId="35" fillId="0" borderId="62" xfId="0" applyFont="1" applyBorder="1" applyAlignment="1">
      <alignment horizontal="center" vertical="center" wrapText="1"/>
    </xf>
    <xf numFmtId="0" fontId="35" fillId="0" borderId="59" xfId="0" applyFont="1" applyBorder="1" applyAlignment="1">
      <alignment horizontal="center" vertical="center" wrapText="1"/>
    </xf>
    <xf numFmtId="0" fontId="35" fillId="0" borderId="60" xfId="0" applyFont="1" applyBorder="1" applyAlignment="1">
      <alignment horizontal="center" vertical="center" wrapText="1"/>
    </xf>
    <xf numFmtId="0" fontId="23" fillId="0" borderId="69" xfId="0" applyFont="1" applyBorder="1" applyAlignment="1">
      <alignment horizontal="center" vertical="center" wrapText="1"/>
    </xf>
    <xf numFmtId="0" fontId="23" fillId="0" borderId="74" xfId="0" applyFont="1" applyBorder="1" applyAlignment="1">
      <alignment horizontal="center" vertical="center" wrapText="1"/>
    </xf>
    <xf numFmtId="0" fontId="23" fillId="0" borderId="79"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45"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58" xfId="0" applyFont="1" applyBorder="1" applyAlignment="1">
      <alignment horizontal="center" vertical="center" wrapText="1"/>
    </xf>
    <xf numFmtId="0" fontId="35" fillId="0" borderId="1"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30"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9" xfId="0" applyFont="1" applyBorder="1" applyAlignment="1">
      <alignment horizontal="center" vertical="center" wrapText="1"/>
    </xf>
    <xf numFmtId="0" fontId="19" fillId="6" borderId="2" xfId="0" applyFont="1" applyFill="1" applyBorder="1" applyAlignment="1">
      <alignment horizontal="center" vertical="center" wrapText="1"/>
    </xf>
    <xf numFmtId="0" fontId="7" fillId="6" borderId="12" xfId="0" applyFont="1" applyFill="1" applyBorder="1" applyAlignment="1">
      <alignment horizontal="center" vertical="center"/>
    </xf>
    <xf numFmtId="0" fontId="7" fillId="6" borderId="58" xfId="0" applyFont="1" applyFill="1" applyBorder="1" applyAlignment="1">
      <alignment horizontal="center" vertical="center"/>
    </xf>
    <xf numFmtId="0" fontId="7" fillId="6" borderId="16" xfId="0" applyFont="1"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0" xfId="0" applyFont="1" applyBorder="1" applyAlignment="1">
      <alignment horizontal="center" vertical="center"/>
    </xf>
    <xf numFmtId="0" fontId="12" fillId="8" borderId="20"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30" xfId="0" applyFont="1" applyBorder="1" applyAlignment="1">
      <alignment horizontal="center" vertical="center" wrapText="1"/>
    </xf>
    <xf numFmtId="0" fontId="23" fillId="0" borderId="92" xfId="0" applyFont="1" applyBorder="1" applyAlignment="1">
      <alignment horizontal="center" vertical="center" wrapText="1"/>
    </xf>
    <xf numFmtId="0" fontId="23" fillId="0" borderId="97" xfId="0" applyFont="1" applyBorder="1" applyAlignment="1">
      <alignment horizontal="center" vertical="center" wrapText="1"/>
    </xf>
    <xf numFmtId="0" fontId="23" fillId="0" borderId="99" xfId="0" applyFont="1" applyBorder="1" applyAlignment="1">
      <alignment horizontal="center" vertical="center" wrapText="1"/>
    </xf>
    <xf numFmtId="0" fontId="23" fillId="0" borderId="93" xfId="0" applyFont="1" applyBorder="1" applyAlignment="1">
      <alignment horizontal="center" vertical="center"/>
    </xf>
    <xf numFmtId="0" fontId="23" fillId="0" borderId="73" xfId="0" applyFont="1" applyBorder="1" applyAlignment="1">
      <alignment horizontal="center" vertical="center"/>
    </xf>
    <xf numFmtId="0" fontId="23" fillId="0" borderId="100" xfId="0" applyFont="1" applyBorder="1" applyAlignment="1">
      <alignment horizontal="center" vertical="center"/>
    </xf>
    <xf numFmtId="0" fontId="35" fillId="0" borderId="93" xfId="0" applyFont="1" applyBorder="1" applyAlignment="1">
      <alignment horizontal="center" vertical="center" wrapText="1"/>
    </xf>
    <xf numFmtId="0" fontId="35" fillId="0" borderId="101" xfId="0" applyFont="1" applyBorder="1" applyAlignment="1">
      <alignment horizontal="center" vertical="center" wrapText="1"/>
    </xf>
    <xf numFmtId="0" fontId="23" fillId="0" borderId="94" xfId="0" applyFont="1" applyBorder="1" applyAlignment="1">
      <alignment horizontal="center" vertical="center" wrapText="1"/>
    </xf>
    <xf numFmtId="0" fontId="23" fillId="0" borderId="102" xfId="0" applyFont="1" applyBorder="1" applyAlignment="1">
      <alignment horizontal="center" vertical="center" wrapText="1"/>
    </xf>
    <xf numFmtId="0" fontId="23" fillId="0" borderId="84" xfId="0" applyFont="1" applyBorder="1" applyAlignment="1">
      <alignment horizontal="center" vertical="center" wrapText="1"/>
    </xf>
    <xf numFmtId="0" fontId="23" fillId="0" borderId="85" xfId="0" applyFont="1" applyBorder="1" applyAlignment="1">
      <alignment horizontal="center" vertical="center"/>
    </xf>
    <xf numFmtId="0" fontId="23" fillId="0" borderId="78" xfId="0" applyFont="1" applyBorder="1" applyAlignment="1">
      <alignment horizontal="center" vertical="center"/>
    </xf>
    <xf numFmtId="0" fontId="35" fillId="0" borderId="85" xfId="0" applyFont="1" applyBorder="1" applyAlignment="1">
      <alignment horizontal="center" vertical="center" wrapText="1"/>
    </xf>
    <xf numFmtId="0" fontId="24" fillId="0" borderId="2" xfId="0" applyFont="1" applyBorder="1" applyAlignment="1">
      <alignment horizontal="center" vertical="center"/>
    </xf>
    <xf numFmtId="0" fontId="29" fillId="10" borderId="18" xfId="0" applyFont="1" applyFill="1" applyBorder="1" applyAlignment="1">
      <alignment horizontal="center" vertical="center"/>
    </xf>
    <xf numFmtId="0" fontId="29" fillId="10" borderId="19" xfId="0" applyFont="1" applyFill="1" applyBorder="1" applyAlignment="1">
      <alignment horizontal="center" vertical="center"/>
    </xf>
    <xf numFmtId="0" fontId="12" fillId="8" borderId="18" xfId="0" applyFont="1" applyFill="1" applyBorder="1" applyAlignment="1">
      <alignment horizontal="center" vertical="center"/>
    </xf>
    <xf numFmtId="0" fontId="6" fillId="0" borderId="14" xfId="0" applyFont="1" applyBorder="1" applyAlignment="1">
      <alignment horizontal="center" vertical="center"/>
    </xf>
    <xf numFmtId="0" fontId="6" fillId="0" borderId="0" xfId="0" applyFont="1" applyAlignment="1">
      <alignment horizontal="center" vertical="center"/>
    </xf>
    <xf numFmtId="0" fontId="25" fillId="6" borderId="3" xfId="0" applyFont="1" applyFill="1" applyBorder="1" applyAlignment="1">
      <alignment horizontal="center" vertical="center"/>
    </xf>
    <xf numFmtId="0" fontId="25" fillId="6" borderId="10" xfId="0" applyFont="1" applyFill="1" applyBorder="1" applyAlignment="1">
      <alignment horizontal="center" vertical="center"/>
    </xf>
    <xf numFmtId="0" fontId="25" fillId="6" borderId="11" xfId="0" applyFont="1" applyFill="1" applyBorder="1" applyAlignment="1">
      <alignment horizontal="center" vertical="center"/>
    </xf>
    <xf numFmtId="0" fontId="25" fillId="6" borderId="12" xfId="0" applyFont="1" applyFill="1" applyBorder="1" applyAlignment="1">
      <alignment horizontal="center" vertical="center"/>
    </xf>
    <xf numFmtId="0" fontId="25" fillId="6" borderId="17" xfId="0" applyFont="1" applyFill="1" applyBorder="1" applyAlignment="1">
      <alignment horizontal="center" vertical="center"/>
    </xf>
  </cellXfs>
  <cellStyles count="13">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F9900"/>
      <color rgb="FFCCCCFF"/>
      <color rgb="FF8238BA"/>
      <color rgb="FFFFEBCD"/>
      <color rgb="FF002F8E"/>
      <color rgb="FF0000CC"/>
      <color rgb="FF2E9F17"/>
      <color rgb="FFFFFAF3"/>
      <color rgb="FF2DC8FF"/>
      <color rgb="FF001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0.05</c:v>
                </c:pt>
                <c:pt idx="8">
                  <c:v>0.75</c:v>
                </c:pt>
                <c:pt idx="9">
                  <c:v>0.9</c:v>
                </c:pt>
                <c:pt idx="10">
                  <c:v>0.9</c:v>
                </c:pt>
                <c:pt idx="11">
                  <c:v>0.8</c:v>
                </c:pt>
                <c:pt idx="12">
                  <c:v>0.8</c:v>
                </c:pt>
                <c:pt idx="13">
                  <c:v>0.8</c:v>
                </c:pt>
                <c:pt idx="14">
                  <c:v>0.8</c:v>
                </c:pt>
                <c:pt idx="15">
                  <c:v>0.45</c:v>
                </c:pt>
                <c:pt idx="16">
                  <c:v>0.15</c:v>
                </c:pt>
                <c:pt idx="17">
                  <c:v>0.05</c:v>
                </c:pt>
                <c:pt idx="18">
                  <c:v>0.15</c:v>
                </c:pt>
                <c:pt idx="19">
                  <c:v>0.2</c:v>
                </c:pt>
                <c:pt idx="20">
                  <c:v>0.2</c:v>
                </c:pt>
                <c:pt idx="21">
                  <c:v>0.1</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0.3</c:v>
                </c:pt>
                <c:pt idx="8">
                  <c:v>0.6</c:v>
                </c:pt>
                <c:pt idx="9">
                  <c:v>0.65</c:v>
                </c:pt>
                <c:pt idx="10">
                  <c:v>0.65</c:v>
                </c:pt>
                <c:pt idx="11">
                  <c:v>0.65</c:v>
                </c:pt>
                <c:pt idx="12">
                  <c:v>0.55000000000000004</c:v>
                </c:pt>
                <c:pt idx="13">
                  <c:v>0.55000000000000004</c:v>
                </c:pt>
                <c:pt idx="14">
                  <c:v>0.55000000000000004</c:v>
                </c:pt>
                <c:pt idx="15">
                  <c:v>0.5</c:v>
                </c:pt>
                <c:pt idx="16">
                  <c:v>0.35</c:v>
                </c:pt>
                <c:pt idx="17">
                  <c:v>0.35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0.05</c:v>
                </c:pt>
                <c:pt idx="7">
                  <c:v>0.3</c:v>
                </c:pt>
                <c:pt idx="8">
                  <c:v>0.85</c:v>
                </c:pt>
                <c:pt idx="9">
                  <c:v>0.95</c:v>
                </c:pt>
                <c:pt idx="10">
                  <c:v>0.95</c:v>
                </c:pt>
                <c:pt idx="11">
                  <c:v>0.95</c:v>
                </c:pt>
                <c:pt idx="12">
                  <c:v>0.8</c:v>
                </c:pt>
                <c:pt idx="13">
                  <c:v>0.8</c:v>
                </c:pt>
                <c:pt idx="14">
                  <c:v>0.8</c:v>
                </c:pt>
                <c:pt idx="15">
                  <c:v>0.7</c:v>
                </c:pt>
                <c:pt idx="16">
                  <c:v>0.5</c:v>
                </c:pt>
                <c:pt idx="17">
                  <c:v>0.5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0552-4026-9387-3EDA0BC6C9BD}"/>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552-4026-9387-3EDA0BC6C9BD}"/>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552-4026-9387-3EDA0BC6C9B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60</c:v>
                </c:pt>
                <c:pt idx="23">
                  <c:v>60</c:v>
                </c:pt>
              </c:numCache>
            </c:numRef>
          </c:val>
          <c:smooth val="0"/>
          <c:extLst>
            <c:ext xmlns:c16="http://schemas.microsoft.com/office/drawing/2014/chart" uri="{C3380CC4-5D6E-409C-BE32-E72D297353CC}">
              <c16:uniqueId val="{00000000-5A3B-49A1-A875-9F5C778398A2}"/>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5A3B-49A1-A875-9F5C778398A2}"/>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5A3B-49A1-A875-9F5C778398A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0.5"/>
      </c:valAx>
      <c:spPr>
        <a:noFill/>
        <a:ln>
          <a:noFill/>
        </a:ln>
        <a:effectLst/>
      </c:spPr>
    </c:plotArea>
    <c:legend>
      <c:legendPos val="b"/>
      <c:layout>
        <c:manualLayout>
          <c:xMode val="edge"/>
          <c:yMode val="edge"/>
          <c:x val="0.69237621385546944"/>
          <c:y val="3.6261079321075841E-2"/>
          <c:w val="0.28941482691935089"/>
          <c:h val="0.471201411576949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85</c:v>
                </c:pt>
                <c:pt idx="23">
                  <c:v>85</c:v>
                </c:pt>
              </c:numCache>
            </c:numRef>
          </c:val>
          <c:smooth val="0"/>
          <c:extLst>
            <c:ext xmlns:c16="http://schemas.microsoft.com/office/drawing/2014/chart" uri="{C3380CC4-5D6E-409C-BE32-E72D297353CC}">
              <c16:uniqueId val="{00000000-98A4-41BC-9F02-23CD8D4B60E1}"/>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98A4-41BC-9F02-23CD8D4B60E1}"/>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8A4-41BC-9F02-23CD8D4B60E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48329465716600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Scool Relocatable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33.89798425897353</c:v>
                </c:pt>
                <c:pt idx="1">
                  <c:v>21.251698115994461</c:v>
                </c:pt>
                <c:pt idx="2">
                  <c:v>24.959132203439246</c:v>
                </c:pt>
                <c:pt idx="3">
                  <c:v>25.885122811791817</c:v>
                </c:pt>
                <c:pt idx="4">
                  <c:v>17.687443094012682</c:v>
                </c:pt>
                <c:pt idx="5">
                  <c:v>24.415568301249841</c:v>
                </c:pt>
                <c:pt idx="6">
                  <c:v>23.863817938942162</c:v>
                </c:pt>
                <c:pt idx="7">
                  <c:v>23.833149005034052</c:v>
                </c:pt>
                <c:pt idx="8">
                  <c:v>27.664807589314304</c:v>
                </c:pt>
                <c:pt idx="9">
                  <c:v>24.449532012110915</c:v>
                </c:pt>
                <c:pt idx="10">
                  <c:v>26.766823736619266</c:v>
                </c:pt>
                <c:pt idx="11">
                  <c:v>33.022419733461426</c:v>
                </c:pt>
                <c:pt idx="12">
                  <c:v>36.097183457237492</c:v>
                </c:pt>
                <c:pt idx="13">
                  <c:v>24.930251932597095</c:v>
                </c:pt>
                <c:pt idx="14">
                  <c:v>24.295051262498394</c:v>
                </c:pt>
                <c:pt idx="15">
                  <c:v>29.009877885059286</c:v>
                </c:pt>
              </c:numCache>
            </c:numRef>
          </c:val>
          <c:extLst>
            <c:ext xmlns:c16="http://schemas.microsoft.com/office/drawing/2014/chart" uri="{C3380CC4-5D6E-409C-BE32-E72D297353CC}">
              <c16:uniqueId val="{00000000-F627-4DFD-9875-8929C2D60210}"/>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22.598656172649015</c:v>
                </c:pt>
                <c:pt idx="1">
                  <c:v>14.167798743996311</c:v>
                </c:pt>
                <c:pt idx="2">
                  <c:v>16.639421468959497</c:v>
                </c:pt>
                <c:pt idx="3">
                  <c:v>17.25674854119454</c:v>
                </c:pt>
                <c:pt idx="4">
                  <c:v>11.791628729341788</c:v>
                </c:pt>
                <c:pt idx="5">
                  <c:v>16.277045534166561</c:v>
                </c:pt>
                <c:pt idx="6">
                  <c:v>15.90921195929478</c:v>
                </c:pt>
                <c:pt idx="7">
                  <c:v>15.888766003356039</c:v>
                </c:pt>
                <c:pt idx="8">
                  <c:v>18.443205059542866</c:v>
                </c:pt>
                <c:pt idx="9">
                  <c:v>16.299688008073943</c:v>
                </c:pt>
                <c:pt idx="10">
                  <c:v>17.844549157746172</c:v>
                </c:pt>
                <c:pt idx="11">
                  <c:v>22.014946488974289</c:v>
                </c:pt>
                <c:pt idx="12">
                  <c:v>24.064788971491666</c:v>
                </c:pt>
                <c:pt idx="13">
                  <c:v>16.62016795506473</c:v>
                </c:pt>
                <c:pt idx="14">
                  <c:v>16.196700841665599</c:v>
                </c:pt>
                <c:pt idx="15">
                  <c:v>19.339918590039527</c:v>
                </c:pt>
              </c:numCache>
            </c:numRef>
          </c:val>
          <c:extLst>
            <c:ext xmlns:c16="http://schemas.microsoft.com/office/drawing/2014/chart" uri="{C3380CC4-5D6E-409C-BE32-E72D297353CC}">
              <c16:uniqueId val="{00000001-F627-4DFD-9875-8929C2D60210}"/>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175.83664351851849</c:v>
                </c:pt>
                <c:pt idx="1">
                  <c:v>141.98379591836735</c:v>
                </c:pt>
                <c:pt idx="2">
                  <c:v>107.35581369248037</c:v>
                </c:pt>
                <c:pt idx="3">
                  <c:v>148.81858447488585</c:v>
                </c:pt>
                <c:pt idx="4">
                  <c:v>107.81652580384227</c:v>
                </c:pt>
                <c:pt idx="5">
                  <c:v>73.331890657476137</c:v>
                </c:pt>
                <c:pt idx="6">
                  <c:v>71.257494780793323</c:v>
                </c:pt>
                <c:pt idx="7">
                  <c:v>87.293569892473116</c:v>
                </c:pt>
                <c:pt idx="8">
                  <c:v>94.236014150943404</c:v>
                </c:pt>
                <c:pt idx="9">
                  <c:v>100.06449790794979</c:v>
                </c:pt>
                <c:pt idx="10">
                  <c:v>157.40737656321838</c:v>
                </c:pt>
                <c:pt idx="11">
                  <c:v>136.2183785244041</c:v>
                </c:pt>
                <c:pt idx="12">
                  <c:v>133.02285714285716</c:v>
                </c:pt>
                <c:pt idx="13">
                  <c:v>167.74737009544009</c:v>
                </c:pt>
                <c:pt idx="14">
                  <c:v>140.24695220496895</c:v>
                </c:pt>
                <c:pt idx="15">
                  <c:v>237.78294961240312</c:v>
                </c:pt>
              </c:numCache>
            </c:numRef>
          </c:yVal>
          <c:smooth val="0"/>
          <c:extLst>
            <c:ext xmlns:c16="http://schemas.microsoft.com/office/drawing/2014/chart" uri="{C3380CC4-5D6E-409C-BE32-E72D297353CC}">
              <c16:uniqueId val="{00000002-F627-4DFD-9875-8929C2D60210}"/>
            </c:ext>
          </c:extLst>
        </c:ser>
        <c:ser>
          <c:idx val="3"/>
          <c:order val="3"/>
          <c:tx>
            <c:strRef>
              <c:f>'Energy Usage'!$H$2</c:f>
              <c:strCache>
                <c:ptCount val="1"/>
                <c:pt idx="0">
                  <c:v>New Construction  Total EUI (KBTU/ft²)</c:v>
                </c:pt>
              </c:strCache>
            </c:strRef>
          </c:tx>
          <c:spPr>
            <a:ln w="25400" cap="rnd">
              <a:noFill/>
              <a:round/>
            </a:ln>
            <a:effectLst/>
          </c:spPr>
          <c:marker>
            <c:symbol val="circle"/>
            <c:size val="5"/>
            <c:spPr>
              <a:solidFill>
                <a:schemeClr val="accent4"/>
              </a:solidFill>
              <a:ln w="9525">
                <a:solidFill>
                  <a:schemeClr val="accent4"/>
                </a:solidFill>
              </a:ln>
              <a:effectLst/>
            </c:spPr>
          </c:marker>
          <c:yVal>
            <c:numRef>
              <c:f>'Energy Usage'!$H$3:$H$18</c:f>
              <c:numCache>
                <c:formatCode>General</c:formatCode>
                <c:ptCount val="16"/>
                <c:pt idx="0">
                  <c:v>118.81</c:v>
                </c:pt>
                <c:pt idx="1">
                  <c:v>98.83</c:v>
                </c:pt>
                <c:pt idx="2">
                  <c:v>78.09</c:v>
                </c:pt>
                <c:pt idx="3">
                  <c:v>102.27</c:v>
                </c:pt>
                <c:pt idx="4">
                  <c:v>77.290000000000006</c:v>
                </c:pt>
                <c:pt idx="5">
                  <c:v>54.61</c:v>
                </c:pt>
                <c:pt idx="6">
                  <c:v>52.11</c:v>
                </c:pt>
                <c:pt idx="7">
                  <c:v>64.680000000000007</c:v>
                </c:pt>
                <c:pt idx="8">
                  <c:v>69.05</c:v>
                </c:pt>
                <c:pt idx="9">
                  <c:v>74.25</c:v>
                </c:pt>
                <c:pt idx="10">
                  <c:v>111.19</c:v>
                </c:pt>
                <c:pt idx="11">
                  <c:v>97.98</c:v>
                </c:pt>
                <c:pt idx="12">
                  <c:v>97.21</c:v>
                </c:pt>
                <c:pt idx="13">
                  <c:v>118.15</c:v>
                </c:pt>
                <c:pt idx="14">
                  <c:v>97.19</c:v>
                </c:pt>
                <c:pt idx="15">
                  <c:v>167.29</c:v>
                </c:pt>
              </c:numCache>
            </c:numRef>
          </c:yVal>
          <c:smooth val="0"/>
          <c:extLst>
            <c:ext xmlns:c16="http://schemas.microsoft.com/office/drawing/2014/chart" uri="{C3380CC4-5D6E-409C-BE32-E72D297353CC}">
              <c16:uniqueId val="{00000003-F627-4DFD-9875-8929C2D60210}"/>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a:t>
            </a:r>
            <a:r>
              <a:rPr lang="en-US" baseline="0"/>
              <a:t> Relocatable</a:t>
            </a:r>
            <a:r>
              <a:rPr lang="en-US"/>
              <a:t>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38.474999999999994</c:v>
                </c:pt>
                <c:pt idx="1">
                  <c:v>38.474999999999994</c:v>
                </c:pt>
                <c:pt idx="2">
                  <c:v>38.474999999999994</c:v>
                </c:pt>
                <c:pt idx="3">
                  <c:v>38.474999999999994</c:v>
                </c:pt>
                <c:pt idx="4">
                  <c:v>38.474999999999994</c:v>
                </c:pt>
                <c:pt idx="5">
                  <c:v>38.474999999999994</c:v>
                </c:pt>
                <c:pt idx="6">
                  <c:v>38.474999999999994</c:v>
                </c:pt>
                <c:pt idx="7">
                  <c:v>38.474999999999994</c:v>
                </c:pt>
                <c:pt idx="8">
                  <c:v>38.474999999999994</c:v>
                </c:pt>
                <c:pt idx="9">
                  <c:v>38.474999999999994</c:v>
                </c:pt>
                <c:pt idx="10">
                  <c:v>38.474999999999994</c:v>
                </c:pt>
                <c:pt idx="11">
                  <c:v>38.474999999999994</c:v>
                </c:pt>
                <c:pt idx="12">
                  <c:v>38.474999999999994</c:v>
                </c:pt>
                <c:pt idx="13">
                  <c:v>38.474999999999994</c:v>
                </c:pt>
                <c:pt idx="14">
                  <c:v>38.474999999999994</c:v>
                </c:pt>
                <c:pt idx="15">
                  <c:v>38.474999999999994</c:v>
                </c:pt>
              </c:numCache>
            </c:numRef>
          </c:val>
          <c:extLst>
            <c:ext xmlns:c16="http://schemas.microsoft.com/office/drawing/2014/chart" uri="{C3380CC4-5D6E-409C-BE32-E72D297353CC}">
              <c16:uniqueId val="{00000000-8D34-45DF-9A5E-AA11CAA723D6}"/>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25.650000000000006</c:v>
                </c:pt>
                <c:pt idx="1">
                  <c:v>25.650000000000006</c:v>
                </c:pt>
                <c:pt idx="2">
                  <c:v>25.650000000000006</c:v>
                </c:pt>
                <c:pt idx="3">
                  <c:v>25.650000000000006</c:v>
                </c:pt>
                <c:pt idx="4">
                  <c:v>25.650000000000006</c:v>
                </c:pt>
                <c:pt idx="5">
                  <c:v>25.650000000000006</c:v>
                </c:pt>
                <c:pt idx="6">
                  <c:v>25.650000000000006</c:v>
                </c:pt>
                <c:pt idx="7">
                  <c:v>25.650000000000006</c:v>
                </c:pt>
                <c:pt idx="8">
                  <c:v>25.650000000000006</c:v>
                </c:pt>
                <c:pt idx="9">
                  <c:v>25.650000000000006</c:v>
                </c:pt>
                <c:pt idx="10">
                  <c:v>25.650000000000006</c:v>
                </c:pt>
                <c:pt idx="11">
                  <c:v>25.650000000000006</c:v>
                </c:pt>
                <c:pt idx="12">
                  <c:v>25.650000000000006</c:v>
                </c:pt>
                <c:pt idx="13">
                  <c:v>25.650000000000006</c:v>
                </c:pt>
                <c:pt idx="14">
                  <c:v>25.650000000000006</c:v>
                </c:pt>
                <c:pt idx="15">
                  <c:v>25.650000000000006</c:v>
                </c:pt>
              </c:numCache>
            </c:numRef>
          </c:val>
          <c:extLst>
            <c:ext xmlns:c16="http://schemas.microsoft.com/office/drawing/2014/chart" uri="{C3380CC4-5D6E-409C-BE32-E72D297353CC}">
              <c16:uniqueId val="{00000001-8D34-45DF-9A5E-AA11CAA723D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pt idx="0">
                  <c:v>175.83664351851849</c:v>
                </c:pt>
                <c:pt idx="1">
                  <c:v>141.98379591836735</c:v>
                </c:pt>
                <c:pt idx="2">
                  <c:v>107.35581369248037</c:v>
                </c:pt>
                <c:pt idx="3">
                  <c:v>148.81858447488585</c:v>
                </c:pt>
                <c:pt idx="4">
                  <c:v>107.81652580384227</c:v>
                </c:pt>
                <c:pt idx="5">
                  <c:v>73.331890657476137</c:v>
                </c:pt>
                <c:pt idx="6">
                  <c:v>71.257494780793323</c:v>
                </c:pt>
                <c:pt idx="7">
                  <c:v>87.293569892473116</c:v>
                </c:pt>
                <c:pt idx="8">
                  <c:v>94.236014150943404</c:v>
                </c:pt>
                <c:pt idx="9">
                  <c:v>100.06449790794979</c:v>
                </c:pt>
                <c:pt idx="10">
                  <c:v>157.40737656321838</c:v>
                </c:pt>
                <c:pt idx="11">
                  <c:v>136.2183785244041</c:v>
                </c:pt>
                <c:pt idx="12">
                  <c:v>133.02285714285716</c:v>
                </c:pt>
                <c:pt idx="13">
                  <c:v>167.74737009544009</c:v>
                </c:pt>
                <c:pt idx="14">
                  <c:v>140.24695220496895</c:v>
                </c:pt>
                <c:pt idx="15">
                  <c:v>237.78294961240312</c:v>
                </c:pt>
              </c:numCache>
            </c:numRef>
          </c:yVal>
          <c:smooth val="0"/>
          <c:extLst>
            <c:ext xmlns:c16="http://schemas.microsoft.com/office/drawing/2014/chart" uri="{C3380CC4-5D6E-409C-BE32-E72D297353CC}">
              <c16:uniqueId val="{00000002-8D34-45DF-9A5E-AA11CAA723D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pt idx="0">
                  <c:v>118.81</c:v>
                </c:pt>
                <c:pt idx="1">
                  <c:v>98.83</c:v>
                </c:pt>
                <c:pt idx="2">
                  <c:v>78.09</c:v>
                </c:pt>
                <c:pt idx="3">
                  <c:v>102.27</c:v>
                </c:pt>
                <c:pt idx="4">
                  <c:v>77.290000000000006</c:v>
                </c:pt>
                <c:pt idx="5">
                  <c:v>54.61</c:v>
                </c:pt>
                <c:pt idx="6">
                  <c:v>52.11</c:v>
                </c:pt>
                <c:pt idx="7">
                  <c:v>64.680000000000007</c:v>
                </c:pt>
                <c:pt idx="8">
                  <c:v>69.05</c:v>
                </c:pt>
                <c:pt idx="9">
                  <c:v>74.25</c:v>
                </c:pt>
                <c:pt idx="10">
                  <c:v>111.19</c:v>
                </c:pt>
                <c:pt idx="11">
                  <c:v>97.98</c:v>
                </c:pt>
                <c:pt idx="12">
                  <c:v>97.21</c:v>
                </c:pt>
                <c:pt idx="13">
                  <c:v>118.15</c:v>
                </c:pt>
                <c:pt idx="14">
                  <c:v>97.19</c:v>
                </c:pt>
                <c:pt idx="15">
                  <c:v>167.29</c:v>
                </c:pt>
              </c:numCache>
            </c:numRef>
          </c:yVal>
          <c:smooth val="0"/>
          <c:extLst>
            <c:ext xmlns:c16="http://schemas.microsoft.com/office/drawing/2014/chart" uri="{C3380CC4-5D6E-409C-BE32-E72D297353CC}">
              <c16:uniqueId val="{00000003-8D34-45DF-9A5E-AA11CAA723D6}"/>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3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ttps://www.gearypacific.com/ASSETS/DOCUMENTS/CMS/EN/W3VH-W5VH%20(WVH)%20F2082%20(2024%2002).pdf"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xdr:col>
      <xdr:colOff>874058</xdr:colOff>
      <xdr:row>6</xdr:row>
      <xdr:rowOff>11205</xdr:rowOff>
    </xdr:from>
    <xdr:to>
      <xdr:col>1</xdr:col>
      <xdr:colOff>2657138</xdr:colOff>
      <xdr:row>6</xdr:row>
      <xdr:rowOff>1199925</xdr:rowOff>
    </xdr:to>
    <xdr:pic>
      <xdr:nvPicPr>
        <xdr:cNvPr id="2" name="Picture 1">
          <a:extLst>
            <a:ext uri="{FF2B5EF4-FFF2-40B4-BE49-F238E27FC236}">
              <a16:creationId xmlns:a16="http://schemas.microsoft.com/office/drawing/2014/main" id="{BA7DC77D-8635-CEC1-8D2C-C6C3C680B9BA}"/>
            </a:ext>
          </a:extLst>
        </xdr:cNvPr>
        <xdr:cNvPicPr>
          <a:picLocks noChangeAspect="1"/>
        </xdr:cNvPicPr>
      </xdr:nvPicPr>
      <xdr:blipFill>
        <a:blip xmlns:r="http://schemas.openxmlformats.org/officeDocument/2006/relationships" r:embed="rId1"/>
        <a:stretch>
          <a:fillRect/>
        </a:stretch>
      </xdr:blipFill>
      <xdr:spPr>
        <a:xfrm>
          <a:off x="2543734" y="1568823"/>
          <a:ext cx="1783080" cy="11887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1282561</xdr:colOff>
      <xdr:row>0</xdr:row>
      <xdr:rowOff>35035</xdr:rowOff>
    </xdr:from>
    <xdr:to>
      <xdr:col>12</xdr:col>
      <xdr:colOff>1282561</xdr:colOff>
      <xdr:row>0</xdr:row>
      <xdr:rowOff>321779</xdr:rowOff>
    </xdr:to>
    <xdr:cxnSp macro="">
      <xdr:nvCxnSpPr>
        <xdr:cNvPr id="2" name="Straight Arrow Connector 1">
          <a:extLst>
            <a:ext uri="{FF2B5EF4-FFF2-40B4-BE49-F238E27FC236}">
              <a16:creationId xmlns:a16="http://schemas.microsoft.com/office/drawing/2014/main" id="{E25E12E1-1BEA-4E12-A1D9-4EE8176A81A5}"/>
            </a:ext>
          </a:extLst>
        </xdr:cNvPr>
        <xdr:cNvCxnSpPr/>
      </xdr:nvCxnSpPr>
      <xdr:spPr>
        <a:xfrm flipV="1">
          <a:off x="17275036"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1325218</xdr:colOff>
      <xdr:row>0</xdr:row>
      <xdr:rowOff>67505</xdr:rowOff>
    </xdr:from>
    <xdr:to>
      <xdr:col>12</xdr:col>
      <xdr:colOff>1565412</xdr:colOff>
      <xdr:row>1</xdr:row>
      <xdr:rowOff>103203</xdr:rowOff>
    </xdr:to>
    <xdr:sp macro="" textlink="">
      <xdr:nvSpPr>
        <xdr:cNvPr id="3" name="TextBox 2">
          <a:extLst>
            <a:ext uri="{FF2B5EF4-FFF2-40B4-BE49-F238E27FC236}">
              <a16:creationId xmlns:a16="http://schemas.microsoft.com/office/drawing/2014/main" id="{B94B5AF4-8723-404B-ABC5-FEF9E4F057E3}"/>
            </a:ext>
          </a:extLst>
        </xdr:cNvPr>
        <xdr:cNvSpPr txBox="1"/>
      </xdr:nvSpPr>
      <xdr:spPr>
        <a:xfrm>
          <a:off x="17317693" y="67505"/>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11</xdr:col>
      <xdr:colOff>1534583</xdr:colOff>
      <xdr:row>0</xdr:row>
      <xdr:rowOff>317500</xdr:rowOff>
    </xdr:from>
    <xdr:to>
      <xdr:col>13</xdr:col>
      <xdr:colOff>1016001</xdr:colOff>
      <xdr:row>19</xdr:row>
      <xdr:rowOff>135936</xdr:rowOff>
    </xdr:to>
    <xdr:pic>
      <xdr:nvPicPr>
        <xdr:cNvPr id="5" name="Picture 4">
          <a:extLst>
            <a:ext uri="{FF2B5EF4-FFF2-40B4-BE49-F238E27FC236}">
              <a16:creationId xmlns:a16="http://schemas.microsoft.com/office/drawing/2014/main" id="{C4E0E889-3663-4CEA-8A87-AC76D281DB5D}"/>
            </a:ext>
          </a:extLst>
        </xdr:cNvPr>
        <xdr:cNvPicPr>
          <a:picLocks noChangeAspect="1"/>
        </xdr:cNvPicPr>
      </xdr:nvPicPr>
      <xdr:blipFill>
        <a:blip xmlns:r="http://schemas.openxmlformats.org/officeDocument/2006/relationships" r:embed="rId1"/>
        <a:stretch>
          <a:fillRect/>
        </a:stretch>
      </xdr:blipFill>
      <xdr:spPr>
        <a:xfrm>
          <a:off x="15898283" y="317500"/>
          <a:ext cx="2738967" cy="43809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369795</xdr:colOff>
      <xdr:row>19</xdr:row>
      <xdr:rowOff>549086</xdr:rowOff>
    </xdr:from>
    <xdr:to>
      <xdr:col>7</xdr:col>
      <xdr:colOff>3462619</xdr:colOff>
      <xdr:row>19</xdr:row>
      <xdr:rowOff>851645</xdr:rowOff>
    </xdr:to>
    <xdr:sp macro="" textlink="">
      <xdr:nvSpPr>
        <xdr:cNvPr id="2" name="TextBox 1">
          <a:hlinkClick xmlns:r="http://schemas.openxmlformats.org/officeDocument/2006/relationships" r:id="rId1" tooltip="Link"/>
          <a:extLst>
            <a:ext uri="{FF2B5EF4-FFF2-40B4-BE49-F238E27FC236}">
              <a16:creationId xmlns:a16="http://schemas.microsoft.com/office/drawing/2014/main" id="{FFB0FB5B-A866-4891-B277-7F1F0182F9F4}"/>
            </a:ext>
          </a:extLst>
        </xdr:cNvPr>
        <xdr:cNvSpPr txBox="1"/>
      </xdr:nvSpPr>
      <xdr:spPr>
        <a:xfrm>
          <a:off x="16705170" y="4340036"/>
          <a:ext cx="3092824"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BARD Engineering Specification Guide for SPVHP</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704850</xdr:colOff>
      <xdr:row>34</xdr:row>
      <xdr:rowOff>24765</xdr:rowOff>
    </xdr:from>
    <xdr:to>
      <xdr:col>12</xdr:col>
      <xdr:colOff>994362</xdr:colOff>
      <xdr:row>61</xdr:row>
      <xdr:rowOff>92868</xdr:rowOff>
    </xdr:to>
    <xdr:pic>
      <xdr:nvPicPr>
        <xdr:cNvPr id="2" name="Picture 1">
          <a:extLst>
            <a:ext uri="{FF2B5EF4-FFF2-40B4-BE49-F238E27FC236}">
              <a16:creationId xmlns:a16="http://schemas.microsoft.com/office/drawing/2014/main" id="{AFEA444E-9695-43EF-A659-63F4DD3F1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57850" y="8990171"/>
          <a:ext cx="16312467" cy="4880610"/>
        </a:xfrm>
        <a:prstGeom prst="rect">
          <a:avLst/>
        </a:prstGeom>
      </xdr:spPr>
    </xdr:pic>
    <xdr:clientData/>
  </xdr:twoCellAnchor>
  <xdr:twoCellAnchor>
    <xdr:from>
      <xdr:col>0</xdr:col>
      <xdr:colOff>60465</xdr:colOff>
      <xdr:row>33</xdr:row>
      <xdr:rowOff>89040</xdr:rowOff>
    </xdr:from>
    <xdr:to>
      <xdr:col>3</xdr:col>
      <xdr:colOff>664368</xdr:colOff>
      <xdr:row>76</xdr:row>
      <xdr:rowOff>17150</xdr:rowOff>
    </xdr:to>
    <xdr:pic>
      <xdr:nvPicPr>
        <xdr:cNvPr id="3" name="Picture 2">
          <a:extLst>
            <a:ext uri="{FF2B5EF4-FFF2-40B4-BE49-F238E27FC236}">
              <a16:creationId xmlns:a16="http://schemas.microsoft.com/office/drawing/2014/main" id="{B19D1045-9E71-456A-B218-18674A7C5C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65" y="9054446"/>
          <a:ext cx="7476191" cy="76076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14</xdr:row>
      <xdr:rowOff>104774</xdr:rowOff>
    </xdr:from>
    <xdr:to>
      <xdr:col>1</xdr:col>
      <xdr:colOff>1358500</xdr:colOff>
      <xdr:row>30</xdr:row>
      <xdr:rowOff>176106</xdr:rowOff>
    </xdr:to>
    <xdr:pic>
      <xdr:nvPicPr>
        <xdr:cNvPr id="10" name="Picture 1">
          <a:extLst>
            <a:ext uri="{FF2B5EF4-FFF2-40B4-BE49-F238E27FC236}">
              <a16:creationId xmlns:a16="http://schemas.microsoft.com/office/drawing/2014/main" id="{AEB1AFCA-EA94-4BC1-8D8C-9F7ECC1A4A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24024"/>
          <a:ext cx="4724000" cy="2949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10"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1"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2"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321469</xdr:colOff>
      <xdr:row>14</xdr:row>
      <xdr:rowOff>440532</xdr:rowOff>
    </xdr:from>
    <xdr:to>
      <xdr:col>36</xdr:col>
      <xdr:colOff>35719</xdr:colOff>
      <xdr:row>15</xdr:row>
      <xdr:rowOff>0</xdr:rowOff>
    </xdr:to>
    <xdr:graphicFrame macro="">
      <xdr:nvGraphicFramePr>
        <xdr:cNvPr id="2"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14"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15"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13"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319564</xdr:colOff>
      <xdr:row>21</xdr:row>
      <xdr:rowOff>0</xdr:rowOff>
    </xdr:from>
    <xdr:to>
      <xdr:col>36</xdr:col>
      <xdr:colOff>33814</xdr:colOff>
      <xdr:row>23</xdr:row>
      <xdr:rowOff>446722</xdr:rowOff>
    </xdr:to>
    <xdr:graphicFrame macro="">
      <xdr:nvGraphicFramePr>
        <xdr:cNvPr id="16" name="Chart 5">
          <a:extLst>
            <a:ext uri="{FF2B5EF4-FFF2-40B4-BE49-F238E27FC236}">
              <a16:creationId xmlns:a16="http://schemas.microsoft.com/office/drawing/2014/main" id="{9697020E-883B-41A7-9829-FBC6252DED8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326372</xdr:colOff>
      <xdr:row>24</xdr:row>
      <xdr:rowOff>57431</xdr:rowOff>
    </xdr:from>
    <xdr:to>
      <xdr:col>36</xdr:col>
      <xdr:colOff>51828</xdr:colOff>
      <xdr:row>26</xdr:row>
      <xdr:rowOff>366111</xdr:rowOff>
    </xdr:to>
    <xdr:graphicFrame macro="">
      <xdr:nvGraphicFramePr>
        <xdr:cNvPr id="17" name="Chart 38">
          <a:extLst>
            <a:ext uri="{FF2B5EF4-FFF2-40B4-BE49-F238E27FC236}">
              <a16:creationId xmlns:a16="http://schemas.microsoft.com/office/drawing/2014/main" id="{434293DA-7FB9-4397-9A0A-FDAE3FAA480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297656</xdr:colOff>
      <xdr:row>27</xdr:row>
      <xdr:rowOff>71437</xdr:rowOff>
    </xdr:from>
    <xdr:to>
      <xdr:col>35</xdr:col>
      <xdr:colOff>598812</xdr:colOff>
      <xdr:row>30</xdr:row>
      <xdr:rowOff>130969</xdr:rowOff>
    </xdr:to>
    <xdr:graphicFrame macro="">
      <xdr:nvGraphicFramePr>
        <xdr:cNvPr id="20" name="Chart 39">
          <a:extLst>
            <a:ext uri="{FF2B5EF4-FFF2-40B4-BE49-F238E27FC236}">
              <a16:creationId xmlns:a16="http://schemas.microsoft.com/office/drawing/2014/main" id="{83D15056-68EA-4946-81F1-6E343F58CB1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26</xdr:col>
      <xdr:colOff>22858</xdr:colOff>
      <xdr:row>1</xdr:row>
      <xdr:rowOff>0</xdr:rowOff>
    </xdr:from>
    <xdr:to>
      <xdr:col>43</xdr:col>
      <xdr:colOff>398688</xdr:colOff>
      <xdr:row>17</xdr:row>
      <xdr:rowOff>112939</xdr:rowOff>
    </xdr:to>
    <xdr:graphicFrame macro="">
      <xdr:nvGraphicFramePr>
        <xdr:cNvPr id="3" name="Chart 2">
          <a:extLst>
            <a:ext uri="{FF2B5EF4-FFF2-40B4-BE49-F238E27FC236}">
              <a16:creationId xmlns:a16="http://schemas.microsoft.com/office/drawing/2014/main" id="{81C11E23-7E89-4B97-96EF-C5DADC00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571500</xdr:colOff>
      <xdr:row>18</xdr:row>
      <xdr:rowOff>129268</xdr:rowOff>
    </xdr:from>
    <xdr:to>
      <xdr:col>43</xdr:col>
      <xdr:colOff>306954</xdr:colOff>
      <xdr:row>46</xdr:row>
      <xdr:rowOff>44627</xdr:rowOff>
    </xdr:to>
    <xdr:graphicFrame macro="">
      <xdr:nvGraphicFramePr>
        <xdr:cNvPr id="4" name="Chart 3">
          <a:extLst>
            <a:ext uri="{FF2B5EF4-FFF2-40B4-BE49-F238E27FC236}">
              <a16:creationId xmlns:a16="http://schemas.microsoft.com/office/drawing/2014/main" id="{61A226E4-E113-4EE3-B3C5-34B18E38D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2.arb.ca.gov/sites/default/files/2020-05/pcs_v3_es_03-23-04.pdf" TargetMode="External"/><Relationship Id="rId3" Type="http://schemas.openxmlformats.org/officeDocument/2006/relationships/hyperlink" Target="https://title24stakeholders.com/wp-content/uploads/2016/10/T24-2019-CASE-Study-Results-Report-Outdoor-Sources_Final_with-Attachments.pdf" TargetMode="External"/><Relationship Id="rId7" Type="http://schemas.openxmlformats.org/officeDocument/2006/relationships/hyperlink" Target="https://www2.lbl.gov/Science-Articles/Archive/EETD-portable-classrooms.html"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www.energy.ca.gov/publications/2022/2022-nonresidential-and-multifamily-alternative-calculation-method-reference" TargetMode="External"/><Relationship Id="rId6" Type="http://schemas.openxmlformats.org/officeDocument/2006/relationships/hyperlink" Target="https://title24stakeholders.com/wp-content/uploads/2017/09/2019-T24-CASE-Report_Fume-Hoods_Final_September-2017.pdf?" TargetMode="External"/><Relationship Id="rId5"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0" Type="http://schemas.openxmlformats.org/officeDocument/2006/relationships/hyperlink" Target="https://gcc02.safelinks.protection.outlook.com/?url=https%3A%2F%2Fwww.gearypacific.com%2FASSETS%2FDOCUMENTS%2FCMS%2FEN%2FW3VH-W5VH%2520(WVH)%2520F2082%2520(2024%252002).pdf&amp;data=05%7C02%7CMohammad.Dabbagh%40noresco.com%7Cdd47e2e358414ac3054808de15f20f2c%7C85ad2a9769424d5dbc9c35cd3905d69a%7C0%7C0%7C638972326594066317%7CUnknown%7CTWFpbGZsb3d8eyJFbXB0eU1hcGkiOnRydWUsIlYiOiIwLjAuMDAwMCIsIlAiOiJXaW4zMiIsIkFOIjoiTWFpbCIsIldUIjoyfQ%3D%3D%7C0%7C%7C%7C&amp;sdata=MLaAxhBXKAA9yseKl%2BRUxQ3osovEQZgIeGGjS3EEEjc%3D&amp;reserved=0" TargetMode="External"/><Relationship Id="rId4" Type="http://schemas.openxmlformats.org/officeDocument/2006/relationships/hyperlink" Target="file:///C:\Users\DabbagMo\AppData\Local\Microsoft\0_Input%20data\Lighting\PNNL-20405.pdf" TargetMode="External"/><Relationship Id="rId9" Type="http://schemas.openxmlformats.org/officeDocument/2006/relationships/hyperlink" Target="https://ww2.arb.ca.gov/sites/default/files/classic/research/apr/reports/l3006.pdf"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1" Type="http://schemas.openxmlformats.org/officeDocument/2006/relationships/hyperlink" Target="https://ww2.arb.ca.gov/sites/default/files/classic/research/apr/reports/l3006.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47"/>
  <sheetViews>
    <sheetView zoomScaleNormal="100" workbookViewId="0">
      <selection sqref="A1:F1"/>
    </sheetView>
  </sheetViews>
  <sheetFormatPr defaultColWidth="9.28515625" defaultRowHeight="12.75" x14ac:dyDescent="0.2"/>
  <cols>
    <col min="1" max="1" width="16.140625" style="5" bestFit="1" customWidth="1"/>
    <col min="2" max="2" width="83.7109375" style="5" customWidth="1"/>
    <col min="3" max="3" width="12" style="5" customWidth="1"/>
    <col min="4" max="7" width="9.28515625" style="5"/>
    <col min="8" max="8" width="21.7109375" style="5" customWidth="1"/>
    <col min="9" max="9" width="10.7109375" style="5" customWidth="1"/>
    <col min="10" max="10" width="9.7109375" style="5" customWidth="1"/>
    <col min="11" max="11" width="9.7109375" style="5" bestFit="1" customWidth="1"/>
    <col min="12" max="16384" width="9.28515625" style="5"/>
  </cols>
  <sheetData>
    <row r="1" spans="1:7" ht="20.45" customHeight="1" x14ac:dyDescent="0.2">
      <c r="A1" s="308" t="s">
        <v>0</v>
      </c>
      <c r="B1" s="308"/>
      <c r="C1" s="308"/>
      <c r="D1" s="308"/>
      <c r="E1" s="308"/>
      <c r="F1" s="308"/>
    </row>
    <row r="2" spans="1:7" ht="20.25" customHeight="1" x14ac:dyDescent="0.2">
      <c r="A2" s="275" t="s">
        <v>1</v>
      </c>
      <c r="C2" s="309" t="s">
        <v>2</v>
      </c>
      <c r="D2" s="309"/>
      <c r="E2" s="309"/>
      <c r="F2" s="309"/>
    </row>
    <row r="3" spans="1:7" ht="15" x14ac:dyDescent="0.25">
      <c r="A3" s="312"/>
      <c r="B3" s="5" t="s">
        <v>3</v>
      </c>
      <c r="C3" s="307" t="s">
        <v>4</v>
      </c>
      <c r="D3" s="309"/>
      <c r="E3" s="309"/>
      <c r="F3" s="309"/>
    </row>
    <row r="4" spans="1:7" ht="15" x14ac:dyDescent="0.25">
      <c r="A4" s="312"/>
      <c r="B4" s="5" t="s">
        <v>5</v>
      </c>
      <c r="C4" s="311" t="s">
        <v>6</v>
      </c>
      <c r="D4" s="311"/>
      <c r="E4" s="311"/>
      <c r="F4" s="311"/>
    </row>
    <row r="5" spans="1:7" ht="15" x14ac:dyDescent="0.25">
      <c r="A5" s="312"/>
      <c r="B5" s="5" t="s">
        <v>7</v>
      </c>
      <c r="C5" s="307" t="s">
        <v>8</v>
      </c>
      <c r="D5" s="309"/>
      <c r="E5" s="309"/>
      <c r="F5" s="309"/>
    </row>
    <row r="6" spans="1:7" x14ac:dyDescent="0.2">
      <c r="A6" s="306" t="s">
        <v>9</v>
      </c>
      <c r="B6" s="269" t="s">
        <v>10</v>
      </c>
      <c r="C6" s="310"/>
      <c r="D6" s="310"/>
      <c r="E6" s="310"/>
      <c r="F6" s="310"/>
    </row>
    <row r="7" spans="1:7" x14ac:dyDescent="0.2">
      <c r="A7" s="306"/>
      <c r="B7" s="269" t="s">
        <v>11</v>
      </c>
      <c r="C7" s="310"/>
      <c r="D7" s="310"/>
      <c r="E7" s="310"/>
      <c r="F7" s="310"/>
    </row>
    <row r="8" spans="1:7" x14ac:dyDescent="0.2">
      <c r="A8" s="306"/>
      <c r="B8" s="269" t="s">
        <v>12</v>
      </c>
      <c r="C8" s="310"/>
      <c r="D8" s="310"/>
      <c r="E8" s="310"/>
      <c r="F8" s="310"/>
    </row>
    <row r="9" spans="1:7" x14ac:dyDescent="0.2">
      <c r="A9" s="306"/>
      <c r="B9" s="269" t="s">
        <v>13</v>
      </c>
      <c r="C9" s="310"/>
      <c r="D9" s="310"/>
      <c r="E9" s="310"/>
      <c r="F9" s="310"/>
    </row>
    <row r="10" spans="1:7" ht="15" x14ac:dyDescent="0.25">
      <c r="A10" s="306"/>
      <c r="B10" s="269" t="s">
        <v>14</v>
      </c>
      <c r="C10" s="110" t="s">
        <v>15</v>
      </c>
      <c r="D10" s="274"/>
      <c r="E10" s="274"/>
      <c r="F10" s="274"/>
      <c r="G10" s="5" t="s">
        <v>16</v>
      </c>
    </row>
    <row r="11" spans="1:7" x14ac:dyDescent="0.2">
      <c r="A11" s="306"/>
      <c r="C11" s="304"/>
      <c r="D11" s="304"/>
      <c r="E11" s="304"/>
      <c r="F11" s="304"/>
      <c r="G11" s="5" t="s">
        <v>16</v>
      </c>
    </row>
    <row r="12" spans="1:7" ht="15" x14ac:dyDescent="0.25">
      <c r="A12" s="272"/>
      <c r="B12" s="111" t="s">
        <v>17</v>
      </c>
      <c r="C12" s="307" t="s">
        <v>18</v>
      </c>
      <c r="D12" s="307"/>
      <c r="E12" s="307"/>
      <c r="F12" s="307"/>
      <c r="G12" s="5" t="s">
        <v>16</v>
      </c>
    </row>
    <row r="13" spans="1:7" ht="15" x14ac:dyDescent="0.25">
      <c r="A13" s="272"/>
      <c r="B13" s="269" t="s">
        <v>19</v>
      </c>
      <c r="C13" s="307" t="s">
        <v>20</v>
      </c>
      <c r="D13" s="307"/>
      <c r="E13" s="307"/>
      <c r="F13" s="307"/>
    </row>
    <row r="14" spans="1:7" ht="15" x14ac:dyDescent="0.25">
      <c r="A14" s="272"/>
      <c r="B14" s="111" t="s">
        <v>21</v>
      </c>
      <c r="C14" s="303" t="s">
        <v>22</v>
      </c>
      <c r="D14" s="304"/>
      <c r="E14" s="304"/>
      <c r="F14" s="304"/>
    </row>
    <row r="15" spans="1:7" ht="15" x14ac:dyDescent="0.25">
      <c r="A15" s="272"/>
      <c r="B15" s="269" t="s">
        <v>23</v>
      </c>
      <c r="C15" s="307" t="s">
        <v>24</v>
      </c>
      <c r="D15" s="307"/>
      <c r="E15" s="307"/>
      <c r="F15" s="307"/>
    </row>
    <row r="16" spans="1:7" ht="15" x14ac:dyDescent="0.25">
      <c r="A16" s="306" t="s">
        <v>25</v>
      </c>
      <c r="B16" s="269" t="s">
        <v>26</v>
      </c>
      <c r="C16" s="271" t="s">
        <v>27</v>
      </c>
      <c r="D16" s="271"/>
      <c r="E16" s="271"/>
      <c r="F16" s="271"/>
      <c r="G16" s="5" t="s">
        <v>16</v>
      </c>
    </row>
    <row r="17" spans="1:6" ht="15" x14ac:dyDescent="0.25">
      <c r="A17" s="306"/>
      <c r="B17" s="269" t="s">
        <v>28</v>
      </c>
      <c r="C17" s="2" t="s">
        <v>28</v>
      </c>
      <c r="D17" s="271"/>
      <c r="E17" s="271"/>
      <c r="F17" s="271"/>
    </row>
    <row r="18" spans="1:6" ht="18.600000000000001" customHeight="1" x14ac:dyDescent="0.2">
      <c r="A18" s="308" t="s">
        <v>29</v>
      </c>
      <c r="B18" s="308"/>
      <c r="C18" s="308"/>
      <c r="D18" s="308"/>
      <c r="E18" s="308"/>
      <c r="F18" s="308"/>
    </row>
    <row r="19" spans="1:6" x14ac:dyDescent="0.2">
      <c r="C19" s="270"/>
      <c r="D19" s="270"/>
      <c r="E19" s="270"/>
      <c r="F19" s="270"/>
    </row>
    <row r="20" spans="1:6" ht="15" x14ac:dyDescent="0.25">
      <c r="B20"/>
      <c r="C20" s="270"/>
      <c r="D20" s="270"/>
      <c r="E20" s="270"/>
      <c r="F20" s="270"/>
    </row>
    <row r="21" spans="1:6" x14ac:dyDescent="0.2">
      <c r="C21" s="270"/>
      <c r="D21" s="270"/>
      <c r="E21" s="270"/>
      <c r="F21" s="270"/>
    </row>
    <row r="22" spans="1:6" ht="15" x14ac:dyDescent="0.25">
      <c r="B22"/>
      <c r="C22" s="270"/>
      <c r="D22" s="270"/>
      <c r="E22" s="270"/>
      <c r="F22" s="270"/>
    </row>
    <row r="23" spans="1:6" x14ac:dyDescent="0.2">
      <c r="C23" s="270"/>
      <c r="D23" s="270"/>
      <c r="E23" s="270"/>
      <c r="F23" s="270"/>
    </row>
    <row r="24" spans="1:6" x14ac:dyDescent="0.2">
      <c r="C24" s="270"/>
      <c r="D24" s="270"/>
      <c r="E24" s="270"/>
      <c r="F24" s="270"/>
    </row>
    <row r="25" spans="1:6" x14ac:dyDescent="0.2">
      <c r="C25" s="270"/>
      <c r="D25" s="270"/>
      <c r="E25" s="270"/>
      <c r="F25" s="270"/>
    </row>
    <row r="26" spans="1:6" x14ac:dyDescent="0.2">
      <c r="C26" s="270"/>
      <c r="D26" s="270"/>
      <c r="E26" s="270"/>
      <c r="F26" s="270"/>
    </row>
    <row r="27" spans="1:6" x14ac:dyDescent="0.2">
      <c r="C27" s="270"/>
      <c r="D27" s="270"/>
      <c r="E27" s="270"/>
      <c r="F27" s="270"/>
    </row>
    <row r="28" spans="1:6" x14ac:dyDescent="0.2">
      <c r="C28" s="270"/>
      <c r="D28" s="270"/>
      <c r="E28" s="270"/>
      <c r="F28" s="270"/>
    </row>
    <row r="29" spans="1:6" x14ac:dyDescent="0.2">
      <c r="C29" s="270"/>
      <c r="D29" s="270"/>
      <c r="E29" s="270"/>
      <c r="F29" s="270"/>
    </row>
    <row r="30" spans="1:6" x14ac:dyDescent="0.2">
      <c r="C30" s="270"/>
      <c r="D30" s="270"/>
      <c r="E30" s="270"/>
      <c r="F30" s="270"/>
    </row>
    <row r="31" spans="1:6" ht="19.149999999999999" customHeight="1" x14ac:dyDescent="0.2">
      <c r="A31" s="308" t="s">
        <v>30</v>
      </c>
      <c r="B31" s="308"/>
      <c r="C31" s="308"/>
      <c r="D31" s="308"/>
      <c r="E31" s="308"/>
      <c r="F31" s="308"/>
    </row>
    <row r="32" spans="1:6" customFormat="1" ht="37.9" customHeight="1" x14ac:dyDescent="0.25"/>
    <row r="33" spans="1:11" ht="18" customHeight="1" x14ac:dyDescent="0.2">
      <c r="A33" s="8"/>
      <c r="B33" s="305"/>
      <c r="C33" s="305"/>
      <c r="D33" s="305"/>
      <c r="E33" s="305"/>
      <c r="F33" s="305"/>
      <c r="H33" s="8"/>
      <c r="I33" s="24"/>
      <c r="J33" s="24"/>
      <c r="K33" s="24"/>
    </row>
    <row r="34" spans="1:11" ht="13.9" customHeight="1" x14ac:dyDescent="0.2">
      <c r="A34" s="8"/>
      <c r="B34" s="305"/>
      <c r="C34" s="305"/>
      <c r="D34" s="305"/>
      <c r="E34" s="305"/>
      <c r="F34" s="305"/>
    </row>
    <row r="35" spans="1:11" ht="15" x14ac:dyDescent="0.25">
      <c r="A35" s="7"/>
      <c r="B35" s="8"/>
      <c r="C35" s="8"/>
      <c r="D35" s="8"/>
      <c r="E35" s="8"/>
      <c r="F35" s="8"/>
      <c r="H35"/>
    </row>
    <row r="47" spans="1:11" ht="15" x14ac:dyDescent="0.25">
      <c r="G47"/>
    </row>
  </sheetData>
  <mergeCells count="21">
    <mergeCell ref="C11:F11"/>
    <mergeCell ref="C12:F12"/>
    <mergeCell ref="C13:F13"/>
    <mergeCell ref="A6:A11"/>
    <mergeCell ref="A1:F1"/>
    <mergeCell ref="C2:F2"/>
    <mergeCell ref="C3:F3"/>
    <mergeCell ref="C5:F5"/>
    <mergeCell ref="C6:F6"/>
    <mergeCell ref="C7:F7"/>
    <mergeCell ref="C9:F9"/>
    <mergeCell ref="C4:F4"/>
    <mergeCell ref="C8:F8"/>
    <mergeCell ref="A3:A5"/>
    <mergeCell ref="C14:F14"/>
    <mergeCell ref="B33:F33"/>
    <mergeCell ref="B34:F34"/>
    <mergeCell ref="A16:A17"/>
    <mergeCell ref="C15:F15"/>
    <mergeCell ref="A31:F31"/>
    <mergeCell ref="A18:F18"/>
  </mergeCells>
  <phoneticPr fontId="5" type="noConversion"/>
  <hyperlinks>
    <hyperlink ref="C10" r:id="rId1" xr:uid="{6FE21833-FF0D-4A82-8C97-373AFD399D80}"/>
    <hyperlink ref="C12" r:id="rId2" xr:uid="{F882414A-41AA-48DB-ABE7-A2D351DA9456}"/>
    <hyperlink ref="C13" r:id="rId3" xr:uid="{45860262-F5B2-43E2-AF00-0011D1E7F7A2}"/>
    <hyperlink ref="C15" r:id="rId4" display="\\carcgl.com\amer\nor\Prj_SUS\2023\S23668 SCE CA Prototypes Development\Technical\NR\0_Input data\Lighting\PNNL-20405.pdf" xr:uid="{8A9F2430-C746-4A01-9346-5C2CF3586089}"/>
    <hyperlink ref="C16" r:id="rId5" display="https://2050partners.sharepoint.com/:w:/r/sites/CalBEMCollaborativeEfforts/_layouts/15/Doc.aspx?sourcedoc=%7B3BEF8F74-7FAC-44F2-A70C-D76617660066%7D&amp;file=Infiltration_rate_report_14May2025-Short-Version.docx&amp;wdLOR=c494C5A60-5F8A-438B-874B-578DCB850072&amp;action=default&amp;mobileredirect=true" xr:uid="{ECEFF5DB-08D9-46F0-A169-50EEF678F01F}"/>
    <hyperlink ref="C14" r:id="rId6" xr:uid="{87C1ADF4-0583-4536-B2E6-9D4E36217E34}"/>
    <hyperlink ref="C3" r:id="rId7" xr:uid="{6FF7AC46-34FB-47DE-B28A-F1E36A0E2135}"/>
    <hyperlink ref="C5" r:id="rId8" xr:uid="{D484A7F5-CFCC-493D-BAEB-54C1A064BCC2}"/>
    <hyperlink ref="C4" r:id="rId9" xr:uid="{8AC86969-A458-4907-AFA2-23224647FE18}"/>
    <hyperlink ref="C17" r:id="rId10" display="https://gcc02.safelinks.protection.outlook.com/?url=https%3A%2F%2Fwww.gearypacific.com%2FASSETS%2FDOCUMENTS%2FCMS%2FEN%2FW3VH-W5VH%2520(WVH)%2520F2082%2520(2024%252002).pdf&amp;data=05%7C02%7CMohammad.Dabbagh%40noresco.com%7Cdd47e2e358414ac3054808de15f20f2c%7C85ad2a9769424d5dbc9c35cd3905d69a%7C0%7C0%7C638972326594066317%7CUnknown%7CTWFpbGZsb3d8eyJFbXB0eU1hcGkiOnRydWUsIlYiOiIwLjAuMDAwMCIsIlAiOiJXaW4zMiIsIkFOIjoiTWFpbCIsIldUIjoyfQ%3D%3D%7C0%7C%7C%7C&amp;sdata=MLaAxhBXKAA9yseKl%2BRUxQ3osovEQZgIeGGjS3EEEjc%3D&amp;reserved=0" xr:uid="{5B130112-24E5-4BA2-817F-B775732BE70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5"/>
  <sheetViews>
    <sheetView tabSelected="1" zoomScale="85" zoomScaleNormal="85" workbookViewId="0">
      <selection sqref="A1:C1"/>
    </sheetView>
  </sheetViews>
  <sheetFormatPr defaultColWidth="9.28515625" defaultRowHeight="14.25" x14ac:dyDescent="0.2"/>
  <cols>
    <col min="1" max="1" width="25" style="3" customWidth="1"/>
    <col min="2" max="2" width="51.28515625" style="3" customWidth="1"/>
    <col min="3" max="3" width="49.7109375" style="3" customWidth="1"/>
    <col min="4" max="9" width="8.7109375" style="3" customWidth="1"/>
    <col min="10" max="16384" width="9.28515625" style="3"/>
  </cols>
  <sheetData>
    <row r="1" spans="1:9" ht="18" x14ac:dyDescent="0.2">
      <c r="A1" s="313" t="s">
        <v>31</v>
      </c>
      <c r="B1" s="313"/>
      <c r="C1" s="313"/>
      <c r="D1" s="10"/>
      <c r="E1" s="10"/>
      <c r="F1" s="10"/>
    </row>
    <row r="2" spans="1:9" ht="25.15" customHeight="1" x14ac:dyDescent="0.2">
      <c r="A2" s="314" t="s">
        <v>32</v>
      </c>
      <c r="B2" s="314"/>
      <c r="C2" s="314"/>
      <c r="D2" s="10"/>
      <c r="E2" s="10"/>
      <c r="F2" s="10"/>
    </row>
    <row r="3" spans="1:9" ht="20.45" customHeight="1" x14ac:dyDescent="0.2">
      <c r="A3" s="119" t="s">
        <v>33</v>
      </c>
      <c r="B3" s="287" t="s">
        <v>34</v>
      </c>
      <c r="C3" s="287" t="s">
        <v>0</v>
      </c>
    </row>
    <row r="4" spans="1:9" ht="16.149999999999999" customHeight="1" x14ac:dyDescent="0.2">
      <c r="A4" s="13" t="s">
        <v>35</v>
      </c>
      <c r="B4" s="282" t="s">
        <v>36</v>
      </c>
      <c r="C4" s="13"/>
    </row>
    <row r="5" spans="1:9" ht="16.149999999999999" customHeight="1" x14ac:dyDescent="0.2">
      <c r="A5" s="13" t="s">
        <v>37</v>
      </c>
      <c r="B5" s="282" t="s">
        <v>38</v>
      </c>
      <c r="C5" s="13"/>
    </row>
    <row r="6" spans="1:9" ht="28.9" customHeight="1" x14ac:dyDescent="0.2">
      <c r="A6" s="13" t="s">
        <v>39</v>
      </c>
      <c r="B6" s="281" t="s">
        <v>40</v>
      </c>
      <c r="C6" s="14" t="s">
        <v>41</v>
      </c>
      <c r="D6" s="53" t="s">
        <v>42</v>
      </c>
    </row>
    <row r="7" spans="1:9" ht="97.15" customHeight="1" x14ac:dyDescent="0.25">
      <c r="A7" s="13" t="s">
        <v>43</v>
      </c>
      <c r="B7"/>
      <c r="C7" s="14" t="s">
        <v>44</v>
      </c>
      <c r="D7"/>
      <c r="I7" s="4"/>
    </row>
    <row r="8" spans="1:9" ht="19.149999999999999" customHeight="1" x14ac:dyDescent="0.2">
      <c r="A8" s="112" t="s">
        <v>45</v>
      </c>
      <c r="B8" s="11">
        <v>1920.19</v>
      </c>
      <c r="C8" s="13" t="s">
        <v>46</v>
      </c>
    </row>
    <row r="9" spans="1:9" ht="19.149999999999999" customHeight="1" x14ac:dyDescent="0.2">
      <c r="A9" s="112" t="s">
        <v>47</v>
      </c>
      <c r="B9" s="52">
        <f>40/24</f>
        <v>1.6666666666666667</v>
      </c>
      <c r="C9" s="13" t="s">
        <v>46</v>
      </c>
    </row>
    <row r="10" spans="1:9" ht="19.149999999999999" customHeight="1" x14ac:dyDescent="0.2">
      <c r="A10" s="120" t="s">
        <v>48</v>
      </c>
      <c r="B10" s="52">
        <v>1</v>
      </c>
      <c r="C10" s="13" t="s">
        <v>46</v>
      </c>
    </row>
    <row r="11" spans="1:9" ht="19.149999999999999" customHeight="1" x14ac:dyDescent="0.2">
      <c r="A11" s="120" t="s">
        <v>49</v>
      </c>
      <c r="B11" s="282" t="s">
        <v>50</v>
      </c>
      <c r="C11" s="13" t="s">
        <v>46</v>
      </c>
    </row>
    <row r="12" spans="1:9" ht="19.149999999999999" customHeight="1" x14ac:dyDescent="0.2">
      <c r="A12" s="120" t="s">
        <v>51</v>
      </c>
      <c r="B12" s="159">
        <v>5.1499999999999997E-2</v>
      </c>
      <c r="C12" s="13" t="s">
        <v>46</v>
      </c>
    </row>
    <row r="13" spans="1:9" ht="20.100000000000001" customHeight="1" x14ac:dyDescent="0.2">
      <c r="A13" s="112" t="s">
        <v>52</v>
      </c>
      <c r="B13" s="12" t="s">
        <v>53</v>
      </c>
      <c r="C13" s="13" t="s">
        <v>46</v>
      </c>
    </row>
    <row r="14" spans="1:9" ht="20.100000000000001" customHeight="1" x14ac:dyDescent="0.2">
      <c r="A14" s="112" t="s">
        <v>54</v>
      </c>
      <c r="B14" s="52" t="s">
        <v>55</v>
      </c>
      <c r="C14" s="13" t="s">
        <v>46</v>
      </c>
    </row>
    <row r="15" spans="1:9" ht="20.100000000000001" customHeight="1" x14ac:dyDescent="0.2">
      <c r="A15" s="112" t="s">
        <v>56</v>
      </c>
      <c r="B15" s="281" t="s">
        <v>55</v>
      </c>
      <c r="C15" s="13" t="s">
        <v>46</v>
      </c>
    </row>
    <row r="16" spans="1:9" ht="20.100000000000001" customHeight="1" x14ac:dyDescent="0.2">
      <c r="A16" s="112" t="s">
        <v>57</v>
      </c>
      <c r="B16" s="52" t="s">
        <v>58</v>
      </c>
      <c r="C16" s="13" t="s">
        <v>46</v>
      </c>
    </row>
    <row r="17" spans="1:3" x14ac:dyDescent="0.2">
      <c r="A17" s="77"/>
      <c r="B17" s="7"/>
      <c r="C17" s="6"/>
    </row>
    <row r="18" spans="1:3" x14ac:dyDescent="0.2">
      <c r="A18" s="77"/>
      <c r="B18" s="7"/>
      <c r="C18" s="6"/>
    </row>
    <row r="20" spans="1:3" ht="18.75" x14ac:dyDescent="0.2">
      <c r="A20" s="121" t="s">
        <v>59</v>
      </c>
      <c r="B20" s="123">
        <v>1536.15</v>
      </c>
      <c r="C20" s="124"/>
    </row>
    <row r="21" spans="1:3" ht="18.75" x14ac:dyDescent="0.2">
      <c r="A21" s="121" t="s">
        <v>60</v>
      </c>
      <c r="B21" s="123">
        <f>B20+B23</f>
        <v>1920.15</v>
      </c>
      <c r="C21" s="124"/>
    </row>
    <row r="22" spans="1:3" ht="22.15" customHeight="1" x14ac:dyDescent="0.2">
      <c r="A22" s="121" t="s">
        <v>61</v>
      </c>
      <c r="B22" s="123">
        <v>960.09</v>
      </c>
      <c r="C22" s="6"/>
    </row>
    <row r="23" spans="1:3" ht="25.5" x14ac:dyDescent="0.2">
      <c r="A23" s="121" t="s">
        <v>62</v>
      </c>
      <c r="B23" s="123">
        <f>(72+120)*2</f>
        <v>384</v>
      </c>
      <c r="C23" s="6"/>
    </row>
    <row r="24" spans="1:3" x14ac:dyDescent="0.2">
      <c r="A24" s="77"/>
      <c r="B24" s="7"/>
      <c r="C24" s="6"/>
    </row>
    <row r="25" spans="1:3" x14ac:dyDescent="0.2">
      <c r="A25" s="77"/>
      <c r="B25" s="7"/>
      <c r="C25" s="6"/>
    </row>
  </sheetData>
  <mergeCells count="2">
    <mergeCell ref="A1:C1"/>
    <mergeCell ref="A2:C2"/>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B127"/>
  <sheetViews>
    <sheetView zoomScale="90" zoomScaleNormal="90" workbookViewId="0">
      <pane xSplit="1" topLeftCell="B1" activePane="topRight" state="frozen"/>
      <selection pane="topRight" sqref="A1:K1"/>
    </sheetView>
  </sheetViews>
  <sheetFormatPr defaultColWidth="8.7109375" defaultRowHeight="12.75" x14ac:dyDescent="0.2"/>
  <cols>
    <col min="1" max="1" width="44.85546875" style="5" customWidth="1"/>
    <col min="2" max="2" width="20.140625" style="5" bestFit="1" customWidth="1"/>
    <col min="3" max="4" width="18.42578125" style="5" customWidth="1"/>
    <col min="5" max="5" width="19" style="5" customWidth="1"/>
    <col min="6" max="6" width="14.7109375" style="5" customWidth="1"/>
    <col min="7" max="7" width="12.7109375" style="5" customWidth="1"/>
    <col min="8" max="8" width="12" style="5" bestFit="1" customWidth="1"/>
    <col min="9" max="10" width="11.28515625" style="5" customWidth="1"/>
    <col min="11" max="11" width="32.5703125" style="5" customWidth="1"/>
    <col min="12" max="13" width="24.42578125" style="5" customWidth="1"/>
    <col min="14" max="15" width="25.28515625" style="5" customWidth="1"/>
    <col min="16" max="16" width="22.28515625" style="5" bestFit="1" customWidth="1"/>
    <col min="17" max="17" width="25.7109375" style="5" customWidth="1"/>
    <col min="18" max="16384" width="8.7109375" style="5"/>
  </cols>
  <sheetData>
    <row r="1" spans="1:26" ht="25.9" customHeight="1" x14ac:dyDescent="0.2">
      <c r="A1" s="315" t="str">
        <f>"Proposed Layout - "&amp;Prototype!A2</f>
        <v>Proposed Layout - SchoolRelocatable</v>
      </c>
      <c r="B1" s="316"/>
      <c r="C1" s="316"/>
      <c r="D1" s="316"/>
      <c r="E1" s="316"/>
      <c r="F1" s="316"/>
      <c r="G1" s="316"/>
      <c r="H1" s="316"/>
      <c r="I1" s="316"/>
      <c r="J1" s="316"/>
      <c r="K1" s="317"/>
    </row>
    <row r="2" spans="1:26" ht="53.45" customHeight="1" x14ac:dyDescent="0.2">
      <c r="A2" s="70" t="s">
        <v>63</v>
      </c>
      <c r="B2" s="70" t="s">
        <v>64</v>
      </c>
      <c r="C2" s="291" t="s">
        <v>65</v>
      </c>
      <c r="D2" s="70" t="s">
        <v>66</v>
      </c>
      <c r="E2" s="22" t="s">
        <v>67</v>
      </c>
      <c r="F2" s="23" t="s">
        <v>68</v>
      </c>
      <c r="G2" s="23" t="s">
        <v>69</v>
      </c>
      <c r="H2" s="22" t="s">
        <v>70</v>
      </c>
      <c r="I2" s="22" t="s">
        <v>71</v>
      </c>
      <c r="J2" s="98" t="s">
        <v>72</v>
      </c>
      <c r="K2" s="22" t="s">
        <v>73</v>
      </c>
      <c r="M2" s="152"/>
      <c r="N2" s="152"/>
      <c r="O2" s="152"/>
    </row>
    <row r="3" spans="1:26" ht="17.649999999999999" customHeight="1" x14ac:dyDescent="0.2">
      <c r="A3" s="146" t="s">
        <v>74</v>
      </c>
      <c r="B3" s="146" t="s">
        <v>75</v>
      </c>
      <c r="C3" s="100" t="s">
        <v>76</v>
      </c>
      <c r="D3" s="176" t="s">
        <v>75</v>
      </c>
      <c r="E3" s="100" t="s">
        <v>77</v>
      </c>
      <c r="F3" s="151">
        <f>G3/$G$5</f>
        <v>0.5</v>
      </c>
      <c r="G3" s="160">
        <v>960</v>
      </c>
      <c r="H3" s="15">
        <v>11521.69</v>
      </c>
      <c r="I3" s="15">
        <v>1</v>
      </c>
      <c r="J3" s="15">
        <f>K3*G3/1000</f>
        <v>48</v>
      </c>
      <c r="K3" s="99">
        <v>50</v>
      </c>
      <c r="L3" s="152"/>
      <c r="M3" s="152"/>
      <c r="N3" s="152"/>
      <c r="O3" s="152"/>
      <c r="P3" s="152"/>
    </row>
    <row r="4" spans="1:26" ht="17.45" customHeight="1" x14ac:dyDescent="0.2">
      <c r="A4" s="146" t="s">
        <v>78</v>
      </c>
      <c r="B4" s="146" t="s">
        <v>79</v>
      </c>
      <c r="C4" s="100"/>
      <c r="D4" s="188"/>
      <c r="E4" s="100" t="s">
        <v>80</v>
      </c>
      <c r="F4" s="151">
        <f>G4/$G$5</f>
        <v>0.5</v>
      </c>
      <c r="G4" s="160">
        <v>960</v>
      </c>
      <c r="H4" s="15">
        <v>2884</v>
      </c>
      <c r="I4" s="15">
        <v>1</v>
      </c>
      <c r="J4" s="150"/>
      <c r="K4" s="99"/>
      <c r="L4" s="152"/>
      <c r="M4" s="152"/>
      <c r="N4" s="152"/>
      <c r="O4" s="152"/>
      <c r="P4" s="152"/>
    </row>
    <row r="5" spans="1:26" s="18" customFormat="1" ht="42" customHeight="1" x14ac:dyDescent="0.25">
      <c r="A5" s="100" t="s">
        <v>81</v>
      </c>
      <c r="B5" s="100" t="s">
        <v>82</v>
      </c>
      <c r="C5" s="100" t="s">
        <v>83</v>
      </c>
      <c r="D5" s="100" t="s">
        <v>84</v>
      </c>
      <c r="E5" s="101" t="s">
        <v>85</v>
      </c>
      <c r="F5" s="151">
        <f>G5/$G$5</f>
        <v>1</v>
      </c>
      <c r="G5" s="102">
        <f>SUM(G3:G4)</f>
        <v>1920</v>
      </c>
      <c r="H5" s="102">
        <f>SUM(H3:H4)</f>
        <v>14405.69</v>
      </c>
      <c r="I5" s="102"/>
      <c r="J5" s="102">
        <f>SUM(J3:J4)</f>
        <v>48</v>
      </c>
      <c r="K5" s="99">
        <f>K3</f>
        <v>50</v>
      </c>
      <c r="L5"/>
      <c r="M5"/>
      <c r="N5" s="152"/>
      <c r="O5" s="152"/>
      <c r="P5" s="152"/>
      <c r="Q5" s="152"/>
      <c r="R5" s="152"/>
      <c r="S5" s="152"/>
      <c r="T5" s="124"/>
      <c r="U5" s="124"/>
      <c r="V5" s="124"/>
      <c r="W5" s="124"/>
      <c r="X5" s="124"/>
      <c r="Y5" s="124"/>
      <c r="Z5" s="124"/>
    </row>
    <row r="6" spans="1:26" ht="18.75" x14ac:dyDescent="0.25">
      <c r="G6" s="16"/>
      <c r="H6" s="16"/>
      <c r="I6" s="16"/>
      <c r="J6" s="16"/>
      <c r="K6" s="17"/>
      <c r="L6"/>
      <c r="M6"/>
      <c r="N6" s="152"/>
      <c r="O6" s="152"/>
      <c r="P6" s="152"/>
      <c r="Q6" s="152"/>
      <c r="R6" s="152"/>
      <c r="S6" s="152"/>
      <c r="T6" s="124"/>
      <c r="U6" s="124"/>
      <c r="V6" s="124"/>
      <c r="W6" s="124"/>
      <c r="X6" s="124"/>
      <c r="Y6" s="124"/>
      <c r="Z6" s="124"/>
    </row>
    <row r="7" spans="1:26" ht="14.45" customHeight="1" x14ac:dyDescent="0.2">
      <c r="G7" s="16"/>
      <c r="H7" s="16"/>
      <c r="I7" s="16"/>
      <c r="J7" s="16"/>
      <c r="K7" s="16"/>
      <c r="N7" s="32"/>
      <c r="O7" s="32"/>
      <c r="P7" s="32"/>
    </row>
    <row r="8" spans="1:26" customFormat="1" ht="14.45" customHeight="1" x14ac:dyDescent="0.25"/>
    <row r="9" spans="1:26" customFormat="1" ht="14.45" customHeight="1" x14ac:dyDescent="0.25"/>
    <row r="10" spans="1:26" customFormat="1" ht="14.45" customHeight="1" x14ac:dyDescent="0.25"/>
    <row r="11" spans="1:26" customFormat="1" ht="14.45" customHeight="1" x14ac:dyDescent="0.25"/>
    <row r="12" spans="1:26" customFormat="1" ht="14.45" customHeight="1" x14ac:dyDescent="0.25"/>
    <row r="13" spans="1:26" customFormat="1" ht="14.45" customHeight="1" x14ac:dyDescent="0.25"/>
    <row r="14" spans="1:26" customFormat="1" ht="14.45" customHeight="1" x14ac:dyDescent="0.25"/>
    <row r="15" spans="1:26" customFormat="1" ht="14.45" customHeight="1" x14ac:dyDescent="0.25"/>
    <row r="16" spans="1:26" customFormat="1" ht="14.45" customHeight="1" x14ac:dyDescent="0.25"/>
    <row r="17" customFormat="1" ht="14.45" customHeight="1" x14ac:dyDescent="0.25"/>
    <row r="18" customFormat="1" ht="14.45" customHeight="1" x14ac:dyDescent="0.25"/>
    <row r="19" customFormat="1" ht="14.45" customHeight="1" x14ac:dyDescent="0.25"/>
    <row r="20" customFormat="1" ht="14.45" customHeight="1" x14ac:dyDescent="0.25"/>
    <row r="21" customFormat="1" ht="14.45" customHeight="1" x14ac:dyDescent="0.25"/>
    <row r="22" customFormat="1" ht="14.45" customHeight="1" x14ac:dyDescent="0.25"/>
    <row r="23" customFormat="1" ht="14.45" customHeight="1" x14ac:dyDescent="0.25"/>
    <row r="24" customFormat="1" ht="14.45" customHeight="1" x14ac:dyDescent="0.25"/>
    <row r="25" customFormat="1" ht="14.45" customHeight="1" x14ac:dyDescent="0.25"/>
    <row r="26" customFormat="1" ht="14.45" customHeight="1" x14ac:dyDescent="0.25"/>
    <row r="27" customFormat="1" ht="14.45" customHeight="1" x14ac:dyDescent="0.25"/>
    <row r="28" customFormat="1" ht="14.45" customHeight="1" x14ac:dyDescent="0.25"/>
    <row r="29" customFormat="1" ht="14.45" customHeight="1" x14ac:dyDescent="0.25"/>
    <row r="30" customFormat="1" ht="14.45" customHeight="1" x14ac:dyDescent="0.25"/>
    <row r="31" customFormat="1" ht="15" x14ac:dyDescent="0.25"/>
    <row r="32" customFormat="1" ht="15" x14ac:dyDescent="0.25"/>
    <row r="33" spans="2:28" customFormat="1" ht="15" x14ac:dyDescent="0.25"/>
    <row r="34" spans="2:28" customFormat="1" ht="15" x14ac:dyDescent="0.25"/>
    <row r="35" spans="2:28" customFormat="1" ht="15" x14ac:dyDescent="0.25"/>
    <row r="36" spans="2:28" customFormat="1" ht="15" x14ac:dyDescent="0.25"/>
    <row r="37" spans="2:28" ht="15" x14ac:dyDescent="0.25">
      <c r="B37"/>
      <c r="C37"/>
      <c r="D37"/>
      <c r="E37"/>
      <c r="F37"/>
      <c r="G37"/>
      <c r="H37"/>
      <c r="I37"/>
      <c r="J37"/>
      <c r="K37"/>
      <c r="L37"/>
      <c r="M37"/>
      <c r="N37"/>
      <c r="O37"/>
      <c r="P37"/>
      <c r="Q37"/>
      <c r="R37"/>
      <c r="S37"/>
      <c r="T37"/>
      <c r="U37"/>
      <c r="V37"/>
      <c r="W37"/>
      <c r="X37"/>
      <c r="Y37"/>
      <c r="Z37"/>
      <c r="AA37"/>
      <c r="AB37"/>
    </row>
    <row r="38" spans="2:28" ht="15" x14ac:dyDescent="0.25">
      <c r="B38"/>
      <c r="C38"/>
      <c r="D38"/>
      <c r="E38"/>
      <c r="F38"/>
      <c r="G38"/>
      <c r="H38"/>
      <c r="I38"/>
      <c r="J38"/>
      <c r="K38"/>
      <c r="L38"/>
      <c r="M38"/>
      <c r="N38"/>
      <c r="O38"/>
      <c r="P38"/>
      <c r="Q38"/>
      <c r="R38"/>
      <c r="S38"/>
      <c r="T38"/>
      <c r="U38"/>
      <c r="V38"/>
      <c r="W38"/>
      <c r="X38"/>
      <c r="Y38"/>
      <c r="Z38"/>
      <c r="AA38"/>
      <c r="AB38"/>
    </row>
    <row r="39" spans="2:28" ht="15" x14ac:dyDescent="0.25">
      <c r="B39"/>
      <c r="C39"/>
      <c r="D39"/>
      <c r="E39"/>
      <c r="F39"/>
      <c r="G39"/>
      <c r="H39"/>
      <c r="I39"/>
      <c r="J39"/>
      <c r="K39"/>
      <c r="L39"/>
      <c r="M39"/>
      <c r="N39"/>
      <c r="O39"/>
      <c r="P39"/>
      <c r="Q39"/>
      <c r="R39"/>
      <c r="S39"/>
      <c r="T39"/>
      <c r="U39"/>
      <c r="V39"/>
      <c r="W39"/>
      <c r="X39"/>
      <c r="Y39"/>
      <c r="Z39"/>
      <c r="AA39"/>
      <c r="AB39"/>
    </row>
    <row r="40" spans="2:28" ht="15" x14ac:dyDescent="0.25">
      <c r="B40"/>
      <c r="C40"/>
      <c r="D40"/>
      <c r="E40"/>
      <c r="F40"/>
      <c r="G40"/>
      <c r="H40"/>
      <c r="I40"/>
      <c r="J40"/>
      <c r="K40"/>
      <c r="L40"/>
      <c r="M40"/>
      <c r="N40"/>
      <c r="O40"/>
      <c r="P40"/>
      <c r="Q40"/>
      <c r="R40"/>
      <c r="S40"/>
      <c r="T40"/>
      <c r="U40"/>
      <c r="V40"/>
      <c r="W40"/>
      <c r="X40"/>
      <c r="Y40"/>
      <c r="Z40"/>
      <c r="AA40"/>
      <c r="AB40"/>
    </row>
    <row r="41" spans="2:28" ht="15" x14ac:dyDescent="0.25">
      <c r="B41"/>
      <c r="C41"/>
      <c r="D41"/>
      <c r="E41"/>
      <c r="F41"/>
      <c r="G41"/>
      <c r="H41"/>
      <c r="I41"/>
      <c r="J41"/>
      <c r="K41"/>
      <c r="L41"/>
      <c r="M41"/>
      <c r="N41"/>
      <c r="O41"/>
      <c r="P41"/>
      <c r="Q41"/>
      <c r="R41"/>
      <c r="S41"/>
      <c r="T41"/>
      <c r="U41"/>
      <c r="V41"/>
      <c r="W41"/>
      <c r="X41"/>
      <c r="Y41"/>
      <c r="Z41"/>
      <c r="AA41"/>
      <c r="AB41"/>
    </row>
    <row r="42" spans="2:28" ht="15" x14ac:dyDescent="0.25">
      <c r="B42"/>
      <c r="C42"/>
      <c r="D42"/>
      <c r="E42"/>
      <c r="F42"/>
      <c r="G42"/>
      <c r="H42"/>
      <c r="I42"/>
      <c r="J42"/>
      <c r="K42"/>
      <c r="L42"/>
      <c r="M42"/>
      <c r="N42"/>
      <c r="O42"/>
      <c r="P42"/>
      <c r="Q42"/>
      <c r="R42"/>
      <c r="S42"/>
      <c r="T42"/>
      <c r="U42"/>
      <c r="V42"/>
      <c r="W42"/>
      <c r="X42"/>
      <c r="Y42"/>
      <c r="Z42"/>
      <c r="AA42"/>
      <c r="AB42"/>
    </row>
    <row r="43" spans="2:28" ht="15" x14ac:dyDescent="0.25">
      <c r="B43"/>
      <c r="C43"/>
      <c r="D43"/>
      <c r="E43"/>
      <c r="F43"/>
      <c r="G43"/>
      <c r="H43"/>
      <c r="I43"/>
      <c r="J43"/>
      <c r="K43"/>
      <c r="L43"/>
      <c r="M43"/>
      <c r="N43"/>
      <c r="O43"/>
      <c r="P43"/>
      <c r="Q43"/>
      <c r="R43"/>
      <c r="S43"/>
      <c r="T43"/>
      <c r="U43"/>
      <c r="V43"/>
      <c r="W43"/>
      <c r="X43"/>
      <c r="Y43"/>
      <c r="Z43"/>
      <c r="AA43"/>
      <c r="AB43"/>
    </row>
    <row r="44" spans="2:28" ht="15" x14ac:dyDescent="0.25">
      <c r="B44"/>
      <c r="C44"/>
      <c r="D44"/>
      <c r="E44"/>
      <c r="F44"/>
      <c r="G44"/>
      <c r="H44"/>
      <c r="I44"/>
      <c r="J44"/>
      <c r="K44"/>
      <c r="L44"/>
      <c r="M44"/>
      <c r="N44"/>
      <c r="O44"/>
      <c r="P44"/>
      <c r="Q44"/>
      <c r="R44"/>
      <c r="S44"/>
      <c r="T44"/>
      <c r="U44"/>
      <c r="V44"/>
      <c r="W44"/>
      <c r="X44"/>
      <c r="Y44"/>
      <c r="Z44"/>
      <c r="AA44"/>
      <c r="AB44"/>
    </row>
    <row r="45" spans="2:28" ht="15" x14ac:dyDescent="0.25">
      <c r="B45"/>
      <c r="C45"/>
      <c r="D45"/>
      <c r="E45"/>
      <c r="F45"/>
      <c r="G45"/>
      <c r="H45"/>
      <c r="I45"/>
      <c r="J45"/>
      <c r="K45"/>
      <c r="L45"/>
      <c r="M45"/>
      <c r="N45"/>
      <c r="O45"/>
      <c r="P45"/>
      <c r="Q45"/>
      <c r="R45"/>
      <c r="S45"/>
      <c r="T45"/>
      <c r="U45"/>
      <c r="V45"/>
      <c r="W45"/>
      <c r="X45"/>
      <c r="Y45"/>
      <c r="Z45"/>
      <c r="AA45"/>
      <c r="AB45"/>
    </row>
    <row r="46" spans="2:28" ht="15" x14ac:dyDescent="0.25">
      <c r="B46"/>
      <c r="C46"/>
      <c r="D46"/>
      <c r="E46"/>
      <c r="F46"/>
      <c r="G46"/>
      <c r="H46"/>
      <c r="I46"/>
      <c r="J46"/>
      <c r="K46"/>
      <c r="L46"/>
      <c r="M46"/>
      <c r="N46"/>
      <c r="O46"/>
      <c r="P46"/>
      <c r="Q46"/>
      <c r="R46"/>
      <c r="S46"/>
      <c r="T46"/>
      <c r="U46"/>
      <c r="V46"/>
      <c r="W46"/>
      <c r="X46"/>
      <c r="Y46"/>
      <c r="Z46"/>
      <c r="AA46"/>
      <c r="AB46"/>
    </row>
    <row r="47" spans="2:28" ht="15" x14ac:dyDescent="0.25">
      <c r="B47"/>
      <c r="C47"/>
      <c r="D47"/>
      <c r="E47"/>
      <c r="F47"/>
      <c r="G47"/>
      <c r="H47"/>
      <c r="I47"/>
      <c r="J47"/>
      <c r="K47"/>
      <c r="L47"/>
      <c r="M47"/>
      <c r="N47"/>
      <c r="O47"/>
      <c r="P47"/>
      <c r="Q47"/>
      <c r="R47"/>
      <c r="S47"/>
      <c r="T47"/>
      <c r="U47"/>
      <c r="V47"/>
      <c r="W47"/>
      <c r="X47"/>
      <c r="Y47"/>
      <c r="Z47"/>
      <c r="AA47"/>
      <c r="AB47"/>
    </row>
    <row r="48" spans="2:28" ht="15" x14ac:dyDescent="0.25">
      <c r="B48"/>
      <c r="C48"/>
      <c r="D48"/>
      <c r="E48"/>
      <c r="F48"/>
      <c r="G48"/>
      <c r="H48"/>
      <c r="I48"/>
      <c r="J48"/>
      <c r="K48"/>
      <c r="L48"/>
      <c r="M48"/>
      <c r="N48"/>
      <c r="O48"/>
      <c r="P48"/>
      <c r="Q48"/>
      <c r="R48"/>
      <c r="S48"/>
      <c r="T48"/>
      <c r="U48"/>
      <c r="V48"/>
      <c r="W48"/>
      <c r="X48"/>
      <c r="Y48"/>
      <c r="Z48"/>
      <c r="AA48"/>
      <c r="AB48"/>
    </row>
    <row r="49" spans="2:28" ht="15" x14ac:dyDescent="0.25">
      <c r="B49"/>
      <c r="C49"/>
      <c r="D49"/>
      <c r="E49"/>
      <c r="F49"/>
      <c r="G49"/>
      <c r="H49"/>
      <c r="I49"/>
      <c r="J49"/>
      <c r="K49"/>
      <c r="L49"/>
      <c r="M49"/>
      <c r="N49"/>
      <c r="O49"/>
      <c r="P49"/>
      <c r="Q49"/>
      <c r="R49"/>
      <c r="S49"/>
      <c r="T49"/>
      <c r="U49"/>
      <c r="V49"/>
      <c r="W49"/>
      <c r="X49"/>
      <c r="Y49"/>
      <c r="Z49"/>
      <c r="AA49"/>
      <c r="AB49"/>
    </row>
    <row r="50" spans="2:28" ht="15" x14ac:dyDescent="0.25">
      <c r="B50"/>
      <c r="C50"/>
      <c r="D50"/>
      <c r="E50"/>
      <c r="F50"/>
      <c r="G50"/>
      <c r="H50"/>
      <c r="I50"/>
      <c r="J50"/>
      <c r="K50"/>
      <c r="L50"/>
      <c r="M50"/>
      <c r="N50"/>
      <c r="O50"/>
      <c r="P50"/>
      <c r="Q50"/>
      <c r="R50"/>
      <c r="S50"/>
      <c r="T50"/>
      <c r="U50"/>
      <c r="V50"/>
      <c r="W50"/>
      <c r="X50"/>
      <c r="Y50"/>
      <c r="Z50"/>
      <c r="AA50"/>
      <c r="AB50"/>
    </row>
    <row r="51" spans="2:28" ht="15" x14ac:dyDescent="0.25">
      <c r="B51"/>
      <c r="C51"/>
      <c r="D51"/>
      <c r="E51"/>
      <c r="F51"/>
      <c r="G51"/>
      <c r="H51"/>
      <c r="I51"/>
      <c r="J51"/>
      <c r="K51"/>
      <c r="L51"/>
      <c r="M51"/>
      <c r="N51"/>
      <c r="O51"/>
      <c r="P51"/>
      <c r="Q51"/>
      <c r="R51"/>
      <c r="S51"/>
      <c r="T51"/>
      <c r="U51"/>
      <c r="V51"/>
      <c r="W51"/>
      <c r="X51"/>
      <c r="Y51"/>
      <c r="Z51"/>
      <c r="AA51"/>
      <c r="AB51"/>
    </row>
    <row r="52" spans="2:28" ht="15" x14ac:dyDescent="0.25">
      <c r="B52"/>
      <c r="C52"/>
      <c r="D52"/>
      <c r="E52"/>
      <c r="F52"/>
      <c r="G52"/>
      <c r="H52"/>
      <c r="I52"/>
      <c r="J52"/>
      <c r="K52"/>
      <c r="L52"/>
      <c r="M52"/>
      <c r="N52"/>
      <c r="O52"/>
      <c r="P52"/>
      <c r="Q52"/>
      <c r="R52"/>
      <c r="S52"/>
      <c r="T52"/>
      <c r="U52"/>
      <c r="V52"/>
      <c r="W52"/>
      <c r="X52"/>
      <c r="Y52"/>
      <c r="Z52"/>
      <c r="AA52"/>
      <c r="AB52"/>
    </row>
    <row r="53" spans="2:28" ht="15" x14ac:dyDescent="0.25">
      <c r="B53"/>
      <c r="C53"/>
      <c r="D53"/>
      <c r="E53"/>
      <c r="F53"/>
      <c r="G53"/>
      <c r="H53"/>
      <c r="I53"/>
      <c r="J53"/>
      <c r="K53"/>
      <c r="L53"/>
      <c r="M53"/>
      <c r="N53"/>
      <c r="O53"/>
      <c r="P53"/>
      <c r="Q53"/>
      <c r="R53"/>
      <c r="S53"/>
      <c r="T53"/>
      <c r="U53"/>
      <c r="V53"/>
      <c r="W53"/>
      <c r="X53"/>
      <c r="Y53"/>
      <c r="Z53"/>
      <c r="AA53"/>
      <c r="AB53"/>
    </row>
    <row r="54" spans="2:28" ht="15" x14ac:dyDescent="0.25">
      <c r="B54"/>
      <c r="C54"/>
      <c r="D54"/>
      <c r="E54"/>
      <c r="F54"/>
      <c r="G54"/>
      <c r="H54"/>
      <c r="I54"/>
      <c r="J54"/>
      <c r="K54"/>
      <c r="L54"/>
      <c r="M54"/>
      <c r="N54"/>
      <c r="O54"/>
      <c r="P54"/>
      <c r="Q54"/>
      <c r="R54"/>
      <c r="S54"/>
      <c r="T54"/>
      <c r="U54"/>
      <c r="V54"/>
      <c r="W54"/>
      <c r="X54"/>
      <c r="Y54"/>
      <c r="Z54"/>
      <c r="AA54"/>
      <c r="AB54"/>
    </row>
    <row r="55" spans="2:28" ht="15" x14ac:dyDescent="0.25">
      <c r="B55"/>
      <c r="C55"/>
      <c r="D55"/>
      <c r="E55"/>
      <c r="F55"/>
      <c r="G55"/>
      <c r="H55"/>
      <c r="I55"/>
      <c r="J55"/>
      <c r="K55"/>
      <c r="L55"/>
      <c r="M55"/>
      <c r="N55"/>
      <c r="O55"/>
      <c r="P55"/>
      <c r="Q55"/>
      <c r="R55"/>
      <c r="S55"/>
      <c r="T55"/>
      <c r="U55"/>
      <c r="V55"/>
      <c r="W55"/>
      <c r="X55"/>
      <c r="Y55"/>
      <c r="Z55"/>
      <c r="AA55"/>
      <c r="AB55"/>
    </row>
    <row r="56" spans="2:28" ht="15" x14ac:dyDescent="0.25">
      <c r="B56"/>
      <c r="C56"/>
      <c r="D56"/>
      <c r="E56"/>
      <c r="F56"/>
      <c r="G56"/>
      <c r="H56"/>
      <c r="I56"/>
      <c r="J56"/>
      <c r="K56"/>
      <c r="L56"/>
      <c r="M56"/>
      <c r="N56"/>
      <c r="O56"/>
      <c r="P56"/>
      <c r="Q56"/>
      <c r="R56"/>
      <c r="S56"/>
      <c r="T56"/>
      <c r="U56"/>
      <c r="V56"/>
      <c r="W56"/>
      <c r="X56"/>
      <c r="Y56"/>
      <c r="Z56"/>
      <c r="AA56"/>
      <c r="AB56"/>
    </row>
    <row r="57" spans="2:28" ht="15" x14ac:dyDescent="0.25">
      <c r="B57"/>
      <c r="C57"/>
      <c r="D57"/>
      <c r="E57"/>
      <c r="F57"/>
      <c r="G57"/>
      <c r="H57"/>
      <c r="I57"/>
      <c r="J57"/>
      <c r="K57"/>
      <c r="L57"/>
      <c r="M57"/>
      <c r="N57"/>
      <c r="O57"/>
      <c r="P57"/>
      <c r="Q57"/>
      <c r="R57"/>
      <c r="S57"/>
      <c r="T57"/>
      <c r="U57"/>
      <c r="V57"/>
      <c r="W57"/>
      <c r="X57"/>
      <c r="Y57"/>
      <c r="Z57"/>
      <c r="AA57"/>
      <c r="AB57"/>
    </row>
    <row r="58" spans="2:28" ht="15" x14ac:dyDescent="0.25">
      <c r="B58"/>
      <c r="C58"/>
      <c r="D58"/>
      <c r="E58"/>
      <c r="F58"/>
      <c r="G58"/>
      <c r="H58"/>
      <c r="I58"/>
      <c r="J58"/>
      <c r="K58"/>
      <c r="L58"/>
      <c r="M58"/>
      <c r="N58"/>
      <c r="O58"/>
      <c r="P58"/>
      <c r="Q58"/>
      <c r="R58"/>
      <c r="S58"/>
      <c r="T58"/>
      <c r="U58"/>
      <c r="V58"/>
      <c r="W58"/>
      <c r="X58"/>
      <c r="Y58"/>
      <c r="Z58"/>
      <c r="AA58"/>
      <c r="AB58"/>
    </row>
    <row r="59" spans="2:28" ht="15" x14ac:dyDescent="0.25">
      <c r="B59"/>
      <c r="C59"/>
      <c r="D59"/>
      <c r="E59"/>
      <c r="F59"/>
      <c r="G59"/>
      <c r="H59"/>
      <c r="I59"/>
      <c r="J59"/>
      <c r="K59"/>
      <c r="L59"/>
      <c r="M59"/>
      <c r="N59"/>
      <c r="O59"/>
      <c r="P59"/>
      <c r="Q59"/>
      <c r="R59"/>
      <c r="S59"/>
      <c r="T59"/>
      <c r="U59"/>
      <c r="V59"/>
      <c r="W59"/>
      <c r="X59"/>
      <c r="Y59"/>
      <c r="Z59"/>
      <c r="AA59"/>
      <c r="AB59"/>
    </row>
    <row r="60" spans="2:28" ht="15" x14ac:dyDescent="0.25">
      <c r="B60"/>
      <c r="C60"/>
      <c r="D60"/>
      <c r="E60"/>
      <c r="F60"/>
      <c r="G60"/>
      <c r="H60"/>
      <c r="I60"/>
      <c r="J60"/>
      <c r="K60"/>
      <c r="L60"/>
      <c r="M60"/>
      <c r="N60"/>
      <c r="O60"/>
      <c r="P60"/>
      <c r="Q60"/>
      <c r="R60"/>
      <c r="S60"/>
      <c r="T60"/>
      <c r="U60"/>
      <c r="V60"/>
      <c r="W60"/>
      <c r="X60"/>
      <c r="Y60"/>
      <c r="Z60"/>
      <c r="AA60"/>
      <c r="AB60"/>
    </row>
    <row r="61" spans="2:28" ht="15" x14ac:dyDescent="0.25">
      <c r="B61"/>
      <c r="C61"/>
      <c r="D61"/>
      <c r="E61"/>
      <c r="F61"/>
      <c r="G61"/>
      <c r="H61"/>
      <c r="I61"/>
      <c r="J61"/>
      <c r="K61"/>
      <c r="L61"/>
      <c r="M61"/>
      <c r="N61"/>
      <c r="O61"/>
      <c r="P61"/>
      <c r="Q61"/>
      <c r="R61"/>
      <c r="S61"/>
      <c r="T61"/>
      <c r="U61"/>
      <c r="V61"/>
      <c r="W61"/>
      <c r="X61"/>
      <c r="Y61"/>
      <c r="Z61"/>
      <c r="AA61"/>
      <c r="AB61"/>
    </row>
    <row r="62" spans="2:28" ht="15" x14ac:dyDescent="0.25">
      <c r="B62"/>
      <c r="C62"/>
      <c r="D62"/>
      <c r="E62"/>
      <c r="F62"/>
      <c r="G62"/>
      <c r="H62"/>
      <c r="I62"/>
      <c r="J62"/>
      <c r="K62"/>
      <c r="L62"/>
      <c r="M62"/>
      <c r="N62"/>
      <c r="O62"/>
      <c r="P62"/>
      <c r="Q62"/>
      <c r="R62"/>
      <c r="S62"/>
      <c r="T62"/>
      <c r="U62"/>
      <c r="V62"/>
      <c r="W62"/>
      <c r="X62"/>
      <c r="Y62"/>
      <c r="Z62"/>
      <c r="AA62"/>
      <c r="AB62"/>
    </row>
    <row r="63" spans="2:28" ht="15" x14ac:dyDescent="0.25">
      <c r="B63"/>
      <c r="C63"/>
      <c r="D63"/>
      <c r="E63"/>
      <c r="F63"/>
      <c r="G63"/>
      <c r="H63"/>
      <c r="I63"/>
      <c r="J63"/>
      <c r="K63"/>
      <c r="L63"/>
      <c r="M63"/>
      <c r="N63"/>
      <c r="O63"/>
      <c r="P63"/>
      <c r="Q63"/>
      <c r="R63"/>
      <c r="S63"/>
      <c r="T63"/>
      <c r="U63"/>
      <c r="V63"/>
      <c r="W63"/>
      <c r="X63"/>
      <c r="Y63"/>
      <c r="Z63"/>
      <c r="AA63"/>
      <c r="AB63"/>
    </row>
    <row r="64" spans="2:28" ht="15" x14ac:dyDescent="0.25">
      <c r="B64"/>
      <c r="C64"/>
      <c r="D64"/>
      <c r="E64"/>
      <c r="F64"/>
      <c r="G64"/>
      <c r="H64"/>
      <c r="I64"/>
      <c r="J64"/>
      <c r="K64"/>
      <c r="L64"/>
      <c r="M64"/>
      <c r="N64"/>
      <c r="O64"/>
      <c r="P64"/>
      <c r="Q64"/>
      <c r="R64"/>
      <c r="S64"/>
      <c r="T64"/>
      <c r="U64"/>
      <c r="V64"/>
      <c r="W64"/>
      <c r="X64"/>
      <c r="Y64"/>
      <c r="Z64"/>
      <c r="AA64"/>
      <c r="AB64"/>
    </row>
    <row r="65" spans="2:28" ht="15" x14ac:dyDescent="0.25">
      <c r="B65"/>
      <c r="C65"/>
      <c r="D65"/>
      <c r="E65"/>
      <c r="F65"/>
      <c r="G65"/>
      <c r="H65"/>
      <c r="I65"/>
      <c r="J65"/>
      <c r="K65"/>
      <c r="L65"/>
      <c r="M65"/>
      <c r="N65"/>
      <c r="O65"/>
      <c r="P65"/>
      <c r="Q65"/>
      <c r="R65"/>
      <c r="S65"/>
      <c r="T65"/>
      <c r="U65"/>
      <c r="V65"/>
      <c r="W65"/>
      <c r="X65"/>
      <c r="Y65"/>
      <c r="Z65"/>
      <c r="AA65"/>
      <c r="AB65"/>
    </row>
    <row r="66" spans="2:28" ht="15" x14ac:dyDescent="0.25">
      <c r="B66"/>
      <c r="C66"/>
      <c r="D66"/>
      <c r="E66"/>
      <c r="F66"/>
      <c r="G66"/>
      <c r="H66"/>
      <c r="I66"/>
      <c r="J66"/>
      <c r="K66"/>
      <c r="L66"/>
      <c r="M66"/>
      <c r="N66"/>
      <c r="O66"/>
      <c r="P66"/>
      <c r="Q66"/>
      <c r="R66"/>
      <c r="S66"/>
      <c r="T66"/>
      <c r="U66"/>
      <c r="V66"/>
      <c r="W66"/>
      <c r="X66"/>
      <c r="Y66"/>
      <c r="Z66"/>
      <c r="AA66"/>
      <c r="AB66"/>
    </row>
    <row r="67" spans="2:28" ht="15" x14ac:dyDescent="0.25">
      <c r="B67"/>
      <c r="C67"/>
      <c r="D67"/>
      <c r="E67"/>
      <c r="F67"/>
      <c r="G67"/>
      <c r="H67"/>
      <c r="I67"/>
      <c r="J67"/>
      <c r="K67"/>
      <c r="L67"/>
      <c r="M67"/>
      <c r="N67"/>
      <c r="O67"/>
      <c r="P67"/>
      <c r="Q67"/>
      <c r="R67"/>
      <c r="S67"/>
      <c r="T67"/>
      <c r="U67"/>
      <c r="V67"/>
      <c r="W67"/>
      <c r="X67"/>
      <c r="Y67"/>
      <c r="Z67"/>
      <c r="AA67"/>
      <c r="AB67"/>
    </row>
    <row r="68" spans="2:28" ht="15" x14ac:dyDescent="0.25">
      <c r="B68"/>
      <c r="C68"/>
      <c r="D68"/>
      <c r="E68"/>
      <c r="F68"/>
      <c r="G68"/>
      <c r="H68"/>
      <c r="I68"/>
      <c r="J68"/>
      <c r="K68"/>
      <c r="L68"/>
      <c r="M68"/>
      <c r="N68"/>
      <c r="O68"/>
      <c r="P68"/>
      <c r="Q68"/>
      <c r="R68"/>
      <c r="S68"/>
      <c r="T68"/>
      <c r="U68"/>
      <c r="V68"/>
      <c r="W68"/>
      <c r="X68"/>
      <c r="Y68"/>
      <c r="Z68"/>
      <c r="AA68"/>
      <c r="AB68"/>
    </row>
    <row r="69" spans="2:28" ht="15" x14ac:dyDescent="0.25">
      <c r="B69"/>
      <c r="C69"/>
      <c r="D69"/>
      <c r="E69"/>
      <c r="F69"/>
      <c r="G69"/>
      <c r="H69"/>
      <c r="I69"/>
      <c r="J69"/>
      <c r="K69"/>
      <c r="L69"/>
      <c r="M69"/>
      <c r="N69"/>
      <c r="O69"/>
      <c r="P69"/>
      <c r="Q69"/>
      <c r="R69"/>
      <c r="S69"/>
      <c r="T69"/>
      <c r="U69"/>
      <c r="V69"/>
      <c r="W69"/>
      <c r="X69"/>
      <c r="Y69"/>
      <c r="Z69"/>
      <c r="AA69"/>
      <c r="AB69"/>
    </row>
    <row r="70" spans="2:28" ht="15" x14ac:dyDescent="0.25">
      <c r="B70"/>
      <c r="C70"/>
      <c r="D70"/>
      <c r="E70"/>
      <c r="F70"/>
      <c r="G70"/>
      <c r="H70"/>
      <c r="I70"/>
      <c r="J70"/>
      <c r="K70"/>
      <c r="L70"/>
      <c r="M70"/>
      <c r="N70"/>
      <c r="O70"/>
      <c r="P70"/>
      <c r="Q70"/>
      <c r="R70"/>
      <c r="S70"/>
      <c r="T70"/>
      <c r="U70"/>
      <c r="V70"/>
      <c r="W70"/>
      <c r="X70"/>
      <c r="Y70"/>
      <c r="Z70"/>
      <c r="AA70"/>
      <c r="AB70"/>
    </row>
    <row r="71" spans="2:28" ht="15" x14ac:dyDescent="0.25">
      <c r="B71"/>
      <c r="C71"/>
      <c r="D71"/>
      <c r="E71"/>
      <c r="F71"/>
      <c r="G71"/>
      <c r="H71"/>
      <c r="I71"/>
      <c r="J71"/>
      <c r="K71"/>
      <c r="L71"/>
      <c r="M71"/>
      <c r="N71"/>
      <c r="O71"/>
      <c r="P71"/>
      <c r="Q71"/>
      <c r="R71"/>
      <c r="S71"/>
      <c r="T71"/>
      <c r="U71"/>
      <c r="V71"/>
      <c r="W71"/>
      <c r="X71"/>
      <c r="Y71"/>
      <c r="Z71"/>
      <c r="AA71"/>
      <c r="AB71"/>
    </row>
    <row r="72" spans="2:28" ht="15" x14ac:dyDescent="0.25">
      <c r="B72"/>
      <c r="C72"/>
      <c r="D72"/>
      <c r="E72"/>
      <c r="F72"/>
      <c r="G72"/>
      <c r="H72"/>
      <c r="I72"/>
      <c r="J72"/>
      <c r="K72"/>
      <c r="L72"/>
      <c r="M72"/>
      <c r="N72"/>
      <c r="O72"/>
      <c r="P72"/>
      <c r="Q72"/>
      <c r="R72"/>
      <c r="S72"/>
      <c r="T72"/>
      <c r="U72"/>
      <c r="V72"/>
      <c r="W72"/>
      <c r="X72"/>
      <c r="Y72"/>
      <c r="Z72"/>
      <c r="AA72"/>
      <c r="AB72"/>
    </row>
    <row r="73" spans="2:28" ht="15" x14ac:dyDescent="0.25">
      <c r="B73"/>
      <c r="C73"/>
      <c r="D73"/>
      <c r="E73"/>
      <c r="F73"/>
      <c r="G73"/>
      <c r="H73"/>
      <c r="I73"/>
      <c r="J73"/>
      <c r="K73"/>
      <c r="L73"/>
      <c r="M73"/>
      <c r="N73"/>
      <c r="O73"/>
      <c r="P73"/>
      <c r="Q73"/>
      <c r="R73"/>
      <c r="S73"/>
      <c r="T73"/>
      <c r="U73"/>
      <c r="V73"/>
      <c r="W73"/>
      <c r="X73"/>
      <c r="Y73"/>
      <c r="Z73"/>
      <c r="AA73"/>
      <c r="AB73"/>
    </row>
    <row r="74" spans="2:28" ht="15" x14ac:dyDescent="0.25">
      <c r="B74"/>
      <c r="C74"/>
      <c r="D74"/>
      <c r="E74"/>
      <c r="F74"/>
      <c r="G74"/>
      <c r="H74"/>
      <c r="I74"/>
      <c r="J74"/>
      <c r="K74"/>
      <c r="L74"/>
      <c r="M74"/>
      <c r="N74"/>
      <c r="O74"/>
      <c r="P74"/>
      <c r="Q74"/>
      <c r="R74"/>
      <c r="S74"/>
      <c r="T74"/>
      <c r="U74"/>
      <c r="V74"/>
      <c r="W74"/>
      <c r="X74"/>
      <c r="Y74"/>
      <c r="Z74"/>
      <c r="AA74"/>
      <c r="AB74"/>
    </row>
    <row r="75" spans="2:28" ht="15" x14ac:dyDescent="0.25">
      <c r="B75"/>
      <c r="C75"/>
      <c r="D75"/>
      <c r="E75"/>
      <c r="F75"/>
      <c r="G75"/>
      <c r="H75"/>
      <c r="I75"/>
      <c r="J75"/>
      <c r="K75"/>
      <c r="L75"/>
      <c r="M75"/>
      <c r="N75"/>
      <c r="O75"/>
      <c r="P75"/>
      <c r="Q75"/>
      <c r="R75"/>
      <c r="S75"/>
      <c r="T75"/>
      <c r="U75"/>
      <c r="V75"/>
      <c r="W75"/>
      <c r="X75"/>
      <c r="Y75"/>
      <c r="Z75"/>
      <c r="AA75"/>
      <c r="AB75"/>
    </row>
    <row r="76" spans="2:28" ht="15" x14ac:dyDescent="0.25">
      <c r="B76"/>
      <c r="C76"/>
      <c r="D76"/>
      <c r="E76"/>
      <c r="F76"/>
      <c r="G76"/>
      <c r="H76"/>
      <c r="I76"/>
      <c r="J76"/>
      <c r="K76"/>
      <c r="L76"/>
      <c r="M76"/>
      <c r="N76"/>
      <c r="O76"/>
      <c r="P76"/>
      <c r="Q76"/>
      <c r="R76"/>
      <c r="S76"/>
      <c r="T76"/>
      <c r="U76"/>
      <c r="V76"/>
      <c r="W76"/>
      <c r="X76"/>
      <c r="Y76"/>
      <c r="Z76"/>
      <c r="AA76"/>
      <c r="AB76"/>
    </row>
    <row r="77" spans="2:28" ht="15" x14ac:dyDescent="0.25">
      <c r="B77"/>
      <c r="C77"/>
      <c r="D77"/>
      <c r="E77"/>
      <c r="F77"/>
      <c r="G77"/>
      <c r="H77"/>
      <c r="I77"/>
      <c r="J77"/>
      <c r="K77"/>
      <c r="L77"/>
      <c r="M77"/>
      <c r="N77"/>
      <c r="O77"/>
      <c r="P77"/>
      <c r="Q77"/>
      <c r="R77"/>
      <c r="S77"/>
      <c r="T77"/>
      <c r="U77"/>
      <c r="V77"/>
      <c r="W77"/>
      <c r="X77"/>
      <c r="Y77"/>
      <c r="Z77"/>
      <c r="AA77"/>
      <c r="AB77"/>
    </row>
    <row r="78" spans="2:28" ht="15" x14ac:dyDescent="0.25">
      <c r="B78"/>
      <c r="C78"/>
      <c r="D78"/>
      <c r="E78"/>
      <c r="F78"/>
      <c r="G78"/>
      <c r="H78"/>
      <c r="I78"/>
      <c r="J78"/>
      <c r="K78"/>
      <c r="L78"/>
      <c r="M78"/>
      <c r="N78"/>
      <c r="O78"/>
      <c r="P78"/>
      <c r="Q78"/>
      <c r="R78"/>
      <c r="S78"/>
      <c r="T78"/>
      <c r="U78"/>
      <c r="V78"/>
      <c r="W78"/>
      <c r="X78"/>
      <c r="Y78"/>
      <c r="Z78"/>
      <c r="AA78"/>
      <c r="AB78"/>
    </row>
    <row r="79" spans="2:28" ht="15" x14ac:dyDescent="0.25">
      <c r="B79"/>
      <c r="C79"/>
      <c r="D79"/>
      <c r="E79"/>
      <c r="F79"/>
      <c r="G79"/>
      <c r="H79"/>
      <c r="I79"/>
      <c r="J79"/>
      <c r="K79"/>
      <c r="L79"/>
      <c r="M79"/>
      <c r="N79"/>
      <c r="O79"/>
      <c r="P79"/>
      <c r="Q79"/>
      <c r="R79"/>
      <c r="S79"/>
      <c r="T79"/>
      <c r="U79"/>
      <c r="V79"/>
      <c r="W79"/>
      <c r="X79"/>
      <c r="Y79"/>
      <c r="Z79"/>
      <c r="AA79"/>
      <c r="AB79"/>
    </row>
    <row r="80" spans="2:28" ht="15" x14ac:dyDescent="0.25">
      <c r="B80"/>
      <c r="C80"/>
      <c r="D80"/>
      <c r="E80"/>
      <c r="F80"/>
      <c r="G80"/>
      <c r="H80"/>
      <c r="I80"/>
      <c r="J80"/>
      <c r="K80"/>
      <c r="L80"/>
      <c r="M80"/>
      <c r="N80"/>
      <c r="O80"/>
      <c r="P80"/>
      <c r="Q80"/>
      <c r="R80"/>
      <c r="S80"/>
      <c r="T80"/>
      <c r="U80"/>
      <c r="V80"/>
      <c r="W80"/>
      <c r="X80"/>
      <c r="Y80"/>
      <c r="Z80"/>
      <c r="AA80"/>
      <c r="AB80"/>
    </row>
    <row r="81" spans="2:28" ht="15" x14ac:dyDescent="0.25">
      <c r="B81"/>
      <c r="C81"/>
      <c r="D81"/>
      <c r="E81"/>
      <c r="F81"/>
      <c r="G81"/>
      <c r="H81"/>
      <c r="I81"/>
      <c r="J81"/>
      <c r="K81"/>
      <c r="L81"/>
      <c r="M81"/>
      <c r="N81"/>
      <c r="O81"/>
      <c r="P81"/>
      <c r="Q81"/>
      <c r="R81"/>
      <c r="S81"/>
      <c r="T81"/>
      <c r="U81"/>
      <c r="V81"/>
      <c r="W81"/>
      <c r="X81"/>
      <c r="Y81"/>
      <c r="Z81"/>
      <c r="AA81"/>
      <c r="AB81"/>
    </row>
    <row r="82" spans="2:28" ht="15" x14ac:dyDescent="0.25">
      <c r="B82"/>
      <c r="C82"/>
      <c r="D82"/>
      <c r="E82"/>
      <c r="F82"/>
      <c r="G82"/>
      <c r="H82"/>
      <c r="I82"/>
      <c r="J82"/>
      <c r="K82"/>
      <c r="L82"/>
      <c r="M82"/>
      <c r="N82"/>
      <c r="O82"/>
      <c r="P82"/>
      <c r="Q82"/>
      <c r="R82"/>
      <c r="S82"/>
      <c r="T82"/>
      <c r="U82"/>
      <c r="V82"/>
      <c r="W82"/>
      <c r="X82"/>
      <c r="Y82"/>
      <c r="Z82"/>
      <c r="AA82"/>
      <c r="AB82"/>
    </row>
    <row r="83" spans="2:28" ht="15" x14ac:dyDescent="0.25">
      <c r="B83"/>
      <c r="C83"/>
      <c r="D83"/>
      <c r="E83"/>
      <c r="F83"/>
      <c r="G83"/>
      <c r="H83"/>
      <c r="I83"/>
      <c r="J83"/>
      <c r="K83"/>
      <c r="L83"/>
      <c r="M83"/>
      <c r="N83"/>
      <c r="O83"/>
      <c r="P83"/>
      <c r="Q83"/>
      <c r="R83"/>
      <c r="S83"/>
      <c r="T83"/>
      <c r="U83"/>
      <c r="V83"/>
      <c r="W83"/>
      <c r="X83"/>
      <c r="Y83"/>
      <c r="Z83"/>
      <c r="AA83"/>
      <c r="AB83"/>
    </row>
    <row r="84" spans="2:28" ht="15" x14ac:dyDescent="0.25">
      <c r="B84"/>
      <c r="C84"/>
      <c r="D84"/>
      <c r="E84"/>
      <c r="F84"/>
      <c r="G84"/>
      <c r="H84"/>
      <c r="I84"/>
      <c r="J84"/>
      <c r="K84"/>
      <c r="L84"/>
      <c r="M84"/>
      <c r="N84"/>
      <c r="O84"/>
      <c r="P84"/>
      <c r="Q84"/>
      <c r="R84"/>
      <c r="S84"/>
      <c r="T84"/>
      <c r="U84"/>
      <c r="V84"/>
      <c r="W84"/>
      <c r="X84"/>
      <c r="Y84"/>
      <c r="Z84"/>
      <c r="AA84"/>
      <c r="AB84"/>
    </row>
    <row r="85" spans="2:28" ht="15" x14ac:dyDescent="0.25">
      <c r="B85"/>
      <c r="C85"/>
      <c r="D85"/>
      <c r="E85"/>
      <c r="F85"/>
      <c r="G85"/>
      <c r="H85"/>
      <c r="I85"/>
      <c r="J85"/>
      <c r="K85"/>
      <c r="L85"/>
      <c r="M85"/>
      <c r="N85"/>
      <c r="O85"/>
      <c r="P85"/>
      <c r="Q85"/>
      <c r="R85"/>
      <c r="S85"/>
      <c r="T85"/>
      <c r="U85"/>
      <c r="V85"/>
      <c r="W85"/>
      <c r="X85"/>
      <c r="Y85"/>
      <c r="Z85"/>
      <c r="AA85"/>
      <c r="AB85"/>
    </row>
    <row r="86" spans="2:28" ht="15" x14ac:dyDescent="0.25">
      <c r="B86"/>
      <c r="C86"/>
      <c r="D86"/>
      <c r="E86"/>
      <c r="F86"/>
      <c r="G86"/>
      <c r="H86"/>
      <c r="I86"/>
      <c r="J86"/>
      <c r="K86"/>
      <c r="L86"/>
      <c r="M86"/>
      <c r="N86"/>
      <c r="O86"/>
      <c r="P86"/>
      <c r="Q86"/>
      <c r="R86"/>
      <c r="S86"/>
      <c r="T86"/>
      <c r="U86"/>
      <c r="V86"/>
      <c r="W86"/>
      <c r="X86"/>
      <c r="Y86"/>
      <c r="Z86"/>
      <c r="AA86"/>
      <c r="AB86"/>
    </row>
    <row r="87" spans="2:28" ht="15" x14ac:dyDescent="0.25">
      <c r="B87"/>
      <c r="C87"/>
      <c r="D87"/>
      <c r="E87"/>
      <c r="F87"/>
      <c r="G87"/>
      <c r="H87"/>
      <c r="I87"/>
      <c r="J87"/>
      <c r="K87"/>
      <c r="L87"/>
      <c r="M87"/>
      <c r="N87"/>
      <c r="O87"/>
      <c r="P87"/>
      <c r="Q87"/>
      <c r="R87"/>
      <c r="S87"/>
      <c r="T87"/>
      <c r="U87"/>
      <c r="V87"/>
      <c r="W87"/>
      <c r="X87"/>
      <c r="Y87"/>
      <c r="Z87"/>
      <c r="AA87"/>
      <c r="AB87"/>
    </row>
    <row r="88" spans="2:28" ht="15" x14ac:dyDescent="0.25">
      <c r="B88"/>
      <c r="C88"/>
      <c r="D88"/>
      <c r="E88"/>
      <c r="F88"/>
      <c r="G88"/>
      <c r="H88"/>
      <c r="I88"/>
      <c r="J88"/>
      <c r="K88"/>
      <c r="L88"/>
      <c r="M88"/>
      <c r="N88"/>
      <c r="O88"/>
      <c r="P88"/>
      <c r="Q88"/>
      <c r="R88"/>
      <c r="S88"/>
      <c r="T88"/>
      <c r="U88"/>
      <c r="V88"/>
      <c r="W88"/>
      <c r="X88"/>
      <c r="Y88"/>
      <c r="Z88"/>
      <c r="AA88"/>
      <c r="AB88"/>
    </row>
    <row r="89" spans="2:28" ht="15" x14ac:dyDescent="0.25">
      <c r="B89"/>
      <c r="C89"/>
      <c r="D89"/>
      <c r="E89"/>
      <c r="F89"/>
      <c r="G89"/>
      <c r="H89"/>
      <c r="I89"/>
      <c r="J89"/>
      <c r="K89"/>
      <c r="L89"/>
      <c r="M89"/>
      <c r="N89"/>
      <c r="O89"/>
      <c r="P89"/>
      <c r="Q89"/>
      <c r="R89"/>
      <c r="S89"/>
      <c r="T89"/>
      <c r="U89"/>
      <c r="V89"/>
      <c r="W89"/>
      <c r="X89"/>
      <c r="Y89"/>
      <c r="Z89"/>
      <c r="AA89"/>
      <c r="AB89"/>
    </row>
    <row r="90" spans="2:28" ht="15" x14ac:dyDescent="0.25">
      <c r="B90"/>
      <c r="C90"/>
      <c r="D90"/>
      <c r="E90"/>
      <c r="F90"/>
      <c r="G90"/>
      <c r="H90"/>
      <c r="I90"/>
      <c r="J90"/>
      <c r="K90"/>
      <c r="L90"/>
      <c r="M90"/>
      <c r="N90"/>
      <c r="O90"/>
      <c r="P90"/>
      <c r="Q90"/>
      <c r="R90"/>
      <c r="S90"/>
      <c r="T90"/>
      <c r="U90"/>
      <c r="V90"/>
      <c r="W90"/>
      <c r="X90"/>
      <c r="Y90"/>
      <c r="Z90"/>
      <c r="AA90"/>
      <c r="AB90"/>
    </row>
    <row r="91" spans="2:28" ht="15" x14ac:dyDescent="0.25">
      <c r="B91"/>
      <c r="C91"/>
      <c r="D91"/>
      <c r="E91"/>
      <c r="F91"/>
      <c r="G91"/>
      <c r="H91"/>
      <c r="I91"/>
      <c r="J91"/>
      <c r="K91"/>
      <c r="L91"/>
      <c r="M91"/>
      <c r="N91"/>
      <c r="O91"/>
      <c r="P91"/>
      <c r="Q91"/>
      <c r="R91"/>
      <c r="S91"/>
      <c r="T91"/>
      <c r="U91"/>
      <c r="V91"/>
      <c r="W91"/>
      <c r="X91"/>
      <c r="Y91"/>
      <c r="Z91"/>
      <c r="AA91"/>
      <c r="AB91"/>
    </row>
    <row r="92" spans="2:28" ht="15" x14ac:dyDescent="0.25">
      <c r="B92"/>
      <c r="C92"/>
      <c r="D92"/>
      <c r="E92"/>
      <c r="F92"/>
      <c r="G92"/>
      <c r="H92"/>
      <c r="I92"/>
      <c r="J92"/>
      <c r="K92"/>
      <c r="L92"/>
      <c r="M92"/>
      <c r="N92"/>
      <c r="O92"/>
      <c r="P92"/>
      <c r="Q92"/>
      <c r="R92"/>
      <c r="S92"/>
      <c r="T92"/>
      <c r="U92"/>
      <c r="V92"/>
      <c r="W92"/>
      <c r="X92"/>
      <c r="Y92"/>
      <c r="Z92"/>
      <c r="AA92"/>
      <c r="AB92"/>
    </row>
    <row r="93" spans="2:28" ht="15" x14ac:dyDescent="0.25">
      <c r="B93"/>
      <c r="C93"/>
      <c r="D93"/>
      <c r="E93"/>
      <c r="F93"/>
      <c r="G93"/>
      <c r="H93"/>
      <c r="I93"/>
      <c r="J93"/>
      <c r="K93"/>
      <c r="L93"/>
      <c r="M93"/>
      <c r="N93"/>
      <c r="O93"/>
      <c r="P93"/>
      <c r="Q93"/>
      <c r="R93"/>
      <c r="S93"/>
      <c r="T93"/>
      <c r="U93"/>
      <c r="V93"/>
      <c r="W93"/>
      <c r="X93"/>
      <c r="Y93"/>
      <c r="Z93"/>
      <c r="AA93"/>
      <c r="AB93"/>
    </row>
    <row r="94" spans="2:28" ht="15" x14ac:dyDescent="0.25">
      <c r="B94"/>
      <c r="C94"/>
      <c r="D94"/>
      <c r="E94"/>
      <c r="F94"/>
      <c r="G94"/>
      <c r="H94"/>
      <c r="I94"/>
      <c r="J94"/>
      <c r="K94"/>
      <c r="L94"/>
      <c r="M94"/>
      <c r="N94"/>
      <c r="O94"/>
      <c r="P94"/>
      <c r="Q94"/>
      <c r="R94"/>
      <c r="S94"/>
      <c r="T94"/>
      <c r="U94"/>
      <c r="V94"/>
      <c r="W94"/>
      <c r="X94"/>
      <c r="Y94"/>
      <c r="Z94"/>
      <c r="AA94"/>
      <c r="AB94"/>
    </row>
    <row r="95" spans="2:28" ht="15" x14ac:dyDescent="0.25">
      <c r="B95"/>
      <c r="C95"/>
      <c r="D95"/>
      <c r="E95"/>
      <c r="F95"/>
      <c r="G95"/>
      <c r="H95"/>
      <c r="I95"/>
      <c r="J95"/>
      <c r="K95"/>
      <c r="L95"/>
      <c r="M95"/>
      <c r="N95"/>
      <c r="O95"/>
      <c r="P95"/>
      <c r="Q95"/>
      <c r="R95"/>
      <c r="S95"/>
      <c r="T95"/>
      <c r="U95"/>
      <c r="V95"/>
      <c r="W95"/>
      <c r="X95"/>
      <c r="Y95"/>
      <c r="Z95"/>
      <c r="AA95"/>
      <c r="AB95"/>
    </row>
    <row r="96" spans="2:28" ht="15" x14ac:dyDescent="0.25">
      <c r="B96"/>
      <c r="C96"/>
      <c r="D96"/>
      <c r="E96"/>
      <c r="F96"/>
      <c r="G96"/>
      <c r="H96"/>
      <c r="I96"/>
      <c r="J96"/>
      <c r="K96"/>
      <c r="L96"/>
      <c r="M96"/>
      <c r="N96"/>
      <c r="O96"/>
      <c r="P96"/>
      <c r="Q96"/>
      <c r="R96"/>
      <c r="S96"/>
      <c r="T96"/>
      <c r="U96"/>
      <c r="V96"/>
      <c r="W96"/>
      <c r="X96"/>
      <c r="Y96"/>
      <c r="Z96"/>
      <c r="AA96"/>
      <c r="AB96"/>
    </row>
    <row r="97" spans="2:28" ht="15" x14ac:dyDescent="0.25">
      <c r="B97"/>
      <c r="C97"/>
      <c r="D97"/>
      <c r="E97"/>
      <c r="F97"/>
      <c r="G97"/>
      <c r="H97"/>
      <c r="I97"/>
      <c r="J97"/>
      <c r="K97"/>
      <c r="L97"/>
      <c r="M97"/>
      <c r="N97"/>
      <c r="O97"/>
      <c r="P97"/>
      <c r="Q97"/>
      <c r="R97"/>
      <c r="S97"/>
      <c r="T97"/>
      <c r="U97"/>
      <c r="V97"/>
      <c r="W97"/>
      <c r="X97"/>
      <c r="Y97"/>
      <c r="Z97"/>
      <c r="AA97"/>
      <c r="AB97"/>
    </row>
    <row r="98" spans="2:28" ht="15" x14ac:dyDescent="0.25">
      <c r="B98"/>
      <c r="C98"/>
      <c r="D98"/>
      <c r="E98"/>
      <c r="F98"/>
      <c r="G98"/>
      <c r="H98"/>
      <c r="I98"/>
      <c r="J98"/>
      <c r="K98"/>
      <c r="L98"/>
      <c r="M98"/>
      <c r="N98"/>
      <c r="O98"/>
      <c r="P98"/>
      <c r="Q98"/>
      <c r="R98"/>
      <c r="S98"/>
      <c r="T98"/>
      <c r="U98"/>
      <c r="V98"/>
      <c r="W98"/>
      <c r="X98"/>
      <c r="Y98"/>
      <c r="Z98"/>
      <c r="AA98"/>
      <c r="AB98"/>
    </row>
    <row r="99" spans="2:28" ht="15" x14ac:dyDescent="0.25">
      <c r="B99"/>
      <c r="C99"/>
      <c r="D99"/>
      <c r="E99"/>
      <c r="F99"/>
      <c r="G99"/>
      <c r="H99"/>
      <c r="I99"/>
      <c r="J99"/>
      <c r="K99"/>
      <c r="L99"/>
      <c r="M99"/>
      <c r="N99"/>
      <c r="O99"/>
      <c r="P99"/>
      <c r="Q99"/>
      <c r="R99"/>
      <c r="S99"/>
      <c r="T99"/>
      <c r="U99"/>
      <c r="V99"/>
      <c r="W99"/>
      <c r="X99"/>
      <c r="Y99"/>
      <c r="Z99"/>
      <c r="AA99"/>
      <c r="AB99"/>
    </row>
    <row r="100" spans="2:28" ht="15" x14ac:dyDescent="0.25">
      <c r="B100"/>
      <c r="C100"/>
      <c r="D100"/>
      <c r="E100"/>
      <c r="F100"/>
      <c r="G100"/>
      <c r="H100"/>
      <c r="I100"/>
      <c r="J100"/>
      <c r="K100"/>
      <c r="L100"/>
      <c r="M100"/>
      <c r="N100"/>
      <c r="O100"/>
      <c r="P100"/>
      <c r="Q100"/>
      <c r="R100"/>
      <c r="S100"/>
      <c r="T100"/>
      <c r="U100"/>
      <c r="V100"/>
      <c r="W100"/>
      <c r="X100"/>
      <c r="Y100"/>
      <c r="Z100"/>
      <c r="AA100"/>
      <c r="AB100"/>
    </row>
    <row r="101" spans="2:28" ht="15" x14ac:dyDescent="0.25">
      <c r="B101"/>
      <c r="C101"/>
      <c r="D101"/>
      <c r="E101"/>
      <c r="F101"/>
      <c r="G101"/>
      <c r="H101"/>
      <c r="I101"/>
      <c r="J101"/>
      <c r="K101"/>
      <c r="L101"/>
      <c r="M101"/>
      <c r="N101"/>
      <c r="O101"/>
      <c r="P101"/>
      <c r="Q101"/>
      <c r="R101"/>
      <c r="S101"/>
      <c r="T101"/>
      <c r="U101"/>
      <c r="V101"/>
      <c r="W101"/>
      <c r="X101"/>
      <c r="Y101"/>
      <c r="Z101"/>
      <c r="AA101"/>
      <c r="AB101"/>
    </row>
    <row r="102" spans="2:28" ht="15" x14ac:dyDescent="0.25">
      <c r="B102"/>
      <c r="C102"/>
      <c r="D102"/>
      <c r="E102"/>
      <c r="F102"/>
      <c r="G102"/>
      <c r="H102"/>
      <c r="I102"/>
      <c r="J102"/>
      <c r="K102"/>
      <c r="L102"/>
      <c r="M102"/>
      <c r="N102"/>
      <c r="O102"/>
      <c r="P102"/>
      <c r="Q102"/>
      <c r="R102"/>
      <c r="S102"/>
      <c r="T102"/>
      <c r="U102"/>
      <c r="V102"/>
      <c r="W102"/>
      <c r="X102"/>
      <c r="Y102"/>
      <c r="Z102"/>
      <c r="AA102"/>
      <c r="AB102"/>
    </row>
    <row r="103" spans="2:28" ht="15" x14ac:dyDescent="0.25">
      <c r="B103"/>
      <c r="C103"/>
      <c r="D103"/>
      <c r="E103"/>
      <c r="F103"/>
      <c r="G103"/>
      <c r="H103"/>
      <c r="I103"/>
      <c r="J103"/>
      <c r="K103"/>
      <c r="L103"/>
      <c r="M103"/>
      <c r="N103"/>
      <c r="O103"/>
      <c r="P103"/>
      <c r="Q103"/>
      <c r="R103"/>
      <c r="S103"/>
      <c r="T103"/>
      <c r="U103"/>
      <c r="V103"/>
      <c r="W103"/>
      <c r="X103"/>
      <c r="Y103"/>
      <c r="Z103"/>
      <c r="AA103"/>
      <c r="AB103"/>
    </row>
    <row r="104" spans="2:28" ht="15" x14ac:dyDescent="0.25">
      <c r="B104"/>
      <c r="C104"/>
      <c r="D104"/>
      <c r="E104"/>
      <c r="F104"/>
      <c r="G104"/>
      <c r="H104"/>
      <c r="I104"/>
      <c r="J104"/>
      <c r="K104"/>
      <c r="L104"/>
      <c r="M104"/>
      <c r="N104"/>
      <c r="O104"/>
      <c r="P104"/>
      <c r="Q104"/>
      <c r="R104"/>
      <c r="S104"/>
      <c r="T104"/>
      <c r="U104"/>
      <c r="V104"/>
      <c r="W104"/>
      <c r="X104"/>
      <c r="Y104"/>
      <c r="Z104"/>
      <c r="AA104"/>
      <c r="AB104"/>
    </row>
    <row r="105" spans="2:28" ht="15" x14ac:dyDescent="0.25">
      <c r="B105"/>
      <c r="C105"/>
      <c r="D105"/>
      <c r="E105"/>
      <c r="F105"/>
      <c r="G105"/>
      <c r="H105"/>
      <c r="I105"/>
      <c r="J105"/>
      <c r="K105"/>
      <c r="L105"/>
      <c r="M105"/>
      <c r="N105"/>
      <c r="O105"/>
      <c r="P105"/>
      <c r="Q105"/>
      <c r="R105"/>
      <c r="S105"/>
      <c r="T105"/>
      <c r="U105"/>
      <c r="V105"/>
      <c r="W105"/>
      <c r="X105"/>
      <c r="Y105"/>
      <c r="Z105"/>
      <c r="AA105"/>
      <c r="AB105"/>
    </row>
    <row r="106" spans="2:28" ht="15" x14ac:dyDescent="0.25">
      <c r="B106"/>
      <c r="C106"/>
      <c r="D106"/>
      <c r="E106"/>
      <c r="F106"/>
      <c r="G106"/>
      <c r="H106"/>
      <c r="I106"/>
      <c r="J106"/>
      <c r="K106"/>
      <c r="L106"/>
      <c r="M106"/>
      <c r="N106"/>
      <c r="O106"/>
      <c r="P106"/>
      <c r="Q106"/>
      <c r="R106"/>
      <c r="S106"/>
      <c r="T106"/>
      <c r="U106"/>
      <c r="V106"/>
      <c r="W106"/>
      <c r="X106"/>
      <c r="Y106"/>
      <c r="Z106"/>
      <c r="AA106"/>
      <c r="AB106"/>
    </row>
    <row r="107" spans="2:28" ht="15" x14ac:dyDescent="0.25">
      <c r="B107"/>
      <c r="C107"/>
      <c r="D107"/>
      <c r="E107"/>
      <c r="F107"/>
      <c r="G107"/>
      <c r="H107"/>
      <c r="I107"/>
      <c r="J107"/>
      <c r="K107"/>
      <c r="L107"/>
      <c r="M107"/>
      <c r="N107"/>
      <c r="O107"/>
      <c r="P107"/>
      <c r="Q107"/>
      <c r="R107"/>
      <c r="S107"/>
      <c r="T107"/>
      <c r="U107"/>
      <c r="V107"/>
      <c r="W107"/>
      <c r="X107"/>
      <c r="Y107"/>
      <c r="Z107"/>
      <c r="AA107"/>
      <c r="AB107"/>
    </row>
    <row r="108" spans="2:28" ht="15" x14ac:dyDescent="0.25">
      <c r="B108"/>
      <c r="C108"/>
      <c r="D108"/>
      <c r="E108"/>
      <c r="F108"/>
      <c r="G108"/>
      <c r="H108"/>
      <c r="I108"/>
      <c r="J108"/>
      <c r="K108"/>
      <c r="L108"/>
      <c r="M108"/>
      <c r="N108"/>
      <c r="O108"/>
      <c r="P108"/>
      <c r="Q108"/>
      <c r="R108"/>
      <c r="S108"/>
      <c r="T108"/>
      <c r="U108"/>
      <c r="V108"/>
      <c r="W108"/>
      <c r="X108"/>
      <c r="Y108"/>
      <c r="Z108"/>
      <c r="AA108"/>
      <c r="AB108"/>
    </row>
    <row r="109" spans="2:28" ht="15" x14ac:dyDescent="0.25">
      <c r="B109"/>
      <c r="C109"/>
      <c r="D109"/>
      <c r="E109"/>
      <c r="F109"/>
      <c r="G109"/>
      <c r="H109"/>
      <c r="I109"/>
      <c r="J109"/>
      <c r="K109"/>
      <c r="L109"/>
      <c r="M109"/>
      <c r="N109"/>
      <c r="O109"/>
      <c r="P109"/>
      <c r="Q109"/>
      <c r="R109"/>
      <c r="S109"/>
      <c r="T109"/>
      <c r="U109"/>
      <c r="V109"/>
      <c r="W109"/>
      <c r="X109"/>
      <c r="Y109"/>
      <c r="Z109"/>
      <c r="AA109"/>
      <c r="AB109"/>
    </row>
    <row r="110" spans="2:28" ht="15" x14ac:dyDescent="0.25">
      <c r="B110"/>
      <c r="C110"/>
      <c r="D110"/>
      <c r="E110"/>
      <c r="F110"/>
      <c r="G110"/>
      <c r="H110"/>
      <c r="I110"/>
      <c r="J110"/>
      <c r="K110"/>
      <c r="L110"/>
      <c r="M110"/>
      <c r="N110"/>
      <c r="O110"/>
      <c r="P110"/>
      <c r="Q110"/>
      <c r="R110"/>
      <c r="S110"/>
      <c r="T110"/>
      <c r="U110"/>
      <c r="V110"/>
      <c r="W110"/>
      <c r="X110"/>
      <c r="Y110"/>
      <c r="Z110"/>
      <c r="AA110"/>
      <c r="AB110"/>
    </row>
    <row r="111" spans="2:28" ht="15" x14ac:dyDescent="0.25">
      <c r="B111"/>
      <c r="C111"/>
      <c r="D111"/>
      <c r="E111"/>
      <c r="F111"/>
      <c r="G111"/>
      <c r="H111"/>
      <c r="I111"/>
      <c r="J111"/>
      <c r="K111"/>
      <c r="L111"/>
      <c r="M111"/>
      <c r="N111"/>
      <c r="O111"/>
      <c r="P111"/>
      <c r="Q111"/>
      <c r="R111"/>
      <c r="S111"/>
      <c r="T111"/>
      <c r="U111"/>
      <c r="V111"/>
      <c r="W111"/>
      <c r="X111"/>
      <c r="Y111"/>
      <c r="Z111"/>
      <c r="AA111"/>
      <c r="AB111"/>
    </row>
    <row r="112" spans="2:28" ht="15" x14ac:dyDescent="0.25">
      <c r="B112"/>
      <c r="C112"/>
      <c r="D112"/>
      <c r="E112"/>
      <c r="F112"/>
      <c r="G112"/>
      <c r="H112"/>
      <c r="I112"/>
      <c r="J112"/>
      <c r="K112"/>
      <c r="L112"/>
      <c r="M112"/>
      <c r="N112"/>
      <c r="O112"/>
      <c r="P112"/>
      <c r="Q112"/>
      <c r="R112"/>
      <c r="S112"/>
      <c r="T112"/>
      <c r="U112"/>
      <c r="V112"/>
      <c r="W112"/>
      <c r="X112"/>
      <c r="Y112"/>
      <c r="Z112"/>
      <c r="AA112"/>
      <c r="AB112"/>
    </row>
    <row r="113" spans="2:28" ht="15" x14ac:dyDescent="0.25">
      <c r="B113"/>
      <c r="C113"/>
      <c r="D113"/>
      <c r="E113"/>
      <c r="F113"/>
      <c r="G113"/>
      <c r="H113"/>
      <c r="I113"/>
      <c r="J113"/>
      <c r="K113"/>
      <c r="L113"/>
      <c r="M113"/>
      <c r="N113"/>
      <c r="O113"/>
      <c r="P113"/>
      <c r="Q113"/>
      <c r="R113"/>
      <c r="S113"/>
      <c r="T113"/>
      <c r="U113"/>
      <c r="V113"/>
      <c r="W113"/>
      <c r="X113"/>
      <c r="Y113"/>
      <c r="Z113"/>
      <c r="AA113"/>
      <c r="AB113"/>
    </row>
    <row r="114" spans="2:28" ht="15" x14ac:dyDescent="0.25">
      <c r="B114"/>
      <c r="C114"/>
      <c r="D114"/>
      <c r="E114"/>
      <c r="F114"/>
      <c r="G114"/>
      <c r="H114"/>
      <c r="I114"/>
      <c r="J114"/>
      <c r="K114"/>
      <c r="L114"/>
      <c r="M114"/>
      <c r="N114"/>
      <c r="O114"/>
      <c r="P114"/>
      <c r="Q114"/>
      <c r="R114"/>
      <c r="S114"/>
      <c r="T114"/>
      <c r="U114"/>
      <c r="V114"/>
      <c r="W114"/>
      <c r="X114"/>
      <c r="Y114"/>
      <c r="Z114"/>
      <c r="AA114"/>
      <c r="AB114"/>
    </row>
    <row r="115" spans="2:28" ht="15" x14ac:dyDescent="0.25">
      <c r="B115"/>
      <c r="C115"/>
      <c r="D115"/>
      <c r="E115"/>
      <c r="F115"/>
      <c r="G115"/>
      <c r="H115"/>
      <c r="I115"/>
      <c r="J115"/>
      <c r="K115"/>
      <c r="L115"/>
      <c r="M115"/>
      <c r="N115"/>
      <c r="O115"/>
      <c r="P115"/>
      <c r="Q115"/>
      <c r="R115"/>
      <c r="S115"/>
      <c r="T115"/>
      <c r="U115"/>
      <c r="V115"/>
      <c r="W115"/>
      <c r="X115"/>
      <c r="Y115"/>
      <c r="Z115"/>
      <c r="AA115"/>
      <c r="AB115"/>
    </row>
    <row r="116" spans="2:28" ht="15" x14ac:dyDescent="0.25">
      <c r="B116"/>
      <c r="C116"/>
      <c r="D116"/>
      <c r="E116"/>
      <c r="F116"/>
      <c r="G116"/>
      <c r="H116"/>
      <c r="I116"/>
      <c r="J116"/>
      <c r="K116"/>
      <c r="L116"/>
      <c r="M116"/>
      <c r="N116"/>
      <c r="O116"/>
      <c r="P116"/>
      <c r="Q116"/>
      <c r="R116"/>
      <c r="S116"/>
      <c r="T116"/>
      <c r="U116"/>
      <c r="V116"/>
      <c r="W116"/>
      <c r="X116"/>
      <c r="Y116"/>
      <c r="Z116"/>
      <c r="AA116"/>
      <c r="AB116"/>
    </row>
    <row r="117" spans="2:28" ht="15" x14ac:dyDescent="0.25">
      <c r="B117"/>
      <c r="C117"/>
      <c r="D117"/>
      <c r="E117"/>
      <c r="F117"/>
      <c r="G117"/>
      <c r="H117"/>
      <c r="I117"/>
      <c r="J117"/>
      <c r="K117"/>
      <c r="L117"/>
      <c r="M117"/>
      <c r="N117"/>
      <c r="O117"/>
      <c r="P117"/>
      <c r="Q117"/>
      <c r="R117"/>
      <c r="S117"/>
      <c r="T117"/>
      <c r="U117"/>
      <c r="V117"/>
      <c r="W117"/>
      <c r="X117"/>
      <c r="Y117"/>
      <c r="Z117"/>
      <c r="AA117"/>
      <c r="AB117"/>
    </row>
    <row r="118" spans="2:28" ht="15" x14ac:dyDescent="0.25">
      <c r="B118"/>
      <c r="C118"/>
      <c r="D118"/>
      <c r="E118"/>
      <c r="F118"/>
      <c r="G118"/>
      <c r="H118"/>
      <c r="I118"/>
      <c r="J118"/>
      <c r="K118"/>
      <c r="L118"/>
      <c r="M118"/>
      <c r="N118"/>
      <c r="O118"/>
      <c r="P118"/>
      <c r="Q118"/>
      <c r="R118"/>
      <c r="S118"/>
      <c r="T118"/>
      <c r="U118"/>
      <c r="V118"/>
      <c r="W118"/>
      <c r="X118"/>
      <c r="Y118"/>
      <c r="Z118"/>
      <c r="AA118"/>
      <c r="AB118"/>
    </row>
    <row r="119" spans="2:28" ht="15" x14ac:dyDescent="0.25">
      <c r="B119"/>
      <c r="C119"/>
      <c r="D119"/>
      <c r="E119"/>
      <c r="F119"/>
      <c r="G119"/>
      <c r="H119"/>
      <c r="I119"/>
      <c r="J119"/>
      <c r="K119"/>
      <c r="L119"/>
      <c r="M119"/>
      <c r="N119"/>
      <c r="O119"/>
      <c r="P119"/>
      <c r="Q119"/>
      <c r="R119"/>
      <c r="S119"/>
      <c r="T119"/>
      <c r="U119"/>
      <c r="V119"/>
      <c r="W119"/>
      <c r="X119"/>
      <c r="Y119"/>
      <c r="Z119"/>
      <c r="AA119"/>
      <c r="AB119"/>
    </row>
    <row r="120" spans="2:28" ht="15" x14ac:dyDescent="0.25">
      <c r="B120"/>
      <c r="C120"/>
      <c r="D120"/>
      <c r="E120"/>
      <c r="F120"/>
      <c r="G120"/>
      <c r="H120"/>
      <c r="I120"/>
      <c r="J120"/>
      <c r="K120"/>
      <c r="L120"/>
      <c r="M120"/>
      <c r="N120"/>
      <c r="O120"/>
      <c r="P120"/>
      <c r="Q120"/>
      <c r="R120"/>
      <c r="S120"/>
      <c r="T120"/>
      <c r="U120"/>
      <c r="V120"/>
      <c r="W120"/>
      <c r="X120"/>
      <c r="Y120"/>
      <c r="Z120"/>
      <c r="AA120"/>
      <c r="AB120"/>
    </row>
    <row r="121" spans="2:28" ht="15" x14ac:dyDescent="0.25">
      <c r="B121"/>
      <c r="C121"/>
      <c r="D121"/>
      <c r="E121"/>
      <c r="F121"/>
      <c r="G121"/>
      <c r="H121"/>
      <c r="I121"/>
      <c r="J121"/>
      <c r="K121"/>
      <c r="L121"/>
      <c r="M121"/>
      <c r="N121"/>
      <c r="O121"/>
      <c r="P121"/>
      <c r="Q121"/>
      <c r="R121"/>
      <c r="S121"/>
      <c r="T121"/>
      <c r="U121"/>
      <c r="V121"/>
      <c r="W121"/>
      <c r="X121"/>
      <c r="Y121"/>
      <c r="Z121"/>
      <c r="AA121"/>
      <c r="AB121"/>
    </row>
    <row r="122" spans="2:28" ht="15" x14ac:dyDescent="0.25">
      <c r="B122"/>
      <c r="C122"/>
      <c r="D122"/>
      <c r="E122"/>
      <c r="F122"/>
      <c r="G122"/>
      <c r="H122"/>
      <c r="I122"/>
      <c r="J122"/>
      <c r="K122"/>
      <c r="L122"/>
      <c r="M122"/>
      <c r="N122"/>
      <c r="O122"/>
      <c r="P122"/>
      <c r="Q122"/>
      <c r="R122"/>
      <c r="S122"/>
      <c r="T122"/>
      <c r="U122"/>
      <c r="V122"/>
      <c r="W122"/>
      <c r="X122"/>
      <c r="Y122"/>
      <c r="Z122"/>
      <c r="AA122"/>
      <c r="AB122"/>
    </row>
    <row r="123" spans="2:28" ht="15" x14ac:dyDescent="0.25">
      <c r="B123"/>
      <c r="C123"/>
      <c r="D123"/>
      <c r="E123"/>
      <c r="F123"/>
      <c r="G123"/>
      <c r="H123"/>
      <c r="I123"/>
      <c r="J123"/>
      <c r="K123"/>
      <c r="L123"/>
      <c r="M123"/>
      <c r="N123"/>
      <c r="O123"/>
      <c r="P123"/>
      <c r="Q123"/>
      <c r="R123"/>
      <c r="S123"/>
      <c r="T123"/>
      <c r="U123"/>
      <c r="V123"/>
      <c r="W123"/>
      <c r="X123"/>
      <c r="Y123"/>
      <c r="Z123"/>
      <c r="AA123"/>
      <c r="AB123"/>
    </row>
    <row r="124" spans="2:28" ht="15" x14ac:dyDescent="0.25">
      <c r="B124"/>
      <c r="C124"/>
      <c r="D124"/>
      <c r="E124"/>
      <c r="F124"/>
      <c r="G124"/>
      <c r="H124"/>
      <c r="I124"/>
      <c r="J124"/>
      <c r="K124"/>
      <c r="L124"/>
      <c r="M124"/>
      <c r="N124"/>
      <c r="O124"/>
      <c r="P124"/>
      <c r="Q124"/>
      <c r="R124"/>
      <c r="S124"/>
      <c r="T124"/>
      <c r="U124"/>
      <c r="V124"/>
      <c r="W124"/>
      <c r="X124"/>
      <c r="Y124"/>
      <c r="Z124"/>
      <c r="AA124"/>
      <c r="AB124"/>
    </row>
    <row r="125" spans="2:28" ht="15" x14ac:dyDescent="0.25">
      <c r="B125"/>
      <c r="C125"/>
      <c r="D125"/>
      <c r="E125"/>
      <c r="F125"/>
      <c r="G125"/>
      <c r="H125"/>
      <c r="I125"/>
      <c r="J125"/>
      <c r="K125"/>
      <c r="L125"/>
      <c r="M125"/>
      <c r="N125"/>
      <c r="O125"/>
      <c r="P125"/>
      <c r="Q125"/>
      <c r="R125"/>
      <c r="S125"/>
      <c r="T125"/>
      <c r="U125"/>
      <c r="V125"/>
      <c r="W125"/>
      <c r="X125"/>
      <c r="Y125"/>
      <c r="Z125"/>
      <c r="AA125"/>
      <c r="AB125"/>
    </row>
    <row r="126" spans="2:28" ht="15" x14ac:dyDescent="0.25">
      <c r="B126"/>
      <c r="C126"/>
      <c r="D126"/>
      <c r="E126"/>
      <c r="F126"/>
      <c r="G126"/>
      <c r="H126"/>
      <c r="I126"/>
      <c r="J126"/>
      <c r="K126"/>
      <c r="L126"/>
      <c r="M126"/>
      <c r="N126"/>
      <c r="O126"/>
      <c r="P126"/>
      <c r="Q126"/>
      <c r="R126"/>
      <c r="S126"/>
      <c r="T126"/>
      <c r="U126"/>
      <c r="V126"/>
      <c r="W126"/>
      <c r="X126"/>
      <c r="Y126"/>
      <c r="Z126"/>
      <c r="AA126"/>
      <c r="AB126"/>
    </row>
    <row r="127" spans="2:28" ht="15" x14ac:dyDescent="0.25">
      <c r="B127"/>
      <c r="C127"/>
      <c r="D127"/>
      <c r="E127"/>
      <c r="F127"/>
      <c r="G127"/>
      <c r="H127"/>
      <c r="I127"/>
      <c r="J127"/>
      <c r="K127"/>
      <c r="L127"/>
      <c r="M127"/>
      <c r="N127"/>
      <c r="O127"/>
      <c r="P127"/>
      <c r="Q127"/>
      <c r="R127"/>
      <c r="S127"/>
      <c r="T127"/>
      <c r="U127"/>
      <c r="V127"/>
      <c r="W127"/>
      <c r="X127"/>
      <c r="Y127"/>
      <c r="Z127"/>
      <c r="AA127"/>
      <c r="AB127"/>
    </row>
  </sheetData>
  <autoFilter ref="A2:K5" xr:uid="{2E9DC9C1-ABE9-4C74-8C0A-F769CBEC5074}"/>
  <mergeCells count="1">
    <mergeCell ref="A1:K1"/>
  </mergeCells>
  <phoneticPr fontId="5" type="noConversion"/>
  <dataValidations count="1">
    <dataValidation type="list" allowBlank="1" showInputMessage="1" showErrorMessage="1" sqref="A3:A4" xr:uid="{98A112F3-6E90-47D9-AC6B-9BA235861C7D}">
      <formula1>#REF!</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5"/>
  <sheetViews>
    <sheetView zoomScale="85" zoomScaleNormal="85" zoomScaleSheetLayoutView="40" workbookViewId="0">
      <selection sqref="A1:H1"/>
    </sheetView>
  </sheetViews>
  <sheetFormatPr defaultColWidth="8.7109375" defaultRowHeight="12.75" x14ac:dyDescent="0.2"/>
  <cols>
    <col min="1" max="1" width="39" style="5" customWidth="1"/>
    <col min="2" max="2" width="34.7109375" style="5" customWidth="1"/>
    <col min="3" max="3" width="29.140625" style="5" customWidth="1"/>
    <col min="4" max="4" width="29.42578125" style="5" customWidth="1"/>
    <col min="5" max="5" width="37.42578125" style="5" bestFit="1" customWidth="1"/>
    <col min="6" max="6" width="48.28515625" style="5" bestFit="1" customWidth="1"/>
    <col min="7" max="7" width="34" style="5" customWidth="1"/>
    <col min="8" max="8" width="25.140625" style="5" bestFit="1" customWidth="1"/>
    <col min="9" max="9" width="51.28515625" style="5" bestFit="1" customWidth="1"/>
    <col min="10" max="11" width="12.7109375" style="5" customWidth="1"/>
    <col min="12" max="19" width="15.28515625" style="5" customWidth="1"/>
    <col min="20" max="20" width="14.7109375" style="5" customWidth="1"/>
    <col min="21" max="21" width="13.5703125" style="5" customWidth="1"/>
    <col min="22" max="22" width="15.7109375" style="5" customWidth="1"/>
    <col min="23" max="29" width="11" style="5" customWidth="1"/>
    <col min="30" max="38" width="6.5703125" style="5" customWidth="1"/>
    <col min="39" max="39" width="8.7109375" style="5" customWidth="1"/>
    <col min="40" max="16384" width="8.7109375" style="5"/>
  </cols>
  <sheetData>
    <row r="1" spans="1:9" ht="27" customHeight="1" x14ac:dyDescent="0.2">
      <c r="A1" s="318" t="str">
        <f>"HVAC system - "&amp;Prototype!A2</f>
        <v>HVAC system - SchoolRelocatable</v>
      </c>
      <c r="B1" s="319"/>
      <c r="C1" s="319"/>
      <c r="D1" s="319"/>
      <c r="E1" s="319"/>
      <c r="F1" s="319"/>
      <c r="G1" s="319"/>
      <c r="H1" s="319"/>
    </row>
    <row r="2" spans="1:9" ht="19.149999999999999" customHeight="1" x14ac:dyDescent="0.2">
      <c r="A2" s="106" t="s">
        <v>86</v>
      </c>
      <c r="B2" s="58" t="s">
        <v>87</v>
      </c>
      <c r="C2" s="58" t="s">
        <v>88</v>
      </c>
      <c r="D2" s="58" t="s">
        <v>89</v>
      </c>
      <c r="E2" s="58" t="s">
        <v>90</v>
      </c>
      <c r="F2" s="58" t="s">
        <v>91</v>
      </c>
      <c r="G2" s="58" t="s">
        <v>92</v>
      </c>
      <c r="H2" s="58" t="s">
        <v>93</v>
      </c>
    </row>
    <row r="3" spans="1:9" ht="42" customHeight="1" x14ac:dyDescent="0.2">
      <c r="A3" s="285" t="s">
        <v>94</v>
      </c>
      <c r="B3" s="285" t="s">
        <v>74</v>
      </c>
      <c r="C3" s="285" t="s">
        <v>95</v>
      </c>
      <c r="D3" s="285" t="s">
        <v>96</v>
      </c>
      <c r="E3" s="285" t="s">
        <v>97</v>
      </c>
      <c r="F3" s="285" t="s">
        <v>98</v>
      </c>
      <c r="G3" s="144" t="s">
        <v>99</v>
      </c>
      <c r="H3" s="285" t="s">
        <v>100</v>
      </c>
      <c r="I3" s="275"/>
    </row>
    <row r="4" spans="1:9" ht="47.25" customHeight="1" x14ac:dyDescent="0.2">
      <c r="A4" s="175" t="s">
        <v>101</v>
      </c>
      <c r="B4" s="285" t="s">
        <v>74</v>
      </c>
      <c r="C4" s="285" t="s">
        <v>95</v>
      </c>
      <c r="D4" s="285" t="s">
        <v>96</v>
      </c>
      <c r="E4" s="285" t="s">
        <v>97</v>
      </c>
      <c r="F4" s="285" t="s">
        <v>98</v>
      </c>
      <c r="G4" s="144" t="s">
        <v>99</v>
      </c>
      <c r="H4" s="285" t="s">
        <v>100</v>
      </c>
      <c r="I4" s="57"/>
    </row>
    <row r="5" spans="1:9" ht="25.9" customHeight="1" x14ac:dyDescent="0.2">
      <c r="A5" s="8"/>
      <c r="B5" s="8"/>
      <c r="C5" s="97"/>
      <c r="D5" s="97"/>
      <c r="E5" s="97"/>
      <c r="F5" s="57"/>
      <c r="G5" s="57"/>
      <c r="H5" s="57"/>
      <c r="I5" s="57"/>
    </row>
    <row r="6" spans="1:9" ht="15.6" customHeight="1" x14ac:dyDescent="0.2">
      <c r="A6" s="97"/>
      <c r="B6" s="97"/>
      <c r="C6" s="97"/>
      <c r="D6" s="97"/>
      <c r="E6" s="97"/>
    </row>
    <row r="7" spans="1:9" x14ac:dyDescent="0.2">
      <c r="A7" s="275"/>
      <c r="B7" s="97"/>
      <c r="C7" s="97"/>
      <c r="D7" s="97"/>
      <c r="E7" s="97"/>
    </row>
    <row r="8" spans="1:9" x14ac:dyDescent="0.2">
      <c r="A8" s="97"/>
      <c r="B8" s="97"/>
      <c r="C8" s="97"/>
      <c r="D8" s="97"/>
      <c r="E8" s="97"/>
    </row>
    <row r="9" spans="1:9" ht="25.9" customHeight="1" x14ac:dyDescent="0.2">
      <c r="A9" s="324" t="s">
        <v>102</v>
      </c>
      <c r="B9" s="324"/>
      <c r="C9" s="324"/>
      <c r="D9" s="324"/>
      <c r="E9" s="324"/>
      <c r="F9" s="324"/>
      <c r="G9" s="324"/>
      <c r="H9" s="324"/>
    </row>
    <row r="10" spans="1:9" ht="43.9" customHeight="1" x14ac:dyDescent="0.2">
      <c r="A10" s="287" t="s">
        <v>86</v>
      </c>
      <c r="B10" s="287" t="s">
        <v>103</v>
      </c>
      <c r="C10" s="279" t="s">
        <v>104</v>
      </c>
      <c r="D10" s="279" t="s">
        <v>105</v>
      </c>
      <c r="E10" s="283" t="s">
        <v>106</v>
      </c>
      <c r="F10" s="323" t="s">
        <v>92</v>
      </c>
      <c r="G10" s="323"/>
      <c r="H10" s="287" t="s">
        <v>93</v>
      </c>
    </row>
    <row r="11" spans="1:9" ht="22.15" customHeight="1" x14ac:dyDescent="0.2">
      <c r="A11" s="282" t="s">
        <v>107</v>
      </c>
      <c r="B11" s="333">
        <v>2008</v>
      </c>
      <c r="C11" s="332" t="s">
        <v>108</v>
      </c>
      <c r="D11" s="331" t="s">
        <v>109</v>
      </c>
      <c r="E11" s="334" t="s">
        <v>110</v>
      </c>
      <c r="F11" s="328" t="s">
        <v>111</v>
      </c>
      <c r="G11" s="328"/>
      <c r="H11" s="325" t="s">
        <v>100</v>
      </c>
    </row>
    <row r="12" spans="1:9" ht="20.45" customHeight="1" x14ac:dyDescent="0.2">
      <c r="A12" s="282" t="s">
        <v>112</v>
      </c>
      <c r="B12" s="333"/>
      <c r="C12" s="332"/>
      <c r="D12" s="331"/>
      <c r="E12" s="335"/>
      <c r="F12" s="328"/>
      <c r="G12" s="328"/>
      <c r="H12" s="326"/>
    </row>
    <row r="13" spans="1:9" ht="19.899999999999999" customHeight="1" x14ac:dyDescent="0.2">
      <c r="A13" s="282" t="s">
        <v>113</v>
      </c>
      <c r="B13" s="333"/>
      <c r="C13" s="332"/>
      <c r="D13" s="331"/>
      <c r="E13" s="336"/>
      <c r="F13" s="328"/>
      <c r="G13" s="328"/>
      <c r="H13" s="326"/>
    </row>
    <row r="14" spans="1:9" ht="30" customHeight="1" x14ac:dyDescent="0.2">
      <c r="A14" s="282" t="s">
        <v>114</v>
      </c>
      <c r="B14" s="290">
        <v>2013</v>
      </c>
      <c r="C14" s="284" t="s">
        <v>108</v>
      </c>
      <c r="D14" s="285" t="s">
        <v>109</v>
      </c>
      <c r="E14" s="180" t="s">
        <v>110</v>
      </c>
      <c r="F14" s="328" t="s">
        <v>115</v>
      </c>
      <c r="G14" s="328"/>
      <c r="H14" s="327"/>
    </row>
    <row r="15" spans="1:9" ht="33.75" customHeight="1" x14ac:dyDescent="0.25">
      <c r="A15" s="177" t="s">
        <v>101</v>
      </c>
      <c r="B15" s="178">
        <v>2025</v>
      </c>
      <c r="C15" s="179" t="s">
        <v>116</v>
      </c>
      <c r="D15" s="179" t="s">
        <v>109</v>
      </c>
      <c r="E15" s="179" t="s">
        <v>117</v>
      </c>
      <c r="F15" s="329" t="s">
        <v>118</v>
      </c>
      <c r="G15" s="330"/>
      <c r="H15" s="285" t="s">
        <v>100</v>
      </c>
      <c r="I15"/>
    </row>
    <row r="16" spans="1:9" x14ac:dyDescent="0.2">
      <c r="B16" s="6"/>
      <c r="C16" s="6"/>
      <c r="D16" s="31"/>
      <c r="E16" s="6"/>
    </row>
    <row r="17" spans="1:40" ht="13.5" thickBot="1" x14ac:dyDescent="0.25">
      <c r="A17" s="269"/>
      <c r="B17" s="269"/>
      <c r="C17" s="269"/>
      <c r="D17" s="269"/>
      <c r="E17" s="269"/>
    </row>
    <row r="18" spans="1:40" ht="36" customHeight="1" x14ac:dyDescent="0.25">
      <c r="A18" s="320" t="s">
        <v>119</v>
      </c>
      <c r="B18" s="321"/>
      <c r="C18" s="321"/>
      <c r="D18" s="321"/>
      <c r="E18" s="321"/>
      <c r="F18" s="321"/>
      <c r="G18" s="321"/>
      <c r="H18" s="321"/>
      <c r="I18"/>
    </row>
    <row r="19" spans="1:40" ht="47.25" customHeight="1" x14ac:dyDescent="0.25">
      <c r="A19" s="74" t="s">
        <v>86</v>
      </c>
      <c r="B19" s="282" t="s">
        <v>120</v>
      </c>
      <c r="C19" s="282" t="s">
        <v>121</v>
      </c>
      <c r="D19" s="282" t="s">
        <v>122</v>
      </c>
      <c r="E19" s="282" t="s">
        <v>123</v>
      </c>
      <c r="F19" s="282" t="s">
        <v>124</v>
      </c>
      <c r="G19" s="282" t="s">
        <v>125</v>
      </c>
      <c r="H19" s="282" t="s">
        <v>93</v>
      </c>
      <c r="I19"/>
    </row>
    <row r="20" spans="1:40" ht="33" customHeight="1" x14ac:dyDescent="0.25">
      <c r="A20" s="286" t="s">
        <v>94</v>
      </c>
      <c r="B20" s="144" t="s">
        <v>99</v>
      </c>
      <c r="C20" s="285" t="s">
        <v>97</v>
      </c>
      <c r="D20" s="161">
        <f>G20*$F$20*$E$20/746*6356</f>
        <v>1.7444919571045578</v>
      </c>
      <c r="E20" s="144">
        <v>0.65</v>
      </c>
      <c r="F20" s="282">
        <v>0.9</v>
      </c>
      <c r="G20" s="161">
        <v>0.35</v>
      </c>
      <c r="H20" s="209" t="s">
        <v>126</v>
      </c>
      <c r="I20"/>
    </row>
    <row r="21" spans="1:40" ht="15" x14ac:dyDescent="0.25">
      <c r="A21" s="103" t="s">
        <v>127</v>
      </c>
      <c r="B21" s="79"/>
      <c r="C21" s="79"/>
      <c r="D21" s="79"/>
      <c r="E21" s="79"/>
      <c r="F21" s="79"/>
      <c r="G21" s="79"/>
      <c r="H21" s="104"/>
      <c r="I21"/>
    </row>
    <row r="22" spans="1:40" ht="15" x14ac:dyDescent="0.25">
      <c r="A22" s="105" t="s">
        <v>128</v>
      </c>
      <c r="B22" s="80"/>
      <c r="C22" s="80"/>
      <c r="D22" s="80"/>
      <c r="E22" s="80"/>
      <c r="F22" s="80"/>
      <c r="G22" s="80"/>
      <c r="H22" s="80"/>
      <c r="I22"/>
    </row>
    <row r="23" spans="1:40" ht="32.450000000000003" customHeight="1" x14ac:dyDescent="0.25">
      <c r="A23" s="144" t="s">
        <v>101</v>
      </c>
      <c r="B23" s="144" t="s">
        <v>99</v>
      </c>
      <c r="C23" s="285" t="s">
        <v>97</v>
      </c>
      <c r="D23" s="161">
        <f>G23*$F$23*$E$23/746*6356</f>
        <v>1.7444919571045578</v>
      </c>
      <c r="E23" s="144">
        <v>0.65</v>
      </c>
      <c r="F23" s="282">
        <v>0.9</v>
      </c>
      <c r="G23" s="161">
        <v>0.35</v>
      </c>
      <c r="H23" s="209" t="s">
        <v>129</v>
      </c>
      <c r="I23"/>
    </row>
    <row r="24" spans="1:40" x14ac:dyDescent="0.2">
      <c r="A24" s="68"/>
      <c r="B24" s="68"/>
      <c r="C24" s="81"/>
      <c r="D24" s="81"/>
      <c r="E24" s="69"/>
      <c r="F24" s="68" t="s">
        <v>130</v>
      </c>
      <c r="G24" s="81"/>
      <c r="H24" s="69"/>
    </row>
    <row r="25" spans="1:40" x14ac:dyDescent="0.2">
      <c r="A25" s="269" t="s">
        <v>131</v>
      </c>
      <c r="B25" s="269"/>
      <c r="C25" s="269"/>
      <c r="D25" s="269"/>
      <c r="E25" s="269"/>
      <c r="F25" s="269"/>
      <c r="G25" s="269"/>
      <c r="H25" s="269"/>
      <c r="I25" s="269"/>
      <c r="J25" s="269"/>
      <c r="K25" s="269"/>
      <c r="L25" s="269"/>
      <c r="M25" s="269"/>
      <c r="N25" s="269"/>
      <c r="O25" s="269"/>
      <c r="P25" s="269"/>
      <c r="Q25" s="269"/>
      <c r="R25" s="269"/>
      <c r="S25" s="269"/>
      <c r="T25" s="269"/>
      <c r="U25" s="269"/>
      <c r="V25" s="269"/>
      <c r="W25" s="269"/>
      <c r="X25" s="269"/>
      <c r="Y25" s="269"/>
      <c r="Z25" s="269"/>
      <c r="AA25" s="269"/>
      <c r="AB25" s="269"/>
      <c r="AC25" s="269"/>
      <c r="AD25" s="269"/>
      <c r="AE25" s="322"/>
      <c r="AF25" s="322"/>
      <c r="AG25" s="322"/>
      <c r="AH25" s="322"/>
      <c r="AI25" s="322"/>
      <c r="AJ25" s="322"/>
      <c r="AK25" s="322"/>
      <c r="AL25" s="322"/>
      <c r="AM25" s="322"/>
      <c r="AN25" s="322"/>
    </row>
    <row r="26" spans="1:40" x14ac:dyDescent="0.2">
      <c r="A26" s="68" t="s">
        <v>132</v>
      </c>
      <c r="B26" s="269"/>
      <c r="C26" s="269"/>
      <c r="D26" s="269"/>
      <c r="E26" s="269"/>
      <c r="F26" s="269"/>
      <c r="G26" s="269"/>
      <c r="H26" s="269"/>
      <c r="I26" s="269"/>
      <c r="J26" s="269"/>
      <c r="K26" s="269"/>
      <c r="L26" s="269"/>
      <c r="M26" s="269"/>
      <c r="N26" s="269"/>
      <c r="O26" s="269"/>
      <c r="P26" s="269"/>
      <c r="Q26" s="269"/>
      <c r="R26" s="269"/>
      <c r="S26" s="269"/>
      <c r="T26" s="269"/>
      <c r="U26" s="269"/>
      <c r="V26" s="269"/>
      <c r="W26" s="269"/>
      <c r="X26" s="269"/>
      <c r="Y26" s="269"/>
      <c r="Z26" s="269"/>
      <c r="AA26" s="269"/>
      <c r="AB26" s="269"/>
      <c r="AC26" s="269"/>
      <c r="AD26" s="269"/>
      <c r="AE26" s="322"/>
      <c r="AF26" s="322"/>
      <c r="AG26" s="322"/>
      <c r="AH26" s="322"/>
      <c r="AI26" s="322"/>
      <c r="AJ26" s="322"/>
      <c r="AK26" s="322"/>
      <c r="AL26" s="322"/>
      <c r="AM26" s="322"/>
      <c r="AN26" s="322"/>
    </row>
    <row r="27" spans="1:40" x14ac:dyDescent="0.2">
      <c r="A27" s="68" t="s">
        <v>133</v>
      </c>
      <c r="B27" s="114"/>
      <c r="C27" s="269"/>
      <c r="D27" s="269"/>
      <c r="E27" s="269"/>
      <c r="F27" s="269"/>
      <c r="G27" s="269"/>
      <c r="H27" s="269"/>
      <c r="I27" s="269"/>
      <c r="J27" s="269"/>
      <c r="K27" s="269"/>
      <c r="L27" s="269"/>
      <c r="M27" s="269"/>
      <c r="N27" s="269"/>
      <c r="O27" s="269"/>
      <c r="P27" s="269"/>
      <c r="Q27" s="269"/>
      <c r="R27" s="269"/>
      <c r="S27" s="269"/>
      <c r="T27" s="269"/>
      <c r="U27" s="269"/>
      <c r="V27" s="269"/>
      <c r="W27" s="269"/>
      <c r="X27" s="269"/>
      <c r="Y27" s="269"/>
      <c r="Z27" s="269"/>
      <c r="AA27" s="269"/>
      <c r="AB27" s="269"/>
      <c r="AC27" s="269"/>
      <c r="AD27" s="269"/>
      <c r="AE27" s="322"/>
      <c r="AF27" s="322"/>
      <c r="AG27" s="322"/>
      <c r="AH27" s="322"/>
      <c r="AI27" s="322"/>
      <c r="AJ27" s="322"/>
      <c r="AK27" s="322"/>
      <c r="AL27" s="322"/>
      <c r="AM27" s="322"/>
      <c r="AN27" s="322"/>
    </row>
    <row r="28" spans="1:40" x14ac:dyDescent="0.2">
      <c r="A28" s="6"/>
      <c r="B28" s="6"/>
      <c r="C28" s="6"/>
      <c r="D28" s="6"/>
    </row>
    <row r="29" spans="1:40" x14ac:dyDescent="0.2">
      <c r="D29" s="28"/>
    </row>
    <row r="30" spans="1:40" ht="13.9" customHeight="1" x14ac:dyDescent="0.2">
      <c r="A30" s="71"/>
      <c r="B30" s="68"/>
      <c r="C30" s="53"/>
      <c r="D30" s="68"/>
      <c r="E30" s="68"/>
    </row>
    <row r="31" spans="1:40" s="18" customFormat="1" hidden="1" x14ac:dyDescent="0.2">
      <c r="A31" s="18" t="s">
        <v>134</v>
      </c>
    </row>
    <row r="32" spans="1:40" x14ac:dyDescent="0.2">
      <c r="U32" s="27"/>
      <c r="V32" s="46"/>
      <c r="W32" s="47"/>
      <c r="X32" s="47"/>
      <c r="Y32" s="47"/>
      <c r="Z32" s="47"/>
      <c r="AA32" s="47"/>
      <c r="AB32" s="47"/>
      <c r="AC32" s="47"/>
      <c r="AD32" s="47"/>
      <c r="AE32" s="47"/>
      <c r="AF32" s="47"/>
      <c r="AG32" s="47"/>
      <c r="AH32" s="47"/>
      <c r="AI32" s="47"/>
      <c r="AJ32" s="47"/>
      <c r="AK32" s="47"/>
      <c r="AL32" s="47"/>
    </row>
    <row r="33" spans="21:38" x14ac:dyDescent="0.2">
      <c r="U33" s="27"/>
      <c r="V33" s="46"/>
      <c r="W33" s="47"/>
      <c r="X33" s="47"/>
      <c r="Y33" s="47"/>
      <c r="Z33" s="47"/>
      <c r="AA33" s="47"/>
      <c r="AB33" s="47"/>
      <c r="AC33" s="47"/>
      <c r="AD33" s="47"/>
      <c r="AE33" s="47"/>
      <c r="AF33" s="47"/>
      <c r="AG33" s="47"/>
      <c r="AH33" s="47"/>
      <c r="AI33" s="47"/>
      <c r="AJ33" s="47"/>
      <c r="AK33" s="47"/>
      <c r="AL33" s="47"/>
    </row>
    <row r="34" spans="21:38" x14ac:dyDescent="0.2">
      <c r="U34" s="27"/>
      <c r="V34" s="46"/>
      <c r="W34" s="47"/>
      <c r="X34" s="47"/>
      <c r="Y34" s="47"/>
      <c r="Z34" s="47"/>
      <c r="AA34" s="47"/>
      <c r="AB34" s="47"/>
      <c r="AC34" s="47"/>
      <c r="AD34" s="47"/>
      <c r="AE34" s="47"/>
      <c r="AF34" s="47"/>
      <c r="AG34" s="47"/>
      <c r="AH34" s="47"/>
      <c r="AI34" s="47"/>
      <c r="AJ34" s="47"/>
      <c r="AK34" s="47"/>
      <c r="AL34" s="47"/>
    </row>
    <row r="35" spans="21:38" x14ac:dyDescent="0.2">
      <c r="U35" s="27"/>
      <c r="V35" s="46"/>
      <c r="W35" s="47"/>
      <c r="X35" s="47"/>
      <c r="Y35" s="47"/>
      <c r="Z35" s="47"/>
      <c r="AA35" s="47"/>
      <c r="AB35" s="47"/>
      <c r="AC35" s="47"/>
      <c r="AD35" s="47"/>
      <c r="AE35" s="47"/>
      <c r="AF35" s="47"/>
      <c r="AG35" s="47"/>
      <c r="AH35" s="47"/>
      <c r="AI35" s="47"/>
      <c r="AJ35" s="47"/>
      <c r="AK35" s="47"/>
      <c r="AL35" s="47"/>
    </row>
    <row r="36" spans="21:38" x14ac:dyDescent="0.2">
      <c r="U36" s="27"/>
      <c r="V36" s="46"/>
      <c r="W36" s="47"/>
      <c r="X36" s="47"/>
      <c r="Y36" s="47"/>
      <c r="Z36" s="47"/>
      <c r="AA36" s="47"/>
      <c r="AB36" s="47"/>
      <c r="AC36" s="47"/>
      <c r="AD36" s="47"/>
      <c r="AE36" s="47"/>
      <c r="AF36" s="47"/>
      <c r="AG36" s="47"/>
      <c r="AH36" s="47"/>
      <c r="AI36" s="47"/>
      <c r="AJ36" s="47"/>
      <c r="AK36" s="47"/>
      <c r="AL36" s="47"/>
    </row>
    <row r="37" spans="21:38" x14ac:dyDescent="0.2">
      <c r="U37" s="27"/>
      <c r="W37" s="26"/>
      <c r="X37" s="26"/>
      <c r="Y37" s="26"/>
      <c r="Z37" s="26"/>
      <c r="AA37" s="26"/>
      <c r="AB37" s="26"/>
      <c r="AC37" s="26"/>
      <c r="AD37" s="26"/>
      <c r="AE37" s="26"/>
      <c r="AF37" s="26"/>
      <c r="AG37" s="26"/>
      <c r="AH37" s="26"/>
      <c r="AI37" s="26"/>
      <c r="AJ37" s="26"/>
      <c r="AK37" s="26"/>
      <c r="AL37" s="26"/>
    </row>
    <row r="38" spans="21:38" x14ac:dyDescent="0.2">
      <c r="U38" s="29"/>
      <c r="W38" s="27"/>
      <c r="X38" s="27"/>
      <c r="Y38" s="27"/>
      <c r="Z38" s="27"/>
      <c r="AA38" s="27"/>
      <c r="AB38" s="27"/>
      <c r="AC38" s="27"/>
      <c r="AD38" s="27"/>
      <c r="AE38" s="27"/>
      <c r="AF38" s="27"/>
      <c r="AG38" s="27"/>
      <c r="AH38" s="27"/>
      <c r="AI38" s="27"/>
      <c r="AJ38" s="27"/>
      <c r="AK38" s="27"/>
      <c r="AL38" s="27"/>
    </row>
    <row r="39" spans="21:38" x14ac:dyDescent="0.2">
      <c r="U39" s="27"/>
    </row>
    <row r="42" spans="21:38" x14ac:dyDescent="0.2">
      <c r="U42" s="25"/>
      <c r="V42" s="25"/>
      <c r="W42" s="45"/>
      <c r="X42" s="45"/>
      <c r="Y42" s="45"/>
      <c r="Z42" s="45"/>
      <c r="AA42" s="45"/>
      <c r="AB42" s="45"/>
      <c r="AC42" s="45"/>
      <c r="AD42" s="45"/>
      <c r="AE42" s="45"/>
      <c r="AF42" s="45"/>
      <c r="AG42" s="45"/>
      <c r="AH42" s="45"/>
      <c r="AI42" s="45"/>
      <c r="AJ42" s="45"/>
      <c r="AK42" s="45"/>
      <c r="AL42" s="45"/>
    </row>
    <row r="43" spans="21:38" x14ac:dyDescent="0.2">
      <c r="V43" s="30"/>
    </row>
    <row r="44" spans="21:38" x14ac:dyDescent="0.2">
      <c r="U44" s="27"/>
      <c r="V44" s="30"/>
    </row>
    <row r="45" spans="21:38" x14ac:dyDescent="0.2">
      <c r="U45" s="27"/>
      <c r="V45" s="30"/>
    </row>
    <row r="46" spans="21:38" x14ac:dyDescent="0.2">
      <c r="U46" s="27"/>
      <c r="V46" s="30"/>
    </row>
    <row r="47" spans="21:38" x14ac:dyDescent="0.2">
      <c r="U47" s="27"/>
      <c r="V47" s="30"/>
    </row>
    <row r="48" spans="21:38" x14ac:dyDescent="0.2">
      <c r="U48" s="27"/>
      <c r="V48" s="30"/>
    </row>
    <row r="49" spans="21:38" x14ac:dyDescent="0.2">
      <c r="U49" s="27"/>
      <c r="V49" s="30"/>
    </row>
    <row r="50" spans="21:38" x14ac:dyDescent="0.2">
      <c r="U50" s="27"/>
      <c r="V50" s="30"/>
    </row>
    <row r="51" spans="21:38" x14ac:dyDescent="0.2">
      <c r="U51" s="27"/>
      <c r="V51" s="30"/>
    </row>
    <row r="52" spans="21:38" x14ac:dyDescent="0.2">
      <c r="U52" s="27"/>
      <c r="V52" s="30"/>
    </row>
    <row r="53" spans="21:38" x14ac:dyDescent="0.2">
      <c r="U53" s="27"/>
      <c r="V53" s="30"/>
    </row>
    <row r="54" spans="21:38" x14ac:dyDescent="0.2">
      <c r="U54" s="27"/>
      <c r="V54" s="30"/>
    </row>
    <row r="55" spans="21:38" x14ac:dyDescent="0.2">
      <c r="U55" s="27"/>
      <c r="V55" s="30"/>
    </row>
    <row r="56" spans="21:38" x14ac:dyDescent="0.2">
      <c r="U56" s="27"/>
      <c r="V56" s="30"/>
    </row>
    <row r="57" spans="21:38" x14ac:dyDescent="0.2">
      <c r="U57" s="27"/>
      <c r="V57" s="30"/>
    </row>
    <row r="58" spans="21:38" x14ac:dyDescent="0.2">
      <c r="U58" s="27"/>
      <c r="V58" s="30"/>
    </row>
    <row r="59" spans="21:38" x14ac:dyDescent="0.2">
      <c r="U59" s="27"/>
      <c r="V59" s="30"/>
    </row>
    <row r="60" spans="21:38" x14ac:dyDescent="0.2">
      <c r="U60" s="27"/>
      <c r="V60" s="30"/>
    </row>
    <row r="61" spans="21:38" x14ac:dyDescent="0.2">
      <c r="U61" s="27"/>
      <c r="V61" s="30"/>
    </row>
    <row r="62" spans="21:38" x14ac:dyDescent="0.2">
      <c r="U62" s="27"/>
      <c r="V62" s="30"/>
    </row>
    <row r="63" spans="21:38" x14ac:dyDescent="0.2">
      <c r="U63" s="27"/>
      <c r="V63" s="30"/>
    </row>
    <row r="64" spans="21:38" x14ac:dyDescent="0.2">
      <c r="U64" s="27"/>
      <c r="W64" s="26"/>
      <c r="X64" s="26"/>
      <c r="Y64" s="26"/>
      <c r="Z64" s="26"/>
      <c r="AA64" s="26"/>
      <c r="AB64" s="26"/>
      <c r="AC64" s="26"/>
      <c r="AD64" s="26"/>
      <c r="AE64" s="26"/>
      <c r="AF64" s="26"/>
      <c r="AG64" s="26"/>
      <c r="AH64" s="26"/>
      <c r="AI64" s="26"/>
      <c r="AJ64" s="26"/>
      <c r="AK64" s="26"/>
      <c r="AL64" s="26"/>
    </row>
    <row r="65" spans="21:38" x14ac:dyDescent="0.2">
      <c r="U65" s="29"/>
      <c r="W65" s="27"/>
      <c r="X65" s="27"/>
      <c r="Y65" s="27"/>
      <c r="Z65" s="27"/>
      <c r="AA65" s="27"/>
      <c r="AB65" s="27"/>
      <c r="AC65" s="27"/>
      <c r="AD65" s="27"/>
      <c r="AE65" s="27"/>
      <c r="AF65" s="27"/>
      <c r="AG65" s="27"/>
      <c r="AH65" s="27"/>
      <c r="AI65" s="27"/>
      <c r="AJ65" s="27"/>
      <c r="AK65" s="27"/>
      <c r="AL65" s="27"/>
    </row>
  </sheetData>
  <mergeCells count="27">
    <mergeCell ref="AE27:AF27"/>
    <mergeCell ref="AG27:AH27"/>
    <mergeCell ref="AI27:AJ27"/>
    <mergeCell ref="AK27:AL27"/>
    <mergeCell ref="AM27:AN27"/>
    <mergeCell ref="AK25:AL25"/>
    <mergeCell ref="AM25:AN25"/>
    <mergeCell ref="AE26:AF26"/>
    <mergeCell ref="AG26:AH26"/>
    <mergeCell ref="AI26:AJ26"/>
    <mergeCell ref="AK26:AL26"/>
    <mergeCell ref="AM26:AN26"/>
    <mergeCell ref="A1:H1"/>
    <mergeCell ref="A18:H18"/>
    <mergeCell ref="AE25:AF25"/>
    <mergeCell ref="AG25:AH25"/>
    <mergeCell ref="AI25:AJ25"/>
    <mergeCell ref="F10:G10"/>
    <mergeCell ref="A9:H9"/>
    <mergeCell ref="H11:H14"/>
    <mergeCell ref="F11:G13"/>
    <mergeCell ref="F14:G14"/>
    <mergeCell ref="F15:G15"/>
    <mergeCell ref="D11:D13"/>
    <mergeCell ref="C11:C13"/>
    <mergeCell ref="B11:B13"/>
    <mergeCell ref="E11:E13"/>
  </mergeCells>
  <phoneticPr fontId="5"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W56"/>
  <sheetViews>
    <sheetView zoomScale="80" zoomScaleNormal="80" workbookViewId="0">
      <selection sqref="A1:X1"/>
    </sheetView>
  </sheetViews>
  <sheetFormatPr defaultColWidth="9.28515625" defaultRowHeight="14.25" x14ac:dyDescent="0.2"/>
  <cols>
    <col min="1" max="1" width="15.42578125" style="3" customWidth="1"/>
    <col min="2" max="2" width="17.85546875" style="143" bestFit="1" customWidth="1"/>
    <col min="3" max="3" width="18.5703125" style="3" customWidth="1"/>
    <col min="4" max="4" width="84.7109375" style="3" customWidth="1"/>
    <col min="5" max="5" width="15" style="3" customWidth="1"/>
    <col min="6" max="6" width="20" style="3" customWidth="1"/>
    <col min="7" max="7" width="23.28515625" style="59" customWidth="1"/>
    <col min="8" max="8" width="43.85546875" style="3" customWidth="1"/>
    <col min="9" max="9" width="6.85546875" style="3" customWidth="1"/>
    <col min="10" max="12" width="7" style="3" customWidth="1"/>
    <col min="13" max="13" width="7.85546875" style="3" customWidth="1"/>
    <col min="14" max="14" width="8.7109375" style="3" customWidth="1"/>
    <col min="15" max="15" width="7" style="3" customWidth="1"/>
    <col min="16" max="16" width="7.140625" style="3" customWidth="1"/>
    <col min="17" max="17" width="7.5703125" style="3" customWidth="1"/>
    <col min="18" max="21" width="7" style="3" customWidth="1"/>
    <col min="22" max="22" width="7.7109375" style="3" customWidth="1"/>
    <col min="23" max="24" width="7" style="3" customWidth="1"/>
    <col min="25" max="26" width="9.28515625" style="3"/>
    <col min="27" max="30" width="7.7109375" style="3" customWidth="1"/>
    <col min="31" max="31" width="9.7109375" style="3" customWidth="1"/>
    <col min="32" max="32" width="7.5703125" style="3" customWidth="1"/>
    <col min="33" max="33" width="11.42578125" style="3" customWidth="1"/>
    <col min="34" max="42" width="7.7109375" style="3" customWidth="1"/>
    <col min="43" max="46" width="10.42578125" style="3" customWidth="1"/>
    <col min="47" max="47" width="9.85546875" style="3" customWidth="1"/>
    <col min="48" max="48" width="10.42578125" style="3" customWidth="1"/>
    <col min="49" max="49" width="21.7109375" style="3" customWidth="1"/>
    <col min="50" max="50" width="10.42578125" style="3" customWidth="1"/>
    <col min="51" max="53" width="7.42578125" style="3" customWidth="1"/>
    <col min="54" max="54" width="7.7109375" style="3" customWidth="1"/>
    <col min="55" max="55" width="7.42578125" style="3" customWidth="1"/>
    <col min="56" max="56" width="13.7109375" style="3" customWidth="1"/>
    <col min="57" max="60" width="7.42578125" style="3" customWidth="1"/>
    <col min="61" max="62" width="9.7109375" style="3" bestFit="1" customWidth="1"/>
    <col min="63" max="16384" width="9.28515625" style="3"/>
  </cols>
  <sheetData>
    <row r="1" spans="1:25" ht="31.9" customHeight="1" x14ac:dyDescent="0.2">
      <c r="A1" s="341" t="str">
        <f>"Envelope - "&amp;Prototype!A2</f>
        <v>Envelope - SchoolRelocatable</v>
      </c>
      <c r="B1" s="342"/>
      <c r="C1" s="342"/>
      <c r="D1" s="342"/>
      <c r="E1" s="342"/>
      <c r="F1" s="342"/>
      <c r="G1" s="342"/>
      <c r="H1" s="342"/>
      <c r="I1" s="342"/>
      <c r="J1" s="342"/>
      <c r="K1" s="342"/>
      <c r="L1" s="342"/>
      <c r="M1" s="342"/>
      <c r="N1" s="342"/>
      <c r="O1" s="342"/>
      <c r="P1" s="342"/>
      <c r="Q1" s="342"/>
      <c r="R1" s="342"/>
      <c r="S1" s="342"/>
      <c r="T1" s="342"/>
      <c r="U1" s="342"/>
      <c r="V1" s="342"/>
      <c r="W1" s="342"/>
      <c r="X1" s="342"/>
    </row>
    <row r="2" spans="1:25" ht="31.15" customHeight="1" x14ac:dyDescent="0.2">
      <c r="A2" s="207" t="s">
        <v>135</v>
      </c>
      <c r="B2" s="207" t="s">
        <v>136</v>
      </c>
      <c r="C2" s="207" t="s">
        <v>137</v>
      </c>
      <c r="D2" s="207" t="s">
        <v>138</v>
      </c>
      <c r="E2" s="208" t="s">
        <v>139</v>
      </c>
      <c r="F2" s="208" t="s">
        <v>86</v>
      </c>
      <c r="G2" s="208" t="s">
        <v>140</v>
      </c>
      <c r="H2" s="182" t="s">
        <v>93</v>
      </c>
      <c r="I2" s="182" t="s">
        <v>141</v>
      </c>
      <c r="J2" s="182" t="s">
        <v>142</v>
      </c>
      <c r="K2" s="182" t="s">
        <v>143</v>
      </c>
      <c r="L2" s="182" t="s">
        <v>144</v>
      </c>
      <c r="M2" s="182" t="s">
        <v>145</v>
      </c>
      <c r="N2" s="182" t="s">
        <v>146</v>
      </c>
      <c r="O2" s="182" t="s">
        <v>147</v>
      </c>
      <c r="P2" s="182" t="s">
        <v>148</v>
      </c>
      <c r="Q2" s="182" t="s">
        <v>149</v>
      </c>
      <c r="R2" s="182" t="s">
        <v>150</v>
      </c>
      <c r="S2" s="182" t="s">
        <v>151</v>
      </c>
      <c r="T2" s="182" t="s">
        <v>152</v>
      </c>
      <c r="U2" s="182" t="s">
        <v>153</v>
      </c>
      <c r="V2" s="182" t="s">
        <v>154</v>
      </c>
      <c r="W2" s="182" t="s">
        <v>155</v>
      </c>
      <c r="X2" s="182" t="s">
        <v>156</v>
      </c>
    </row>
    <row r="3" spans="1:25" ht="16.5" customHeight="1" x14ac:dyDescent="0.2">
      <c r="A3" s="345" t="s">
        <v>157</v>
      </c>
      <c r="B3" s="345" t="str">
        <f>Prototype!$A$2</f>
        <v>SchoolRelocatable</v>
      </c>
      <c r="C3" s="338" t="s">
        <v>158</v>
      </c>
      <c r="D3" s="338" t="s">
        <v>159</v>
      </c>
      <c r="E3" s="345" t="s">
        <v>160</v>
      </c>
      <c r="F3" s="278" t="s">
        <v>107</v>
      </c>
      <c r="G3" s="278" t="s">
        <v>161</v>
      </c>
      <c r="H3" s="277" t="s">
        <v>162</v>
      </c>
      <c r="I3" s="224">
        <v>0.29199999999999998</v>
      </c>
      <c r="J3" s="224">
        <v>0.29199999999999998</v>
      </c>
      <c r="K3" s="224">
        <v>0.29199999999999998</v>
      </c>
      <c r="L3" s="224">
        <v>0.29199999999999998</v>
      </c>
      <c r="M3" s="224">
        <v>0.29199999999999998</v>
      </c>
      <c r="N3" s="224">
        <v>0.29199999999999998</v>
      </c>
      <c r="O3" s="224">
        <v>0.29199999999999998</v>
      </c>
      <c r="P3" s="224">
        <v>0.29199999999999998</v>
      </c>
      <c r="Q3" s="224">
        <v>0.29199999999999998</v>
      </c>
      <c r="R3" s="224">
        <v>0.29199999999999998</v>
      </c>
      <c r="S3" s="224">
        <v>0.29199999999999998</v>
      </c>
      <c r="T3" s="224">
        <v>0.29199999999999998</v>
      </c>
      <c r="U3" s="224">
        <v>0.29199999999999998</v>
      </c>
      <c r="V3" s="224">
        <v>0.29199999999999998</v>
      </c>
      <c r="W3" s="224">
        <v>0.29199999999999998</v>
      </c>
      <c r="X3" s="224">
        <v>0.29199999999999998</v>
      </c>
      <c r="Y3" s="93"/>
    </row>
    <row r="4" spans="1:25" ht="23.25" customHeight="1" x14ac:dyDescent="0.2">
      <c r="A4" s="346"/>
      <c r="B4" s="346"/>
      <c r="C4" s="339"/>
      <c r="D4" s="339"/>
      <c r="E4" s="346"/>
      <c r="F4" s="225" t="s">
        <v>112</v>
      </c>
      <c r="G4" s="225">
        <v>1986</v>
      </c>
      <c r="H4" s="226" t="s">
        <v>163</v>
      </c>
      <c r="I4" s="233">
        <v>0.150829562594268</v>
      </c>
      <c r="J4" s="233">
        <v>0.15748031496062992</v>
      </c>
      <c r="K4" s="233">
        <v>0.15748031496062992</v>
      </c>
      <c r="L4" s="233">
        <v>0.14367816091954022</v>
      </c>
      <c r="M4" s="233">
        <v>0.14367816091954022</v>
      </c>
      <c r="N4" s="233">
        <v>0.21645021645021645</v>
      </c>
      <c r="O4" s="233">
        <v>0.21645021645021645</v>
      </c>
      <c r="P4" s="233">
        <v>0.21645021645021645</v>
      </c>
      <c r="Q4" s="233">
        <v>0.21645021645021645</v>
      </c>
      <c r="R4" s="233">
        <v>0.21645021645021645</v>
      </c>
      <c r="S4" s="233">
        <v>0.18621973929236499</v>
      </c>
      <c r="T4" s="233">
        <v>0.18621973929236499</v>
      </c>
      <c r="U4" s="233">
        <v>0.18621973929236499</v>
      </c>
      <c r="V4" s="233">
        <v>0.15873015873015872</v>
      </c>
      <c r="W4" s="233">
        <v>0.15873015873015872</v>
      </c>
      <c r="X4" s="233">
        <v>0.15082956259426847</v>
      </c>
      <c r="Y4" s="93"/>
    </row>
    <row r="5" spans="1:25" ht="16.5" customHeight="1" x14ac:dyDescent="0.2">
      <c r="A5" s="346"/>
      <c r="B5" s="346"/>
      <c r="C5" s="339"/>
      <c r="D5" s="339"/>
      <c r="E5" s="346"/>
      <c r="F5" s="227" t="s">
        <v>113</v>
      </c>
      <c r="G5" s="227">
        <v>2001</v>
      </c>
      <c r="H5" s="227" t="s">
        <v>164</v>
      </c>
      <c r="I5" s="234">
        <v>0.182</v>
      </c>
      <c r="J5" s="234">
        <v>0.182</v>
      </c>
      <c r="K5" s="234">
        <v>0.189</v>
      </c>
      <c r="L5" s="234">
        <v>0.189</v>
      </c>
      <c r="M5" s="234">
        <v>0.189</v>
      </c>
      <c r="N5" s="234">
        <v>0.189</v>
      </c>
      <c r="O5" s="234">
        <v>0.189</v>
      </c>
      <c r="P5" s="234">
        <v>0.189</v>
      </c>
      <c r="Q5" s="234">
        <v>0.189</v>
      </c>
      <c r="R5" s="234">
        <v>0.182</v>
      </c>
      <c r="S5" s="234">
        <v>0.182</v>
      </c>
      <c r="T5" s="234">
        <v>0.182</v>
      </c>
      <c r="U5" s="234">
        <v>0.182</v>
      </c>
      <c r="V5" s="234">
        <v>0.182</v>
      </c>
      <c r="W5" s="234">
        <v>0.182</v>
      </c>
      <c r="X5" s="234">
        <v>0.182</v>
      </c>
      <c r="Y5" s="93"/>
    </row>
    <row r="6" spans="1:25" ht="16.5" customHeight="1" x14ac:dyDescent="0.2">
      <c r="A6" s="346"/>
      <c r="B6" s="346"/>
      <c r="C6" s="339"/>
      <c r="D6" s="339"/>
      <c r="E6" s="346"/>
      <c r="F6" s="228" t="s">
        <v>114</v>
      </c>
      <c r="G6" s="228">
        <v>2013</v>
      </c>
      <c r="H6" s="228" t="s">
        <v>165</v>
      </c>
      <c r="I6" s="229">
        <v>9.8000000000000004E-2</v>
      </c>
      <c r="J6" s="229">
        <v>6.2E-2</v>
      </c>
      <c r="K6" s="229">
        <v>8.2000000000000003E-2</v>
      </c>
      <c r="L6" s="229">
        <v>6.2E-2</v>
      </c>
      <c r="M6" s="229">
        <v>6.2E-2</v>
      </c>
      <c r="N6" s="229">
        <v>9.8000000000000004E-2</v>
      </c>
      <c r="O6" s="229">
        <v>9.8000000000000004E-2</v>
      </c>
      <c r="P6" s="229">
        <v>6.2E-2</v>
      </c>
      <c r="Q6" s="229">
        <v>6.2E-2</v>
      </c>
      <c r="R6" s="229">
        <v>6.2E-2</v>
      </c>
      <c r="S6" s="229">
        <v>6.2E-2</v>
      </c>
      <c r="T6" s="229">
        <v>6.2E-2</v>
      </c>
      <c r="U6" s="229">
        <v>6.2E-2</v>
      </c>
      <c r="V6" s="229">
        <v>6.2E-2</v>
      </c>
      <c r="W6" s="229">
        <v>6.2E-2</v>
      </c>
      <c r="X6" s="229">
        <v>6.2E-2</v>
      </c>
      <c r="Y6" s="93"/>
    </row>
    <row r="7" spans="1:25" ht="16.5" customHeight="1" x14ac:dyDescent="0.2">
      <c r="A7" s="347"/>
      <c r="B7" s="346"/>
      <c r="C7" s="340"/>
      <c r="D7" s="340"/>
      <c r="E7" s="347"/>
      <c r="F7" s="230" t="s">
        <v>166</v>
      </c>
      <c r="G7" s="231">
        <v>2025</v>
      </c>
      <c r="H7" s="232" t="s">
        <v>165</v>
      </c>
      <c r="I7" s="235">
        <v>0.06</v>
      </c>
      <c r="J7" s="235">
        <v>5.5E-2</v>
      </c>
      <c r="K7" s="235">
        <v>7.0999999999999994E-2</v>
      </c>
      <c r="L7" s="235">
        <v>5.5E-2</v>
      </c>
      <c r="M7" s="235">
        <v>5.5E-2</v>
      </c>
      <c r="N7" s="235">
        <v>0.06</v>
      </c>
      <c r="O7" s="235">
        <v>0.06</v>
      </c>
      <c r="P7" s="235">
        <v>5.5E-2</v>
      </c>
      <c r="Q7" s="235">
        <v>5.5E-2</v>
      </c>
      <c r="R7" s="235">
        <v>5.5E-2</v>
      </c>
      <c r="S7" s="235">
        <v>5.5E-2</v>
      </c>
      <c r="T7" s="235">
        <v>5.5E-2</v>
      </c>
      <c r="U7" s="235">
        <v>5.5E-2</v>
      </c>
      <c r="V7" s="235">
        <v>5.5E-2</v>
      </c>
      <c r="W7" s="235">
        <v>5.5E-2</v>
      </c>
      <c r="X7" s="235">
        <v>5.5E-2</v>
      </c>
    </row>
    <row r="8" spans="1:25" ht="16.5" customHeight="1" x14ac:dyDescent="0.2">
      <c r="A8" s="345" t="s">
        <v>167</v>
      </c>
      <c r="B8" s="345" t="str">
        <f>Prototype!$A$2</f>
        <v>SchoolRelocatable</v>
      </c>
      <c r="C8" s="338" t="s">
        <v>168</v>
      </c>
      <c r="D8" s="354" t="s">
        <v>169</v>
      </c>
      <c r="E8" s="345" t="s">
        <v>170</v>
      </c>
      <c r="F8" s="278" t="s">
        <v>107</v>
      </c>
      <c r="G8" s="278" t="s">
        <v>161</v>
      </c>
      <c r="H8" s="348" t="s">
        <v>171</v>
      </c>
      <c r="I8" s="224">
        <v>5.7000000000000002E-2</v>
      </c>
      <c r="J8" s="224">
        <v>5.7000000000000002E-2</v>
      </c>
      <c r="K8" s="224">
        <v>5.7000000000000002E-2</v>
      </c>
      <c r="L8" s="224">
        <v>5.7000000000000002E-2</v>
      </c>
      <c r="M8" s="224">
        <v>5.7000000000000002E-2</v>
      </c>
      <c r="N8" s="224">
        <v>7.8E-2</v>
      </c>
      <c r="O8" s="224">
        <v>7.8E-2</v>
      </c>
      <c r="P8" s="224">
        <v>7.8E-2</v>
      </c>
      <c r="Q8" s="224">
        <v>7.8E-2</v>
      </c>
      <c r="R8" s="224">
        <v>7.8E-2</v>
      </c>
      <c r="S8" s="224">
        <v>5.7000000000000002E-2</v>
      </c>
      <c r="T8" s="224">
        <v>5.7000000000000002E-2</v>
      </c>
      <c r="U8" s="224">
        <v>5.7000000000000002E-2</v>
      </c>
      <c r="V8" s="224">
        <v>5.7000000000000002E-2</v>
      </c>
      <c r="W8" s="224">
        <v>5.7000000000000002E-2</v>
      </c>
      <c r="X8" s="224">
        <v>5.7000000000000002E-2</v>
      </c>
    </row>
    <row r="9" spans="1:25" ht="16.5" customHeight="1" x14ac:dyDescent="0.2">
      <c r="A9" s="346"/>
      <c r="B9" s="346"/>
      <c r="C9" s="339"/>
      <c r="D9" s="355"/>
      <c r="E9" s="346"/>
      <c r="F9" s="225" t="s">
        <v>112</v>
      </c>
      <c r="G9" s="225">
        <v>1986</v>
      </c>
      <c r="H9" s="349"/>
      <c r="I9" s="225">
        <v>5.7000000000000002E-2</v>
      </c>
      <c r="J9" s="225">
        <v>5.7000000000000002E-2</v>
      </c>
      <c r="K9" s="225">
        <v>5.7000000000000002E-2</v>
      </c>
      <c r="L9" s="225">
        <v>5.7000000000000002E-2</v>
      </c>
      <c r="M9" s="225">
        <v>5.7000000000000002E-2</v>
      </c>
      <c r="N9" s="225">
        <v>7.8E-2</v>
      </c>
      <c r="O9" s="225">
        <v>7.8E-2</v>
      </c>
      <c r="P9" s="225">
        <v>7.8E-2</v>
      </c>
      <c r="Q9" s="225">
        <v>7.8E-2</v>
      </c>
      <c r="R9" s="225">
        <v>7.8E-2</v>
      </c>
      <c r="S9" s="225">
        <v>5.7000000000000002E-2</v>
      </c>
      <c r="T9" s="225">
        <v>5.7000000000000002E-2</v>
      </c>
      <c r="U9" s="225">
        <v>5.7000000000000002E-2</v>
      </c>
      <c r="V9" s="225">
        <v>5.7000000000000002E-2</v>
      </c>
      <c r="W9" s="225">
        <v>5.7000000000000002E-2</v>
      </c>
      <c r="X9" s="225">
        <v>5.7000000000000002E-2</v>
      </c>
    </row>
    <row r="10" spans="1:25" ht="16.5" customHeight="1" x14ac:dyDescent="0.2">
      <c r="A10" s="346"/>
      <c r="B10" s="346"/>
      <c r="C10" s="339"/>
      <c r="D10" s="355"/>
      <c r="E10" s="346"/>
      <c r="F10" s="227" t="s">
        <v>113</v>
      </c>
      <c r="G10" s="227">
        <v>2001</v>
      </c>
      <c r="H10" s="227" t="s">
        <v>172</v>
      </c>
      <c r="I10" s="227">
        <v>5.7000000000000002E-2</v>
      </c>
      <c r="J10" s="227">
        <v>5.7000000000000002E-2</v>
      </c>
      <c r="K10" s="227">
        <v>5.7000000000000002E-2</v>
      </c>
      <c r="L10" s="227">
        <v>5.7000000000000002E-2</v>
      </c>
      <c r="M10" s="227">
        <v>5.7000000000000002E-2</v>
      </c>
      <c r="N10" s="227">
        <v>7.8E-2</v>
      </c>
      <c r="O10" s="227">
        <v>7.8E-2</v>
      </c>
      <c r="P10" s="227">
        <v>7.8E-2</v>
      </c>
      <c r="Q10" s="227">
        <v>7.8E-2</v>
      </c>
      <c r="R10" s="227">
        <v>5.7000000000000002E-2</v>
      </c>
      <c r="S10" s="227">
        <v>5.7000000000000002E-2</v>
      </c>
      <c r="T10" s="227">
        <v>5.7000000000000002E-2</v>
      </c>
      <c r="U10" s="227">
        <v>5.7000000000000002E-2</v>
      </c>
      <c r="V10" s="227">
        <v>5.7000000000000002E-2</v>
      </c>
      <c r="W10" s="227">
        <v>5.7000000000000002E-2</v>
      </c>
      <c r="X10" s="227">
        <v>5.7000000000000002E-2</v>
      </c>
    </row>
    <row r="11" spans="1:25" ht="16.5" customHeight="1" x14ac:dyDescent="0.2">
      <c r="A11" s="346"/>
      <c r="B11" s="346"/>
      <c r="C11" s="339"/>
      <c r="D11" s="355"/>
      <c r="E11" s="346"/>
      <c r="F11" s="228" t="s">
        <v>114</v>
      </c>
      <c r="G11" s="228">
        <v>2013</v>
      </c>
      <c r="H11" s="228" t="s">
        <v>173</v>
      </c>
      <c r="I11" s="229">
        <v>4.9000000000000002E-2</v>
      </c>
      <c r="J11" s="229">
        <v>3.9E-2</v>
      </c>
      <c r="K11" s="229">
        <v>3.9E-2</v>
      </c>
      <c r="L11" s="229">
        <v>3.9E-2</v>
      </c>
      <c r="M11" s="229">
        <v>4.9000000000000002E-2</v>
      </c>
      <c r="N11" s="229">
        <v>7.4999999999999997E-2</v>
      </c>
      <c r="O11" s="229">
        <v>6.7000000000000004E-2</v>
      </c>
      <c r="P11" s="229">
        <v>6.7000000000000004E-2</v>
      </c>
      <c r="Q11" s="229">
        <v>3.9E-2</v>
      </c>
      <c r="R11" s="229">
        <v>3.9E-2</v>
      </c>
      <c r="S11" s="229">
        <v>3.9E-2</v>
      </c>
      <c r="T11" s="229">
        <v>3.9E-2</v>
      </c>
      <c r="U11" s="229">
        <v>3.9E-2</v>
      </c>
      <c r="V11" s="229">
        <v>3.9E-2</v>
      </c>
      <c r="W11" s="229">
        <v>3.9E-2</v>
      </c>
      <c r="X11" s="229">
        <v>3.9E-2</v>
      </c>
    </row>
    <row r="12" spans="1:25" ht="16.5" customHeight="1" x14ac:dyDescent="0.2">
      <c r="A12" s="347"/>
      <c r="B12" s="346"/>
      <c r="C12" s="339"/>
      <c r="D12" s="355"/>
      <c r="E12" s="346"/>
      <c r="F12" s="230" t="s">
        <v>166</v>
      </c>
      <c r="G12" s="231">
        <v>2025</v>
      </c>
      <c r="H12" s="232" t="s">
        <v>173</v>
      </c>
      <c r="I12" s="231">
        <v>2.8000000000000001E-2</v>
      </c>
      <c r="J12" s="231">
        <v>2.8000000000000001E-2</v>
      </c>
      <c r="K12" s="231">
        <v>2.8000000000000001E-2</v>
      </c>
      <c r="L12" s="231">
        <v>2.8000000000000001E-2</v>
      </c>
      <c r="M12" s="231">
        <v>2.8000000000000001E-2</v>
      </c>
      <c r="N12" s="231">
        <v>4.7E-2</v>
      </c>
      <c r="O12" s="231">
        <v>4.7E-2</v>
      </c>
      <c r="P12" s="231">
        <v>4.7E-2</v>
      </c>
      <c r="Q12" s="231">
        <v>2.8000000000000001E-2</v>
      </c>
      <c r="R12" s="231">
        <v>2.8000000000000001E-2</v>
      </c>
      <c r="S12" s="231">
        <v>2.8000000000000001E-2</v>
      </c>
      <c r="T12" s="231">
        <v>2.8000000000000001E-2</v>
      </c>
      <c r="U12" s="231">
        <v>2.8000000000000001E-2</v>
      </c>
      <c r="V12" s="231">
        <v>2.8000000000000001E-2</v>
      </c>
      <c r="W12" s="231">
        <v>2.8000000000000001E-2</v>
      </c>
      <c r="X12" s="231">
        <v>2.8000000000000001E-2</v>
      </c>
    </row>
    <row r="13" spans="1:25" ht="16.5" customHeight="1" x14ac:dyDescent="0.2">
      <c r="A13" s="337" t="s">
        <v>174</v>
      </c>
      <c r="B13" s="345" t="str">
        <f>Prototype!$A$2</f>
        <v>SchoolRelocatable</v>
      </c>
      <c r="C13" s="338" t="s">
        <v>175</v>
      </c>
      <c r="D13" s="343" t="s">
        <v>176</v>
      </c>
      <c r="E13" s="345" t="s">
        <v>160</v>
      </c>
      <c r="F13" s="278" t="s">
        <v>107</v>
      </c>
      <c r="G13" s="278" t="s">
        <v>161</v>
      </c>
      <c r="H13" s="348" t="s">
        <v>177</v>
      </c>
      <c r="I13" s="224">
        <f>I$15*0.42+0.78*0.58</f>
        <v>0.6581999999999999</v>
      </c>
      <c r="J13" s="224">
        <f t="shared" ref="J13:X14" si="0">J$15*0.42+0.78*0.58</f>
        <v>0.6581999999999999</v>
      </c>
      <c r="K13" s="224">
        <f t="shared" si="0"/>
        <v>0.79259999999999997</v>
      </c>
      <c r="L13" s="224">
        <f t="shared" si="0"/>
        <v>0.79259999999999997</v>
      </c>
      <c r="M13" s="224">
        <f t="shared" si="0"/>
        <v>0.79259999999999997</v>
      </c>
      <c r="N13" s="224">
        <f t="shared" si="0"/>
        <v>0.79259999999999997</v>
      </c>
      <c r="O13" s="224">
        <f t="shared" si="0"/>
        <v>0.79259999999999997</v>
      </c>
      <c r="P13" s="224">
        <f t="shared" si="0"/>
        <v>0.79259999999999997</v>
      </c>
      <c r="Q13" s="224">
        <f t="shared" si="0"/>
        <v>0.79259999999999997</v>
      </c>
      <c r="R13" s="224">
        <f t="shared" si="0"/>
        <v>0.6581999999999999</v>
      </c>
      <c r="S13" s="224">
        <f t="shared" si="0"/>
        <v>0.6581999999999999</v>
      </c>
      <c r="T13" s="224">
        <f t="shared" si="0"/>
        <v>0.6581999999999999</v>
      </c>
      <c r="U13" s="224">
        <f t="shared" si="0"/>
        <v>0.6581999999999999</v>
      </c>
      <c r="V13" s="224">
        <f t="shared" si="0"/>
        <v>0.6581999999999999</v>
      </c>
      <c r="W13" s="224">
        <f t="shared" si="0"/>
        <v>0.6581999999999999</v>
      </c>
      <c r="X13" s="224">
        <f t="shared" si="0"/>
        <v>0.6581999999999999</v>
      </c>
    </row>
    <row r="14" spans="1:25" ht="16.5" customHeight="1" x14ac:dyDescent="0.2">
      <c r="A14" s="337"/>
      <c r="B14" s="346"/>
      <c r="C14" s="339"/>
      <c r="D14" s="343"/>
      <c r="E14" s="346"/>
      <c r="F14" s="225" t="s">
        <v>112</v>
      </c>
      <c r="G14" s="225" t="s">
        <v>161</v>
      </c>
      <c r="H14" s="349"/>
      <c r="I14" s="233">
        <f>I$15*0.42+0.78*0.58</f>
        <v>0.6581999999999999</v>
      </c>
      <c r="J14" s="233">
        <f t="shared" si="0"/>
        <v>0.6581999999999999</v>
      </c>
      <c r="K14" s="233">
        <f t="shared" si="0"/>
        <v>0.79259999999999997</v>
      </c>
      <c r="L14" s="233">
        <f t="shared" si="0"/>
        <v>0.79259999999999997</v>
      </c>
      <c r="M14" s="233">
        <f t="shared" si="0"/>
        <v>0.79259999999999997</v>
      </c>
      <c r="N14" s="233">
        <f t="shared" si="0"/>
        <v>0.79259999999999997</v>
      </c>
      <c r="O14" s="233">
        <f t="shared" si="0"/>
        <v>0.79259999999999997</v>
      </c>
      <c r="P14" s="233">
        <f t="shared" si="0"/>
        <v>0.79259999999999997</v>
      </c>
      <c r="Q14" s="233">
        <f t="shared" si="0"/>
        <v>0.79259999999999997</v>
      </c>
      <c r="R14" s="233">
        <f t="shared" si="0"/>
        <v>0.6581999999999999</v>
      </c>
      <c r="S14" s="233">
        <f t="shared" si="0"/>
        <v>0.6581999999999999</v>
      </c>
      <c r="T14" s="233">
        <f t="shared" si="0"/>
        <v>0.6581999999999999</v>
      </c>
      <c r="U14" s="233">
        <f t="shared" si="0"/>
        <v>0.6581999999999999</v>
      </c>
      <c r="V14" s="233">
        <f t="shared" si="0"/>
        <v>0.6581999999999999</v>
      </c>
      <c r="W14" s="233">
        <f t="shared" si="0"/>
        <v>0.6581999999999999</v>
      </c>
      <c r="X14" s="233">
        <f t="shared" si="0"/>
        <v>0.6581999999999999</v>
      </c>
    </row>
    <row r="15" spans="1:25" ht="16.5" customHeight="1" x14ac:dyDescent="0.2">
      <c r="A15" s="337"/>
      <c r="B15" s="346"/>
      <c r="C15" s="339"/>
      <c r="D15" s="344" t="s">
        <v>178</v>
      </c>
      <c r="E15" s="346"/>
      <c r="F15" s="227" t="s">
        <v>113</v>
      </c>
      <c r="G15" s="227">
        <v>2001</v>
      </c>
      <c r="H15" s="227" t="s">
        <v>179</v>
      </c>
      <c r="I15" s="234">
        <v>0.49</v>
      </c>
      <c r="J15" s="234">
        <v>0.49</v>
      </c>
      <c r="K15" s="234">
        <v>0.81</v>
      </c>
      <c r="L15" s="234">
        <v>0.81</v>
      </c>
      <c r="M15" s="234">
        <v>0.81</v>
      </c>
      <c r="N15" s="234">
        <v>0.81</v>
      </c>
      <c r="O15" s="234">
        <v>0.81</v>
      </c>
      <c r="P15" s="234">
        <v>0.81</v>
      </c>
      <c r="Q15" s="234">
        <v>0.81</v>
      </c>
      <c r="R15" s="234">
        <v>0.49</v>
      </c>
      <c r="S15" s="234">
        <v>0.49</v>
      </c>
      <c r="T15" s="234">
        <v>0.49</v>
      </c>
      <c r="U15" s="234">
        <v>0.49</v>
      </c>
      <c r="V15" s="234">
        <v>0.49</v>
      </c>
      <c r="W15" s="234">
        <v>0.49</v>
      </c>
      <c r="X15" s="234">
        <v>0.49</v>
      </c>
    </row>
    <row r="16" spans="1:25" ht="16.5" customHeight="1" x14ac:dyDescent="0.2">
      <c r="A16" s="337"/>
      <c r="B16" s="346"/>
      <c r="C16" s="339"/>
      <c r="D16" s="344"/>
      <c r="E16" s="346"/>
      <c r="F16" s="228" t="s">
        <v>114</v>
      </c>
      <c r="G16" s="228">
        <v>2013</v>
      </c>
      <c r="H16" s="228" t="s">
        <v>180</v>
      </c>
      <c r="I16" s="229">
        <v>0.46</v>
      </c>
      <c r="J16" s="229">
        <v>0.46</v>
      </c>
      <c r="K16" s="229">
        <v>0.46</v>
      </c>
      <c r="L16" s="229">
        <v>0.46</v>
      </c>
      <c r="M16" s="229">
        <v>0.46</v>
      </c>
      <c r="N16" s="229">
        <v>0.46</v>
      </c>
      <c r="O16" s="229">
        <v>0.46</v>
      </c>
      <c r="P16" s="229">
        <v>0.46</v>
      </c>
      <c r="Q16" s="229">
        <v>0.46</v>
      </c>
      <c r="R16" s="229">
        <v>0.46</v>
      </c>
      <c r="S16" s="229">
        <v>0.46</v>
      </c>
      <c r="T16" s="229">
        <v>0.46</v>
      </c>
      <c r="U16" s="229">
        <v>0.46</v>
      </c>
      <c r="V16" s="229">
        <v>0.46</v>
      </c>
      <c r="W16" s="229">
        <v>0.46</v>
      </c>
      <c r="X16" s="229">
        <v>0.46</v>
      </c>
    </row>
    <row r="17" spans="1:49" ht="16.5" customHeight="1" x14ac:dyDescent="0.2">
      <c r="A17" s="337"/>
      <c r="B17" s="346"/>
      <c r="C17" s="339"/>
      <c r="D17" s="344"/>
      <c r="E17" s="347"/>
      <c r="F17" s="230" t="s">
        <v>166</v>
      </c>
      <c r="G17" s="231">
        <v>2025</v>
      </c>
      <c r="H17" s="232" t="s">
        <v>173</v>
      </c>
      <c r="I17" s="235">
        <v>0.46</v>
      </c>
      <c r="J17" s="235">
        <v>0.46</v>
      </c>
      <c r="K17" s="235">
        <v>0.46</v>
      </c>
      <c r="L17" s="235">
        <v>0.46</v>
      </c>
      <c r="M17" s="235">
        <v>0.46</v>
      </c>
      <c r="N17" s="235">
        <v>0.46</v>
      </c>
      <c r="O17" s="235">
        <v>0.46</v>
      </c>
      <c r="P17" s="235">
        <v>0.46</v>
      </c>
      <c r="Q17" s="235">
        <v>0.46</v>
      </c>
      <c r="R17" s="235">
        <v>0.46</v>
      </c>
      <c r="S17" s="235">
        <v>0.46</v>
      </c>
      <c r="T17" s="235">
        <v>0.46</v>
      </c>
      <c r="U17" s="235">
        <v>0.46</v>
      </c>
      <c r="V17" s="235">
        <v>0.46</v>
      </c>
      <c r="W17" s="235">
        <v>0.46</v>
      </c>
      <c r="X17" s="235">
        <v>0.46</v>
      </c>
    </row>
    <row r="18" spans="1:49" ht="16.5" customHeight="1" x14ac:dyDescent="0.2">
      <c r="A18" s="337"/>
      <c r="B18" s="333" t="str">
        <f>Prototype!$A$2</f>
        <v>SchoolRelocatable</v>
      </c>
      <c r="C18" s="339"/>
      <c r="D18" s="343" t="s">
        <v>176</v>
      </c>
      <c r="E18" s="345" t="s">
        <v>181</v>
      </c>
      <c r="F18" s="278" t="s">
        <v>107</v>
      </c>
      <c r="G18" s="278" t="s">
        <v>161</v>
      </c>
      <c r="H18" s="348" t="s">
        <v>177</v>
      </c>
      <c r="I18" s="224">
        <f>I$15*0.42+1.23*0.58</f>
        <v>0.91919999999999991</v>
      </c>
      <c r="J18" s="224">
        <f t="shared" ref="J18:X19" si="1">J$15*0.42+1.23*0.58</f>
        <v>0.91919999999999991</v>
      </c>
      <c r="K18" s="224">
        <f t="shared" si="1"/>
        <v>1.0535999999999999</v>
      </c>
      <c r="L18" s="224">
        <f t="shared" si="1"/>
        <v>1.0535999999999999</v>
      </c>
      <c r="M18" s="224">
        <f t="shared" si="1"/>
        <v>1.0535999999999999</v>
      </c>
      <c r="N18" s="224">
        <f t="shared" si="1"/>
        <v>1.0535999999999999</v>
      </c>
      <c r="O18" s="224">
        <f t="shared" si="1"/>
        <v>1.0535999999999999</v>
      </c>
      <c r="P18" s="224">
        <f t="shared" si="1"/>
        <v>1.0535999999999999</v>
      </c>
      <c r="Q18" s="224">
        <f t="shared" si="1"/>
        <v>1.0535999999999999</v>
      </c>
      <c r="R18" s="224">
        <f t="shared" si="1"/>
        <v>0.91919999999999991</v>
      </c>
      <c r="S18" s="224">
        <f t="shared" si="1"/>
        <v>0.91919999999999991</v>
      </c>
      <c r="T18" s="224">
        <f t="shared" si="1"/>
        <v>0.91919999999999991</v>
      </c>
      <c r="U18" s="224">
        <f t="shared" si="1"/>
        <v>0.91919999999999991</v>
      </c>
      <c r="V18" s="224">
        <f t="shared" si="1"/>
        <v>0.91919999999999991</v>
      </c>
      <c r="W18" s="224">
        <f t="shared" si="1"/>
        <v>0.91919999999999991</v>
      </c>
      <c r="X18" s="224">
        <f t="shared" si="1"/>
        <v>0.91919999999999991</v>
      </c>
    </row>
    <row r="19" spans="1:49" ht="16.5" customHeight="1" x14ac:dyDescent="0.2">
      <c r="A19" s="337"/>
      <c r="B19" s="333"/>
      <c r="C19" s="339"/>
      <c r="D19" s="343"/>
      <c r="E19" s="346"/>
      <c r="F19" s="225" t="s">
        <v>112</v>
      </c>
      <c r="G19" s="225" t="s">
        <v>161</v>
      </c>
      <c r="H19" s="349"/>
      <c r="I19" s="233">
        <f>I$15*0.42+1.23*0.58</f>
        <v>0.91919999999999991</v>
      </c>
      <c r="J19" s="233">
        <f t="shared" si="1"/>
        <v>0.91919999999999991</v>
      </c>
      <c r="K19" s="233">
        <f t="shared" si="1"/>
        <v>1.0535999999999999</v>
      </c>
      <c r="L19" s="233">
        <f t="shared" si="1"/>
        <v>1.0535999999999999</v>
      </c>
      <c r="M19" s="233">
        <f t="shared" si="1"/>
        <v>1.0535999999999999</v>
      </c>
      <c r="N19" s="233">
        <f t="shared" si="1"/>
        <v>1.0535999999999999</v>
      </c>
      <c r="O19" s="233">
        <f t="shared" si="1"/>
        <v>1.0535999999999999</v>
      </c>
      <c r="P19" s="233">
        <f t="shared" si="1"/>
        <v>1.0535999999999999</v>
      </c>
      <c r="Q19" s="233">
        <f t="shared" si="1"/>
        <v>1.0535999999999999</v>
      </c>
      <c r="R19" s="233">
        <f t="shared" si="1"/>
        <v>0.91919999999999991</v>
      </c>
      <c r="S19" s="233">
        <f t="shared" si="1"/>
        <v>0.91919999999999991</v>
      </c>
      <c r="T19" s="233">
        <f t="shared" si="1"/>
        <v>0.91919999999999991</v>
      </c>
      <c r="U19" s="233">
        <f t="shared" si="1"/>
        <v>0.91919999999999991</v>
      </c>
      <c r="V19" s="233">
        <f t="shared" si="1"/>
        <v>0.91919999999999991</v>
      </c>
      <c r="W19" s="233">
        <f t="shared" si="1"/>
        <v>0.91919999999999991</v>
      </c>
      <c r="X19" s="233">
        <f t="shared" si="1"/>
        <v>0.91919999999999991</v>
      </c>
    </row>
    <row r="20" spans="1:49" ht="16.5" customHeight="1" x14ac:dyDescent="0.2">
      <c r="A20" s="337"/>
      <c r="B20" s="333"/>
      <c r="C20" s="339"/>
      <c r="D20" s="344" t="s">
        <v>178</v>
      </c>
      <c r="E20" s="346"/>
      <c r="F20" s="227" t="s">
        <v>113</v>
      </c>
      <c r="G20" s="227">
        <v>2001</v>
      </c>
      <c r="H20" s="227" t="s">
        <v>182</v>
      </c>
      <c r="I20" s="234">
        <v>0.44999999999999996</v>
      </c>
      <c r="J20" s="234">
        <v>0.39</v>
      </c>
      <c r="K20" s="234">
        <v>0.51</v>
      </c>
      <c r="L20" s="234">
        <v>0.51</v>
      </c>
      <c r="M20" s="234">
        <v>0.51</v>
      </c>
      <c r="N20" s="234">
        <v>0.47499999999999998</v>
      </c>
      <c r="O20" s="234">
        <v>0.47499999999999998</v>
      </c>
      <c r="P20" s="234">
        <v>0.47499999999999998</v>
      </c>
      <c r="Q20" s="234">
        <v>0.47499999999999998</v>
      </c>
      <c r="R20" s="234">
        <v>0.39</v>
      </c>
      <c r="S20" s="234">
        <v>0.39</v>
      </c>
      <c r="T20" s="234">
        <v>0.39</v>
      </c>
      <c r="U20" s="234">
        <v>0.39</v>
      </c>
      <c r="V20" s="234">
        <v>0.39</v>
      </c>
      <c r="W20" s="234">
        <v>0.39</v>
      </c>
      <c r="X20" s="234">
        <v>0.44999999999999996</v>
      </c>
    </row>
    <row r="21" spans="1:49" ht="16.5" customHeight="1" x14ac:dyDescent="0.2">
      <c r="A21" s="337"/>
      <c r="B21" s="333"/>
      <c r="C21" s="339"/>
      <c r="D21" s="344"/>
      <c r="E21" s="346"/>
      <c r="F21" s="228" t="s">
        <v>114</v>
      </c>
      <c r="G21" s="228">
        <v>2013</v>
      </c>
      <c r="H21" s="228" t="s">
        <v>183</v>
      </c>
      <c r="I21" s="229">
        <v>0.22</v>
      </c>
      <c r="J21" s="229">
        <v>0.22</v>
      </c>
      <c r="K21" s="229">
        <v>0.22</v>
      </c>
      <c r="L21" s="229">
        <v>0.22</v>
      </c>
      <c r="M21" s="229">
        <v>0.22</v>
      </c>
      <c r="N21" s="229">
        <v>0.22</v>
      </c>
      <c r="O21" s="229">
        <v>0.22</v>
      </c>
      <c r="P21" s="229">
        <v>0.22</v>
      </c>
      <c r="Q21" s="229">
        <v>0.22</v>
      </c>
      <c r="R21" s="229">
        <v>0.22</v>
      </c>
      <c r="S21" s="229">
        <v>0.22</v>
      </c>
      <c r="T21" s="229">
        <v>0.22</v>
      </c>
      <c r="U21" s="229">
        <v>0.22</v>
      </c>
      <c r="V21" s="229">
        <v>0.22</v>
      </c>
      <c r="W21" s="229">
        <v>0.22</v>
      </c>
      <c r="X21" s="229">
        <v>0.22</v>
      </c>
    </row>
    <row r="22" spans="1:49" ht="16.5" customHeight="1" x14ac:dyDescent="0.2">
      <c r="A22" s="337"/>
      <c r="B22" s="333"/>
      <c r="C22" s="340"/>
      <c r="D22" s="344"/>
      <c r="E22" s="347"/>
      <c r="F22" s="230" t="s">
        <v>166</v>
      </c>
      <c r="G22" s="231">
        <v>2025</v>
      </c>
      <c r="H22" s="232" t="s">
        <v>183</v>
      </c>
      <c r="I22" s="235">
        <v>0.22</v>
      </c>
      <c r="J22" s="235">
        <v>0.22</v>
      </c>
      <c r="K22" s="235">
        <v>0.22</v>
      </c>
      <c r="L22" s="235">
        <v>0.22</v>
      </c>
      <c r="M22" s="235">
        <v>0.22</v>
      </c>
      <c r="N22" s="235">
        <v>0.22</v>
      </c>
      <c r="O22" s="235">
        <v>0.22</v>
      </c>
      <c r="P22" s="235">
        <v>0.22</v>
      </c>
      <c r="Q22" s="235">
        <v>0.22</v>
      </c>
      <c r="R22" s="235">
        <v>0.22</v>
      </c>
      <c r="S22" s="235">
        <v>0.22</v>
      </c>
      <c r="T22" s="235">
        <v>0.22</v>
      </c>
      <c r="U22" s="235">
        <v>0.22</v>
      </c>
      <c r="V22" s="235">
        <v>0.22</v>
      </c>
      <c r="W22" s="235">
        <v>0.22</v>
      </c>
      <c r="X22" s="235">
        <v>0.22</v>
      </c>
    </row>
    <row r="23" spans="1:49" ht="15" x14ac:dyDescent="0.25">
      <c r="A23" s="2" t="s">
        <v>184</v>
      </c>
      <c r="B23" s="9"/>
      <c r="C23" s="5"/>
      <c r="D23"/>
      <c r="E23"/>
      <c r="F23"/>
      <c r="G23"/>
      <c r="H23"/>
      <c r="I23"/>
      <c r="J23"/>
      <c r="K23"/>
      <c r="L23"/>
      <c r="M23"/>
      <c r="N23"/>
      <c r="O23"/>
      <c r="P23"/>
      <c r="Q23"/>
      <c r="R23"/>
      <c r="S23"/>
      <c r="T23"/>
      <c r="U23"/>
      <c r="V23"/>
      <c r="W23"/>
      <c r="X23"/>
      <c r="Y23"/>
    </row>
    <row r="24" spans="1:49" ht="15" x14ac:dyDescent="0.25">
      <c r="L24"/>
      <c r="M24"/>
      <c r="N24"/>
      <c r="O24"/>
      <c r="P24"/>
      <c r="Q24"/>
      <c r="R24"/>
      <c r="S24"/>
      <c r="T24"/>
      <c r="U24"/>
      <c r="V24"/>
      <c r="W24"/>
      <c r="X24"/>
      <c r="Y24"/>
      <c r="Z24"/>
      <c r="AA24"/>
      <c r="AB24"/>
      <c r="AC24"/>
      <c r="AD24"/>
      <c r="AE24"/>
      <c r="AF24"/>
      <c r="AG24"/>
      <c r="AH24"/>
      <c r="AI24"/>
      <c r="AJ24"/>
    </row>
    <row r="25" spans="1:49" ht="15.75" x14ac:dyDescent="0.25">
      <c r="E25" s="350" t="s">
        <v>185</v>
      </c>
      <c r="F25" s="350"/>
      <c r="G25" s="350"/>
      <c r="H25" s="350"/>
      <c r="I25" s="350"/>
      <c r="J25" s="350"/>
      <c r="K25" s="350"/>
      <c r="L25" s="350"/>
      <c r="M25" s="350"/>
      <c r="N25" s="350"/>
      <c r="O25" s="350"/>
      <c r="P25" s="350"/>
      <c r="Q25" s="350"/>
      <c r="R25" s="350"/>
      <c r="S25" s="350"/>
      <c r="T25" s="350"/>
      <c r="U25" s="350"/>
      <c r="V25" s="350"/>
      <c r="W25" s="350"/>
      <c r="X25" s="350"/>
      <c r="Y25"/>
      <c r="Z25"/>
      <c r="AA25"/>
      <c r="AB25"/>
      <c r="AC25"/>
      <c r="AD25"/>
      <c r="AE25"/>
      <c r="AF25"/>
      <c r="AG25"/>
      <c r="AH25"/>
      <c r="AI25"/>
      <c r="AJ25"/>
    </row>
    <row r="26" spans="1:49" ht="38.25" x14ac:dyDescent="0.25">
      <c r="E26" s="279"/>
      <c r="F26" s="287" t="s">
        <v>86</v>
      </c>
      <c r="G26" s="279" t="s">
        <v>186</v>
      </c>
      <c r="H26" s="279" t="s">
        <v>93</v>
      </c>
      <c r="I26" s="351" t="s">
        <v>187</v>
      </c>
      <c r="J26" s="351"/>
      <c r="K26" s="351"/>
      <c r="L26" s="351"/>
      <c r="M26" s="351"/>
      <c r="N26" s="351"/>
      <c r="O26" s="351"/>
      <c r="P26" s="351"/>
      <c r="Q26" s="351"/>
      <c r="R26" s="351"/>
      <c r="S26" s="351"/>
      <c r="T26" s="351"/>
      <c r="U26" s="351"/>
      <c r="V26" s="351"/>
      <c r="W26" s="351"/>
      <c r="X26" s="351"/>
      <c r="Y26"/>
      <c r="Z26"/>
      <c r="AA26"/>
      <c r="AB26"/>
      <c r="AC26"/>
      <c r="AD26"/>
      <c r="AE26"/>
      <c r="AF26"/>
      <c r="AG26"/>
      <c r="AH26"/>
      <c r="AI26"/>
      <c r="AJ26"/>
      <c r="AL26" s="3" t="s">
        <v>16</v>
      </c>
      <c r="AN26" s="3" t="s">
        <v>16</v>
      </c>
      <c r="AP26" s="3" t="s">
        <v>16</v>
      </c>
      <c r="AR26" s="3" t="s">
        <v>16</v>
      </c>
      <c r="AT26" s="3" t="s">
        <v>16</v>
      </c>
      <c r="AU26" s="3">
        <v>2.8000000000000001E-2</v>
      </c>
      <c r="AV26" s="3" t="s">
        <v>16</v>
      </c>
      <c r="AW26" s="3">
        <v>2.8000000000000001E-2</v>
      </c>
    </row>
    <row r="27" spans="1:49" ht="15" x14ac:dyDescent="0.25">
      <c r="E27" s="337" t="s">
        <v>185</v>
      </c>
      <c r="F27" s="282" t="s">
        <v>107</v>
      </c>
      <c r="G27" s="281">
        <v>1.1000000000000001</v>
      </c>
      <c r="H27" s="223" t="s">
        <v>188</v>
      </c>
      <c r="I27" s="352">
        <v>0.308</v>
      </c>
      <c r="J27" s="352"/>
      <c r="K27" s="352"/>
      <c r="L27" s="352"/>
      <c r="M27" s="352"/>
      <c r="N27" s="352"/>
      <c r="O27" s="352"/>
      <c r="P27" s="352"/>
      <c r="Q27" s="352"/>
      <c r="R27" s="352"/>
      <c r="S27" s="352"/>
      <c r="T27" s="352"/>
      <c r="U27" s="352"/>
      <c r="V27" s="352"/>
      <c r="W27" s="352"/>
      <c r="X27" s="352"/>
      <c r="Y27"/>
      <c r="Z27"/>
      <c r="AA27"/>
      <c r="AB27"/>
      <c r="AC27"/>
      <c r="AD27"/>
      <c r="AE27"/>
      <c r="AF27"/>
      <c r="AG27"/>
      <c r="AH27"/>
      <c r="AI27"/>
      <c r="AJ27"/>
    </row>
    <row r="28" spans="1:49" ht="15" x14ac:dyDescent="0.25">
      <c r="E28" s="337"/>
      <c r="F28" s="282" t="s">
        <v>112</v>
      </c>
      <c r="G28" s="281">
        <v>1.1000000000000001</v>
      </c>
      <c r="H28" s="223" t="s">
        <v>188</v>
      </c>
      <c r="I28" s="352">
        <v>0.308</v>
      </c>
      <c r="J28" s="352"/>
      <c r="K28" s="352"/>
      <c r="L28" s="352"/>
      <c r="M28" s="352"/>
      <c r="N28" s="352"/>
      <c r="O28" s="352"/>
      <c r="P28" s="352"/>
      <c r="Q28" s="352"/>
      <c r="R28" s="352"/>
      <c r="S28" s="352"/>
      <c r="T28" s="352"/>
      <c r="U28" s="352"/>
      <c r="V28" s="352"/>
      <c r="W28" s="352"/>
      <c r="X28" s="352"/>
      <c r="Y28"/>
      <c r="Z28"/>
      <c r="AA28"/>
      <c r="AB28"/>
      <c r="AC28"/>
      <c r="AD28"/>
      <c r="AE28"/>
      <c r="AF28"/>
      <c r="AG28"/>
      <c r="AH28"/>
      <c r="AI28"/>
      <c r="AJ28"/>
    </row>
    <row r="29" spans="1:49" ht="15" x14ac:dyDescent="0.25">
      <c r="E29" s="337"/>
      <c r="F29" s="282" t="s">
        <v>113</v>
      </c>
      <c r="G29" s="281">
        <v>1.1000000000000001</v>
      </c>
      <c r="H29" s="223" t="s">
        <v>188</v>
      </c>
      <c r="I29" s="352">
        <v>0.308</v>
      </c>
      <c r="J29" s="352"/>
      <c r="K29" s="352"/>
      <c r="L29" s="352"/>
      <c r="M29" s="352"/>
      <c r="N29" s="352"/>
      <c r="O29" s="352"/>
      <c r="P29" s="352"/>
      <c r="Q29" s="352"/>
      <c r="R29" s="352"/>
      <c r="S29" s="352"/>
      <c r="T29" s="352"/>
      <c r="U29" s="352"/>
      <c r="V29" s="352"/>
      <c r="W29" s="352"/>
      <c r="X29" s="352"/>
      <c r="Y29"/>
      <c r="Z29"/>
      <c r="AA29"/>
      <c r="AB29"/>
      <c r="AC29"/>
      <c r="AD29"/>
      <c r="AE29"/>
      <c r="AF29"/>
      <c r="AG29"/>
      <c r="AH29"/>
      <c r="AI29"/>
      <c r="AJ29"/>
    </row>
    <row r="30" spans="1:49" ht="38.25" x14ac:dyDescent="0.25">
      <c r="E30" s="337"/>
      <c r="F30" s="282" t="s">
        <v>114</v>
      </c>
      <c r="G30" s="281">
        <v>1</v>
      </c>
      <c r="H30" s="281" t="s">
        <v>189</v>
      </c>
      <c r="I30" s="353">
        <v>0.28179999999999999</v>
      </c>
      <c r="J30" s="353"/>
      <c r="K30" s="353"/>
      <c r="L30" s="353"/>
      <c r="M30" s="353"/>
      <c r="N30" s="353"/>
      <c r="O30" s="353"/>
      <c r="P30" s="353"/>
      <c r="Q30" s="353"/>
      <c r="R30" s="353"/>
      <c r="S30" s="353"/>
      <c r="T30" s="353"/>
      <c r="U30" s="353"/>
      <c r="V30" s="353"/>
      <c r="W30" s="353"/>
      <c r="X30" s="353"/>
      <c r="Y30"/>
      <c r="Z30"/>
      <c r="AA30"/>
      <c r="AB30"/>
      <c r="AC30"/>
      <c r="AD30"/>
      <c r="AE30"/>
      <c r="AF30"/>
      <c r="AG30"/>
      <c r="AH30"/>
      <c r="AI30"/>
      <c r="AJ30"/>
    </row>
    <row r="31" spans="1:49" ht="38.25" x14ac:dyDescent="0.25">
      <c r="E31" s="337"/>
      <c r="F31" s="282" t="s">
        <v>166</v>
      </c>
      <c r="G31" s="281">
        <v>0.6</v>
      </c>
      <c r="H31" s="281" t="s">
        <v>190</v>
      </c>
      <c r="I31" s="352">
        <v>0.16800000000000001</v>
      </c>
      <c r="J31" s="352"/>
      <c r="K31" s="352"/>
      <c r="L31" s="352"/>
      <c r="M31" s="352"/>
      <c r="N31" s="352"/>
      <c r="O31" s="352"/>
      <c r="P31" s="352"/>
      <c r="Q31" s="352"/>
      <c r="R31" s="352"/>
      <c r="S31" s="352"/>
      <c r="T31" s="352"/>
      <c r="U31" s="352"/>
      <c r="V31" s="352"/>
      <c r="W31" s="352"/>
      <c r="X31" s="352"/>
      <c r="Y31"/>
      <c r="Z31"/>
      <c r="AA31"/>
      <c r="AB31"/>
      <c r="AC31"/>
      <c r="AD31"/>
      <c r="AE31"/>
      <c r="AF31"/>
      <c r="AG31"/>
      <c r="AH31"/>
      <c r="AI31"/>
      <c r="AJ31"/>
    </row>
    <row r="32" spans="1:49" ht="15" x14ac:dyDescent="0.25">
      <c r="E32" s="5" t="s">
        <v>191</v>
      </c>
      <c r="Y32"/>
      <c r="Z32"/>
      <c r="AA32"/>
      <c r="AB32"/>
      <c r="AC32"/>
      <c r="AD32"/>
      <c r="AE32"/>
      <c r="AF32"/>
      <c r="AG32"/>
      <c r="AH32"/>
      <c r="AI32"/>
      <c r="AJ32"/>
    </row>
    <row r="33" spans="5:36" ht="15" x14ac:dyDescent="0.25">
      <c r="E33" s="5" t="s">
        <v>192</v>
      </c>
      <c r="G33" s="2" t="s">
        <v>27</v>
      </c>
      <c r="Y33"/>
      <c r="Z33"/>
      <c r="AA33"/>
      <c r="AB33"/>
      <c r="AC33"/>
      <c r="AD33"/>
      <c r="AE33"/>
      <c r="AF33"/>
      <c r="AG33"/>
      <c r="AH33"/>
      <c r="AI33"/>
      <c r="AJ33"/>
    </row>
    <row r="34" spans="5:36" ht="15" x14ac:dyDescent="0.25">
      <c r="G34"/>
      <c r="H34"/>
      <c r="I34"/>
      <c r="J34"/>
      <c r="K34"/>
      <c r="L34"/>
      <c r="M34"/>
      <c r="N34"/>
      <c r="O34"/>
      <c r="P34"/>
      <c r="Q34"/>
      <c r="R34"/>
      <c r="S34"/>
      <c r="T34"/>
      <c r="U34"/>
      <c r="V34"/>
      <c r="W34"/>
      <c r="X34"/>
      <c r="Y34"/>
      <c r="Z34"/>
      <c r="AA34"/>
      <c r="AB34"/>
      <c r="AC34"/>
      <c r="AD34"/>
      <c r="AE34"/>
      <c r="AF34"/>
      <c r="AG34"/>
      <c r="AH34"/>
      <c r="AI34"/>
      <c r="AJ34"/>
    </row>
    <row r="35" spans="5:36" ht="15" x14ac:dyDescent="0.25">
      <c r="G35"/>
      <c r="H35"/>
      <c r="I35"/>
      <c r="J35"/>
      <c r="K35"/>
      <c r="L35"/>
      <c r="M35"/>
      <c r="N35"/>
      <c r="O35"/>
      <c r="P35"/>
      <c r="Q35"/>
      <c r="R35"/>
      <c r="S35"/>
      <c r="T35"/>
      <c r="U35"/>
      <c r="V35"/>
      <c r="W35"/>
      <c r="X35"/>
      <c r="Y35"/>
      <c r="Z35"/>
      <c r="AA35"/>
      <c r="AB35"/>
      <c r="AC35"/>
      <c r="AD35"/>
      <c r="AE35"/>
      <c r="AF35"/>
      <c r="AG35"/>
      <c r="AH35"/>
      <c r="AI35"/>
      <c r="AJ35"/>
    </row>
    <row r="36" spans="5:36" ht="15" x14ac:dyDescent="0.25">
      <c r="G36"/>
      <c r="H36"/>
      <c r="I36"/>
      <c r="J36"/>
      <c r="K36"/>
      <c r="L36"/>
      <c r="M36"/>
      <c r="N36"/>
      <c r="O36"/>
      <c r="P36"/>
      <c r="Q36"/>
      <c r="R36"/>
      <c r="S36"/>
      <c r="T36"/>
      <c r="U36"/>
      <c r="V36"/>
      <c r="W36"/>
      <c r="X36"/>
      <c r="Y36"/>
      <c r="Z36"/>
      <c r="AA36"/>
      <c r="AB36"/>
      <c r="AC36"/>
      <c r="AD36"/>
      <c r="AE36"/>
      <c r="AF36"/>
      <c r="AG36"/>
      <c r="AH36"/>
      <c r="AI36"/>
      <c r="AJ36"/>
    </row>
    <row r="37" spans="5:36" ht="15" x14ac:dyDescent="0.25">
      <c r="L37"/>
      <c r="M37"/>
      <c r="N37"/>
      <c r="O37"/>
      <c r="P37"/>
      <c r="Q37"/>
      <c r="R37"/>
      <c r="S37"/>
      <c r="T37"/>
      <c r="U37"/>
      <c r="V37"/>
      <c r="W37"/>
      <c r="X37"/>
      <c r="Y37"/>
      <c r="Z37"/>
      <c r="AA37"/>
      <c r="AB37"/>
      <c r="AC37"/>
      <c r="AD37"/>
      <c r="AE37"/>
      <c r="AF37"/>
      <c r="AG37"/>
      <c r="AH37"/>
      <c r="AI37"/>
      <c r="AJ37"/>
    </row>
    <row r="38" spans="5:36" ht="15" x14ac:dyDescent="0.25">
      <c r="L38"/>
      <c r="M38"/>
      <c r="N38"/>
      <c r="O38"/>
      <c r="P38"/>
      <c r="Q38"/>
      <c r="R38"/>
      <c r="S38"/>
      <c r="T38"/>
      <c r="U38"/>
      <c r="V38"/>
      <c r="W38"/>
      <c r="X38"/>
      <c r="Y38"/>
      <c r="Z38"/>
      <c r="AA38"/>
      <c r="AB38"/>
      <c r="AC38"/>
      <c r="AD38"/>
      <c r="AE38"/>
      <c r="AF38"/>
      <c r="AG38"/>
      <c r="AH38"/>
      <c r="AI38"/>
      <c r="AJ38"/>
    </row>
    <row r="39" spans="5:36" ht="15" x14ac:dyDescent="0.25">
      <c r="L39"/>
      <c r="M39"/>
      <c r="N39"/>
      <c r="O39"/>
      <c r="P39"/>
      <c r="Q39"/>
      <c r="R39"/>
      <c r="S39"/>
      <c r="T39"/>
      <c r="U39"/>
      <c r="V39"/>
      <c r="W39"/>
      <c r="X39"/>
      <c r="Y39"/>
      <c r="Z39"/>
      <c r="AA39"/>
      <c r="AB39"/>
      <c r="AC39"/>
      <c r="AD39"/>
      <c r="AE39"/>
      <c r="AF39"/>
      <c r="AG39"/>
      <c r="AH39"/>
      <c r="AI39"/>
      <c r="AJ39"/>
    </row>
    <row r="40" spans="5:36" ht="15" x14ac:dyDescent="0.25">
      <c r="L40"/>
      <c r="M40"/>
      <c r="N40"/>
      <c r="O40"/>
      <c r="P40"/>
      <c r="Q40"/>
      <c r="R40"/>
      <c r="S40"/>
      <c r="T40"/>
      <c r="U40"/>
      <c r="V40"/>
      <c r="W40"/>
      <c r="X40"/>
      <c r="Y40"/>
      <c r="Z40"/>
      <c r="AA40"/>
      <c r="AB40"/>
      <c r="AC40"/>
      <c r="AD40"/>
      <c r="AE40"/>
      <c r="AF40"/>
      <c r="AG40"/>
      <c r="AH40"/>
      <c r="AI40"/>
      <c r="AJ40"/>
    </row>
    <row r="41" spans="5:36" ht="15" x14ac:dyDescent="0.25">
      <c r="L41"/>
      <c r="M41"/>
      <c r="N41"/>
      <c r="O41"/>
      <c r="P41"/>
      <c r="Q41"/>
      <c r="R41"/>
      <c r="S41"/>
      <c r="T41"/>
      <c r="U41"/>
      <c r="V41"/>
      <c r="W41"/>
      <c r="X41"/>
      <c r="Y41"/>
      <c r="Z41"/>
      <c r="AA41"/>
      <c r="AB41"/>
      <c r="AC41"/>
      <c r="AD41"/>
      <c r="AE41"/>
      <c r="AF41"/>
      <c r="AG41"/>
      <c r="AH41"/>
      <c r="AI41"/>
      <c r="AJ41"/>
    </row>
    <row r="42" spans="5:36" ht="15" x14ac:dyDescent="0.25">
      <c r="L42"/>
      <c r="M42"/>
      <c r="N42"/>
      <c r="O42"/>
      <c r="P42"/>
      <c r="Q42"/>
      <c r="R42"/>
      <c r="S42"/>
      <c r="T42"/>
      <c r="U42"/>
      <c r="V42"/>
      <c r="W42"/>
      <c r="X42"/>
      <c r="Y42"/>
      <c r="Z42"/>
      <c r="AA42"/>
      <c r="AB42"/>
      <c r="AC42"/>
      <c r="AD42"/>
      <c r="AE42"/>
      <c r="AF42"/>
      <c r="AG42"/>
      <c r="AH42"/>
      <c r="AI42"/>
      <c r="AJ42"/>
    </row>
    <row r="43" spans="5:36" ht="15" x14ac:dyDescent="0.25">
      <c r="L43"/>
      <c r="M43"/>
      <c r="N43"/>
      <c r="O43"/>
      <c r="P43"/>
      <c r="Q43"/>
      <c r="R43"/>
      <c r="S43"/>
      <c r="T43"/>
      <c r="U43"/>
      <c r="V43"/>
      <c r="W43"/>
      <c r="X43"/>
      <c r="Y43"/>
      <c r="Z43"/>
      <c r="AA43"/>
      <c r="AB43"/>
      <c r="AC43"/>
      <c r="AD43"/>
      <c r="AE43"/>
      <c r="AF43"/>
      <c r="AG43"/>
      <c r="AH43"/>
      <c r="AI43"/>
      <c r="AJ43"/>
    </row>
    <row r="44" spans="5:36" ht="15" x14ac:dyDescent="0.25">
      <c r="L44"/>
      <c r="M44"/>
      <c r="N44"/>
      <c r="O44"/>
      <c r="P44"/>
      <c r="Q44"/>
      <c r="R44"/>
      <c r="S44"/>
      <c r="T44"/>
      <c r="U44"/>
      <c r="V44"/>
      <c r="W44"/>
      <c r="X44"/>
      <c r="Y44"/>
      <c r="Z44"/>
      <c r="AA44"/>
      <c r="AB44"/>
      <c r="AC44"/>
      <c r="AD44"/>
      <c r="AE44"/>
      <c r="AF44"/>
      <c r="AG44"/>
      <c r="AH44"/>
      <c r="AI44"/>
      <c r="AJ44"/>
    </row>
    <row r="45" spans="5:36" ht="15" x14ac:dyDescent="0.25">
      <c r="L45"/>
      <c r="M45"/>
      <c r="N45"/>
      <c r="O45"/>
      <c r="P45"/>
      <c r="Q45"/>
      <c r="R45"/>
      <c r="S45"/>
      <c r="T45"/>
      <c r="U45"/>
      <c r="V45"/>
      <c r="W45"/>
      <c r="X45"/>
      <c r="Y45"/>
      <c r="Z45"/>
      <c r="AA45"/>
      <c r="AB45"/>
      <c r="AC45"/>
      <c r="AD45"/>
      <c r="AE45"/>
      <c r="AF45"/>
      <c r="AG45"/>
      <c r="AH45"/>
      <c r="AI45"/>
      <c r="AJ45"/>
    </row>
    <row r="46" spans="5:36" ht="15" x14ac:dyDescent="0.25">
      <c r="L46"/>
      <c r="M46"/>
      <c r="N46"/>
      <c r="O46"/>
      <c r="P46"/>
      <c r="Q46"/>
      <c r="R46"/>
      <c r="S46"/>
      <c r="T46"/>
      <c r="U46"/>
      <c r="V46"/>
      <c r="W46"/>
      <c r="X46"/>
      <c r="Y46"/>
      <c r="Z46"/>
      <c r="AA46"/>
      <c r="AB46"/>
      <c r="AC46"/>
      <c r="AD46"/>
      <c r="AE46"/>
      <c r="AF46"/>
      <c r="AG46"/>
      <c r="AH46"/>
      <c r="AI46"/>
      <c r="AJ46"/>
    </row>
    <row r="47" spans="5:36" ht="15" x14ac:dyDescent="0.25">
      <c r="L47"/>
      <c r="M47"/>
      <c r="N47"/>
      <c r="O47"/>
      <c r="P47"/>
      <c r="Q47"/>
      <c r="R47"/>
      <c r="S47"/>
      <c r="T47"/>
      <c r="U47"/>
      <c r="V47"/>
      <c r="W47"/>
      <c r="X47"/>
      <c r="Y47"/>
      <c r="Z47"/>
      <c r="AA47"/>
      <c r="AB47"/>
      <c r="AC47"/>
      <c r="AD47"/>
      <c r="AE47"/>
      <c r="AF47"/>
      <c r="AG47"/>
      <c r="AH47"/>
      <c r="AI47"/>
      <c r="AJ47"/>
    </row>
    <row r="48" spans="5:36" ht="15" x14ac:dyDescent="0.25">
      <c r="L48"/>
      <c r="M48"/>
      <c r="N48"/>
      <c r="O48"/>
      <c r="P48"/>
      <c r="Q48"/>
      <c r="R48"/>
      <c r="S48"/>
      <c r="T48"/>
      <c r="U48"/>
      <c r="V48"/>
      <c r="W48"/>
      <c r="X48"/>
      <c r="Y48"/>
      <c r="Z48"/>
      <c r="AA48"/>
      <c r="AB48"/>
      <c r="AC48"/>
      <c r="AD48"/>
      <c r="AE48"/>
      <c r="AF48"/>
      <c r="AG48"/>
      <c r="AH48"/>
      <c r="AI48"/>
      <c r="AJ48"/>
    </row>
    <row r="49" spans="12:36" ht="15" x14ac:dyDescent="0.25">
      <c r="L49"/>
      <c r="M49"/>
      <c r="N49"/>
      <c r="O49"/>
      <c r="P49"/>
      <c r="Q49"/>
      <c r="R49"/>
      <c r="S49"/>
      <c r="T49"/>
      <c r="U49"/>
      <c r="V49"/>
      <c r="W49"/>
      <c r="X49"/>
      <c r="Y49"/>
      <c r="Z49"/>
      <c r="AA49"/>
      <c r="AB49"/>
      <c r="AC49"/>
      <c r="AD49"/>
      <c r="AE49"/>
      <c r="AF49"/>
      <c r="AG49"/>
      <c r="AH49"/>
      <c r="AI49"/>
      <c r="AJ49"/>
    </row>
    <row r="50" spans="12:36" ht="15" x14ac:dyDescent="0.25">
      <c r="L50"/>
      <c r="M50"/>
      <c r="N50"/>
      <c r="O50"/>
      <c r="P50"/>
      <c r="Q50"/>
      <c r="R50"/>
      <c r="S50"/>
      <c r="T50"/>
      <c r="U50"/>
      <c r="V50"/>
      <c r="W50"/>
      <c r="X50"/>
      <c r="Y50"/>
      <c r="Z50"/>
      <c r="AA50"/>
      <c r="AB50"/>
      <c r="AC50"/>
      <c r="AD50"/>
      <c r="AE50"/>
      <c r="AF50"/>
      <c r="AG50"/>
      <c r="AH50"/>
      <c r="AI50"/>
      <c r="AJ50"/>
    </row>
    <row r="51" spans="12:36" ht="15" x14ac:dyDescent="0.25">
      <c r="L51"/>
      <c r="M51"/>
      <c r="N51"/>
      <c r="O51"/>
      <c r="P51"/>
      <c r="Q51"/>
      <c r="R51"/>
      <c r="S51"/>
      <c r="T51"/>
      <c r="U51"/>
      <c r="V51"/>
      <c r="W51"/>
      <c r="X51"/>
      <c r="Y51"/>
      <c r="Z51"/>
      <c r="AA51"/>
      <c r="AB51"/>
      <c r="AC51"/>
      <c r="AD51"/>
      <c r="AE51"/>
      <c r="AF51"/>
      <c r="AG51"/>
      <c r="AH51"/>
      <c r="AI51"/>
      <c r="AJ51"/>
    </row>
    <row r="52" spans="12:36" ht="15" x14ac:dyDescent="0.25">
      <c r="L52"/>
      <c r="M52"/>
      <c r="N52"/>
      <c r="O52"/>
      <c r="P52"/>
      <c r="Q52"/>
      <c r="R52"/>
      <c r="S52"/>
      <c r="T52"/>
      <c r="U52"/>
      <c r="V52"/>
      <c r="W52"/>
      <c r="X52"/>
      <c r="Y52"/>
      <c r="Z52"/>
      <c r="AA52"/>
      <c r="AB52"/>
      <c r="AC52"/>
      <c r="AD52"/>
      <c r="AE52"/>
      <c r="AF52"/>
      <c r="AG52"/>
      <c r="AH52"/>
      <c r="AI52"/>
      <c r="AJ52"/>
    </row>
    <row r="53" spans="12:36" ht="15" x14ac:dyDescent="0.25">
      <c r="L53"/>
      <c r="M53"/>
      <c r="N53"/>
      <c r="O53"/>
      <c r="P53"/>
      <c r="Q53"/>
      <c r="R53"/>
      <c r="S53"/>
      <c r="T53"/>
      <c r="U53"/>
      <c r="V53"/>
      <c r="W53"/>
      <c r="X53"/>
      <c r="Y53"/>
      <c r="Z53"/>
      <c r="AA53"/>
      <c r="AB53"/>
      <c r="AC53"/>
      <c r="AD53"/>
      <c r="AE53"/>
      <c r="AF53"/>
      <c r="AG53"/>
      <c r="AH53"/>
      <c r="AI53"/>
      <c r="AJ53"/>
    </row>
    <row r="54" spans="12:36" ht="15" x14ac:dyDescent="0.25">
      <c r="L54"/>
      <c r="M54"/>
      <c r="N54"/>
      <c r="O54"/>
      <c r="P54"/>
      <c r="Q54"/>
      <c r="R54"/>
      <c r="S54"/>
      <c r="T54"/>
      <c r="U54"/>
      <c r="V54"/>
      <c r="W54"/>
      <c r="X54"/>
      <c r="Y54"/>
      <c r="Z54"/>
      <c r="AA54"/>
      <c r="AB54"/>
      <c r="AC54"/>
      <c r="AD54"/>
      <c r="AE54"/>
      <c r="AF54"/>
      <c r="AG54"/>
      <c r="AH54"/>
      <c r="AI54"/>
      <c r="AJ54"/>
    </row>
    <row r="55" spans="12:36" ht="15" x14ac:dyDescent="0.25">
      <c r="L55"/>
      <c r="M55"/>
      <c r="N55"/>
      <c r="O55"/>
      <c r="P55"/>
      <c r="Q55"/>
      <c r="R55"/>
      <c r="S55"/>
      <c r="T55"/>
      <c r="U55"/>
      <c r="V55"/>
      <c r="W55"/>
      <c r="X55"/>
      <c r="Y55"/>
      <c r="Z55"/>
      <c r="AA55"/>
      <c r="AB55"/>
      <c r="AC55"/>
      <c r="AD55"/>
      <c r="AE55"/>
      <c r="AF55"/>
      <c r="AG55"/>
      <c r="AH55"/>
      <c r="AI55"/>
      <c r="AJ55"/>
    </row>
    <row r="56" spans="12:36" ht="15" x14ac:dyDescent="0.25">
      <c r="L56"/>
      <c r="M56"/>
      <c r="N56"/>
      <c r="O56"/>
      <c r="P56"/>
      <c r="Q56"/>
      <c r="R56"/>
      <c r="S56"/>
      <c r="T56"/>
      <c r="U56"/>
      <c r="V56"/>
      <c r="W56"/>
      <c r="X56"/>
      <c r="Y56"/>
      <c r="Z56"/>
      <c r="AA56"/>
      <c r="AB56"/>
      <c r="AC56"/>
      <c r="AD56"/>
      <c r="AE56"/>
      <c r="AF56"/>
      <c r="AG56"/>
      <c r="AH56"/>
      <c r="AI56"/>
      <c r="AJ56"/>
    </row>
  </sheetData>
  <mergeCells count="32">
    <mergeCell ref="D13:D14"/>
    <mergeCell ref="D15:D17"/>
    <mergeCell ref="C8:C12"/>
    <mergeCell ref="D8:D12"/>
    <mergeCell ref="E8:E12"/>
    <mergeCell ref="H8:H9"/>
    <mergeCell ref="E13:E17"/>
    <mergeCell ref="E25:X25"/>
    <mergeCell ref="I26:X26"/>
    <mergeCell ref="E27:E31"/>
    <mergeCell ref="I27:X27"/>
    <mergeCell ref="I28:X28"/>
    <mergeCell ref="I29:X29"/>
    <mergeCell ref="I30:X30"/>
    <mergeCell ref="I31:X31"/>
    <mergeCell ref="E18:E22"/>
    <mergeCell ref="A13:A22"/>
    <mergeCell ref="C13:C22"/>
    <mergeCell ref="A1:X1"/>
    <mergeCell ref="D18:D19"/>
    <mergeCell ref="D20:D22"/>
    <mergeCell ref="B8:B12"/>
    <mergeCell ref="B13:B17"/>
    <mergeCell ref="B18:B22"/>
    <mergeCell ref="A8:A12"/>
    <mergeCell ref="H13:H14"/>
    <mergeCell ref="H18:H19"/>
    <mergeCell ref="A3:A7"/>
    <mergeCell ref="B3:B7"/>
    <mergeCell ref="C3:C7"/>
    <mergeCell ref="D3:D7"/>
    <mergeCell ref="E3:E7"/>
  </mergeCells>
  <phoneticPr fontId="5" type="noConversion"/>
  <hyperlinks>
    <hyperlink ref="A23" r:id="rId1" xr:uid="{2E871B48-82C0-4F9C-B33B-C8EAE5D9D2BA}"/>
    <hyperlink ref="G33" r:id="rId2"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59D0099C-57CC-4AC6-A0D2-B2D1DDCBC5C0}"/>
    <hyperlink ref="H27" r:id="rId3" xr:uid="{CDE28D04-D138-44A0-9744-C344451F93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25"/>
  <sheetViews>
    <sheetView zoomScale="80" zoomScaleNormal="80" workbookViewId="0">
      <selection sqref="A1:R1"/>
    </sheetView>
  </sheetViews>
  <sheetFormatPr defaultRowHeight="15" x14ac:dyDescent="0.25"/>
  <cols>
    <col min="1" max="1" width="57.85546875" customWidth="1"/>
    <col min="18" max="18" width="17.7109375" customWidth="1"/>
  </cols>
  <sheetData>
    <row r="1" spans="1:18" ht="24" customHeight="1" x14ac:dyDescent="0.25">
      <c r="A1" s="324" t="str">
        <f>"Thermostat Setpoints - "&amp;Prototype!A2</f>
        <v>Thermostat Setpoints - SchoolRelocatable</v>
      </c>
      <c r="B1" s="324"/>
      <c r="C1" s="324"/>
      <c r="D1" s="324"/>
      <c r="E1" s="324"/>
      <c r="F1" s="324"/>
      <c r="G1" s="324"/>
      <c r="H1" s="324"/>
      <c r="I1" s="324"/>
      <c r="J1" s="324"/>
      <c r="K1" s="324"/>
      <c r="L1" s="324"/>
      <c r="M1" s="324"/>
      <c r="N1" s="324"/>
      <c r="O1" s="324"/>
      <c r="P1" s="324"/>
      <c r="Q1" s="324"/>
      <c r="R1" s="324"/>
    </row>
    <row r="2" spans="1:18" ht="21.6" customHeight="1" x14ac:dyDescent="0.25">
      <c r="A2" s="291" t="s">
        <v>194</v>
      </c>
      <c r="B2" s="287" t="s">
        <v>141</v>
      </c>
      <c r="C2" s="287" t="s">
        <v>142</v>
      </c>
      <c r="D2" s="287" t="s">
        <v>143</v>
      </c>
      <c r="E2" s="287" t="s">
        <v>144</v>
      </c>
      <c r="F2" s="287" t="s">
        <v>145</v>
      </c>
      <c r="G2" s="287" t="s">
        <v>146</v>
      </c>
      <c r="H2" s="287" t="s">
        <v>147</v>
      </c>
      <c r="I2" s="287" t="s">
        <v>148</v>
      </c>
      <c r="J2" s="287" t="s">
        <v>149</v>
      </c>
      <c r="K2" s="287" t="s">
        <v>150</v>
      </c>
      <c r="L2" s="287" t="s">
        <v>151</v>
      </c>
      <c r="M2" s="287" t="s">
        <v>152</v>
      </c>
      <c r="N2" s="287" t="s">
        <v>153</v>
      </c>
      <c r="O2" s="287" t="s">
        <v>154</v>
      </c>
      <c r="P2" s="287" t="s">
        <v>155</v>
      </c>
      <c r="Q2" s="287" t="s">
        <v>156</v>
      </c>
      <c r="R2" s="74" t="s">
        <v>92</v>
      </c>
    </row>
    <row r="3" spans="1:18" ht="26.45" customHeight="1" x14ac:dyDescent="0.25">
      <c r="A3" s="280" t="s">
        <v>195</v>
      </c>
      <c r="B3" s="282">
        <v>70</v>
      </c>
      <c r="C3" s="282">
        <v>70</v>
      </c>
      <c r="D3" s="282">
        <v>70</v>
      </c>
      <c r="E3" s="282">
        <v>70</v>
      </c>
      <c r="F3" s="282">
        <v>70</v>
      </c>
      <c r="G3" s="282">
        <v>70</v>
      </c>
      <c r="H3" s="282">
        <v>70</v>
      </c>
      <c r="I3" s="282">
        <v>70</v>
      </c>
      <c r="J3" s="282">
        <v>70</v>
      </c>
      <c r="K3" s="282">
        <v>70</v>
      </c>
      <c r="L3" s="282">
        <v>70</v>
      </c>
      <c r="M3" s="282">
        <v>70</v>
      </c>
      <c r="N3" s="282">
        <v>70</v>
      </c>
      <c r="O3" s="282">
        <v>70</v>
      </c>
      <c r="P3" s="282">
        <v>70</v>
      </c>
      <c r="Q3" s="282">
        <v>70</v>
      </c>
      <c r="R3" s="356" t="s">
        <v>196</v>
      </c>
    </row>
    <row r="4" spans="1:18" ht="26.45" customHeight="1" x14ac:dyDescent="0.25">
      <c r="A4" s="280" t="s">
        <v>197</v>
      </c>
      <c r="B4" s="282">
        <v>60</v>
      </c>
      <c r="C4" s="282">
        <v>60</v>
      </c>
      <c r="D4" s="282">
        <v>60</v>
      </c>
      <c r="E4" s="282">
        <v>60</v>
      </c>
      <c r="F4" s="282">
        <v>60</v>
      </c>
      <c r="G4" s="282">
        <v>60</v>
      </c>
      <c r="H4" s="282">
        <v>60</v>
      </c>
      <c r="I4" s="282">
        <v>60</v>
      </c>
      <c r="J4" s="282">
        <v>60</v>
      </c>
      <c r="K4" s="282">
        <v>60</v>
      </c>
      <c r="L4" s="282">
        <v>60</v>
      </c>
      <c r="M4" s="282">
        <v>60</v>
      </c>
      <c r="N4" s="282">
        <v>60</v>
      </c>
      <c r="O4" s="282">
        <v>60</v>
      </c>
      <c r="P4" s="282">
        <v>60</v>
      </c>
      <c r="Q4" s="282">
        <v>60</v>
      </c>
      <c r="R4" s="356"/>
    </row>
    <row r="5" spans="1:18" ht="22.9" customHeight="1" x14ac:dyDescent="0.25">
      <c r="A5" s="280" t="s">
        <v>198</v>
      </c>
      <c r="B5" s="282">
        <v>75</v>
      </c>
      <c r="C5" s="282">
        <v>75</v>
      </c>
      <c r="D5" s="282">
        <v>75</v>
      </c>
      <c r="E5" s="282">
        <v>75</v>
      </c>
      <c r="F5" s="282">
        <v>75</v>
      </c>
      <c r="G5" s="282">
        <v>75</v>
      </c>
      <c r="H5" s="282">
        <v>75</v>
      </c>
      <c r="I5" s="282">
        <v>75</v>
      </c>
      <c r="J5" s="282">
        <v>75</v>
      </c>
      <c r="K5" s="282">
        <v>75</v>
      </c>
      <c r="L5" s="282">
        <v>75</v>
      </c>
      <c r="M5" s="282">
        <v>75</v>
      </c>
      <c r="N5" s="282">
        <v>75</v>
      </c>
      <c r="O5" s="282">
        <v>75</v>
      </c>
      <c r="P5" s="282">
        <v>75</v>
      </c>
      <c r="Q5" s="282">
        <v>75</v>
      </c>
      <c r="R5" s="356" t="s">
        <v>196</v>
      </c>
    </row>
    <row r="6" spans="1:18" ht="22.9" customHeight="1" x14ac:dyDescent="0.25">
      <c r="A6" s="280" t="s">
        <v>199</v>
      </c>
      <c r="B6" s="282">
        <v>85</v>
      </c>
      <c r="C6" s="282">
        <v>85</v>
      </c>
      <c r="D6" s="282">
        <v>85</v>
      </c>
      <c r="E6" s="282">
        <v>85</v>
      </c>
      <c r="F6" s="282">
        <v>85</v>
      </c>
      <c r="G6" s="282">
        <v>85</v>
      </c>
      <c r="H6" s="282">
        <v>85</v>
      </c>
      <c r="I6" s="282">
        <v>85</v>
      </c>
      <c r="J6" s="282">
        <v>85</v>
      </c>
      <c r="K6" s="282">
        <v>85</v>
      </c>
      <c r="L6" s="282">
        <v>85</v>
      </c>
      <c r="M6" s="282">
        <v>85</v>
      </c>
      <c r="N6" s="282">
        <v>85</v>
      </c>
      <c r="O6" s="282">
        <v>85</v>
      </c>
      <c r="P6" s="282">
        <v>85</v>
      </c>
      <c r="Q6" s="282">
        <v>85</v>
      </c>
      <c r="R6" s="356"/>
    </row>
    <row r="7" spans="1:18" ht="22.9" customHeight="1" x14ac:dyDescent="0.25">
      <c r="A7" s="1"/>
      <c r="B7" s="67"/>
      <c r="C7" s="95"/>
      <c r="D7" s="95"/>
      <c r="E7" s="67"/>
      <c r="F7" s="95"/>
      <c r="G7" s="95"/>
      <c r="H7" s="95"/>
      <c r="I7" s="95"/>
    </row>
    <row r="8" spans="1:18" ht="22.9" customHeight="1" x14ac:dyDescent="0.25">
      <c r="A8" s="1"/>
      <c r="B8" s="95"/>
      <c r="C8" s="95"/>
      <c r="D8" s="95"/>
      <c r="E8" s="95"/>
      <c r="F8" s="95"/>
      <c r="G8" s="95"/>
      <c r="H8" s="95"/>
      <c r="I8" s="95"/>
    </row>
    <row r="9" spans="1:18" ht="22.9" customHeight="1" x14ac:dyDescent="0.25">
      <c r="A9" s="95"/>
      <c r="B9" s="95"/>
      <c r="C9" s="95"/>
      <c r="D9" s="95"/>
      <c r="E9" s="95"/>
      <c r="F9" s="95"/>
      <c r="G9" s="95"/>
      <c r="H9" s="95"/>
      <c r="I9" s="95"/>
    </row>
    <row r="10" spans="1:18" ht="22.9" customHeight="1" x14ac:dyDescent="0.25">
      <c r="A10" s="95"/>
      <c r="B10" s="95"/>
      <c r="C10" s="95"/>
      <c r="D10" s="95"/>
      <c r="E10" s="95"/>
      <c r="F10" s="95"/>
      <c r="G10" s="95"/>
      <c r="H10" s="95"/>
      <c r="I10" s="95"/>
    </row>
    <row r="11" spans="1:18" ht="22.9" customHeight="1" x14ac:dyDescent="0.25">
      <c r="A11" s="147"/>
      <c r="B11" s="147"/>
      <c r="C11" s="147"/>
      <c r="D11" s="147"/>
      <c r="E11" s="147"/>
      <c r="F11" s="147"/>
      <c r="G11" s="147"/>
      <c r="H11" s="147"/>
      <c r="I11" s="147"/>
    </row>
    <row r="12" spans="1:18" ht="22.9" customHeight="1" x14ac:dyDescent="0.25">
      <c r="A12" s="95"/>
      <c r="B12" s="95"/>
      <c r="C12" s="95"/>
      <c r="D12" s="95"/>
      <c r="E12" s="95"/>
      <c r="F12" s="95"/>
      <c r="G12" s="95"/>
      <c r="H12" s="95"/>
      <c r="I12" s="95"/>
    </row>
    <row r="13" spans="1:18" ht="22.9" customHeight="1" x14ac:dyDescent="0.25">
      <c r="A13" s="95"/>
      <c r="B13" s="95"/>
      <c r="C13" s="95"/>
      <c r="D13" s="95"/>
      <c r="E13" s="95"/>
      <c r="F13" s="95"/>
      <c r="G13" s="95"/>
      <c r="H13" s="95"/>
      <c r="I13" s="95"/>
    </row>
    <row r="14" spans="1:18" ht="22.9" customHeight="1" x14ac:dyDescent="0.25">
      <c r="A14" s="95"/>
      <c r="B14" s="95"/>
      <c r="C14" s="95"/>
      <c r="D14" s="95"/>
      <c r="E14" s="95"/>
      <c r="F14" s="95"/>
      <c r="G14" s="95"/>
      <c r="H14" s="95"/>
      <c r="I14" s="95"/>
    </row>
    <row r="15" spans="1:18" ht="22.9" customHeight="1" x14ac:dyDescent="0.25">
      <c r="A15" s="95"/>
      <c r="B15" s="95"/>
      <c r="C15" s="95"/>
      <c r="D15" s="95"/>
      <c r="E15" s="95"/>
      <c r="F15" s="95"/>
      <c r="G15" s="95"/>
      <c r="H15" s="95"/>
      <c r="I15" s="95"/>
    </row>
    <row r="16" spans="1:18" ht="22.9" customHeight="1" x14ac:dyDescent="0.25">
      <c r="A16" s="95"/>
      <c r="B16" s="95"/>
      <c r="C16" s="95"/>
      <c r="D16" s="95"/>
      <c r="E16" s="95"/>
      <c r="F16" s="95"/>
      <c r="G16" s="95"/>
      <c r="H16" s="95"/>
      <c r="I16" s="95"/>
    </row>
    <row r="17" spans="1:9" ht="22.9" customHeight="1" x14ac:dyDescent="0.25">
      <c r="A17" s="95"/>
      <c r="B17" s="95"/>
      <c r="C17" s="95"/>
      <c r="D17" s="95"/>
      <c r="E17" s="95"/>
      <c r="F17" s="95"/>
      <c r="G17" s="95"/>
      <c r="H17" s="95"/>
      <c r="I17" s="95"/>
    </row>
    <row r="18" spans="1:9" ht="22.9" customHeight="1" x14ac:dyDescent="0.25">
      <c r="A18" s="95"/>
      <c r="B18" s="95"/>
      <c r="C18" s="95"/>
      <c r="D18" s="95"/>
      <c r="E18" s="95"/>
      <c r="F18" s="95"/>
      <c r="G18" s="95"/>
      <c r="H18" s="95"/>
      <c r="I18" s="95"/>
    </row>
    <row r="19" spans="1:9" ht="22.9" customHeight="1" x14ac:dyDescent="0.25">
      <c r="A19" s="95"/>
      <c r="B19" s="95"/>
      <c r="C19" s="95"/>
      <c r="D19" s="95"/>
      <c r="E19" s="95"/>
      <c r="F19" s="95"/>
      <c r="G19" s="95"/>
      <c r="H19" s="95"/>
      <c r="I19" s="95"/>
    </row>
    <row r="20" spans="1:9" ht="22.9" customHeight="1" x14ac:dyDescent="0.25">
      <c r="A20" s="95"/>
      <c r="B20" s="95"/>
      <c r="C20" s="95"/>
      <c r="D20" s="95"/>
      <c r="E20" s="95"/>
      <c r="F20" s="95"/>
      <c r="G20" s="95"/>
      <c r="H20" s="95"/>
      <c r="I20" s="95"/>
    </row>
    <row r="21" spans="1:9" ht="22.9" customHeight="1" x14ac:dyDescent="0.25">
      <c r="A21" s="95"/>
      <c r="B21" s="95"/>
      <c r="C21" s="95"/>
      <c r="D21" s="95"/>
      <c r="E21" s="95"/>
      <c r="F21" s="95"/>
      <c r="G21" s="95"/>
      <c r="H21" s="95"/>
      <c r="I21" s="95"/>
    </row>
    <row r="22" spans="1:9" ht="22.9" customHeight="1" x14ac:dyDescent="0.25">
      <c r="A22" s="95"/>
      <c r="B22" s="95"/>
      <c r="C22" s="95"/>
      <c r="D22" s="95"/>
      <c r="E22" s="95"/>
      <c r="F22" s="95"/>
      <c r="G22" s="95"/>
      <c r="H22" s="95"/>
      <c r="I22" s="95"/>
    </row>
    <row r="23" spans="1:9" ht="22.9" customHeight="1" x14ac:dyDescent="0.25">
      <c r="A23" s="95"/>
      <c r="B23" s="95"/>
      <c r="C23" s="95"/>
      <c r="D23" s="95"/>
      <c r="E23" s="95"/>
      <c r="F23" s="95"/>
      <c r="G23" s="95"/>
      <c r="H23" s="95"/>
      <c r="I23" s="95"/>
    </row>
    <row r="24" spans="1:9" ht="22.9" customHeight="1" x14ac:dyDescent="0.25">
      <c r="A24" s="95"/>
      <c r="B24" s="95"/>
      <c r="C24" s="95"/>
      <c r="D24" s="95"/>
      <c r="E24" s="95"/>
      <c r="F24" s="95"/>
      <c r="G24" s="95"/>
      <c r="H24" s="95"/>
      <c r="I24" s="95"/>
    </row>
    <row r="25" spans="1:9" ht="22.9" customHeight="1" x14ac:dyDescent="0.25">
      <c r="A25" s="95"/>
      <c r="B25" s="95"/>
      <c r="C25" s="95"/>
      <c r="D25" s="95"/>
      <c r="E25" s="95"/>
      <c r="F25" s="95"/>
      <c r="G25" s="95"/>
      <c r="H25" s="95"/>
      <c r="I25" s="95"/>
    </row>
  </sheetData>
  <mergeCells count="3">
    <mergeCell ref="R3:R4"/>
    <mergeCell ref="A1:R1"/>
    <mergeCell ref="R5:R6"/>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17"/>
  <sheetViews>
    <sheetView zoomScale="80" zoomScaleNormal="80" workbookViewId="0">
      <pane xSplit="1" topLeftCell="B1" activePane="topRight" state="frozen"/>
      <selection pane="topRight" sqref="A1:K1"/>
    </sheetView>
  </sheetViews>
  <sheetFormatPr defaultColWidth="9.28515625" defaultRowHeight="14.25" x14ac:dyDescent="0.2"/>
  <cols>
    <col min="1" max="1" width="54" style="51" customWidth="1"/>
    <col min="2" max="2" width="49.7109375" style="51" customWidth="1"/>
    <col min="3" max="5" width="20.28515625" style="51" customWidth="1"/>
    <col min="6" max="6" width="25.28515625" style="51" bestFit="1" customWidth="1"/>
    <col min="7" max="7" width="19.7109375" style="51" customWidth="1"/>
    <col min="8" max="8" width="23.7109375" style="51" customWidth="1"/>
    <col min="9" max="9" width="13.7109375" style="51" customWidth="1"/>
    <col min="10" max="10" width="11.7109375" style="51" customWidth="1"/>
    <col min="11" max="11" width="13.7109375" style="51" customWidth="1"/>
    <col min="12" max="12" width="68.28515625" style="51" customWidth="1"/>
    <col min="13" max="13" width="12.28515625" style="51" customWidth="1"/>
    <col min="14" max="14" width="13.7109375" style="51" customWidth="1"/>
    <col min="15" max="15" width="12.28515625" style="51" customWidth="1"/>
    <col min="16" max="16" width="18.140625" style="51" customWidth="1"/>
    <col min="17" max="17" width="17.140625" style="51" customWidth="1"/>
    <col min="18" max="18" width="22.42578125" style="51" customWidth="1"/>
    <col min="19" max="19" width="21.7109375" style="51" customWidth="1"/>
    <col min="20" max="20" width="9.28515625" style="51" customWidth="1"/>
    <col min="21" max="21" width="23.28515625" style="51" customWidth="1"/>
    <col min="22" max="25" width="11.28515625" style="51" customWidth="1"/>
    <col min="26" max="16384" width="9.28515625" style="51"/>
  </cols>
  <sheetData>
    <row r="1" spans="1:22" ht="24.6" customHeight="1" thickBot="1" x14ac:dyDescent="0.25">
      <c r="A1" s="357" t="str">
        <f>"Outdoor Airflow Rate - "&amp;Prototype!A2</f>
        <v>Outdoor Airflow Rate - SchoolRelocatable</v>
      </c>
      <c r="B1" s="358"/>
      <c r="C1" s="358"/>
      <c r="D1" s="358"/>
      <c r="E1" s="358"/>
      <c r="F1" s="358"/>
      <c r="G1" s="358"/>
      <c r="H1" s="358"/>
      <c r="I1" s="358"/>
      <c r="J1" s="358"/>
      <c r="K1" s="358"/>
      <c r="L1" s="82"/>
      <c r="M1" s="3"/>
      <c r="N1" s="3"/>
      <c r="O1" s="3"/>
      <c r="P1" s="3"/>
      <c r="Q1" s="3"/>
      <c r="R1" s="3"/>
      <c r="S1" s="3"/>
      <c r="T1" s="3"/>
      <c r="U1" s="3"/>
      <c r="V1" s="3"/>
    </row>
    <row r="2" spans="1:22" ht="76.150000000000006" customHeight="1" x14ac:dyDescent="0.2">
      <c r="A2" s="136" t="s">
        <v>63</v>
      </c>
      <c r="B2" s="137" t="s">
        <v>64</v>
      </c>
      <c r="C2" s="137" t="s">
        <v>72</v>
      </c>
      <c r="D2" s="138" t="s">
        <v>200</v>
      </c>
      <c r="E2" s="139" t="s">
        <v>201</v>
      </c>
      <c r="F2" s="139" t="s">
        <v>202</v>
      </c>
      <c r="G2" s="139" t="s">
        <v>203</v>
      </c>
      <c r="H2" s="139" t="s">
        <v>204</v>
      </c>
      <c r="I2" s="139" t="s">
        <v>205</v>
      </c>
      <c r="J2" s="139" t="s">
        <v>206</v>
      </c>
      <c r="K2" s="140" t="s">
        <v>207</v>
      </c>
      <c r="L2" s="141" t="s">
        <v>30</v>
      </c>
      <c r="M2" s="3"/>
      <c r="N2" s="3"/>
      <c r="O2" s="3"/>
      <c r="P2" s="3"/>
      <c r="Q2" s="3"/>
      <c r="R2" s="3"/>
      <c r="S2" s="3"/>
      <c r="T2" s="3"/>
      <c r="U2" s="3"/>
      <c r="V2" s="3"/>
    </row>
    <row r="3" spans="1:22" ht="23.45" customHeight="1" x14ac:dyDescent="0.2">
      <c r="A3" s="280" t="str">
        <f>Zones!A3</f>
        <v>Classroom, Lecture, Training, Vocational Areas</v>
      </c>
      <c r="B3" s="280" t="str">
        <f>Zones!B3</f>
        <v>Classroom</v>
      </c>
      <c r="C3" s="122">
        <f>Zones!J3</f>
        <v>48</v>
      </c>
      <c r="D3" s="122">
        <f>Zones!G3</f>
        <v>960</v>
      </c>
      <c r="E3" s="282">
        <v>15</v>
      </c>
      <c r="F3" s="113">
        <v>0.15</v>
      </c>
      <c r="G3" s="113"/>
      <c r="H3" s="72">
        <f t="shared" ref="H3" si="0">C3*E3</f>
        <v>720</v>
      </c>
      <c r="I3" s="73">
        <f t="shared" ref="I3" si="1">D3*F3</f>
        <v>144</v>
      </c>
      <c r="J3" s="73">
        <f t="shared" ref="J3" si="2">G3*D3</f>
        <v>0</v>
      </c>
      <c r="K3" s="72">
        <f>MAX(H3,I3,J3)</f>
        <v>720</v>
      </c>
      <c r="L3" s="72"/>
      <c r="M3" s="3"/>
      <c r="N3" s="3"/>
      <c r="O3" s="3"/>
      <c r="P3" s="3"/>
      <c r="Q3" s="3"/>
      <c r="R3" s="3"/>
      <c r="S3" s="3"/>
      <c r="T3" s="3"/>
      <c r="U3" s="3"/>
      <c r="V3" s="94"/>
    </row>
    <row r="4" spans="1:22" ht="23.45" customHeight="1" x14ac:dyDescent="0.2">
      <c r="A4" s="280" t="str">
        <f>Zones!A4</f>
        <v>Unoccupied-Exclude from Gross Floor Area</v>
      </c>
      <c r="B4" s="280" t="str">
        <f>Zones!B4</f>
        <v>Crawlspace</v>
      </c>
      <c r="C4" s="122">
        <f>Zones!J4</f>
        <v>0</v>
      </c>
      <c r="D4" s="122">
        <f>Zones!G4</f>
        <v>960</v>
      </c>
      <c r="E4" s="282"/>
      <c r="F4" s="113"/>
      <c r="G4" s="113"/>
      <c r="H4" s="72">
        <f t="shared" ref="H4" si="3">C4*E4</f>
        <v>0</v>
      </c>
      <c r="I4" s="73">
        <f t="shared" ref="I4" si="4">D4*F4</f>
        <v>0</v>
      </c>
      <c r="J4" s="73">
        <f t="shared" ref="J4" si="5">G4*D4</f>
        <v>0</v>
      </c>
      <c r="K4" s="72">
        <f t="shared" ref="K4" si="6">MAX(H4,I4,J4)</f>
        <v>0</v>
      </c>
      <c r="L4" s="72"/>
      <c r="M4" s="3"/>
      <c r="N4" s="3"/>
      <c r="O4" s="3"/>
      <c r="P4" s="3"/>
      <c r="Q4" s="3"/>
      <c r="R4" s="3"/>
      <c r="S4" s="3"/>
      <c r="T4" s="3"/>
      <c r="U4" s="3"/>
      <c r="V4" s="94"/>
    </row>
    <row r="5" spans="1:22" ht="24.6" customHeight="1" x14ac:dyDescent="0.2">
      <c r="A5" s="280" t="str">
        <f>Zones!A5</f>
        <v>Total (2 Space types)</v>
      </c>
      <c r="B5" s="280" t="str">
        <f>Zones!B5</f>
        <v>Total (2 spaces)</v>
      </c>
      <c r="C5" s="122">
        <f>Zones!J5</f>
        <v>48</v>
      </c>
      <c r="D5" s="122">
        <f>Zones!G5</f>
        <v>1920</v>
      </c>
      <c r="E5" s="282"/>
      <c r="F5" s="282"/>
      <c r="G5" s="282"/>
      <c r="H5" s="72">
        <f>SUM(H3:H4)</f>
        <v>720</v>
      </c>
      <c r="I5" s="72">
        <f>SUM(I3:I4)</f>
        <v>144</v>
      </c>
      <c r="J5" s="72">
        <f>SUM(J3:J4)</f>
        <v>0</v>
      </c>
      <c r="K5" s="72">
        <f>SUM(K3:K4)</f>
        <v>720</v>
      </c>
      <c r="L5" s="282"/>
      <c r="M5" s="3"/>
      <c r="N5" s="3"/>
      <c r="O5" s="3"/>
      <c r="P5" s="3"/>
      <c r="Q5" s="3"/>
      <c r="R5" s="3"/>
      <c r="S5" s="3"/>
      <c r="T5" s="3"/>
      <c r="U5" s="3"/>
      <c r="V5" s="3"/>
    </row>
    <row r="6" spans="1:22" ht="24.6" customHeight="1" x14ac:dyDescent="0.2">
      <c r="A6" s="3"/>
      <c r="B6" s="3"/>
      <c r="C6" s="3"/>
      <c r="D6" s="3"/>
      <c r="E6" s="3"/>
      <c r="F6" s="3"/>
      <c r="G6" s="3"/>
      <c r="H6" s="3"/>
      <c r="I6" s="3"/>
      <c r="J6" s="3"/>
      <c r="K6" s="3"/>
      <c r="L6" s="3"/>
      <c r="M6" s="3"/>
      <c r="N6" s="3"/>
      <c r="O6" s="3"/>
      <c r="P6" s="3"/>
      <c r="Q6" s="3"/>
      <c r="R6" s="3"/>
      <c r="S6" s="3"/>
      <c r="T6" s="3"/>
      <c r="U6" s="3"/>
      <c r="V6" s="3"/>
    </row>
    <row r="7" spans="1:22" ht="24.6" customHeight="1" x14ac:dyDescent="0.2">
      <c r="A7" s="3"/>
      <c r="B7" s="3"/>
      <c r="C7" s="3"/>
      <c r="D7" s="3"/>
      <c r="E7" s="3"/>
      <c r="F7" s="3"/>
      <c r="G7" s="3"/>
      <c r="H7" s="3"/>
      <c r="I7" s="3"/>
      <c r="J7" s="3"/>
      <c r="K7" s="3"/>
      <c r="L7" s="3"/>
      <c r="M7" s="3"/>
      <c r="N7" s="3"/>
      <c r="O7" s="3"/>
      <c r="P7" s="3"/>
      <c r="Q7" s="3"/>
      <c r="R7" s="3"/>
      <c r="S7" s="3"/>
      <c r="T7" s="3"/>
      <c r="U7" s="3"/>
      <c r="V7" s="3"/>
    </row>
    <row r="17" spans="1:12" x14ac:dyDescent="0.2">
      <c r="A17" s="3"/>
      <c r="B17" s="3"/>
      <c r="C17" s="3"/>
      <c r="D17" s="3"/>
      <c r="E17" s="3"/>
      <c r="F17" s="3"/>
      <c r="G17" s="3"/>
      <c r="H17" s="3"/>
      <c r="I17" s="3"/>
      <c r="J17" s="3"/>
      <c r="K17" s="3"/>
      <c r="L17" s="3"/>
    </row>
  </sheetData>
  <mergeCells count="1">
    <mergeCell ref="A1:K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M87"/>
  <sheetViews>
    <sheetView zoomScale="80" zoomScaleNormal="80" workbookViewId="0">
      <selection sqref="A1:G1"/>
    </sheetView>
  </sheetViews>
  <sheetFormatPr defaultColWidth="8.7109375" defaultRowHeight="12.75" customHeight="1" x14ac:dyDescent="0.2"/>
  <cols>
    <col min="1" max="1" width="55.28515625" style="5" customWidth="1"/>
    <col min="2" max="3" width="22.5703125" style="5" customWidth="1"/>
    <col min="4" max="4" width="20.85546875" style="5" customWidth="1"/>
    <col min="5" max="6" width="21.42578125" style="5" customWidth="1"/>
    <col min="7" max="7" width="30.85546875" style="5" customWidth="1"/>
    <col min="8" max="8" width="30.5703125" style="5" bestFit="1" customWidth="1"/>
    <col min="9" max="9" width="25.85546875" style="5" customWidth="1"/>
    <col min="10" max="10" width="50.140625" style="5" customWidth="1"/>
    <col min="11" max="13" width="15.28515625" style="5" customWidth="1"/>
    <col min="14" max="14" width="12.28515625" style="5" customWidth="1"/>
    <col min="15" max="15" width="13.28515625" style="5" customWidth="1"/>
    <col min="16" max="16" width="15.28515625" style="5" customWidth="1"/>
    <col min="17" max="17" width="11" style="5" customWidth="1"/>
    <col min="18" max="21" width="15.28515625" style="5" customWidth="1"/>
    <col min="22" max="22" width="7.7109375" style="5" hidden="1" customWidth="1"/>
    <col min="23" max="23" width="12.42578125" style="5" hidden="1" customWidth="1"/>
    <col min="24" max="39" width="6.5703125" style="5" hidden="1" customWidth="1"/>
    <col min="40" max="40" width="15.28515625" style="5" customWidth="1"/>
    <col min="41" max="41" width="11.28515625" style="5" customWidth="1"/>
    <col min="42" max="42" width="6.28515625" style="5" customWidth="1"/>
    <col min="43" max="46" width="4.7109375" style="5" customWidth="1"/>
    <col min="47" max="47" width="6.28515625" style="5" customWidth="1"/>
    <col min="48" max="62" width="4.7109375" style="5" customWidth="1"/>
    <col min="63" max="16384" width="8.7109375" style="5"/>
  </cols>
  <sheetData>
    <row r="1" spans="1:18" ht="24" customHeight="1" x14ac:dyDescent="0.2">
      <c r="A1" s="324" t="str">
        <f>"Water Heater -"&amp;Prototype!A2</f>
        <v>Water Heater -SchoolRelocatable</v>
      </c>
      <c r="B1" s="324"/>
      <c r="C1" s="324"/>
      <c r="D1" s="324"/>
      <c r="E1" s="324"/>
      <c r="F1" s="324"/>
      <c r="G1" s="324"/>
    </row>
    <row r="2" spans="1:18" ht="22.15" customHeight="1" x14ac:dyDescent="0.2">
      <c r="A2" s="291" t="s">
        <v>86</v>
      </c>
      <c r="B2" s="291" t="s">
        <v>208</v>
      </c>
      <c r="C2" s="291" t="s">
        <v>209</v>
      </c>
      <c r="D2" s="291" t="s">
        <v>210</v>
      </c>
      <c r="E2" s="362" t="s">
        <v>211</v>
      </c>
      <c r="F2" s="363"/>
      <c r="G2" s="291" t="s">
        <v>93</v>
      </c>
    </row>
    <row r="3" spans="1:18" ht="31.15" customHeight="1" x14ac:dyDescent="0.2">
      <c r="A3" s="167" t="s">
        <v>212</v>
      </c>
      <c r="B3" s="145" t="s">
        <v>213</v>
      </c>
      <c r="C3" s="171">
        <v>1</v>
      </c>
      <c r="D3" s="218">
        <f>F17</f>
        <v>2</v>
      </c>
      <c r="E3" s="171">
        <f>G20</f>
        <v>0</v>
      </c>
      <c r="F3" s="145" t="s">
        <v>214</v>
      </c>
      <c r="G3" s="148"/>
    </row>
    <row r="4" spans="1:18" ht="45.75" customHeight="1" x14ac:dyDescent="0.2">
      <c r="A4" s="149" t="s">
        <v>101</v>
      </c>
      <c r="B4" s="145" t="s">
        <v>213</v>
      </c>
      <c r="C4" s="171">
        <v>1</v>
      </c>
      <c r="D4" s="219">
        <f>F15</f>
        <v>2</v>
      </c>
      <c r="E4" s="171">
        <f>G15</f>
        <v>0</v>
      </c>
      <c r="F4" s="135" t="s">
        <v>215</v>
      </c>
      <c r="G4" s="149" t="s">
        <v>216</v>
      </c>
    </row>
    <row r="5" spans="1:18" ht="13.9" customHeight="1" x14ac:dyDescent="0.2">
      <c r="F5" s="9"/>
    </row>
    <row r="6" spans="1:18" ht="16.149999999999999" customHeight="1" x14ac:dyDescent="0.2">
      <c r="A6" s="364" t="s">
        <v>217</v>
      </c>
      <c r="B6" s="365"/>
      <c r="C6" s="365"/>
      <c r="D6" s="365"/>
      <c r="E6" s="365"/>
      <c r="F6" s="365"/>
      <c r="G6" s="365"/>
      <c r="H6" s="365"/>
      <c r="I6" s="78"/>
    </row>
    <row r="7" spans="1:18" ht="84" customHeight="1" x14ac:dyDescent="0.25">
      <c r="A7" s="107" t="s">
        <v>218</v>
      </c>
      <c r="B7" s="162" t="s">
        <v>219</v>
      </c>
      <c r="C7" s="162" t="s">
        <v>220</v>
      </c>
      <c r="D7" s="163" t="s">
        <v>221</v>
      </c>
      <c r="E7" s="163" t="s">
        <v>72</v>
      </c>
      <c r="F7" s="164" t="s">
        <v>222</v>
      </c>
      <c r="G7" s="165" t="s">
        <v>223</v>
      </c>
      <c r="H7" s="166" t="s">
        <v>224</v>
      </c>
      <c r="K7"/>
      <c r="L7"/>
      <c r="M7"/>
      <c r="N7"/>
      <c r="O7"/>
      <c r="P7"/>
      <c r="Q7"/>
      <c r="R7"/>
    </row>
    <row r="8" spans="1:18" ht="22.15" customHeight="1" x14ac:dyDescent="0.25">
      <c r="A8" s="107" t="str">
        <f>Zones!B3</f>
        <v>Classroom</v>
      </c>
      <c r="B8" s="282" t="s">
        <v>213</v>
      </c>
      <c r="C8" s="13"/>
      <c r="D8" s="172">
        <f>Zones!G3</f>
        <v>960</v>
      </c>
      <c r="E8" s="172">
        <f>Zones!J3</f>
        <v>48</v>
      </c>
      <c r="F8" s="174">
        <v>0.18</v>
      </c>
      <c r="G8" s="168">
        <f>F8*E8</f>
        <v>8.64</v>
      </c>
      <c r="H8" s="168">
        <f>G8/60</f>
        <v>0.14400000000000002</v>
      </c>
      <c r="K8"/>
      <c r="L8"/>
      <c r="M8"/>
      <c r="N8"/>
      <c r="O8"/>
      <c r="P8"/>
      <c r="Q8"/>
      <c r="R8"/>
    </row>
    <row r="9" spans="1:18" ht="33" customHeight="1" x14ac:dyDescent="0.2">
      <c r="A9" s="115" t="s">
        <v>225</v>
      </c>
      <c r="B9" s="115"/>
      <c r="C9" s="115"/>
      <c r="D9" s="173">
        <f>SUM(D8:D8)</f>
        <v>960</v>
      </c>
      <c r="E9" s="173">
        <f>SUM(E8:E8)</f>
        <v>48</v>
      </c>
      <c r="F9" s="174">
        <f>F8</f>
        <v>0.18</v>
      </c>
      <c r="G9" s="174">
        <f>SUM(G8:G8)</f>
        <v>8.64</v>
      </c>
      <c r="H9" s="168">
        <f>G9/60</f>
        <v>0.14400000000000002</v>
      </c>
      <c r="I9" s="60"/>
      <c r="J9" s="60"/>
    </row>
    <row r="10" spans="1:18" x14ac:dyDescent="0.2">
      <c r="A10" s="61"/>
      <c r="E10" s="62"/>
    </row>
    <row r="11" spans="1:18" x14ac:dyDescent="0.2">
      <c r="A11" s="61"/>
      <c r="E11" s="62"/>
    </row>
    <row r="12" spans="1:18" x14ac:dyDescent="0.2">
      <c r="A12" s="61"/>
      <c r="E12" s="62"/>
    </row>
    <row r="13" spans="1:18" ht="15.75" customHeight="1" x14ac:dyDescent="0.2">
      <c r="A13" s="359" t="s">
        <v>226</v>
      </c>
      <c r="B13" s="360"/>
      <c r="C13" s="360"/>
      <c r="D13" s="360"/>
      <c r="E13" s="360"/>
      <c r="F13" s="360"/>
      <c r="G13" s="360"/>
      <c r="H13" s="360"/>
      <c r="I13" s="360"/>
      <c r="J13" s="361"/>
    </row>
    <row r="14" spans="1:18" ht="70.150000000000006" customHeight="1" x14ac:dyDescent="0.2">
      <c r="A14" s="291" t="s">
        <v>208</v>
      </c>
      <c r="B14" s="291" t="s">
        <v>223</v>
      </c>
      <c r="C14" s="291" t="s">
        <v>227</v>
      </c>
      <c r="D14" s="291" t="s">
        <v>228</v>
      </c>
      <c r="E14" s="291" t="s">
        <v>229</v>
      </c>
      <c r="F14" s="291" t="s">
        <v>230</v>
      </c>
      <c r="G14" s="291" t="s">
        <v>231</v>
      </c>
      <c r="H14" s="291" t="s">
        <v>232</v>
      </c>
      <c r="I14" s="291" t="s">
        <v>233</v>
      </c>
      <c r="J14" s="291" t="s">
        <v>92</v>
      </c>
    </row>
    <row r="15" spans="1:18" s="97" customFormat="1" ht="24.75" customHeight="1" x14ac:dyDescent="0.25">
      <c r="A15" s="125" t="s">
        <v>234</v>
      </c>
      <c r="B15" s="129">
        <f>B22*60</f>
        <v>30</v>
      </c>
      <c r="C15" s="129">
        <f>B15*(B23-B24)*8.2877*1</f>
        <v>19890.48</v>
      </c>
      <c r="D15" s="129">
        <f>C15</f>
        <v>19890.48</v>
      </c>
      <c r="E15" s="126">
        <f>D15/0.98</f>
        <v>20296.408163265307</v>
      </c>
      <c r="F15" s="216">
        <v>2</v>
      </c>
      <c r="G15" s="130">
        <v>0</v>
      </c>
      <c r="H15" s="13" t="s">
        <v>235</v>
      </c>
      <c r="I15" s="131">
        <f>0.0834*G15*F15</f>
        <v>0</v>
      </c>
      <c r="J15" s="338" t="s">
        <v>236</v>
      </c>
    </row>
    <row r="16" spans="1:18" s="97" customFormat="1" ht="24.75" customHeight="1" x14ac:dyDescent="0.25">
      <c r="A16" s="210" t="s">
        <v>237</v>
      </c>
      <c r="B16" s="211"/>
      <c r="C16" s="211"/>
      <c r="D16" s="211"/>
      <c r="E16" s="212"/>
      <c r="F16" s="213"/>
      <c r="G16" s="214"/>
      <c r="H16" s="13"/>
      <c r="I16" s="215"/>
      <c r="J16" s="339"/>
    </row>
    <row r="17" spans="1:10" ht="21" customHeight="1" x14ac:dyDescent="0.2">
      <c r="A17" s="127" t="s">
        <v>225</v>
      </c>
      <c r="B17" s="132">
        <f>B15</f>
        <v>30</v>
      </c>
      <c r="C17" s="132">
        <f>B17*(135-55)*8.2877*1</f>
        <v>19890.48</v>
      </c>
      <c r="D17" s="133">
        <f>C17</f>
        <v>19890.48</v>
      </c>
      <c r="E17" s="128">
        <f>SUM(E15:E15)</f>
        <v>20296.408163265307</v>
      </c>
      <c r="F17" s="217">
        <v>2</v>
      </c>
      <c r="G17" s="186">
        <v>0</v>
      </c>
      <c r="H17" s="13" t="s">
        <v>235</v>
      </c>
      <c r="I17" s="134">
        <v>0</v>
      </c>
      <c r="J17" s="340"/>
    </row>
    <row r="18" spans="1:10" ht="23.25" customHeight="1" x14ac:dyDescent="0.25">
      <c r="A18"/>
      <c r="B18"/>
      <c r="C18"/>
      <c r="D18"/>
      <c r="E18"/>
      <c r="F18"/>
      <c r="G18"/>
      <c r="H18"/>
      <c r="I18"/>
      <c r="J18"/>
    </row>
    <row r="19" spans="1:10" ht="23.25" customHeight="1" x14ac:dyDescent="0.25">
      <c r="A19" s="276"/>
      <c r="B19" s="183"/>
      <c r="C19" s="183"/>
      <c r="D19" s="183"/>
      <c r="E19" s="184"/>
      <c r="F19"/>
      <c r="G19" s="185"/>
      <c r="H19" s="275"/>
      <c r="I19"/>
      <c r="J19"/>
    </row>
    <row r="20" spans="1:10" ht="36" customHeight="1" x14ac:dyDescent="0.25">
      <c r="A20" s="61"/>
      <c r="B20" s="83"/>
      <c r="E20" s="62"/>
      <c r="F20" s="181" t="s">
        <v>238</v>
      </c>
      <c r="G20" s="187">
        <f>G17</f>
        <v>0</v>
      </c>
      <c r="H20" s="84" t="s">
        <v>239</v>
      </c>
      <c r="I20"/>
      <c r="J20"/>
    </row>
    <row r="21" spans="1:10" ht="49.5" customHeight="1" x14ac:dyDescent="0.25">
      <c r="A21" s="61"/>
      <c r="B21" s="83"/>
      <c r="E21" s="62"/>
      <c r="F21" s="83"/>
      <c r="I21"/>
      <c r="J21"/>
    </row>
    <row r="22" spans="1:10" ht="21" customHeight="1" x14ac:dyDescent="0.2">
      <c r="A22" s="61" t="s">
        <v>240</v>
      </c>
      <c r="B22" s="170">
        <v>0.5</v>
      </c>
      <c r="C22" s="5" t="s">
        <v>241</v>
      </c>
      <c r="E22" s="62"/>
      <c r="F22" s="83"/>
    </row>
    <row r="23" spans="1:10" ht="21" customHeight="1" x14ac:dyDescent="0.2">
      <c r="A23" s="269" t="s">
        <v>242</v>
      </c>
      <c r="B23" s="170">
        <v>135</v>
      </c>
      <c r="C23" s="269" t="s">
        <v>243</v>
      </c>
      <c r="D23" s="269"/>
      <c r="E23" s="269"/>
    </row>
    <row r="24" spans="1:10" ht="33.75" customHeight="1" x14ac:dyDescent="0.2">
      <c r="A24" s="269" t="s">
        <v>244</v>
      </c>
      <c r="B24" s="170">
        <v>55</v>
      </c>
      <c r="C24" s="269" t="s">
        <v>245</v>
      </c>
      <c r="D24" s="269"/>
      <c r="E24" s="269"/>
      <c r="F24" s="269"/>
      <c r="G24" s="269"/>
      <c r="H24" s="269"/>
      <c r="I24" s="269"/>
      <c r="J24" s="269"/>
    </row>
    <row r="25" spans="1:10" ht="15" x14ac:dyDescent="0.25">
      <c r="A25" s="85" t="s">
        <v>246</v>
      </c>
      <c r="B25" s="170">
        <v>0.6</v>
      </c>
      <c r="C25" s="269" t="s">
        <v>245</v>
      </c>
      <c r="D25" s="269"/>
      <c r="E25" s="269"/>
      <c r="F25" s="269"/>
      <c r="G25" s="269"/>
      <c r="H25" s="269"/>
      <c r="I25" s="269"/>
      <c r="J25" s="269"/>
    </row>
    <row r="26" spans="1:10" x14ac:dyDescent="0.2">
      <c r="A26" s="269" t="s">
        <v>247</v>
      </c>
      <c r="B26" s="170">
        <v>0.4</v>
      </c>
      <c r="C26" s="269"/>
      <c r="D26" s="269"/>
      <c r="E26" s="269"/>
      <c r="F26" s="269"/>
      <c r="G26" s="269"/>
      <c r="H26" s="269"/>
      <c r="I26" s="269"/>
      <c r="J26" s="269"/>
    </row>
    <row r="27" spans="1:10" x14ac:dyDescent="0.2">
      <c r="A27" s="170" t="s">
        <v>248</v>
      </c>
      <c r="B27" s="170"/>
      <c r="C27" s="170"/>
      <c r="D27" s="170"/>
      <c r="E27" s="170"/>
      <c r="F27" s="170"/>
      <c r="G27" s="170"/>
      <c r="H27" s="170"/>
      <c r="I27" s="170"/>
      <c r="J27" s="269"/>
    </row>
    <row r="28" spans="1:10" ht="15" x14ac:dyDescent="0.25">
      <c r="A28" t="s">
        <v>249</v>
      </c>
      <c r="E28" s="62"/>
      <c r="J28" s="170"/>
    </row>
    <row r="29" spans="1:10" ht="15" x14ac:dyDescent="0.25">
      <c r="A29" t="s">
        <v>250</v>
      </c>
      <c r="B29" s="26">
        <v>68</v>
      </c>
    </row>
    <row r="30" spans="1:10" ht="15" x14ac:dyDescent="0.25">
      <c r="A30" t="s">
        <v>251</v>
      </c>
      <c r="B30" s="26">
        <f>B23-B29</f>
        <v>67</v>
      </c>
    </row>
    <row r="31" spans="1:10" ht="15" x14ac:dyDescent="0.25">
      <c r="A31" t="s">
        <v>252</v>
      </c>
      <c r="B31" s="26"/>
    </row>
    <row r="32" spans="1:10" ht="15" x14ac:dyDescent="0.25">
      <c r="A32"/>
      <c r="B32" s="26"/>
    </row>
    <row r="33" spans="1:9" x14ac:dyDescent="0.2">
      <c r="A33" s="75" t="s">
        <v>134</v>
      </c>
      <c r="B33" s="75"/>
      <c r="C33" s="75"/>
      <c r="D33" s="75"/>
      <c r="E33" s="75"/>
      <c r="F33" s="75"/>
      <c r="G33" s="75"/>
      <c r="H33" s="75"/>
      <c r="I33" s="75"/>
    </row>
    <row r="34" spans="1:9" s="75" customFormat="1" ht="21" hidden="1" customHeight="1" x14ac:dyDescent="0.2">
      <c r="A34" s="64"/>
      <c r="B34" s="5"/>
      <c r="C34" s="5"/>
      <c r="D34" s="5"/>
      <c r="E34" s="5"/>
      <c r="F34" s="5"/>
      <c r="G34" s="5"/>
      <c r="H34" s="5"/>
      <c r="I34" s="5"/>
    </row>
    <row r="35" spans="1:9" ht="15" hidden="1" x14ac:dyDescent="0.2">
      <c r="A35" s="63"/>
    </row>
    <row r="36" spans="1:9" ht="15" hidden="1" x14ac:dyDescent="0.2">
      <c r="A36" s="64"/>
    </row>
    <row r="37" spans="1:9" ht="15" hidden="1" x14ac:dyDescent="0.2">
      <c r="A37" s="65"/>
    </row>
    <row r="38" spans="1:9" ht="15" hidden="1" x14ac:dyDescent="0.2">
      <c r="A38" s="64"/>
    </row>
    <row r="39" spans="1:9" ht="15" hidden="1" x14ac:dyDescent="0.2">
      <c r="A39" s="65"/>
    </row>
    <row r="40" spans="1:9" ht="15" hidden="1" x14ac:dyDescent="0.2">
      <c r="A40" s="64"/>
    </row>
    <row r="41" spans="1:9" ht="15" hidden="1" x14ac:dyDescent="0.2">
      <c r="A41" s="65"/>
    </row>
    <row r="42" spans="1:9" ht="15" hidden="1" x14ac:dyDescent="0.2">
      <c r="A42" s="64"/>
    </row>
    <row r="43" spans="1:9" ht="15" hidden="1" x14ac:dyDescent="0.2">
      <c r="A43" s="63"/>
    </row>
    <row r="44" spans="1:9" ht="15" hidden="1" x14ac:dyDescent="0.2">
      <c r="A44" s="64"/>
    </row>
    <row r="45" spans="1:9" ht="15" hidden="1" x14ac:dyDescent="0.2">
      <c r="A45" s="63"/>
    </row>
    <row r="46" spans="1:9" ht="15" hidden="1" x14ac:dyDescent="0.2">
      <c r="A46" s="63"/>
    </row>
    <row r="47" spans="1:9" ht="15" hidden="1" x14ac:dyDescent="0.2">
      <c r="A47" s="65"/>
    </row>
    <row r="48" spans="1:9" ht="15" hidden="1" x14ac:dyDescent="0.2">
      <c r="A48" s="65"/>
    </row>
    <row r="49" spans="1:1" ht="15" hidden="1" x14ac:dyDescent="0.2">
      <c r="A49" s="65"/>
    </row>
    <row r="50" spans="1:1" ht="15" hidden="1" x14ac:dyDescent="0.2">
      <c r="A50" s="65"/>
    </row>
    <row r="51" spans="1:1" ht="15" hidden="1" x14ac:dyDescent="0.2">
      <c r="A51" s="65"/>
    </row>
    <row r="52" spans="1:1" ht="15" hidden="1" x14ac:dyDescent="0.2">
      <c r="A52" s="65"/>
    </row>
    <row r="53" spans="1:1" ht="15" hidden="1" x14ac:dyDescent="0.2">
      <c r="A53" s="63"/>
    </row>
    <row r="54" spans="1:1" ht="15" hidden="1" x14ac:dyDescent="0.2">
      <c r="A54" s="64"/>
    </row>
    <row r="55" spans="1:1" ht="15" hidden="1" x14ac:dyDescent="0.2">
      <c r="A55" s="63"/>
    </row>
    <row r="56" spans="1:1" ht="15" hidden="1" x14ac:dyDescent="0.2">
      <c r="A56" s="63"/>
    </row>
    <row r="57" spans="1:1" ht="15" hidden="1" x14ac:dyDescent="0.2">
      <c r="A57" s="65"/>
    </row>
    <row r="58" spans="1:1" ht="15" hidden="1" x14ac:dyDescent="0.2">
      <c r="A58" s="65"/>
    </row>
    <row r="59" spans="1:1" ht="15" hidden="1" x14ac:dyDescent="0.2">
      <c r="A59" s="63"/>
    </row>
    <row r="60" spans="1:1" ht="15" hidden="1" x14ac:dyDescent="0.2">
      <c r="A60" s="64"/>
    </row>
    <row r="61" spans="1:1" ht="15" hidden="1" x14ac:dyDescent="0.2">
      <c r="A61" s="63"/>
    </row>
    <row r="62" spans="1:1" ht="15" hidden="1" x14ac:dyDescent="0.2">
      <c r="A62" s="63"/>
    </row>
    <row r="63" spans="1:1" ht="15" hidden="1" x14ac:dyDescent="0.2">
      <c r="A63" s="65"/>
    </row>
    <row r="64" spans="1:1" ht="15" hidden="1" x14ac:dyDescent="0.2">
      <c r="A64" s="65"/>
    </row>
    <row r="65" spans="1:1" ht="15" hidden="1" x14ac:dyDescent="0.2">
      <c r="A65" s="65"/>
    </row>
    <row r="66" spans="1:1" ht="15" hidden="1" x14ac:dyDescent="0.2">
      <c r="A66" s="65"/>
    </row>
    <row r="67" spans="1:1" ht="15" hidden="1" x14ac:dyDescent="0.2">
      <c r="A67" s="65"/>
    </row>
    <row r="68" spans="1:1" ht="15" hidden="1" x14ac:dyDescent="0.2">
      <c r="A68" s="65"/>
    </row>
    <row r="69" spans="1:1" ht="15" hidden="1" x14ac:dyDescent="0.2">
      <c r="A69" s="65"/>
    </row>
    <row r="70" spans="1:1" ht="15" hidden="1" x14ac:dyDescent="0.2">
      <c r="A70" s="65"/>
    </row>
    <row r="71" spans="1:1" ht="15" hidden="1" x14ac:dyDescent="0.2">
      <c r="A71" s="63"/>
    </row>
    <row r="72" spans="1:1" ht="15" hidden="1" x14ac:dyDescent="0.2">
      <c r="A72" s="64"/>
    </row>
    <row r="73" spans="1:1" ht="15" hidden="1" x14ac:dyDescent="0.2">
      <c r="A73" s="63"/>
    </row>
    <row r="74" spans="1:1" ht="15" hidden="1" x14ac:dyDescent="0.2">
      <c r="A74" s="63"/>
    </row>
    <row r="75" spans="1:1" ht="15" hidden="1" x14ac:dyDescent="0.2">
      <c r="A75" s="65"/>
    </row>
    <row r="76" spans="1:1" ht="15" hidden="1" x14ac:dyDescent="0.2">
      <c r="A76" s="65"/>
    </row>
    <row r="77" spans="1:1" ht="15" hidden="1" x14ac:dyDescent="0.2">
      <c r="A77" s="65"/>
    </row>
    <row r="78" spans="1:1" ht="15" hidden="1" x14ac:dyDescent="0.2">
      <c r="A78" s="65"/>
    </row>
    <row r="79" spans="1:1" ht="15" hidden="1" x14ac:dyDescent="0.25">
      <c r="A79"/>
    </row>
    <row r="80" spans="1:1" hidden="1" x14ac:dyDescent="0.2"/>
    <row r="81" spans="1:1" x14ac:dyDescent="0.2"/>
    <row r="82" spans="1:1" x14ac:dyDescent="0.2"/>
    <row r="83" spans="1:1" ht="15" x14ac:dyDescent="0.2">
      <c r="A83" s="63"/>
    </row>
    <row r="84" spans="1:1" ht="15" x14ac:dyDescent="0.2">
      <c r="A84" s="64"/>
    </row>
    <row r="85" spans="1:1" ht="15" x14ac:dyDescent="0.2">
      <c r="A85" s="63"/>
    </row>
    <row r="86" spans="1:1" ht="15" x14ac:dyDescent="0.2">
      <c r="A86" s="63"/>
    </row>
    <row r="87" spans="1:1" x14ac:dyDescent="0.2"/>
  </sheetData>
  <mergeCells count="5">
    <mergeCell ref="A1:G1"/>
    <mergeCell ref="A13:J13"/>
    <mergeCell ref="E2:F2"/>
    <mergeCell ref="A6:H6"/>
    <mergeCell ref="J15:J17"/>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AC38"/>
  <sheetViews>
    <sheetView zoomScale="90" zoomScaleNormal="90" workbookViewId="0">
      <selection sqref="A1:G1"/>
    </sheetView>
  </sheetViews>
  <sheetFormatPr defaultColWidth="8.7109375" defaultRowHeight="12.75" x14ac:dyDescent="0.2"/>
  <cols>
    <col min="1" max="1" width="49.7109375" style="5" bestFit="1" customWidth="1"/>
    <col min="2" max="2" width="21.42578125" style="5" bestFit="1" customWidth="1"/>
    <col min="3" max="3" width="26.5703125" style="5" customWidth="1"/>
    <col min="4" max="4" width="30.140625" style="5" customWidth="1"/>
    <col min="5" max="5" width="18.28515625" style="5" customWidth="1"/>
    <col min="6" max="6" width="28.42578125" style="5" customWidth="1"/>
    <col min="7" max="7" width="30" style="5" customWidth="1"/>
    <col min="8" max="8" width="10.5703125" style="5" customWidth="1"/>
    <col min="9" max="9" width="11.42578125" style="5" customWidth="1"/>
    <col min="10" max="16384" width="8.7109375" style="5"/>
  </cols>
  <sheetData>
    <row r="1" spans="1:29" ht="25.9" customHeight="1" x14ac:dyDescent="0.2">
      <c r="A1" s="324" t="str">
        <f>"Interior Lighting - "&amp;Prototype!A2</f>
        <v>Interior Lighting - SchoolRelocatable</v>
      </c>
      <c r="B1" s="324"/>
      <c r="C1" s="324"/>
      <c r="D1" s="324"/>
      <c r="E1" s="324"/>
      <c r="F1" s="324"/>
      <c r="G1" s="324"/>
    </row>
    <row r="2" spans="1:29" ht="25.9" customHeight="1" x14ac:dyDescent="0.2">
      <c r="A2" s="366" t="s">
        <v>63</v>
      </c>
      <c r="B2" s="351" t="s">
        <v>253</v>
      </c>
      <c r="C2" s="351"/>
      <c r="D2" s="351"/>
      <c r="E2" s="351" t="s">
        <v>94</v>
      </c>
      <c r="F2" s="351"/>
      <c r="G2" s="351"/>
    </row>
    <row r="3" spans="1:29" ht="43.15" customHeight="1" x14ac:dyDescent="0.2">
      <c r="A3" s="366"/>
      <c r="B3" s="279" t="s">
        <v>254</v>
      </c>
      <c r="C3" s="279" t="s">
        <v>255</v>
      </c>
      <c r="D3" s="287" t="s">
        <v>92</v>
      </c>
      <c r="E3" s="279" t="s">
        <v>256</v>
      </c>
      <c r="F3" s="279" t="s">
        <v>257</v>
      </c>
      <c r="G3" s="279" t="s">
        <v>92</v>
      </c>
    </row>
    <row r="4" spans="1:29" ht="27" customHeight="1" x14ac:dyDescent="0.2">
      <c r="A4" s="109" t="str">
        <f>Zones!A3</f>
        <v>Classroom, Lecture, Training, Vocational Areas</v>
      </c>
      <c r="B4" s="76">
        <v>0.6</v>
      </c>
      <c r="C4" s="284"/>
      <c r="D4" s="338" t="s">
        <v>258</v>
      </c>
      <c r="E4" s="76">
        <v>1.2</v>
      </c>
      <c r="F4" s="284"/>
      <c r="G4" s="338" t="s">
        <v>259</v>
      </c>
    </row>
    <row r="5" spans="1:29" ht="24" customHeight="1" x14ac:dyDescent="0.25">
      <c r="A5" s="109" t="str">
        <f>Zones!A4</f>
        <v>Unoccupied-Exclude from Gross Floor Area</v>
      </c>
      <c r="B5" s="76">
        <v>0</v>
      </c>
      <c r="C5" s="284"/>
      <c r="D5" s="340"/>
      <c r="E5" s="76">
        <v>0</v>
      </c>
      <c r="F5" s="284"/>
      <c r="G5" s="340"/>
      <c r="L5"/>
      <c r="M5"/>
      <c r="N5"/>
      <c r="O5"/>
      <c r="P5"/>
      <c r="Q5"/>
      <c r="R5"/>
      <c r="S5"/>
      <c r="T5"/>
      <c r="U5"/>
      <c r="V5"/>
      <c r="W5"/>
      <c r="X5"/>
      <c r="Y5"/>
      <c r="Z5"/>
      <c r="AA5"/>
      <c r="AB5"/>
      <c r="AC5"/>
    </row>
    <row r="6" spans="1:29" ht="15" x14ac:dyDescent="0.25">
      <c r="J6"/>
      <c r="K6"/>
      <c r="L6"/>
      <c r="M6"/>
      <c r="N6"/>
      <c r="O6"/>
      <c r="P6"/>
      <c r="Q6"/>
      <c r="R6"/>
      <c r="S6"/>
      <c r="T6"/>
      <c r="U6"/>
      <c r="V6"/>
      <c r="W6"/>
      <c r="X6"/>
      <c r="Y6"/>
      <c r="Z6"/>
      <c r="AA6"/>
      <c r="AB6"/>
      <c r="AC6"/>
    </row>
    <row r="7" spans="1:29" ht="15" x14ac:dyDescent="0.25">
      <c r="J7"/>
      <c r="K7"/>
      <c r="L7"/>
      <c r="M7"/>
      <c r="N7"/>
      <c r="O7"/>
      <c r="P7"/>
      <c r="Q7"/>
      <c r="R7"/>
      <c r="S7"/>
      <c r="T7"/>
      <c r="U7"/>
      <c r="V7"/>
      <c r="W7"/>
      <c r="X7"/>
      <c r="Y7"/>
      <c r="Z7"/>
      <c r="AA7"/>
      <c r="AB7"/>
      <c r="AC7"/>
    </row>
    <row r="8" spans="1:29" ht="15" x14ac:dyDescent="0.25">
      <c r="J8"/>
      <c r="K8"/>
      <c r="L8"/>
      <c r="M8"/>
      <c r="N8"/>
      <c r="O8"/>
      <c r="P8"/>
      <c r="Q8"/>
      <c r="R8"/>
      <c r="S8"/>
      <c r="T8"/>
      <c r="U8"/>
      <c r="V8"/>
      <c r="W8"/>
      <c r="X8"/>
      <c r="Y8"/>
      <c r="Z8"/>
      <c r="AA8"/>
      <c r="AB8"/>
      <c r="AC8"/>
    </row>
    <row r="9" spans="1:29" ht="15" x14ac:dyDescent="0.25">
      <c r="J9"/>
      <c r="K9"/>
      <c r="L9"/>
      <c r="M9"/>
      <c r="N9"/>
      <c r="O9"/>
      <c r="P9"/>
      <c r="Q9"/>
      <c r="R9"/>
      <c r="S9"/>
      <c r="T9"/>
      <c r="U9"/>
      <c r="V9"/>
      <c r="W9"/>
      <c r="X9"/>
      <c r="Y9"/>
      <c r="Z9"/>
      <c r="AA9"/>
      <c r="AB9"/>
      <c r="AC9"/>
    </row>
    <row r="10" spans="1:29" ht="15" x14ac:dyDescent="0.25">
      <c r="J10"/>
      <c r="K10"/>
      <c r="L10"/>
      <c r="M10"/>
      <c r="N10"/>
      <c r="O10"/>
      <c r="P10"/>
      <c r="Q10"/>
      <c r="R10"/>
      <c r="S10"/>
      <c r="T10"/>
      <c r="U10"/>
      <c r="V10"/>
      <c r="W10"/>
      <c r="X10"/>
      <c r="Y10"/>
      <c r="Z10"/>
      <c r="AA10"/>
      <c r="AB10"/>
      <c r="AC10"/>
    </row>
    <row r="11" spans="1:29" ht="15" x14ac:dyDescent="0.25">
      <c r="J11"/>
      <c r="K11"/>
      <c r="L11"/>
      <c r="M11"/>
      <c r="N11"/>
      <c r="O11"/>
      <c r="P11"/>
      <c r="Q11"/>
      <c r="R11"/>
      <c r="S11"/>
      <c r="T11"/>
      <c r="U11"/>
      <c r="V11"/>
      <c r="W11"/>
      <c r="X11"/>
      <c r="Y11"/>
      <c r="Z11"/>
      <c r="AA11"/>
      <c r="AB11"/>
      <c r="AC11"/>
    </row>
    <row r="12" spans="1:29" ht="15" x14ac:dyDescent="0.25">
      <c r="J12"/>
      <c r="K12"/>
      <c r="L12"/>
      <c r="M12"/>
      <c r="N12"/>
      <c r="O12"/>
      <c r="P12"/>
      <c r="Q12"/>
      <c r="R12"/>
      <c r="S12"/>
      <c r="T12"/>
      <c r="U12"/>
      <c r="V12"/>
      <c r="W12"/>
      <c r="X12"/>
      <c r="Y12"/>
      <c r="Z12"/>
      <c r="AA12"/>
      <c r="AB12"/>
      <c r="AC12"/>
    </row>
    <row r="13" spans="1:29" ht="15" x14ac:dyDescent="0.25">
      <c r="J13"/>
      <c r="K13"/>
      <c r="L13"/>
      <c r="M13"/>
      <c r="N13"/>
      <c r="O13"/>
      <c r="P13"/>
      <c r="Q13"/>
      <c r="R13"/>
      <c r="S13"/>
      <c r="T13"/>
      <c r="U13"/>
      <c r="V13"/>
      <c r="W13"/>
      <c r="X13"/>
      <c r="Y13"/>
      <c r="Z13"/>
      <c r="AA13"/>
      <c r="AB13"/>
      <c r="AC13"/>
    </row>
    <row r="14" spans="1:29" ht="15" x14ac:dyDescent="0.25">
      <c r="J14"/>
      <c r="K14"/>
      <c r="L14"/>
      <c r="M14"/>
      <c r="N14"/>
      <c r="O14"/>
      <c r="P14"/>
      <c r="Q14"/>
      <c r="R14"/>
      <c r="S14"/>
      <c r="T14"/>
      <c r="U14"/>
      <c r="V14"/>
      <c r="W14"/>
      <c r="X14"/>
      <c r="Y14"/>
      <c r="Z14"/>
      <c r="AA14"/>
      <c r="AB14"/>
      <c r="AC14"/>
    </row>
    <row r="15" spans="1:29" ht="15" x14ac:dyDescent="0.25">
      <c r="J15"/>
      <c r="K15"/>
      <c r="L15"/>
      <c r="M15"/>
      <c r="N15"/>
      <c r="O15"/>
      <c r="P15"/>
      <c r="Q15"/>
      <c r="R15"/>
      <c r="S15"/>
      <c r="T15"/>
      <c r="U15"/>
      <c r="V15"/>
      <c r="W15"/>
      <c r="X15"/>
      <c r="Y15"/>
      <c r="Z15"/>
      <c r="AA15"/>
      <c r="AB15"/>
      <c r="AC15"/>
    </row>
    <row r="16" spans="1:29" ht="15" x14ac:dyDescent="0.25">
      <c r="J16"/>
      <c r="K16"/>
      <c r="L16"/>
      <c r="M16"/>
      <c r="N16"/>
      <c r="O16"/>
      <c r="P16"/>
      <c r="Q16"/>
      <c r="R16"/>
      <c r="S16"/>
      <c r="T16"/>
      <c r="U16"/>
      <c r="V16"/>
      <c r="W16"/>
      <c r="X16"/>
      <c r="Y16"/>
      <c r="Z16"/>
      <c r="AA16"/>
      <c r="AB16"/>
      <c r="AC16"/>
    </row>
    <row r="17" spans="10:29" ht="15" x14ac:dyDescent="0.25">
      <c r="J17"/>
      <c r="K17"/>
      <c r="L17"/>
      <c r="M17"/>
      <c r="N17"/>
      <c r="O17"/>
      <c r="P17"/>
      <c r="Q17"/>
      <c r="R17"/>
      <c r="S17"/>
      <c r="T17"/>
      <c r="U17"/>
      <c r="V17"/>
      <c r="W17"/>
      <c r="X17"/>
      <c r="Y17"/>
      <c r="Z17"/>
      <c r="AA17"/>
      <c r="AB17"/>
      <c r="AC17"/>
    </row>
    <row r="18" spans="10:29" ht="15" x14ac:dyDescent="0.25">
      <c r="J18"/>
      <c r="K18"/>
      <c r="L18"/>
      <c r="M18"/>
      <c r="N18"/>
      <c r="O18"/>
      <c r="P18"/>
      <c r="Q18"/>
      <c r="R18"/>
      <c r="S18"/>
      <c r="T18"/>
      <c r="U18"/>
      <c r="V18"/>
      <c r="W18"/>
      <c r="X18"/>
      <c r="Y18"/>
      <c r="Z18"/>
      <c r="AA18"/>
      <c r="AB18"/>
      <c r="AC18"/>
    </row>
    <row r="19" spans="10:29" ht="15" x14ac:dyDescent="0.25">
      <c r="J19"/>
      <c r="K19"/>
      <c r="L19"/>
      <c r="M19"/>
      <c r="N19"/>
      <c r="O19"/>
      <c r="P19"/>
      <c r="Q19"/>
      <c r="R19"/>
      <c r="S19"/>
      <c r="T19"/>
      <c r="U19"/>
      <c r="V19"/>
      <c r="W19"/>
      <c r="X19"/>
      <c r="Y19"/>
      <c r="Z19"/>
      <c r="AA19"/>
      <c r="AB19"/>
      <c r="AC19"/>
    </row>
    <row r="20" spans="10:29" ht="15" x14ac:dyDescent="0.25">
      <c r="J20"/>
      <c r="K20"/>
      <c r="L20"/>
      <c r="M20"/>
      <c r="N20"/>
      <c r="O20"/>
      <c r="P20"/>
      <c r="Q20"/>
      <c r="R20"/>
      <c r="S20"/>
      <c r="T20"/>
      <c r="U20"/>
      <c r="V20"/>
      <c r="W20"/>
      <c r="X20"/>
      <c r="Y20"/>
      <c r="Z20"/>
      <c r="AA20"/>
      <c r="AB20"/>
      <c r="AC20"/>
    </row>
    <row r="21" spans="10:29" ht="15" x14ac:dyDescent="0.25">
      <c r="J21"/>
      <c r="K21"/>
      <c r="L21"/>
      <c r="M21"/>
      <c r="N21"/>
      <c r="O21"/>
      <c r="P21"/>
      <c r="Q21"/>
      <c r="R21"/>
      <c r="S21"/>
      <c r="T21"/>
      <c r="U21"/>
      <c r="V21"/>
      <c r="W21"/>
      <c r="X21"/>
      <c r="Y21"/>
      <c r="Z21"/>
      <c r="AA21"/>
      <c r="AB21"/>
      <c r="AC21"/>
    </row>
    <row r="22" spans="10:29" ht="15" x14ac:dyDescent="0.25">
      <c r="J22"/>
      <c r="K22"/>
      <c r="L22"/>
      <c r="M22"/>
      <c r="N22"/>
      <c r="O22"/>
      <c r="P22"/>
      <c r="Q22"/>
      <c r="R22"/>
      <c r="S22"/>
      <c r="T22"/>
      <c r="U22"/>
      <c r="V22"/>
      <c r="W22"/>
      <c r="X22"/>
      <c r="Y22"/>
      <c r="Z22"/>
      <c r="AA22"/>
      <c r="AB22"/>
      <c r="AC22"/>
    </row>
    <row r="23" spans="10:29" ht="15" x14ac:dyDescent="0.25">
      <c r="J23"/>
      <c r="K23"/>
      <c r="L23"/>
      <c r="M23"/>
      <c r="N23"/>
      <c r="O23"/>
      <c r="P23"/>
      <c r="Q23"/>
      <c r="R23"/>
      <c r="S23"/>
      <c r="T23"/>
      <c r="U23"/>
      <c r="V23"/>
      <c r="W23"/>
      <c r="X23"/>
      <c r="Y23"/>
      <c r="Z23"/>
      <c r="AA23"/>
      <c r="AB23"/>
      <c r="AC23"/>
    </row>
    <row r="24" spans="10:29" ht="15" x14ac:dyDescent="0.25">
      <c r="J24"/>
      <c r="K24"/>
      <c r="L24"/>
      <c r="M24"/>
      <c r="N24"/>
      <c r="O24"/>
      <c r="P24"/>
      <c r="Q24"/>
      <c r="R24"/>
      <c r="S24"/>
      <c r="T24"/>
      <c r="U24"/>
      <c r="V24"/>
      <c r="W24"/>
      <c r="X24"/>
      <c r="Y24"/>
      <c r="Z24"/>
      <c r="AA24"/>
      <c r="AB24"/>
      <c r="AC24"/>
    </row>
    <row r="25" spans="10:29" ht="15" x14ac:dyDescent="0.25">
      <c r="J25"/>
      <c r="K25"/>
      <c r="L25"/>
      <c r="M25"/>
      <c r="N25"/>
      <c r="O25"/>
      <c r="P25"/>
      <c r="Q25"/>
      <c r="R25"/>
      <c r="S25"/>
      <c r="T25"/>
      <c r="U25"/>
      <c r="V25"/>
      <c r="W25"/>
      <c r="X25"/>
      <c r="Y25"/>
      <c r="Z25"/>
      <c r="AA25"/>
      <c r="AB25"/>
      <c r="AC25"/>
    </row>
    <row r="26" spans="10:29" ht="15" x14ac:dyDescent="0.25">
      <c r="J26"/>
      <c r="K26"/>
      <c r="L26"/>
      <c r="M26"/>
      <c r="N26"/>
      <c r="O26"/>
      <c r="P26"/>
      <c r="Q26"/>
      <c r="R26"/>
      <c r="S26"/>
      <c r="T26"/>
      <c r="U26"/>
      <c r="V26"/>
      <c r="W26"/>
      <c r="X26"/>
      <c r="Y26"/>
      <c r="Z26"/>
      <c r="AA26"/>
      <c r="AB26"/>
      <c r="AC26"/>
    </row>
    <row r="27" spans="10:29" ht="15" x14ac:dyDescent="0.25">
      <c r="J27"/>
      <c r="K27"/>
      <c r="L27"/>
      <c r="M27"/>
      <c r="N27"/>
      <c r="O27"/>
      <c r="P27"/>
      <c r="Q27"/>
      <c r="R27"/>
      <c r="S27"/>
      <c r="T27"/>
      <c r="U27"/>
      <c r="V27"/>
      <c r="W27"/>
      <c r="X27"/>
      <c r="Y27"/>
      <c r="Z27"/>
      <c r="AA27"/>
      <c r="AB27"/>
      <c r="AC27"/>
    </row>
    <row r="28" spans="10:29" ht="15" x14ac:dyDescent="0.25">
      <c r="J28"/>
      <c r="K28"/>
      <c r="L28"/>
      <c r="M28"/>
      <c r="N28"/>
      <c r="O28"/>
      <c r="P28"/>
      <c r="Q28"/>
      <c r="R28"/>
      <c r="S28"/>
      <c r="T28"/>
      <c r="U28"/>
      <c r="V28"/>
      <c r="W28"/>
      <c r="X28"/>
      <c r="Y28"/>
      <c r="Z28"/>
      <c r="AA28"/>
      <c r="AB28"/>
      <c r="AC28"/>
    </row>
    <row r="29" spans="10:29" ht="15" x14ac:dyDescent="0.25">
      <c r="J29"/>
      <c r="K29"/>
      <c r="L29"/>
      <c r="M29"/>
      <c r="N29"/>
      <c r="O29"/>
      <c r="P29"/>
      <c r="Q29"/>
      <c r="R29"/>
      <c r="S29"/>
      <c r="T29"/>
      <c r="U29"/>
      <c r="V29"/>
      <c r="W29"/>
      <c r="X29"/>
      <c r="Y29"/>
      <c r="Z29"/>
      <c r="AA29"/>
      <c r="AB29"/>
      <c r="AC29"/>
    </row>
    <row r="30" spans="10:29" ht="15" x14ac:dyDescent="0.25">
      <c r="J30"/>
      <c r="K30"/>
      <c r="L30"/>
      <c r="M30"/>
      <c r="N30"/>
      <c r="O30"/>
      <c r="P30"/>
      <c r="Q30"/>
      <c r="R30"/>
      <c r="S30"/>
      <c r="T30"/>
      <c r="U30"/>
      <c r="V30"/>
      <c r="W30"/>
      <c r="X30"/>
      <c r="Y30"/>
      <c r="Z30"/>
      <c r="AA30"/>
      <c r="AB30"/>
      <c r="AC30"/>
    </row>
    <row r="31" spans="10:29" ht="15" x14ac:dyDescent="0.25">
      <c r="J31"/>
      <c r="K31"/>
      <c r="L31"/>
      <c r="M31"/>
      <c r="N31"/>
      <c r="O31"/>
      <c r="P31"/>
      <c r="Q31"/>
      <c r="R31"/>
      <c r="S31"/>
      <c r="T31"/>
      <c r="U31"/>
      <c r="V31"/>
      <c r="W31"/>
      <c r="X31"/>
      <c r="Y31"/>
      <c r="Z31"/>
      <c r="AA31"/>
      <c r="AB31"/>
      <c r="AC31"/>
    </row>
    <row r="32" spans="10:29" ht="15" x14ac:dyDescent="0.25">
      <c r="J32"/>
      <c r="K32"/>
      <c r="L32"/>
      <c r="M32"/>
      <c r="N32"/>
      <c r="O32"/>
      <c r="P32"/>
      <c r="Q32"/>
      <c r="R32"/>
      <c r="S32"/>
      <c r="T32"/>
      <c r="U32"/>
      <c r="V32"/>
      <c r="W32"/>
      <c r="X32"/>
      <c r="Y32"/>
      <c r="Z32"/>
      <c r="AA32"/>
      <c r="AB32"/>
      <c r="AC32"/>
    </row>
    <row r="33" spans="10:29" ht="15" x14ac:dyDescent="0.25">
      <c r="J33"/>
      <c r="K33"/>
      <c r="L33"/>
      <c r="M33"/>
      <c r="N33"/>
      <c r="O33"/>
      <c r="P33"/>
      <c r="Q33"/>
      <c r="R33"/>
      <c r="S33"/>
      <c r="T33"/>
      <c r="U33"/>
      <c r="V33"/>
      <c r="W33"/>
      <c r="X33"/>
      <c r="Y33"/>
      <c r="Z33"/>
      <c r="AA33"/>
      <c r="AB33"/>
      <c r="AC33"/>
    </row>
    <row r="34" spans="10:29" ht="15" x14ac:dyDescent="0.25">
      <c r="J34"/>
      <c r="K34"/>
      <c r="L34"/>
      <c r="M34"/>
      <c r="N34"/>
      <c r="O34"/>
      <c r="P34"/>
      <c r="Q34"/>
      <c r="R34"/>
      <c r="S34"/>
      <c r="T34"/>
      <c r="U34"/>
      <c r="V34"/>
      <c r="W34"/>
      <c r="X34"/>
      <c r="Y34"/>
      <c r="Z34"/>
      <c r="AA34"/>
      <c r="AB34"/>
      <c r="AC34"/>
    </row>
    <row r="35" spans="10:29" ht="15" x14ac:dyDescent="0.25">
      <c r="J35"/>
      <c r="K35"/>
      <c r="L35"/>
      <c r="M35"/>
      <c r="N35"/>
      <c r="O35"/>
      <c r="P35"/>
      <c r="Q35"/>
      <c r="R35"/>
      <c r="S35"/>
      <c r="T35"/>
      <c r="U35"/>
      <c r="V35"/>
      <c r="W35"/>
      <c r="X35"/>
      <c r="Y35"/>
      <c r="Z35"/>
      <c r="AA35"/>
      <c r="AB35"/>
      <c r="AC35"/>
    </row>
    <row r="36" spans="10:29" ht="15" x14ac:dyDescent="0.25">
      <c r="J36"/>
      <c r="K36"/>
      <c r="L36"/>
      <c r="M36"/>
      <c r="N36"/>
      <c r="O36"/>
      <c r="P36"/>
      <c r="Q36"/>
      <c r="R36"/>
      <c r="S36"/>
      <c r="T36"/>
      <c r="U36"/>
      <c r="V36"/>
      <c r="W36"/>
      <c r="X36"/>
      <c r="Y36"/>
      <c r="Z36"/>
      <c r="AA36"/>
      <c r="AB36"/>
      <c r="AC36"/>
    </row>
    <row r="37" spans="10:29" ht="15" x14ac:dyDescent="0.25">
      <c r="J37"/>
      <c r="K37"/>
      <c r="L37"/>
      <c r="M37"/>
      <c r="N37"/>
      <c r="O37"/>
      <c r="P37"/>
      <c r="Q37"/>
      <c r="R37"/>
      <c r="S37"/>
      <c r="T37"/>
      <c r="U37"/>
      <c r="V37"/>
      <c r="W37"/>
      <c r="X37"/>
      <c r="Y37"/>
      <c r="Z37"/>
      <c r="AA37"/>
      <c r="AB37"/>
      <c r="AC37"/>
    </row>
    <row r="38" spans="10:29" ht="15" x14ac:dyDescent="0.25">
      <c r="J38"/>
      <c r="K38"/>
      <c r="L38"/>
      <c r="M38"/>
      <c r="N38"/>
      <c r="O38"/>
      <c r="P38"/>
      <c r="Q38"/>
      <c r="R38"/>
      <c r="S38"/>
      <c r="T38"/>
      <c r="U38"/>
      <c r="V38"/>
      <c r="W38"/>
      <c r="X38"/>
      <c r="Y38"/>
      <c r="Z38"/>
      <c r="AA38"/>
      <c r="AB38"/>
      <c r="AC38"/>
    </row>
  </sheetData>
  <mergeCells count="6">
    <mergeCell ref="A1:G1"/>
    <mergeCell ref="A2:A3"/>
    <mergeCell ref="B2:D2"/>
    <mergeCell ref="E2:G2"/>
    <mergeCell ref="D4:D5"/>
    <mergeCell ref="G4:G5"/>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I25"/>
  <sheetViews>
    <sheetView zoomScale="90" zoomScaleNormal="90" workbookViewId="0">
      <selection sqref="A1:D1"/>
    </sheetView>
  </sheetViews>
  <sheetFormatPr defaultColWidth="8.7109375" defaultRowHeight="12.75" x14ac:dyDescent="0.2"/>
  <cols>
    <col min="1" max="1" width="32" style="5" customWidth="1"/>
    <col min="2" max="2" width="34.5703125" style="5" customWidth="1"/>
    <col min="3" max="3" width="21.28515625" style="5" customWidth="1"/>
    <col min="4" max="4" width="36.28515625" style="5" customWidth="1"/>
    <col min="5" max="5" width="38.85546875" style="5" customWidth="1"/>
    <col min="6" max="6" width="17.140625" style="5" customWidth="1"/>
    <col min="7" max="7" width="17.5703125" style="5" customWidth="1"/>
    <col min="8" max="8" width="15.5703125" style="5" customWidth="1"/>
    <col min="9" max="9" width="13.28515625" style="5" customWidth="1"/>
    <col min="10" max="16384" width="8.7109375" style="5"/>
  </cols>
  <sheetData>
    <row r="1" spans="1:7" ht="25.15" customHeight="1" x14ac:dyDescent="0.2">
      <c r="A1" s="367" t="str">
        <f>"Exterior Lighting - "&amp;Prototype!A2</f>
        <v>Exterior Lighting - SchoolRelocatable</v>
      </c>
      <c r="B1" s="367"/>
      <c r="C1" s="367"/>
      <c r="D1" s="367"/>
    </row>
    <row r="2" spans="1:7" ht="37.15" customHeight="1" x14ac:dyDescent="0.2">
      <c r="A2" s="288" t="s">
        <v>260</v>
      </c>
      <c r="B2" s="288" t="s">
        <v>261</v>
      </c>
      <c r="C2" s="288" t="s">
        <v>262</v>
      </c>
      <c r="D2" s="288" t="s">
        <v>92</v>
      </c>
    </row>
    <row r="3" spans="1:7" ht="45.6" customHeight="1" x14ac:dyDescent="0.2">
      <c r="A3" s="35">
        <f>G14</f>
        <v>200</v>
      </c>
      <c r="B3" s="35">
        <f>G15</f>
        <v>307.87206650000007</v>
      </c>
      <c r="C3" s="35">
        <f>A3+B3</f>
        <v>507.87206650000007</v>
      </c>
      <c r="D3" s="281" t="s">
        <v>263</v>
      </c>
      <c r="E3" s="66"/>
    </row>
    <row r="4" spans="1:7" ht="22.15" customHeight="1" x14ac:dyDescent="0.2">
      <c r="A4" s="48"/>
      <c r="B4" s="48"/>
      <c r="C4" s="48"/>
    </row>
    <row r="5" spans="1:7" ht="15" x14ac:dyDescent="0.25">
      <c r="A5"/>
      <c r="C5" s="86"/>
      <c r="E5" s="87"/>
    </row>
    <row r="6" spans="1:7" ht="15" x14ac:dyDescent="0.25">
      <c r="A6"/>
      <c r="C6" s="86"/>
      <c r="E6" s="87"/>
    </row>
    <row r="7" spans="1:7" ht="15.75" x14ac:dyDescent="0.2">
      <c r="A7" s="367" t="str">
        <f>"Exterior Lighting"</f>
        <v>Exterior Lighting</v>
      </c>
      <c r="B7" s="367"/>
      <c r="C7" s="367"/>
      <c r="D7" s="367"/>
      <c r="E7" s="367"/>
      <c r="F7" s="367"/>
      <c r="G7" s="367"/>
    </row>
    <row r="8" spans="1:7" ht="51.6" customHeight="1" x14ac:dyDescent="0.2">
      <c r="A8" s="116" t="s">
        <v>264</v>
      </c>
      <c r="B8" s="368" t="s">
        <v>265</v>
      </c>
      <c r="C8" s="368"/>
      <c r="D8" s="288" t="s">
        <v>232</v>
      </c>
      <c r="E8" s="288" t="s">
        <v>266</v>
      </c>
      <c r="F8" s="288" t="s">
        <v>232</v>
      </c>
      <c r="G8" s="288" t="s">
        <v>267</v>
      </c>
    </row>
    <row r="9" spans="1:7" ht="21" customHeight="1" x14ac:dyDescent="0.2">
      <c r="A9" s="13" t="s">
        <v>268</v>
      </c>
      <c r="B9" s="13"/>
      <c r="C9" s="88"/>
      <c r="D9" s="282"/>
      <c r="E9" s="282">
        <v>200</v>
      </c>
      <c r="F9" s="144" t="s">
        <v>269</v>
      </c>
      <c r="G9" s="117">
        <f>$E9</f>
        <v>200</v>
      </c>
    </row>
    <row r="10" spans="1:7" ht="38.25" x14ac:dyDescent="0.2">
      <c r="A10" s="13" t="s">
        <v>270</v>
      </c>
      <c r="B10" s="14" t="s">
        <v>271</v>
      </c>
      <c r="C10" s="89">
        <v>0</v>
      </c>
      <c r="D10" s="282" t="s">
        <v>272</v>
      </c>
      <c r="E10" s="282">
        <v>1.9E-2</v>
      </c>
      <c r="F10" s="144" t="s">
        <v>273</v>
      </c>
      <c r="G10" s="117">
        <f t="shared" ref="G10:G13" si="0">E10*C10</f>
        <v>0</v>
      </c>
    </row>
    <row r="11" spans="1:7" ht="25.5" x14ac:dyDescent="0.2">
      <c r="A11" s="13" t="s">
        <v>274</v>
      </c>
      <c r="B11" s="14" t="s">
        <v>275</v>
      </c>
      <c r="C11" s="88">
        <v>0</v>
      </c>
      <c r="D11" s="282" t="s">
        <v>276</v>
      </c>
      <c r="E11" s="282">
        <v>15</v>
      </c>
      <c r="F11" s="144" t="s">
        <v>277</v>
      </c>
      <c r="G11" s="117">
        <f t="shared" si="0"/>
        <v>0</v>
      </c>
    </row>
    <row r="12" spans="1:7" ht="39.6" customHeight="1" x14ac:dyDescent="0.2">
      <c r="A12" s="13" t="s">
        <v>278</v>
      </c>
      <c r="B12" s="14" t="s">
        <v>279</v>
      </c>
      <c r="C12" s="92">
        <f>B25*0.1</f>
        <v>96.009500000000003</v>
      </c>
      <c r="D12" s="282" t="s">
        <v>272</v>
      </c>
      <c r="E12" s="282">
        <v>7.0000000000000001E-3</v>
      </c>
      <c r="F12" s="144" t="s">
        <v>273</v>
      </c>
      <c r="G12" s="118">
        <f t="shared" si="0"/>
        <v>0.67206650000000001</v>
      </c>
    </row>
    <row r="13" spans="1:7" ht="102" x14ac:dyDescent="0.2">
      <c r="A13" s="13" t="s">
        <v>280</v>
      </c>
      <c r="B13" s="14" t="s">
        <v>281</v>
      </c>
      <c r="C13" s="90">
        <f>0.5*4*(B23*B20)</f>
        <v>3072</v>
      </c>
      <c r="D13" s="282" t="s">
        <v>272</v>
      </c>
      <c r="E13" s="282">
        <v>0.1</v>
      </c>
      <c r="F13" s="144" t="s">
        <v>273</v>
      </c>
      <c r="G13" s="118">
        <f t="shared" si="0"/>
        <v>307.20000000000005</v>
      </c>
    </row>
    <row r="14" spans="1:7" x14ac:dyDescent="0.2">
      <c r="A14" s="13" t="s">
        <v>260</v>
      </c>
      <c r="B14" s="13"/>
      <c r="C14" s="88"/>
      <c r="D14" s="282"/>
      <c r="E14" s="282"/>
      <c r="F14" s="282"/>
      <c r="G14" s="118">
        <f>G10+G9+G11</f>
        <v>200</v>
      </c>
    </row>
    <row r="15" spans="1:7" x14ac:dyDescent="0.2">
      <c r="A15" s="13" t="s">
        <v>282</v>
      </c>
      <c r="B15" s="13"/>
      <c r="C15" s="88"/>
      <c r="D15" s="282"/>
      <c r="E15" s="282"/>
      <c r="F15" s="282"/>
      <c r="G15" s="118">
        <f>G12+G13</f>
        <v>307.87206650000007</v>
      </c>
    </row>
    <row r="16" spans="1:7" x14ac:dyDescent="0.2">
      <c r="A16" s="13" t="s">
        <v>225</v>
      </c>
      <c r="B16" s="13"/>
      <c r="C16" s="88"/>
      <c r="D16" s="282"/>
      <c r="E16" s="282"/>
      <c r="F16" s="282"/>
      <c r="G16" s="118">
        <f>G14+G15</f>
        <v>507.87206650000007</v>
      </c>
    </row>
    <row r="19" spans="1:9" x14ac:dyDescent="0.2">
      <c r="B19" s="91"/>
    </row>
    <row r="20" spans="1:9" x14ac:dyDescent="0.2">
      <c r="A20" s="9" t="s">
        <v>283</v>
      </c>
      <c r="B20" s="273">
        <v>12</v>
      </c>
      <c r="C20" s="273"/>
      <c r="D20" s="273"/>
      <c r="E20" s="273"/>
      <c r="F20" s="273"/>
    </row>
    <row r="21" spans="1:9" x14ac:dyDescent="0.2">
      <c r="A21" s="9" t="s">
        <v>284</v>
      </c>
      <c r="B21" s="156">
        <f>B25/2</f>
        <v>480.04750000000001</v>
      </c>
      <c r="C21" s="156"/>
      <c r="D21" s="156"/>
      <c r="E21" s="156"/>
      <c r="F21" s="273"/>
    </row>
    <row r="22" spans="1:9" x14ac:dyDescent="0.2">
      <c r="A22" s="5" t="s">
        <v>285</v>
      </c>
      <c r="B22" s="273">
        <v>1</v>
      </c>
    </row>
    <row r="23" spans="1:9" ht="15" x14ac:dyDescent="0.25">
      <c r="A23" s="5" t="s">
        <v>286</v>
      </c>
      <c r="B23" s="156">
        <f>(24+40)*2</f>
        <v>128</v>
      </c>
      <c r="C23" s="269"/>
      <c r="D23" s="153"/>
      <c r="E23" s="269"/>
      <c r="F23" s="154"/>
      <c r="G23" s="269"/>
      <c r="H23" s="269"/>
      <c r="I23" s="269"/>
    </row>
    <row r="24" spans="1:9" s="18" customFormat="1" ht="13.15" hidden="1" customHeight="1" x14ac:dyDescent="0.2">
      <c r="A24" s="18" t="s">
        <v>134</v>
      </c>
      <c r="E24" s="19"/>
      <c r="F24" s="20"/>
      <c r="G24" s="21"/>
    </row>
    <row r="25" spans="1:9" x14ac:dyDescent="0.2">
      <c r="A25" s="269" t="s">
        <v>287</v>
      </c>
      <c r="B25" s="155">
        <f>Prototype!B8/2</f>
        <v>960.09500000000003</v>
      </c>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P37"/>
  <sheetViews>
    <sheetView zoomScale="90" zoomScaleNormal="90" workbookViewId="0">
      <selection sqref="A1:E1"/>
    </sheetView>
  </sheetViews>
  <sheetFormatPr defaultColWidth="8.7109375" defaultRowHeight="15" x14ac:dyDescent="0.25"/>
  <cols>
    <col min="1" max="1" width="49" style="5" customWidth="1"/>
    <col min="2" max="2" width="23.5703125" style="5" customWidth="1"/>
    <col min="3" max="3" width="18.42578125" style="5" bestFit="1" customWidth="1"/>
    <col min="4" max="4" width="23.28515625" style="5" customWidth="1"/>
    <col min="5" max="5" width="59.5703125" style="5" customWidth="1"/>
    <col min="6" max="6" width="18.28515625" customWidth="1"/>
    <col min="7" max="7" width="21.42578125" style="5" customWidth="1"/>
    <col min="8" max="8" width="33.85546875" style="5" bestFit="1" customWidth="1"/>
    <col min="9" max="9" width="10.7109375" style="5" bestFit="1" customWidth="1"/>
    <col min="10" max="10" width="10.5703125" style="5" bestFit="1" customWidth="1"/>
    <col min="11" max="16384" width="8.7109375" style="5"/>
  </cols>
  <sheetData>
    <row r="1" spans="1:16" ht="23.45" customHeight="1" x14ac:dyDescent="0.25">
      <c r="A1" s="370" t="str">
        <f>"Equipment - "&amp;Prototype!A2</f>
        <v>Equipment - SchoolRelocatable</v>
      </c>
      <c r="B1" s="371"/>
      <c r="C1" s="371"/>
      <c r="D1" s="371"/>
      <c r="E1" s="372"/>
    </row>
    <row r="2" spans="1:16" ht="40.9" customHeight="1" x14ac:dyDescent="0.25">
      <c r="A2" s="287" t="s">
        <v>63</v>
      </c>
      <c r="B2" s="279" t="s">
        <v>292</v>
      </c>
      <c r="C2" s="279" t="s">
        <v>293</v>
      </c>
      <c r="D2" s="279" t="s">
        <v>294</v>
      </c>
      <c r="E2" s="289" t="s">
        <v>92</v>
      </c>
      <c r="H2"/>
      <c r="I2"/>
      <c r="J2"/>
      <c r="K2"/>
      <c r="L2"/>
      <c r="M2"/>
      <c r="N2"/>
      <c r="O2"/>
      <c r="P2"/>
    </row>
    <row r="3" spans="1:16" ht="20.45" customHeight="1" x14ac:dyDescent="0.25">
      <c r="A3" s="108" t="str">
        <f>Zones!A3</f>
        <v>Classroom, Lecture, Training, Vocational Areas</v>
      </c>
      <c r="B3" s="168">
        <v>0.8</v>
      </c>
      <c r="C3" s="168">
        <v>0</v>
      </c>
      <c r="D3" s="169">
        <v>0</v>
      </c>
      <c r="E3" s="338" t="s">
        <v>295</v>
      </c>
      <c r="H3"/>
      <c r="I3"/>
      <c r="J3"/>
      <c r="K3"/>
      <c r="L3"/>
      <c r="M3"/>
      <c r="N3"/>
      <c r="O3"/>
      <c r="P3"/>
    </row>
    <row r="4" spans="1:16" ht="20.45" customHeight="1" x14ac:dyDescent="0.25">
      <c r="A4" s="108" t="str">
        <f>Zones!A4</f>
        <v>Unoccupied-Exclude from Gross Floor Area</v>
      </c>
      <c r="B4" s="168">
        <v>0</v>
      </c>
      <c r="C4" s="168">
        <v>0</v>
      </c>
      <c r="D4" s="169">
        <v>0</v>
      </c>
      <c r="E4" s="340"/>
      <c r="H4"/>
      <c r="I4"/>
      <c r="J4"/>
      <c r="K4"/>
      <c r="L4"/>
      <c r="M4"/>
      <c r="N4"/>
      <c r="O4"/>
      <c r="P4"/>
    </row>
    <row r="5" spans="1:16" ht="15" customHeight="1" x14ac:dyDescent="0.25">
      <c r="A5" s="142"/>
      <c r="H5"/>
      <c r="I5"/>
      <c r="J5"/>
      <c r="K5"/>
      <c r="L5"/>
      <c r="M5"/>
      <c r="N5"/>
      <c r="O5"/>
      <c r="P5"/>
    </row>
    <row r="6" spans="1:16" customFormat="1" ht="15" customHeight="1" x14ac:dyDescent="0.25"/>
    <row r="7" spans="1:16" customFormat="1" x14ac:dyDescent="0.25"/>
    <row r="8" spans="1:16" customFormat="1" x14ac:dyDescent="0.25"/>
    <row r="9" spans="1:16" customFormat="1" x14ac:dyDescent="0.25"/>
    <row r="10" spans="1:16" customFormat="1" x14ac:dyDescent="0.25"/>
    <row r="11" spans="1:16" customFormat="1" x14ac:dyDescent="0.25"/>
    <row r="12" spans="1:16" customFormat="1" x14ac:dyDescent="0.25"/>
    <row r="13" spans="1:16" customFormat="1" x14ac:dyDescent="0.25"/>
    <row r="14" spans="1:16" customFormat="1" x14ac:dyDescent="0.25"/>
    <row r="15" spans="1:16" customFormat="1" hidden="1" x14ac:dyDescent="0.25"/>
    <row r="16" spans="1:16" customFormat="1" hidden="1" x14ac:dyDescent="0.25"/>
    <row r="17" customFormat="1" hidden="1" x14ac:dyDescent="0.25"/>
    <row r="18" customFormat="1" hidden="1" x14ac:dyDescent="0.25"/>
    <row r="19" customFormat="1" hidden="1" x14ac:dyDescent="0.25"/>
    <row r="20" customFormat="1" hidden="1" x14ac:dyDescent="0.25"/>
    <row r="21" customFormat="1" hidden="1" x14ac:dyDescent="0.25"/>
    <row r="22" customFormat="1" hidden="1" x14ac:dyDescent="0.25"/>
    <row r="23" customFormat="1" hidden="1" x14ac:dyDescent="0.25"/>
    <row r="24" customFormat="1" hidden="1" x14ac:dyDescent="0.25"/>
    <row r="25" customFormat="1" hidden="1" x14ac:dyDescent="0.25"/>
    <row r="26" customFormat="1" hidden="1" x14ac:dyDescent="0.25"/>
    <row r="27" customFormat="1" hidden="1" x14ac:dyDescent="0.25"/>
    <row r="28" customFormat="1" hidden="1" x14ac:dyDescent="0.25"/>
    <row r="29" customFormat="1" hidden="1" x14ac:dyDescent="0.25"/>
    <row r="30" customFormat="1" hidden="1" x14ac:dyDescent="0.25"/>
    <row r="31" customFormat="1" hidden="1" x14ac:dyDescent="0.25"/>
    <row r="32" customFormat="1" hidden="1" x14ac:dyDescent="0.25"/>
    <row r="33" customFormat="1" x14ac:dyDescent="0.25"/>
    <row r="34" customFormat="1" x14ac:dyDescent="0.25"/>
    <row r="35" customFormat="1" x14ac:dyDescent="0.25"/>
    <row r="36" customFormat="1" x14ac:dyDescent="0.25"/>
    <row r="37" customFormat="1" x14ac:dyDescent="0.25"/>
  </sheetData>
  <autoFilter ref="A2:E4" xr:uid="{84519C81-B0B9-4AE9-9154-3628732CA590}"/>
  <mergeCells count="2">
    <mergeCell ref="A1:E1"/>
    <mergeCell ref="E3:E4"/>
  </mergeCells>
  <phoneticPr fontId="5"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P118"/>
  <sheetViews>
    <sheetView zoomScale="80" zoomScaleNormal="80" workbookViewId="0">
      <selection activeCell="D31" sqref="D31:D33"/>
    </sheetView>
  </sheetViews>
  <sheetFormatPr defaultColWidth="9.28515625" defaultRowHeight="12" x14ac:dyDescent="0.25"/>
  <cols>
    <col min="1" max="1" width="13.140625" style="36" bestFit="1" customWidth="1"/>
    <col min="2" max="2" width="33.140625" style="36" customWidth="1"/>
    <col min="3" max="3" width="16" style="36" bestFit="1" customWidth="1"/>
    <col min="4" max="4" width="24.28515625" style="36" bestFit="1" customWidth="1"/>
    <col min="5" max="6" width="9.28515625" style="36"/>
    <col min="7" max="30" width="5.7109375" style="36" customWidth="1"/>
    <col min="31" max="16384" width="9.28515625" style="36"/>
  </cols>
  <sheetData>
    <row r="1" spans="1:39" ht="24" customHeight="1" x14ac:dyDescent="0.25">
      <c r="A1" s="365" t="str">
        <f>"Schedules - "&amp;Prototype!A2</f>
        <v>Schedules - SchoolRelocatable</v>
      </c>
      <c r="B1" s="365"/>
      <c r="C1" s="365"/>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417"/>
      <c r="AD1"/>
      <c r="AE1" s="37"/>
      <c r="AF1" s="37"/>
      <c r="AG1" s="37"/>
      <c r="AH1" s="37"/>
      <c r="AI1" s="37"/>
      <c r="AJ1" s="38"/>
      <c r="AK1" s="38"/>
      <c r="AL1" s="38"/>
    </row>
    <row r="2" spans="1:39" ht="24" customHeight="1" x14ac:dyDescent="0.25">
      <c r="A2" s="366" t="s">
        <v>296</v>
      </c>
      <c r="B2" s="411" t="s">
        <v>66</v>
      </c>
      <c r="C2" s="411" t="s">
        <v>297</v>
      </c>
      <c r="D2" s="411" t="s">
        <v>92</v>
      </c>
      <c r="E2" s="366" t="s">
        <v>298</v>
      </c>
      <c r="F2" s="410" t="s">
        <v>288</v>
      </c>
      <c r="G2" s="410"/>
      <c r="H2" s="410"/>
      <c r="I2" s="410"/>
      <c r="J2" s="410"/>
      <c r="K2" s="410"/>
      <c r="L2" s="410"/>
      <c r="M2" s="410"/>
      <c r="N2" s="410"/>
      <c r="O2" s="410"/>
      <c r="P2" s="410"/>
      <c r="Q2" s="410"/>
      <c r="R2" s="410"/>
      <c r="S2" s="410"/>
      <c r="T2" s="410"/>
      <c r="U2" s="410"/>
      <c r="V2" s="410"/>
      <c r="W2" s="410"/>
      <c r="X2" s="410"/>
      <c r="Y2" s="410"/>
      <c r="Z2" s="410"/>
      <c r="AA2" s="410"/>
      <c r="AB2" s="410"/>
      <c r="AC2" s="410"/>
      <c r="AD2" s="37"/>
      <c r="AE2" s="37"/>
      <c r="AF2" s="37"/>
      <c r="AG2" s="37"/>
      <c r="AH2" s="37"/>
      <c r="AI2" s="38"/>
      <c r="AJ2" s="38"/>
      <c r="AK2" s="38"/>
    </row>
    <row r="3" spans="1:39" ht="25.15" customHeight="1" thickBot="1" x14ac:dyDescent="0.3">
      <c r="A3" s="411"/>
      <c r="B3" s="412"/>
      <c r="C3" s="413"/>
      <c r="D3" s="413"/>
      <c r="E3" s="411"/>
      <c r="F3" s="289">
        <v>1</v>
      </c>
      <c r="G3" s="289">
        <v>2</v>
      </c>
      <c r="H3" s="289">
        <v>3</v>
      </c>
      <c r="I3" s="289">
        <v>4</v>
      </c>
      <c r="J3" s="289">
        <v>5</v>
      </c>
      <c r="K3" s="289">
        <v>6</v>
      </c>
      <c r="L3" s="289">
        <v>7</v>
      </c>
      <c r="M3" s="289">
        <v>8</v>
      </c>
      <c r="N3" s="289">
        <v>9</v>
      </c>
      <c r="O3" s="289">
        <v>10</v>
      </c>
      <c r="P3" s="289">
        <v>11</v>
      </c>
      <c r="Q3" s="289">
        <v>12</v>
      </c>
      <c r="R3" s="289">
        <v>13</v>
      </c>
      <c r="S3" s="289">
        <v>14</v>
      </c>
      <c r="T3" s="289">
        <v>15</v>
      </c>
      <c r="U3" s="289">
        <v>16</v>
      </c>
      <c r="V3" s="289">
        <v>17</v>
      </c>
      <c r="W3" s="289">
        <v>18</v>
      </c>
      <c r="X3" s="289">
        <v>19</v>
      </c>
      <c r="Y3" s="289">
        <v>20</v>
      </c>
      <c r="Z3" s="289">
        <v>21</v>
      </c>
      <c r="AA3" s="289">
        <v>22</v>
      </c>
      <c r="AB3" s="289">
        <v>23</v>
      </c>
      <c r="AC3" s="289">
        <v>24</v>
      </c>
      <c r="AD3" s="38"/>
      <c r="AE3" s="38"/>
      <c r="AF3" s="38"/>
      <c r="AG3" s="38"/>
      <c r="AH3" s="38"/>
      <c r="AI3" s="38"/>
      <c r="AJ3" s="38"/>
      <c r="AK3" s="38"/>
    </row>
    <row r="4" spans="1:39" ht="29.25" customHeight="1" x14ac:dyDescent="0.25">
      <c r="A4" s="379" t="s">
        <v>299</v>
      </c>
      <c r="B4" s="382" t="s">
        <v>300</v>
      </c>
      <c r="C4" s="414" t="s">
        <v>301</v>
      </c>
      <c r="D4" s="384" t="s">
        <v>302</v>
      </c>
      <c r="E4" s="189" t="s">
        <v>291</v>
      </c>
      <c r="F4" s="190">
        <v>0</v>
      </c>
      <c r="G4" s="190">
        <v>0</v>
      </c>
      <c r="H4" s="190">
        <v>0</v>
      </c>
      <c r="I4" s="190">
        <v>0</v>
      </c>
      <c r="J4" s="190">
        <v>0</v>
      </c>
      <c r="K4" s="190">
        <v>0</v>
      </c>
      <c r="L4" s="190">
        <v>0</v>
      </c>
      <c r="M4" s="190">
        <v>0.05</v>
      </c>
      <c r="N4" s="190">
        <v>0.75</v>
      </c>
      <c r="O4" s="190">
        <v>0.9</v>
      </c>
      <c r="P4" s="190">
        <v>0.9</v>
      </c>
      <c r="Q4" s="190">
        <v>0.8</v>
      </c>
      <c r="R4" s="190">
        <v>0.8</v>
      </c>
      <c r="S4" s="190">
        <v>0.8</v>
      </c>
      <c r="T4" s="190">
        <v>0.8</v>
      </c>
      <c r="U4" s="190">
        <v>0.45</v>
      </c>
      <c r="V4" s="190">
        <v>0.15</v>
      </c>
      <c r="W4" s="190">
        <v>0.05</v>
      </c>
      <c r="X4" s="190">
        <v>0.15</v>
      </c>
      <c r="Y4" s="190">
        <v>0.2</v>
      </c>
      <c r="Z4" s="190">
        <v>0.2</v>
      </c>
      <c r="AA4" s="190">
        <v>0.1</v>
      </c>
      <c r="AB4" s="190">
        <v>0</v>
      </c>
      <c r="AC4" s="191">
        <v>0</v>
      </c>
      <c r="AD4" s="38"/>
      <c r="AE4" s="38"/>
      <c r="AF4" s="38"/>
      <c r="AG4" s="38"/>
      <c r="AH4" s="38"/>
      <c r="AI4" s="38"/>
      <c r="AJ4" s="38"/>
      <c r="AK4" s="38"/>
    </row>
    <row r="5" spans="1:39" ht="33" customHeight="1" x14ac:dyDescent="0.25">
      <c r="A5" s="380"/>
      <c r="B5" s="339"/>
      <c r="C5" s="415"/>
      <c r="D5" s="377"/>
      <c r="E5" s="192" t="s">
        <v>289</v>
      </c>
      <c r="F5" s="113">
        <v>0</v>
      </c>
      <c r="G5" s="113">
        <v>0</v>
      </c>
      <c r="H5" s="113">
        <v>0</v>
      </c>
      <c r="I5" s="113">
        <v>0</v>
      </c>
      <c r="J5" s="113">
        <v>0</v>
      </c>
      <c r="K5" s="113">
        <v>0</v>
      </c>
      <c r="L5" s="113">
        <v>0</v>
      </c>
      <c r="M5" s="113">
        <v>0</v>
      </c>
      <c r="N5" s="113">
        <v>0.1</v>
      </c>
      <c r="O5" s="113">
        <v>0.1</v>
      </c>
      <c r="P5" s="113">
        <v>0.1</v>
      </c>
      <c r="Q5" s="113">
        <v>0.1</v>
      </c>
      <c r="R5" s="113">
        <v>0.1</v>
      </c>
      <c r="S5" s="113">
        <v>0</v>
      </c>
      <c r="T5" s="113">
        <v>0</v>
      </c>
      <c r="U5" s="113">
        <v>0</v>
      </c>
      <c r="V5" s="113">
        <v>0</v>
      </c>
      <c r="W5" s="113">
        <v>0</v>
      </c>
      <c r="X5" s="113">
        <v>0</v>
      </c>
      <c r="Y5" s="113">
        <v>0</v>
      </c>
      <c r="Z5" s="113">
        <v>0</v>
      </c>
      <c r="AA5" s="113">
        <v>0</v>
      </c>
      <c r="AB5" s="113">
        <v>0</v>
      </c>
      <c r="AC5" s="193">
        <v>0</v>
      </c>
      <c r="AD5" s="38"/>
      <c r="AE5" s="38"/>
      <c r="AF5" s="38"/>
      <c r="AG5" s="38"/>
      <c r="AH5" s="38"/>
      <c r="AI5" s="38"/>
      <c r="AJ5" s="38"/>
      <c r="AK5" s="38"/>
    </row>
    <row r="6" spans="1:39" ht="33" customHeight="1" thickBot="1" x14ac:dyDescent="0.3">
      <c r="A6" s="381"/>
      <c r="B6" s="383"/>
      <c r="C6" s="416"/>
      <c r="D6" s="378"/>
      <c r="E6" s="194" t="s">
        <v>290</v>
      </c>
      <c r="F6" s="195">
        <v>0</v>
      </c>
      <c r="G6" s="195">
        <v>0</v>
      </c>
      <c r="H6" s="195">
        <v>0</v>
      </c>
      <c r="I6" s="195">
        <v>0</v>
      </c>
      <c r="J6" s="195">
        <v>0</v>
      </c>
      <c r="K6" s="195">
        <v>0</v>
      </c>
      <c r="L6" s="195">
        <v>0</v>
      </c>
      <c r="M6" s="195">
        <v>0</v>
      </c>
      <c r="N6" s="195">
        <v>0</v>
      </c>
      <c r="O6" s="195">
        <v>0</v>
      </c>
      <c r="P6" s="195">
        <v>0</v>
      </c>
      <c r="Q6" s="195">
        <v>0</v>
      </c>
      <c r="R6" s="195">
        <v>0</v>
      </c>
      <c r="S6" s="195">
        <v>0</v>
      </c>
      <c r="T6" s="195">
        <v>0</v>
      </c>
      <c r="U6" s="195">
        <v>0</v>
      </c>
      <c r="V6" s="195">
        <v>0</v>
      </c>
      <c r="W6" s="195">
        <v>0</v>
      </c>
      <c r="X6" s="195">
        <v>0</v>
      </c>
      <c r="Y6" s="195">
        <v>0</v>
      </c>
      <c r="Z6" s="195">
        <v>0</v>
      </c>
      <c r="AA6" s="195">
        <v>0</v>
      </c>
      <c r="AB6" s="195">
        <v>0</v>
      </c>
      <c r="AC6" s="196">
        <v>0</v>
      </c>
      <c r="AD6" s="38"/>
      <c r="AE6" s="38"/>
      <c r="AF6" s="38"/>
      <c r="AG6" s="38"/>
      <c r="AH6" s="38"/>
      <c r="AI6" s="38"/>
      <c r="AJ6" s="38"/>
      <c r="AK6" s="38"/>
    </row>
    <row r="7" spans="1:39" ht="38.65" customHeight="1" x14ac:dyDescent="0.25">
      <c r="A7" s="379" t="s">
        <v>299</v>
      </c>
      <c r="B7" s="382" t="s">
        <v>300</v>
      </c>
      <c r="C7" s="414" t="s">
        <v>303</v>
      </c>
      <c r="D7" s="384" t="s">
        <v>302</v>
      </c>
      <c r="E7" s="197" t="s">
        <v>291</v>
      </c>
      <c r="F7" s="198">
        <v>0.05</v>
      </c>
      <c r="G7" s="198">
        <v>0.05</v>
      </c>
      <c r="H7" s="198">
        <v>0.05</v>
      </c>
      <c r="I7" s="198">
        <v>0.05</v>
      </c>
      <c r="J7" s="198">
        <v>0.05</v>
      </c>
      <c r="K7" s="198">
        <v>0.05</v>
      </c>
      <c r="L7" s="198">
        <v>0.05</v>
      </c>
      <c r="M7" s="198">
        <v>0.3</v>
      </c>
      <c r="N7" s="198">
        <v>0.6</v>
      </c>
      <c r="O7" s="198">
        <v>0.65</v>
      </c>
      <c r="P7" s="198">
        <v>0.65</v>
      </c>
      <c r="Q7" s="198">
        <v>0.65</v>
      </c>
      <c r="R7" s="198">
        <v>0.55000000000000004</v>
      </c>
      <c r="S7" s="198">
        <v>0.55000000000000004</v>
      </c>
      <c r="T7" s="198">
        <v>0.55000000000000004</v>
      </c>
      <c r="U7" s="198">
        <v>0.5</v>
      </c>
      <c r="V7" s="198">
        <v>0.35</v>
      </c>
      <c r="W7" s="198">
        <v>0.35</v>
      </c>
      <c r="X7" s="198">
        <v>0.35</v>
      </c>
      <c r="Y7" s="198">
        <v>0.35</v>
      </c>
      <c r="Z7" s="198">
        <v>0.35</v>
      </c>
      <c r="AA7" s="198">
        <v>0.3</v>
      </c>
      <c r="AB7" s="198">
        <v>0.05</v>
      </c>
      <c r="AC7" s="199">
        <v>0.05</v>
      </c>
      <c r="AD7" s="38"/>
      <c r="AE7" s="38"/>
      <c r="AF7" s="38"/>
      <c r="AG7" s="38"/>
      <c r="AH7" s="38"/>
      <c r="AI7" s="38"/>
      <c r="AJ7" s="38"/>
      <c r="AK7" s="38"/>
      <c r="AM7" s="49"/>
    </row>
    <row r="8" spans="1:39" ht="38.65" customHeight="1" x14ac:dyDescent="0.25">
      <c r="A8" s="380"/>
      <c r="B8" s="339"/>
      <c r="C8" s="415"/>
      <c r="D8" s="377"/>
      <c r="E8" s="200" t="s">
        <v>289</v>
      </c>
      <c r="F8" s="201">
        <v>0.05</v>
      </c>
      <c r="G8" s="201">
        <v>0.05</v>
      </c>
      <c r="H8" s="201">
        <v>0.05</v>
      </c>
      <c r="I8" s="201">
        <v>0.05</v>
      </c>
      <c r="J8" s="201">
        <v>0.05</v>
      </c>
      <c r="K8" s="201">
        <v>0.05</v>
      </c>
      <c r="L8" s="201">
        <v>0.05</v>
      </c>
      <c r="M8" s="201">
        <v>0.05</v>
      </c>
      <c r="N8" s="201">
        <v>0.15</v>
      </c>
      <c r="O8" s="201">
        <v>0.15</v>
      </c>
      <c r="P8" s="201">
        <v>0.15</v>
      </c>
      <c r="Q8" s="201">
        <v>0.15</v>
      </c>
      <c r="R8" s="201">
        <v>0.15</v>
      </c>
      <c r="S8" s="201">
        <v>0.05</v>
      </c>
      <c r="T8" s="201">
        <v>0.05</v>
      </c>
      <c r="U8" s="201">
        <v>0.05</v>
      </c>
      <c r="V8" s="201">
        <v>0.05</v>
      </c>
      <c r="W8" s="201">
        <v>0.05</v>
      </c>
      <c r="X8" s="201">
        <v>0.05</v>
      </c>
      <c r="Y8" s="201">
        <v>0.05</v>
      </c>
      <c r="Z8" s="201">
        <v>0.05</v>
      </c>
      <c r="AA8" s="201">
        <v>0.05</v>
      </c>
      <c r="AB8" s="201">
        <v>0.05</v>
      </c>
      <c r="AC8" s="202">
        <v>0.05</v>
      </c>
      <c r="AD8" s="38"/>
      <c r="AE8" s="38"/>
      <c r="AF8" s="38"/>
      <c r="AG8" s="38"/>
      <c r="AH8" s="38"/>
      <c r="AI8" s="38"/>
      <c r="AJ8" s="38"/>
      <c r="AK8" s="38"/>
      <c r="AM8" s="49"/>
    </row>
    <row r="9" spans="1:39" ht="38.65" customHeight="1" thickBot="1" x14ac:dyDescent="0.3">
      <c r="A9" s="381"/>
      <c r="B9" s="383"/>
      <c r="C9" s="416"/>
      <c r="D9" s="378"/>
      <c r="E9" s="203" t="s">
        <v>290</v>
      </c>
      <c r="F9" s="204">
        <v>0.05</v>
      </c>
      <c r="G9" s="204">
        <v>0.05</v>
      </c>
      <c r="H9" s="204">
        <v>0.05</v>
      </c>
      <c r="I9" s="204">
        <v>0.05</v>
      </c>
      <c r="J9" s="204">
        <v>0.05</v>
      </c>
      <c r="K9" s="204">
        <v>0.05</v>
      </c>
      <c r="L9" s="204">
        <v>0.05</v>
      </c>
      <c r="M9" s="204">
        <v>0.05</v>
      </c>
      <c r="N9" s="204">
        <v>0.05</v>
      </c>
      <c r="O9" s="204">
        <v>0.05</v>
      </c>
      <c r="P9" s="204">
        <v>0.05</v>
      </c>
      <c r="Q9" s="204">
        <v>0.05</v>
      </c>
      <c r="R9" s="204">
        <v>0.05</v>
      </c>
      <c r="S9" s="204">
        <v>0.05</v>
      </c>
      <c r="T9" s="204">
        <v>0.05</v>
      </c>
      <c r="U9" s="204">
        <v>0.05</v>
      </c>
      <c r="V9" s="204">
        <v>0.05</v>
      </c>
      <c r="W9" s="204">
        <v>0.05</v>
      </c>
      <c r="X9" s="204">
        <v>0.05</v>
      </c>
      <c r="Y9" s="204">
        <v>0.05</v>
      </c>
      <c r="Z9" s="204">
        <v>0.05</v>
      </c>
      <c r="AA9" s="204">
        <v>0.05</v>
      </c>
      <c r="AB9" s="204">
        <v>0.05</v>
      </c>
      <c r="AC9" s="205">
        <v>0.05</v>
      </c>
      <c r="AD9" s="38"/>
      <c r="AE9" s="38"/>
      <c r="AF9" s="38"/>
      <c r="AG9" s="38"/>
      <c r="AH9" s="38"/>
      <c r="AI9" s="38"/>
      <c r="AJ9" s="38"/>
      <c r="AK9" s="38"/>
      <c r="AM9" s="49"/>
    </row>
    <row r="10" spans="1:39" ht="36" customHeight="1" x14ac:dyDescent="0.25">
      <c r="A10" s="379" t="s">
        <v>299</v>
      </c>
      <c r="B10" s="382" t="s">
        <v>300</v>
      </c>
      <c r="C10" s="418" t="s">
        <v>304</v>
      </c>
      <c r="D10" s="384" t="s">
        <v>302</v>
      </c>
      <c r="E10" s="206" t="s">
        <v>291</v>
      </c>
      <c r="F10" s="190">
        <v>0.05</v>
      </c>
      <c r="G10" s="190">
        <v>0.05</v>
      </c>
      <c r="H10" s="190">
        <v>0.05</v>
      </c>
      <c r="I10" s="190">
        <v>0.05</v>
      </c>
      <c r="J10" s="190">
        <v>0.05</v>
      </c>
      <c r="K10" s="190">
        <v>0.05</v>
      </c>
      <c r="L10" s="190">
        <v>0.05</v>
      </c>
      <c r="M10" s="190">
        <v>0.3</v>
      </c>
      <c r="N10" s="190">
        <v>0.85</v>
      </c>
      <c r="O10" s="190">
        <v>0.95</v>
      </c>
      <c r="P10" s="190">
        <v>0.95</v>
      </c>
      <c r="Q10" s="190">
        <v>0.95</v>
      </c>
      <c r="R10" s="190">
        <v>0.8</v>
      </c>
      <c r="S10" s="190">
        <v>0.8</v>
      </c>
      <c r="T10" s="190">
        <v>0.8</v>
      </c>
      <c r="U10" s="190">
        <v>0.7</v>
      </c>
      <c r="V10" s="190">
        <v>0.5</v>
      </c>
      <c r="W10" s="190">
        <v>0.5</v>
      </c>
      <c r="X10" s="190">
        <v>0.35</v>
      </c>
      <c r="Y10" s="190">
        <v>0.35</v>
      </c>
      <c r="Z10" s="190">
        <v>0.35</v>
      </c>
      <c r="AA10" s="190">
        <v>0.3</v>
      </c>
      <c r="AB10" s="190">
        <v>0.05</v>
      </c>
      <c r="AC10" s="191">
        <v>0.05</v>
      </c>
      <c r="AD10" s="39"/>
      <c r="AE10" s="38"/>
      <c r="AF10" s="38"/>
      <c r="AG10" s="38"/>
      <c r="AH10" s="38"/>
      <c r="AI10" s="38"/>
      <c r="AJ10" s="38"/>
      <c r="AK10" s="38"/>
      <c r="AM10" s="49"/>
    </row>
    <row r="11" spans="1:39" ht="36" customHeight="1" x14ac:dyDescent="0.25">
      <c r="A11" s="380"/>
      <c r="B11" s="339"/>
      <c r="C11" s="328"/>
      <c r="D11" s="377"/>
      <c r="E11" s="200" t="s">
        <v>289</v>
      </c>
      <c r="F11" s="113">
        <v>0.05</v>
      </c>
      <c r="G11" s="113">
        <v>0.05</v>
      </c>
      <c r="H11" s="113">
        <v>0.05</v>
      </c>
      <c r="I11" s="113">
        <v>0.05</v>
      </c>
      <c r="J11" s="113">
        <v>0.05</v>
      </c>
      <c r="K11" s="113">
        <v>0.05</v>
      </c>
      <c r="L11" s="113">
        <v>0.05</v>
      </c>
      <c r="M11" s="113">
        <v>0.05</v>
      </c>
      <c r="N11" s="113">
        <v>0.15</v>
      </c>
      <c r="O11" s="113">
        <v>0.15</v>
      </c>
      <c r="P11" s="113">
        <v>0.15</v>
      </c>
      <c r="Q11" s="113">
        <v>0.15</v>
      </c>
      <c r="R11" s="113">
        <v>0.15</v>
      </c>
      <c r="S11" s="113">
        <v>0.05</v>
      </c>
      <c r="T11" s="113">
        <v>0.05</v>
      </c>
      <c r="U11" s="113">
        <v>0.05</v>
      </c>
      <c r="V11" s="113">
        <v>0.05</v>
      </c>
      <c r="W11" s="113">
        <v>0.05</v>
      </c>
      <c r="X11" s="113">
        <v>0.05</v>
      </c>
      <c r="Y11" s="113">
        <v>0.05</v>
      </c>
      <c r="Z11" s="113">
        <v>0.05</v>
      </c>
      <c r="AA11" s="113">
        <v>0.05</v>
      </c>
      <c r="AB11" s="113">
        <v>0.05</v>
      </c>
      <c r="AC11" s="193">
        <v>0.05</v>
      </c>
      <c r="AD11" s="39"/>
      <c r="AE11" s="38"/>
      <c r="AF11" s="38"/>
      <c r="AG11" s="38"/>
      <c r="AH11" s="38"/>
      <c r="AI11" s="38"/>
      <c r="AJ11" s="38"/>
      <c r="AK11" s="38"/>
      <c r="AM11" s="49"/>
    </row>
    <row r="12" spans="1:39" ht="36" customHeight="1" thickBot="1" x14ac:dyDescent="0.3">
      <c r="A12" s="381"/>
      <c r="B12" s="383"/>
      <c r="C12" s="419"/>
      <c r="D12" s="378"/>
      <c r="E12" s="203" t="s">
        <v>290</v>
      </c>
      <c r="F12" s="195">
        <v>0.05</v>
      </c>
      <c r="G12" s="195">
        <v>0.05</v>
      </c>
      <c r="H12" s="195">
        <v>0.05</v>
      </c>
      <c r="I12" s="195">
        <v>0.05</v>
      </c>
      <c r="J12" s="195">
        <v>0.05</v>
      </c>
      <c r="K12" s="195">
        <v>0.05</v>
      </c>
      <c r="L12" s="195">
        <v>0.05</v>
      </c>
      <c r="M12" s="195">
        <v>0.05</v>
      </c>
      <c r="N12" s="195">
        <v>0.05</v>
      </c>
      <c r="O12" s="195">
        <v>0.05</v>
      </c>
      <c r="P12" s="195">
        <v>0.05</v>
      </c>
      <c r="Q12" s="195">
        <v>0.05</v>
      </c>
      <c r="R12" s="195">
        <v>0.05</v>
      </c>
      <c r="S12" s="195">
        <v>0.05</v>
      </c>
      <c r="T12" s="195">
        <v>0.05</v>
      </c>
      <c r="U12" s="195">
        <v>0.05</v>
      </c>
      <c r="V12" s="195">
        <v>0.05</v>
      </c>
      <c r="W12" s="195">
        <v>0.05</v>
      </c>
      <c r="X12" s="195">
        <v>0.05</v>
      </c>
      <c r="Y12" s="195">
        <v>0.05</v>
      </c>
      <c r="Z12" s="195">
        <v>0.05</v>
      </c>
      <c r="AA12" s="195">
        <v>0.05</v>
      </c>
      <c r="AB12" s="195">
        <v>0.05</v>
      </c>
      <c r="AC12" s="196">
        <v>0.05</v>
      </c>
      <c r="AD12" s="39"/>
      <c r="AE12" s="38"/>
      <c r="AF12" s="38"/>
      <c r="AG12" s="38"/>
      <c r="AH12" s="38"/>
      <c r="AI12" s="38"/>
      <c r="AJ12" s="38"/>
      <c r="AK12" s="38"/>
      <c r="AM12" s="49"/>
    </row>
    <row r="13" spans="1:39" ht="36" customHeight="1" x14ac:dyDescent="0.25">
      <c r="A13" s="379" t="s">
        <v>299</v>
      </c>
      <c r="B13" s="382" t="s">
        <v>300</v>
      </c>
      <c r="C13" s="418" t="s">
        <v>305</v>
      </c>
      <c r="D13" s="384" t="s">
        <v>302</v>
      </c>
      <c r="E13" s="189" t="s">
        <v>291</v>
      </c>
      <c r="F13" s="190">
        <v>0.05</v>
      </c>
      <c r="G13" s="190">
        <v>0.05</v>
      </c>
      <c r="H13" s="190">
        <v>0.05</v>
      </c>
      <c r="I13" s="190">
        <v>0.05</v>
      </c>
      <c r="J13" s="190">
        <v>0.05</v>
      </c>
      <c r="K13" s="190">
        <v>0.05</v>
      </c>
      <c r="L13" s="190">
        <v>0.05</v>
      </c>
      <c r="M13" s="190">
        <v>0.1</v>
      </c>
      <c r="N13" s="190">
        <v>0.34</v>
      </c>
      <c r="O13" s="190">
        <v>0.6</v>
      </c>
      <c r="P13" s="190">
        <v>0.63</v>
      </c>
      <c r="Q13" s="190">
        <v>0.72</v>
      </c>
      <c r="R13" s="190">
        <v>0.79</v>
      </c>
      <c r="S13" s="190">
        <v>0.83</v>
      </c>
      <c r="T13" s="190">
        <v>0.61</v>
      </c>
      <c r="U13" s="190">
        <v>0.65</v>
      </c>
      <c r="V13" s="190">
        <v>0.1</v>
      </c>
      <c r="W13" s="190">
        <v>0.1</v>
      </c>
      <c r="X13" s="190">
        <v>0.19</v>
      </c>
      <c r="Y13" s="190">
        <v>0.25</v>
      </c>
      <c r="Z13" s="190">
        <v>0.22</v>
      </c>
      <c r="AA13" s="190">
        <v>0.22</v>
      </c>
      <c r="AB13" s="190">
        <v>0.12</v>
      </c>
      <c r="AC13" s="191">
        <v>0.09</v>
      </c>
      <c r="AD13" s="38"/>
      <c r="AE13" s="38"/>
      <c r="AF13" s="38"/>
      <c r="AG13" s="38"/>
      <c r="AH13" s="38"/>
      <c r="AI13" s="38"/>
      <c r="AJ13" s="38"/>
      <c r="AK13" s="38"/>
      <c r="AM13" s="49"/>
    </row>
    <row r="14" spans="1:39" ht="36" customHeight="1" x14ac:dyDescent="0.25">
      <c r="A14" s="380"/>
      <c r="B14" s="339"/>
      <c r="C14" s="328"/>
      <c r="D14" s="377"/>
      <c r="E14" s="192" t="s">
        <v>289</v>
      </c>
      <c r="F14" s="113">
        <v>0.03</v>
      </c>
      <c r="G14" s="113">
        <v>0.03</v>
      </c>
      <c r="H14" s="113">
        <v>0.03</v>
      </c>
      <c r="I14" s="113">
        <v>0.03</v>
      </c>
      <c r="J14" s="113">
        <v>0.03</v>
      </c>
      <c r="K14" s="113">
        <v>0.03</v>
      </c>
      <c r="L14" s="113">
        <v>0.03</v>
      </c>
      <c r="M14" s="113">
        <v>0.03</v>
      </c>
      <c r="N14" s="113">
        <v>0.03</v>
      </c>
      <c r="O14" s="113">
        <v>0.05</v>
      </c>
      <c r="P14" s="113">
        <v>0.05</v>
      </c>
      <c r="Q14" s="113">
        <v>0.05</v>
      </c>
      <c r="R14" s="113">
        <v>0.05</v>
      </c>
      <c r="S14" s="113">
        <v>0.03</v>
      </c>
      <c r="T14" s="113">
        <v>0.03</v>
      </c>
      <c r="U14" s="113">
        <v>0.03</v>
      </c>
      <c r="V14" s="113">
        <v>0.03</v>
      </c>
      <c r="W14" s="113">
        <v>0.03</v>
      </c>
      <c r="X14" s="113">
        <v>0.03</v>
      </c>
      <c r="Y14" s="113">
        <v>0.03</v>
      </c>
      <c r="Z14" s="113">
        <v>0.03</v>
      </c>
      <c r="AA14" s="113">
        <v>0.03</v>
      </c>
      <c r="AB14" s="113">
        <v>0.03</v>
      </c>
      <c r="AC14" s="193">
        <v>0.03</v>
      </c>
      <c r="AD14" s="38"/>
      <c r="AE14" s="38"/>
      <c r="AF14" s="38"/>
      <c r="AG14" s="38"/>
      <c r="AH14" s="38"/>
      <c r="AI14" s="38"/>
      <c r="AJ14" s="38"/>
      <c r="AK14" s="38"/>
      <c r="AM14" s="49"/>
    </row>
    <row r="15" spans="1:39" ht="36" customHeight="1" thickBot="1" x14ac:dyDescent="0.3">
      <c r="A15" s="381"/>
      <c r="B15" s="383"/>
      <c r="C15" s="419"/>
      <c r="D15" s="378"/>
      <c r="E15" s="194" t="s">
        <v>290</v>
      </c>
      <c r="F15" s="195">
        <v>0.03</v>
      </c>
      <c r="G15" s="195">
        <v>0.03</v>
      </c>
      <c r="H15" s="195">
        <v>0.03</v>
      </c>
      <c r="I15" s="195">
        <v>0.03</v>
      </c>
      <c r="J15" s="195">
        <v>0.03</v>
      </c>
      <c r="K15" s="195">
        <v>0.03</v>
      </c>
      <c r="L15" s="195">
        <v>0.03</v>
      </c>
      <c r="M15" s="195">
        <v>0.03</v>
      </c>
      <c r="N15" s="195">
        <v>0.05</v>
      </c>
      <c r="O15" s="195">
        <v>0.05</v>
      </c>
      <c r="P15" s="195">
        <v>0.05</v>
      </c>
      <c r="Q15" s="195">
        <v>0.05</v>
      </c>
      <c r="R15" s="195">
        <v>0.05</v>
      </c>
      <c r="S15" s="195">
        <v>0.05</v>
      </c>
      <c r="T15" s="195">
        <v>0.03</v>
      </c>
      <c r="U15" s="195">
        <v>0.03</v>
      </c>
      <c r="V15" s="195">
        <v>0.03</v>
      </c>
      <c r="W15" s="195">
        <v>0.03</v>
      </c>
      <c r="X15" s="195">
        <v>0.03</v>
      </c>
      <c r="Y15" s="195">
        <v>0.03</v>
      </c>
      <c r="Z15" s="195">
        <v>0.03</v>
      </c>
      <c r="AA15" s="195">
        <v>0.03</v>
      </c>
      <c r="AB15" s="195">
        <v>0.03</v>
      </c>
      <c r="AC15" s="196">
        <v>0.03</v>
      </c>
      <c r="AD15" s="38"/>
      <c r="AE15" s="38"/>
      <c r="AF15" s="38"/>
      <c r="AG15" s="38"/>
      <c r="AH15" s="38"/>
      <c r="AI15" s="38"/>
      <c r="AJ15" s="38"/>
      <c r="AK15" s="38"/>
      <c r="AM15" s="49"/>
    </row>
    <row r="16" spans="1:39" ht="36" customHeight="1" x14ac:dyDescent="0.25">
      <c r="A16" s="379" t="s">
        <v>299</v>
      </c>
      <c r="B16" s="382" t="s">
        <v>300</v>
      </c>
      <c r="C16" s="418" t="s">
        <v>306</v>
      </c>
      <c r="D16" s="384" t="s">
        <v>302</v>
      </c>
      <c r="E16" s="206" t="s">
        <v>291</v>
      </c>
      <c r="F16" s="190">
        <v>0</v>
      </c>
      <c r="G16" s="190">
        <v>0</v>
      </c>
      <c r="H16" s="190">
        <v>0</v>
      </c>
      <c r="I16" s="190">
        <v>0</v>
      </c>
      <c r="J16" s="190">
        <v>0</v>
      </c>
      <c r="K16" s="190">
        <v>0</v>
      </c>
      <c r="L16" s="190">
        <v>0</v>
      </c>
      <c r="M16" s="190">
        <v>0.5</v>
      </c>
      <c r="N16" s="190">
        <v>0.5</v>
      </c>
      <c r="O16" s="190">
        <v>0.75</v>
      </c>
      <c r="P16" s="190">
        <v>0.9</v>
      </c>
      <c r="Q16" s="190">
        <v>0.9</v>
      </c>
      <c r="R16" s="190">
        <v>0.9</v>
      </c>
      <c r="S16" s="190">
        <v>0</v>
      </c>
      <c r="T16" s="190">
        <v>0</v>
      </c>
      <c r="U16" s="190">
        <v>0</v>
      </c>
      <c r="V16" s="190">
        <v>0</v>
      </c>
      <c r="W16" s="190">
        <v>0</v>
      </c>
      <c r="X16" s="190">
        <v>0</v>
      </c>
      <c r="Y16" s="190">
        <v>0</v>
      </c>
      <c r="Z16" s="190">
        <v>0</v>
      </c>
      <c r="AA16" s="190">
        <v>0</v>
      </c>
      <c r="AB16" s="190">
        <v>0</v>
      </c>
      <c r="AC16" s="191">
        <v>0</v>
      </c>
      <c r="AD16" s="39"/>
      <c r="AE16" s="38"/>
      <c r="AF16" s="38"/>
      <c r="AG16" s="38"/>
      <c r="AH16" s="38"/>
      <c r="AI16" s="38"/>
      <c r="AJ16" s="38"/>
      <c r="AK16" s="38"/>
      <c r="AM16" s="49"/>
    </row>
    <row r="17" spans="1:39" ht="36" customHeight="1" x14ac:dyDescent="0.25">
      <c r="A17" s="380"/>
      <c r="B17" s="339"/>
      <c r="C17" s="328"/>
      <c r="D17" s="377"/>
      <c r="E17" s="200" t="s">
        <v>289</v>
      </c>
      <c r="F17" s="113">
        <v>0</v>
      </c>
      <c r="G17" s="113">
        <v>0</v>
      </c>
      <c r="H17" s="113">
        <v>0</v>
      </c>
      <c r="I17" s="113">
        <v>0</v>
      </c>
      <c r="J17" s="113">
        <v>0</v>
      </c>
      <c r="K17" s="113">
        <v>0</v>
      </c>
      <c r="L17" s="113">
        <v>0</v>
      </c>
      <c r="M17" s="113">
        <v>0</v>
      </c>
      <c r="N17" s="113">
        <v>0</v>
      </c>
      <c r="O17" s="113">
        <v>0</v>
      </c>
      <c r="P17" s="113">
        <v>0</v>
      </c>
      <c r="Q17" s="113">
        <v>0</v>
      </c>
      <c r="R17" s="113">
        <v>0</v>
      </c>
      <c r="S17" s="113">
        <v>0</v>
      </c>
      <c r="T17" s="113">
        <v>0</v>
      </c>
      <c r="U17" s="113">
        <v>0</v>
      </c>
      <c r="V17" s="113">
        <v>0</v>
      </c>
      <c r="W17" s="113">
        <v>0</v>
      </c>
      <c r="X17" s="113">
        <v>0</v>
      </c>
      <c r="Y17" s="113">
        <v>0</v>
      </c>
      <c r="Z17" s="113">
        <v>0</v>
      </c>
      <c r="AA17" s="113">
        <v>0</v>
      </c>
      <c r="AB17" s="113">
        <v>0</v>
      </c>
      <c r="AC17" s="193">
        <v>0</v>
      </c>
      <c r="AD17" s="39"/>
      <c r="AE17" s="38"/>
      <c r="AF17" s="38"/>
      <c r="AG17" s="38"/>
      <c r="AH17" s="38"/>
      <c r="AI17" s="38"/>
      <c r="AJ17" s="38"/>
      <c r="AK17" s="38"/>
      <c r="AM17" s="49"/>
    </row>
    <row r="18" spans="1:39" ht="36" customHeight="1" thickBot="1" x14ac:dyDescent="0.3">
      <c r="A18" s="381"/>
      <c r="B18" s="383"/>
      <c r="C18" s="419"/>
      <c r="D18" s="378"/>
      <c r="E18" s="203" t="s">
        <v>290</v>
      </c>
      <c r="F18" s="195">
        <v>0</v>
      </c>
      <c r="G18" s="195">
        <v>0</v>
      </c>
      <c r="H18" s="195">
        <v>0</v>
      </c>
      <c r="I18" s="195">
        <v>0</v>
      </c>
      <c r="J18" s="195">
        <v>0</v>
      </c>
      <c r="K18" s="195">
        <v>0</v>
      </c>
      <c r="L18" s="195">
        <v>0</v>
      </c>
      <c r="M18" s="195">
        <v>0</v>
      </c>
      <c r="N18" s="195">
        <v>0</v>
      </c>
      <c r="O18" s="195">
        <v>0</v>
      </c>
      <c r="P18" s="195">
        <v>0</v>
      </c>
      <c r="Q18" s="195">
        <v>0</v>
      </c>
      <c r="R18" s="195">
        <v>0</v>
      </c>
      <c r="S18" s="195">
        <v>0</v>
      </c>
      <c r="T18" s="195">
        <v>0</v>
      </c>
      <c r="U18" s="195">
        <v>0</v>
      </c>
      <c r="V18" s="195">
        <v>0</v>
      </c>
      <c r="W18" s="195">
        <v>0</v>
      </c>
      <c r="X18" s="195">
        <v>0</v>
      </c>
      <c r="Y18" s="195">
        <v>0</v>
      </c>
      <c r="Z18" s="195">
        <v>0</v>
      </c>
      <c r="AA18" s="195">
        <v>0</v>
      </c>
      <c r="AB18" s="195">
        <v>0</v>
      </c>
      <c r="AC18" s="196">
        <v>0</v>
      </c>
      <c r="AD18" s="39"/>
      <c r="AE18" s="38"/>
      <c r="AF18" s="38"/>
      <c r="AG18" s="38"/>
      <c r="AH18" s="38"/>
      <c r="AI18" s="38"/>
      <c r="AJ18" s="38"/>
      <c r="AK18" s="38"/>
      <c r="AM18" s="49"/>
    </row>
    <row r="19" spans="1:39" ht="36" customHeight="1" x14ac:dyDescent="0.25">
      <c r="A19" s="379" t="s">
        <v>299</v>
      </c>
      <c r="B19" s="382" t="s">
        <v>300</v>
      </c>
      <c r="C19" s="418" t="s">
        <v>307</v>
      </c>
      <c r="D19" s="384" t="s">
        <v>302</v>
      </c>
      <c r="E19" s="206" t="s">
        <v>291</v>
      </c>
      <c r="F19" s="190">
        <v>0.9</v>
      </c>
      <c r="G19" s="190">
        <v>0.9</v>
      </c>
      <c r="H19" s="190">
        <v>0.9</v>
      </c>
      <c r="I19" s="190">
        <v>0.9</v>
      </c>
      <c r="J19" s="190">
        <v>0.9</v>
      </c>
      <c r="K19" s="190">
        <v>0.9</v>
      </c>
      <c r="L19" s="190">
        <v>0.9</v>
      </c>
      <c r="M19" s="190">
        <v>0.9</v>
      </c>
      <c r="N19" s="190">
        <v>0.9</v>
      </c>
      <c r="O19" s="190">
        <v>0.9</v>
      </c>
      <c r="P19" s="190">
        <v>0.9</v>
      </c>
      <c r="Q19" s="190">
        <v>0.9</v>
      </c>
      <c r="R19" s="190">
        <v>0.9</v>
      </c>
      <c r="S19" s="190">
        <v>0.9</v>
      </c>
      <c r="T19" s="190">
        <v>0.9</v>
      </c>
      <c r="U19" s="190">
        <v>0.9</v>
      </c>
      <c r="V19" s="190">
        <v>0.9</v>
      </c>
      <c r="W19" s="190">
        <v>0.9</v>
      </c>
      <c r="X19" s="190">
        <v>0.9</v>
      </c>
      <c r="Y19" s="190">
        <v>0.9</v>
      </c>
      <c r="Z19" s="190">
        <v>0.9</v>
      </c>
      <c r="AA19" s="190">
        <v>0.9</v>
      </c>
      <c r="AB19" s="190">
        <v>0.9</v>
      </c>
      <c r="AC19" s="191">
        <v>0.9</v>
      </c>
      <c r="AD19" s="39"/>
      <c r="AE19" s="38"/>
      <c r="AF19" s="38"/>
      <c r="AG19" s="38"/>
      <c r="AH19" s="38"/>
      <c r="AI19" s="38"/>
      <c r="AJ19" s="38"/>
      <c r="AK19" s="38"/>
      <c r="AM19" s="49"/>
    </row>
    <row r="20" spans="1:39" ht="36" customHeight="1" x14ac:dyDescent="0.25">
      <c r="A20" s="380"/>
      <c r="B20" s="339"/>
      <c r="C20" s="328"/>
      <c r="D20" s="377"/>
      <c r="E20" s="200" t="s">
        <v>289</v>
      </c>
      <c r="F20" s="113">
        <v>0.9</v>
      </c>
      <c r="G20" s="113">
        <v>0.9</v>
      </c>
      <c r="H20" s="113">
        <v>0.9</v>
      </c>
      <c r="I20" s="113">
        <v>0.9</v>
      </c>
      <c r="J20" s="113">
        <v>0.9</v>
      </c>
      <c r="K20" s="113">
        <v>0.9</v>
      </c>
      <c r="L20" s="113">
        <v>0.9</v>
      </c>
      <c r="M20" s="113">
        <v>0.9</v>
      </c>
      <c r="N20" s="113">
        <v>0.9</v>
      </c>
      <c r="O20" s="113">
        <v>0.9</v>
      </c>
      <c r="P20" s="113">
        <v>0.9</v>
      </c>
      <c r="Q20" s="113">
        <v>0.9</v>
      </c>
      <c r="R20" s="113">
        <v>0.9</v>
      </c>
      <c r="S20" s="113">
        <v>0.9</v>
      </c>
      <c r="T20" s="113">
        <v>0.9</v>
      </c>
      <c r="U20" s="113">
        <v>0.9</v>
      </c>
      <c r="V20" s="113">
        <v>0.9</v>
      </c>
      <c r="W20" s="113">
        <v>0.9</v>
      </c>
      <c r="X20" s="113">
        <v>0.9</v>
      </c>
      <c r="Y20" s="113">
        <v>0.9</v>
      </c>
      <c r="Z20" s="113">
        <v>0.9</v>
      </c>
      <c r="AA20" s="113">
        <v>0.9</v>
      </c>
      <c r="AB20" s="113">
        <v>0.9</v>
      </c>
      <c r="AC20" s="193">
        <v>0.9</v>
      </c>
      <c r="AD20" s="39"/>
      <c r="AE20" s="38"/>
      <c r="AF20" s="38"/>
      <c r="AG20" s="38"/>
      <c r="AH20" s="38"/>
      <c r="AI20" s="38"/>
      <c r="AJ20" s="38"/>
      <c r="AK20" s="38"/>
      <c r="AM20" s="49"/>
    </row>
    <row r="21" spans="1:39" ht="36" customHeight="1" thickBot="1" x14ac:dyDescent="0.3">
      <c r="A21" s="381"/>
      <c r="B21" s="383"/>
      <c r="C21" s="419"/>
      <c r="D21" s="378"/>
      <c r="E21" s="203" t="s">
        <v>290</v>
      </c>
      <c r="F21" s="195">
        <v>0.9</v>
      </c>
      <c r="G21" s="195">
        <v>0.9</v>
      </c>
      <c r="H21" s="195">
        <v>0.9</v>
      </c>
      <c r="I21" s="195">
        <v>0.9</v>
      </c>
      <c r="J21" s="195">
        <v>0.9</v>
      </c>
      <c r="K21" s="195">
        <v>0.9</v>
      </c>
      <c r="L21" s="195">
        <v>0.9</v>
      </c>
      <c r="M21" s="195">
        <v>0.9</v>
      </c>
      <c r="N21" s="195">
        <v>0.9</v>
      </c>
      <c r="O21" s="195">
        <v>0.9</v>
      </c>
      <c r="P21" s="195">
        <v>0.9</v>
      </c>
      <c r="Q21" s="195">
        <v>0.9</v>
      </c>
      <c r="R21" s="195">
        <v>0.9</v>
      </c>
      <c r="S21" s="195">
        <v>0.9</v>
      </c>
      <c r="T21" s="195">
        <v>0.9</v>
      </c>
      <c r="U21" s="195">
        <v>0.9</v>
      </c>
      <c r="V21" s="195">
        <v>0.9</v>
      </c>
      <c r="W21" s="195">
        <v>0.9</v>
      </c>
      <c r="X21" s="195">
        <v>0.9</v>
      </c>
      <c r="Y21" s="195">
        <v>0.9</v>
      </c>
      <c r="Z21" s="195">
        <v>0.9</v>
      </c>
      <c r="AA21" s="195">
        <v>0.9</v>
      </c>
      <c r="AB21" s="195">
        <v>0.9</v>
      </c>
      <c r="AC21" s="196">
        <v>0.9</v>
      </c>
      <c r="AD21" s="39"/>
      <c r="AE21" s="38"/>
      <c r="AF21" s="38"/>
      <c r="AG21" s="38"/>
      <c r="AH21" s="38"/>
      <c r="AI21" s="38"/>
      <c r="AJ21" s="38"/>
      <c r="AK21" s="38"/>
      <c r="AM21" s="49"/>
    </row>
    <row r="22" spans="1:39" ht="36" customHeight="1" x14ac:dyDescent="0.25">
      <c r="A22" s="379" t="s">
        <v>299</v>
      </c>
      <c r="B22" s="382" t="s">
        <v>300</v>
      </c>
      <c r="C22" s="418" t="s">
        <v>308</v>
      </c>
      <c r="D22" s="384" t="s">
        <v>302</v>
      </c>
      <c r="E22" s="206" t="s">
        <v>291</v>
      </c>
      <c r="F22" s="190">
        <v>0</v>
      </c>
      <c r="G22" s="190">
        <v>0</v>
      </c>
      <c r="H22" s="190">
        <v>0</v>
      </c>
      <c r="I22" s="190">
        <v>0</v>
      </c>
      <c r="J22" s="190">
        <v>0</v>
      </c>
      <c r="K22" s="190">
        <v>0</v>
      </c>
      <c r="L22" s="190">
        <v>1</v>
      </c>
      <c r="M22" s="190">
        <v>1</v>
      </c>
      <c r="N22" s="190">
        <v>1</v>
      </c>
      <c r="O22" s="190">
        <v>1</v>
      </c>
      <c r="P22" s="190">
        <v>1</v>
      </c>
      <c r="Q22" s="190">
        <v>1</v>
      </c>
      <c r="R22" s="190">
        <v>1</v>
      </c>
      <c r="S22" s="190">
        <v>1</v>
      </c>
      <c r="T22" s="190">
        <v>1</v>
      </c>
      <c r="U22" s="190">
        <v>1</v>
      </c>
      <c r="V22" s="190">
        <v>1</v>
      </c>
      <c r="W22" s="190">
        <v>1</v>
      </c>
      <c r="X22" s="190">
        <v>1</v>
      </c>
      <c r="Y22" s="190">
        <v>1</v>
      </c>
      <c r="Z22" s="190">
        <v>1</v>
      </c>
      <c r="AA22" s="190">
        <v>1</v>
      </c>
      <c r="AB22" s="190">
        <v>0</v>
      </c>
      <c r="AC22" s="191">
        <v>0</v>
      </c>
      <c r="AD22" s="39"/>
      <c r="AE22" s="38"/>
      <c r="AF22" s="38"/>
      <c r="AG22" s="38"/>
      <c r="AH22" s="38"/>
      <c r="AI22" s="38"/>
      <c r="AJ22" s="38"/>
      <c r="AK22" s="38"/>
      <c r="AM22" s="49"/>
    </row>
    <row r="23" spans="1:39" ht="36" customHeight="1" x14ac:dyDescent="0.25">
      <c r="A23" s="380"/>
      <c r="B23" s="339"/>
      <c r="C23" s="328"/>
      <c r="D23" s="377"/>
      <c r="E23" s="200" t="s">
        <v>289</v>
      </c>
      <c r="F23" s="113">
        <v>0</v>
      </c>
      <c r="G23" s="113">
        <v>0</v>
      </c>
      <c r="H23" s="113">
        <v>0</v>
      </c>
      <c r="I23" s="113">
        <v>0</v>
      </c>
      <c r="J23" s="113">
        <v>0</v>
      </c>
      <c r="K23" s="113">
        <v>0</v>
      </c>
      <c r="L23" s="113">
        <v>0</v>
      </c>
      <c r="M23" s="113">
        <v>1</v>
      </c>
      <c r="N23" s="113">
        <v>1</v>
      </c>
      <c r="O23" s="113">
        <v>1</v>
      </c>
      <c r="P23" s="113">
        <v>1</v>
      </c>
      <c r="Q23" s="113">
        <v>1</v>
      </c>
      <c r="R23" s="113">
        <v>1</v>
      </c>
      <c r="S23" s="113">
        <v>0</v>
      </c>
      <c r="T23" s="113">
        <v>0</v>
      </c>
      <c r="U23" s="113">
        <v>0</v>
      </c>
      <c r="V23" s="113">
        <v>0</v>
      </c>
      <c r="W23" s="113">
        <v>0</v>
      </c>
      <c r="X23" s="113">
        <v>0</v>
      </c>
      <c r="Y23" s="113">
        <v>0</v>
      </c>
      <c r="Z23" s="113">
        <v>0</v>
      </c>
      <c r="AA23" s="113">
        <v>0</v>
      </c>
      <c r="AB23" s="113">
        <v>0</v>
      </c>
      <c r="AC23" s="193">
        <v>0</v>
      </c>
      <c r="AD23" s="39"/>
      <c r="AE23" s="38"/>
      <c r="AF23" s="38"/>
      <c r="AG23" s="38"/>
      <c r="AH23" s="38"/>
      <c r="AI23" s="38"/>
      <c r="AJ23" s="38"/>
      <c r="AK23" s="38"/>
      <c r="AM23" s="49"/>
    </row>
    <row r="24" spans="1:39" ht="36" customHeight="1" thickBot="1" x14ac:dyDescent="0.3">
      <c r="A24" s="381"/>
      <c r="B24" s="383"/>
      <c r="C24" s="419"/>
      <c r="D24" s="378"/>
      <c r="E24" s="203" t="s">
        <v>290</v>
      </c>
      <c r="F24" s="195">
        <v>0</v>
      </c>
      <c r="G24" s="195">
        <v>0</v>
      </c>
      <c r="H24" s="195">
        <v>0</v>
      </c>
      <c r="I24" s="195">
        <v>0</v>
      </c>
      <c r="J24" s="195">
        <v>0</v>
      </c>
      <c r="K24" s="195">
        <v>0</v>
      </c>
      <c r="L24" s="195">
        <v>0</v>
      </c>
      <c r="M24" s="195">
        <v>0</v>
      </c>
      <c r="N24" s="195">
        <v>0</v>
      </c>
      <c r="O24" s="195">
        <v>0</v>
      </c>
      <c r="P24" s="195">
        <v>0</v>
      </c>
      <c r="Q24" s="195">
        <v>0</v>
      </c>
      <c r="R24" s="195">
        <v>0</v>
      </c>
      <c r="S24" s="195">
        <v>0</v>
      </c>
      <c r="T24" s="195">
        <v>0</v>
      </c>
      <c r="U24" s="195">
        <v>0</v>
      </c>
      <c r="V24" s="195">
        <v>0</v>
      </c>
      <c r="W24" s="195">
        <v>0</v>
      </c>
      <c r="X24" s="195">
        <v>0</v>
      </c>
      <c r="Y24" s="195">
        <v>0</v>
      </c>
      <c r="Z24" s="195">
        <v>0</v>
      </c>
      <c r="AA24" s="195">
        <v>0</v>
      </c>
      <c r="AB24" s="195">
        <v>0</v>
      </c>
      <c r="AC24" s="196">
        <v>0</v>
      </c>
      <c r="AD24" s="39"/>
      <c r="AE24" s="38"/>
      <c r="AF24" s="38"/>
      <c r="AG24" s="38"/>
      <c r="AH24" s="38"/>
      <c r="AI24" s="38"/>
      <c r="AJ24" s="38"/>
      <c r="AK24" s="38"/>
      <c r="AM24" s="49"/>
    </row>
    <row r="25" spans="1:39" ht="29.45" customHeight="1" x14ac:dyDescent="0.25">
      <c r="A25" s="379" t="s">
        <v>299</v>
      </c>
      <c r="B25" s="382" t="s">
        <v>300</v>
      </c>
      <c r="C25" s="373" t="s">
        <v>309</v>
      </c>
      <c r="D25" s="376" t="s">
        <v>420</v>
      </c>
      <c r="E25" s="236" t="s">
        <v>291</v>
      </c>
      <c r="F25" s="237">
        <f>IF(F22=0,Thermostat!$B$4,Thermostat!$B$3)</f>
        <v>60</v>
      </c>
      <c r="G25" s="237">
        <f>IF(G22=0,Thermostat!$B$4,Thermostat!$B$3)</f>
        <v>60</v>
      </c>
      <c r="H25" s="237">
        <f>IF(H22=0,Thermostat!$B$4,Thermostat!$B$3)</f>
        <v>60</v>
      </c>
      <c r="I25" s="237">
        <f>IF(I22=0,Thermostat!$B$4,Thermostat!$B$3)</f>
        <v>60</v>
      </c>
      <c r="J25" s="237">
        <f>IF(J22=0,Thermostat!$B$4,Thermostat!$B$3)</f>
        <v>60</v>
      </c>
      <c r="K25" s="237">
        <f>IF(K22=0,Thermostat!$B$4,Thermostat!$B$3)</f>
        <v>60</v>
      </c>
      <c r="L25" s="237">
        <f>IF(L22=0,Thermostat!$B$4,Thermostat!$B$3)</f>
        <v>70</v>
      </c>
      <c r="M25" s="237">
        <f>IF(M22=0,Thermostat!$B$4,Thermostat!$B$3)</f>
        <v>70</v>
      </c>
      <c r="N25" s="237">
        <f>IF(N22=0,Thermostat!$B$4,Thermostat!$B$3)</f>
        <v>70</v>
      </c>
      <c r="O25" s="237">
        <f>IF(O22=0,Thermostat!$B$4,Thermostat!$B$3)</f>
        <v>70</v>
      </c>
      <c r="P25" s="237">
        <f>IF(P22=0,Thermostat!$B$4,Thermostat!$B$3)</f>
        <v>70</v>
      </c>
      <c r="Q25" s="237">
        <f>IF(Q22=0,Thermostat!$B$4,Thermostat!$B$3)</f>
        <v>70</v>
      </c>
      <c r="R25" s="237">
        <f>IF(R22=0,Thermostat!$B$4,Thermostat!$B$3)</f>
        <v>70</v>
      </c>
      <c r="S25" s="237">
        <f>IF(S22=0,Thermostat!$B$4,Thermostat!$B$3)</f>
        <v>70</v>
      </c>
      <c r="T25" s="237">
        <f>IF(T22=0,Thermostat!$B$4,Thermostat!$B$3)</f>
        <v>70</v>
      </c>
      <c r="U25" s="237">
        <f>IF(U22=0,Thermostat!$B$4,Thermostat!$B$3)</f>
        <v>70</v>
      </c>
      <c r="V25" s="237">
        <f>IF(V22=0,Thermostat!$B$4,Thermostat!$B$3)</f>
        <v>70</v>
      </c>
      <c r="W25" s="237">
        <f>IF(W22=0,Thermostat!$B$4,Thermostat!$B$3)</f>
        <v>70</v>
      </c>
      <c r="X25" s="237">
        <f>IF(X22=0,Thermostat!$B$4,Thermostat!$B$3)</f>
        <v>70</v>
      </c>
      <c r="Y25" s="237">
        <f>IF(Y22=0,Thermostat!$B$4,Thermostat!$B$3)</f>
        <v>70</v>
      </c>
      <c r="Z25" s="237">
        <f>IF(Z22=0,Thermostat!$B$4,Thermostat!$B$3)</f>
        <v>70</v>
      </c>
      <c r="AA25" s="237">
        <f>IF(AA22=0,Thermostat!$B$4,Thermostat!$B$3)</f>
        <v>70</v>
      </c>
      <c r="AB25" s="237">
        <f>IF(AB22=0,Thermostat!$B$4,Thermostat!$B$3)</f>
        <v>60</v>
      </c>
      <c r="AC25" s="238">
        <f>IF(AC22=0,Thermostat!$B$4,Thermostat!$B$3)</f>
        <v>60</v>
      </c>
      <c r="AD25" s="39"/>
      <c r="AE25" s="38"/>
      <c r="AF25" s="38"/>
      <c r="AG25" s="38"/>
      <c r="AH25" s="38"/>
      <c r="AI25" s="38"/>
      <c r="AJ25" s="38"/>
      <c r="AL25" s="38"/>
      <c r="AM25" s="49"/>
    </row>
    <row r="26" spans="1:39" ht="29.45" customHeight="1" x14ac:dyDescent="0.25">
      <c r="A26" s="380"/>
      <c r="B26" s="339"/>
      <c r="C26" s="374"/>
      <c r="D26" s="377"/>
      <c r="E26" s="239" t="s">
        <v>289</v>
      </c>
      <c r="F26" s="240">
        <f>IF(F23=0,Thermostat!$B$4,Thermostat!$B$3)</f>
        <v>60</v>
      </c>
      <c r="G26" s="240">
        <f>IF(G23=0,Thermostat!$B$4,Thermostat!$B$3)</f>
        <v>60</v>
      </c>
      <c r="H26" s="240">
        <f>IF(H23=0,Thermostat!$B$4,Thermostat!$B$3)</f>
        <v>60</v>
      </c>
      <c r="I26" s="240">
        <f>IF(I23=0,Thermostat!$B$4,Thermostat!$B$3)</f>
        <v>60</v>
      </c>
      <c r="J26" s="240">
        <f>IF(J23=0,Thermostat!$B$4,Thermostat!$B$3)</f>
        <v>60</v>
      </c>
      <c r="K26" s="240">
        <f>IF(K23=0,Thermostat!$B$4,Thermostat!$B$3)</f>
        <v>60</v>
      </c>
      <c r="L26" s="240">
        <f>IF(L23=0,Thermostat!$B$4,Thermostat!$B$3)</f>
        <v>60</v>
      </c>
      <c r="M26" s="240">
        <f>IF(M23=0,Thermostat!$B$4,Thermostat!$B$3)</f>
        <v>70</v>
      </c>
      <c r="N26" s="240">
        <f>IF(N23=0,Thermostat!$B$4,Thermostat!$B$3)</f>
        <v>70</v>
      </c>
      <c r="O26" s="240">
        <f>IF(O23=0,Thermostat!$B$4,Thermostat!$B$3)</f>
        <v>70</v>
      </c>
      <c r="P26" s="240">
        <f>IF(P23=0,Thermostat!$B$4,Thermostat!$B$3)</f>
        <v>70</v>
      </c>
      <c r="Q26" s="240">
        <f>IF(Q23=0,Thermostat!$B$4,Thermostat!$B$3)</f>
        <v>70</v>
      </c>
      <c r="R26" s="240">
        <f>IF(R23=0,Thermostat!$B$4,Thermostat!$B$3)</f>
        <v>70</v>
      </c>
      <c r="S26" s="240">
        <f>IF(S23=0,Thermostat!$B$4,Thermostat!$B$3)</f>
        <v>60</v>
      </c>
      <c r="T26" s="240">
        <f>IF(T23=0,Thermostat!$B$4,Thermostat!$B$3)</f>
        <v>60</v>
      </c>
      <c r="U26" s="240">
        <f>IF(U23=0,Thermostat!$B$4,Thermostat!$B$3)</f>
        <v>60</v>
      </c>
      <c r="V26" s="240">
        <f>IF(V23=0,Thermostat!$B$4,Thermostat!$B$3)</f>
        <v>60</v>
      </c>
      <c r="W26" s="240">
        <f>IF(W23=0,Thermostat!$B$4,Thermostat!$B$3)</f>
        <v>60</v>
      </c>
      <c r="X26" s="240">
        <f>IF(X23=0,Thermostat!$B$4,Thermostat!$B$3)</f>
        <v>60</v>
      </c>
      <c r="Y26" s="240">
        <f>IF(Y23=0,Thermostat!$B$4,Thermostat!$B$3)</f>
        <v>60</v>
      </c>
      <c r="Z26" s="240">
        <f>IF(Z23=0,Thermostat!$B$4,Thermostat!$B$3)</f>
        <v>60</v>
      </c>
      <c r="AA26" s="240">
        <f>IF(AA23=0,Thermostat!$B$4,Thermostat!$B$3)</f>
        <v>60</v>
      </c>
      <c r="AB26" s="240">
        <f>IF(AB23=0,Thermostat!$B$4,Thermostat!$B$3)</f>
        <v>60</v>
      </c>
      <c r="AC26" s="241">
        <f>IF(AC23=0,Thermostat!$B$4,Thermostat!$B$3)</f>
        <v>60</v>
      </c>
      <c r="AD26" s="39"/>
      <c r="AE26" s="38"/>
      <c r="AF26" s="38"/>
      <c r="AG26" s="38"/>
      <c r="AH26" s="38"/>
      <c r="AI26" s="38"/>
      <c r="AJ26" s="38"/>
      <c r="AK26" s="38"/>
      <c r="AM26" s="49"/>
    </row>
    <row r="27" spans="1:39" ht="29.45" customHeight="1" thickBot="1" x14ac:dyDescent="0.3">
      <c r="A27" s="381"/>
      <c r="B27" s="383"/>
      <c r="C27" s="375"/>
      <c r="D27" s="378"/>
      <c r="E27" s="242" t="s">
        <v>290</v>
      </c>
      <c r="F27" s="243">
        <f>IF(F24=0,Thermostat!$B$4,Thermostat!$B$3)</f>
        <v>60</v>
      </c>
      <c r="G27" s="243">
        <f>IF(G24=0,Thermostat!$B$4,Thermostat!$B$3)</f>
        <v>60</v>
      </c>
      <c r="H27" s="243">
        <f>IF(H24=0,Thermostat!$B$4,Thermostat!$B$3)</f>
        <v>60</v>
      </c>
      <c r="I27" s="243">
        <f>IF(I24=0,Thermostat!$B$4,Thermostat!$B$3)</f>
        <v>60</v>
      </c>
      <c r="J27" s="243">
        <f>IF(J24=0,Thermostat!$B$4,Thermostat!$B$3)</f>
        <v>60</v>
      </c>
      <c r="K27" s="243">
        <f>IF(K24=0,Thermostat!$B$4,Thermostat!$B$3)</f>
        <v>60</v>
      </c>
      <c r="L27" s="243">
        <f>IF(L24=0,Thermostat!$B$4,Thermostat!$B$3)</f>
        <v>60</v>
      </c>
      <c r="M27" s="243">
        <f>IF(M24=0,Thermostat!$B$4,Thermostat!$B$3)</f>
        <v>60</v>
      </c>
      <c r="N27" s="243">
        <f>IF(N24=0,Thermostat!$B$4,Thermostat!$B$3)</f>
        <v>60</v>
      </c>
      <c r="O27" s="243">
        <f>IF(O24=0,Thermostat!$B$4,Thermostat!$B$3)</f>
        <v>60</v>
      </c>
      <c r="P27" s="243">
        <f>IF(P24=0,Thermostat!$B$4,Thermostat!$B$3)</f>
        <v>60</v>
      </c>
      <c r="Q27" s="243">
        <f>IF(Q24=0,Thermostat!$B$4,Thermostat!$B$3)</f>
        <v>60</v>
      </c>
      <c r="R27" s="243">
        <f>IF(R24=0,Thermostat!$B$4,Thermostat!$B$3)</f>
        <v>60</v>
      </c>
      <c r="S27" s="243">
        <f>IF(S24=0,Thermostat!$B$4,Thermostat!$B$3)</f>
        <v>60</v>
      </c>
      <c r="T27" s="243">
        <f>IF(T24=0,Thermostat!$B$4,Thermostat!$B$3)</f>
        <v>60</v>
      </c>
      <c r="U27" s="243">
        <f>IF(U24=0,Thermostat!$B$4,Thermostat!$B$3)</f>
        <v>60</v>
      </c>
      <c r="V27" s="243">
        <f>IF(V24=0,Thermostat!$B$4,Thermostat!$B$3)</f>
        <v>60</v>
      </c>
      <c r="W27" s="243">
        <f>IF(W24=0,Thermostat!$B$4,Thermostat!$B$3)</f>
        <v>60</v>
      </c>
      <c r="X27" s="243">
        <f>IF(X24=0,Thermostat!$B$4,Thermostat!$B$3)</f>
        <v>60</v>
      </c>
      <c r="Y27" s="243">
        <f>IF(Y24=0,Thermostat!$B$4,Thermostat!$B$3)</f>
        <v>60</v>
      </c>
      <c r="Z27" s="243">
        <f>IF(Z24=0,Thermostat!$B$4,Thermostat!$B$3)</f>
        <v>60</v>
      </c>
      <c r="AA27" s="243">
        <f>IF(AA24=0,Thermostat!$B$4,Thermostat!$B$3)</f>
        <v>60</v>
      </c>
      <c r="AB27" s="243">
        <f>IF(AB24=0,Thermostat!$B$4,Thermostat!$B$3)</f>
        <v>60</v>
      </c>
      <c r="AC27" s="244">
        <f>IF(AC24=0,Thermostat!$B$4,Thermostat!$B$3)</f>
        <v>60</v>
      </c>
      <c r="AD27" s="39"/>
      <c r="AE27" s="38"/>
      <c r="AF27" s="38"/>
      <c r="AG27" s="38"/>
      <c r="AH27" s="38"/>
      <c r="AI27" s="38"/>
      <c r="AJ27" s="38"/>
      <c r="AK27" s="38"/>
      <c r="AM27" s="49"/>
    </row>
    <row r="28" spans="1:39" ht="29.45" customHeight="1" x14ac:dyDescent="0.25">
      <c r="A28" s="379" t="s">
        <v>299</v>
      </c>
      <c r="B28" s="382" t="s">
        <v>300</v>
      </c>
      <c r="C28" s="373" t="s">
        <v>310</v>
      </c>
      <c r="D28" s="384" t="s">
        <v>196</v>
      </c>
      <c r="E28" s="236" t="s">
        <v>291</v>
      </c>
      <c r="F28" s="237">
        <f>IF(F22=0,Thermostat!$B$6,Thermostat!$B$5)</f>
        <v>85</v>
      </c>
      <c r="G28" s="237">
        <f>IF(G22=0,Thermostat!$B$6,Thermostat!$B$5)</f>
        <v>85</v>
      </c>
      <c r="H28" s="237">
        <f>IF(H22=0,Thermostat!$B$6,Thermostat!$B$5)</f>
        <v>85</v>
      </c>
      <c r="I28" s="237">
        <f>IF(I22=0,Thermostat!$B$6,Thermostat!$B$5)</f>
        <v>85</v>
      </c>
      <c r="J28" s="237">
        <f>IF(J22=0,Thermostat!$B$6,Thermostat!$B$5)</f>
        <v>85</v>
      </c>
      <c r="K28" s="237">
        <f>IF(K22=0,Thermostat!$B$6,Thermostat!$B$5)</f>
        <v>85</v>
      </c>
      <c r="L28" s="237">
        <f>IF(L22=0,Thermostat!$B$6,Thermostat!$B$5)</f>
        <v>75</v>
      </c>
      <c r="M28" s="237">
        <f>IF(M22=0,Thermostat!$B$6,Thermostat!$B$5)</f>
        <v>75</v>
      </c>
      <c r="N28" s="237">
        <f>IF(N22=0,Thermostat!$B$6,Thermostat!$B$5)</f>
        <v>75</v>
      </c>
      <c r="O28" s="237">
        <f>IF(O22=0,Thermostat!$B$6,Thermostat!$B$5)</f>
        <v>75</v>
      </c>
      <c r="P28" s="237">
        <f>IF(P22=0,Thermostat!$B$6,Thermostat!$B$5)</f>
        <v>75</v>
      </c>
      <c r="Q28" s="237">
        <f>IF(Q22=0,Thermostat!$B$6,Thermostat!$B$5)</f>
        <v>75</v>
      </c>
      <c r="R28" s="237">
        <f>IF(R22=0,Thermostat!$B$6,Thermostat!$B$5)</f>
        <v>75</v>
      </c>
      <c r="S28" s="237">
        <f>IF(S22=0,Thermostat!$B$6,Thermostat!$B$5)</f>
        <v>75</v>
      </c>
      <c r="T28" s="237">
        <f>IF(T22=0,Thermostat!$B$6,Thermostat!$B$5)</f>
        <v>75</v>
      </c>
      <c r="U28" s="237">
        <f>IF(U22=0,Thermostat!$B$6,Thermostat!$B$5)</f>
        <v>75</v>
      </c>
      <c r="V28" s="237">
        <f>IF(V22=0,Thermostat!$B$6,Thermostat!$B$5)</f>
        <v>75</v>
      </c>
      <c r="W28" s="237">
        <f>IF(W22=0,Thermostat!$B$6,Thermostat!$B$5)</f>
        <v>75</v>
      </c>
      <c r="X28" s="237">
        <f>IF(X22=0,Thermostat!$B$6,Thermostat!$B$5)</f>
        <v>75</v>
      </c>
      <c r="Y28" s="237">
        <f>IF(Y22=0,Thermostat!$B$6,Thermostat!$B$5)</f>
        <v>75</v>
      </c>
      <c r="Z28" s="237">
        <f>IF(Z22=0,Thermostat!$B$6,Thermostat!$B$5)</f>
        <v>75</v>
      </c>
      <c r="AA28" s="237">
        <f>IF(AA22=0,Thermostat!$B$6,Thermostat!$B$5)</f>
        <v>75</v>
      </c>
      <c r="AB28" s="237">
        <f>IF(AB22=0,Thermostat!$B$6,Thermostat!$B$5)</f>
        <v>85</v>
      </c>
      <c r="AC28" s="238">
        <f>IF(AC22=0,Thermostat!$B$6,Thermostat!$B$5)</f>
        <v>85</v>
      </c>
      <c r="AD28" s="39"/>
      <c r="AE28" s="38"/>
      <c r="AF28" s="38"/>
      <c r="AG28" s="38"/>
      <c r="AH28" s="38"/>
      <c r="AI28" s="38"/>
      <c r="AJ28" s="38"/>
      <c r="AK28" s="38"/>
      <c r="AM28" s="49"/>
    </row>
    <row r="29" spans="1:39" ht="29.45" customHeight="1" x14ac:dyDescent="0.25">
      <c r="A29" s="380"/>
      <c r="B29" s="339"/>
      <c r="C29" s="374"/>
      <c r="D29" s="377"/>
      <c r="E29" s="239" t="s">
        <v>289</v>
      </c>
      <c r="F29" s="240">
        <f>IF(F23=0,Thermostat!$B$6,Thermostat!$B$5)</f>
        <v>85</v>
      </c>
      <c r="G29" s="240">
        <f>IF(G23=0,Thermostat!$B$6,Thermostat!$B$5)</f>
        <v>85</v>
      </c>
      <c r="H29" s="240">
        <f>IF(H23=0,Thermostat!$B$6,Thermostat!$B$5)</f>
        <v>85</v>
      </c>
      <c r="I29" s="240">
        <f>IF(I23=0,Thermostat!$B$6,Thermostat!$B$5)</f>
        <v>85</v>
      </c>
      <c r="J29" s="240">
        <f>IF(J23=0,Thermostat!$B$6,Thermostat!$B$5)</f>
        <v>85</v>
      </c>
      <c r="K29" s="240">
        <f>IF(K23=0,Thermostat!$B$6,Thermostat!$B$5)</f>
        <v>85</v>
      </c>
      <c r="L29" s="240">
        <f>IF(L23=0,Thermostat!$B$6,Thermostat!$B$5)</f>
        <v>85</v>
      </c>
      <c r="M29" s="240">
        <f>IF(M23=0,Thermostat!$B$6,Thermostat!$B$5)</f>
        <v>75</v>
      </c>
      <c r="N29" s="240">
        <f>IF(N23=0,Thermostat!$B$6,Thermostat!$B$5)</f>
        <v>75</v>
      </c>
      <c r="O29" s="240">
        <f>IF(O23=0,Thermostat!$B$6,Thermostat!$B$5)</f>
        <v>75</v>
      </c>
      <c r="P29" s="240">
        <f>IF(P23=0,Thermostat!$B$6,Thermostat!$B$5)</f>
        <v>75</v>
      </c>
      <c r="Q29" s="240">
        <f>IF(Q23=0,Thermostat!$B$6,Thermostat!$B$5)</f>
        <v>75</v>
      </c>
      <c r="R29" s="240">
        <f>IF(R23=0,Thermostat!$B$6,Thermostat!$B$5)</f>
        <v>75</v>
      </c>
      <c r="S29" s="240">
        <f>IF(S23=0,Thermostat!$B$6,Thermostat!$B$5)</f>
        <v>85</v>
      </c>
      <c r="T29" s="240">
        <f>IF(T23=0,Thermostat!$B$6,Thermostat!$B$5)</f>
        <v>85</v>
      </c>
      <c r="U29" s="240">
        <f>IF(U23=0,Thermostat!$B$6,Thermostat!$B$5)</f>
        <v>85</v>
      </c>
      <c r="V29" s="240">
        <f>IF(V23=0,Thermostat!$B$6,Thermostat!$B$5)</f>
        <v>85</v>
      </c>
      <c r="W29" s="240">
        <f>IF(W23=0,Thermostat!$B$6,Thermostat!$B$5)</f>
        <v>85</v>
      </c>
      <c r="X29" s="240">
        <f>IF(X23=0,Thermostat!$B$6,Thermostat!$B$5)</f>
        <v>85</v>
      </c>
      <c r="Y29" s="240">
        <f>IF(Y23=0,Thermostat!$B$6,Thermostat!$B$5)</f>
        <v>85</v>
      </c>
      <c r="Z29" s="240">
        <f>IF(Z23=0,Thermostat!$B$6,Thermostat!$B$5)</f>
        <v>85</v>
      </c>
      <c r="AA29" s="240">
        <f>IF(AA23=0,Thermostat!$B$6,Thermostat!$B$5)</f>
        <v>85</v>
      </c>
      <c r="AB29" s="240">
        <f>IF(AB23=0,Thermostat!$B$6,Thermostat!$B$5)</f>
        <v>85</v>
      </c>
      <c r="AC29" s="241">
        <f>IF(AC23=0,Thermostat!$B$6,Thermostat!$B$5)</f>
        <v>85</v>
      </c>
      <c r="AD29" s="39"/>
      <c r="AE29" s="38"/>
      <c r="AF29" s="38"/>
      <c r="AG29" s="38"/>
      <c r="AH29" s="38"/>
      <c r="AI29" s="38"/>
      <c r="AJ29" s="38"/>
      <c r="AK29" s="38"/>
      <c r="AM29" s="49"/>
    </row>
    <row r="30" spans="1:39" ht="29.45" customHeight="1" thickBot="1" x14ac:dyDescent="0.3">
      <c r="A30" s="381"/>
      <c r="B30" s="383"/>
      <c r="C30" s="375"/>
      <c r="D30" s="378"/>
      <c r="E30" s="242" t="s">
        <v>290</v>
      </c>
      <c r="F30" s="243">
        <f>IF(F24=0,Thermostat!$B$6,Thermostat!$B$5)</f>
        <v>85</v>
      </c>
      <c r="G30" s="243">
        <f>IF(G24=0,Thermostat!$B$6,Thermostat!$B$5)</f>
        <v>85</v>
      </c>
      <c r="H30" s="243">
        <f>IF(H24=0,Thermostat!$B$6,Thermostat!$B$5)</f>
        <v>85</v>
      </c>
      <c r="I30" s="243">
        <f>IF(I24=0,Thermostat!$B$6,Thermostat!$B$5)</f>
        <v>85</v>
      </c>
      <c r="J30" s="243">
        <f>IF(J24=0,Thermostat!$B$6,Thermostat!$B$5)</f>
        <v>85</v>
      </c>
      <c r="K30" s="243">
        <f>IF(K24=0,Thermostat!$B$6,Thermostat!$B$5)</f>
        <v>85</v>
      </c>
      <c r="L30" s="243">
        <f>IF(L24=0,Thermostat!$B$6,Thermostat!$B$5)</f>
        <v>85</v>
      </c>
      <c r="M30" s="243">
        <f>IF(M24=0,Thermostat!$B$6,Thermostat!$B$5)</f>
        <v>85</v>
      </c>
      <c r="N30" s="243">
        <f>IF(N24=0,Thermostat!$B$6,Thermostat!$B$5)</f>
        <v>85</v>
      </c>
      <c r="O30" s="243">
        <f>IF(O24=0,Thermostat!$B$6,Thermostat!$B$5)</f>
        <v>85</v>
      </c>
      <c r="P30" s="243">
        <f>IF(P24=0,Thermostat!$B$6,Thermostat!$B$5)</f>
        <v>85</v>
      </c>
      <c r="Q30" s="243">
        <f>IF(Q24=0,Thermostat!$B$6,Thermostat!$B$5)</f>
        <v>85</v>
      </c>
      <c r="R30" s="243">
        <f>IF(R24=0,Thermostat!$B$6,Thermostat!$B$5)</f>
        <v>85</v>
      </c>
      <c r="S30" s="243">
        <f>IF(S24=0,Thermostat!$B$6,Thermostat!$B$5)</f>
        <v>85</v>
      </c>
      <c r="T30" s="243">
        <f>IF(T24=0,Thermostat!$B$6,Thermostat!$B$5)</f>
        <v>85</v>
      </c>
      <c r="U30" s="243">
        <f>IF(U24=0,Thermostat!$B$6,Thermostat!$B$5)</f>
        <v>85</v>
      </c>
      <c r="V30" s="243">
        <f>IF(V24=0,Thermostat!$B$6,Thermostat!$B$5)</f>
        <v>85</v>
      </c>
      <c r="W30" s="243">
        <f>IF(W24=0,Thermostat!$B$6,Thermostat!$B$5)</f>
        <v>85</v>
      </c>
      <c r="X30" s="243">
        <f>IF(X24=0,Thermostat!$B$6,Thermostat!$B$5)</f>
        <v>85</v>
      </c>
      <c r="Y30" s="243">
        <f>IF(Y24=0,Thermostat!$B$6,Thermostat!$B$5)</f>
        <v>85</v>
      </c>
      <c r="Z30" s="243">
        <f>IF(Z24=0,Thermostat!$B$6,Thermostat!$B$5)</f>
        <v>85</v>
      </c>
      <c r="AA30" s="243">
        <f>IF(AA24=0,Thermostat!$B$6,Thermostat!$B$5)</f>
        <v>85</v>
      </c>
      <c r="AB30" s="243">
        <f>IF(AB24=0,Thermostat!$B$6,Thermostat!$B$5)</f>
        <v>85</v>
      </c>
      <c r="AC30" s="244">
        <f>IF(AC24=0,Thermostat!$B$6,Thermostat!$B$5)</f>
        <v>85</v>
      </c>
      <c r="AD30" s="39"/>
      <c r="AE30" s="38"/>
      <c r="AF30" s="38"/>
      <c r="AG30" s="38"/>
      <c r="AH30" s="38"/>
      <c r="AI30" s="38"/>
      <c r="AJ30" s="38"/>
      <c r="AK30" s="38"/>
      <c r="AM30" s="49"/>
    </row>
    <row r="31" spans="1:39" ht="36" customHeight="1" x14ac:dyDescent="0.25">
      <c r="A31" s="398" t="s">
        <v>299</v>
      </c>
      <c r="B31" s="401" t="s">
        <v>300</v>
      </c>
      <c r="C31" s="404" t="s">
        <v>185</v>
      </c>
      <c r="D31" s="407" t="s">
        <v>419</v>
      </c>
      <c r="E31" s="251" t="s">
        <v>291</v>
      </c>
      <c r="F31" s="254">
        <v>1</v>
      </c>
      <c r="G31" s="254">
        <v>1</v>
      </c>
      <c r="H31" s="254">
        <v>1</v>
      </c>
      <c r="I31" s="254">
        <v>1</v>
      </c>
      <c r="J31" s="254">
        <v>1</v>
      </c>
      <c r="K31" s="254">
        <v>1</v>
      </c>
      <c r="L31" s="254">
        <v>1</v>
      </c>
      <c r="M31" s="254">
        <v>0.25</v>
      </c>
      <c r="N31" s="254">
        <v>0.25</v>
      </c>
      <c r="O31" s="254">
        <v>0.25</v>
      </c>
      <c r="P31" s="254">
        <v>0.25</v>
      </c>
      <c r="Q31" s="254">
        <v>0.25</v>
      </c>
      <c r="R31" s="254">
        <v>0.25</v>
      </c>
      <c r="S31" s="254">
        <v>0.25</v>
      </c>
      <c r="T31" s="254">
        <v>0.25</v>
      </c>
      <c r="U31" s="254">
        <v>0.25</v>
      </c>
      <c r="V31" s="254">
        <v>1</v>
      </c>
      <c r="W31" s="254">
        <v>1</v>
      </c>
      <c r="X31" s="254">
        <v>1</v>
      </c>
      <c r="Y31" s="254">
        <v>1</v>
      </c>
      <c r="Z31" s="254">
        <v>1</v>
      </c>
      <c r="AA31" s="254">
        <v>1</v>
      </c>
      <c r="AB31" s="254">
        <v>1</v>
      </c>
      <c r="AC31" s="254">
        <v>1</v>
      </c>
      <c r="AD31" s="39"/>
      <c r="AE31" s="38"/>
      <c r="AF31" s="38"/>
      <c r="AG31" s="38"/>
      <c r="AH31" s="38"/>
      <c r="AI31" s="38"/>
      <c r="AJ31" s="38"/>
      <c r="AK31" s="38"/>
      <c r="AM31" s="49"/>
    </row>
    <row r="32" spans="1:39" ht="36" customHeight="1" x14ac:dyDescent="0.25">
      <c r="A32" s="399"/>
      <c r="B32" s="402"/>
      <c r="C32" s="405"/>
      <c r="D32" s="408"/>
      <c r="E32" s="252" t="s">
        <v>289</v>
      </c>
      <c r="F32" s="255">
        <v>1</v>
      </c>
      <c r="G32" s="255">
        <v>1</v>
      </c>
      <c r="H32" s="255">
        <v>1</v>
      </c>
      <c r="I32" s="255">
        <v>1</v>
      </c>
      <c r="J32" s="255">
        <v>1</v>
      </c>
      <c r="K32" s="255">
        <v>1</v>
      </c>
      <c r="L32" s="255">
        <v>1</v>
      </c>
      <c r="M32" s="255">
        <v>1</v>
      </c>
      <c r="N32" s="255">
        <v>1</v>
      </c>
      <c r="O32" s="255">
        <v>1</v>
      </c>
      <c r="P32" s="255">
        <v>1</v>
      </c>
      <c r="Q32" s="255">
        <v>1</v>
      </c>
      <c r="R32" s="255">
        <v>1</v>
      </c>
      <c r="S32" s="255">
        <v>1</v>
      </c>
      <c r="T32" s="255">
        <v>1</v>
      </c>
      <c r="U32" s="255">
        <v>1</v>
      </c>
      <c r="V32" s="255">
        <v>1</v>
      </c>
      <c r="W32" s="255">
        <v>1</v>
      </c>
      <c r="X32" s="255">
        <v>1</v>
      </c>
      <c r="Y32" s="255">
        <v>1</v>
      </c>
      <c r="Z32" s="255">
        <v>1</v>
      </c>
      <c r="AA32" s="255">
        <v>1</v>
      </c>
      <c r="AB32" s="255">
        <v>1</v>
      </c>
      <c r="AC32" s="255">
        <v>1</v>
      </c>
      <c r="AD32" s="39"/>
      <c r="AE32" s="38"/>
      <c r="AF32" s="38"/>
      <c r="AG32" s="38"/>
      <c r="AH32" s="38"/>
      <c r="AI32" s="38"/>
      <c r="AJ32" s="38"/>
      <c r="AK32" s="38"/>
      <c r="AM32" s="49"/>
    </row>
    <row r="33" spans="1:42" ht="36" customHeight="1" thickBot="1" x14ac:dyDescent="0.3">
      <c r="A33" s="400"/>
      <c r="B33" s="403"/>
      <c r="C33" s="406"/>
      <c r="D33" s="409"/>
      <c r="E33" s="253" t="s">
        <v>290</v>
      </c>
      <c r="F33" s="256">
        <v>1</v>
      </c>
      <c r="G33" s="256">
        <v>1</v>
      </c>
      <c r="H33" s="256">
        <v>1</v>
      </c>
      <c r="I33" s="256">
        <v>1</v>
      </c>
      <c r="J33" s="256">
        <v>1</v>
      </c>
      <c r="K33" s="256">
        <v>1</v>
      </c>
      <c r="L33" s="256">
        <v>1</v>
      </c>
      <c r="M33" s="256">
        <v>1</v>
      </c>
      <c r="N33" s="256">
        <v>1</v>
      </c>
      <c r="O33" s="256">
        <v>1</v>
      </c>
      <c r="P33" s="256">
        <v>1</v>
      </c>
      <c r="Q33" s="256">
        <v>1</v>
      </c>
      <c r="R33" s="256">
        <v>1</v>
      </c>
      <c r="S33" s="256">
        <v>1</v>
      </c>
      <c r="T33" s="256">
        <v>1</v>
      </c>
      <c r="U33" s="256">
        <v>1</v>
      </c>
      <c r="V33" s="256">
        <v>1</v>
      </c>
      <c r="W33" s="256">
        <v>1</v>
      </c>
      <c r="X33" s="256">
        <v>1</v>
      </c>
      <c r="Y33" s="256">
        <v>1</v>
      </c>
      <c r="Z33" s="256">
        <v>1</v>
      </c>
      <c r="AA33" s="256">
        <v>1</v>
      </c>
      <c r="AB33" s="256">
        <v>1</v>
      </c>
      <c r="AC33" s="256">
        <v>1</v>
      </c>
      <c r="AD33" s="39"/>
      <c r="AE33" s="38"/>
      <c r="AF33" s="38"/>
      <c r="AG33" s="38"/>
      <c r="AH33" s="38"/>
      <c r="AI33" s="38"/>
      <c r="AJ33" s="38"/>
      <c r="AK33" s="38"/>
      <c r="AM33" s="49"/>
    </row>
    <row r="34" spans="1:42" ht="36" customHeight="1" thickBot="1" x14ac:dyDescent="0.3">
      <c r="A34" s="388" t="s">
        <v>25</v>
      </c>
      <c r="B34" s="388"/>
      <c r="C34" s="388"/>
      <c r="D34" s="388"/>
      <c r="E34" s="388"/>
      <c r="F34" s="388"/>
      <c r="G34" s="388"/>
      <c r="H34" s="388"/>
      <c r="I34" s="388"/>
      <c r="J34" s="388"/>
      <c r="K34" s="388"/>
      <c r="L34" s="388"/>
      <c r="M34" s="388"/>
      <c r="N34" s="388"/>
      <c r="O34" s="388"/>
      <c r="P34" s="388"/>
      <c r="Q34" s="388"/>
      <c r="R34" s="388"/>
      <c r="S34" s="388"/>
      <c r="T34" s="388"/>
      <c r="U34" s="388"/>
      <c r="V34" s="388"/>
      <c r="W34" s="388"/>
      <c r="X34" s="388"/>
      <c r="Y34" s="388"/>
      <c r="Z34" s="388"/>
      <c r="AA34" s="388"/>
      <c r="AB34" s="388"/>
      <c r="AC34" s="388"/>
      <c r="AD34" s="39"/>
      <c r="AE34" s="38"/>
      <c r="AF34" s="38"/>
      <c r="AG34" s="38"/>
      <c r="AH34" s="38"/>
      <c r="AI34" s="38"/>
      <c r="AJ34" s="38"/>
      <c r="AK34" s="38"/>
      <c r="AM34" s="49"/>
    </row>
    <row r="35" spans="1:42" customFormat="1" ht="27" customHeight="1" x14ac:dyDescent="0.25">
      <c r="A35" s="420"/>
      <c r="B35" s="423" t="s">
        <v>311</v>
      </c>
      <c r="C35" s="426" t="s">
        <v>312</v>
      </c>
      <c r="D35" s="428"/>
      <c r="E35" s="257" t="s">
        <v>291</v>
      </c>
      <c r="F35" s="258">
        <v>1</v>
      </c>
      <c r="G35" s="258">
        <v>1</v>
      </c>
      <c r="H35" s="258">
        <v>1</v>
      </c>
      <c r="I35" s="258">
        <v>1</v>
      </c>
      <c r="J35" s="258">
        <v>1</v>
      </c>
      <c r="K35" s="258">
        <v>1</v>
      </c>
      <c r="L35" s="258">
        <v>1</v>
      </c>
      <c r="M35" s="258">
        <v>1</v>
      </c>
      <c r="N35" s="258">
        <v>1</v>
      </c>
      <c r="O35" s="258">
        <v>1</v>
      </c>
      <c r="P35" s="258">
        <v>1</v>
      </c>
      <c r="Q35" s="258">
        <v>1</v>
      </c>
      <c r="R35" s="258">
        <v>1</v>
      </c>
      <c r="S35" s="258">
        <v>1</v>
      </c>
      <c r="T35" s="258">
        <v>1</v>
      </c>
      <c r="U35" s="258">
        <v>1</v>
      </c>
      <c r="V35" s="258">
        <v>1</v>
      </c>
      <c r="W35" s="258">
        <v>1</v>
      </c>
      <c r="X35" s="258">
        <v>1</v>
      </c>
      <c r="Y35" s="258">
        <v>1</v>
      </c>
      <c r="Z35" s="258">
        <v>1</v>
      </c>
      <c r="AA35" s="258">
        <v>1</v>
      </c>
      <c r="AB35" s="258">
        <v>1</v>
      </c>
      <c r="AC35" s="259">
        <v>1</v>
      </c>
    </row>
    <row r="36" spans="1:42" customFormat="1" ht="27" customHeight="1" x14ac:dyDescent="0.25">
      <c r="A36" s="421"/>
      <c r="B36" s="424"/>
      <c r="C36" s="393"/>
      <c r="D36" s="396"/>
      <c r="E36" s="221" t="s">
        <v>289</v>
      </c>
      <c r="F36" s="247">
        <v>1</v>
      </c>
      <c r="G36" s="247">
        <v>1</v>
      </c>
      <c r="H36" s="247">
        <v>1</v>
      </c>
      <c r="I36" s="247">
        <v>1</v>
      </c>
      <c r="J36" s="247">
        <v>1</v>
      </c>
      <c r="K36" s="247">
        <v>1</v>
      </c>
      <c r="L36" s="247">
        <v>1</v>
      </c>
      <c r="M36" s="247">
        <v>1</v>
      </c>
      <c r="N36" s="247">
        <v>1</v>
      </c>
      <c r="O36" s="247">
        <v>1</v>
      </c>
      <c r="P36" s="247">
        <v>1</v>
      </c>
      <c r="Q36" s="247">
        <v>1</v>
      </c>
      <c r="R36" s="247">
        <v>1</v>
      </c>
      <c r="S36" s="247">
        <v>1</v>
      </c>
      <c r="T36" s="247">
        <v>1</v>
      </c>
      <c r="U36" s="247">
        <v>1</v>
      </c>
      <c r="V36" s="247">
        <v>1</v>
      </c>
      <c r="W36" s="247">
        <v>1</v>
      </c>
      <c r="X36" s="247">
        <v>1</v>
      </c>
      <c r="Y36" s="247">
        <v>1</v>
      </c>
      <c r="Z36" s="247">
        <v>1</v>
      </c>
      <c r="AA36" s="247">
        <v>1</v>
      </c>
      <c r="AB36" s="247">
        <v>1</v>
      </c>
      <c r="AC36" s="260">
        <v>1</v>
      </c>
    </row>
    <row r="37" spans="1:42" customFormat="1" ht="27" customHeight="1" thickBot="1" x14ac:dyDescent="0.3">
      <c r="A37" s="422"/>
      <c r="B37" s="425"/>
      <c r="C37" s="427"/>
      <c r="D37" s="429"/>
      <c r="E37" s="261" t="s">
        <v>290</v>
      </c>
      <c r="F37" s="262">
        <v>1</v>
      </c>
      <c r="G37" s="262">
        <v>1</v>
      </c>
      <c r="H37" s="262">
        <v>1</v>
      </c>
      <c r="I37" s="262">
        <v>1</v>
      </c>
      <c r="J37" s="262">
        <v>1</v>
      </c>
      <c r="K37" s="262">
        <v>1</v>
      </c>
      <c r="L37" s="262">
        <v>1</v>
      </c>
      <c r="M37" s="262">
        <v>1</v>
      </c>
      <c r="N37" s="262">
        <v>1</v>
      </c>
      <c r="O37" s="262">
        <v>1</v>
      </c>
      <c r="P37" s="262">
        <v>1</v>
      </c>
      <c r="Q37" s="262">
        <v>1</v>
      </c>
      <c r="R37" s="262">
        <v>1</v>
      </c>
      <c r="S37" s="262">
        <v>1</v>
      </c>
      <c r="T37" s="262">
        <v>1</v>
      </c>
      <c r="U37" s="262">
        <v>1</v>
      </c>
      <c r="V37" s="262">
        <v>1</v>
      </c>
      <c r="W37" s="262">
        <v>1</v>
      </c>
      <c r="X37" s="262">
        <v>1</v>
      </c>
      <c r="Y37" s="262">
        <v>1</v>
      </c>
      <c r="Z37" s="262">
        <v>1</v>
      </c>
      <c r="AA37" s="262">
        <v>1</v>
      </c>
      <c r="AB37" s="262">
        <v>1</v>
      </c>
      <c r="AC37" s="263">
        <v>1</v>
      </c>
    </row>
    <row r="38" spans="1:42" customFormat="1" ht="27" customHeight="1" x14ac:dyDescent="0.25">
      <c r="A38" s="430"/>
      <c r="B38" s="431" t="s">
        <v>311</v>
      </c>
      <c r="C38" s="433" t="s">
        <v>313</v>
      </c>
      <c r="D38" s="396"/>
      <c r="E38" s="264" t="s">
        <v>291</v>
      </c>
      <c r="F38" s="265">
        <v>0</v>
      </c>
      <c r="G38" s="265">
        <v>0</v>
      </c>
      <c r="H38" s="265">
        <v>0</v>
      </c>
      <c r="I38" s="265">
        <v>0</v>
      </c>
      <c r="J38" s="265">
        <v>0</v>
      </c>
      <c r="K38" s="265">
        <v>1</v>
      </c>
      <c r="L38" s="265">
        <v>1</v>
      </c>
      <c r="M38" s="265">
        <v>1</v>
      </c>
      <c r="N38" s="265">
        <v>1</v>
      </c>
      <c r="O38" s="265">
        <v>1</v>
      </c>
      <c r="P38" s="265">
        <v>1</v>
      </c>
      <c r="Q38" s="265">
        <v>1</v>
      </c>
      <c r="R38" s="265">
        <v>1</v>
      </c>
      <c r="S38" s="265">
        <v>1</v>
      </c>
      <c r="T38" s="265">
        <v>1</v>
      </c>
      <c r="U38" s="265">
        <v>1</v>
      </c>
      <c r="V38" s="265">
        <v>1</v>
      </c>
      <c r="W38" s="265">
        <v>1</v>
      </c>
      <c r="X38" s="265">
        <v>1</v>
      </c>
      <c r="Y38" s="265">
        <v>1</v>
      </c>
      <c r="Z38" s="265">
        <v>1</v>
      </c>
      <c r="AA38" s="265">
        <v>1</v>
      </c>
      <c r="AB38" s="265">
        <v>0</v>
      </c>
      <c r="AC38" s="266">
        <v>0</v>
      </c>
    </row>
    <row r="39" spans="1:42" customFormat="1" ht="27" customHeight="1" x14ac:dyDescent="0.25">
      <c r="A39" s="386"/>
      <c r="B39" s="424"/>
      <c r="C39" s="393"/>
      <c r="D39" s="396"/>
      <c r="E39" s="221" t="s">
        <v>289</v>
      </c>
      <c r="F39" s="247">
        <v>0</v>
      </c>
      <c r="G39" s="247">
        <v>0</v>
      </c>
      <c r="H39" s="247">
        <v>0</v>
      </c>
      <c r="I39" s="247">
        <v>0</v>
      </c>
      <c r="J39" s="247">
        <v>0</v>
      </c>
      <c r="K39" s="247">
        <v>1</v>
      </c>
      <c r="L39" s="247">
        <v>1</v>
      </c>
      <c r="M39" s="247">
        <v>1</v>
      </c>
      <c r="N39" s="247">
        <v>1</v>
      </c>
      <c r="O39" s="247">
        <v>1</v>
      </c>
      <c r="P39" s="247">
        <v>1</v>
      </c>
      <c r="Q39" s="247">
        <v>1</v>
      </c>
      <c r="R39" s="247">
        <v>1</v>
      </c>
      <c r="S39" s="247">
        <v>1</v>
      </c>
      <c r="T39" s="247">
        <v>1</v>
      </c>
      <c r="U39" s="247">
        <v>1</v>
      </c>
      <c r="V39" s="247">
        <v>1</v>
      </c>
      <c r="W39" s="247">
        <v>1</v>
      </c>
      <c r="X39" s="247">
        <v>1</v>
      </c>
      <c r="Y39" s="247">
        <v>1</v>
      </c>
      <c r="Z39" s="247">
        <v>1</v>
      </c>
      <c r="AA39" s="247">
        <v>1</v>
      </c>
      <c r="AB39" s="247">
        <v>1</v>
      </c>
      <c r="AC39" s="248">
        <v>1</v>
      </c>
    </row>
    <row r="40" spans="1:42" customFormat="1" ht="27" customHeight="1" thickBot="1" x14ac:dyDescent="0.3">
      <c r="A40" s="387"/>
      <c r="B40" s="432"/>
      <c r="C40" s="394"/>
      <c r="D40" s="397"/>
      <c r="E40" s="222" t="s">
        <v>290</v>
      </c>
      <c r="F40" s="249">
        <v>0</v>
      </c>
      <c r="G40" s="249">
        <v>0</v>
      </c>
      <c r="H40" s="249">
        <v>0</v>
      </c>
      <c r="I40" s="249">
        <v>0</v>
      </c>
      <c r="J40" s="249">
        <v>0</v>
      </c>
      <c r="K40" s="249">
        <v>1</v>
      </c>
      <c r="L40" s="249">
        <v>1</v>
      </c>
      <c r="M40" s="249">
        <v>1</v>
      </c>
      <c r="N40" s="249">
        <v>1</v>
      </c>
      <c r="O40" s="249">
        <v>1</v>
      </c>
      <c r="P40" s="249">
        <v>1</v>
      </c>
      <c r="Q40" s="249">
        <v>1</v>
      </c>
      <c r="R40" s="249">
        <v>1</v>
      </c>
      <c r="S40" s="249">
        <v>1</v>
      </c>
      <c r="T40" s="249">
        <v>1</v>
      </c>
      <c r="U40" s="249">
        <v>1</v>
      </c>
      <c r="V40" s="249">
        <v>1</v>
      </c>
      <c r="W40" s="249">
        <v>1</v>
      </c>
      <c r="X40" s="249">
        <v>1</v>
      </c>
      <c r="Y40" s="249">
        <v>1</v>
      </c>
      <c r="Z40" s="249">
        <v>1</v>
      </c>
      <c r="AA40" s="249">
        <v>1</v>
      </c>
      <c r="AB40" s="249">
        <v>1</v>
      </c>
      <c r="AC40" s="250">
        <v>1</v>
      </c>
    </row>
    <row r="41" spans="1:42" customFormat="1" ht="36" customHeight="1" x14ac:dyDescent="0.25">
      <c r="A41" s="385" t="s">
        <v>75</v>
      </c>
      <c r="B41" s="389" t="s">
        <v>311</v>
      </c>
      <c r="C41" s="392" t="s">
        <v>314</v>
      </c>
      <c r="D41" s="395" t="s">
        <v>315</v>
      </c>
      <c r="E41" s="220" t="s">
        <v>291</v>
      </c>
      <c r="F41" s="245">
        <v>117.2</v>
      </c>
      <c r="G41" s="245">
        <v>117.2</v>
      </c>
      <c r="H41" s="245">
        <v>117.2</v>
      </c>
      <c r="I41" s="245">
        <v>117.2</v>
      </c>
      <c r="J41" s="245">
        <v>117.2</v>
      </c>
      <c r="K41" s="245">
        <v>117.2</v>
      </c>
      <c r="L41" s="245">
        <v>117.2</v>
      </c>
      <c r="M41" s="245">
        <v>117.2</v>
      </c>
      <c r="N41" s="245">
        <v>117.2</v>
      </c>
      <c r="O41" s="245">
        <v>117.2</v>
      </c>
      <c r="P41" s="245">
        <v>117.2</v>
      </c>
      <c r="Q41" s="245">
        <v>117.2</v>
      </c>
      <c r="R41" s="245">
        <v>117.2</v>
      </c>
      <c r="S41" s="245">
        <v>117.2</v>
      </c>
      <c r="T41" s="245">
        <v>117.2</v>
      </c>
      <c r="U41" s="245">
        <v>117.2</v>
      </c>
      <c r="V41" s="245">
        <v>117.2</v>
      </c>
      <c r="W41" s="245">
        <v>117.2</v>
      </c>
      <c r="X41" s="245">
        <v>117.2</v>
      </c>
      <c r="Y41" s="245">
        <v>117.2</v>
      </c>
      <c r="Z41" s="245">
        <v>117.2</v>
      </c>
      <c r="AA41" s="245">
        <v>117.2</v>
      </c>
      <c r="AB41" s="245">
        <v>117.2</v>
      </c>
      <c r="AC41" s="246">
        <v>117.2</v>
      </c>
    </row>
    <row r="42" spans="1:42" customFormat="1" ht="36" customHeight="1" x14ac:dyDescent="0.25">
      <c r="A42" s="386"/>
      <c r="B42" s="390"/>
      <c r="C42" s="393"/>
      <c r="D42" s="396"/>
      <c r="E42" s="221" t="s">
        <v>289</v>
      </c>
      <c r="F42" s="247">
        <v>117.2</v>
      </c>
      <c r="G42" s="247">
        <v>117.2</v>
      </c>
      <c r="H42" s="247">
        <v>117.2</v>
      </c>
      <c r="I42" s="247">
        <v>117.2</v>
      </c>
      <c r="J42" s="247">
        <v>117.2</v>
      </c>
      <c r="K42" s="247">
        <v>117.2</v>
      </c>
      <c r="L42" s="247">
        <v>117.2</v>
      </c>
      <c r="M42" s="247">
        <v>117.2</v>
      </c>
      <c r="N42" s="247">
        <v>117.2</v>
      </c>
      <c r="O42" s="247">
        <v>117.2</v>
      </c>
      <c r="P42" s="247">
        <v>117.2</v>
      </c>
      <c r="Q42" s="247">
        <v>117.2</v>
      </c>
      <c r="R42" s="247">
        <v>117.2</v>
      </c>
      <c r="S42" s="247">
        <v>117.2</v>
      </c>
      <c r="T42" s="247">
        <v>117.2</v>
      </c>
      <c r="U42" s="247">
        <v>117.2</v>
      </c>
      <c r="V42" s="247">
        <v>117.2</v>
      </c>
      <c r="W42" s="247">
        <v>117.2</v>
      </c>
      <c r="X42" s="247">
        <v>117.2</v>
      </c>
      <c r="Y42" s="247">
        <v>117.2</v>
      </c>
      <c r="Z42" s="247">
        <v>117.2</v>
      </c>
      <c r="AA42" s="247">
        <v>117.2</v>
      </c>
      <c r="AB42" s="247">
        <v>117.2</v>
      </c>
      <c r="AC42" s="248">
        <v>117.2</v>
      </c>
    </row>
    <row r="43" spans="1:42" customFormat="1" ht="36" customHeight="1" thickBot="1" x14ac:dyDescent="0.3">
      <c r="A43" s="387"/>
      <c r="B43" s="391"/>
      <c r="C43" s="394"/>
      <c r="D43" s="397"/>
      <c r="E43" s="222" t="s">
        <v>290</v>
      </c>
      <c r="F43" s="249">
        <v>117.2</v>
      </c>
      <c r="G43" s="249">
        <v>117.2</v>
      </c>
      <c r="H43" s="249">
        <v>117.2</v>
      </c>
      <c r="I43" s="249">
        <v>117.2</v>
      </c>
      <c r="J43" s="249">
        <v>117.2</v>
      </c>
      <c r="K43" s="249">
        <v>117.2</v>
      </c>
      <c r="L43" s="249">
        <v>117.2</v>
      </c>
      <c r="M43" s="249">
        <v>117.2</v>
      </c>
      <c r="N43" s="249">
        <v>117.2</v>
      </c>
      <c r="O43" s="249">
        <v>117.2</v>
      </c>
      <c r="P43" s="249">
        <v>117.2</v>
      </c>
      <c r="Q43" s="249">
        <v>117.2</v>
      </c>
      <c r="R43" s="249">
        <v>117.2</v>
      </c>
      <c r="S43" s="249">
        <v>117.2</v>
      </c>
      <c r="T43" s="249">
        <v>117.2</v>
      </c>
      <c r="U43" s="249">
        <v>117.2</v>
      </c>
      <c r="V43" s="249">
        <v>117.2</v>
      </c>
      <c r="W43" s="249">
        <v>117.2</v>
      </c>
      <c r="X43" s="249">
        <v>117.2</v>
      </c>
      <c r="Y43" s="249">
        <v>117.2</v>
      </c>
      <c r="Z43" s="249">
        <v>117.2</v>
      </c>
      <c r="AA43" s="249">
        <v>117.2</v>
      </c>
      <c r="AB43" s="249">
        <v>117.2</v>
      </c>
      <c r="AC43" s="250">
        <v>117.2</v>
      </c>
    </row>
    <row r="44" spans="1:42" customFormat="1" ht="15" x14ac:dyDescent="0.25"/>
    <row r="45" spans="1:42" customFormat="1" ht="23.25" customHeight="1" x14ac:dyDescent="0.25">
      <c r="A45" s="267" t="s">
        <v>134</v>
      </c>
      <c r="B45" s="268"/>
      <c r="C45" s="75"/>
      <c r="D45" s="75"/>
      <c r="E45" s="75"/>
      <c r="F45" s="75"/>
      <c r="G45" s="75"/>
      <c r="H45" s="268"/>
      <c r="I45" s="268"/>
      <c r="J45" s="268"/>
      <c r="K45" s="268"/>
      <c r="L45" s="268"/>
      <c r="M45" s="268"/>
      <c r="N45" s="268"/>
      <c r="O45" s="268"/>
      <c r="P45" s="268"/>
      <c r="Q45" s="268"/>
      <c r="R45" s="268"/>
      <c r="S45" s="268"/>
      <c r="T45" s="268"/>
      <c r="U45" s="268"/>
      <c r="V45" s="268"/>
      <c r="W45" s="268"/>
      <c r="X45" s="268"/>
      <c r="Y45" s="268"/>
      <c r="Z45" s="268"/>
      <c r="AA45" s="268"/>
      <c r="AB45" s="268"/>
      <c r="AC45" s="268"/>
      <c r="AD45" s="268"/>
      <c r="AE45" s="268"/>
      <c r="AF45" s="268"/>
      <c r="AG45" s="268"/>
      <c r="AH45" s="268"/>
      <c r="AI45" s="268"/>
      <c r="AJ45" s="268"/>
      <c r="AK45" s="268"/>
      <c r="AL45" s="268"/>
      <c r="AM45" s="268"/>
      <c r="AN45" s="268"/>
      <c r="AO45" s="268"/>
      <c r="AP45" s="268"/>
    </row>
    <row r="46" spans="1:42" customFormat="1" ht="12.75" customHeight="1" x14ac:dyDescent="0.25"/>
    <row r="47" spans="1:42" customFormat="1" ht="15" x14ac:dyDescent="0.25"/>
    <row r="48" spans="1:42" customFormat="1" ht="15" x14ac:dyDescent="0.25"/>
    <row r="49" customFormat="1" ht="12.75" customHeight="1" x14ac:dyDescent="0.25"/>
    <row r="50" customFormat="1" ht="15" x14ac:dyDescent="0.25"/>
    <row r="51" customFormat="1" ht="15" x14ac:dyDescent="0.25"/>
    <row r="52" customFormat="1" ht="12.75" customHeight="1" x14ac:dyDescent="0.25"/>
    <row r="53" customFormat="1" ht="15" x14ac:dyDescent="0.25"/>
    <row r="54" customFormat="1" ht="15" x14ac:dyDescent="0.25"/>
    <row r="55" customFormat="1" ht="12.75" customHeight="1" x14ac:dyDescent="0.25"/>
    <row r="56" customFormat="1" ht="15" x14ac:dyDescent="0.25"/>
    <row r="57" customFormat="1" ht="15" x14ac:dyDescent="0.25"/>
    <row r="58" customFormat="1" ht="12.75" customHeight="1" x14ac:dyDescent="0.25"/>
    <row r="59" customFormat="1" ht="15" x14ac:dyDescent="0.25"/>
    <row r="60" customFormat="1" ht="15" x14ac:dyDescent="0.25"/>
    <row r="61" customFormat="1" ht="12.75" customHeight="1" x14ac:dyDescent="0.25"/>
    <row r="62" customFormat="1" ht="15" x14ac:dyDescent="0.25"/>
    <row r="63" customFormat="1" ht="15" x14ac:dyDescent="0.25"/>
    <row r="64" customFormat="1" ht="12.75" customHeight="1" x14ac:dyDescent="0.25"/>
    <row r="65" customFormat="1" ht="15" x14ac:dyDescent="0.25"/>
    <row r="66" customFormat="1" ht="15" x14ac:dyDescent="0.25"/>
    <row r="67" customFormat="1" ht="12.75" customHeight="1" x14ac:dyDescent="0.25"/>
    <row r="68" customFormat="1" ht="15" x14ac:dyDescent="0.25"/>
    <row r="69" customFormat="1" ht="15" x14ac:dyDescent="0.25"/>
    <row r="70" customFormat="1" ht="12.75" customHeight="1" x14ac:dyDescent="0.25"/>
    <row r="71" customFormat="1" ht="15" x14ac:dyDescent="0.25"/>
    <row r="72" customFormat="1" ht="15" x14ac:dyDescent="0.25"/>
    <row r="73" customFormat="1" ht="12.75" customHeight="1" x14ac:dyDescent="0.25"/>
    <row r="74" customFormat="1" ht="15" x14ac:dyDescent="0.25"/>
    <row r="75" customFormat="1" ht="15" x14ac:dyDescent="0.25"/>
    <row r="76" customFormat="1" ht="12.75" customHeight="1" x14ac:dyDescent="0.25"/>
    <row r="77" customFormat="1" ht="15" x14ac:dyDescent="0.25"/>
    <row r="78" customFormat="1" ht="15" x14ac:dyDescent="0.25"/>
    <row r="79" customFormat="1" ht="12.75" customHeight="1" x14ac:dyDescent="0.25"/>
    <row r="80" customFormat="1" ht="15" x14ac:dyDescent="0.25"/>
    <row r="81" customFormat="1" ht="15" x14ac:dyDescent="0.25"/>
    <row r="82" customFormat="1" ht="15" x14ac:dyDescent="0.25"/>
    <row r="83" customFormat="1" ht="15" x14ac:dyDescent="0.25"/>
    <row r="84" customFormat="1" ht="15" x14ac:dyDescent="0.25"/>
    <row r="85" customFormat="1" ht="15" x14ac:dyDescent="0.25"/>
    <row r="86" customFormat="1" ht="15" x14ac:dyDescent="0.25"/>
    <row r="87" customFormat="1" ht="15" x14ac:dyDescent="0.25"/>
    <row r="88" customFormat="1" ht="15" x14ac:dyDescent="0.25"/>
    <row r="89" customFormat="1" ht="15" x14ac:dyDescent="0.25"/>
    <row r="90" customFormat="1" ht="15" x14ac:dyDescent="0.25"/>
    <row r="91" customFormat="1" ht="12.75" customHeight="1" x14ac:dyDescent="0.25"/>
    <row r="92" customFormat="1" ht="15" x14ac:dyDescent="0.25"/>
    <row r="93" customFormat="1" ht="15" x14ac:dyDescent="0.25"/>
    <row r="94" customFormat="1" ht="15" x14ac:dyDescent="0.25"/>
    <row r="95" customFormat="1" ht="15" x14ac:dyDescent="0.25"/>
    <row r="96" customFormat="1" ht="15" x14ac:dyDescent="0.25"/>
    <row r="97" customFormat="1" ht="15" x14ac:dyDescent="0.25"/>
    <row r="98" customFormat="1" ht="15" x14ac:dyDescent="0.25"/>
    <row r="99" customFormat="1" ht="15" x14ac:dyDescent="0.25"/>
    <row r="100" customFormat="1" ht="15" x14ac:dyDescent="0.25"/>
    <row r="101" customFormat="1" ht="15" x14ac:dyDescent="0.25"/>
    <row r="102" customFormat="1" ht="15" x14ac:dyDescent="0.25"/>
    <row r="103" customFormat="1" ht="15" x14ac:dyDescent="0.25"/>
    <row r="104" customFormat="1" ht="15" x14ac:dyDescent="0.25"/>
    <row r="105" customFormat="1" ht="15" x14ac:dyDescent="0.25"/>
    <row r="106" customFormat="1" ht="15" x14ac:dyDescent="0.25"/>
    <row r="107" customFormat="1" ht="15" x14ac:dyDescent="0.25"/>
    <row r="108" customFormat="1" ht="15" x14ac:dyDescent="0.25"/>
    <row r="109" customFormat="1" ht="15" x14ac:dyDescent="0.25"/>
    <row r="110" customFormat="1" ht="15" x14ac:dyDescent="0.25"/>
    <row r="111" customFormat="1" ht="15" x14ac:dyDescent="0.25"/>
    <row r="112" customFormat="1" ht="15" x14ac:dyDescent="0.25"/>
    <row r="113" spans="2:2" customFormat="1" ht="15" x14ac:dyDescent="0.25"/>
    <row r="114" spans="2:2" customFormat="1" ht="15" x14ac:dyDescent="0.25"/>
    <row r="115" spans="2:2" customFormat="1" ht="15" x14ac:dyDescent="0.25"/>
    <row r="116" spans="2:2" customFormat="1" ht="15" x14ac:dyDescent="0.25"/>
    <row r="117" spans="2:2" ht="15" x14ac:dyDescent="0.25">
      <c r="B117"/>
    </row>
    <row r="118" spans="2:2" ht="15" x14ac:dyDescent="0.25">
      <c r="B118"/>
    </row>
  </sheetData>
  <mergeCells count="60">
    <mergeCell ref="A35:A37"/>
    <mergeCell ref="B35:B37"/>
    <mergeCell ref="C35:C37"/>
    <mergeCell ref="D35:D37"/>
    <mergeCell ref="A38:A40"/>
    <mergeCell ref="B38:B40"/>
    <mergeCell ref="C38:C40"/>
    <mergeCell ref="D38:D40"/>
    <mergeCell ref="A1:AC1"/>
    <mergeCell ref="D16:D18"/>
    <mergeCell ref="C22:C24"/>
    <mergeCell ref="D22:D24"/>
    <mergeCell ref="A22:A24"/>
    <mergeCell ref="A10:A12"/>
    <mergeCell ref="C13:C15"/>
    <mergeCell ref="D13:D15"/>
    <mergeCell ref="A13:A15"/>
    <mergeCell ref="C16:C18"/>
    <mergeCell ref="A16:A18"/>
    <mergeCell ref="C19:C21"/>
    <mergeCell ref="D19:D21"/>
    <mergeCell ref="A19:A21"/>
    <mergeCell ref="C10:C12"/>
    <mergeCell ref="D10:D12"/>
    <mergeCell ref="A2:A3"/>
    <mergeCell ref="D2:D3"/>
    <mergeCell ref="A4:A6"/>
    <mergeCell ref="D4:D6"/>
    <mergeCell ref="A7:A9"/>
    <mergeCell ref="C4:C6"/>
    <mergeCell ref="C7:C9"/>
    <mergeCell ref="C2:C3"/>
    <mergeCell ref="D7:D9"/>
    <mergeCell ref="F2:AC2"/>
    <mergeCell ref="E2:E3"/>
    <mergeCell ref="B2:B3"/>
    <mergeCell ref="B4:B6"/>
    <mergeCell ref="B7:B9"/>
    <mergeCell ref="A41:A43"/>
    <mergeCell ref="B10:B12"/>
    <mergeCell ref="B13:B15"/>
    <mergeCell ref="B16:B18"/>
    <mergeCell ref="B19:B21"/>
    <mergeCell ref="B22:B24"/>
    <mergeCell ref="A25:A27"/>
    <mergeCell ref="B25:B27"/>
    <mergeCell ref="A34:AC34"/>
    <mergeCell ref="B41:B43"/>
    <mergeCell ref="C41:C43"/>
    <mergeCell ref="D41:D43"/>
    <mergeCell ref="A31:A33"/>
    <mergeCell ref="B31:B33"/>
    <mergeCell ref="C31:C33"/>
    <mergeCell ref="D31:D33"/>
    <mergeCell ref="C25:C27"/>
    <mergeCell ref="D25:D27"/>
    <mergeCell ref="A28:A30"/>
    <mergeCell ref="B28:B30"/>
    <mergeCell ref="C28:C30"/>
    <mergeCell ref="D28:D3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268"/>
  <sheetViews>
    <sheetView zoomScaleNormal="100" workbookViewId="0">
      <selection sqref="A1:L1"/>
    </sheetView>
  </sheetViews>
  <sheetFormatPr defaultColWidth="8.7109375" defaultRowHeight="12.75" x14ac:dyDescent="0.2"/>
  <cols>
    <col min="1" max="1" width="17.28515625" style="5" bestFit="1" customWidth="1"/>
    <col min="2" max="2" width="15.42578125" style="5" customWidth="1"/>
    <col min="3" max="3" width="19.28515625" style="5" customWidth="1"/>
    <col min="4" max="5" width="18.28515625" style="5" customWidth="1"/>
    <col min="6" max="8" width="13.7109375" style="5" customWidth="1"/>
    <col min="9" max="9" width="10.7109375" style="5" customWidth="1"/>
    <col min="10" max="10" width="12.28515625" style="5" customWidth="1"/>
    <col min="11" max="11" width="11.5703125" style="5" customWidth="1"/>
    <col min="12" max="12" width="13.7109375" style="5" customWidth="1"/>
    <col min="13" max="13" width="8.7109375" style="5"/>
    <col min="14" max="14" width="17.28515625" style="5" bestFit="1" customWidth="1"/>
    <col min="15" max="15" width="10.5703125" style="5" customWidth="1"/>
    <col min="16" max="16" width="11" style="5" customWidth="1"/>
    <col min="17" max="17" width="17.85546875" style="5" customWidth="1"/>
    <col min="18" max="19" width="10.5703125" style="5" bestFit="1" customWidth="1"/>
    <col min="20" max="21" width="11.42578125" style="5" bestFit="1" customWidth="1"/>
    <col min="22" max="22" width="14.85546875" style="5" bestFit="1" customWidth="1"/>
    <col min="23" max="16384" width="8.7109375" style="5"/>
  </cols>
  <sheetData>
    <row r="1" spans="1:24" ht="33" customHeight="1" x14ac:dyDescent="0.25">
      <c r="A1" s="435" t="str">
        <f>"CalBEM Energy Consumption - "&amp;Prototype!B4</f>
        <v>CalBEM Energy Consumption - Relocatable School</v>
      </c>
      <c r="B1" s="436"/>
      <c r="C1" s="436"/>
      <c r="D1" s="436"/>
      <c r="E1" s="436"/>
      <c r="F1" s="436"/>
      <c r="G1" s="436"/>
      <c r="H1" s="436"/>
      <c r="I1" s="436"/>
      <c r="J1" s="436"/>
      <c r="K1" s="436"/>
      <c r="L1" s="436"/>
      <c r="M1"/>
      <c r="N1" s="437" t="str">
        <f>"Energy Consumption - "&amp;Prototype!A2</f>
        <v>Energy Consumption - SchoolRelocatable</v>
      </c>
      <c r="O1" s="350"/>
      <c r="P1" s="350"/>
      <c r="Q1" s="350"/>
      <c r="R1" s="350"/>
      <c r="S1" s="350"/>
      <c r="T1" s="350"/>
      <c r="U1" s="350"/>
      <c r="V1" s="350"/>
      <c r="W1"/>
      <c r="X1"/>
    </row>
    <row r="2" spans="1:24" ht="62.25" customHeight="1" x14ac:dyDescent="0.2">
      <c r="A2" s="291" t="s">
        <v>136</v>
      </c>
      <c r="B2" s="291" t="s">
        <v>316</v>
      </c>
      <c r="C2" s="291" t="s">
        <v>401</v>
      </c>
      <c r="D2" s="291" t="s">
        <v>402</v>
      </c>
      <c r="E2" s="291" t="s">
        <v>403</v>
      </c>
      <c r="F2" s="291" t="s">
        <v>404</v>
      </c>
      <c r="G2" s="291" t="s">
        <v>405</v>
      </c>
      <c r="H2" s="291" t="s">
        <v>406</v>
      </c>
      <c r="I2" s="296" t="s">
        <v>407</v>
      </c>
      <c r="J2" s="296" t="s">
        <v>417</v>
      </c>
      <c r="K2" s="296" t="s">
        <v>418</v>
      </c>
      <c r="L2" s="296" t="s">
        <v>409</v>
      </c>
      <c r="N2" s="293" t="s">
        <v>136</v>
      </c>
      <c r="O2" s="291" t="s">
        <v>316</v>
      </c>
      <c r="P2" s="291" t="s">
        <v>411</v>
      </c>
      <c r="Q2" s="291" t="s">
        <v>412</v>
      </c>
      <c r="R2" s="291" t="s">
        <v>413</v>
      </c>
      <c r="S2" s="283" t="s">
        <v>414</v>
      </c>
      <c r="T2" s="283" t="s">
        <v>415</v>
      </c>
      <c r="U2" s="283" t="s">
        <v>416</v>
      </c>
      <c r="V2" s="283" t="s">
        <v>410</v>
      </c>
    </row>
    <row r="3" spans="1:24" ht="19.149999999999999" customHeight="1" x14ac:dyDescent="0.2">
      <c r="A3" s="434" t="str">
        <f>Prototype!B4</f>
        <v>Relocatable School</v>
      </c>
      <c r="B3" s="144">
        <v>1</v>
      </c>
      <c r="C3" s="297">
        <v>175.83664351851849</v>
      </c>
      <c r="D3" s="297">
        <v>0</v>
      </c>
      <c r="E3" s="297">
        <v>175.83664351851849</v>
      </c>
      <c r="F3" s="144">
        <v>118.81</v>
      </c>
      <c r="G3" s="144">
        <v>0</v>
      </c>
      <c r="H3" s="144">
        <v>118.81</v>
      </c>
      <c r="I3" s="144">
        <v>51.3</v>
      </c>
      <c r="J3" s="297">
        <f>I3*1.25</f>
        <v>64.125</v>
      </c>
      <c r="K3" s="297">
        <f>I3*0.75</f>
        <v>38.474999999999994</v>
      </c>
      <c r="L3" s="297">
        <f>J3-K3</f>
        <v>25.650000000000006</v>
      </c>
      <c r="N3" s="333" t="str">
        <f>Prototype!B4</f>
        <v>Relocatable School</v>
      </c>
      <c r="O3" s="298">
        <v>1</v>
      </c>
      <c r="P3" s="122">
        <v>7618.5336979987769</v>
      </c>
      <c r="Q3" s="299">
        <v>32.349175832782279</v>
      </c>
      <c r="R3" s="299">
        <v>12.848136512515758</v>
      </c>
      <c r="S3" s="302">
        <f>Q3+R3</f>
        <v>45.197312345298037</v>
      </c>
      <c r="T3" s="301">
        <f>S3*1.25</f>
        <v>56.496640431622545</v>
      </c>
      <c r="U3" s="301">
        <f>S3*0.75</f>
        <v>33.89798425897353</v>
      </c>
      <c r="V3" s="300">
        <f>T3-U3</f>
        <v>22.598656172649015</v>
      </c>
    </row>
    <row r="4" spans="1:24" ht="19.149999999999999" customHeight="1" x14ac:dyDescent="0.2">
      <c r="A4" s="434"/>
      <c r="B4" s="144">
        <v>2</v>
      </c>
      <c r="C4" s="297">
        <v>141.98379591836735</v>
      </c>
      <c r="D4" s="297">
        <v>0</v>
      </c>
      <c r="E4" s="297">
        <v>141.98379591836735</v>
      </c>
      <c r="F4" s="144">
        <v>98.83</v>
      </c>
      <c r="G4" s="144">
        <v>0</v>
      </c>
      <c r="H4" s="144">
        <v>98.83</v>
      </c>
      <c r="I4" s="144">
        <v>51.3</v>
      </c>
      <c r="J4" s="297">
        <f t="shared" ref="J4:J18" si="0">I4*1.25</f>
        <v>64.125</v>
      </c>
      <c r="K4" s="297">
        <f t="shared" ref="K4:K18" si="1">I4*0.75</f>
        <v>38.474999999999994</v>
      </c>
      <c r="L4" s="297">
        <f t="shared" ref="L4:L18" si="2">J4-K4</f>
        <v>25.650000000000006</v>
      </c>
      <c r="N4" s="333"/>
      <c r="O4" s="298">
        <v>2</v>
      </c>
      <c r="P4" s="122">
        <v>11477.670560957027</v>
      </c>
      <c r="Q4" s="299">
        <v>15.421598301121483</v>
      </c>
      <c r="R4" s="299">
        <v>12.913999186871132</v>
      </c>
      <c r="S4" s="302">
        <f t="shared" ref="S4:S18" si="3">Q4+R4</f>
        <v>28.335597487992615</v>
      </c>
      <c r="T4" s="301">
        <f t="shared" ref="T4:T18" si="4">S4*1.25</f>
        <v>35.419496859990772</v>
      </c>
      <c r="U4" s="301">
        <f t="shared" ref="U4:U18" si="5">S4*0.75</f>
        <v>21.251698115994461</v>
      </c>
      <c r="V4" s="300">
        <f t="shared" ref="V4:V18" si="6">T4-U4</f>
        <v>14.167798743996311</v>
      </c>
    </row>
    <row r="5" spans="1:24" ht="19.149999999999999" customHeight="1" x14ac:dyDescent="0.2">
      <c r="A5" s="434"/>
      <c r="B5" s="144">
        <v>3</v>
      </c>
      <c r="C5" s="297">
        <v>107.35581369248037</v>
      </c>
      <c r="D5" s="297">
        <v>0</v>
      </c>
      <c r="E5" s="297">
        <v>107.35581369248037</v>
      </c>
      <c r="F5" s="144">
        <v>78.09</v>
      </c>
      <c r="G5" s="144">
        <v>0</v>
      </c>
      <c r="H5" s="144">
        <v>78.09</v>
      </c>
      <c r="I5" s="144">
        <v>51.3</v>
      </c>
      <c r="J5" s="297">
        <f t="shared" si="0"/>
        <v>64.125</v>
      </c>
      <c r="K5" s="297">
        <f t="shared" si="1"/>
        <v>38.474999999999994</v>
      </c>
      <c r="L5" s="297">
        <f t="shared" si="2"/>
        <v>25.650000000000006</v>
      </c>
      <c r="N5" s="333"/>
      <c r="O5" s="298">
        <v>3</v>
      </c>
      <c r="P5" s="122">
        <v>46411.860464613921</v>
      </c>
      <c r="Q5" s="299">
        <v>20.479594859366287</v>
      </c>
      <c r="R5" s="299">
        <v>12.79924807855271</v>
      </c>
      <c r="S5" s="302">
        <f t="shared" si="3"/>
        <v>33.278842937918995</v>
      </c>
      <c r="T5" s="301">
        <f t="shared" si="4"/>
        <v>41.598553672398744</v>
      </c>
      <c r="U5" s="301">
        <f t="shared" si="5"/>
        <v>24.959132203439246</v>
      </c>
      <c r="V5" s="300">
        <f t="shared" si="6"/>
        <v>16.639421468959497</v>
      </c>
    </row>
    <row r="6" spans="1:24" ht="19.149999999999999" customHeight="1" x14ac:dyDescent="0.2">
      <c r="A6" s="434"/>
      <c r="B6" s="144">
        <v>4</v>
      </c>
      <c r="C6" s="297">
        <v>148.81858447488585</v>
      </c>
      <c r="D6" s="297">
        <v>0</v>
      </c>
      <c r="E6" s="297">
        <v>148.81858447488585</v>
      </c>
      <c r="F6" s="144">
        <v>102.27</v>
      </c>
      <c r="G6" s="144">
        <v>0</v>
      </c>
      <c r="H6" s="144">
        <v>102.27</v>
      </c>
      <c r="I6" s="144">
        <v>51.3</v>
      </c>
      <c r="J6" s="297">
        <f t="shared" si="0"/>
        <v>64.125</v>
      </c>
      <c r="K6" s="297">
        <f t="shared" si="1"/>
        <v>38.474999999999994</v>
      </c>
      <c r="L6" s="297">
        <f t="shared" si="2"/>
        <v>25.650000000000006</v>
      </c>
      <c r="N6" s="333"/>
      <c r="O6" s="298">
        <v>4</v>
      </c>
      <c r="P6" s="122">
        <v>23032.968012628033</v>
      </c>
      <c r="Q6" s="299">
        <v>21.493730276699399</v>
      </c>
      <c r="R6" s="299">
        <v>13.019766805689686</v>
      </c>
      <c r="S6" s="302">
        <f t="shared" si="3"/>
        <v>34.513497082389087</v>
      </c>
      <c r="T6" s="301">
        <f t="shared" si="4"/>
        <v>43.141871352986357</v>
      </c>
      <c r="U6" s="301">
        <f t="shared" si="5"/>
        <v>25.885122811791817</v>
      </c>
      <c r="V6" s="300">
        <f t="shared" si="6"/>
        <v>17.25674854119454</v>
      </c>
    </row>
    <row r="7" spans="1:24" ht="19.149999999999999" customHeight="1" x14ac:dyDescent="0.2">
      <c r="A7" s="434"/>
      <c r="B7" s="144">
        <v>5</v>
      </c>
      <c r="C7" s="297">
        <v>107.81652580384227</v>
      </c>
      <c r="D7" s="297">
        <v>0</v>
      </c>
      <c r="E7" s="297">
        <v>107.81652580384227</v>
      </c>
      <c r="F7" s="144">
        <v>77.290000000000006</v>
      </c>
      <c r="G7" s="144">
        <v>0</v>
      </c>
      <c r="H7" s="144">
        <v>77.290000000000006</v>
      </c>
      <c r="I7" s="144">
        <v>51.3</v>
      </c>
      <c r="J7" s="297">
        <f t="shared" si="0"/>
        <v>64.125</v>
      </c>
      <c r="K7" s="297">
        <f t="shared" si="1"/>
        <v>38.474999999999994</v>
      </c>
      <c r="L7" s="297">
        <f t="shared" si="2"/>
        <v>25.650000000000006</v>
      </c>
      <c r="N7" s="333"/>
      <c r="O7" s="298">
        <v>5</v>
      </c>
      <c r="P7" s="122">
        <v>5978.4428422392912</v>
      </c>
      <c r="Q7" s="299">
        <v>11.998072326077015</v>
      </c>
      <c r="R7" s="299">
        <v>11.585185132606563</v>
      </c>
      <c r="S7" s="302">
        <f t="shared" si="3"/>
        <v>23.583257458683576</v>
      </c>
      <c r="T7" s="301">
        <f t="shared" si="4"/>
        <v>29.47907182335447</v>
      </c>
      <c r="U7" s="301">
        <f t="shared" si="5"/>
        <v>17.687443094012682</v>
      </c>
      <c r="V7" s="300">
        <f t="shared" si="6"/>
        <v>11.791628729341788</v>
      </c>
    </row>
    <row r="8" spans="1:24" ht="19.149999999999999" customHeight="1" x14ac:dyDescent="0.2">
      <c r="A8" s="434"/>
      <c r="B8" s="144">
        <v>6</v>
      </c>
      <c r="C8" s="297">
        <v>73.331890657476137</v>
      </c>
      <c r="D8" s="297">
        <v>0</v>
      </c>
      <c r="E8" s="297">
        <v>73.331890657476137</v>
      </c>
      <c r="F8" s="144">
        <v>54.61</v>
      </c>
      <c r="G8" s="144">
        <v>0</v>
      </c>
      <c r="H8" s="144">
        <v>54.61</v>
      </c>
      <c r="I8" s="144">
        <v>51.3</v>
      </c>
      <c r="J8" s="297">
        <f t="shared" si="0"/>
        <v>64.125</v>
      </c>
      <c r="K8" s="297">
        <f t="shared" si="1"/>
        <v>38.474999999999994</v>
      </c>
      <c r="L8" s="297">
        <f t="shared" si="2"/>
        <v>25.650000000000006</v>
      </c>
      <c r="N8" s="333"/>
      <c r="O8" s="298">
        <v>6</v>
      </c>
      <c r="P8" s="122">
        <v>57755.958884938154</v>
      </c>
      <c r="Q8" s="299">
        <v>22.607348922099643</v>
      </c>
      <c r="R8" s="299">
        <v>9.9467421462334809</v>
      </c>
      <c r="S8" s="302">
        <f t="shared" si="3"/>
        <v>32.554091068333122</v>
      </c>
      <c r="T8" s="301">
        <f t="shared" si="4"/>
        <v>40.692613835416402</v>
      </c>
      <c r="U8" s="301">
        <f t="shared" si="5"/>
        <v>24.415568301249841</v>
      </c>
      <c r="V8" s="300">
        <f t="shared" si="6"/>
        <v>16.277045534166561</v>
      </c>
    </row>
    <row r="9" spans="1:24" ht="19.149999999999999" customHeight="1" x14ac:dyDescent="0.2">
      <c r="A9" s="434"/>
      <c r="B9" s="144">
        <v>7</v>
      </c>
      <c r="C9" s="297">
        <v>71.257494780793323</v>
      </c>
      <c r="D9" s="297">
        <v>0</v>
      </c>
      <c r="E9" s="297">
        <v>71.257494780793323</v>
      </c>
      <c r="F9" s="144">
        <v>52.11</v>
      </c>
      <c r="G9" s="144">
        <v>0</v>
      </c>
      <c r="H9" s="144">
        <v>52.11</v>
      </c>
      <c r="I9" s="144">
        <v>51.3</v>
      </c>
      <c r="J9" s="297">
        <f t="shared" si="0"/>
        <v>64.125</v>
      </c>
      <c r="K9" s="297">
        <f t="shared" si="1"/>
        <v>38.474999999999994</v>
      </c>
      <c r="L9" s="297">
        <f t="shared" si="2"/>
        <v>25.650000000000006</v>
      </c>
      <c r="N9" s="333"/>
      <c r="O9" s="298">
        <v>7</v>
      </c>
      <c r="P9" s="122">
        <v>35149.992570854702</v>
      </c>
      <c r="Q9" s="299">
        <v>24.848388187104383</v>
      </c>
      <c r="R9" s="299">
        <v>6.9700357314851695</v>
      </c>
      <c r="S9" s="302">
        <f t="shared" si="3"/>
        <v>31.818423918589552</v>
      </c>
      <c r="T9" s="301">
        <f t="shared" si="4"/>
        <v>39.773029898236942</v>
      </c>
      <c r="U9" s="301">
        <f t="shared" si="5"/>
        <v>23.863817938942162</v>
      </c>
      <c r="V9" s="300">
        <f t="shared" si="6"/>
        <v>15.90921195929478</v>
      </c>
    </row>
    <row r="10" spans="1:24" ht="19.149999999999999" customHeight="1" x14ac:dyDescent="0.2">
      <c r="A10" s="434"/>
      <c r="B10" s="144">
        <v>8</v>
      </c>
      <c r="C10" s="297">
        <v>87.293569892473116</v>
      </c>
      <c r="D10" s="297">
        <v>0</v>
      </c>
      <c r="E10" s="297">
        <v>87.293569892473116</v>
      </c>
      <c r="F10" s="144">
        <v>64.680000000000007</v>
      </c>
      <c r="G10" s="144">
        <v>0</v>
      </c>
      <c r="H10" s="144">
        <v>64.680000000000007</v>
      </c>
      <c r="I10" s="144">
        <v>51.3</v>
      </c>
      <c r="J10" s="297">
        <f t="shared" si="0"/>
        <v>64.125</v>
      </c>
      <c r="K10" s="297">
        <f t="shared" si="1"/>
        <v>38.474999999999994</v>
      </c>
      <c r="L10" s="297">
        <f t="shared" si="2"/>
        <v>25.650000000000006</v>
      </c>
      <c r="N10" s="333"/>
      <c r="O10" s="298">
        <v>8</v>
      </c>
      <c r="P10" s="122">
        <v>92353.411344595792</v>
      </c>
      <c r="Q10" s="299">
        <v>22.935329040550439</v>
      </c>
      <c r="R10" s="299">
        <v>8.842202966161631</v>
      </c>
      <c r="S10" s="302">
        <f t="shared" si="3"/>
        <v>31.777532006712072</v>
      </c>
      <c r="T10" s="301">
        <f t="shared" si="4"/>
        <v>39.721915008390091</v>
      </c>
      <c r="U10" s="301">
        <f t="shared" si="5"/>
        <v>23.833149005034052</v>
      </c>
      <c r="V10" s="300">
        <f t="shared" si="6"/>
        <v>15.888766003356039</v>
      </c>
    </row>
    <row r="11" spans="1:24" ht="19.149999999999999" customHeight="1" x14ac:dyDescent="0.2">
      <c r="A11" s="434"/>
      <c r="B11" s="144">
        <v>9</v>
      </c>
      <c r="C11" s="297">
        <v>94.236014150943404</v>
      </c>
      <c r="D11" s="297">
        <v>0</v>
      </c>
      <c r="E11" s="297">
        <v>94.236014150943404</v>
      </c>
      <c r="F11" s="144">
        <v>69.05</v>
      </c>
      <c r="G11" s="144">
        <v>0</v>
      </c>
      <c r="H11" s="144">
        <v>69.05</v>
      </c>
      <c r="I11" s="144">
        <v>51.3</v>
      </c>
      <c r="J11" s="297">
        <f t="shared" si="0"/>
        <v>64.125</v>
      </c>
      <c r="K11" s="297">
        <f t="shared" si="1"/>
        <v>38.474999999999994</v>
      </c>
      <c r="L11" s="297">
        <f t="shared" si="2"/>
        <v>25.650000000000006</v>
      </c>
      <c r="N11" s="333"/>
      <c r="O11" s="298">
        <v>9</v>
      </c>
      <c r="P11" s="122">
        <v>141795.4505918849</v>
      </c>
      <c r="Q11" s="299">
        <v>26.79734320498693</v>
      </c>
      <c r="R11" s="299">
        <v>10.089066914098808</v>
      </c>
      <c r="S11" s="302">
        <f t="shared" si="3"/>
        <v>36.886410119085738</v>
      </c>
      <c r="T11" s="301">
        <f t="shared" si="4"/>
        <v>46.108012648857169</v>
      </c>
      <c r="U11" s="301">
        <f t="shared" si="5"/>
        <v>27.664807589314304</v>
      </c>
      <c r="V11" s="300">
        <f t="shared" si="6"/>
        <v>18.443205059542866</v>
      </c>
    </row>
    <row r="12" spans="1:24" ht="19.149999999999999" customHeight="1" x14ac:dyDescent="0.2">
      <c r="A12" s="434"/>
      <c r="B12" s="144">
        <v>10</v>
      </c>
      <c r="C12" s="297">
        <v>100.06449790794979</v>
      </c>
      <c r="D12" s="297">
        <v>0</v>
      </c>
      <c r="E12" s="297">
        <v>100.06449790794979</v>
      </c>
      <c r="F12" s="144">
        <v>74.25</v>
      </c>
      <c r="G12" s="144">
        <v>0</v>
      </c>
      <c r="H12" s="144">
        <v>74.25</v>
      </c>
      <c r="I12" s="144">
        <v>51.3</v>
      </c>
      <c r="J12" s="297">
        <f t="shared" si="0"/>
        <v>64.125</v>
      </c>
      <c r="K12" s="297">
        <f t="shared" si="1"/>
        <v>38.474999999999994</v>
      </c>
      <c r="L12" s="297">
        <f t="shared" si="2"/>
        <v>25.650000000000006</v>
      </c>
      <c r="N12" s="333"/>
      <c r="O12" s="298">
        <v>10</v>
      </c>
      <c r="P12" s="122">
        <v>92589.866923099296</v>
      </c>
      <c r="Q12" s="299">
        <v>22.490400741547862</v>
      </c>
      <c r="R12" s="299">
        <v>10.108975274600024</v>
      </c>
      <c r="S12" s="302">
        <f t="shared" si="3"/>
        <v>32.599376016147886</v>
      </c>
      <c r="T12" s="301">
        <f t="shared" si="4"/>
        <v>40.749220020184858</v>
      </c>
      <c r="U12" s="301">
        <f t="shared" si="5"/>
        <v>24.449532012110915</v>
      </c>
      <c r="V12" s="300">
        <f t="shared" si="6"/>
        <v>16.299688008073943</v>
      </c>
    </row>
    <row r="13" spans="1:24" ht="19.149999999999999" customHeight="1" x14ac:dyDescent="0.2">
      <c r="A13" s="434"/>
      <c r="B13" s="144">
        <v>11</v>
      </c>
      <c r="C13" s="297">
        <v>157.40737656321838</v>
      </c>
      <c r="D13" s="297">
        <v>0</v>
      </c>
      <c r="E13" s="297">
        <v>157.40737656321838</v>
      </c>
      <c r="F13" s="144">
        <v>111.19</v>
      </c>
      <c r="G13" s="144">
        <v>0</v>
      </c>
      <c r="H13" s="144">
        <v>111.19</v>
      </c>
      <c r="I13" s="144">
        <v>51.3</v>
      </c>
      <c r="J13" s="297">
        <f t="shared" si="0"/>
        <v>64.125</v>
      </c>
      <c r="K13" s="297">
        <f t="shared" si="1"/>
        <v>38.474999999999994</v>
      </c>
      <c r="L13" s="297">
        <f t="shared" si="2"/>
        <v>25.650000000000006</v>
      </c>
      <c r="N13" s="333"/>
      <c r="O13" s="298">
        <v>11</v>
      </c>
      <c r="P13" s="122">
        <v>33810.488428667806</v>
      </c>
      <c r="Q13" s="299">
        <v>26.928661316570114</v>
      </c>
      <c r="R13" s="299">
        <v>8.7604369989222359</v>
      </c>
      <c r="S13" s="302">
        <f t="shared" si="3"/>
        <v>35.689098315492352</v>
      </c>
      <c r="T13" s="301">
        <f t="shared" si="4"/>
        <v>44.611372894365438</v>
      </c>
      <c r="U13" s="301">
        <f t="shared" si="5"/>
        <v>26.766823736619266</v>
      </c>
      <c r="V13" s="300">
        <f t="shared" si="6"/>
        <v>17.844549157746172</v>
      </c>
    </row>
    <row r="14" spans="1:24" ht="19.149999999999999" customHeight="1" x14ac:dyDescent="0.2">
      <c r="A14" s="434"/>
      <c r="B14" s="144">
        <v>12</v>
      </c>
      <c r="C14" s="297">
        <v>136.2183785244041</v>
      </c>
      <c r="D14" s="297">
        <v>0</v>
      </c>
      <c r="E14" s="297">
        <v>136.2183785244041</v>
      </c>
      <c r="F14" s="144">
        <v>97.98</v>
      </c>
      <c r="G14" s="144">
        <v>0</v>
      </c>
      <c r="H14" s="144">
        <v>97.98</v>
      </c>
      <c r="I14" s="144">
        <v>51.3</v>
      </c>
      <c r="J14" s="297">
        <f t="shared" si="0"/>
        <v>64.125</v>
      </c>
      <c r="K14" s="297">
        <f t="shared" si="1"/>
        <v>38.474999999999994</v>
      </c>
      <c r="L14" s="297">
        <f t="shared" si="2"/>
        <v>25.650000000000006</v>
      </c>
      <c r="N14" s="333"/>
      <c r="O14" s="298">
        <v>12</v>
      </c>
      <c r="P14" s="122">
        <v>108342.43412674296</v>
      </c>
      <c r="Q14" s="299">
        <v>31.799593721150607</v>
      </c>
      <c r="R14" s="299">
        <v>12.230299256797961</v>
      </c>
      <c r="S14" s="302">
        <f t="shared" si="3"/>
        <v>44.02989297794857</v>
      </c>
      <c r="T14" s="301">
        <f t="shared" si="4"/>
        <v>55.037366222435715</v>
      </c>
      <c r="U14" s="301">
        <f t="shared" si="5"/>
        <v>33.022419733461426</v>
      </c>
      <c r="V14" s="300">
        <f t="shared" si="6"/>
        <v>22.014946488974289</v>
      </c>
    </row>
    <row r="15" spans="1:24" ht="19.149999999999999" customHeight="1" x14ac:dyDescent="0.2">
      <c r="A15" s="434"/>
      <c r="B15" s="144">
        <v>13</v>
      </c>
      <c r="C15" s="297">
        <v>133.02285714285716</v>
      </c>
      <c r="D15" s="297">
        <v>0</v>
      </c>
      <c r="E15" s="297">
        <v>133.02285714285716</v>
      </c>
      <c r="F15" s="144">
        <v>97.21</v>
      </c>
      <c r="G15" s="144">
        <v>0</v>
      </c>
      <c r="H15" s="144">
        <v>97.21</v>
      </c>
      <c r="I15" s="144">
        <v>51.3</v>
      </c>
      <c r="J15" s="297">
        <f t="shared" si="0"/>
        <v>64.125</v>
      </c>
      <c r="K15" s="297">
        <f t="shared" si="1"/>
        <v>38.474999999999994</v>
      </c>
      <c r="L15" s="297">
        <f t="shared" si="2"/>
        <v>25.650000000000006</v>
      </c>
      <c r="N15" s="333"/>
      <c r="O15" s="298">
        <v>13</v>
      </c>
      <c r="P15" s="122">
        <v>46676.807804914482</v>
      </c>
      <c r="Q15" s="299">
        <v>32.656044140076112</v>
      </c>
      <c r="R15" s="299">
        <v>15.473533802907214</v>
      </c>
      <c r="S15" s="302">
        <f t="shared" si="3"/>
        <v>48.129577942983325</v>
      </c>
      <c r="T15" s="301">
        <f t="shared" si="4"/>
        <v>60.161972428729158</v>
      </c>
      <c r="U15" s="301">
        <f t="shared" si="5"/>
        <v>36.097183457237492</v>
      </c>
      <c r="V15" s="300">
        <f t="shared" si="6"/>
        <v>24.064788971491666</v>
      </c>
    </row>
    <row r="16" spans="1:24" ht="19.149999999999999" customHeight="1" x14ac:dyDescent="0.2">
      <c r="A16" s="434"/>
      <c r="B16" s="144">
        <v>14</v>
      </c>
      <c r="C16" s="297">
        <v>167.74737009544009</v>
      </c>
      <c r="D16" s="297">
        <v>0</v>
      </c>
      <c r="E16" s="297">
        <v>167.74737009544009</v>
      </c>
      <c r="F16" s="144">
        <v>118.15</v>
      </c>
      <c r="G16" s="144">
        <v>0</v>
      </c>
      <c r="H16" s="144">
        <v>118.15</v>
      </c>
      <c r="I16" s="144">
        <v>51.3</v>
      </c>
      <c r="J16" s="297">
        <f t="shared" si="0"/>
        <v>64.125</v>
      </c>
      <c r="K16" s="297">
        <f t="shared" si="1"/>
        <v>38.474999999999994</v>
      </c>
      <c r="L16" s="297">
        <f t="shared" si="2"/>
        <v>25.650000000000006</v>
      </c>
      <c r="N16" s="333"/>
      <c r="O16" s="298">
        <v>14</v>
      </c>
      <c r="P16" s="122">
        <v>22787.738910986311</v>
      </c>
      <c r="Q16" s="299">
        <v>21.807169831743543</v>
      </c>
      <c r="R16" s="299">
        <v>11.433166078385915</v>
      </c>
      <c r="S16" s="302">
        <f t="shared" si="3"/>
        <v>33.24033591012946</v>
      </c>
      <c r="T16" s="301">
        <f t="shared" si="4"/>
        <v>41.550419887661825</v>
      </c>
      <c r="U16" s="301">
        <f t="shared" si="5"/>
        <v>24.930251932597095</v>
      </c>
      <c r="V16" s="300">
        <f t="shared" si="6"/>
        <v>16.62016795506473</v>
      </c>
    </row>
    <row r="17" spans="1:22" ht="19.149999999999999" customHeight="1" x14ac:dyDescent="0.2">
      <c r="A17" s="434"/>
      <c r="B17" s="144">
        <v>15</v>
      </c>
      <c r="C17" s="297">
        <v>140.24695220496895</v>
      </c>
      <c r="D17" s="297">
        <v>0</v>
      </c>
      <c r="E17" s="297">
        <v>140.24695220496895</v>
      </c>
      <c r="F17" s="144">
        <v>97.19</v>
      </c>
      <c r="G17" s="144">
        <v>0</v>
      </c>
      <c r="H17" s="144">
        <v>97.19</v>
      </c>
      <c r="I17" s="144">
        <v>51.3</v>
      </c>
      <c r="J17" s="297">
        <f t="shared" si="0"/>
        <v>64.125</v>
      </c>
      <c r="K17" s="297">
        <f t="shared" si="1"/>
        <v>38.474999999999994</v>
      </c>
      <c r="L17" s="297">
        <f t="shared" si="2"/>
        <v>25.650000000000006</v>
      </c>
      <c r="N17" s="333"/>
      <c r="O17" s="298">
        <v>15</v>
      </c>
      <c r="P17" s="122">
        <v>54746.00286987007</v>
      </c>
      <c r="Q17" s="299">
        <v>21.954275213561427</v>
      </c>
      <c r="R17" s="299">
        <v>10.439126469769764</v>
      </c>
      <c r="S17" s="302">
        <f t="shared" si="3"/>
        <v>32.393401683331192</v>
      </c>
      <c r="T17" s="301">
        <f t="shared" si="4"/>
        <v>40.491752104163993</v>
      </c>
      <c r="U17" s="301">
        <f t="shared" si="5"/>
        <v>24.295051262498394</v>
      </c>
      <c r="V17" s="300">
        <f t="shared" si="6"/>
        <v>16.196700841665599</v>
      </c>
    </row>
    <row r="18" spans="1:22" ht="19.149999999999999" customHeight="1" x14ac:dyDescent="0.2">
      <c r="A18" s="434"/>
      <c r="B18" s="144">
        <v>16</v>
      </c>
      <c r="C18" s="297">
        <v>237.78294961240312</v>
      </c>
      <c r="D18" s="297">
        <v>0</v>
      </c>
      <c r="E18" s="297">
        <v>237.78294961240312</v>
      </c>
      <c r="F18" s="144">
        <v>167.29</v>
      </c>
      <c r="G18" s="144">
        <v>0</v>
      </c>
      <c r="H18" s="144">
        <v>167.29</v>
      </c>
      <c r="I18" s="144">
        <v>51.3</v>
      </c>
      <c r="J18" s="297">
        <f t="shared" si="0"/>
        <v>64.125</v>
      </c>
      <c r="K18" s="297">
        <f t="shared" si="1"/>
        <v>38.474999999999994</v>
      </c>
      <c r="L18" s="297">
        <f t="shared" si="2"/>
        <v>25.650000000000006</v>
      </c>
      <c r="N18" s="333"/>
      <c r="O18" s="298">
        <v>16</v>
      </c>
      <c r="P18" s="122">
        <v>85267.890424747078</v>
      </c>
      <c r="Q18" s="299">
        <v>27.026910677602114</v>
      </c>
      <c r="R18" s="299">
        <v>11.652926502476937</v>
      </c>
      <c r="S18" s="302">
        <f t="shared" si="3"/>
        <v>38.679837180079048</v>
      </c>
      <c r="T18" s="301">
        <f t="shared" si="4"/>
        <v>48.349796475098813</v>
      </c>
      <c r="U18" s="301">
        <f t="shared" si="5"/>
        <v>29.009877885059286</v>
      </c>
      <c r="V18" s="300">
        <f t="shared" si="6"/>
        <v>19.339918590039527</v>
      </c>
    </row>
    <row r="19" spans="1:22" ht="12.75" customHeight="1" x14ac:dyDescent="0.2"/>
    <row r="20" spans="1:22" x14ac:dyDescent="0.2">
      <c r="Q20" s="5" t="s">
        <v>317</v>
      </c>
    </row>
    <row r="21" spans="1:22" ht="15" x14ac:dyDescent="0.25">
      <c r="A21"/>
      <c r="B21"/>
      <c r="Q21" s="5" t="s">
        <v>408</v>
      </c>
    </row>
    <row r="22" spans="1:22" ht="15" x14ac:dyDescent="0.25">
      <c r="A22"/>
      <c r="B22"/>
    </row>
    <row r="23" spans="1:22" ht="15" x14ac:dyDescent="0.25">
      <c r="A23"/>
      <c r="B23"/>
    </row>
    <row r="24" spans="1:22" ht="15" x14ac:dyDescent="0.25">
      <c r="A24"/>
      <c r="B24"/>
      <c r="O24"/>
      <c r="P24"/>
      <c r="Q24"/>
      <c r="R24"/>
      <c r="S24"/>
      <c r="T24"/>
      <c r="U24"/>
    </row>
    <row r="25" spans="1:22" customFormat="1" ht="15" x14ac:dyDescent="0.25"/>
    <row r="26" spans="1:22" ht="15" x14ac:dyDescent="0.25">
      <c r="A26"/>
      <c r="B26"/>
      <c r="O26"/>
      <c r="P26"/>
      <c r="Q26"/>
      <c r="R26"/>
      <c r="S26"/>
      <c r="T26"/>
      <c r="U26"/>
    </row>
    <row r="27" spans="1:22" ht="15" x14ac:dyDescent="0.25">
      <c r="A27"/>
      <c r="B27"/>
      <c r="O27"/>
      <c r="P27"/>
      <c r="Q27"/>
      <c r="R27"/>
      <c r="S27"/>
      <c r="T27"/>
      <c r="U27"/>
    </row>
    <row r="28" spans="1:22" ht="15" x14ac:dyDescent="0.25">
      <c r="A28"/>
      <c r="B28"/>
      <c r="O28"/>
      <c r="P28"/>
      <c r="Q28"/>
      <c r="R28"/>
      <c r="S28"/>
      <c r="T28"/>
      <c r="U28"/>
    </row>
    <row r="29" spans="1:22" ht="15" x14ac:dyDescent="0.25">
      <c r="A29"/>
      <c r="B29"/>
      <c r="O29"/>
      <c r="P29"/>
      <c r="Q29"/>
      <c r="R29"/>
      <c r="S29"/>
      <c r="T29"/>
      <c r="U29"/>
    </row>
    <row r="30" spans="1:22" ht="15" x14ac:dyDescent="0.25">
      <c r="A30"/>
      <c r="B30"/>
      <c r="O30"/>
      <c r="P30"/>
      <c r="Q30"/>
      <c r="R30"/>
      <c r="S30"/>
      <c r="T30"/>
      <c r="U30"/>
    </row>
    <row r="31" spans="1:22" ht="15" x14ac:dyDescent="0.25">
      <c r="A31"/>
      <c r="B31"/>
      <c r="O31"/>
      <c r="P31"/>
      <c r="Q31"/>
      <c r="R31"/>
      <c r="S31"/>
      <c r="T31"/>
      <c r="U31"/>
    </row>
    <row r="32" spans="1:22" ht="15" x14ac:dyDescent="0.25">
      <c r="A32"/>
      <c r="B32"/>
      <c r="O32"/>
      <c r="P32"/>
      <c r="Q32"/>
      <c r="R32"/>
      <c r="S32"/>
      <c r="T32"/>
      <c r="U32"/>
    </row>
    <row r="33" spans="1:21" ht="15" x14ac:dyDescent="0.25">
      <c r="A33"/>
      <c r="B33"/>
      <c r="O33"/>
      <c r="P33"/>
      <c r="Q33"/>
      <c r="R33"/>
      <c r="S33"/>
      <c r="T33"/>
      <c r="U33"/>
    </row>
    <row r="34" spans="1:21" ht="15" x14ac:dyDescent="0.25">
      <c r="A34"/>
      <c r="B34"/>
      <c r="O34"/>
      <c r="P34"/>
      <c r="Q34"/>
      <c r="R34"/>
      <c r="S34"/>
      <c r="T34"/>
      <c r="U34"/>
    </row>
    <row r="35" spans="1:21" ht="15" x14ac:dyDescent="0.25">
      <c r="A35"/>
      <c r="B35"/>
      <c r="O35"/>
      <c r="P35"/>
      <c r="Q35"/>
      <c r="R35"/>
      <c r="S35"/>
      <c r="T35"/>
      <c r="U35"/>
    </row>
    <row r="36" spans="1:21" ht="15" x14ac:dyDescent="0.25">
      <c r="A36"/>
      <c r="B36"/>
      <c r="O36"/>
      <c r="P36"/>
      <c r="Q36"/>
      <c r="R36"/>
      <c r="S36"/>
      <c r="T36"/>
      <c r="U36"/>
    </row>
    <row r="37" spans="1:21" ht="15" x14ac:dyDescent="0.25">
      <c r="A37"/>
      <c r="B37"/>
      <c r="O37"/>
      <c r="P37"/>
      <c r="Q37"/>
      <c r="R37"/>
      <c r="S37"/>
      <c r="T37"/>
      <c r="U37"/>
    </row>
    <row r="38" spans="1:21" ht="15" x14ac:dyDescent="0.25">
      <c r="O38"/>
      <c r="P38"/>
      <c r="Q38"/>
      <c r="R38"/>
      <c r="S38"/>
      <c r="T38"/>
      <c r="U38"/>
    </row>
    <row r="39" spans="1:21" ht="15" x14ac:dyDescent="0.25">
      <c r="O39"/>
      <c r="P39"/>
      <c r="Q39"/>
      <c r="R39"/>
      <c r="S39"/>
      <c r="T39"/>
      <c r="U39"/>
    </row>
    <row r="40" spans="1:21" ht="15" x14ac:dyDescent="0.25">
      <c r="O40"/>
      <c r="P40"/>
      <c r="Q40"/>
      <c r="R40"/>
      <c r="S40"/>
      <c r="T40"/>
      <c r="U40"/>
    </row>
    <row r="41" spans="1:21" ht="15" x14ac:dyDescent="0.25">
      <c r="O41"/>
      <c r="P41"/>
      <c r="Q41"/>
      <c r="R41"/>
      <c r="S41"/>
      <c r="T41"/>
      <c r="U41"/>
    </row>
    <row r="42" spans="1:21" ht="15" x14ac:dyDescent="0.25">
      <c r="O42"/>
      <c r="P42"/>
      <c r="Q42"/>
      <c r="R42"/>
      <c r="S42"/>
      <c r="T42"/>
      <c r="U42"/>
    </row>
    <row r="43" spans="1:21" ht="15" x14ac:dyDescent="0.25">
      <c r="O43"/>
      <c r="P43"/>
      <c r="Q43"/>
      <c r="R43"/>
      <c r="S43"/>
      <c r="T43"/>
      <c r="U43"/>
    </row>
    <row r="44" spans="1:21" ht="15" x14ac:dyDescent="0.25">
      <c r="O44"/>
      <c r="P44"/>
      <c r="Q44"/>
      <c r="R44"/>
      <c r="S44"/>
      <c r="T44"/>
      <c r="U44"/>
    </row>
    <row r="45" spans="1:21" ht="15" x14ac:dyDescent="0.25">
      <c r="O45"/>
      <c r="P45"/>
      <c r="Q45"/>
      <c r="R45"/>
      <c r="S45"/>
      <c r="T45"/>
      <c r="U45"/>
    </row>
    <row r="46" spans="1:21" ht="15" x14ac:dyDescent="0.25">
      <c r="O46"/>
      <c r="P46"/>
      <c r="Q46"/>
      <c r="R46"/>
      <c r="S46"/>
      <c r="T46"/>
      <c r="U46"/>
    </row>
    <row r="47" spans="1:21" ht="15" x14ac:dyDescent="0.25">
      <c r="O47"/>
      <c r="P47"/>
      <c r="Q47"/>
      <c r="R47"/>
      <c r="S47"/>
      <c r="T47"/>
      <c r="U47"/>
    </row>
    <row r="48" spans="1:21" ht="15" x14ac:dyDescent="0.25">
      <c r="O48"/>
      <c r="P48"/>
      <c r="Q48"/>
      <c r="R48"/>
      <c r="S48"/>
      <c r="T48"/>
      <c r="U48"/>
    </row>
    <row r="49" spans="15:21" ht="15" x14ac:dyDescent="0.25">
      <c r="O49"/>
      <c r="P49"/>
      <c r="Q49"/>
      <c r="R49"/>
      <c r="S49"/>
      <c r="T49"/>
      <c r="U49"/>
    </row>
    <row r="50" spans="15:21" ht="15" x14ac:dyDescent="0.25">
      <c r="O50"/>
      <c r="P50"/>
      <c r="Q50"/>
      <c r="R50"/>
      <c r="S50"/>
      <c r="T50"/>
      <c r="U50"/>
    </row>
    <row r="51" spans="15:21" ht="15" x14ac:dyDescent="0.25">
      <c r="O51"/>
      <c r="P51"/>
      <c r="Q51"/>
      <c r="R51"/>
      <c r="S51"/>
      <c r="T51"/>
      <c r="U51"/>
    </row>
    <row r="52" spans="15:21" ht="15" x14ac:dyDescent="0.25">
      <c r="O52"/>
      <c r="P52"/>
      <c r="Q52"/>
      <c r="R52"/>
      <c r="S52"/>
      <c r="T52"/>
      <c r="U52"/>
    </row>
    <row r="53" spans="15:21" ht="15" x14ac:dyDescent="0.25">
      <c r="O53"/>
      <c r="P53"/>
      <c r="Q53"/>
      <c r="R53"/>
      <c r="S53"/>
      <c r="T53"/>
      <c r="U53"/>
    </row>
    <row r="54" spans="15:21" ht="15" x14ac:dyDescent="0.25">
      <c r="O54"/>
      <c r="P54"/>
      <c r="Q54"/>
      <c r="R54"/>
      <c r="S54"/>
      <c r="T54"/>
      <c r="U54"/>
    </row>
    <row r="55" spans="15:21" ht="15" x14ac:dyDescent="0.25">
      <c r="O55"/>
      <c r="P55"/>
      <c r="Q55"/>
      <c r="R55"/>
      <c r="S55"/>
      <c r="T55"/>
      <c r="U55"/>
    </row>
    <row r="56" spans="15:21" ht="15" x14ac:dyDescent="0.25">
      <c r="O56"/>
      <c r="P56"/>
      <c r="Q56"/>
      <c r="R56"/>
      <c r="S56"/>
      <c r="T56"/>
      <c r="U56"/>
    </row>
    <row r="57" spans="15:21" ht="15" x14ac:dyDescent="0.25">
      <c r="O57"/>
      <c r="P57"/>
      <c r="Q57"/>
      <c r="R57"/>
      <c r="S57"/>
      <c r="T57"/>
      <c r="U57"/>
    </row>
    <row r="58" spans="15:21" ht="15" x14ac:dyDescent="0.25">
      <c r="O58"/>
      <c r="P58"/>
      <c r="Q58"/>
      <c r="R58"/>
      <c r="S58"/>
      <c r="T58"/>
      <c r="U58"/>
    </row>
    <row r="59" spans="15:21" ht="15" x14ac:dyDescent="0.25">
      <c r="O59"/>
      <c r="P59"/>
      <c r="Q59"/>
      <c r="R59"/>
      <c r="S59"/>
      <c r="T59"/>
      <c r="U59"/>
    </row>
    <row r="60" spans="15:21" ht="15" x14ac:dyDescent="0.25">
      <c r="O60"/>
      <c r="P60"/>
      <c r="Q60"/>
      <c r="R60"/>
      <c r="S60"/>
      <c r="T60"/>
      <c r="U60"/>
    </row>
    <row r="61" spans="15:21" ht="15" x14ac:dyDescent="0.25">
      <c r="O61"/>
      <c r="P61"/>
      <c r="Q61"/>
      <c r="R61"/>
      <c r="S61"/>
      <c r="T61"/>
      <c r="U61"/>
    </row>
    <row r="62" spans="15:21" ht="15" x14ac:dyDescent="0.25">
      <c r="O62"/>
      <c r="P62"/>
      <c r="Q62"/>
      <c r="R62"/>
      <c r="S62"/>
      <c r="T62"/>
      <c r="U62"/>
    </row>
    <row r="63" spans="15:21" ht="15" x14ac:dyDescent="0.25">
      <c r="O63"/>
      <c r="P63"/>
      <c r="Q63"/>
      <c r="R63"/>
      <c r="S63"/>
      <c r="T63"/>
      <c r="U63"/>
    </row>
    <row r="64" spans="15:21" ht="15" x14ac:dyDescent="0.25">
      <c r="O64"/>
      <c r="P64"/>
      <c r="Q64"/>
      <c r="R64"/>
      <c r="S64"/>
      <c r="T64"/>
      <c r="U64"/>
    </row>
    <row r="65" spans="15:21" ht="15" x14ac:dyDescent="0.25">
      <c r="O65"/>
      <c r="P65"/>
      <c r="Q65"/>
      <c r="R65"/>
      <c r="S65"/>
      <c r="T65"/>
      <c r="U65"/>
    </row>
    <row r="66" spans="15:21" ht="15" x14ac:dyDescent="0.25">
      <c r="O66"/>
      <c r="P66"/>
      <c r="Q66"/>
      <c r="R66"/>
      <c r="S66"/>
      <c r="T66"/>
      <c r="U66"/>
    </row>
    <row r="67" spans="15:21" ht="15" x14ac:dyDescent="0.25">
      <c r="O67"/>
      <c r="P67"/>
      <c r="Q67"/>
      <c r="R67"/>
      <c r="S67"/>
      <c r="T67"/>
      <c r="U67"/>
    </row>
    <row r="68" spans="15:21" ht="15" x14ac:dyDescent="0.25">
      <c r="O68"/>
      <c r="P68"/>
      <c r="Q68"/>
      <c r="R68"/>
      <c r="S68"/>
      <c r="T68"/>
      <c r="U68"/>
    </row>
    <row r="69" spans="15:21" ht="15" x14ac:dyDescent="0.25">
      <c r="O69"/>
      <c r="P69"/>
      <c r="Q69"/>
      <c r="R69"/>
      <c r="S69"/>
      <c r="T69"/>
      <c r="U69"/>
    </row>
    <row r="70" spans="15:21" ht="15" x14ac:dyDescent="0.25">
      <c r="O70"/>
      <c r="P70"/>
      <c r="Q70"/>
      <c r="R70"/>
      <c r="S70"/>
      <c r="T70"/>
      <c r="U70"/>
    </row>
    <row r="71" spans="15:21" ht="15" x14ac:dyDescent="0.25">
      <c r="O71"/>
      <c r="P71"/>
      <c r="Q71"/>
      <c r="R71"/>
      <c r="S71"/>
      <c r="T71"/>
      <c r="U71"/>
    </row>
    <row r="72" spans="15:21" ht="15" x14ac:dyDescent="0.25">
      <c r="O72"/>
      <c r="P72"/>
      <c r="Q72"/>
      <c r="R72"/>
      <c r="S72"/>
      <c r="T72"/>
      <c r="U72"/>
    </row>
    <row r="73" spans="15:21" ht="15" x14ac:dyDescent="0.25">
      <c r="O73"/>
      <c r="P73"/>
      <c r="Q73"/>
      <c r="R73"/>
      <c r="S73"/>
      <c r="T73"/>
      <c r="U73"/>
    </row>
    <row r="74" spans="15:21" ht="15" x14ac:dyDescent="0.25">
      <c r="O74"/>
      <c r="P74"/>
      <c r="Q74"/>
      <c r="R74"/>
      <c r="S74"/>
      <c r="T74"/>
      <c r="U74"/>
    </row>
    <row r="75" spans="15:21" ht="15" x14ac:dyDescent="0.25">
      <c r="O75"/>
      <c r="P75"/>
      <c r="Q75"/>
      <c r="R75"/>
      <c r="S75"/>
      <c r="T75"/>
      <c r="U75"/>
    </row>
    <row r="76" spans="15:21" ht="15" x14ac:dyDescent="0.25">
      <c r="O76"/>
      <c r="P76"/>
      <c r="Q76"/>
      <c r="R76"/>
      <c r="S76"/>
      <c r="T76"/>
      <c r="U76"/>
    </row>
    <row r="77" spans="15:21" ht="15" x14ac:dyDescent="0.25">
      <c r="O77"/>
      <c r="P77"/>
      <c r="Q77"/>
      <c r="R77"/>
      <c r="S77"/>
      <c r="T77"/>
      <c r="U77"/>
    </row>
    <row r="78" spans="15:21" ht="15" x14ac:dyDescent="0.25">
      <c r="O78"/>
      <c r="P78"/>
      <c r="Q78"/>
      <c r="R78"/>
      <c r="S78"/>
      <c r="T78"/>
      <c r="U78"/>
    </row>
    <row r="79" spans="15:21" ht="15" x14ac:dyDescent="0.25">
      <c r="O79"/>
      <c r="P79"/>
      <c r="Q79"/>
      <c r="R79"/>
      <c r="S79"/>
      <c r="T79"/>
      <c r="U79"/>
    </row>
    <row r="80" spans="15:21" ht="15" x14ac:dyDescent="0.25">
      <c r="O80"/>
      <c r="P80"/>
      <c r="Q80"/>
      <c r="R80"/>
      <c r="S80"/>
      <c r="T80"/>
      <c r="U80"/>
    </row>
    <row r="81" spans="15:21" ht="15" x14ac:dyDescent="0.25">
      <c r="O81"/>
      <c r="P81"/>
      <c r="Q81"/>
      <c r="R81"/>
      <c r="S81"/>
      <c r="T81"/>
      <c r="U81"/>
    </row>
    <row r="82" spans="15:21" ht="15" x14ac:dyDescent="0.25">
      <c r="O82"/>
      <c r="P82"/>
      <c r="Q82"/>
      <c r="R82"/>
      <c r="S82"/>
      <c r="T82"/>
      <c r="U82"/>
    </row>
    <row r="83" spans="15:21" ht="15" x14ac:dyDescent="0.25">
      <c r="O83"/>
      <c r="P83"/>
      <c r="Q83"/>
      <c r="R83"/>
      <c r="S83"/>
      <c r="T83"/>
      <c r="U83"/>
    </row>
    <row r="84" spans="15:21" ht="15" x14ac:dyDescent="0.25">
      <c r="O84"/>
      <c r="P84"/>
      <c r="Q84"/>
      <c r="R84"/>
      <c r="S84"/>
      <c r="T84"/>
      <c r="U84"/>
    </row>
    <row r="85" spans="15:21" ht="15" x14ac:dyDescent="0.25">
      <c r="O85"/>
      <c r="P85"/>
      <c r="Q85"/>
      <c r="R85"/>
      <c r="S85"/>
      <c r="T85"/>
      <c r="U85"/>
    </row>
    <row r="86" spans="15:21" ht="15" x14ac:dyDescent="0.25">
      <c r="O86"/>
      <c r="P86"/>
      <c r="Q86"/>
      <c r="R86"/>
      <c r="S86"/>
      <c r="T86"/>
      <c r="U86"/>
    </row>
    <row r="87" spans="15:21" ht="15" x14ac:dyDescent="0.25">
      <c r="O87"/>
      <c r="P87"/>
      <c r="Q87"/>
      <c r="R87"/>
      <c r="S87"/>
      <c r="T87"/>
      <c r="U87"/>
    </row>
    <row r="88" spans="15:21" ht="15" x14ac:dyDescent="0.25">
      <c r="O88"/>
      <c r="P88"/>
      <c r="Q88"/>
      <c r="R88"/>
      <c r="S88"/>
      <c r="T88"/>
      <c r="U88"/>
    </row>
    <row r="89" spans="15:21" ht="15" x14ac:dyDescent="0.25">
      <c r="O89"/>
      <c r="P89"/>
      <c r="Q89"/>
      <c r="R89"/>
      <c r="S89"/>
      <c r="T89"/>
      <c r="U89"/>
    </row>
    <row r="90" spans="15:21" ht="15" x14ac:dyDescent="0.25">
      <c r="O90"/>
      <c r="P90"/>
      <c r="Q90"/>
      <c r="R90"/>
      <c r="S90"/>
      <c r="T90"/>
      <c r="U90"/>
    </row>
    <row r="91" spans="15:21" ht="15" x14ac:dyDescent="0.25">
      <c r="O91"/>
      <c r="P91"/>
      <c r="Q91"/>
      <c r="R91"/>
      <c r="S91"/>
      <c r="T91"/>
      <c r="U91"/>
    </row>
    <row r="92" spans="15:21" ht="15" x14ac:dyDescent="0.25">
      <c r="O92"/>
      <c r="P92"/>
      <c r="Q92"/>
      <c r="R92"/>
      <c r="S92"/>
      <c r="T92"/>
      <c r="U92"/>
    </row>
    <row r="93" spans="15:21" ht="15" x14ac:dyDescent="0.25">
      <c r="O93"/>
      <c r="P93"/>
      <c r="Q93"/>
      <c r="R93"/>
      <c r="S93"/>
      <c r="T93"/>
      <c r="U93"/>
    </row>
    <row r="94" spans="15:21" ht="15" x14ac:dyDescent="0.25">
      <c r="O94"/>
      <c r="P94"/>
      <c r="Q94"/>
      <c r="R94"/>
      <c r="S94"/>
      <c r="T94"/>
      <c r="U94"/>
    </row>
    <row r="95" spans="15:21" ht="15" x14ac:dyDescent="0.25">
      <c r="O95"/>
      <c r="P95"/>
      <c r="Q95"/>
      <c r="R95"/>
      <c r="S95"/>
      <c r="T95"/>
      <c r="U95"/>
    </row>
    <row r="96" spans="15:21" ht="15" x14ac:dyDescent="0.25">
      <c r="O96"/>
      <c r="P96"/>
      <c r="Q96"/>
      <c r="R96"/>
      <c r="S96"/>
      <c r="T96"/>
      <c r="U96"/>
    </row>
    <row r="97" spans="15:21" ht="15" x14ac:dyDescent="0.25">
      <c r="O97"/>
      <c r="P97"/>
      <c r="Q97"/>
      <c r="R97"/>
      <c r="S97"/>
      <c r="T97"/>
      <c r="U97"/>
    </row>
    <row r="98" spans="15:21" ht="15" x14ac:dyDescent="0.25">
      <c r="O98"/>
      <c r="P98"/>
      <c r="Q98"/>
      <c r="R98"/>
      <c r="S98"/>
      <c r="T98"/>
      <c r="U98"/>
    </row>
    <row r="99" spans="15:21" ht="15" x14ac:dyDescent="0.25">
      <c r="O99"/>
      <c r="P99"/>
      <c r="Q99"/>
      <c r="R99"/>
      <c r="S99"/>
      <c r="T99"/>
      <c r="U99"/>
    </row>
    <row r="100" spans="15:21" ht="15" x14ac:dyDescent="0.25">
      <c r="O100"/>
      <c r="P100"/>
      <c r="Q100"/>
      <c r="R100"/>
      <c r="S100"/>
      <c r="T100"/>
      <c r="U100"/>
    </row>
    <row r="101" spans="15:21" ht="15" x14ac:dyDescent="0.25">
      <c r="O101"/>
      <c r="P101"/>
      <c r="Q101"/>
      <c r="R101"/>
      <c r="S101"/>
      <c r="T101"/>
      <c r="U101"/>
    </row>
    <row r="102" spans="15:21" ht="15" x14ac:dyDescent="0.25">
      <c r="O102"/>
      <c r="P102"/>
      <c r="Q102"/>
      <c r="R102"/>
      <c r="S102"/>
      <c r="T102"/>
      <c r="U102"/>
    </row>
    <row r="103" spans="15:21" ht="15" x14ac:dyDescent="0.25">
      <c r="O103"/>
      <c r="P103"/>
      <c r="Q103"/>
      <c r="R103"/>
      <c r="S103"/>
      <c r="T103"/>
      <c r="U103"/>
    </row>
    <row r="104" spans="15:21" ht="15" x14ac:dyDescent="0.25">
      <c r="O104"/>
      <c r="P104"/>
      <c r="Q104"/>
      <c r="R104"/>
      <c r="S104"/>
      <c r="T104"/>
      <c r="U104"/>
    </row>
    <row r="105" spans="15:21" ht="15" x14ac:dyDescent="0.25">
      <c r="O105"/>
      <c r="P105"/>
      <c r="Q105"/>
      <c r="R105"/>
      <c r="S105"/>
      <c r="T105"/>
      <c r="U105"/>
    </row>
    <row r="106" spans="15:21" ht="15" x14ac:dyDescent="0.25">
      <c r="O106"/>
      <c r="P106"/>
      <c r="Q106"/>
      <c r="R106"/>
      <c r="S106"/>
      <c r="T106"/>
      <c r="U106"/>
    </row>
    <row r="107" spans="15:21" ht="15" x14ac:dyDescent="0.25">
      <c r="O107"/>
      <c r="P107"/>
      <c r="Q107"/>
      <c r="R107"/>
      <c r="S107"/>
      <c r="T107"/>
      <c r="U107"/>
    </row>
    <row r="108" spans="15:21" ht="15" x14ac:dyDescent="0.25">
      <c r="O108"/>
      <c r="P108"/>
      <c r="Q108"/>
      <c r="R108"/>
      <c r="S108"/>
      <c r="T108"/>
      <c r="U108"/>
    </row>
    <row r="109" spans="15:21" ht="15" x14ac:dyDescent="0.25">
      <c r="O109"/>
      <c r="P109"/>
      <c r="Q109"/>
      <c r="R109"/>
      <c r="S109"/>
      <c r="T109"/>
      <c r="U109"/>
    </row>
    <row r="110" spans="15:21" ht="15" x14ac:dyDescent="0.25">
      <c r="O110"/>
      <c r="P110"/>
      <c r="Q110"/>
      <c r="R110"/>
      <c r="S110"/>
      <c r="T110"/>
      <c r="U110"/>
    </row>
    <row r="111" spans="15:21" ht="15" x14ac:dyDescent="0.25">
      <c r="O111"/>
      <c r="P111"/>
      <c r="Q111"/>
      <c r="R111"/>
      <c r="S111"/>
      <c r="T111"/>
      <c r="U111"/>
    </row>
    <row r="112" spans="15:21" ht="15" x14ac:dyDescent="0.25">
      <c r="O112"/>
      <c r="P112"/>
      <c r="Q112"/>
      <c r="R112"/>
      <c r="S112"/>
      <c r="T112"/>
      <c r="U112"/>
    </row>
    <row r="113" spans="15:21" ht="15" x14ac:dyDescent="0.25">
      <c r="O113"/>
      <c r="P113"/>
      <c r="Q113"/>
      <c r="R113"/>
      <c r="S113"/>
      <c r="T113"/>
      <c r="U113"/>
    </row>
    <row r="114" spans="15:21" ht="15" x14ac:dyDescent="0.25">
      <c r="O114"/>
      <c r="P114"/>
      <c r="Q114"/>
      <c r="R114"/>
      <c r="S114"/>
      <c r="T114"/>
      <c r="U114"/>
    </row>
    <row r="115" spans="15:21" ht="15" x14ac:dyDescent="0.25">
      <c r="O115"/>
      <c r="P115"/>
      <c r="Q115"/>
      <c r="R115"/>
      <c r="S115"/>
      <c r="T115"/>
      <c r="U115"/>
    </row>
    <row r="116" spans="15:21" ht="15" x14ac:dyDescent="0.25">
      <c r="O116"/>
      <c r="P116"/>
      <c r="Q116"/>
      <c r="R116"/>
      <c r="S116"/>
      <c r="T116"/>
      <c r="U116"/>
    </row>
    <row r="117" spans="15:21" ht="15" x14ac:dyDescent="0.25">
      <c r="O117"/>
      <c r="P117"/>
      <c r="Q117"/>
      <c r="R117"/>
      <c r="S117"/>
      <c r="T117"/>
      <c r="U117"/>
    </row>
    <row r="118" spans="15:21" ht="15" x14ac:dyDescent="0.25">
      <c r="O118"/>
      <c r="P118"/>
      <c r="Q118"/>
      <c r="R118"/>
      <c r="S118"/>
      <c r="T118"/>
      <c r="U118"/>
    </row>
    <row r="119" spans="15:21" ht="15" x14ac:dyDescent="0.25">
      <c r="O119"/>
      <c r="P119"/>
      <c r="Q119"/>
      <c r="R119"/>
      <c r="S119"/>
      <c r="T119"/>
      <c r="U119"/>
    </row>
    <row r="120" spans="15:21" ht="15" x14ac:dyDescent="0.25">
      <c r="O120"/>
      <c r="P120"/>
      <c r="Q120"/>
      <c r="R120"/>
      <c r="S120"/>
      <c r="T120"/>
      <c r="U120"/>
    </row>
    <row r="121" spans="15:21" ht="15" x14ac:dyDescent="0.25">
      <c r="O121"/>
      <c r="P121"/>
      <c r="Q121"/>
      <c r="R121"/>
      <c r="S121"/>
      <c r="T121"/>
      <c r="U121"/>
    </row>
    <row r="122" spans="15:21" ht="15" x14ac:dyDescent="0.25">
      <c r="O122"/>
      <c r="P122"/>
      <c r="Q122"/>
      <c r="R122"/>
      <c r="S122"/>
      <c r="T122"/>
      <c r="U122"/>
    </row>
    <row r="123" spans="15:21" ht="15" x14ac:dyDescent="0.25">
      <c r="O123"/>
      <c r="P123"/>
      <c r="Q123"/>
      <c r="R123"/>
      <c r="S123"/>
      <c r="T123"/>
      <c r="U123"/>
    </row>
    <row r="124" spans="15:21" ht="15" x14ac:dyDescent="0.25">
      <c r="O124"/>
      <c r="P124"/>
      <c r="Q124"/>
      <c r="R124"/>
      <c r="S124"/>
      <c r="T124"/>
      <c r="U124"/>
    </row>
    <row r="125" spans="15:21" ht="15" x14ac:dyDescent="0.25">
      <c r="O125"/>
      <c r="P125"/>
      <c r="Q125"/>
      <c r="R125"/>
      <c r="S125"/>
      <c r="T125"/>
      <c r="U125"/>
    </row>
    <row r="126" spans="15:21" ht="15" x14ac:dyDescent="0.25">
      <c r="O126"/>
      <c r="P126"/>
      <c r="Q126"/>
      <c r="R126"/>
      <c r="S126"/>
      <c r="T126"/>
      <c r="U126"/>
    </row>
    <row r="127" spans="15:21" ht="15" x14ac:dyDescent="0.25">
      <c r="O127"/>
      <c r="P127"/>
      <c r="Q127"/>
      <c r="R127"/>
      <c r="S127"/>
      <c r="T127"/>
      <c r="U127"/>
    </row>
    <row r="128" spans="15:21" ht="15" x14ac:dyDescent="0.25">
      <c r="O128"/>
      <c r="P128"/>
      <c r="Q128"/>
      <c r="R128"/>
      <c r="S128"/>
      <c r="T128"/>
      <c r="U128"/>
    </row>
    <row r="129" spans="15:21" ht="15" x14ac:dyDescent="0.25">
      <c r="O129"/>
      <c r="P129"/>
      <c r="Q129"/>
      <c r="R129"/>
      <c r="S129"/>
      <c r="T129"/>
      <c r="U129"/>
    </row>
    <row r="130" spans="15:21" ht="15" x14ac:dyDescent="0.25">
      <c r="O130"/>
      <c r="P130"/>
      <c r="Q130"/>
      <c r="R130"/>
      <c r="S130"/>
      <c r="T130"/>
      <c r="U130"/>
    </row>
    <row r="131" spans="15:21" ht="15" x14ac:dyDescent="0.25">
      <c r="O131"/>
      <c r="P131"/>
      <c r="Q131"/>
      <c r="R131"/>
      <c r="S131"/>
      <c r="T131"/>
      <c r="U131"/>
    </row>
    <row r="132" spans="15:21" ht="15" x14ac:dyDescent="0.25">
      <c r="O132"/>
      <c r="P132"/>
      <c r="Q132"/>
      <c r="R132"/>
      <c r="S132"/>
      <c r="T132"/>
      <c r="U132"/>
    </row>
    <row r="133" spans="15:21" ht="15" x14ac:dyDescent="0.25">
      <c r="O133"/>
      <c r="P133"/>
      <c r="Q133"/>
      <c r="R133"/>
      <c r="S133"/>
      <c r="T133"/>
      <c r="U133"/>
    </row>
    <row r="134" spans="15:21" ht="15" x14ac:dyDescent="0.25">
      <c r="O134"/>
      <c r="P134"/>
      <c r="Q134"/>
      <c r="R134"/>
      <c r="S134"/>
      <c r="T134"/>
      <c r="U134"/>
    </row>
    <row r="135" spans="15:21" ht="15" x14ac:dyDescent="0.25">
      <c r="O135"/>
      <c r="P135"/>
      <c r="Q135"/>
      <c r="R135"/>
      <c r="S135"/>
      <c r="T135"/>
      <c r="U135"/>
    </row>
    <row r="136" spans="15:21" ht="15" x14ac:dyDescent="0.25">
      <c r="O136"/>
      <c r="P136"/>
      <c r="Q136"/>
      <c r="R136"/>
      <c r="S136"/>
      <c r="T136"/>
      <c r="U136"/>
    </row>
    <row r="137" spans="15:21" ht="15" x14ac:dyDescent="0.25">
      <c r="O137"/>
      <c r="P137"/>
      <c r="Q137"/>
      <c r="R137"/>
      <c r="S137"/>
      <c r="T137"/>
      <c r="U137"/>
    </row>
    <row r="138" spans="15:21" ht="15" x14ac:dyDescent="0.25">
      <c r="O138"/>
      <c r="P138"/>
      <c r="Q138"/>
      <c r="R138"/>
      <c r="S138"/>
      <c r="T138"/>
      <c r="U138"/>
    </row>
    <row r="139" spans="15:21" ht="15" x14ac:dyDescent="0.25">
      <c r="O139"/>
      <c r="P139"/>
      <c r="Q139"/>
      <c r="R139"/>
      <c r="S139"/>
      <c r="T139"/>
      <c r="U139"/>
    </row>
    <row r="140" spans="15:21" ht="15" x14ac:dyDescent="0.25">
      <c r="O140"/>
      <c r="P140"/>
      <c r="Q140"/>
      <c r="R140"/>
      <c r="S140"/>
      <c r="T140"/>
      <c r="U140"/>
    </row>
    <row r="141" spans="15:21" ht="15" x14ac:dyDescent="0.25">
      <c r="O141"/>
      <c r="P141"/>
      <c r="Q141"/>
      <c r="R141"/>
      <c r="S141"/>
      <c r="T141"/>
      <c r="U141"/>
    </row>
    <row r="142" spans="15:21" ht="15" x14ac:dyDescent="0.25">
      <c r="O142"/>
      <c r="P142"/>
      <c r="Q142"/>
      <c r="R142"/>
      <c r="S142"/>
      <c r="T142"/>
      <c r="U142"/>
    </row>
    <row r="143" spans="15:21" ht="15" x14ac:dyDescent="0.25">
      <c r="O143"/>
      <c r="P143"/>
      <c r="Q143"/>
      <c r="R143"/>
      <c r="S143"/>
      <c r="T143"/>
      <c r="U143"/>
    </row>
    <row r="144" spans="15:21" ht="15" x14ac:dyDescent="0.25">
      <c r="O144"/>
      <c r="P144"/>
      <c r="Q144"/>
      <c r="R144"/>
      <c r="S144"/>
      <c r="T144"/>
      <c r="U144"/>
    </row>
    <row r="145" spans="15:21" ht="15" x14ac:dyDescent="0.25">
      <c r="O145"/>
      <c r="P145"/>
      <c r="Q145"/>
      <c r="R145"/>
      <c r="S145"/>
      <c r="T145"/>
      <c r="U145"/>
    </row>
    <row r="146" spans="15:21" ht="15" x14ac:dyDescent="0.25">
      <c r="O146"/>
      <c r="P146"/>
      <c r="Q146"/>
      <c r="R146"/>
      <c r="S146"/>
      <c r="T146"/>
      <c r="U146"/>
    </row>
    <row r="147" spans="15:21" ht="15" x14ac:dyDescent="0.25">
      <c r="O147"/>
      <c r="P147"/>
      <c r="Q147"/>
      <c r="R147"/>
      <c r="S147"/>
      <c r="T147"/>
      <c r="U147"/>
    </row>
    <row r="148" spans="15:21" ht="15" x14ac:dyDescent="0.25">
      <c r="O148"/>
      <c r="P148"/>
      <c r="Q148"/>
      <c r="R148"/>
      <c r="S148"/>
      <c r="T148"/>
      <c r="U148"/>
    </row>
    <row r="149" spans="15:21" ht="15" x14ac:dyDescent="0.25">
      <c r="O149"/>
      <c r="P149"/>
      <c r="Q149"/>
      <c r="R149"/>
      <c r="S149"/>
      <c r="T149"/>
      <c r="U149"/>
    </row>
    <row r="150" spans="15:21" ht="15" x14ac:dyDescent="0.25">
      <c r="O150"/>
      <c r="P150"/>
      <c r="Q150"/>
      <c r="R150"/>
      <c r="S150"/>
      <c r="T150"/>
      <c r="U150"/>
    </row>
    <row r="151" spans="15:21" ht="15" x14ac:dyDescent="0.25">
      <c r="O151"/>
      <c r="P151"/>
      <c r="Q151"/>
      <c r="R151"/>
      <c r="S151"/>
      <c r="T151"/>
      <c r="U151"/>
    </row>
    <row r="152" spans="15:21" ht="15" x14ac:dyDescent="0.25">
      <c r="O152"/>
      <c r="P152"/>
      <c r="Q152"/>
      <c r="R152"/>
      <c r="S152"/>
      <c r="T152"/>
      <c r="U152"/>
    </row>
    <row r="153" spans="15:21" ht="15" x14ac:dyDescent="0.25">
      <c r="O153"/>
      <c r="P153"/>
      <c r="Q153"/>
      <c r="R153"/>
      <c r="S153"/>
      <c r="T153"/>
      <c r="U153"/>
    </row>
    <row r="154" spans="15:21" ht="15" x14ac:dyDescent="0.25">
      <c r="O154"/>
      <c r="P154"/>
      <c r="Q154"/>
      <c r="R154"/>
      <c r="S154"/>
      <c r="T154"/>
      <c r="U154"/>
    </row>
    <row r="155" spans="15:21" ht="15" x14ac:dyDescent="0.25">
      <c r="O155"/>
      <c r="P155"/>
      <c r="Q155"/>
      <c r="R155"/>
      <c r="S155"/>
      <c r="T155"/>
      <c r="U155"/>
    </row>
    <row r="156" spans="15:21" ht="15" x14ac:dyDescent="0.25">
      <c r="O156"/>
      <c r="P156"/>
      <c r="Q156"/>
      <c r="R156"/>
      <c r="S156"/>
      <c r="T156"/>
      <c r="U156"/>
    </row>
    <row r="157" spans="15:21" ht="15" x14ac:dyDescent="0.25">
      <c r="O157"/>
      <c r="P157"/>
      <c r="Q157"/>
      <c r="R157"/>
      <c r="S157"/>
      <c r="T157"/>
      <c r="U157"/>
    </row>
    <row r="158" spans="15:21" ht="15" x14ac:dyDescent="0.25">
      <c r="O158"/>
      <c r="P158"/>
      <c r="Q158"/>
      <c r="R158"/>
      <c r="S158"/>
      <c r="T158"/>
      <c r="U158"/>
    </row>
    <row r="159" spans="15:21" ht="15" x14ac:dyDescent="0.25">
      <c r="O159"/>
      <c r="P159"/>
      <c r="Q159"/>
      <c r="R159"/>
      <c r="S159"/>
      <c r="T159"/>
      <c r="U159"/>
    </row>
    <row r="160" spans="15:21" ht="15" x14ac:dyDescent="0.25">
      <c r="O160"/>
      <c r="P160"/>
      <c r="Q160"/>
      <c r="R160"/>
      <c r="S160"/>
      <c r="T160"/>
      <c r="U160"/>
    </row>
    <row r="161" spans="15:21" ht="15" x14ac:dyDescent="0.25">
      <c r="O161"/>
      <c r="P161"/>
      <c r="Q161"/>
      <c r="R161"/>
      <c r="S161"/>
      <c r="T161"/>
      <c r="U161"/>
    </row>
    <row r="162" spans="15:21" ht="15" x14ac:dyDescent="0.25">
      <c r="O162"/>
      <c r="P162"/>
      <c r="Q162"/>
      <c r="R162"/>
      <c r="S162"/>
      <c r="T162"/>
      <c r="U162"/>
    </row>
    <row r="163" spans="15:21" ht="15" x14ac:dyDescent="0.25">
      <c r="O163"/>
      <c r="P163"/>
      <c r="Q163"/>
      <c r="R163"/>
      <c r="S163"/>
      <c r="T163"/>
      <c r="U163"/>
    </row>
    <row r="164" spans="15:21" ht="15" x14ac:dyDescent="0.25">
      <c r="O164"/>
      <c r="P164"/>
      <c r="Q164"/>
      <c r="R164"/>
      <c r="S164"/>
      <c r="T164"/>
      <c r="U164"/>
    </row>
    <row r="165" spans="15:21" ht="15" x14ac:dyDescent="0.25">
      <c r="O165"/>
      <c r="P165"/>
      <c r="Q165"/>
      <c r="R165"/>
      <c r="S165"/>
      <c r="T165"/>
      <c r="U165"/>
    </row>
    <row r="166" spans="15:21" ht="15" x14ac:dyDescent="0.25">
      <c r="O166"/>
      <c r="P166"/>
      <c r="Q166"/>
      <c r="R166"/>
      <c r="S166"/>
      <c r="T166"/>
      <c r="U166"/>
    </row>
    <row r="167" spans="15:21" ht="15" x14ac:dyDescent="0.25">
      <c r="O167"/>
      <c r="P167"/>
      <c r="Q167"/>
      <c r="R167"/>
      <c r="S167"/>
      <c r="T167"/>
      <c r="U167"/>
    </row>
    <row r="168" spans="15:21" ht="15" x14ac:dyDescent="0.25">
      <c r="O168"/>
      <c r="P168"/>
      <c r="Q168"/>
      <c r="R168"/>
      <c r="S168"/>
      <c r="T168"/>
      <c r="U168"/>
    </row>
    <row r="169" spans="15:21" ht="15" x14ac:dyDescent="0.25">
      <c r="O169"/>
      <c r="P169"/>
      <c r="Q169"/>
      <c r="R169"/>
      <c r="S169"/>
      <c r="T169"/>
      <c r="U169"/>
    </row>
    <row r="170" spans="15:21" ht="15" x14ac:dyDescent="0.25">
      <c r="O170"/>
      <c r="P170"/>
      <c r="Q170"/>
      <c r="R170"/>
      <c r="S170"/>
      <c r="T170"/>
      <c r="U170"/>
    </row>
    <row r="171" spans="15:21" ht="15" x14ac:dyDescent="0.25">
      <c r="O171"/>
      <c r="P171"/>
      <c r="Q171"/>
      <c r="R171"/>
      <c r="S171"/>
      <c r="T171"/>
      <c r="U171"/>
    </row>
    <row r="172" spans="15:21" ht="15" x14ac:dyDescent="0.25">
      <c r="O172"/>
      <c r="P172"/>
      <c r="Q172"/>
      <c r="R172"/>
      <c r="S172"/>
      <c r="T172"/>
      <c r="U172"/>
    </row>
    <row r="173" spans="15:21" ht="15" x14ac:dyDescent="0.25">
      <c r="O173"/>
      <c r="P173"/>
      <c r="Q173"/>
      <c r="R173"/>
      <c r="S173"/>
      <c r="T173"/>
      <c r="U173"/>
    </row>
    <row r="174" spans="15:21" ht="15" x14ac:dyDescent="0.25">
      <c r="O174"/>
      <c r="P174"/>
      <c r="Q174"/>
      <c r="R174"/>
      <c r="S174"/>
      <c r="T174"/>
      <c r="U174"/>
    </row>
    <row r="175" spans="15:21" ht="15" x14ac:dyDescent="0.25">
      <c r="O175"/>
      <c r="P175"/>
      <c r="Q175"/>
      <c r="R175"/>
      <c r="S175"/>
      <c r="T175"/>
      <c r="U175"/>
    </row>
    <row r="176" spans="15:21" ht="15" x14ac:dyDescent="0.25">
      <c r="O176"/>
      <c r="P176"/>
      <c r="Q176"/>
      <c r="R176"/>
      <c r="S176"/>
      <c r="T176"/>
      <c r="U176"/>
    </row>
    <row r="177" spans="15:21" ht="15" x14ac:dyDescent="0.25">
      <c r="O177"/>
      <c r="P177"/>
      <c r="Q177"/>
      <c r="R177"/>
      <c r="S177"/>
      <c r="T177"/>
      <c r="U177"/>
    </row>
    <row r="178" spans="15:21" ht="15" x14ac:dyDescent="0.25">
      <c r="O178"/>
      <c r="P178"/>
      <c r="Q178"/>
      <c r="R178"/>
      <c r="S178"/>
      <c r="T178"/>
      <c r="U178"/>
    </row>
    <row r="179" spans="15:21" ht="15" x14ac:dyDescent="0.25">
      <c r="O179"/>
      <c r="P179"/>
      <c r="Q179"/>
      <c r="R179"/>
      <c r="S179"/>
      <c r="T179"/>
      <c r="U179"/>
    </row>
    <row r="180" spans="15:21" ht="15" x14ac:dyDescent="0.25">
      <c r="O180"/>
      <c r="P180"/>
      <c r="Q180"/>
      <c r="R180"/>
      <c r="S180"/>
      <c r="T180"/>
      <c r="U180"/>
    </row>
    <row r="181" spans="15:21" ht="15" x14ac:dyDescent="0.25">
      <c r="O181"/>
      <c r="P181"/>
      <c r="Q181"/>
      <c r="R181"/>
      <c r="S181"/>
      <c r="T181"/>
      <c r="U181"/>
    </row>
    <row r="182" spans="15:21" ht="15" x14ac:dyDescent="0.25">
      <c r="O182"/>
      <c r="P182"/>
      <c r="Q182"/>
      <c r="R182"/>
      <c r="S182"/>
      <c r="T182"/>
      <c r="U182"/>
    </row>
    <row r="183" spans="15:21" ht="15" x14ac:dyDescent="0.25">
      <c r="O183"/>
      <c r="P183"/>
      <c r="Q183"/>
      <c r="R183"/>
      <c r="S183"/>
      <c r="T183"/>
      <c r="U183"/>
    </row>
    <row r="184" spans="15:21" ht="15" x14ac:dyDescent="0.25">
      <c r="O184"/>
      <c r="P184"/>
      <c r="Q184"/>
      <c r="R184"/>
      <c r="S184"/>
      <c r="T184"/>
      <c r="U184"/>
    </row>
    <row r="185" spans="15:21" ht="15" x14ac:dyDescent="0.25">
      <c r="O185"/>
      <c r="P185"/>
      <c r="Q185"/>
      <c r="R185"/>
      <c r="S185"/>
      <c r="T185"/>
      <c r="U185"/>
    </row>
    <row r="186" spans="15:21" ht="15" x14ac:dyDescent="0.25">
      <c r="O186"/>
      <c r="P186"/>
      <c r="Q186"/>
      <c r="R186"/>
      <c r="S186"/>
      <c r="T186"/>
      <c r="U186"/>
    </row>
    <row r="187" spans="15:21" ht="15" x14ac:dyDescent="0.25">
      <c r="O187"/>
      <c r="P187"/>
      <c r="Q187"/>
      <c r="R187"/>
      <c r="S187"/>
      <c r="T187"/>
      <c r="U187"/>
    </row>
    <row r="188" spans="15:21" ht="15" x14ac:dyDescent="0.25">
      <c r="O188"/>
      <c r="P188"/>
      <c r="Q188"/>
      <c r="R188"/>
      <c r="S188"/>
      <c r="T188"/>
      <c r="U188"/>
    </row>
    <row r="189" spans="15:21" ht="15" x14ac:dyDescent="0.25">
      <c r="O189"/>
      <c r="P189"/>
      <c r="Q189"/>
      <c r="R189"/>
      <c r="S189"/>
      <c r="T189"/>
      <c r="U189"/>
    </row>
    <row r="190" spans="15:21" ht="15" x14ac:dyDescent="0.25">
      <c r="O190"/>
      <c r="P190"/>
      <c r="Q190"/>
      <c r="R190"/>
      <c r="S190"/>
      <c r="T190"/>
      <c r="U190"/>
    </row>
    <row r="191" spans="15:21" ht="15" x14ac:dyDescent="0.25">
      <c r="O191"/>
      <c r="P191"/>
      <c r="Q191"/>
      <c r="R191"/>
      <c r="S191"/>
      <c r="T191"/>
      <c r="U191"/>
    </row>
    <row r="192" spans="15:21" ht="15" x14ac:dyDescent="0.25">
      <c r="O192"/>
      <c r="P192"/>
      <c r="Q192"/>
      <c r="R192"/>
      <c r="S192"/>
      <c r="T192"/>
      <c r="U192"/>
    </row>
    <row r="193" spans="15:21" ht="15" x14ac:dyDescent="0.25">
      <c r="O193"/>
      <c r="P193"/>
      <c r="Q193"/>
      <c r="R193"/>
      <c r="S193"/>
      <c r="T193"/>
      <c r="U193"/>
    </row>
    <row r="194" spans="15:21" ht="15" x14ac:dyDescent="0.25">
      <c r="O194"/>
      <c r="P194"/>
      <c r="Q194"/>
      <c r="R194"/>
      <c r="S194"/>
      <c r="T194"/>
      <c r="U194"/>
    </row>
    <row r="195" spans="15:21" ht="15" x14ac:dyDescent="0.25">
      <c r="O195"/>
      <c r="P195"/>
      <c r="Q195"/>
      <c r="R195"/>
      <c r="S195"/>
      <c r="T195"/>
      <c r="U195"/>
    </row>
    <row r="196" spans="15:21" ht="15" x14ac:dyDescent="0.25">
      <c r="O196"/>
      <c r="P196"/>
      <c r="Q196"/>
      <c r="R196"/>
      <c r="S196"/>
      <c r="T196"/>
      <c r="U196"/>
    </row>
    <row r="197" spans="15:21" ht="15" x14ac:dyDescent="0.25">
      <c r="O197"/>
      <c r="P197"/>
      <c r="Q197"/>
      <c r="R197"/>
      <c r="S197"/>
      <c r="T197"/>
      <c r="U197"/>
    </row>
    <row r="198" spans="15:21" ht="15" x14ac:dyDescent="0.25">
      <c r="O198"/>
      <c r="P198"/>
      <c r="Q198"/>
      <c r="R198"/>
      <c r="S198"/>
      <c r="T198"/>
      <c r="U198"/>
    </row>
    <row r="199" spans="15:21" ht="15" x14ac:dyDescent="0.25">
      <c r="O199"/>
      <c r="P199"/>
      <c r="Q199"/>
      <c r="R199"/>
      <c r="S199"/>
      <c r="T199"/>
      <c r="U199"/>
    </row>
    <row r="200" spans="15:21" ht="15" x14ac:dyDescent="0.25">
      <c r="O200"/>
      <c r="P200"/>
      <c r="Q200"/>
      <c r="R200"/>
      <c r="S200"/>
      <c r="T200"/>
      <c r="U200"/>
    </row>
    <row r="201" spans="15:21" ht="15" x14ac:dyDescent="0.25">
      <c r="O201"/>
      <c r="P201"/>
      <c r="Q201"/>
      <c r="R201"/>
      <c r="S201"/>
      <c r="T201"/>
      <c r="U201"/>
    </row>
    <row r="202" spans="15:21" ht="15" x14ac:dyDescent="0.25">
      <c r="O202"/>
      <c r="P202"/>
      <c r="Q202"/>
      <c r="R202"/>
      <c r="S202"/>
      <c r="T202"/>
      <c r="U202"/>
    </row>
    <row r="203" spans="15:21" ht="15" x14ac:dyDescent="0.25">
      <c r="O203"/>
      <c r="P203"/>
      <c r="Q203"/>
      <c r="R203"/>
      <c r="S203"/>
      <c r="T203"/>
      <c r="U203"/>
    </row>
    <row r="204" spans="15:21" ht="15" x14ac:dyDescent="0.25">
      <c r="O204"/>
      <c r="P204"/>
      <c r="Q204"/>
      <c r="R204"/>
      <c r="S204"/>
      <c r="T204"/>
      <c r="U204"/>
    </row>
    <row r="205" spans="15:21" ht="15" x14ac:dyDescent="0.25">
      <c r="O205"/>
      <c r="P205"/>
      <c r="Q205"/>
      <c r="R205"/>
      <c r="S205"/>
      <c r="T205"/>
      <c r="U205"/>
    </row>
    <row r="206" spans="15:21" ht="15" x14ac:dyDescent="0.25">
      <c r="O206"/>
      <c r="P206"/>
      <c r="Q206"/>
      <c r="R206"/>
      <c r="S206"/>
      <c r="T206"/>
      <c r="U206"/>
    </row>
    <row r="207" spans="15:21" ht="15" x14ac:dyDescent="0.25">
      <c r="O207"/>
      <c r="P207"/>
      <c r="Q207"/>
      <c r="R207"/>
      <c r="S207"/>
      <c r="T207"/>
      <c r="U207"/>
    </row>
    <row r="208" spans="15:21" ht="15" x14ac:dyDescent="0.25">
      <c r="O208"/>
      <c r="P208"/>
      <c r="Q208"/>
      <c r="R208"/>
      <c r="S208"/>
      <c r="T208"/>
      <c r="U208"/>
    </row>
    <row r="209" spans="15:21" ht="15" x14ac:dyDescent="0.25">
      <c r="O209"/>
      <c r="P209"/>
      <c r="Q209"/>
      <c r="R209"/>
      <c r="S209"/>
      <c r="T209"/>
      <c r="U209"/>
    </row>
    <row r="210" spans="15:21" ht="15" x14ac:dyDescent="0.25">
      <c r="O210"/>
      <c r="P210"/>
      <c r="Q210"/>
      <c r="R210"/>
      <c r="S210"/>
      <c r="T210"/>
      <c r="U210"/>
    </row>
    <row r="211" spans="15:21" ht="15" x14ac:dyDescent="0.25">
      <c r="O211"/>
      <c r="P211"/>
      <c r="Q211"/>
      <c r="R211"/>
      <c r="S211"/>
      <c r="T211"/>
      <c r="U211"/>
    </row>
    <row r="212" spans="15:21" ht="15" x14ac:dyDescent="0.25">
      <c r="O212"/>
      <c r="P212"/>
      <c r="Q212"/>
      <c r="R212"/>
      <c r="S212"/>
      <c r="T212"/>
      <c r="U212"/>
    </row>
    <row r="213" spans="15:21" ht="15" x14ac:dyDescent="0.25">
      <c r="O213"/>
      <c r="P213"/>
      <c r="Q213"/>
      <c r="R213"/>
      <c r="S213"/>
      <c r="T213"/>
      <c r="U213"/>
    </row>
    <row r="214" spans="15:21" ht="15" x14ac:dyDescent="0.25">
      <c r="O214"/>
      <c r="P214"/>
      <c r="Q214"/>
      <c r="R214"/>
      <c r="S214"/>
      <c r="T214"/>
      <c r="U214"/>
    </row>
    <row r="215" spans="15:21" ht="15" x14ac:dyDescent="0.25">
      <c r="O215"/>
      <c r="P215"/>
      <c r="Q215"/>
      <c r="R215"/>
      <c r="S215"/>
      <c r="T215"/>
      <c r="U215"/>
    </row>
    <row r="216" spans="15:21" ht="15" x14ac:dyDescent="0.25">
      <c r="O216"/>
      <c r="P216"/>
      <c r="Q216"/>
      <c r="R216"/>
      <c r="S216"/>
      <c r="T216"/>
      <c r="U216"/>
    </row>
    <row r="217" spans="15:21" ht="15" x14ac:dyDescent="0.25">
      <c r="O217"/>
      <c r="P217"/>
      <c r="Q217"/>
      <c r="R217"/>
      <c r="S217"/>
      <c r="T217"/>
      <c r="U217"/>
    </row>
    <row r="218" spans="15:21" ht="15" x14ac:dyDescent="0.25">
      <c r="O218"/>
      <c r="P218"/>
      <c r="Q218"/>
      <c r="R218"/>
      <c r="S218"/>
      <c r="T218"/>
      <c r="U218"/>
    </row>
    <row r="219" spans="15:21" ht="15" x14ac:dyDescent="0.25">
      <c r="O219"/>
      <c r="P219"/>
      <c r="Q219"/>
      <c r="R219"/>
      <c r="S219"/>
      <c r="T219"/>
      <c r="U219"/>
    </row>
    <row r="220" spans="15:21" ht="15" x14ac:dyDescent="0.25">
      <c r="O220"/>
      <c r="P220"/>
      <c r="Q220"/>
      <c r="R220"/>
      <c r="S220"/>
      <c r="T220"/>
      <c r="U220"/>
    </row>
    <row r="221" spans="15:21" ht="15" x14ac:dyDescent="0.25">
      <c r="O221"/>
      <c r="P221"/>
      <c r="Q221"/>
      <c r="R221"/>
      <c r="S221"/>
      <c r="T221"/>
      <c r="U221"/>
    </row>
    <row r="222" spans="15:21" ht="15" x14ac:dyDescent="0.25">
      <c r="O222"/>
      <c r="P222"/>
      <c r="Q222"/>
      <c r="R222"/>
      <c r="S222"/>
      <c r="T222"/>
      <c r="U222"/>
    </row>
    <row r="223" spans="15:21" ht="15" x14ac:dyDescent="0.25">
      <c r="O223"/>
      <c r="P223"/>
      <c r="Q223"/>
      <c r="R223"/>
      <c r="S223"/>
      <c r="T223"/>
      <c r="U223"/>
    </row>
    <row r="224" spans="15:21" ht="15" x14ac:dyDescent="0.25">
      <c r="O224"/>
      <c r="P224"/>
      <c r="Q224"/>
      <c r="R224"/>
      <c r="S224"/>
      <c r="T224"/>
      <c r="U224"/>
    </row>
    <row r="225" spans="15:21" ht="15" x14ac:dyDescent="0.25">
      <c r="O225"/>
      <c r="P225"/>
      <c r="Q225"/>
      <c r="R225"/>
      <c r="S225"/>
      <c r="T225"/>
      <c r="U225"/>
    </row>
    <row r="226" spans="15:21" ht="15" x14ac:dyDescent="0.25">
      <c r="O226"/>
      <c r="P226"/>
      <c r="Q226"/>
      <c r="R226"/>
      <c r="S226"/>
      <c r="T226"/>
      <c r="U226"/>
    </row>
    <row r="227" spans="15:21" ht="15" x14ac:dyDescent="0.25">
      <c r="O227"/>
      <c r="P227"/>
      <c r="Q227"/>
      <c r="R227"/>
      <c r="S227"/>
      <c r="T227"/>
      <c r="U227"/>
    </row>
    <row r="228" spans="15:21" ht="15" x14ac:dyDescent="0.25">
      <c r="O228"/>
      <c r="P228"/>
      <c r="Q228"/>
      <c r="R228"/>
      <c r="S228"/>
      <c r="T228"/>
      <c r="U228"/>
    </row>
    <row r="229" spans="15:21" ht="15" x14ac:dyDescent="0.25">
      <c r="O229"/>
      <c r="P229"/>
      <c r="Q229"/>
      <c r="R229"/>
      <c r="S229"/>
      <c r="T229"/>
      <c r="U229"/>
    </row>
    <row r="230" spans="15:21" ht="15" x14ac:dyDescent="0.25">
      <c r="O230"/>
      <c r="P230"/>
      <c r="Q230"/>
      <c r="R230"/>
      <c r="S230"/>
      <c r="T230"/>
      <c r="U230"/>
    </row>
    <row r="231" spans="15:21" ht="15" x14ac:dyDescent="0.25">
      <c r="O231"/>
      <c r="P231"/>
      <c r="Q231"/>
      <c r="R231"/>
      <c r="S231"/>
      <c r="T231"/>
      <c r="U231"/>
    </row>
    <row r="232" spans="15:21" ht="15" x14ac:dyDescent="0.25">
      <c r="O232"/>
      <c r="P232"/>
      <c r="Q232"/>
      <c r="R232"/>
      <c r="S232"/>
      <c r="T232"/>
      <c r="U232"/>
    </row>
    <row r="233" spans="15:21" ht="15" x14ac:dyDescent="0.25">
      <c r="O233"/>
      <c r="P233"/>
      <c r="Q233"/>
      <c r="R233"/>
      <c r="S233"/>
      <c r="T233"/>
      <c r="U233"/>
    </row>
    <row r="234" spans="15:21" ht="15" x14ac:dyDescent="0.25">
      <c r="O234"/>
      <c r="P234"/>
      <c r="Q234"/>
      <c r="R234"/>
      <c r="S234"/>
      <c r="T234"/>
      <c r="U234"/>
    </row>
    <row r="235" spans="15:21" ht="15" x14ac:dyDescent="0.25">
      <c r="O235"/>
      <c r="P235"/>
      <c r="Q235"/>
      <c r="R235"/>
      <c r="S235"/>
      <c r="T235"/>
      <c r="U235"/>
    </row>
    <row r="236" spans="15:21" ht="15" x14ac:dyDescent="0.25">
      <c r="O236"/>
      <c r="P236"/>
      <c r="Q236"/>
      <c r="R236"/>
      <c r="S236"/>
      <c r="T236"/>
      <c r="U236"/>
    </row>
    <row r="237" spans="15:21" ht="15" x14ac:dyDescent="0.25">
      <c r="O237"/>
      <c r="P237"/>
      <c r="Q237"/>
      <c r="R237"/>
      <c r="S237"/>
      <c r="T237"/>
      <c r="U237"/>
    </row>
    <row r="238" spans="15:21" ht="15" x14ac:dyDescent="0.25">
      <c r="O238"/>
      <c r="P238"/>
      <c r="Q238"/>
      <c r="R238"/>
      <c r="S238"/>
      <c r="T238"/>
      <c r="U238"/>
    </row>
    <row r="239" spans="15:21" ht="15" x14ac:dyDescent="0.25">
      <c r="O239"/>
      <c r="P239"/>
      <c r="Q239"/>
      <c r="R239"/>
      <c r="S239"/>
      <c r="T239"/>
      <c r="U239"/>
    </row>
    <row r="240" spans="15:21" ht="15" x14ac:dyDescent="0.25">
      <c r="O240"/>
      <c r="P240"/>
      <c r="Q240"/>
      <c r="R240"/>
      <c r="S240"/>
      <c r="T240"/>
      <c r="U240"/>
    </row>
    <row r="241" spans="15:21" ht="15" x14ac:dyDescent="0.25">
      <c r="O241"/>
      <c r="P241"/>
      <c r="Q241"/>
      <c r="R241"/>
      <c r="S241"/>
      <c r="T241"/>
      <c r="U241"/>
    </row>
    <row r="242" spans="15:21" ht="15" x14ac:dyDescent="0.25">
      <c r="O242"/>
      <c r="P242"/>
      <c r="Q242"/>
      <c r="R242"/>
      <c r="S242"/>
      <c r="T242"/>
      <c r="U242"/>
    </row>
    <row r="243" spans="15:21" ht="15" x14ac:dyDescent="0.25">
      <c r="O243"/>
      <c r="P243"/>
      <c r="Q243"/>
      <c r="R243"/>
      <c r="S243"/>
      <c r="T243"/>
      <c r="U243"/>
    </row>
    <row r="244" spans="15:21" ht="15" x14ac:dyDescent="0.25">
      <c r="O244"/>
      <c r="P244"/>
      <c r="Q244"/>
      <c r="R244"/>
      <c r="S244"/>
      <c r="T244"/>
      <c r="U244"/>
    </row>
    <row r="245" spans="15:21" ht="15" x14ac:dyDescent="0.25">
      <c r="O245"/>
      <c r="P245"/>
      <c r="Q245"/>
      <c r="R245"/>
      <c r="S245"/>
      <c r="T245"/>
      <c r="U245"/>
    </row>
    <row r="246" spans="15:21" ht="15" x14ac:dyDescent="0.25">
      <c r="O246"/>
      <c r="P246"/>
      <c r="Q246"/>
      <c r="R246"/>
      <c r="S246"/>
      <c r="T246"/>
      <c r="U246"/>
    </row>
    <row r="247" spans="15:21" ht="15" x14ac:dyDescent="0.25">
      <c r="O247"/>
      <c r="P247"/>
      <c r="Q247"/>
      <c r="R247"/>
      <c r="S247"/>
      <c r="T247"/>
      <c r="U247"/>
    </row>
    <row r="248" spans="15:21" ht="15" x14ac:dyDescent="0.25">
      <c r="O248"/>
      <c r="P248"/>
      <c r="Q248"/>
      <c r="R248"/>
      <c r="S248"/>
      <c r="T248"/>
      <c r="U248"/>
    </row>
    <row r="249" spans="15:21" ht="15" x14ac:dyDescent="0.25">
      <c r="O249"/>
      <c r="P249"/>
      <c r="Q249"/>
      <c r="R249"/>
      <c r="S249"/>
      <c r="T249"/>
      <c r="U249"/>
    </row>
    <row r="250" spans="15:21" ht="15" x14ac:dyDescent="0.25">
      <c r="O250"/>
      <c r="P250"/>
      <c r="Q250"/>
      <c r="R250"/>
      <c r="S250"/>
      <c r="T250"/>
      <c r="U250"/>
    </row>
    <row r="251" spans="15:21" ht="15" x14ac:dyDescent="0.25">
      <c r="O251"/>
      <c r="P251"/>
      <c r="Q251"/>
      <c r="R251"/>
      <c r="S251"/>
      <c r="T251"/>
      <c r="U251"/>
    </row>
    <row r="252" spans="15:21" ht="15" x14ac:dyDescent="0.25">
      <c r="O252"/>
      <c r="P252"/>
      <c r="Q252"/>
      <c r="R252"/>
      <c r="S252"/>
      <c r="T252"/>
      <c r="U252"/>
    </row>
    <row r="253" spans="15:21" ht="15" x14ac:dyDescent="0.25">
      <c r="O253"/>
      <c r="P253"/>
      <c r="Q253"/>
      <c r="R253"/>
      <c r="S253"/>
      <c r="T253"/>
      <c r="U253"/>
    </row>
    <row r="254" spans="15:21" ht="15" x14ac:dyDescent="0.25">
      <c r="O254"/>
      <c r="P254"/>
      <c r="Q254"/>
      <c r="R254"/>
      <c r="S254"/>
      <c r="T254"/>
      <c r="U254"/>
    </row>
    <row r="255" spans="15:21" ht="15" x14ac:dyDescent="0.25">
      <c r="O255"/>
      <c r="P255"/>
      <c r="Q255"/>
      <c r="R255"/>
      <c r="S255"/>
      <c r="T255"/>
      <c r="U255"/>
    </row>
    <row r="256" spans="15:21" ht="15" x14ac:dyDescent="0.25">
      <c r="O256"/>
      <c r="P256"/>
      <c r="Q256"/>
      <c r="R256"/>
      <c r="S256"/>
      <c r="T256"/>
      <c r="U256"/>
    </row>
    <row r="257" spans="15:21" ht="15" x14ac:dyDescent="0.25">
      <c r="O257"/>
      <c r="P257"/>
      <c r="Q257"/>
      <c r="R257"/>
      <c r="S257"/>
      <c r="T257"/>
      <c r="U257"/>
    </row>
    <row r="258" spans="15:21" ht="15" x14ac:dyDescent="0.25">
      <c r="O258"/>
      <c r="P258"/>
      <c r="Q258"/>
      <c r="R258"/>
      <c r="S258"/>
      <c r="T258"/>
      <c r="U258"/>
    </row>
    <row r="259" spans="15:21" ht="15" x14ac:dyDescent="0.25">
      <c r="O259"/>
      <c r="P259"/>
      <c r="Q259"/>
      <c r="R259"/>
      <c r="S259"/>
      <c r="T259"/>
      <c r="U259"/>
    </row>
    <row r="260" spans="15:21" ht="15" x14ac:dyDescent="0.25">
      <c r="O260"/>
      <c r="P260"/>
      <c r="Q260"/>
      <c r="R260"/>
      <c r="S260"/>
      <c r="T260"/>
      <c r="U260"/>
    </row>
    <row r="261" spans="15:21" ht="15" x14ac:dyDescent="0.25">
      <c r="O261"/>
      <c r="P261"/>
      <c r="Q261"/>
      <c r="R261"/>
      <c r="S261"/>
      <c r="T261"/>
      <c r="U261"/>
    </row>
    <row r="262" spans="15:21" ht="15" x14ac:dyDescent="0.25">
      <c r="O262"/>
      <c r="P262"/>
      <c r="Q262"/>
      <c r="R262"/>
      <c r="S262"/>
      <c r="T262"/>
      <c r="U262"/>
    </row>
    <row r="263" spans="15:21" ht="15" x14ac:dyDescent="0.25">
      <c r="O263"/>
      <c r="P263"/>
      <c r="Q263"/>
      <c r="R263"/>
      <c r="S263"/>
      <c r="T263"/>
      <c r="U263"/>
    </row>
    <row r="264" spans="15:21" ht="15" x14ac:dyDescent="0.25">
      <c r="O264"/>
      <c r="P264"/>
      <c r="Q264"/>
      <c r="R264"/>
      <c r="S264"/>
      <c r="T264"/>
      <c r="U264"/>
    </row>
    <row r="265" spans="15:21" ht="15" x14ac:dyDescent="0.25">
      <c r="O265"/>
      <c r="P265"/>
      <c r="Q265"/>
      <c r="R265"/>
      <c r="S265"/>
      <c r="T265"/>
      <c r="U265"/>
    </row>
    <row r="266" spans="15:21" ht="15" x14ac:dyDescent="0.25">
      <c r="O266"/>
      <c r="P266"/>
      <c r="Q266"/>
      <c r="R266"/>
      <c r="S266"/>
      <c r="T266"/>
      <c r="U266"/>
    </row>
    <row r="267" spans="15:21" ht="15" x14ac:dyDescent="0.25">
      <c r="O267"/>
      <c r="P267"/>
      <c r="Q267"/>
      <c r="R267"/>
      <c r="S267"/>
      <c r="T267"/>
      <c r="U267"/>
    </row>
    <row r="268" spans="15:21" ht="15" x14ac:dyDescent="0.25">
      <c r="O268"/>
      <c r="P268"/>
      <c r="Q268"/>
      <c r="R268"/>
      <c r="S268"/>
      <c r="T268"/>
      <c r="U268"/>
    </row>
  </sheetData>
  <mergeCells count="4">
    <mergeCell ref="A3:A18"/>
    <mergeCell ref="N3:N18"/>
    <mergeCell ref="A1:L1"/>
    <mergeCell ref="N1:V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50"/>
  <sheetViews>
    <sheetView zoomScaleNormal="100" workbookViewId="0">
      <selection sqref="A1:G1"/>
    </sheetView>
  </sheetViews>
  <sheetFormatPr defaultColWidth="8.7109375" defaultRowHeight="12.75" x14ac:dyDescent="0.2"/>
  <cols>
    <col min="1" max="2" width="12" style="5" customWidth="1"/>
    <col min="3" max="6" width="13.7109375" style="5" customWidth="1"/>
    <col min="7" max="7" width="13.28515625" style="5" customWidth="1"/>
    <col min="8" max="8" width="12.7109375" style="5" bestFit="1" customWidth="1"/>
    <col min="9" max="9" width="8.7109375" style="5"/>
    <col min="10" max="10" width="12" style="5" customWidth="1"/>
    <col min="11" max="11" width="14.140625" style="5" customWidth="1"/>
    <col min="12" max="12" width="10.28515625" style="5" customWidth="1"/>
    <col min="13" max="27" width="5.7109375" style="5" customWidth="1"/>
    <col min="28" max="16384" width="8.7109375" style="5"/>
  </cols>
  <sheetData>
    <row r="1" spans="1:29" ht="28.9" customHeight="1" x14ac:dyDescent="0.25">
      <c r="A1" s="365" t="str">
        <f>"% of Floor Area per CZ and Vintage Bin - Schools"</f>
        <v>% of Floor Area per CZ and Vintage Bin - Schools</v>
      </c>
      <c r="B1" s="365"/>
      <c r="C1" s="365"/>
      <c r="D1" s="365"/>
      <c r="E1" s="365"/>
      <c r="F1" s="365"/>
      <c r="G1" s="365"/>
      <c r="J1"/>
      <c r="K1"/>
      <c r="L1"/>
      <c r="M1"/>
      <c r="N1"/>
      <c r="O1"/>
      <c r="P1"/>
      <c r="Q1"/>
      <c r="R1"/>
      <c r="S1"/>
      <c r="T1"/>
      <c r="U1"/>
      <c r="V1"/>
      <c r="W1"/>
      <c r="X1"/>
      <c r="Y1"/>
      <c r="Z1"/>
      <c r="AA1"/>
      <c r="AB1"/>
      <c r="AC1"/>
    </row>
    <row r="2" spans="1:29" ht="21" customHeight="1" x14ac:dyDescent="0.25">
      <c r="A2" s="443" t="s">
        <v>136</v>
      </c>
      <c r="B2" s="443" t="s">
        <v>316</v>
      </c>
      <c r="C2" s="440" t="s">
        <v>318</v>
      </c>
      <c r="D2" s="441"/>
      <c r="E2" s="441"/>
      <c r="F2" s="441"/>
      <c r="G2" s="442"/>
      <c r="J2"/>
      <c r="K2"/>
      <c r="L2"/>
      <c r="M2"/>
      <c r="N2"/>
      <c r="O2"/>
      <c r="P2"/>
      <c r="Q2"/>
      <c r="R2"/>
      <c r="S2"/>
      <c r="T2"/>
      <c r="U2"/>
      <c r="V2"/>
      <c r="W2"/>
      <c r="X2"/>
      <c r="Y2"/>
      <c r="Z2"/>
      <c r="AA2"/>
      <c r="AB2"/>
      <c r="AC2"/>
    </row>
    <row r="3" spans="1:29" ht="21" customHeight="1" x14ac:dyDescent="0.25">
      <c r="A3" s="444"/>
      <c r="B3" s="444"/>
      <c r="C3" s="293" t="s">
        <v>319</v>
      </c>
      <c r="D3" s="293" t="s">
        <v>112</v>
      </c>
      <c r="E3" s="293" t="s">
        <v>113</v>
      </c>
      <c r="F3" s="293" t="s">
        <v>114</v>
      </c>
      <c r="G3" s="293" t="s">
        <v>320</v>
      </c>
      <c r="J3"/>
      <c r="K3"/>
      <c r="L3"/>
      <c r="M3"/>
      <c r="N3"/>
      <c r="O3"/>
      <c r="P3"/>
      <c r="Q3"/>
      <c r="R3"/>
      <c r="S3"/>
      <c r="T3"/>
      <c r="U3"/>
      <c r="V3"/>
      <c r="W3"/>
      <c r="X3"/>
      <c r="Y3"/>
      <c r="Z3"/>
      <c r="AA3"/>
      <c r="AB3"/>
      <c r="AC3"/>
    </row>
    <row r="4" spans="1:29" ht="16.899999999999999" customHeight="1" x14ac:dyDescent="0.25">
      <c r="A4" s="438" t="str">
        <f>Prototype!B4</f>
        <v>Relocatable School</v>
      </c>
      <c r="B4" s="96">
        <v>1</v>
      </c>
      <c r="C4" s="292">
        <v>0.48499999999999999</v>
      </c>
      <c r="D4" s="292">
        <v>0.27400000000000002</v>
      </c>
      <c r="E4" s="292">
        <v>7.5999999999999998E-2</v>
      </c>
      <c r="F4" s="292">
        <v>2.9000000000000001E-2</v>
      </c>
      <c r="G4" s="50">
        <v>0.13600000000000001</v>
      </c>
      <c r="H4" s="56">
        <f>SUM(C4:G4)</f>
        <v>1</v>
      </c>
      <c r="J4"/>
      <c r="K4"/>
      <c r="L4"/>
      <c r="M4"/>
      <c r="N4"/>
      <c r="O4"/>
      <c r="P4"/>
      <c r="Q4"/>
      <c r="R4"/>
      <c r="S4"/>
      <c r="T4"/>
      <c r="U4"/>
      <c r="V4"/>
      <c r="W4"/>
      <c r="X4"/>
      <c r="Y4"/>
      <c r="Z4"/>
      <c r="AA4"/>
      <c r="AB4"/>
      <c r="AC4"/>
    </row>
    <row r="5" spans="1:29" ht="16.899999999999999" customHeight="1" x14ac:dyDescent="0.25">
      <c r="A5" s="439"/>
      <c r="B5" s="33">
        <v>2</v>
      </c>
      <c r="C5" s="34">
        <v>0.85799999999999998</v>
      </c>
      <c r="D5" s="34">
        <v>7.0000000000000007E-2</v>
      </c>
      <c r="E5" s="34">
        <v>3.7999999999999999E-2</v>
      </c>
      <c r="F5" s="34">
        <v>1.4E-2</v>
      </c>
      <c r="G5" s="44">
        <v>0.02</v>
      </c>
      <c r="H5" s="56">
        <f t="shared" ref="H5:H19" si="0">SUM(C5:G5)</f>
        <v>1</v>
      </c>
      <c r="J5"/>
      <c r="K5"/>
      <c r="L5"/>
      <c r="M5"/>
      <c r="N5"/>
      <c r="O5"/>
      <c r="P5"/>
      <c r="Q5"/>
      <c r="R5"/>
      <c r="S5"/>
      <c r="T5"/>
      <c r="U5"/>
      <c r="V5"/>
      <c r="W5"/>
      <c r="X5"/>
      <c r="Y5"/>
      <c r="Z5"/>
      <c r="AA5"/>
      <c r="AB5"/>
      <c r="AC5"/>
    </row>
    <row r="6" spans="1:29" ht="16.899999999999999" customHeight="1" x14ac:dyDescent="0.25">
      <c r="A6" s="439"/>
      <c r="B6" s="33">
        <v>3</v>
      </c>
      <c r="C6" s="34">
        <v>0.66100000000000003</v>
      </c>
      <c r="D6" s="34">
        <v>0.20899999999999999</v>
      </c>
      <c r="E6" s="34">
        <v>1.4999999999999999E-2</v>
      </c>
      <c r="F6" s="34">
        <v>6.0000000000000001E-3</v>
      </c>
      <c r="G6" s="44">
        <v>0.109</v>
      </c>
      <c r="H6" s="56">
        <f t="shared" si="0"/>
        <v>1</v>
      </c>
      <c r="J6"/>
      <c r="K6"/>
      <c r="L6"/>
      <c r="M6"/>
      <c r="N6"/>
      <c r="O6"/>
      <c r="P6"/>
      <c r="Q6"/>
      <c r="R6"/>
      <c r="S6"/>
      <c r="T6"/>
      <c r="U6"/>
      <c r="V6"/>
      <c r="W6"/>
      <c r="X6"/>
      <c r="Y6"/>
      <c r="Z6"/>
      <c r="AA6"/>
      <c r="AB6"/>
      <c r="AC6"/>
    </row>
    <row r="7" spans="1:29" ht="16.899999999999999" customHeight="1" x14ac:dyDescent="0.25">
      <c r="A7" s="439"/>
      <c r="B7" s="33">
        <v>4</v>
      </c>
      <c r="C7" s="34">
        <v>0.68200000000000005</v>
      </c>
      <c r="D7" s="34">
        <v>0.17899999999999999</v>
      </c>
      <c r="E7" s="34">
        <v>8.9999999999999993E-3</v>
      </c>
      <c r="F7" s="34">
        <v>6.0000000000000001E-3</v>
      </c>
      <c r="G7" s="44">
        <v>0.124</v>
      </c>
      <c r="H7" s="56">
        <f t="shared" si="0"/>
        <v>1</v>
      </c>
      <c r="J7"/>
      <c r="K7"/>
      <c r="L7"/>
      <c r="M7"/>
      <c r="N7"/>
      <c r="O7"/>
      <c r="P7"/>
      <c r="Q7"/>
      <c r="R7"/>
      <c r="S7"/>
      <c r="T7"/>
      <c r="U7"/>
      <c r="V7"/>
      <c r="W7"/>
      <c r="X7"/>
      <c r="Y7"/>
      <c r="Z7"/>
      <c r="AA7"/>
      <c r="AB7"/>
      <c r="AC7"/>
    </row>
    <row r="8" spans="1:29" ht="16.899999999999999" customHeight="1" x14ac:dyDescent="0.25">
      <c r="A8" s="439"/>
      <c r="B8" s="33">
        <v>5</v>
      </c>
      <c r="C8" s="34">
        <v>0.53600000000000003</v>
      </c>
      <c r="D8" s="34">
        <v>0.42099999999999999</v>
      </c>
      <c r="E8" s="34">
        <v>2.4E-2</v>
      </c>
      <c r="F8" s="34">
        <v>8.0000000000000002E-3</v>
      </c>
      <c r="G8" s="44">
        <v>1.2E-2</v>
      </c>
      <c r="H8" s="56">
        <f t="shared" si="0"/>
        <v>1.0010000000000001</v>
      </c>
      <c r="J8"/>
      <c r="K8"/>
      <c r="L8"/>
      <c r="M8"/>
      <c r="N8"/>
      <c r="O8"/>
      <c r="P8"/>
      <c r="Q8"/>
      <c r="R8"/>
      <c r="S8"/>
      <c r="T8"/>
      <c r="U8"/>
      <c r="V8"/>
      <c r="W8"/>
      <c r="X8"/>
      <c r="Y8"/>
      <c r="Z8"/>
      <c r="AA8"/>
      <c r="AB8"/>
      <c r="AC8"/>
    </row>
    <row r="9" spans="1:29" ht="16.899999999999999" customHeight="1" x14ac:dyDescent="0.25">
      <c r="A9" s="439"/>
      <c r="B9" s="33">
        <v>6</v>
      </c>
      <c r="C9" s="34">
        <v>0.65700000000000003</v>
      </c>
      <c r="D9" s="34">
        <v>0.13900000000000001</v>
      </c>
      <c r="E9" s="34">
        <v>0.10299999999999999</v>
      </c>
      <c r="F9" s="34">
        <v>4.3999999999999997E-2</v>
      </c>
      <c r="G9" s="44">
        <v>5.8000000000000003E-2</v>
      </c>
      <c r="H9" s="56">
        <f t="shared" si="0"/>
        <v>1.0010000000000001</v>
      </c>
      <c r="J9"/>
      <c r="K9"/>
      <c r="L9"/>
      <c r="M9"/>
      <c r="N9"/>
      <c r="O9"/>
      <c r="P9"/>
      <c r="Q9"/>
      <c r="R9"/>
      <c r="S9"/>
      <c r="T9"/>
      <c r="U9"/>
      <c r="V9"/>
      <c r="W9"/>
      <c r="X9"/>
      <c r="Y9"/>
      <c r="Z9"/>
      <c r="AA9"/>
      <c r="AB9"/>
      <c r="AC9"/>
    </row>
    <row r="10" spans="1:29" ht="16.899999999999999" customHeight="1" x14ac:dyDescent="0.25">
      <c r="A10" s="439"/>
      <c r="B10" s="33">
        <v>7</v>
      </c>
      <c r="C10" s="34">
        <v>0.28799999999999998</v>
      </c>
      <c r="D10" s="34">
        <v>0.247</v>
      </c>
      <c r="E10" s="34">
        <v>0.188</v>
      </c>
      <c r="F10" s="34">
        <v>0.23499999999999999</v>
      </c>
      <c r="G10" s="44">
        <v>4.2000000000000003E-2</v>
      </c>
      <c r="H10" s="56">
        <f t="shared" si="0"/>
        <v>0.99999999999999989</v>
      </c>
      <c r="J10"/>
      <c r="K10"/>
      <c r="L10"/>
      <c r="M10"/>
      <c r="N10"/>
      <c r="O10"/>
      <c r="P10"/>
      <c r="Q10"/>
      <c r="R10"/>
      <c r="S10"/>
      <c r="T10"/>
      <c r="U10"/>
      <c r="V10"/>
      <c r="W10"/>
      <c r="X10"/>
      <c r="Y10"/>
      <c r="Z10"/>
      <c r="AA10"/>
      <c r="AB10"/>
      <c r="AC10"/>
    </row>
    <row r="11" spans="1:29" ht="16.899999999999999" customHeight="1" x14ac:dyDescent="0.25">
      <c r="A11" s="439"/>
      <c r="B11" s="33">
        <v>8</v>
      </c>
      <c r="C11" s="34">
        <v>0.66600000000000004</v>
      </c>
      <c r="D11" s="34">
        <v>0.125</v>
      </c>
      <c r="E11" s="34">
        <v>0.10299999999999999</v>
      </c>
      <c r="F11" s="34">
        <v>3.5999999999999997E-2</v>
      </c>
      <c r="G11" s="44">
        <v>7.0000000000000007E-2</v>
      </c>
      <c r="H11" s="56">
        <f t="shared" si="0"/>
        <v>1</v>
      </c>
      <c r="J11"/>
      <c r="K11"/>
      <c r="L11"/>
      <c r="M11"/>
      <c r="N11"/>
      <c r="O11"/>
      <c r="P11"/>
      <c r="Q11"/>
      <c r="R11"/>
      <c r="S11"/>
      <c r="T11"/>
      <c r="U11"/>
      <c r="V11"/>
      <c r="W11"/>
      <c r="X11"/>
      <c r="Y11"/>
      <c r="Z11"/>
      <c r="AA11"/>
      <c r="AB11"/>
      <c r="AC11"/>
    </row>
    <row r="12" spans="1:29" ht="16.899999999999999" customHeight="1" x14ac:dyDescent="0.2">
      <c r="A12" s="439"/>
      <c r="B12" s="33">
        <v>9</v>
      </c>
      <c r="C12" s="34">
        <v>0.60199999999999998</v>
      </c>
      <c r="D12" s="34">
        <v>0.152</v>
      </c>
      <c r="E12" s="34">
        <v>7.3999999999999996E-2</v>
      </c>
      <c r="F12" s="34">
        <v>0.02</v>
      </c>
      <c r="G12" s="44">
        <v>0.152</v>
      </c>
      <c r="H12" s="56">
        <f t="shared" si="0"/>
        <v>1</v>
      </c>
      <c r="J12" s="6"/>
      <c r="K12" s="54"/>
      <c r="L12" s="24"/>
      <c r="M12" s="24"/>
      <c r="N12" s="24"/>
      <c r="O12" s="24"/>
      <c r="P12" s="55"/>
    </row>
    <row r="13" spans="1:29" ht="16.899999999999999" customHeight="1" x14ac:dyDescent="0.2">
      <c r="A13" s="439"/>
      <c r="B13" s="33">
        <v>10</v>
      </c>
      <c r="C13" s="34">
        <v>0.32700000000000001</v>
      </c>
      <c r="D13" s="34">
        <v>0.20100000000000001</v>
      </c>
      <c r="E13" s="34">
        <v>0.317</v>
      </c>
      <c r="F13" s="34">
        <v>0.111</v>
      </c>
      <c r="G13" s="44">
        <v>4.3999999999999997E-2</v>
      </c>
      <c r="H13" s="56">
        <f t="shared" si="0"/>
        <v>1</v>
      </c>
      <c r="J13" s="6"/>
      <c r="K13" s="54"/>
      <c r="L13" s="24"/>
      <c r="M13" s="24"/>
      <c r="N13" s="24"/>
      <c r="O13" s="24"/>
      <c r="P13" s="55"/>
    </row>
    <row r="14" spans="1:29" ht="16.899999999999999" customHeight="1" x14ac:dyDescent="0.2">
      <c r="A14" s="439"/>
      <c r="B14" s="33">
        <v>11</v>
      </c>
      <c r="C14" s="34">
        <v>0.47499999999999998</v>
      </c>
      <c r="D14" s="34">
        <v>0.30499999999999999</v>
      </c>
      <c r="E14" s="34">
        <v>7.2999999999999995E-2</v>
      </c>
      <c r="F14" s="34">
        <v>1.7000000000000001E-2</v>
      </c>
      <c r="G14" s="44">
        <v>0.13100000000000001</v>
      </c>
      <c r="H14" s="56">
        <f t="shared" si="0"/>
        <v>1.0009999999999999</v>
      </c>
      <c r="J14" s="6"/>
      <c r="K14" s="54"/>
      <c r="L14" s="24"/>
      <c r="M14" s="24"/>
      <c r="N14" s="24"/>
      <c r="O14" s="24"/>
      <c r="P14" s="55"/>
    </row>
    <row r="15" spans="1:29" ht="16.899999999999999" customHeight="1" x14ac:dyDescent="0.2">
      <c r="A15" s="439"/>
      <c r="B15" s="33">
        <v>12</v>
      </c>
      <c r="C15" s="34">
        <v>0.44700000000000001</v>
      </c>
      <c r="D15" s="34">
        <v>0.31</v>
      </c>
      <c r="E15" s="34">
        <v>9.6000000000000002E-2</v>
      </c>
      <c r="F15" s="34">
        <v>2.8000000000000001E-2</v>
      </c>
      <c r="G15" s="44">
        <v>0.11799999999999999</v>
      </c>
      <c r="H15" s="56">
        <f t="shared" si="0"/>
        <v>0.999</v>
      </c>
      <c r="J15" s="6"/>
      <c r="K15" s="54"/>
      <c r="L15" s="24"/>
      <c r="M15" s="24"/>
      <c r="N15" s="24"/>
      <c r="O15" s="24"/>
      <c r="P15" s="55"/>
    </row>
    <row r="16" spans="1:29" ht="16.899999999999999" customHeight="1" x14ac:dyDescent="0.2">
      <c r="A16" s="439"/>
      <c r="B16" s="33">
        <v>13</v>
      </c>
      <c r="C16" s="34">
        <v>0.32300000000000001</v>
      </c>
      <c r="D16" s="34">
        <v>0.34699999999999998</v>
      </c>
      <c r="E16" s="34">
        <v>0.13700000000000001</v>
      </c>
      <c r="F16" s="34">
        <v>6.0999999999999999E-2</v>
      </c>
      <c r="G16" s="44">
        <v>0.13200000000000001</v>
      </c>
      <c r="H16" s="56">
        <f t="shared" si="0"/>
        <v>0.99999999999999989</v>
      </c>
      <c r="J16" s="6"/>
      <c r="K16" s="54"/>
      <c r="L16" s="24"/>
      <c r="M16" s="24"/>
      <c r="N16" s="24"/>
      <c r="O16" s="24"/>
      <c r="P16" s="55"/>
    </row>
    <row r="17" spans="1:16" ht="16.899999999999999" customHeight="1" x14ac:dyDescent="0.2">
      <c r="A17" s="439"/>
      <c r="B17" s="33">
        <v>14</v>
      </c>
      <c r="C17" s="34">
        <v>0.52300000000000002</v>
      </c>
      <c r="D17" s="34">
        <v>0.17899999999999999</v>
      </c>
      <c r="E17" s="34">
        <v>0.14299999999999999</v>
      </c>
      <c r="F17" s="34">
        <v>9.8000000000000004E-2</v>
      </c>
      <c r="G17" s="44">
        <v>5.7000000000000002E-2</v>
      </c>
      <c r="H17" s="56">
        <f t="shared" si="0"/>
        <v>1</v>
      </c>
      <c r="J17" s="6"/>
      <c r="K17" s="54"/>
      <c r="L17" s="24"/>
      <c r="M17" s="24"/>
      <c r="N17" s="24"/>
      <c r="O17" s="24"/>
      <c r="P17" s="55"/>
    </row>
    <row r="18" spans="1:16" ht="16.899999999999999" customHeight="1" x14ac:dyDescent="0.2">
      <c r="A18" s="439"/>
      <c r="B18" s="33">
        <v>15</v>
      </c>
      <c r="C18" s="34">
        <v>0.20499999999999999</v>
      </c>
      <c r="D18" s="34">
        <v>0.20399999999999999</v>
      </c>
      <c r="E18" s="34">
        <v>0.51</v>
      </c>
      <c r="F18" s="34">
        <v>4.7E-2</v>
      </c>
      <c r="G18" s="44">
        <v>3.3000000000000002E-2</v>
      </c>
      <c r="H18" s="56">
        <f t="shared" si="0"/>
        <v>0.99900000000000011</v>
      </c>
      <c r="J18" s="6"/>
      <c r="K18" s="54"/>
      <c r="L18" s="24"/>
      <c r="M18" s="24"/>
      <c r="N18" s="24"/>
      <c r="O18" s="24"/>
      <c r="P18" s="55"/>
    </row>
    <row r="19" spans="1:16" ht="16.899999999999999" customHeight="1" x14ac:dyDescent="0.2">
      <c r="A19" s="439"/>
      <c r="B19" s="33">
        <v>16</v>
      </c>
      <c r="C19" s="44">
        <v>0.44700000000000001</v>
      </c>
      <c r="D19" s="44">
        <v>0.23499999999999999</v>
      </c>
      <c r="E19" s="44">
        <v>0.127</v>
      </c>
      <c r="F19" s="44">
        <v>9.4E-2</v>
      </c>
      <c r="G19" s="44">
        <v>9.8000000000000004E-2</v>
      </c>
      <c r="H19" s="56">
        <f t="shared" si="0"/>
        <v>1.0009999999999999</v>
      </c>
      <c r="J19" s="6"/>
      <c r="K19" s="54"/>
      <c r="L19" s="24"/>
      <c r="M19" s="24"/>
      <c r="N19" s="24"/>
      <c r="O19" s="24"/>
      <c r="P19" s="55"/>
    </row>
    <row r="20" spans="1:16" x14ac:dyDescent="0.2">
      <c r="A20" s="439"/>
      <c r="B20" s="44" t="s">
        <v>193</v>
      </c>
      <c r="C20" s="44"/>
      <c r="D20" s="44"/>
      <c r="E20" s="44"/>
      <c r="F20" s="44"/>
      <c r="G20" s="44"/>
    </row>
    <row r="22" spans="1:16" x14ac:dyDescent="0.2">
      <c r="A22" s="5" t="s">
        <v>321</v>
      </c>
    </row>
    <row r="25" spans="1:16" s="18" customFormat="1" x14ac:dyDescent="0.2">
      <c r="A25" s="18" t="s">
        <v>134</v>
      </c>
      <c r="E25" s="19"/>
      <c r="F25" s="20"/>
      <c r="G25" s="21"/>
    </row>
    <row r="34" spans="15:20" ht="15" x14ac:dyDescent="0.2">
      <c r="O34" s="294"/>
      <c r="P34" s="294"/>
      <c r="Q34" s="294"/>
      <c r="R34" s="294"/>
      <c r="S34" s="294"/>
      <c r="T34" s="294"/>
    </row>
    <row r="35" spans="15:20" ht="15" x14ac:dyDescent="0.2">
      <c r="O35" s="294"/>
      <c r="P35" s="295"/>
      <c r="Q35" s="295"/>
      <c r="R35" s="295"/>
      <c r="S35" s="295"/>
      <c r="T35" s="295"/>
    </row>
    <row r="36" spans="15:20" ht="15" x14ac:dyDescent="0.2">
      <c r="O36" s="294"/>
      <c r="P36" s="295"/>
      <c r="Q36" s="295"/>
      <c r="R36" s="295"/>
      <c r="S36" s="295"/>
      <c r="T36" s="295"/>
    </row>
    <row r="37" spans="15:20" ht="15" x14ac:dyDescent="0.2">
      <c r="O37" s="294"/>
      <c r="P37" s="295"/>
      <c r="Q37" s="295"/>
      <c r="R37" s="295"/>
      <c r="S37" s="295"/>
      <c r="T37" s="295"/>
    </row>
    <row r="38" spans="15:20" ht="15" x14ac:dyDescent="0.2">
      <c r="O38" s="294"/>
      <c r="P38" s="295"/>
      <c r="Q38" s="295"/>
      <c r="R38" s="295"/>
      <c r="S38" s="295"/>
      <c r="T38" s="295"/>
    </row>
    <row r="39" spans="15:20" ht="15" x14ac:dyDescent="0.2">
      <c r="O39" s="294"/>
      <c r="P39" s="295"/>
      <c r="Q39" s="295"/>
      <c r="R39" s="295"/>
      <c r="S39" s="295"/>
      <c r="T39" s="295"/>
    </row>
    <row r="40" spans="15:20" ht="15" x14ac:dyDescent="0.2">
      <c r="O40" s="294"/>
      <c r="P40" s="295"/>
      <c r="Q40" s="295"/>
      <c r="R40" s="295"/>
      <c r="S40" s="295"/>
      <c r="T40" s="295"/>
    </row>
    <row r="41" spans="15:20" ht="15" x14ac:dyDescent="0.2">
      <c r="O41" s="294"/>
      <c r="P41" s="295"/>
      <c r="Q41" s="295"/>
      <c r="R41" s="295"/>
      <c r="S41" s="295"/>
      <c r="T41" s="295"/>
    </row>
    <row r="42" spans="15:20" ht="15" x14ac:dyDescent="0.2">
      <c r="O42" s="294"/>
      <c r="P42" s="295"/>
      <c r="Q42" s="295"/>
      <c r="R42" s="295"/>
      <c r="S42" s="295"/>
      <c r="T42" s="295"/>
    </row>
    <row r="43" spans="15:20" ht="15" x14ac:dyDescent="0.2">
      <c r="O43" s="294"/>
      <c r="P43" s="295"/>
      <c r="Q43" s="295"/>
      <c r="R43" s="295"/>
      <c r="S43" s="295"/>
      <c r="T43" s="295"/>
    </row>
    <row r="44" spans="15:20" ht="15" x14ac:dyDescent="0.2">
      <c r="O44" s="294"/>
      <c r="P44" s="295"/>
      <c r="Q44" s="295"/>
      <c r="R44" s="295"/>
      <c r="S44" s="295"/>
      <c r="T44" s="295"/>
    </row>
    <row r="45" spans="15:20" ht="15" x14ac:dyDescent="0.2">
      <c r="O45" s="294"/>
      <c r="P45" s="295"/>
      <c r="Q45" s="295"/>
      <c r="R45" s="295"/>
      <c r="S45" s="295"/>
      <c r="T45" s="295"/>
    </row>
    <row r="46" spans="15:20" ht="15" x14ac:dyDescent="0.2">
      <c r="O46" s="294"/>
      <c r="P46" s="295"/>
      <c r="Q46" s="295"/>
      <c r="R46" s="295"/>
      <c r="S46" s="295"/>
      <c r="T46" s="295"/>
    </row>
    <row r="47" spans="15:20" ht="15" x14ac:dyDescent="0.2">
      <c r="O47" s="294"/>
      <c r="P47" s="295"/>
      <c r="Q47" s="295"/>
      <c r="R47" s="295"/>
      <c r="S47" s="295"/>
      <c r="T47" s="295"/>
    </row>
    <row r="48" spans="15:20" ht="15" x14ac:dyDescent="0.2">
      <c r="O48" s="294"/>
      <c r="P48" s="295"/>
      <c r="Q48" s="295"/>
      <c r="R48" s="295"/>
      <c r="S48" s="295"/>
      <c r="T48" s="295"/>
    </row>
    <row r="49" spans="15:20" ht="15" x14ac:dyDescent="0.2">
      <c r="O49" s="294"/>
      <c r="P49" s="295"/>
      <c r="Q49" s="295"/>
      <c r="R49" s="295"/>
      <c r="S49" s="295"/>
      <c r="T49" s="295"/>
    </row>
    <row r="50" spans="15:20" ht="15" x14ac:dyDescent="0.2">
      <c r="O50" s="294"/>
      <c r="P50" s="295"/>
      <c r="Q50" s="295"/>
      <c r="R50" s="295"/>
      <c r="S50" s="295"/>
      <c r="T50" s="295"/>
    </row>
  </sheetData>
  <mergeCells count="5">
    <mergeCell ref="A4:A20"/>
    <mergeCell ref="C2:G2"/>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5" x14ac:dyDescent="0.25"/>
  <sheetData>
    <row r="1" spans="1:10" ht="21.6" customHeight="1" x14ac:dyDescent="0.25">
      <c r="A1" s="369" t="str">
        <f>"PV - "&amp;Prototype!A2</f>
        <v>PV - SchoolRelocatable</v>
      </c>
      <c r="B1" s="369"/>
      <c r="C1" s="369"/>
      <c r="D1" s="369"/>
      <c r="E1" s="369"/>
      <c r="F1" s="369"/>
      <c r="G1" s="369"/>
      <c r="H1" s="369"/>
      <c r="I1" s="369"/>
      <c r="J1" s="369"/>
    </row>
    <row r="2" spans="1:10" x14ac:dyDescent="0.25">
      <c r="A2" t="s">
        <v>322</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2" sqref="A2"/>
    </sheetView>
  </sheetViews>
  <sheetFormatPr defaultColWidth="8.7109375" defaultRowHeight="12.75" x14ac:dyDescent="0.2"/>
  <cols>
    <col min="1" max="1" width="21" style="5" customWidth="1"/>
    <col min="2" max="2" width="14.28515625" style="5" customWidth="1"/>
    <col min="3" max="3" width="14.5703125" style="5" customWidth="1"/>
    <col min="4" max="8" width="8.7109375" style="5"/>
    <col min="9" max="9" width="13.7109375" style="5" customWidth="1"/>
    <col min="10" max="10" width="14.42578125" style="5" customWidth="1"/>
    <col min="11" max="16384" width="8.7109375" style="5"/>
  </cols>
  <sheetData>
    <row r="1" spans="1:8" ht="20.45" customHeight="1" x14ac:dyDescent="0.2">
      <c r="A1" s="319" t="str">
        <f>"EV Charger - "&amp;Prototype!A2</f>
        <v>EV Charger - SchoolRelocatable</v>
      </c>
      <c r="B1" s="319"/>
      <c r="C1" s="319"/>
      <c r="D1" s="319"/>
      <c r="E1" s="319"/>
      <c r="F1" s="319"/>
      <c r="G1" s="319"/>
      <c r="H1" s="319"/>
    </row>
    <row r="2" spans="1:8" ht="15" x14ac:dyDescent="0.25">
      <c r="A2" t="s">
        <v>322</v>
      </c>
      <c r="B2" s="40"/>
      <c r="C2" s="41"/>
      <c r="D2" s="42"/>
      <c r="E2" s="42"/>
    </row>
    <row r="3" spans="1:8" x14ac:dyDescent="0.2">
      <c r="A3" s="272"/>
      <c r="B3" s="170"/>
      <c r="C3" s="273"/>
      <c r="D3" s="43"/>
      <c r="E3" s="43"/>
    </row>
    <row r="11" spans="1:8" s="18" customFormat="1" hidden="1" x14ac:dyDescent="0.2">
      <c r="A11" s="18" t="s">
        <v>134</v>
      </c>
      <c r="E11" s="19"/>
      <c r="F11" s="20"/>
      <c r="G11" s="21"/>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3E719-EBCB-478B-A7A6-5C3BA032BBFE}">
  <sheetPr codeName="Sheet16"/>
  <dimension ref="A1:A80"/>
  <sheetViews>
    <sheetView workbookViewId="0"/>
  </sheetViews>
  <sheetFormatPr defaultRowHeight="15" x14ac:dyDescent="0.25"/>
  <cols>
    <col min="1" max="1" width="55.7109375" bestFit="1" customWidth="1"/>
  </cols>
  <sheetData>
    <row r="1" spans="1:1" x14ac:dyDescent="0.25">
      <c r="A1" t="s">
        <v>323</v>
      </c>
    </row>
    <row r="2" spans="1:1" x14ac:dyDescent="0.25">
      <c r="A2" s="157" t="s">
        <v>324</v>
      </c>
    </row>
    <row r="3" spans="1:1" x14ac:dyDescent="0.25">
      <c r="A3" s="157" t="s">
        <v>325</v>
      </c>
    </row>
    <row r="4" spans="1:1" x14ac:dyDescent="0.25">
      <c r="A4" s="158" t="s">
        <v>326</v>
      </c>
    </row>
    <row r="5" spans="1:1" x14ac:dyDescent="0.25">
      <c r="A5" s="158" t="s">
        <v>327</v>
      </c>
    </row>
    <row r="6" spans="1:1" x14ac:dyDescent="0.25">
      <c r="A6" s="158" t="s">
        <v>328</v>
      </c>
    </row>
    <row r="7" spans="1:1" x14ac:dyDescent="0.25">
      <c r="A7" s="158" t="s">
        <v>329</v>
      </c>
    </row>
    <row r="8" spans="1:1" x14ac:dyDescent="0.25">
      <c r="A8" s="158" t="s">
        <v>330</v>
      </c>
    </row>
    <row r="9" spans="1:1" x14ac:dyDescent="0.25">
      <c r="A9" s="158" t="s">
        <v>331</v>
      </c>
    </row>
    <row r="10" spans="1:1" x14ac:dyDescent="0.25">
      <c r="A10" s="158" t="s">
        <v>332</v>
      </c>
    </row>
    <row r="11" spans="1:1" x14ac:dyDescent="0.25">
      <c r="A11" s="158" t="s">
        <v>333</v>
      </c>
    </row>
    <row r="12" spans="1:1" x14ac:dyDescent="0.25">
      <c r="A12" s="158" t="s">
        <v>334</v>
      </c>
    </row>
    <row r="13" spans="1:1" x14ac:dyDescent="0.25">
      <c r="A13" s="158" t="s">
        <v>335</v>
      </c>
    </row>
    <row r="14" spans="1:1" x14ac:dyDescent="0.25">
      <c r="A14" s="157" t="s">
        <v>336</v>
      </c>
    </row>
    <row r="15" spans="1:1" x14ac:dyDescent="0.25">
      <c r="A15" s="157" t="s">
        <v>74</v>
      </c>
    </row>
    <row r="16" spans="1:1" x14ac:dyDescent="0.25">
      <c r="A16" s="157" t="s">
        <v>337</v>
      </c>
    </row>
    <row r="17" spans="1:1" x14ac:dyDescent="0.25">
      <c r="A17" s="157" t="s">
        <v>338</v>
      </c>
    </row>
    <row r="18" spans="1:1" x14ac:dyDescent="0.25">
      <c r="A18" s="157" t="s">
        <v>339</v>
      </c>
    </row>
    <row r="19" spans="1:1" x14ac:dyDescent="0.25">
      <c r="A19" s="157" t="s">
        <v>340</v>
      </c>
    </row>
    <row r="20" spans="1:1" x14ac:dyDescent="0.25">
      <c r="A20" s="157" t="s">
        <v>341</v>
      </c>
    </row>
    <row r="21" spans="1:1" x14ac:dyDescent="0.25">
      <c r="A21" s="157" t="s">
        <v>342</v>
      </c>
    </row>
    <row r="22" spans="1:1" x14ac:dyDescent="0.25">
      <c r="A22" s="157" t="s">
        <v>343</v>
      </c>
    </row>
    <row r="23" spans="1:1" x14ac:dyDescent="0.25">
      <c r="A23" s="157" t="s">
        <v>344</v>
      </c>
    </row>
    <row r="24" spans="1:1" x14ac:dyDescent="0.25">
      <c r="A24" s="157" t="s">
        <v>345</v>
      </c>
    </row>
    <row r="25" spans="1:1" x14ac:dyDescent="0.25">
      <c r="A25" s="157" t="s">
        <v>346</v>
      </c>
    </row>
    <row r="26" spans="1:1" x14ac:dyDescent="0.25">
      <c r="A26" s="157" t="s">
        <v>347</v>
      </c>
    </row>
    <row r="27" spans="1:1" x14ac:dyDescent="0.25">
      <c r="A27" s="157" t="s">
        <v>348</v>
      </c>
    </row>
    <row r="28" spans="1:1" x14ac:dyDescent="0.25">
      <c r="A28" s="157" t="s">
        <v>349</v>
      </c>
    </row>
    <row r="29" spans="1:1" x14ac:dyDescent="0.25">
      <c r="A29" s="157" t="s">
        <v>350</v>
      </c>
    </row>
    <row r="30" spans="1:1" x14ac:dyDescent="0.25">
      <c r="A30" s="157" t="s">
        <v>351</v>
      </c>
    </row>
    <row r="31" spans="1:1" x14ac:dyDescent="0.25">
      <c r="A31" s="157" t="s">
        <v>352</v>
      </c>
    </row>
    <row r="32" spans="1:1" x14ac:dyDescent="0.25">
      <c r="A32" s="157" t="s">
        <v>353</v>
      </c>
    </row>
    <row r="33" spans="1:1" x14ac:dyDescent="0.25">
      <c r="A33" s="158" t="s">
        <v>354</v>
      </c>
    </row>
    <row r="34" spans="1:1" x14ac:dyDescent="0.25">
      <c r="A34" s="158" t="s">
        <v>355</v>
      </c>
    </row>
    <row r="35" spans="1:1" x14ac:dyDescent="0.25">
      <c r="A35" s="158" t="s">
        <v>356</v>
      </c>
    </row>
    <row r="36" spans="1:1" x14ac:dyDescent="0.25">
      <c r="A36" s="158" t="s">
        <v>357</v>
      </c>
    </row>
    <row r="37" spans="1:1" x14ac:dyDescent="0.25">
      <c r="A37" s="158" t="s">
        <v>358</v>
      </c>
    </row>
    <row r="38" spans="1:1" x14ac:dyDescent="0.25">
      <c r="A38" s="158" t="s">
        <v>359</v>
      </c>
    </row>
    <row r="39" spans="1:1" x14ac:dyDescent="0.25">
      <c r="A39" s="158" t="s">
        <v>360</v>
      </c>
    </row>
    <row r="40" spans="1:1" x14ac:dyDescent="0.25">
      <c r="A40" s="158" t="s">
        <v>361</v>
      </c>
    </row>
    <row r="41" spans="1:1" x14ac:dyDescent="0.25">
      <c r="A41" s="158" t="s">
        <v>362</v>
      </c>
    </row>
    <row r="42" spans="1:1" x14ac:dyDescent="0.25">
      <c r="A42" s="158" t="s">
        <v>363</v>
      </c>
    </row>
    <row r="43" spans="1:1" x14ac:dyDescent="0.25">
      <c r="A43" s="158" t="s">
        <v>364</v>
      </c>
    </row>
    <row r="44" spans="1:1" x14ac:dyDescent="0.25">
      <c r="A44" s="158" t="s">
        <v>365</v>
      </c>
    </row>
    <row r="45" spans="1:1" x14ac:dyDescent="0.25">
      <c r="A45" s="158" t="s">
        <v>366</v>
      </c>
    </row>
    <row r="46" spans="1:1" x14ac:dyDescent="0.25">
      <c r="A46" s="158" t="s">
        <v>367</v>
      </c>
    </row>
    <row r="47" spans="1:1" x14ac:dyDescent="0.25">
      <c r="A47" s="158" t="s">
        <v>368</v>
      </c>
    </row>
    <row r="48" spans="1:1" x14ac:dyDescent="0.25">
      <c r="A48" s="158" t="s">
        <v>369</v>
      </c>
    </row>
    <row r="49" spans="1:1" x14ac:dyDescent="0.25">
      <c r="A49" s="158" t="s">
        <v>370</v>
      </c>
    </row>
    <row r="50" spans="1:1" x14ac:dyDescent="0.25">
      <c r="A50" s="158" t="s">
        <v>371</v>
      </c>
    </row>
    <row r="51" spans="1:1" x14ac:dyDescent="0.25">
      <c r="A51" s="158" t="s">
        <v>372</v>
      </c>
    </row>
    <row r="52" spans="1:1" x14ac:dyDescent="0.25">
      <c r="A52" s="158" t="s">
        <v>373</v>
      </c>
    </row>
    <row r="53" spans="1:1" x14ac:dyDescent="0.25">
      <c r="A53" s="158" t="s">
        <v>374</v>
      </c>
    </row>
    <row r="54" spans="1:1" x14ac:dyDescent="0.25">
      <c r="A54" s="158" t="s">
        <v>375</v>
      </c>
    </row>
    <row r="55" spans="1:1" x14ac:dyDescent="0.25">
      <c r="A55" s="158" t="s">
        <v>376</v>
      </c>
    </row>
    <row r="56" spans="1:1" x14ac:dyDescent="0.25">
      <c r="A56" s="158" t="s">
        <v>377</v>
      </c>
    </row>
    <row r="57" spans="1:1" x14ac:dyDescent="0.25">
      <c r="A57" s="157" t="s">
        <v>378</v>
      </c>
    </row>
    <row r="58" spans="1:1" x14ac:dyDescent="0.25">
      <c r="A58" s="158" t="s">
        <v>379</v>
      </c>
    </row>
    <row r="59" spans="1:1" x14ac:dyDescent="0.25">
      <c r="A59" s="158" t="s">
        <v>380</v>
      </c>
    </row>
    <row r="60" spans="1:1" x14ac:dyDescent="0.25">
      <c r="A60" s="158" t="s">
        <v>381</v>
      </c>
    </row>
    <row r="61" spans="1:1" x14ac:dyDescent="0.25">
      <c r="A61" s="158" t="s">
        <v>382</v>
      </c>
    </row>
    <row r="62" spans="1:1" x14ac:dyDescent="0.25">
      <c r="A62" s="158" t="s">
        <v>383</v>
      </c>
    </row>
    <row r="63" spans="1:1" x14ac:dyDescent="0.25">
      <c r="A63" s="157" t="s">
        <v>384</v>
      </c>
    </row>
    <row r="64" spans="1:1" x14ac:dyDescent="0.25">
      <c r="A64" s="157" t="s">
        <v>385</v>
      </c>
    </row>
    <row r="65" spans="1:1" x14ac:dyDescent="0.25">
      <c r="A65" s="157" t="s">
        <v>386</v>
      </c>
    </row>
    <row r="66" spans="1:1" x14ac:dyDescent="0.25">
      <c r="A66" s="157" t="s">
        <v>387</v>
      </c>
    </row>
    <row r="67" spans="1:1" x14ac:dyDescent="0.25">
      <c r="A67" s="157" t="s">
        <v>388</v>
      </c>
    </row>
    <row r="68" spans="1:1" x14ac:dyDescent="0.25">
      <c r="A68" s="157" t="s">
        <v>389</v>
      </c>
    </row>
    <row r="69" spans="1:1" x14ac:dyDescent="0.25">
      <c r="A69" s="157" t="s">
        <v>390</v>
      </c>
    </row>
    <row r="70" spans="1:1" x14ac:dyDescent="0.25">
      <c r="A70" s="157" t="s">
        <v>391</v>
      </c>
    </row>
    <row r="71" spans="1:1" x14ac:dyDescent="0.25">
      <c r="A71" s="158" t="s">
        <v>392</v>
      </c>
    </row>
    <row r="72" spans="1:1" x14ac:dyDescent="0.25">
      <c r="A72" s="158" t="s">
        <v>393</v>
      </c>
    </row>
    <row r="73" spans="1:1" x14ac:dyDescent="0.25">
      <c r="A73" s="158" t="s">
        <v>394</v>
      </c>
    </row>
    <row r="74" spans="1:1" x14ac:dyDescent="0.25">
      <c r="A74" s="158" t="s">
        <v>395</v>
      </c>
    </row>
    <row r="75" spans="1:1" x14ac:dyDescent="0.25">
      <c r="A75" s="158" t="s">
        <v>396</v>
      </c>
    </row>
    <row r="76" spans="1:1" x14ac:dyDescent="0.25">
      <c r="A76" s="158" t="s">
        <v>397</v>
      </c>
    </row>
    <row r="77" spans="1:1" x14ac:dyDescent="0.25">
      <c r="A77" s="158" t="s">
        <v>398</v>
      </c>
    </row>
    <row r="78" spans="1:1" x14ac:dyDescent="0.25">
      <c r="A78" t="s">
        <v>399</v>
      </c>
    </row>
    <row r="79" spans="1:1" x14ac:dyDescent="0.25">
      <c r="A79" t="s">
        <v>400</v>
      </c>
    </row>
    <row r="80" spans="1:1" x14ac:dyDescent="0.25">
      <c r="A80" t="s">
        <v>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20816333-575B-4274-8A3E-18699B071E90}">
  <ds:schemaRefs>
    <ds:schemaRef ds:uri="http://www.w3.org/XML/1998/namespace"/>
    <ds:schemaRef ds:uri="http://purl.org/dc/terms/"/>
    <ds:schemaRef ds:uri="http://schemas.microsoft.com/office/2006/documentManagement/types"/>
    <ds:schemaRef ds:uri="f3a47e91-274c-46a0-ba98-7b939b571e5b"/>
    <ds:schemaRef ds:uri="http://schemas.openxmlformats.org/package/2006/metadata/core-properties"/>
    <ds:schemaRef ds:uri="http://purl.org/dc/elements/1.1/"/>
    <ds:schemaRef ds:uri="http://schemas.microsoft.com/office/infopath/2007/PartnerControls"/>
    <ds:schemaRef ds:uri="ea1b199f-450f-4d51-8ad4-88f218385cd9"/>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0BD3F7C7-EC86-4CCF-861F-E9FB626C0E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47e91-274c-46a0-ba98-7b939b571e5b"/>
    <ds:schemaRef ds:uri="ea1b199f-450f-4d51-8ad4-88f218385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Notes</vt:lpstr>
      <vt:lpstr>Prototype</vt:lpstr>
      <vt:lpstr>Zones</vt:lpstr>
      <vt:lpstr>HVAC System</vt:lpstr>
      <vt:lpstr>Envelope</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Dabbagh, Mohammad</cp:lastModifiedBy>
  <cp:revision/>
  <dcterms:created xsi:type="dcterms:W3CDTF">2024-06-21T17:19:36Z</dcterms:created>
  <dcterms:modified xsi:type="dcterms:W3CDTF">2025-12-24T09:21:42Z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ies>
</file>