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6.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1220" documentId="13_ncr:1_{5F6639A9-AD30-409B-A16B-2C3CBA7BC8C5}" xr6:coauthVersionLast="47" xr6:coauthVersionMax="47" xr10:uidLastSave="{EC4B9F28-C4B2-4AB0-A4F7-C01124FB42A5}"/>
  <bookViews>
    <workbookView xWindow="28680" yWindow="-120" windowWidth="29040" windowHeight="15720" tabRatio="890"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7" r:id="rId8"/>
    <sheet name="Interior Lights" sheetId="25" r:id="rId9"/>
    <sheet name="Equipment" sheetId="29" r:id="rId10"/>
    <sheet name="Ext Lighting" sheetId="9" r:id="rId11"/>
    <sheet name="Schedules" sheetId="34" r:id="rId12"/>
    <sheet name="Energy Usage" sheetId="20" r:id="rId13"/>
    <sheet name="Weights" sheetId="21" r:id="rId14"/>
    <sheet name="PV" sheetId="27" state="hidden" r:id="rId15"/>
    <sheet name="EV Charger" sheetId="22" state="hidden" r:id="rId16"/>
    <sheet name="Data" sheetId="33" state="hidden" r:id="rId17"/>
  </sheets>
  <definedNames>
    <definedName name="_xlnm._FilterDatabase" localSheetId="16" hidden="1">Data!$D$1:$G$1</definedName>
    <definedName name="_xlnm._FilterDatabase" localSheetId="9" hidden="1">Equipment!$A$2:$E$15</definedName>
    <definedName name="_xlnm._FilterDatabase" localSheetId="8" hidden="1">'Interior Lights'!$A$2:$G$16</definedName>
    <definedName name="_xlnm._FilterDatabase" localSheetId="11" hidden="1">Schedules!$A$2:$AP$129</definedName>
    <definedName name="_xlnm._FilterDatabase" localSheetId="2" hidden="1">Zones!$A$2:$K$41</definedName>
    <definedName name="nonparticipating_forecastzone_scale_factor" localSheetId="16">#REF!</definedName>
    <definedName name="nonparticipating_forecastzone_scale_factor" localSheetId="11">#REF!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1" l="1"/>
  <c r="T4" i="20"/>
  <c r="U4" i="20"/>
  <c r="T5" i="20"/>
  <c r="U5" i="20"/>
  <c r="T6" i="20"/>
  <c r="U6" i="20"/>
  <c r="T7" i="20"/>
  <c r="U7" i="20"/>
  <c r="T8" i="20"/>
  <c r="U8" i="20"/>
  <c r="T9" i="20"/>
  <c r="U9" i="20"/>
  <c r="T10" i="20"/>
  <c r="V10" i="20" s="1"/>
  <c r="U10" i="20"/>
  <c r="T11" i="20"/>
  <c r="V11" i="20" s="1"/>
  <c r="U11" i="20"/>
  <c r="T12" i="20"/>
  <c r="V12" i="20" s="1"/>
  <c r="U12" i="20"/>
  <c r="T13" i="20"/>
  <c r="V13" i="20" s="1"/>
  <c r="U13" i="20"/>
  <c r="T14" i="20"/>
  <c r="V14" i="20" s="1"/>
  <c r="U14" i="20"/>
  <c r="T15" i="20"/>
  <c r="U15" i="20"/>
  <c r="T16" i="20"/>
  <c r="U16" i="20"/>
  <c r="T17" i="20"/>
  <c r="U17" i="20"/>
  <c r="V17" i="20" s="1"/>
  <c r="T18" i="20"/>
  <c r="V18" i="20" s="1"/>
  <c r="U18" i="20"/>
  <c r="U3" i="20"/>
  <c r="T3" i="20"/>
  <c r="J4" i="20"/>
  <c r="K4" i="20"/>
  <c r="J5" i="20"/>
  <c r="L5" i="20" s="1"/>
  <c r="K5" i="20"/>
  <c r="J6" i="20"/>
  <c r="K6" i="20"/>
  <c r="J7" i="20"/>
  <c r="L7" i="20" s="1"/>
  <c r="K7" i="20"/>
  <c r="J8" i="20"/>
  <c r="K8" i="20"/>
  <c r="J9" i="20"/>
  <c r="K9" i="20"/>
  <c r="J10" i="20"/>
  <c r="K10" i="20"/>
  <c r="J11" i="20"/>
  <c r="K11" i="20"/>
  <c r="L11" i="20" s="1"/>
  <c r="J12" i="20"/>
  <c r="L12" i="20" s="1"/>
  <c r="K12" i="20"/>
  <c r="J13" i="20"/>
  <c r="L13" i="20" s="1"/>
  <c r="K13" i="20"/>
  <c r="J14" i="20"/>
  <c r="K14" i="20"/>
  <c r="J15" i="20"/>
  <c r="L15" i="20" s="1"/>
  <c r="K15" i="20"/>
  <c r="J16" i="20"/>
  <c r="L16" i="20" s="1"/>
  <c r="K16" i="20"/>
  <c r="J17" i="20"/>
  <c r="L17" i="20" s="1"/>
  <c r="K17" i="20"/>
  <c r="J18" i="20"/>
  <c r="L18" i="20" s="1"/>
  <c r="K18" i="20"/>
  <c r="K3" i="20"/>
  <c r="J3" i="20"/>
  <c r="N3" i="20"/>
  <c r="A3" i="20"/>
  <c r="N1" i="20"/>
  <c r="A1" i="20"/>
  <c r="V16" i="20"/>
  <c r="V15" i="20"/>
  <c r="V9" i="20"/>
  <c r="V8" i="20"/>
  <c r="V7" i="20"/>
  <c r="V6" i="20"/>
  <c r="V5" i="20"/>
  <c r="V4" i="20"/>
  <c r="V3" i="20"/>
  <c r="L10" i="20" l="1"/>
  <c r="L4" i="20"/>
  <c r="L3" i="20"/>
  <c r="L8" i="20"/>
  <c r="L6" i="20"/>
  <c r="L14" i="20"/>
  <c r="L9" i="20"/>
  <c r="A11" i="18" l="1"/>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 i="18"/>
  <c r="A5" i="18"/>
  <c r="A6" i="18"/>
  <c r="A7" i="18"/>
  <c r="A8" i="18"/>
  <c r="A9" i="18"/>
  <c r="A10" i="18"/>
  <c r="A3" i="18"/>
  <c r="G28" i="34" l="1"/>
  <c r="H28" i="34"/>
  <c r="I28" i="34"/>
  <c r="J28" i="34"/>
  <c r="K28" i="34"/>
  <c r="L28" i="34"/>
  <c r="M28" i="34"/>
  <c r="N28" i="34"/>
  <c r="O28" i="34"/>
  <c r="P28" i="34"/>
  <c r="Q28" i="34"/>
  <c r="R28" i="34"/>
  <c r="S28" i="34"/>
  <c r="T28" i="34"/>
  <c r="U28" i="34"/>
  <c r="V28" i="34"/>
  <c r="W28" i="34"/>
  <c r="X28" i="34"/>
  <c r="Y28" i="34"/>
  <c r="Z28" i="34"/>
  <c r="AA28" i="34"/>
  <c r="AB28" i="34"/>
  <c r="AC28" i="34"/>
  <c r="G29" i="34"/>
  <c r="H29" i="34"/>
  <c r="I29" i="34"/>
  <c r="J29" i="34"/>
  <c r="K29" i="34"/>
  <c r="L29" i="34"/>
  <c r="M29" i="34"/>
  <c r="N29" i="34"/>
  <c r="O29" i="34"/>
  <c r="P29" i="34"/>
  <c r="Q29" i="34"/>
  <c r="R29" i="34"/>
  <c r="S29" i="34"/>
  <c r="T29" i="34"/>
  <c r="U29" i="34"/>
  <c r="V29" i="34"/>
  <c r="W29" i="34"/>
  <c r="X29" i="34"/>
  <c r="Y29" i="34"/>
  <c r="Z29" i="34"/>
  <c r="AA29" i="34"/>
  <c r="AB29" i="34"/>
  <c r="AC29" i="34"/>
  <c r="G30" i="34"/>
  <c r="H30" i="34"/>
  <c r="I30" i="34"/>
  <c r="J30" i="34"/>
  <c r="K30" i="34"/>
  <c r="L30" i="34"/>
  <c r="M30" i="34"/>
  <c r="N30" i="34"/>
  <c r="O30" i="34"/>
  <c r="P30" i="34"/>
  <c r="Q30" i="34"/>
  <c r="R30" i="34"/>
  <c r="S30" i="34"/>
  <c r="T30" i="34"/>
  <c r="U30" i="34"/>
  <c r="V30" i="34"/>
  <c r="W30" i="34"/>
  <c r="X30" i="34"/>
  <c r="Y30" i="34"/>
  <c r="Z30" i="34"/>
  <c r="AA30" i="34"/>
  <c r="AB30" i="34"/>
  <c r="AC30" i="34"/>
  <c r="G25" i="34"/>
  <c r="H25" i="34"/>
  <c r="I25" i="34"/>
  <c r="J25" i="34"/>
  <c r="K25" i="34"/>
  <c r="L25" i="34"/>
  <c r="M25" i="34"/>
  <c r="N25" i="34"/>
  <c r="O25" i="34"/>
  <c r="P25" i="34"/>
  <c r="Q25" i="34"/>
  <c r="R25" i="34"/>
  <c r="S25" i="34"/>
  <c r="T25" i="34"/>
  <c r="U25" i="34"/>
  <c r="V25" i="34"/>
  <c r="W25" i="34"/>
  <c r="X25" i="34"/>
  <c r="Y25" i="34"/>
  <c r="Z25" i="34"/>
  <c r="AA25" i="34"/>
  <c r="AB25" i="34"/>
  <c r="AC25" i="34"/>
  <c r="G26" i="34"/>
  <c r="H26" i="34"/>
  <c r="I26" i="34"/>
  <c r="J26" i="34"/>
  <c r="K26" i="34"/>
  <c r="L26" i="34"/>
  <c r="M26" i="34"/>
  <c r="N26" i="34"/>
  <c r="O26" i="34"/>
  <c r="P26" i="34"/>
  <c r="Q26" i="34"/>
  <c r="R26" i="34"/>
  <c r="S26" i="34"/>
  <c r="T26" i="34"/>
  <c r="U26" i="34"/>
  <c r="V26" i="34"/>
  <c r="W26" i="34"/>
  <c r="X26" i="34"/>
  <c r="Y26" i="34"/>
  <c r="Z26" i="34"/>
  <c r="AA26" i="34"/>
  <c r="AB26" i="34"/>
  <c r="AC26" i="34"/>
  <c r="G27" i="34"/>
  <c r="H27" i="34"/>
  <c r="I27" i="34"/>
  <c r="J27" i="34"/>
  <c r="K27" i="34"/>
  <c r="L27" i="34"/>
  <c r="M27" i="34"/>
  <c r="N27" i="34"/>
  <c r="O27" i="34"/>
  <c r="P27" i="34"/>
  <c r="Q27" i="34"/>
  <c r="R27" i="34"/>
  <c r="S27" i="34"/>
  <c r="T27" i="34"/>
  <c r="U27" i="34"/>
  <c r="V27" i="34"/>
  <c r="W27" i="34"/>
  <c r="X27" i="34"/>
  <c r="Y27" i="34"/>
  <c r="Z27" i="34"/>
  <c r="AA27" i="34"/>
  <c r="AB27" i="34"/>
  <c r="AC27" i="34"/>
  <c r="F25" i="34"/>
  <c r="F26" i="34"/>
  <c r="F27" i="34"/>
  <c r="F28" i="34"/>
  <c r="F29" i="34"/>
  <c r="F30" i="34"/>
  <c r="G47" i="34"/>
  <c r="H47" i="34"/>
  <c r="I47" i="34"/>
  <c r="J47" i="34"/>
  <c r="K47" i="34"/>
  <c r="L47" i="34"/>
  <c r="M47" i="34"/>
  <c r="N47" i="34"/>
  <c r="O47" i="34"/>
  <c r="P47" i="34"/>
  <c r="Q47" i="34"/>
  <c r="R47" i="34"/>
  <c r="S47" i="34"/>
  <c r="T47" i="34"/>
  <c r="U47" i="34"/>
  <c r="V47" i="34"/>
  <c r="W47" i="34"/>
  <c r="X47" i="34"/>
  <c r="Y47" i="34"/>
  <c r="Z47" i="34"/>
  <c r="AA47" i="34"/>
  <c r="AB47" i="34"/>
  <c r="AC47" i="34"/>
  <c r="G48" i="34"/>
  <c r="H48" i="34"/>
  <c r="I48" i="34"/>
  <c r="J48" i="34"/>
  <c r="K48" i="34"/>
  <c r="L48" i="34"/>
  <c r="M48" i="34"/>
  <c r="N48" i="34"/>
  <c r="O48" i="34"/>
  <c r="P48" i="34"/>
  <c r="Q48" i="34"/>
  <c r="R48" i="34"/>
  <c r="S48" i="34"/>
  <c r="T48" i="34"/>
  <c r="U48" i="34"/>
  <c r="V48" i="34"/>
  <c r="W48" i="34"/>
  <c r="X48" i="34"/>
  <c r="Y48" i="34"/>
  <c r="Z48" i="34"/>
  <c r="AA48" i="34"/>
  <c r="AB48" i="34"/>
  <c r="AC48" i="34"/>
  <c r="G49" i="34"/>
  <c r="H49" i="34"/>
  <c r="I49" i="34"/>
  <c r="J49" i="34"/>
  <c r="K49" i="34"/>
  <c r="L49" i="34"/>
  <c r="M49" i="34"/>
  <c r="N49" i="34"/>
  <c r="O49" i="34"/>
  <c r="P49" i="34"/>
  <c r="Q49" i="34"/>
  <c r="R49" i="34"/>
  <c r="S49" i="34"/>
  <c r="T49" i="34"/>
  <c r="U49" i="34"/>
  <c r="V49" i="34"/>
  <c r="W49" i="34"/>
  <c r="X49" i="34"/>
  <c r="Y49" i="34"/>
  <c r="Z49" i="34"/>
  <c r="AA49" i="34"/>
  <c r="AB49" i="34"/>
  <c r="AC49" i="34"/>
  <c r="F48" i="34"/>
  <c r="F49" i="34"/>
  <c r="F47" i="34"/>
  <c r="G50" i="34"/>
  <c r="H50" i="34"/>
  <c r="I50" i="34"/>
  <c r="J50" i="34"/>
  <c r="K50" i="34"/>
  <c r="L50" i="34"/>
  <c r="M50" i="34"/>
  <c r="N50" i="34"/>
  <c r="O50" i="34"/>
  <c r="P50" i="34"/>
  <c r="Q50" i="34"/>
  <c r="R50" i="34"/>
  <c r="S50" i="34"/>
  <c r="T50" i="34"/>
  <c r="U50" i="34"/>
  <c r="V50" i="34"/>
  <c r="W50" i="34"/>
  <c r="X50" i="34"/>
  <c r="Y50" i="34"/>
  <c r="Z50" i="34"/>
  <c r="AA50" i="34"/>
  <c r="AB50" i="34"/>
  <c r="AC50" i="34"/>
  <c r="G51" i="34"/>
  <c r="H51" i="34"/>
  <c r="I51" i="34"/>
  <c r="J51" i="34"/>
  <c r="K51" i="34"/>
  <c r="L51" i="34"/>
  <c r="M51" i="34"/>
  <c r="N51" i="34"/>
  <c r="O51" i="34"/>
  <c r="P51" i="34"/>
  <c r="Q51" i="34"/>
  <c r="R51" i="34"/>
  <c r="S51" i="34"/>
  <c r="T51" i="34"/>
  <c r="U51" i="34"/>
  <c r="V51" i="34"/>
  <c r="W51" i="34"/>
  <c r="X51" i="34"/>
  <c r="Y51" i="34"/>
  <c r="Z51" i="34"/>
  <c r="AA51" i="34"/>
  <c r="AB51" i="34"/>
  <c r="AC51" i="34"/>
  <c r="G52" i="34"/>
  <c r="H52" i="34"/>
  <c r="I52" i="34"/>
  <c r="J52" i="34"/>
  <c r="K52" i="34"/>
  <c r="L52" i="34"/>
  <c r="M52" i="34"/>
  <c r="N52" i="34"/>
  <c r="O52" i="34"/>
  <c r="P52" i="34"/>
  <c r="Q52" i="34"/>
  <c r="R52" i="34"/>
  <c r="S52" i="34"/>
  <c r="T52" i="34"/>
  <c r="U52" i="34"/>
  <c r="V52" i="34"/>
  <c r="W52" i="34"/>
  <c r="X52" i="34"/>
  <c r="Y52" i="34"/>
  <c r="Z52" i="34"/>
  <c r="AA52" i="34"/>
  <c r="AB52" i="34"/>
  <c r="AC52" i="34"/>
  <c r="F51" i="34"/>
  <c r="F52" i="34"/>
  <c r="F50" i="34"/>
  <c r="G84" i="34"/>
  <c r="H84" i="34"/>
  <c r="I84" i="34"/>
  <c r="J84" i="34"/>
  <c r="K84" i="34"/>
  <c r="L84" i="34"/>
  <c r="M84" i="34"/>
  <c r="N84" i="34"/>
  <c r="O84" i="34"/>
  <c r="P84" i="34"/>
  <c r="Q84" i="34"/>
  <c r="R84" i="34"/>
  <c r="S84" i="34"/>
  <c r="T84" i="34"/>
  <c r="U84" i="34"/>
  <c r="V84" i="34"/>
  <c r="W84" i="34"/>
  <c r="X84" i="34"/>
  <c r="Y84" i="34"/>
  <c r="Z84" i="34"/>
  <c r="AA84" i="34"/>
  <c r="AB84" i="34"/>
  <c r="AC84" i="34"/>
  <c r="G85" i="34"/>
  <c r="H85" i="34"/>
  <c r="I85" i="34"/>
  <c r="J85" i="34"/>
  <c r="K85" i="34"/>
  <c r="L85" i="34"/>
  <c r="M85" i="34"/>
  <c r="N85" i="34"/>
  <c r="O85" i="34"/>
  <c r="P85" i="34"/>
  <c r="Q85" i="34"/>
  <c r="R85" i="34"/>
  <c r="S85" i="34"/>
  <c r="T85" i="34"/>
  <c r="U85" i="34"/>
  <c r="V85" i="34"/>
  <c r="W85" i="34"/>
  <c r="X85" i="34"/>
  <c r="Y85" i="34"/>
  <c r="Z85" i="34"/>
  <c r="AA85" i="34"/>
  <c r="AB85" i="34"/>
  <c r="AC85" i="34"/>
  <c r="G86" i="34"/>
  <c r="H86" i="34"/>
  <c r="I86" i="34"/>
  <c r="J86" i="34"/>
  <c r="K86" i="34"/>
  <c r="L86" i="34"/>
  <c r="M86" i="34"/>
  <c r="N86" i="34"/>
  <c r="O86" i="34"/>
  <c r="P86" i="34"/>
  <c r="Q86" i="34"/>
  <c r="R86" i="34"/>
  <c r="S86" i="34"/>
  <c r="T86" i="34"/>
  <c r="U86" i="34"/>
  <c r="V86" i="34"/>
  <c r="W86" i="34"/>
  <c r="X86" i="34"/>
  <c r="Y86" i="34"/>
  <c r="Z86" i="34"/>
  <c r="AA86" i="34"/>
  <c r="AB86" i="34"/>
  <c r="AC86" i="34"/>
  <c r="F86" i="34"/>
  <c r="F85" i="34"/>
  <c r="F84" i="34"/>
  <c r="G81" i="34"/>
  <c r="H81" i="34"/>
  <c r="I81" i="34"/>
  <c r="J81" i="34"/>
  <c r="K81" i="34"/>
  <c r="L81" i="34"/>
  <c r="M81" i="34"/>
  <c r="N81" i="34"/>
  <c r="O81" i="34"/>
  <c r="P81" i="34"/>
  <c r="Q81" i="34"/>
  <c r="R81" i="34"/>
  <c r="S81" i="34"/>
  <c r="T81" i="34"/>
  <c r="U81" i="34"/>
  <c r="V81" i="34"/>
  <c r="W81" i="34"/>
  <c r="X81" i="34"/>
  <c r="Y81" i="34"/>
  <c r="Z81" i="34"/>
  <c r="AA81" i="34"/>
  <c r="AB81" i="34"/>
  <c r="AC81" i="34"/>
  <c r="G82" i="34"/>
  <c r="H82" i="34"/>
  <c r="I82" i="34"/>
  <c r="J82" i="34"/>
  <c r="K82" i="34"/>
  <c r="L82" i="34"/>
  <c r="M82" i="34"/>
  <c r="N82" i="34"/>
  <c r="O82" i="34"/>
  <c r="P82" i="34"/>
  <c r="Q82" i="34"/>
  <c r="R82" i="34"/>
  <c r="S82" i="34"/>
  <c r="T82" i="34"/>
  <c r="U82" i="34"/>
  <c r="V82" i="34"/>
  <c r="W82" i="34"/>
  <c r="X82" i="34"/>
  <c r="Y82" i="34"/>
  <c r="Z82" i="34"/>
  <c r="AA82" i="34"/>
  <c r="AB82" i="34"/>
  <c r="AC82" i="34"/>
  <c r="G83" i="34"/>
  <c r="H83" i="34"/>
  <c r="I83" i="34"/>
  <c r="J83" i="34"/>
  <c r="K83" i="34"/>
  <c r="L83" i="34"/>
  <c r="M83" i="34"/>
  <c r="N83" i="34"/>
  <c r="O83" i="34"/>
  <c r="P83" i="34"/>
  <c r="Q83" i="34"/>
  <c r="R83" i="34"/>
  <c r="S83" i="34"/>
  <c r="T83" i="34"/>
  <c r="U83" i="34"/>
  <c r="V83" i="34"/>
  <c r="W83" i="34"/>
  <c r="X83" i="34"/>
  <c r="Y83" i="34"/>
  <c r="Z83" i="34"/>
  <c r="AA83" i="34"/>
  <c r="AB83" i="34"/>
  <c r="AC83" i="34"/>
  <c r="F83" i="34"/>
  <c r="F82" i="34"/>
  <c r="F81" i="34"/>
  <c r="A1" i="22" l="1"/>
  <c r="A1" i="27"/>
  <c r="A1" i="29"/>
  <c r="A1" i="9"/>
  <c r="A1" i="25"/>
  <c r="A1" i="7"/>
  <c r="A1" i="14"/>
  <c r="A1" i="1"/>
  <c r="B3" i="1" l="1"/>
  <c r="B8" i="1" s="1"/>
  <c r="X19" i="1"/>
  <c r="W19" i="1"/>
  <c r="V19" i="1"/>
  <c r="U19" i="1"/>
  <c r="T19" i="1"/>
  <c r="S19" i="1"/>
  <c r="R19" i="1"/>
  <c r="Q19" i="1"/>
  <c r="P19" i="1"/>
  <c r="O19" i="1"/>
  <c r="N19" i="1"/>
  <c r="M19" i="1"/>
  <c r="L19" i="1"/>
  <c r="K19" i="1"/>
  <c r="J19" i="1"/>
  <c r="I19" i="1"/>
  <c r="X18" i="1"/>
  <c r="W18" i="1"/>
  <c r="V18" i="1"/>
  <c r="U18" i="1"/>
  <c r="T18" i="1"/>
  <c r="S18" i="1"/>
  <c r="R18" i="1"/>
  <c r="Q18" i="1"/>
  <c r="P18" i="1"/>
  <c r="O18" i="1"/>
  <c r="N18" i="1"/>
  <c r="M18" i="1"/>
  <c r="L18" i="1"/>
  <c r="K18" i="1"/>
  <c r="J18" i="1"/>
  <c r="I18" i="1"/>
  <c r="X14" i="1"/>
  <c r="W14" i="1"/>
  <c r="V14" i="1"/>
  <c r="U14" i="1"/>
  <c r="T14" i="1"/>
  <c r="S14" i="1"/>
  <c r="R14" i="1"/>
  <c r="Q14" i="1"/>
  <c r="P14" i="1"/>
  <c r="O14" i="1"/>
  <c r="N14" i="1"/>
  <c r="M14" i="1"/>
  <c r="L14" i="1"/>
  <c r="K14" i="1"/>
  <c r="J14" i="1"/>
  <c r="I14" i="1"/>
  <c r="X13" i="1"/>
  <c r="W13" i="1"/>
  <c r="V13" i="1"/>
  <c r="U13" i="1"/>
  <c r="T13" i="1"/>
  <c r="S13" i="1"/>
  <c r="R13" i="1"/>
  <c r="Q13" i="1"/>
  <c r="P13" i="1"/>
  <c r="O13" i="1"/>
  <c r="N13" i="1"/>
  <c r="M13" i="1"/>
  <c r="L13" i="1"/>
  <c r="K13" i="1"/>
  <c r="J13" i="1"/>
  <c r="I13" i="1"/>
  <c r="B18" i="1" l="1"/>
  <c r="B13" i="1"/>
  <c r="B19" i="29"/>
  <c r="J33" i="13" l="1"/>
  <c r="J34" i="13"/>
  <c r="J35" i="13"/>
  <c r="J36" i="13"/>
  <c r="J37" i="13"/>
  <c r="J38" i="13"/>
  <c r="J39" i="13"/>
  <c r="J40"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4" i="13"/>
  <c r="J3" i="13"/>
  <c r="B70" i="7" l="1"/>
  <c r="B71" i="7" s="1"/>
  <c r="C4" i="7" l="1"/>
  <c r="A9" i="7" l="1"/>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8" i="7"/>
  <c r="E20" i="9" l="1"/>
  <c r="D20" i="9"/>
  <c r="B20" i="9"/>
  <c r="C20" i="9"/>
  <c r="B25" i="9"/>
  <c r="C12" i="9" s="1"/>
  <c r="C23" i="29"/>
  <c r="C24" i="29"/>
  <c r="C19" i="29" s="1"/>
  <c r="B24" i="9" l="1"/>
  <c r="C13" i="9"/>
  <c r="C10" i="9"/>
  <c r="A12" i="29" l="1"/>
  <c r="A13" i="29"/>
  <c r="A14" i="29"/>
  <c r="A15" i="29"/>
  <c r="A4" i="29"/>
  <c r="A5" i="29"/>
  <c r="A6" i="29"/>
  <c r="A7" i="29"/>
  <c r="A8" i="29"/>
  <c r="A9" i="29"/>
  <c r="A10" i="29"/>
  <c r="A11" i="29"/>
  <c r="A3" i="29"/>
  <c r="A15" i="25"/>
  <c r="A16" i="25"/>
  <c r="A5" i="25"/>
  <c r="A6" i="25"/>
  <c r="A7" i="25"/>
  <c r="A8" i="25"/>
  <c r="A9" i="25"/>
  <c r="A10" i="25"/>
  <c r="A11" i="25"/>
  <c r="A12" i="25"/>
  <c r="A13" i="25"/>
  <c r="A14" i="25"/>
  <c r="A4" i="25"/>
  <c r="C45" i="7"/>
  <c r="C9" i="7"/>
  <c r="D9" i="7"/>
  <c r="F9" i="7" s="1"/>
  <c r="G9" i="7" s="1"/>
  <c r="C10" i="7"/>
  <c r="D10" i="7"/>
  <c r="F10" i="7" s="1"/>
  <c r="G10" i="7" s="1"/>
  <c r="C11" i="7"/>
  <c r="D11" i="7"/>
  <c r="F11" i="7" s="1"/>
  <c r="G11" i="7" s="1"/>
  <c r="C12" i="7"/>
  <c r="D12" i="7"/>
  <c r="F12" i="7" s="1"/>
  <c r="G12" i="7" s="1"/>
  <c r="C13" i="7"/>
  <c r="D13" i="7"/>
  <c r="F13" i="7" s="1"/>
  <c r="G13" i="7" s="1"/>
  <c r="C14" i="7"/>
  <c r="D14" i="7"/>
  <c r="F14" i="7" s="1"/>
  <c r="G14" i="7" s="1"/>
  <c r="C15" i="7"/>
  <c r="D15" i="7"/>
  <c r="F15" i="7" s="1"/>
  <c r="G15" i="7" s="1"/>
  <c r="C16" i="7"/>
  <c r="D16" i="7"/>
  <c r="F16" i="7" s="1"/>
  <c r="G16" i="7" s="1"/>
  <c r="C17" i="7"/>
  <c r="D17" i="7"/>
  <c r="F17" i="7" s="1"/>
  <c r="G17" i="7" s="1"/>
  <c r="C18" i="7"/>
  <c r="D18" i="7"/>
  <c r="F18" i="7" s="1"/>
  <c r="G18" i="7" s="1"/>
  <c r="C19" i="7"/>
  <c r="D19" i="7"/>
  <c r="F19" i="7" s="1"/>
  <c r="G19" i="7" s="1"/>
  <c r="C20" i="7"/>
  <c r="D20" i="7"/>
  <c r="F20" i="7" s="1"/>
  <c r="G20" i="7" s="1"/>
  <c r="C21" i="7"/>
  <c r="D21" i="7"/>
  <c r="F21" i="7" s="1"/>
  <c r="C22" i="7"/>
  <c r="D22" i="7"/>
  <c r="F22" i="7" s="1"/>
  <c r="G22" i="7" s="1"/>
  <c r="C23" i="7"/>
  <c r="D23" i="7"/>
  <c r="F23" i="7" s="1"/>
  <c r="G23" i="7" s="1"/>
  <c r="C24" i="7"/>
  <c r="D24" i="7"/>
  <c r="F24" i="7" s="1"/>
  <c r="G24" i="7" s="1"/>
  <c r="C25" i="7"/>
  <c r="D25" i="7"/>
  <c r="F25" i="7" s="1"/>
  <c r="G25" i="7" s="1"/>
  <c r="C26" i="7"/>
  <c r="D26" i="7"/>
  <c r="F26" i="7" s="1"/>
  <c r="G26" i="7" s="1"/>
  <c r="C27" i="7"/>
  <c r="D27" i="7"/>
  <c r="F27" i="7" s="1"/>
  <c r="G27" i="7" s="1"/>
  <c r="C28" i="7"/>
  <c r="D28" i="7"/>
  <c r="F28" i="7" s="1"/>
  <c r="G28" i="7" s="1"/>
  <c r="C29" i="7"/>
  <c r="D29" i="7"/>
  <c r="F29" i="7" s="1"/>
  <c r="C30" i="7"/>
  <c r="D30" i="7"/>
  <c r="F30" i="7" s="1"/>
  <c r="G30" i="7" s="1"/>
  <c r="C31" i="7"/>
  <c r="D31" i="7"/>
  <c r="F31" i="7" s="1"/>
  <c r="G31" i="7" s="1"/>
  <c r="C32" i="7"/>
  <c r="D32" i="7"/>
  <c r="F32" i="7" s="1"/>
  <c r="G32" i="7" s="1"/>
  <c r="C33" i="7"/>
  <c r="D33" i="7"/>
  <c r="F33" i="7" s="1"/>
  <c r="G33" i="7" s="1"/>
  <c r="C34" i="7"/>
  <c r="D34" i="7"/>
  <c r="F34" i="7" s="1"/>
  <c r="G34" i="7" s="1"/>
  <c r="C35" i="7"/>
  <c r="D35" i="7"/>
  <c r="F35" i="7" s="1"/>
  <c r="G35" i="7" s="1"/>
  <c r="C36" i="7"/>
  <c r="D36" i="7"/>
  <c r="F36" i="7" s="1"/>
  <c r="G36" i="7" s="1"/>
  <c r="C37" i="7"/>
  <c r="D37" i="7"/>
  <c r="F37" i="7" s="1"/>
  <c r="G37" i="7" s="1"/>
  <c r="C38" i="7"/>
  <c r="D38" i="7"/>
  <c r="F38" i="7" s="1"/>
  <c r="G38" i="7" s="1"/>
  <c r="C39" i="7"/>
  <c r="D39" i="7"/>
  <c r="F39" i="7" s="1"/>
  <c r="G39" i="7" s="1"/>
  <c r="C40" i="7"/>
  <c r="D40" i="7"/>
  <c r="F40" i="7" s="1"/>
  <c r="B54" i="7" s="1"/>
  <c r="C54" i="7" s="1"/>
  <c r="C41" i="7"/>
  <c r="D41" i="7"/>
  <c r="F41" i="7" s="1"/>
  <c r="G41" i="7" s="1"/>
  <c r="C42" i="7"/>
  <c r="D42" i="7"/>
  <c r="F42" i="7" s="1"/>
  <c r="G42" i="7" s="1"/>
  <c r="C43" i="7"/>
  <c r="D43" i="7"/>
  <c r="F43" i="7" s="1"/>
  <c r="G43" i="7" s="1"/>
  <c r="C44" i="7"/>
  <c r="D44" i="7"/>
  <c r="F44" i="7" s="1"/>
  <c r="G44" i="7" s="1"/>
  <c r="D45" i="7"/>
  <c r="F45" i="7" s="1"/>
  <c r="G45" i="7" s="1"/>
  <c r="D8" i="7"/>
  <c r="F8" i="7" s="1"/>
  <c r="C8" i="7"/>
  <c r="C4" i="18"/>
  <c r="H4" i="18" s="1"/>
  <c r="D4" i="18"/>
  <c r="J4" i="18" s="1"/>
  <c r="C5" i="18"/>
  <c r="H5" i="18" s="1"/>
  <c r="D5" i="18"/>
  <c r="I5" i="18" s="1"/>
  <c r="C6" i="18"/>
  <c r="H6" i="18" s="1"/>
  <c r="D6" i="18"/>
  <c r="J6" i="18" s="1"/>
  <c r="C7" i="18"/>
  <c r="H7" i="18" s="1"/>
  <c r="D7" i="18"/>
  <c r="I7" i="18" s="1"/>
  <c r="C8" i="18"/>
  <c r="H8" i="18" s="1"/>
  <c r="D8" i="18"/>
  <c r="I8" i="18" s="1"/>
  <c r="C9" i="18"/>
  <c r="H9" i="18" s="1"/>
  <c r="D9" i="18"/>
  <c r="J9" i="18" s="1"/>
  <c r="C10" i="18"/>
  <c r="H10" i="18" s="1"/>
  <c r="D10" i="18"/>
  <c r="I10" i="18" s="1"/>
  <c r="C11" i="18"/>
  <c r="H11" i="18" s="1"/>
  <c r="D11" i="18"/>
  <c r="I11" i="18" s="1"/>
  <c r="C12" i="18"/>
  <c r="H12" i="18" s="1"/>
  <c r="D12" i="18"/>
  <c r="I12" i="18" s="1"/>
  <c r="C13" i="18"/>
  <c r="H13" i="18" s="1"/>
  <c r="D13" i="18"/>
  <c r="I13" i="18" s="1"/>
  <c r="C14" i="18"/>
  <c r="H14" i="18" s="1"/>
  <c r="D14" i="18"/>
  <c r="J14" i="18" s="1"/>
  <c r="C15" i="18"/>
  <c r="H15" i="18" s="1"/>
  <c r="D15" i="18"/>
  <c r="I15" i="18" s="1"/>
  <c r="C16" i="18"/>
  <c r="H16" i="18" s="1"/>
  <c r="D16" i="18"/>
  <c r="I16" i="18" s="1"/>
  <c r="C17" i="18"/>
  <c r="H17" i="18" s="1"/>
  <c r="D17" i="18"/>
  <c r="J17" i="18" s="1"/>
  <c r="C18" i="18"/>
  <c r="H18" i="18" s="1"/>
  <c r="D18" i="18"/>
  <c r="I18" i="18" s="1"/>
  <c r="C19" i="18"/>
  <c r="H19" i="18" s="1"/>
  <c r="D19" i="18"/>
  <c r="J19" i="18" s="1"/>
  <c r="C20" i="18"/>
  <c r="H20" i="18" s="1"/>
  <c r="D20" i="18"/>
  <c r="J20" i="18" s="1"/>
  <c r="C21" i="18"/>
  <c r="H21" i="18" s="1"/>
  <c r="D21" i="18"/>
  <c r="I21" i="18" s="1"/>
  <c r="C22" i="18"/>
  <c r="H22" i="18" s="1"/>
  <c r="D22" i="18"/>
  <c r="I22" i="18" s="1"/>
  <c r="C23" i="18"/>
  <c r="H23" i="18" s="1"/>
  <c r="D23" i="18"/>
  <c r="J23" i="18" s="1"/>
  <c r="C24" i="18"/>
  <c r="H24" i="18" s="1"/>
  <c r="D24" i="18"/>
  <c r="J24" i="18" s="1"/>
  <c r="C25" i="18"/>
  <c r="H25" i="18" s="1"/>
  <c r="D25" i="18"/>
  <c r="I25" i="18" s="1"/>
  <c r="C26" i="18"/>
  <c r="H26" i="18" s="1"/>
  <c r="D26" i="18"/>
  <c r="J26" i="18" s="1"/>
  <c r="C27" i="18"/>
  <c r="H27" i="18" s="1"/>
  <c r="D27" i="18"/>
  <c r="I27" i="18" s="1"/>
  <c r="C28" i="18"/>
  <c r="H28" i="18" s="1"/>
  <c r="D28" i="18"/>
  <c r="J28" i="18" s="1"/>
  <c r="C29" i="18"/>
  <c r="H29" i="18" s="1"/>
  <c r="D29" i="18"/>
  <c r="J29" i="18" s="1"/>
  <c r="C30" i="18"/>
  <c r="H30" i="18" s="1"/>
  <c r="D30" i="18"/>
  <c r="I30" i="18" s="1"/>
  <c r="C31" i="18"/>
  <c r="H31" i="18" s="1"/>
  <c r="D31" i="18"/>
  <c r="J31" i="18" s="1"/>
  <c r="C32" i="18"/>
  <c r="H32" i="18" s="1"/>
  <c r="D32" i="18"/>
  <c r="I32" i="18" s="1"/>
  <c r="C33" i="18"/>
  <c r="H33" i="18" s="1"/>
  <c r="D33" i="18"/>
  <c r="I33" i="18" s="1"/>
  <c r="C34" i="18"/>
  <c r="H34" i="18" s="1"/>
  <c r="D34" i="18"/>
  <c r="I34" i="18" s="1"/>
  <c r="C35" i="18"/>
  <c r="H35" i="18" s="1"/>
  <c r="D35" i="18"/>
  <c r="I35" i="18" s="1"/>
  <c r="C36" i="18"/>
  <c r="H36" i="18" s="1"/>
  <c r="D36" i="18"/>
  <c r="J36" i="18" s="1"/>
  <c r="C37" i="18"/>
  <c r="H37" i="18" s="1"/>
  <c r="D37" i="18"/>
  <c r="I37" i="18" s="1"/>
  <c r="C38" i="18"/>
  <c r="H38" i="18" s="1"/>
  <c r="D38" i="18"/>
  <c r="I38" i="18" s="1"/>
  <c r="C39" i="18"/>
  <c r="H39" i="18" s="1"/>
  <c r="D39" i="18"/>
  <c r="J39" i="18" s="1"/>
  <c r="C40" i="18"/>
  <c r="H40" i="18" s="1"/>
  <c r="D40" i="18"/>
  <c r="J40" i="18" s="1"/>
  <c r="D3" i="18"/>
  <c r="C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3" i="18"/>
  <c r="B53" i="7" l="1"/>
  <c r="C53" i="7" s="1"/>
  <c r="D53" i="7" s="1"/>
  <c r="E53" i="7" s="1"/>
  <c r="B51" i="7"/>
  <c r="B52" i="7"/>
  <c r="C52" i="7" s="1"/>
  <c r="D52" i="7" s="1"/>
  <c r="E52" i="7" s="1"/>
  <c r="I29" i="18"/>
  <c r="I14" i="18"/>
  <c r="J15" i="18"/>
  <c r="K15" i="18" s="1"/>
  <c r="I19" i="18"/>
  <c r="J7" i="18"/>
  <c r="I40" i="18"/>
  <c r="K40" i="18" s="1"/>
  <c r="I31" i="18"/>
  <c r="K31" i="18" s="1"/>
  <c r="J25" i="18"/>
  <c r="K25" i="18" s="1"/>
  <c r="K19" i="18"/>
  <c r="J12" i="18"/>
  <c r="K12" i="18" s="1"/>
  <c r="J37" i="18"/>
  <c r="I24" i="18"/>
  <c r="K24" i="18" s="1"/>
  <c r="I39" i="18"/>
  <c r="K39" i="18" s="1"/>
  <c r="J35" i="18"/>
  <c r="K35" i="18" s="1"/>
  <c r="I28" i="18"/>
  <c r="K28" i="18" s="1"/>
  <c r="J34" i="18"/>
  <c r="K34" i="18" s="1"/>
  <c r="I4" i="18"/>
  <c r="K4" i="18" s="1"/>
  <c r="I17" i="18"/>
  <c r="K17" i="18" s="1"/>
  <c r="I36" i="18"/>
  <c r="K36" i="18" s="1"/>
  <c r="I23" i="18"/>
  <c r="K23" i="18" s="1"/>
  <c r="I26" i="18"/>
  <c r="K26" i="18" s="1"/>
  <c r="I20" i="18"/>
  <c r="K20" i="18" s="1"/>
  <c r="I9" i="18"/>
  <c r="K9" i="18" s="1"/>
  <c r="J8" i="18"/>
  <c r="K8" i="18" s="1"/>
  <c r="I6" i="18"/>
  <c r="K6" i="18" s="1"/>
  <c r="K14" i="18"/>
  <c r="K7" i="18"/>
  <c r="J18" i="18"/>
  <c r="K18" i="18" s="1"/>
  <c r="J13" i="18"/>
  <c r="K13" i="18" s="1"/>
  <c r="G40" i="7"/>
  <c r="D54" i="7"/>
  <c r="E54" i="7" s="1"/>
  <c r="G21" i="7"/>
  <c r="G29" i="7"/>
  <c r="K37" i="18"/>
  <c r="K29" i="18"/>
  <c r="J30" i="18"/>
  <c r="K30" i="18" s="1"/>
  <c r="C46" i="7"/>
  <c r="G8" i="7"/>
  <c r="F46" i="7"/>
  <c r="D46" i="7"/>
  <c r="J32" i="18"/>
  <c r="K32" i="18" s="1"/>
  <c r="J21" i="18"/>
  <c r="K21" i="18" s="1"/>
  <c r="J10" i="18"/>
  <c r="K10" i="18" s="1"/>
  <c r="J38" i="18"/>
  <c r="K38" i="18" s="1"/>
  <c r="J27" i="18"/>
  <c r="K27" i="18" s="1"/>
  <c r="J16" i="18"/>
  <c r="K16" i="18" s="1"/>
  <c r="J5" i="18"/>
  <c r="K5" i="18" s="1"/>
  <c r="J33" i="18"/>
  <c r="K33" i="18" s="1"/>
  <c r="J22" i="18"/>
  <c r="K22" i="18" s="1"/>
  <c r="J11" i="18"/>
  <c r="K11" i="18" s="1"/>
  <c r="C51" i="7" l="1"/>
  <c r="B50" i="7"/>
  <c r="D51" i="7"/>
  <c r="E51" i="7" s="1"/>
  <c r="B55" i="7"/>
  <c r="C55" i="7" s="1"/>
  <c r="D24" i="14"/>
  <c r="F50" i="7" l="1"/>
  <c r="C50" i="7"/>
  <c r="D50" i="7" s="1"/>
  <c r="E50" i="7" s="1"/>
  <c r="H41" i="13"/>
  <c r="G41" i="13"/>
  <c r="J41" i="13"/>
  <c r="C41" i="18" s="1"/>
  <c r="G50" i="7" l="1"/>
  <c r="D3" i="7"/>
  <c r="F41" i="13"/>
  <c r="D41" i="18"/>
  <c r="G11" i="9"/>
  <c r="G10" i="9"/>
  <c r="I50" i="7" l="1"/>
  <c r="E3" i="7"/>
  <c r="A41" i="18"/>
  <c r="B41" i="18"/>
  <c r="G13" i="9" l="1"/>
  <c r="F4" i="13" l="1"/>
  <c r="F26" i="13"/>
  <c r="F28" i="13"/>
  <c r="F29" i="13"/>
  <c r="F30" i="13"/>
  <c r="F31" i="13"/>
  <c r="F32" i="13"/>
  <c r="F33" i="13"/>
  <c r="F34" i="13"/>
  <c r="F36" i="13"/>
  <c r="F37" i="13"/>
  <c r="F38" i="13"/>
  <c r="F18" i="13"/>
  <c r="F3" i="13"/>
  <c r="F5" i="13"/>
  <c r="F27" i="13"/>
  <c r="F6" i="13"/>
  <c r="F7" i="13"/>
  <c r="F8" i="13"/>
  <c r="F9" i="13"/>
  <c r="F10" i="13"/>
  <c r="F11" i="13"/>
  <c r="F12" i="13"/>
  <c r="F14" i="13"/>
  <c r="F15" i="13"/>
  <c r="F16" i="13"/>
  <c r="F17" i="13"/>
  <c r="F39" i="13"/>
  <c r="F40" i="13"/>
  <c r="F19" i="13"/>
  <c r="F20" i="13"/>
  <c r="F21" i="13"/>
  <c r="F22" i="13"/>
  <c r="F23" i="13"/>
  <c r="F24" i="13"/>
  <c r="F25" i="13"/>
  <c r="F13" i="13"/>
  <c r="F35" i="13"/>
  <c r="G46" i="7" l="1"/>
  <c r="A7" i="9"/>
  <c r="A1" i="18"/>
  <c r="B65" i="7"/>
  <c r="A4" i="21" l="1"/>
  <c r="G12" i="9"/>
  <c r="G15" i="9" s="1"/>
  <c r="F55" i="7" l="1"/>
  <c r="D4" i="7" s="1"/>
  <c r="D55" i="7"/>
  <c r="E55" i="7" s="1"/>
  <c r="G9" i="9"/>
  <c r="A1" i="31"/>
  <c r="G55" i="7" l="1"/>
  <c r="F54" i="7"/>
  <c r="F53" i="7"/>
  <c r="G53" i="7" s="1"/>
  <c r="I53" i="7" s="1"/>
  <c r="F52" i="7"/>
  <c r="G52" i="7" s="1"/>
  <c r="I52" i="7" s="1"/>
  <c r="F51" i="7"/>
  <c r="G14" i="9"/>
  <c r="A3" i="9" s="1"/>
  <c r="G51" i="7" l="1"/>
  <c r="I51" i="7" s="1"/>
  <c r="E4" i="7"/>
  <c r="I55" i="7"/>
  <c r="G54" i="7"/>
  <c r="I54" i="7" s="1"/>
  <c r="G16" i="9"/>
  <c r="B3" i="9"/>
  <c r="C3" i="9" l="1"/>
  <c r="J3" i="18"/>
  <c r="J41" i="18" s="1"/>
  <c r="I3" i="18" l="1"/>
  <c r="I41" i="18" s="1"/>
  <c r="H3" i="18"/>
  <c r="H41" i="18" s="1"/>
  <c r="K3" i="18" l="1"/>
  <c r="K41" i="18" s="1"/>
  <c r="A1" i="13" l="1"/>
  <c r="H5" i="21" l="1"/>
  <c r="H6" i="21"/>
  <c r="H7" i="21"/>
  <c r="H8" i="21"/>
  <c r="H9" i="21"/>
  <c r="H10" i="21"/>
  <c r="H11" i="21"/>
  <c r="H12" i="21"/>
  <c r="H13" i="21"/>
  <c r="H14" i="21"/>
  <c r="H15" i="21"/>
  <c r="H16" i="21"/>
  <c r="H17" i="21"/>
  <c r="H18" i="21"/>
  <c r="H19" i="21"/>
  <c r="H4" i="21"/>
</calcChain>
</file>

<file path=xl/sharedStrings.xml><?xml version="1.0" encoding="utf-8"?>
<sst xmlns="http://schemas.openxmlformats.org/spreadsheetml/2006/main" count="1181" uniqueCount="589">
  <si>
    <t>Data Sources</t>
  </si>
  <si>
    <t>Dataset</t>
  </si>
  <si>
    <t>Dodge 2023</t>
  </si>
  <si>
    <t>CEUS 2022</t>
  </si>
  <si>
    <t>ComStock 2023</t>
  </si>
  <si>
    <t>Prototype</t>
  </si>
  <si>
    <t>CEC School prototype (CBECC 2022.3.1)</t>
  </si>
  <si>
    <t>https://bees.noresco.com/software2022.html</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</si>
  <si>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</si>
  <si>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</si>
  <si>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</si>
  <si>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</si>
  <si>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</si>
  <si>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</si>
  <si>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</si>
  <si>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</si>
  <si>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</si>
  <si>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</si>
  <si>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</si>
  <si>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</si>
  <si>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</si>
  <si>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</si>
  <si>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</si>
  <si>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2010</t>
  </si>
  <si>
    <t>file:///N:/Prj_SUS/2023/S23668%20SCE%20CA%20Prototypes%20Development/Technical/NR/0_Input%20data/Lighting/PNNL-20405.pdf</t>
  </si>
  <si>
    <t>Air leakage Memo, NORESCO, 2025</t>
  </si>
  <si>
    <t>Infiltration_rate_report_14May2025-Short-Version.docx</t>
  </si>
  <si>
    <t>Construction Rate</t>
  </si>
  <si>
    <t>Notes</t>
  </si>
  <si>
    <t>2025 T24</t>
  </si>
  <si>
    <t>School Building includes four individual buildings, including north classroom, westclassroom, kindergarten, and MPR/Admin.</t>
  </si>
  <si>
    <t>NORESCO, Updated September 2025</t>
  </si>
  <si>
    <t>SchoolK-8</t>
  </si>
  <si>
    <t>Characteristic</t>
  </si>
  <si>
    <t>Value</t>
  </si>
  <si>
    <t>Building Type</t>
  </si>
  <si>
    <t>K-8 School</t>
  </si>
  <si>
    <t>Building Category</t>
  </si>
  <si>
    <t>Nonresidential</t>
  </si>
  <si>
    <t>Vintages</t>
  </si>
  <si>
    <t>4 Vintages: Pre-1978, 1978-1997,1998-2007, 2008-2018
New Construction (2019+)</t>
  </si>
  <si>
    <t xml:space="preserve">Based on the vintage bin analysis
</t>
  </si>
  <si>
    <t>NonRes-Vintage bins-Draft Report-30Nov2023-Final.docx</t>
  </si>
  <si>
    <t>Shape</t>
  </si>
  <si>
    <t xml:space="preserve">The analysis uses prototype geometry originally developed by CEC. </t>
  </si>
  <si>
    <t>Total Floor Area (ft²)</t>
  </si>
  <si>
    <t>Same as CEC</t>
  </si>
  <si>
    <t>Aspect Ratio</t>
  </si>
  <si>
    <t>It varies for different buildings.</t>
  </si>
  <si>
    <t>Number of Floors</t>
  </si>
  <si>
    <t>Roof type</t>
  </si>
  <si>
    <t>Flat</t>
  </si>
  <si>
    <t>WWR</t>
  </si>
  <si>
    <t>Shading Geometry</t>
  </si>
  <si>
    <t xml:space="preserve">No Shades </t>
  </si>
  <si>
    <t>Floor to floor height (feet)</t>
  </si>
  <si>
    <t>It varies for different buildings:
MPR/Admin: 14-25
Other buildings: 14 ft</t>
  </si>
  <si>
    <t>Floor to ceiling height (feet)</t>
  </si>
  <si>
    <t>Glazing sill height (feet)</t>
  </si>
  <si>
    <t>Above grade wall area (ft²)</t>
  </si>
  <si>
    <t>Gross wall area  (ft²)</t>
  </si>
  <si>
    <t>Roof area  (ft²)</t>
  </si>
  <si>
    <t>Underground Gross Wall Area  (ft²)</t>
  </si>
  <si>
    <t>Space Type</t>
  </si>
  <si>
    <t>Space/Thermal Zone</t>
  </si>
  <si>
    <t>HVAC System Name/AHU Name</t>
  </si>
  <si>
    <t>Schedule Category</t>
  </si>
  <si>
    <t>Conditioned (Y/N)</t>
  </si>
  <si>
    <t>Area Fraction</t>
  </si>
  <si>
    <t>Area (ft²)</t>
  </si>
  <si>
    <t>Volume (ft³)</t>
  </si>
  <si>
    <t>Multipliers</t>
  </si>
  <si>
    <t>Number of People</t>
  </si>
  <si>
    <t xml:space="preserve">People 
(Persons/1,000 ft²)
[T24, 2025,Table 120.1-A] </t>
  </si>
  <si>
    <t>Lounge, Breakroom, or Waiting Area</t>
  </si>
  <si>
    <t>Admin/MPR_Breakroom_Zn</t>
  </si>
  <si>
    <t>AHU-1</t>
  </si>
  <si>
    <t>MPR</t>
  </si>
  <si>
    <t>Y</t>
  </si>
  <si>
    <t>Convention, Conference, Multipurpose and Meeting Area</t>
  </si>
  <si>
    <t>Admin/MPR_Conference Room Zns 3_Zn</t>
  </si>
  <si>
    <t>AHU-2</t>
  </si>
  <si>
    <t>Corridor Area</t>
  </si>
  <si>
    <t>Admin/MPR_Corridor_Zn</t>
  </si>
  <si>
    <t>AHU-3</t>
  </si>
  <si>
    <t>Electrical, Mechanical, Telephone Rooms</t>
  </si>
  <si>
    <t>Admin/MPR_EMT_Zn</t>
  </si>
  <si>
    <t>AHU-4</t>
  </si>
  <si>
    <t>Admin/MPR_IDF Room_Zn</t>
  </si>
  <si>
    <t>AHU-5</t>
  </si>
  <si>
    <t>Kitchen/Food Preparation Area</t>
  </si>
  <si>
    <t>Admin/MPR_Kitchen_Zn</t>
  </si>
  <si>
    <t>AHU-6</t>
  </si>
  <si>
    <t>Kitchen</t>
  </si>
  <si>
    <t>Lobby, Main Entry</t>
  </si>
  <si>
    <t>Admin/MPR_Lobby_Zn</t>
  </si>
  <si>
    <t>AHU-7</t>
  </si>
  <si>
    <t>Admin/MPR_Multipurpose Room Zns 3_Zn</t>
  </si>
  <si>
    <t>AHU-8</t>
  </si>
  <si>
    <t>Office Area (&lt;250 square feet)</t>
  </si>
  <si>
    <t>Admin/MPR_Office - LT 250 sf Zns 6_Zn</t>
  </si>
  <si>
    <t>AHU-9</t>
  </si>
  <si>
    <t>Restrooms</t>
  </si>
  <si>
    <t>Admin/MPR_Restroom Zns 3_Zn</t>
  </si>
  <si>
    <t>AHU-10</t>
  </si>
  <si>
    <t>Storage (General)</t>
  </si>
  <si>
    <t>Admin/MPR_Storage - General_Zn</t>
  </si>
  <si>
    <t>AHU-11</t>
  </si>
  <si>
    <t>Storage, Commercial/Industrial (Refrigerated)</t>
  </si>
  <si>
    <t>Admin/MPR_Storage - Refrigerated_Zn</t>
  </si>
  <si>
    <t>AHU-12</t>
  </si>
  <si>
    <t>Theater Area (Performance)</t>
  </si>
  <si>
    <t>Admin/MPR_Theater - Performance_Zn</t>
  </si>
  <si>
    <t>AHU-13</t>
  </si>
  <si>
    <t>Classroom, Lecture, Training, Vocational Areas</t>
  </si>
  <si>
    <t>Classrm N_Flr 1_Classroom-01_Zn</t>
  </si>
  <si>
    <t>AHU-14</t>
  </si>
  <si>
    <t>Classroom</t>
  </si>
  <si>
    <t>Classrm N_Flr 1_Classroom-02 Zns 6_Zn</t>
  </si>
  <si>
    <t>AHU-15</t>
  </si>
  <si>
    <t>Classrm N_Flr 1_Office - LT 250 sf_Zn</t>
  </si>
  <si>
    <t>AHU-16</t>
  </si>
  <si>
    <t>Classrm N_Flr 1_Restroom_Zn</t>
  </si>
  <si>
    <t>AHU-17</t>
  </si>
  <si>
    <t>Classrm N_Flr 2_Classroom-01 Zns 6_Zn</t>
  </si>
  <si>
    <t>AHU-18</t>
  </si>
  <si>
    <t>Classrm N_Flr 2_Classroom-02_Zn</t>
  </si>
  <si>
    <t>AHU-19</t>
  </si>
  <si>
    <t>Classrm N_Flr 2_Office - LT 250 sf_Zn</t>
  </si>
  <si>
    <t>AHU-20</t>
  </si>
  <si>
    <t>Classrm N_Flr 2_Restroom_Zn</t>
  </si>
  <si>
    <t>AHU-21</t>
  </si>
  <si>
    <t>Classrm W_Flr 1_Classroom Zns 2_Zn</t>
  </si>
  <si>
    <t>AHU-22</t>
  </si>
  <si>
    <t>Classrm W_Flr 1_EMT-01_Zn</t>
  </si>
  <si>
    <t>AHU-23</t>
  </si>
  <si>
    <t>Classrm W_Flr 1_EMT-02_Zn</t>
  </si>
  <si>
    <t>AHU-24</t>
  </si>
  <si>
    <t>Library (Reading Area)</t>
  </si>
  <si>
    <t>Classrm W_Flr 1_Library - Reading Area_Zn</t>
  </si>
  <si>
    <t>AHU-25</t>
  </si>
  <si>
    <t>Classrm W_Flr 1_Restroom_Zn</t>
  </si>
  <si>
    <t>AHU-26</t>
  </si>
  <si>
    <t>Classrm W_Flr 1_Storage - General_Zn</t>
  </si>
  <si>
    <t>AHU-27</t>
  </si>
  <si>
    <t>Classrm W_Flr 2_Classroom-01 Zns 3_Zn</t>
  </si>
  <si>
    <t>AHU-28</t>
  </si>
  <si>
    <t>Classrm W_Flr 2_Classroom-02_Zn</t>
  </si>
  <si>
    <t>AHU-29</t>
  </si>
  <si>
    <t>Classrm W_Flr 2_IDF Room_Zn</t>
  </si>
  <si>
    <t>AHU-30</t>
  </si>
  <si>
    <t>Classrm W_Flr 2_Restroom_Zn</t>
  </si>
  <si>
    <t>AHU-31</t>
  </si>
  <si>
    <t>Classrm W_Flr 2_Storage - General_Zn</t>
  </si>
  <si>
    <t>AHU-32</t>
  </si>
  <si>
    <t>Kindergarten_Classroom-01_Zn</t>
  </si>
  <si>
    <t>AHU-33</t>
  </si>
  <si>
    <t>Kindergarten_Classroom-02_Zn</t>
  </si>
  <si>
    <t>AHU-34</t>
  </si>
  <si>
    <t>Kindergarten_EMT_Zn</t>
  </si>
  <si>
    <t>AHU-35</t>
  </si>
  <si>
    <t>Kindergarten_IDF Room_Zn</t>
  </si>
  <si>
    <t>AHU-36</t>
  </si>
  <si>
    <t>Kindergarten_Restroom_Zn</t>
  </si>
  <si>
    <t>AHU-37</t>
  </si>
  <si>
    <t>Kindergarten_Storage - General_Zn</t>
  </si>
  <si>
    <t>AHU-38</t>
  </si>
  <si>
    <t>Total (15 Space types)</t>
  </si>
  <si>
    <t>Total (38 spaces)</t>
  </si>
  <si>
    <t>Total ( 5 HVAC zones)</t>
  </si>
  <si>
    <t>Total (4 Schedule categories))</t>
  </si>
  <si>
    <t xml:space="preserve"> Total (38 Conditioned zones)</t>
  </si>
  <si>
    <t>Background Data [To be deleted prior to publication]</t>
  </si>
  <si>
    <t>Fraction Convected</t>
  </si>
  <si>
    <t>Sensible Fraction Calculation</t>
  </si>
  <si>
    <t>Activity level</t>
  </si>
  <si>
    <t>ASHRAE 55 Warnings</t>
  </si>
  <si>
    <t>Carbon Dioxide Generation Rate</t>
  </si>
  <si>
    <t>Nominal Minimum Number of People</t>
  </si>
  <si>
    <t>Nominal Maximum Number of People</t>
  </si>
  <si>
    <t>ADMIN/MPR_BREAKROOM PEOPLE ACTIVITY LEVEL</t>
  </si>
  <si>
    <t>No</t>
  </si>
  <si>
    <t>ADMIN/MPR_CONFERENCE ROOM ZNS 3 PEOPLE ACTIVITY LEVEL</t>
  </si>
  <si>
    <t>ADMIN/MPR_CORRIDOR PEOPLE ACTIVITY LEVEL</t>
  </si>
  <si>
    <t>ADMIN/MPR_EMT PEOPLE ACTIVITY LEVEL</t>
  </si>
  <si>
    <t>ADMIN/MPR_IDF ROOM PEOPLE ACTIVITY LEVEL</t>
  </si>
  <si>
    <t>ADMIN/MPR_KITCHEN PEOPLE ACTIVITY LEVEL</t>
  </si>
  <si>
    <t>ADMIN/MPR_LOBBY PEOPLE ACTIVITY LEVEL</t>
  </si>
  <si>
    <t>ADMIN/MPR_MULTIPURPOSE ROOM ZNS 3 PEOPLE ACTIVITY LEVEL</t>
  </si>
  <si>
    <t>ADMIN/MPR_OFFICE - LT 250 SF ZNS 6 PEOPLE ACTIVITY LEVEL</t>
  </si>
  <si>
    <t>ADMIN/MPR_RESTROOM ZNS 3 PEOPLE ACTIVITY LEVEL</t>
  </si>
  <si>
    <t>ADMIN/MPR_STORAGE - GENERAL PEOPLE ACTIVITY LEVEL</t>
  </si>
  <si>
    <t>ADMIN/MPR_THEATER - PERFORMANCE PEOPLE ACTIVITY LEVEL</t>
  </si>
  <si>
    <t>CLASSRM N_FLR 1_CLASSROOM-01 PEOPLE ACTIVITY LEVEL</t>
  </si>
  <si>
    <t>CLASSRM N_FLR 1_CLASSROOM-02 ZNS 6 PEOPLE ACTIVITY LEVEL</t>
  </si>
  <si>
    <t>CLASSRM N_FLR 1_OFFICE - LT 250 SF PEOPLE ACTIVITY LEVEL</t>
  </si>
  <si>
    <t>CLASSRM N_FLR 1_RESTROOM PEOPLE ACTIVITY LEVEL</t>
  </si>
  <si>
    <t>CLASSRM N_FLR 2_CLASSROOM-01 ZNS 6 PEOPLE ACTIVITY LEVEL</t>
  </si>
  <si>
    <t>CLASSRM N_FLR 2_CLASSROOM-02 PEOPLE ACTIVITY LEVEL</t>
  </si>
  <si>
    <t>CLASSRM N_FLR 2_OFFICE - LT 250 SF PEOPLE ACTIVITY LEVEL</t>
  </si>
  <si>
    <t>CLASSRM N_FLR 2_RESTROOM PEOPLE ACTIVITY LEVEL</t>
  </si>
  <si>
    <t>CLASSRM W_FLR 1_CLASSROOM ZNS 2 PEOPLE ACTIVITY LEVEL</t>
  </si>
  <si>
    <t>CLASSRM W_FLR 1_EMT-01 PEOPLE ACTIVITY LEVEL</t>
  </si>
  <si>
    <t>CLASSRM W_FLR 1_EMT-02 PEOPLE ACTIVITY LEVEL</t>
  </si>
  <si>
    <t>CLASSRM W_FLR 1_LIBRARY - READING AREA PEOPLE ACTIVITY LEVEL</t>
  </si>
  <si>
    <t>CLASSRM W_FLR 1_RESTROOM PEOPLE ACTIVITY LEVEL</t>
  </si>
  <si>
    <t>CLASSRM W_FLR 1_STORAGE - GENERAL PEOPLE ACTIVITY LEVEL</t>
  </si>
  <si>
    <t>CLASSRM W_FLR 2_CLASSROOM-01 ZNS 3 PEOPLE ACTIVITY LEVEL</t>
  </si>
  <si>
    <t>CLASSRM W_FLR 2_CLASSROOM-02 PEOPLE ACTIVITY LEVEL</t>
  </si>
  <si>
    <t>CLASSRM W_FLR 2_IDF ROOM PEOPLE ACTIVITY LEVEL</t>
  </si>
  <si>
    <t>CLASSRM W_FLR 2_RESTROOM PEOPLE ACTIVITY LEVEL</t>
  </si>
  <si>
    <t>CLASSRM W_FLR 2_STORAGE - GENERAL PEOPLE ACTIVITY LEVEL</t>
  </si>
  <si>
    <t>KINDERGARTEN_CLASSROOM-01 PEOPLE ACTIVITY LEVEL</t>
  </si>
  <si>
    <t>KINDERGARTEN_CLASSROOM-02 PEOPLE ACTIVITY LEVEL</t>
  </si>
  <si>
    <t>KINDERGARTEN_EMT PEOPLE ACTIVITY LEVEL</t>
  </si>
  <si>
    <t>KINDERGARTEN_IDF ROOM PEOPLE ACTIVITY LEVEL</t>
  </si>
  <si>
    <t>KINDERGARTEN_RESTROOM PEOPLE ACTIVITY LEVEL</t>
  </si>
  <si>
    <t>KINDERGARTEN_STORAGE - GENERAL PEOPLE ACTIVITY LEVEL</t>
  </si>
  <si>
    <t>Element</t>
  </si>
  <si>
    <t>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</si>
  <si>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</si>
  <si>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</si>
  <si>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</si>
  <si>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</si>
  <si>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</si>
  <si>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</si>
  <si>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</si>
  <si>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</si>
  <si>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</si>
  <si>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</si>
  <si>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</si>
  <si>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</si>
  <si>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</si>
  <si>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</si>
  <si>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</si>
  <si>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</si>
  <si>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</si>
  <si>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</si>
  <si>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</si>
  <si>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</si>
  <si>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</si>
  <si>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</si>
  <si>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</si>
  <si>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 + insulation + Gypsum board</t>
  </si>
  <si>
    <t>U-value IP</t>
  </si>
  <si>
    <t>Pre 1978</t>
  </si>
  <si>
    <t>N/A</t>
  </si>
  <si>
    <t>ASHRAE 90.1, 2022, Table A3.4.3.1, 3.5", R-0</t>
  </si>
  <si>
    <t>1978-1997</t>
  </si>
  <si>
    <t xml:space="preserve">Table 2-53V-16: Package A/ Heat Capacity was considered 10.0-14.99 (BTU/F/ft²) </t>
  </si>
  <si>
    <t>1998-2007</t>
  </si>
  <si>
    <t>Table 1-H</t>
  </si>
  <si>
    <t>2008-2018</t>
  </si>
  <si>
    <t>Table 140.3-B</t>
  </si>
  <si>
    <t>2019+</t>
  </si>
  <si>
    <t>Roof</t>
  </si>
  <si>
    <t>FlatRoof_WoodFramedAndOther_NonRes</t>
  </si>
  <si>
    <t>Built-up Roof
roof membrane+roof insulation+metal decking</t>
  </si>
  <si>
    <t>Table 2-53V-16: Considering 30 years for roof/ insulation replacement.</t>
  </si>
  <si>
    <t>Windows</t>
  </si>
  <si>
    <t>FixedWindow_NonRes</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</si>
  <si>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</si>
  <si>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</si>
  <si>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</si>
  <si>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</si>
  <si>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</si>
  <si>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Table 1-H - WWR:31-40% / SHGC non-north</t>
  </si>
  <si>
    <t>Infiltration</t>
  </si>
  <si>
    <t>I_75
6-Sided Inifltration rate 
@ 75 pa</t>
  </si>
  <si>
    <t xml:space="preserve"> I-design (cfm/ft²) 
(4-sided Infiltration rate at normal presure) 
(Design flow rate approach and Flow/Exterior Wall Area calulation method) </t>
  </si>
  <si>
    <t>2022 CASE report (Table 38)</t>
  </si>
  <si>
    <t>2022 CASE report (Table 38) &amp;
T24, 2008-2016 (Table 140.3-B)--Air barrier is required in CZ 10-16</t>
  </si>
  <si>
    <t>2022 CASE report (Table 38) &amp;  
T24, 2025 (Table 140.3-B)--Air barrier is required in all CZs</t>
  </si>
  <si>
    <t>Source:  T24 air barrier requirements (all editions) and the standardized infiltration rate reported in the 2022 CASE report and Dodge 2023 data</t>
  </si>
  <si>
    <t xml:space="preserve">Air Lekage Memo: </t>
  </si>
  <si>
    <t>Zones</t>
  </si>
  <si>
    <t xml:space="preserve">Heating </t>
  </si>
  <si>
    <t>Cooling</t>
  </si>
  <si>
    <t>Air Distribution</t>
  </si>
  <si>
    <t>Source</t>
  </si>
  <si>
    <t>Exisiting</t>
  </si>
  <si>
    <t>All Space Types</t>
  </si>
  <si>
    <t>Gas Furnace</t>
  </si>
  <si>
    <t>PSZAC (DX cooling)</t>
  </si>
  <si>
    <t>CAV</t>
  </si>
  <si>
    <t>Engineering Judgement</t>
  </si>
  <si>
    <t>System 3a</t>
  </si>
  <si>
    <t>New Construction</t>
  </si>
  <si>
    <t>SZHP</t>
  </si>
  <si>
    <t>ACM 2025</t>
  </si>
  <si>
    <t>System 3b</t>
  </si>
  <si>
    <t xml:space="preserve">Efficiency of HVAC system </t>
  </si>
  <si>
    <t>Upgrade/Installed year</t>
  </si>
  <si>
    <t>Heating DX</t>
  </si>
  <si>
    <t>Cooling DX</t>
  </si>
  <si>
    <t xml:space="preserve">Sources </t>
  </si>
  <si>
    <t xml:space="preserve">Thermal Efficiency of 80%
</t>
  </si>
  <si>
    <t>n/a</t>
  </si>
  <si>
    <t xml:space="preserve"> EER 11.2 for &lt;65 kBtu/h
EER 10.3 for 65-135 kBtu/h
</t>
  </si>
  <si>
    <t>2005 Title 20 Appliance Efficiency Regulations, 2005 T24 Standards, Tables 112-A, 112-B</t>
  </si>
  <si>
    <t>EER 11.2 for &lt;65 kBtu/h
EER 10.3 for  65-135 kBtu/h</t>
  </si>
  <si>
    <t>2013 Title 20 Appliance Efficiency Regulations, 2013 T24 Tables 112-A, 112-B</t>
  </si>
  <si>
    <t xml:space="preserve">Heating @ 47 °F : COP = Federal Minimum COP : 3.3
Heating @ 17 °F : COP = Title 24 Table 110.2-B: COP : 2.25
</t>
  </si>
  <si>
    <t>EER 11.2 for &lt;65 kBtu/h
EER 11, COP fed min for 65-135 kBtu/h</t>
  </si>
  <si>
    <t>Title 20 Appliance Efficiency Regulations, T24, 2025, Tables 110.2-A, 110.2-B</t>
  </si>
  <si>
    <t>* Et = Combustion efficiency</t>
  </si>
  <si>
    <t>* Et = Thermal efficiency</t>
  </si>
  <si>
    <t>Fan power</t>
  </si>
  <si>
    <t>Approach</t>
  </si>
  <si>
    <t>System</t>
  </si>
  <si>
    <t>Total Static Pressure (TSP)
in w.c.
[PNNL 20405, 2010, Table 5.11]</t>
  </si>
  <si>
    <t>Fan Efficiency
[ACM, 2025]</t>
  </si>
  <si>
    <t>Fan Motor and Drive Efficiency 
[ACM 2025, Table 14]</t>
  </si>
  <si>
    <t>W/cfm
[ACM 2025, Table 15]</t>
  </si>
  <si>
    <t>Data Source</t>
  </si>
  <si>
    <t>Existing</t>
  </si>
  <si>
    <t>PNNL TSP</t>
  </si>
  <si>
    <t xml:space="preserve">CAV </t>
  </si>
  <si>
    <t>2.5 for CAV &lt;7,437 cfm
4.09 for CAV &gt;=7,437 cfm</t>
  </si>
  <si>
    <t>PNNL 2010 TSD</t>
  </si>
  <si>
    <t>Brake horse power (bhp)=(Supply cfm*TSP in w.c.)/(6356*Fan efficiency)</t>
  </si>
  <si>
    <t>Fan power (w/cfm) = bhp/motor and drive efficiency *746</t>
  </si>
  <si>
    <t>SZHP&gt;10,000</t>
  </si>
  <si>
    <t>2025 ACM</t>
  </si>
  <si>
    <t>* 0.9 is an average fan efficiency according to ACM 2025, Table 14</t>
  </si>
  <si>
    <t>Fan total eff (E+ input) = 0.65 x Motor_eff</t>
  </si>
  <si>
    <t>TSP (E+ input) in w.c. = Motor_eff/746 x (6356 x Fan_eff) x W/cfm</t>
  </si>
  <si>
    <t>Fan_eff=0.65</t>
  </si>
  <si>
    <t>Statewide</t>
  </si>
  <si>
    <t>Setpoint</t>
  </si>
  <si>
    <t>School Heating Setpoint (F)</t>
  </si>
  <si>
    <t>T24 2022 - Appendix 5.4B</t>
  </si>
  <si>
    <t>School Heating Setback (F)</t>
  </si>
  <si>
    <t>School Cooling Setpoint (F)</t>
  </si>
  <si>
    <t>School Cooling Setback (F)</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</si>
  <si>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</si>
  <si>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</si>
  <si>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</si>
  <si>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</si>
  <si>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</si>
  <si>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</si>
  <si>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</si>
  <si>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</si>
  <si>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WH Type</t>
  </si>
  <si>
    <t>Efficiency</t>
  </si>
  <si>
    <t>Tank Volume (gal)</t>
  </si>
  <si>
    <t>Tank Loss</t>
  </si>
  <si>
    <t xml:space="preserve">Existing  </t>
  </si>
  <si>
    <t>Electric</t>
  </si>
  <si>
    <t>%hr</t>
  </si>
  <si>
    <t>HPWH</t>
  </si>
  <si>
    <t xml:space="preserve">- Section 1605.1. Federal and State Standards for Federally-Regulated Appliances.
- HPWH is required in climate zones 2-15, with UEF of 2.25.
</t>
  </si>
  <si>
    <t>Peak Hot Water Consumption</t>
  </si>
  <si>
    <t>Space Name</t>
  </si>
  <si>
    <t>Baseline WH Type
[T24, 2022, Appendix 5.4A , sheet: "2022 SpaceFuncData-Input"]</t>
  </si>
  <si>
    <t xml:space="preserve"> Total Area (ft²) </t>
  </si>
  <si>
    <t xml:space="preserve"> Number of People </t>
  </si>
  <si>
    <t xml:space="preserve"> Hot Water Usage Specification
(gal/hr per person) 
[T24, 2022, Appendix 5.4A , sheet: "2022 SpaceFuncData-Input"] </t>
  </si>
  <si>
    <t>Peak Hot Water Usage
(gal/hr)</t>
  </si>
  <si>
    <t xml:space="preserve"> Peak Hot Water Usage
(gal/min) </t>
  </si>
  <si>
    <t>Total</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</si>
  <si>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</si>
  <si>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</si>
  <si>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</si>
  <si>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</si>
  <si>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</si>
  <si>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</si>
  <si>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Unit</t>
  </si>
  <si>
    <t>Off/On Cycle Loss Coefficient to Ambient Temp (Btu/h-F)</t>
  </si>
  <si>
    <t xml:space="preserve">
- Tank size equation: 2022/2025 Nonres &amp; MF ACM, §5.9.2 ‘Storage Volume
- Heat output equation: Nonres/MF ACM 2019/2022/2025, §5.9.2 ‘Rated Capacity
- Input capacity / efficiency source: ACM §5.9.2 ‘Rated Capacity’ + Title 20 CCR §1605.1(f), Tables F-2/F-4 (Appliance Efficiency Regulations)
- Standby loss equation (STBY in Btu/h): ACM §5.9.2 ‘Tank Standby Loss’; test method parameters from Title 20 Appliance Efficiency Regs, Section 1604(f).
- Standby-loss limit Sₘₐₓ (%/h): 42 U.S.C. §6313(a)(5)(A); DOE 10 CFR Part 431 Subpart G; adopted in California Title 20 CCR §1605.1(f), Table F-4.</t>
  </si>
  <si>
    <t>HPWH - Admin</t>
  </si>
  <si>
    <t>HPWH - North Classroom</t>
  </si>
  <si>
    <t>HPWH - West Classroom</t>
  </si>
  <si>
    <t>HPWH - Kindergarten</t>
  </si>
  <si>
    <t>HPWH - Total</t>
  </si>
  <si>
    <t>-</t>
  </si>
  <si>
    <t>Design supply temperature (F)</t>
  </si>
  <si>
    <t>Ref: T24 2022 - Appendix 5.4B</t>
  </si>
  <si>
    <t>Cold Water supply temperature (F)</t>
  </si>
  <si>
    <t>Ref: ACM, 2025, 5.9.2: Rated capacity section</t>
  </si>
  <si>
    <t>WH system factor</t>
  </si>
  <si>
    <t>Reheat multiplier</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</si>
  <si>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</si>
  <si>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**For Gas Water Heater: UA(Btu/h-°F)​=Q˙​SL​ (Btu/h)/ΔT (∘F)​</t>
  </si>
  <si>
    <t>Ambient temp</t>
  </si>
  <si>
    <t>Delta T</t>
  </si>
  <si>
    <t>** For Electric Water Heater: UA(Btu/h-°F)​= 0.0834 *SL​ (%/hr)*V gal</t>
  </si>
  <si>
    <t xml:space="preserve">DV (daily hot water Volume in gallons, DOE UEF tests) </t>
  </si>
  <si>
    <t>Note: 10 (very small draw), 38 (low draw), 55 (Medium draw), or 84 (high draw)</t>
  </si>
  <si>
    <t>UEF = 0.1513 + 0.8407 * EF + 0.0043 * DV</t>
  </si>
  <si>
    <t>Source: https://energy.gov/sites/prod/files/2016/12/f34/WH_Conversion_Final%20Rule.pdf</t>
  </si>
  <si>
    <t>EF = (UEF - 0.1513 - (0.0043 * DV)) /  0.8407</t>
  </si>
  <si>
    <t>COP = EF * (2.6 - 0.0133 * Ttank)</t>
  </si>
  <si>
    <t>Source: https://www.nrel.gov/docs/fy16osti/64904.pdf</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</si>
  <si>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</si>
  <si>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</si>
  <si>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</si>
  <si>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</si>
  <si>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</si>
  <si>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</si>
  <si>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</si>
  <si>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Plug load Power Density (W/ft²)</t>
  </si>
  <si>
    <t>Gas Power Density (Btu/hr-ft²)</t>
  </si>
  <si>
    <t>Refrigeration Power Density (W/ft²)</t>
  </si>
  <si>
    <t>T24 2022 - Appendix 5.4A</t>
  </si>
  <si>
    <t>Plug load and schedules project with CEC, 2025</t>
  </si>
  <si>
    <t>Elevator</t>
  </si>
  <si>
    <t xml:space="preserve">No of Elevator </t>
  </si>
  <si>
    <t>Design Load (W)</t>
  </si>
  <si>
    <t>New Construction and Existing</t>
  </si>
  <si>
    <t>ACM with assumptions listed below</t>
  </si>
  <si>
    <t>https://buildingandinteriors.com/find-the-magic-number-elevators-per-building/</t>
  </si>
  <si>
    <t>For every two floors or two and a half floors, one more elevator was added.</t>
  </si>
  <si>
    <t>An in-use rate of 70% for the floor area was assumed, based on engineering judgment.</t>
  </si>
  <si>
    <t xml:space="preserve">Calculated number of Elevators: </t>
  </si>
  <si>
    <t>Calculate Elevator load (kw)based on ACM 2022:</t>
  </si>
  <si>
    <t>ACM 2022 suggestion for elevator load (kw):</t>
  </si>
  <si>
    <t>Elevator load will be defined as exterior load not equipment load</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</si>
  <si>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</si>
  <si>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</si>
  <si>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</si>
  <si>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</si>
  <si>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</si>
  <si>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</si>
  <si>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</si>
  <si>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</si>
  <si>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</si>
  <si>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</si>
  <si>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</si>
  <si>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</si>
  <si>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</si>
  <si>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</si>
  <si>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</si>
  <si>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5 building entrance per PNNL Model (1 per 10,000 ft² footprint)</t>
  </si>
  <si>
    <t>(count)</t>
  </si>
  <si>
    <t>(W/ea)</t>
  </si>
  <si>
    <t>Hardscape Ornamental Light</t>
  </si>
  <si>
    <t>0.1 ft² per 1 ft² of gross building area for hardscape ornamental light</t>
  </si>
  <si>
    <t>Building façade</t>
  </si>
  <si>
    <t>0.1 W per 1 ft² of facade area 
Façade Area = Perimeter × 0.5 × max ( height and 30) (30 ft is the max height that is lit) * 
The 0.5 factor assumes that only half of the perimeter walls are lit.
-Formula ia developed based on the 2019 Outdoor Lighting CASE report</t>
  </si>
  <si>
    <t>Non-motion-controlled Luminaires</t>
  </si>
  <si>
    <t>North Classroom</t>
  </si>
  <si>
    <t>West Classroom</t>
  </si>
  <si>
    <t>Kindergarten</t>
  </si>
  <si>
    <t>MPR/Admin</t>
  </si>
  <si>
    <t>Perimeter of each buildings (ft)</t>
  </si>
  <si>
    <t>Max Height that is lit for each buildings (ft)</t>
  </si>
  <si>
    <t>Each building footprint</t>
  </si>
  <si>
    <t>Floors</t>
  </si>
  <si>
    <t>Total Perimeter (ft)</t>
  </si>
  <si>
    <t>Total floor area (ft²)</t>
  </si>
  <si>
    <t>Schedules - SchoolLarge</t>
  </si>
  <si>
    <t>Zone</t>
  </si>
  <si>
    <t>Schedule</t>
  </si>
  <si>
    <t>Type</t>
  </si>
  <si>
    <t>Hour</t>
  </si>
  <si>
    <t>School Zones</t>
  </si>
  <si>
    <t xml:space="preserve"> Classroom</t>
  </si>
  <si>
    <t>Occupancy</t>
  </si>
  <si>
    <t>T24 2022 - Appendix 5.4B [School]</t>
  </si>
  <si>
    <t>Weekday</t>
  </si>
  <si>
    <t>Saturday</t>
  </si>
  <si>
    <t>Sunday</t>
  </si>
  <si>
    <t>Lights</t>
  </si>
  <si>
    <t>ElecEquipment</t>
  </si>
  <si>
    <t>ServiceHotWater</t>
  </si>
  <si>
    <t>GasEquipment</t>
  </si>
  <si>
    <t>Refrigeration</t>
  </si>
  <si>
    <t>HVACAvail</t>
  </si>
  <si>
    <t>HtgSetpt</t>
  </si>
  <si>
    <r>
      <t xml:space="preserve">T24 2022 - Appendix 5.4B
</t>
    </r>
    <r>
      <rPr>
        <sz val="9"/>
        <color rgb="FF00B050"/>
        <rFont val="Arial"/>
        <family val="2"/>
      </rPr>
      <t xml:space="preserve">
Updated based on the Plug Loads project</t>
    </r>
  </si>
  <si>
    <t>ClgSetpt</t>
  </si>
  <si>
    <t>Kitchen Zone</t>
  </si>
  <si>
    <t>OAControl</t>
  </si>
  <si>
    <t>MPR Zone</t>
  </si>
  <si>
    <t>Building</t>
  </si>
  <si>
    <t>T24 2022 - Appendix 5.4B, [School]</t>
  </si>
  <si>
    <t>ExtLightingNonMotionCtrl</t>
  </si>
  <si>
    <t>ExtLightingMotionCtrl</t>
  </si>
  <si>
    <t>Auditorium</t>
  </si>
  <si>
    <t>PerformanceSpcPeopleActivityLevel</t>
  </si>
  <si>
    <t xml:space="preserve">Based on Activilty level schedules in  CEC Prototypes </t>
  </si>
  <si>
    <t>Gym</t>
  </si>
  <si>
    <t>GymPeopleActivityLevel</t>
  </si>
  <si>
    <t>Restroom, Coridor, Lobby, Mechanical RM, Lounge, Storage, Theater</t>
  </si>
  <si>
    <t>CommonAreaPeopleActivityLevel</t>
  </si>
  <si>
    <t>MeetingPeopleActivityLevel</t>
  </si>
  <si>
    <t>DiningArea</t>
  </si>
  <si>
    <t>DiningAreaPeopleActivityLevel</t>
  </si>
  <si>
    <t>Library, office, MultiMeetingRm</t>
  </si>
  <si>
    <t>FunctionalAreaPeopleActivityLevel</t>
  </si>
  <si>
    <t>Based on Activilty level schedules in  CEC Prototypes and assumed spaces for Basement</t>
  </si>
  <si>
    <t>RefStorage</t>
  </si>
  <si>
    <t>RefStoragePeopleActivityLevel</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</si>
  <si>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</si>
  <si>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</si>
  <si>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</si>
  <si>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</si>
  <si>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</si>
  <si>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</si>
  <si>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</si>
  <si>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</si>
  <si>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</si>
  <si>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</si>
  <si>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</si>
  <si>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</si>
  <si>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</si>
  <si>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</si>
  <si>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</si>
  <si>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(25% Higher)</t>
  </si>
  <si>
    <t>Acceptable Range (25%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</si>
  <si>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</si>
  <si>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</si>
  <si>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by applying FZ-CZ multipliers for converting  FZ  data to  CZ  data </t>
  </si>
  <si>
    <t>Vintage Bin</t>
  </si>
  <si>
    <t>Pre-1978</t>
  </si>
  <si>
    <t>Not available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</si>
  <si>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</si>
  <si>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</si>
  <si>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</si>
  <si>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</si>
  <si>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</si>
  <si>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</si>
  <si>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</si>
  <si>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</si>
  <si>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</si>
  <si>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</si>
  <si>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</si>
  <si>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</si>
  <si>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</si>
  <si>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</si>
  <si>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</si>
  <si>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</si>
  <si>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</si>
  <si>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</si>
  <si>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</si>
  <si>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</si>
  <si>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</si>
  <si>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</si>
  <si>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</si>
  <si>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</si>
  <si>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</si>
  <si>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</si>
  <si>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</si>
  <si>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</si>
  <si>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</si>
  <si>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</si>
  <si>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</si>
  <si>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</si>
  <si>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</si>
  <si>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</si>
  <si>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</si>
  <si>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</si>
  <si>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</si>
  <si>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</si>
  <si>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(Stacks Area)</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</si>
  <si>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</si>
  <si>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</si>
  <si>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</si>
  <si>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</si>
  <si>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</si>
  <si>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</si>
  <si>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</si>
  <si>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</si>
  <si>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</si>
  <si>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</si>
  <si>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</si>
  <si>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</si>
  <si>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</si>
  <si>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</si>
  <si>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Stairwell</t>
  </si>
  <si>
    <t>Storage, Commercial/Industrial (Warehouse)</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</si>
  <si>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</si>
  <si>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</si>
  <si>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</si>
  <si>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</si>
  <si>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</si>
  <si>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</si>
  <si>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Transportation Function (Baggage Area)</t>
  </si>
  <si>
    <t>Transportation Function (Ticketing Area)</t>
  </si>
  <si>
    <t>Videoconferencing Studio</t>
  </si>
  <si>
    <t>High-Rise Residential Living Spaces</t>
  </si>
  <si>
    <t>Hotel/Motel Guest Room</t>
  </si>
  <si>
    <t>All other</t>
  </si>
  <si>
    <t>Attic</t>
  </si>
  <si>
    <t>Reception Area</t>
  </si>
  <si>
    <t>Plenum</t>
  </si>
  <si>
    <t>Computer Room</t>
  </si>
  <si>
    <t>Server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</si>
</sst>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0.0"/>
    <numFmt numFmtId="166" formatCode="#,##0.0"/>
    <numFmt numFmtId="168" formatCode="0.000"/>
    <numFmt numFmtId="169" formatCode="_(* #,##0_);_(* \(#,##0\);_(* &quot;-&quot;??_);_(@_)"/>
    <numFmt numFmtId="170" formatCode="#,##0;\-0;[Color15]0"/>
    <numFmt numFmtId="171" formatCode="_(* #,##0.0_);_(* \(#,##0.0\);_(* &quot;-&quot;??_);_(@_)"/>
  </numFmts>
  <fonts count="42"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sz val="11"/>
      <color rgb="FF0070C0"/>
      <name val="Arial"/>
      <family val="2"/>
    </font>
    <font>
      <b/>
      <sz val="10"/>
      <name val="Arial"/>
      <family val="2"/>
    </font>
    <font>
      <b/>
      <sz val="10"/>
      <color indexed="8"/>
      <name val="Arial"/>
      <family val="2"/>
    </font>
    <font>
      <sz val="10"/>
      <color rgb="FFFF0000"/>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sz val="10"/>
      <color theme="0"/>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u/>
      <sz val="10"/>
      <name val="Arial"/>
      <family val="2"/>
    </font>
    <font>
      <sz val="14"/>
      <color rgb="FF000000"/>
      <name val="Times New Roman"/>
      <family val="1"/>
    </font>
    <font>
      <b/>
      <sz val="9"/>
      <color theme="1"/>
      <name val="Arial"/>
      <family val="2"/>
    </font>
    <font>
      <sz val="9"/>
      <name val="Arial"/>
      <family val="2"/>
    </font>
    <font>
      <sz val="9"/>
      <color rgb="FF00B050"/>
      <name val="Arial"/>
      <family val="2"/>
    </font>
    <font>
      <b/>
      <sz val="9"/>
      <name val="Arial"/>
      <family val="2"/>
    </font>
    <font>
      <sz val="9"/>
      <color theme="1"/>
      <name val="Calibri"/>
      <family val="2"/>
      <scheme val="minor"/>
    </font>
  </fonts>
  <fills count="21">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FFFFF"/>
        <bgColor rgb="FF000000"/>
      </patternFill>
    </fill>
    <fill>
      <patternFill patternType="lightUp"/>
    </fill>
    <fill>
      <patternFill patternType="solid">
        <fgColor rgb="FFF2F2F2"/>
        <bgColor rgb="FF000000"/>
      </patternFill>
    </fill>
    <fill>
      <patternFill patternType="solid">
        <fgColor rgb="FFD9D9D9"/>
        <bgColor rgb="FF000000"/>
      </patternFill>
    </fill>
    <fill>
      <patternFill patternType="solid">
        <fgColor rgb="FFBFBFBF"/>
        <bgColor rgb="FF000000"/>
      </patternFill>
    </fill>
    <fill>
      <patternFill patternType="solid">
        <fgColor rgb="FFA6A6A6"/>
        <bgColor rgb="FF000000"/>
      </patternFill>
    </fill>
    <fill>
      <patternFill patternType="solid">
        <fgColor rgb="FFFFF2CC"/>
        <bgColor rgb="FF000000"/>
      </patternFill>
    </fill>
  </fills>
  <borders count="133">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rgb="FF808080"/>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rgb="FF000000"/>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0" tint="-0.499984740745262"/>
      </left>
      <right style="thin">
        <color rgb="FF808080"/>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medium">
        <color theme="1" tint="0.34998626667073579"/>
      </left>
      <right style="thin">
        <color theme="1" tint="0.34998626667073579"/>
      </right>
      <top/>
      <bottom style="medium">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thin">
        <color theme="1" tint="0.34998626667073579"/>
      </right>
      <top/>
      <bottom/>
      <diagonal/>
    </border>
    <border>
      <left style="medium">
        <color theme="1" tint="0.34998626667073579"/>
      </left>
      <right style="thin">
        <color theme="1" tint="0.34998626667073579"/>
      </right>
      <top/>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style="thin">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bottom/>
      <diagonal/>
    </border>
    <border>
      <left style="thin">
        <color indexed="64"/>
      </left>
      <right style="thin">
        <color indexed="64"/>
      </right>
      <top/>
      <bottom style="medium">
        <color indexed="64"/>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indexed="64"/>
      </right>
      <top style="medium">
        <color rgb="FF000000"/>
      </top>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medium">
        <color indexed="64"/>
      </right>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style="thin">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theme="1" tint="0.34998626667073579"/>
      </left>
      <right style="thin">
        <color theme="1" tint="0.34998626667073579"/>
      </right>
      <top style="medium">
        <color rgb="FF000000"/>
      </top>
      <bottom/>
      <diagonal/>
    </border>
    <border>
      <left style="medium">
        <color rgb="FF000000"/>
      </left>
      <right style="thin">
        <color theme="1" tint="0.34998626667073579"/>
      </right>
      <top style="medium">
        <color rgb="FF000000"/>
      </top>
      <bottom/>
      <diagonal/>
    </border>
    <border>
      <left style="medium">
        <color rgb="FF000000"/>
      </left>
      <right style="thin">
        <color theme="1" tint="0.34998626667073579"/>
      </right>
      <top/>
      <bottom/>
      <diagonal/>
    </border>
    <border>
      <left style="medium">
        <color rgb="FF000000"/>
      </left>
      <right style="thin">
        <color theme="1" tint="0.34998626667073579"/>
      </right>
      <top/>
      <bottom style="medium">
        <color rgb="FF000000"/>
      </bottom>
      <diagonal/>
    </border>
    <border>
      <left/>
      <right/>
      <top style="medium">
        <color indexed="64"/>
      </top>
      <bottom style="medium">
        <color rgb="FF000000"/>
      </bottom>
      <diagonal/>
    </border>
    <border>
      <left/>
      <right style="thin">
        <color theme="1" tint="0.34998626667073579"/>
      </right>
      <top style="medium">
        <color indexed="64"/>
      </top>
      <bottom style="medium">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s>
  <cellStyleXfs count="13">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3" fillId="0" borderId="0"/>
    <xf numFmtId="0" fontId="15" fillId="0" borderId="0" applyNumberFormat="0" applyFill="0" applyBorder="0" applyAlignment="0" applyProtection="0"/>
    <xf numFmtId="0" fontId="6" fillId="0" borderId="0"/>
    <xf numFmtId="0" fontId="6" fillId="0" borderId="0"/>
  </cellStyleXfs>
  <cellXfs count="506">
    <xf numFmtId="0" fontId="0" fillId="0" borderId="0" xfId="0"/>
    <xf numFmtId="0" fontId="0" fillId="0" borderId="0" xfId="0" applyAlignment="1">
      <alignment vertical="center"/>
    </xf>
    <xf numFmtId="0" fontId="8" fillId="0" borderId="0" xfId="5"/>
    <xf numFmtId="0" fontId="3" fillId="0" borderId="0" xfId="0" applyFont="1"/>
    <xf numFmtId="0" fontId="11" fillId="0" borderId="0" xfId="0" applyFont="1"/>
    <xf numFmtId="0" fontId="11"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15" fillId="0" borderId="0" xfId="5" applyFont="1"/>
    <xf numFmtId="0" fontId="6" fillId="0" borderId="0" xfId="0" applyFont="1" applyAlignment="1">
      <alignment wrapText="1"/>
    </xf>
    <xf numFmtId="0" fontId="14"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3" fontId="6" fillId="0" borderId="2" xfId="7" applyNumberFormat="1" applyFont="1" applyBorder="1" applyAlignment="1">
      <alignment horizontal="center" vertical="center"/>
    </xf>
    <xf numFmtId="0" fontId="1" fillId="0" borderId="0" xfId="0" applyFont="1" applyAlignment="1">
      <alignment vertical="top"/>
    </xf>
    <xf numFmtId="0" fontId="6" fillId="0" borderId="0" xfId="0" applyFont="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center" vertical="top" wrapText="1"/>
    </xf>
    <xf numFmtId="168" fontId="15" fillId="0" borderId="0" xfId="5" applyNumberFormat="1" applyFont="1" applyAlignment="1">
      <alignment horizontal="left" vertical="top"/>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7" borderId="2" xfId="0" applyFont="1" applyFill="1" applyBorder="1" applyAlignment="1">
      <alignment horizontal="center" vertical="center" wrapText="1"/>
    </xf>
    <xf numFmtId="0" fontId="19" fillId="7"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6" fillId="0" borderId="0" xfId="0" applyNumberFormat="1" applyFont="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6" fillId="0" borderId="22" xfId="4" applyBorder="1" applyAlignment="1">
      <alignment horizontal="center" vertical="center"/>
    </xf>
    <xf numFmtId="9" fontId="6" fillId="0" borderId="22" xfId="2" applyFont="1" applyFill="1" applyBorder="1" applyAlignment="1">
      <alignment horizontal="center" vertical="center"/>
    </xf>
    <xf numFmtId="3" fontId="6" fillId="0" borderId="2" xfId="0" applyNumberFormat="1" applyFont="1" applyBorder="1" applyAlignment="1">
      <alignment horizontal="center" vertical="center"/>
    </xf>
    <xf numFmtId="0" fontId="23" fillId="0" borderId="0" xfId="0" applyFont="1" applyAlignment="1">
      <alignment horizontal="center" vertical="center"/>
    </xf>
    <xf numFmtId="0" fontId="26" fillId="5" borderId="0" xfId="0" applyFont="1" applyFill="1" applyAlignment="1">
      <alignment vertical="center" wrapText="1"/>
    </xf>
    <xf numFmtId="0" fontId="23" fillId="5" borderId="0" xfId="0" applyFont="1" applyFill="1" applyAlignment="1">
      <alignment horizontal="center" vertical="center"/>
    </xf>
    <xf numFmtId="165" fontId="23" fillId="5" borderId="0" xfId="0" applyNumberFormat="1" applyFont="1" applyFill="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left" vertical="center"/>
    </xf>
    <xf numFmtId="0" fontId="25"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2" xfId="0" applyNumberFormat="1" applyFont="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168" fontId="23" fillId="0" borderId="0" xfId="0" applyNumberFormat="1" applyFont="1" applyAlignment="1">
      <alignment horizontal="center" vertical="center"/>
    </xf>
    <xf numFmtId="3" fontId="6" fillId="0" borderId="0" xfId="7" applyNumberFormat="1" applyFont="1" applyAlignment="1">
      <alignment horizontal="center" vertical="center"/>
    </xf>
    <xf numFmtId="9" fontId="6" fillId="0" borderId="24" xfId="0" applyNumberFormat="1" applyFont="1" applyBorder="1" applyAlignment="1">
      <alignment horizontal="center"/>
    </xf>
    <xf numFmtId="0" fontId="27" fillId="0" borderId="0" xfId="0" applyFont="1"/>
    <xf numFmtId="0" fontId="27" fillId="0" borderId="0" xfId="0" applyFont="1" applyAlignment="1">
      <alignment wrapText="1"/>
    </xf>
    <xf numFmtId="0" fontId="27"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22" fillId="0" borderId="0" xfId="0" applyFont="1" applyAlignment="1">
      <alignment horizontal="left" vertical="center" wrapText="1"/>
    </xf>
    <xf numFmtId="0" fontId="1" fillId="0" borderId="2" xfId="0" applyFont="1" applyBorder="1" applyAlignment="1">
      <alignment horizontal="center" vertical="center" wrapText="1"/>
    </xf>
    <xf numFmtId="0" fontId="19" fillId="7" borderId="12" xfId="0" applyFont="1" applyFill="1" applyBorder="1" applyAlignment="1">
      <alignment horizontal="center" vertical="center" wrapText="1"/>
    </xf>
    <xf numFmtId="0" fontId="1" fillId="0" borderId="22" xfId="0" applyFont="1" applyBorder="1" applyAlignment="1">
      <alignment horizontal="center" vertical="center"/>
    </xf>
    <xf numFmtId="0" fontId="1" fillId="0" borderId="44" xfId="0" applyFont="1" applyBorder="1" applyAlignment="1">
      <alignment horizontal="center" vertical="center" wrapText="1"/>
    </xf>
    <xf numFmtId="0" fontId="12" fillId="0" borderId="0" xfId="0" applyFont="1" applyAlignment="1">
      <alignment vertical="center"/>
    </xf>
    <xf numFmtId="0" fontId="29" fillId="0" borderId="0" xfId="0" applyFont="1"/>
    <xf numFmtId="0" fontId="11" fillId="0" borderId="0" xfId="0" applyFont="1" applyAlignment="1">
      <alignment horizontal="center"/>
    </xf>
    <xf numFmtId="169" fontId="6" fillId="0" borderId="2" xfId="6" applyNumberFormat="1" applyFont="1" applyBorder="1" applyAlignment="1">
      <alignment horizontal="left" vertical="center" wrapText="1"/>
    </xf>
    <xf numFmtId="43" fontId="6" fillId="0" borderId="0" xfId="0" applyNumberFormat="1" applyFont="1"/>
    <xf numFmtId="0" fontId="10" fillId="0" borderId="0" xfId="3" applyFont="1" applyBorder="1" applyAlignment="1">
      <alignment horizontal="left" vertical="center" wrapText="1"/>
    </xf>
    <xf numFmtId="169" fontId="6" fillId="0" borderId="0" xfId="6" applyNumberFormat="1" applyFont="1" applyBorder="1" applyAlignment="1">
      <alignment horizontal="left" vertical="center"/>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43" fontId="6" fillId="0" borderId="2" xfId="6" applyFont="1" applyBorder="1" applyAlignment="1">
      <alignment horizontal="left" vertical="center"/>
    </xf>
    <xf numFmtId="0" fontId="21" fillId="0" borderId="0" xfId="0" applyFont="1"/>
    <xf numFmtId="16" fontId="0" fillId="0" borderId="0" xfId="0" applyNumberFormat="1" applyAlignment="1">
      <alignment horizontal="left"/>
    </xf>
    <xf numFmtId="0" fontId="24" fillId="0" borderId="0" xfId="0" applyFont="1" applyAlignment="1">
      <alignment vertical="center"/>
    </xf>
    <xf numFmtId="0" fontId="24" fillId="0" borderId="0" xfId="0" applyFont="1" applyAlignment="1">
      <alignment horizontal="center" vertical="center"/>
    </xf>
    <xf numFmtId="0" fontId="19" fillId="11" borderId="2" xfId="0" applyFont="1" applyFill="1" applyBorder="1" applyAlignment="1">
      <alignment horizontal="center" vertical="center"/>
    </xf>
    <xf numFmtId="0" fontId="31" fillId="0" borderId="0" xfId="0" applyFont="1" applyAlignment="1">
      <alignment vertical="center"/>
    </xf>
    <xf numFmtId="169" fontId="24" fillId="0" borderId="2" xfId="6" applyNumberFormat="1" applyFont="1" applyBorder="1" applyAlignment="1">
      <alignment horizontal="center" vertical="center"/>
    </xf>
    <xf numFmtId="169" fontId="24" fillId="0" borderId="2" xfId="6" applyNumberFormat="1" applyFont="1" applyBorder="1" applyAlignment="1">
      <alignment horizontal="center" vertical="center" wrapText="1"/>
    </xf>
    <xf numFmtId="0" fontId="25" fillId="11" borderId="2" xfId="0" applyFont="1" applyFill="1" applyBorder="1" applyAlignment="1">
      <alignment horizontal="center" vertical="center"/>
    </xf>
    <xf numFmtId="0" fontId="6" fillId="0" borderId="2" xfId="0" applyFont="1" applyBorder="1"/>
    <xf numFmtId="0" fontId="7" fillId="2" borderId="0" xfId="0" applyFont="1" applyFill="1" applyAlignment="1">
      <alignment vertical="center"/>
    </xf>
    <xf numFmtId="2" fontId="6" fillId="0" borderId="2" xfId="0" applyNumberFormat="1" applyFont="1" applyBorder="1" applyAlignment="1">
      <alignment horizontal="center" vertical="center" wrapText="1"/>
    </xf>
    <xf numFmtId="0" fontId="1" fillId="0" borderId="0" xfId="1" applyAlignment="1">
      <alignment vertical="center" wrapText="1"/>
    </xf>
    <xf numFmtId="0" fontId="12" fillId="0" borderId="0" xfId="0" applyFont="1" applyAlignment="1">
      <alignment vertical="center" wrapText="1"/>
    </xf>
    <xf numFmtId="0" fontId="25" fillId="11" borderId="2" xfId="0" applyFont="1" applyFill="1" applyBorder="1" applyAlignment="1">
      <alignment horizontal="center" vertical="center" wrapText="1"/>
    </xf>
    <xf numFmtId="0" fontId="24" fillId="0" borderId="12" xfId="0" applyFont="1" applyBorder="1" applyAlignment="1">
      <alignment horizontal="center" vertical="center"/>
    </xf>
    <xf numFmtId="0" fontId="24" fillId="14" borderId="14" xfId="0" applyFont="1" applyFill="1" applyBorder="1" applyAlignment="1">
      <alignment vertical="center"/>
    </xf>
    <xf numFmtId="0" fontId="24" fillId="14" borderId="19" xfId="0" applyFont="1" applyFill="1" applyBorder="1" applyAlignment="1">
      <alignment vertical="center"/>
    </xf>
    <xf numFmtId="0" fontId="24" fillId="0" borderId="0" xfId="0" applyFont="1" applyAlignment="1">
      <alignment horizontal="center" vertical="center" wrapText="1"/>
    </xf>
    <xf numFmtId="169" fontId="6" fillId="0" borderId="0" xfId="0" applyNumberFormat="1" applyFont="1"/>
    <xf numFmtId="0" fontId="13" fillId="0" borderId="0" xfId="0" applyFont="1"/>
    <xf numFmtId="0" fontId="17" fillId="0" borderId="0" xfId="0" applyFont="1"/>
    <xf numFmtId="170" fontId="32" fillId="0" borderId="0" xfId="0" applyNumberFormat="1" applyFont="1"/>
    <xf numFmtId="0" fontId="6" fillId="0" borderId="2" xfId="0" applyFont="1" applyBorder="1" applyAlignment="1">
      <alignment horizontal="right" vertical="center"/>
    </xf>
    <xf numFmtId="169" fontId="6" fillId="0" borderId="2" xfId="6" applyNumberFormat="1" applyFont="1" applyBorder="1" applyAlignment="1">
      <alignment horizontal="right" vertical="center" wrapText="1"/>
    </xf>
    <xf numFmtId="169" fontId="6" fillId="0" borderId="2" xfId="0" applyNumberFormat="1" applyFont="1" applyBorder="1" applyAlignment="1">
      <alignment horizontal="right" vertical="center"/>
    </xf>
    <xf numFmtId="3" fontId="6" fillId="0" borderId="0" xfId="0" applyNumberFormat="1" applyFont="1"/>
    <xf numFmtId="169" fontId="6" fillId="0" borderId="2" xfId="6" applyNumberFormat="1" applyFont="1" applyBorder="1" applyAlignment="1">
      <alignment horizontal="right" vertical="center"/>
    </xf>
    <xf numFmtId="0" fontId="6" fillId="15" borderId="12" xfId="0" applyFont="1" applyFill="1" applyBorder="1"/>
    <xf numFmtId="0" fontId="6" fillId="8" borderId="2" xfId="0" applyFont="1" applyFill="1" applyBorder="1" applyAlignment="1">
      <alignment horizontal="center" vertical="center"/>
    </xf>
    <xf numFmtId="0" fontId="6" fillId="6" borderId="2" xfId="0" applyFont="1" applyFill="1" applyBorder="1" applyAlignment="1">
      <alignment horizontal="center" vertical="center"/>
    </xf>
    <xf numFmtId="0" fontId="6" fillId="3" borderId="2" xfId="0" applyFont="1" applyFill="1" applyBorder="1" applyAlignment="1">
      <alignment horizontal="center" vertical="center"/>
    </xf>
    <xf numFmtId="0" fontId="11" fillId="0" borderId="0" xfId="0" applyFont="1" applyAlignment="1">
      <alignment vertical="center"/>
    </xf>
    <xf numFmtId="0" fontId="6" fillId="5" borderId="0" xfId="0" applyFont="1" applyFill="1"/>
    <xf numFmtId="0" fontId="6" fillId="5" borderId="0" xfId="0" applyFont="1" applyFill="1" applyAlignment="1">
      <alignment horizontal="center"/>
    </xf>
    <xf numFmtId="165" fontId="11" fillId="0" borderId="0" xfId="2" applyNumberFormat="1" applyFont="1"/>
    <xf numFmtId="0" fontId="24" fillId="0" borderId="45" xfId="0" applyFont="1" applyBorder="1" applyAlignment="1">
      <alignment horizontal="center" vertical="center"/>
    </xf>
    <xf numFmtId="0" fontId="6" fillId="0" borderId="22" xfId="0" applyFont="1" applyBorder="1" applyAlignment="1">
      <alignment horizontal="center" vertical="center"/>
    </xf>
    <xf numFmtId="0" fontId="6" fillId="0" borderId="22" xfId="0" applyFont="1" applyBorder="1" applyAlignment="1">
      <alignment horizontal="center" vertical="center" wrapText="1"/>
    </xf>
    <xf numFmtId="0" fontId="0" fillId="0" borderId="0" xfId="0" applyAlignment="1">
      <alignment horizontal="left"/>
    </xf>
    <xf numFmtId="0" fontId="6" fillId="0" borderId="24" xfId="4" applyBorder="1" applyAlignment="1">
      <alignment horizontal="center" vertical="center"/>
    </xf>
    <xf numFmtId="0" fontId="25" fillId="11" borderId="46" xfId="0" applyFont="1" applyFill="1" applyBorder="1" applyAlignment="1">
      <alignment horizontal="center" vertical="center" wrapText="1"/>
    </xf>
    <xf numFmtId="1" fontId="1" fillId="0" borderId="2" xfId="7" applyNumberFormat="1" applyFont="1" applyBorder="1" applyAlignment="1">
      <alignment horizontal="center" vertical="center"/>
    </xf>
    <xf numFmtId="0" fontId="10" fillId="0" borderId="2" xfId="3" applyFont="1" applyFill="1" applyBorder="1" applyAlignment="1">
      <alignment horizontal="center" vertical="center" wrapText="1"/>
    </xf>
    <xf numFmtId="3" fontId="10" fillId="0" borderId="2" xfId="3" applyNumberFormat="1" applyFont="1" applyFill="1" applyBorder="1" applyAlignment="1">
      <alignment horizontal="center" vertical="center" wrapText="1"/>
    </xf>
    <xf numFmtId="3" fontId="10" fillId="0" borderId="2" xfId="3" applyNumberFormat="1" applyFont="1" applyBorder="1" applyAlignment="1">
      <alignment horizontal="center" vertical="center" wrapText="1"/>
    </xf>
    <xf numFmtId="0" fontId="7" fillId="7" borderId="47" xfId="0" applyFont="1" applyFill="1" applyBorder="1" applyAlignment="1">
      <alignment horizontal="center" vertical="center"/>
    </xf>
    <xf numFmtId="0" fontId="7" fillId="7" borderId="48" xfId="0" applyFont="1" applyFill="1" applyBorder="1" applyAlignment="1">
      <alignment horizontal="center" vertical="center"/>
    </xf>
    <xf numFmtId="0" fontId="7" fillId="7" borderId="49" xfId="0" applyFont="1" applyFill="1" applyBorder="1" applyAlignment="1">
      <alignment horizontal="center" vertical="center" wrapText="1"/>
    </xf>
    <xf numFmtId="0" fontId="7" fillId="7" borderId="50" xfId="0" applyFont="1" applyFill="1" applyBorder="1" applyAlignment="1">
      <alignment horizontal="center" vertical="center"/>
    </xf>
    <xf numFmtId="0" fontId="6" fillId="0" borderId="51" xfId="0" applyFont="1" applyBorder="1" applyAlignment="1">
      <alignment horizontal="center" vertical="center"/>
    </xf>
    <xf numFmtId="0" fontId="24" fillId="0" borderId="55" xfId="0" applyFont="1" applyBorder="1" applyAlignment="1">
      <alignment horizontal="center" vertical="center" wrapText="1"/>
    </xf>
    <xf numFmtId="0" fontId="6" fillId="0" borderId="56" xfId="0" applyFont="1" applyBorder="1" applyAlignment="1">
      <alignment horizontal="center" vertical="center"/>
    </xf>
    <xf numFmtId="0" fontId="1" fillId="0" borderId="57" xfId="0" applyFont="1" applyBorder="1" applyAlignment="1">
      <alignment horizontal="center" vertical="center"/>
    </xf>
    <xf numFmtId="0" fontId="6"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24" fillId="0" borderId="59" xfId="0" applyFont="1" applyBorder="1" applyAlignment="1">
      <alignment horizontal="center" vertical="center" wrapText="1"/>
    </xf>
    <xf numFmtId="0" fontId="6" fillId="0" borderId="12" xfId="0" applyFont="1" applyBorder="1"/>
    <xf numFmtId="0" fontId="34" fillId="14" borderId="13" xfId="0" applyFont="1" applyFill="1" applyBorder="1" applyAlignment="1">
      <alignment horizontal="left" vertical="center"/>
    </xf>
    <xf numFmtId="0" fontId="24" fillId="14" borderId="0" xfId="0" applyFont="1" applyFill="1" applyAlignment="1">
      <alignment vertical="center"/>
    </xf>
    <xf numFmtId="0" fontId="24" fillId="14" borderId="15" xfId="0" applyFont="1" applyFill="1" applyBorder="1" applyAlignment="1">
      <alignment vertical="center"/>
    </xf>
    <xf numFmtId="0" fontId="34" fillId="14" borderId="18" xfId="0" applyFont="1" applyFill="1" applyBorder="1" applyAlignment="1">
      <alignment horizontal="left" vertical="center"/>
    </xf>
    <xf numFmtId="0" fontId="24" fillId="14" borderId="20" xfId="0" applyFont="1" applyFill="1" applyBorder="1" applyAlignment="1">
      <alignment vertical="center"/>
    </xf>
    <xf numFmtId="2" fontId="24" fillId="0" borderId="2" xfId="0" applyNumberFormat="1" applyFont="1" applyBorder="1" applyAlignment="1">
      <alignment horizontal="center" vertical="center"/>
    </xf>
    <xf numFmtId="0" fontId="7" fillId="7" borderId="60" xfId="0" applyFont="1" applyFill="1" applyBorder="1" applyAlignment="1">
      <alignment horizontal="center" vertical="center"/>
    </xf>
    <xf numFmtId="0" fontId="8" fillId="0" borderId="2" xfId="5" applyBorder="1" applyAlignment="1">
      <alignment horizontal="center" vertical="center"/>
    </xf>
    <xf numFmtId="1" fontId="10" fillId="0" borderId="2" xfId="3" applyNumberFormat="1" applyFont="1" applyBorder="1" applyAlignment="1">
      <alignment horizontal="left" vertical="center" wrapText="1"/>
    </xf>
    <xf numFmtId="1" fontId="6" fillId="0" borderId="2" xfId="0" applyNumberFormat="1" applyFont="1" applyBorder="1" applyAlignment="1">
      <alignment horizontal="left" vertical="center"/>
    </xf>
    <xf numFmtId="1" fontId="6" fillId="0" borderId="2" xfId="0" applyNumberFormat="1" applyFont="1" applyBorder="1" applyAlignment="1">
      <alignment horizontal="left" vertical="center" wrapText="1"/>
    </xf>
    <xf numFmtId="0" fontId="8" fillId="0" borderId="0" xfId="5" applyBorder="1"/>
    <xf numFmtId="0" fontId="24" fillId="0" borderId="0" xfId="0" applyFont="1" applyAlignment="1">
      <alignment wrapText="1"/>
    </xf>
    <xf numFmtId="0" fontId="1" fillId="0" borderId="2" xfId="1" applyBorder="1" applyAlignment="1">
      <alignment vertical="center" wrapText="1"/>
    </xf>
    <xf numFmtId="168" fontId="6" fillId="8" borderId="2" xfId="0" applyNumberFormat="1" applyFont="1" applyFill="1" applyBorder="1" applyAlignment="1">
      <alignment horizontal="center" vertical="center" wrapText="1"/>
    </xf>
    <xf numFmtId="168" fontId="6" fillId="0" borderId="2" xfId="0" applyNumberFormat="1" applyFont="1" applyBorder="1" applyAlignment="1">
      <alignment horizontal="center" vertical="center"/>
    </xf>
    <xf numFmtId="0" fontId="6" fillId="12" borderId="2" xfId="0" applyFont="1" applyFill="1" applyBorder="1" applyAlignment="1">
      <alignment horizontal="center" vertical="center"/>
    </xf>
    <xf numFmtId="0" fontId="1" fillId="12" borderId="2" xfId="0" applyFont="1" applyFill="1" applyBorder="1" applyAlignment="1">
      <alignment horizontal="center" vertical="center"/>
    </xf>
    <xf numFmtId="2" fontId="6" fillId="0" borderId="2" xfId="0" applyNumberFormat="1" applyFont="1" applyBorder="1" applyAlignment="1">
      <alignment horizontal="center" vertical="center"/>
    </xf>
    <xf numFmtId="2" fontId="6" fillId="8" borderId="2" xfId="0" applyNumberFormat="1" applyFont="1" applyFill="1" applyBorder="1" applyAlignment="1">
      <alignment horizontal="center" vertical="center"/>
    </xf>
    <xf numFmtId="0" fontId="6" fillId="6" borderId="2" xfId="0" applyFont="1" applyFill="1" applyBorder="1" applyAlignment="1">
      <alignment horizontal="center" vertical="center" wrapText="1"/>
    </xf>
    <xf numFmtId="0" fontId="7" fillId="0" borderId="0" xfId="0" applyFont="1" applyAlignment="1">
      <alignment vertical="center" wrapText="1"/>
    </xf>
    <xf numFmtId="0" fontId="31" fillId="0" borderId="0" xfId="0" applyFont="1"/>
    <xf numFmtId="0" fontId="10" fillId="0" borderId="2" xfId="3" applyFont="1" applyBorder="1" applyAlignment="1">
      <alignment horizontal="left" vertical="center" wrapText="1"/>
    </xf>
    <xf numFmtId="0" fontId="25" fillId="7" borderId="2" xfId="0" applyFont="1" applyFill="1" applyBorder="1" applyAlignment="1">
      <alignment horizontal="left" vertical="center" wrapText="1"/>
    </xf>
    <xf numFmtId="170" fontId="6" fillId="0" borderId="2" xfId="0" applyNumberFormat="1" applyFont="1" applyBorder="1" applyAlignment="1">
      <alignment vertical="center"/>
    </xf>
    <xf numFmtId="170" fontId="1" fillId="0" borderId="2" xfId="0" applyNumberFormat="1" applyFont="1" applyBorder="1" applyAlignment="1">
      <alignment vertical="center"/>
    </xf>
    <xf numFmtId="0" fontId="19" fillId="7" borderId="2" xfId="0" applyFont="1" applyFill="1" applyBorder="1" applyAlignment="1">
      <alignment vertical="center"/>
    </xf>
    <xf numFmtId="0" fontId="1" fillId="0" borderId="2" xfId="1" applyBorder="1" applyAlignment="1">
      <alignment vertical="center"/>
    </xf>
    <xf numFmtId="0" fontId="33" fillId="0" borderId="2" xfId="0" applyFont="1" applyBorder="1" applyAlignment="1">
      <alignment horizontal="left" vertical="top" wrapText="1"/>
    </xf>
    <xf numFmtId="0" fontId="35" fillId="0" borderId="2" xfId="0" applyFont="1" applyBorder="1" applyAlignment="1">
      <alignment horizontal="center" vertical="center" wrapText="1"/>
    </xf>
    <xf numFmtId="0" fontId="22" fillId="0" borderId="2" xfId="0" applyFont="1" applyBorder="1" applyAlignment="1">
      <alignment wrapText="1"/>
    </xf>
    <xf numFmtId="169" fontId="6" fillId="0" borderId="2" xfId="6" applyNumberFormat="1" applyFont="1" applyBorder="1" applyAlignment="1">
      <alignment horizontal="center" vertical="center"/>
    </xf>
    <xf numFmtId="43" fontId="6" fillId="0" borderId="0" xfId="0" applyNumberFormat="1" applyFont="1" applyAlignment="1">
      <alignment horizontal="center" vertical="top" wrapText="1"/>
    </xf>
    <xf numFmtId="169" fontId="33" fillId="0" borderId="2" xfId="6" applyNumberFormat="1" applyFont="1" applyBorder="1" applyAlignment="1">
      <alignment horizontal="center" vertical="center" wrapText="1"/>
    </xf>
    <xf numFmtId="0" fontId="36" fillId="0" borderId="0" xfId="0" applyFont="1" applyAlignment="1">
      <alignment horizontal="right" vertical="center" wrapText="1"/>
    </xf>
    <xf numFmtId="169" fontId="6" fillId="0" borderId="2" xfId="6" applyNumberFormat="1" applyFont="1" applyBorder="1" applyAlignment="1">
      <alignment vertical="center"/>
    </xf>
    <xf numFmtId="43" fontId="6" fillId="0" borderId="2" xfId="0" applyNumberFormat="1" applyFont="1" applyBorder="1" applyAlignment="1">
      <alignment vertical="center"/>
    </xf>
    <xf numFmtId="0" fontId="19" fillId="11" borderId="64" xfId="0" applyFont="1" applyFill="1" applyBorder="1" applyAlignment="1">
      <alignment horizontal="center" vertical="center"/>
    </xf>
    <xf numFmtId="0" fontId="19" fillId="11" borderId="65" xfId="0" applyFont="1" applyFill="1" applyBorder="1" applyAlignment="1">
      <alignment horizontal="center" vertical="center"/>
    </xf>
    <xf numFmtId="0" fontId="19" fillId="11" borderId="66" xfId="0" applyFont="1" applyFill="1" applyBorder="1" applyAlignment="1">
      <alignment horizontal="center" vertical="center" wrapText="1"/>
    </xf>
    <xf numFmtId="0" fontId="25" fillId="11" borderId="65" xfId="0" applyFont="1" applyFill="1" applyBorder="1" applyAlignment="1">
      <alignment horizontal="center" vertical="center" wrapText="1"/>
    </xf>
    <xf numFmtId="0" fontId="25" fillId="11" borderId="65" xfId="0" applyFont="1" applyFill="1" applyBorder="1" applyAlignment="1">
      <alignment horizontal="center" vertical="center"/>
    </xf>
    <xf numFmtId="0" fontId="25" fillId="11" borderId="37" xfId="0" applyFont="1" applyFill="1" applyBorder="1" applyAlignment="1">
      <alignment horizontal="center" vertical="center"/>
    </xf>
    <xf numFmtId="0" fontId="7" fillId="0" borderId="2" xfId="0" applyFont="1" applyBorder="1"/>
    <xf numFmtId="0" fontId="7" fillId="0" borderId="2" xfId="0" applyFont="1" applyBorder="1" applyAlignment="1">
      <alignment wrapText="1"/>
    </xf>
    <xf numFmtId="1" fontId="6" fillId="0" borderId="0" xfId="0" applyNumberFormat="1" applyFont="1" applyAlignment="1">
      <alignment horizontal="left" vertical="center"/>
    </xf>
    <xf numFmtId="0" fontId="24" fillId="16" borderId="2" xfId="0" applyFont="1" applyFill="1" applyBorder="1" applyAlignment="1">
      <alignment horizontal="center" vertical="center"/>
    </xf>
    <xf numFmtId="0" fontId="24" fillId="17" borderId="2" xfId="0" applyFont="1" applyFill="1" applyBorder="1" applyAlignment="1">
      <alignment horizontal="center" vertical="center"/>
    </xf>
    <xf numFmtId="0" fontId="24" fillId="18" borderId="2" xfId="0" applyFont="1" applyFill="1" applyBorder="1" applyAlignment="1">
      <alignment horizontal="center" vertical="center"/>
    </xf>
    <xf numFmtId="0" fontId="1" fillId="19" borderId="2" xfId="0" applyFont="1" applyFill="1" applyBorder="1" applyAlignment="1">
      <alignment horizontal="center" vertical="center"/>
    </xf>
    <xf numFmtId="0" fontId="24" fillId="19" borderId="2" xfId="0" applyFont="1" applyFill="1" applyBorder="1" applyAlignment="1">
      <alignment horizontal="center" vertical="center"/>
    </xf>
    <xf numFmtId="0" fontId="24" fillId="14" borderId="2" xfId="0" applyFont="1" applyFill="1" applyBorder="1" applyAlignment="1">
      <alignment horizontal="center" vertical="center"/>
    </xf>
    <xf numFmtId="0" fontId="11" fillId="0" borderId="0" xfId="0" applyFont="1" applyAlignment="1">
      <alignment wrapText="1"/>
    </xf>
    <xf numFmtId="0" fontId="6" fillId="0" borderId="12" xfId="0" applyFont="1" applyBorder="1" applyAlignment="1">
      <alignment horizontal="center" vertical="center"/>
    </xf>
    <xf numFmtId="0" fontId="6" fillId="0" borderId="26" xfId="0" applyFont="1" applyBorder="1" applyAlignment="1">
      <alignment horizontal="center" vertical="center" wrapText="1"/>
    </xf>
    <xf numFmtId="0" fontId="28" fillId="0" borderId="0" xfId="0" applyFont="1" applyAlignment="1">
      <alignment vertical="center" wrapText="1"/>
    </xf>
    <xf numFmtId="0" fontId="6" fillId="0" borderId="26" xfId="0" applyFont="1" applyBorder="1" applyAlignment="1">
      <alignment vertical="center"/>
    </xf>
    <xf numFmtId="1" fontId="6" fillId="0" borderId="2" xfId="0" applyNumberFormat="1" applyFont="1" applyBorder="1" applyAlignment="1">
      <alignment vertical="center"/>
    </xf>
    <xf numFmtId="0" fontId="6" fillId="0" borderId="17" xfId="0" applyFont="1" applyBorder="1" applyAlignment="1">
      <alignment horizontal="center" vertical="center"/>
    </xf>
    <xf numFmtId="166" fontId="6" fillId="0" borderId="2" xfId="7" applyNumberFormat="1" applyFont="1" applyBorder="1" applyAlignment="1">
      <alignment horizontal="center" vertical="center"/>
    </xf>
    <xf numFmtId="164" fontId="6" fillId="0" borderId="2" xfId="2" applyNumberFormat="1" applyFont="1" applyBorder="1" applyAlignment="1">
      <alignment horizontal="center" vertical="center"/>
    </xf>
    <xf numFmtId="0" fontId="7" fillId="0" borderId="0" xfId="0" applyFont="1" applyAlignment="1">
      <alignment horizontal="center" vertical="center"/>
    </xf>
    <xf numFmtId="11" fontId="6" fillId="0" borderId="0" xfId="0" applyNumberFormat="1" applyFont="1"/>
    <xf numFmtId="11" fontId="7" fillId="0" borderId="0" xfId="0" applyNumberFormat="1" applyFont="1" applyAlignment="1">
      <alignment vertical="center"/>
    </xf>
    <xf numFmtId="0" fontId="24" fillId="14" borderId="2" xfId="0" applyFont="1" applyFill="1" applyBorder="1" applyAlignment="1">
      <alignment vertical="center"/>
    </xf>
    <xf numFmtId="169" fontId="10" fillId="0" borderId="2" xfId="6" applyNumberFormat="1" applyFont="1" applyFill="1" applyBorder="1" applyAlignment="1">
      <alignment horizontal="center" vertical="center" wrapText="1"/>
    </xf>
    <xf numFmtId="0" fontId="16" fillId="0" borderId="0" xfId="0" applyFont="1"/>
    <xf numFmtId="0" fontId="32" fillId="0" borderId="0" xfId="0" applyFont="1"/>
    <xf numFmtId="3" fontId="24" fillId="0" borderId="0" xfId="0" applyNumberFormat="1" applyFont="1" applyAlignment="1">
      <alignment horizontal="left"/>
    </xf>
    <xf numFmtId="165" fontId="6" fillId="0" borderId="0" xfId="0" applyNumberFormat="1" applyFont="1" applyAlignment="1">
      <alignment horizontal="center" vertical="center"/>
    </xf>
    <xf numFmtId="3" fontId="6" fillId="0" borderId="0" xfId="0" applyNumberFormat="1" applyFont="1" applyAlignment="1">
      <alignment horizontal="left"/>
    </xf>
    <xf numFmtId="9" fontId="6" fillId="0" borderId="2" xfId="0" applyNumberFormat="1" applyFont="1" applyBorder="1" applyAlignment="1">
      <alignment horizontal="center" vertical="center"/>
    </xf>
    <xf numFmtId="0" fontId="24" fillId="0" borderId="0" xfId="0" applyFont="1" applyAlignment="1">
      <alignment horizontal="left"/>
    </xf>
    <xf numFmtId="0" fontId="24" fillId="0" borderId="2" xfId="0" applyFont="1" applyBorder="1" applyAlignment="1">
      <alignment horizontal="center" vertical="center" wrapText="1"/>
    </xf>
    <xf numFmtId="0" fontId="24" fillId="0" borderId="2" xfId="0" applyFont="1" applyBorder="1" applyAlignment="1">
      <alignment horizontal="left" vertical="top" wrapText="1"/>
    </xf>
    <xf numFmtId="0" fontId="24" fillId="0" borderId="11" xfId="0" applyFont="1" applyBorder="1" applyAlignment="1">
      <alignment horizontal="left" vertical="top" wrapText="1"/>
    </xf>
    <xf numFmtId="0" fontId="6" fillId="0" borderId="26" xfId="0" applyFont="1" applyBorder="1" applyAlignment="1">
      <alignment horizontal="left" vertical="center" wrapText="1"/>
    </xf>
    <xf numFmtId="165" fontId="6" fillId="0" borderId="2" xfId="0" applyNumberFormat="1" applyFont="1" applyBorder="1" applyAlignment="1">
      <alignment horizontal="center" vertical="center"/>
    </xf>
    <xf numFmtId="165" fontId="6" fillId="0" borderId="3" xfId="0" applyNumberFormat="1" applyFont="1" applyBorder="1" applyAlignment="1">
      <alignment horizontal="center" vertical="center"/>
    </xf>
    <xf numFmtId="168" fontId="1" fillId="19" borderId="2" xfId="0" applyNumberFormat="1" applyFont="1" applyFill="1" applyBorder="1" applyAlignment="1">
      <alignment horizontal="center" vertical="center"/>
    </xf>
    <xf numFmtId="49" fontId="6" fillId="0" borderId="26" xfId="0" applyNumberFormat="1" applyFont="1" applyBorder="1" applyAlignment="1">
      <alignment vertical="center" wrapText="1"/>
    </xf>
    <xf numFmtId="1" fontId="6" fillId="0" borderId="26" xfId="0" applyNumberFormat="1" applyFont="1" applyBorder="1" applyAlignment="1">
      <alignment horizontal="center" vertical="center" wrapText="1"/>
    </xf>
    <xf numFmtId="1" fontId="1" fillId="0" borderId="26" xfId="0" applyNumberFormat="1" applyFont="1" applyBorder="1" applyAlignment="1">
      <alignment horizontal="center" vertical="center" wrapText="1"/>
    </xf>
    <xf numFmtId="2" fontId="6" fillId="0" borderId="0" xfId="0" applyNumberFormat="1" applyFont="1"/>
    <xf numFmtId="2" fontId="6" fillId="0" borderId="26" xfId="0" applyNumberFormat="1" applyFont="1" applyBorder="1" applyAlignment="1">
      <alignment horizontal="center" vertical="center" wrapText="1"/>
    </xf>
    <xf numFmtId="0" fontId="37" fillId="0" borderId="0" xfId="0" applyFont="1"/>
    <xf numFmtId="2" fontId="7" fillId="0" borderId="0" xfId="0" applyNumberFormat="1" applyFont="1"/>
    <xf numFmtId="0" fontId="6" fillId="0" borderId="3" xfId="0" applyFont="1" applyBorder="1" applyAlignment="1">
      <alignment vertical="center"/>
    </xf>
    <xf numFmtId="0" fontId="1" fillId="0" borderId="2" xfId="3" applyFont="1" applyFill="1" applyBorder="1" applyAlignment="1">
      <alignment horizontal="center" vertical="center" wrapText="1"/>
    </xf>
    <xf numFmtId="3" fontId="1" fillId="0" borderId="2" xfId="7" applyNumberFormat="1" applyFont="1" applyBorder="1" applyAlignment="1">
      <alignment horizontal="center" vertical="center"/>
    </xf>
    <xf numFmtId="0" fontId="6" fillId="0" borderId="2" xfId="0" applyFont="1" applyBorder="1" applyAlignment="1">
      <alignment horizontal="left" vertical="center" wrapText="1"/>
    </xf>
    <xf numFmtId="0" fontId="1" fillId="0" borderId="0" xfId="0" applyFont="1" applyAlignment="1">
      <alignment horizontal="center" vertical="center" wrapText="1"/>
    </xf>
    <xf numFmtId="0" fontId="6" fillId="0" borderId="76" xfId="0" applyFont="1" applyBorder="1" applyAlignment="1">
      <alignment horizontal="center" vertical="center"/>
    </xf>
    <xf numFmtId="0" fontId="6" fillId="0" borderId="77" xfId="0" applyFont="1" applyBorder="1" applyAlignment="1">
      <alignment horizontal="center" vertical="center"/>
    </xf>
    <xf numFmtId="0" fontId="6" fillId="0" borderId="78" xfId="0" applyFont="1" applyBorder="1" applyAlignment="1">
      <alignment horizontal="center" vertical="center"/>
    </xf>
    <xf numFmtId="0" fontId="23" fillId="0" borderId="79" xfId="0" applyFont="1" applyBorder="1" applyAlignment="1">
      <alignment horizontal="center" vertical="center"/>
    </xf>
    <xf numFmtId="165" fontId="38" fillId="0" borderId="71" xfId="0" applyNumberFormat="1" applyFont="1" applyBorder="1" applyAlignment="1">
      <alignment horizontal="center" vertical="center"/>
    </xf>
    <xf numFmtId="0" fontId="23" fillId="0" borderId="83" xfId="0" applyFont="1" applyBorder="1" applyAlignment="1">
      <alignment horizontal="center" vertical="center"/>
    </xf>
    <xf numFmtId="0" fontId="23" fillId="0" borderId="87" xfId="0" applyFont="1" applyBorder="1" applyAlignment="1">
      <alignment horizontal="center" vertical="center"/>
    </xf>
    <xf numFmtId="1" fontId="38" fillId="0" borderId="74" xfId="0" applyNumberFormat="1" applyFont="1" applyBorder="1" applyAlignment="1">
      <alignment horizontal="center" vertical="center"/>
    </xf>
    <xf numFmtId="1" fontId="38" fillId="0" borderId="73" xfId="0" applyNumberFormat="1" applyFont="1" applyBorder="1" applyAlignment="1">
      <alignment horizontal="center" vertical="center"/>
    </xf>
    <xf numFmtId="1" fontId="38" fillId="0" borderId="72" xfId="0" applyNumberFormat="1" applyFont="1" applyBorder="1" applyAlignment="1">
      <alignment horizontal="center" vertical="center"/>
    </xf>
    <xf numFmtId="1" fontId="38" fillId="0" borderId="71" xfId="0" applyNumberFormat="1" applyFont="1" applyBorder="1" applyAlignment="1">
      <alignment horizontal="center" vertical="center"/>
    </xf>
    <xf numFmtId="1" fontId="38" fillId="0" borderId="70" xfId="0" applyNumberFormat="1" applyFont="1" applyBorder="1" applyAlignment="1">
      <alignment horizontal="center" vertical="center"/>
    </xf>
    <xf numFmtId="1" fontId="38" fillId="0" borderId="69" xfId="0" applyNumberFormat="1" applyFont="1" applyBorder="1" applyAlignment="1">
      <alignment horizontal="center" vertical="center"/>
    </xf>
    <xf numFmtId="2" fontId="38" fillId="0" borderId="71" xfId="0" applyNumberFormat="1" applyFont="1" applyBorder="1" applyAlignment="1">
      <alignment horizontal="center" vertical="center"/>
    </xf>
    <xf numFmtId="0" fontId="23" fillId="0" borderId="98" xfId="0" applyFont="1" applyBorder="1" applyAlignment="1">
      <alignment horizontal="center" vertical="center"/>
    </xf>
    <xf numFmtId="2" fontId="38" fillId="0" borderId="96" xfId="0" applyNumberFormat="1" applyFont="1" applyBorder="1" applyAlignment="1">
      <alignment horizontal="center" vertical="center"/>
    </xf>
    <xf numFmtId="2" fontId="38" fillId="0" borderId="99" xfId="0" applyNumberFormat="1" applyFont="1" applyBorder="1" applyAlignment="1">
      <alignment horizontal="center" vertical="center"/>
    </xf>
    <xf numFmtId="2" fontId="38" fillId="0" borderId="100" xfId="0" applyNumberFormat="1" applyFont="1" applyBorder="1" applyAlignment="1">
      <alignment horizontal="center" vertical="center"/>
    </xf>
    <xf numFmtId="0" fontId="23" fillId="0" borderId="104" xfId="0" applyFont="1" applyBorder="1" applyAlignment="1">
      <alignment horizontal="center" vertical="center"/>
    </xf>
    <xf numFmtId="2" fontId="38" fillId="0" borderId="101" xfId="0" applyNumberFormat="1" applyFont="1" applyBorder="1" applyAlignment="1">
      <alignment horizontal="center" vertical="center"/>
    </xf>
    <xf numFmtId="2" fontId="38" fillId="0" borderId="105" xfId="0" applyNumberFormat="1" applyFont="1" applyBorder="1" applyAlignment="1">
      <alignment horizontal="center" vertical="center"/>
    </xf>
    <xf numFmtId="2" fontId="23" fillId="0" borderId="1" xfId="0" applyNumberFormat="1" applyFont="1" applyBorder="1" applyAlignment="1">
      <alignment horizontal="center" vertical="center"/>
    </xf>
    <xf numFmtId="2" fontId="23" fillId="0" borderId="5" xfId="0" applyNumberFormat="1" applyFont="1" applyBorder="1" applyAlignment="1">
      <alignment horizontal="center" vertical="center"/>
    </xf>
    <xf numFmtId="2" fontId="23" fillId="4" borderId="2" xfId="0" applyNumberFormat="1" applyFont="1" applyFill="1" applyBorder="1" applyAlignment="1">
      <alignment horizontal="center" vertical="center"/>
    </xf>
    <xf numFmtId="2" fontId="23" fillId="4" borderId="7" xfId="0" applyNumberFormat="1" applyFont="1" applyFill="1" applyBorder="1" applyAlignment="1">
      <alignment horizontal="center" vertical="center"/>
    </xf>
    <xf numFmtId="2" fontId="23" fillId="4" borderId="32" xfId="0" applyNumberFormat="1" applyFont="1" applyFill="1" applyBorder="1" applyAlignment="1">
      <alignment horizontal="center" vertical="center"/>
    </xf>
    <xf numFmtId="2" fontId="23" fillId="4" borderId="9" xfId="0" applyNumberFormat="1" applyFont="1" applyFill="1" applyBorder="1" applyAlignment="1">
      <alignment horizontal="center" vertical="center"/>
    </xf>
    <xf numFmtId="2" fontId="23" fillId="0" borderId="17" xfId="0" applyNumberFormat="1" applyFont="1" applyBorder="1" applyAlignment="1">
      <alignment horizontal="center" vertical="center"/>
    </xf>
    <xf numFmtId="2" fontId="23" fillId="0" borderId="110" xfId="0" applyNumberFormat="1" applyFont="1" applyBorder="1" applyAlignment="1">
      <alignment horizontal="center" vertical="center"/>
    </xf>
    <xf numFmtId="1" fontId="23" fillId="0" borderId="1" xfId="0" applyNumberFormat="1" applyFont="1" applyBorder="1" applyAlignment="1">
      <alignment horizontal="center" vertical="center"/>
    </xf>
    <xf numFmtId="1" fontId="23" fillId="0" borderId="5" xfId="0" applyNumberFormat="1" applyFont="1" applyBorder="1" applyAlignment="1">
      <alignment horizontal="center" vertical="center"/>
    </xf>
    <xf numFmtId="1" fontId="23" fillId="9" borderId="2" xfId="0" applyNumberFormat="1" applyFont="1" applyFill="1" applyBorder="1" applyAlignment="1">
      <alignment horizontal="center" vertical="center"/>
    </xf>
    <xf numFmtId="1" fontId="23" fillId="9" borderId="7" xfId="0" applyNumberFormat="1" applyFont="1" applyFill="1" applyBorder="1" applyAlignment="1">
      <alignment horizontal="center" vertical="center"/>
    </xf>
    <xf numFmtId="1" fontId="23" fillId="9" borderId="32" xfId="0" applyNumberFormat="1" applyFont="1" applyFill="1" applyBorder="1" applyAlignment="1">
      <alignment horizontal="center" vertical="center"/>
    </xf>
    <xf numFmtId="1" fontId="23" fillId="9" borderId="9" xfId="0" applyNumberFormat="1" applyFont="1" applyFill="1" applyBorder="1" applyAlignment="1">
      <alignment horizontal="center" vertical="center"/>
    </xf>
    <xf numFmtId="0" fontId="23" fillId="0" borderId="61" xfId="0" applyFont="1" applyBorder="1" applyAlignment="1">
      <alignment horizontal="center" vertical="center"/>
    </xf>
    <xf numFmtId="0" fontId="23" fillId="0" borderId="11" xfId="0" applyFont="1" applyBorder="1" applyAlignment="1">
      <alignment horizontal="center" vertical="center"/>
    </xf>
    <xf numFmtId="0" fontId="23" fillId="0" borderId="62" xfId="0" applyFont="1" applyBorder="1" applyAlignment="1">
      <alignment horizontal="center" vertical="center"/>
    </xf>
    <xf numFmtId="1" fontId="23" fillId="0" borderId="17" xfId="0" applyNumberFormat="1" applyFont="1" applyBorder="1" applyAlignment="1">
      <alignment horizontal="center" vertical="center"/>
    </xf>
    <xf numFmtId="1" fontId="23" fillId="0" borderId="110" xfId="0" applyNumberFormat="1" applyFont="1" applyBorder="1" applyAlignment="1">
      <alignment horizontal="center" vertical="center"/>
    </xf>
    <xf numFmtId="165" fontId="38" fillId="0" borderId="96" xfId="0" applyNumberFormat="1" applyFont="1" applyBorder="1" applyAlignment="1">
      <alignment horizontal="center" vertical="center"/>
    </xf>
    <xf numFmtId="165" fontId="38" fillId="0" borderId="99" xfId="0" applyNumberFormat="1" applyFont="1" applyBorder="1" applyAlignment="1">
      <alignment horizontal="center" vertical="center"/>
    </xf>
    <xf numFmtId="165" fontId="38" fillId="0" borderId="100" xfId="0" applyNumberFormat="1" applyFont="1" applyBorder="1" applyAlignment="1">
      <alignment horizontal="center" vertical="center"/>
    </xf>
    <xf numFmtId="165" fontId="38" fillId="0" borderId="101" xfId="0" applyNumberFormat="1" applyFont="1" applyBorder="1" applyAlignment="1">
      <alignment horizontal="center" vertical="center"/>
    </xf>
    <xf numFmtId="165" fontId="38" fillId="0" borderId="105" xfId="0" applyNumberFormat="1" applyFont="1" applyBorder="1" applyAlignment="1">
      <alignment horizontal="center" vertical="center"/>
    </xf>
    <xf numFmtId="2" fontId="23" fillId="0" borderId="2" xfId="0" applyNumberFormat="1" applyFont="1" applyBorder="1" applyAlignment="1">
      <alignment horizontal="center" vertical="center"/>
    </xf>
    <xf numFmtId="2" fontId="23" fillId="0" borderId="7" xfId="0" applyNumberFormat="1" applyFont="1" applyBorder="1" applyAlignment="1">
      <alignment horizontal="center" vertical="center"/>
    </xf>
    <xf numFmtId="2" fontId="23" fillId="0" borderId="32" xfId="0" applyNumberFormat="1" applyFont="1" applyBorder="1" applyAlignment="1">
      <alignment horizontal="center" vertical="center"/>
    </xf>
    <xf numFmtId="2" fontId="23" fillId="0" borderId="9" xfId="0" applyNumberFormat="1" applyFont="1" applyBorder="1" applyAlignment="1">
      <alignment horizontal="center" vertical="center"/>
    </xf>
    <xf numFmtId="0" fontId="23" fillId="0" borderId="75" xfId="0" applyFont="1" applyBorder="1" applyAlignment="1">
      <alignment horizontal="center" vertical="center"/>
    </xf>
    <xf numFmtId="2" fontId="23" fillId="0" borderId="27" xfId="0" applyNumberFormat="1" applyFont="1" applyBorder="1" applyAlignment="1">
      <alignment horizontal="center" vertical="center"/>
    </xf>
    <xf numFmtId="2" fontId="23" fillId="0" borderId="31" xfId="0" applyNumberFormat="1" applyFont="1" applyBorder="1" applyAlignment="1">
      <alignment horizontal="center" vertical="center"/>
    </xf>
    <xf numFmtId="0" fontId="23" fillId="0" borderId="76" xfId="0" applyFont="1" applyBorder="1" applyAlignment="1">
      <alignment horizontal="center" vertical="center"/>
    </xf>
    <xf numFmtId="2" fontId="23" fillId="0" borderId="26" xfId="0" applyNumberFormat="1" applyFont="1" applyBorder="1" applyAlignment="1">
      <alignment horizontal="center" vertical="center"/>
    </xf>
    <xf numFmtId="2" fontId="23" fillId="0" borderId="28" xfId="0" applyNumberFormat="1" applyFont="1" applyBorder="1" applyAlignment="1">
      <alignment horizontal="center" vertical="center"/>
    </xf>
    <xf numFmtId="0" fontId="23" fillId="0" borderId="77" xfId="0" applyFont="1" applyBorder="1" applyAlignment="1">
      <alignment horizontal="center" vertical="center"/>
    </xf>
    <xf numFmtId="2" fontId="23" fillId="0" borderId="29" xfId="0" applyNumberFormat="1" applyFont="1" applyBorder="1" applyAlignment="1">
      <alignment horizontal="center" vertical="center"/>
    </xf>
    <xf numFmtId="2" fontId="23" fillId="0" borderId="30" xfId="0" applyNumberFormat="1" applyFont="1" applyBorder="1" applyAlignment="1">
      <alignment horizontal="center" vertical="center"/>
    </xf>
    <xf numFmtId="0" fontId="23" fillId="0" borderId="78" xfId="0" applyFont="1" applyBorder="1" applyAlignment="1">
      <alignment horizontal="center" vertical="center"/>
    </xf>
    <xf numFmtId="0" fontId="41" fillId="0" borderId="0" xfId="0" applyFont="1"/>
    <xf numFmtId="0" fontId="23" fillId="0" borderId="111" xfId="0" applyFont="1" applyBorder="1" applyAlignment="1">
      <alignment horizontal="center" vertical="center"/>
    </xf>
    <xf numFmtId="0" fontId="23" fillId="0" borderId="112" xfId="0" applyFont="1" applyBorder="1" applyAlignment="1">
      <alignment horizontal="center" vertical="center"/>
    </xf>
    <xf numFmtId="0" fontId="23" fillId="0" borderId="113" xfId="0" applyFont="1" applyBorder="1" applyAlignment="1">
      <alignment horizontal="center" vertical="center"/>
    </xf>
    <xf numFmtId="0" fontId="23" fillId="0" borderId="114" xfId="0" applyFont="1" applyBorder="1" applyAlignment="1">
      <alignment horizontal="center" vertical="center"/>
    </xf>
    <xf numFmtId="165" fontId="6" fillId="0" borderId="26" xfId="0" applyNumberFormat="1" applyFont="1" applyBorder="1" applyAlignment="1">
      <alignment horizontal="center" vertical="center" wrapText="1"/>
    </xf>
    <xf numFmtId="0" fontId="23" fillId="0" borderId="0" xfId="0" applyFont="1" applyAlignment="1">
      <alignment horizontal="left" vertical="center" wrapText="1"/>
    </xf>
    <xf numFmtId="0" fontId="23" fillId="0" borderId="20" xfId="0" applyFont="1" applyBorder="1" applyAlignment="1">
      <alignment horizontal="center" vertical="center"/>
    </xf>
    <xf numFmtId="0" fontId="23" fillId="0" borderId="124" xfId="0" applyFont="1" applyBorder="1" applyAlignment="1">
      <alignment horizontal="center" vertical="center"/>
    </xf>
    <xf numFmtId="2" fontId="23" fillId="0" borderId="125" xfId="0" applyNumberFormat="1" applyFont="1" applyBorder="1" applyAlignment="1">
      <alignment horizontal="center" vertical="center"/>
    </xf>
    <xf numFmtId="2" fontId="23" fillId="0" borderId="126" xfId="0" applyNumberFormat="1" applyFont="1" applyBorder="1" applyAlignment="1">
      <alignment horizontal="center" vertical="center"/>
    </xf>
    <xf numFmtId="0" fontId="23" fillId="0" borderId="127" xfId="0" applyFont="1" applyBorder="1" applyAlignment="1">
      <alignment horizontal="center" vertical="center"/>
    </xf>
    <xf numFmtId="2" fontId="23" fillId="0" borderId="128" xfId="0" applyNumberFormat="1" applyFont="1" applyBorder="1" applyAlignment="1">
      <alignment horizontal="center" vertical="center"/>
    </xf>
    <xf numFmtId="2" fontId="23" fillId="0" borderId="129" xfId="0" applyNumberFormat="1" applyFont="1" applyBorder="1" applyAlignment="1">
      <alignment horizontal="center" vertical="center"/>
    </xf>
    <xf numFmtId="0" fontId="23" fillId="0" borderId="130" xfId="0" applyFont="1" applyBorder="1" applyAlignment="1">
      <alignment horizontal="center" vertical="center"/>
    </xf>
    <xf numFmtId="2" fontId="23" fillId="0" borderId="131" xfId="0" applyNumberFormat="1" applyFont="1" applyBorder="1" applyAlignment="1">
      <alignment horizontal="center" vertical="center"/>
    </xf>
    <xf numFmtId="2" fontId="23" fillId="0" borderId="132" xfId="0" applyNumberFormat="1" applyFont="1" applyBorder="1" applyAlignment="1">
      <alignment horizontal="center" vertical="center"/>
    </xf>
    <xf numFmtId="2" fontId="23" fillId="9" borderId="2" xfId="0" applyNumberFormat="1" applyFont="1" applyFill="1" applyBorder="1" applyAlignment="1">
      <alignment horizontal="center" vertical="center"/>
    </xf>
    <xf numFmtId="2" fontId="23" fillId="9" borderId="32" xfId="0" applyNumberFormat="1" applyFont="1" applyFill="1" applyBorder="1" applyAlignment="1">
      <alignment horizontal="center" vertical="center"/>
    </xf>
    <xf numFmtId="39" fontId="6" fillId="0" borderId="2" xfId="0" applyNumberFormat="1" applyFont="1" applyBorder="1" applyAlignment="1">
      <alignment horizontal="center" vertical="center"/>
    </xf>
    <xf numFmtId="3" fontId="6" fillId="0" borderId="2" xfId="6" applyNumberFormat="1" applyFont="1" applyBorder="1" applyAlignment="1">
      <alignment horizontal="center" vertical="center"/>
    </xf>
    <xf numFmtId="165" fontId="24" fillId="0" borderId="2" xfId="0" applyNumberFormat="1" applyFont="1" applyBorder="1" applyAlignment="1">
      <alignment horizontal="center" vertical="center"/>
    </xf>
    <xf numFmtId="9" fontId="6" fillId="0" borderId="24" xfId="2" applyFont="1" applyFill="1" applyBorder="1" applyAlignment="1">
      <alignment horizontal="center" vertical="center"/>
    </xf>
    <xf numFmtId="0" fontId="25" fillId="7" borderId="2" xfId="0" applyFont="1" applyFill="1" applyBorder="1" applyAlignment="1">
      <alignment horizontal="center" vertical="center"/>
    </xf>
    <xf numFmtId="3" fontId="6" fillId="0" borderId="0" xfId="6" applyNumberFormat="1" applyFont="1" applyBorder="1" applyAlignment="1">
      <alignment horizontal="center" vertical="center"/>
    </xf>
    <xf numFmtId="39" fontId="6" fillId="0" borderId="0" xfId="0" applyNumberFormat="1" applyFont="1" applyAlignment="1">
      <alignment horizontal="center" vertical="center"/>
    </xf>
    <xf numFmtId="165" fontId="24" fillId="0" borderId="0" xfId="0" applyNumberFormat="1" applyFont="1" applyAlignment="1">
      <alignment horizontal="center" vertical="center"/>
    </xf>
    <xf numFmtId="49" fontId="6" fillId="0" borderId="0" xfId="0" applyNumberFormat="1" applyFont="1" applyAlignment="1">
      <alignment horizontal="center" vertical="top" wrapText="1"/>
    </xf>
    <xf numFmtId="0" fontId="10" fillId="0" borderId="0" xfId="3" quotePrefix="1" applyFont="1" applyBorder="1" applyAlignment="1">
      <alignment horizontal="left" vertical="center" wrapText="1"/>
    </xf>
    <xf numFmtId="0" fontId="7" fillId="2" borderId="0" xfId="0" applyFont="1" applyFill="1" applyAlignment="1">
      <alignment horizontal="left" vertical="center"/>
    </xf>
    <xf numFmtId="0" fontId="7" fillId="2" borderId="0" xfId="0" applyFont="1" applyFill="1" applyAlignment="1">
      <alignment horizontal="center" vertical="center"/>
    </xf>
    <xf numFmtId="0" fontId="19" fillId="20" borderId="2" xfId="0" applyFont="1" applyFill="1" applyBorder="1" applyAlignment="1">
      <alignment horizontal="center" vertical="center" wrapText="1"/>
    </xf>
    <xf numFmtId="0" fontId="19" fillId="11" borderId="2" xfId="0" applyFont="1" applyFill="1" applyBorder="1" applyAlignment="1">
      <alignment horizontal="center" vertical="center" wrapText="1"/>
    </xf>
    <xf numFmtId="0" fontId="6" fillId="0" borderId="2" xfId="4" applyBorder="1" applyAlignment="1">
      <alignment horizontal="center" vertical="center"/>
    </xf>
    <xf numFmtId="171" fontId="6" fillId="0" borderId="2" xfId="6" applyNumberFormat="1" applyFont="1" applyBorder="1" applyAlignment="1">
      <alignment vertical="center"/>
    </xf>
    <xf numFmtId="171" fontId="6" fillId="0" borderId="2" xfId="0" applyNumberFormat="1" applyFont="1" applyBorder="1" applyAlignment="1">
      <alignment vertical="center"/>
    </xf>
    <xf numFmtId="171" fontId="24" fillId="0" borderId="2" xfId="0" applyNumberFormat="1" applyFont="1" applyBorder="1" applyAlignment="1">
      <alignment vertical="center"/>
    </xf>
    <xf numFmtId="171" fontId="6" fillId="0" borderId="2" xfId="0" applyNumberFormat="1" applyFont="1" applyBorder="1"/>
    <xf numFmtId="0" fontId="6" fillId="0" borderId="0" xfId="0" applyFont="1" applyAlignment="1">
      <alignment horizontal="center"/>
    </xf>
    <xf numFmtId="0" fontId="8" fillId="0" borderId="0" xfId="5" applyBorder="1" applyAlignment="1">
      <alignment horizontal="left"/>
    </xf>
    <xf numFmtId="0" fontId="6" fillId="0" borderId="0" xfId="0" applyFont="1" applyAlignment="1">
      <alignment horizontal="left"/>
    </xf>
    <xf numFmtId="0" fontId="6" fillId="0" borderId="0" xfId="0" applyFont="1" applyAlignment="1">
      <alignment horizontal="left" vertical="center"/>
    </xf>
    <xf numFmtId="0" fontId="24" fillId="0" borderId="0" xfId="0" applyFont="1" applyAlignment="1">
      <alignment horizontal="left" vertical="center"/>
    </xf>
    <xf numFmtId="0" fontId="24" fillId="0" borderId="0" xfId="0" applyFont="1" applyAlignment="1">
      <alignment horizontal="center"/>
    </xf>
    <xf numFmtId="0" fontId="7" fillId="7"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xf>
    <xf numFmtId="0" fontId="6" fillId="0" borderId="2" xfId="0" applyFont="1" applyBorder="1" applyAlignment="1">
      <alignment horizontal="center" vertical="center"/>
    </xf>
    <xf numFmtId="0" fontId="1" fillId="0" borderId="12" xfId="0" applyFont="1" applyBorder="1" applyAlignment="1">
      <alignment horizontal="center" vertical="center" wrapText="1"/>
    </xf>
    <xf numFmtId="0" fontId="24" fillId="0" borderId="0" xfId="0" applyFont="1"/>
    <xf numFmtId="0" fontId="7" fillId="7" borderId="2" xfId="0" applyFont="1" applyFill="1" applyBorder="1" applyAlignment="1">
      <alignment horizontal="center" vertical="center"/>
    </xf>
    <xf numFmtId="0" fontId="6" fillId="0" borderId="12" xfId="0" applyFont="1" applyBorder="1" applyAlignment="1">
      <alignment horizontal="center" vertical="center" wrapText="1"/>
    </xf>
    <xf numFmtId="0" fontId="25" fillId="7" borderId="2" xfId="0" applyFont="1" applyFill="1" applyBorder="1" applyAlignment="1">
      <alignment horizontal="center" vertical="center" wrapText="1"/>
    </xf>
    <xf numFmtId="0" fontId="24" fillId="0" borderId="2" xfId="0" applyFont="1" applyBorder="1" applyAlignment="1">
      <alignment horizontal="center" vertical="center"/>
    </xf>
    <xf numFmtId="0" fontId="6" fillId="0" borderId="0" xfId="0" applyFont="1" applyAlignment="1">
      <alignment horizontal="center" vertical="center"/>
    </xf>
    <xf numFmtId="0" fontId="7" fillId="7" borderId="12" xfId="0" applyFont="1" applyFill="1" applyBorder="1" applyAlignment="1">
      <alignment horizontal="center" vertical="center"/>
    </xf>
    <xf numFmtId="0" fontId="19" fillId="7" borderId="2" xfId="0" applyFont="1" applyFill="1" applyBorder="1" applyAlignment="1">
      <alignment horizontal="center" vertical="center" wrapText="1"/>
    </xf>
    <xf numFmtId="0" fontId="12" fillId="10" borderId="0" xfId="0" applyFont="1" applyFill="1" applyAlignment="1">
      <alignment horizontal="center" vertical="center"/>
    </xf>
    <xf numFmtId="0" fontId="6" fillId="0" borderId="0" xfId="0" applyFont="1" applyAlignment="1">
      <alignment horizontal="center"/>
    </xf>
    <xf numFmtId="0" fontId="8" fillId="0" borderId="0" xfId="5" applyBorder="1" applyAlignment="1">
      <alignment horizontal="left"/>
    </xf>
    <xf numFmtId="0" fontId="6" fillId="0" borderId="0" xfId="0" applyFont="1" applyAlignment="1">
      <alignment horizontal="left"/>
    </xf>
    <xf numFmtId="0" fontId="6" fillId="0" borderId="0" xfId="0" applyFont="1" applyAlignment="1">
      <alignment horizontal="left" vertical="center"/>
    </xf>
    <xf numFmtId="0" fontId="6" fillId="0" borderId="0" xfId="0" applyFont="1" applyAlignment="1">
      <alignment horizontal="left" vertical="center" wrapText="1"/>
    </xf>
    <xf numFmtId="0" fontId="24" fillId="0" borderId="0" xfId="0" applyFont="1" applyAlignment="1">
      <alignment horizontal="left" vertical="center"/>
    </xf>
    <xf numFmtId="0" fontId="8" fillId="0" borderId="0" xfId="5" applyAlignment="1">
      <alignment horizontal="center"/>
    </xf>
    <xf numFmtId="0" fontId="24" fillId="0" borderId="0" xfId="0" applyFont="1" applyAlignment="1">
      <alignment horizontal="center"/>
    </xf>
    <xf numFmtId="0" fontId="18" fillId="0" borderId="0" xfId="0" applyFont="1" applyAlignment="1">
      <alignment horizontal="left" vertical="center"/>
    </xf>
    <xf numFmtId="0" fontId="12" fillId="10" borderId="2" xfId="1" applyFont="1" applyFill="1" applyBorder="1" applyAlignment="1">
      <alignment horizontal="center" vertical="center" wrapText="1"/>
    </xf>
    <xf numFmtId="0" fontId="12" fillId="10" borderId="34" xfId="0" applyFont="1" applyFill="1" applyBorder="1" applyAlignment="1">
      <alignment horizontal="center" vertical="center"/>
    </xf>
    <xf numFmtId="0" fontId="12" fillId="10" borderId="35" xfId="0" applyFont="1" applyFill="1" applyBorder="1" applyAlignment="1">
      <alignment horizontal="center" vertical="center"/>
    </xf>
    <xf numFmtId="0" fontId="12" fillId="10" borderId="36" xfId="0" applyFont="1" applyFill="1" applyBorder="1" applyAlignment="1">
      <alignment horizontal="center" vertical="center"/>
    </xf>
    <xf numFmtId="0" fontId="12" fillId="10" borderId="19" xfId="0" applyFont="1" applyFill="1" applyBorder="1" applyAlignment="1">
      <alignment horizontal="center" vertical="center"/>
    </xf>
    <xf numFmtId="0" fontId="7" fillId="7"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xf>
    <xf numFmtId="0" fontId="12" fillId="10" borderId="2" xfId="0" applyFont="1" applyFill="1" applyBorder="1" applyAlignment="1">
      <alignment horizontal="center" vertical="center" wrapText="1"/>
    </xf>
    <xf numFmtId="0" fontId="24" fillId="0" borderId="12"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17" xfId="0" applyFont="1" applyBorder="1" applyAlignment="1">
      <alignment horizontal="center" vertical="center" wrapText="1"/>
    </xf>
    <xf numFmtId="0" fontId="6" fillId="0" borderId="2" xfId="0" applyFont="1" applyBorder="1" applyAlignment="1">
      <alignment horizontal="center" vertical="center"/>
    </xf>
    <xf numFmtId="0" fontId="1" fillId="0" borderId="1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24" fillId="0" borderId="0" xfId="0" applyFont="1"/>
    <xf numFmtId="0" fontId="30" fillId="13" borderId="34" xfId="0" applyFont="1" applyFill="1" applyBorder="1" applyAlignment="1">
      <alignment horizontal="center" vertical="center"/>
    </xf>
    <xf numFmtId="0" fontId="30" fillId="13" borderId="35" xfId="0" applyFont="1" applyFill="1" applyBorder="1" applyAlignment="1">
      <alignment horizontal="center" vertical="center"/>
    </xf>
    <xf numFmtId="0" fontId="30" fillId="13" borderId="36" xfId="0" applyFont="1" applyFill="1" applyBorder="1" applyAlignment="1">
      <alignment horizontal="center" vertical="center"/>
    </xf>
    <xf numFmtId="0" fontId="1" fillId="0" borderId="39"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3" xfId="0" applyFont="1" applyBorder="1" applyAlignment="1">
      <alignment horizontal="center" vertical="center" wrapText="1"/>
    </xf>
    <xf numFmtId="0" fontId="24" fillId="0" borderId="52" xfId="0" applyFont="1" applyBorder="1" applyAlignment="1">
      <alignment horizontal="center" vertical="center" wrapText="1"/>
    </xf>
    <xf numFmtId="0" fontId="24" fillId="0" borderId="53" xfId="0" applyFont="1" applyBorder="1" applyAlignment="1">
      <alignment horizontal="center" vertical="center" wrapText="1"/>
    </xf>
    <xf numFmtId="0" fontId="24" fillId="0" borderId="54" xfId="0" applyFont="1" applyBorder="1" applyAlignment="1">
      <alignment horizontal="center" vertical="center" wrapText="1"/>
    </xf>
    <xf numFmtId="0" fontId="12" fillId="10" borderId="34" xfId="0" applyFont="1" applyFill="1" applyBorder="1" applyAlignment="1">
      <alignment horizontal="center" vertical="center" wrapText="1"/>
    </xf>
    <xf numFmtId="0" fontId="12" fillId="10" borderId="35" xfId="0" applyFont="1" applyFill="1" applyBorder="1" applyAlignment="1">
      <alignment horizontal="center" vertical="center" wrapText="1"/>
    </xf>
    <xf numFmtId="0" fontId="12" fillId="10" borderId="36" xfId="0" applyFont="1" applyFill="1" applyBorder="1" applyAlignment="1">
      <alignment horizontal="center" vertical="center" wrapText="1"/>
    </xf>
    <xf numFmtId="0" fontId="12" fillId="10" borderId="21" xfId="0" applyFont="1" applyFill="1" applyBorder="1" applyAlignment="1">
      <alignment horizontal="center" vertical="center" wrapText="1"/>
    </xf>
    <xf numFmtId="0" fontId="12" fillId="10" borderId="0" xfId="0" applyFont="1" applyFill="1" applyAlignment="1">
      <alignment horizontal="center" vertical="center" wrapText="1"/>
    </xf>
    <xf numFmtId="0" fontId="6" fillId="0" borderId="25" xfId="0" applyFont="1" applyBorder="1" applyAlignment="1">
      <alignment horizontal="center" vertical="center" wrapText="1"/>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63" xfId="0" applyFont="1" applyBorder="1" applyAlignment="1">
      <alignment horizontal="center" vertical="center" wrapText="1"/>
    </xf>
    <xf numFmtId="0" fontId="6" fillId="0" borderId="40" xfId="0" applyFont="1" applyBorder="1" applyAlignment="1">
      <alignment horizontal="center" vertical="center"/>
    </xf>
    <xf numFmtId="0" fontId="6" fillId="0" borderId="42" xfId="0" applyFont="1" applyBorder="1" applyAlignment="1">
      <alignment horizontal="center" vertical="center"/>
    </xf>
    <xf numFmtId="0" fontId="6" fillId="0" borderId="38" xfId="0" applyFont="1" applyBorder="1" applyAlignment="1">
      <alignment horizontal="center" vertical="center"/>
    </xf>
    <xf numFmtId="0" fontId="6" fillId="0" borderId="33" xfId="0" applyFont="1" applyBorder="1" applyAlignment="1">
      <alignment horizontal="center" vertical="center"/>
    </xf>
    <xf numFmtId="0" fontId="0" fillId="0" borderId="2" xfId="0" applyBorder="1" applyAlignment="1">
      <alignment horizontal="center" vertical="center" wrapText="1"/>
    </xf>
    <xf numFmtId="0" fontId="30" fillId="13" borderId="21" xfId="0" applyFont="1" applyFill="1" applyBorder="1" applyAlignment="1">
      <alignment horizontal="center" vertical="center"/>
    </xf>
    <xf numFmtId="0" fontId="30" fillId="13" borderId="0" xfId="0" applyFont="1" applyFill="1" applyAlignment="1">
      <alignment horizontal="center" vertical="center"/>
    </xf>
    <xf numFmtId="49" fontId="6" fillId="0" borderId="12" xfId="0" applyNumberFormat="1" applyFont="1" applyBorder="1" applyAlignment="1">
      <alignment horizontal="center" vertical="top" wrapText="1"/>
    </xf>
    <xf numFmtId="49" fontId="6" fillId="0" borderId="16" xfId="0" applyNumberFormat="1" applyFont="1" applyBorder="1" applyAlignment="1">
      <alignment horizontal="center" vertical="top" wrapText="1"/>
    </xf>
    <xf numFmtId="49" fontId="6" fillId="0" borderId="17" xfId="0" applyNumberFormat="1" applyFont="1" applyBorder="1" applyAlignment="1">
      <alignment horizontal="center" vertical="top" wrapText="1"/>
    </xf>
    <xf numFmtId="0" fontId="30" fillId="13" borderId="2" xfId="0" applyFont="1" applyFill="1" applyBorder="1" applyAlignment="1">
      <alignment horizontal="center" vertical="center" wrapText="1"/>
    </xf>
    <xf numFmtId="0" fontId="19" fillId="7" borderId="67" xfId="0" applyFont="1" applyFill="1" applyBorder="1" applyAlignment="1">
      <alignment horizontal="center" vertical="center" wrapText="1"/>
    </xf>
    <xf numFmtId="0" fontId="19" fillId="7" borderId="68" xfId="0" applyFont="1" applyFill="1" applyBorder="1" applyAlignment="1">
      <alignment horizontal="center" vertical="center" wrapText="1"/>
    </xf>
    <xf numFmtId="0" fontId="7" fillId="7" borderId="2" xfId="0" applyFont="1" applyFill="1" applyBorder="1" applyAlignment="1">
      <alignment horizontal="center" vertical="center"/>
    </xf>
    <xf numFmtId="0" fontId="6" fillId="0" borderId="12"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12" fillId="10" borderId="13" xfId="0" applyFont="1" applyFill="1" applyBorder="1" applyAlignment="1">
      <alignment horizontal="center" vertical="center"/>
    </xf>
    <xf numFmtId="0" fontId="12" fillId="10" borderId="14" xfId="0" applyFont="1" applyFill="1" applyBorder="1" applyAlignment="1">
      <alignment horizontal="center" vertical="center"/>
    </xf>
    <xf numFmtId="0" fontId="8" fillId="0" borderId="0" xfId="5" applyBorder="1" applyAlignment="1">
      <alignment horizontal="center" vertical="center"/>
    </xf>
    <xf numFmtId="0" fontId="12" fillId="10" borderId="2" xfId="0" applyFont="1" applyFill="1" applyBorder="1" applyAlignment="1">
      <alignment horizontal="center" vertical="center"/>
    </xf>
    <xf numFmtId="0" fontId="25" fillId="7" borderId="2" xfId="0" applyFont="1" applyFill="1" applyBorder="1" applyAlignment="1">
      <alignment horizontal="center" vertical="center" wrapText="1"/>
    </xf>
    <xf numFmtId="0" fontId="23" fillId="0" borderId="5"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23"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2" xfId="0" applyFont="1" applyBorder="1" applyAlignment="1">
      <alignment horizontal="center" vertical="center" wrapText="1"/>
    </xf>
    <xf numFmtId="0" fontId="23" fillId="0" borderId="110" xfId="0" applyFont="1" applyBorder="1" applyAlignment="1">
      <alignment horizontal="center" vertical="center" wrapText="1"/>
    </xf>
    <xf numFmtId="0" fontId="23" fillId="0" borderId="90" xfId="0" applyFont="1" applyBorder="1" applyAlignment="1">
      <alignment horizontal="center" vertical="center" wrapText="1"/>
    </xf>
    <xf numFmtId="0" fontId="23" fillId="0" borderId="86" xfId="0" applyFont="1" applyBorder="1" applyAlignment="1">
      <alignment horizontal="center" vertical="center" wrapText="1"/>
    </xf>
    <xf numFmtId="0" fontId="23" fillId="0" borderId="82" xfId="0" applyFont="1" applyBorder="1" applyAlignment="1">
      <alignment horizontal="center" vertical="center" wrapText="1"/>
    </xf>
    <xf numFmtId="0" fontId="23" fillId="0" borderId="89" xfId="0" applyFont="1" applyBorder="1" applyAlignment="1">
      <alignment horizontal="center" vertical="center"/>
    </xf>
    <xf numFmtId="0" fontId="23" fillId="0" borderId="85" xfId="0" applyFont="1" applyBorder="1" applyAlignment="1">
      <alignment horizontal="center" vertical="center"/>
    </xf>
    <xf numFmtId="0" fontId="23" fillId="0" borderId="81" xfId="0" applyFont="1" applyBorder="1" applyAlignment="1">
      <alignment horizontal="center" vertical="center"/>
    </xf>
    <xf numFmtId="0" fontId="38" fillId="0" borderId="89" xfId="0" applyFont="1" applyBorder="1" applyAlignment="1">
      <alignment horizontal="center" vertical="center" wrapText="1"/>
    </xf>
    <xf numFmtId="0" fontId="38" fillId="0" borderId="85" xfId="0" applyFont="1" applyBorder="1" applyAlignment="1">
      <alignment horizontal="center" vertical="center" wrapText="1"/>
    </xf>
    <xf numFmtId="0" fontId="38" fillId="0" borderId="81" xfId="0" applyFont="1" applyBorder="1" applyAlignment="1">
      <alignment horizontal="center" vertical="center" wrapText="1"/>
    </xf>
    <xf numFmtId="0" fontId="23" fillId="0" borderId="88" xfId="0" applyFont="1" applyBorder="1" applyAlignment="1">
      <alignment horizontal="center" vertical="center" wrapText="1"/>
    </xf>
    <xf numFmtId="0" fontId="23" fillId="0" borderId="84" xfId="0" applyFont="1" applyBorder="1" applyAlignment="1">
      <alignment horizontal="center" vertical="center" wrapText="1"/>
    </xf>
    <xf numFmtId="0" fontId="23" fillId="0" borderId="80" xfId="0" applyFont="1" applyBorder="1" applyAlignment="1">
      <alignment horizontal="center" vertical="center" wrapText="1"/>
    </xf>
    <xf numFmtId="0" fontId="23" fillId="0" borderId="93" xfId="0" applyFont="1" applyBorder="1" applyAlignment="1">
      <alignment horizontal="center" vertical="center" wrapText="1"/>
    </xf>
    <xf numFmtId="0" fontId="23" fillId="0" borderId="92" xfId="0" applyFont="1" applyBorder="1" applyAlignment="1">
      <alignment horizontal="center" vertical="center" wrapText="1"/>
    </xf>
    <xf numFmtId="0" fontId="23" fillId="0" borderId="91" xfId="0" applyFont="1" applyBorder="1" applyAlignment="1">
      <alignment horizontal="center" vertical="center" wrapText="1"/>
    </xf>
    <xf numFmtId="0" fontId="23" fillId="0" borderId="69" xfId="0" applyFont="1" applyBorder="1" applyAlignment="1">
      <alignment horizontal="center" vertical="center"/>
    </xf>
    <xf numFmtId="0" fontId="23" fillId="0" borderId="71" xfId="0" applyFont="1" applyBorder="1" applyAlignment="1">
      <alignment horizontal="center" vertical="center"/>
    </xf>
    <xf numFmtId="0" fontId="23" fillId="0" borderId="73" xfId="0" applyFont="1" applyBorder="1" applyAlignment="1">
      <alignment horizontal="center" vertical="center"/>
    </xf>
    <xf numFmtId="0" fontId="38" fillId="0" borderId="69"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 xfId="0" applyFont="1" applyBorder="1" applyAlignment="1">
      <alignment horizontal="center" vertical="center" wrapText="1"/>
    </xf>
    <xf numFmtId="0" fontId="38" fillId="0" borderId="32"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116" xfId="0" applyFont="1" applyBorder="1" applyAlignment="1">
      <alignment horizontal="center" vertical="center" wrapText="1"/>
    </xf>
    <xf numFmtId="0" fontId="23" fillId="0" borderId="117" xfId="0" applyFont="1" applyBorder="1" applyAlignment="1">
      <alignment horizontal="center" vertical="center" wrapText="1"/>
    </xf>
    <xf numFmtId="0" fontId="23" fillId="0" borderId="118" xfId="0" applyFont="1" applyBorder="1" applyAlignment="1">
      <alignment horizontal="center" vertical="center" wrapText="1"/>
    </xf>
    <xf numFmtId="0" fontId="23" fillId="0" borderId="115" xfId="0" applyFont="1" applyBorder="1" applyAlignment="1">
      <alignment horizontal="center" vertical="center"/>
    </xf>
    <xf numFmtId="0" fontId="23" fillId="0" borderId="102" xfId="0" applyFont="1" applyBorder="1" applyAlignment="1">
      <alignment horizontal="center" vertical="center"/>
    </xf>
    <xf numFmtId="0" fontId="38" fillId="0" borderId="115" xfId="0" applyFont="1" applyBorder="1" applyAlignment="1">
      <alignment horizontal="center" vertical="center" wrapText="1"/>
    </xf>
    <xf numFmtId="0" fontId="38" fillId="0" borderId="102" xfId="0" applyFont="1" applyBorder="1" applyAlignment="1">
      <alignment horizontal="center" vertical="center" wrapText="1"/>
    </xf>
    <xf numFmtId="0" fontId="23" fillId="0" borderId="97" xfId="0" applyFont="1" applyBorder="1" applyAlignment="1">
      <alignment horizontal="center" vertical="center" wrapText="1"/>
    </xf>
    <xf numFmtId="0" fontId="23" fillId="0" borderId="103" xfId="0" applyFont="1" applyBorder="1" applyAlignment="1">
      <alignment horizontal="center" vertical="center" wrapText="1"/>
    </xf>
    <xf numFmtId="0" fontId="23" fillId="0" borderId="65"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95" xfId="0" applyFont="1" applyBorder="1" applyAlignment="1">
      <alignment horizontal="center" vertical="center" wrapText="1"/>
    </xf>
    <xf numFmtId="0" fontId="23" fillId="0" borderId="37" xfId="0" applyFont="1" applyBorder="1" applyAlignment="1">
      <alignment horizontal="center" vertical="center" wrapText="1"/>
    </xf>
    <xf numFmtId="0" fontId="23" fillId="0" borderId="107" xfId="0" applyFont="1" applyBorder="1" applyAlignment="1">
      <alignment horizontal="center" vertical="center" wrapText="1"/>
    </xf>
    <xf numFmtId="0" fontId="23" fillId="0" borderId="109" xfId="0" applyFont="1" applyBorder="1" applyAlignment="1">
      <alignment horizontal="center" vertical="center" wrapText="1"/>
    </xf>
    <xf numFmtId="0" fontId="23" fillId="0" borderId="64" xfId="0" applyFont="1" applyBorder="1" applyAlignment="1">
      <alignment horizontal="center" vertical="center" wrapText="1"/>
    </xf>
    <xf numFmtId="0" fontId="23" fillId="0" borderId="106" xfId="0" applyFont="1" applyBorder="1" applyAlignment="1">
      <alignment horizontal="center" vertical="center" wrapText="1"/>
    </xf>
    <xf numFmtId="0" fontId="23" fillId="0" borderId="108" xfId="0" applyFont="1" applyBorder="1" applyAlignment="1">
      <alignment horizontal="center" vertical="center" wrapText="1"/>
    </xf>
    <xf numFmtId="0" fontId="7" fillId="7" borderId="12" xfId="0" applyFont="1" applyFill="1" applyBorder="1" applyAlignment="1">
      <alignment horizontal="center" vertical="center"/>
    </xf>
    <xf numFmtId="0" fontId="7" fillId="7" borderId="95" xfId="0" applyFont="1" applyFill="1" applyBorder="1" applyAlignment="1">
      <alignment horizontal="center" vertical="center"/>
    </xf>
    <xf numFmtId="0" fontId="12" fillId="10" borderId="3" xfId="0" applyFont="1" applyFill="1" applyBorder="1" applyAlignment="1">
      <alignment horizontal="center" vertical="center" wrapText="1"/>
    </xf>
    <xf numFmtId="0" fontId="12" fillId="10" borderId="10" xfId="0" applyFont="1" applyFill="1" applyBorder="1" applyAlignment="1">
      <alignment horizontal="center" vertical="center" wrapText="1"/>
    </xf>
    <xf numFmtId="0" fontId="12" fillId="10" borderId="11" xfId="0" applyFont="1" applyFill="1" applyBorder="1" applyAlignment="1">
      <alignment horizontal="center" vertical="center" wrapText="1"/>
    </xf>
    <xf numFmtId="0" fontId="38" fillId="0" borderId="1" xfId="0" applyFont="1" applyBorder="1" applyAlignment="1">
      <alignment horizontal="center" vertical="center"/>
    </xf>
    <xf numFmtId="0" fontId="38" fillId="0" borderId="2" xfId="0" applyFont="1" applyBorder="1" applyAlignment="1">
      <alignment horizontal="center" vertical="center"/>
    </xf>
    <xf numFmtId="0" fontId="38" fillId="0" borderId="32" xfId="0" applyFont="1" applyBorder="1" applyAlignment="1">
      <alignment horizontal="center" vertical="center"/>
    </xf>
    <xf numFmtId="0" fontId="19" fillId="7" borderId="2" xfId="0" applyFont="1" applyFill="1" applyBorder="1" applyAlignment="1">
      <alignment horizontal="center" vertical="center" wrapText="1"/>
    </xf>
    <xf numFmtId="0" fontId="19" fillId="7" borderId="0" xfId="0" applyFont="1" applyFill="1" applyAlignment="1">
      <alignment horizontal="center" vertical="center" wrapText="1"/>
    </xf>
    <xf numFmtId="0" fontId="19" fillId="7" borderId="94" xfId="0" applyFont="1" applyFill="1" applyBorder="1" applyAlignment="1">
      <alignment horizontal="center" vertical="center" wrapText="1"/>
    </xf>
    <xf numFmtId="0" fontId="19" fillId="7" borderId="119" xfId="0" applyFont="1" applyFill="1" applyBorder="1" applyAlignment="1">
      <alignment horizontal="center" vertical="center" wrapText="1"/>
    </xf>
    <xf numFmtId="0" fontId="19" fillId="7" borderId="120" xfId="0" applyFont="1" applyFill="1" applyBorder="1" applyAlignment="1">
      <alignment horizontal="center" vertical="center" wrapText="1"/>
    </xf>
    <xf numFmtId="0" fontId="23" fillId="0" borderId="12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22" xfId="0" applyFont="1" applyBorder="1" applyAlignment="1">
      <alignment horizontal="center" vertical="center" wrapText="1"/>
    </xf>
    <xf numFmtId="0" fontId="40" fillId="7" borderId="0" xfId="0" applyFont="1" applyFill="1" applyAlignment="1">
      <alignment horizontal="center" vertical="center" wrapText="1"/>
    </xf>
    <xf numFmtId="0" fontId="40" fillId="7" borderId="94" xfId="0" applyFont="1" applyFill="1" applyBorder="1" applyAlignment="1">
      <alignment horizontal="center" vertical="center" wrapText="1"/>
    </xf>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23" fillId="0" borderId="32" xfId="0" applyFont="1" applyBorder="1" applyAlignment="1">
      <alignment horizontal="center" vertical="center"/>
    </xf>
    <xf numFmtId="0" fontId="23" fillId="0" borderId="65" xfId="0" applyFont="1" applyBorder="1" applyAlignment="1">
      <alignment horizontal="center" vertical="center"/>
    </xf>
    <xf numFmtId="0" fontId="23" fillId="0" borderId="16" xfId="0" applyFont="1" applyBorder="1" applyAlignment="1">
      <alignment horizontal="center" vertical="center"/>
    </xf>
    <xf numFmtId="0" fontId="23" fillId="0" borderId="95" xfId="0" applyFont="1" applyBorder="1" applyAlignment="1">
      <alignment horizontal="center" vertical="center"/>
    </xf>
    <xf numFmtId="0" fontId="24" fillId="0" borderId="2" xfId="0" applyFont="1" applyBorder="1" applyAlignment="1">
      <alignment horizontal="center" vertical="center"/>
    </xf>
    <xf numFmtId="0" fontId="30" fillId="13" borderId="18" xfId="0" applyFont="1" applyFill="1" applyBorder="1" applyAlignment="1">
      <alignment horizontal="center" vertical="center"/>
    </xf>
    <xf numFmtId="0" fontId="30" fillId="13" borderId="19" xfId="0" applyFont="1" applyFill="1" applyBorder="1" applyAlignment="1">
      <alignment horizontal="center" vertical="center"/>
    </xf>
    <xf numFmtId="0" fontId="12" fillId="10" borderId="18" xfId="0" applyFont="1" applyFill="1" applyBorder="1" applyAlignment="1">
      <alignment horizontal="center" vertical="center"/>
    </xf>
    <xf numFmtId="0" fontId="9" fillId="10" borderId="0" xfId="0" applyFont="1" applyFill="1" applyAlignment="1">
      <alignment horizontal="center" vertical="center" wrapText="1"/>
    </xf>
    <xf numFmtId="0" fontId="6" fillId="0" borderId="14" xfId="0" applyFont="1" applyBorder="1" applyAlignment="1">
      <alignment horizontal="center" vertical="center"/>
    </xf>
    <xf numFmtId="0" fontId="6" fillId="0" borderId="0" xfId="0" applyFont="1" applyAlignment="1">
      <alignment horizontal="center" vertical="center"/>
    </xf>
    <xf numFmtId="0" fontId="25" fillId="7" borderId="3" xfId="0" applyFont="1" applyFill="1" applyBorder="1" applyAlignment="1">
      <alignment horizontal="center" vertical="center"/>
    </xf>
    <xf numFmtId="0" fontId="25" fillId="7" borderId="10" xfId="0" applyFont="1" applyFill="1" applyBorder="1" applyAlignment="1">
      <alignment horizontal="center" vertical="center"/>
    </xf>
    <xf numFmtId="0" fontId="25" fillId="7" borderId="11" xfId="0" applyFont="1" applyFill="1" applyBorder="1" applyAlignment="1">
      <alignment horizontal="center" vertical="center"/>
    </xf>
    <xf numFmtId="0" fontId="12" fillId="10" borderId="19" xfId="0" applyFont="1" applyFill="1" applyBorder="1" applyAlignment="1">
      <alignment horizontal="center" vertical="center" wrapText="1"/>
    </xf>
    <xf numFmtId="0" fontId="25" fillId="7" borderId="12" xfId="0" applyFont="1" applyFill="1" applyBorder="1" applyAlignment="1">
      <alignment horizontal="center" vertical="center"/>
    </xf>
    <xf numFmtId="0" fontId="25" fillId="7" borderId="17" xfId="0" applyFont="1" applyFill="1" applyBorder="1" applyAlignment="1">
      <alignment horizontal="center" vertical="center"/>
    </xf>
    <xf numFmtId="0" fontId="0" fillId="0" borderId="0" xfId="0" applyAlignment="1">
      <alignment horizontal="center"/>
    </xf>
  </cellXfs>
  <cellStyles count="13">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F9900"/>
      <color rgb="FFCCCCFF"/>
      <color rgb="FF8238BA"/>
      <color rgb="FFFFEBCD"/>
      <color rgb="FF002F8E"/>
      <color rgb="FF0000CC"/>
      <color rgb="FF2E9F17"/>
      <color rgb="FFFFFAF3"/>
      <color rgb="FF2DC8FF"/>
      <color rgb="FF001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0.05</c:v>
                </c:pt>
                <c:pt idx="8">
                  <c:v>0.75</c:v>
                </c:pt>
                <c:pt idx="9">
                  <c:v>0.9</c:v>
                </c:pt>
                <c:pt idx="10">
                  <c:v>0.9</c:v>
                </c:pt>
                <c:pt idx="11">
                  <c:v>0.8</c:v>
                </c:pt>
                <c:pt idx="12">
                  <c:v>0.8</c:v>
                </c:pt>
                <c:pt idx="13">
                  <c:v>0.8</c:v>
                </c:pt>
                <c:pt idx="14">
                  <c:v>0.8</c:v>
                </c:pt>
                <c:pt idx="15">
                  <c:v>0.45</c:v>
                </c:pt>
                <c:pt idx="16">
                  <c:v>0.15</c:v>
                </c:pt>
                <c:pt idx="17">
                  <c:v>0.05</c:v>
                </c:pt>
                <c:pt idx="18">
                  <c:v>0.15</c:v>
                </c:pt>
                <c:pt idx="19">
                  <c:v>0.2</c:v>
                </c:pt>
                <c:pt idx="20">
                  <c:v>0.2</c:v>
                </c:pt>
                <c:pt idx="21">
                  <c:v>0.1</c:v>
                </c:pt>
                <c:pt idx="22">
                  <c:v>0</c:v>
                </c:pt>
                <c:pt idx="23">
                  <c:v>0</c:v>
                </c:pt>
              </c:numCache>
            </c:numRef>
          </c:val>
          <c:smooth val="0"/>
          <c:extLst>
            <c:ext xmlns:c16="http://schemas.microsoft.com/office/drawing/2014/chart" uri="{C3380CC4-5D6E-409C-BE32-E72D297353CC}">
              <c16:uniqueId val="{00000000-ECC3-45CC-AFB4-A1C2E8AD9A13}"/>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CC3-45CC-AFB4-A1C2E8AD9A13}"/>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CC3-45CC-AFB4-A1C2E8AD9A1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0.3</c:v>
                </c:pt>
                <c:pt idx="8">
                  <c:v>0.6</c:v>
                </c:pt>
                <c:pt idx="9">
                  <c:v>0.65</c:v>
                </c:pt>
                <c:pt idx="10">
                  <c:v>0.65</c:v>
                </c:pt>
                <c:pt idx="11">
                  <c:v>0.65</c:v>
                </c:pt>
                <c:pt idx="12">
                  <c:v>0.55000000000000004</c:v>
                </c:pt>
                <c:pt idx="13">
                  <c:v>0.55000000000000004</c:v>
                </c:pt>
                <c:pt idx="14">
                  <c:v>0.55000000000000004</c:v>
                </c:pt>
                <c:pt idx="15">
                  <c:v>0.5</c:v>
                </c:pt>
                <c:pt idx="16">
                  <c:v>0.35</c:v>
                </c:pt>
                <c:pt idx="17">
                  <c:v>0.35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A884-45DA-B242-C539CE566B49}"/>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A884-45DA-B242-C539CE566B49}"/>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A884-45DA-B242-C539CE566B4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0.05</c:v>
                </c:pt>
                <c:pt idx="7">
                  <c:v>0.3</c:v>
                </c:pt>
                <c:pt idx="8">
                  <c:v>0.85</c:v>
                </c:pt>
                <c:pt idx="9">
                  <c:v>0.95</c:v>
                </c:pt>
                <c:pt idx="10">
                  <c:v>0.95</c:v>
                </c:pt>
                <c:pt idx="11">
                  <c:v>0.95</c:v>
                </c:pt>
                <c:pt idx="12">
                  <c:v>0.8</c:v>
                </c:pt>
                <c:pt idx="13">
                  <c:v>0.8</c:v>
                </c:pt>
                <c:pt idx="14">
                  <c:v>0.8</c:v>
                </c:pt>
                <c:pt idx="15">
                  <c:v>0.7</c:v>
                </c:pt>
                <c:pt idx="16">
                  <c:v>0.5</c:v>
                </c:pt>
                <c:pt idx="17">
                  <c:v>0.5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DAEC-489F-99D6-0E232B5AE108}"/>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DAEC-489F-99D6-0E232B5AE108}"/>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DAEC-489F-99D6-0E232B5AE10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583-4470-9C02-D77A781E801D}"/>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583-4470-9C02-D77A781E801D}"/>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583-4470-9C02-D77A781E801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9928-486F-AD09-6687CB59802E}"/>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9928-486F-AD09-6687CB59802E}"/>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9928-486F-AD09-6687CB5980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D430-4B33-ABA5-469C290B4790}"/>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D430-4B33-ABA5-469C290B4790}"/>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D430-4B33-ABA5-469C290B479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B102-4386-B25D-61197DE420C2}"/>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B102-4386-B25D-61197DE420C2}"/>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B102-4386-B25D-61197DE420C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Schedules!$C$100</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Schedules!$E$100</c:f>
              <c:strCache>
                <c:ptCount val="1"/>
                <c:pt idx="0">
                  <c:v>Weekday</c:v>
                </c:pt>
              </c:strCache>
            </c:strRef>
          </c:tx>
          <c:spPr>
            <a:ln w="28575" cap="rnd">
              <a:solidFill>
                <a:schemeClr val="accent1"/>
              </a:solidFill>
              <a:round/>
            </a:ln>
            <a:effectLst/>
          </c:spPr>
          <c:marker>
            <c:symbol val="none"/>
          </c:marker>
          <c:val>
            <c:numRef>
              <c:f>Schedules!$F$100:$AC$100</c:f>
              <c:numCache>
                <c:formatCode>0.00</c:formatCode>
                <c:ptCount val="24"/>
                <c:pt idx="0">
                  <c:v>0.12</c:v>
                </c:pt>
                <c:pt idx="1">
                  <c:v>0.12</c:v>
                </c:pt>
                <c:pt idx="2">
                  <c:v>0.12</c:v>
                </c:pt>
                <c:pt idx="3">
                  <c:v>0.12</c:v>
                </c:pt>
                <c:pt idx="4">
                  <c:v>0.12</c:v>
                </c:pt>
                <c:pt idx="5">
                  <c:v>0.2</c:v>
                </c:pt>
                <c:pt idx="6">
                  <c:v>0.4</c:v>
                </c:pt>
                <c:pt idx="7">
                  <c:v>0.5</c:v>
                </c:pt>
                <c:pt idx="8">
                  <c:v>0.5</c:v>
                </c:pt>
                <c:pt idx="9">
                  <c:v>0.35</c:v>
                </c:pt>
                <c:pt idx="10">
                  <c:v>0.15</c:v>
                </c:pt>
                <c:pt idx="11">
                  <c:v>0.15</c:v>
                </c:pt>
                <c:pt idx="12">
                  <c:v>0.15</c:v>
                </c:pt>
                <c:pt idx="13">
                  <c:v>0.15</c:v>
                </c:pt>
                <c:pt idx="14">
                  <c:v>0.15</c:v>
                </c:pt>
                <c:pt idx="15">
                  <c:v>0.15</c:v>
                </c:pt>
                <c:pt idx="16">
                  <c:v>0.35</c:v>
                </c:pt>
                <c:pt idx="17">
                  <c:v>0.5</c:v>
                </c:pt>
                <c:pt idx="18">
                  <c:v>0.5</c:v>
                </c:pt>
                <c:pt idx="19">
                  <c:v>0.4</c:v>
                </c:pt>
                <c:pt idx="20">
                  <c:v>0.4</c:v>
                </c:pt>
                <c:pt idx="21">
                  <c:v>0.3</c:v>
                </c:pt>
                <c:pt idx="22">
                  <c:v>0.2</c:v>
                </c:pt>
                <c:pt idx="23">
                  <c:v>0.12</c:v>
                </c:pt>
              </c:numCache>
            </c:numRef>
          </c:val>
          <c:smooth val="0"/>
          <c:extLst>
            <c:ext xmlns:c16="http://schemas.microsoft.com/office/drawing/2014/chart" uri="{C3380CC4-5D6E-409C-BE32-E72D297353CC}">
              <c16:uniqueId val="{00000000-DFD9-4F1C-BE71-3F3F6591949A}"/>
            </c:ext>
          </c:extLst>
        </c:ser>
        <c:ser>
          <c:idx val="1"/>
          <c:order val="1"/>
          <c:tx>
            <c:strRef>
              <c:f>Schedules!$E$101</c:f>
              <c:strCache>
                <c:ptCount val="1"/>
                <c:pt idx="0">
                  <c:v>Saturday</c:v>
                </c:pt>
              </c:strCache>
            </c:strRef>
          </c:tx>
          <c:spPr>
            <a:ln w="28575" cap="rnd">
              <a:solidFill>
                <a:schemeClr val="accent2"/>
              </a:solidFill>
              <a:round/>
            </a:ln>
            <a:effectLst/>
          </c:spPr>
          <c:marker>
            <c:symbol val="none"/>
          </c:marker>
          <c:val>
            <c:numRef>
              <c:f>Schedules!$F$101:$AC$101</c:f>
              <c:numCache>
                <c:formatCode>0.00</c:formatCode>
                <c:ptCount val="24"/>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pt idx="21">
                  <c:v>0.12</c:v>
                </c:pt>
                <c:pt idx="22">
                  <c:v>0.12</c:v>
                </c:pt>
                <c:pt idx="23">
                  <c:v>0.12</c:v>
                </c:pt>
              </c:numCache>
            </c:numRef>
          </c:val>
          <c:smooth val="0"/>
          <c:extLst>
            <c:ext xmlns:c16="http://schemas.microsoft.com/office/drawing/2014/chart" uri="{C3380CC4-5D6E-409C-BE32-E72D297353CC}">
              <c16:uniqueId val="{00000001-DFD9-4F1C-BE71-3F3F6591949A}"/>
            </c:ext>
          </c:extLst>
        </c:ser>
        <c:ser>
          <c:idx val="2"/>
          <c:order val="2"/>
          <c:tx>
            <c:strRef>
              <c:f>Schedules!$E$102</c:f>
              <c:strCache>
                <c:ptCount val="1"/>
                <c:pt idx="0">
                  <c:v>Sunday</c:v>
                </c:pt>
              </c:strCache>
            </c:strRef>
          </c:tx>
          <c:spPr>
            <a:ln w="28575" cap="rnd">
              <a:solidFill>
                <a:schemeClr val="accent3"/>
              </a:solidFill>
              <a:round/>
            </a:ln>
            <a:effectLst/>
          </c:spPr>
          <c:marker>
            <c:symbol val="none"/>
          </c:marker>
          <c:val>
            <c:numRef>
              <c:f>Schedules!$F$102:$AC$102</c:f>
              <c:numCache>
                <c:formatCode>0.00</c:formatCode>
                <c:ptCount val="24"/>
                <c:pt idx="0">
                  <c:v>0.12</c:v>
                </c:pt>
                <c:pt idx="1">
                  <c:v>0.12</c:v>
                </c:pt>
                <c:pt idx="2">
                  <c:v>0.12</c:v>
                </c:pt>
                <c:pt idx="3">
                  <c:v>0.12</c:v>
                </c:pt>
                <c:pt idx="4">
                  <c:v>0.12</c:v>
                </c:pt>
                <c:pt idx="5">
                  <c:v>0.12</c:v>
                </c:pt>
                <c:pt idx="6">
                  <c:v>0.12</c:v>
                </c:pt>
                <c:pt idx="7">
                  <c:v>0.12</c:v>
                </c:pt>
                <c:pt idx="8">
                  <c:v>0.12</c:v>
                </c:pt>
                <c:pt idx="9">
                  <c:v>0.12</c:v>
                </c:pt>
                <c:pt idx="10">
                  <c:v>0.12</c:v>
                </c:pt>
                <c:pt idx="11">
                  <c:v>0.12</c:v>
                </c:pt>
                <c:pt idx="12">
                  <c:v>0.12</c:v>
                </c:pt>
                <c:pt idx="13">
                  <c:v>0.12</c:v>
                </c:pt>
                <c:pt idx="14">
                  <c:v>0.12</c:v>
                </c:pt>
                <c:pt idx="15">
                  <c:v>0.12</c:v>
                </c:pt>
                <c:pt idx="16">
                  <c:v>0.12</c:v>
                </c:pt>
                <c:pt idx="17">
                  <c:v>0.12</c:v>
                </c:pt>
                <c:pt idx="18">
                  <c:v>0.12</c:v>
                </c:pt>
                <c:pt idx="19">
                  <c:v>0.12</c:v>
                </c:pt>
                <c:pt idx="20">
                  <c:v>0.12</c:v>
                </c:pt>
                <c:pt idx="21">
                  <c:v>0.12</c:v>
                </c:pt>
                <c:pt idx="22">
                  <c:v>0.12</c:v>
                </c:pt>
                <c:pt idx="23">
                  <c:v>0.12</c:v>
                </c:pt>
              </c:numCache>
            </c:numRef>
          </c:val>
          <c:smooth val="0"/>
          <c:extLst>
            <c:ext xmlns:c16="http://schemas.microsoft.com/office/drawing/2014/chart" uri="{C3380CC4-5D6E-409C-BE32-E72D297353CC}">
              <c16:uniqueId val="{00000002-DFD9-4F1C-BE71-3F3F6591949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0.60000000000000009"/>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25176692913385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"Lights"</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14FA-4DE6-ADBA-318885809DF5}"/>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14FA-4DE6-ADBA-318885809DF5}"/>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14FA-4DE6-ADBA-318885809DF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3829537194341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"ElecEquipment"</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DDF0-49C5-B82C-CB253C75153C}"/>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DF0-49C5-B82C-CB253C75153C}"/>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DDF0-49C5-B82C-CB253C75153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49248919382355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"ClgSetpt"</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0-1C5D-418E-A547-988E5FE86238}"/>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1C5D-418E-A547-988E5FE86238}"/>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1C5D-418E-A547-988E5FE8623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BAAB-49B8-9664-9F966712AFE5}"/>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BAAB-49B8-9664-9F966712AFE5}"/>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BAAB-49B8-9664-9F966712AFE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"HtgSetpt"</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0-72A7-4D3D-A30D-4A55D420040A}"/>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72A7-4D3D-A30D-4A55D420040A}"/>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72A7-4D3D-A30D-4A55D420040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0730-4346-86E8-4E37599B6735}"/>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0730-4346-86E8-4E37599B6735}"/>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0730-4346-86E8-4E37599B673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"OAControl"</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F7A4-4874-9A64-2DEE1A0544B3}"/>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F7A4-4874-9A64-2DEE1A0544B3}"/>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F7A4-4874-9A64-2DEE1A0544B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23746881565126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6C30-4A88-BA4C-35C7C61E9A0D}"/>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6C30-4A88-BA4C-35C7C61E9A0D}"/>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6C30-4A88-BA4C-35C7C61E9A0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"Infilitration"</c:f>
          <c:strCache>
            <c:ptCount val="1"/>
            <c:pt idx="0">
              <c:v>Infilitration</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D1BC-48E7-AFE4-A9C8634B74C8}"/>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1BC-48E7-AFE4-A9C8634B74C8}"/>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D1BC-48E7-AFE4-A9C8634B74C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49428827540150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CEC8-4868-A598-721A29ACE9EE}"/>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CEC8-4868-A598-721A29ACE9EE}"/>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CEC8-4868-A598-721A29ACE9E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D440-4A54-A598-8BDF77000679}"/>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440-4A54-A598-8BDF77000679}"/>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D440-4A54-A598-8BDF7700067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50955919839993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Schedules!$C$78</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3FB8-41F8-ADDA-7D42BA65F1B6}"/>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3FB8-41F8-ADDA-7D42BA65F1B6}"/>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3FB8-41F8-ADDA-7D42BA65F1B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6737323471293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Schedules!$C$69</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0.1</c:v>
              </c:pt>
              <c:pt idx="7">
                <c:v>0.5</c:v>
              </c:pt>
              <c:pt idx="8">
                <c:v>0.25</c:v>
              </c:pt>
              <c:pt idx="9">
                <c:v>0.25</c:v>
              </c:pt>
              <c:pt idx="10">
                <c:v>0.05</c:v>
              </c:pt>
              <c:pt idx="11">
                <c:v>0.25</c:v>
              </c:pt>
              <c:pt idx="12">
                <c:v>0.95</c:v>
              </c:pt>
              <c:pt idx="13">
                <c:v>0.95</c:v>
              </c:pt>
              <c:pt idx="14">
                <c:v>0.25</c:v>
              </c:pt>
              <c:pt idx="15">
                <c:v>0.2</c:v>
              </c:pt>
              <c:pt idx="16">
                <c:v>0.2</c:v>
              </c:pt>
              <c:pt idx="17">
                <c:v>0.2</c:v>
              </c:pt>
              <c:pt idx="18">
                <c:v>0.15</c:v>
              </c:pt>
              <c:pt idx="19">
                <c:v>0.15</c:v>
              </c:pt>
              <c:pt idx="20">
                <c:v>0</c:v>
              </c:pt>
              <c:pt idx="21">
                <c:v>0</c:v>
              </c:pt>
              <c:pt idx="22">
                <c:v>0</c:v>
              </c:pt>
              <c:pt idx="23">
                <c:v>0</c:v>
              </c:pt>
            </c:numLit>
          </c:val>
          <c:smooth val="0"/>
          <c:extLst>
            <c:ext xmlns:c16="http://schemas.microsoft.com/office/drawing/2014/chart" uri="{C3380CC4-5D6E-409C-BE32-E72D297353CC}">
              <c16:uniqueId val="{00000000-33F5-4274-AB81-EF20F46B9B8A}"/>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33F5-4274-AB81-EF20F46B9B8A}"/>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33F5-4274-AB81-EF20F46B9B8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841670238"/>
          <c:h val="0.651904459846059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Schedules!$C$84</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85</c:v>
              </c:pt>
              <c:pt idx="21">
                <c:v>85</c:v>
              </c:pt>
              <c:pt idx="22">
                <c:v>85</c:v>
              </c:pt>
              <c:pt idx="23">
                <c:v>85</c:v>
              </c:pt>
            </c:numLit>
          </c:val>
          <c:smooth val="0"/>
          <c:extLst>
            <c:ext xmlns:c16="http://schemas.microsoft.com/office/drawing/2014/chart" uri="{C3380CC4-5D6E-409C-BE32-E72D297353CC}">
              <c16:uniqueId val="{00000000-CCAC-40D2-975B-F4C86270D9A7}"/>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CCAC-40D2-975B-F4C86270D9A7}"/>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CCAC-40D2-975B-F4C86270D9A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82326216053"/>
          <c:h val="0.511089796143961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77B1-4078-A194-29579769AED6}"/>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77B1-4078-A194-29579769AED6}"/>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77B1-4078-A194-29579769AED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441652962"/>
          <c:h val="0.57846211514243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1C27-4BDE-A6B4-D0C7D6BCBF03}"/>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1C27-4BDE-A6B4-D0C7D6BCBF03}"/>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1C27-4BDE-A6B4-D0C7D6BCBF0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Schedules!$C$81</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60</c:v>
              </c:pt>
              <c:pt idx="21">
                <c:v>60</c:v>
              </c:pt>
              <c:pt idx="22">
                <c:v>60</c:v>
              </c:pt>
              <c:pt idx="23">
                <c:v>60</c:v>
              </c:pt>
            </c:numLit>
          </c:val>
          <c:smooth val="0"/>
          <c:extLst>
            <c:ext xmlns:c16="http://schemas.microsoft.com/office/drawing/2014/chart" uri="{C3380CC4-5D6E-409C-BE32-E72D297353CC}">
              <c16:uniqueId val="{00000000-6592-4F91-BA71-D7523EBE2E1B}"/>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6592-4F91-BA71-D7523EBE2E1B}"/>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6592-4F91-BA71-D7523EBE2E1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79946176804"/>
          <c:h val="0.66504172248452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87FD-4DC9-9CEB-8BAD0287030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87FD-4DC9-9CEB-8BAD0287030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87FD-4DC9-9CEB-8BAD0287030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Schedules!$C$87</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1589-4066-8011-8C7CA1C09ECB}"/>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1589-4066-8011-8C7CA1C09ECB}"/>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1589-4066-8011-8C7CA1C09EC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56405765433120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AFCF-4AFB-ADCC-AD3EC7C6D0AC}"/>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AFCF-4AFB-ADCC-AD3EC7C6D0AC}"/>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AFCF-4AFB-ADCC-AD3EC7C6D0A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Schedules!$C$90</c:f>
          <c:strCache>
            <c:ptCount val="1"/>
            <c:pt idx="0">
              <c:v>Infiltration</c:v>
            </c:pt>
          </c:strCache>
        </c:strRef>
      </c:tx>
      <c:layout>
        <c:manualLayout>
          <c:xMode val="edge"/>
          <c:yMode val="edge"/>
          <c:x val="0.34963936767825882"/>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BF3E-4BA0-9118-0E16A341FD8B}"/>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BF3E-4BA0-9118-0E16A341FD8B}"/>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BF3E-4BA0-9118-0E16A341FD8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2844067066833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A446-4248-A874-CE9D00430E09}"/>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A446-4248-A874-CE9D00430E09}"/>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A446-4248-A874-CE9D00430E0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2974-41AF-A9C0-D7B4A8B79989}"/>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2974-41AF-A9C0-D7B4A8B79989}"/>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2974-41AF-A9C0-D7B4A8B7998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3829537194341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A625-4D08-8A00-5AD3F5EF36BE}"/>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A625-4D08-8A00-5AD3F5EF36BE}"/>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A625-4D08-8A00-5AD3F5EF36B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49248919382355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0.1</c:v>
              </c:pt>
              <c:pt idx="6">
                <c:v>0.5</c:v>
              </c:pt>
              <c:pt idx="7">
                <c:v>0.95</c:v>
              </c:pt>
              <c:pt idx="8">
                <c:v>0.95</c:v>
              </c:pt>
              <c:pt idx="9">
                <c:v>0.95</c:v>
              </c:pt>
              <c:pt idx="10">
                <c:v>0.95</c:v>
              </c:pt>
              <c:pt idx="11">
                <c:v>0.95</c:v>
              </c:pt>
              <c:pt idx="12">
                <c:v>0.95</c:v>
              </c:pt>
              <c:pt idx="13">
                <c:v>0.95</c:v>
              </c:pt>
              <c:pt idx="14">
                <c:v>0.5</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99C0-4AB1-AA1B-3A0222DEC840}"/>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99C0-4AB1-AA1B-3A0222DEC840}"/>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99C0-4AB1-AA1B-3A0222DEC84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841670238"/>
          <c:h val="0.58879273126686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Schedules!$C$50</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0-B33B-4DE4-9071-7AB31389C76C}"/>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B33B-4DE4-9071-7AB31389C76C}"/>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B33B-4DE4-9071-7AB31389C76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05B8-4FCC-898E-AE826739ECA0}"/>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05B8-4FCC-898E-AE826739ECA0}"/>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05B8-4FCC-898E-AE826739ECA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441652962"/>
          <c:h val="0.53661937100391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31B5-4C34-AE17-97FBA5A0B83A}"/>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31B5-4C34-AE17-97FBA5A0B83A}"/>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31B5-4C34-AE17-97FBA5A0B83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0-7136-4400-A009-290E20735ED1}"/>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7136-4400-A009-290E20735ED1}"/>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7136-4400-A009-290E20735ED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287E-4D70-84AE-9D03EBB7642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287E-4D70-84AE-9D03EBB7642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287E-4D70-84AE-9D03EBB7642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Schedules!$C$53</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8C6E-41FD-AB9E-D63AAD97EE5E}"/>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8C6E-41FD-AB9E-D63AAD97EE5E}"/>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8C6E-41FD-AB9E-D63AAD97EE5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23746881565126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5C5F-4736-9903-1B0FA65005F2}"/>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5C5F-4736-9903-1B0FA65005F2}"/>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5C5F-4736-9903-1B0FA65005F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Schedules!$C$56</c:f>
          <c:strCache>
            <c:ptCount val="1"/>
            <c:pt idx="0">
              <c:v>Infiltration</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EE02-423C-B828-632D629FA3C7}"/>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EE02-423C-B828-632D629FA3C7}"/>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EE02-423C-B828-632D629FA3C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49428827540150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66BC-450B-A66C-0CDE1D937EB9}"/>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66BC-450B-A66C-0CDE1D937EB9}"/>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66BC-450B-A66C-0CDE1D937E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85</c:v>
                </c:pt>
                <c:pt idx="23">
                  <c:v>85</c:v>
                </c:pt>
              </c:numCache>
            </c:numRef>
          </c:val>
          <c:smooth val="0"/>
          <c:extLst>
            <c:ext xmlns:c16="http://schemas.microsoft.com/office/drawing/2014/chart" uri="{C3380CC4-5D6E-409C-BE32-E72D297353CC}">
              <c16:uniqueId val="{00000000-FEFF-4088-A6F0-7DD547693743}"/>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FEFF-4088-A6F0-7DD547693743}"/>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FEFF-4088-A6F0-7DD54769374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60</c:v>
                </c:pt>
                <c:pt idx="23">
                  <c:v>60</c:v>
                </c:pt>
              </c:numCache>
            </c:numRef>
          </c:val>
          <c:smooth val="0"/>
          <c:extLst>
            <c:ext xmlns:c16="http://schemas.microsoft.com/office/drawing/2014/chart" uri="{C3380CC4-5D6E-409C-BE32-E72D297353CC}">
              <c16:uniqueId val="{00000000-1B9F-4576-9ED3-11C657CBE0B3}"/>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1B9F-4576-9ED3-11C657CBE0B3}"/>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1B9F-4576-9ED3-11C657CBE0B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20D5-40F5-B974-4711497B34E2}"/>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20D5-40F5-B974-4711497B34E2}"/>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20D5-40F5-B974-4711497B34E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Schedules!$E$65</c:f>
              <c:strCache>
                <c:ptCount val="1"/>
                <c:pt idx="0">
                  <c:v>Weekday</c:v>
                </c:pt>
              </c:strCache>
            </c:strRef>
          </c:tx>
          <c:spPr>
            <a:ln w="28575" cap="rnd">
              <a:solidFill>
                <a:schemeClr val="accent1"/>
              </a:solidFill>
              <a:round/>
            </a:ln>
            <a:effectLst/>
          </c:spPr>
          <c:marker>
            <c:symbol val="none"/>
          </c:marker>
          <c:val>
            <c:numRef>
              <c:f>Schedules!$F$65:$AC$65</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B872-4118-876F-8E1CD508FA0F}"/>
            </c:ext>
          </c:extLst>
        </c:ser>
        <c:ser>
          <c:idx val="1"/>
          <c:order val="1"/>
          <c:tx>
            <c:strRef>
              <c:f>Schedules!$E$66</c:f>
              <c:strCache>
                <c:ptCount val="1"/>
                <c:pt idx="0">
                  <c:v>Saturday</c:v>
                </c:pt>
              </c:strCache>
            </c:strRef>
          </c:tx>
          <c:spPr>
            <a:ln w="28575" cap="rnd">
              <a:solidFill>
                <a:schemeClr val="accent2"/>
              </a:solidFill>
              <a:round/>
            </a:ln>
            <a:effectLst/>
          </c:spPr>
          <c:marker>
            <c:symbol val="none"/>
          </c:marker>
          <c:val>
            <c:numRef>
              <c:f>Schedules!$F$66:$AC$66</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B872-4118-876F-8E1CD508FA0F}"/>
            </c:ext>
          </c:extLst>
        </c:ser>
        <c:ser>
          <c:idx val="2"/>
          <c:order val="2"/>
          <c:tx>
            <c:strRef>
              <c:f>Schedules!$E$67</c:f>
              <c:strCache>
                <c:ptCount val="1"/>
                <c:pt idx="0">
                  <c:v>Sunday</c:v>
                </c:pt>
              </c:strCache>
            </c:strRef>
          </c:tx>
          <c:spPr>
            <a:ln w="28575" cap="rnd">
              <a:solidFill>
                <a:schemeClr val="accent3"/>
              </a:solidFill>
              <a:round/>
            </a:ln>
            <a:effectLst/>
          </c:spPr>
          <c:marker>
            <c:symbol val="none"/>
          </c:marker>
          <c:val>
            <c:numRef>
              <c:f>Schedules!$F$67:$AC$67</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B872-4118-876F-8E1CD508FA0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Lit>
          </c:val>
          <c:smooth val="0"/>
          <c:extLst>
            <c:ext xmlns:c16="http://schemas.microsoft.com/office/drawing/2014/chart" uri="{C3380CC4-5D6E-409C-BE32-E72D297353CC}">
              <c16:uniqueId val="{00000000-4414-4C74-9A0C-3BDA403EF7B9}"/>
            </c:ext>
          </c:extLst>
        </c:ser>
        <c:ser>
          <c:idx val="1"/>
          <c:order val="1"/>
          <c:tx>
            <c:v>Saturday</c:v>
          </c:tx>
          <c:spPr>
            <a:ln w="28575" cap="rnd">
              <a:solidFill>
                <a:schemeClr val="accent2"/>
              </a:solidFill>
              <a:round/>
            </a:ln>
            <a:effectLst/>
          </c:spPr>
          <c:marker>
            <c:symbol val="none"/>
          </c:marker>
          <c:val>
            <c:numLit>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Lit>
          </c:val>
          <c:smooth val="0"/>
          <c:extLst>
            <c:ext xmlns:c16="http://schemas.microsoft.com/office/drawing/2014/chart" uri="{C3380CC4-5D6E-409C-BE32-E72D297353CC}">
              <c16:uniqueId val="{00000001-4414-4C74-9A0C-3BDA403EF7B9}"/>
            </c:ext>
          </c:extLst>
        </c:ser>
        <c:ser>
          <c:idx val="2"/>
          <c:order val="2"/>
          <c:tx>
            <c:v>Sunday</c:v>
          </c:tx>
          <c:spPr>
            <a:ln w="28575" cap="rnd">
              <a:solidFill>
                <a:schemeClr val="accent3"/>
              </a:solidFill>
              <a:round/>
            </a:ln>
            <a:effectLst/>
          </c:spPr>
          <c:marker>
            <c:symbol val="none"/>
          </c:marker>
          <c:val>
            <c:numLit>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Lit>
          </c:val>
          <c:smooth val="0"/>
          <c:extLst>
            <c:ext xmlns:c16="http://schemas.microsoft.com/office/drawing/2014/chart" uri="{C3380CC4-5D6E-409C-BE32-E72D297353CC}">
              <c16:uniqueId val="{00000002-4414-4C74-9A0C-3BDA403EF7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"Gas Equipment"</a:t>
            </a:r>
          </a:p>
        </c:rich>
      </c:tx>
      <c:layout>
        <c:manualLayout>
          <c:xMode val="edge"/>
          <c:yMode val="edge"/>
          <c:x val="0.34534724639853209"/>
          <c:y val="4.102828686152672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Schedules!$E$62</c:f>
              <c:strCache>
                <c:ptCount val="1"/>
                <c:pt idx="0">
                  <c:v>Weekday</c:v>
                </c:pt>
              </c:strCache>
            </c:strRef>
          </c:tx>
          <c:spPr>
            <a:ln w="28575" cap="rnd">
              <a:solidFill>
                <a:schemeClr val="accent1"/>
              </a:solidFill>
              <a:round/>
            </a:ln>
            <a:effectLst/>
          </c:spPr>
          <c:marker>
            <c:symbol val="none"/>
          </c:marker>
          <c:val>
            <c:numRef>
              <c:f>Schedules!$F$62:$AC$62</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4551-44E0-A136-EAD7A7EA9A52}"/>
            </c:ext>
          </c:extLst>
        </c:ser>
        <c:ser>
          <c:idx val="1"/>
          <c:order val="1"/>
          <c:tx>
            <c:strRef>
              <c:f>Schedules!$E$63</c:f>
              <c:strCache>
                <c:ptCount val="1"/>
                <c:pt idx="0">
                  <c:v>Saturday</c:v>
                </c:pt>
              </c:strCache>
            </c:strRef>
          </c:tx>
          <c:spPr>
            <a:ln w="28575" cap="rnd">
              <a:solidFill>
                <a:schemeClr val="accent2"/>
              </a:solidFill>
              <a:round/>
            </a:ln>
            <a:effectLst/>
          </c:spPr>
          <c:marker>
            <c:symbol val="none"/>
          </c:marker>
          <c:val>
            <c:numRef>
              <c:f>Schedules!$F$63:$AC$63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4551-44E0-A136-EAD7A7EA9A52}"/>
            </c:ext>
          </c:extLst>
        </c:ser>
        <c:ser>
          <c:idx val="2"/>
          <c:order val="2"/>
          <c:tx>
            <c:strRef>
              <c:f>Schedules!$E$64</c:f>
              <c:strCache>
                <c:ptCount val="1"/>
                <c:pt idx="0">
                  <c:v>Sunday</c:v>
                </c:pt>
              </c:strCache>
            </c:strRef>
          </c:tx>
          <c:spPr>
            <a:ln w="28575" cap="rnd">
              <a:solidFill>
                <a:schemeClr val="accent3"/>
              </a:solidFill>
              <a:round/>
            </a:ln>
            <a:effectLst/>
          </c:spPr>
          <c:marker>
            <c:symbol val="none"/>
          </c:marker>
          <c:val>
            <c:numRef>
              <c:f>Schedules!$F$64:$AC$64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4551-44E0-A136-EAD7A7EA9A5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K8 CalBEM Prototype vs. CEUS 2022</a:t>
            </a:r>
          </a:p>
        </c:rich>
      </c:tx>
      <c:layout>
        <c:manualLayout>
          <c:xMode val="edge"/>
          <c:yMode val="edge"/>
          <c:x val="0.30244144420479152"/>
          <c:y val="1.4898146284043689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41.523602714155238</c:v>
                </c:pt>
                <c:pt idx="1">
                  <c:v>35.919962275215113</c:v>
                </c:pt>
                <c:pt idx="2">
                  <c:v>75.071230511809588</c:v>
                </c:pt>
                <c:pt idx="3">
                  <c:v>79.965994768306444</c:v>
                </c:pt>
                <c:pt idx="4">
                  <c:v>44.361952887143737</c:v>
                </c:pt>
                <c:pt idx="5">
                  <c:v>61.760615902900255</c:v>
                </c:pt>
                <c:pt idx="6">
                  <c:v>66.415106974744731</c:v>
                </c:pt>
                <c:pt idx="7">
                  <c:v>77.581354122992636</c:v>
                </c:pt>
                <c:pt idx="8">
                  <c:v>89.363486838288381</c:v>
                </c:pt>
                <c:pt idx="9">
                  <c:v>50.564328156580558</c:v>
                </c:pt>
                <c:pt idx="10">
                  <c:v>51.6294397402757</c:v>
                </c:pt>
                <c:pt idx="11">
                  <c:v>64.190528461849567</c:v>
                </c:pt>
                <c:pt idx="12">
                  <c:v>43.301767595084279</c:v>
                </c:pt>
                <c:pt idx="13">
                  <c:v>51.376900852863784</c:v>
                </c:pt>
                <c:pt idx="14">
                  <c:v>35.786442116442558</c:v>
                </c:pt>
                <c:pt idx="15">
                  <c:v>50.682358795725669</c:v>
                </c:pt>
              </c:numCache>
            </c:numRef>
          </c:val>
          <c:extLst>
            <c:ext xmlns:c16="http://schemas.microsoft.com/office/drawing/2014/chart" uri="{C3380CC4-5D6E-409C-BE32-E72D297353CC}">
              <c16:uniqueId val="{00000000-462C-47F2-A8F3-462BF3129E8F}"/>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27.682401809436833</c:v>
                </c:pt>
                <c:pt idx="1">
                  <c:v>23.946641516810075</c:v>
                </c:pt>
                <c:pt idx="2">
                  <c:v>50.047487007873059</c:v>
                </c:pt>
                <c:pt idx="3">
                  <c:v>53.310663178870982</c:v>
                </c:pt>
                <c:pt idx="4">
                  <c:v>29.574635258095832</c:v>
                </c:pt>
                <c:pt idx="5">
                  <c:v>41.173743935266828</c:v>
                </c:pt>
                <c:pt idx="6">
                  <c:v>44.276737983163144</c:v>
                </c:pt>
                <c:pt idx="7">
                  <c:v>51.720902748661743</c:v>
                </c:pt>
                <c:pt idx="8">
                  <c:v>59.57565789219224</c:v>
                </c:pt>
                <c:pt idx="9">
                  <c:v>33.709552104387029</c:v>
                </c:pt>
                <c:pt idx="10">
                  <c:v>34.419626493517143</c:v>
                </c:pt>
                <c:pt idx="11">
                  <c:v>42.793685641233026</c:v>
                </c:pt>
                <c:pt idx="12">
                  <c:v>28.867845063389517</c:v>
                </c:pt>
                <c:pt idx="13">
                  <c:v>34.251267235242523</c:v>
                </c:pt>
                <c:pt idx="14">
                  <c:v>23.857628077628377</c:v>
                </c:pt>
                <c:pt idx="15">
                  <c:v>33.788239197150453</c:v>
                </c:pt>
              </c:numCache>
            </c:numRef>
          </c:val>
          <c:extLst>
            <c:ext xmlns:c16="http://schemas.microsoft.com/office/drawing/2014/chart" uri="{C3380CC4-5D6E-409C-BE32-E72D297353CC}">
              <c16:uniqueId val="{00000001-462C-47F2-A8F3-462BF3129E8F}"/>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117.68574074074074</c:v>
                </c:pt>
                <c:pt idx="1">
                  <c:v>102.14916326530613</c:v>
                </c:pt>
                <c:pt idx="2">
                  <c:v>87.214152637485967</c:v>
                </c:pt>
                <c:pt idx="3">
                  <c:v>99.499189497716884</c:v>
                </c:pt>
                <c:pt idx="4">
                  <c:v>80.370107815975729</c:v>
                </c:pt>
                <c:pt idx="5">
                  <c:v>61.746286935312824</c:v>
                </c:pt>
                <c:pt idx="6">
                  <c:v>58.282693110647173</c:v>
                </c:pt>
                <c:pt idx="7">
                  <c:v>70.30618279569893</c:v>
                </c:pt>
                <c:pt idx="8">
                  <c:v>74.221580188679241</c:v>
                </c:pt>
                <c:pt idx="9">
                  <c:v>75.629403765690384</c:v>
                </c:pt>
                <c:pt idx="10">
                  <c:v>116.28256870114944</c:v>
                </c:pt>
                <c:pt idx="11">
                  <c:v>100.50248431328036</c:v>
                </c:pt>
                <c:pt idx="12">
                  <c:v>98.550172811059923</c:v>
                </c:pt>
                <c:pt idx="13">
                  <c:v>113.51102863202544</c:v>
                </c:pt>
                <c:pt idx="14">
                  <c:v>93.879049751552785</c:v>
                </c:pt>
                <c:pt idx="15">
                  <c:v>149.41083410852713</c:v>
                </c:pt>
              </c:numCache>
            </c:numRef>
          </c:yVal>
          <c:smooth val="0"/>
          <c:extLst>
            <c:ext xmlns:c16="http://schemas.microsoft.com/office/drawing/2014/chart" uri="{C3380CC4-5D6E-409C-BE32-E72D297353CC}">
              <c16:uniqueId val="{00000002-462C-47F2-A8F3-462BF3129E8F}"/>
            </c:ext>
          </c:extLst>
        </c:ser>
        <c:ser>
          <c:idx val="3"/>
          <c:order val="3"/>
          <c:tx>
            <c:strRef>
              <c:f>'Energy Usage'!$H$2</c:f>
              <c:strCache>
                <c:ptCount val="1"/>
                <c:pt idx="0">
                  <c:v>New Construction  Total EUI (KBTU/ft²)</c:v>
                </c:pt>
              </c:strCache>
            </c:strRef>
          </c:tx>
          <c:spPr>
            <a:ln w="25400" cap="rnd">
              <a:noFill/>
              <a:round/>
            </a:ln>
            <a:effectLst/>
          </c:spPr>
          <c:marker>
            <c:symbol val="circle"/>
            <c:size val="5"/>
            <c:spPr>
              <a:solidFill>
                <a:schemeClr val="accent4"/>
              </a:solidFill>
              <a:ln w="9525">
                <a:solidFill>
                  <a:schemeClr val="accent4"/>
                </a:solidFill>
              </a:ln>
              <a:effectLst/>
            </c:spPr>
          </c:marker>
          <c:yVal>
            <c:numRef>
              <c:f>'Energy Usage'!$H$3:$H$18</c:f>
              <c:numCache>
                <c:formatCode>General</c:formatCode>
                <c:ptCount val="16"/>
                <c:pt idx="0">
                  <c:v>57.42</c:v>
                </c:pt>
                <c:pt idx="1">
                  <c:v>57.01</c:v>
                </c:pt>
                <c:pt idx="2">
                  <c:v>50.18</c:v>
                </c:pt>
                <c:pt idx="3">
                  <c:v>59.07</c:v>
                </c:pt>
                <c:pt idx="4">
                  <c:v>50.17</c:v>
                </c:pt>
                <c:pt idx="5">
                  <c:v>45.51</c:v>
                </c:pt>
                <c:pt idx="6">
                  <c:v>45.660000000000004</c:v>
                </c:pt>
                <c:pt idx="7">
                  <c:v>52.28</c:v>
                </c:pt>
                <c:pt idx="8">
                  <c:v>52.23</c:v>
                </c:pt>
                <c:pt idx="9">
                  <c:v>55.32</c:v>
                </c:pt>
                <c:pt idx="10">
                  <c:v>65.47</c:v>
                </c:pt>
                <c:pt idx="11">
                  <c:v>58.88</c:v>
                </c:pt>
                <c:pt idx="12">
                  <c:v>63.42</c:v>
                </c:pt>
                <c:pt idx="13">
                  <c:v>68.72</c:v>
                </c:pt>
                <c:pt idx="14">
                  <c:v>71.759999999999991</c:v>
                </c:pt>
                <c:pt idx="15">
                  <c:v>71.899999999999991</c:v>
                </c:pt>
              </c:numCache>
            </c:numRef>
          </c:yVal>
          <c:smooth val="0"/>
          <c:extLst>
            <c:ext xmlns:c16="http://schemas.microsoft.com/office/drawing/2014/chart" uri="{C3380CC4-5D6E-409C-BE32-E72D297353CC}">
              <c16:uniqueId val="{00000003-462C-47F2-A8F3-462BF3129E8F}"/>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K8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29.025000000000002</c:v>
                </c:pt>
                <c:pt idx="1">
                  <c:v>25.724999999999998</c:v>
                </c:pt>
                <c:pt idx="2">
                  <c:v>23.1</c:v>
                </c:pt>
                <c:pt idx="3">
                  <c:v>29.625</c:v>
                </c:pt>
                <c:pt idx="4">
                  <c:v>22.274999999999999</c:v>
                </c:pt>
                <c:pt idx="5">
                  <c:v>23.85</c:v>
                </c:pt>
                <c:pt idx="6">
                  <c:v>24.599999999999998</c:v>
                </c:pt>
                <c:pt idx="7">
                  <c:v>28.950000000000003</c:v>
                </c:pt>
                <c:pt idx="8">
                  <c:v>28.875</c:v>
                </c:pt>
                <c:pt idx="9">
                  <c:v>31.650000000000002</c:v>
                </c:pt>
                <c:pt idx="10">
                  <c:v>35.775000000000006</c:v>
                </c:pt>
                <c:pt idx="11">
                  <c:v>31.200000000000003</c:v>
                </c:pt>
                <c:pt idx="12">
                  <c:v>37.200000000000003</c:v>
                </c:pt>
                <c:pt idx="13">
                  <c:v>36.599999999999994</c:v>
                </c:pt>
                <c:pt idx="14">
                  <c:v>49.349999999999994</c:v>
                </c:pt>
                <c:pt idx="15">
                  <c:v>33</c:v>
                </c:pt>
              </c:numCache>
            </c:numRef>
          </c:val>
          <c:extLst>
            <c:ext xmlns:c16="http://schemas.microsoft.com/office/drawing/2014/chart" uri="{C3380CC4-5D6E-409C-BE32-E72D297353CC}">
              <c16:uniqueId val="{00000000-F016-400D-BFE4-22E3EA1F5954}"/>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19.349999999999998</c:v>
                </c:pt>
                <c:pt idx="1">
                  <c:v>17.150000000000002</c:v>
                </c:pt>
                <c:pt idx="2">
                  <c:v>15.399999999999999</c:v>
                </c:pt>
                <c:pt idx="3">
                  <c:v>19.75</c:v>
                </c:pt>
                <c:pt idx="4">
                  <c:v>14.850000000000001</c:v>
                </c:pt>
                <c:pt idx="5">
                  <c:v>15.899999999999999</c:v>
                </c:pt>
                <c:pt idx="6">
                  <c:v>16.400000000000002</c:v>
                </c:pt>
                <c:pt idx="7">
                  <c:v>19.299999999999997</c:v>
                </c:pt>
                <c:pt idx="8">
                  <c:v>19.25</c:v>
                </c:pt>
                <c:pt idx="9">
                  <c:v>21.099999999999998</c:v>
                </c:pt>
                <c:pt idx="10">
                  <c:v>23.849999999999994</c:v>
                </c:pt>
                <c:pt idx="11">
                  <c:v>20.799999999999997</c:v>
                </c:pt>
                <c:pt idx="12">
                  <c:v>24.799999999999997</c:v>
                </c:pt>
                <c:pt idx="13">
                  <c:v>24.400000000000006</c:v>
                </c:pt>
                <c:pt idx="14">
                  <c:v>32.900000000000006</c:v>
                </c:pt>
                <c:pt idx="15">
                  <c:v>22</c:v>
                </c:pt>
              </c:numCache>
            </c:numRef>
          </c:val>
          <c:extLst>
            <c:ext xmlns:c16="http://schemas.microsoft.com/office/drawing/2014/chart" uri="{C3380CC4-5D6E-409C-BE32-E72D297353CC}">
              <c16:uniqueId val="{00000001-F016-400D-BFE4-22E3EA1F5954}"/>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117.68574074074074</c:v>
                </c:pt>
                <c:pt idx="1">
                  <c:v>102.14916326530613</c:v>
                </c:pt>
                <c:pt idx="2">
                  <c:v>87.214152637485967</c:v>
                </c:pt>
                <c:pt idx="3">
                  <c:v>99.499189497716884</c:v>
                </c:pt>
                <c:pt idx="4">
                  <c:v>80.370107815975729</c:v>
                </c:pt>
                <c:pt idx="5">
                  <c:v>61.746286935312824</c:v>
                </c:pt>
                <c:pt idx="6">
                  <c:v>58.282693110647173</c:v>
                </c:pt>
                <c:pt idx="7">
                  <c:v>70.30618279569893</c:v>
                </c:pt>
                <c:pt idx="8">
                  <c:v>74.221580188679241</c:v>
                </c:pt>
                <c:pt idx="9">
                  <c:v>75.629403765690384</c:v>
                </c:pt>
                <c:pt idx="10">
                  <c:v>116.28256870114944</c:v>
                </c:pt>
                <c:pt idx="11">
                  <c:v>100.50248431328036</c:v>
                </c:pt>
                <c:pt idx="12">
                  <c:v>98.550172811059923</c:v>
                </c:pt>
                <c:pt idx="13">
                  <c:v>113.51102863202544</c:v>
                </c:pt>
                <c:pt idx="14">
                  <c:v>93.879049751552785</c:v>
                </c:pt>
                <c:pt idx="15">
                  <c:v>149.41083410852713</c:v>
                </c:pt>
              </c:numCache>
            </c:numRef>
          </c:yVal>
          <c:smooth val="0"/>
          <c:extLst>
            <c:ext xmlns:c16="http://schemas.microsoft.com/office/drawing/2014/chart" uri="{C3380CC4-5D6E-409C-BE32-E72D297353CC}">
              <c16:uniqueId val="{00000002-F016-400D-BFE4-22E3EA1F5954}"/>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pt idx="0">
                  <c:v>57.42</c:v>
                </c:pt>
                <c:pt idx="1">
                  <c:v>57.01</c:v>
                </c:pt>
                <c:pt idx="2">
                  <c:v>50.18</c:v>
                </c:pt>
                <c:pt idx="3">
                  <c:v>59.07</c:v>
                </c:pt>
                <c:pt idx="4">
                  <c:v>50.17</c:v>
                </c:pt>
                <c:pt idx="5">
                  <c:v>45.51</c:v>
                </c:pt>
                <c:pt idx="6">
                  <c:v>45.660000000000004</c:v>
                </c:pt>
                <c:pt idx="7">
                  <c:v>52.28</c:v>
                </c:pt>
                <c:pt idx="8">
                  <c:v>52.23</c:v>
                </c:pt>
                <c:pt idx="9">
                  <c:v>55.32</c:v>
                </c:pt>
                <c:pt idx="10">
                  <c:v>65.47</c:v>
                </c:pt>
                <c:pt idx="11">
                  <c:v>58.88</c:v>
                </c:pt>
                <c:pt idx="12">
                  <c:v>63.42</c:v>
                </c:pt>
                <c:pt idx="13">
                  <c:v>68.72</c:v>
                </c:pt>
                <c:pt idx="14">
                  <c:v>71.759999999999991</c:v>
                </c:pt>
                <c:pt idx="15">
                  <c:v>71.899999999999991</c:v>
                </c:pt>
              </c:numCache>
            </c:numRef>
          </c:yVal>
          <c:smooth val="0"/>
          <c:extLst>
            <c:ext xmlns:c16="http://schemas.microsoft.com/office/drawing/2014/chart" uri="{C3380CC4-5D6E-409C-BE32-E72D297353CC}">
              <c16:uniqueId val="{00000003-F016-400D-BFE4-22E3EA1F5954}"/>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42" Type="http://schemas.openxmlformats.org/officeDocument/2006/relationships/chart" Target="../charts/chart42.xml"/><Relationship Id="rId47" Type="http://schemas.openxmlformats.org/officeDocument/2006/relationships/chart" Target="../charts/chart47.xml"/><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4" Type="http://schemas.openxmlformats.org/officeDocument/2006/relationships/chart" Target="../charts/chart44.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8" Type="http://schemas.openxmlformats.org/officeDocument/2006/relationships/chart" Target="../charts/chart8.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20" Type="http://schemas.openxmlformats.org/officeDocument/2006/relationships/chart" Target="../charts/chart20.xml"/><Relationship Id="rId41" Type="http://schemas.openxmlformats.org/officeDocument/2006/relationships/chart" Target="../charts/chart4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editAs="oneCell">
    <xdr:from>
      <xdr:col>0</xdr:col>
      <xdr:colOff>742951</xdr:colOff>
      <xdr:row>20</xdr:row>
      <xdr:rowOff>133351</xdr:rowOff>
    </xdr:from>
    <xdr:to>
      <xdr:col>4</xdr:col>
      <xdr:colOff>464337</xdr:colOff>
      <xdr:row>31</xdr:row>
      <xdr:rowOff>60961</xdr:rowOff>
    </xdr:to>
    <xdr:pic>
      <xdr:nvPicPr>
        <xdr:cNvPr id="2" name="Picture 1">
          <a:extLst>
            <a:ext uri="{FF2B5EF4-FFF2-40B4-BE49-F238E27FC236}">
              <a16:creationId xmlns:a16="http://schemas.microsoft.com/office/drawing/2014/main" id="{4809C3EC-C295-1CFB-0BD1-5A8A93451A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2951" y="3790951"/>
          <a:ext cx="7798586" cy="1765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78442</xdr:colOff>
      <xdr:row>6</xdr:row>
      <xdr:rowOff>11208</xdr:rowOff>
    </xdr:from>
    <xdr:to>
      <xdr:col>1</xdr:col>
      <xdr:colOff>3350559</xdr:colOff>
      <xdr:row>6</xdr:row>
      <xdr:rowOff>1216825</xdr:rowOff>
    </xdr:to>
    <xdr:pic>
      <xdr:nvPicPr>
        <xdr:cNvPr id="2" name="Picture 1">
          <a:extLst>
            <a:ext uri="{FF2B5EF4-FFF2-40B4-BE49-F238E27FC236}">
              <a16:creationId xmlns:a16="http://schemas.microsoft.com/office/drawing/2014/main" id="{0783D2F8-7136-31A9-51CC-D557C356E996}"/>
            </a:ext>
          </a:extLst>
        </xdr:cNvPr>
        <xdr:cNvPicPr>
          <a:picLocks noChangeAspect="1"/>
        </xdr:cNvPicPr>
      </xdr:nvPicPr>
      <xdr:blipFill>
        <a:blip xmlns:r="http://schemas.openxmlformats.org/officeDocument/2006/relationships" r:embed="rId1"/>
        <a:stretch>
          <a:fillRect/>
        </a:stretch>
      </xdr:blipFill>
      <xdr:spPr>
        <a:xfrm>
          <a:off x="1748118" y="1568826"/>
          <a:ext cx="3272117" cy="12056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1282561</xdr:colOff>
      <xdr:row>0</xdr:row>
      <xdr:rowOff>35035</xdr:rowOff>
    </xdr:from>
    <xdr:to>
      <xdr:col>13</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1325218</xdr:colOff>
      <xdr:row>0</xdr:row>
      <xdr:rowOff>67505</xdr:rowOff>
    </xdr:from>
    <xdr:to>
      <xdr:col>13</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13</xdr:col>
      <xdr:colOff>118616</xdr:colOff>
      <xdr:row>1</xdr:row>
      <xdr:rowOff>44808</xdr:rowOff>
    </xdr:from>
    <xdr:to>
      <xdr:col>19</xdr:col>
      <xdr:colOff>517738</xdr:colOff>
      <xdr:row>32</xdr:row>
      <xdr:rowOff>172067</xdr:rowOff>
    </xdr:to>
    <xdr:pic>
      <xdr:nvPicPr>
        <xdr:cNvPr id="2" name="Picture 1">
          <a:extLst>
            <a:ext uri="{FF2B5EF4-FFF2-40B4-BE49-F238E27FC236}">
              <a16:creationId xmlns:a16="http://schemas.microsoft.com/office/drawing/2014/main" id="{A43B3151-1149-57E5-38F1-31114CF8C157}"/>
            </a:ext>
          </a:extLst>
        </xdr:cNvPr>
        <xdr:cNvPicPr>
          <a:picLocks noChangeAspect="1"/>
        </xdr:cNvPicPr>
      </xdr:nvPicPr>
      <xdr:blipFill>
        <a:blip xmlns:r="http://schemas.openxmlformats.org/officeDocument/2006/relationships" r:embed="rId1"/>
        <a:stretch>
          <a:fillRect/>
        </a:stretch>
      </xdr:blipFill>
      <xdr:spPr>
        <a:xfrm>
          <a:off x="18755866" y="372891"/>
          <a:ext cx="8263384" cy="7435686"/>
        </a:xfrm>
        <a:prstGeom prst="rect">
          <a:avLst/>
        </a:prstGeom>
        <a:ln>
          <a:solidFill>
            <a:schemeClr val="tx1"/>
          </a:solidFill>
        </a:ln>
      </xdr:spPr>
    </xdr:pic>
    <xdr:clientData/>
  </xdr:twoCellAnchor>
  <xdr:twoCellAnchor>
    <xdr:from>
      <xdr:col>16</xdr:col>
      <xdr:colOff>201083</xdr:colOff>
      <xdr:row>1</xdr:row>
      <xdr:rowOff>486834</xdr:rowOff>
    </xdr:from>
    <xdr:to>
      <xdr:col>16</xdr:col>
      <xdr:colOff>1418166</xdr:colOff>
      <xdr:row>2</xdr:row>
      <xdr:rowOff>42333</xdr:rowOff>
    </xdr:to>
    <xdr:sp macro="" textlink="">
      <xdr:nvSpPr>
        <xdr:cNvPr id="3" name="Rectangle 2">
          <a:extLst>
            <a:ext uri="{FF2B5EF4-FFF2-40B4-BE49-F238E27FC236}">
              <a16:creationId xmlns:a16="http://schemas.microsoft.com/office/drawing/2014/main" id="{04B8595E-0162-FF1D-F14E-D030D7075D0A}"/>
            </a:ext>
          </a:extLst>
        </xdr:cNvPr>
        <xdr:cNvSpPr/>
      </xdr:nvSpPr>
      <xdr:spPr>
        <a:xfrm>
          <a:off x="21812250" y="814917"/>
          <a:ext cx="1217083" cy="2328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North Classroom</a:t>
          </a:r>
        </a:p>
      </xdr:txBody>
    </xdr:sp>
    <xdr:clientData/>
  </xdr:twoCellAnchor>
  <xdr:twoCellAnchor>
    <xdr:from>
      <xdr:col>13</xdr:col>
      <xdr:colOff>613834</xdr:colOff>
      <xdr:row>9</xdr:row>
      <xdr:rowOff>158750</xdr:rowOff>
    </xdr:from>
    <xdr:to>
      <xdr:col>13</xdr:col>
      <xdr:colOff>1407584</xdr:colOff>
      <xdr:row>12</xdr:row>
      <xdr:rowOff>127000</xdr:rowOff>
    </xdr:to>
    <xdr:sp macro="" textlink="">
      <xdr:nvSpPr>
        <xdr:cNvPr id="5" name="Rectangle 4">
          <a:extLst>
            <a:ext uri="{FF2B5EF4-FFF2-40B4-BE49-F238E27FC236}">
              <a16:creationId xmlns:a16="http://schemas.microsoft.com/office/drawing/2014/main" id="{FF40FE3C-E6C5-09A2-37A1-9423E7B0FED3}"/>
            </a:ext>
          </a:extLst>
        </xdr:cNvPr>
        <xdr:cNvSpPr/>
      </xdr:nvSpPr>
      <xdr:spPr>
        <a:xfrm>
          <a:off x="19251084" y="2698750"/>
          <a:ext cx="793750" cy="635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West</a:t>
          </a:r>
          <a:r>
            <a:rPr lang="en-US" sz="1100" baseline="0"/>
            <a:t> Classroom</a:t>
          </a:r>
          <a:endParaRPr lang="en-US" sz="1100"/>
        </a:p>
      </xdr:txBody>
    </xdr:sp>
    <xdr:clientData/>
  </xdr:twoCellAnchor>
  <xdr:twoCellAnchor>
    <xdr:from>
      <xdr:col>18</xdr:col>
      <xdr:colOff>637198</xdr:colOff>
      <xdr:row>9</xdr:row>
      <xdr:rowOff>2473</xdr:rowOff>
    </xdr:from>
    <xdr:to>
      <xdr:col>18</xdr:col>
      <xdr:colOff>1598084</xdr:colOff>
      <xdr:row>11</xdr:row>
      <xdr:rowOff>201082</xdr:rowOff>
    </xdr:to>
    <xdr:sp macro="" textlink="">
      <xdr:nvSpPr>
        <xdr:cNvPr id="6" name="Rectangle 5">
          <a:extLst>
            <a:ext uri="{FF2B5EF4-FFF2-40B4-BE49-F238E27FC236}">
              <a16:creationId xmlns:a16="http://schemas.microsoft.com/office/drawing/2014/main" id="{A4534E93-2E01-42E8-9AA9-13DE2C62E6FD}"/>
            </a:ext>
          </a:extLst>
        </xdr:cNvPr>
        <xdr:cNvSpPr/>
      </xdr:nvSpPr>
      <xdr:spPr>
        <a:xfrm>
          <a:off x="25412781" y="2542473"/>
          <a:ext cx="960886" cy="6431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Kindergarten</a:t>
          </a:r>
        </a:p>
      </xdr:txBody>
    </xdr:sp>
    <xdr:clientData/>
  </xdr:twoCellAnchor>
  <xdr:twoCellAnchor>
    <xdr:from>
      <xdr:col>16</xdr:col>
      <xdr:colOff>171533</xdr:colOff>
      <xdr:row>24</xdr:row>
      <xdr:rowOff>2474</xdr:rowOff>
    </xdr:from>
    <xdr:to>
      <xdr:col>16</xdr:col>
      <xdr:colOff>1047750</xdr:colOff>
      <xdr:row>25</xdr:row>
      <xdr:rowOff>105833</xdr:rowOff>
    </xdr:to>
    <xdr:sp macro="" textlink="">
      <xdr:nvSpPr>
        <xdr:cNvPr id="7" name="Rectangle 6">
          <a:extLst>
            <a:ext uri="{FF2B5EF4-FFF2-40B4-BE49-F238E27FC236}">
              <a16:creationId xmlns:a16="http://schemas.microsoft.com/office/drawing/2014/main" id="{C70AF980-CEED-4517-AF44-B5A512BB009E}"/>
            </a:ext>
          </a:extLst>
        </xdr:cNvPr>
        <xdr:cNvSpPr/>
      </xdr:nvSpPr>
      <xdr:spPr>
        <a:xfrm>
          <a:off x="21782700" y="5876224"/>
          <a:ext cx="876217" cy="3256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MPR/Admin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704850</xdr:colOff>
      <xdr:row>74</xdr:row>
      <xdr:rowOff>24765</xdr:rowOff>
    </xdr:from>
    <xdr:to>
      <xdr:col>12</xdr:col>
      <xdr:colOff>994362</xdr:colOff>
      <xdr:row>101</xdr:row>
      <xdr:rowOff>92868</xdr:rowOff>
    </xdr:to>
    <xdr:pic>
      <xdr:nvPicPr>
        <xdr:cNvPr id="2" name="Picture 1">
          <a:extLst>
            <a:ext uri="{FF2B5EF4-FFF2-40B4-BE49-F238E27FC236}">
              <a16:creationId xmlns:a16="http://schemas.microsoft.com/office/drawing/2014/main" id="{AFEA444E-9695-43EF-A659-63F4DD3F1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57850" y="8990171"/>
          <a:ext cx="16312467" cy="4880610"/>
        </a:xfrm>
        <a:prstGeom prst="rect">
          <a:avLst/>
        </a:prstGeom>
      </xdr:spPr>
    </xdr:pic>
    <xdr:clientData/>
  </xdr:twoCellAnchor>
  <xdr:twoCellAnchor>
    <xdr:from>
      <xdr:col>0</xdr:col>
      <xdr:colOff>60465</xdr:colOff>
      <xdr:row>73</xdr:row>
      <xdr:rowOff>89040</xdr:rowOff>
    </xdr:from>
    <xdr:to>
      <xdr:col>3</xdr:col>
      <xdr:colOff>664368</xdr:colOff>
      <xdr:row>116</xdr:row>
      <xdr:rowOff>17150</xdr:rowOff>
    </xdr:to>
    <xdr:pic>
      <xdr:nvPicPr>
        <xdr:cNvPr id="3" name="Picture 2">
          <a:extLst>
            <a:ext uri="{FF2B5EF4-FFF2-40B4-BE49-F238E27FC236}">
              <a16:creationId xmlns:a16="http://schemas.microsoft.com/office/drawing/2014/main" id="{B19D1045-9E71-456A-B218-18674A7C5C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65" y="9054446"/>
          <a:ext cx="7476191" cy="76076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2" name="Chart 5">
          <a:extLst>
            <a:ext uri="{FF2B5EF4-FFF2-40B4-BE49-F238E27FC236}">
              <a16:creationId xmlns:a16="http://schemas.microsoft.com/office/drawing/2014/main" id="{BD4BD8E0-75A6-40DD-8188-71BA83AEFED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3" name="Chart 5">
          <a:extLst>
            <a:ext uri="{FF2B5EF4-FFF2-40B4-BE49-F238E27FC236}">
              <a16:creationId xmlns:a16="http://schemas.microsoft.com/office/drawing/2014/main" id="{0B4114ED-4943-4B79-96A6-084A4BE382B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4" name="Chart 5">
          <a:extLst>
            <a:ext uri="{FF2B5EF4-FFF2-40B4-BE49-F238E27FC236}">
              <a16:creationId xmlns:a16="http://schemas.microsoft.com/office/drawing/2014/main" id="{E6571EAA-D7FB-4B5F-9E61-FB346F762C4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307008</xdr:colOff>
      <xdr:row>15</xdr:row>
      <xdr:rowOff>31750</xdr:rowOff>
    </xdr:from>
    <xdr:to>
      <xdr:col>36</xdr:col>
      <xdr:colOff>11733</xdr:colOff>
      <xdr:row>17</xdr:row>
      <xdr:rowOff>448469</xdr:rowOff>
    </xdr:to>
    <xdr:graphicFrame macro="">
      <xdr:nvGraphicFramePr>
        <xdr:cNvPr id="6" name="Chart 5">
          <a:extLst>
            <a:ext uri="{FF2B5EF4-FFF2-40B4-BE49-F238E27FC236}">
              <a16:creationId xmlns:a16="http://schemas.microsoft.com/office/drawing/2014/main" id="{55C97101-4C7D-4B10-9F38-D13B2B2AB9A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7" name="Chart 5">
          <a:extLst>
            <a:ext uri="{FF2B5EF4-FFF2-40B4-BE49-F238E27FC236}">
              <a16:creationId xmlns:a16="http://schemas.microsoft.com/office/drawing/2014/main" id="{0C34A962-B32B-4D9A-9747-BAD86963B0F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8" name="Chart 5">
          <a:extLst>
            <a:ext uri="{FF2B5EF4-FFF2-40B4-BE49-F238E27FC236}">
              <a16:creationId xmlns:a16="http://schemas.microsoft.com/office/drawing/2014/main" id="{A7C7E533-92CE-4411-ABC4-38EC3EB2637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319564</xdr:colOff>
      <xdr:row>21</xdr:row>
      <xdr:rowOff>0</xdr:rowOff>
    </xdr:from>
    <xdr:to>
      <xdr:col>36</xdr:col>
      <xdr:colOff>33814</xdr:colOff>
      <xdr:row>23</xdr:row>
      <xdr:rowOff>446722</xdr:rowOff>
    </xdr:to>
    <xdr:graphicFrame macro="">
      <xdr:nvGraphicFramePr>
        <xdr:cNvPr id="9" name="Chart 8">
          <a:extLst>
            <a:ext uri="{FF2B5EF4-FFF2-40B4-BE49-F238E27FC236}">
              <a16:creationId xmlns:a16="http://schemas.microsoft.com/office/drawing/2014/main" id="{9DCF57D9-5490-414B-92A6-C89D504659B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220927</xdr:colOff>
      <xdr:row>98</xdr:row>
      <xdr:rowOff>216958</xdr:rowOff>
    </xdr:from>
    <xdr:to>
      <xdr:col>36</xdr:col>
      <xdr:colOff>226220</xdr:colOff>
      <xdr:row>102</xdr:row>
      <xdr:rowOff>38364</xdr:rowOff>
    </xdr:to>
    <xdr:graphicFrame macro="">
      <xdr:nvGraphicFramePr>
        <xdr:cNvPr id="24" name="Chart 5">
          <a:extLst>
            <a:ext uri="{FF2B5EF4-FFF2-40B4-BE49-F238E27FC236}">
              <a16:creationId xmlns:a16="http://schemas.microsoft.com/office/drawing/2014/main" id="{48798457-C199-4767-A625-8785E7F372B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285750</xdr:colOff>
      <xdr:row>74</xdr:row>
      <xdr:rowOff>0</xdr:rowOff>
    </xdr:from>
    <xdr:to>
      <xdr:col>36</xdr:col>
      <xdr:colOff>0</xdr:colOff>
      <xdr:row>76</xdr:row>
      <xdr:rowOff>304800</xdr:rowOff>
    </xdr:to>
    <xdr:graphicFrame macro="">
      <xdr:nvGraphicFramePr>
        <xdr:cNvPr id="51" name="Chart 5">
          <a:extLst>
            <a:ext uri="{FF2B5EF4-FFF2-40B4-BE49-F238E27FC236}">
              <a16:creationId xmlns:a16="http://schemas.microsoft.com/office/drawing/2014/main" id="{FD4BD8A9-0333-4D45-AA31-348555E16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287460</xdr:colOff>
      <xdr:row>77</xdr:row>
      <xdr:rowOff>31712</xdr:rowOff>
    </xdr:from>
    <xdr:to>
      <xdr:col>35</xdr:col>
      <xdr:colOff>618930</xdr:colOff>
      <xdr:row>79</xdr:row>
      <xdr:rowOff>304800</xdr:rowOff>
    </xdr:to>
    <xdr:graphicFrame macro="">
      <xdr:nvGraphicFramePr>
        <xdr:cNvPr id="52" name="Chart 5">
          <a:extLst>
            <a:ext uri="{FF2B5EF4-FFF2-40B4-BE49-F238E27FC236}">
              <a16:creationId xmlns:a16="http://schemas.microsoft.com/office/drawing/2014/main" id="{6BC53BF2-7DE9-4ECB-BD2D-565DD9944E3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282165</xdr:colOff>
      <xdr:row>83</xdr:row>
      <xdr:rowOff>75079</xdr:rowOff>
    </xdr:from>
    <xdr:to>
      <xdr:col>35</xdr:col>
      <xdr:colOff>620471</xdr:colOff>
      <xdr:row>85</xdr:row>
      <xdr:rowOff>247650</xdr:rowOff>
    </xdr:to>
    <xdr:graphicFrame macro="">
      <xdr:nvGraphicFramePr>
        <xdr:cNvPr id="54" name="Chart 5">
          <a:extLst>
            <a:ext uri="{FF2B5EF4-FFF2-40B4-BE49-F238E27FC236}">
              <a16:creationId xmlns:a16="http://schemas.microsoft.com/office/drawing/2014/main" id="{D5580AB3-CADC-4D27-847A-CEED6D85CBA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284629</xdr:colOff>
      <xdr:row>83</xdr:row>
      <xdr:rowOff>0</xdr:rowOff>
    </xdr:from>
    <xdr:to>
      <xdr:col>36</xdr:col>
      <xdr:colOff>6275</xdr:colOff>
      <xdr:row>83</xdr:row>
      <xdr:rowOff>31376</xdr:rowOff>
    </xdr:to>
    <xdr:graphicFrame macro="">
      <xdr:nvGraphicFramePr>
        <xdr:cNvPr id="56" name="Chart 5">
          <a:extLst>
            <a:ext uri="{FF2B5EF4-FFF2-40B4-BE49-F238E27FC236}">
              <a16:creationId xmlns:a16="http://schemas.microsoft.com/office/drawing/2014/main" id="{0E9309E0-63F9-45FE-9169-13D3616D0DF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282165</xdr:colOff>
      <xdr:row>80</xdr:row>
      <xdr:rowOff>75079</xdr:rowOff>
    </xdr:from>
    <xdr:to>
      <xdr:col>35</xdr:col>
      <xdr:colOff>620471</xdr:colOff>
      <xdr:row>82</xdr:row>
      <xdr:rowOff>276225</xdr:rowOff>
    </xdr:to>
    <xdr:graphicFrame macro="">
      <xdr:nvGraphicFramePr>
        <xdr:cNvPr id="57" name="Chart 5">
          <a:extLst>
            <a:ext uri="{FF2B5EF4-FFF2-40B4-BE49-F238E27FC236}">
              <a16:creationId xmlns:a16="http://schemas.microsoft.com/office/drawing/2014/main" id="{CC0BFAC6-552F-4BD9-9434-BF1B929D706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284629</xdr:colOff>
      <xdr:row>80</xdr:row>
      <xdr:rowOff>0</xdr:rowOff>
    </xdr:from>
    <xdr:to>
      <xdr:col>36</xdr:col>
      <xdr:colOff>6275</xdr:colOff>
      <xdr:row>80</xdr:row>
      <xdr:rowOff>31376</xdr:rowOff>
    </xdr:to>
    <xdr:graphicFrame macro="">
      <xdr:nvGraphicFramePr>
        <xdr:cNvPr id="58" name="Chart 5">
          <a:extLst>
            <a:ext uri="{FF2B5EF4-FFF2-40B4-BE49-F238E27FC236}">
              <a16:creationId xmlns:a16="http://schemas.microsoft.com/office/drawing/2014/main" id="{D6CA1050-5A0F-4687-8B53-4E6CF3EBA7F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282165</xdr:colOff>
      <xdr:row>86</xdr:row>
      <xdr:rowOff>75079</xdr:rowOff>
    </xdr:from>
    <xdr:to>
      <xdr:col>35</xdr:col>
      <xdr:colOff>620471</xdr:colOff>
      <xdr:row>88</xdr:row>
      <xdr:rowOff>276225</xdr:rowOff>
    </xdr:to>
    <xdr:graphicFrame macro="">
      <xdr:nvGraphicFramePr>
        <xdr:cNvPr id="59" name="Chart 5">
          <a:extLst>
            <a:ext uri="{FF2B5EF4-FFF2-40B4-BE49-F238E27FC236}">
              <a16:creationId xmlns:a16="http://schemas.microsoft.com/office/drawing/2014/main" id="{FD3263E4-D1D4-4055-97F6-509B31B2006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284629</xdr:colOff>
      <xdr:row>86</xdr:row>
      <xdr:rowOff>0</xdr:rowOff>
    </xdr:from>
    <xdr:to>
      <xdr:col>36</xdr:col>
      <xdr:colOff>6275</xdr:colOff>
      <xdr:row>86</xdr:row>
      <xdr:rowOff>31376</xdr:rowOff>
    </xdr:to>
    <xdr:graphicFrame macro="">
      <xdr:nvGraphicFramePr>
        <xdr:cNvPr id="60" name="Chart 5">
          <a:extLst>
            <a:ext uri="{FF2B5EF4-FFF2-40B4-BE49-F238E27FC236}">
              <a16:creationId xmlns:a16="http://schemas.microsoft.com/office/drawing/2014/main" id="{E4967475-5670-4525-A440-494BACE5D8F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282165</xdr:colOff>
      <xdr:row>89</xdr:row>
      <xdr:rowOff>75079</xdr:rowOff>
    </xdr:from>
    <xdr:to>
      <xdr:col>35</xdr:col>
      <xdr:colOff>620471</xdr:colOff>
      <xdr:row>92</xdr:row>
      <xdr:rowOff>0</xdr:rowOff>
    </xdr:to>
    <xdr:graphicFrame macro="">
      <xdr:nvGraphicFramePr>
        <xdr:cNvPr id="61" name="Chart 5">
          <a:extLst>
            <a:ext uri="{FF2B5EF4-FFF2-40B4-BE49-F238E27FC236}">
              <a16:creationId xmlns:a16="http://schemas.microsoft.com/office/drawing/2014/main" id="{8529D48E-60FA-4086-A99C-39ABCD9BB03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284629</xdr:colOff>
      <xdr:row>89</xdr:row>
      <xdr:rowOff>0</xdr:rowOff>
    </xdr:from>
    <xdr:to>
      <xdr:col>36</xdr:col>
      <xdr:colOff>6275</xdr:colOff>
      <xdr:row>89</xdr:row>
      <xdr:rowOff>31376</xdr:rowOff>
    </xdr:to>
    <xdr:graphicFrame macro="">
      <xdr:nvGraphicFramePr>
        <xdr:cNvPr id="62" name="Chart 5">
          <a:extLst>
            <a:ext uri="{FF2B5EF4-FFF2-40B4-BE49-F238E27FC236}">
              <a16:creationId xmlns:a16="http://schemas.microsoft.com/office/drawing/2014/main" id="{B6CF2F46-7DDD-4B86-A80A-D4CC4CE565F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285750</xdr:colOff>
      <xdr:row>74</xdr:row>
      <xdr:rowOff>0</xdr:rowOff>
    </xdr:from>
    <xdr:to>
      <xdr:col>36</xdr:col>
      <xdr:colOff>0</xdr:colOff>
      <xdr:row>77</xdr:row>
      <xdr:rowOff>9525</xdr:rowOff>
    </xdr:to>
    <xdr:graphicFrame macro="">
      <xdr:nvGraphicFramePr>
        <xdr:cNvPr id="63" name="Chart 5">
          <a:extLst>
            <a:ext uri="{FF2B5EF4-FFF2-40B4-BE49-F238E27FC236}">
              <a16:creationId xmlns:a16="http://schemas.microsoft.com/office/drawing/2014/main" id="{8794EF1E-D9A6-47F2-BA1C-C5373819375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287460</xdr:colOff>
      <xdr:row>77</xdr:row>
      <xdr:rowOff>31712</xdr:rowOff>
    </xdr:from>
    <xdr:to>
      <xdr:col>35</xdr:col>
      <xdr:colOff>618930</xdr:colOff>
      <xdr:row>79</xdr:row>
      <xdr:rowOff>238125</xdr:rowOff>
    </xdr:to>
    <xdr:graphicFrame macro="">
      <xdr:nvGraphicFramePr>
        <xdr:cNvPr id="64" name="Chart 5">
          <a:extLst>
            <a:ext uri="{FF2B5EF4-FFF2-40B4-BE49-F238E27FC236}">
              <a16:creationId xmlns:a16="http://schemas.microsoft.com/office/drawing/2014/main" id="{55859D34-D68A-4895-9509-28434D1576C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264163</xdr:colOff>
      <xdr:row>68</xdr:row>
      <xdr:rowOff>30732</xdr:rowOff>
    </xdr:from>
    <xdr:to>
      <xdr:col>35</xdr:col>
      <xdr:colOff>618967</xdr:colOff>
      <xdr:row>70</xdr:row>
      <xdr:rowOff>301624</xdr:rowOff>
    </xdr:to>
    <xdr:graphicFrame macro="">
      <xdr:nvGraphicFramePr>
        <xdr:cNvPr id="65" name="Chart 5">
          <a:extLst>
            <a:ext uri="{FF2B5EF4-FFF2-40B4-BE49-F238E27FC236}">
              <a16:creationId xmlns:a16="http://schemas.microsoft.com/office/drawing/2014/main" id="{E7B140FA-5746-4BFC-9DA1-5BCDD263A2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282165</xdr:colOff>
      <xdr:row>83</xdr:row>
      <xdr:rowOff>75079</xdr:rowOff>
    </xdr:from>
    <xdr:to>
      <xdr:col>35</xdr:col>
      <xdr:colOff>620471</xdr:colOff>
      <xdr:row>85</xdr:row>
      <xdr:rowOff>304800</xdr:rowOff>
    </xdr:to>
    <xdr:graphicFrame macro="">
      <xdr:nvGraphicFramePr>
        <xdr:cNvPr id="66" name="Chart 5">
          <a:extLst>
            <a:ext uri="{FF2B5EF4-FFF2-40B4-BE49-F238E27FC236}">
              <a16:creationId xmlns:a16="http://schemas.microsoft.com/office/drawing/2014/main" id="{91DAC5CC-C685-4981-9792-2CE5617ECA6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264583</xdr:colOff>
      <xdr:row>71</xdr:row>
      <xdr:rowOff>10583</xdr:rowOff>
    </xdr:from>
    <xdr:to>
      <xdr:col>35</xdr:col>
      <xdr:colOff>599863</xdr:colOff>
      <xdr:row>73</xdr:row>
      <xdr:rowOff>248708</xdr:rowOff>
    </xdr:to>
    <xdr:graphicFrame macro="">
      <xdr:nvGraphicFramePr>
        <xdr:cNvPr id="67" name="Chart 5">
          <a:extLst>
            <a:ext uri="{FF2B5EF4-FFF2-40B4-BE49-F238E27FC236}">
              <a16:creationId xmlns:a16="http://schemas.microsoft.com/office/drawing/2014/main" id="{3405B444-2B47-4137-A0F3-32F2064BE6A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284629</xdr:colOff>
      <xdr:row>83</xdr:row>
      <xdr:rowOff>0</xdr:rowOff>
    </xdr:from>
    <xdr:to>
      <xdr:col>36</xdr:col>
      <xdr:colOff>6275</xdr:colOff>
      <xdr:row>83</xdr:row>
      <xdr:rowOff>31376</xdr:rowOff>
    </xdr:to>
    <xdr:graphicFrame macro="">
      <xdr:nvGraphicFramePr>
        <xdr:cNvPr id="68" name="Chart 5">
          <a:extLst>
            <a:ext uri="{FF2B5EF4-FFF2-40B4-BE49-F238E27FC236}">
              <a16:creationId xmlns:a16="http://schemas.microsoft.com/office/drawing/2014/main" id="{5666D157-4AC2-49A2-95EE-9AC0AEDBDDA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29</xdr:col>
      <xdr:colOff>285975</xdr:colOff>
      <xdr:row>80</xdr:row>
      <xdr:rowOff>75078</xdr:rowOff>
    </xdr:from>
    <xdr:to>
      <xdr:col>35</xdr:col>
      <xdr:colOff>622376</xdr:colOff>
      <xdr:row>82</xdr:row>
      <xdr:rowOff>257175</xdr:rowOff>
    </xdr:to>
    <xdr:graphicFrame macro="">
      <xdr:nvGraphicFramePr>
        <xdr:cNvPr id="69" name="Chart 5">
          <a:extLst>
            <a:ext uri="{FF2B5EF4-FFF2-40B4-BE49-F238E27FC236}">
              <a16:creationId xmlns:a16="http://schemas.microsoft.com/office/drawing/2014/main" id="{51D930F0-95E7-40F6-A702-377EC377B0F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29</xdr:col>
      <xdr:colOff>284629</xdr:colOff>
      <xdr:row>80</xdr:row>
      <xdr:rowOff>0</xdr:rowOff>
    </xdr:from>
    <xdr:to>
      <xdr:col>36</xdr:col>
      <xdr:colOff>6275</xdr:colOff>
      <xdr:row>80</xdr:row>
      <xdr:rowOff>31376</xdr:rowOff>
    </xdr:to>
    <xdr:graphicFrame macro="">
      <xdr:nvGraphicFramePr>
        <xdr:cNvPr id="70" name="Chart 5">
          <a:extLst>
            <a:ext uri="{FF2B5EF4-FFF2-40B4-BE49-F238E27FC236}">
              <a16:creationId xmlns:a16="http://schemas.microsoft.com/office/drawing/2014/main" id="{21397374-C0DF-4543-9E68-8AE7C07AC3F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29</xdr:col>
      <xdr:colOff>282165</xdr:colOff>
      <xdr:row>86</xdr:row>
      <xdr:rowOff>75079</xdr:rowOff>
    </xdr:from>
    <xdr:to>
      <xdr:col>35</xdr:col>
      <xdr:colOff>620471</xdr:colOff>
      <xdr:row>88</xdr:row>
      <xdr:rowOff>314325</xdr:rowOff>
    </xdr:to>
    <xdr:graphicFrame macro="">
      <xdr:nvGraphicFramePr>
        <xdr:cNvPr id="71" name="Chart 5">
          <a:extLst>
            <a:ext uri="{FF2B5EF4-FFF2-40B4-BE49-F238E27FC236}">
              <a16:creationId xmlns:a16="http://schemas.microsoft.com/office/drawing/2014/main" id="{75A433B1-2905-4CE1-86C0-6291DF25C6C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29</xdr:col>
      <xdr:colOff>284629</xdr:colOff>
      <xdr:row>86</xdr:row>
      <xdr:rowOff>0</xdr:rowOff>
    </xdr:from>
    <xdr:to>
      <xdr:col>36</xdr:col>
      <xdr:colOff>6275</xdr:colOff>
      <xdr:row>86</xdr:row>
      <xdr:rowOff>31376</xdr:rowOff>
    </xdr:to>
    <xdr:graphicFrame macro="">
      <xdr:nvGraphicFramePr>
        <xdr:cNvPr id="72" name="Chart 5">
          <a:extLst>
            <a:ext uri="{FF2B5EF4-FFF2-40B4-BE49-F238E27FC236}">
              <a16:creationId xmlns:a16="http://schemas.microsoft.com/office/drawing/2014/main" id="{75F60ED8-C2C1-40DC-82CA-DF30A0CC3D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29</xdr:col>
      <xdr:colOff>282165</xdr:colOff>
      <xdr:row>89</xdr:row>
      <xdr:rowOff>75078</xdr:rowOff>
    </xdr:from>
    <xdr:to>
      <xdr:col>35</xdr:col>
      <xdr:colOff>620471</xdr:colOff>
      <xdr:row>91</xdr:row>
      <xdr:rowOff>266699</xdr:rowOff>
    </xdr:to>
    <xdr:graphicFrame macro="">
      <xdr:nvGraphicFramePr>
        <xdr:cNvPr id="73" name="Chart 5">
          <a:extLst>
            <a:ext uri="{FF2B5EF4-FFF2-40B4-BE49-F238E27FC236}">
              <a16:creationId xmlns:a16="http://schemas.microsoft.com/office/drawing/2014/main" id="{AE66355D-5855-4238-8686-3E4F3A0E4B9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29</xdr:col>
      <xdr:colOff>284629</xdr:colOff>
      <xdr:row>89</xdr:row>
      <xdr:rowOff>0</xdr:rowOff>
    </xdr:from>
    <xdr:to>
      <xdr:col>36</xdr:col>
      <xdr:colOff>6275</xdr:colOff>
      <xdr:row>89</xdr:row>
      <xdr:rowOff>31376</xdr:rowOff>
    </xdr:to>
    <xdr:graphicFrame macro="">
      <xdr:nvGraphicFramePr>
        <xdr:cNvPr id="74" name="Chart 5">
          <a:extLst>
            <a:ext uri="{FF2B5EF4-FFF2-40B4-BE49-F238E27FC236}">
              <a16:creationId xmlns:a16="http://schemas.microsoft.com/office/drawing/2014/main" id="{8AB26A6C-0D7F-437E-B57C-EB647C228F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29</xdr:col>
      <xdr:colOff>285750</xdr:colOff>
      <xdr:row>40</xdr:row>
      <xdr:rowOff>0</xdr:rowOff>
    </xdr:from>
    <xdr:to>
      <xdr:col>36</xdr:col>
      <xdr:colOff>0</xdr:colOff>
      <xdr:row>42</xdr:row>
      <xdr:rowOff>304800</xdr:rowOff>
    </xdr:to>
    <xdr:graphicFrame macro="">
      <xdr:nvGraphicFramePr>
        <xdr:cNvPr id="75" name="Chart 5">
          <a:extLst>
            <a:ext uri="{FF2B5EF4-FFF2-40B4-BE49-F238E27FC236}">
              <a16:creationId xmlns:a16="http://schemas.microsoft.com/office/drawing/2014/main" id="{4001D1E9-9239-44DB-A4F8-DC3E507ACA8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29</xdr:col>
      <xdr:colOff>287460</xdr:colOff>
      <xdr:row>43</xdr:row>
      <xdr:rowOff>31712</xdr:rowOff>
    </xdr:from>
    <xdr:to>
      <xdr:col>35</xdr:col>
      <xdr:colOff>618930</xdr:colOff>
      <xdr:row>45</xdr:row>
      <xdr:rowOff>304800</xdr:rowOff>
    </xdr:to>
    <xdr:graphicFrame macro="">
      <xdr:nvGraphicFramePr>
        <xdr:cNvPr id="76" name="Chart 5">
          <a:extLst>
            <a:ext uri="{FF2B5EF4-FFF2-40B4-BE49-F238E27FC236}">
              <a16:creationId xmlns:a16="http://schemas.microsoft.com/office/drawing/2014/main" id="{7A295F88-AEA3-4E0F-B8BF-89EEBED7E3E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29</xdr:col>
      <xdr:colOff>285329</xdr:colOff>
      <xdr:row>33</xdr:row>
      <xdr:rowOff>411733</xdr:rowOff>
    </xdr:from>
    <xdr:to>
      <xdr:col>36</xdr:col>
      <xdr:colOff>15716</xdr:colOff>
      <xdr:row>36</xdr:row>
      <xdr:rowOff>295275</xdr:rowOff>
    </xdr:to>
    <xdr:graphicFrame macro="">
      <xdr:nvGraphicFramePr>
        <xdr:cNvPr id="77" name="Chart 5">
          <a:extLst>
            <a:ext uri="{FF2B5EF4-FFF2-40B4-BE49-F238E27FC236}">
              <a16:creationId xmlns:a16="http://schemas.microsoft.com/office/drawing/2014/main" id="{D3D407CA-E5DD-455A-9602-E9448AFC3AB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29</xdr:col>
      <xdr:colOff>282165</xdr:colOff>
      <xdr:row>49</xdr:row>
      <xdr:rowOff>75079</xdr:rowOff>
    </xdr:from>
    <xdr:to>
      <xdr:col>35</xdr:col>
      <xdr:colOff>620471</xdr:colOff>
      <xdr:row>51</xdr:row>
      <xdr:rowOff>247650</xdr:rowOff>
    </xdr:to>
    <xdr:graphicFrame macro="">
      <xdr:nvGraphicFramePr>
        <xdr:cNvPr id="11" name="Chart 5">
          <a:extLst>
            <a:ext uri="{FF2B5EF4-FFF2-40B4-BE49-F238E27FC236}">
              <a16:creationId xmlns:a16="http://schemas.microsoft.com/office/drawing/2014/main" id="{CA4F6987-2615-4A0C-8C50-0F3C5CBDC51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29</xdr:col>
      <xdr:colOff>285750</xdr:colOff>
      <xdr:row>37</xdr:row>
      <xdr:rowOff>0</xdr:rowOff>
    </xdr:from>
    <xdr:to>
      <xdr:col>35</xdr:col>
      <xdr:colOff>630555</xdr:colOff>
      <xdr:row>39</xdr:row>
      <xdr:rowOff>209550</xdr:rowOff>
    </xdr:to>
    <xdr:graphicFrame macro="">
      <xdr:nvGraphicFramePr>
        <xdr:cNvPr id="79" name="Chart 5">
          <a:extLst>
            <a:ext uri="{FF2B5EF4-FFF2-40B4-BE49-F238E27FC236}">
              <a16:creationId xmlns:a16="http://schemas.microsoft.com/office/drawing/2014/main" id="{69A25DCC-7898-429F-AA49-83B03479125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29</xdr:col>
      <xdr:colOff>284629</xdr:colOff>
      <xdr:row>49</xdr:row>
      <xdr:rowOff>0</xdr:rowOff>
    </xdr:from>
    <xdr:to>
      <xdr:col>36</xdr:col>
      <xdr:colOff>6275</xdr:colOff>
      <xdr:row>49</xdr:row>
      <xdr:rowOff>31376</xdr:rowOff>
    </xdr:to>
    <xdr:graphicFrame macro="">
      <xdr:nvGraphicFramePr>
        <xdr:cNvPr id="10" name="Chart 5">
          <a:extLst>
            <a:ext uri="{FF2B5EF4-FFF2-40B4-BE49-F238E27FC236}">
              <a16:creationId xmlns:a16="http://schemas.microsoft.com/office/drawing/2014/main" id="{6829BDD2-7A65-4411-8B52-1F882DBACC4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29</xdr:col>
      <xdr:colOff>282165</xdr:colOff>
      <xdr:row>46</xdr:row>
      <xdr:rowOff>75079</xdr:rowOff>
    </xdr:from>
    <xdr:to>
      <xdr:col>35</xdr:col>
      <xdr:colOff>620471</xdr:colOff>
      <xdr:row>48</xdr:row>
      <xdr:rowOff>276225</xdr:rowOff>
    </xdr:to>
    <xdr:graphicFrame macro="">
      <xdr:nvGraphicFramePr>
        <xdr:cNvPr id="14" name="Chart 5">
          <a:extLst>
            <a:ext uri="{FF2B5EF4-FFF2-40B4-BE49-F238E27FC236}">
              <a16:creationId xmlns:a16="http://schemas.microsoft.com/office/drawing/2014/main" id="{6BD97EE3-BCE2-4759-9F78-5141D3A26F3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29</xdr:col>
      <xdr:colOff>284629</xdr:colOff>
      <xdr:row>46</xdr:row>
      <xdr:rowOff>0</xdr:rowOff>
    </xdr:from>
    <xdr:to>
      <xdr:col>36</xdr:col>
      <xdr:colOff>6275</xdr:colOff>
      <xdr:row>46</xdr:row>
      <xdr:rowOff>31376</xdr:rowOff>
    </xdr:to>
    <xdr:graphicFrame macro="">
      <xdr:nvGraphicFramePr>
        <xdr:cNvPr id="13" name="Chart 5">
          <a:extLst>
            <a:ext uri="{FF2B5EF4-FFF2-40B4-BE49-F238E27FC236}">
              <a16:creationId xmlns:a16="http://schemas.microsoft.com/office/drawing/2014/main" id="{139D5527-1D03-4BF9-A4D8-DB0ADB052B7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29</xdr:col>
      <xdr:colOff>282165</xdr:colOff>
      <xdr:row>52</xdr:row>
      <xdr:rowOff>75079</xdr:rowOff>
    </xdr:from>
    <xdr:to>
      <xdr:col>35</xdr:col>
      <xdr:colOff>620471</xdr:colOff>
      <xdr:row>54</xdr:row>
      <xdr:rowOff>276225</xdr:rowOff>
    </xdr:to>
    <xdr:graphicFrame macro="">
      <xdr:nvGraphicFramePr>
        <xdr:cNvPr id="83" name="Chart 5">
          <a:extLst>
            <a:ext uri="{FF2B5EF4-FFF2-40B4-BE49-F238E27FC236}">
              <a16:creationId xmlns:a16="http://schemas.microsoft.com/office/drawing/2014/main" id="{98A54E58-FC5A-4A14-ACBC-FE8DFF2D9FF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29</xdr:col>
      <xdr:colOff>284629</xdr:colOff>
      <xdr:row>52</xdr:row>
      <xdr:rowOff>0</xdr:rowOff>
    </xdr:from>
    <xdr:to>
      <xdr:col>36</xdr:col>
      <xdr:colOff>6275</xdr:colOff>
      <xdr:row>52</xdr:row>
      <xdr:rowOff>31376</xdr:rowOff>
    </xdr:to>
    <xdr:graphicFrame macro="">
      <xdr:nvGraphicFramePr>
        <xdr:cNvPr id="84" name="Chart 5">
          <a:extLst>
            <a:ext uri="{FF2B5EF4-FFF2-40B4-BE49-F238E27FC236}">
              <a16:creationId xmlns:a16="http://schemas.microsoft.com/office/drawing/2014/main" id="{DD501FCF-F4B0-420D-BAE4-8EF2D2578DF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29</xdr:col>
      <xdr:colOff>275167</xdr:colOff>
      <xdr:row>55</xdr:row>
      <xdr:rowOff>75079</xdr:rowOff>
    </xdr:from>
    <xdr:to>
      <xdr:col>35</xdr:col>
      <xdr:colOff>620471</xdr:colOff>
      <xdr:row>59</xdr:row>
      <xdr:rowOff>10584</xdr:rowOff>
    </xdr:to>
    <xdr:graphicFrame macro="">
      <xdr:nvGraphicFramePr>
        <xdr:cNvPr id="85" name="Chart 5">
          <a:extLst>
            <a:ext uri="{FF2B5EF4-FFF2-40B4-BE49-F238E27FC236}">
              <a16:creationId xmlns:a16="http://schemas.microsoft.com/office/drawing/2014/main" id="{9B0FDAF8-DDC4-43D5-B6CF-2718D115F76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29</xdr:col>
      <xdr:colOff>284629</xdr:colOff>
      <xdr:row>55</xdr:row>
      <xdr:rowOff>0</xdr:rowOff>
    </xdr:from>
    <xdr:to>
      <xdr:col>36</xdr:col>
      <xdr:colOff>6275</xdr:colOff>
      <xdr:row>55</xdr:row>
      <xdr:rowOff>31376</xdr:rowOff>
    </xdr:to>
    <xdr:graphicFrame macro="">
      <xdr:nvGraphicFramePr>
        <xdr:cNvPr id="86" name="Chart 5">
          <a:extLst>
            <a:ext uri="{FF2B5EF4-FFF2-40B4-BE49-F238E27FC236}">
              <a16:creationId xmlns:a16="http://schemas.microsoft.com/office/drawing/2014/main" id="{1D6F9F08-6EC4-44F6-BEF2-70AD985837C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29</xdr:col>
      <xdr:colOff>324498</xdr:colOff>
      <xdr:row>27</xdr:row>
      <xdr:rowOff>75079</xdr:rowOff>
    </xdr:from>
    <xdr:to>
      <xdr:col>36</xdr:col>
      <xdr:colOff>38387</xdr:colOff>
      <xdr:row>29</xdr:row>
      <xdr:rowOff>247650</xdr:rowOff>
    </xdr:to>
    <xdr:graphicFrame macro="">
      <xdr:nvGraphicFramePr>
        <xdr:cNvPr id="19" name="Chart 5">
          <a:extLst>
            <a:ext uri="{FF2B5EF4-FFF2-40B4-BE49-F238E27FC236}">
              <a16:creationId xmlns:a16="http://schemas.microsoft.com/office/drawing/2014/main" id="{4B3D2273-A362-4644-BAF3-5CE54F124E7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29</xdr:col>
      <xdr:colOff>324499</xdr:colOff>
      <xdr:row>24</xdr:row>
      <xdr:rowOff>75079</xdr:rowOff>
    </xdr:from>
    <xdr:to>
      <xdr:col>36</xdr:col>
      <xdr:colOff>38388</xdr:colOff>
      <xdr:row>26</xdr:row>
      <xdr:rowOff>276225</xdr:rowOff>
    </xdr:to>
    <xdr:graphicFrame macro="">
      <xdr:nvGraphicFramePr>
        <xdr:cNvPr id="20" name="Chart 5">
          <a:extLst>
            <a:ext uri="{FF2B5EF4-FFF2-40B4-BE49-F238E27FC236}">
              <a16:creationId xmlns:a16="http://schemas.microsoft.com/office/drawing/2014/main" id="{49CA9D29-CE80-401F-B1BD-AE51B45D59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29</xdr:col>
      <xdr:colOff>275167</xdr:colOff>
      <xdr:row>59</xdr:row>
      <xdr:rowOff>52917</xdr:rowOff>
    </xdr:from>
    <xdr:to>
      <xdr:col>35</xdr:col>
      <xdr:colOff>587043</xdr:colOff>
      <xdr:row>61</xdr:row>
      <xdr:rowOff>0</xdr:rowOff>
    </xdr:to>
    <xdr:graphicFrame macro="">
      <xdr:nvGraphicFramePr>
        <xdr:cNvPr id="16" name="Chart 5">
          <a:extLst>
            <a:ext uri="{FF2B5EF4-FFF2-40B4-BE49-F238E27FC236}">
              <a16:creationId xmlns:a16="http://schemas.microsoft.com/office/drawing/2014/main" id="{91E510C2-A7D3-413B-B74D-5CE10A3065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29</xdr:col>
      <xdr:colOff>278355</xdr:colOff>
      <xdr:row>64</xdr:row>
      <xdr:rowOff>75079</xdr:rowOff>
    </xdr:from>
    <xdr:to>
      <xdr:col>35</xdr:col>
      <xdr:colOff>618566</xdr:colOff>
      <xdr:row>66</xdr:row>
      <xdr:rowOff>349624</xdr:rowOff>
    </xdr:to>
    <xdr:graphicFrame macro="">
      <xdr:nvGraphicFramePr>
        <xdr:cNvPr id="5" name="Chart 5">
          <a:extLst>
            <a:ext uri="{FF2B5EF4-FFF2-40B4-BE49-F238E27FC236}">
              <a16:creationId xmlns:a16="http://schemas.microsoft.com/office/drawing/2014/main" id="{D8A56B32-D7FF-4338-BF53-9CE6AB41420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29</xdr:col>
      <xdr:colOff>278355</xdr:colOff>
      <xdr:row>95</xdr:row>
      <xdr:rowOff>75079</xdr:rowOff>
    </xdr:from>
    <xdr:to>
      <xdr:col>35</xdr:col>
      <xdr:colOff>618566</xdr:colOff>
      <xdr:row>97</xdr:row>
      <xdr:rowOff>349624</xdr:rowOff>
    </xdr:to>
    <xdr:graphicFrame macro="">
      <xdr:nvGraphicFramePr>
        <xdr:cNvPr id="12" name="Chart 5">
          <a:extLst>
            <a:ext uri="{FF2B5EF4-FFF2-40B4-BE49-F238E27FC236}">
              <a16:creationId xmlns:a16="http://schemas.microsoft.com/office/drawing/2014/main" id="{EBBA6A57-EC19-4744-A6ED-C139B735D79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29</xdr:col>
      <xdr:colOff>264582</xdr:colOff>
      <xdr:row>61</xdr:row>
      <xdr:rowOff>105833</xdr:rowOff>
    </xdr:from>
    <xdr:to>
      <xdr:col>35</xdr:col>
      <xdr:colOff>604793</xdr:colOff>
      <xdr:row>63</xdr:row>
      <xdr:rowOff>380378</xdr:rowOff>
    </xdr:to>
    <xdr:graphicFrame macro="">
      <xdr:nvGraphicFramePr>
        <xdr:cNvPr id="17" name="Chart 5">
          <a:extLst>
            <a:ext uri="{FF2B5EF4-FFF2-40B4-BE49-F238E27FC236}">
              <a16:creationId xmlns:a16="http://schemas.microsoft.com/office/drawing/2014/main" id="{8980A6C7-7FDF-401B-A56C-BDE18736DEE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26</xdr:col>
      <xdr:colOff>22858</xdr:colOff>
      <xdr:row>1</xdr:row>
      <xdr:rowOff>0</xdr:rowOff>
    </xdr:from>
    <xdr:to>
      <xdr:col>43</xdr:col>
      <xdr:colOff>398688</xdr:colOff>
      <xdr:row>17</xdr:row>
      <xdr:rowOff>112939</xdr:rowOff>
    </xdr:to>
    <xdr:graphicFrame macro="">
      <xdr:nvGraphicFramePr>
        <xdr:cNvPr id="2" name="Chart 1">
          <a:extLst>
            <a:ext uri="{FF2B5EF4-FFF2-40B4-BE49-F238E27FC236}">
              <a16:creationId xmlns:a16="http://schemas.microsoft.com/office/drawing/2014/main" id="{5B22DF9D-A7E6-4851-B047-5B439DE8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571500</xdr:colOff>
      <xdr:row>18</xdr:row>
      <xdr:rowOff>129268</xdr:rowOff>
    </xdr:from>
    <xdr:to>
      <xdr:col>43</xdr:col>
      <xdr:colOff>306954</xdr:colOff>
      <xdr:row>46</xdr:row>
      <xdr:rowOff>44627</xdr:rowOff>
    </xdr:to>
    <xdr:graphicFrame macro="">
      <xdr:nvGraphicFramePr>
        <xdr:cNvPr id="3" name="Chart 2">
          <a:extLst>
            <a:ext uri="{FF2B5EF4-FFF2-40B4-BE49-F238E27FC236}">
              <a16:creationId xmlns:a16="http://schemas.microsoft.com/office/drawing/2014/main" id="{3BD03696-966F-4219-B013-5B9A1B922230}"/>
            </a:ext>
            <a:ext uri="{147F2762-F138-4A5C-976F-8EAC2B608ADB}">
              <a16:predDERef xmlns:a16="http://schemas.microsoft.com/office/drawing/2014/main" pred="{5B22DF9D-A7E6-4851-B047-5B439DE8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itle24stakeholders.com/wp-content/uploads/2020/10/2022-T24-Final-CASE-Report_Reduce-Infiltration.pdf" TargetMode="External"/><Relationship Id="rId7" Type="http://schemas.openxmlformats.org/officeDocument/2006/relationships/hyperlink" Target="https://title24stakeholders.com/wp-content/uploads/2017/09/2019-T24-CASE-Report_Fume-Hoods_Final_September-2017.pdf?" TargetMode="External"/><Relationship Id="rId2" Type="http://schemas.openxmlformats.org/officeDocument/2006/relationships/hyperlink" Target="https://www.energy.ca.gov/publications/2022/2022-nonresidential-and-multifamily-alternative-calculation-method-reference" TargetMode="External"/><Relationship Id="rId1" Type="http://schemas.openxmlformats.org/officeDocument/2006/relationships/hyperlink" Target="https://bees.noresco.com/software2022.html" TargetMode="External"/><Relationship Id="rId6"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5" Type="http://schemas.openxmlformats.org/officeDocument/2006/relationships/hyperlink" Target="file:///C:\Users\DabbagMo\0_Input%20data\Lighting\PNNL-20405.pdf" TargetMode="External"/><Relationship Id="rId4" Type="http://schemas.openxmlformats.org/officeDocument/2006/relationships/hyperlink" Target="https://title24stakeholders.com/wp-content/uploads/2016/10/T24-2019-CASE-Study-Results-Report-Outdoor-Sources_Final_with-Attachments.pdf"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49"/>
  <sheetViews>
    <sheetView zoomScaleNormal="100" workbookViewId="0">
      <selection sqref="A1:F1"/>
    </sheetView>
  </sheetViews>
  <sheetFormatPr defaultColWidth="9.28515625" defaultRowHeight="12.75" x14ac:dyDescent="0.2"/>
  <cols>
    <col min="1" max="1" width="16.140625" style="6" bestFit="1" customWidth="1"/>
    <col min="2" max="2" width="83.7109375" style="6" customWidth="1"/>
    <col min="3" max="3" width="12" style="6" customWidth="1"/>
    <col min="4" max="7" width="9.28515625" style="6"/>
    <col min="8" max="8" width="21.7109375" style="6" customWidth="1"/>
    <col min="9" max="9" width="10.7109375" style="6" customWidth="1"/>
    <col min="10" max="10" width="9.7109375" style="6" customWidth="1"/>
    <col min="11" max="11" width="9.7109375" style="6" bestFit="1" customWidth="1"/>
    <col min="12" max="16384" width="9.28515625" style="6"/>
  </cols>
  <sheetData>
    <row r="1" spans="1:7" ht="20.45" customHeight="1" x14ac:dyDescent="0.2">
      <c r="A1" s="349" t="s">
        <v>0</v>
      </c>
      <c r="B1" s="349"/>
      <c r="C1" s="349"/>
      <c r="D1" s="349"/>
      <c r="E1" s="349"/>
      <c r="F1" s="349"/>
    </row>
    <row r="2" spans="1:7" x14ac:dyDescent="0.2">
      <c r="A2" s="353" t="s">
        <v>1</v>
      </c>
      <c r="B2" s="6" t="s">
        <v>2</v>
      </c>
      <c r="C2" s="350"/>
      <c r="D2" s="350"/>
      <c r="E2" s="350"/>
      <c r="F2" s="350"/>
    </row>
    <row r="3" spans="1:7" x14ac:dyDescent="0.2">
      <c r="A3" s="353"/>
      <c r="B3" s="6" t="s">
        <v>3</v>
      </c>
      <c r="C3" s="350"/>
      <c r="D3" s="350"/>
      <c r="E3" s="350"/>
      <c r="F3" s="350"/>
    </row>
    <row r="4" spans="1:7" x14ac:dyDescent="0.2">
      <c r="A4" s="353"/>
      <c r="B4" s="6" t="s">
        <v>4</v>
      </c>
      <c r="C4" s="350"/>
      <c r="D4" s="350"/>
      <c r="E4" s="350"/>
      <c r="F4" s="350"/>
    </row>
    <row r="5" spans="1:7" x14ac:dyDescent="0.2">
      <c r="A5" s="353"/>
      <c r="C5" s="350"/>
      <c r="D5" s="350"/>
      <c r="E5" s="350"/>
      <c r="F5" s="350"/>
    </row>
    <row r="6" spans="1:7" ht="15" x14ac:dyDescent="0.25">
      <c r="A6" s="353" t="s">
        <v>5</v>
      </c>
      <c r="B6" s="6" t="s">
        <v>6</v>
      </c>
      <c r="C6" s="351" t="s">
        <v>7</v>
      </c>
      <c r="D6" s="352"/>
      <c r="E6" s="352"/>
      <c r="F6" s="352"/>
    </row>
    <row r="7" spans="1:7" ht="15" x14ac:dyDescent="0.25">
      <c r="A7" s="353"/>
      <c r="C7" s="351"/>
      <c r="D7" s="352"/>
      <c r="E7" s="352"/>
      <c r="F7" s="352"/>
    </row>
    <row r="8" spans="1:7" ht="15" x14ac:dyDescent="0.25">
      <c r="A8" s="353"/>
      <c r="C8" s="351"/>
      <c r="D8" s="352"/>
      <c r="E8" s="352"/>
      <c r="F8" s="352"/>
    </row>
    <row r="9" spans="1:7" x14ac:dyDescent="0.2">
      <c r="A9" s="355" t="s">
        <v>8</v>
      </c>
      <c r="B9" s="341" t="s">
        <v>9</v>
      </c>
      <c r="C9" s="357"/>
      <c r="D9" s="357"/>
      <c r="E9" s="357"/>
      <c r="F9" s="357"/>
    </row>
    <row r="10" spans="1:7" x14ac:dyDescent="0.2">
      <c r="A10" s="355"/>
      <c r="B10" s="341" t="s">
        <v>10</v>
      </c>
      <c r="C10" s="357"/>
      <c r="D10" s="357"/>
      <c r="E10" s="357"/>
      <c r="F10" s="357"/>
    </row>
    <row r="11" spans="1:7" x14ac:dyDescent="0.2">
      <c r="A11" s="355"/>
      <c r="B11" s="341" t="s">
        <v>11</v>
      </c>
      <c r="C11" s="357"/>
      <c r="D11" s="357"/>
      <c r="E11" s="357"/>
      <c r="F11" s="357"/>
    </row>
    <row r="12" spans="1:7" x14ac:dyDescent="0.2">
      <c r="A12" s="355"/>
      <c r="B12" s="341" t="s">
        <v>12</v>
      </c>
      <c r="C12" s="357"/>
      <c r="D12" s="357"/>
      <c r="E12" s="357"/>
      <c r="F12" s="357"/>
    </row>
    <row r="13" spans="1:7" ht="15" x14ac:dyDescent="0.25">
      <c r="A13" s="355"/>
      <c r="B13" s="341" t="s">
        <v>13</v>
      </c>
      <c r="C13" s="151" t="s">
        <v>14</v>
      </c>
      <c r="D13" s="335"/>
      <c r="E13" s="335"/>
      <c r="F13" s="335"/>
      <c r="G13" s="6" t="s">
        <v>15</v>
      </c>
    </row>
    <row r="14" spans="1:7" x14ac:dyDescent="0.2">
      <c r="A14" s="355"/>
      <c r="C14" s="350"/>
      <c r="D14" s="350"/>
      <c r="E14" s="350"/>
      <c r="F14" s="350"/>
      <c r="G14" s="6" t="s">
        <v>15</v>
      </c>
    </row>
    <row r="15" spans="1:7" ht="15" x14ac:dyDescent="0.25">
      <c r="A15" s="355" t="s">
        <v>16</v>
      </c>
      <c r="B15" s="152" t="s">
        <v>17</v>
      </c>
      <c r="C15" s="351" t="s">
        <v>18</v>
      </c>
      <c r="D15" s="351"/>
      <c r="E15" s="351"/>
      <c r="F15" s="351"/>
      <c r="G15" s="6" t="s">
        <v>15</v>
      </c>
    </row>
    <row r="16" spans="1:7" ht="15" x14ac:dyDescent="0.25">
      <c r="A16" s="355"/>
      <c r="B16" s="341" t="s">
        <v>19</v>
      </c>
      <c r="C16" s="351" t="s">
        <v>20</v>
      </c>
      <c r="D16" s="351"/>
      <c r="E16" s="351"/>
      <c r="F16" s="351"/>
    </row>
    <row r="17" spans="1:7" ht="15" x14ac:dyDescent="0.25">
      <c r="A17" s="355"/>
      <c r="B17" s="152" t="s">
        <v>21</v>
      </c>
      <c r="C17" s="356" t="s">
        <v>22</v>
      </c>
      <c r="D17" s="350"/>
      <c r="E17" s="350"/>
      <c r="F17" s="350"/>
    </row>
    <row r="18" spans="1:7" ht="15" x14ac:dyDescent="0.25">
      <c r="A18" s="355"/>
      <c r="B18" s="341" t="s">
        <v>23</v>
      </c>
      <c r="C18" s="351" t="s">
        <v>24</v>
      </c>
      <c r="D18" s="351"/>
      <c r="E18" s="351"/>
      <c r="F18" s="351"/>
    </row>
    <row r="19" spans="1:7" ht="15" x14ac:dyDescent="0.25">
      <c r="A19" s="355"/>
      <c r="B19" s="341" t="s">
        <v>25</v>
      </c>
      <c r="C19" s="331" t="s">
        <v>26</v>
      </c>
      <c r="D19" s="331"/>
      <c r="E19" s="331"/>
      <c r="F19" s="331"/>
      <c r="G19" s="6" t="s">
        <v>15</v>
      </c>
    </row>
    <row r="20" spans="1:7" ht="18.600000000000001" customHeight="1" x14ac:dyDescent="0.2">
      <c r="A20" s="349" t="s">
        <v>27</v>
      </c>
      <c r="B20" s="349"/>
      <c r="C20" s="349"/>
      <c r="D20" s="349"/>
      <c r="E20" s="349"/>
      <c r="F20" s="349"/>
    </row>
    <row r="21" spans="1:7" x14ac:dyDescent="0.2">
      <c r="C21" s="330"/>
      <c r="D21" s="330"/>
      <c r="E21" s="330"/>
      <c r="F21" s="330"/>
    </row>
    <row r="22" spans="1:7" ht="15" x14ac:dyDescent="0.25">
      <c r="B22"/>
      <c r="C22" s="330"/>
      <c r="D22" s="330"/>
      <c r="E22" s="330"/>
      <c r="F22" s="330"/>
    </row>
    <row r="23" spans="1:7" x14ac:dyDescent="0.2">
      <c r="C23" s="330"/>
      <c r="D23" s="330"/>
      <c r="E23" s="330"/>
      <c r="F23" s="330"/>
    </row>
    <row r="24" spans="1:7" ht="15" x14ac:dyDescent="0.25">
      <c r="B24"/>
      <c r="C24" s="330"/>
      <c r="D24" s="330"/>
      <c r="E24" s="330"/>
      <c r="F24" s="330"/>
    </row>
    <row r="25" spans="1:7" x14ac:dyDescent="0.2">
      <c r="C25" s="330"/>
      <c r="D25" s="330"/>
      <c r="E25" s="330"/>
      <c r="F25" s="330"/>
    </row>
    <row r="26" spans="1:7" x14ac:dyDescent="0.2">
      <c r="C26" s="330"/>
      <c r="D26" s="330"/>
      <c r="E26" s="330"/>
      <c r="F26" s="330"/>
    </row>
    <row r="27" spans="1:7" x14ac:dyDescent="0.2">
      <c r="C27" s="330"/>
      <c r="D27" s="330"/>
      <c r="E27" s="330"/>
      <c r="F27" s="330"/>
    </row>
    <row r="28" spans="1:7" x14ac:dyDescent="0.2">
      <c r="C28" s="330"/>
      <c r="D28" s="330"/>
      <c r="E28" s="330"/>
      <c r="F28" s="330"/>
    </row>
    <row r="29" spans="1:7" x14ac:dyDescent="0.2">
      <c r="C29" s="330"/>
      <c r="D29" s="330"/>
      <c r="E29" s="330"/>
      <c r="F29" s="330"/>
    </row>
    <row r="30" spans="1:7" x14ac:dyDescent="0.2">
      <c r="C30" s="330"/>
      <c r="D30" s="330"/>
      <c r="E30" s="330"/>
      <c r="F30" s="330"/>
    </row>
    <row r="31" spans="1:7" x14ac:dyDescent="0.2">
      <c r="C31" s="330"/>
      <c r="D31" s="330"/>
      <c r="E31" s="330"/>
      <c r="F31" s="330"/>
    </row>
    <row r="32" spans="1:7" x14ac:dyDescent="0.2">
      <c r="C32" s="330"/>
      <c r="D32" s="330"/>
      <c r="E32" s="330"/>
      <c r="F32" s="330"/>
    </row>
    <row r="33" spans="1:11" ht="19.149999999999999" customHeight="1" x14ac:dyDescent="0.2">
      <c r="A33" s="349" t="s">
        <v>28</v>
      </c>
      <c r="B33" s="349"/>
      <c r="C33" s="349"/>
      <c r="D33" s="349"/>
      <c r="E33" s="349"/>
      <c r="F33" s="349"/>
    </row>
    <row r="34" spans="1:11" ht="37.9" customHeight="1" x14ac:dyDescent="0.2">
      <c r="A34" s="10" t="s">
        <v>29</v>
      </c>
      <c r="B34" s="354" t="s">
        <v>30</v>
      </c>
      <c r="C34" s="354"/>
      <c r="D34" s="354"/>
      <c r="E34" s="354"/>
      <c r="F34" s="354"/>
      <c r="H34" s="10"/>
      <c r="I34" s="346"/>
      <c r="J34" s="346"/>
      <c r="K34" s="346"/>
    </row>
    <row r="35" spans="1:11" ht="18" customHeight="1" x14ac:dyDescent="0.2">
      <c r="A35" s="10"/>
      <c r="B35" s="354"/>
      <c r="C35" s="354"/>
      <c r="D35" s="354"/>
      <c r="E35" s="354"/>
      <c r="F35" s="354"/>
      <c r="H35" s="10"/>
      <c r="I35" s="30"/>
      <c r="J35" s="30"/>
      <c r="K35" s="30"/>
    </row>
    <row r="36" spans="1:11" ht="13.9" customHeight="1" x14ac:dyDescent="0.2">
      <c r="A36" s="10"/>
      <c r="B36" s="354"/>
      <c r="C36" s="354"/>
      <c r="D36" s="354"/>
      <c r="E36" s="354"/>
      <c r="F36" s="354"/>
    </row>
    <row r="37" spans="1:11" ht="15" x14ac:dyDescent="0.25">
      <c r="A37" s="9"/>
      <c r="B37" s="10"/>
      <c r="C37" s="10"/>
      <c r="D37" s="10"/>
      <c r="E37" s="10"/>
      <c r="F37" s="10"/>
      <c r="H37"/>
    </row>
    <row r="49" spans="7:7" ht="15" x14ac:dyDescent="0.25">
      <c r="G49"/>
    </row>
  </sheetData>
  <mergeCells count="26">
    <mergeCell ref="B35:F35"/>
    <mergeCell ref="B36:F36"/>
    <mergeCell ref="A9:A14"/>
    <mergeCell ref="A15:A19"/>
    <mergeCell ref="C14:F14"/>
    <mergeCell ref="C17:F17"/>
    <mergeCell ref="C9:F9"/>
    <mergeCell ref="B34:F34"/>
    <mergeCell ref="A33:F33"/>
    <mergeCell ref="A20:F20"/>
    <mergeCell ref="C10:F10"/>
    <mergeCell ref="C18:F18"/>
    <mergeCell ref="C16:F16"/>
    <mergeCell ref="C11:F11"/>
    <mergeCell ref="C12:F12"/>
    <mergeCell ref="C15:F15"/>
    <mergeCell ref="A1:F1"/>
    <mergeCell ref="C2:F2"/>
    <mergeCell ref="C3:F3"/>
    <mergeCell ref="C5:F5"/>
    <mergeCell ref="C6:F6"/>
    <mergeCell ref="A2:A5"/>
    <mergeCell ref="A6:A8"/>
    <mergeCell ref="C7:F7"/>
    <mergeCell ref="C8:F8"/>
    <mergeCell ref="C4:F4"/>
  </mergeCells>
  <phoneticPr fontId="5" type="noConversion"/>
  <hyperlinks>
    <hyperlink ref="C6" r:id="rId1" xr:uid="{BE11EEF8-3AF7-48F0-A38B-7309CE5A9491}"/>
    <hyperlink ref="C13" r:id="rId2" xr:uid="{503F163B-AFBD-427F-ADC4-A1AE50657669}"/>
    <hyperlink ref="C15" r:id="rId3" xr:uid="{E864610B-B6CB-4D7D-8E7A-ADEB74F9D08F}"/>
    <hyperlink ref="C16" r:id="rId4" xr:uid="{C7B98ED6-F285-456B-8617-9DFBA59B4488}"/>
    <hyperlink ref="C18" r:id="rId5" display="\\carcgl.com\amer\nor\Prj_SUS\2023\S23668 SCE CA Prototypes Development\Technical\NR\0_Input data\Lighting\PNNL-20405.pdf" xr:uid="{3EF0991A-66B7-47EA-BC76-6D88C135361A}"/>
    <hyperlink ref="C19" r:id="rId6"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7" r:id="rId7" xr:uid="{AC8A87CD-B523-4A49-AE6F-94E4A4371B42}"/>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5"/>
  <sheetViews>
    <sheetView tabSelected="1" zoomScale="85" zoomScaleNormal="85" workbookViewId="0">
      <selection sqref="A1:C1"/>
    </sheetView>
  </sheetViews>
  <sheetFormatPr defaultColWidth="9.28515625" defaultRowHeight="14.25" x14ac:dyDescent="0.2"/>
  <cols>
    <col min="1" max="1" width="25" style="4" customWidth="1"/>
    <col min="2" max="2" width="51.28515625" style="4" customWidth="1"/>
    <col min="3" max="3" width="49.7109375" style="4" customWidth="1"/>
    <col min="4" max="9" width="8.7109375" style="4" customWidth="1"/>
    <col min="10" max="16384" width="9.28515625" style="4"/>
  </cols>
  <sheetData>
    <row r="1" spans="1:9" ht="18" x14ac:dyDescent="0.2">
      <c r="A1" s="358" t="s">
        <v>31</v>
      </c>
      <c r="B1" s="358"/>
      <c r="C1" s="358"/>
      <c r="D1" s="13"/>
      <c r="E1" s="13"/>
      <c r="F1" s="13"/>
    </row>
    <row r="2" spans="1:9" ht="25.15" customHeight="1" x14ac:dyDescent="0.2">
      <c r="A2" s="359" t="s">
        <v>32</v>
      </c>
      <c r="B2" s="359"/>
      <c r="C2" s="359"/>
      <c r="D2" s="13"/>
      <c r="E2" s="13"/>
      <c r="F2" s="13"/>
    </row>
    <row r="3" spans="1:9" ht="20.45" customHeight="1" x14ac:dyDescent="0.2">
      <c r="A3" s="167" t="s">
        <v>33</v>
      </c>
      <c r="B3" s="342" t="s">
        <v>34</v>
      </c>
      <c r="C3" s="342" t="s">
        <v>0</v>
      </c>
    </row>
    <row r="4" spans="1:9" ht="16.149999999999999" customHeight="1" x14ac:dyDescent="0.2">
      <c r="A4" s="16" t="s">
        <v>35</v>
      </c>
      <c r="B4" s="339" t="s">
        <v>36</v>
      </c>
      <c r="C4" s="16"/>
    </row>
    <row r="5" spans="1:9" ht="16.149999999999999" customHeight="1" x14ac:dyDescent="0.2">
      <c r="A5" s="16" t="s">
        <v>37</v>
      </c>
      <c r="B5" s="339" t="s">
        <v>38</v>
      </c>
      <c r="C5" s="16"/>
    </row>
    <row r="6" spans="1:9" ht="28.9" customHeight="1" x14ac:dyDescent="0.2">
      <c r="A6" s="16" t="s">
        <v>39</v>
      </c>
      <c r="B6" s="337" t="s">
        <v>40</v>
      </c>
      <c r="C6" s="17" t="s">
        <v>41</v>
      </c>
      <c r="D6" s="62" t="s">
        <v>42</v>
      </c>
    </row>
    <row r="7" spans="1:9" ht="97.15" customHeight="1" x14ac:dyDescent="0.25">
      <c r="A7" s="16" t="s">
        <v>43</v>
      </c>
      <c r="B7"/>
      <c r="C7" s="17" t="s">
        <v>44</v>
      </c>
      <c r="D7"/>
      <c r="I7" s="5"/>
    </row>
    <row r="8" spans="1:9" ht="19.149999999999999" customHeight="1" x14ac:dyDescent="0.2">
      <c r="A8" s="153" t="s">
        <v>45</v>
      </c>
      <c r="B8" s="14">
        <v>49979.360000000001</v>
      </c>
      <c r="C8" s="16" t="s">
        <v>46</v>
      </c>
    </row>
    <row r="9" spans="1:9" ht="19.149999999999999" customHeight="1" x14ac:dyDescent="0.2">
      <c r="A9" s="153" t="s">
        <v>47</v>
      </c>
      <c r="B9" s="61" t="s">
        <v>48</v>
      </c>
      <c r="C9" s="16" t="s">
        <v>46</v>
      </c>
    </row>
    <row r="10" spans="1:9" ht="19.149999999999999" customHeight="1" x14ac:dyDescent="0.2">
      <c r="A10" s="168" t="s">
        <v>49</v>
      </c>
      <c r="B10" s="61" t="s">
        <v>48</v>
      </c>
      <c r="C10" s="16" t="s">
        <v>46</v>
      </c>
    </row>
    <row r="11" spans="1:9" ht="19.149999999999999" customHeight="1" x14ac:dyDescent="0.2">
      <c r="A11" s="168" t="s">
        <v>50</v>
      </c>
      <c r="B11" s="339" t="s">
        <v>51</v>
      </c>
      <c r="C11" s="16" t="s">
        <v>46</v>
      </c>
    </row>
    <row r="12" spans="1:9" ht="19.149999999999999" customHeight="1" x14ac:dyDescent="0.2">
      <c r="A12" s="168" t="s">
        <v>52</v>
      </c>
      <c r="B12" s="212">
        <v>7.0800000000000002E-2</v>
      </c>
      <c r="C12" s="16" t="s">
        <v>46</v>
      </c>
    </row>
    <row r="13" spans="1:9" ht="19.149999999999999" customHeight="1" x14ac:dyDescent="0.2">
      <c r="A13" s="153" t="s">
        <v>53</v>
      </c>
      <c r="B13" s="15" t="s">
        <v>54</v>
      </c>
      <c r="C13" s="16" t="s">
        <v>46</v>
      </c>
    </row>
    <row r="14" spans="1:9" ht="39" customHeight="1" x14ac:dyDescent="0.2">
      <c r="A14" s="153" t="s">
        <v>55</v>
      </c>
      <c r="B14" s="61" t="s">
        <v>56</v>
      </c>
      <c r="C14" s="16" t="s">
        <v>46</v>
      </c>
    </row>
    <row r="15" spans="1:9" ht="38.25" customHeight="1" x14ac:dyDescent="0.2">
      <c r="A15" s="153" t="s">
        <v>57</v>
      </c>
      <c r="B15" s="337" t="s">
        <v>56</v>
      </c>
      <c r="C15" s="16" t="s">
        <v>46</v>
      </c>
    </row>
    <row r="16" spans="1:9" ht="30.6" customHeight="1" x14ac:dyDescent="0.2">
      <c r="A16" s="153" t="s">
        <v>58</v>
      </c>
      <c r="B16" s="61" t="s">
        <v>48</v>
      </c>
      <c r="C16" s="16" t="s">
        <v>46</v>
      </c>
    </row>
    <row r="17" spans="1:3" x14ac:dyDescent="0.2">
      <c r="A17" s="94"/>
      <c r="B17" s="9"/>
      <c r="C17" s="8"/>
    </row>
    <row r="18" spans="1:3" x14ac:dyDescent="0.2">
      <c r="A18" s="94"/>
      <c r="B18" s="9"/>
      <c r="C18" s="8"/>
    </row>
    <row r="20" spans="1:3" ht="18.75" x14ac:dyDescent="0.2">
      <c r="A20" s="169" t="s">
        <v>59</v>
      </c>
      <c r="B20" s="174">
        <v>42450.09</v>
      </c>
      <c r="C20" s="175"/>
    </row>
    <row r="21" spans="1:3" ht="18.75" x14ac:dyDescent="0.2">
      <c r="A21" s="169" t="s">
        <v>60</v>
      </c>
      <c r="B21" s="174">
        <v>42450.09</v>
      </c>
      <c r="C21" s="175"/>
    </row>
    <row r="22" spans="1:3" ht="22.15" customHeight="1" x14ac:dyDescent="0.2">
      <c r="A22" s="169" t="s">
        <v>61</v>
      </c>
      <c r="B22" s="174">
        <v>37687.78</v>
      </c>
      <c r="C22" s="8"/>
    </row>
    <row r="23" spans="1:3" ht="25.5" x14ac:dyDescent="0.2">
      <c r="A23" s="169" t="s">
        <v>62</v>
      </c>
      <c r="B23" s="174">
        <v>0</v>
      </c>
      <c r="C23" s="8"/>
    </row>
    <row r="24" spans="1:3" x14ac:dyDescent="0.2">
      <c r="A24" s="94"/>
      <c r="B24" s="9"/>
      <c r="C24" s="8"/>
    </row>
    <row r="25" spans="1:3" x14ac:dyDescent="0.2">
      <c r="A25" s="94"/>
      <c r="B25" s="9"/>
      <c r="C25" s="8"/>
    </row>
    <row r="26" spans="1:3" x14ac:dyDescent="0.2">
      <c r="A26" s="94"/>
      <c r="B26" s="9"/>
      <c r="C26" s="8"/>
    </row>
    <row r="27" spans="1:3" customFormat="1" ht="15" x14ac:dyDescent="0.25"/>
    <row r="28" spans="1:3" customFormat="1" ht="15" x14ac:dyDescent="0.25"/>
    <row r="29" spans="1:3" customFormat="1" ht="15" x14ac:dyDescent="0.25"/>
    <row r="30" spans="1:3" customFormat="1" ht="14.65" customHeight="1" x14ac:dyDescent="0.25"/>
    <row r="31" spans="1:3" customFormat="1" ht="184.9" customHeight="1" x14ac:dyDescent="0.25"/>
    <row r="32" spans="1:3" customFormat="1" ht="15" x14ac:dyDescent="0.25"/>
    <row r="33" customFormat="1" ht="15" x14ac:dyDescent="0.25"/>
    <row r="34" ht="14.65" customHeight="1" x14ac:dyDescent="0.2"/>
    <row r="35" ht="14.65" customHeight="1" x14ac:dyDescent="0.2"/>
  </sheetData>
  <mergeCells count="2">
    <mergeCell ref="A1:C1"/>
    <mergeCell ref="A2:C2"/>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B112"/>
  <sheetViews>
    <sheetView zoomScaleNormal="100" workbookViewId="0">
      <pane xSplit="1" topLeftCell="B1" activePane="topRight" state="frozen"/>
      <selection pane="topRight" sqref="A1:K1"/>
    </sheetView>
  </sheetViews>
  <sheetFormatPr defaultColWidth="8.7109375" defaultRowHeight="12.75" x14ac:dyDescent="0.2"/>
  <cols>
    <col min="1" max="1" width="50.28515625" style="6" customWidth="1"/>
    <col min="2" max="2" width="53.7109375" style="6" customWidth="1"/>
    <col min="3" max="3" width="18.42578125" style="6" customWidth="1"/>
    <col min="4" max="4" width="20" style="6" customWidth="1"/>
    <col min="5" max="5" width="19" style="6" customWidth="1"/>
    <col min="6" max="6" width="14.7109375" style="6" customWidth="1"/>
    <col min="7" max="7" width="12.7109375" style="6" customWidth="1"/>
    <col min="8" max="8" width="12" style="6" bestFit="1" customWidth="1"/>
    <col min="9" max="10" width="11.28515625" style="6" customWidth="1"/>
    <col min="11" max="11" width="32.5703125" style="6" customWidth="1"/>
    <col min="12" max="14" width="24.42578125" style="6" customWidth="1"/>
    <col min="15" max="15" width="7.28515625" style="6" customWidth="1"/>
    <col min="16" max="16" width="12.85546875" style="6" customWidth="1"/>
    <col min="17" max="17" width="25.28515625" style="6" customWidth="1"/>
    <col min="18" max="18" width="22.28515625" style="6" bestFit="1" customWidth="1"/>
    <col min="19" max="19" width="25.7109375" style="6" customWidth="1"/>
    <col min="20" max="16384" width="8.7109375" style="6"/>
  </cols>
  <sheetData>
    <row r="1" spans="1:18" ht="25.9" customHeight="1" x14ac:dyDescent="0.2">
      <c r="A1" s="360" t="str">
        <f>"Proposed Layout - "&amp;Prototype!B4</f>
        <v>Proposed Layout - K-8 School</v>
      </c>
      <c r="B1" s="361"/>
      <c r="C1" s="361"/>
      <c r="D1" s="361"/>
      <c r="E1" s="361"/>
      <c r="F1" s="361"/>
      <c r="G1" s="361"/>
      <c r="H1" s="361"/>
      <c r="I1" s="361"/>
      <c r="J1" s="361"/>
      <c r="K1" s="362"/>
    </row>
    <row r="2" spans="1:18" ht="53.45" customHeight="1" x14ac:dyDescent="0.2">
      <c r="A2" s="86" t="s">
        <v>63</v>
      </c>
      <c r="B2" s="86" t="s">
        <v>64</v>
      </c>
      <c r="C2" s="348" t="s">
        <v>65</v>
      </c>
      <c r="D2" s="86" t="s">
        <v>66</v>
      </c>
      <c r="E2" s="28" t="s">
        <v>67</v>
      </c>
      <c r="F2" s="29" t="s">
        <v>68</v>
      </c>
      <c r="G2" s="29" t="s">
        <v>69</v>
      </c>
      <c r="H2" s="28" t="s">
        <v>70</v>
      </c>
      <c r="I2" s="28" t="s">
        <v>71</v>
      </c>
      <c r="J2" s="123" t="s">
        <v>72</v>
      </c>
      <c r="K2" s="28" t="s">
        <v>73</v>
      </c>
      <c r="L2" s="48"/>
      <c r="N2" s="202"/>
      <c r="O2" s="202"/>
      <c r="P2" s="202"/>
      <c r="Q2" s="202"/>
    </row>
    <row r="3" spans="1:18" s="8" customFormat="1" ht="17.649999999999999" customHeight="1" x14ac:dyDescent="0.25">
      <c r="A3" s="228" t="s">
        <v>74</v>
      </c>
      <c r="B3" s="228" t="s">
        <v>75</v>
      </c>
      <c r="C3" s="125" t="s">
        <v>76</v>
      </c>
      <c r="D3" s="230" t="s">
        <v>77</v>
      </c>
      <c r="E3" s="125" t="s">
        <v>78</v>
      </c>
      <c r="F3" s="201">
        <f>G3/$G$41</f>
        <v>1.1508748509635075E-2</v>
      </c>
      <c r="G3" s="206">
        <v>575.20000000000005</v>
      </c>
      <c r="H3" s="18">
        <v>353.2</v>
      </c>
      <c r="I3" s="18">
        <v>1</v>
      </c>
      <c r="J3" s="200">
        <f>K3*G3/1000</f>
        <v>37.963200000000008</v>
      </c>
      <c r="K3" s="124">
        <v>66</v>
      </c>
      <c r="L3" s="56"/>
      <c r="M3" s="202"/>
      <c r="N3" s="202"/>
      <c r="O3" s="202"/>
      <c r="P3" s="202"/>
      <c r="Q3" s="202"/>
      <c r="R3" s="202"/>
    </row>
    <row r="4" spans="1:18" s="8" customFormat="1" ht="17.45" customHeight="1" x14ac:dyDescent="0.25">
      <c r="A4" s="228" t="s">
        <v>79</v>
      </c>
      <c r="B4" s="228" t="s">
        <v>80</v>
      </c>
      <c r="C4" s="125" t="s">
        <v>81</v>
      </c>
      <c r="D4" s="230" t="s">
        <v>77</v>
      </c>
      <c r="E4" s="125" t="s">
        <v>78</v>
      </c>
      <c r="F4" s="201">
        <f t="shared" ref="F4:F40" si="0">G4/$G$41</f>
        <v>3.3508625658946876E-2</v>
      </c>
      <c r="G4" s="206">
        <v>1674.74</v>
      </c>
      <c r="H4" s="18">
        <v>353.2</v>
      </c>
      <c r="I4" s="18">
        <v>1</v>
      </c>
      <c r="J4" s="200">
        <f>K4*G4/1000</f>
        <v>110.53283999999999</v>
      </c>
      <c r="K4" s="124">
        <v>66</v>
      </c>
      <c r="L4" s="56"/>
      <c r="M4" s="202"/>
      <c r="N4" s="202"/>
      <c r="O4" s="202"/>
      <c r="P4" s="202"/>
      <c r="Q4" s="202"/>
      <c r="R4" s="202"/>
    </row>
    <row r="5" spans="1:18" s="8" customFormat="1" ht="16.149999999999999" customHeight="1" x14ac:dyDescent="0.25">
      <c r="A5" s="228" t="s">
        <v>82</v>
      </c>
      <c r="B5" s="228" t="s">
        <v>83</v>
      </c>
      <c r="C5" s="125" t="s">
        <v>84</v>
      </c>
      <c r="D5" s="230" t="s">
        <v>77</v>
      </c>
      <c r="E5" s="125" t="s">
        <v>78</v>
      </c>
      <c r="F5" s="201">
        <f t="shared" si="0"/>
        <v>2.3239988819386874E-2</v>
      </c>
      <c r="G5" s="206">
        <v>1161.52</v>
      </c>
      <c r="H5" s="18">
        <v>353.2</v>
      </c>
      <c r="I5" s="18">
        <v>1</v>
      </c>
      <c r="J5" s="200">
        <f t="shared" ref="J5:J32" si="1">K5*G5/1000</f>
        <v>11.615200000000002</v>
      </c>
      <c r="K5" s="124">
        <v>10</v>
      </c>
      <c r="L5" s="56"/>
      <c r="M5" s="202"/>
      <c r="N5" s="202"/>
      <c r="O5" s="202"/>
      <c r="P5" s="202"/>
      <c r="Q5" s="202"/>
      <c r="R5" s="202"/>
    </row>
    <row r="6" spans="1:18" s="8" customFormat="1" ht="17.649999999999999" customHeight="1" x14ac:dyDescent="0.25">
      <c r="A6" s="228" t="s">
        <v>85</v>
      </c>
      <c r="B6" s="228" t="s">
        <v>86</v>
      </c>
      <c r="C6" s="125" t="s">
        <v>87</v>
      </c>
      <c r="D6" s="230" t="s">
        <v>77</v>
      </c>
      <c r="E6" s="125" t="s">
        <v>78</v>
      </c>
      <c r="F6" s="201">
        <f t="shared" si="0"/>
        <v>5.5664967365535003E-3</v>
      </c>
      <c r="G6" s="206">
        <v>278.20999999999998</v>
      </c>
      <c r="H6" s="18">
        <v>353.2</v>
      </c>
      <c r="I6" s="18">
        <v>1</v>
      </c>
      <c r="J6" s="200">
        <f t="shared" si="1"/>
        <v>2.7820999999999998</v>
      </c>
      <c r="K6" s="124">
        <v>10</v>
      </c>
      <c r="L6" s="56"/>
      <c r="M6" s="202"/>
      <c r="N6" s="202"/>
      <c r="O6" s="202"/>
      <c r="P6" s="202"/>
      <c r="Q6" s="202"/>
      <c r="R6" s="202"/>
    </row>
    <row r="7" spans="1:18" s="8" customFormat="1" ht="17.649999999999999" customHeight="1" x14ac:dyDescent="0.25">
      <c r="A7" s="228" t="s">
        <v>85</v>
      </c>
      <c r="B7" s="228" t="s">
        <v>88</v>
      </c>
      <c r="C7" s="125" t="s">
        <v>89</v>
      </c>
      <c r="D7" s="230" t="s">
        <v>77</v>
      </c>
      <c r="E7" s="125" t="s">
        <v>78</v>
      </c>
      <c r="F7" s="201">
        <f t="shared" si="0"/>
        <v>6.8074087368448213E-3</v>
      </c>
      <c r="G7" s="206">
        <v>340.23</v>
      </c>
      <c r="H7" s="18">
        <v>353.2</v>
      </c>
      <c r="I7" s="18">
        <v>1</v>
      </c>
      <c r="J7" s="200">
        <f t="shared" si="1"/>
        <v>3.4023000000000003</v>
      </c>
      <c r="K7" s="124">
        <v>10</v>
      </c>
      <c r="L7" s="56"/>
      <c r="M7" s="202"/>
      <c r="N7" s="202"/>
      <c r="O7" s="202"/>
      <c r="P7" s="202"/>
      <c r="Q7" s="202"/>
      <c r="R7" s="202"/>
    </row>
    <row r="8" spans="1:18" s="8" customFormat="1" ht="17.649999999999999" customHeight="1" x14ac:dyDescent="0.25">
      <c r="A8" s="228" t="s">
        <v>90</v>
      </c>
      <c r="B8" s="228" t="s">
        <v>91</v>
      </c>
      <c r="C8" s="125" t="s">
        <v>92</v>
      </c>
      <c r="D8" s="230" t="s">
        <v>93</v>
      </c>
      <c r="E8" s="125" t="s">
        <v>78</v>
      </c>
      <c r="F8" s="201">
        <f t="shared" si="0"/>
        <v>2.9157030190656658E-2</v>
      </c>
      <c r="G8" s="206">
        <v>1457.25</v>
      </c>
      <c r="H8" s="18">
        <v>353.2</v>
      </c>
      <c r="I8" s="18">
        <v>1</v>
      </c>
      <c r="J8" s="200">
        <f t="shared" si="1"/>
        <v>8.7434999999999992</v>
      </c>
      <c r="K8" s="124">
        <v>6</v>
      </c>
      <c r="L8" s="56"/>
      <c r="M8" s="202"/>
      <c r="N8" s="202"/>
      <c r="O8" s="202"/>
      <c r="P8" s="202"/>
      <c r="Q8" s="202"/>
      <c r="R8" s="202"/>
    </row>
    <row r="9" spans="1:18" s="8" customFormat="1" ht="17.649999999999999" customHeight="1" x14ac:dyDescent="0.25">
      <c r="A9" s="228" t="s">
        <v>94</v>
      </c>
      <c r="B9" s="228" t="s">
        <v>95</v>
      </c>
      <c r="C9" s="125" t="s">
        <v>96</v>
      </c>
      <c r="D9" s="230" t="s">
        <v>77</v>
      </c>
      <c r="E9" s="125" t="s">
        <v>78</v>
      </c>
      <c r="F9" s="201">
        <f t="shared" si="0"/>
        <v>2.4839648839111012E-2</v>
      </c>
      <c r="G9" s="206">
        <v>1241.47</v>
      </c>
      <c r="H9" s="18">
        <v>353.2</v>
      </c>
      <c r="I9" s="18">
        <v>1</v>
      </c>
      <c r="J9" s="200">
        <f t="shared" si="1"/>
        <v>81.937020000000004</v>
      </c>
      <c r="K9" s="124">
        <v>66</v>
      </c>
      <c r="L9" s="56"/>
      <c r="M9" s="202"/>
      <c r="N9" s="202"/>
      <c r="O9" s="202"/>
      <c r="P9" s="202"/>
      <c r="Q9" s="202"/>
      <c r="R9" s="202"/>
    </row>
    <row r="10" spans="1:18" s="8" customFormat="1" ht="17.649999999999999" customHeight="1" x14ac:dyDescent="0.25">
      <c r="A10" s="228" t="s">
        <v>79</v>
      </c>
      <c r="B10" s="228" t="s">
        <v>97</v>
      </c>
      <c r="C10" s="125" t="s">
        <v>98</v>
      </c>
      <c r="D10" s="230" t="s">
        <v>77</v>
      </c>
      <c r="E10" s="125" t="s">
        <v>78</v>
      </c>
      <c r="F10" s="201">
        <f t="shared" si="0"/>
        <v>0.11028930536739456</v>
      </c>
      <c r="G10" s="206">
        <v>5512.19</v>
      </c>
      <c r="H10" s="18">
        <v>137811.47</v>
      </c>
      <c r="I10" s="18">
        <v>1</v>
      </c>
      <c r="J10" s="200">
        <f t="shared" si="1"/>
        <v>363.80453999999997</v>
      </c>
      <c r="K10" s="124">
        <v>66</v>
      </c>
      <c r="L10" s="56"/>
      <c r="M10" s="202"/>
      <c r="N10" s="202"/>
      <c r="O10" s="202"/>
      <c r="P10" s="202"/>
      <c r="Q10" s="202"/>
      <c r="R10" s="202"/>
    </row>
    <row r="11" spans="1:18" s="8" customFormat="1" ht="17.649999999999999" customHeight="1" x14ac:dyDescent="0.25">
      <c r="A11" s="228" t="s">
        <v>99</v>
      </c>
      <c r="B11" s="228" t="s">
        <v>100</v>
      </c>
      <c r="C11" s="125" t="s">
        <v>101</v>
      </c>
      <c r="D11" s="230" t="s">
        <v>77</v>
      </c>
      <c r="E11" s="125" t="s">
        <v>78</v>
      </c>
      <c r="F11" s="201">
        <f t="shared" si="0"/>
        <v>2.0975654555069417E-2</v>
      </c>
      <c r="G11" s="206">
        <v>1048.3499999999999</v>
      </c>
      <c r="H11" s="18">
        <v>353.2</v>
      </c>
      <c r="I11" s="18">
        <v>1</v>
      </c>
      <c r="J11" s="200">
        <f t="shared" si="1"/>
        <v>10.483499999999999</v>
      </c>
      <c r="K11" s="124">
        <v>10</v>
      </c>
      <c r="L11" s="56"/>
      <c r="M11" s="202"/>
      <c r="N11" s="202"/>
      <c r="O11" s="202"/>
      <c r="P11" s="202"/>
      <c r="Q11" s="202"/>
      <c r="R11" s="202"/>
    </row>
    <row r="12" spans="1:18" s="8" customFormat="1" ht="17.649999999999999" customHeight="1" x14ac:dyDescent="0.25">
      <c r="A12" s="228" t="s">
        <v>102</v>
      </c>
      <c r="B12" s="228" t="s">
        <v>103</v>
      </c>
      <c r="C12" s="125" t="s">
        <v>104</v>
      </c>
      <c r="D12" s="230" t="s">
        <v>77</v>
      </c>
      <c r="E12" s="125" t="s">
        <v>78</v>
      </c>
      <c r="F12" s="201">
        <f t="shared" si="0"/>
        <v>1.8030839524387759E-2</v>
      </c>
      <c r="G12" s="206">
        <v>901.17</v>
      </c>
      <c r="H12" s="18">
        <v>12617.05</v>
      </c>
      <c r="I12" s="18">
        <v>1</v>
      </c>
      <c r="J12" s="200">
        <f t="shared" si="1"/>
        <v>9.0116999999999994</v>
      </c>
      <c r="K12" s="124">
        <v>10</v>
      </c>
      <c r="L12" s="56"/>
      <c r="M12" s="202"/>
      <c r="N12" s="202"/>
      <c r="O12" s="202"/>
      <c r="P12" s="202"/>
      <c r="Q12" s="202"/>
      <c r="R12" s="202"/>
    </row>
    <row r="13" spans="1:18" s="8" customFormat="1" ht="17.649999999999999" customHeight="1" x14ac:dyDescent="0.25">
      <c r="A13" s="228" t="s">
        <v>105</v>
      </c>
      <c r="B13" s="228" t="s">
        <v>106</v>
      </c>
      <c r="C13" s="125" t="s">
        <v>107</v>
      </c>
      <c r="D13" s="230" t="s">
        <v>77</v>
      </c>
      <c r="E13" s="125" t="s">
        <v>78</v>
      </c>
      <c r="F13" s="201">
        <f t="shared" si="0"/>
        <v>2.4964900517953702E-2</v>
      </c>
      <c r="G13" s="206">
        <v>1247.73</v>
      </c>
      <c r="H13" s="18">
        <v>353.2</v>
      </c>
      <c r="I13" s="18">
        <v>1</v>
      </c>
      <c r="J13" s="200">
        <f t="shared" si="1"/>
        <v>12.4773</v>
      </c>
      <c r="K13" s="124">
        <v>10</v>
      </c>
      <c r="L13" s="56"/>
      <c r="M13" s="202"/>
      <c r="N13" s="202"/>
      <c r="O13" s="202"/>
      <c r="P13" s="202"/>
      <c r="Q13" s="202"/>
      <c r="R13" s="202"/>
    </row>
    <row r="14" spans="1:18" s="8" customFormat="1" ht="17.649999999999999" customHeight="1" x14ac:dyDescent="0.25">
      <c r="A14" s="228" t="s">
        <v>108</v>
      </c>
      <c r="B14" s="228" t="s">
        <v>109</v>
      </c>
      <c r="C14" s="125" t="s">
        <v>110</v>
      </c>
      <c r="D14" s="230" t="s">
        <v>77</v>
      </c>
      <c r="E14" s="125" t="s">
        <v>78</v>
      </c>
      <c r="F14" s="201">
        <f t="shared" si="0"/>
        <v>5.0364780508437767E-3</v>
      </c>
      <c r="G14" s="206">
        <v>251.72</v>
      </c>
      <c r="H14" s="18">
        <v>353.2</v>
      </c>
      <c r="I14" s="18">
        <v>1</v>
      </c>
      <c r="J14" s="200">
        <f t="shared" si="1"/>
        <v>0</v>
      </c>
      <c r="K14" s="18">
        <v>0</v>
      </c>
      <c r="L14" s="56"/>
      <c r="M14" s="202"/>
      <c r="N14" s="202"/>
      <c r="O14" s="202"/>
      <c r="P14" s="202"/>
      <c r="Q14" s="202"/>
      <c r="R14" s="202"/>
    </row>
    <row r="15" spans="1:18" s="8" customFormat="1" ht="17.649999999999999" customHeight="1" x14ac:dyDescent="0.25">
      <c r="A15" s="228" t="s">
        <v>111</v>
      </c>
      <c r="B15" s="228" t="s">
        <v>112</v>
      </c>
      <c r="C15" s="125" t="s">
        <v>113</v>
      </c>
      <c r="D15" s="230" t="s">
        <v>77</v>
      </c>
      <c r="E15" s="125" t="s">
        <v>78</v>
      </c>
      <c r="F15" s="201">
        <f t="shared" si="0"/>
        <v>2.1319996630609784E-2</v>
      </c>
      <c r="G15" s="206">
        <v>1065.56</v>
      </c>
      <c r="H15" s="18">
        <v>353.2</v>
      </c>
      <c r="I15" s="18">
        <v>1</v>
      </c>
      <c r="J15" s="200">
        <f t="shared" si="1"/>
        <v>70.326959999999985</v>
      </c>
      <c r="K15" s="124">
        <v>66</v>
      </c>
      <c r="L15" s="56"/>
      <c r="M15" s="202"/>
      <c r="N15" s="202"/>
      <c r="O15" s="202"/>
      <c r="P15" s="202"/>
      <c r="Q15" s="202"/>
      <c r="R15" s="202"/>
    </row>
    <row r="16" spans="1:18" s="8" customFormat="1" ht="17.649999999999999" customHeight="1" x14ac:dyDescent="0.25">
      <c r="A16" s="228" t="s">
        <v>114</v>
      </c>
      <c r="B16" s="228" t="s">
        <v>115</v>
      </c>
      <c r="C16" s="125" t="s">
        <v>116</v>
      </c>
      <c r="D16" s="230" t="s">
        <v>117</v>
      </c>
      <c r="E16" s="125" t="s">
        <v>78</v>
      </c>
      <c r="F16" s="201">
        <f t="shared" si="0"/>
        <v>2.0043269853141404E-2</v>
      </c>
      <c r="G16" s="206">
        <v>1001.75</v>
      </c>
      <c r="H16" s="18">
        <v>353.2</v>
      </c>
      <c r="I16" s="18">
        <v>1</v>
      </c>
      <c r="J16" s="200">
        <f t="shared" si="1"/>
        <v>50.087499999999999</v>
      </c>
      <c r="K16" s="124">
        <v>50</v>
      </c>
      <c r="L16" s="56"/>
      <c r="M16" s="202"/>
      <c r="N16" s="202"/>
      <c r="O16" s="202"/>
      <c r="P16" s="202"/>
      <c r="Q16" s="202"/>
      <c r="R16" s="202"/>
    </row>
    <row r="17" spans="1:18" s="8" customFormat="1" ht="17.649999999999999" customHeight="1" x14ac:dyDescent="0.25">
      <c r="A17" s="228" t="s">
        <v>114</v>
      </c>
      <c r="B17" s="228" t="s">
        <v>118</v>
      </c>
      <c r="C17" s="125" t="s">
        <v>119</v>
      </c>
      <c r="D17" s="230" t="s">
        <v>117</v>
      </c>
      <c r="E17" s="125" t="s">
        <v>78</v>
      </c>
      <c r="F17" s="201">
        <f t="shared" si="0"/>
        <v>0.12113057847667945</v>
      </c>
      <c r="G17" s="206">
        <v>6054.03</v>
      </c>
      <c r="H17" s="18">
        <v>353.2</v>
      </c>
      <c r="I17" s="18">
        <v>1</v>
      </c>
      <c r="J17" s="200">
        <f t="shared" si="1"/>
        <v>302.70150000000001</v>
      </c>
      <c r="K17" s="124">
        <v>50</v>
      </c>
      <c r="L17" s="56"/>
      <c r="M17" s="202"/>
      <c r="N17" s="202"/>
      <c r="O17" s="202"/>
      <c r="P17" s="202"/>
      <c r="Q17" s="202"/>
      <c r="R17" s="202"/>
    </row>
    <row r="18" spans="1:18" s="8" customFormat="1" ht="17.649999999999999" customHeight="1" x14ac:dyDescent="0.25">
      <c r="A18" s="228" t="s">
        <v>99</v>
      </c>
      <c r="B18" s="228" t="s">
        <v>120</v>
      </c>
      <c r="C18" s="125" t="s">
        <v>121</v>
      </c>
      <c r="D18" s="230" t="s">
        <v>117</v>
      </c>
      <c r="E18" s="125" t="s">
        <v>78</v>
      </c>
      <c r="F18" s="201">
        <f t="shared" si="0"/>
        <v>5.7649786301828118E-3</v>
      </c>
      <c r="G18" s="206">
        <v>288.13</v>
      </c>
      <c r="H18" s="18">
        <v>353.2</v>
      </c>
      <c r="I18" s="18">
        <v>1</v>
      </c>
      <c r="J18" s="200">
        <f t="shared" si="1"/>
        <v>2.8813</v>
      </c>
      <c r="K18" s="124">
        <v>10</v>
      </c>
      <c r="L18" s="56"/>
      <c r="M18" s="202"/>
      <c r="N18" s="202"/>
      <c r="O18" s="202"/>
      <c r="P18" s="202"/>
      <c r="Q18" s="202"/>
      <c r="R18" s="202"/>
    </row>
    <row r="19" spans="1:18" s="8" customFormat="1" ht="17.649999999999999" customHeight="1" x14ac:dyDescent="0.25">
      <c r="A19" s="228" t="s">
        <v>102</v>
      </c>
      <c r="B19" s="228" t="s">
        <v>122</v>
      </c>
      <c r="C19" s="125" t="s">
        <v>123</v>
      </c>
      <c r="D19" s="230" t="s">
        <v>117</v>
      </c>
      <c r="E19" s="125" t="s">
        <v>78</v>
      </c>
      <c r="F19" s="201">
        <f t="shared" si="0"/>
        <v>1.0658397654872399E-2</v>
      </c>
      <c r="G19" s="206">
        <v>532.70000000000005</v>
      </c>
      <c r="H19" s="18">
        <v>353.2</v>
      </c>
      <c r="I19" s="18">
        <v>1</v>
      </c>
      <c r="J19" s="200">
        <f t="shared" si="1"/>
        <v>5.327</v>
      </c>
      <c r="K19" s="124">
        <v>10</v>
      </c>
      <c r="L19" s="56"/>
      <c r="M19" s="202"/>
      <c r="N19" s="202"/>
      <c r="O19" s="202"/>
      <c r="P19" s="202"/>
      <c r="Q19" s="202"/>
      <c r="R19" s="202"/>
    </row>
    <row r="20" spans="1:18" s="8" customFormat="1" ht="17.649999999999999" customHeight="1" x14ac:dyDescent="0.25">
      <c r="A20" s="228" t="s">
        <v>114</v>
      </c>
      <c r="B20" s="228" t="s">
        <v>124</v>
      </c>
      <c r="C20" s="125" t="s">
        <v>125</v>
      </c>
      <c r="D20" s="230" t="s">
        <v>117</v>
      </c>
      <c r="E20" s="125" t="s">
        <v>78</v>
      </c>
      <c r="F20" s="201">
        <f t="shared" si="0"/>
        <v>0.12113057847667945</v>
      </c>
      <c r="G20" s="206">
        <v>6054.03</v>
      </c>
      <c r="H20" s="18">
        <v>353.2</v>
      </c>
      <c r="I20" s="18">
        <v>1</v>
      </c>
      <c r="J20" s="200">
        <f t="shared" si="1"/>
        <v>302.70150000000001</v>
      </c>
      <c r="K20" s="124">
        <v>50</v>
      </c>
      <c r="L20" s="56"/>
      <c r="M20" s="202"/>
      <c r="N20" s="202"/>
      <c r="O20" s="202"/>
      <c r="P20" s="202"/>
      <c r="Q20" s="202"/>
      <c r="R20" s="202"/>
    </row>
    <row r="21" spans="1:18" s="8" customFormat="1" ht="17.649999999999999" customHeight="1" x14ac:dyDescent="0.25">
      <c r="A21" s="228" t="s">
        <v>114</v>
      </c>
      <c r="B21" s="228" t="s">
        <v>126</v>
      </c>
      <c r="C21" s="125" t="s">
        <v>127</v>
      </c>
      <c r="D21" s="230" t="s">
        <v>117</v>
      </c>
      <c r="E21" s="125" t="s">
        <v>78</v>
      </c>
      <c r="F21" s="201">
        <f t="shared" si="0"/>
        <v>2.0043269853141404E-2</v>
      </c>
      <c r="G21" s="206">
        <v>1001.75</v>
      </c>
      <c r="H21" s="18">
        <v>353.2</v>
      </c>
      <c r="I21" s="18">
        <v>1</v>
      </c>
      <c r="J21" s="200">
        <f t="shared" si="1"/>
        <v>50.087499999999999</v>
      </c>
      <c r="K21" s="124">
        <v>50</v>
      </c>
      <c r="L21" s="56"/>
      <c r="M21" s="202"/>
      <c r="N21" s="202"/>
      <c r="O21" s="202"/>
      <c r="P21" s="202"/>
      <c r="Q21" s="202"/>
      <c r="R21" s="202"/>
    </row>
    <row r="22" spans="1:18" s="8" customFormat="1" ht="17.649999999999999" customHeight="1" x14ac:dyDescent="0.25">
      <c r="A22" s="228" t="s">
        <v>99</v>
      </c>
      <c r="B22" s="228" t="s">
        <v>128</v>
      </c>
      <c r="C22" s="125" t="s">
        <v>129</v>
      </c>
      <c r="D22" s="230" t="s">
        <v>117</v>
      </c>
      <c r="E22" s="125" t="s">
        <v>78</v>
      </c>
      <c r="F22" s="201">
        <f t="shared" si="0"/>
        <v>5.7649786301828118E-3</v>
      </c>
      <c r="G22" s="206">
        <v>288.13</v>
      </c>
      <c r="H22" s="18">
        <v>353.2</v>
      </c>
      <c r="I22" s="18">
        <v>1</v>
      </c>
      <c r="J22" s="200">
        <f t="shared" si="1"/>
        <v>2.8813</v>
      </c>
      <c r="K22" s="124">
        <v>10</v>
      </c>
      <c r="L22" s="56"/>
      <c r="M22" s="202"/>
      <c r="N22" s="202"/>
      <c r="O22" s="202"/>
      <c r="P22" s="202"/>
      <c r="Q22" s="202"/>
      <c r="R22" s="202"/>
    </row>
    <row r="23" spans="1:18" s="8" customFormat="1" ht="17.649999999999999" customHeight="1" x14ac:dyDescent="0.25">
      <c r="A23" s="228" t="s">
        <v>102</v>
      </c>
      <c r="B23" s="228" t="s">
        <v>130</v>
      </c>
      <c r="C23" s="125" t="s">
        <v>131</v>
      </c>
      <c r="D23" s="230" t="s">
        <v>117</v>
      </c>
      <c r="E23" s="125" t="s">
        <v>78</v>
      </c>
      <c r="F23" s="201">
        <f t="shared" si="0"/>
        <v>1.0658397654872399E-2</v>
      </c>
      <c r="G23" s="206">
        <v>532.70000000000005</v>
      </c>
      <c r="H23" s="18">
        <v>353.2</v>
      </c>
      <c r="I23" s="18">
        <v>1</v>
      </c>
      <c r="J23" s="200">
        <f t="shared" si="1"/>
        <v>5.327</v>
      </c>
      <c r="K23" s="124">
        <v>10</v>
      </c>
      <c r="L23" s="56"/>
      <c r="M23" s="202"/>
      <c r="N23" s="202"/>
      <c r="O23" s="202"/>
      <c r="P23" s="202"/>
      <c r="Q23" s="202"/>
      <c r="R23" s="202"/>
    </row>
    <row r="24" spans="1:18" s="8" customFormat="1" ht="17.649999999999999" customHeight="1" x14ac:dyDescent="0.25">
      <c r="A24" s="228" t="s">
        <v>114</v>
      </c>
      <c r="B24" s="228" t="s">
        <v>132</v>
      </c>
      <c r="C24" s="125" t="s">
        <v>133</v>
      </c>
      <c r="D24" s="230" t="s">
        <v>117</v>
      </c>
      <c r="E24" s="125" t="s">
        <v>78</v>
      </c>
      <c r="F24" s="201">
        <f t="shared" si="0"/>
        <v>4.1115764364376736E-2</v>
      </c>
      <c r="G24" s="206">
        <v>2054.94</v>
      </c>
      <c r="H24" s="18">
        <v>28770.52</v>
      </c>
      <c r="I24" s="18">
        <v>1</v>
      </c>
      <c r="J24" s="200">
        <f t="shared" si="1"/>
        <v>102.747</v>
      </c>
      <c r="K24" s="124">
        <v>50</v>
      </c>
      <c r="L24" s="56"/>
      <c r="M24" s="202"/>
      <c r="N24" s="202"/>
      <c r="O24" s="202"/>
      <c r="P24" s="202"/>
      <c r="Q24" s="202"/>
      <c r="R24" s="202"/>
    </row>
    <row r="25" spans="1:18" s="8" customFormat="1" ht="17.649999999999999" customHeight="1" x14ac:dyDescent="0.25">
      <c r="A25" s="228" t="s">
        <v>85</v>
      </c>
      <c r="B25" s="228" t="s">
        <v>134</v>
      </c>
      <c r="C25" s="125" t="s">
        <v>135</v>
      </c>
      <c r="D25" s="230" t="s">
        <v>117</v>
      </c>
      <c r="E25" s="125" t="s">
        <v>78</v>
      </c>
      <c r="F25" s="201">
        <f t="shared" si="0"/>
        <v>2.4211989867019127E-3</v>
      </c>
      <c r="G25" s="206">
        <v>121.01</v>
      </c>
      <c r="H25" s="18">
        <v>353.2</v>
      </c>
      <c r="I25" s="18">
        <v>1</v>
      </c>
      <c r="J25" s="200">
        <f t="shared" si="1"/>
        <v>1.2101000000000002</v>
      </c>
      <c r="K25" s="124">
        <v>10</v>
      </c>
      <c r="L25" s="56"/>
      <c r="M25" s="202"/>
      <c r="N25" s="202"/>
      <c r="O25" s="202"/>
      <c r="P25" s="202"/>
      <c r="Q25" s="202"/>
      <c r="R25" s="202"/>
    </row>
    <row r="26" spans="1:18" s="8" customFormat="1" ht="17.649999999999999" customHeight="1" x14ac:dyDescent="0.25">
      <c r="A26" s="228" t="s">
        <v>85</v>
      </c>
      <c r="B26" s="228" t="s">
        <v>136</v>
      </c>
      <c r="C26" s="125" t="s">
        <v>137</v>
      </c>
      <c r="D26" s="230" t="s">
        <v>117</v>
      </c>
      <c r="E26" s="125" t="s">
        <v>78</v>
      </c>
      <c r="F26" s="201">
        <f t="shared" si="0"/>
        <v>1.9610091123597592E-3</v>
      </c>
      <c r="G26" s="206">
        <v>98.01</v>
      </c>
      <c r="H26" s="18">
        <v>353.2</v>
      </c>
      <c r="I26" s="18">
        <v>1</v>
      </c>
      <c r="J26" s="200">
        <f t="shared" si="1"/>
        <v>0.98009999999999997</v>
      </c>
      <c r="K26" s="124">
        <v>10</v>
      </c>
      <c r="L26" s="56"/>
      <c r="M26" s="202"/>
      <c r="N26" s="202"/>
      <c r="O26" s="202"/>
      <c r="P26" s="202"/>
      <c r="Q26" s="202"/>
      <c r="R26" s="202"/>
    </row>
    <row r="27" spans="1:18" s="8" customFormat="1" ht="17.649999999999999" customHeight="1" x14ac:dyDescent="0.25">
      <c r="A27" s="228" t="s">
        <v>138</v>
      </c>
      <c r="B27" s="228" t="s">
        <v>139</v>
      </c>
      <c r="C27" s="125" t="s">
        <v>140</v>
      </c>
      <c r="D27" s="230" t="s">
        <v>117</v>
      </c>
      <c r="E27" s="125" t="s">
        <v>78</v>
      </c>
      <c r="F27" s="201">
        <f t="shared" si="0"/>
        <v>2.3952482794400966E-2</v>
      </c>
      <c r="G27" s="206">
        <v>1197.1300000000001</v>
      </c>
      <c r="H27" s="18">
        <v>353.2</v>
      </c>
      <c r="I27" s="18">
        <v>1</v>
      </c>
      <c r="J27" s="200">
        <f t="shared" si="1"/>
        <v>23.942600000000002</v>
      </c>
      <c r="K27" s="124">
        <v>20</v>
      </c>
      <c r="L27" s="56"/>
      <c r="M27" s="202"/>
      <c r="N27" s="202"/>
      <c r="O27" s="202"/>
      <c r="P27" s="202"/>
      <c r="Q27" s="202"/>
      <c r="R27" s="202"/>
    </row>
    <row r="28" spans="1:18" s="8" customFormat="1" ht="17.649999999999999" customHeight="1" x14ac:dyDescent="0.25">
      <c r="A28" s="228" t="s">
        <v>102</v>
      </c>
      <c r="B28" s="228" t="s">
        <v>141</v>
      </c>
      <c r="C28" s="125" t="s">
        <v>142</v>
      </c>
      <c r="D28" s="230" t="s">
        <v>117</v>
      </c>
      <c r="E28" s="125" t="s">
        <v>78</v>
      </c>
      <c r="F28" s="201">
        <f t="shared" si="0"/>
        <v>1.1265648206449978E-2</v>
      </c>
      <c r="G28" s="206">
        <v>563.04999999999995</v>
      </c>
      <c r="H28" s="18">
        <v>353.2</v>
      </c>
      <c r="I28" s="18">
        <v>1</v>
      </c>
      <c r="J28" s="200">
        <f t="shared" si="1"/>
        <v>5.6304999999999996</v>
      </c>
      <c r="K28" s="124">
        <v>10</v>
      </c>
      <c r="L28" s="56"/>
      <c r="M28" s="202"/>
      <c r="N28" s="202"/>
      <c r="O28" s="202"/>
      <c r="P28" s="202"/>
      <c r="Q28" s="202"/>
      <c r="R28" s="202"/>
    </row>
    <row r="29" spans="1:18" s="8" customFormat="1" ht="17.649999999999999" customHeight="1" x14ac:dyDescent="0.25">
      <c r="A29" s="228" t="s">
        <v>105</v>
      </c>
      <c r="B29" s="228" t="s">
        <v>143</v>
      </c>
      <c r="C29" s="125" t="s">
        <v>144</v>
      </c>
      <c r="D29" s="230" t="s">
        <v>117</v>
      </c>
      <c r="E29" s="125" t="s">
        <v>78</v>
      </c>
      <c r="F29" s="201">
        <f t="shared" si="0"/>
        <v>7.6199439888898143E-3</v>
      </c>
      <c r="G29" s="206">
        <v>380.84</v>
      </c>
      <c r="H29" s="18">
        <v>353.2</v>
      </c>
      <c r="I29" s="18">
        <v>1</v>
      </c>
      <c r="J29" s="200">
        <f t="shared" si="1"/>
        <v>3.8083999999999998</v>
      </c>
      <c r="K29" s="124">
        <v>10</v>
      </c>
      <c r="L29" s="56"/>
      <c r="M29" s="202"/>
      <c r="N29" s="202"/>
      <c r="O29" s="202"/>
      <c r="P29" s="202"/>
      <c r="Q29" s="202"/>
      <c r="R29" s="202"/>
    </row>
    <row r="30" spans="1:18" s="8" customFormat="1" ht="17.649999999999999" customHeight="1" x14ac:dyDescent="0.25">
      <c r="A30" s="228" t="s">
        <v>114</v>
      </c>
      <c r="B30" s="228" t="s">
        <v>145</v>
      </c>
      <c r="C30" s="125" t="s">
        <v>146</v>
      </c>
      <c r="D30" s="230" t="s">
        <v>117</v>
      </c>
      <c r="E30" s="125" t="s">
        <v>78</v>
      </c>
      <c r="F30" s="201">
        <f t="shared" si="0"/>
        <v>6.5068047076223642E-2</v>
      </c>
      <c r="G30" s="206">
        <v>3252.06</v>
      </c>
      <c r="H30" s="18">
        <v>353.2</v>
      </c>
      <c r="I30" s="18">
        <v>1</v>
      </c>
      <c r="J30" s="200">
        <f t="shared" si="1"/>
        <v>162.60300000000001</v>
      </c>
      <c r="K30" s="124">
        <v>50</v>
      </c>
      <c r="L30" s="56"/>
      <c r="M30" s="202"/>
      <c r="N30" s="202"/>
      <c r="O30" s="202"/>
      <c r="P30" s="202"/>
      <c r="Q30" s="202"/>
      <c r="R30" s="202"/>
    </row>
    <row r="31" spans="1:18" s="8" customFormat="1" ht="17.649999999999999" customHeight="1" x14ac:dyDescent="0.25">
      <c r="A31" s="228" t="s">
        <v>114</v>
      </c>
      <c r="B31" s="228" t="s">
        <v>147</v>
      </c>
      <c r="C31" s="125" t="s">
        <v>148</v>
      </c>
      <c r="D31" s="230" t="s">
        <v>117</v>
      </c>
      <c r="E31" s="125" t="s">
        <v>78</v>
      </c>
      <c r="F31" s="201">
        <f t="shared" si="0"/>
        <v>7.6199439888898143E-3</v>
      </c>
      <c r="G31" s="206">
        <v>380.84</v>
      </c>
      <c r="H31" s="18">
        <v>353.2</v>
      </c>
      <c r="I31" s="18">
        <v>1</v>
      </c>
      <c r="J31" s="200">
        <f t="shared" si="1"/>
        <v>19.042000000000002</v>
      </c>
      <c r="K31" s="124">
        <v>50</v>
      </c>
      <c r="L31" s="56"/>
      <c r="M31" s="202"/>
      <c r="N31" s="202"/>
      <c r="O31" s="202"/>
      <c r="P31" s="202"/>
      <c r="Q31" s="202"/>
      <c r="R31" s="202"/>
    </row>
    <row r="32" spans="1:18" s="8" customFormat="1" ht="17.649999999999999" customHeight="1" x14ac:dyDescent="0.25">
      <c r="A32" s="228" t="s">
        <v>85</v>
      </c>
      <c r="B32" s="228" t="s">
        <v>149</v>
      </c>
      <c r="C32" s="125" t="s">
        <v>150</v>
      </c>
      <c r="D32" s="230" t="s">
        <v>117</v>
      </c>
      <c r="E32" s="125" t="s">
        <v>78</v>
      </c>
      <c r="F32" s="201">
        <f t="shared" si="0"/>
        <v>2.4211989867019127E-3</v>
      </c>
      <c r="G32" s="206">
        <v>121.01</v>
      </c>
      <c r="H32" s="18">
        <v>353.2</v>
      </c>
      <c r="I32" s="18">
        <v>1</v>
      </c>
      <c r="J32" s="200">
        <f t="shared" si="1"/>
        <v>1.2101000000000002</v>
      </c>
      <c r="K32" s="124">
        <v>10</v>
      </c>
      <c r="L32" s="56"/>
      <c r="M32" s="202"/>
      <c r="N32" s="202"/>
      <c r="O32" s="202"/>
      <c r="P32" s="202"/>
      <c r="Q32" s="202"/>
      <c r="R32" s="202"/>
    </row>
    <row r="33" spans="1:28" s="8" customFormat="1" ht="17.649999999999999" customHeight="1" x14ac:dyDescent="0.25">
      <c r="A33" s="228" t="s">
        <v>102</v>
      </c>
      <c r="B33" s="228" t="s">
        <v>151</v>
      </c>
      <c r="C33" s="125" t="s">
        <v>152</v>
      </c>
      <c r="D33" s="230" t="s">
        <v>117</v>
      </c>
      <c r="E33" s="125" t="s">
        <v>78</v>
      </c>
      <c r="F33" s="201">
        <f t="shared" si="0"/>
        <v>1.1265648206449978E-2</v>
      </c>
      <c r="G33" s="206">
        <v>563.04999999999995</v>
      </c>
      <c r="H33" s="18">
        <v>353.2</v>
      </c>
      <c r="I33" s="18">
        <v>1</v>
      </c>
      <c r="J33" s="200">
        <f>K33*G33/1000</f>
        <v>5.6304999999999996</v>
      </c>
      <c r="K33" s="124">
        <v>10</v>
      </c>
      <c r="L33" s="56"/>
      <c r="M33" s="202"/>
      <c r="N33" s="202"/>
      <c r="O33" s="202"/>
      <c r="P33" s="202"/>
      <c r="Q33" s="202"/>
      <c r="R33" s="202"/>
    </row>
    <row r="34" spans="1:28" s="8" customFormat="1" ht="17.649999999999999" customHeight="1" x14ac:dyDescent="0.25">
      <c r="A34" s="228" t="s">
        <v>105</v>
      </c>
      <c r="B34" s="228" t="s">
        <v>153</v>
      </c>
      <c r="C34" s="125" t="s">
        <v>154</v>
      </c>
      <c r="D34" s="230" t="s">
        <v>117</v>
      </c>
      <c r="E34" s="125" t="s">
        <v>78</v>
      </c>
      <c r="F34" s="201">
        <f t="shared" si="0"/>
        <v>1.9610091123597592E-3</v>
      </c>
      <c r="G34" s="206">
        <v>98.01</v>
      </c>
      <c r="H34" s="18">
        <v>353.2</v>
      </c>
      <c r="I34" s="18">
        <v>1</v>
      </c>
      <c r="J34" s="200">
        <f>K34*G34/1000</f>
        <v>0.98009999999999997</v>
      </c>
      <c r="K34" s="124">
        <v>10</v>
      </c>
      <c r="L34" s="56"/>
      <c r="M34" s="202"/>
      <c r="N34" s="202"/>
      <c r="O34" s="202"/>
      <c r="P34" s="202"/>
      <c r="Q34" s="202"/>
      <c r="R34" s="202"/>
    </row>
    <row r="35" spans="1:28" s="8" customFormat="1" ht="17.649999999999999" customHeight="1" x14ac:dyDescent="0.25">
      <c r="A35" s="228" t="s">
        <v>114</v>
      </c>
      <c r="B35" s="228" t="s">
        <v>155</v>
      </c>
      <c r="C35" s="125" t="s">
        <v>156</v>
      </c>
      <c r="D35" s="230" t="s">
        <v>117</v>
      </c>
      <c r="E35" s="125" t="s">
        <v>78</v>
      </c>
      <c r="F35" s="201">
        <f t="shared" si="0"/>
        <v>0.10993615965947548</v>
      </c>
      <c r="G35" s="206">
        <v>5494.54</v>
      </c>
      <c r="H35" s="18">
        <v>353.2</v>
      </c>
      <c r="I35" s="18">
        <v>1</v>
      </c>
      <c r="J35" s="200">
        <f t="shared" ref="J35:J40" si="2">K35*G35/1000</f>
        <v>274.72699999999998</v>
      </c>
      <c r="K35" s="124">
        <v>50</v>
      </c>
      <c r="L35" s="56"/>
      <c r="M35" s="202"/>
      <c r="N35" s="202"/>
      <c r="O35" s="202"/>
      <c r="P35" s="202"/>
      <c r="Q35" s="202"/>
      <c r="R35" s="202"/>
    </row>
    <row r="36" spans="1:28" s="8" customFormat="1" ht="17.649999999999999" customHeight="1" x14ac:dyDescent="0.25">
      <c r="A36" s="228" t="s">
        <v>114</v>
      </c>
      <c r="B36" s="228" t="s">
        <v>157</v>
      </c>
      <c r="C36" s="125" t="s">
        <v>158</v>
      </c>
      <c r="D36" s="230" t="s">
        <v>117</v>
      </c>
      <c r="E36" s="125" t="s">
        <v>78</v>
      </c>
      <c r="F36" s="201">
        <f t="shared" si="0"/>
        <v>2.8814688940656911E-2</v>
      </c>
      <c r="G36" s="206">
        <v>1440.14</v>
      </c>
      <c r="H36" s="18">
        <v>353.2</v>
      </c>
      <c r="I36" s="18">
        <v>1</v>
      </c>
      <c r="J36" s="200">
        <f t="shared" si="2"/>
        <v>72.007000000000005</v>
      </c>
      <c r="K36" s="124">
        <v>50</v>
      </c>
      <c r="L36" s="56"/>
      <c r="M36" s="202"/>
      <c r="N36" s="202"/>
      <c r="O36" s="202"/>
      <c r="P36" s="202"/>
      <c r="Q36" s="202"/>
      <c r="R36" s="202"/>
    </row>
    <row r="37" spans="1:28" s="8" customFormat="1" ht="17.649999999999999" customHeight="1" x14ac:dyDescent="0.25">
      <c r="A37" s="228" t="s">
        <v>85</v>
      </c>
      <c r="B37" s="228" t="s">
        <v>159</v>
      </c>
      <c r="C37" s="125" t="s">
        <v>160</v>
      </c>
      <c r="D37" s="230" t="s">
        <v>117</v>
      </c>
      <c r="E37" s="125" t="s">
        <v>78</v>
      </c>
      <c r="F37" s="201">
        <f t="shared" si="0"/>
        <v>3.4188106012540769E-3</v>
      </c>
      <c r="G37" s="206">
        <v>170.87</v>
      </c>
      <c r="H37" s="18">
        <v>353.2</v>
      </c>
      <c r="I37" s="18">
        <v>1</v>
      </c>
      <c r="J37" s="200">
        <f t="shared" si="2"/>
        <v>1.7087000000000001</v>
      </c>
      <c r="K37" s="124">
        <v>10</v>
      </c>
      <c r="L37" s="56"/>
      <c r="M37" s="202"/>
      <c r="N37" s="202"/>
      <c r="O37" s="202"/>
      <c r="P37" s="202"/>
      <c r="Q37" s="202"/>
      <c r="R37" s="202"/>
    </row>
    <row r="38" spans="1:28" s="8" customFormat="1" ht="17.649999999999999" customHeight="1" x14ac:dyDescent="0.25">
      <c r="A38" s="228" t="s">
        <v>85</v>
      </c>
      <c r="B38" s="228" t="s">
        <v>161</v>
      </c>
      <c r="C38" s="125" t="s">
        <v>162</v>
      </c>
      <c r="D38" s="230" t="s">
        <v>117</v>
      </c>
      <c r="E38" s="125" t="s">
        <v>78</v>
      </c>
      <c r="F38" s="201">
        <f t="shared" si="0"/>
        <v>1.7103056721203165E-3</v>
      </c>
      <c r="G38" s="206">
        <v>85.48</v>
      </c>
      <c r="H38" s="18">
        <v>353.2</v>
      </c>
      <c r="I38" s="18">
        <v>1</v>
      </c>
      <c r="J38" s="200">
        <f t="shared" si="2"/>
        <v>0.85480000000000012</v>
      </c>
      <c r="K38" s="124">
        <v>10</v>
      </c>
      <c r="L38" s="56"/>
      <c r="M38" s="202"/>
      <c r="N38" s="202"/>
      <c r="O38" s="202"/>
      <c r="P38" s="202"/>
      <c r="Q38" s="202"/>
      <c r="R38" s="202"/>
    </row>
    <row r="39" spans="1:28" s="8" customFormat="1" ht="17.649999999999999" customHeight="1" x14ac:dyDescent="0.25">
      <c r="A39" s="228" t="s">
        <v>102</v>
      </c>
      <c r="B39" s="228" t="s">
        <v>163</v>
      </c>
      <c r="C39" s="125" t="s">
        <v>164</v>
      </c>
      <c r="D39" s="230" t="s">
        <v>117</v>
      </c>
      <c r="E39" s="125" t="s">
        <v>78</v>
      </c>
      <c r="F39" s="201">
        <f t="shared" si="0"/>
        <v>5.3227961857062207E-3</v>
      </c>
      <c r="G39" s="206">
        <v>266.02999999999997</v>
      </c>
      <c r="H39" s="18">
        <v>353.2</v>
      </c>
      <c r="I39" s="18">
        <v>1</v>
      </c>
      <c r="J39" s="200">
        <f t="shared" si="2"/>
        <v>2.6602999999999999</v>
      </c>
      <c r="K39" s="124">
        <v>10</v>
      </c>
      <c r="L39" s="56"/>
      <c r="M39" s="202"/>
      <c r="N39" s="202"/>
      <c r="O39" s="202"/>
      <c r="P39" s="202"/>
      <c r="Q39" s="202"/>
      <c r="R39" s="202"/>
    </row>
    <row r="40" spans="1:28" s="8" customFormat="1" ht="17.649999999999999" customHeight="1" x14ac:dyDescent="0.25">
      <c r="A40" s="228" t="s">
        <v>105</v>
      </c>
      <c r="B40" s="228" t="s">
        <v>165</v>
      </c>
      <c r="C40" s="125" t="s">
        <v>166</v>
      </c>
      <c r="D40" s="230" t="s">
        <v>117</v>
      </c>
      <c r="E40" s="125" t="s">
        <v>78</v>
      </c>
      <c r="F40" s="201">
        <f t="shared" si="0"/>
        <v>2.3685772749836576E-2</v>
      </c>
      <c r="G40" s="206">
        <v>1183.8</v>
      </c>
      <c r="H40" s="18">
        <v>353.2</v>
      </c>
      <c r="I40" s="18">
        <v>1</v>
      </c>
      <c r="J40" s="200">
        <f t="shared" si="2"/>
        <v>11.837999999999999</v>
      </c>
      <c r="K40" s="124">
        <v>10</v>
      </c>
      <c r="L40" s="56"/>
      <c r="M40" s="202"/>
      <c r="N40" s="202"/>
      <c r="O40" s="202"/>
      <c r="P40" s="202"/>
      <c r="Q40" s="202"/>
      <c r="R40" s="202"/>
    </row>
    <row r="41" spans="1:28" s="24" customFormat="1" ht="42" customHeight="1" x14ac:dyDescent="0.25">
      <c r="A41" s="125" t="s">
        <v>167</v>
      </c>
      <c r="B41" s="125" t="s">
        <v>168</v>
      </c>
      <c r="C41" s="125" t="s">
        <v>169</v>
      </c>
      <c r="D41" s="229" t="s">
        <v>170</v>
      </c>
      <c r="E41" s="126" t="s">
        <v>171</v>
      </c>
      <c r="F41" s="201">
        <f>G41/$G$41</f>
        <v>1</v>
      </c>
      <c r="G41" s="127">
        <f>SUM(G3:G40)</f>
        <v>49979.37000000001</v>
      </c>
      <c r="H41" s="127">
        <f>SUM(H3:H40)</f>
        <v>191561.0400000003</v>
      </c>
      <c r="I41" s="127"/>
      <c r="J41" s="127">
        <f>SUM(J3:J40)</f>
        <v>2136.6549600000008</v>
      </c>
      <c r="K41" s="124"/>
      <c r="L41"/>
      <c r="M41"/>
      <c r="N41"/>
      <c r="O41"/>
      <c r="P41" s="202"/>
      <c r="Q41" s="202"/>
      <c r="R41" s="202"/>
      <c r="S41" s="202"/>
      <c r="T41" s="202"/>
      <c r="U41" s="202"/>
      <c r="V41" s="175"/>
      <c r="W41" s="175"/>
      <c r="X41" s="175"/>
      <c r="Y41" s="175"/>
      <c r="Z41" s="175"/>
      <c r="AA41" s="175"/>
      <c r="AB41" s="175"/>
    </row>
    <row r="42" spans="1:28" ht="18.75" x14ac:dyDescent="0.25">
      <c r="G42" s="20"/>
      <c r="H42" s="20"/>
      <c r="I42" s="20"/>
      <c r="J42" s="20"/>
      <c r="K42" s="21"/>
      <c r="L42"/>
      <c r="M42"/>
      <c r="N42"/>
      <c r="O42"/>
      <c r="P42" s="202"/>
      <c r="Q42" s="202"/>
      <c r="R42" s="202"/>
      <c r="S42" s="202"/>
      <c r="T42" s="202"/>
      <c r="U42" s="202"/>
      <c r="V42" s="175"/>
      <c r="W42" s="175"/>
      <c r="X42" s="175"/>
      <c r="Y42" s="175"/>
      <c r="Z42" s="175"/>
      <c r="AA42" s="175"/>
      <c r="AB42" s="175"/>
    </row>
    <row r="43" spans="1:28" ht="18.75" x14ac:dyDescent="0.25">
      <c r="A43" s="7"/>
      <c r="B43" s="7"/>
      <c r="C43" s="7"/>
      <c r="D43" s="7"/>
      <c r="E43" s="7"/>
      <c r="F43" s="7"/>
      <c r="G43" s="22"/>
      <c r="I43" s="20"/>
      <c r="J43" s="20"/>
      <c r="K43" s="20"/>
      <c r="L43"/>
      <c r="M43"/>
      <c r="N43"/>
      <c r="O43"/>
      <c r="P43" s="202"/>
      <c r="Q43" s="202"/>
      <c r="R43" s="202"/>
      <c r="S43" s="202"/>
      <c r="T43" s="202"/>
      <c r="U43" s="202"/>
      <c r="V43" s="175"/>
      <c r="W43" s="175"/>
      <c r="X43" s="175"/>
      <c r="Y43" s="175"/>
      <c r="Z43" s="175"/>
      <c r="AA43" s="175"/>
      <c r="AB43" s="175"/>
    </row>
    <row r="44" spans="1:28" ht="18.75" x14ac:dyDescent="0.25">
      <c r="A44" s="11"/>
      <c r="B44" s="11"/>
      <c r="C44" s="11"/>
      <c r="D44" s="11"/>
      <c r="E44" s="11"/>
      <c r="G44" s="173"/>
      <c r="H44" s="20"/>
      <c r="I44" s="20"/>
      <c r="J44" s="20"/>
      <c r="K44" s="20"/>
      <c r="L44"/>
      <c r="M44"/>
      <c r="N44"/>
      <c r="O44"/>
      <c r="P44" s="202"/>
      <c r="Q44" s="202"/>
      <c r="R44" s="202"/>
      <c r="S44" s="202"/>
      <c r="T44" s="202"/>
      <c r="U44" s="202"/>
      <c r="V44" s="175"/>
      <c r="W44" s="175"/>
      <c r="X44" s="175"/>
      <c r="Y44" s="175"/>
      <c r="Z44" s="175"/>
      <c r="AA44" s="175"/>
      <c r="AB44" s="175"/>
    </row>
    <row r="45" spans="1:28" ht="18.75" x14ac:dyDescent="0.2">
      <c r="A45" s="23"/>
      <c r="B45" s="23"/>
      <c r="C45" s="23"/>
      <c r="D45" s="23"/>
      <c r="E45" s="23"/>
      <c r="G45" s="20"/>
      <c r="H45" s="20"/>
      <c r="I45" s="20"/>
      <c r="J45" s="20"/>
      <c r="K45" s="20"/>
      <c r="P45" s="202"/>
      <c r="Q45" s="202"/>
      <c r="R45" s="202"/>
      <c r="S45" s="202"/>
      <c r="T45" s="202"/>
      <c r="U45" s="202"/>
      <c r="V45" s="175"/>
      <c r="W45" s="175"/>
      <c r="X45" s="175"/>
      <c r="Y45" s="175"/>
      <c r="Z45" s="175"/>
      <c r="AA45" s="175"/>
      <c r="AB45" s="175"/>
    </row>
    <row r="46" spans="1:28" ht="18.75" x14ac:dyDescent="0.2">
      <c r="A46" s="20"/>
      <c r="B46" s="20"/>
      <c r="C46" s="20"/>
      <c r="D46" s="20"/>
      <c r="E46" s="20"/>
      <c r="G46" s="20"/>
      <c r="H46" s="20"/>
      <c r="I46" s="20"/>
      <c r="J46" s="20"/>
      <c r="K46" s="20"/>
      <c r="P46" s="202"/>
      <c r="Q46" s="202"/>
      <c r="R46" s="202"/>
      <c r="S46" s="202"/>
      <c r="T46" s="202"/>
      <c r="U46" s="202"/>
      <c r="V46" s="175"/>
      <c r="W46" s="175"/>
      <c r="X46" s="175"/>
      <c r="Y46" s="175"/>
      <c r="Z46" s="175"/>
      <c r="AA46" s="175"/>
      <c r="AB46" s="175"/>
    </row>
    <row r="47" spans="1:28" ht="18.75" x14ac:dyDescent="0.2">
      <c r="A47" s="20"/>
      <c r="B47" s="20"/>
      <c r="C47" s="20"/>
      <c r="D47" s="20"/>
      <c r="E47" s="20"/>
      <c r="G47" s="20"/>
      <c r="H47" s="20"/>
      <c r="I47" s="20"/>
      <c r="J47" s="20"/>
      <c r="K47" s="20"/>
      <c r="P47" s="202"/>
      <c r="Q47" s="202"/>
      <c r="R47" s="202"/>
      <c r="S47" s="202"/>
      <c r="T47" s="202"/>
      <c r="U47" s="202"/>
      <c r="V47" s="175"/>
      <c r="W47" s="175"/>
      <c r="X47" s="175"/>
      <c r="Y47" s="175"/>
      <c r="Z47" s="175"/>
      <c r="AA47" s="175"/>
      <c r="AB47" s="175"/>
    </row>
    <row r="48" spans="1:28" ht="14.45" customHeight="1" x14ac:dyDescent="0.2">
      <c r="G48" s="20"/>
      <c r="H48" s="20"/>
      <c r="I48" s="20"/>
      <c r="J48" s="20"/>
      <c r="K48" s="20"/>
      <c r="P48" s="202"/>
      <c r="Q48" s="202"/>
      <c r="R48" s="202"/>
      <c r="S48" s="202"/>
      <c r="T48" s="202"/>
      <c r="U48" s="202"/>
    </row>
    <row r="49" spans="1:21" ht="14.45" customHeight="1" x14ac:dyDescent="0.2">
      <c r="G49" s="20"/>
      <c r="H49" s="20"/>
      <c r="I49" s="20"/>
      <c r="J49" s="20"/>
      <c r="K49" s="20"/>
      <c r="P49" s="202"/>
      <c r="Q49" s="202"/>
      <c r="R49" s="202"/>
      <c r="S49" s="202"/>
      <c r="T49" s="202"/>
      <c r="U49" s="202"/>
    </row>
    <row r="50" spans="1:21" ht="14.45" customHeight="1" x14ac:dyDescent="0.2">
      <c r="G50" s="20"/>
      <c r="H50" s="20"/>
      <c r="I50" s="20"/>
      <c r="J50" s="20"/>
      <c r="K50" s="20"/>
      <c r="P50" s="202"/>
      <c r="Q50" s="202"/>
      <c r="R50" s="202"/>
      <c r="S50" s="202"/>
      <c r="T50" s="202"/>
      <c r="U50" s="202"/>
    </row>
    <row r="51" spans="1:21" ht="14.45" customHeight="1" x14ac:dyDescent="0.2">
      <c r="G51" s="20"/>
      <c r="H51" s="20"/>
      <c r="I51" s="20"/>
      <c r="J51" s="20"/>
      <c r="K51" s="20"/>
      <c r="P51" s="202"/>
      <c r="Q51" s="202"/>
      <c r="R51" s="202"/>
      <c r="S51" s="202"/>
      <c r="T51" s="202"/>
      <c r="U51" s="202"/>
    </row>
    <row r="52" spans="1:21" ht="14.45" customHeight="1" x14ac:dyDescent="0.2">
      <c r="G52" s="20"/>
      <c r="H52" s="20"/>
      <c r="I52" s="20"/>
      <c r="J52" s="20"/>
      <c r="K52" s="20"/>
      <c r="P52" s="38"/>
      <c r="Q52" s="38"/>
      <c r="R52" s="38"/>
    </row>
    <row r="53" spans="1:21" ht="14.45" customHeight="1" x14ac:dyDescent="0.2">
      <c r="G53" s="20"/>
      <c r="H53" s="20"/>
      <c r="I53" s="20"/>
      <c r="J53" s="20"/>
      <c r="K53" s="20"/>
      <c r="P53" s="38"/>
      <c r="Q53" s="38"/>
      <c r="R53" s="38"/>
    </row>
    <row r="54" spans="1:21" ht="14.45" customHeight="1" x14ac:dyDescent="0.2">
      <c r="G54" s="20"/>
      <c r="H54" s="20"/>
      <c r="I54" s="20"/>
      <c r="J54" s="20"/>
      <c r="K54" s="20"/>
      <c r="P54" s="38"/>
      <c r="Q54" s="38"/>
      <c r="R54" s="38"/>
    </row>
    <row r="55" spans="1:21" ht="14.45" customHeight="1" x14ac:dyDescent="0.2">
      <c r="G55" s="20"/>
      <c r="H55" s="20"/>
      <c r="I55" s="20"/>
      <c r="J55" s="20"/>
      <c r="K55" s="20"/>
      <c r="P55" s="38"/>
      <c r="Q55" s="38"/>
      <c r="R55" s="38"/>
    </row>
    <row r="56" spans="1:21" ht="14.45" customHeight="1" x14ac:dyDescent="0.2">
      <c r="G56" s="20"/>
      <c r="H56" s="20"/>
      <c r="I56" s="20"/>
      <c r="J56" s="20"/>
      <c r="K56" s="20"/>
      <c r="P56" s="38"/>
      <c r="Q56" s="38"/>
      <c r="R56" s="38"/>
    </row>
    <row r="57" spans="1:21" ht="14.45" customHeight="1" x14ac:dyDescent="0.2">
      <c r="G57" s="20"/>
      <c r="H57" s="20"/>
      <c r="I57" s="20"/>
      <c r="J57" s="20"/>
      <c r="K57" s="20"/>
      <c r="P57" s="38"/>
      <c r="Q57" s="38"/>
      <c r="R57" s="38"/>
    </row>
    <row r="58" spans="1:21" ht="14.45" customHeight="1" x14ac:dyDescent="0.2">
      <c r="A58" s="24" t="s">
        <v>172</v>
      </c>
      <c r="B58" s="24"/>
      <c r="C58" s="24"/>
      <c r="D58" s="24"/>
      <c r="E58" s="24"/>
      <c r="F58" s="24"/>
      <c r="G58" s="25"/>
      <c r="H58" s="27"/>
      <c r="I58" s="24"/>
      <c r="J58" s="24"/>
      <c r="K58" s="24"/>
      <c r="P58" s="38"/>
      <c r="Q58" s="38"/>
      <c r="R58" s="38"/>
    </row>
    <row r="59" spans="1:21" ht="14.45" customHeight="1" x14ac:dyDescent="0.2">
      <c r="A59" s="19"/>
      <c r="B59" s="19"/>
      <c r="C59" s="19"/>
      <c r="D59" s="19"/>
      <c r="E59" s="19"/>
      <c r="F59" s="19"/>
      <c r="P59" s="38"/>
      <c r="Q59" s="38"/>
      <c r="R59" s="38"/>
    </row>
    <row r="60" spans="1:21" ht="14.45" customHeight="1" x14ac:dyDescent="0.2">
      <c r="P60" s="38"/>
      <c r="Q60" s="38"/>
      <c r="R60" s="38"/>
    </row>
    <row r="61" spans="1:21" ht="14.45" customHeight="1" x14ac:dyDescent="0.2">
      <c r="P61" s="38"/>
      <c r="Q61" s="38"/>
      <c r="R61" s="38"/>
    </row>
    <row r="62" spans="1:21" ht="14.45" customHeight="1" x14ac:dyDescent="0.2">
      <c r="P62" s="38"/>
      <c r="Q62" s="38"/>
      <c r="R62" s="38"/>
    </row>
    <row r="63" spans="1:21" ht="14.45" customHeight="1" x14ac:dyDescent="0.2">
      <c r="P63" s="38"/>
      <c r="Q63" s="38"/>
      <c r="R63" s="38"/>
    </row>
    <row r="64" spans="1:21" ht="14.45" customHeight="1" x14ac:dyDescent="0.2">
      <c r="P64" s="38"/>
      <c r="Q64" s="38"/>
      <c r="R64" s="38"/>
    </row>
    <row r="65" spans="5:21" ht="14.45" customHeight="1" x14ac:dyDescent="0.2">
      <c r="P65" s="38"/>
      <c r="Q65" s="38"/>
      <c r="R65" s="38"/>
    </row>
    <row r="66" spans="5:21" ht="14.45" customHeight="1" x14ac:dyDescent="0.2">
      <c r="P66" s="38"/>
      <c r="Q66" s="38"/>
      <c r="R66" s="38"/>
    </row>
    <row r="67" spans="5:21" ht="14.45" customHeight="1" x14ac:dyDescent="0.2">
      <c r="P67" s="38"/>
      <c r="Q67" s="38"/>
      <c r="R67" s="38"/>
    </row>
    <row r="68" spans="5:21" ht="14.45" customHeight="1" x14ac:dyDescent="0.2">
      <c r="O68" s="6" t="s">
        <v>173</v>
      </c>
      <c r="P68" s="38" t="s">
        <v>174</v>
      </c>
      <c r="Q68" s="38" t="s">
        <v>175</v>
      </c>
      <c r="R68" s="38" t="s">
        <v>176</v>
      </c>
      <c r="S68" s="6" t="s">
        <v>177</v>
      </c>
      <c r="T68" s="6" t="s">
        <v>178</v>
      </c>
      <c r="U68" s="6" t="s">
        <v>179</v>
      </c>
    </row>
    <row r="69" spans="5:21" ht="14.45" customHeight="1" x14ac:dyDescent="0.2">
      <c r="O69" s="6">
        <v>0.7</v>
      </c>
      <c r="P69" s="38">
        <v>0.5</v>
      </c>
      <c r="Q69" s="38" t="s">
        <v>180</v>
      </c>
      <c r="R69" s="38" t="s">
        <v>181</v>
      </c>
      <c r="S69" s="203">
        <v>3.8199999999999998E-8</v>
      </c>
      <c r="T69" s="6">
        <v>0</v>
      </c>
      <c r="U69" s="6">
        <v>19</v>
      </c>
    </row>
    <row r="70" spans="5:21" ht="14.45" customHeight="1" x14ac:dyDescent="0.2">
      <c r="O70" s="6">
        <v>0.7</v>
      </c>
      <c r="P70" s="38">
        <v>0.61299999999999999</v>
      </c>
      <c r="Q70" s="38" t="s">
        <v>182</v>
      </c>
      <c r="R70" s="38" t="s">
        <v>181</v>
      </c>
      <c r="S70" s="203">
        <v>3.8199999999999998E-8</v>
      </c>
      <c r="T70" s="6">
        <v>0</v>
      </c>
      <c r="U70" s="6">
        <v>55</v>
      </c>
    </row>
    <row r="71" spans="5:21" ht="14.45" customHeight="1" x14ac:dyDescent="0.2">
      <c r="O71" s="6">
        <v>0.7</v>
      </c>
      <c r="P71" s="38">
        <v>0.5</v>
      </c>
      <c r="Q71" s="38" t="s">
        <v>183</v>
      </c>
      <c r="R71" s="38" t="s">
        <v>181</v>
      </c>
      <c r="S71" s="203">
        <v>3.8199999999999998E-8</v>
      </c>
      <c r="T71" s="6">
        <v>0</v>
      </c>
      <c r="U71" s="6">
        <v>6</v>
      </c>
    </row>
    <row r="72" spans="5:21" ht="14.45" customHeight="1" x14ac:dyDescent="0.2">
      <c r="O72" s="6">
        <v>0.7</v>
      </c>
      <c r="P72" s="38">
        <v>0.5</v>
      </c>
      <c r="Q72" s="38" t="s">
        <v>184</v>
      </c>
      <c r="R72" s="38" t="s">
        <v>181</v>
      </c>
      <c r="S72" s="203">
        <v>3.8199999999999998E-8</v>
      </c>
      <c r="T72" s="6">
        <v>0</v>
      </c>
      <c r="U72" s="6">
        <v>1</v>
      </c>
    </row>
    <row r="73" spans="5:21" ht="14.45" customHeight="1" x14ac:dyDescent="0.2">
      <c r="O73" s="6">
        <v>0.7</v>
      </c>
      <c r="P73" s="38">
        <v>0.5</v>
      </c>
      <c r="Q73" s="38" t="s">
        <v>185</v>
      </c>
      <c r="R73" s="38" t="s">
        <v>181</v>
      </c>
      <c r="S73" s="203">
        <v>3.8199999999999998E-8</v>
      </c>
      <c r="T73" s="6">
        <v>0</v>
      </c>
      <c r="U73" s="6">
        <v>2</v>
      </c>
    </row>
    <row r="74" spans="5:21" ht="14.45" customHeight="1" x14ac:dyDescent="0.2">
      <c r="O74" s="6">
        <v>0.7</v>
      </c>
      <c r="P74" s="38">
        <v>0.36699999999999999</v>
      </c>
      <c r="Q74" s="38" t="s">
        <v>186</v>
      </c>
      <c r="R74" s="38" t="s">
        <v>181</v>
      </c>
      <c r="S74" s="203">
        <v>3.8199999999999998E-8</v>
      </c>
      <c r="T74" s="6">
        <v>0</v>
      </c>
      <c r="U74" s="6">
        <v>4</v>
      </c>
    </row>
    <row r="75" spans="5:21" ht="14.45" customHeight="1" x14ac:dyDescent="0.2">
      <c r="O75" s="6">
        <v>0.7</v>
      </c>
      <c r="P75" s="38">
        <v>0.5</v>
      </c>
      <c r="Q75" s="38" t="s">
        <v>187</v>
      </c>
      <c r="R75" s="38" t="s">
        <v>181</v>
      </c>
      <c r="S75" s="203">
        <v>3.8199999999999998E-8</v>
      </c>
      <c r="T75" s="6">
        <v>0</v>
      </c>
      <c r="U75" s="6">
        <v>41</v>
      </c>
    </row>
    <row r="76" spans="5:21" ht="14.45" customHeight="1" x14ac:dyDescent="0.2">
      <c r="E76" s="12"/>
      <c r="O76" s="6">
        <v>0.7</v>
      </c>
      <c r="P76" s="38">
        <v>0.61299999999999999</v>
      </c>
      <c r="Q76" s="38" t="s">
        <v>188</v>
      </c>
      <c r="R76" s="204" t="s">
        <v>181</v>
      </c>
      <c r="S76" s="203">
        <v>3.8199999999999998E-8</v>
      </c>
      <c r="T76" s="6">
        <v>0</v>
      </c>
      <c r="U76" s="6">
        <v>182</v>
      </c>
    </row>
    <row r="77" spans="5:21" ht="14.45" customHeight="1" x14ac:dyDescent="0.2">
      <c r="O77" s="6">
        <v>0.7</v>
      </c>
      <c r="P77" s="38">
        <v>0.55600000000000005</v>
      </c>
      <c r="Q77" s="38" t="s">
        <v>189</v>
      </c>
      <c r="R77" s="204" t="s">
        <v>181</v>
      </c>
      <c r="S77" s="203">
        <v>3.8199999999999998E-8</v>
      </c>
      <c r="T77" s="6">
        <v>0</v>
      </c>
      <c r="U77" s="6">
        <v>5</v>
      </c>
    </row>
    <row r="78" spans="5:21" ht="14.45" customHeight="1" x14ac:dyDescent="0.2">
      <c r="O78" s="6">
        <v>0.7</v>
      </c>
      <c r="P78" s="38">
        <v>0.5</v>
      </c>
      <c r="Q78" s="38" t="s">
        <v>190</v>
      </c>
      <c r="R78" s="204" t="s">
        <v>181</v>
      </c>
      <c r="S78" s="203">
        <v>3.8199999999999998E-8</v>
      </c>
      <c r="T78" s="6">
        <v>0</v>
      </c>
      <c r="U78" s="6">
        <v>5</v>
      </c>
    </row>
    <row r="79" spans="5:21" ht="14.45" customHeight="1" x14ac:dyDescent="0.2">
      <c r="O79" s="6">
        <v>0.7</v>
      </c>
      <c r="P79" s="38">
        <v>0.55600000000000005</v>
      </c>
      <c r="Q79" s="38" t="s">
        <v>191</v>
      </c>
      <c r="R79" s="204" t="s">
        <v>181</v>
      </c>
      <c r="S79" s="203">
        <v>3.8199999999999998E-8</v>
      </c>
      <c r="T79" s="6">
        <v>0</v>
      </c>
      <c r="U79" s="6">
        <v>6</v>
      </c>
    </row>
    <row r="80" spans="5:21" ht="14.45" customHeight="1" x14ac:dyDescent="0.2">
      <c r="O80" s="6">
        <v>0.7</v>
      </c>
      <c r="P80" s="38">
        <v>0.7</v>
      </c>
      <c r="Q80" s="38" t="s">
        <v>192</v>
      </c>
      <c r="R80" s="204" t="s">
        <v>181</v>
      </c>
      <c r="S80" s="203">
        <v>3.8199999999999998E-8</v>
      </c>
      <c r="T80" s="6">
        <v>0</v>
      </c>
      <c r="U80" s="6">
        <v>35</v>
      </c>
    </row>
    <row r="81" spans="15:21" x14ac:dyDescent="0.2">
      <c r="O81" s="6">
        <v>0.7</v>
      </c>
      <c r="P81" s="6">
        <v>0.61299999999999999</v>
      </c>
      <c r="Q81" s="6" t="s">
        <v>193</v>
      </c>
      <c r="R81" s="203" t="s">
        <v>181</v>
      </c>
      <c r="S81" s="203">
        <v>3.8199999999999998E-8</v>
      </c>
      <c r="T81" s="6">
        <v>0</v>
      </c>
      <c r="U81" s="6">
        <v>25</v>
      </c>
    </row>
    <row r="82" spans="15:21" x14ac:dyDescent="0.2">
      <c r="O82" s="6">
        <v>0.7</v>
      </c>
      <c r="P82" s="6">
        <v>0.61299999999999999</v>
      </c>
      <c r="Q82" s="6" t="s">
        <v>194</v>
      </c>
      <c r="R82" s="203" t="s">
        <v>181</v>
      </c>
      <c r="S82" s="203">
        <v>3.8199999999999998E-8</v>
      </c>
      <c r="T82" s="6">
        <v>0</v>
      </c>
      <c r="U82" s="6">
        <v>151</v>
      </c>
    </row>
    <row r="83" spans="15:21" x14ac:dyDescent="0.2">
      <c r="O83" s="6">
        <v>0.7</v>
      </c>
      <c r="P83" s="6">
        <v>0.55600000000000005</v>
      </c>
      <c r="Q83" s="6" t="s">
        <v>195</v>
      </c>
      <c r="R83" s="203" t="s">
        <v>181</v>
      </c>
      <c r="S83" s="203">
        <v>3.8199999999999998E-8</v>
      </c>
      <c r="T83" s="6">
        <v>0</v>
      </c>
      <c r="U83" s="6">
        <v>1</v>
      </c>
    </row>
    <row r="84" spans="15:21" x14ac:dyDescent="0.2">
      <c r="O84" s="6">
        <v>0.7</v>
      </c>
      <c r="P84" s="6">
        <v>0.5</v>
      </c>
      <c r="Q84" s="6" t="s">
        <v>196</v>
      </c>
      <c r="R84" s="203" t="s">
        <v>181</v>
      </c>
      <c r="S84" s="203">
        <v>3.8199999999999998E-8</v>
      </c>
      <c r="T84" s="6">
        <v>0</v>
      </c>
      <c r="U84" s="6">
        <v>3</v>
      </c>
    </row>
    <row r="85" spans="15:21" x14ac:dyDescent="0.2">
      <c r="O85" s="6">
        <v>0.7</v>
      </c>
      <c r="P85" s="6">
        <v>0.61299999999999999</v>
      </c>
      <c r="Q85" s="6" t="s">
        <v>197</v>
      </c>
      <c r="R85" s="203" t="s">
        <v>181</v>
      </c>
      <c r="S85" s="203">
        <v>3.8199999999999998E-8</v>
      </c>
      <c r="T85" s="6">
        <v>0</v>
      </c>
      <c r="U85" s="6">
        <v>151</v>
      </c>
    </row>
    <row r="86" spans="15:21" x14ac:dyDescent="0.2">
      <c r="O86" s="6">
        <v>0.7</v>
      </c>
      <c r="P86" s="6">
        <v>0.61299999999999999</v>
      </c>
      <c r="Q86" s="6" t="s">
        <v>198</v>
      </c>
      <c r="R86" s="203" t="s">
        <v>181</v>
      </c>
      <c r="S86" s="203">
        <v>3.8199999999999998E-8</v>
      </c>
      <c r="T86" s="6">
        <v>0</v>
      </c>
      <c r="U86" s="6">
        <v>25</v>
      </c>
    </row>
    <row r="87" spans="15:21" x14ac:dyDescent="0.2">
      <c r="O87" s="6">
        <v>0.7</v>
      </c>
      <c r="P87" s="6">
        <v>0.55600000000000005</v>
      </c>
      <c r="Q87" s="6" t="s">
        <v>199</v>
      </c>
      <c r="R87" s="203" t="s">
        <v>181</v>
      </c>
      <c r="S87" s="203">
        <v>3.8199999999999998E-8</v>
      </c>
      <c r="T87" s="6">
        <v>0</v>
      </c>
      <c r="U87" s="6">
        <v>1</v>
      </c>
    </row>
    <row r="88" spans="15:21" x14ac:dyDescent="0.2">
      <c r="O88" s="6">
        <v>0.7</v>
      </c>
      <c r="P88" s="6">
        <v>0.5</v>
      </c>
      <c r="Q88" s="6" t="s">
        <v>200</v>
      </c>
      <c r="R88" s="203" t="s">
        <v>181</v>
      </c>
      <c r="S88" s="203">
        <v>3.8199999999999998E-8</v>
      </c>
      <c r="T88" s="6">
        <v>0</v>
      </c>
      <c r="U88" s="6">
        <v>3</v>
      </c>
    </row>
    <row r="89" spans="15:21" x14ac:dyDescent="0.2">
      <c r="O89" s="6">
        <v>0.7</v>
      </c>
      <c r="P89" s="6">
        <v>0.61299999999999999</v>
      </c>
      <c r="Q89" s="6" t="s">
        <v>201</v>
      </c>
      <c r="R89" s="203" t="s">
        <v>181</v>
      </c>
      <c r="S89" s="203">
        <v>3.8199999999999998E-8</v>
      </c>
      <c r="T89" s="6">
        <v>0</v>
      </c>
      <c r="U89" s="6">
        <v>51</v>
      </c>
    </row>
    <row r="90" spans="15:21" x14ac:dyDescent="0.2">
      <c r="O90" s="6">
        <v>0.7</v>
      </c>
      <c r="P90" s="6">
        <v>0.5</v>
      </c>
      <c r="Q90" s="6" t="s">
        <v>202</v>
      </c>
      <c r="R90" s="203" t="s">
        <v>181</v>
      </c>
      <c r="S90" s="203">
        <v>3.8199999999999998E-8</v>
      </c>
      <c r="T90" s="6">
        <v>0</v>
      </c>
      <c r="U90" s="6">
        <v>1</v>
      </c>
    </row>
    <row r="91" spans="15:21" x14ac:dyDescent="0.2">
      <c r="O91" s="6">
        <v>0.7</v>
      </c>
      <c r="P91" s="6">
        <v>0.5</v>
      </c>
      <c r="Q91" s="6" t="s">
        <v>203</v>
      </c>
      <c r="R91" s="203" t="s">
        <v>181</v>
      </c>
      <c r="S91" s="203">
        <v>3.8199999999999998E-8</v>
      </c>
      <c r="T91" s="6">
        <v>0</v>
      </c>
      <c r="U91" s="6">
        <v>0</v>
      </c>
    </row>
    <row r="92" spans="15:21" x14ac:dyDescent="0.2">
      <c r="O92" s="6">
        <v>0.7</v>
      </c>
      <c r="P92" s="6">
        <v>0.55600000000000005</v>
      </c>
      <c r="Q92" s="6" t="s">
        <v>204</v>
      </c>
      <c r="R92" s="203" t="s">
        <v>181</v>
      </c>
      <c r="S92" s="203">
        <v>3.8199999999999998E-8</v>
      </c>
      <c r="T92" s="6">
        <v>0</v>
      </c>
      <c r="U92" s="6">
        <v>12</v>
      </c>
    </row>
    <row r="93" spans="15:21" x14ac:dyDescent="0.2">
      <c r="O93" s="6">
        <v>0.7</v>
      </c>
      <c r="P93" s="6">
        <v>0.5</v>
      </c>
      <c r="Q93" s="6" t="s">
        <v>205</v>
      </c>
      <c r="R93" s="203" t="s">
        <v>181</v>
      </c>
      <c r="S93" s="203">
        <v>3.8199999999999998E-8</v>
      </c>
      <c r="T93" s="6">
        <v>0</v>
      </c>
      <c r="U93" s="6">
        <v>3</v>
      </c>
    </row>
    <row r="94" spans="15:21" x14ac:dyDescent="0.2">
      <c r="O94" s="6">
        <v>0.7</v>
      </c>
      <c r="P94" s="6">
        <v>0.55600000000000005</v>
      </c>
      <c r="Q94" s="6" t="s">
        <v>206</v>
      </c>
      <c r="R94" s="203" t="s">
        <v>181</v>
      </c>
      <c r="S94" s="203">
        <v>3.8199999999999998E-8</v>
      </c>
      <c r="T94" s="6">
        <v>0</v>
      </c>
      <c r="U94" s="6">
        <v>2</v>
      </c>
    </row>
    <row r="95" spans="15:21" x14ac:dyDescent="0.2">
      <c r="O95" s="6">
        <v>0.7</v>
      </c>
      <c r="P95" s="6">
        <v>0.61299999999999999</v>
      </c>
      <c r="Q95" s="6" t="s">
        <v>207</v>
      </c>
      <c r="R95" s="203" t="s">
        <v>181</v>
      </c>
      <c r="S95" s="203">
        <v>3.8199999999999998E-8</v>
      </c>
      <c r="T95" s="6">
        <v>0</v>
      </c>
      <c r="U95" s="6">
        <v>81</v>
      </c>
    </row>
    <row r="96" spans="15:21" x14ac:dyDescent="0.2">
      <c r="O96" s="6">
        <v>0.7</v>
      </c>
      <c r="P96" s="6">
        <v>0.61299999999999999</v>
      </c>
      <c r="Q96" s="6" t="s">
        <v>208</v>
      </c>
      <c r="R96" s="203" t="s">
        <v>181</v>
      </c>
      <c r="S96" s="203">
        <v>3.8199999999999998E-8</v>
      </c>
      <c r="T96" s="6">
        <v>0</v>
      </c>
      <c r="U96" s="6">
        <v>10</v>
      </c>
    </row>
    <row r="97" spans="15:21" x14ac:dyDescent="0.2">
      <c r="O97" s="6">
        <v>0.7</v>
      </c>
      <c r="P97" s="6">
        <v>0.5</v>
      </c>
      <c r="Q97" s="6" t="s">
        <v>209</v>
      </c>
      <c r="R97" s="203" t="s">
        <v>181</v>
      </c>
      <c r="S97" s="203">
        <v>3.8199999999999998E-8</v>
      </c>
      <c r="T97" s="6">
        <v>0</v>
      </c>
      <c r="U97" s="6">
        <v>1</v>
      </c>
    </row>
    <row r="98" spans="15:21" x14ac:dyDescent="0.2">
      <c r="O98" s="6">
        <v>0.7</v>
      </c>
      <c r="P98" s="6">
        <v>0.5</v>
      </c>
      <c r="Q98" s="6" t="s">
        <v>210</v>
      </c>
      <c r="R98" s="203" t="s">
        <v>181</v>
      </c>
      <c r="S98" s="203">
        <v>3.8199999999999998E-8</v>
      </c>
      <c r="T98" s="6">
        <v>0</v>
      </c>
      <c r="U98" s="6">
        <v>3</v>
      </c>
    </row>
    <row r="99" spans="15:21" x14ac:dyDescent="0.2">
      <c r="O99" s="6">
        <v>0.7</v>
      </c>
      <c r="P99" s="6">
        <v>0.55600000000000005</v>
      </c>
      <c r="Q99" s="6" t="s">
        <v>211</v>
      </c>
      <c r="R99" s="203" t="s">
        <v>181</v>
      </c>
      <c r="S99" s="203">
        <v>3.8199999999999998E-8</v>
      </c>
      <c r="T99" s="6">
        <v>0</v>
      </c>
      <c r="U99" s="6">
        <v>0</v>
      </c>
    </row>
    <row r="100" spans="15:21" x14ac:dyDescent="0.2">
      <c r="O100" s="6">
        <v>0.7</v>
      </c>
      <c r="P100" s="6">
        <v>0.61299999999999999</v>
      </c>
      <c r="Q100" s="6" t="s">
        <v>212</v>
      </c>
      <c r="R100" s="203" t="s">
        <v>181</v>
      </c>
      <c r="S100" s="203">
        <v>3.8199999999999998E-8</v>
      </c>
      <c r="T100" s="6">
        <v>0</v>
      </c>
      <c r="U100" s="6">
        <v>137</v>
      </c>
    </row>
    <row r="101" spans="15:21" x14ac:dyDescent="0.2">
      <c r="O101" s="6">
        <v>0.7</v>
      </c>
      <c r="P101" s="6">
        <v>0.61299999999999999</v>
      </c>
      <c r="Q101" s="6" t="s">
        <v>213</v>
      </c>
      <c r="R101" s="203" t="s">
        <v>181</v>
      </c>
      <c r="S101" s="203">
        <v>3.8199999999999998E-8</v>
      </c>
      <c r="T101" s="6">
        <v>0</v>
      </c>
      <c r="U101" s="6">
        <v>36</v>
      </c>
    </row>
    <row r="102" spans="15:21" x14ac:dyDescent="0.2">
      <c r="O102" s="6">
        <v>0.7</v>
      </c>
      <c r="P102" s="6">
        <v>0.5</v>
      </c>
      <c r="Q102" s="6" t="s">
        <v>214</v>
      </c>
      <c r="R102" s="203" t="s">
        <v>181</v>
      </c>
      <c r="S102" s="203">
        <v>3.8199999999999998E-8</v>
      </c>
      <c r="T102" s="6">
        <v>0</v>
      </c>
      <c r="U102" s="6">
        <v>1</v>
      </c>
    </row>
    <row r="103" spans="15:21" x14ac:dyDescent="0.2">
      <c r="O103" s="6">
        <v>0.7</v>
      </c>
      <c r="P103" s="6">
        <v>0.5</v>
      </c>
      <c r="Q103" s="6" t="s">
        <v>215</v>
      </c>
      <c r="R103" s="203" t="s">
        <v>181</v>
      </c>
      <c r="S103" s="203">
        <v>3.8199999999999998E-8</v>
      </c>
      <c r="T103" s="6">
        <v>0</v>
      </c>
      <c r="U103" s="6">
        <v>0</v>
      </c>
    </row>
    <row r="104" spans="15:21" x14ac:dyDescent="0.2">
      <c r="O104" s="6">
        <v>0.7</v>
      </c>
      <c r="P104" s="6">
        <v>0.5</v>
      </c>
      <c r="Q104" s="6" t="s">
        <v>216</v>
      </c>
      <c r="R104" s="203" t="s">
        <v>181</v>
      </c>
      <c r="S104" s="203">
        <v>3.8199999999999998E-8</v>
      </c>
      <c r="T104" s="6">
        <v>0</v>
      </c>
      <c r="U104" s="6">
        <v>1</v>
      </c>
    </row>
    <row r="105" spans="15:21" x14ac:dyDescent="0.2">
      <c r="O105" s="6">
        <v>0.7</v>
      </c>
      <c r="P105" s="6">
        <v>0.55600000000000005</v>
      </c>
      <c r="Q105" s="6" t="s">
        <v>217</v>
      </c>
      <c r="R105" s="203" t="s">
        <v>181</v>
      </c>
      <c r="S105" s="203">
        <v>3.8199999999999998E-8</v>
      </c>
      <c r="T105" s="6">
        <v>0</v>
      </c>
      <c r="U105" s="6">
        <v>6</v>
      </c>
    </row>
    <row r="106" spans="15:21" x14ac:dyDescent="0.2">
      <c r="R106" s="203"/>
    </row>
    <row r="107" spans="15:21" x14ac:dyDescent="0.2">
      <c r="R107" s="203"/>
    </row>
    <row r="108" spans="15:21" x14ac:dyDescent="0.2">
      <c r="R108" s="203"/>
    </row>
    <row r="109" spans="15:21" x14ac:dyDescent="0.2">
      <c r="R109" s="203"/>
    </row>
    <row r="110" spans="15:21" x14ac:dyDescent="0.2">
      <c r="R110" s="203"/>
    </row>
    <row r="111" spans="15:21" x14ac:dyDescent="0.2">
      <c r="R111" s="203"/>
    </row>
    <row r="112" spans="15:21" x14ac:dyDescent="0.2">
      <c r="R112" s="203"/>
    </row>
  </sheetData>
  <autoFilter ref="A2:K41" xr:uid="{2E9DC9C1-ABE9-4C74-8C0A-F769CBEC5074}"/>
  <mergeCells count="1">
    <mergeCell ref="A1:K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4F5A037-1347-4244-9246-9117C267F01A}">
          <x14:formula1>
            <xm:f>Data!$A$2:$A$200</xm:f>
          </x14:formula1>
          <xm:sqref>A3:A40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X33"/>
  <sheetViews>
    <sheetView topLeftCell="D1" zoomScale="80" zoomScaleNormal="80" workbookViewId="0">
      <selection activeCell="A2" sqref="A2"/>
    </sheetView>
  </sheetViews>
  <sheetFormatPr defaultColWidth="9.28515625" defaultRowHeight="14.25" x14ac:dyDescent="0.2"/>
  <cols>
    <col min="1" max="1" width="15.42578125" style="58" customWidth="1"/>
    <col min="2" max="2" width="13.5703125" style="59" customWidth="1"/>
    <col min="3" max="3" width="18.5703125" style="58" customWidth="1"/>
    <col min="4" max="4" width="41.42578125" style="58" bestFit="1" customWidth="1"/>
    <col min="5" max="5" width="11.7109375" style="58" customWidth="1"/>
    <col min="6" max="6" width="20" style="58" customWidth="1"/>
    <col min="7" max="7" width="20.5703125" style="60" customWidth="1"/>
    <col min="8" max="8" width="59.5703125" style="58" customWidth="1"/>
    <col min="9" max="9" width="6.85546875" style="58" customWidth="1"/>
    <col min="10" max="12" width="7" style="58" customWidth="1"/>
    <col min="13" max="13" width="7.85546875" style="58" customWidth="1"/>
    <col min="14" max="14" width="8.7109375" style="58" customWidth="1"/>
    <col min="15" max="15" width="7" style="58" customWidth="1"/>
    <col min="16" max="16" width="7.140625" style="58" customWidth="1"/>
    <col min="17" max="17" width="7.5703125" style="58" customWidth="1"/>
    <col min="18" max="21" width="7" style="58" customWidth="1"/>
    <col min="22" max="22" width="7.7109375" style="58" customWidth="1"/>
    <col min="23" max="24" width="7" style="58" customWidth="1"/>
    <col min="25" max="26" width="9.28515625" style="58"/>
    <col min="27" max="30" width="7.7109375" style="58" customWidth="1"/>
    <col min="31" max="31" width="9.7109375" style="58" customWidth="1"/>
    <col min="32" max="32" width="7.5703125" style="58" customWidth="1"/>
    <col min="33" max="33" width="11.42578125" style="58" customWidth="1"/>
    <col min="34" max="42" width="7.7109375" style="58" customWidth="1"/>
    <col min="43" max="46" width="10.42578125" style="58" customWidth="1"/>
    <col min="47" max="47" width="9.85546875" style="58" customWidth="1"/>
    <col min="48" max="48" width="10.42578125" style="58" customWidth="1"/>
    <col min="49" max="49" width="21.7109375" style="58" customWidth="1"/>
    <col min="50" max="50" width="10.42578125" style="58" customWidth="1"/>
    <col min="51" max="53" width="7.42578125" style="58" customWidth="1"/>
    <col min="54" max="54" width="7.7109375" style="58" customWidth="1"/>
    <col min="55" max="55" width="7.42578125" style="58" customWidth="1"/>
    <col min="56" max="56" width="13.7109375" style="58" customWidth="1"/>
    <col min="57" max="60" width="7.42578125" style="58" customWidth="1"/>
    <col min="61" max="62" width="9.7109375" style="58" bestFit="1" customWidth="1"/>
    <col min="63" max="16384" width="9.28515625" style="58"/>
  </cols>
  <sheetData>
    <row r="1" spans="1:25" ht="31.9" customHeight="1" x14ac:dyDescent="0.2">
      <c r="A1" s="367" t="str">
        <f>"Envelope - "&amp;Prototype!A2</f>
        <v>Envelope - SchoolK-8</v>
      </c>
      <c r="B1" s="367"/>
      <c r="C1" s="367"/>
      <c r="D1" s="367"/>
      <c r="E1" s="367"/>
      <c r="F1" s="367"/>
      <c r="G1" s="367"/>
      <c r="H1" s="367"/>
      <c r="I1" s="367"/>
      <c r="J1" s="367"/>
      <c r="K1" s="367"/>
      <c r="L1" s="367"/>
      <c r="M1" s="367"/>
      <c r="N1" s="367"/>
      <c r="O1" s="367"/>
      <c r="P1" s="367"/>
      <c r="Q1" s="367"/>
      <c r="R1" s="367"/>
      <c r="S1" s="367"/>
      <c r="T1" s="367"/>
      <c r="U1" s="367"/>
      <c r="V1" s="367"/>
      <c r="W1" s="367"/>
      <c r="X1" s="367"/>
      <c r="Y1" s="4"/>
    </row>
    <row r="2" spans="1:25" ht="45.6" customHeight="1" x14ac:dyDescent="0.2">
      <c r="A2" s="342" t="s">
        <v>218</v>
      </c>
      <c r="B2" s="342" t="s">
        <v>5</v>
      </c>
      <c r="C2" s="342" t="s">
        <v>219</v>
      </c>
      <c r="D2" s="342" t="s">
        <v>220</v>
      </c>
      <c r="E2" s="336" t="s">
        <v>221</v>
      </c>
      <c r="F2" s="342" t="s">
        <v>222</v>
      </c>
      <c r="G2" s="336" t="s">
        <v>223</v>
      </c>
      <c r="H2" s="342" t="s">
        <v>224</v>
      </c>
      <c r="I2" s="342" t="s">
        <v>225</v>
      </c>
      <c r="J2" s="342" t="s">
        <v>226</v>
      </c>
      <c r="K2" s="342" t="s">
        <v>227</v>
      </c>
      <c r="L2" s="342" t="s">
        <v>228</v>
      </c>
      <c r="M2" s="342" t="s">
        <v>229</v>
      </c>
      <c r="N2" s="342" t="s">
        <v>230</v>
      </c>
      <c r="O2" s="342" t="s">
        <v>231</v>
      </c>
      <c r="P2" s="342" t="s">
        <v>232</v>
      </c>
      <c r="Q2" s="342" t="s">
        <v>233</v>
      </c>
      <c r="R2" s="342" t="s">
        <v>234</v>
      </c>
      <c r="S2" s="342" t="s">
        <v>235</v>
      </c>
      <c r="T2" s="342" t="s">
        <v>236</v>
      </c>
      <c r="U2" s="342" t="s">
        <v>237</v>
      </c>
      <c r="V2" s="342" t="s">
        <v>238</v>
      </c>
      <c r="W2" s="342" t="s">
        <v>239</v>
      </c>
      <c r="X2" s="342" t="s">
        <v>240</v>
      </c>
      <c r="Y2" s="4"/>
    </row>
    <row r="3" spans="1:25" ht="19.149999999999999" customHeight="1" x14ac:dyDescent="0.2">
      <c r="A3" s="371" t="s">
        <v>241</v>
      </c>
      <c r="B3" s="365" t="str">
        <f>Prototype!A2</f>
        <v>SchoolK-8</v>
      </c>
      <c r="C3" s="368" t="s">
        <v>242</v>
      </c>
      <c r="D3" s="368" t="s">
        <v>243</v>
      </c>
      <c r="E3" s="371" t="s">
        <v>244</v>
      </c>
      <c r="F3" s="339" t="s">
        <v>245</v>
      </c>
      <c r="G3" s="339" t="s">
        <v>246</v>
      </c>
      <c r="H3" s="155" t="s">
        <v>247</v>
      </c>
      <c r="I3" s="345">
        <v>0.29199999999999998</v>
      </c>
      <c r="J3" s="345">
        <v>0.29199999999999998</v>
      </c>
      <c r="K3" s="345">
        <v>0.29199999999999998</v>
      </c>
      <c r="L3" s="345">
        <v>0.29199999999999998</v>
      </c>
      <c r="M3" s="345">
        <v>0.29199999999999998</v>
      </c>
      <c r="N3" s="345">
        <v>0.29199999999999998</v>
      </c>
      <c r="O3" s="345">
        <v>0.29199999999999998</v>
      </c>
      <c r="P3" s="345">
        <v>0.29199999999999998</v>
      </c>
      <c r="Q3" s="345">
        <v>0.29199999999999998</v>
      </c>
      <c r="R3" s="345">
        <v>0.29199999999999998</v>
      </c>
      <c r="S3" s="345">
        <v>0.29199999999999998</v>
      </c>
      <c r="T3" s="345">
        <v>0.29199999999999998</v>
      </c>
      <c r="U3" s="345">
        <v>0.29199999999999998</v>
      </c>
      <c r="V3" s="345">
        <v>0.29199999999999998</v>
      </c>
      <c r="W3" s="345">
        <v>0.29199999999999998</v>
      </c>
      <c r="X3" s="345">
        <v>0.29199999999999998</v>
      </c>
      <c r="Y3" s="4"/>
    </row>
    <row r="4" spans="1:25" ht="32.25" customHeight="1" x14ac:dyDescent="0.2">
      <c r="A4" s="371"/>
      <c r="B4" s="365"/>
      <c r="C4" s="369"/>
      <c r="D4" s="369"/>
      <c r="E4" s="371"/>
      <c r="F4" s="111" t="s">
        <v>248</v>
      </c>
      <c r="G4" s="111">
        <v>1986</v>
      </c>
      <c r="H4" s="154" t="s">
        <v>249</v>
      </c>
      <c r="I4" s="187">
        <v>0.15082956259426847</v>
      </c>
      <c r="J4" s="187">
        <v>0.15748031496062992</v>
      </c>
      <c r="K4" s="187">
        <v>0.15748031496062992</v>
      </c>
      <c r="L4" s="187">
        <v>0.14367816091954022</v>
      </c>
      <c r="M4" s="187">
        <v>0.14367816091954022</v>
      </c>
      <c r="N4" s="187">
        <v>0.21645021645021645</v>
      </c>
      <c r="O4" s="187">
        <v>0.21645021645021645</v>
      </c>
      <c r="P4" s="187">
        <v>0.21645021645021645</v>
      </c>
      <c r="Q4" s="187">
        <v>0.21645021645021645</v>
      </c>
      <c r="R4" s="187">
        <v>0.21645021645021645</v>
      </c>
      <c r="S4" s="187">
        <v>0.18621973929236499</v>
      </c>
      <c r="T4" s="187">
        <v>0.18621973929236499</v>
      </c>
      <c r="U4" s="187">
        <v>0.18621973929236499</v>
      </c>
      <c r="V4" s="187">
        <v>0.15873015873015872</v>
      </c>
      <c r="W4" s="187">
        <v>0.15873015873015872</v>
      </c>
      <c r="X4" s="187">
        <v>0.15082956259426847</v>
      </c>
      <c r="Y4" s="4"/>
    </row>
    <row r="5" spans="1:25" ht="19.149999999999999" customHeight="1" x14ac:dyDescent="0.2">
      <c r="A5" s="371"/>
      <c r="B5" s="365"/>
      <c r="C5" s="369"/>
      <c r="D5" s="369"/>
      <c r="E5" s="371"/>
      <c r="F5" s="112" t="s">
        <v>250</v>
      </c>
      <c r="G5" s="112">
        <v>2001</v>
      </c>
      <c r="H5" s="112" t="s">
        <v>251</v>
      </c>
      <c r="I5" s="188">
        <v>8.4000000000000005E-2</v>
      </c>
      <c r="J5" s="188">
        <v>8.4000000000000005E-2</v>
      </c>
      <c r="K5" s="188">
        <v>9.1999999999999998E-2</v>
      </c>
      <c r="L5" s="188">
        <v>9.1999999999999998E-2</v>
      </c>
      <c r="M5" s="188">
        <v>9.1999999999999998E-2</v>
      </c>
      <c r="N5" s="188">
        <v>9.1999999999999998E-2</v>
      </c>
      <c r="O5" s="188">
        <v>9.1999999999999998E-2</v>
      </c>
      <c r="P5" s="188">
        <v>9.1999999999999998E-2</v>
      </c>
      <c r="Q5" s="188">
        <v>9.1999999999999998E-2</v>
      </c>
      <c r="R5" s="188">
        <v>8.4000000000000005E-2</v>
      </c>
      <c r="S5" s="188">
        <v>8.4000000000000005E-2</v>
      </c>
      <c r="T5" s="188">
        <v>8.4000000000000005E-2</v>
      </c>
      <c r="U5" s="188">
        <v>8.4000000000000005E-2</v>
      </c>
      <c r="V5" s="188">
        <v>8.4000000000000005E-2</v>
      </c>
      <c r="W5" s="188">
        <v>8.4000000000000005E-2</v>
      </c>
      <c r="X5" s="188">
        <v>8.4000000000000005E-2</v>
      </c>
      <c r="Y5" s="4"/>
    </row>
    <row r="6" spans="1:25" ht="19.149999999999999" customHeight="1" x14ac:dyDescent="0.2">
      <c r="A6" s="371"/>
      <c r="B6" s="365"/>
      <c r="C6" s="369"/>
      <c r="D6" s="369"/>
      <c r="E6" s="371"/>
      <c r="F6" s="113" t="s">
        <v>252</v>
      </c>
      <c r="G6" s="113">
        <v>2013</v>
      </c>
      <c r="H6" s="113" t="s">
        <v>253</v>
      </c>
      <c r="I6" s="189">
        <v>0.10199999999999999</v>
      </c>
      <c r="J6" s="189">
        <v>5.8999999999999997E-2</v>
      </c>
      <c r="K6" s="189">
        <v>0.11</v>
      </c>
      <c r="L6" s="189">
        <v>5.8999999999999997E-2</v>
      </c>
      <c r="M6" s="189">
        <v>0.10199999999999999</v>
      </c>
      <c r="N6" s="189">
        <v>0.11</v>
      </c>
      <c r="O6" s="189">
        <v>0.11</v>
      </c>
      <c r="P6" s="189">
        <v>0.10199999999999999</v>
      </c>
      <c r="Q6" s="189">
        <v>5.8999999999999997E-2</v>
      </c>
      <c r="R6" s="189">
        <v>5.8999999999999997E-2</v>
      </c>
      <c r="S6" s="189">
        <v>5.8999999999999997E-2</v>
      </c>
      <c r="T6" s="189">
        <v>5.8999999999999997E-2</v>
      </c>
      <c r="U6" s="189">
        <v>5.8999999999999997E-2</v>
      </c>
      <c r="V6" s="189">
        <v>5.8999999999999997E-2</v>
      </c>
      <c r="W6" s="189">
        <v>4.2000000000000003E-2</v>
      </c>
      <c r="X6" s="189">
        <v>5.8999999999999997E-2</v>
      </c>
      <c r="Y6" s="4"/>
    </row>
    <row r="7" spans="1:25" ht="19.149999999999999" customHeight="1" x14ac:dyDescent="0.2">
      <c r="A7" s="371"/>
      <c r="B7" s="365"/>
      <c r="C7" s="370"/>
      <c r="D7" s="370"/>
      <c r="E7" s="371"/>
      <c r="F7" s="156" t="s">
        <v>254</v>
      </c>
      <c r="G7" s="157">
        <v>2025</v>
      </c>
      <c r="H7" s="157" t="s">
        <v>253</v>
      </c>
      <c r="I7" s="220">
        <v>7.8E-2</v>
      </c>
      <c r="J7" s="190">
        <v>5.2999999999999999E-2</v>
      </c>
      <c r="K7" s="190">
        <v>0.10199999999999999</v>
      </c>
      <c r="L7" s="190">
        <v>5.2999999999999999E-2</v>
      </c>
      <c r="M7" s="190">
        <v>9.5000000000000001E-2</v>
      </c>
      <c r="N7" s="220">
        <v>0.10199999999999999</v>
      </c>
      <c r="O7" s="220">
        <v>0.10199999999999999</v>
      </c>
      <c r="P7" s="190">
        <v>9.5000000000000001E-2</v>
      </c>
      <c r="Q7" s="190">
        <v>5.2999999999999999E-2</v>
      </c>
      <c r="R7" s="190">
        <v>5.2999999999999999E-2</v>
      </c>
      <c r="S7" s="190">
        <v>4.2000000000000003E-2</v>
      </c>
      <c r="T7" s="190">
        <v>5.2999999999999999E-2</v>
      </c>
      <c r="U7" s="190">
        <v>5.2999999999999999E-2</v>
      </c>
      <c r="V7" s="190">
        <v>5.2999999999999999E-2</v>
      </c>
      <c r="W7" s="191">
        <v>3.7999999999999999E-2</v>
      </c>
      <c r="X7" s="191">
        <v>5.2999999999999999E-2</v>
      </c>
      <c r="Y7" s="4"/>
    </row>
    <row r="8" spans="1:25" ht="19.149999999999999" customHeight="1" x14ac:dyDescent="0.2">
      <c r="A8" s="371" t="s">
        <v>255</v>
      </c>
      <c r="B8" s="365" t="str">
        <f t="shared" ref="B8" si="0">$B$3</f>
        <v>SchoolK-8</v>
      </c>
      <c r="C8" s="368" t="s">
        <v>256</v>
      </c>
      <c r="D8" s="372" t="s">
        <v>257</v>
      </c>
      <c r="E8" s="371" t="s">
        <v>244</v>
      </c>
      <c r="F8" s="339" t="s">
        <v>245</v>
      </c>
      <c r="G8" s="339" t="s">
        <v>246</v>
      </c>
      <c r="H8" s="365" t="s">
        <v>258</v>
      </c>
      <c r="I8" s="345">
        <v>5.7000000000000002E-2</v>
      </c>
      <c r="J8" s="345">
        <v>5.7000000000000002E-2</v>
      </c>
      <c r="K8" s="345">
        <v>5.7000000000000002E-2</v>
      </c>
      <c r="L8" s="345">
        <v>5.7000000000000002E-2</v>
      </c>
      <c r="M8" s="345">
        <v>5.7000000000000002E-2</v>
      </c>
      <c r="N8" s="345">
        <v>7.8E-2</v>
      </c>
      <c r="O8" s="345">
        <v>7.8E-2</v>
      </c>
      <c r="P8" s="345">
        <v>7.8E-2</v>
      </c>
      <c r="Q8" s="345">
        <v>7.8E-2</v>
      </c>
      <c r="R8" s="345">
        <v>7.8E-2</v>
      </c>
      <c r="S8" s="345">
        <v>5.7000000000000002E-2</v>
      </c>
      <c r="T8" s="345">
        <v>5.7000000000000002E-2</v>
      </c>
      <c r="U8" s="345">
        <v>5.7000000000000002E-2</v>
      </c>
      <c r="V8" s="345">
        <v>5.7000000000000002E-2</v>
      </c>
      <c r="W8" s="345">
        <v>5.7000000000000002E-2</v>
      </c>
      <c r="X8" s="345">
        <v>5.7000000000000002E-2</v>
      </c>
      <c r="Y8" s="114"/>
    </row>
    <row r="9" spans="1:25" ht="18.75" customHeight="1" x14ac:dyDescent="0.2">
      <c r="A9" s="371"/>
      <c r="B9" s="365"/>
      <c r="C9" s="369"/>
      <c r="D9" s="373"/>
      <c r="E9" s="371"/>
      <c r="F9" s="111" t="s">
        <v>248</v>
      </c>
      <c r="G9" s="111">
        <v>1992</v>
      </c>
      <c r="H9" s="365"/>
      <c r="I9" s="187">
        <v>5.7000000000000002E-2</v>
      </c>
      <c r="J9" s="187">
        <v>5.7000000000000002E-2</v>
      </c>
      <c r="K9" s="187">
        <v>5.7000000000000002E-2</v>
      </c>
      <c r="L9" s="187">
        <v>5.7000000000000002E-2</v>
      </c>
      <c r="M9" s="187">
        <v>5.7000000000000002E-2</v>
      </c>
      <c r="N9" s="187">
        <v>7.8E-2</v>
      </c>
      <c r="O9" s="187">
        <v>7.8E-2</v>
      </c>
      <c r="P9" s="187">
        <v>7.8E-2</v>
      </c>
      <c r="Q9" s="187">
        <v>7.8E-2</v>
      </c>
      <c r="R9" s="187">
        <v>7.8E-2</v>
      </c>
      <c r="S9" s="187">
        <v>5.7000000000000002E-2</v>
      </c>
      <c r="T9" s="187">
        <v>5.7000000000000002E-2</v>
      </c>
      <c r="U9" s="187">
        <v>5.7000000000000002E-2</v>
      </c>
      <c r="V9" s="187">
        <v>5.7000000000000002E-2</v>
      </c>
      <c r="W9" s="187">
        <v>5.7000000000000002E-2</v>
      </c>
      <c r="X9" s="187">
        <v>5.7000000000000002E-2</v>
      </c>
      <c r="Y9" s="114"/>
    </row>
    <row r="10" spans="1:25" ht="19.149999999999999" customHeight="1" x14ac:dyDescent="0.2">
      <c r="A10" s="371"/>
      <c r="B10" s="365"/>
      <c r="C10" s="369"/>
      <c r="D10" s="373"/>
      <c r="E10" s="371"/>
      <c r="F10" s="112" t="s">
        <v>250</v>
      </c>
      <c r="G10" s="112">
        <v>2001</v>
      </c>
      <c r="H10" s="112" t="s">
        <v>251</v>
      </c>
      <c r="I10" s="188">
        <v>5.7000000000000002E-2</v>
      </c>
      <c r="J10" s="188">
        <v>5.7000000000000002E-2</v>
      </c>
      <c r="K10" s="188">
        <v>5.7000000000000002E-2</v>
      </c>
      <c r="L10" s="188">
        <v>5.7000000000000002E-2</v>
      </c>
      <c r="M10" s="188">
        <v>5.7000000000000002E-2</v>
      </c>
      <c r="N10" s="188">
        <v>7.8E-2</v>
      </c>
      <c r="O10" s="188">
        <v>7.8E-2</v>
      </c>
      <c r="P10" s="188">
        <v>7.8E-2</v>
      </c>
      <c r="Q10" s="188">
        <v>7.8E-2</v>
      </c>
      <c r="R10" s="188">
        <v>5.7000000000000002E-2</v>
      </c>
      <c r="S10" s="188">
        <v>5.7000000000000002E-2</v>
      </c>
      <c r="T10" s="188">
        <v>5.7000000000000002E-2</v>
      </c>
      <c r="U10" s="188">
        <v>5.7000000000000002E-2</v>
      </c>
      <c r="V10" s="188">
        <v>5.7000000000000002E-2</v>
      </c>
      <c r="W10" s="188">
        <v>5.7000000000000002E-2</v>
      </c>
      <c r="X10" s="188">
        <v>5.7000000000000002E-2</v>
      </c>
      <c r="Y10" s="114"/>
    </row>
    <row r="11" spans="1:25" ht="19.149999999999999" customHeight="1" x14ac:dyDescent="0.2">
      <c r="A11" s="371"/>
      <c r="B11" s="365"/>
      <c r="C11" s="369"/>
      <c r="D11" s="373"/>
      <c r="E11" s="371"/>
      <c r="F11" s="113" t="s">
        <v>252</v>
      </c>
      <c r="G11" s="113">
        <v>2013</v>
      </c>
      <c r="H11" s="113" t="s">
        <v>253</v>
      </c>
      <c r="I11" s="189">
        <v>4.9000000000000002E-2</v>
      </c>
      <c r="J11" s="189">
        <v>3.9E-2</v>
      </c>
      <c r="K11" s="189">
        <v>3.9E-2</v>
      </c>
      <c r="L11" s="189">
        <v>3.9E-2</v>
      </c>
      <c r="M11" s="189">
        <v>4.9000000000000002E-2</v>
      </c>
      <c r="N11" s="189">
        <v>7.4999999999999997E-2</v>
      </c>
      <c r="O11" s="189">
        <v>6.7000000000000004E-2</v>
      </c>
      <c r="P11" s="189">
        <v>6.7000000000000004E-2</v>
      </c>
      <c r="Q11" s="189">
        <v>3.9E-2</v>
      </c>
      <c r="R11" s="189">
        <v>3.9E-2</v>
      </c>
      <c r="S11" s="189">
        <v>3.9E-2</v>
      </c>
      <c r="T11" s="189">
        <v>3.9E-2</v>
      </c>
      <c r="U11" s="189">
        <v>3.9E-2</v>
      </c>
      <c r="V11" s="189">
        <v>3.9E-2</v>
      </c>
      <c r="W11" s="189">
        <v>3.9E-2</v>
      </c>
      <c r="X11" s="189">
        <v>3.9E-2</v>
      </c>
      <c r="Y11" s="114"/>
    </row>
    <row r="12" spans="1:25" ht="19.149999999999999" customHeight="1" x14ac:dyDescent="0.2">
      <c r="A12" s="371"/>
      <c r="B12" s="365"/>
      <c r="C12" s="370"/>
      <c r="D12" s="374"/>
      <c r="E12" s="371"/>
      <c r="F12" s="156" t="s">
        <v>254</v>
      </c>
      <c r="G12" s="157">
        <v>2025</v>
      </c>
      <c r="H12" s="157" t="s">
        <v>253</v>
      </c>
      <c r="I12" s="190">
        <v>2.8000000000000001E-2</v>
      </c>
      <c r="J12" s="190">
        <v>2.8000000000000001E-2</v>
      </c>
      <c r="K12" s="190">
        <v>2.8000000000000001E-2</v>
      </c>
      <c r="L12" s="190">
        <v>2.8000000000000001E-2</v>
      </c>
      <c r="M12" s="190">
        <v>2.8000000000000001E-2</v>
      </c>
      <c r="N12" s="190">
        <v>4.7E-2</v>
      </c>
      <c r="O12" s="190">
        <v>4.7E-2</v>
      </c>
      <c r="P12" s="190">
        <v>4.7E-2</v>
      </c>
      <c r="Q12" s="190">
        <v>2.8000000000000001E-2</v>
      </c>
      <c r="R12" s="190">
        <v>2.8000000000000001E-2</v>
      </c>
      <c r="S12" s="190">
        <v>2.8000000000000001E-2</v>
      </c>
      <c r="T12" s="190">
        <v>2.8000000000000001E-2</v>
      </c>
      <c r="U12" s="190">
        <v>2.8000000000000001E-2</v>
      </c>
      <c r="V12" s="190">
        <v>2.8000000000000001E-2</v>
      </c>
      <c r="W12" s="190">
        <v>2.8000000000000001E-2</v>
      </c>
      <c r="X12" s="190">
        <v>2.8000000000000001E-2</v>
      </c>
      <c r="Y12" s="114"/>
    </row>
    <row r="13" spans="1:25" ht="19.149999999999999" customHeight="1" x14ac:dyDescent="0.2">
      <c r="A13" s="371" t="s">
        <v>259</v>
      </c>
      <c r="B13" s="365" t="str">
        <f t="shared" ref="B13" si="1">$B$3</f>
        <v>SchoolK-8</v>
      </c>
      <c r="C13" s="368" t="s">
        <v>260</v>
      </c>
      <c r="D13" s="365" t="s">
        <v>261</v>
      </c>
      <c r="E13" s="371" t="s">
        <v>244</v>
      </c>
      <c r="F13" s="339" t="s">
        <v>245</v>
      </c>
      <c r="G13" s="339" t="s">
        <v>246</v>
      </c>
      <c r="H13" s="365" t="s">
        <v>262</v>
      </c>
      <c r="I13" s="158">
        <f>0.33*1.12+0.67*0.36</f>
        <v>0.61080000000000001</v>
      </c>
      <c r="J13" s="158">
        <f t="shared" ref="J13:X14" si="2">0.33*1.12+0.67*0.36</f>
        <v>0.61080000000000001</v>
      </c>
      <c r="K13" s="158">
        <f t="shared" si="2"/>
        <v>0.61080000000000001</v>
      </c>
      <c r="L13" s="158">
        <f t="shared" si="2"/>
        <v>0.61080000000000001</v>
      </c>
      <c r="M13" s="158">
        <f t="shared" si="2"/>
        <v>0.61080000000000001</v>
      </c>
      <c r="N13" s="158">
        <f t="shared" si="2"/>
        <v>0.61080000000000001</v>
      </c>
      <c r="O13" s="158">
        <f t="shared" si="2"/>
        <v>0.61080000000000001</v>
      </c>
      <c r="P13" s="158">
        <f t="shared" si="2"/>
        <v>0.61080000000000001</v>
      </c>
      <c r="Q13" s="158">
        <f t="shared" si="2"/>
        <v>0.61080000000000001</v>
      </c>
      <c r="R13" s="158">
        <f t="shared" si="2"/>
        <v>0.61080000000000001</v>
      </c>
      <c r="S13" s="158">
        <f t="shared" si="2"/>
        <v>0.61080000000000001</v>
      </c>
      <c r="T13" s="158">
        <f t="shared" si="2"/>
        <v>0.61080000000000001</v>
      </c>
      <c r="U13" s="158">
        <f t="shared" si="2"/>
        <v>0.61080000000000001</v>
      </c>
      <c r="V13" s="158">
        <f t="shared" si="2"/>
        <v>0.61080000000000001</v>
      </c>
      <c r="W13" s="158">
        <f t="shared" si="2"/>
        <v>0.61080000000000001</v>
      </c>
      <c r="X13" s="158">
        <f t="shared" si="2"/>
        <v>0.61080000000000001</v>
      </c>
      <c r="Y13" s="114"/>
    </row>
    <row r="14" spans="1:25" ht="19.149999999999999" customHeight="1" x14ac:dyDescent="0.2">
      <c r="A14" s="371"/>
      <c r="B14" s="365"/>
      <c r="C14" s="369"/>
      <c r="D14" s="365"/>
      <c r="E14" s="371"/>
      <c r="F14" s="111" t="s">
        <v>248</v>
      </c>
      <c r="G14" s="111" t="s">
        <v>246</v>
      </c>
      <c r="H14" s="365"/>
      <c r="I14" s="159">
        <f>0.33*1.12+0.67*0.36</f>
        <v>0.61080000000000001</v>
      </c>
      <c r="J14" s="159">
        <f t="shared" si="2"/>
        <v>0.61080000000000001</v>
      </c>
      <c r="K14" s="159">
        <f t="shared" si="2"/>
        <v>0.61080000000000001</v>
      </c>
      <c r="L14" s="159">
        <f t="shared" si="2"/>
        <v>0.61080000000000001</v>
      </c>
      <c r="M14" s="159">
        <f t="shared" si="2"/>
        <v>0.61080000000000001</v>
      </c>
      <c r="N14" s="159">
        <f t="shared" si="2"/>
        <v>0.61080000000000001</v>
      </c>
      <c r="O14" s="159">
        <f t="shared" si="2"/>
        <v>0.61080000000000001</v>
      </c>
      <c r="P14" s="159">
        <f t="shared" si="2"/>
        <v>0.61080000000000001</v>
      </c>
      <c r="Q14" s="159">
        <f t="shared" si="2"/>
        <v>0.61080000000000001</v>
      </c>
      <c r="R14" s="159">
        <f t="shared" si="2"/>
        <v>0.61080000000000001</v>
      </c>
      <c r="S14" s="159">
        <f t="shared" si="2"/>
        <v>0.61080000000000001</v>
      </c>
      <c r="T14" s="159">
        <f t="shared" si="2"/>
        <v>0.61080000000000001</v>
      </c>
      <c r="U14" s="159">
        <f t="shared" si="2"/>
        <v>0.61080000000000001</v>
      </c>
      <c r="V14" s="159">
        <f t="shared" si="2"/>
        <v>0.61080000000000001</v>
      </c>
      <c r="W14" s="159">
        <f t="shared" si="2"/>
        <v>0.61080000000000001</v>
      </c>
      <c r="X14" s="159">
        <f t="shared" si="2"/>
        <v>0.61080000000000001</v>
      </c>
      <c r="Y14" s="114"/>
    </row>
    <row r="15" spans="1:25" ht="19.149999999999999" customHeight="1" x14ac:dyDescent="0.2">
      <c r="A15" s="371"/>
      <c r="B15" s="365"/>
      <c r="C15" s="369"/>
      <c r="D15" s="371" t="s">
        <v>263</v>
      </c>
      <c r="E15" s="371"/>
      <c r="F15" s="112" t="s">
        <v>250</v>
      </c>
      <c r="G15" s="112">
        <v>2001</v>
      </c>
      <c r="H15" s="112" t="s">
        <v>251</v>
      </c>
      <c r="I15" s="112">
        <v>0.49</v>
      </c>
      <c r="J15" s="112">
        <v>0.49</v>
      </c>
      <c r="K15" s="112">
        <v>0.81</v>
      </c>
      <c r="L15" s="112">
        <v>0.81</v>
      </c>
      <c r="M15" s="112">
        <v>0.81</v>
      </c>
      <c r="N15" s="112">
        <v>0.81</v>
      </c>
      <c r="O15" s="112">
        <v>0.81</v>
      </c>
      <c r="P15" s="112">
        <v>0.81</v>
      </c>
      <c r="Q15" s="112">
        <v>0.81</v>
      </c>
      <c r="R15" s="112">
        <v>0.49</v>
      </c>
      <c r="S15" s="112">
        <v>0.49</v>
      </c>
      <c r="T15" s="112">
        <v>0.49</v>
      </c>
      <c r="U15" s="112">
        <v>0.49</v>
      </c>
      <c r="V15" s="112">
        <v>0.49</v>
      </c>
      <c r="W15" s="112">
        <v>0.49</v>
      </c>
      <c r="X15" s="112">
        <v>0.49</v>
      </c>
      <c r="Y15" s="114"/>
    </row>
    <row r="16" spans="1:25" ht="19.149999999999999" customHeight="1" x14ac:dyDescent="0.2">
      <c r="A16" s="371"/>
      <c r="B16" s="365"/>
      <c r="C16" s="369"/>
      <c r="D16" s="371"/>
      <c r="E16" s="371"/>
      <c r="F16" s="113" t="s">
        <v>252</v>
      </c>
      <c r="G16" s="113">
        <v>2013</v>
      </c>
      <c r="H16" s="113" t="s">
        <v>253</v>
      </c>
      <c r="I16" s="113">
        <v>0.36</v>
      </c>
      <c r="J16" s="113">
        <v>0.36</v>
      </c>
      <c r="K16" s="113">
        <v>0.36</v>
      </c>
      <c r="L16" s="113">
        <v>0.36</v>
      </c>
      <c r="M16" s="113">
        <v>0.36</v>
      </c>
      <c r="N16" s="113">
        <v>0.36</v>
      </c>
      <c r="O16" s="113">
        <v>0.36</v>
      </c>
      <c r="P16" s="113">
        <v>0.36</v>
      </c>
      <c r="Q16" s="113">
        <v>0.36</v>
      </c>
      <c r="R16" s="113">
        <v>0.36</v>
      </c>
      <c r="S16" s="113">
        <v>0.36</v>
      </c>
      <c r="T16" s="113">
        <v>0.36</v>
      </c>
      <c r="U16" s="113">
        <v>0.36</v>
      </c>
      <c r="V16" s="113">
        <v>0.36</v>
      </c>
      <c r="W16" s="113">
        <v>0.36</v>
      </c>
      <c r="X16" s="113">
        <v>0.36</v>
      </c>
      <c r="Y16" s="114"/>
    </row>
    <row r="17" spans="1:50" ht="19.149999999999999" customHeight="1" x14ac:dyDescent="0.2">
      <c r="A17" s="371"/>
      <c r="B17" s="365"/>
      <c r="C17" s="370"/>
      <c r="D17" s="371"/>
      <c r="E17" s="371"/>
      <c r="F17" s="156" t="s">
        <v>254</v>
      </c>
      <c r="G17" s="157">
        <v>2025</v>
      </c>
      <c r="H17" s="157" t="s">
        <v>253</v>
      </c>
      <c r="I17" s="157">
        <v>0.36</v>
      </c>
      <c r="J17" s="157">
        <v>0.36</v>
      </c>
      <c r="K17" s="157">
        <v>0.36</v>
      </c>
      <c r="L17" s="157">
        <v>0.36</v>
      </c>
      <c r="M17" s="157">
        <v>0.36</v>
      </c>
      <c r="N17" s="157">
        <v>0.36</v>
      </c>
      <c r="O17" s="157">
        <v>0.36</v>
      </c>
      <c r="P17" s="157">
        <v>0.36</v>
      </c>
      <c r="Q17" s="157">
        <v>0.34</v>
      </c>
      <c r="R17" s="157">
        <v>0.36</v>
      </c>
      <c r="S17" s="157">
        <v>0.34</v>
      </c>
      <c r="T17" s="157">
        <v>0.34</v>
      </c>
      <c r="U17" s="157">
        <v>0.34</v>
      </c>
      <c r="V17" s="157">
        <v>0.34</v>
      </c>
      <c r="W17" s="157">
        <v>0.34</v>
      </c>
      <c r="X17" s="157">
        <v>0.36</v>
      </c>
      <c r="Y17" s="114"/>
      <c r="Z17" s="4"/>
      <c r="AA17" s="4"/>
      <c r="AB17" s="4"/>
      <c r="AC17" s="4"/>
      <c r="AD17" s="4"/>
      <c r="AE17" s="4"/>
      <c r="AF17" s="4"/>
      <c r="AG17" s="4"/>
      <c r="AH17" s="4"/>
      <c r="AI17" s="4"/>
      <c r="AJ17" s="4"/>
      <c r="AK17" s="4"/>
      <c r="AL17" s="4"/>
      <c r="AM17" s="4"/>
      <c r="AN17" s="4"/>
      <c r="AO17" s="4"/>
      <c r="AP17" s="4"/>
      <c r="AQ17" s="4"/>
      <c r="AR17" s="4"/>
      <c r="AS17" s="4"/>
      <c r="AT17" s="4"/>
      <c r="AU17" s="4"/>
      <c r="AV17" s="4"/>
      <c r="AW17" s="4"/>
      <c r="AX17" s="4"/>
    </row>
    <row r="18" spans="1:50" ht="19.149999999999999" customHeight="1" x14ac:dyDescent="0.2">
      <c r="A18" s="371"/>
      <c r="B18" s="365" t="str">
        <f t="shared" ref="B18" si="3">$B$3</f>
        <v>SchoolK-8</v>
      </c>
      <c r="C18" s="368" t="s">
        <v>260</v>
      </c>
      <c r="D18" s="365" t="s">
        <v>261</v>
      </c>
      <c r="E18" s="371" t="s">
        <v>264</v>
      </c>
      <c r="F18" s="339" t="s">
        <v>245</v>
      </c>
      <c r="G18" s="339" t="s">
        <v>246</v>
      </c>
      <c r="H18" s="365" t="s">
        <v>265</v>
      </c>
      <c r="I18" s="158">
        <f>0.79*0.33+0.67*I21</f>
        <v>0.42820000000000003</v>
      </c>
      <c r="J18" s="158">
        <f t="shared" ref="J18:X18" si="4">0.79*0.33+0.67*J21</f>
        <v>0.42820000000000003</v>
      </c>
      <c r="K18" s="158">
        <f t="shared" si="4"/>
        <v>0.42820000000000003</v>
      </c>
      <c r="L18" s="158">
        <f t="shared" si="4"/>
        <v>0.42820000000000003</v>
      </c>
      <c r="M18" s="158">
        <f t="shared" si="4"/>
        <v>0.42820000000000003</v>
      </c>
      <c r="N18" s="158">
        <f t="shared" si="4"/>
        <v>0.42820000000000003</v>
      </c>
      <c r="O18" s="158">
        <f t="shared" si="4"/>
        <v>0.42820000000000003</v>
      </c>
      <c r="P18" s="158">
        <f t="shared" si="4"/>
        <v>0.42820000000000003</v>
      </c>
      <c r="Q18" s="158">
        <f t="shared" si="4"/>
        <v>0.42820000000000003</v>
      </c>
      <c r="R18" s="158">
        <f t="shared" si="4"/>
        <v>0.42820000000000003</v>
      </c>
      <c r="S18" s="158">
        <f t="shared" si="4"/>
        <v>0.42820000000000003</v>
      </c>
      <c r="T18" s="158">
        <f t="shared" si="4"/>
        <v>0.42820000000000003</v>
      </c>
      <c r="U18" s="158">
        <f t="shared" si="4"/>
        <v>0.42820000000000003</v>
      </c>
      <c r="V18" s="158">
        <f t="shared" si="4"/>
        <v>0.42820000000000003</v>
      </c>
      <c r="W18" s="158">
        <f t="shared" si="4"/>
        <v>0.42820000000000003</v>
      </c>
      <c r="X18" s="158">
        <f t="shared" si="4"/>
        <v>0.42820000000000003</v>
      </c>
      <c r="Y18" s="114"/>
      <c r="Z18" s="4"/>
      <c r="AA18" s="4"/>
      <c r="AB18" s="4"/>
      <c r="AC18" s="4"/>
      <c r="AD18" s="4"/>
      <c r="AE18" s="4"/>
      <c r="AF18" s="4"/>
      <c r="AG18" s="4"/>
      <c r="AH18" s="4"/>
      <c r="AI18" s="4"/>
      <c r="AJ18" s="4"/>
      <c r="AK18" s="4"/>
      <c r="AL18" s="4"/>
      <c r="AM18" s="4"/>
      <c r="AN18" s="4"/>
      <c r="AO18" s="4"/>
      <c r="AP18" s="4"/>
      <c r="AQ18" s="4"/>
      <c r="AR18" s="4"/>
      <c r="AS18" s="4"/>
      <c r="AT18" s="4"/>
      <c r="AU18" s="4"/>
      <c r="AV18" s="4"/>
      <c r="AW18" s="4"/>
      <c r="AX18" s="4"/>
    </row>
    <row r="19" spans="1:50" ht="19.149999999999999" customHeight="1" x14ac:dyDescent="0.2">
      <c r="A19" s="371"/>
      <c r="B19" s="365"/>
      <c r="C19" s="369"/>
      <c r="D19" s="365"/>
      <c r="E19" s="371"/>
      <c r="F19" s="111" t="s">
        <v>248</v>
      </c>
      <c r="G19" s="111" t="s">
        <v>246</v>
      </c>
      <c r="H19" s="365"/>
      <c r="I19" s="159">
        <f>0.79*0.33+0.67*I21</f>
        <v>0.42820000000000003</v>
      </c>
      <c r="J19" s="159">
        <f t="shared" ref="J19:X19" si="5">0.79*0.33+0.67*J21</f>
        <v>0.42820000000000003</v>
      </c>
      <c r="K19" s="159">
        <f t="shared" si="5"/>
        <v>0.42820000000000003</v>
      </c>
      <c r="L19" s="159">
        <f t="shared" si="5"/>
        <v>0.42820000000000003</v>
      </c>
      <c r="M19" s="159">
        <f t="shared" si="5"/>
        <v>0.42820000000000003</v>
      </c>
      <c r="N19" s="159">
        <f t="shared" si="5"/>
        <v>0.42820000000000003</v>
      </c>
      <c r="O19" s="159">
        <f t="shared" si="5"/>
        <v>0.42820000000000003</v>
      </c>
      <c r="P19" s="159">
        <f t="shared" si="5"/>
        <v>0.42820000000000003</v>
      </c>
      <c r="Q19" s="159">
        <f t="shared" si="5"/>
        <v>0.42820000000000003</v>
      </c>
      <c r="R19" s="159">
        <f t="shared" si="5"/>
        <v>0.42820000000000003</v>
      </c>
      <c r="S19" s="159">
        <f t="shared" si="5"/>
        <v>0.42820000000000003</v>
      </c>
      <c r="T19" s="159">
        <f t="shared" si="5"/>
        <v>0.42820000000000003</v>
      </c>
      <c r="U19" s="159">
        <f t="shared" si="5"/>
        <v>0.42820000000000003</v>
      </c>
      <c r="V19" s="159">
        <f t="shared" si="5"/>
        <v>0.42820000000000003</v>
      </c>
      <c r="W19" s="159">
        <f t="shared" si="5"/>
        <v>0.42820000000000003</v>
      </c>
      <c r="X19" s="159">
        <f t="shared" si="5"/>
        <v>0.42820000000000003</v>
      </c>
      <c r="Y19" s="114"/>
      <c r="Z19" s="4"/>
      <c r="AA19" s="4"/>
      <c r="AB19" s="4"/>
      <c r="AC19" s="4"/>
      <c r="AD19" s="4"/>
      <c r="AE19" s="4"/>
      <c r="AF19" s="4"/>
      <c r="AG19" s="4"/>
      <c r="AH19" s="4"/>
      <c r="AI19" s="4"/>
      <c r="AJ19" s="4"/>
      <c r="AK19" s="4"/>
      <c r="AL19" s="4"/>
      <c r="AM19" s="4"/>
      <c r="AN19" s="4"/>
      <c r="AO19" s="4"/>
      <c r="AP19" s="4"/>
      <c r="AQ19" s="4"/>
      <c r="AR19" s="4"/>
      <c r="AS19" s="4"/>
      <c r="AT19" s="4"/>
      <c r="AU19" s="4"/>
      <c r="AV19" s="4"/>
      <c r="AW19" s="4"/>
      <c r="AX19" s="4"/>
    </row>
    <row r="20" spans="1:50" ht="19.149999999999999" customHeight="1" x14ac:dyDescent="0.2">
      <c r="A20" s="371"/>
      <c r="B20" s="365"/>
      <c r="C20" s="369"/>
      <c r="D20" s="371" t="s">
        <v>263</v>
      </c>
      <c r="E20" s="371"/>
      <c r="F20" s="112" t="s">
        <v>250</v>
      </c>
      <c r="G20" s="112">
        <v>2001</v>
      </c>
      <c r="H20" s="160" t="s">
        <v>266</v>
      </c>
      <c r="I20" s="112">
        <v>0.43</v>
      </c>
      <c r="J20" s="112">
        <v>0.36</v>
      </c>
      <c r="K20" s="112">
        <v>0.41</v>
      </c>
      <c r="L20" s="112">
        <v>0.41</v>
      </c>
      <c r="M20" s="112">
        <v>0.41</v>
      </c>
      <c r="N20" s="112">
        <v>0.34</v>
      </c>
      <c r="O20" s="112">
        <v>0.34</v>
      </c>
      <c r="P20" s="112">
        <v>0.34</v>
      </c>
      <c r="Q20" s="112">
        <v>0.34</v>
      </c>
      <c r="R20" s="112">
        <v>0.31</v>
      </c>
      <c r="S20" s="112">
        <v>0.31</v>
      </c>
      <c r="T20" s="112">
        <v>0.31</v>
      </c>
      <c r="U20" s="112">
        <v>0.31</v>
      </c>
      <c r="V20" s="112">
        <v>0.31</v>
      </c>
      <c r="W20" s="112">
        <v>0.31</v>
      </c>
      <c r="X20" s="112">
        <v>0.43</v>
      </c>
      <c r="Y20" s="114"/>
      <c r="Z20" s="4"/>
      <c r="AA20" s="4"/>
      <c r="AB20" s="4"/>
      <c r="AC20" s="4"/>
      <c r="AD20" s="4"/>
      <c r="AE20" s="4"/>
      <c r="AF20" s="4"/>
      <c r="AG20" s="4"/>
      <c r="AH20" s="4"/>
      <c r="AI20" s="4"/>
      <c r="AJ20" s="4"/>
      <c r="AK20" s="4"/>
      <c r="AL20" s="4"/>
      <c r="AM20" s="4"/>
      <c r="AN20" s="4"/>
      <c r="AO20" s="4"/>
      <c r="AP20" s="4"/>
      <c r="AQ20" s="4"/>
      <c r="AR20" s="4"/>
      <c r="AS20" s="4"/>
      <c r="AT20" s="4"/>
      <c r="AU20" s="4"/>
      <c r="AV20" s="4"/>
      <c r="AW20" s="4"/>
      <c r="AX20" s="4"/>
    </row>
    <row r="21" spans="1:50" ht="19.149999999999999" customHeight="1" x14ac:dyDescent="0.2">
      <c r="A21" s="371"/>
      <c r="B21" s="365"/>
      <c r="C21" s="369"/>
      <c r="D21" s="371"/>
      <c r="E21" s="371"/>
      <c r="F21" s="113" t="s">
        <v>252</v>
      </c>
      <c r="G21" s="113">
        <v>2013</v>
      </c>
      <c r="H21" s="113" t="s">
        <v>253</v>
      </c>
      <c r="I21" s="113">
        <v>0.25</v>
      </c>
      <c r="J21" s="113">
        <v>0.25</v>
      </c>
      <c r="K21" s="113">
        <v>0.25</v>
      </c>
      <c r="L21" s="113">
        <v>0.25</v>
      </c>
      <c r="M21" s="113">
        <v>0.25</v>
      </c>
      <c r="N21" s="113">
        <v>0.25</v>
      </c>
      <c r="O21" s="113">
        <v>0.25</v>
      </c>
      <c r="P21" s="113">
        <v>0.25</v>
      </c>
      <c r="Q21" s="113">
        <v>0.25</v>
      </c>
      <c r="R21" s="113">
        <v>0.25</v>
      </c>
      <c r="S21" s="113">
        <v>0.25</v>
      </c>
      <c r="T21" s="113">
        <v>0.25</v>
      </c>
      <c r="U21" s="113">
        <v>0.25</v>
      </c>
      <c r="V21" s="113">
        <v>0.25</v>
      </c>
      <c r="W21" s="113">
        <v>0.25</v>
      </c>
      <c r="X21" s="113">
        <v>0.25</v>
      </c>
      <c r="Y21" s="114"/>
      <c r="Z21" s="4"/>
      <c r="AA21" s="4"/>
      <c r="AB21" s="4"/>
      <c r="AC21" s="4"/>
      <c r="AD21" s="4"/>
      <c r="AE21" s="4"/>
      <c r="AF21" s="4"/>
      <c r="AG21" s="4"/>
      <c r="AH21" s="4"/>
      <c r="AI21" s="4"/>
      <c r="AJ21" s="4"/>
      <c r="AK21" s="4"/>
      <c r="AL21" s="4"/>
      <c r="AM21" s="4"/>
      <c r="AN21" s="4"/>
      <c r="AO21" s="4"/>
      <c r="AP21" s="4"/>
      <c r="AQ21" s="4"/>
      <c r="AR21" s="4"/>
      <c r="AS21" s="4"/>
      <c r="AT21" s="4"/>
      <c r="AU21" s="4"/>
      <c r="AV21" s="4"/>
      <c r="AW21" s="4"/>
      <c r="AX21" s="4"/>
    </row>
    <row r="22" spans="1:50" ht="19.149999999999999" customHeight="1" x14ac:dyDescent="0.2">
      <c r="A22" s="371"/>
      <c r="B22" s="365"/>
      <c r="C22" s="370"/>
      <c r="D22" s="371"/>
      <c r="E22" s="371"/>
      <c r="F22" s="156" t="s">
        <v>254</v>
      </c>
      <c r="G22" s="157">
        <v>2025</v>
      </c>
      <c r="H22" s="156" t="s">
        <v>253</v>
      </c>
      <c r="I22" s="157">
        <v>0.25</v>
      </c>
      <c r="J22" s="157">
        <v>0.25</v>
      </c>
      <c r="K22" s="157">
        <v>0.25</v>
      </c>
      <c r="L22" s="157">
        <v>0.25</v>
      </c>
      <c r="M22" s="157">
        <v>0.25</v>
      </c>
      <c r="N22" s="157">
        <v>0.25</v>
      </c>
      <c r="O22" s="157">
        <v>0.25</v>
      </c>
      <c r="P22" s="157">
        <v>0.25</v>
      </c>
      <c r="Q22" s="157">
        <v>0.22</v>
      </c>
      <c r="R22" s="157">
        <v>0.25</v>
      </c>
      <c r="S22" s="157">
        <v>0.22</v>
      </c>
      <c r="T22" s="157">
        <v>0.22</v>
      </c>
      <c r="U22" s="157">
        <v>0.22</v>
      </c>
      <c r="V22" s="157">
        <v>0.22</v>
      </c>
      <c r="W22" s="157">
        <v>0.22</v>
      </c>
      <c r="X22" s="157">
        <v>0.25</v>
      </c>
      <c r="Y22" s="114"/>
      <c r="Z22" s="4"/>
      <c r="AA22" s="4"/>
      <c r="AB22" s="4"/>
      <c r="AC22" s="4"/>
      <c r="AD22" s="4"/>
      <c r="AE22" s="4"/>
      <c r="AF22" s="4"/>
      <c r="AG22" s="4"/>
      <c r="AH22" s="4"/>
      <c r="AI22" s="4"/>
      <c r="AJ22" s="4"/>
      <c r="AK22" s="4"/>
      <c r="AL22" s="4"/>
      <c r="AM22" s="4"/>
      <c r="AN22" s="4"/>
      <c r="AO22" s="4"/>
      <c r="AP22" s="4"/>
      <c r="AQ22" s="4"/>
      <c r="AR22" s="4"/>
      <c r="AS22" s="4"/>
      <c r="AT22" s="4"/>
      <c r="AU22" s="4"/>
      <c r="AV22" s="4"/>
      <c r="AW22" s="4"/>
      <c r="AX22" s="4"/>
    </row>
    <row r="23" spans="1:50" x14ac:dyDescent="0.2">
      <c r="A23" s="6"/>
      <c r="B23" s="12"/>
      <c r="C23" s="6"/>
      <c r="D23" s="6"/>
      <c r="E23" s="115"/>
      <c r="F23" s="115"/>
      <c r="G23" s="116"/>
      <c r="H23" s="115"/>
      <c r="I23" s="115"/>
      <c r="J23" s="115"/>
      <c r="K23" s="115"/>
      <c r="L23" s="115"/>
      <c r="M23" s="115"/>
      <c r="N23" s="115"/>
      <c r="O23" s="115"/>
      <c r="P23" s="115"/>
      <c r="Q23" s="115"/>
      <c r="R23" s="115"/>
      <c r="S23" s="115"/>
      <c r="T23" s="115"/>
      <c r="U23" s="115"/>
      <c r="V23" s="115"/>
      <c r="W23" s="115"/>
      <c r="X23" s="115"/>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row>
    <row r="24" spans="1:50" ht="15.75" x14ac:dyDescent="0.2">
      <c r="A24" s="6"/>
      <c r="B24" s="12"/>
      <c r="C24" s="6"/>
      <c r="D24" s="6"/>
      <c r="E24" s="71"/>
      <c r="F24" s="71"/>
      <c r="G24" s="71"/>
      <c r="H24" s="71"/>
      <c r="I24" s="71"/>
      <c r="J24" s="71"/>
      <c r="K24" s="71"/>
      <c r="L24" s="71"/>
      <c r="M24" s="72"/>
      <c r="N24" s="72"/>
      <c r="O24" s="72"/>
      <c r="P24" s="72"/>
      <c r="Q24" s="72"/>
      <c r="R24" s="72"/>
      <c r="S24" s="72"/>
      <c r="T24" s="72"/>
      <c r="U24" s="72"/>
      <c r="V24" s="72"/>
      <c r="W24" s="72"/>
      <c r="X24" s="72"/>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row>
    <row r="25" spans="1:50" ht="44.45" customHeight="1" x14ac:dyDescent="0.2">
      <c r="A25" s="4"/>
      <c r="B25" s="193"/>
      <c r="C25" s="4"/>
      <c r="D25" s="4"/>
      <c r="E25" s="363" t="s">
        <v>267</v>
      </c>
      <c r="F25" s="363"/>
      <c r="G25" s="363"/>
      <c r="H25" s="363"/>
      <c r="I25" s="363"/>
      <c r="J25" s="363"/>
      <c r="K25" s="363"/>
      <c r="L25" s="363"/>
      <c r="M25" s="363"/>
      <c r="N25" s="363"/>
      <c r="O25" s="363"/>
      <c r="P25" s="363"/>
      <c r="Q25" s="363"/>
      <c r="R25" s="363"/>
      <c r="S25" s="363"/>
      <c r="T25" s="363"/>
      <c r="U25" s="363"/>
      <c r="V25" s="363"/>
      <c r="W25" s="363"/>
      <c r="X25" s="363"/>
      <c r="Y25" s="71"/>
      <c r="Z25" s="71"/>
      <c r="AA25" s="4"/>
      <c r="AB25" s="4"/>
      <c r="AC25" s="4"/>
      <c r="AD25" s="4"/>
      <c r="AE25" s="4"/>
      <c r="AF25" s="4"/>
      <c r="AG25" s="4"/>
      <c r="AH25" s="4"/>
      <c r="AI25" s="4"/>
      <c r="AJ25" s="4"/>
      <c r="AK25" s="4"/>
      <c r="AL25" s="4"/>
      <c r="AM25" s="4"/>
      <c r="AN25" s="4"/>
      <c r="AO25" s="4"/>
      <c r="AP25" s="4"/>
      <c r="AQ25" s="4"/>
      <c r="AR25" s="4"/>
      <c r="AS25" s="4"/>
      <c r="AT25" s="4"/>
      <c r="AU25" s="4"/>
      <c r="AV25" s="4"/>
      <c r="AW25" s="4"/>
      <c r="AX25" s="4"/>
    </row>
    <row r="26" spans="1:50" ht="63" customHeight="1" x14ac:dyDescent="0.2">
      <c r="A26" s="4"/>
      <c r="B26" s="193"/>
      <c r="C26" s="4"/>
      <c r="D26" s="4"/>
      <c r="E26" s="336"/>
      <c r="F26" s="342" t="s">
        <v>222</v>
      </c>
      <c r="G26" s="336" t="s">
        <v>268</v>
      </c>
      <c r="H26" s="336" t="s">
        <v>224</v>
      </c>
      <c r="I26" s="364" t="s">
        <v>269</v>
      </c>
      <c r="J26" s="364"/>
      <c r="K26" s="364"/>
      <c r="L26" s="364"/>
      <c r="M26" s="364"/>
      <c r="N26" s="364"/>
      <c r="O26" s="364"/>
      <c r="P26" s="364"/>
      <c r="Q26" s="364"/>
      <c r="R26" s="364"/>
      <c r="S26" s="364"/>
      <c r="T26" s="364"/>
      <c r="U26" s="364"/>
      <c r="V26" s="364"/>
      <c r="W26" s="364"/>
      <c r="X26" s="364"/>
      <c r="Y26" s="161"/>
      <c r="Z26" s="4"/>
      <c r="AA26" s="4"/>
      <c r="AB26" s="4"/>
      <c r="AC26" s="4"/>
      <c r="AD26" s="4"/>
      <c r="AE26" s="4"/>
      <c r="AF26" s="4"/>
      <c r="AG26" s="4"/>
      <c r="AH26" s="4"/>
      <c r="AI26" s="4"/>
      <c r="AJ26" s="4"/>
      <c r="AK26" s="4"/>
      <c r="AL26" s="4"/>
      <c r="AM26" s="4"/>
      <c r="AN26" s="4"/>
      <c r="AO26" s="4"/>
      <c r="AP26" s="4"/>
      <c r="AQ26" s="4"/>
      <c r="AR26" s="4"/>
      <c r="AS26" s="4"/>
      <c r="AT26" s="4"/>
      <c r="AU26" s="4"/>
      <c r="AV26" s="4"/>
      <c r="AW26" s="4"/>
      <c r="AX26" s="4"/>
    </row>
    <row r="27" spans="1:50" ht="18.600000000000001" customHeight="1" x14ac:dyDescent="0.2">
      <c r="A27" s="4"/>
      <c r="B27" s="193"/>
      <c r="C27" s="4"/>
      <c r="D27" s="4"/>
      <c r="E27" s="366" t="s">
        <v>267</v>
      </c>
      <c r="F27" s="339" t="s">
        <v>245</v>
      </c>
      <c r="G27" s="337">
        <v>1.1000000000000001</v>
      </c>
      <c r="H27" s="147" t="s">
        <v>270</v>
      </c>
      <c r="I27" s="365">
        <v>0.34200000000000003</v>
      </c>
      <c r="J27" s="365"/>
      <c r="K27" s="365"/>
      <c r="L27" s="365"/>
      <c r="M27" s="365"/>
      <c r="N27" s="365"/>
      <c r="O27" s="365"/>
      <c r="P27" s="365"/>
      <c r="Q27" s="365"/>
      <c r="R27" s="365"/>
      <c r="S27" s="365"/>
      <c r="T27" s="365"/>
      <c r="U27" s="365"/>
      <c r="V27" s="365"/>
      <c r="W27" s="365"/>
      <c r="X27" s="365"/>
      <c r="Y27" s="10"/>
      <c r="Z27" s="4"/>
      <c r="AA27" s="350"/>
      <c r="AB27" s="350"/>
      <c r="AC27" s="350"/>
      <c r="AD27" s="350"/>
      <c r="AE27" s="350"/>
      <c r="AF27" s="350"/>
      <c r="AG27" s="350"/>
      <c r="AH27" s="350"/>
      <c r="AI27" s="350"/>
      <c r="AJ27" s="350"/>
      <c r="AK27" s="350"/>
      <c r="AL27" s="350"/>
      <c r="AM27" s="350"/>
      <c r="AN27" s="350"/>
      <c r="AO27" s="350"/>
      <c r="AP27" s="350"/>
      <c r="AQ27" s="350"/>
      <c r="AR27" s="350"/>
      <c r="AS27" s="350"/>
      <c r="AT27" s="350"/>
      <c r="AU27" s="350"/>
      <c r="AV27" s="350"/>
      <c r="AW27" s="350"/>
      <c r="AX27" s="4"/>
    </row>
    <row r="28" spans="1:50" ht="18.600000000000001" customHeight="1" x14ac:dyDescent="0.2">
      <c r="A28" s="4"/>
      <c r="B28" s="193"/>
      <c r="C28" s="4"/>
      <c r="D28" s="4"/>
      <c r="E28" s="366"/>
      <c r="F28" s="339" t="s">
        <v>248</v>
      </c>
      <c r="G28" s="337">
        <v>1.1000000000000001</v>
      </c>
      <c r="H28" s="147" t="s">
        <v>270</v>
      </c>
      <c r="I28" s="365">
        <v>0.34200000000000003</v>
      </c>
      <c r="J28" s="365"/>
      <c r="K28" s="365"/>
      <c r="L28" s="365"/>
      <c r="M28" s="365"/>
      <c r="N28" s="365"/>
      <c r="O28" s="365"/>
      <c r="P28" s="365"/>
      <c r="Q28" s="365"/>
      <c r="R28" s="365"/>
      <c r="S28" s="365"/>
      <c r="T28" s="365"/>
      <c r="U28" s="365"/>
      <c r="V28" s="365"/>
      <c r="W28" s="365"/>
      <c r="X28" s="365"/>
      <c r="Y28" s="10"/>
      <c r="Z28" s="4"/>
      <c r="AA28" s="4"/>
      <c r="AB28" s="4"/>
      <c r="AC28" s="4"/>
      <c r="AD28" s="4"/>
      <c r="AE28" s="4"/>
      <c r="AF28" s="4"/>
      <c r="AG28" s="4"/>
      <c r="AH28" s="4"/>
      <c r="AI28" s="4"/>
      <c r="AJ28" s="4"/>
      <c r="AK28" s="4"/>
      <c r="AL28" s="4"/>
      <c r="AM28" s="4"/>
      <c r="AN28" s="4"/>
      <c r="AO28" s="4"/>
      <c r="AP28" s="4"/>
      <c r="AQ28" s="4"/>
      <c r="AR28" s="4"/>
      <c r="AS28" s="4"/>
      <c r="AT28" s="4"/>
      <c r="AU28" s="4"/>
      <c r="AV28" s="4"/>
      <c r="AW28" s="4"/>
      <c r="AX28" s="4"/>
    </row>
    <row r="29" spans="1:50" ht="18.600000000000001" customHeight="1" x14ac:dyDescent="0.2">
      <c r="A29" s="4"/>
      <c r="B29" s="193"/>
      <c r="C29" s="4"/>
      <c r="D29" s="4"/>
      <c r="E29" s="366"/>
      <c r="F29" s="339" t="s">
        <v>250</v>
      </c>
      <c r="G29" s="337">
        <v>1.1000000000000001</v>
      </c>
      <c r="H29" s="147" t="s">
        <v>270</v>
      </c>
      <c r="I29" s="365">
        <v>0.34200000000000003</v>
      </c>
      <c r="J29" s="365"/>
      <c r="K29" s="365"/>
      <c r="L29" s="365"/>
      <c r="M29" s="365"/>
      <c r="N29" s="365"/>
      <c r="O29" s="365"/>
      <c r="P29" s="365"/>
      <c r="Q29" s="365"/>
      <c r="R29" s="365"/>
      <c r="S29" s="365"/>
      <c r="T29" s="365"/>
      <c r="U29" s="365"/>
      <c r="V29" s="365"/>
      <c r="W29" s="365"/>
      <c r="X29" s="365"/>
      <c r="Y29" s="10"/>
      <c r="Z29" s="4"/>
      <c r="AA29" s="4"/>
      <c r="AB29" s="4"/>
      <c r="AC29" s="4"/>
      <c r="AD29" s="4"/>
      <c r="AE29" s="4"/>
      <c r="AF29" s="4"/>
      <c r="AG29" s="4"/>
      <c r="AH29" s="4"/>
      <c r="AI29" s="4"/>
      <c r="AJ29" s="4"/>
      <c r="AK29" s="4"/>
      <c r="AL29" s="4"/>
      <c r="AM29" s="4"/>
      <c r="AN29" s="4"/>
      <c r="AO29" s="4"/>
      <c r="AP29" s="4"/>
      <c r="AQ29" s="4"/>
      <c r="AR29" s="4"/>
      <c r="AS29" s="4"/>
      <c r="AT29" s="4"/>
      <c r="AU29" s="4"/>
      <c r="AV29" s="4"/>
      <c r="AW29" s="4"/>
      <c r="AX29" s="4"/>
    </row>
    <row r="30" spans="1:50" ht="34.9" customHeight="1" x14ac:dyDescent="0.2">
      <c r="A30" s="4"/>
      <c r="B30" s="193"/>
      <c r="C30" s="4"/>
      <c r="D30" s="4"/>
      <c r="E30" s="366"/>
      <c r="F30" s="339" t="s">
        <v>252</v>
      </c>
      <c r="G30" s="337">
        <v>1</v>
      </c>
      <c r="H30" s="337" t="s">
        <v>271</v>
      </c>
      <c r="I30" s="365">
        <v>0.31290000000000001</v>
      </c>
      <c r="J30" s="365"/>
      <c r="K30" s="365"/>
      <c r="L30" s="365"/>
      <c r="M30" s="365"/>
      <c r="N30" s="365"/>
      <c r="O30" s="365"/>
      <c r="P30" s="365"/>
      <c r="Q30" s="365"/>
      <c r="R30" s="365"/>
      <c r="S30" s="365"/>
      <c r="T30" s="365"/>
      <c r="U30" s="365"/>
      <c r="V30" s="365"/>
      <c r="W30" s="365"/>
      <c r="X30" s="365"/>
      <c r="Y30" s="10"/>
      <c r="Z30" s="4"/>
      <c r="AA30" s="4"/>
      <c r="AB30" s="4"/>
      <c r="AC30" s="4"/>
      <c r="AD30" s="4"/>
      <c r="AE30" s="4"/>
      <c r="AF30" s="4"/>
      <c r="AG30" s="4"/>
      <c r="AH30" s="4"/>
      <c r="AI30" s="4"/>
      <c r="AJ30" s="4"/>
      <c r="AK30" s="4"/>
      <c r="AL30" s="4"/>
      <c r="AM30" s="4"/>
      <c r="AN30" s="4"/>
      <c r="AO30" s="4"/>
      <c r="AP30" s="4"/>
      <c r="AQ30" s="4"/>
      <c r="AR30" s="4"/>
      <c r="AS30" s="4"/>
      <c r="AT30" s="4"/>
      <c r="AU30" s="4"/>
      <c r="AV30" s="4"/>
      <c r="AW30" s="4"/>
      <c r="AX30" s="4"/>
    </row>
    <row r="31" spans="1:50" ht="31.15" customHeight="1" x14ac:dyDescent="0.2">
      <c r="A31" s="4"/>
      <c r="B31" s="193"/>
      <c r="C31" s="4"/>
      <c r="D31" s="4"/>
      <c r="E31" s="366"/>
      <c r="F31" s="339" t="s">
        <v>254</v>
      </c>
      <c r="G31" s="337">
        <v>0.6</v>
      </c>
      <c r="H31" s="337" t="s">
        <v>272</v>
      </c>
      <c r="I31" s="365">
        <v>0.1865</v>
      </c>
      <c r="J31" s="365"/>
      <c r="K31" s="365"/>
      <c r="L31" s="365"/>
      <c r="M31" s="365"/>
      <c r="N31" s="365"/>
      <c r="O31" s="365"/>
      <c r="P31" s="365"/>
      <c r="Q31" s="365"/>
      <c r="R31" s="365"/>
      <c r="S31" s="365"/>
      <c r="T31" s="365"/>
      <c r="U31" s="365"/>
      <c r="V31" s="365"/>
      <c r="W31" s="365"/>
      <c r="X31" s="365"/>
      <c r="Y31" s="10"/>
      <c r="Z31" s="4"/>
      <c r="AA31" s="4"/>
      <c r="AB31" s="4"/>
      <c r="AC31" s="4"/>
      <c r="AD31" s="4"/>
      <c r="AE31" s="4"/>
      <c r="AF31" s="4"/>
      <c r="AG31" s="4"/>
      <c r="AH31" s="4"/>
      <c r="AI31" s="4"/>
      <c r="AJ31" s="4"/>
      <c r="AK31" s="4"/>
      <c r="AL31" s="4"/>
      <c r="AM31" s="4"/>
      <c r="AN31" s="4"/>
      <c r="AO31" s="4"/>
      <c r="AP31" s="4"/>
      <c r="AQ31" s="4"/>
      <c r="AR31" s="4"/>
      <c r="AS31" s="4"/>
      <c r="AT31" s="4"/>
      <c r="AU31" s="4"/>
      <c r="AV31" s="4"/>
      <c r="AW31" s="4"/>
      <c r="AX31" s="4"/>
    </row>
    <row r="32" spans="1:50" x14ac:dyDescent="0.2">
      <c r="A32" s="4"/>
      <c r="B32" s="193"/>
      <c r="C32" s="4"/>
      <c r="D32" s="4"/>
      <c r="E32" s="6" t="s">
        <v>273</v>
      </c>
      <c r="F32" s="4"/>
      <c r="G32" s="73"/>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row>
    <row r="33" spans="5:22" ht="15" x14ac:dyDescent="0.25">
      <c r="E33" s="6" t="s">
        <v>274</v>
      </c>
      <c r="F33" s="4"/>
      <c r="G33" s="2" t="s">
        <v>26</v>
      </c>
      <c r="H33" s="4"/>
      <c r="I33" s="4"/>
      <c r="J33" s="4"/>
      <c r="K33" s="4"/>
      <c r="L33" s="4"/>
      <c r="M33" s="4"/>
      <c r="N33" s="4"/>
      <c r="O33" s="4"/>
      <c r="P33" s="4"/>
      <c r="Q33" s="4"/>
      <c r="R33" s="4"/>
      <c r="S33" s="4"/>
      <c r="T33" s="4"/>
      <c r="U33" s="4"/>
      <c r="V33" s="4"/>
    </row>
  </sheetData>
  <mergeCells count="38">
    <mergeCell ref="D20:D22"/>
    <mergeCell ref="E3:E7"/>
    <mergeCell ref="C13:C17"/>
    <mergeCell ref="B8:B12"/>
    <mergeCell ref="E8:E12"/>
    <mergeCell ref="E13:E17"/>
    <mergeCell ref="D8:D12"/>
    <mergeCell ref="D15:D17"/>
    <mergeCell ref="D13:D14"/>
    <mergeCell ref="AP27:AS27"/>
    <mergeCell ref="AT27:AW27"/>
    <mergeCell ref="AF27:AJ27"/>
    <mergeCell ref="AA27:AE27"/>
    <mergeCell ref="AK27:AO27"/>
    <mergeCell ref="A1:X1"/>
    <mergeCell ref="D18:D19"/>
    <mergeCell ref="C18:C22"/>
    <mergeCell ref="E18:E22"/>
    <mergeCell ref="A13:A22"/>
    <mergeCell ref="B18:B22"/>
    <mergeCell ref="B13:B17"/>
    <mergeCell ref="D3:D7"/>
    <mergeCell ref="B3:B7"/>
    <mergeCell ref="A3:A7"/>
    <mergeCell ref="C3:C7"/>
    <mergeCell ref="C8:C12"/>
    <mergeCell ref="H8:H9"/>
    <mergeCell ref="H13:H14"/>
    <mergeCell ref="H18:H19"/>
    <mergeCell ref="A8:A12"/>
    <mergeCell ref="E25:X25"/>
    <mergeCell ref="I26:X26"/>
    <mergeCell ref="I27:X27"/>
    <mergeCell ref="I28:X28"/>
    <mergeCell ref="I29:X29"/>
    <mergeCell ref="E27:E31"/>
    <mergeCell ref="I30:X30"/>
    <mergeCell ref="I31:X31"/>
  </mergeCells>
  <phoneticPr fontId="5" type="noConversion"/>
  <hyperlinks>
    <hyperlink ref="G33"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27"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6"/>
  <sheetViews>
    <sheetView zoomScale="85" zoomScaleNormal="85" zoomScaleSheetLayoutView="40" workbookViewId="0">
      <selection sqref="A1:G1"/>
    </sheetView>
  </sheetViews>
  <sheetFormatPr defaultColWidth="8.7109375" defaultRowHeight="12.75" x14ac:dyDescent="0.2"/>
  <cols>
    <col min="1" max="1" width="39" style="6" customWidth="1"/>
    <col min="2" max="2" width="34.7109375" style="6" customWidth="1"/>
    <col min="3" max="3" width="29.140625" style="6" customWidth="1"/>
    <col min="4" max="4" width="29.42578125" style="6" customWidth="1"/>
    <col min="5" max="5" width="37.42578125" style="6" bestFit="1" customWidth="1"/>
    <col min="6" max="6" width="48.28515625" style="6" bestFit="1" customWidth="1"/>
    <col min="7" max="7" width="34" style="6" customWidth="1"/>
    <col min="8" max="8" width="25.140625" style="6" bestFit="1" customWidth="1"/>
    <col min="9" max="11" width="12.7109375" style="6" customWidth="1"/>
    <col min="12" max="19" width="15.28515625" style="6" customWidth="1"/>
    <col min="20" max="20" width="14.7109375" style="6" customWidth="1"/>
    <col min="21" max="21" width="13.5703125" style="6" customWidth="1"/>
    <col min="22" max="22" width="15.7109375" style="6" customWidth="1"/>
    <col min="23" max="29" width="11" style="6" customWidth="1"/>
    <col min="30" max="38" width="6.5703125" style="6" customWidth="1"/>
    <col min="39" max="39" width="8.7109375" style="6" customWidth="1"/>
    <col min="40" max="16384" width="8.7109375" style="6"/>
  </cols>
  <sheetData>
    <row r="1" spans="1:9" ht="27" customHeight="1" x14ac:dyDescent="0.2">
      <c r="A1" s="385" t="str">
        <f>"HVAC system - "&amp;Prototype!A2</f>
        <v>HVAC system - SchoolK-8</v>
      </c>
      <c r="B1" s="386"/>
      <c r="C1" s="386"/>
      <c r="D1" s="386"/>
      <c r="E1" s="386"/>
      <c r="F1" s="386"/>
      <c r="G1" s="387"/>
    </row>
    <row r="2" spans="1:9" ht="19.149999999999999" customHeight="1" x14ac:dyDescent="0.2">
      <c r="A2" s="146" t="s">
        <v>222</v>
      </c>
      <c r="B2" s="68" t="s">
        <v>275</v>
      </c>
      <c r="C2" s="68" t="s">
        <v>276</v>
      </c>
      <c r="D2" s="68" t="s">
        <v>277</v>
      </c>
      <c r="E2" s="68" t="s">
        <v>278</v>
      </c>
      <c r="F2" s="68" t="s">
        <v>279</v>
      </c>
      <c r="G2" s="68" t="s">
        <v>224</v>
      </c>
    </row>
    <row r="3" spans="1:9" ht="42" customHeight="1" x14ac:dyDescent="0.2">
      <c r="A3" s="337" t="s">
        <v>280</v>
      </c>
      <c r="B3" s="337" t="s">
        <v>281</v>
      </c>
      <c r="C3" s="214" t="s">
        <v>282</v>
      </c>
      <c r="D3" s="214" t="s">
        <v>283</v>
      </c>
      <c r="E3" s="214" t="s">
        <v>284</v>
      </c>
      <c r="F3" s="345" t="s">
        <v>285</v>
      </c>
      <c r="G3" s="337" t="s">
        <v>286</v>
      </c>
      <c r="H3" s="333"/>
      <c r="I3" s="333"/>
    </row>
    <row r="4" spans="1:9" ht="47.25" customHeight="1" x14ac:dyDescent="0.2">
      <c r="A4" s="199" t="s">
        <v>287</v>
      </c>
      <c r="B4" s="337" t="s">
        <v>281</v>
      </c>
      <c r="C4" s="214" t="s">
        <v>288</v>
      </c>
      <c r="D4" s="214" t="s">
        <v>288</v>
      </c>
      <c r="E4" s="337" t="s">
        <v>284</v>
      </c>
      <c r="F4" s="345" t="s">
        <v>289</v>
      </c>
      <c r="G4" s="337" t="s">
        <v>290</v>
      </c>
      <c r="H4" s="66"/>
      <c r="I4" s="66"/>
    </row>
    <row r="5" spans="1:9" ht="25.9" customHeight="1" x14ac:dyDescent="0.2">
      <c r="A5" s="10"/>
      <c r="B5" s="10"/>
      <c r="C5" s="346"/>
      <c r="D5" s="346"/>
      <c r="E5" s="346"/>
      <c r="F5" s="66"/>
      <c r="G5" s="66"/>
      <c r="H5" s="66"/>
      <c r="I5" s="66"/>
    </row>
    <row r="6" spans="1:9" ht="15.6" customHeight="1" x14ac:dyDescent="0.2">
      <c r="A6" s="346"/>
      <c r="B6" s="346"/>
      <c r="C6" s="346"/>
      <c r="D6" s="346"/>
      <c r="E6" s="346"/>
    </row>
    <row r="7" spans="1:9" x14ac:dyDescent="0.2">
      <c r="A7" s="333"/>
      <c r="B7" s="346"/>
      <c r="C7" s="346"/>
      <c r="D7" s="346"/>
      <c r="E7" s="346"/>
    </row>
    <row r="8" spans="1:9" x14ac:dyDescent="0.2">
      <c r="A8" s="346"/>
      <c r="B8" s="346"/>
      <c r="C8" s="346"/>
      <c r="D8" s="346"/>
      <c r="E8" s="346"/>
    </row>
    <row r="9" spans="1:9" ht="25.9" customHeight="1" x14ac:dyDescent="0.2">
      <c r="A9" s="388" t="s">
        <v>291</v>
      </c>
      <c r="B9" s="389"/>
      <c r="C9" s="389"/>
      <c r="D9" s="389"/>
      <c r="E9" s="389"/>
      <c r="F9" s="389"/>
      <c r="G9" s="389"/>
      <c r="H9" s="95"/>
    </row>
    <row r="10" spans="1:9" ht="43.9" customHeight="1" x14ac:dyDescent="0.2">
      <c r="A10" s="128" t="s">
        <v>222</v>
      </c>
      <c r="B10" s="129" t="s">
        <v>292</v>
      </c>
      <c r="C10" s="130" t="s">
        <v>282</v>
      </c>
      <c r="D10" s="348" t="s">
        <v>293</v>
      </c>
      <c r="E10" s="348" t="s">
        <v>294</v>
      </c>
      <c r="F10" s="68" t="s">
        <v>295</v>
      </c>
      <c r="G10" s="131" t="s">
        <v>224</v>
      </c>
    </row>
    <row r="11" spans="1:9" ht="22.15" customHeight="1" x14ac:dyDescent="0.2">
      <c r="A11" s="132" t="s">
        <v>245</v>
      </c>
      <c r="B11" s="396">
        <v>2008</v>
      </c>
      <c r="C11" s="390" t="s">
        <v>296</v>
      </c>
      <c r="D11" s="397" t="s">
        <v>297</v>
      </c>
      <c r="E11" s="393" t="s">
        <v>298</v>
      </c>
      <c r="F11" s="379" t="s">
        <v>299</v>
      </c>
      <c r="G11" s="382"/>
    </row>
    <row r="12" spans="1:9" ht="20.45" customHeight="1" x14ac:dyDescent="0.2">
      <c r="A12" s="132" t="s">
        <v>248</v>
      </c>
      <c r="B12" s="394"/>
      <c r="C12" s="391"/>
      <c r="D12" s="391"/>
      <c r="E12" s="394"/>
      <c r="F12" s="380"/>
      <c r="G12" s="383"/>
    </row>
    <row r="13" spans="1:9" ht="19.899999999999999" customHeight="1" x14ac:dyDescent="0.2">
      <c r="A13" s="132" t="s">
        <v>250</v>
      </c>
      <c r="B13" s="395"/>
      <c r="C13" s="392"/>
      <c r="D13" s="392"/>
      <c r="E13" s="395"/>
      <c r="F13" s="381"/>
      <c r="G13" s="384"/>
    </row>
    <row r="14" spans="1:9" ht="57.6" customHeight="1" x14ac:dyDescent="0.2">
      <c r="A14" s="132" t="s">
        <v>252</v>
      </c>
      <c r="B14" s="69">
        <v>2013</v>
      </c>
      <c r="C14" s="120" t="s">
        <v>296</v>
      </c>
      <c r="D14" s="119" t="s">
        <v>297</v>
      </c>
      <c r="E14" s="120" t="s">
        <v>300</v>
      </c>
      <c r="F14" s="70" t="s">
        <v>301</v>
      </c>
      <c r="G14" s="133"/>
    </row>
    <row r="15" spans="1:9" ht="93.6" customHeight="1" x14ac:dyDescent="0.2">
      <c r="A15" s="134" t="s">
        <v>287</v>
      </c>
      <c r="B15" s="135">
        <v>2025</v>
      </c>
      <c r="C15" s="136" t="s">
        <v>297</v>
      </c>
      <c r="D15" s="136" t="s">
        <v>302</v>
      </c>
      <c r="E15" s="136" t="s">
        <v>303</v>
      </c>
      <c r="F15" s="137" t="s">
        <v>304</v>
      </c>
      <c r="G15" s="138"/>
    </row>
    <row r="16" spans="1:9" x14ac:dyDescent="0.2">
      <c r="B16" s="8"/>
      <c r="C16" s="8"/>
      <c r="D16" s="37"/>
      <c r="E16" s="8"/>
    </row>
    <row r="17" spans="1:40" x14ac:dyDescent="0.2">
      <c r="A17" s="38"/>
      <c r="B17" s="8"/>
      <c r="C17" s="8" t="s">
        <v>305</v>
      </c>
      <c r="D17" s="8" t="s">
        <v>306</v>
      </c>
      <c r="E17" s="8"/>
    </row>
    <row r="18" spans="1:40" ht="13.5" thickBot="1" x14ac:dyDescent="0.25">
      <c r="A18" s="341"/>
      <c r="B18" s="341"/>
      <c r="C18" s="341"/>
      <c r="D18" s="341"/>
      <c r="E18" s="341"/>
    </row>
    <row r="19" spans="1:40" ht="15.75" x14ac:dyDescent="0.2">
      <c r="A19" s="376" t="s">
        <v>307</v>
      </c>
      <c r="B19" s="377"/>
      <c r="C19" s="377"/>
      <c r="D19" s="377"/>
      <c r="E19" s="377"/>
      <c r="F19" s="377"/>
      <c r="G19" s="377"/>
      <c r="H19" s="377"/>
      <c r="I19" s="378"/>
    </row>
    <row r="20" spans="1:40" ht="38.25" x14ac:dyDescent="0.2">
      <c r="A20" s="90" t="s">
        <v>222</v>
      </c>
      <c r="B20" s="90" t="s">
        <v>308</v>
      </c>
      <c r="C20" s="90" t="s">
        <v>309</v>
      </c>
      <c r="D20" s="96" t="s">
        <v>310</v>
      </c>
      <c r="E20" s="96" t="s">
        <v>311</v>
      </c>
      <c r="F20" s="96" t="s">
        <v>312</v>
      </c>
      <c r="G20" s="96" t="s">
        <v>313</v>
      </c>
      <c r="H20" s="90" t="s">
        <v>314</v>
      </c>
      <c r="I20" s="90" t="s">
        <v>224</v>
      </c>
    </row>
    <row r="21" spans="1:40" ht="33" customHeight="1" x14ac:dyDescent="0.2">
      <c r="A21" s="97" t="s">
        <v>315</v>
      </c>
      <c r="B21" s="97" t="s">
        <v>316</v>
      </c>
      <c r="C21" s="214" t="s">
        <v>317</v>
      </c>
      <c r="D21" s="343" t="s">
        <v>318</v>
      </c>
      <c r="E21" s="194">
        <v>0.65</v>
      </c>
      <c r="F21" s="194">
        <v>0.9</v>
      </c>
      <c r="G21" s="110"/>
      <c r="H21" s="118" t="s">
        <v>319</v>
      </c>
      <c r="I21" s="139"/>
    </row>
    <row r="22" spans="1:40" x14ac:dyDescent="0.2">
      <c r="A22" s="140" t="s">
        <v>320</v>
      </c>
      <c r="B22" s="98"/>
      <c r="C22" s="98"/>
      <c r="D22" s="98"/>
      <c r="E22" s="98"/>
      <c r="F22" s="98"/>
      <c r="G22" s="98"/>
      <c r="H22" s="141"/>
      <c r="I22" s="142"/>
    </row>
    <row r="23" spans="1:40" x14ac:dyDescent="0.2">
      <c r="A23" s="143" t="s">
        <v>321</v>
      </c>
      <c r="B23" s="99"/>
      <c r="C23" s="99"/>
      <c r="D23" s="99"/>
      <c r="E23" s="99"/>
      <c r="F23" s="99"/>
      <c r="G23" s="99"/>
      <c r="H23" s="99"/>
      <c r="I23" s="144"/>
    </row>
    <row r="24" spans="1:40" ht="32.450000000000003" customHeight="1" x14ac:dyDescent="0.2">
      <c r="A24" s="345" t="s">
        <v>287</v>
      </c>
      <c r="B24" s="345" t="s">
        <v>289</v>
      </c>
      <c r="C24" s="192" t="s">
        <v>322</v>
      </c>
      <c r="D24" s="145">
        <f>F24*E24*G24/746*6356</f>
        <v>3.369361608579089</v>
      </c>
      <c r="E24" s="345">
        <v>0.65</v>
      </c>
      <c r="F24" s="339">
        <v>0.9</v>
      </c>
      <c r="G24" s="214">
        <v>0.67600000000000005</v>
      </c>
      <c r="H24" s="345" t="s">
        <v>323</v>
      </c>
      <c r="I24" s="205"/>
    </row>
    <row r="25" spans="1:40" x14ac:dyDescent="0.2">
      <c r="A25" s="84"/>
      <c r="B25" s="84"/>
      <c r="C25" s="100"/>
      <c r="D25" s="100"/>
      <c r="E25" s="85"/>
      <c r="F25" s="84" t="s">
        <v>324</v>
      </c>
      <c r="G25" s="100"/>
      <c r="H25" s="85"/>
    </row>
    <row r="26" spans="1:40" x14ac:dyDescent="0.2">
      <c r="A26" s="341" t="s">
        <v>325</v>
      </c>
      <c r="B26" s="341"/>
      <c r="C26" s="341"/>
      <c r="D26" s="341"/>
      <c r="E26" s="341"/>
      <c r="F26" s="341"/>
      <c r="G26" s="341"/>
      <c r="H26" s="341"/>
      <c r="I26" s="341"/>
      <c r="J26" s="341"/>
      <c r="K26" s="341"/>
      <c r="L26" s="341"/>
      <c r="M26" s="341"/>
      <c r="N26" s="341"/>
      <c r="O26" s="341"/>
      <c r="P26" s="341"/>
      <c r="Q26" s="341"/>
      <c r="R26" s="341"/>
      <c r="S26" s="341"/>
      <c r="T26" s="341"/>
      <c r="U26" s="341"/>
      <c r="V26" s="341"/>
      <c r="W26" s="341"/>
      <c r="X26" s="341"/>
      <c r="Y26" s="341"/>
      <c r="Z26" s="341"/>
      <c r="AA26" s="341"/>
      <c r="AB26" s="341"/>
      <c r="AC26" s="341"/>
      <c r="AD26" s="341"/>
      <c r="AE26" s="375"/>
      <c r="AF26" s="375"/>
      <c r="AG26" s="375"/>
      <c r="AH26" s="375"/>
      <c r="AI26" s="375"/>
      <c r="AJ26" s="375"/>
      <c r="AK26" s="375"/>
      <c r="AL26" s="375"/>
      <c r="AM26" s="375"/>
      <c r="AN26" s="375"/>
    </row>
    <row r="27" spans="1:40" x14ac:dyDescent="0.2">
      <c r="A27" s="84" t="s">
        <v>326</v>
      </c>
      <c r="B27" s="341"/>
      <c r="C27" s="341"/>
      <c r="D27" s="341"/>
      <c r="E27" s="341"/>
      <c r="F27" s="341"/>
      <c r="G27" s="341"/>
      <c r="H27" s="341"/>
      <c r="I27" s="341"/>
      <c r="J27" s="341"/>
      <c r="K27" s="341"/>
      <c r="L27" s="341"/>
      <c r="M27" s="341"/>
      <c r="N27" s="341"/>
      <c r="O27" s="341"/>
      <c r="P27" s="341"/>
      <c r="Q27" s="341"/>
      <c r="R27" s="341"/>
      <c r="S27" s="341"/>
      <c r="T27" s="341"/>
      <c r="U27" s="341"/>
      <c r="V27" s="341"/>
      <c r="W27" s="341"/>
      <c r="X27" s="341"/>
      <c r="Y27" s="341"/>
      <c r="Z27" s="341"/>
      <c r="AA27" s="341"/>
      <c r="AB27" s="341"/>
      <c r="AC27" s="341"/>
      <c r="AD27" s="341"/>
      <c r="AE27" s="375"/>
      <c r="AF27" s="375"/>
      <c r="AG27" s="375"/>
      <c r="AH27" s="375"/>
      <c r="AI27" s="375"/>
      <c r="AJ27" s="375"/>
      <c r="AK27" s="375"/>
      <c r="AL27" s="375"/>
      <c r="AM27" s="375"/>
      <c r="AN27" s="375"/>
    </row>
    <row r="28" spans="1:40" x14ac:dyDescent="0.2">
      <c r="A28" s="84" t="s">
        <v>327</v>
      </c>
      <c r="B28" s="162"/>
      <c r="C28" s="341"/>
      <c r="D28" s="341"/>
      <c r="E28" s="341"/>
      <c r="F28" s="341"/>
      <c r="G28" s="341"/>
      <c r="H28" s="341"/>
      <c r="I28" s="341"/>
      <c r="J28" s="341"/>
      <c r="K28" s="341"/>
      <c r="L28" s="341"/>
      <c r="M28" s="341"/>
      <c r="N28" s="341"/>
      <c r="O28" s="341"/>
      <c r="P28" s="341"/>
      <c r="Q28" s="341"/>
      <c r="R28" s="341"/>
      <c r="S28" s="341"/>
      <c r="T28" s="341"/>
      <c r="U28" s="341"/>
      <c r="V28" s="341"/>
      <c r="W28" s="341"/>
      <c r="X28" s="341"/>
      <c r="Y28" s="341"/>
      <c r="Z28" s="341"/>
      <c r="AA28" s="341"/>
      <c r="AB28" s="341"/>
      <c r="AC28" s="341"/>
      <c r="AD28" s="341"/>
      <c r="AE28" s="375"/>
      <c r="AF28" s="375"/>
      <c r="AG28" s="375"/>
      <c r="AH28" s="375"/>
      <c r="AI28" s="375"/>
      <c r="AJ28" s="375"/>
      <c r="AK28" s="375"/>
      <c r="AL28" s="375"/>
      <c r="AM28" s="375"/>
      <c r="AN28" s="375"/>
    </row>
    <row r="29" spans="1:40" x14ac:dyDescent="0.2">
      <c r="A29" s="8"/>
      <c r="B29" s="8"/>
      <c r="C29" s="8"/>
      <c r="D29" s="8"/>
    </row>
    <row r="30" spans="1:40" x14ac:dyDescent="0.2">
      <c r="D30" s="34"/>
    </row>
    <row r="31" spans="1:40" ht="13.9" customHeight="1" x14ac:dyDescent="0.2">
      <c r="A31" s="87"/>
      <c r="B31" s="84"/>
      <c r="C31" s="62"/>
      <c r="D31" s="84"/>
      <c r="E31" s="84"/>
    </row>
    <row r="32" spans="1:40" s="24" customFormat="1" hidden="1" x14ac:dyDescent="0.2">
      <c r="A32" s="24" t="s">
        <v>172</v>
      </c>
    </row>
    <row r="33" spans="21:38" x14ac:dyDescent="0.2">
      <c r="U33" s="33"/>
      <c r="V33" s="52"/>
      <c r="W33" s="53"/>
      <c r="X33" s="53"/>
      <c r="Y33" s="53"/>
      <c r="Z33" s="53"/>
      <c r="AA33" s="53"/>
      <c r="AB33" s="53"/>
      <c r="AC33" s="53"/>
      <c r="AD33" s="53"/>
      <c r="AE33" s="53"/>
      <c r="AF33" s="53"/>
      <c r="AG33" s="53"/>
      <c r="AH33" s="53"/>
      <c r="AI33" s="53"/>
      <c r="AJ33" s="53"/>
      <c r="AK33" s="53"/>
      <c r="AL33" s="53"/>
    </row>
    <row r="34" spans="21:38" x14ac:dyDescent="0.2">
      <c r="U34" s="33"/>
      <c r="V34" s="52"/>
      <c r="W34" s="53"/>
      <c r="X34" s="53"/>
      <c r="Y34" s="53"/>
      <c r="Z34" s="53"/>
      <c r="AA34" s="53"/>
      <c r="AB34" s="53"/>
      <c r="AC34" s="53"/>
      <c r="AD34" s="53"/>
      <c r="AE34" s="53"/>
      <c r="AF34" s="53"/>
      <c r="AG34" s="53"/>
      <c r="AH34" s="53"/>
      <c r="AI34" s="53"/>
      <c r="AJ34" s="53"/>
      <c r="AK34" s="53"/>
      <c r="AL34" s="53"/>
    </row>
    <row r="35" spans="21:38" x14ac:dyDescent="0.2">
      <c r="U35" s="33"/>
      <c r="V35" s="52"/>
      <c r="W35" s="53"/>
      <c r="X35" s="53"/>
      <c r="Y35" s="53"/>
      <c r="Z35" s="53"/>
      <c r="AA35" s="53"/>
      <c r="AB35" s="53"/>
      <c r="AC35" s="53"/>
      <c r="AD35" s="53"/>
      <c r="AE35" s="53"/>
      <c r="AF35" s="53"/>
      <c r="AG35" s="53"/>
      <c r="AH35" s="53"/>
      <c r="AI35" s="53"/>
      <c r="AJ35" s="53"/>
      <c r="AK35" s="53"/>
      <c r="AL35" s="53"/>
    </row>
    <row r="36" spans="21:38" x14ac:dyDescent="0.2">
      <c r="U36" s="33"/>
      <c r="V36" s="52"/>
      <c r="W36" s="53"/>
      <c r="X36" s="53"/>
      <c r="Y36" s="53"/>
      <c r="Z36" s="53"/>
      <c r="AA36" s="53"/>
      <c r="AB36" s="53"/>
      <c r="AC36" s="53"/>
      <c r="AD36" s="53"/>
      <c r="AE36" s="53"/>
      <c r="AF36" s="53"/>
      <c r="AG36" s="53"/>
      <c r="AH36" s="53"/>
      <c r="AI36" s="53"/>
      <c r="AJ36" s="53"/>
      <c r="AK36" s="53"/>
      <c r="AL36" s="53"/>
    </row>
    <row r="37" spans="21:38" x14ac:dyDescent="0.2">
      <c r="U37" s="33"/>
      <c r="V37" s="52"/>
      <c r="W37" s="53"/>
      <c r="X37" s="53"/>
      <c r="Y37" s="53"/>
      <c r="Z37" s="53"/>
      <c r="AA37" s="53"/>
      <c r="AB37" s="53"/>
      <c r="AC37" s="53"/>
      <c r="AD37" s="53"/>
      <c r="AE37" s="53"/>
      <c r="AF37" s="53"/>
      <c r="AG37" s="53"/>
      <c r="AH37" s="53"/>
      <c r="AI37" s="53"/>
      <c r="AJ37" s="53"/>
      <c r="AK37" s="53"/>
      <c r="AL37" s="53"/>
    </row>
    <row r="38" spans="21:38" x14ac:dyDescent="0.2">
      <c r="U38" s="33"/>
      <c r="W38" s="32"/>
      <c r="X38" s="32"/>
      <c r="Y38" s="32"/>
      <c r="Z38" s="32"/>
      <c r="AA38" s="32"/>
      <c r="AB38" s="32"/>
      <c r="AC38" s="32"/>
      <c r="AD38" s="32"/>
      <c r="AE38" s="32"/>
      <c r="AF38" s="32"/>
      <c r="AG38" s="32"/>
      <c r="AH38" s="32"/>
      <c r="AI38" s="32"/>
      <c r="AJ38" s="32"/>
      <c r="AK38" s="32"/>
      <c r="AL38" s="32"/>
    </row>
    <row r="39" spans="21:38" x14ac:dyDescent="0.2">
      <c r="U39" s="35"/>
      <c r="W39" s="33"/>
      <c r="X39" s="33"/>
      <c r="Y39" s="33"/>
      <c r="Z39" s="33"/>
      <c r="AA39" s="33"/>
      <c r="AB39" s="33"/>
      <c r="AC39" s="33"/>
      <c r="AD39" s="33"/>
      <c r="AE39" s="33"/>
      <c r="AF39" s="33"/>
      <c r="AG39" s="33"/>
      <c r="AH39" s="33"/>
      <c r="AI39" s="33"/>
      <c r="AJ39" s="33"/>
      <c r="AK39" s="33"/>
      <c r="AL39" s="33"/>
    </row>
    <row r="40" spans="21:38" x14ac:dyDescent="0.2">
      <c r="U40" s="33"/>
    </row>
    <row r="43" spans="21:38" x14ac:dyDescent="0.2">
      <c r="U43" s="31"/>
      <c r="V43" s="31"/>
      <c r="W43" s="51"/>
      <c r="X43" s="51"/>
      <c r="Y43" s="51"/>
      <c r="Z43" s="51"/>
      <c r="AA43" s="51"/>
      <c r="AB43" s="51"/>
      <c r="AC43" s="51"/>
      <c r="AD43" s="51"/>
      <c r="AE43" s="51"/>
      <c r="AF43" s="51"/>
      <c r="AG43" s="51"/>
      <c r="AH43" s="51"/>
      <c r="AI43" s="51"/>
      <c r="AJ43" s="51"/>
      <c r="AK43" s="51"/>
      <c r="AL43" s="51"/>
    </row>
    <row r="44" spans="21:38" x14ac:dyDescent="0.2">
      <c r="V44" s="36"/>
    </row>
    <row r="45" spans="21:38" x14ac:dyDescent="0.2">
      <c r="U45" s="33"/>
      <c r="V45" s="36"/>
    </row>
    <row r="46" spans="21:38" x14ac:dyDescent="0.2">
      <c r="U46" s="33"/>
      <c r="V46" s="36"/>
    </row>
    <row r="47" spans="21:38" x14ac:dyDescent="0.2">
      <c r="U47" s="33"/>
      <c r="V47" s="36"/>
    </row>
    <row r="48" spans="21:38" x14ac:dyDescent="0.2">
      <c r="U48" s="33"/>
      <c r="V48" s="36"/>
    </row>
    <row r="49" spans="21:22" x14ac:dyDescent="0.2">
      <c r="U49" s="33"/>
      <c r="V49" s="36"/>
    </row>
    <row r="50" spans="21:22" x14ac:dyDescent="0.2">
      <c r="U50" s="33"/>
      <c r="V50" s="36"/>
    </row>
    <row r="51" spans="21:22" x14ac:dyDescent="0.2">
      <c r="U51" s="33"/>
      <c r="V51" s="36"/>
    </row>
    <row r="52" spans="21:22" x14ac:dyDescent="0.2">
      <c r="U52" s="33"/>
      <c r="V52" s="36"/>
    </row>
    <row r="53" spans="21:22" x14ac:dyDescent="0.2">
      <c r="U53" s="33"/>
      <c r="V53" s="36"/>
    </row>
    <row r="54" spans="21:22" x14ac:dyDescent="0.2">
      <c r="U54" s="33"/>
      <c r="V54" s="36"/>
    </row>
    <row r="55" spans="21:22" x14ac:dyDescent="0.2">
      <c r="U55" s="33"/>
      <c r="V55" s="36"/>
    </row>
    <row r="56" spans="21:22" x14ac:dyDescent="0.2">
      <c r="U56" s="33"/>
      <c r="V56" s="36"/>
    </row>
    <row r="57" spans="21:22" x14ac:dyDescent="0.2">
      <c r="U57" s="33"/>
      <c r="V57" s="36"/>
    </row>
    <row r="58" spans="21:22" x14ac:dyDescent="0.2">
      <c r="U58" s="33"/>
      <c r="V58" s="36"/>
    </row>
    <row r="59" spans="21:22" x14ac:dyDescent="0.2">
      <c r="U59" s="33"/>
      <c r="V59" s="36"/>
    </row>
    <row r="60" spans="21:22" x14ac:dyDescent="0.2">
      <c r="U60" s="33"/>
      <c r="V60" s="36"/>
    </row>
    <row r="61" spans="21:22" x14ac:dyDescent="0.2">
      <c r="U61" s="33"/>
      <c r="V61" s="36"/>
    </row>
    <row r="62" spans="21:22" x14ac:dyDescent="0.2">
      <c r="U62" s="33"/>
      <c r="V62" s="36"/>
    </row>
    <row r="63" spans="21:22" x14ac:dyDescent="0.2">
      <c r="U63" s="33"/>
      <c r="V63" s="36"/>
    </row>
    <row r="64" spans="21:22" x14ac:dyDescent="0.2">
      <c r="U64" s="33"/>
      <c r="V64" s="36"/>
    </row>
    <row r="65" spans="21:38" x14ac:dyDescent="0.2">
      <c r="U65" s="33"/>
      <c r="W65" s="32"/>
      <c r="X65" s="32"/>
      <c r="Y65" s="32"/>
      <c r="Z65" s="32"/>
      <c r="AA65" s="32"/>
      <c r="AB65" s="32"/>
      <c r="AC65" s="32"/>
      <c r="AD65" s="32"/>
      <c r="AE65" s="32"/>
      <c r="AF65" s="32"/>
      <c r="AG65" s="32"/>
      <c r="AH65" s="32"/>
      <c r="AI65" s="32"/>
      <c r="AJ65" s="32"/>
      <c r="AK65" s="32"/>
      <c r="AL65" s="32"/>
    </row>
    <row r="66" spans="21:38" x14ac:dyDescent="0.2">
      <c r="U66" s="35"/>
      <c r="W66" s="33"/>
      <c r="X66" s="33"/>
      <c r="Y66" s="33"/>
      <c r="Z66" s="33"/>
      <c r="AA66" s="33"/>
      <c r="AB66" s="33"/>
      <c r="AC66" s="33"/>
      <c r="AD66" s="33"/>
      <c r="AE66" s="33"/>
      <c r="AF66" s="33"/>
      <c r="AG66" s="33"/>
      <c r="AH66" s="33"/>
      <c r="AI66" s="33"/>
      <c r="AJ66" s="33"/>
      <c r="AK66" s="33"/>
      <c r="AL66" s="33"/>
    </row>
  </sheetData>
  <mergeCells count="24">
    <mergeCell ref="A19:I19"/>
    <mergeCell ref="F11:F13"/>
    <mergeCell ref="G11:G13"/>
    <mergeCell ref="A1:G1"/>
    <mergeCell ref="A9:G9"/>
    <mergeCell ref="C11:C13"/>
    <mergeCell ref="E11:E13"/>
    <mergeCell ref="B11:B13"/>
    <mergeCell ref="D11:D13"/>
    <mergeCell ref="AE26:AF26"/>
    <mergeCell ref="AG26:AH26"/>
    <mergeCell ref="AI26:AJ26"/>
    <mergeCell ref="AK26:AL26"/>
    <mergeCell ref="AM26:AN26"/>
    <mergeCell ref="AE27:AF27"/>
    <mergeCell ref="AG27:AH27"/>
    <mergeCell ref="AI27:AJ27"/>
    <mergeCell ref="AK27:AL27"/>
    <mergeCell ref="AM27:AN27"/>
    <mergeCell ref="AE28:AF28"/>
    <mergeCell ref="AG28:AH28"/>
    <mergeCell ref="AI28:AJ28"/>
    <mergeCell ref="AK28:AL28"/>
    <mergeCell ref="AM28:AN28"/>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25"/>
  <sheetViews>
    <sheetView zoomScale="80" zoomScaleNormal="80" workbookViewId="0">
      <selection sqref="A1:R1"/>
    </sheetView>
  </sheetViews>
  <sheetFormatPr defaultRowHeight="15" x14ac:dyDescent="0.25"/>
  <cols>
    <col min="1" max="1" width="57.85546875" customWidth="1"/>
    <col min="18" max="18" width="17.7109375" customWidth="1"/>
  </cols>
  <sheetData>
    <row r="1" spans="1:18" ht="24" customHeight="1" x14ac:dyDescent="0.25">
      <c r="A1" s="367" t="str">
        <f>"Thermostat Setpoints - "&amp;Prototype!A2</f>
        <v>Thermostat Setpoints - SchoolK-8</v>
      </c>
      <c r="B1" s="367"/>
      <c r="C1" s="367"/>
      <c r="D1" s="367"/>
      <c r="E1" s="367"/>
      <c r="F1" s="367"/>
      <c r="G1" s="367"/>
      <c r="H1" s="367"/>
      <c r="I1" s="367"/>
      <c r="J1" s="367"/>
      <c r="K1" s="367"/>
      <c r="L1" s="367"/>
      <c r="M1" s="367"/>
      <c r="N1" s="367"/>
      <c r="O1" s="367"/>
      <c r="P1" s="367"/>
      <c r="Q1" s="367"/>
      <c r="R1" s="367"/>
    </row>
    <row r="2" spans="1:18" ht="21.6" customHeight="1" x14ac:dyDescent="0.25">
      <c r="A2" s="348" t="s">
        <v>329</v>
      </c>
      <c r="B2" s="342" t="s">
        <v>225</v>
      </c>
      <c r="C2" s="342" t="s">
        <v>226</v>
      </c>
      <c r="D2" s="342" t="s">
        <v>227</v>
      </c>
      <c r="E2" s="342" t="s">
        <v>228</v>
      </c>
      <c r="F2" s="342" t="s">
        <v>229</v>
      </c>
      <c r="G2" s="342" t="s">
        <v>230</v>
      </c>
      <c r="H2" s="342" t="s">
        <v>231</v>
      </c>
      <c r="I2" s="342" t="s">
        <v>232</v>
      </c>
      <c r="J2" s="342" t="s">
        <v>233</v>
      </c>
      <c r="K2" s="342" t="s">
        <v>234</v>
      </c>
      <c r="L2" s="342" t="s">
        <v>235</v>
      </c>
      <c r="M2" s="342" t="s">
        <v>236</v>
      </c>
      <c r="N2" s="342" t="s">
        <v>237</v>
      </c>
      <c r="O2" s="342" t="s">
        <v>238</v>
      </c>
      <c r="P2" s="342" t="s">
        <v>239</v>
      </c>
      <c r="Q2" s="342" t="s">
        <v>240</v>
      </c>
      <c r="R2" s="90" t="s">
        <v>279</v>
      </c>
    </row>
    <row r="3" spans="1:18" ht="26.45" customHeight="1" x14ac:dyDescent="0.25">
      <c r="A3" s="338" t="s">
        <v>330</v>
      </c>
      <c r="B3" s="339">
        <v>70</v>
      </c>
      <c r="C3" s="339">
        <v>70</v>
      </c>
      <c r="D3" s="339">
        <v>70</v>
      </c>
      <c r="E3" s="339">
        <v>70</v>
      </c>
      <c r="F3" s="339">
        <v>70</v>
      </c>
      <c r="G3" s="339">
        <v>70</v>
      </c>
      <c r="H3" s="339">
        <v>70</v>
      </c>
      <c r="I3" s="339">
        <v>70</v>
      </c>
      <c r="J3" s="339">
        <v>70</v>
      </c>
      <c r="K3" s="339">
        <v>70</v>
      </c>
      <c r="L3" s="339">
        <v>70</v>
      </c>
      <c r="M3" s="339">
        <v>70</v>
      </c>
      <c r="N3" s="339">
        <v>70</v>
      </c>
      <c r="O3" s="339">
        <v>70</v>
      </c>
      <c r="P3" s="339">
        <v>70</v>
      </c>
      <c r="Q3" s="339">
        <v>70</v>
      </c>
      <c r="R3" s="398" t="s">
        <v>331</v>
      </c>
    </row>
    <row r="4" spans="1:18" ht="26.45" customHeight="1" x14ac:dyDescent="0.25">
      <c r="A4" s="338" t="s">
        <v>332</v>
      </c>
      <c r="B4" s="339">
        <v>60</v>
      </c>
      <c r="C4" s="339">
        <v>60</v>
      </c>
      <c r="D4" s="339">
        <v>60</v>
      </c>
      <c r="E4" s="339">
        <v>60</v>
      </c>
      <c r="F4" s="339">
        <v>60</v>
      </c>
      <c r="G4" s="339">
        <v>60</v>
      </c>
      <c r="H4" s="339">
        <v>60</v>
      </c>
      <c r="I4" s="339">
        <v>60</v>
      </c>
      <c r="J4" s="339">
        <v>60</v>
      </c>
      <c r="K4" s="339">
        <v>60</v>
      </c>
      <c r="L4" s="339">
        <v>60</v>
      </c>
      <c r="M4" s="339">
        <v>60</v>
      </c>
      <c r="N4" s="339">
        <v>60</v>
      </c>
      <c r="O4" s="339">
        <v>60</v>
      </c>
      <c r="P4" s="339">
        <v>60</v>
      </c>
      <c r="Q4" s="339">
        <v>60</v>
      </c>
      <c r="R4" s="398"/>
    </row>
    <row r="5" spans="1:18" ht="22.9" customHeight="1" x14ac:dyDescent="0.25">
      <c r="A5" s="338" t="s">
        <v>333</v>
      </c>
      <c r="B5" s="339">
        <v>75</v>
      </c>
      <c r="C5" s="339">
        <v>75</v>
      </c>
      <c r="D5" s="339">
        <v>75</v>
      </c>
      <c r="E5" s="339">
        <v>75</v>
      </c>
      <c r="F5" s="339">
        <v>75</v>
      </c>
      <c r="G5" s="339">
        <v>75</v>
      </c>
      <c r="H5" s="339">
        <v>75</v>
      </c>
      <c r="I5" s="339">
        <v>75</v>
      </c>
      <c r="J5" s="339">
        <v>75</v>
      </c>
      <c r="K5" s="339">
        <v>75</v>
      </c>
      <c r="L5" s="339">
        <v>75</v>
      </c>
      <c r="M5" s="339">
        <v>75</v>
      </c>
      <c r="N5" s="339">
        <v>75</v>
      </c>
      <c r="O5" s="339">
        <v>75</v>
      </c>
      <c r="P5" s="339">
        <v>75</v>
      </c>
      <c r="Q5" s="339">
        <v>75</v>
      </c>
      <c r="R5" s="398" t="s">
        <v>331</v>
      </c>
    </row>
    <row r="6" spans="1:18" ht="22.9" customHeight="1" x14ac:dyDescent="0.25">
      <c r="A6" s="338" t="s">
        <v>334</v>
      </c>
      <c r="B6" s="339">
        <v>85</v>
      </c>
      <c r="C6" s="339">
        <v>85</v>
      </c>
      <c r="D6" s="339">
        <v>85</v>
      </c>
      <c r="E6" s="339">
        <v>85</v>
      </c>
      <c r="F6" s="339">
        <v>85</v>
      </c>
      <c r="G6" s="339">
        <v>85</v>
      </c>
      <c r="H6" s="339">
        <v>85</v>
      </c>
      <c r="I6" s="339">
        <v>85</v>
      </c>
      <c r="J6" s="339">
        <v>85</v>
      </c>
      <c r="K6" s="339">
        <v>85</v>
      </c>
      <c r="L6" s="339">
        <v>85</v>
      </c>
      <c r="M6" s="339">
        <v>85</v>
      </c>
      <c r="N6" s="339">
        <v>85</v>
      </c>
      <c r="O6" s="339">
        <v>85</v>
      </c>
      <c r="P6" s="339">
        <v>85</v>
      </c>
      <c r="Q6" s="339">
        <v>85</v>
      </c>
      <c r="R6" s="398"/>
    </row>
    <row r="7" spans="1:18" ht="22.9" customHeight="1" x14ac:dyDescent="0.25">
      <c r="A7" s="1"/>
      <c r="B7" s="83"/>
      <c r="C7" s="121"/>
      <c r="D7" s="121"/>
      <c r="E7" s="83"/>
      <c r="F7" s="121"/>
      <c r="G7" s="121"/>
      <c r="H7" s="121"/>
      <c r="I7" s="121"/>
    </row>
    <row r="8" spans="1:18" ht="22.9" customHeight="1" x14ac:dyDescent="0.25">
      <c r="A8" s="1"/>
      <c r="B8" s="121"/>
      <c r="C8" s="121"/>
      <c r="D8" s="121"/>
      <c r="E8" s="121"/>
      <c r="F8" s="121"/>
      <c r="G8" s="121"/>
      <c r="H8" s="121"/>
      <c r="I8" s="121"/>
    </row>
    <row r="9" spans="1:18" ht="22.9" customHeight="1" x14ac:dyDescent="0.25">
      <c r="A9" s="121"/>
      <c r="B9" s="121"/>
      <c r="C9" s="121"/>
      <c r="D9" s="121"/>
      <c r="E9" s="121"/>
      <c r="F9" s="121"/>
      <c r="G9" s="121"/>
      <c r="H9" s="121"/>
      <c r="I9" s="121"/>
    </row>
    <row r="10" spans="1:18" ht="22.9" customHeight="1" x14ac:dyDescent="0.25">
      <c r="A10" s="121"/>
      <c r="B10" s="121"/>
      <c r="C10" s="121"/>
      <c r="D10" s="121"/>
      <c r="E10" s="121"/>
      <c r="F10" s="121"/>
      <c r="G10" s="121"/>
      <c r="H10" s="121"/>
      <c r="I10" s="121"/>
    </row>
    <row r="11" spans="1:18" ht="22.9" customHeight="1" x14ac:dyDescent="0.25">
      <c r="A11" s="196"/>
      <c r="B11" s="196"/>
      <c r="C11" s="196"/>
      <c r="D11" s="196"/>
      <c r="E11" s="196"/>
      <c r="F11" s="196"/>
      <c r="G11" s="196"/>
      <c r="H11" s="196"/>
      <c r="I11" s="196"/>
    </row>
    <row r="12" spans="1:18" ht="22.9" customHeight="1" x14ac:dyDescent="0.25">
      <c r="A12" s="121"/>
      <c r="B12" s="121"/>
      <c r="C12" s="121"/>
      <c r="D12" s="121"/>
      <c r="E12" s="121"/>
      <c r="F12" s="121"/>
      <c r="G12" s="121"/>
      <c r="H12" s="121"/>
      <c r="I12" s="121"/>
    </row>
    <row r="13" spans="1:18" ht="22.9" customHeight="1" x14ac:dyDescent="0.25">
      <c r="A13" s="121"/>
      <c r="B13" s="121"/>
      <c r="C13" s="121"/>
      <c r="D13" s="121"/>
      <c r="E13" s="121"/>
      <c r="F13" s="121"/>
      <c r="G13" s="121"/>
      <c r="H13" s="121"/>
      <c r="I13" s="121"/>
    </row>
    <row r="14" spans="1:18" ht="22.9" customHeight="1" x14ac:dyDescent="0.25">
      <c r="A14" s="121"/>
      <c r="B14" s="121"/>
      <c r="C14" s="121"/>
      <c r="D14" s="121"/>
      <c r="E14" s="121"/>
      <c r="F14" s="121"/>
      <c r="G14" s="121"/>
      <c r="H14" s="121"/>
      <c r="I14" s="121"/>
    </row>
    <row r="15" spans="1:18" ht="22.9" customHeight="1" x14ac:dyDescent="0.25">
      <c r="A15" s="121"/>
      <c r="B15" s="121"/>
      <c r="C15" s="121"/>
      <c r="D15" s="121"/>
      <c r="E15" s="121"/>
      <c r="F15" s="121"/>
      <c r="G15" s="121"/>
      <c r="H15" s="121"/>
      <c r="I15" s="121"/>
    </row>
    <row r="16" spans="1:18" ht="22.9" customHeight="1" x14ac:dyDescent="0.25">
      <c r="A16" s="121"/>
      <c r="B16" s="121"/>
      <c r="C16" s="121"/>
      <c r="D16" s="121"/>
      <c r="E16" s="121"/>
      <c r="F16" s="121"/>
      <c r="G16" s="121"/>
      <c r="H16" s="121"/>
      <c r="I16" s="121"/>
    </row>
    <row r="17" spans="1:9" ht="22.9" customHeight="1" x14ac:dyDescent="0.25">
      <c r="A17" s="121"/>
      <c r="B17" s="121"/>
      <c r="C17" s="121"/>
      <c r="D17" s="121"/>
      <c r="E17" s="121"/>
      <c r="F17" s="121"/>
      <c r="G17" s="121"/>
      <c r="H17" s="121"/>
      <c r="I17" s="121"/>
    </row>
    <row r="18" spans="1:9" ht="22.9" customHeight="1" x14ac:dyDescent="0.25">
      <c r="A18" s="121"/>
      <c r="B18" s="121"/>
      <c r="C18" s="121"/>
      <c r="D18" s="121"/>
      <c r="E18" s="121"/>
      <c r="F18" s="121"/>
      <c r="G18" s="121"/>
      <c r="H18" s="121"/>
      <c r="I18" s="121"/>
    </row>
    <row r="19" spans="1:9" ht="22.9" customHeight="1" x14ac:dyDescent="0.25">
      <c r="A19" s="121"/>
      <c r="B19" s="121"/>
      <c r="C19" s="121"/>
      <c r="D19" s="121"/>
      <c r="E19" s="121"/>
      <c r="F19" s="121"/>
      <c r="G19" s="121"/>
      <c r="H19" s="121"/>
      <c r="I19" s="121"/>
    </row>
    <row r="20" spans="1:9" ht="22.9" customHeight="1" x14ac:dyDescent="0.25">
      <c r="A20" s="121"/>
      <c r="B20" s="121"/>
      <c r="C20" s="121"/>
      <c r="D20" s="121"/>
      <c r="E20" s="121"/>
      <c r="F20" s="121"/>
      <c r="G20" s="121"/>
      <c r="H20" s="121"/>
      <c r="I20" s="121"/>
    </row>
    <row r="21" spans="1:9" ht="22.9" customHeight="1" x14ac:dyDescent="0.25">
      <c r="A21" s="121"/>
      <c r="B21" s="121"/>
      <c r="C21" s="121"/>
      <c r="D21" s="121"/>
      <c r="E21" s="121"/>
      <c r="F21" s="121"/>
      <c r="G21" s="121"/>
      <c r="H21" s="121"/>
      <c r="I21" s="121"/>
    </row>
    <row r="22" spans="1:9" ht="22.9" customHeight="1" x14ac:dyDescent="0.25">
      <c r="A22" s="121"/>
      <c r="B22" s="121"/>
      <c r="C22" s="121"/>
      <c r="D22" s="121"/>
      <c r="E22" s="121"/>
      <c r="F22" s="121"/>
      <c r="G22" s="121"/>
      <c r="H22" s="121"/>
      <c r="I22" s="121"/>
    </row>
    <row r="23" spans="1:9" ht="22.9" customHeight="1" x14ac:dyDescent="0.25">
      <c r="A23" s="121"/>
      <c r="B23" s="121"/>
      <c r="C23" s="121"/>
      <c r="D23" s="121"/>
      <c r="E23" s="121"/>
      <c r="F23" s="121"/>
      <c r="G23" s="121"/>
      <c r="H23" s="121"/>
      <c r="I23" s="121"/>
    </row>
    <row r="24" spans="1:9" ht="22.9" customHeight="1" x14ac:dyDescent="0.25">
      <c r="A24" s="121"/>
      <c r="B24" s="121"/>
      <c r="C24" s="121"/>
      <c r="D24" s="121"/>
      <c r="E24" s="121"/>
      <c r="F24" s="121"/>
      <c r="G24" s="121"/>
      <c r="H24" s="121"/>
      <c r="I24" s="121"/>
    </row>
    <row r="25" spans="1:9" ht="22.9" customHeight="1" x14ac:dyDescent="0.25">
      <c r="A25" s="121"/>
      <c r="B25" s="121"/>
      <c r="C25" s="121"/>
      <c r="D25" s="121"/>
      <c r="E25" s="121"/>
      <c r="F25" s="121"/>
      <c r="G25" s="121"/>
      <c r="H25" s="121"/>
      <c r="I25" s="121"/>
    </row>
  </sheetData>
  <mergeCells count="3">
    <mergeCell ref="R3:R4"/>
    <mergeCell ref="A1:R1"/>
    <mergeCell ref="R5:R6"/>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43"/>
  <sheetViews>
    <sheetView zoomScale="80" zoomScaleNormal="80" workbookViewId="0">
      <pane xSplit="1" topLeftCell="B1" activePane="topRight" state="frozen"/>
      <selection pane="topRight" sqref="A1:L1"/>
    </sheetView>
  </sheetViews>
  <sheetFormatPr defaultColWidth="9.28515625" defaultRowHeight="14.25" x14ac:dyDescent="0.2"/>
  <cols>
    <col min="1" max="1" width="54" style="58" customWidth="1"/>
    <col min="2" max="2" width="49.7109375" style="58" customWidth="1"/>
    <col min="3" max="5" width="20.28515625" style="58" customWidth="1"/>
    <col min="6" max="6" width="25.28515625" style="58" bestFit="1" customWidth="1"/>
    <col min="7" max="7" width="19.7109375" style="58" customWidth="1"/>
    <col min="8" max="8" width="23.7109375" style="58" customWidth="1"/>
    <col min="9" max="9" width="13.7109375" style="58" customWidth="1"/>
    <col min="10" max="10" width="11.7109375" style="58" customWidth="1"/>
    <col min="11" max="11" width="13.7109375" style="58" customWidth="1"/>
    <col min="12" max="12" width="68.28515625" style="58" customWidth="1"/>
    <col min="13" max="13" width="12.28515625" style="58" customWidth="1"/>
    <col min="14" max="14" width="13.7109375" style="58" customWidth="1"/>
    <col min="15" max="15" width="12.28515625" style="58" customWidth="1"/>
    <col min="16" max="16" width="18.140625" style="58" customWidth="1"/>
    <col min="17" max="17" width="17.140625" style="58" customWidth="1"/>
    <col min="18" max="18" width="22.42578125" style="58" customWidth="1"/>
    <col min="19" max="19" width="21.7109375" style="58" customWidth="1"/>
    <col min="20" max="20" width="9.28515625" style="58" customWidth="1"/>
    <col min="21" max="21" width="23.28515625" style="58" customWidth="1"/>
    <col min="22" max="25" width="11.28515625" style="58" customWidth="1"/>
    <col min="26" max="16384" width="9.28515625" style="58"/>
  </cols>
  <sheetData>
    <row r="1" spans="1:22" ht="24.6" customHeight="1" thickBot="1" x14ac:dyDescent="0.25">
      <c r="A1" s="399" t="str">
        <f>"Outdoor Airflow Rate - "&amp;Prototype!A2</f>
        <v>Outdoor Airflow Rate - SchoolK-8</v>
      </c>
      <c r="B1" s="400"/>
      <c r="C1" s="400"/>
      <c r="D1" s="400"/>
      <c r="E1" s="400"/>
      <c r="F1" s="400"/>
      <c r="G1" s="400"/>
      <c r="H1" s="400"/>
      <c r="I1" s="400"/>
      <c r="J1" s="400"/>
      <c r="K1" s="400"/>
      <c r="L1" s="400"/>
      <c r="M1" s="4"/>
      <c r="N1" s="4"/>
      <c r="O1" s="4"/>
      <c r="P1" s="4"/>
      <c r="Q1" s="4"/>
      <c r="R1" s="4"/>
      <c r="S1" s="4"/>
      <c r="T1" s="4"/>
      <c r="U1" s="4"/>
      <c r="V1" s="4"/>
    </row>
    <row r="2" spans="1:22" ht="76.150000000000006" customHeight="1" x14ac:dyDescent="0.2">
      <c r="A2" s="178" t="s">
        <v>63</v>
      </c>
      <c r="B2" s="179" t="s">
        <v>64</v>
      </c>
      <c r="C2" s="179" t="s">
        <v>72</v>
      </c>
      <c r="D2" s="180" t="s">
        <v>335</v>
      </c>
      <c r="E2" s="181" t="s">
        <v>336</v>
      </c>
      <c r="F2" s="181" t="s">
        <v>337</v>
      </c>
      <c r="G2" s="181" t="s">
        <v>338</v>
      </c>
      <c r="H2" s="181" t="s">
        <v>339</v>
      </c>
      <c r="I2" s="181" t="s">
        <v>340</v>
      </c>
      <c r="J2" s="181" t="s">
        <v>341</v>
      </c>
      <c r="K2" s="182" t="s">
        <v>342</v>
      </c>
      <c r="L2" s="183" t="s">
        <v>28</v>
      </c>
      <c r="M2" s="4"/>
      <c r="N2" s="4"/>
      <c r="O2" s="4"/>
      <c r="P2" s="4"/>
      <c r="Q2" s="4"/>
      <c r="R2" s="4"/>
      <c r="S2" s="4"/>
      <c r="T2" s="4"/>
      <c r="U2" s="4"/>
      <c r="V2" s="4"/>
    </row>
    <row r="3" spans="1:22" ht="23.45" customHeight="1" x14ac:dyDescent="0.2">
      <c r="A3" s="338" t="str">
        <f>Zones!A3</f>
        <v>Lounge, Breakroom, or Waiting Area</v>
      </c>
      <c r="B3" s="338" t="str">
        <f>Zones!B3</f>
        <v>Admin/MPR_Breakroom_Zn</v>
      </c>
      <c r="C3" s="172">
        <f>Zones!J3</f>
        <v>37.963200000000008</v>
      </c>
      <c r="D3" s="172">
        <f>Zones!G3</f>
        <v>575.20000000000005</v>
      </c>
      <c r="E3" s="339">
        <v>15</v>
      </c>
      <c r="F3" s="339">
        <v>0.15</v>
      </c>
      <c r="G3" s="158"/>
      <c r="H3" s="88">
        <f t="shared" ref="H3" si="0">C3*E3</f>
        <v>569.44800000000009</v>
      </c>
      <c r="I3" s="89">
        <f t="shared" ref="I3" si="1">D3*F3</f>
        <v>86.28</v>
      </c>
      <c r="J3" s="89">
        <f t="shared" ref="J3" si="2">G3*D3</f>
        <v>0</v>
      </c>
      <c r="K3" s="88">
        <f>MAX(H3,I3,J3)</f>
        <v>569.44800000000009</v>
      </c>
      <c r="L3" s="88"/>
      <c r="M3" s="4"/>
      <c r="N3" s="4"/>
      <c r="O3" s="4"/>
      <c r="P3" s="4"/>
      <c r="Q3" s="4"/>
      <c r="R3" s="4"/>
      <c r="S3" s="4"/>
      <c r="T3" s="4"/>
      <c r="U3" s="4"/>
      <c r="V3" s="117"/>
    </row>
    <row r="4" spans="1:22" ht="23.45" customHeight="1" x14ac:dyDescent="0.2">
      <c r="A4" s="338" t="str">
        <f>Zones!A4</f>
        <v>Convention, Conference, Multipurpose and Meeting Area</v>
      </c>
      <c r="B4" s="338" t="str">
        <f>Zones!B4</f>
        <v>Admin/MPR_Conference Room Zns 3_Zn</v>
      </c>
      <c r="C4" s="172">
        <f>Zones!J4</f>
        <v>110.53283999999999</v>
      </c>
      <c r="D4" s="172">
        <f>Zones!G4</f>
        <v>1674.74</v>
      </c>
      <c r="E4" s="339">
        <v>15</v>
      </c>
      <c r="F4" s="339">
        <v>0.15</v>
      </c>
      <c r="G4" s="158"/>
      <c r="H4" s="88">
        <f t="shared" ref="H4:H40" si="3">C4*E4</f>
        <v>1657.9925999999998</v>
      </c>
      <c r="I4" s="89">
        <f t="shared" ref="I4:I40" si="4">D4*F4</f>
        <v>251.21099999999998</v>
      </c>
      <c r="J4" s="89">
        <f t="shared" ref="J4:J40" si="5">G4*D4</f>
        <v>0</v>
      </c>
      <c r="K4" s="88">
        <f t="shared" ref="K4:K40" si="6">MAX(H4,I4,J4)</f>
        <v>1657.9925999999998</v>
      </c>
      <c r="L4" s="88"/>
      <c r="M4" s="4"/>
      <c r="N4" s="4"/>
      <c r="O4" s="4"/>
      <c r="P4" s="4"/>
      <c r="Q4" s="4"/>
      <c r="R4" s="4"/>
      <c r="S4" s="4"/>
      <c r="T4" s="4"/>
      <c r="U4" s="4"/>
      <c r="V4" s="117"/>
    </row>
    <row r="5" spans="1:22" ht="23.45" customHeight="1" x14ac:dyDescent="0.2">
      <c r="A5" s="338" t="str">
        <f>Zones!A5</f>
        <v>Corridor Area</v>
      </c>
      <c r="B5" s="338" t="str">
        <f>Zones!B5</f>
        <v>Admin/MPR_Corridor_Zn</v>
      </c>
      <c r="C5" s="172">
        <f>Zones!J5</f>
        <v>11.615200000000002</v>
      </c>
      <c r="D5" s="172">
        <f>Zones!G5</f>
        <v>1161.52</v>
      </c>
      <c r="E5" s="339">
        <v>30</v>
      </c>
      <c r="F5" s="339">
        <v>0.15</v>
      </c>
      <c r="G5" s="158"/>
      <c r="H5" s="88">
        <f t="shared" si="3"/>
        <v>348.45600000000002</v>
      </c>
      <c r="I5" s="89">
        <f t="shared" si="4"/>
        <v>174.22799999999998</v>
      </c>
      <c r="J5" s="89">
        <f t="shared" si="5"/>
        <v>0</v>
      </c>
      <c r="K5" s="88">
        <f t="shared" si="6"/>
        <v>348.45600000000002</v>
      </c>
      <c r="L5" s="88"/>
      <c r="M5" s="4"/>
      <c r="N5" s="4"/>
      <c r="O5" s="4"/>
      <c r="P5" s="4"/>
      <c r="Q5" s="4"/>
      <c r="R5" s="4"/>
      <c r="S5" s="4"/>
      <c r="T5" s="4"/>
      <c r="U5" s="4"/>
      <c r="V5" s="117"/>
    </row>
    <row r="6" spans="1:22" ht="23.45" customHeight="1" x14ac:dyDescent="0.2">
      <c r="A6" s="338" t="str">
        <f>Zones!A6</f>
        <v>Electrical, Mechanical, Telephone Rooms</v>
      </c>
      <c r="B6" s="338" t="str">
        <f>Zones!B6</f>
        <v>Admin/MPR_EMT_Zn</v>
      </c>
      <c r="C6" s="172">
        <f>Zones!J6</f>
        <v>2.7820999999999998</v>
      </c>
      <c r="D6" s="172">
        <f>Zones!G6</f>
        <v>278.20999999999998</v>
      </c>
      <c r="E6" s="339">
        <v>30</v>
      </c>
      <c r="F6" s="339">
        <v>0.15</v>
      </c>
      <c r="G6" s="158"/>
      <c r="H6" s="88">
        <f t="shared" si="3"/>
        <v>83.462999999999994</v>
      </c>
      <c r="I6" s="89">
        <f t="shared" si="4"/>
        <v>41.731499999999997</v>
      </c>
      <c r="J6" s="89">
        <f t="shared" si="5"/>
        <v>0</v>
      </c>
      <c r="K6" s="88">
        <f t="shared" si="6"/>
        <v>83.462999999999994</v>
      </c>
      <c r="L6" s="88"/>
      <c r="M6" s="4"/>
      <c r="N6" s="4"/>
      <c r="O6" s="4"/>
      <c r="P6" s="4"/>
      <c r="Q6" s="4"/>
      <c r="R6" s="4"/>
      <c r="S6" s="4"/>
      <c r="T6" s="4"/>
      <c r="U6" s="4"/>
      <c r="V6" s="117"/>
    </row>
    <row r="7" spans="1:22" ht="23.45" customHeight="1" x14ac:dyDescent="0.2">
      <c r="A7" s="338" t="str">
        <f>Zones!A7</f>
        <v>Electrical, Mechanical, Telephone Rooms</v>
      </c>
      <c r="B7" s="338" t="str">
        <f>Zones!B7</f>
        <v>Admin/MPR_IDF Room_Zn</v>
      </c>
      <c r="C7" s="172">
        <f>Zones!J7</f>
        <v>3.4023000000000003</v>
      </c>
      <c r="D7" s="172">
        <f>Zones!G7</f>
        <v>340.23</v>
      </c>
      <c r="E7" s="339">
        <v>30</v>
      </c>
      <c r="F7" s="339">
        <v>0.15</v>
      </c>
      <c r="G7" s="158"/>
      <c r="H7" s="88">
        <f t="shared" si="3"/>
        <v>102.06900000000002</v>
      </c>
      <c r="I7" s="89">
        <f t="shared" si="4"/>
        <v>51.034500000000001</v>
      </c>
      <c r="J7" s="89">
        <f t="shared" si="5"/>
        <v>0</v>
      </c>
      <c r="K7" s="88">
        <f t="shared" si="6"/>
        <v>102.06900000000002</v>
      </c>
      <c r="L7" s="88"/>
      <c r="M7" s="4"/>
      <c r="N7" s="4"/>
      <c r="O7" s="4"/>
      <c r="P7" s="4"/>
      <c r="Q7" s="4"/>
      <c r="R7" s="4"/>
      <c r="S7" s="4"/>
      <c r="T7" s="4"/>
      <c r="U7" s="4"/>
      <c r="V7" s="117"/>
    </row>
    <row r="8" spans="1:22" ht="23.45" customHeight="1" x14ac:dyDescent="0.2">
      <c r="A8" s="338" t="str">
        <f>Zones!A8</f>
        <v>Kitchen/Food Preparation Area</v>
      </c>
      <c r="B8" s="338" t="str">
        <f>Zones!B8</f>
        <v>Admin/MPR_Kitchen_Zn</v>
      </c>
      <c r="C8" s="172">
        <f>Zones!J8</f>
        <v>8.7434999999999992</v>
      </c>
      <c r="D8" s="172">
        <f>Zones!G8</f>
        <v>1457.25</v>
      </c>
      <c r="E8" s="339">
        <v>50</v>
      </c>
      <c r="F8" s="339">
        <v>0.15</v>
      </c>
      <c r="G8" s="158"/>
      <c r="H8" s="88">
        <f t="shared" si="3"/>
        <v>437.17499999999995</v>
      </c>
      <c r="I8" s="89">
        <f t="shared" si="4"/>
        <v>218.58750000000001</v>
      </c>
      <c r="J8" s="89">
        <f t="shared" si="5"/>
        <v>0</v>
      </c>
      <c r="K8" s="88">
        <f t="shared" si="6"/>
        <v>437.17499999999995</v>
      </c>
      <c r="L8" s="88"/>
      <c r="M8" s="4"/>
      <c r="N8" s="4"/>
      <c r="O8" s="4"/>
      <c r="P8" s="4"/>
      <c r="Q8" s="4"/>
      <c r="R8" s="4"/>
      <c r="S8" s="4"/>
      <c r="T8" s="4"/>
      <c r="U8" s="4"/>
      <c r="V8" s="117"/>
    </row>
    <row r="9" spans="1:22" ht="23.45" customHeight="1" x14ac:dyDescent="0.2">
      <c r="A9" s="338" t="str">
        <f>Zones!A9</f>
        <v>Lobby, Main Entry</v>
      </c>
      <c r="B9" s="338" t="str">
        <f>Zones!B9</f>
        <v>Admin/MPR_Lobby_Zn</v>
      </c>
      <c r="C9" s="172">
        <f>Zones!J9</f>
        <v>81.937020000000004</v>
      </c>
      <c r="D9" s="172">
        <f>Zones!G9</f>
        <v>1241.47</v>
      </c>
      <c r="E9" s="339">
        <v>15</v>
      </c>
      <c r="F9" s="339">
        <v>0.15</v>
      </c>
      <c r="G9" s="158"/>
      <c r="H9" s="88">
        <f t="shared" si="3"/>
        <v>1229.0553</v>
      </c>
      <c r="I9" s="89">
        <f t="shared" si="4"/>
        <v>186.22049999999999</v>
      </c>
      <c r="J9" s="89">
        <f t="shared" si="5"/>
        <v>0</v>
      </c>
      <c r="K9" s="88">
        <f t="shared" si="6"/>
        <v>1229.0553</v>
      </c>
      <c r="L9" s="88"/>
      <c r="M9" s="4"/>
      <c r="N9" s="4"/>
      <c r="O9" s="4"/>
      <c r="P9" s="4"/>
      <c r="Q9" s="4"/>
      <c r="R9" s="4"/>
      <c r="S9" s="4"/>
      <c r="T9" s="4"/>
      <c r="U9" s="4"/>
      <c r="V9" s="117"/>
    </row>
    <row r="10" spans="1:22" ht="23.45" customHeight="1" x14ac:dyDescent="0.2">
      <c r="A10" s="338" t="str">
        <f>Zones!A10</f>
        <v>Convention, Conference, Multipurpose and Meeting Area</v>
      </c>
      <c r="B10" s="338" t="str">
        <f>Zones!B10</f>
        <v>Admin/MPR_Multipurpose Room Zns 3_Zn</v>
      </c>
      <c r="C10" s="172">
        <f>Zones!J10</f>
        <v>363.80453999999997</v>
      </c>
      <c r="D10" s="172">
        <f>Zones!G10</f>
        <v>5512.19</v>
      </c>
      <c r="E10" s="339">
        <v>15</v>
      </c>
      <c r="F10" s="339">
        <v>0.15</v>
      </c>
      <c r="G10" s="158"/>
      <c r="H10" s="88">
        <f t="shared" si="3"/>
        <v>5457.0680999999995</v>
      </c>
      <c r="I10" s="89">
        <f t="shared" si="4"/>
        <v>826.82849999999996</v>
      </c>
      <c r="J10" s="89">
        <f t="shared" si="5"/>
        <v>0</v>
      </c>
      <c r="K10" s="88">
        <f t="shared" si="6"/>
        <v>5457.0680999999995</v>
      </c>
      <c r="L10" s="88"/>
      <c r="M10" s="4"/>
      <c r="N10" s="4"/>
      <c r="O10" s="4"/>
      <c r="P10" s="4"/>
      <c r="Q10" s="4"/>
      <c r="R10" s="4"/>
      <c r="S10" s="4"/>
      <c r="T10" s="4"/>
      <c r="U10" s="4"/>
      <c r="V10" s="117"/>
    </row>
    <row r="11" spans="1:22" ht="23.45" customHeight="1" x14ac:dyDescent="0.2">
      <c r="A11" s="338" t="str">
        <f>Zones!A11</f>
        <v>Office Area (&lt;250 square feet)</v>
      </c>
      <c r="B11" s="338" t="str">
        <f>Zones!B11</f>
        <v>Admin/MPR_Office - LT 250 sf Zns 6_Zn</v>
      </c>
      <c r="C11" s="172">
        <f>Zones!J11</f>
        <v>10.483499999999999</v>
      </c>
      <c r="D11" s="172">
        <f>Zones!G11</f>
        <v>1048.3499999999999</v>
      </c>
      <c r="E11" s="339">
        <v>30</v>
      </c>
      <c r="F11" s="339">
        <v>0.15</v>
      </c>
      <c r="G11" s="158"/>
      <c r="H11" s="88">
        <f t="shared" si="3"/>
        <v>314.505</v>
      </c>
      <c r="I11" s="89">
        <f t="shared" si="4"/>
        <v>157.25249999999997</v>
      </c>
      <c r="J11" s="89">
        <f t="shared" si="5"/>
        <v>0</v>
      </c>
      <c r="K11" s="88">
        <f t="shared" si="6"/>
        <v>314.505</v>
      </c>
      <c r="L11" s="88"/>
      <c r="M11" s="4"/>
      <c r="N11" s="4"/>
      <c r="O11" s="4"/>
      <c r="P11" s="4"/>
      <c r="Q11" s="4"/>
      <c r="R11" s="4"/>
      <c r="S11" s="4"/>
      <c r="T11" s="4"/>
      <c r="U11" s="4"/>
      <c r="V11" s="117"/>
    </row>
    <row r="12" spans="1:22" ht="23.45" customHeight="1" x14ac:dyDescent="0.2">
      <c r="A12" s="338" t="str">
        <f>Zones!A12</f>
        <v>Restrooms</v>
      </c>
      <c r="B12" s="338" t="str">
        <f>Zones!B12</f>
        <v>Admin/MPR_Restroom Zns 3_Zn</v>
      </c>
      <c r="C12" s="172">
        <f>Zones!J12</f>
        <v>9.0116999999999994</v>
      </c>
      <c r="D12" s="172">
        <f>Zones!G12</f>
        <v>901.17</v>
      </c>
      <c r="E12" s="339">
        <v>15</v>
      </c>
      <c r="F12" s="339">
        <v>0.15</v>
      </c>
      <c r="G12" s="158"/>
      <c r="H12" s="88">
        <f t="shared" si="3"/>
        <v>135.1755</v>
      </c>
      <c r="I12" s="89">
        <f t="shared" si="4"/>
        <v>135.1755</v>
      </c>
      <c r="J12" s="89">
        <f t="shared" si="5"/>
        <v>0</v>
      </c>
      <c r="K12" s="88">
        <f t="shared" si="6"/>
        <v>135.1755</v>
      </c>
      <c r="L12" s="88"/>
      <c r="M12" s="4"/>
      <c r="N12" s="4"/>
      <c r="O12" s="4"/>
      <c r="P12" s="4"/>
      <c r="Q12" s="4"/>
      <c r="R12" s="4"/>
      <c r="S12" s="4"/>
      <c r="T12" s="4"/>
      <c r="U12" s="4"/>
      <c r="V12" s="117"/>
    </row>
    <row r="13" spans="1:22" ht="23.45" customHeight="1" x14ac:dyDescent="0.2">
      <c r="A13" s="338" t="str">
        <f>Zones!A13</f>
        <v>Storage (General)</v>
      </c>
      <c r="B13" s="338" t="str">
        <f>Zones!B13</f>
        <v>Admin/MPR_Storage - General_Zn</v>
      </c>
      <c r="C13" s="172">
        <f>Zones!J13</f>
        <v>12.4773</v>
      </c>
      <c r="D13" s="172">
        <f>Zones!G13</f>
        <v>1247.73</v>
      </c>
      <c r="E13" s="339">
        <v>30</v>
      </c>
      <c r="F13" s="339">
        <v>0.15</v>
      </c>
      <c r="G13" s="158"/>
      <c r="H13" s="88">
        <f t="shared" si="3"/>
        <v>374.31899999999996</v>
      </c>
      <c r="I13" s="89">
        <f t="shared" si="4"/>
        <v>187.15950000000001</v>
      </c>
      <c r="J13" s="89">
        <f t="shared" si="5"/>
        <v>0</v>
      </c>
      <c r="K13" s="88">
        <f t="shared" si="6"/>
        <v>374.31899999999996</v>
      </c>
      <c r="L13" s="88"/>
      <c r="M13" s="4"/>
      <c r="N13" s="4"/>
      <c r="O13" s="4"/>
      <c r="P13" s="4"/>
      <c r="Q13" s="4"/>
      <c r="R13" s="4"/>
      <c r="S13" s="4"/>
      <c r="T13" s="4"/>
      <c r="U13" s="4"/>
      <c r="V13" s="117"/>
    </row>
    <row r="14" spans="1:22" ht="23.45" customHeight="1" x14ac:dyDescent="0.2">
      <c r="A14" s="338" t="str">
        <f>Zones!A14</f>
        <v>Storage, Commercial/Industrial (Refrigerated)</v>
      </c>
      <c r="B14" s="338" t="str">
        <f>Zones!B14</f>
        <v>Admin/MPR_Storage - Refrigerated_Zn</v>
      </c>
      <c r="C14" s="172">
        <f>Zones!J14</f>
        <v>0</v>
      </c>
      <c r="D14" s="172">
        <f>Zones!G14</f>
        <v>251.72</v>
      </c>
      <c r="E14" s="339">
        <v>0</v>
      </c>
      <c r="F14" s="339">
        <v>0.15</v>
      </c>
      <c r="G14" s="158"/>
      <c r="H14" s="88">
        <f t="shared" si="3"/>
        <v>0</v>
      </c>
      <c r="I14" s="89">
        <f t="shared" si="4"/>
        <v>37.757999999999996</v>
      </c>
      <c r="J14" s="89">
        <f t="shared" si="5"/>
        <v>0</v>
      </c>
      <c r="K14" s="88">
        <f t="shared" si="6"/>
        <v>37.757999999999996</v>
      </c>
      <c r="L14" s="88"/>
      <c r="M14" s="4"/>
      <c r="N14" s="4"/>
      <c r="O14" s="4"/>
      <c r="P14" s="4"/>
      <c r="Q14" s="4"/>
      <c r="R14" s="4"/>
      <c r="S14" s="4"/>
      <c r="T14" s="4"/>
      <c r="U14" s="4"/>
      <c r="V14" s="117"/>
    </row>
    <row r="15" spans="1:22" ht="23.45" customHeight="1" x14ac:dyDescent="0.2">
      <c r="A15" s="338" t="str">
        <f>Zones!A15</f>
        <v>Theater Area (Performance)</v>
      </c>
      <c r="B15" s="338" t="str">
        <f>Zones!B15</f>
        <v>Admin/MPR_Theater - Performance_Zn</v>
      </c>
      <c r="C15" s="172">
        <f>Zones!J15</f>
        <v>70.326959999999985</v>
      </c>
      <c r="D15" s="172">
        <f>Zones!G15</f>
        <v>1065.56</v>
      </c>
      <c r="E15" s="339">
        <v>15</v>
      </c>
      <c r="F15" s="339">
        <v>0.15</v>
      </c>
      <c r="G15" s="158"/>
      <c r="H15" s="88">
        <f t="shared" si="3"/>
        <v>1054.9043999999999</v>
      </c>
      <c r="I15" s="89">
        <f t="shared" si="4"/>
        <v>159.83399999999997</v>
      </c>
      <c r="J15" s="89">
        <f t="shared" si="5"/>
        <v>0</v>
      </c>
      <c r="K15" s="88">
        <f t="shared" si="6"/>
        <v>1054.9043999999999</v>
      </c>
      <c r="L15" s="88"/>
      <c r="M15" s="4"/>
      <c r="N15" s="4"/>
      <c r="O15" s="4"/>
      <c r="P15" s="4"/>
      <c r="Q15" s="4"/>
      <c r="R15" s="4"/>
      <c r="S15" s="4"/>
      <c r="T15" s="4"/>
      <c r="U15" s="4"/>
      <c r="V15" s="117"/>
    </row>
    <row r="16" spans="1:22" ht="23.45" customHeight="1" x14ac:dyDescent="0.2">
      <c r="A16" s="338" t="str">
        <f>Zones!A16</f>
        <v>Classroom, Lecture, Training, Vocational Areas</v>
      </c>
      <c r="B16" s="338" t="str">
        <f>Zones!B16</f>
        <v>Classrm N_Flr 1_Classroom-01_Zn</v>
      </c>
      <c r="C16" s="172">
        <f>Zones!J16</f>
        <v>50.087499999999999</v>
      </c>
      <c r="D16" s="172">
        <f>Zones!G16</f>
        <v>1001.75</v>
      </c>
      <c r="E16" s="339">
        <v>15</v>
      </c>
      <c r="F16" s="339">
        <v>0.15</v>
      </c>
      <c r="G16" s="158"/>
      <c r="H16" s="88">
        <f t="shared" si="3"/>
        <v>751.3125</v>
      </c>
      <c r="I16" s="89">
        <f t="shared" si="4"/>
        <v>150.26249999999999</v>
      </c>
      <c r="J16" s="89">
        <f t="shared" si="5"/>
        <v>0</v>
      </c>
      <c r="K16" s="88">
        <f t="shared" si="6"/>
        <v>751.3125</v>
      </c>
      <c r="L16" s="88"/>
      <c r="M16" s="4"/>
      <c r="N16" s="4"/>
      <c r="O16" s="4"/>
      <c r="P16" s="4"/>
      <c r="Q16" s="4"/>
      <c r="R16" s="4"/>
      <c r="S16" s="4"/>
      <c r="T16" s="4"/>
      <c r="U16" s="4"/>
      <c r="V16" s="117"/>
    </row>
    <row r="17" spans="1:22" ht="23.45" customHeight="1" x14ac:dyDescent="0.2">
      <c r="A17" s="338" t="str">
        <f>Zones!A17</f>
        <v>Classroom, Lecture, Training, Vocational Areas</v>
      </c>
      <c r="B17" s="338" t="str">
        <f>Zones!B17</f>
        <v>Classrm N_Flr 1_Classroom-02 Zns 6_Zn</v>
      </c>
      <c r="C17" s="172">
        <f>Zones!J17</f>
        <v>302.70150000000001</v>
      </c>
      <c r="D17" s="172">
        <f>Zones!G17</f>
        <v>6054.03</v>
      </c>
      <c r="E17" s="339">
        <v>15</v>
      </c>
      <c r="F17" s="339">
        <v>0.15</v>
      </c>
      <c r="G17" s="158"/>
      <c r="H17" s="88">
        <f t="shared" si="3"/>
        <v>4540.5225</v>
      </c>
      <c r="I17" s="89">
        <f t="shared" si="4"/>
        <v>908.10449999999992</v>
      </c>
      <c r="J17" s="89">
        <f t="shared" si="5"/>
        <v>0</v>
      </c>
      <c r="K17" s="88">
        <f t="shared" si="6"/>
        <v>4540.5225</v>
      </c>
      <c r="L17" s="88"/>
      <c r="M17" s="4"/>
      <c r="N17" s="4"/>
      <c r="O17" s="4"/>
      <c r="P17" s="4"/>
      <c r="Q17" s="4"/>
      <c r="R17" s="4"/>
      <c r="S17" s="4"/>
      <c r="T17" s="4"/>
      <c r="U17" s="4"/>
      <c r="V17" s="117"/>
    </row>
    <row r="18" spans="1:22" ht="23.45" customHeight="1" x14ac:dyDescent="0.2">
      <c r="A18" s="338" t="str">
        <f>Zones!A18</f>
        <v>Office Area (&lt;250 square feet)</v>
      </c>
      <c r="B18" s="338" t="str">
        <f>Zones!B18</f>
        <v>Classrm N_Flr 1_Office - LT 250 sf_Zn</v>
      </c>
      <c r="C18" s="172">
        <f>Zones!J18</f>
        <v>2.8813</v>
      </c>
      <c r="D18" s="172">
        <f>Zones!G18</f>
        <v>288.13</v>
      </c>
      <c r="E18" s="339">
        <v>30</v>
      </c>
      <c r="F18" s="339">
        <v>0.15</v>
      </c>
      <c r="G18" s="158"/>
      <c r="H18" s="88">
        <f t="shared" si="3"/>
        <v>86.438999999999993</v>
      </c>
      <c r="I18" s="89">
        <f t="shared" si="4"/>
        <v>43.219499999999996</v>
      </c>
      <c r="J18" s="89">
        <f t="shared" si="5"/>
        <v>0</v>
      </c>
      <c r="K18" s="88">
        <f t="shared" si="6"/>
        <v>86.438999999999993</v>
      </c>
      <c r="L18" s="88"/>
      <c r="M18" s="4"/>
      <c r="N18" s="4"/>
      <c r="O18" s="4"/>
      <c r="P18" s="4"/>
      <c r="Q18" s="4"/>
      <c r="R18" s="4"/>
      <c r="S18" s="4"/>
      <c r="T18" s="4"/>
      <c r="U18" s="4"/>
      <c r="V18" s="117"/>
    </row>
    <row r="19" spans="1:22" ht="23.45" customHeight="1" x14ac:dyDescent="0.2">
      <c r="A19" s="338" t="str">
        <f>Zones!A19</f>
        <v>Restrooms</v>
      </c>
      <c r="B19" s="338" t="str">
        <f>Zones!B19</f>
        <v>Classrm N_Flr 1_Restroom_Zn</v>
      </c>
      <c r="C19" s="172">
        <f>Zones!J19</f>
        <v>5.327</v>
      </c>
      <c r="D19" s="172">
        <f>Zones!G19</f>
        <v>532.70000000000005</v>
      </c>
      <c r="E19" s="339">
        <v>15</v>
      </c>
      <c r="F19" s="339">
        <v>0.15</v>
      </c>
      <c r="G19" s="158"/>
      <c r="H19" s="88">
        <f t="shared" si="3"/>
        <v>79.905000000000001</v>
      </c>
      <c r="I19" s="89">
        <f t="shared" si="4"/>
        <v>79.905000000000001</v>
      </c>
      <c r="J19" s="89">
        <f t="shared" si="5"/>
        <v>0</v>
      </c>
      <c r="K19" s="88">
        <f t="shared" si="6"/>
        <v>79.905000000000001</v>
      </c>
      <c r="L19" s="88"/>
      <c r="M19" s="4"/>
      <c r="N19" s="4"/>
      <c r="O19" s="4"/>
      <c r="P19" s="4"/>
      <c r="Q19" s="4"/>
      <c r="R19" s="4"/>
      <c r="S19" s="4"/>
      <c r="T19" s="4"/>
      <c r="U19" s="4"/>
      <c r="V19" s="117"/>
    </row>
    <row r="20" spans="1:22" ht="23.45" customHeight="1" x14ac:dyDescent="0.2">
      <c r="A20" s="338" t="str">
        <f>Zones!A20</f>
        <v>Classroom, Lecture, Training, Vocational Areas</v>
      </c>
      <c r="B20" s="338" t="str">
        <f>Zones!B20</f>
        <v>Classrm N_Flr 2_Classroom-01 Zns 6_Zn</v>
      </c>
      <c r="C20" s="172">
        <f>Zones!J20</f>
        <v>302.70150000000001</v>
      </c>
      <c r="D20" s="172">
        <f>Zones!G20</f>
        <v>6054.03</v>
      </c>
      <c r="E20" s="339">
        <v>15</v>
      </c>
      <c r="F20" s="339">
        <v>0.15</v>
      </c>
      <c r="G20" s="158"/>
      <c r="H20" s="88">
        <f t="shared" si="3"/>
        <v>4540.5225</v>
      </c>
      <c r="I20" s="89">
        <f t="shared" si="4"/>
        <v>908.10449999999992</v>
      </c>
      <c r="J20" s="89">
        <f t="shared" si="5"/>
        <v>0</v>
      </c>
      <c r="K20" s="88">
        <f t="shared" si="6"/>
        <v>4540.5225</v>
      </c>
      <c r="L20" s="88"/>
      <c r="M20" s="4"/>
      <c r="N20" s="4"/>
      <c r="O20" s="4"/>
      <c r="P20" s="4"/>
      <c r="Q20" s="4"/>
      <c r="R20" s="4"/>
      <c r="S20" s="4"/>
      <c r="T20" s="4"/>
      <c r="U20" s="4"/>
      <c r="V20" s="117"/>
    </row>
    <row r="21" spans="1:22" ht="23.45" customHeight="1" x14ac:dyDescent="0.2">
      <c r="A21" s="338" t="str">
        <f>Zones!A21</f>
        <v>Classroom, Lecture, Training, Vocational Areas</v>
      </c>
      <c r="B21" s="338" t="str">
        <f>Zones!B21</f>
        <v>Classrm N_Flr 2_Classroom-02_Zn</v>
      </c>
      <c r="C21" s="172">
        <f>Zones!J21</f>
        <v>50.087499999999999</v>
      </c>
      <c r="D21" s="172">
        <f>Zones!G21</f>
        <v>1001.75</v>
      </c>
      <c r="E21" s="339">
        <v>15</v>
      </c>
      <c r="F21" s="339">
        <v>0.15</v>
      </c>
      <c r="G21" s="158"/>
      <c r="H21" s="88">
        <f t="shared" si="3"/>
        <v>751.3125</v>
      </c>
      <c r="I21" s="89">
        <f t="shared" si="4"/>
        <v>150.26249999999999</v>
      </c>
      <c r="J21" s="89">
        <f t="shared" si="5"/>
        <v>0</v>
      </c>
      <c r="K21" s="88">
        <f t="shared" si="6"/>
        <v>751.3125</v>
      </c>
      <c r="L21" s="88"/>
      <c r="M21" s="4"/>
      <c r="N21" s="4"/>
      <c r="O21" s="4"/>
      <c r="P21" s="4"/>
      <c r="Q21" s="4"/>
      <c r="R21" s="4"/>
      <c r="S21" s="4"/>
      <c r="T21" s="4"/>
      <c r="U21" s="4"/>
      <c r="V21" s="117"/>
    </row>
    <row r="22" spans="1:22" ht="23.45" customHeight="1" x14ac:dyDescent="0.2">
      <c r="A22" s="338" t="str">
        <f>Zones!A22</f>
        <v>Office Area (&lt;250 square feet)</v>
      </c>
      <c r="B22" s="338" t="str">
        <f>Zones!B22</f>
        <v>Classrm N_Flr 2_Office - LT 250 sf_Zn</v>
      </c>
      <c r="C22" s="172">
        <f>Zones!J22</f>
        <v>2.8813</v>
      </c>
      <c r="D22" s="172">
        <f>Zones!G22</f>
        <v>288.13</v>
      </c>
      <c r="E22" s="339">
        <v>30</v>
      </c>
      <c r="F22" s="339">
        <v>0.15</v>
      </c>
      <c r="G22" s="158"/>
      <c r="H22" s="88">
        <f t="shared" si="3"/>
        <v>86.438999999999993</v>
      </c>
      <c r="I22" s="89">
        <f t="shared" si="4"/>
        <v>43.219499999999996</v>
      </c>
      <c r="J22" s="89">
        <f t="shared" si="5"/>
        <v>0</v>
      </c>
      <c r="K22" s="88">
        <f t="shared" si="6"/>
        <v>86.438999999999993</v>
      </c>
      <c r="L22" s="88"/>
      <c r="M22" s="4"/>
      <c r="N22" s="4"/>
      <c r="O22" s="4"/>
      <c r="P22" s="4"/>
      <c r="Q22" s="4"/>
      <c r="R22" s="4"/>
      <c r="S22" s="4"/>
      <c r="T22" s="4"/>
      <c r="U22" s="4"/>
      <c r="V22" s="117"/>
    </row>
    <row r="23" spans="1:22" ht="23.45" customHeight="1" x14ac:dyDescent="0.2">
      <c r="A23" s="338" t="str">
        <f>Zones!A23</f>
        <v>Restrooms</v>
      </c>
      <c r="B23" s="338" t="str">
        <f>Zones!B23</f>
        <v>Classrm N_Flr 2_Restroom_Zn</v>
      </c>
      <c r="C23" s="172">
        <f>Zones!J23</f>
        <v>5.327</v>
      </c>
      <c r="D23" s="172">
        <f>Zones!G23</f>
        <v>532.70000000000005</v>
      </c>
      <c r="E23" s="339">
        <v>15</v>
      </c>
      <c r="F23" s="339">
        <v>0.15</v>
      </c>
      <c r="G23" s="158"/>
      <c r="H23" s="88">
        <f t="shared" si="3"/>
        <v>79.905000000000001</v>
      </c>
      <c r="I23" s="89">
        <f t="shared" si="4"/>
        <v>79.905000000000001</v>
      </c>
      <c r="J23" s="89">
        <f t="shared" si="5"/>
        <v>0</v>
      </c>
      <c r="K23" s="88">
        <f t="shared" si="6"/>
        <v>79.905000000000001</v>
      </c>
      <c r="L23" s="88"/>
      <c r="M23" s="4"/>
      <c r="N23" s="4"/>
      <c r="O23" s="4"/>
      <c r="P23" s="4"/>
      <c r="Q23" s="4"/>
      <c r="R23" s="4"/>
      <c r="S23" s="4"/>
      <c r="T23" s="4"/>
      <c r="U23" s="4"/>
      <c r="V23" s="117"/>
    </row>
    <row r="24" spans="1:22" ht="23.45" customHeight="1" x14ac:dyDescent="0.2">
      <c r="A24" s="338" t="str">
        <f>Zones!A24</f>
        <v>Classroom, Lecture, Training, Vocational Areas</v>
      </c>
      <c r="B24" s="338" t="str">
        <f>Zones!B24</f>
        <v>Classrm W_Flr 1_Classroom Zns 2_Zn</v>
      </c>
      <c r="C24" s="172">
        <f>Zones!J24</f>
        <v>102.747</v>
      </c>
      <c r="D24" s="172">
        <f>Zones!G24</f>
        <v>2054.94</v>
      </c>
      <c r="E24" s="339">
        <v>15</v>
      </c>
      <c r="F24" s="339">
        <v>0.15</v>
      </c>
      <c r="G24" s="158"/>
      <c r="H24" s="88">
        <f t="shared" si="3"/>
        <v>1541.2049999999999</v>
      </c>
      <c r="I24" s="89">
        <f t="shared" si="4"/>
        <v>308.24099999999999</v>
      </c>
      <c r="J24" s="89">
        <f t="shared" si="5"/>
        <v>0</v>
      </c>
      <c r="K24" s="88">
        <f t="shared" si="6"/>
        <v>1541.2049999999999</v>
      </c>
      <c r="L24" s="88"/>
      <c r="M24" s="4"/>
      <c r="N24" s="4"/>
      <c r="O24" s="4"/>
      <c r="P24" s="4"/>
      <c r="Q24" s="4"/>
      <c r="R24" s="4"/>
      <c r="S24" s="4"/>
      <c r="T24" s="4"/>
      <c r="U24" s="4"/>
      <c r="V24" s="117"/>
    </row>
    <row r="25" spans="1:22" ht="23.45" customHeight="1" x14ac:dyDescent="0.2">
      <c r="A25" s="338" t="str">
        <f>Zones!A25</f>
        <v>Electrical, Mechanical, Telephone Rooms</v>
      </c>
      <c r="B25" s="338" t="str">
        <f>Zones!B25</f>
        <v>Classrm W_Flr 1_EMT-01_Zn</v>
      </c>
      <c r="C25" s="172">
        <f>Zones!J25</f>
        <v>1.2101000000000002</v>
      </c>
      <c r="D25" s="172">
        <f>Zones!G25</f>
        <v>121.01</v>
      </c>
      <c r="E25" s="339">
        <v>30</v>
      </c>
      <c r="F25" s="339">
        <v>0.15</v>
      </c>
      <c r="G25" s="158"/>
      <c r="H25" s="88">
        <f t="shared" si="3"/>
        <v>36.303000000000004</v>
      </c>
      <c r="I25" s="89">
        <f t="shared" si="4"/>
        <v>18.151499999999999</v>
      </c>
      <c r="J25" s="89">
        <f t="shared" si="5"/>
        <v>0</v>
      </c>
      <c r="K25" s="88">
        <f t="shared" si="6"/>
        <v>36.303000000000004</v>
      </c>
      <c r="L25" s="88"/>
      <c r="M25" s="4"/>
      <c r="N25" s="4"/>
      <c r="O25" s="4"/>
      <c r="P25" s="4"/>
      <c r="Q25" s="4"/>
      <c r="R25" s="4"/>
      <c r="S25" s="4"/>
      <c r="T25" s="4"/>
      <c r="U25" s="4"/>
      <c r="V25" s="117"/>
    </row>
    <row r="26" spans="1:22" ht="23.45" customHeight="1" x14ac:dyDescent="0.2">
      <c r="A26" s="338" t="str">
        <f>Zones!A26</f>
        <v>Electrical, Mechanical, Telephone Rooms</v>
      </c>
      <c r="B26" s="338" t="str">
        <f>Zones!B26</f>
        <v>Classrm W_Flr 1_EMT-02_Zn</v>
      </c>
      <c r="C26" s="172">
        <f>Zones!J26</f>
        <v>0.98009999999999997</v>
      </c>
      <c r="D26" s="172">
        <f>Zones!G26</f>
        <v>98.01</v>
      </c>
      <c r="E26" s="339">
        <v>30</v>
      </c>
      <c r="F26" s="339">
        <v>0.15</v>
      </c>
      <c r="G26" s="158"/>
      <c r="H26" s="88">
        <f t="shared" si="3"/>
        <v>29.402999999999999</v>
      </c>
      <c r="I26" s="89">
        <f t="shared" si="4"/>
        <v>14.701499999999999</v>
      </c>
      <c r="J26" s="89">
        <f t="shared" si="5"/>
        <v>0</v>
      </c>
      <c r="K26" s="88">
        <f t="shared" si="6"/>
        <v>29.402999999999999</v>
      </c>
      <c r="L26" s="88"/>
      <c r="M26" s="4"/>
      <c r="N26" s="4"/>
      <c r="O26" s="4"/>
      <c r="P26" s="4"/>
      <c r="Q26" s="4"/>
      <c r="R26" s="4"/>
      <c r="S26" s="4"/>
      <c r="T26" s="4"/>
      <c r="U26" s="4"/>
      <c r="V26" s="117"/>
    </row>
    <row r="27" spans="1:22" ht="23.45" customHeight="1" x14ac:dyDescent="0.2">
      <c r="A27" s="338" t="str">
        <f>Zones!A27</f>
        <v>Library (Reading Area)</v>
      </c>
      <c r="B27" s="338" t="str">
        <f>Zones!B27</f>
        <v>Classrm W_Flr 1_Library - Reading Area_Zn</v>
      </c>
      <c r="C27" s="172">
        <f>Zones!J27</f>
        <v>23.942600000000002</v>
      </c>
      <c r="D27" s="172">
        <f>Zones!G27</f>
        <v>1197.1300000000001</v>
      </c>
      <c r="E27" s="339">
        <v>15</v>
      </c>
      <c r="F27" s="339">
        <v>0.15</v>
      </c>
      <c r="G27" s="158"/>
      <c r="H27" s="88">
        <f t="shared" si="3"/>
        <v>359.13900000000001</v>
      </c>
      <c r="I27" s="89">
        <f t="shared" si="4"/>
        <v>179.56950000000001</v>
      </c>
      <c r="J27" s="89">
        <f t="shared" si="5"/>
        <v>0</v>
      </c>
      <c r="K27" s="88">
        <f t="shared" si="6"/>
        <v>359.13900000000001</v>
      </c>
      <c r="L27" s="88"/>
      <c r="M27" s="4"/>
      <c r="N27" s="4"/>
      <c r="O27" s="4"/>
      <c r="P27" s="4"/>
      <c r="Q27" s="4"/>
      <c r="R27" s="4"/>
      <c r="S27" s="4"/>
      <c r="T27" s="4"/>
      <c r="U27" s="4"/>
      <c r="V27" s="117"/>
    </row>
    <row r="28" spans="1:22" ht="23.45" customHeight="1" x14ac:dyDescent="0.2">
      <c r="A28" s="338" t="str">
        <f>Zones!A28</f>
        <v>Restrooms</v>
      </c>
      <c r="B28" s="338" t="str">
        <f>Zones!B28</f>
        <v>Classrm W_Flr 1_Restroom_Zn</v>
      </c>
      <c r="C28" s="172">
        <f>Zones!J28</f>
        <v>5.6304999999999996</v>
      </c>
      <c r="D28" s="172">
        <f>Zones!G28</f>
        <v>563.04999999999995</v>
      </c>
      <c r="E28" s="339">
        <v>15</v>
      </c>
      <c r="F28" s="339">
        <v>0.15</v>
      </c>
      <c r="G28" s="158"/>
      <c r="H28" s="88">
        <f t="shared" si="3"/>
        <v>84.457499999999996</v>
      </c>
      <c r="I28" s="89">
        <f t="shared" si="4"/>
        <v>84.457499999999996</v>
      </c>
      <c r="J28" s="89">
        <f t="shared" si="5"/>
        <v>0</v>
      </c>
      <c r="K28" s="88">
        <f t="shared" si="6"/>
        <v>84.457499999999996</v>
      </c>
      <c r="L28" s="88"/>
      <c r="M28" s="4"/>
      <c r="N28" s="4"/>
      <c r="O28" s="4"/>
      <c r="P28" s="4"/>
      <c r="Q28" s="4"/>
      <c r="R28" s="4"/>
      <c r="S28" s="4"/>
      <c r="T28" s="4"/>
      <c r="U28" s="4"/>
      <c r="V28" s="117"/>
    </row>
    <row r="29" spans="1:22" ht="23.45" customHeight="1" x14ac:dyDescent="0.2">
      <c r="A29" s="338" t="str">
        <f>Zones!A29</f>
        <v>Storage (General)</v>
      </c>
      <c r="B29" s="338" t="str">
        <f>Zones!B29</f>
        <v>Classrm W_Flr 1_Storage - General_Zn</v>
      </c>
      <c r="C29" s="172">
        <f>Zones!J29</f>
        <v>3.8083999999999998</v>
      </c>
      <c r="D29" s="172">
        <f>Zones!G29</f>
        <v>380.84</v>
      </c>
      <c r="E29" s="339">
        <v>30</v>
      </c>
      <c r="F29" s="339">
        <v>0.15</v>
      </c>
      <c r="G29" s="158"/>
      <c r="H29" s="88">
        <f t="shared" si="3"/>
        <v>114.252</v>
      </c>
      <c r="I29" s="89">
        <f t="shared" si="4"/>
        <v>57.125999999999998</v>
      </c>
      <c r="J29" s="89">
        <f t="shared" si="5"/>
        <v>0</v>
      </c>
      <c r="K29" s="88">
        <f t="shared" si="6"/>
        <v>114.252</v>
      </c>
      <c r="L29" s="88"/>
      <c r="M29" s="4"/>
      <c r="N29" s="4"/>
      <c r="O29" s="4"/>
      <c r="P29" s="4"/>
      <c r="Q29" s="4"/>
      <c r="R29" s="4"/>
      <c r="S29" s="4"/>
      <c r="T29" s="4"/>
      <c r="U29" s="4"/>
      <c r="V29" s="117"/>
    </row>
    <row r="30" spans="1:22" ht="23.45" customHeight="1" x14ac:dyDescent="0.2">
      <c r="A30" s="338" t="str">
        <f>Zones!A30</f>
        <v>Classroom, Lecture, Training, Vocational Areas</v>
      </c>
      <c r="B30" s="338" t="str">
        <f>Zones!B30</f>
        <v>Classrm W_Flr 2_Classroom-01 Zns 3_Zn</v>
      </c>
      <c r="C30" s="172">
        <f>Zones!J30</f>
        <v>162.60300000000001</v>
      </c>
      <c r="D30" s="172">
        <f>Zones!G30</f>
        <v>3252.06</v>
      </c>
      <c r="E30" s="339">
        <v>15</v>
      </c>
      <c r="F30" s="339">
        <v>0.15</v>
      </c>
      <c r="G30" s="158"/>
      <c r="H30" s="88">
        <f t="shared" si="3"/>
        <v>2439.0450000000001</v>
      </c>
      <c r="I30" s="89">
        <f t="shared" si="4"/>
        <v>487.80899999999997</v>
      </c>
      <c r="J30" s="89">
        <f t="shared" si="5"/>
        <v>0</v>
      </c>
      <c r="K30" s="88">
        <f t="shared" si="6"/>
        <v>2439.0450000000001</v>
      </c>
      <c r="L30" s="88"/>
      <c r="M30" s="4"/>
      <c r="N30" s="4"/>
      <c r="O30" s="4"/>
      <c r="P30" s="4"/>
      <c r="Q30" s="4"/>
      <c r="R30" s="4"/>
      <c r="S30" s="4"/>
      <c r="T30" s="4"/>
      <c r="U30" s="4"/>
      <c r="V30" s="117"/>
    </row>
    <row r="31" spans="1:22" ht="23.45" customHeight="1" x14ac:dyDescent="0.2">
      <c r="A31" s="338" t="str">
        <f>Zones!A31</f>
        <v>Classroom, Lecture, Training, Vocational Areas</v>
      </c>
      <c r="B31" s="338" t="str">
        <f>Zones!B31</f>
        <v>Classrm W_Flr 2_Classroom-02_Zn</v>
      </c>
      <c r="C31" s="172">
        <f>Zones!J31</f>
        <v>19.042000000000002</v>
      </c>
      <c r="D31" s="172">
        <f>Zones!G31</f>
        <v>380.84</v>
      </c>
      <c r="E31" s="339">
        <v>15</v>
      </c>
      <c r="F31" s="339">
        <v>0.15</v>
      </c>
      <c r="G31" s="158"/>
      <c r="H31" s="88">
        <f t="shared" si="3"/>
        <v>285.63</v>
      </c>
      <c r="I31" s="89">
        <f t="shared" si="4"/>
        <v>57.125999999999998</v>
      </c>
      <c r="J31" s="89">
        <f t="shared" si="5"/>
        <v>0</v>
      </c>
      <c r="K31" s="88">
        <f t="shared" si="6"/>
        <v>285.63</v>
      </c>
      <c r="L31" s="88"/>
      <c r="M31" s="4"/>
      <c r="N31" s="4"/>
      <c r="O31" s="4"/>
      <c r="P31" s="4"/>
      <c r="Q31" s="4"/>
      <c r="R31" s="4"/>
      <c r="S31" s="4"/>
      <c r="T31" s="4"/>
      <c r="U31" s="4"/>
      <c r="V31" s="117"/>
    </row>
    <row r="32" spans="1:22" ht="23.45" customHeight="1" x14ac:dyDescent="0.2">
      <c r="A32" s="338" t="str">
        <f>Zones!A32</f>
        <v>Electrical, Mechanical, Telephone Rooms</v>
      </c>
      <c r="B32" s="338" t="str">
        <f>Zones!B32</f>
        <v>Classrm W_Flr 2_IDF Room_Zn</v>
      </c>
      <c r="C32" s="172">
        <f>Zones!J32</f>
        <v>1.2101000000000002</v>
      </c>
      <c r="D32" s="172">
        <f>Zones!G32</f>
        <v>121.01</v>
      </c>
      <c r="E32" s="339">
        <v>30</v>
      </c>
      <c r="F32" s="339">
        <v>0.15</v>
      </c>
      <c r="G32" s="158"/>
      <c r="H32" s="88">
        <f t="shared" si="3"/>
        <v>36.303000000000004</v>
      </c>
      <c r="I32" s="89">
        <f t="shared" si="4"/>
        <v>18.151499999999999</v>
      </c>
      <c r="J32" s="89">
        <f t="shared" si="5"/>
        <v>0</v>
      </c>
      <c r="K32" s="88">
        <f t="shared" si="6"/>
        <v>36.303000000000004</v>
      </c>
      <c r="L32" s="88"/>
      <c r="M32" s="4"/>
      <c r="N32" s="4"/>
      <c r="O32" s="4"/>
      <c r="P32" s="4"/>
      <c r="Q32" s="4"/>
      <c r="R32" s="4"/>
      <c r="S32" s="4"/>
      <c r="T32" s="4"/>
      <c r="U32" s="4"/>
      <c r="V32" s="117"/>
    </row>
    <row r="33" spans="1:22" ht="23.45" customHeight="1" x14ac:dyDescent="0.2">
      <c r="A33" s="338" t="str">
        <f>Zones!A33</f>
        <v>Restrooms</v>
      </c>
      <c r="B33" s="338" t="str">
        <f>Zones!B33</f>
        <v>Classrm W_Flr 2_Restroom_Zn</v>
      </c>
      <c r="C33" s="172">
        <f>Zones!J33</f>
        <v>5.6304999999999996</v>
      </c>
      <c r="D33" s="172">
        <f>Zones!G33</f>
        <v>563.04999999999995</v>
      </c>
      <c r="E33" s="339">
        <v>15</v>
      </c>
      <c r="F33" s="339">
        <v>0.15</v>
      </c>
      <c r="G33" s="158"/>
      <c r="H33" s="88">
        <f t="shared" si="3"/>
        <v>84.457499999999996</v>
      </c>
      <c r="I33" s="89">
        <f t="shared" si="4"/>
        <v>84.457499999999996</v>
      </c>
      <c r="J33" s="89">
        <f t="shared" si="5"/>
        <v>0</v>
      </c>
      <c r="K33" s="88">
        <f t="shared" si="6"/>
        <v>84.457499999999996</v>
      </c>
      <c r="L33" s="88"/>
      <c r="M33" s="4"/>
      <c r="N33" s="4"/>
      <c r="O33" s="4"/>
      <c r="P33" s="4"/>
      <c r="Q33" s="4"/>
      <c r="R33" s="4"/>
      <c r="S33" s="4"/>
      <c r="T33" s="4"/>
      <c r="U33" s="4"/>
      <c r="V33" s="117"/>
    </row>
    <row r="34" spans="1:22" ht="23.45" customHeight="1" x14ac:dyDescent="0.2">
      <c r="A34" s="338" t="str">
        <f>Zones!A34</f>
        <v>Storage (General)</v>
      </c>
      <c r="B34" s="338" t="str">
        <f>Zones!B34</f>
        <v>Classrm W_Flr 2_Storage - General_Zn</v>
      </c>
      <c r="C34" s="172">
        <f>Zones!J34</f>
        <v>0.98009999999999997</v>
      </c>
      <c r="D34" s="172">
        <f>Zones!G34</f>
        <v>98.01</v>
      </c>
      <c r="E34" s="339">
        <v>30</v>
      </c>
      <c r="F34" s="339">
        <v>0.15</v>
      </c>
      <c r="G34" s="158"/>
      <c r="H34" s="88">
        <f t="shared" si="3"/>
        <v>29.402999999999999</v>
      </c>
      <c r="I34" s="89">
        <f t="shared" si="4"/>
        <v>14.701499999999999</v>
      </c>
      <c r="J34" s="89">
        <f t="shared" si="5"/>
        <v>0</v>
      </c>
      <c r="K34" s="88">
        <f t="shared" si="6"/>
        <v>29.402999999999999</v>
      </c>
      <c r="L34" s="88"/>
      <c r="M34" s="4"/>
      <c r="N34" s="4"/>
      <c r="O34" s="4"/>
      <c r="P34" s="4"/>
      <c r="Q34" s="4"/>
      <c r="R34" s="4"/>
      <c r="S34" s="4"/>
      <c r="T34" s="4"/>
      <c r="U34" s="4"/>
      <c r="V34" s="117"/>
    </row>
    <row r="35" spans="1:22" ht="23.45" customHeight="1" x14ac:dyDescent="0.2">
      <c r="A35" s="338" t="str">
        <f>Zones!A35</f>
        <v>Classroom, Lecture, Training, Vocational Areas</v>
      </c>
      <c r="B35" s="338" t="str">
        <f>Zones!B35</f>
        <v>Kindergarten_Classroom-01_Zn</v>
      </c>
      <c r="C35" s="172">
        <f>Zones!J35</f>
        <v>274.72699999999998</v>
      </c>
      <c r="D35" s="172">
        <f>Zones!G35</f>
        <v>5494.54</v>
      </c>
      <c r="E35" s="339">
        <v>15</v>
      </c>
      <c r="F35" s="339">
        <v>0.15</v>
      </c>
      <c r="G35" s="158"/>
      <c r="H35" s="88">
        <f t="shared" si="3"/>
        <v>4120.9049999999997</v>
      </c>
      <c r="I35" s="89">
        <f t="shared" si="4"/>
        <v>824.18099999999993</v>
      </c>
      <c r="J35" s="89">
        <f t="shared" si="5"/>
        <v>0</v>
      </c>
      <c r="K35" s="88">
        <f t="shared" si="6"/>
        <v>4120.9049999999997</v>
      </c>
      <c r="L35" s="88"/>
      <c r="M35" s="4"/>
      <c r="N35" s="4"/>
      <c r="O35" s="4"/>
      <c r="P35" s="4"/>
      <c r="Q35" s="4"/>
      <c r="R35" s="4"/>
      <c r="S35" s="4"/>
      <c r="T35" s="4"/>
      <c r="U35" s="4"/>
      <c r="V35" s="117"/>
    </row>
    <row r="36" spans="1:22" ht="25.15" customHeight="1" x14ac:dyDescent="0.2">
      <c r="A36" s="338" t="str">
        <f>Zones!A36</f>
        <v>Classroom, Lecture, Training, Vocational Areas</v>
      </c>
      <c r="B36" s="338" t="str">
        <f>Zones!B36</f>
        <v>Kindergarten_Classroom-02_Zn</v>
      </c>
      <c r="C36" s="172">
        <f>Zones!J36</f>
        <v>72.007000000000005</v>
      </c>
      <c r="D36" s="172">
        <f>Zones!G36</f>
        <v>1440.14</v>
      </c>
      <c r="E36" s="339">
        <v>15</v>
      </c>
      <c r="F36" s="339">
        <v>0.15</v>
      </c>
      <c r="G36" s="158"/>
      <c r="H36" s="88">
        <f t="shared" si="3"/>
        <v>1080.105</v>
      </c>
      <c r="I36" s="89">
        <f t="shared" si="4"/>
        <v>216.02100000000002</v>
      </c>
      <c r="J36" s="89">
        <f t="shared" si="5"/>
        <v>0</v>
      </c>
      <c r="K36" s="88">
        <f t="shared" si="6"/>
        <v>1080.105</v>
      </c>
      <c r="L36" s="88"/>
      <c r="M36" s="4"/>
      <c r="N36" s="4"/>
      <c r="O36" s="4"/>
      <c r="P36" s="4"/>
      <c r="Q36" s="4"/>
      <c r="R36" s="4"/>
      <c r="S36" s="4"/>
      <c r="T36" s="4"/>
      <c r="U36" s="4"/>
      <c r="V36" s="4"/>
    </row>
    <row r="37" spans="1:22" ht="28.9" customHeight="1" x14ac:dyDescent="0.2">
      <c r="A37" s="338" t="str">
        <f>Zones!A37</f>
        <v>Electrical, Mechanical, Telephone Rooms</v>
      </c>
      <c r="B37" s="338" t="str">
        <f>Zones!B37</f>
        <v>Kindergarten_EMT_Zn</v>
      </c>
      <c r="C37" s="172">
        <f>Zones!J37</f>
        <v>1.7087000000000001</v>
      </c>
      <c r="D37" s="172">
        <f>Zones!G37</f>
        <v>170.87</v>
      </c>
      <c r="E37" s="339">
        <v>30</v>
      </c>
      <c r="F37" s="339">
        <v>0.15</v>
      </c>
      <c r="G37" s="158"/>
      <c r="H37" s="88">
        <f t="shared" si="3"/>
        <v>51.261000000000003</v>
      </c>
      <c r="I37" s="89">
        <f t="shared" si="4"/>
        <v>25.630500000000001</v>
      </c>
      <c r="J37" s="89">
        <f t="shared" si="5"/>
        <v>0</v>
      </c>
      <c r="K37" s="88">
        <f t="shared" si="6"/>
        <v>51.261000000000003</v>
      </c>
      <c r="L37" s="88"/>
      <c r="M37" s="4"/>
      <c r="N37" s="4"/>
      <c r="O37" s="4"/>
      <c r="P37" s="4"/>
      <c r="Q37" s="4"/>
      <c r="R37" s="4"/>
      <c r="S37" s="4"/>
      <c r="T37" s="4"/>
      <c r="U37" s="4"/>
      <c r="V37" s="4"/>
    </row>
    <row r="38" spans="1:22" ht="28.9" customHeight="1" x14ac:dyDescent="0.2">
      <c r="A38" s="338" t="str">
        <f>Zones!A38</f>
        <v>Electrical, Mechanical, Telephone Rooms</v>
      </c>
      <c r="B38" s="338" t="str">
        <f>Zones!B38</f>
        <v>Kindergarten_IDF Room_Zn</v>
      </c>
      <c r="C38" s="172">
        <f>Zones!J38</f>
        <v>0.85480000000000012</v>
      </c>
      <c r="D38" s="172">
        <f>Zones!G38</f>
        <v>85.48</v>
      </c>
      <c r="E38" s="339">
        <v>30</v>
      </c>
      <c r="F38" s="339">
        <v>0.15</v>
      </c>
      <c r="G38" s="158"/>
      <c r="H38" s="88">
        <f t="shared" si="3"/>
        <v>25.644000000000002</v>
      </c>
      <c r="I38" s="89">
        <f t="shared" si="4"/>
        <v>12.822000000000001</v>
      </c>
      <c r="J38" s="89">
        <f t="shared" si="5"/>
        <v>0</v>
      </c>
      <c r="K38" s="88">
        <f t="shared" si="6"/>
        <v>25.644000000000002</v>
      </c>
      <c r="L38" s="88"/>
      <c r="M38" s="4"/>
      <c r="N38" s="4"/>
      <c r="O38" s="4"/>
      <c r="P38" s="4"/>
      <c r="Q38" s="4"/>
      <c r="R38" s="4"/>
      <c r="S38" s="4"/>
      <c r="T38" s="4"/>
      <c r="U38" s="4"/>
      <c r="V38" s="4"/>
    </row>
    <row r="39" spans="1:22" ht="28.9" customHeight="1" x14ac:dyDescent="0.2">
      <c r="A39" s="338" t="str">
        <f>Zones!A39</f>
        <v>Restrooms</v>
      </c>
      <c r="B39" s="338" t="str">
        <f>Zones!B39</f>
        <v>Kindergarten_Restroom_Zn</v>
      </c>
      <c r="C39" s="172">
        <f>Zones!J39</f>
        <v>2.6602999999999999</v>
      </c>
      <c r="D39" s="172">
        <f>Zones!G39</f>
        <v>266.02999999999997</v>
      </c>
      <c r="E39" s="339">
        <v>15</v>
      </c>
      <c r="F39" s="339">
        <v>0.15</v>
      </c>
      <c r="G39" s="158"/>
      <c r="H39" s="88">
        <f t="shared" si="3"/>
        <v>39.904499999999999</v>
      </c>
      <c r="I39" s="89">
        <f t="shared" si="4"/>
        <v>39.904499999999992</v>
      </c>
      <c r="J39" s="89">
        <f t="shared" si="5"/>
        <v>0</v>
      </c>
      <c r="K39" s="88">
        <f t="shared" si="6"/>
        <v>39.904499999999999</v>
      </c>
      <c r="L39" s="88"/>
      <c r="M39" s="4"/>
      <c r="N39" s="4"/>
      <c r="O39" s="4"/>
      <c r="P39" s="4"/>
      <c r="Q39" s="4"/>
      <c r="R39" s="4"/>
      <c r="S39" s="4"/>
      <c r="T39" s="4"/>
      <c r="U39" s="4"/>
      <c r="V39" s="4"/>
    </row>
    <row r="40" spans="1:22" ht="23.45" customHeight="1" x14ac:dyDescent="0.2">
      <c r="A40" s="338" t="str">
        <f>Zones!A40</f>
        <v>Storage (General)</v>
      </c>
      <c r="B40" s="338" t="str">
        <f>Zones!B40</f>
        <v>Kindergarten_Storage - General_Zn</v>
      </c>
      <c r="C40" s="172">
        <f>Zones!J40</f>
        <v>11.837999999999999</v>
      </c>
      <c r="D40" s="172">
        <f>Zones!G40</f>
        <v>1183.8</v>
      </c>
      <c r="E40" s="339">
        <v>30</v>
      </c>
      <c r="F40" s="339">
        <v>0.15</v>
      </c>
      <c r="G40" s="158"/>
      <c r="H40" s="88">
        <f t="shared" si="3"/>
        <v>355.14</v>
      </c>
      <c r="I40" s="89">
        <f t="shared" si="4"/>
        <v>177.57</v>
      </c>
      <c r="J40" s="89">
        <f t="shared" si="5"/>
        <v>0</v>
      </c>
      <c r="K40" s="88">
        <f t="shared" si="6"/>
        <v>355.14</v>
      </c>
      <c r="L40" s="88"/>
      <c r="M40" s="4"/>
      <c r="N40" s="4"/>
      <c r="O40" s="4"/>
      <c r="P40" s="4"/>
      <c r="Q40" s="4"/>
      <c r="R40" s="4"/>
      <c r="S40" s="4"/>
      <c r="T40" s="4"/>
      <c r="U40" s="4"/>
      <c r="V40" s="4"/>
    </row>
    <row r="41" spans="1:22" ht="24.6" customHeight="1" x14ac:dyDescent="0.2">
      <c r="A41" s="338" t="str">
        <f>Zones!A41</f>
        <v>Total (15 Space types)</v>
      </c>
      <c r="B41" s="338" t="str">
        <f>Zones!B41</f>
        <v>Total (38 spaces)</v>
      </c>
      <c r="C41" s="172">
        <f>Zones!J41</f>
        <v>2136.6549600000008</v>
      </c>
      <c r="D41" s="172">
        <f>Zones!G41</f>
        <v>49979.37000000001</v>
      </c>
      <c r="E41" s="339"/>
      <c r="F41" s="339"/>
      <c r="G41" s="339"/>
      <c r="H41" s="88">
        <f>SUM(H3:H40)</f>
        <v>33392.546399999985</v>
      </c>
      <c r="I41" s="88">
        <f>SUM(I3:I40)</f>
        <v>7496.9054999999989</v>
      </c>
      <c r="J41" s="88">
        <f>SUM(J3:J40)</f>
        <v>0</v>
      </c>
      <c r="K41" s="88">
        <f>SUM(K3:K40)</f>
        <v>33430.304399999986</v>
      </c>
      <c r="L41" s="339"/>
      <c r="M41" s="4"/>
      <c r="N41" s="4"/>
      <c r="O41" s="4"/>
      <c r="P41" s="4"/>
      <c r="Q41" s="4"/>
      <c r="R41" s="4"/>
      <c r="S41" s="4"/>
      <c r="T41" s="4"/>
      <c r="U41" s="4"/>
      <c r="V41" s="4"/>
    </row>
    <row r="42" spans="1:22" ht="24.6" customHeight="1" x14ac:dyDescent="0.2">
      <c r="A42" s="4"/>
      <c r="B42" s="4"/>
      <c r="C42" s="4"/>
      <c r="D42" s="4"/>
      <c r="E42" s="4"/>
      <c r="F42" s="4"/>
      <c r="G42" s="4"/>
      <c r="H42" s="4"/>
      <c r="I42" s="4"/>
      <c r="J42" s="4"/>
      <c r="K42" s="4"/>
      <c r="L42" s="4"/>
      <c r="M42" s="4"/>
      <c r="N42" s="4"/>
      <c r="O42" s="4"/>
      <c r="P42" s="4"/>
      <c r="Q42" s="4"/>
      <c r="R42" s="4"/>
      <c r="S42" s="4"/>
      <c r="T42" s="4"/>
      <c r="U42" s="4"/>
      <c r="V42" s="4"/>
    </row>
    <row r="43" spans="1:22" ht="24.6" customHeight="1" x14ac:dyDescent="0.2">
      <c r="A43" s="4"/>
      <c r="B43" s="4"/>
      <c r="C43" s="4"/>
      <c r="D43" s="4"/>
      <c r="E43" s="4"/>
      <c r="F43" s="4"/>
      <c r="G43" s="4"/>
      <c r="H43" s="4"/>
      <c r="I43" s="4"/>
      <c r="J43" s="4"/>
      <c r="K43" s="4"/>
      <c r="L43" s="4"/>
      <c r="M43" s="4"/>
      <c r="N43" s="4"/>
      <c r="O43" s="4"/>
      <c r="P43" s="4"/>
      <c r="Q43" s="4"/>
      <c r="R43" s="4"/>
      <c r="S43" s="4"/>
      <c r="T43" s="4"/>
      <c r="U43" s="4"/>
      <c r="V43" s="4"/>
    </row>
  </sheetData>
  <mergeCells count="1">
    <mergeCell ref="A1:L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O126"/>
  <sheetViews>
    <sheetView zoomScale="80" zoomScaleNormal="80" workbookViewId="0">
      <selection sqref="A1:G1"/>
    </sheetView>
  </sheetViews>
  <sheetFormatPr defaultColWidth="8.7109375" defaultRowHeight="12.75" customHeight="1" x14ac:dyDescent="0.2"/>
  <cols>
    <col min="1" max="1" width="55.28515625" style="6" customWidth="1"/>
    <col min="2" max="3" width="22.5703125" style="6" customWidth="1"/>
    <col min="4" max="4" width="20.85546875" style="6" customWidth="1"/>
    <col min="5" max="6" width="21.42578125" style="6" customWidth="1"/>
    <col min="7" max="7" width="30.85546875" style="6" customWidth="1"/>
    <col min="8" max="8" width="9.42578125" style="6" bestFit="1" customWidth="1"/>
    <col min="9" max="9" width="25.85546875" style="6" customWidth="1"/>
    <col min="10" max="10" width="128.140625" style="6" customWidth="1"/>
    <col min="11" max="13" width="15.28515625" style="6" customWidth="1"/>
    <col min="14" max="14" width="12.28515625" style="6" customWidth="1"/>
    <col min="15" max="15" width="13.28515625" style="6" customWidth="1"/>
    <col min="16" max="16" width="15.28515625" style="6" customWidth="1"/>
    <col min="17" max="17" width="11" style="6" customWidth="1"/>
    <col min="18" max="21" width="15.28515625" style="6" customWidth="1"/>
    <col min="22" max="22" width="7.7109375" style="6" hidden="1" customWidth="1"/>
    <col min="23" max="23" width="12.42578125" style="6" hidden="1" customWidth="1"/>
    <col min="24" max="39" width="6.5703125" style="6" hidden="1" customWidth="1"/>
    <col min="40" max="40" width="15.28515625" style="6" customWidth="1"/>
    <col min="41" max="41" width="11.28515625" style="6" customWidth="1"/>
    <col min="42" max="42" width="6.28515625" style="6" customWidth="1"/>
    <col min="43" max="46" width="4.7109375" style="6" customWidth="1"/>
    <col min="47" max="47" width="6.28515625" style="6" customWidth="1"/>
    <col min="48" max="62" width="4.7109375" style="6" customWidth="1"/>
    <col min="63" max="16384" width="8.7109375" style="6"/>
  </cols>
  <sheetData>
    <row r="1" spans="1:41" ht="24" customHeight="1" x14ac:dyDescent="0.2">
      <c r="A1" s="367" t="str">
        <f>"Water Heater -"&amp;Prototype!A2</f>
        <v>Water Heater -SchoolK-8</v>
      </c>
      <c r="B1" s="367"/>
      <c r="C1" s="367"/>
      <c r="D1" s="367"/>
      <c r="E1" s="367"/>
      <c r="F1" s="367"/>
      <c r="G1" s="367"/>
    </row>
    <row r="2" spans="1:41" ht="22.15" customHeight="1" x14ac:dyDescent="0.2">
      <c r="A2" s="348" t="s">
        <v>222</v>
      </c>
      <c r="B2" s="348" t="s">
        <v>343</v>
      </c>
      <c r="C2" s="348" t="s">
        <v>344</v>
      </c>
      <c r="D2" s="348" t="s">
        <v>345</v>
      </c>
      <c r="E2" s="405" t="s">
        <v>346</v>
      </c>
      <c r="F2" s="406"/>
      <c r="G2" s="348" t="s">
        <v>224</v>
      </c>
    </row>
    <row r="3" spans="1:41" ht="31.15" customHeight="1" x14ac:dyDescent="0.2">
      <c r="A3" s="217" t="s">
        <v>347</v>
      </c>
      <c r="B3" s="195" t="s">
        <v>348</v>
      </c>
      <c r="C3" s="195">
        <v>0.98</v>
      </c>
      <c r="D3" s="222">
        <f>F50</f>
        <v>141.21652319999998</v>
      </c>
      <c r="E3" s="297">
        <f>G50</f>
        <v>0.49119575661667336</v>
      </c>
      <c r="F3" s="339" t="s">
        <v>349</v>
      </c>
      <c r="G3" s="197"/>
    </row>
    <row r="4" spans="1:41" ht="76.5" x14ac:dyDescent="0.25">
      <c r="A4" s="217" t="s">
        <v>287</v>
      </c>
      <c r="B4" s="195" t="s">
        <v>350</v>
      </c>
      <c r="C4" s="225">
        <f>B71</f>
        <v>1.7562731652194605</v>
      </c>
      <c r="D4" s="223">
        <f>F55</f>
        <v>141.21652319999998</v>
      </c>
      <c r="E4" s="297">
        <f>G55</f>
        <v>0.49119575661667336</v>
      </c>
      <c r="F4" s="339" t="s">
        <v>349</v>
      </c>
      <c r="G4" s="221" t="s">
        <v>351</v>
      </c>
      <c r="R4"/>
      <c r="S4"/>
      <c r="T4"/>
      <c r="U4"/>
      <c r="V4"/>
      <c r="W4"/>
      <c r="X4"/>
      <c r="Y4"/>
      <c r="Z4"/>
      <c r="AA4"/>
      <c r="AB4"/>
      <c r="AC4"/>
      <c r="AD4"/>
      <c r="AE4"/>
      <c r="AF4"/>
      <c r="AG4"/>
      <c r="AH4"/>
      <c r="AI4"/>
      <c r="AJ4"/>
      <c r="AK4"/>
      <c r="AL4"/>
      <c r="AM4"/>
      <c r="AN4"/>
      <c r="AO4"/>
    </row>
    <row r="5" spans="1:41" ht="13.9" customHeight="1" x14ac:dyDescent="0.25">
      <c r="F5" s="12"/>
      <c r="R5"/>
      <c r="S5"/>
      <c r="T5"/>
      <c r="U5"/>
      <c r="V5"/>
      <c r="W5"/>
      <c r="X5"/>
      <c r="Y5"/>
      <c r="Z5"/>
      <c r="AA5"/>
      <c r="AB5"/>
      <c r="AC5"/>
      <c r="AD5"/>
      <c r="AE5"/>
      <c r="AF5"/>
      <c r="AG5"/>
      <c r="AH5"/>
      <c r="AI5"/>
      <c r="AJ5"/>
      <c r="AK5"/>
      <c r="AL5"/>
      <c r="AM5"/>
      <c r="AN5"/>
      <c r="AO5"/>
    </row>
    <row r="6" spans="1:41" ht="16.149999999999999" customHeight="1" x14ac:dyDescent="0.25">
      <c r="A6" s="367" t="s">
        <v>352</v>
      </c>
      <c r="B6" s="367"/>
      <c r="C6" s="367"/>
      <c r="D6" s="367"/>
      <c r="E6" s="367"/>
      <c r="F6" s="367"/>
      <c r="G6" s="367"/>
      <c r="H6" s="95"/>
      <c r="I6" s="95"/>
      <c r="R6"/>
      <c r="S6"/>
      <c r="T6"/>
      <c r="U6"/>
      <c r="V6"/>
      <c r="W6"/>
      <c r="X6"/>
      <c r="Y6"/>
      <c r="Z6"/>
      <c r="AA6"/>
      <c r="AB6"/>
      <c r="AC6"/>
      <c r="AD6"/>
      <c r="AE6"/>
      <c r="AF6"/>
      <c r="AG6"/>
      <c r="AH6"/>
      <c r="AI6"/>
      <c r="AJ6"/>
      <c r="AK6"/>
      <c r="AL6"/>
      <c r="AM6"/>
      <c r="AN6"/>
      <c r="AO6"/>
    </row>
    <row r="7" spans="1:41" ht="88.5" customHeight="1" x14ac:dyDescent="0.25">
      <c r="A7" s="215" t="s">
        <v>353</v>
      </c>
      <c r="B7" s="216" t="s">
        <v>354</v>
      </c>
      <c r="C7" s="216" t="s">
        <v>355</v>
      </c>
      <c r="D7" s="216" t="s">
        <v>356</v>
      </c>
      <c r="E7" s="216" t="s">
        <v>357</v>
      </c>
      <c r="F7" s="216" t="s">
        <v>358</v>
      </c>
      <c r="G7" s="216" t="s">
        <v>359</v>
      </c>
      <c r="R7"/>
      <c r="S7"/>
      <c r="T7"/>
      <c r="U7"/>
      <c r="V7"/>
      <c r="W7"/>
      <c r="X7"/>
      <c r="Y7"/>
      <c r="Z7"/>
      <c r="AA7"/>
      <c r="AB7"/>
      <c r="AC7"/>
      <c r="AD7"/>
      <c r="AE7"/>
      <c r="AF7"/>
      <c r="AG7"/>
      <c r="AH7"/>
      <c r="AI7"/>
      <c r="AJ7"/>
      <c r="AK7"/>
      <c r="AL7"/>
      <c r="AM7"/>
      <c r="AN7"/>
      <c r="AO7"/>
    </row>
    <row r="8" spans="1:41" ht="22.15" customHeight="1" x14ac:dyDescent="0.25">
      <c r="A8" s="148" t="str">
        <f>Zones!B3</f>
        <v>Admin/MPR_Breakroom_Zn</v>
      </c>
      <c r="B8" s="16" t="s">
        <v>350</v>
      </c>
      <c r="C8" s="74">
        <f>Zones!G3</f>
        <v>575.20000000000005</v>
      </c>
      <c r="D8" s="74">
        <f>Zones!J3</f>
        <v>37.963200000000008</v>
      </c>
      <c r="E8" s="81">
        <v>0.09</v>
      </c>
      <c r="F8" s="198">
        <f>E8*D8</f>
        <v>3.4166880000000006</v>
      </c>
      <c r="G8" s="177">
        <f>F8/60</f>
        <v>5.6944800000000011E-2</v>
      </c>
      <c r="R8"/>
      <c r="S8"/>
      <c r="T8"/>
      <c r="U8"/>
      <c r="V8"/>
      <c r="W8"/>
      <c r="X8"/>
      <c r="Y8"/>
      <c r="Z8"/>
      <c r="AA8"/>
      <c r="AB8"/>
      <c r="AC8"/>
      <c r="AD8"/>
      <c r="AE8"/>
      <c r="AF8"/>
      <c r="AG8"/>
      <c r="AH8"/>
      <c r="AI8"/>
      <c r="AJ8"/>
      <c r="AK8"/>
      <c r="AL8"/>
      <c r="AM8"/>
      <c r="AN8"/>
      <c r="AO8"/>
    </row>
    <row r="9" spans="1:41" ht="22.15" customHeight="1" x14ac:dyDescent="0.25">
      <c r="A9" s="148" t="str">
        <f>Zones!B4</f>
        <v>Admin/MPR_Conference Room Zns 3_Zn</v>
      </c>
      <c r="B9" s="16" t="s">
        <v>350</v>
      </c>
      <c r="C9" s="74">
        <f>Zones!G4</f>
        <v>1674.74</v>
      </c>
      <c r="D9" s="74">
        <f>Zones!J4</f>
        <v>110.53283999999999</v>
      </c>
      <c r="E9" s="81">
        <v>0.09</v>
      </c>
      <c r="F9" s="198">
        <f t="shared" ref="F9:F45" si="0">E9*D9</f>
        <v>9.9479555999999985</v>
      </c>
      <c r="G9" s="177">
        <f t="shared" ref="G9:G45" si="1">F9/60</f>
        <v>0.16579925999999998</v>
      </c>
      <c r="R9"/>
      <c r="S9"/>
      <c r="T9"/>
      <c r="U9"/>
      <c r="V9"/>
      <c r="W9"/>
      <c r="X9"/>
      <c r="Y9"/>
      <c r="Z9"/>
      <c r="AA9"/>
      <c r="AB9"/>
      <c r="AC9"/>
      <c r="AD9"/>
      <c r="AE9"/>
      <c r="AF9"/>
      <c r="AG9"/>
      <c r="AH9"/>
      <c r="AI9"/>
      <c r="AJ9"/>
      <c r="AK9"/>
      <c r="AL9"/>
      <c r="AM9"/>
      <c r="AN9"/>
      <c r="AO9"/>
    </row>
    <row r="10" spans="1:41" ht="22.15" customHeight="1" x14ac:dyDescent="0.25">
      <c r="A10" s="148" t="str">
        <f>Zones!B5</f>
        <v>Admin/MPR_Corridor_Zn</v>
      </c>
      <c r="B10" s="16" t="s">
        <v>350</v>
      </c>
      <c r="C10" s="74">
        <f>Zones!G5</f>
        <v>1161.52</v>
      </c>
      <c r="D10" s="74">
        <f>Zones!J5</f>
        <v>11.615200000000002</v>
      </c>
      <c r="E10" s="81">
        <v>0</v>
      </c>
      <c r="F10" s="198">
        <f t="shared" si="0"/>
        <v>0</v>
      </c>
      <c r="G10" s="177">
        <f t="shared" si="1"/>
        <v>0</v>
      </c>
      <c r="R10"/>
      <c r="S10"/>
      <c r="T10"/>
      <c r="U10"/>
      <c r="V10"/>
      <c r="W10"/>
      <c r="X10"/>
      <c r="Y10"/>
      <c r="Z10"/>
      <c r="AA10"/>
      <c r="AB10"/>
      <c r="AC10"/>
      <c r="AD10"/>
      <c r="AE10"/>
      <c r="AF10"/>
      <c r="AG10"/>
      <c r="AH10"/>
      <c r="AI10"/>
      <c r="AJ10"/>
      <c r="AK10"/>
      <c r="AL10"/>
      <c r="AM10"/>
      <c r="AN10"/>
      <c r="AO10"/>
    </row>
    <row r="11" spans="1:41" ht="22.15" customHeight="1" x14ac:dyDescent="0.25">
      <c r="A11" s="148" t="str">
        <f>Zones!B6</f>
        <v>Admin/MPR_EMT_Zn</v>
      </c>
      <c r="B11" s="16" t="s">
        <v>350</v>
      </c>
      <c r="C11" s="74">
        <f>Zones!G6</f>
        <v>278.20999999999998</v>
      </c>
      <c r="D11" s="74">
        <f>Zones!J6</f>
        <v>2.7820999999999998</v>
      </c>
      <c r="E11" s="81">
        <v>0.18</v>
      </c>
      <c r="F11" s="198">
        <f t="shared" si="0"/>
        <v>0.50077799999999995</v>
      </c>
      <c r="G11" s="177">
        <f t="shared" si="1"/>
        <v>8.3462999999999992E-3</v>
      </c>
      <c r="R11"/>
      <c r="S11"/>
      <c r="T11"/>
      <c r="U11"/>
      <c r="V11"/>
      <c r="W11"/>
      <c r="X11"/>
      <c r="Y11"/>
      <c r="Z11"/>
      <c r="AA11"/>
      <c r="AB11"/>
      <c r="AC11"/>
      <c r="AD11"/>
      <c r="AE11"/>
      <c r="AF11"/>
      <c r="AG11"/>
      <c r="AH11"/>
      <c r="AI11"/>
      <c r="AJ11"/>
      <c r="AK11"/>
      <c r="AL11"/>
      <c r="AM11"/>
      <c r="AN11"/>
      <c r="AO11"/>
    </row>
    <row r="12" spans="1:41" ht="22.15" customHeight="1" x14ac:dyDescent="0.25">
      <c r="A12" s="148" t="str">
        <f>Zones!B7</f>
        <v>Admin/MPR_IDF Room_Zn</v>
      </c>
      <c r="B12" s="16" t="s">
        <v>350</v>
      </c>
      <c r="C12" s="74">
        <f>Zones!G7</f>
        <v>340.23</v>
      </c>
      <c r="D12" s="74">
        <f>Zones!J7</f>
        <v>3.4023000000000003</v>
      </c>
      <c r="E12" s="81">
        <v>0.18</v>
      </c>
      <c r="F12" s="198">
        <f t="shared" si="0"/>
        <v>0.61241400000000001</v>
      </c>
      <c r="G12" s="177">
        <f t="shared" si="1"/>
        <v>1.02069E-2</v>
      </c>
      <c r="R12"/>
      <c r="S12"/>
      <c r="T12"/>
      <c r="U12"/>
      <c r="V12"/>
      <c r="W12"/>
      <c r="X12"/>
      <c r="Y12"/>
      <c r="Z12"/>
      <c r="AA12"/>
      <c r="AB12"/>
      <c r="AC12"/>
      <c r="AD12"/>
      <c r="AE12"/>
      <c r="AF12"/>
      <c r="AG12"/>
      <c r="AH12"/>
      <c r="AI12"/>
      <c r="AJ12"/>
      <c r="AK12"/>
      <c r="AL12"/>
      <c r="AM12"/>
      <c r="AN12"/>
      <c r="AO12"/>
    </row>
    <row r="13" spans="1:41" ht="22.15" customHeight="1" x14ac:dyDescent="0.25">
      <c r="A13" s="148" t="str">
        <f>Zones!B8</f>
        <v>Admin/MPR_Kitchen_Zn</v>
      </c>
      <c r="B13" s="16" t="s">
        <v>350</v>
      </c>
      <c r="C13" s="74">
        <f>Zones!G8</f>
        <v>1457.25</v>
      </c>
      <c r="D13" s="74">
        <f>Zones!J8</f>
        <v>8.7434999999999992</v>
      </c>
      <c r="E13" s="81">
        <v>0.57799999999999996</v>
      </c>
      <c r="F13" s="198">
        <f t="shared" si="0"/>
        <v>5.053742999999999</v>
      </c>
      <c r="G13" s="177">
        <f t="shared" si="1"/>
        <v>8.4229049999999986E-2</v>
      </c>
      <c r="R13"/>
      <c r="S13"/>
      <c r="T13"/>
      <c r="U13"/>
      <c r="V13"/>
      <c r="W13"/>
      <c r="X13"/>
      <c r="Y13"/>
      <c r="Z13"/>
      <c r="AA13"/>
      <c r="AB13"/>
      <c r="AC13"/>
      <c r="AD13"/>
      <c r="AE13"/>
      <c r="AF13"/>
      <c r="AG13"/>
      <c r="AH13"/>
      <c r="AI13"/>
      <c r="AJ13"/>
      <c r="AK13"/>
      <c r="AL13"/>
      <c r="AM13"/>
      <c r="AN13"/>
      <c r="AO13"/>
    </row>
    <row r="14" spans="1:41" ht="22.15" customHeight="1" x14ac:dyDescent="0.25">
      <c r="A14" s="148" t="str">
        <f>Zones!B9</f>
        <v>Admin/MPR_Lobby_Zn</v>
      </c>
      <c r="B14" s="16" t="s">
        <v>350</v>
      </c>
      <c r="C14" s="74">
        <f>Zones!G9</f>
        <v>1241.47</v>
      </c>
      <c r="D14" s="74">
        <f>Zones!J9</f>
        <v>81.937020000000004</v>
      </c>
      <c r="E14" s="81">
        <v>0.09</v>
      </c>
      <c r="F14" s="198">
        <f t="shared" si="0"/>
        <v>7.3743318000000002</v>
      </c>
      <c r="G14" s="177">
        <f t="shared" si="1"/>
        <v>0.12290553</v>
      </c>
      <c r="R14"/>
      <c r="S14"/>
      <c r="T14"/>
      <c r="U14"/>
      <c r="V14"/>
      <c r="W14"/>
      <c r="X14"/>
      <c r="Y14"/>
      <c r="Z14"/>
      <c r="AA14"/>
      <c r="AB14"/>
      <c r="AC14"/>
      <c r="AD14"/>
      <c r="AE14"/>
      <c r="AF14"/>
      <c r="AG14"/>
      <c r="AH14"/>
      <c r="AI14"/>
      <c r="AJ14"/>
      <c r="AK14"/>
      <c r="AL14"/>
      <c r="AM14"/>
      <c r="AN14"/>
      <c r="AO14"/>
    </row>
    <row r="15" spans="1:41" ht="22.15" customHeight="1" x14ac:dyDescent="0.25">
      <c r="A15" s="148" t="str">
        <f>Zones!B10</f>
        <v>Admin/MPR_Multipurpose Room Zns 3_Zn</v>
      </c>
      <c r="B15" s="16" t="s">
        <v>350</v>
      </c>
      <c r="C15" s="74">
        <f>Zones!G10</f>
        <v>5512.19</v>
      </c>
      <c r="D15" s="74">
        <f>Zones!J10</f>
        <v>363.80453999999997</v>
      </c>
      <c r="E15" s="81">
        <v>0.09</v>
      </c>
      <c r="F15" s="198">
        <f t="shared" si="0"/>
        <v>32.742408599999997</v>
      </c>
      <c r="G15" s="177">
        <f t="shared" si="1"/>
        <v>0.54570680999999999</v>
      </c>
      <c r="R15"/>
      <c r="S15"/>
      <c r="T15"/>
      <c r="U15"/>
      <c r="V15"/>
      <c r="W15"/>
      <c r="X15"/>
      <c r="Y15"/>
      <c r="Z15"/>
      <c r="AA15"/>
      <c r="AB15"/>
      <c r="AC15"/>
      <c r="AD15"/>
      <c r="AE15"/>
      <c r="AF15"/>
      <c r="AG15"/>
      <c r="AH15"/>
      <c r="AI15"/>
      <c r="AJ15"/>
      <c r="AK15"/>
      <c r="AL15"/>
      <c r="AM15"/>
      <c r="AN15"/>
      <c r="AO15"/>
    </row>
    <row r="16" spans="1:41" ht="22.15" customHeight="1" x14ac:dyDescent="0.25">
      <c r="A16" s="148" t="str">
        <f>Zones!B11</f>
        <v>Admin/MPR_Office - LT 250 sf Zns 6_Zn</v>
      </c>
      <c r="B16" s="16" t="s">
        <v>350</v>
      </c>
      <c r="C16" s="74">
        <f>Zones!G11</f>
        <v>1048.3499999999999</v>
      </c>
      <c r="D16" s="74">
        <f>Zones!J11</f>
        <v>10.483499999999999</v>
      </c>
      <c r="E16" s="81">
        <v>0.18</v>
      </c>
      <c r="F16" s="198">
        <f t="shared" si="0"/>
        <v>1.8870299999999998</v>
      </c>
      <c r="G16" s="177">
        <f t="shared" si="1"/>
        <v>3.1450499999999999E-2</v>
      </c>
      <c r="R16"/>
      <c r="S16"/>
      <c r="T16"/>
      <c r="U16"/>
      <c r="V16"/>
      <c r="W16"/>
      <c r="X16"/>
      <c r="Y16"/>
      <c r="Z16"/>
      <c r="AA16"/>
      <c r="AB16"/>
      <c r="AC16"/>
      <c r="AD16"/>
      <c r="AE16"/>
      <c r="AF16"/>
      <c r="AG16"/>
      <c r="AH16"/>
      <c r="AI16"/>
      <c r="AJ16"/>
      <c r="AK16"/>
      <c r="AL16"/>
      <c r="AM16"/>
      <c r="AN16"/>
      <c r="AO16"/>
    </row>
    <row r="17" spans="1:41" ht="22.15" customHeight="1" x14ac:dyDescent="0.25">
      <c r="A17" s="148" t="str">
        <f>Zones!B12</f>
        <v>Admin/MPR_Restroom Zns 3_Zn</v>
      </c>
      <c r="B17" s="16" t="s">
        <v>350</v>
      </c>
      <c r="C17" s="74">
        <f>Zones!G12</f>
        <v>901.17</v>
      </c>
      <c r="D17" s="74">
        <f>Zones!J12</f>
        <v>9.0116999999999994</v>
      </c>
      <c r="E17" s="81">
        <v>0</v>
      </c>
      <c r="F17" s="198">
        <f t="shared" si="0"/>
        <v>0</v>
      </c>
      <c r="G17" s="177">
        <f t="shared" si="1"/>
        <v>0</v>
      </c>
      <c r="R17"/>
      <c r="S17"/>
      <c r="T17"/>
      <c r="U17"/>
      <c r="V17"/>
      <c r="W17"/>
      <c r="X17"/>
      <c r="Y17"/>
      <c r="Z17"/>
      <c r="AA17"/>
      <c r="AB17"/>
      <c r="AC17"/>
      <c r="AD17"/>
      <c r="AE17"/>
      <c r="AF17"/>
      <c r="AG17"/>
      <c r="AH17"/>
      <c r="AI17"/>
      <c r="AJ17"/>
      <c r="AK17"/>
      <c r="AL17"/>
      <c r="AM17"/>
      <c r="AN17"/>
      <c r="AO17"/>
    </row>
    <row r="18" spans="1:41" ht="22.15" customHeight="1" x14ac:dyDescent="0.25">
      <c r="A18" s="148" t="str">
        <f>Zones!B13</f>
        <v>Admin/MPR_Storage - General_Zn</v>
      </c>
      <c r="B18" s="16" t="s">
        <v>350</v>
      </c>
      <c r="C18" s="74">
        <f>Zones!G13</f>
        <v>1247.73</v>
      </c>
      <c r="D18" s="74">
        <f>Zones!J13</f>
        <v>12.4773</v>
      </c>
      <c r="E18" s="81">
        <v>0</v>
      </c>
      <c r="F18" s="198">
        <f t="shared" si="0"/>
        <v>0</v>
      </c>
      <c r="G18" s="177">
        <f t="shared" si="1"/>
        <v>0</v>
      </c>
      <c r="R18"/>
      <c r="S18"/>
      <c r="T18"/>
      <c r="U18"/>
      <c r="V18"/>
      <c r="W18"/>
      <c r="X18"/>
      <c r="Y18"/>
      <c r="Z18"/>
      <c r="AA18"/>
      <c r="AB18"/>
      <c r="AC18"/>
      <c r="AD18"/>
      <c r="AE18"/>
      <c r="AF18"/>
      <c r="AG18"/>
      <c r="AH18"/>
      <c r="AI18"/>
      <c r="AJ18"/>
      <c r="AK18"/>
      <c r="AL18"/>
      <c r="AM18"/>
      <c r="AN18"/>
      <c r="AO18"/>
    </row>
    <row r="19" spans="1:41" ht="22.15" customHeight="1" x14ac:dyDescent="0.25">
      <c r="A19" s="148" t="str">
        <f>Zones!B14</f>
        <v>Admin/MPR_Storage - Refrigerated_Zn</v>
      </c>
      <c r="B19" s="16" t="s">
        <v>350</v>
      </c>
      <c r="C19" s="74">
        <f>Zones!G14</f>
        <v>251.72</v>
      </c>
      <c r="D19" s="74">
        <f>Zones!J14</f>
        <v>0</v>
      </c>
      <c r="E19" s="81">
        <v>0.18</v>
      </c>
      <c r="F19" s="198">
        <f t="shared" si="0"/>
        <v>0</v>
      </c>
      <c r="G19" s="177">
        <f t="shared" si="1"/>
        <v>0</v>
      </c>
      <c r="R19"/>
      <c r="S19"/>
      <c r="T19"/>
      <c r="U19"/>
      <c r="V19"/>
      <c r="W19"/>
      <c r="X19"/>
      <c r="Y19"/>
      <c r="Z19"/>
      <c r="AA19"/>
      <c r="AB19"/>
      <c r="AC19"/>
      <c r="AD19"/>
      <c r="AE19"/>
      <c r="AF19"/>
      <c r="AG19"/>
      <c r="AH19"/>
      <c r="AI19"/>
      <c r="AJ19"/>
      <c r="AK19"/>
      <c r="AL19"/>
      <c r="AM19"/>
      <c r="AN19"/>
      <c r="AO19"/>
    </row>
    <row r="20" spans="1:41" ht="22.15" customHeight="1" x14ac:dyDescent="0.25">
      <c r="A20" s="148" t="str">
        <f>Zones!B15</f>
        <v>Admin/MPR_Theater - Performance_Zn</v>
      </c>
      <c r="B20" s="16" t="s">
        <v>350</v>
      </c>
      <c r="C20" s="74">
        <f>Zones!G15</f>
        <v>1065.56</v>
      </c>
      <c r="D20" s="74">
        <f>Zones!J15</f>
        <v>70.326959999999985</v>
      </c>
      <c r="E20" s="81">
        <v>0.09</v>
      </c>
      <c r="F20" s="198">
        <f t="shared" si="0"/>
        <v>6.3294263999999982</v>
      </c>
      <c r="G20" s="177">
        <f t="shared" si="1"/>
        <v>0.10549043999999998</v>
      </c>
      <c r="R20"/>
      <c r="S20"/>
      <c r="T20"/>
      <c r="U20"/>
      <c r="V20"/>
      <c r="W20"/>
      <c r="X20"/>
      <c r="Y20"/>
      <c r="Z20"/>
      <c r="AA20"/>
      <c r="AB20"/>
      <c r="AC20"/>
      <c r="AD20"/>
      <c r="AE20"/>
      <c r="AF20"/>
      <c r="AG20"/>
      <c r="AH20"/>
      <c r="AI20"/>
      <c r="AJ20"/>
      <c r="AK20"/>
      <c r="AL20"/>
      <c r="AM20"/>
      <c r="AN20"/>
      <c r="AO20"/>
    </row>
    <row r="21" spans="1:41" ht="22.15" customHeight="1" x14ac:dyDescent="0.25">
      <c r="A21" s="148" t="str">
        <f>Zones!B16</f>
        <v>Classrm N_Flr 1_Classroom-01_Zn</v>
      </c>
      <c r="B21" s="16" t="s">
        <v>350</v>
      </c>
      <c r="C21" s="74">
        <f>Zones!G16</f>
        <v>1001.75</v>
      </c>
      <c r="D21" s="74">
        <f>Zones!J16</f>
        <v>50.087499999999999</v>
      </c>
      <c r="E21" s="81">
        <v>0.18</v>
      </c>
      <c r="F21" s="198">
        <f t="shared" si="0"/>
        <v>9.0157499999999988</v>
      </c>
      <c r="G21" s="177">
        <f t="shared" si="1"/>
        <v>0.15026249999999999</v>
      </c>
      <c r="R21"/>
      <c r="S21"/>
      <c r="T21"/>
      <c r="U21"/>
      <c r="V21"/>
      <c r="W21"/>
      <c r="X21"/>
      <c r="Y21"/>
      <c r="Z21"/>
      <c r="AA21"/>
      <c r="AB21"/>
      <c r="AC21"/>
      <c r="AD21"/>
      <c r="AE21"/>
      <c r="AF21"/>
      <c r="AG21"/>
      <c r="AH21"/>
      <c r="AI21"/>
      <c r="AJ21"/>
      <c r="AK21"/>
      <c r="AL21"/>
      <c r="AM21"/>
      <c r="AN21"/>
      <c r="AO21"/>
    </row>
    <row r="22" spans="1:41" ht="22.15" customHeight="1" x14ac:dyDescent="0.25">
      <c r="A22" s="148" t="str">
        <f>Zones!B17</f>
        <v>Classrm N_Flr 1_Classroom-02 Zns 6_Zn</v>
      </c>
      <c r="B22" s="16" t="s">
        <v>350</v>
      </c>
      <c r="C22" s="74">
        <f>Zones!G17</f>
        <v>6054.03</v>
      </c>
      <c r="D22" s="74">
        <f>Zones!J17</f>
        <v>302.70150000000001</v>
      </c>
      <c r="E22" s="81">
        <v>0.18</v>
      </c>
      <c r="F22" s="198">
        <f t="shared" si="0"/>
        <v>54.486269999999998</v>
      </c>
      <c r="G22" s="177">
        <f t="shared" si="1"/>
        <v>0.90810449999999998</v>
      </c>
      <c r="R22"/>
      <c r="S22"/>
      <c r="T22"/>
      <c r="U22"/>
      <c r="V22"/>
      <c r="W22"/>
      <c r="X22"/>
      <c r="Y22"/>
      <c r="Z22"/>
      <c r="AA22"/>
      <c r="AB22"/>
      <c r="AC22"/>
      <c r="AD22"/>
      <c r="AE22"/>
      <c r="AF22"/>
      <c r="AG22"/>
      <c r="AH22"/>
      <c r="AI22"/>
      <c r="AJ22"/>
      <c r="AK22"/>
      <c r="AL22"/>
      <c r="AM22"/>
      <c r="AN22"/>
      <c r="AO22"/>
    </row>
    <row r="23" spans="1:41" ht="22.15" customHeight="1" x14ac:dyDescent="0.25">
      <c r="A23" s="148" t="str">
        <f>Zones!B18</f>
        <v>Classrm N_Flr 1_Office - LT 250 sf_Zn</v>
      </c>
      <c r="B23" s="16" t="s">
        <v>350</v>
      </c>
      <c r="C23" s="74">
        <f>Zones!G18</f>
        <v>288.13</v>
      </c>
      <c r="D23" s="74">
        <f>Zones!J18</f>
        <v>2.8813</v>
      </c>
      <c r="E23" s="81">
        <v>0.18</v>
      </c>
      <c r="F23" s="198">
        <f t="shared" si="0"/>
        <v>0.51863399999999993</v>
      </c>
      <c r="G23" s="177">
        <f t="shared" si="1"/>
        <v>8.6438999999999995E-3</v>
      </c>
      <c r="M23"/>
      <c r="N23"/>
      <c r="O23"/>
      <c r="P23"/>
      <c r="Q23"/>
      <c r="R23"/>
      <c r="S23"/>
      <c r="T23"/>
      <c r="U23"/>
      <c r="V23"/>
      <c r="W23"/>
      <c r="X23"/>
      <c r="Y23"/>
      <c r="Z23"/>
      <c r="AA23"/>
      <c r="AB23"/>
      <c r="AC23"/>
      <c r="AD23"/>
      <c r="AE23"/>
      <c r="AF23"/>
      <c r="AG23"/>
      <c r="AH23"/>
      <c r="AI23"/>
      <c r="AJ23"/>
      <c r="AK23"/>
      <c r="AL23"/>
      <c r="AM23"/>
      <c r="AN23"/>
      <c r="AO23"/>
    </row>
    <row r="24" spans="1:41" ht="22.15" customHeight="1" x14ac:dyDescent="0.25">
      <c r="A24" s="148" t="str">
        <f>Zones!B19</f>
        <v>Classrm N_Flr 1_Restroom_Zn</v>
      </c>
      <c r="B24" s="16" t="s">
        <v>350</v>
      </c>
      <c r="C24" s="74">
        <f>Zones!G19</f>
        <v>532.70000000000005</v>
      </c>
      <c r="D24" s="74">
        <f>Zones!J19</f>
        <v>5.327</v>
      </c>
      <c r="E24" s="81">
        <v>0</v>
      </c>
      <c r="F24" s="198">
        <f t="shared" si="0"/>
        <v>0</v>
      </c>
      <c r="G24" s="177">
        <f t="shared" si="1"/>
        <v>0</v>
      </c>
      <c r="M24"/>
      <c r="N24"/>
      <c r="O24"/>
      <c r="P24"/>
      <c r="Q24"/>
      <c r="R24"/>
      <c r="S24"/>
      <c r="T24"/>
      <c r="U24"/>
      <c r="V24"/>
      <c r="W24"/>
      <c r="X24"/>
      <c r="Y24"/>
      <c r="Z24"/>
      <c r="AA24"/>
      <c r="AB24"/>
      <c r="AC24"/>
      <c r="AD24"/>
      <c r="AE24"/>
      <c r="AF24"/>
      <c r="AG24"/>
      <c r="AH24"/>
      <c r="AI24"/>
      <c r="AJ24"/>
      <c r="AK24"/>
      <c r="AL24"/>
      <c r="AM24"/>
      <c r="AN24"/>
      <c r="AO24"/>
    </row>
    <row r="25" spans="1:41" ht="22.15" customHeight="1" x14ac:dyDescent="0.25">
      <c r="A25" s="148" t="str">
        <f>Zones!B20</f>
        <v>Classrm N_Flr 2_Classroom-01 Zns 6_Zn</v>
      </c>
      <c r="B25" s="16" t="s">
        <v>350</v>
      </c>
      <c r="C25" s="74">
        <f>Zones!G20</f>
        <v>6054.03</v>
      </c>
      <c r="D25" s="74">
        <f>Zones!J20</f>
        <v>302.70150000000001</v>
      </c>
      <c r="E25" s="81">
        <v>0.18</v>
      </c>
      <c r="F25" s="198">
        <f t="shared" si="0"/>
        <v>54.486269999999998</v>
      </c>
      <c r="G25" s="177">
        <f t="shared" si="1"/>
        <v>0.90810449999999998</v>
      </c>
      <c r="M25"/>
      <c r="N25"/>
      <c r="O25"/>
      <c r="P25"/>
      <c r="Q25"/>
      <c r="R25"/>
      <c r="S25"/>
      <c r="T25"/>
      <c r="U25"/>
      <c r="V25"/>
      <c r="W25"/>
      <c r="X25"/>
      <c r="Y25"/>
      <c r="Z25"/>
      <c r="AA25"/>
      <c r="AB25"/>
      <c r="AC25"/>
      <c r="AD25"/>
      <c r="AE25"/>
      <c r="AF25"/>
      <c r="AG25"/>
      <c r="AH25"/>
      <c r="AI25"/>
      <c r="AJ25"/>
      <c r="AK25"/>
      <c r="AL25"/>
      <c r="AM25"/>
      <c r="AN25"/>
      <c r="AO25"/>
    </row>
    <row r="26" spans="1:41" ht="22.15" customHeight="1" x14ac:dyDescent="0.25">
      <c r="A26" s="148" t="str">
        <f>Zones!B21</f>
        <v>Classrm N_Flr 2_Classroom-02_Zn</v>
      </c>
      <c r="B26" s="16" t="s">
        <v>350</v>
      </c>
      <c r="C26" s="74">
        <f>Zones!G21</f>
        <v>1001.75</v>
      </c>
      <c r="D26" s="74">
        <f>Zones!J21</f>
        <v>50.087499999999999</v>
      </c>
      <c r="E26" s="81">
        <v>0.18</v>
      </c>
      <c r="F26" s="198">
        <f t="shared" si="0"/>
        <v>9.0157499999999988</v>
      </c>
      <c r="G26" s="177">
        <f t="shared" si="1"/>
        <v>0.15026249999999999</v>
      </c>
      <c r="M26"/>
      <c r="N26"/>
      <c r="O26"/>
      <c r="P26"/>
      <c r="Q26"/>
      <c r="R26"/>
      <c r="S26"/>
      <c r="T26"/>
      <c r="U26"/>
      <c r="V26"/>
      <c r="W26"/>
      <c r="X26"/>
      <c r="Y26"/>
      <c r="Z26"/>
      <c r="AA26"/>
      <c r="AB26"/>
      <c r="AC26"/>
      <c r="AD26"/>
      <c r="AE26"/>
      <c r="AF26"/>
      <c r="AG26"/>
      <c r="AH26"/>
      <c r="AI26"/>
      <c r="AJ26"/>
      <c r="AK26"/>
      <c r="AL26"/>
      <c r="AM26"/>
      <c r="AN26"/>
      <c r="AO26"/>
    </row>
    <row r="27" spans="1:41" ht="22.15" customHeight="1" x14ac:dyDescent="0.25">
      <c r="A27" s="148" t="str">
        <f>Zones!B22</f>
        <v>Classrm N_Flr 2_Office - LT 250 sf_Zn</v>
      </c>
      <c r="B27" s="16" t="s">
        <v>350</v>
      </c>
      <c r="C27" s="74">
        <f>Zones!G22</f>
        <v>288.13</v>
      </c>
      <c r="D27" s="74">
        <f>Zones!J22</f>
        <v>2.8813</v>
      </c>
      <c r="E27" s="81">
        <v>0.18</v>
      </c>
      <c r="F27" s="198">
        <f t="shared" si="0"/>
        <v>0.51863399999999993</v>
      </c>
      <c r="G27" s="177">
        <f t="shared" si="1"/>
        <v>8.6438999999999995E-3</v>
      </c>
      <c r="M27"/>
      <c r="N27"/>
      <c r="O27"/>
      <c r="P27"/>
      <c r="Q27"/>
      <c r="R27"/>
      <c r="S27"/>
      <c r="T27"/>
      <c r="U27"/>
      <c r="V27"/>
      <c r="W27"/>
      <c r="X27"/>
      <c r="Y27"/>
      <c r="Z27"/>
      <c r="AA27"/>
      <c r="AB27"/>
      <c r="AC27"/>
      <c r="AD27"/>
      <c r="AE27"/>
      <c r="AF27"/>
      <c r="AG27"/>
      <c r="AH27"/>
      <c r="AI27"/>
      <c r="AJ27"/>
      <c r="AK27"/>
      <c r="AL27"/>
      <c r="AM27"/>
      <c r="AN27"/>
      <c r="AO27"/>
    </row>
    <row r="28" spans="1:41" ht="22.15" customHeight="1" x14ac:dyDescent="0.25">
      <c r="A28" s="148" t="str">
        <f>Zones!B23</f>
        <v>Classrm N_Flr 2_Restroom_Zn</v>
      </c>
      <c r="B28" s="16" t="s">
        <v>350</v>
      </c>
      <c r="C28" s="74">
        <f>Zones!G23</f>
        <v>532.70000000000005</v>
      </c>
      <c r="D28" s="74">
        <f>Zones!J23</f>
        <v>5.327</v>
      </c>
      <c r="E28" s="81">
        <v>0</v>
      </c>
      <c r="F28" s="198">
        <f t="shared" si="0"/>
        <v>0</v>
      </c>
      <c r="G28" s="177">
        <f t="shared" si="1"/>
        <v>0</v>
      </c>
      <c r="M28"/>
      <c r="N28"/>
      <c r="O28"/>
      <c r="P28"/>
      <c r="Q28"/>
      <c r="R28"/>
      <c r="S28"/>
      <c r="T28"/>
      <c r="U28"/>
      <c r="V28"/>
      <c r="W28"/>
      <c r="X28"/>
      <c r="Y28"/>
      <c r="Z28"/>
      <c r="AA28"/>
      <c r="AB28"/>
      <c r="AC28"/>
      <c r="AD28"/>
      <c r="AE28"/>
      <c r="AF28"/>
      <c r="AG28"/>
      <c r="AH28"/>
      <c r="AI28"/>
      <c r="AJ28"/>
      <c r="AK28"/>
      <c r="AL28"/>
      <c r="AM28"/>
      <c r="AN28"/>
      <c r="AO28"/>
    </row>
    <row r="29" spans="1:41" ht="22.15" customHeight="1" x14ac:dyDescent="0.25">
      <c r="A29" s="148" t="str">
        <f>Zones!B24</f>
        <v>Classrm W_Flr 1_Classroom Zns 2_Zn</v>
      </c>
      <c r="B29" s="16" t="s">
        <v>350</v>
      </c>
      <c r="C29" s="74">
        <f>Zones!G24</f>
        <v>2054.94</v>
      </c>
      <c r="D29" s="74">
        <f>Zones!J24</f>
        <v>102.747</v>
      </c>
      <c r="E29" s="81">
        <v>0.18</v>
      </c>
      <c r="F29" s="198">
        <f t="shared" si="0"/>
        <v>18.49446</v>
      </c>
      <c r="G29" s="177">
        <f t="shared" si="1"/>
        <v>0.30824099999999999</v>
      </c>
      <c r="M29"/>
      <c r="N29"/>
      <c r="O29"/>
      <c r="P29"/>
      <c r="Q29"/>
      <c r="R29"/>
      <c r="S29"/>
      <c r="T29"/>
      <c r="U29"/>
      <c r="V29"/>
      <c r="W29"/>
      <c r="X29"/>
      <c r="Y29"/>
      <c r="Z29"/>
      <c r="AA29"/>
      <c r="AB29"/>
      <c r="AC29"/>
      <c r="AD29"/>
      <c r="AE29"/>
      <c r="AF29"/>
      <c r="AG29"/>
      <c r="AH29"/>
      <c r="AI29"/>
      <c r="AJ29"/>
      <c r="AK29"/>
      <c r="AL29"/>
      <c r="AM29"/>
      <c r="AN29"/>
      <c r="AO29"/>
    </row>
    <row r="30" spans="1:41" ht="22.15" customHeight="1" x14ac:dyDescent="0.25">
      <c r="A30" s="148" t="str">
        <f>Zones!B25</f>
        <v>Classrm W_Flr 1_EMT-01_Zn</v>
      </c>
      <c r="B30" s="16" t="s">
        <v>350</v>
      </c>
      <c r="C30" s="74">
        <f>Zones!G25</f>
        <v>121.01</v>
      </c>
      <c r="D30" s="74">
        <f>Zones!J25</f>
        <v>1.2101000000000002</v>
      </c>
      <c r="E30" s="81">
        <v>0.18</v>
      </c>
      <c r="F30" s="198">
        <f t="shared" si="0"/>
        <v>0.21781800000000001</v>
      </c>
      <c r="G30" s="177">
        <f t="shared" si="1"/>
        <v>3.6303000000000004E-3</v>
      </c>
      <c r="M30"/>
      <c r="N30"/>
      <c r="O30"/>
      <c r="P30"/>
      <c r="Q30"/>
      <c r="R30"/>
      <c r="S30"/>
      <c r="T30"/>
      <c r="U30"/>
      <c r="V30"/>
      <c r="W30"/>
      <c r="X30"/>
      <c r="Y30"/>
      <c r="Z30"/>
      <c r="AA30"/>
      <c r="AB30"/>
      <c r="AC30"/>
      <c r="AD30"/>
      <c r="AE30"/>
      <c r="AF30"/>
      <c r="AG30"/>
      <c r="AH30"/>
      <c r="AI30"/>
      <c r="AJ30"/>
      <c r="AK30"/>
      <c r="AL30"/>
      <c r="AM30"/>
      <c r="AN30"/>
      <c r="AO30"/>
    </row>
    <row r="31" spans="1:41" ht="22.15" customHeight="1" x14ac:dyDescent="0.25">
      <c r="A31" s="148" t="str">
        <f>Zones!B26</f>
        <v>Classrm W_Flr 1_EMT-02_Zn</v>
      </c>
      <c r="B31" s="16" t="s">
        <v>350</v>
      </c>
      <c r="C31" s="74">
        <f>Zones!G26</f>
        <v>98.01</v>
      </c>
      <c r="D31" s="74">
        <f>Zones!J26</f>
        <v>0.98009999999999997</v>
      </c>
      <c r="E31" s="81">
        <v>0.18</v>
      </c>
      <c r="F31" s="198">
        <f t="shared" si="0"/>
        <v>0.17641799999999999</v>
      </c>
      <c r="G31" s="177">
        <f t="shared" si="1"/>
        <v>2.9402999999999999E-3</v>
      </c>
      <c r="M31"/>
      <c r="N31"/>
      <c r="O31"/>
      <c r="P31"/>
      <c r="Q31"/>
      <c r="R31"/>
      <c r="S31"/>
      <c r="T31"/>
      <c r="U31"/>
      <c r="V31"/>
      <c r="W31"/>
      <c r="X31"/>
      <c r="Y31"/>
      <c r="Z31"/>
      <c r="AA31"/>
      <c r="AB31"/>
      <c r="AC31"/>
      <c r="AD31"/>
      <c r="AE31"/>
      <c r="AF31"/>
      <c r="AG31"/>
      <c r="AH31"/>
      <c r="AI31"/>
      <c r="AJ31"/>
      <c r="AK31"/>
      <c r="AL31"/>
      <c r="AM31"/>
      <c r="AN31"/>
      <c r="AO31"/>
    </row>
    <row r="32" spans="1:41" ht="22.15" customHeight="1" x14ac:dyDescent="0.25">
      <c r="A32" s="148" t="str">
        <f>Zones!B27</f>
        <v>Classrm W_Flr 1_Library - Reading Area_Zn</v>
      </c>
      <c r="B32" s="16" t="s">
        <v>350</v>
      </c>
      <c r="C32" s="74">
        <f>Zones!G27</f>
        <v>1197.1300000000001</v>
      </c>
      <c r="D32" s="74">
        <f>Zones!J27</f>
        <v>23.942600000000002</v>
      </c>
      <c r="E32" s="81">
        <v>0.18</v>
      </c>
      <c r="F32" s="198">
        <f t="shared" si="0"/>
        <v>4.3096680000000003</v>
      </c>
      <c r="G32" s="177">
        <f t="shared" si="1"/>
        <v>7.1827800000000011E-2</v>
      </c>
      <c r="M32"/>
      <c r="N32"/>
      <c r="O32"/>
      <c r="P32"/>
      <c r="Q32"/>
      <c r="R32"/>
      <c r="S32"/>
      <c r="T32"/>
      <c r="U32"/>
      <c r="V32"/>
      <c r="W32"/>
      <c r="X32"/>
      <c r="Y32"/>
      <c r="Z32"/>
      <c r="AA32"/>
      <c r="AB32"/>
      <c r="AC32"/>
      <c r="AD32"/>
      <c r="AE32"/>
      <c r="AF32"/>
      <c r="AG32"/>
      <c r="AH32"/>
      <c r="AI32"/>
      <c r="AJ32"/>
      <c r="AK32"/>
      <c r="AL32"/>
      <c r="AM32"/>
      <c r="AN32"/>
      <c r="AO32"/>
    </row>
    <row r="33" spans="1:41" ht="22.15" customHeight="1" x14ac:dyDescent="0.25">
      <c r="A33" s="148" t="str">
        <f>Zones!B28</f>
        <v>Classrm W_Flr 1_Restroom_Zn</v>
      </c>
      <c r="B33" s="16" t="s">
        <v>350</v>
      </c>
      <c r="C33" s="74">
        <f>Zones!G28</f>
        <v>563.04999999999995</v>
      </c>
      <c r="D33" s="74">
        <f>Zones!J28</f>
        <v>5.6304999999999996</v>
      </c>
      <c r="E33" s="81">
        <v>0</v>
      </c>
      <c r="F33" s="198">
        <f t="shared" si="0"/>
        <v>0</v>
      </c>
      <c r="G33" s="177">
        <f t="shared" si="1"/>
        <v>0</v>
      </c>
      <c r="M33"/>
      <c r="N33"/>
      <c r="O33"/>
      <c r="P33"/>
      <c r="Q33"/>
      <c r="R33"/>
      <c r="S33"/>
      <c r="T33"/>
      <c r="U33"/>
      <c r="V33"/>
      <c r="W33"/>
      <c r="X33"/>
      <c r="Y33"/>
      <c r="Z33"/>
      <c r="AA33"/>
      <c r="AB33"/>
      <c r="AC33"/>
      <c r="AD33"/>
      <c r="AE33"/>
      <c r="AF33"/>
      <c r="AG33"/>
      <c r="AH33"/>
      <c r="AI33"/>
      <c r="AJ33"/>
      <c r="AK33"/>
      <c r="AL33"/>
      <c r="AM33"/>
      <c r="AN33"/>
      <c r="AO33"/>
    </row>
    <row r="34" spans="1:41" ht="22.15" customHeight="1" x14ac:dyDescent="0.25">
      <c r="A34" s="148" t="str">
        <f>Zones!B29</f>
        <v>Classrm W_Flr 1_Storage - General_Zn</v>
      </c>
      <c r="B34" s="16" t="s">
        <v>350</v>
      </c>
      <c r="C34" s="74">
        <f>Zones!G29</f>
        <v>380.84</v>
      </c>
      <c r="D34" s="74">
        <f>Zones!J29</f>
        <v>3.8083999999999998</v>
      </c>
      <c r="E34" s="81">
        <v>0</v>
      </c>
      <c r="F34" s="198">
        <f t="shared" si="0"/>
        <v>0</v>
      </c>
      <c r="G34" s="177">
        <f t="shared" si="1"/>
        <v>0</v>
      </c>
      <c r="M34"/>
      <c r="N34"/>
      <c r="O34"/>
      <c r="P34"/>
      <c r="Q34"/>
      <c r="R34"/>
      <c r="S34"/>
      <c r="T34"/>
      <c r="U34"/>
      <c r="V34"/>
      <c r="W34"/>
      <c r="X34"/>
      <c r="Y34"/>
      <c r="Z34"/>
      <c r="AA34"/>
      <c r="AB34"/>
      <c r="AC34"/>
      <c r="AD34"/>
      <c r="AE34"/>
      <c r="AF34"/>
      <c r="AG34"/>
      <c r="AH34"/>
      <c r="AI34"/>
      <c r="AJ34"/>
      <c r="AK34"/>
      <c r="AL34"/>
      <c r="AM34"/>
      <c r="AN34"/>
      <c r="AO34"/>
    </row>
    <row r="35" spans="1:41" ht="22.15" customHeight="1" x14ac:dyDescent="0.25">
      <c r="A35" s="148" t="str">
        <f>Zones!B30</f>
        <v>Classrm W_Flr 2_Classroom-01 Zns 3_Zn</v>
      </c>
      <c r="B35" s="16" t="s">
        <v>350</v>
      </c>
      <c r="C35" s="74">
        <f>Zones!G30</f>
        <v>3252.06</v>
      </c>
      <c r="D35" s="74">
        <f>Zones!J30</f>
        <v>162.60300000000001</v>
      </c>
      <c r="E35" s="81">
        <v>0.18</v>
      </c>
      <c r="F35" s="198">
        <f t="shared" si="0"/>
        <v>29.268540000000002</v>
      </c>
      <c r="G35" s="177">
        <f t="shared" si="1"/>
        <v>0.48780900000000005</v>
      </c>
      <c r="M35"/>
      <c r="N35"/>
      <c r="O35"/>
      <c r="P35"/>
      <c r="Q35"/>
      <c r="R35"/>
      <c r="S35"/>
      <c r="T35"/>
      <c r="U35"/>
      <c r="V35"/>
      <c r="W35"/>
      <c r="X35"/>
      <c r="Y35"/>
      <c r="Z35"/>
      <c r="AA35"/>
      <c r="AB35"/>
      <c r="AC35"/>
      <c r="AD35"/>
      <c r="AE35"/>
      <c r="AF35"/>
      <c r="AG35"/>
      <c r="AH35"/>
      <c r="AI35"/>
      <c r="AJ35"/>
      <c r="AK35"/>
      <c r="AL35"/>
      <c r="AM35"/>
      <c r="AN35"/>
      <c r="AO35"/>
    </row>
    <row r="36" spans="1:41" ht="22.15" customHeight="1" x14ac:dyDescent="0.25">
      <c r="A36" s="148" t="str">
        <f>Zones!B31</f>
        <v>Classrm W_Flr 2_Classroom-02_Zn</v>
      </c>
      <c r="B36" s="16" t="s">
        <v>350</v>
      </c>
      <c r="C36" s="74">
        <f>Zones!G31</f>
        <v>380.84</v>
      </c>
      <c r="D36" s="74">
        <f>Zones!J31</f>
        <v>19.042000000000002</v>
      </c>
      <c r="E36" s="81">
        <v>0.18</v>
      </c>
      <c r="F36" s="198">
        <f t="shared" si="0"/>
        <v>3.4275600000000002</v>
      </c>
      <c r="G36" s="177">
        <f t="shared" si="1"/>
        <v>5.7126000000000003E-2</v>
      </c>
      <c r="M36"/>
      <c r="N36"/>
      <c r="O36"/>
      <c r="P36"/>
      <c r="Q36"/>
      <c r="R36"/>
      <c r="S36"/>
      <c r="T36"/>
      <c r="U36"/>
      <c r="V36"/>
      <c r="W36"/>
      <c r="X36"/>
      <c r="Y36"/>
      <c r="Z36"/>
      <c r="AA36"/>
      <c r="AB36"/>
      <c r="AC36"/>
      <c r="AD36"/>
      <c r="AE36"/>
      <c r="AF36"/>
      <c r="AG36"/>
      <c r="AH36"/>
      <c r="AI36"/>
      <c r="AJ36"/>
      <c r="AK36"/>
      <c r="AL36"/>
      <c r="AM36"/>
      <c r="AN36"/>
      <c r="AO36"/>
    </row>
    <row r="37" spans="1:41" ht="22.15" customHeight="1" x14ac:dyDescent="0.25">
      <c r="A37" s="148" t="str">
        <f>Zones!B32</f>
        <v>Classrm W_Flr 2_IDF Room_Zn</v>
      </c>
      <c r="B37" s="16" t="s">
        <v>350</v>
      </c>
      <c r="C37" s="74">
        <f>Zones!G32</f>
        <v>121.01</v>
      </c>
      <c r="D37" s="74">
        <f>Zones!J32</f>
        <v>1.2101000000000002</v>
      </c>
      <c r="E37" s="81">
        <v>0.18</v>
      </c>
      <c r="F37" s="198">
        <f t="shared" si="0"/>
        <v>0.21781800000000001</v>
      </c>
      <c r="G37" s="177">
        <f t="shared" si="1"/>
        <v>3.6303000000000004E-3</v>
      </c>
      <c r="M37"/>
      <c r="N37"/>
      <c r="O37"/>
      <c r="P37"/>
      <c r="Q37"/>
      <c r="R37"/>
      <c r="S37"/>
      <c r="T37"/>
      <c r="U37"/>
      <c r="V37"/>
      <c r="W37"/>
      <c r="X37"/>
      <c r="Y37"/>
      <c r="Z37"/>
      <c r="AA37"/>
      <c r="AB37"/>
      <c r="AC37"/>
      <c r="AD37"/>
      <c r="AE37"/>
      <c r="AF37"/>
      <c r="AG37"/>
      <c r="AH37"/>
      <c r="AI37"/>
      <c r="AJ37"/>
      <c r="AK37"/>
      <c r="AL37"/>
      <c r="AM37"/>
      <c r="AN37"/>
      <c r="AO37"/>
    </row>
    <row r="38" spans="1:41" ht="22.15" customHeight="1" x14ac:dyDescent="0.25">
      <c r="A38" s="148" t="str">
        <f>Zones!B33</f>
        <v>Classrm W_Flr 2_Restroom_Zn</v>
      </c>
      <c r="B38" s="16" t="s">
        <v>350</v>
      </c>
      <c r="C38" s="74">
        <f>Zones!G33</f>
        <v>563.04999999999995</v>
      </c>
      <c r="D38" s="74">
        <f>Zones!J33</f>
        <v>5.6304999999999996</v>
      </c>
      <c r="E38" s="81">
        <v>0</v>
      </c>
      <c r="F38" s="198">
        <f t="shared" si="0"/>
        <v>0</v>
      </c>
      <c r="G38" s="177">
        <f t="shared" si="1"/>
        <v>0</v>
      </c>
      <c r="M38"/>
      <c r="N38"/>
      <c r="O38"/>
      <c r="P38"/>
      <c r="Q38"/>
      <c r="R38"/>
      <c r="S38"/>
      <c r="T38"/>
      <c r="U38"/>
      <c r="V38"/>
      <c r="W38"/>
      <c r="X38"/>
      <c r="Y38"/>
      <c r="Z38"/>
      <c r="AA38"/>
      <c r="AB38"/>
      <c r="AC38"/>
      <c r="AD38"/>
      <c r="AE38"/>
      <c r="AF38"/>
      <c r="AG38"/>
      <c r="AH38"/>
      <c r="AI38"/>
      <c r="AJ38"/>
      <c r="AK38"/>
      <c r="AL38"/>
      <c r="AM38"/>
      <c r="AN38"/>
      <c r="AO38"/>
    </row>
    <row r="39" spans="1:41" ht="22.15" customHeight="1" x14ac:dyDescent="0.25">
      <c r="A39" s="148" t="str">
        <f>Zones!B34</f>
        <v>Classrm W_Flr 2_Storage - General_Zn</v>
      </c>
      <c r="B39" s="16" t="s">
        <v>350</v>
      </c>
      <c r="C39" s="74">
        <f>Zones!G34</f>
        <v>98.01</v>
      </c>
      <c r="D39" s="74">
        <f>Zones!J34</f>
        <v>0.98009999999999997</v>
      </c>
      <c r="E39" s="81">
        <v>0</v>
      </c>
      <c r="F39" s="198">
        <f t="shared" si="0"/>
        <v>0</v>
      </c>
      <c r="G39" s="177">
        <f t="shared" si="1"/>
        <v>0</v>
      </c>
      <c r="M39"/>
      <c r="N39"/>
      <c r="O39"/>
      <c r="P39"/>
      <c r="Q39"/>
      <c r="R39"/>
      <c r="S39"/>
      <c r="T39"/>
      <c r="U39"/>
      <c r="V39"/>
      <c r="W39"/>
      <c r="X39"/>
      <c r="Y39"/>
      <c r="Z39"/>
      <c r="AA39"/>
      <c r="AB39"/>
      <c r="AC39"/>
      <c r="AD39"/>
      <c r="AE39"/>
      <c r="AF39"/>
      <c r="AG39"/>
      <c r="AH39"/>
      <c r="AI39"/>
      <c r="AJ39"/>
      <c r="AK39"/>
      <c r="AL39"/>
      <c r="AM39"/>
      <c r="AN39"/>
      <c r="AO39"/>
    </row>
    <row r="40" spans="1:41" ht="22.15" customHeight="1" x14ac:dyDescent="0.25">
      <c r="A40" s="148" t="str">
        <f>Zones!B35</f>
        <v>Kindergarten_Classroom-01_Zn</v>
      </c>
      <c r="B40" s="16" t="s">
        <v>350</v>
      </c>
      <c r="C40" s="74">
        <f>Zones!G35</f>
        <v>5494.54</v>
      </c>
      <c r="D40" s="74">
        <f>Zones!J35</f>
        <v>274.72699999999998</v>
      </c>
      <c r="E40" s="81">
        <v>0.18</v>
      </c>
      <c r="F40" s="198">
        <f t="shared" si="0"/>
        <v>49.450859999999992</v>
      </c>
      <c r="G40" s="177">
        <f t="shared" si="1"/>
        <v>0.82418099999999983</v>
      </c>
      <c r="M40"/>
      <c r="N40"/>
      <c r="O40"/>
      <c r="P40"/>
      <c r="Q40"/>
      <c r="R40"/>
      <c r="S40"/>
      <c r="T40"/>
      <c r="U40"/>
      <c r="V40"/>
      <c r="W40"/>
      <c r="X40"/>
      <c r="Y40"/>
      <c r="Z40"/>
      <c r="AA40"/>
      <c r="AB40"/>
      <c r="AC40"/>
      <c r="AD40"/>
      <c r="AE40"/>
      <c r="AF40"/>
      <c r="AG40"/>
      <c r="AH40"/>
      <c r="AI40"/>
      <c r="AJ40"/>
      <c r="AK40"/>
      <c r="AL40"/>
      <c r="AM40"/>
      <c r="AN40"/>
      <c r="AO40"/>
    </row>
    <row r="41" spans="1:41" ht="22.15" customHeight="1" x14ac:dyDescent="0.25">
      <c r="A41" s="148" t="str">
        <f>Zones!B36</f>
        <v>Kindergarten_Classroom-02_Zn</v>
      </c>
      <c r="B41" s="16" t="s">
        <v>350</v>
      </c>
      <c r="C41" s="74">
        <f>Zones!G36</f>
        <v>1440.14</v>
      </c>
      <c r="D41" s="74">
        <f>Zones!J36</f>
        <v>72.007000000000005</v>
      </c>
      <c r="E41" s="81">
        <v>0.18</v>
      </c>
      <c r="F41" s="198">
        <f t="shared" si="0"/>
        <v>12.961260000000001</v>
      </c>
      <c r="G41" s="177">
        <f t="shared" si="1"/>
        <v>0.21602100000000002</v>
      </c>
      <c r="M41"/>
      <c r="N41"/>
      <c r="O41"/>
      <c r="P41"/>
      <c r="Q41"/>
      <c r="R41"/>
      <c r="S41"/>
      <c r="T41"/>
      <c r="U41"/>
      <c r="V41"/>
      <c r="W41"/>
      <c r="X41"/>
      <c r="Y41"/>
      <c r="Z41"/>
      <c r="AA41"/>
      <c r="AB41"/>
      <c r="AC41"/>
      <c r="AD41"/>
      <c r="AE41"/>
      <c r="AF41"/>
      <c r="AG41"/>
      <c r="AH41"/>
      <c r="AI41"/>
      <c r="AJ41"/>
      <c r="AK41"/>
      <c r="AL41"/>
      <c r="AM41"/>
      <c r="AN41"/>
      <c r="AO41"/>
    </row>
    <row r="42" spans="1:41" ht="22.15" customHeight="1" x14ac:dyDescent="0.25">
      <c r="A42" s="148" t="str">
        <f>Zones!B37</f>
        <v>Kindergarten_EMT_Zn</v>
      </c>
      <c r="B42" s="16" t="s">
        <v>350</v>
      </c>
      <c r="C42" s="74">
        <f>Zones!G37</f>
        <v>170.87</v>
      </c>
      <c r="D42" s="74">
        <f>Zones!J37</f>
        <v>1.7087000000000001</v>
      </c>
      <c r="E42" s="81">
        <v>0.18</v>
      </c>
      <c r="F42" s="198">
        <f t="shared" si="0"/>
        <v>0.30756600000000001</v>
      </c>
      <c r="G42" s="177">
        <f t="shared" si="1"/>
        <v>5.1260999999999998E-3</v>
      </c>
      <c r="M42"/>
      <c r="N42"/>
      <c r="O42"/>
      <c r="P42"/>
      <c r="Q42"/>
      <c r="R42"/>
      <c r="S42"/>
      <c r="T42"/>
      <c r="U42"/>
      <c r="V42"/>
      <c r="W42"/>
      <c r="X42"/>
      <c r="Y42"/>
      <c r="Z42"/>
      <c r="AA42"/>
      <c r="AB42"/>
      <c r="AC42"/>
      <c r="AD42"/>
      <c r="AE42"/>
      <c r="AF42"/>
      <c r="AG42"/>
      <c r="AH42"/>
      <c r="AI42"/>
      <c r="AJ42"/>
      <c r="AK42"/>
      <c r="AL42"/>
      <c r="AM42"/>
      <c r="AN42"/>
      <c r="AO42"/>
    </row>
    <row r="43" spans="1:41" ht="22.15" customHeight="1" x14ac:dyDescent="0.25">
      <c r="A43" s="148" t="str">
        <f>Zones!B38</f>
        <v>Kindergarten_IDF Room_Zn</v>
      </c>
      <c r="B43" s="16" t="s">
        <v>350</v>
      </c>
      <c r="C43" s="74">
        <f>Zones!G38</f>
        <v>85.48</v>
      </c>
      <c r="D43" s="74">
        <f>Zones!J38</f>
        <v>0.85480000000000012</v>
      </c>
      <c r="E43" s="81">
        <v>0.18</v>
      </c>
      <c r="F43" s="198">
        <f t="shared" si="0"/>
        <v>0.15386400000000003</v>
      </c>
      <c r="G43" s="177">
        <f t="shared" si="1"/>
        <v>2.5644000000000005E-3</v>
      </c>
      <c r="M43"/>
      <c r="N43"/>
      <c r="O43"/>
      <c r="P43"/>
      <c r="Q43"/>
      <c r="R43"/>
      <c r="S43"/>
      <c r="T43"/>
      <c r="U43"/>
      <c r="V43"/>
      <c r="W43"/>
      <c r="X43"/>
      <c r="Y43"/>
      <c r="Z43"/>
      <c r="AA43"/>
      <c r="AB43"/>
      <c r="AC43"/>
      <c r="AD43"/>
      <c r="AE43"/>
      <c r="AF43"/>
      <c r="AG43"/>
      <c r="AH43"/>
      <c r="AI43"/>
      <c r="AJ43"/>
      <c r="AK43"/>
      <c r="AL43"/>
      <c r="AM43"/>
      <c r="AN43"/>
      <c r="AO43"/>
    </row>
    <row r="44" spans="1:41" ht="22.15" customHeight="1" x14ac:dyDescent="0.25">
      <c r="A44" s="148" t="str">
        <f>Zones!B39</f>
        <v>Kindergarten_Restroom_Zn</v>
      </c>
      <c r="B44" s="16" t="s">
        <v>350</v>
      </c>
      <c r="C44" s="74">
        <f>Zones!G39</f>
        <v>266.02999999999997</v>
      </c>
      <c r="D44" s="74">
        <f>Zones!J39</f>
        <v>2.6602999999999999</v>
      </c>
      <c r="E44" s="81">
        <v>0</v>
      </c>
      <c r="F44" s="198">
        <f t="shared" si="0"/>
        <v>0</v>
      </c>
      <c r="G44" s="177">
        <f t="shared" si="1"/>
        <v>0</v>
      </c>
      <c r="M44"/>
      <c r="N44"/>
      <c r="O44"/>
      <c r="P44"/>
      <c r="Q44"/>
    </row>
    <row r="45" spans="1:41" ht="22.15" customHeight="1" x14ac:dyDescent="0.25">
      <c r="A45" s="148" t="str">
        <f>Zones!B40</f>
        <v>Kindergarten_Storage - General_Zn</v>
      </c>
      <c r="B45" s="16" t="s">
        <v>350</v>
      </c>
      <c r="C45" s="74">
        <f>Zones!G40</f>
        <v>1183.8</v>
      </c>
      <c r="D45" s="74">
        <f>Zones!J40</f>
        <v>11.837999999999999</v>
      </c>
      <c r="E45" s="81">
        <v>0</v>
      </c>
      <c r="F45" s="198">
        <f t="shared" si="0"/>
        <v>0</v>
      </c>
      <c r="G45" s="177">
        <f t="shared" si="1"/>
        <v>0</v>
      </c>
      <c r="M45"/>
      <c r="N45"/>
      <c r="O45"/>
      <c r="P45"/>
      <c r="Q45"/>
    </row>
    <row r="46" spans="1:41" ht="33" customHeight="1" x14ac:dyDescent="0.25">
      <c r="A46" s="163" t="s">
        <v>360</v>
      </c>
      <c r="B46" s="163"/>
      <c r="C46" s="176">
        <f>SUM(C8:C45)</f>
        <v>49979.37000000001</v>
      </c>
      <c r="D46" s="176">
        <f>SUM(D8:D45)</f>
        <v>2136.6549600000008</v>
      </c>
      <c r="E46" s="176"/>
      <c r="F46" s="176">
        <f>SUM(F8:F45)</f>
        <v>314.89191539999996</v>
      </c>
      <c r="G46" s="177">
        <f>F46/60</f>
        <v>5.2481985899999994</v>
      </c>
      <c r="H46" s="75"/>
      <c r="I46" s="75"/>
      <c r="M46"/>
      <c r="N46"/>
      <c r="O46"/>
      <c r="P46"/>
      <c r="Q46"/>
    </row>
    <row r="47" spans="1:41" ht="15" x14ac:dyDescent="0.25">
      <c r="A47" s="76"/>
      <c r="E47" s="77"/>
      <c r="M47"/>
      <c r="N47"/>
      <c r="O47"/>
      <c r="P47"/>
      <c r="Q47"/>
    </row>
    <row r="48" spans="1:41" ht="15.75" x14ac:dyDescent="0.25">
      <c r="A48" s="404" t="s">
        <v>361</v>
      </c>
      <c r="B48" s="404"/>
      <c r="C48" s="404"/>
      <c r="D48" s="404"/>
      <c r="E48" s="404"/>
      <c r="F48" s="404"/>
      <c r="G48" s="404"/>
      <c r="H48" s="404"/>
      <c r="I48" s="404"/>
      <c r="J48" s="404"/>
      <c r="M48"/>
      <c r="N48"/>
      <c r="O48"/>
      <c r="P48"/>
      <c r="Q48"/>
    </row>
    <row r="49" spans="1:17" ht="70.150000000000006" customHeight="1" x14ac:dyDescent="0.25">
      <c r="A49" s="348" t="s">
        <v>343</v>
      </c>
      <c r="B49" s="348" t="s">
        <v>358</v>
      </c>
      <c r="C49" s="348" t="s">
        <v>362</v>
      </c>
      <c r="D49" s="348" t="s">
        <v>363</v>
      </c>
      <c r="E49" s="348" t="s">
        <v>364</v>
      </c>
      <c r="F49" s="348" t="s">
        <v>365</v>
      </c>
      <c r="G49" s="348" t="s">
        <v>366</v>
      </c>
      <c r="H49" s="348" t="s">
        <v>367</v>
      </c>
      <c r="I49" s="348" t="s">
        <v>368</v>
      </c>
      <c r="J49" s="348" t="s">
        <v>279</v>
      </c>
      <c r="N49"/>
      <c r="O49"/>
      <c r="P49"/>
      <c r="Q49"/>
    </row>
    <row r="50" spans="1:17" ht="21" customHeight="1" x14ac:dyDescent="0.25">
      <c r="A50" s="231" t="s">
        <v>348</v>
      </c>
      <c r="B50" s="41">
        <f>SUM(B51:B54)</f>
        <v>353.04130799999996</v>
      </c>
      <c r="C50" s="41">
        <f t="shared" ref="C50:C55" si="2">B50*(135-55)*8.345*1</f>
        <v>235690.37722079997</v>
      </c>
      <c r="D50" s="41">
        <f t="shared" ref="D50" si="3">C50*0.6</f>
        <v>141414.22633247997</v>
      </c>
      <c r="E50" s="312">
        <f>D50/0.98</f>
        <v>144300.23095151017</v>
      </c>
      <c r="F50" s="41">
        <f>B50*1*0.4</f>
        <v>141.21652319999998</v>
      </c>
      <c r="G50" s="311">
        <f t="shared" ref="G50:G55" si="4">IFERROR(0.3+(27/F50),0)</f>
        <v>0.49119575661667336</v>
      </c>
      <c r="H50" s="339" t="s">
        <v>349</v>
      </c>
      <c r="I50" s="313">
        <f t="shared" ref="I50:I55" si="5">0.0825*G50*F50</f>
        <v>5.7226089491999996</v>
      </c>
      <c r="J50" s="401" t="s">
        <v>369</v>
      </c>
      <c r="N50"/>
      <c r="O50"/>
      <c r="P50"/>
      <c r="Q50"/>
    </row>
    <row r="51" spans="1:17" ht="21" customHeight="1" x14ac:dyDescent="0.25">
      <c r="A51" s="231" t="s">
        <v>370</v>
      </c>
      <c r="B51" s="41">
        <f xml:space="preserve"> MAX(SUMIF(B8:B20, "*HPWH*",F8:F20),75)</f>
        <v>75</v>
      </c>
      <c r="C51" s="41">
        <f t="shared" si="2"/>
        <v>50070.000000000007</v>
      </c>
      <c r="D51" s="41">
        <f t="shared" ref="D51:D55" si="6">C51*0.6</f>
        <v>30042.000000000004</v>
      </c>
      <c r="E51" s="312">
        <f>D51/B71</f>
        <v>17105.539499742918</v>
      </c>
      <c r="F51" s="41">
        <f>(B51*F55)/B55</f>
        <v>30</v>
      </c>
      <c r="G51" s="311">
        <f>IFERROR(0.3+(27/F51),0)</f>
        <v>1.2</v>
      </c>
      <c r="H51" s="339" t="s">
        <v>349</v>
      </c>
      <c r="I51" s="313">
        <f t="shared" si="5"/>
        <v>2.97</v>
      </c>
      <c r="J51" s="402"/>
      <c r="N51"/>
      <c r="O51"/>
      <c r="P51"/>
      <c r="Q51"/>
    </row>
    <row r="52" spans="1:17" ht="21" customHeight="1" x14ac:dyDescent="0.25">
      <c r="A52" s="231" t="s">
        <v>371</v>
      </c>
      <c r="B52" s="41">
        <f xml:space="preserve"> MAX(SUMIF(B21:B28, "*HPWH*",F21:F28),75)</f>
        <v>128.04130799999999</v>
      </c>
      <c r="C52" s="41">
        <f t="shared" si="2"/>
        <v>85480.377220800001</v>
      </c>
      <c r="D52" s="41">
        <f t="shared" si="6"/>
        <v>51288.226332480001</v>
      </c>
      <c r="E52" s="312">
        <f>D52/B71</f>
        <v>29202.875354569984</v>
      </c>
      <c r="F52" s="41">
        <f>(B52*F55)/B55</f>
        <v>51.21652319999999</v>
      </c>
      <c r="G52" s="311">
        <f t="shared" si="4"/>
        <v>0.82717362118793725</v>
      </c>
      <c r="H52" s="339" t="s">
        <v>349</v>
      </c>
      <c r="I52" s="313">
        <f t="shared" si="5"/>
        <v>3.4951089491999996</v>
      </c>
      <c r="J52" s="402"/>
      <c r="N52"/>
      <c r="O52"/>
      <c r="P52"/>
      <c r="Q52"/>
    </row>
    <row r="53" spans="1:17" ht="21" customHeight="1" x14ac:dyDescent="0.25">
      <c r="A53" s="231" t="s">
        <v>372</v>
      </c>
      <c r="B53" s="41">
        <f xml:space="preserve"> MAX(SUMIF(B29:B39, "*HPWH*",F29:F39),75)</f>
        <v>75</v>
      </c>
      <c r="C53" s="41">
        <f t="shared" si="2"/>
        <v>50070.000000000007</v>
      </c>
      <c r="D53" s="41">
        <f t="shared" si="6"/>
        <v>30042.000000000004</v>
      </c>
      <c r="E53" s="312">
        <f>D53/B71</f>
        <v>17105.539499742918</v>
      </c>
      <c r="F53" s="41">
        <f>(B53*F55)/B55</f>
        <v>30</v>
      </c>
      <c r="G53" s="311">
        <f t="shared" si="4"/>
        <v>1.2</v>
      </c>
      <c r="H53" s="339" t="s">
        <v>349</v>
      </c>
      <c r="I53" s="313">
        <f t="shared" si="5"/>
        <v>2.97</v>
      </c>
      <c r="J53" s="402"/>
      <c r="N53"/>
      <c r="O53"/>
      <c r="P53"/>
      <c r="Q53"/>
    </row>
    <row r="54" spans="1:17" ht="21" customHeight="1" x14ac:dyDescent="0.25">
      <c r="A54" s="231" t="s">
        <v>373</v>
      </c>
      <c r="B54" s="41">
        <f xml:space="preserve"> MAX(SUMIF(B40:B45, "*HPWH*",F40:F45),75)</f>
        <v>75</v>
      </c>
      <c r="C54" s="41">
        <f t="shared" si="2"/>
        <v>50070.000000000007</v>
      </c>
      <c r="D54" s="41">
        <f t="shared" si="6"/>
        <v>30042.000000000004</v>
      </c>
      <c r="E54" s="312">
        <f>D54/B71</f>
        <v>17105.539499742918</v>
      </c>
      <c r="F54" s="41">
        <f>(B54*F55)/B55</f>
        <v>30</v>
      </c>
      <c r="G54" s="311">
        <f t="shared" si="4"/>
        <v>1.2</v>
      </c>
      <c r="H54" s="339" t="s">
        <v>349</v>
      </c>
      <c r="I54" s="313">
        <f t="shared" si="5"/>
        <v>2.97</v>
      </c>
      <c r="J54" s="402"/>
      <c r="N54"/>
      <c r="O54"/>
      <c r="P54"/>
      <c r="Q54"/>
    </row>
    <row r="55" spans="1:17" ht="22.5" customHeight="1" x14ac:dyDescent="0.25">
      <c r="A55" s="163" t="s">
        <v>374</v>
      </c>
      <c r="B55" s="41">
        <f>SUM(B51:B54)</f>
        <v>353.04130799999996</v>
      </c>
      <c r="C55" s="41">
        <f t="shared" si="2"/>
        <v>235690.37722079997</v>
      </c>
      <c r="D55" s="41">
        <f t="shared" si="6"/>
        <v>141414.22633247997</v>
      </c>
      <c r="E55" s="312">
        <f>D55/B71</f>
        <v>80519.493853798718</v>
      </c>
      <c r="F55" s="41">
        <f>B55*1*0.4</f>
        <v>141.21652319999998</v>
      </c>
      <c r="G55" s="311">
        <f t="shared" si="4"/>
        <v>0.49119575661667336</v>
      </c>
      <c r="H55" s="339" t="s">
        <v>349</v>
      </c>
      <c r="I55" s="313">
        <f t="shared" si="5"/>
        <v>5.7226089491999996</v>
      </c>
      <c r="J55" s="403"/>
      <c r="N55"/>
      <c r="O55"/>
      <c r="P55"/>
      <c r="Q55"/>
    </row>
    <row r="56" spans="1:17" ht="22.5" customHeight="1" x14ac:dyDescent="0.25">
      <c r="A56" s="320" t="s">
        <v>375</v>
      </c>
      <c r="B56" s="54"/>
      <c r="C56" s="54"/>
      <c r="D56" s="54"/>
      <c r="E56" s="316"/>
      <c r="F56" s="54"/>
      <c r="G56" s="317"/>
      <c r="H56" s="346"/>
      <c r="I56" s="318"/>
      <c r="J56" s="319"/>
      <c r="N56"/>
      <c r="O56"/>
      <c r="P56"/>
      <c r="Q56"/>
    </row>
    <row r="57" spans="1:17" ht="22.9" customHeight="1" x14ac:dyDescent="0.25">
      <c r="A57" s="76"/>
      <c r="B57" s="101"/>
      <c r="E57" s="77"/>
      <c r="F57" s="101"/>
      <c r="J57"/>
      <c r="N57"/>
      <c r="O57"/>
      <c r="P57"/>
      <c r="Q57"/>
    </row>
    <row r="58" spans="1:17" ht="21" customHeight="1" x14ac:dyDescent="0.25">
      <c r="A58" s="341" t="s">
        <v>376</v>
      </c>
      <c r="B58" s="213">
        <v>135</v>
      </c>
      <c r="C58" s="341" t="s">
        <v>377</v>
      </c>
      <c r="D58" s="341"/>
      <c r="E58" s="341"/>
      <c r="F58"/>
      <c r="G58"/>
      <c r="H58"/>
      <c r="I58"/>
      <c r="M58"/>
      <c r="N58"/>
      <c r="O58"/>
      <c r="P58"/>
      <c r="Q58"/>
    </row>
    <row r="59" spans="1:17" ht="18.600000000000001" customHeight="1" x14ac:dyDescent="0.25">
      <c r="A59" s="341" t="s">
        <v>378</v>
      </c>
      <c r="B59" s="213">
        <v>55</v>
      </c>
      <c r="C59" s="341" t="s">
        <v>379</v>
      </c>
      <c r="D59" s="341"/>
      <c r="E59" s="341"/>
      <c r="F59" s="341"/>
      <c r="G59" s="341"/>
      <c r="H59" s="341"/>
      <c r="I59" s="341"/>
      <c r="J59" s="341"/>
      <c r="M59"/>
      <c r="N59"/>
      <c r="O59"/>
      <c r="P59"/>
      <c r="Q59"/>
    </row>
    <row r="60" spans="1:17" ht="15" x14ac:dyDescent="0.25">
      <c r="A60" s="102" t="s">
        <v>380</v>
      </c>
      <c r="B60" s="213">
        <v>0.6</v>
      </c>
      <c r="C60" s="341" t="s">
        <v>379</v>
      </c>
      <c r="D60" s="341"/>
      <c r="E60" s="341"/>
      <c r="F60" s="341"/>
      <c r="G60" s="341"/>
      <c r="H60" s="341"/>
      <c r="I60" s="341"/>
      <c r="J60" s="341"/>
      <c r="M60"/>
      <c r="N60"/>
      <c r="O60"/>
      <c r="P60"/>
      <c r="Q60"/>
    </row>
    <row r="61" spans="1:17" ht="15" x14ac:dyDescent="0.25">
      <c r="A61" s="341" t="s">
        <v>381</v>
      </c>
      <c r="B61" s="213">
        <v>0.4</v>
      </c>
      <c r="C61" s="341"/>
      <c r="D61" s="341"/>
      <c r="E61" s="341"/>
      <c r="F61" s="341"/>
      <c r="G61" s="341"/>
      <c r="H61" s="341"/>
      <c r="I61" s="341"/>
      <c r="J61" s="341"/>
      <c r="M61"/>
      <c r="N61"/>
      <c r="O61"/>
      <c r="P61"/>
      <c r="Q61"/>
    </row>
    <row r="62" spans="1:17" ht="15" x14ac:dyDescent="0.25">
      <c r="A62" s="213" t="s">
        <v>382</v>
      </c>
      <c r="B62" s="213"/>
      <c r="C62" s="213"/>
      <c r="D62" s="213"/>
      <c r="E62" s="213"/>
      <c r="F62" s="213"/>
      <c r="G62" s="213"/>
      <c r="H62" s="213"/>
      <c r="I62" s="213"/>
      <c r="J62" s="341"/>
      <c r="M62"/>
      <c r="N62"/>
      <c r="O62"/>
      <c r="P62"/>
      <c r="Q62"/>
    </row>
    <row r="63" spans="1:17" ht="15" x14ac:dyDescent="0.25">
      <c r="A63" t="s">
        <v>383</v>
      </c>
      <c r="E63" s="77"/>
      <c r="J63" s="213"/>
      <c r="M63"/>
      <c r="N63"/>
      <c r="O63"/>
      <c r="P63"/>
      <c r="Q63"/>
    </row>
    <row r="64" spans="1:17" ht="15" x14ac:dyDescent="0.25">
      <c r="A64" t="s">
        <v>384</v>
      </c>
      <c r="B64" s="32">
        <v>68</v>
      </c>
      <c r="M64"/>
      <c r="N64"/>
      <c r="O64"/>
      <c r="P64"/>
      <c r="Q64"/>
    </row>
    <row r="65" spans="1:17" ht="15" x14ac:dyDescent="0.25">
      <c r="A65" t="s">
        <v>385</v>
      </c>
      <c r="B65" s="32">
        <f>B58-B64</f>
        <v>67</v>
      </c>
      <c r="M65"/>
      <c r="N65"/>
      <c r="O65"/>
      <c r="P65"/>
      <c r="Q65"/>
    </row>
    <row r="66" spans="1:17" ht="15" x14ac:dyDescent="0.25">
      <c r="A66" t="s">
        <v>386</v>
      </c>
      <c r="B66" s="32"/>
      <c r="M66"/>
      <c r="N66"/>
      <c r="O66"/>
      <c r="P66"/>
      <c r="Q66"/>
    </row>
    <row r="67" spans="1:17" ht="15" x14ac:dyDescent="0.25">
      <c r="A67"/>
      <c r="B67" s="32"/>
      <c r="M67"/>
      <c r="N67"/>
      <c r="O67"/>
      <c r="P67"/>
      <c r="Q67"/>
    </row>
    <row r="68" spans="1:17" ht="15" x14ac:dyDescent="0.25">
      <c r="A68" s="3" t="s">
        <v>387</v>
      </c>
      <c r="B68" s="32">
        <v>38</v>
      </c>
      <c r="C68" s="6" t="s">
        <v>388</v>
      </c>
      <c r="M68"/>
      <c r="N68"/>
      <c r="O68"/>
      <c r="P68"/>
      <c r="Q68"/>
    </row>
    <row r="69" spans="1:17" ht="15" x14ac:dyDescent="0.25">
      <c r="A69" s="226" t="s">
        <v>389</v>
      </c>
      <c r="B69" s="6">
        <v>2.15</v>
      </c>
      <c r="C69" s="6" t="s">
        <v>390</v>
      </c>
      <c r="M69"/>
      <c r="N69"/>
      <c r="O69"/>
      <c r="P69"/>
      <c r="Q69"/>
    </row>
    <row r="70" spans="1:17" ht="15" x14ac:dyDescent="0.25">
      <c r="A70" s="227" t="s">
        <v>391</v>
      </c>
      <c r="B70" s="224">
        <f xml:space="preserve"> (B69 - 0.1513 - (0.0043 * B68)) / 0.8407</f>
        <v>2.1830617342690615</v>
      </c>
      <c r="M70"/>
      <c r="N70"/>
      <c r="O70"/>
      <c r="P70"/>
      <c r="Q70"/>
    </row>
    <row r="71" spans="1:17" ht="15" x14ac:dyDescent="0.25">
      <c r="A71" s="226" t="s">
        <v>392</v>
      </c>
      <c r="B71" s="224">
        <f>B70 * (2.6- 0.0133 * B58)</f>
        <v>1.7562731652194605</v>
      </c>
      <c r="C71" s="6" t="s">
        <v>393</v>
      </c>
      <c r="M71"/>
      <c r="N71"/>
      <c r="O71"/>
      <c r="P71"/>
      <c r="Q71"/>
    </row>
    <row r="72" spans="1:17" ht="15" x14ac:dyDescent="0.25">
      <c r="M72"/>
      <c r="N72"/>
      <c r="O72"/>
      <c r="P72"/>
      <c r="Q72"/>
    </row>
    <row r="73" spans="1:17" ht="15" x14ac:dyDescent="0.25">
      <c r="A73" s="92" t="s">
        <v>172</v>
      </c>
      <c r="B73" s="92"/>
      <c r="C73" s="92"/>
      <c r="D73" s="92"/>
      <c r="E73" s="92"/>
      <c r="F73" s="92"/>
      <c r="G73" s="92"/>
      <c r="H73" s="92"/>
      <c r="I73" s="92"/>
      <c r="M73"/>
      <c r="N73"/>
      <c r="O73"/>
      <c r="P73"/>
      <c r="Q73"/>
    </row>
    <row r="74" spans="1:17" s="92" customFormat="1" ht="21" hidden="1" customHeight="1" x14ac:dyDescent="0.25">
      <c r="A74" s="79"/>
      <c r="B74" s="6"/>
      <c r="C74" s="6"/>
      <c r="D74" s="6"/>
      <c r="E74" s="6"/>
      <c r="F74" s="6"/>
      <c r="G74" s="6"/>
      <c r="H74" s="6"/>
      <c r="I74" s="6"/>
      <c r="M74"/>
      <c r="N74"/>
      <c r="O74"/>
      <c r="P74"/>
      <c r="Q74"/>
    </row>
    <row r="75" spans="1:17" ht="15" hidden="1" customHeight="1" x14ac:dyDescent="0.25">
      <c r="A75" s="78"/>
      <c r="M75"/>
      <c r="N75"/>
      <c r="O75"/>
      <c r="P75"/>
      <c r="Q75"/>
    </row>
    <row r="76" spans="1:17" ht="15" hidden="1" x14ac:dyDescent="0.25">
      <c r="A76" s="79"/>
      <c r="M76"/>
      <c r="N76"/>
      <c r="O76"/>
      <c r="P76"/>
      <c r="Q76"/>
    </row>
    <row r="77" spans="1:17" ht="15" hidden="1" x14ac:dyDescent="0.25">
      <c r="A77" s="80"/>
      <c r="M77"/>
      <c r="N77"/>
      <c r="O77"/>
      <c r="P77"/>
      <c r="Q77"/>
    </row>
    <row r="78" spans="1:17" ht="15" hidden="1" x14ac:dyDescent="0.25">
      <c r="A78" s="79"/>
      <c r="M78"/>
      <c r="N78"/>
      <c r="O78"/>
      <c r="P78"/>
      <c r="Q78"/>
    </row>
    <row r="79" spans="1:17" ht="15" hidden="1" x14ac:dyDescent="0.25">
      <c r="A79" s="80"/>
      <c r="M79"/>
      <c r="N79"/>
      <c r="O79"/>
      <c r="P79"/>
      <c r="Q79"/>
    </row>
    <row r="80" spans="1:17" ht="15" hidden="1" x14ac:dyDescent="0.25">
      <c r="A80" s="79"/>
      <c r="M80"/>
      <c r="N80"/>
      <c r="O80"/>
      <c r="P80"/>
      <c r="Q80"/>
    </row>
    <row r="81" spans="1:17" ht="15" hidden="1" x14ac:dyDescent="0.25">
      <c r="A81" s="80"/>
      <c r="M81"/>
      <c r="N81"/>
      <c r="O81"/>
      <c r="P81"/>
      <c r="Q81"/>
    </row>
    <row r="82" spans="1:17" ht="15" hidden="1" x14ac:dyDescent="0.25">
      <c r="A82" s="79"/>
      <c r="M82"/>
      <c r="N82"/>
      <c r="O82"/>
      <c r="P82"/>
      <c r="Q82"/>
    </row>
    <row r="83" spans="1:17" ht="15" hidden="1" x14ac:dyDescent="0.25">
      <c r="A83" s="78"/>
      <c r="M83"/>
      <c r="N83"/>
      <c r="O83"/>
      <c r="P83"/>
      <c r="Q83"/>
    </row>
    <row r="84" spans="1:17" ht="15" hidden="1" x14ac:dyDescent="0.25">
      <c r="A84" s="79"/>
      <c r="M84"/>
      <c r="N84"/>
      <c r="O84"/>
      <c r="P84"/>
      <c r="Q84"/>
    </row>
    <row r="85" spans="1:17" ht="15" hidden="1" x14ac:dyDescent="0.25">
      <c r="A85" s="78"/>
      <c r="M85"/>
      <c r="N85"/>
      <c r="O85"/>
      <c r="P85"/>
      <c r="Q85"/>
    </row>
    <row r="86" spans="1:17" ht="15" hidden="1" x14ac:dyDescent="0.25">
      <c r="A86" s="78"/>
      <c r="M86"/>
      <c r="N86"/>
      <c r="O86"/>
      <c r="P86"/>
      <c r="Q86"/>
    </row>
    <row r="87" spans="1:17" ht="15" hidden="1" x14ac:dyDescent="0.25">
      <c r="A87" s="80"/>
      <c r="M87"/>
      <c r="N87"/>
      <c r="O87"/>
      <c r="P87"/>
      <c r="Q87"/>
    </row>
    <row r="88" spans="1:17" ht="15" hidden="1" x14ac:dyDescent="0.25">
      <c r="A88" s="80"/>
      <c r="M88"/>
      <c r="N88"/>
      <c r="O88"/>
      <c r="P88"/>
      <c r="Q88"/>
    </row>
    <row r="89" spans="1:17" ht="15" hidden="1" x14ac:dyDescent="0.25">
      <c r="A89" s="80"/>
      <c r="M89"/>
      <c r="N89"/>
      <c r="O89"/>
      <c r="P89"/>
      <c r="Q89"/>
    </row>
    <row r="90" spans="1:17" ht="15" hidden="1" x14ac:dyDescent="0.25">
      <c r="A90" s="80"/>
      <c r="M90"/>
      <c r="N90"/>
      <c r="O90"/>
      <c r="P90"/>
      <c r="Q90"/>
    </row>
    <row r="91" spans="1:17" ht="15" hidden="1" x14ac:dyDescent="0.25">
      <c r="A91" s="80"/>
      <c r="M91"/>
      <c r="N91"/>
      <c r="O91"/>
      <c r="P91"/>
      <c r="Q91"/>
    </row>
    <row r="92" spans="1:17" ht="15" hidden="1" x14ac:dyDescent="0.25">
      <c r="A92" s="80"/>
      <c r="M92"/>
      <c r="N92"/>
      <c r="O92"/>
      <c r="P92"/>
      <c r="Q92"/>
    </row>
    <row r="93" spans="1:17" ht="15" hidden="1" x14ac:dyDescent="0.25">
      <c r="A93" s="78"/>
      <c r="M93"/>
      <c r="N93"/>
      <c r="O93"/>
      <c r="P93"/>
      <c r="Q93"/>
    </row>
    <row r="94" spans="1:17" ht="15" hidden="1" x14ac:dyDescent="0.25">
      <c r="A94" s="79"/>
      <c r="M94"/>
      <c r="N94"/>
      <c r="O94"/>
      <c r="P94"/>
      <c r="Q94"/>
    </row>
    <row r="95" spans="1:17" ht="15" hidden="1" x14ac:dyDescent="0.25">
      <c r="A95" s="78"/>
      <c r="M95"/>
      <c r="N95"/>
      <c r="O95"/>
      <c r="P95"/>
      <c r="Q95"/>
    </row>
    <row r="96" spans="1:17" ht="15" hidden="1" x14ac:dyDescent="0.25">
      <c r="A96" s="78"/>
      <c r="M96"/>
      <c r="N96"/>
      <c r="O96"/>
      <c r="P96"/>
      <c r="Q96"/>
    </row>
    <row r="97" spans="1:17" ht="15" hidden="1" x14ac:dyDescent="0.25">
      <c r="A97" s="80"/>
      <c r="M97"/>
      <c r="N97"/>
      <c r="O97"/>
      <c r="P97"/>
      <c r="Q97"/>
    </row>
    <row r="98" spans="1:17" ht="15" hidden="1" x14ac:dyDescent="0.25">
      <c r="A98" s="80"/>
      <c r="M98"/>
      <c r="N98"/>
      <c r="O98"/>
      <c r="P98"/>
      <c r="Q98"/>
    </row>
    <row r="99" spans="1:17" ht="15" hidden="1" x14ac:dyDescent="0.25">
      <c r="A99" s="78"/>
      <c r="M99"/>
      <c r="N99"/>
      <c r="O99"/>
      <c r="P99"/>
      <c r="Q99"/>
    </row>
    <row r="100" spans="1:17" ht="15" hidden="1" x14ac:dyDescent="0.25">
      <c r="A100" s="79"/>
      <c r="M100"/>
      <c r="N100"/>
      <c r="O100"/>
      <c r="P100"/>
      <c r="Q100"/>
    </row>
    <row r="101" spans="1:17" ht="15" hidden="1" x14ac:dyDescent="0.25">
      <c r="A101" s="78"/>
      <c r="M101"/>
      <c r="N101"/>
      <c r="O101"/>
      <c r="P101"/>
      <c r="Q101"/>
    </row>
    <row r="102" spans="1:17" ht="15" hidden="1" x14ac:dyDescent="0.25">
      <c r="A102" s="78"/>
      <c r="M102"/>
      <c r="N102"/>
      <c r="O102"/>
      <c r="P102"/>
      <c r="Q102"/>
    </row>
    <row r="103" spans="1:17" ht="15" hidden="1" x14ac:dyDescent="0.25">
      <c r="A103" s="80"/>
      <c r="M103"/>
      <c r="N103"/>
      <c r="O103"/>
      <c r="P103"/>
      <c r="Q103"/>
    </row>
    <row r="104" spans="1:17" ht="15" hidden="1" x14ac:dyDescent="0.25">
      <c r="A104" s="80"/>
      <c r="M104"/>
      <c r="N104"/>
      <c r="O104"/>
      <c r="P104"/>
      <c r="Q104"/>
    </row>
    <row r="105" spans="1:17" ht="15" hidden="1" x14ac:dyDescent="0.25">
      <c r="A105" s="80"/>
      <c r="M105"/>
      <c r="N105"/>
      <c r="O105"/>
      <c r="P105"/>
      <c r="Q105"/>
    </row>
    <row r="106" spans="1:17" ht="15" hidden="1" x14ac:dyDescent="0.25">
      <c r="A106" s="80"/>
      <c r="M106"/>
      <c r="N106"/>
      <c r="O106"/>
      <c r="P106"/>
      <c r="Q106"/>
    </row>
    <row r="107" spans="1:17" ht="15" hidden="1" x14ac:dyDescent="0.25">
      <c r="A107" s="80"/>
      <c r="M107"/>
      <c r="N107"/>
      <c r="O107"/>
      <c r="P107"/>
      <c r="Q107"/>
    </row>
    <row r="108" spans="1:17" ht="15" hidden="1" x14ac:dyDescent="0.25">
      <c r="A108" s="80"/>
      <c r="M108"/>
      <c r="N108"/>
      <c r="O108"/>
      <c r="P108"/>
      <c r="Q108"/>
    </row>
    <row r="109" spans="1:17" ht="15" hidden="1" x14ac:dyDescent="0.25">
      <c r="A109" s="80"/>
      <c r="M109"/>
      <c r="N109"/>
      <c r="O109"/>
      <c r="P109"/>
      <c r="Q109"/>
    </row>
    <row r="110" spans="1:17" ht="15" hidden="1" x14ac:dyDescent="0.25">
      <c r="A110" s="80"/>
      <c r="M110"/>
      <c r="N110"/>
      <c r="O110"/>
      <c r="P110"/>
      <c r="Q110"/>
    </row>
    <row r="111" spans="1:17" ht="15" hidden="1" x14ac:dyDescent="0.25">
      <c r="A111" s="78"/>
      <c r="M111"/>
      <c r="N111"/>
      <c r="O111"/>
      <c r="P111"/>
      <c r="Q111"/>
    </row>
    <row r="112" spans="1:17" ht="15" hidden="1" x14ac:dyDescent="0.25">
      <c r="A112" s="79"/>
      <c r="M112"/>
      <c r="N112"/>
      <c r="O112"/>
      <c r="P112"/>
      <c r="Q112"/>
    </row>
    <row r="113" spans="1:17" ht="15" hidden="1" x14ac:dyDescent="0.25">
      <c r="A113" s="78"/>
      <c r="M113"/>
      <c r="N113"/>
      <c r="O113"/>
      <c r="P113"/>
      <c r="Q113"/>
    </row>
    <row r="114" spans="1:17" ht="15" hidden="1" x14ac:dyDescent="0.25">
      <c r="A114" s="78"/>
      <c r="M114"/>
      <c r="N114"/>
      <c r="O114"/>
      <c r="P114"/>
      <c r="Q114"/>
    </row>
    <row r="115" spans="1:17" ht="15" hidden="1" x14ac:dyDescent="0.25">
      <c r="A115" s="80"/>
      <c r="M115"/>
      <c r="N115"/>
      <c r="O115"/>
      <c r="P115"/>
      <c r="Q115"/>
    </row>
    <row r="116" spans="1:17" ht="15" hidden="1" x14ac:dyDescent="0.25">
      <c r="A116" s="80"/>
      <c r="M116"/>
      <c r="N116"/>
      <c r="O116"/>
      <c r="P116"/>
      <c r="Q116"/>
    </row>
    <row r="117" spans="1:17" ht="15" hidden="1" x14ac:dyDescent="0.25">
      <c r="A117" s="80"/>
      <c r="M117"/>
      <c r="N117"/>
      <c r="O117"/>
      <c r="P117"/>
      <c r="Q117"/>
    </row>
    <row r="118" spans="1:17" ht="15" hidden="1" x14ac:dyDescent="0.25">
      <c r="A118" s="80"/>
      <c r="M118"/>
      <c r="N118"/>
      <c r="O118"/>
      <c r="P118"/>
      <c r="Q118"/>
    </row>
    <row r="119" spans="1:17" ht="15" hidden="1" x14ac:dyDescent="0.25">
      <c r="A119"/>
      <c r="M119"/>
      <c r="N119"/>
      <c r="O119"/>
      <c r="P119"/>
      <c r="Q119"/>
    </row>
    <row r="120" spans="1:17" ht="15" hidden="1" x14ac:dyDescent="0.25">
      <c r="M120"/>
      <c r="N120"/>
      <c r="O120"/>
      <c r="P120"/>
      <c r="Q120"/>
    </row>
    <row r="124" spans="1:17" ht="15" x14ac:dyDescent="0.25">
      <c r="A124" s="78"/>
      <c r="M124"/>
      <c r="N124"/>
      <c r="O124"/>
      <c r="P124"/>
      <c r="Q124"/>
    </row>
    <row r="125" spans="1:17" ht="15" x14ac:dyDescent="0.2">
      <c r="A125" s="78"/>
    </row>
    <row r="126" spans="1:17" x14ac:dyDescent="0.2"/>
  </sheetData>
  <mergeCells count="5">
    <mergeCell ref="J50:J55"/>
    <mergeCell ref="A1:G1"/>
    <mergeCell ref="A48:J48"/>
    <mergeCell ref="A6:G6"/>
    <mergeCell ref="E2:F2"/>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G16"/>
  <sheetViews>
    <sheetView zoomScale="90" zoomScaleNormal="90" workbookViewId="0">
      <selection sqref="A1:G1"/>
    </sheetView>
  </sheetViews>
  <sheetFormatPr defaultColWidth="8.7109375" defaultRowHeight="12.75" x14ac:dyDescent="0.2"/>
  <cols>
    <col min="1" max="1" width="49.7109375" style="6" bestFit="1" customWidth="1"/>
    <col min="2" max="2" width="21.42578125" style="6" bestFit="1" customWidth="1"/>
    <col min="3" max="3" width="26.5703125" style="6" customWidth="1"/>
    <col min="4" max="4" width="30.140625" style="6" customWidth="1"/>
    <col min="5" max="5" width="18.28515625" style="6" customWidth="1"/>
    <col min="6" max="6" width="28.42578125" style="6" customWidth="1"/>
    <col min="7" max="7" width="30" style="6" customWidth="1"/>
    <col min="8" max="8" width="10.5703125" style="6" customWidth="1"/>
    <col min="9" max="9" width="11.42578125" style="6" customWidth="1"/>
    <col min="10" max="16384" width="8.7109375" style="6"/>
  </cols>
  <sheetData>
    <row r="1" spans="1:7" ht="25.9" customHeight="1" x14ac:dyDescent="0.2">
      <c r="A1" s="367" t="str">
        <f>"Interior Lighting - "&amp;Prototype!A2</f>
        <v>Interior Lighting - SchoolK-8</v>
      </c>
      <c r="B1" s="367"/>
      <c r="C1" s="367"/>
      <c r="D1" s="367"/>
      <c r="E1" s="367"/>
      <c r="F1" s="367"/>
      <c r="G1" s="367"/>
    </row>
    <row r="2" spans="1:7" ht="25.9" customHeight="1" x14ac:dyDescent="0.2">
      <c r="A2" s="407" t="s">
        <v>63</v>
      </c>
      <c r="B2" s="364" t="s">
        <v>394</v>
      </c>
      <c r="C2" s="364"/>
      <c r="D2" s="364"/>
      <c r="E2" s="364" t="s">
        <v>315</v>
      </c>
      <c r="F2" s="364"/>
      <c r="G2" s="364"/>
    </row>
    <row r="3" spans="1:7" ht="43.15" customHeight="1" x14ac:dyDescent="0.2">
      <c r="A3" s="407"/>
      <c r="B3" s="336" t="s">
        <v>395</v>
      </c>
      <c r="C3" s="336" t="s">
        <v>396</v>
      </c>
      <c r="D3" s="342" t="s">
        <v>279</v>
      </c>
      <c r="E3" s="336" t="s">
        <v>397</v>
      </c>
      <c r="F3" s="336" t="s">
        <v>398</v>
      </c>
      <c r="G3" s="336" t="s">
        <v>279</v>
      </c>
    </row>
    <row r="4" spans="1:7" ht="27" customHeight="1" x14ac:dyDescent="0.2">
      <c r="A4" s="150" t="str">
        <f>Zones!A3</f>
        <v>Lounge, Breakroom, or Waiting Area</v>
      </c>
      <c r="B4" s="93">
        <v>0.55000000000000004</v>
      </c>
      <c r="C4" s="67"/>
      <c r="D4" s="408" t="s">
        <v>399</v>
      </c>
      <c r="E4" s="93">
        <v>0.9</v>
      </c>
      <c r="F4" s="67"/>
      <c r="G4" s="408" t="s">
        <v>400</v>
      </c>
    </row>
    <row r="5" spans="1:7" ht="24" customHeight="1" x14ac:dyDescent="0.2">
      <c r="A5" s="150" t="str">
        <f>Zones!A4</f>
        <v>Convention, Conference, Multipurpose and Meeting Area</v>
      </c>
      <c r="B5" s="93">
        <v>0.75</v>
      </c>
      <c r="C5" s="67"/>
      <c r="D5" s="409"/>
      <c r="E5" s="93">
        <v>1.2</v>
      </c>
      <c r="F5" s="67"/>
      <c r="G5" s="409"/>
    </row>
    <row r="6" spans="1:7" ht="22.9" customHeight="1" x14ac:dyDescent="0.2">
      <c r="A6" s="150" t="str">
        <f>Zones!A5</f>
        <v>Corridor Area</v>
      </c>
      <c r="B6" s="93">
        <v>0.4</v>
      </c>
      <c r="C6" s="170"/>
      <c r="D6" s="409"/>
      <c r="E6" s="93">
        <v>0.6</v>
      </c>
      <c r="F6" s="171"/>
      <c r="G6" s="409"/>
    </row>
    <row r="7" spans="1:7" ht="21" customHeight="1" x14ac:dyDescent="0.2">
      <c r="A7" s="150" t="str">
        <f>Zones!A6</f>
        <v>Electrical, Mechanical, Telephone Rooms</v>
      </c>
      <c r="B7" s="93">
        <v>0.4</v>
      </c>
      <c r="C7" s="170"/>
      <c r="D7" s="409"/>
      <c r="E7" s="93">
        <v>0.55000000000000004</v>
      </c>
      <c r="F7" s="171"/>
      <c r="G7" s="409"/>
    </row>
    <row r="8" spans="1:7" ht="27" customHeight="1" x14ac:dyDescent="0.2">
      <c r="A8" s="150" t="str">
        <f>Zones!A8</f>
        <v>Kitchen/Food Preparation Area</v>
      </c>
      <c r="B8" s="93">
        <v>0.95</v>
      </c>
      <c r="C8" s="340"/>
      <c r="D8" s="409"/>
      <c r="E8" s="93">
        <v>1.2</v>
      </c>
      <c r="F8" s="139"/>
      <c r="G8" s="409"/>
    </row>
    <row r="9" spans="1:7" s="7" customFormat="1" ht="27" customHeight="1" x14ac:dyDescent="0.2">
      <c r="A9" s="150" t="str">
        <f>Zones!A9</f>
        <v>Lobby, Main Entry</v>
      </c>
      <c r="B9" s="93">
        <v>0.7</v>
      </c>
      <c r="C9" s="185"/>
      <c r="D9" s="409"/>
      <c r="E9" s="93">
        <v>0.95</v>
      </c>
      <c r="F9" s="184"/>
      <c r="G9" s="409"/>
    </row>
    <row r="10" spans="1:7" ht="27" customHeight="1" x14ac:dyDescent="0.2">
      <c r="A10" s="150" t="str">
        <f>Zones!A12</f>
        <v>Restrooms</v>
      </c>
      <c r="B10" s="93">
        <v>0.65</v>
      </c>
      <c r="C10" s="91"/>
      <c r="D10" s="409"/>
      <c r="E10" s="93">
        <v>0.6</v>
      </c>
      <c r="F10" s="91"/>
      <c r="G10" s="409"/>
    </row>
    <row r="11" spans="1:7" ht="27" customHeight="1" x14ac:dyDescent="0.2">
      <c r="A11" s="150" t="str">
        <f>Zones!A13</f>
        <v>Storage (General)</v>
      </c>
      <c r="B11" s="93">
        <v>0.4</v>
      </c>
      <c r="C11" s="91"/>
      <c r="D11" s="409"/>
      <c r="E11" s="93">
        <v>0.6</v>
      </c>
      <c r="F11" s="91"/>
      <c r="G11" s="409"/>
    </row>
    <row r="12" spans="1:7" ht="27" customHeight="1" x14ac:dyDescent="0.2">
      <c r="A12" s="150" t="str">
        <f>Zones!A14</f>
        <v>Storage, Commercial/Industrial (Refrigerated)</v>
      </c>
      <c r="B12" s="93">
        <v>0.4</v>
      </c>
      <c r="C12" s="91"/>
      <c r="D12" s="409"/>
      <c r="E12" s="93">
        <v>0.7</v>
      </c>
      <c r="F12" s="91"/>
      <c r="G12" s="409"/>
    </row>
    <row r="13" spans="1:7" ht="27" customHeight="1" x14ac:dyDescent="0.2">
      <c r="A13" s="150" t="str">
        <f>Zones!A15</f>
        <v>Theater Area (Performance)</v>
      </c>
      <c r="B13" s="93">
        <v>0.8</v>
      </c>
      <c r="C13" s="91"/>
      <c r="D13" s="409"/>
      <c r="E13" s="93">
        <v>1.4</v>
      </c>
      <c r="F13" s="91"/>
      <c r="G13" s="409"/>
    </row>
    <row r="14" spans="1:7" ht="27" customHeight="1" x14ac:dyDescent="0.2">
      <c r="A14" s="150" t="str">
        <f>Zones!A16</f>
        <v>Classroom, Lecture, Training, Vocational Areas</v>
      </c>
      <c r="B14" s="93">
        <v>0.6</v>
      </c>
      <c r="C14" s="91"/>
      <c r="D14" s="409"/>
      <c r="E14" s="93">
        <v>1.2</v>
      </c>
      <c r="F14" s="91"/>
      <c r="G14" s="409"/>
    </row>
    <row r="15" spans="1:7" ht="27" customHeight="1" x14ac:dyDescent="0.2">
      <c r="A15" s="150" t="str">
        <f>Zones!A22</f>
        <v>Office Area (&lt;250 square feet)</v>
      </c>
      <c r="B15" s="93">
        <v>0.65</v>
      </c>
      <c r="C15" s="91"/>
      <c r="D15" s="409"/>
      <c r="E15" s="93">
        <v>1</v>
      </c>
      <c r="F15" s="91"/>
      <c r="G15" s="409"/>
    </row>
    <row r="16" spans="1:7" ht="27" customHeight="1" x14ac:dyDescent="0.2">
      <c r="A16" s="150" t="str">
        <f>Zones!A27</f>
        <v>Library (Reading Area)</v>
      </c>
      <c r="B16" s="93">
        <v>0.8</v>
      </c>
      <c r="C16" s="91"/>
      <c r="D16" s="410"/>
      <c r="E16" s="93">
        <v>1.1000000000000001</v>
      </c>
      <c r="F16" s="91"/>
      <c r="G16" s="410"/>
    </row>
  </sheetData>
  <autoFilter ref="A2:G16" xr:uid="{B6F6AAB3-37D4-40C4-AD32-87DEB55DC747}">
    <filterColumn colId="1" showButton="0"/>
    <filterColumn colId="2" showButton="0"/>
    <filterColumn colId="4" showButton="0"/>
    <filterColumn colId="5" showButton="0"/>
  </autoFilter>
  <mergeCells count="6">
    <mergeCell ref="A1:G1"/>
    <mergeCell ref="A2:A3"/>
    <mergeCell ref="B2:D2"/>
    <mergeCell ref="E2:G2"/>
    <mergeCell ref="D4:D16"/>
    <mergeCell ref="G4:G16"/>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J26"/>
  <sheetViews>
    <sheetView zoomScale="90" zoomScaleNormal="90" workbookViewId="0">
      <selection sqref="A1:E1"/>
    </sheetView>
  </sheetViews>
  <sheetFormatPr defaultColWidth="8.7109375" defaultRowHeight="12.75" x14ac:dyDescent="0.2"/>
  <cols>
    <col min="1" max="1" width="51.140625" style="6" bestFit="1" customWidth="1"/>
    <col min="2" max="2" width="23.5703125" style="6" customWidth="1"/>
    <col min="3" max="3" width="18.42578125" style="6" bestFit="1" customWidth="1"/>
    <col min="4" max="4" width="23.28515625" style="6" customWidth="1"/>
    <col min="5" max="5" width="59.5703125" style="6" customWidth="1"/>
    <col min="6" max="6" width="18.28515625" style="6" customWidth="1"/>
    <col min="7" max="7" width="21.42578125" style="6" customWidth="1"/>
    <col min="8" max="8" width="33.85546875" style="6" bestFit="1" customWidth="1"/>
    <col min="9" max="9" width="10.7109375" style="6" bestFit="1" customWidth="1"/>
    <col min="10" max="10" width="10.5703125" style="6" bestFit="1" customWidth="1"/>
    <col min="11" max="16384" width="8.7109375" style="6"/>
  </cols>
  <sheetData>
    <row r="1" spans="1:5" ht="23.45" customHeight="1" x14ac:dyDescent="0.2">
      <c r="A1" s="411" t="str">
        <f>"Equipment - "&amp;Prototype!A2</f>
        <v>Equipment - SchoolK-8</v>
      </c>
      <c r="B1" s="412"/>
      <c r="C1" s="412"/>
      <c r="D1" s="412"/>
      <c r="E1" s="412"/>
    </row>
    <row r="2" spans="1:5" ht="40.9" customHeight="1" x14ac:dyDescent="0.2">
      <c r="A2" s="342" t="s">
        <v>63</v>
      </c>
      <c r="B2" s="336" t="s">
        <v>401</v>
      </c>
      <c r="C2" s="336" t="s">
        <v>402</v>
      </c>
      <c r="D2" s="336" t="s">
        <v>403</v>
      </c>
      <c r="E2" s="347" t="s">
        <v>279</v>
      </c>
    </row>
    <row r="3" spans="1:5" ht="20.45" customHeight="1" x14ac:dyDescent="0.2">
      <c r="A3" s="149" t="str">
        <f>Zones!A3</f>
        <v>Lounge, Breakroom, or Waiting Area</v>
      </c>
      <c r="B3" s="218">
        <v>1</v>
      </c>
      <c r="C3" s="218">
        <v>0</v>
      </c>
      <c r="D3" s="219">
        <v>0</v>
      </c>
      <c r="E3" s="365" t="s">
        <v>404</v>
      </c>
    </row>
    <row r="4" spans="1:5" ht="20.45" customHeight="1" x14ac:dyDescent="0.2">
      <c r="A4" s="149" t="str">
        <f>Zones!A4</f>
        <v>Convention, Conference, Multipurpose and Meeting Area</v>
      </c>
      <c r="B4" s="218">
        <v>1</v>
      </c>
      <c r="C4" s="218">
        <v>0</v>
      </c>
      <c r="D4" s="219">
        <v>0</v>
      </c>
      <c r="E4" s="365"/>
    </row>
    <row r="5" spans="1:5" ht="20.45" customHeight="1" x14ac:dyDescent="0.2">
      <c r="A5" s="149" t="str">
        <f>Zones!A5</f>
        <v>Corridor Area</v>
      </c>
      <c r="B5" s="218">
        <v>0</v>
      </c>
      <c r="C5" s="218">
        <v>0</v>
      </c>
      <c r="D5" s="219">
        <v>0</v>
      </c>
      <c r="E5" s="365"/>
    </row>
    <row r="6" spans="1:5" ht="20.45" customHeight="1" x14ac:dyDescent="0.2">
      <c r="A6" s="149" t="str">
        <f>Zones!A6</f>
        <v>Electrical, Mechanical, Telephone Rooms</v>
      </c>
      <c r="B6" s="218">
        <v>3</v>
      </c>
      <c r="C6" s="218">
        <v>0</v>
      </c>
      <c r="D6" s="219">
        <v>0</v>
      </c>
      <c r="E6" s="365"/>
    </row>
    <row r="7" spans="1:5" ht="20.45" customHeight="1" x14ac:dyDescent="0.2">
      <c r="A7" s="149" t="str">
        <f>Zones!A8</f>
        <v>Kitchen/Food Preparation Area</v>
      </c>
      <c r="B7" s="218">
        <v>1.5</v>
      </c>
      <c r="C7" s="218">
        <v>17.537679999999998</v>
      </c>
      <c r="D7" s="219">
        <v>1.1200000000000001</v>
      </c>
      <c r="E7" s="214" t="s">
        <v>405</v>
      </c>
    </row>
    <row r="8" spans="1:5" ht="20.45" customHeight="1" x14ac:dyDescent="0.2">
      <c r="A8" s="149" t="str">
        <f>Zones!A9</f>
        <v>Lobby, Main Entry</v>
      </c>
      <c r="B8" s="218">
        <v>0.5</v>
      </c>
      <c r="C8" s="218">
        <v>0</v>
      </c>
      <c r="D8" s="219">
        <v>0</v>
      </c>
      <c r="E8" s="337" t="s">
        <v>404</v>
      </c>
    </row>
    <row r="9" spans="1:5" ht="20.45" customHeight="1" x14ac:dyDescent="0.2">
      <c r="A9" s="149" t="str">
        <f>Zones!A11</f>
        <v>Office Area (&lt;250 square feet)</v>
      </c>
      <c r="B9" s="218">
        <v>0.7</v>
      </c>
      <c r="C9" s="218">
        <v>0</v>
      </c>
      <c r="D9" s="219">
        <v>0</v>
      </c>
      <c r="E9" s="214" t="s">
        <v>405</v>
      </c>
    </row>
    <row r="10" spans="1:5" ht="20.45" customHeight="1" x14ac:dyDescent="0.2">
      <c r="A10" s="149" t="str">
        <f>Zones!A12</f>
        <v>Restrooms</v>
      </c>
      <c r="B10" s="218">
        <v>0</v>
      </c>
      <c r="C10" s="218">
        <v>0</v>
      </c>
      <c r="D10" s="219">
        <v>0</v>
      </c>
      <c r="E10" s="365" t="s">
        <v>404</v>
      </c>
    </row>
    <row r="11" spans="1:5" ht="20.45" customHeight="1" x14ac:dyDescent="0.2">
      <c r="A11" s="149" t="str">
        <f>Zones!A13</f>
        <v>Storage (General)</v>
      </c>
      <c r="B11" s="218">
        <v>0.2</v>
      </c>
      <c r="C11" s="218">
        <v>0</v>
      </c>
      <c r="D11" s="219">
        <v>0</v>
      </c>
      <c r="E11" s="365"/>
    </row>
    <row r="12" spans="1:5" ht="20.45" customHeight="1" x14ac:dyDescent="0.2">
      <c r="A12" s="149" t="str">
        <f>Zones!A14</f>
        <v>Storage, Commercial/Industrial (Refrigerated)</v>
      </c>
      <c r="B12" s="218">
        <v>0.2</v>
      </c>
      <c r="C12" s="218">
        <v>0</v>
      </c>
      <c r="D12" s="219">
        <v>10</v>
      </c>
      <c r="E12" s="365"/>
    </row>
    <row r="13" spans="1:5" ht="20.45" customHeight="1" x14ac:dyDescent="0.2">
      <c r="A13" s="149" t="str">
        <f>Zones!A15</f>
        <v>Theater Area (Performance)</v>
      </c>
      <c r="B13" s="218">
        <v>0.5</v>
      </c>
      <c r="C13" s="218">
        <v>0</v>
      </c>
      <c r="D13" s="219">
        <v>0</v>
      </c>
      <c r="E13" s="365"/>
    </row>
    <row r="14" spans="1:5" ht="20.45" customHeight="1" x14ac:dyDescent="0.2">
      <c r="A14" s="149" t="str">
        <f>Zones!A16</f>
        <v>Classroom, Lecture, Training, Vocational Areas</v>
      </c>
      <c r="B14" s="218">
        <v>0.8</v>
      </c>
      <c r="C14" s="218">
        <v>0</v>
      </c>
      <c r="D14" s="219">
        <v>0</v>
      </c>
      <c r="E14" s="214" t="s">
        <v>405</v>
      </c>
    </row>
    <row r="15" spans="1:5" ht="20.45" customHeight="1" x14ac:dyDescent="0.2">
      <c r="A15" s="149" t="str">
        <f>Zones!A27</f>
        <v>Library (Reading Area)</v>
      </c>
      <c r="B15" s="218">
        <v>1.5</v>
      </c>
      <c r="C15" s="218">
        <v>0</v>
      </c>
      <c r="D15" s="219">
        <v>0</v>
      </c>
      <c r="E15" s="337"/>
    </row>
    <row r="16" spans="1:5" ht="15" customHeight="1" x14ac:dyDescent="0.2">
      <c r="A16" s="186"/>
    </row>
    <row r="17" spans="1:10" ht="18" customHeight="1" x14ac:dyDescent="0.2">
      <c r="A17" s="363" t="s">
        <v>406</v>
      </c>
      <c r="B17" s="363"/>
      <c r="C17" s="363"/>
      <c r="D17" s="363"/>
      <c r="E17" s="8"/>
      <c r="F17" s="8"/>
      <c r="G17" s="210"/>
    </row>
    <row r="18" spans="1:10" ht="18" customHeight="1" x14ac:dyDescent="0.2">
      <c r="A18" s="342" t="s">
        <v>39</v>
      </c>
      <c r="B18" s="342" t="s">
        <v>407</v>
      </c>
      <c r="C18" s="342" t="s">
        <v>408</v>
      </c>
      <c r="D18" s="342" t="s">
        <v>279</v>
      </c>
      <c r="E18" s="202"/>
      <c r="F18" s="8"/>
      <c r="G18" s="210"/>
    </row>
    <row r="19" spans="1:10" ht="43.9" customHeight="1" x14ac:dyDescent="0.2">
      <c r="A19" s="337" t="s">
        <v>409</v>
      </c>
      <c r="B19" s="339">
        <f>ROUND((7876*0.7/50000)+ROUND(2/2,0),0)</f>
        <v>1</v>
      </c>
      <c r="C19" s="41">
        <f>C24*1000</f>
        <v>60000</v>
      </c>
      <c r="D19" s="337" t="s">
        <v>410</v>
      </c>
      <c r="F19" s="413" t="s">
        <v>411</v>
      </c>
      <c r="G19" s="413"/>
      <c r="H19" s="413"/>
      <c r="I19" s="413"/>
      <c r="J19" s="413"/>
    </row>
    <row r="20" spans="1:10" x14ac:dyDescent="0.2">
      <c r="A20" s="9"/>
      <c r="B20" s="346"/>
      <c r="C20" s="54"/>
      <c r="D20" s="232"/>
      <c r="F20" s="413"/>
      <c r="G20" s="413"/>
      <c r="H20" s="413"/>
      <c r="I20" s="413"/>
      <c r="J20" s="413"/>
    </row>
    <row r="21" spans="1:10" x14ac:dyDescent="0.2">
      <c r="A21" s="354" t="s">
        <v>412</v>
      </c>
      <c r="B21" s="354"/>
      <c r="C21" s="354"/>
      <c r="D21" s="354"/>
      <c r="E21" s="354"/>
      <c r="F21" s="413"/>
      <c r="G21" s="413"/>
      <c r="H21" s="413"/>
      <c r="I21" s="413"/>
      <c r="J21" s="413"/>
    </row>
    <row r="22" spans="1:10" x14ac:dyDescent="0.2">
      <c r="A22" s="353" t="s">
        <v>413</v>
      </c>
      <c r="B22" s="353"/>
      <c r="C22" s="353"/>
      <c r="D22" s="353"/>
      <c r="E22" s="353"/>
      <c r="F22" s="8"/>
      <c r="G22" s="210"/>
    </row>
    <row r="23" spans="1:10" x14ac:dyDescent="0.2">
      <c r="A23" s="353" t="s">
        <v>414</v>
      </c>
      <c r="B23" s="353"/>
      <c r="C23" s="346">
        <f>ROUND((7876*0.7/50000)+ROUND(2/2,0),0)</f>
        <v>1</v>
      </c>
      <c r="D23" s="354"/>
      <c r="E23" s="354"/>
      <c r="F23" s="8"/>
      <c r="G23" s="210"/>
    </row>
    <row r="24" spans="1:10" x14ac:dyDescent="0.2">
      <c r="A24" s="353" t="s">
        <v>415</v>
      </c>
      <c r="B24" s="353"/>
      <c r="C24" s="346">
        <f>6*C25</f>
        <v>60</v>
      </c>
      <c r="D24" s="354"/>
      <c r="E24" s="354"/>
      <c r="F24" s="333"/>
      <c r="G24" s="210"/>
    </row>
    <row r="25" spans="1:10" x14ac:dyDescent="0.2">
      <c r="A25" s="353" t="s">
        <v>416</v>
      </c>
      <c r="B25" s="353"/>
      <c r="C25" s="346">
        <v>10</v>
      </c>
      <c r="D25" s="354"/>
      <c r="E25" s="354"/>
      <c r="F25" s="8"/>
      <c r="G25" s="210"/>
    </row>
    <row r="26" spans="1:10" x14ac:dyDescent="0.2">
      <c r="A26" s="352" t="s">
        <v>417</v>
      </c>
      <c r="B26" s="352"/>
      <c r="C26" s="352"/>
      <c r="D26" s="352"/>
      <c r="E26" s="352"/>
      <c r="F26" s="8"/>
      <c r="G26" s="210"/>
    </row>
  </sheetData>
  <autoFilter ref="A2:E15" xr:uid="{84519C81-B0B9-4AE9-9154-3628732CA590}"/>
  <mergeCells count="14">
    <mergeCell ref="A1:E1"/>
    <mergeCell ref="E3:E6"/>
    <mergeCell ref="E10:E13"/>
    <mergeCell ref="F19:J21"/>
    <mergeCell ref="A21:E21"/>
    <mergeCell ref="A17:D17"/>
    <mergeCell ref="A25:B25"/>
    <mergeCell ref="D25:E25"/>
    <mergeCell ref="A26:E26"/>
    <mergeCell ref="A22:E22"/>
    <mergeCell ref="A23:B23"/>
    <mergeCell ref="D23:E23"/>
    <mergeCell ref="A24:B24"/>
    <mergeCell ref="D24:E24"/>
  </mergeCells>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I26"/>
  <sheetViews>
    <sheetView zoomScale="85" zoomScaleNormal="85" workbookViewId="0">
      <selection sqref="A1:D1"/>
    </sheetView>
  </sheetViews>
  <sheetFormatPr defaultColWidth="8.7109375" defaultRowHeight="12.75" x14ac:dyDescent="0.2"/>
  <cols>
    <col min="1" max="1" width="32" style="6" customWidth="1"/>
    <col min="2" max="2" width="30.28515625" style="6" customWidth="1"/>
    <col min="3" max="3" width="21.28515625" style="6" customWidth="1"/>
    <col min="4" max="4" width="36.28515625" style="6" customWidth="1"/>
    <col min="5" max="5" width="38.85546875" style="6" customWidth="1"/>
    <col min="6" max="6" width="17.140625" style="6" customWidth="1"/>
    <col min="7" max="7" width="17.5703125" style="6" customWidth="1"/>
    <col min="8" max="8" width="15.5703125" style="6" customWidth="1"/>
    <col min="9" max="9" width="13.28515625" style="6" customWidth="1"/>
    <col min="10" max="16384" width="8.7109375" style="6"/>
  </cols>
  <sheetData>
    <row r="1" spans="1:7" ht="25.15" customHeight="1" x14ac:dyDescent="0.2">
      <c r="A1" s="414" t="str">
        <f>"Exterior Lighting - "&amp;Prototype!A2</f>
        <v>Exterior Lighting - SchoolK-8</v>
      </c>
      <c r="B1" s="414"/>
      <c r="C1" s="414"/>
      <c r="D1" s="414"/>
    </row>
    <row r="2" spans="1:7" ht="37.15" customHeight="1" x14ac:dyDescent="0.2">
      <c r="A2" s="344" t="s">
        <v>418</v>
      </c>
      <c r="B2" s="344" t="s">
        <v>419</v>
      </c>
      <c r="C2" s="344" t="s">
        <v>420</v>
      </c>
      <c r="D2" s="344" t="s">
        <v>279</v>
      </c>
    </row>
    <row r="3" spans="1:7" ht="45.6" customHeight="1" x14ac:dyDescent="0.2">
      <c r="A3" s="41">
        <f>G14</f>
        <v>717.64233253012048</v>
      </c>
      <c r="B3" s="41">
        <f>G15</f>
        <v>9012.8415520000017</v>
      </c>
      <c r="C3" s="41">
        <f>A3+B3</f>
        <v>9730.4838845301219</v>
      </c>
      <c r="D3" s="337" t="s">
        <v>421</v>
      </c>
      <c r="E3" s="82"/>
    </row>
    <row r="4" spans="1:7" ht="22.15" customHeight="1" x14ac:dyDescent="0.2">
      <c r="A4" s="54"/>
      <c r="B4" s="54"/>
      <c r="C4" s="54"/>
    </row>
    <row r="5" spans="1:7" ht="15" x14ac:dyDescent="0.25">
      <c r="A5"/>
      <c r="C5" s="103"/>
      <c r="E5" s="104"/>
    </row>
    <row r="6" spans="1:7" ht="15" x14ac:dyDescent="0.25">
      <c r="A6"/>
      <c r="C6" s="103"/>
      <c r="E6" s="104"/>
    </row>
    <row r="7" spans="1:7" ht="15.75" x14ac:dyDescent="0.2">
      <c r="A7" s="414" t="str">
        <f>"Exterior Lighting"</f>
        <v>Exterior Lighting</v>
      </c>
      <c r="B7" s="414"/>
      <c r="C7" s="414"/>
      <c r="D7" s="414"/>
      <c r="E7" s="414"/>
      <c r="F7" s="414"/>
      <c r="G7" s="414"/>
    </row>
    <row r="8" spans="1:7" ht="51.6" customHeight="1" x14ac:dyDescent="0.2">
      <c r="A8" s="164" t="s">
        <v>422</v>
      </c>
      <c r="B8" s="415" t="s">
        <v>423</v>
      </c>
      <c r="C8" s="415"/>
      <c r="D8" s="344" t="s">
        <v>367</v>
      </c>
      <c r="E8" s="344" t="s">
        <v>424</v>
      </c>
      <c r="F8" s="344" t="s">
        <v>367</v>
      </c>
      <c r="G8" s="344" t="s">
        <v>425</v>
      </c>
    </row>
    <row r="9" spans="1:7" ht="21" customHeight="1" x14ac:dyDescent="0.2">
      <c r="A9" s="16" t="s">
        <v>426</v>
      </c>
      <c r="B9" s="16"/>
      <c r="C9" s="105"/>
      <c r="D9" s="339"/>
      <c r="E9" s="339">
        <v>200</v>
      </c>
      <c r="F9" s="345" t="s">
        <v>427</v>
      </c>
      <c r="G9" s="165">
        <f>$E9</f>
        <v>200</v>
      </c>
    </row>
    <row r="10" spans="1:7" ht="38.25" x14ac:dyDescent="0.2">
      <c r="A10" s="16" t="s">
        <v>428</v>
      </c>
      <c r="B10" s="17" t="s">
        <v>429</v>
      </c>
      <c r="C10" s="106">
        <f>B25/830*400</f>
        <v>24086.438554216867</v>
      </c>
      <c r="D10" s="339" t="s">
        <v>430</v>
      </c>
      <c r="E10" s="339">
        <v>1.9E-2</v>
      </c>
      <c r="F10" s="345" t="s">
        <v>431</v>
      </c>
      <c r="G10" s="165">
        <f t="shared" ref="G10:G13" si="0">E10*C10</f>
        <v>457.64233253012048</v>
      </c>
    </row>
    <row r="11" spans="1:7" ht="25.5" x14ac:dyDescent="0.2">
      <c r="A11" s="16" t="s">
        <v>432</v>
      </c>
      <c r="B11" s="17" t="s">
        <v>433</v>
      </c>
      <c r="C11" s="105">
        <v>4</v>
      </c>
      <c r="D11" s="339" t="s">
        <v>434</v>
      </c>
      <c r="E11" s="339">
        <v>15</v>
      </c>
      <c r="F11" s="345" t="s">
        <v>435</v>
      </c>
      <c r="G11" s="165">
        <f t="shared" si="0"/>
        <v>60</v>
      </c>
    </row>
    <row r="12" spans="1:7" ht="39.6" customHeight="1" x14ac:dyDescent="0.2">
      <c r="A12" s="16" t="s">
        <v>436</v>
      </c>
      <c r="B12" s="17" t="s">
        <v>437</v>
      </c>
      <c r="C12" s="109">
        <f>B25*0.1</f>
        <v>4997.9360000000006</v>
      </c>
      <c r="D12" s="339" t="s">
        <v>430</v>
      </c>
      <c r="E12" s="339">
        <v>7.0000000000000001E-3</v>
      </c>
      <c r="F12" s="345" t="s">
        <v>431</v>
      </c>
      <c r="G12" s="166">
        <f t="shared" si="0"/>
        <v>34.985552000000006</v>
      </c>
    </row>
    <row r="13" spans="1:7" ht="114.75" x14ac:dyDescent="0.2">
      <c r="A13" s="16" t="s">
        <v>438</v>
      </c>
      <c r="B13" s="17" t="s">
        <v>439</v>
      </c>
      <c r="C13" s="107">
        <f>0.5*4*(B20*B21+C20*C21+D20*D21+E20*E21)</f>
        <v>89778.560000000012</v>
      </c>
      <c r="D13" s="339" t="s">
        <v>430</v>
      </c>
      <c r="E13" s="339">
        <v>0.1</v>
      </c>
      <c r="F13" s="345" t="s">
        <v>431</v>
      </c>
      <c r="G13" s="166">
        <f t="shared" si="0"/>
        <v>8977.8560000000016</v>
      </c>
    </row>
    <row r="14" spans="1:7" x14ac:dyDescent="0.2">
      <c r="A14" s="16" t="s">
        <v>418</v>
      </c>
      <c r="B14" s="16"/>
      <c r="C14" s="105"/>
      <c r="D14" s="339"/>
      <c r="E14" s="339"/>
      <c r="F14" s="339"/>
      <c r="G14" s="166">
        <f>G10+G9+G11</f>
        <v>717.64233253012048</v>
      </c>
    </row>
    <row r="15" spans="1:7" x14ac:dyDescent="0.2">
      <c r="A15" s="16" t="s">
        <v>440</v>
      </c>
      <c r="B15" s="16"/>
      <c r="C15" s="105"/>
      <c r="D15" s="339"/>
      <c r="E15" s="339"/>
      <c r="F15" s="339"/>
      <c r="G15" s="166">
        <f>G12+G13</f>
        <v>9012.8415520000017</v>
      </c>
    </row>
    <row r="16" spans="1:7" x14ac:dyDescent="0.2">
      <c r="A16" s="16" t="s">
        <v>360</v>
      </c>
      <c r="B16" s="16"/>
      <c r="C16" s="105"/>
      <c r="D16" s="339"/>
      <c r="E16" s="339"/>
      <c r="F16" s="339"/>
      <c r="G16" s="166">
        <f>G14+G15</f>
        <v>9730.4838845301219</v>
      </c>
    </row>
    <row r="19" spans="1:9" x14ac:dyDescent="0.2">
      <c r="B19" s="108" t="s">
        <v>441</v>
      </c>
      <c r="C19" s="6" t="s">
        <v>442</v>
      </c>
      <c r="D19" s="6" t="s">
        <v>443</v>
      </c>
      <c r="E19" s="6" t="s">
        <v>444</v>
      </c>
    </row>
    <row r="20" spans="1:9" x14ac:dyDescent="0.2">
      <c r="A20" s="6" t="s">
        <v>445</v>
      </c>
      <c r="B20" s="211">
        <f>(235.1+33.5)*2</f>
        <v>537.20000000000005</v>
      </c>
      <c r="C20" s="211">
        <f>(129.08+34.2)*2</f>
        <v>326.56000000000006</v>
      </c>
      <c r="D20" s="211">
        <f>(192+45)*2</f>
        <v>474</v>
      </c>
      <c r="E20" s="211">
        <f>(195.8+85.56)*2</f>
        <v>562.72</v>
      </c>
      <c r="F20" s="332"/>
    </row>
    <row r="21" spans="1:9" ht="27.75" customHeight="1" x14ac:dyDescent="0.2">
      <c r="A21" s="12" t="s">
        <v>446</v>
      </c>
      <c r="B21" s="332">
        <v>28</v>
      </c>
      <c r="C21" s="332">
        <v>28</v>
      </c>
      <c r="D21" s="332">
        <v>14</v>
      </c>
      <c r="E21" s="332">
        <v>25</v>
      </c>
      <c r="F21" s="332"/>
    </row>
    <row r="22" spans="1:9" x14ac:dyDescent="0.2">
      <c r="A22" s="12" t="s">
        <v>447</v>
      </c>
      <c r="B22" s="211">
        <v>7876</v>
      </c>
      <c r="C22" s="211">
        <v>4415</v>
      </c>
      <c r="D22" s="211">
        <v>8640</v>
      </c>
      <c r="E22" s="211">
        <v>16754</v>
      </c>
      <c r="F22" s="332"/>
    </row>
    <row r="23" spans="1:9" x14ac:dyDescent="0.2">
      <c r="A23" s="6" t="s">
        <v>448</v>
      </c>
      <c r="B23" s="6">
        <v>2</v>
      </c>
      <c r="C23" s="6">
        <v>2</v>
      </c>
      <c r="D23" s="6">
        <v>1</v>
      </c>
      <c r="E23" s="6">
        <v>1</v>
      </c>
    </row>
    <row r="24" spans="1:9" ht="15" x14ac:dyDescent="0.25">
      <c r="A24" s="341" t="s">
        <v>449</v>
      </c>
      <c r="B24" s="209">
        <f>SUM(B20:E20)</f>
        <v>1900.4800000000002</v>
      </c>
      <c r="C24" s="335"/>
      <c r="D24" s="207"/>
      <c r="E24" s="341"/>
      <c r="F24" s="208"/>
      <c r="G24" s="341"/>
      <c r="H24" s="341"/>
      <c r="I24" s="341"/>
    </row>
    <row r="25" spans="1:9" ht="15" x14ac:dyDescent="0.25">
      <c r="A25" s="341" t="s">
        <v>450</v>
      </c>
      <c r="B25" s="209">
        <f>Prototype!B8</f>
        <v>49979.360000000001</v>
      </c>
      <c r="C25" s="341"/>
      <c r="D25" s="207"/>
      <c r="E25" s="341"/>
      <c r="F25" s="208"/>
      <c r="G25" s="341"/>
      <c r="H25" s="341"/>
      <c r="I25" s="341"/>
    </row>
    <row r="26" spans="1:9" s="24" customFormat="1" ht="13.15" hidden="1" customHeight="1" x14ac:dyDescent="0.2">
      <c r="A26" s="24" t="s">
        <v>172</v>
      </c>
      <c r="E26" s="25"/>
      <c r="F26" s="26"/>
      <c r="G26" s="27"/>
    </row>
  </sheetData>
  <mergeCells count="3">
    <mergeCell ref="A7:G7"/>
    <mergeCell ref="B8:C8"/>
    <mergeCell ref="A1:D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2B4C-25C9-41C7-A8AC-09AC0F00160D}">
  <dimension ref="A1:AP140"/>
  <sheetViews>
    <sheetView zoomScale="90" zoomScaleNormal="90" workbookViewId="0">
      <selection sqref="A1:AC1"/>
    </sheetView>
  </sheetViews>
  <sheetFormatPr defaultColWidth="9.28515625" defaultRowHeight="12" x14ac:dyDescent="0.25"/>
  <cols>
    <col min="1" max="1" width="14.28515625" style="42" customWidth="1"/>
    <col min="2" max="2" width="25.5703125" style="42" bestFit="1" customWidth="1"/>
    <col min="3" max="3" width="33.140625" style="42" customWidth="1"/>
    <col min="4" max="4" width="16.7109375" style="42" customWidth="1"/>
    <col min="5" max="5" width="24.28515625" style="42" bestFit="1" customWidth="1"/>
    <col min="6" max="6" width="9.28515625" style="42"/>
    <col min="7" max="30" width="5.7109375" style="42" customWidth="1"/>
    <col min="31" max="16384" width="9.28515625" style="42"/>
  </cols>
  <sheetData>
    <row r="1" spans="1:39" ht="24" customHeight="1" x14ac:dyDescent="0.25">
      <c r="A1" s="470" t="s">
        <v>451</v>
      </c>
      <c r="B1" s="471"/>
      <c r="C1" s="471"/>
      <c r="D1" s="471"/>
      <c r="E1" s="471"/>
      <c r="F1" s="471"/>
      <c r="G1" s="471"/>
      <c r="H1" s="471"/>
      <c r="I1" s="471"/>
      <c r="J1" s="471"/>
      <c r="K1" s="471"/>
      <c r="L1" s="471"/>
      <c r="M1" s="471"/>
      <c r="N1" s="471"/>
      <c r="O1" s="471"/>
      <c r="P1" s="471"/>
      <c r="Q1" s="471"/>
      <c r="R1" s="471"/>
      <c r="S1" s="471"/>
      <c r="T1" s="471"/>
      <c r="U1" s="471"/>
      <c r="V1" s="471"/>
      <c r="W1" s="471"/>
      <c r="X1" s="471"/>
      <c r="Y1" s="471"/>
      <c r="Z1" s="471"/>
      <c r="AA1" s="471"/>
      <c r="AB1" s="471"/>
      <c r="AC1" s="472"/>
      <c r="AD1" s="43"/>
      <c r="AE1" s="43"/>
      <c r="AF1" s="43"/>
      <c r="AG1" s="43"/>
      <c r="AH1" s="43"/>
      <c r="AI1" s="44"/>
      <c r="AJ1" s="44"/>
      <c r="AK1" s="44"/>
    </row>
    <row r="2" spans="1:39" ht="24" customHeight="1" x14ac:dyDescent="0.25">
      <c r="A2" s="407" t="s">
        <v>452</v>
      </c>
      <c r="B2" s="468" t="s">
        <v>66</v>
      </c>
      <c r="C2" s="407" t="s">
        <v>453</v>
      </c>
      <c r="D2" s="407" t="s">
        <v>279</v>
      </c>
      <c r="E2" s="407" t="s">
        <v>454</v>
      </c>
      <c r="F2" s="476" t="s">
        <v>455</v>
      </c>
      <c r="G2" s="476"/>
      <c r="H2" s="476"/>
      <c r="I2" s="476"/>
      <c r="J2" s="476"/>
      <c r="K2" s="476"/>
      <c r="L2" s="476"/>
      <c r="M2" s="476"/>
      <c r="N2" s="476"/>
      <c r="O2" s="476"/>
      <c r="P2" s="476"/>
      <c r="Q2" s="476"/>
      <c r="R2" s="476"/>
      <c r="S2" s="476"/>
      <c r="T2" s="476"/>
      <c r="U2" s="476"/>
      <c r="V2" s="476"/>
      <c r="W2" s="476"/>
      <c r="X2" s="476"/>
      <c r="Y2" s="476"/>
      <c r="Z2" s="476"/>
      <c r="AA2" s="476"/>
      <c r="AB2" s="476"/>
      <c r="AC2" s="476"/>
      <c r="AD2" s="43"/>
      <c r="AE2" s="43"/>
      <c r="AF2" s="43"/>
      <c r="AG2" s="43"/>
      <c r="AH2" s="43"/>
      <c r="AI2" s="44"/>
      <c r="AJ2" s="44"/>
      <c r="AK2" s="44"/>
    </row>
    <row r="3" spans="1:39" ht="25.15" customHeight="1" thickBot="1" x14ac:dyDescent="0.3">
      <c r="A3" s="468"/>
      <c r="B3" s="469"/>
      <c r="C3" s="468"/>
      <c r="D3" s="468"/>
      <c r="E3" s="468"/>
      <c r="F3" s="347">
        <v>1</v>
      </c>
      <c r="G3" s="347">
        <v>2</v>
      </c>
      <c r="H3" s="347">
        <v>3</v>
      </c>
      <c r="I3" s="347">
        <v>4</v>
      </c>
      <c r="J3" s="347">
        <v>5</v>
      </c>
      <c r="K3" s="347">
        <v>6</v>
      </c>
      <c r="L3" s="347">
        <v>7</v>
      </c>
      <c r="M3" s="347">
        <v>8</v>
      </c>
      <c r="N3" s="347">
        <v>9</v>
      </c>
      <c r="O3" s="347">
        <v>10</v>
      </c>
      <c r="P3" s="347">
        <v>11</v>
      </c>
      <c r="Q3" s="347">
        <v>12</v>
      </c>
      <c r="R3" s="347">
        <v>13</v>
      </c>
      <c r="S3" s="347">
        <v>14</v>
      </c>
      <c r="T3" s="347">
        <v>15</v>
      </c>
      <c r="U3" s="347">
        <v>16</v>
      </c>
      <c r="V3" s="347">
        <v>17</v>
      </c>
      <c r="W3" s="347">
        <v>18</v>
      </c>
      <c r="X3" s="347">
        <v>19</v>
      </c>
      <c r="Y3" s="347">
        <v>20</v>
      </c>
      <c r="Z3" s="347">
        <v>21</v>
      </c>
      <c r="AA3" s="347">
        <v>22</v>
      </c>
      <c r="AB3" s="347">
        <v>23</v>
      </c>
      <c r="AC3" s="347">
        <v>24</v>
      </c>
      <c r="AD3" s="44"/>
      <c r="AE3" s="44"/>
      <c r="AF3" s="44"/>
      <c r="AG3" s="44"/>
      <c r="AH3" s="44"/>
      <c r="AI3" s="44"/>
      <c r="AJ3" s="44"/>
      <c r="AK3" s="44"/>
    </row>
    <row r="4" spans="1:39" ht="25.15" customHeight="1" x14ac:dyDescent="0.25">
      <c r="A4" s="448" t="s">
        <v>456</v>
      </c>
      <c r="B4" s="459" t="s">
        <v>457</v>
      </c>
      <c r="C4" s="473" t="s">
        <v>458</v>
      </c>
      <c r="D4" s="416" t="s">
        <v>459</v>
      </c>
      <c r="E4" s="268" t="s">
        <v>460</v>
      </c>
      <c r="F4" s="254">
        <v>0</v>
      </c>
      <c r="G4" s="254">
        <v>0</v>
      </c>
      <c r="H4" s="254">
        <v>0</v>
      </c>
      <c r="I4" s="254">
        <v>0</v>
      </c>
      <c r="J4" s="254">
        <v>0</v>
      </c>
      <c r="K4" s="254">
        <v>0</v>
      </c>
      <c r="L4" s="254">
        <v>0</v>
      </c>
      <c r="M4" s="254">
        <v>0.05</v>
      </c>
      <c r="N4" s="254">
        <v>0.75</v>
      </c>
      <c r="O4" s="254">
        <v>0.9</v>
      </c>
      <c r="P4" s="254">
        <v>0.9</v>
      </c>
      <c r="Q4" s="254">
        <v>0.8</v>
      </c>
      <c r="R4" s="254">
        <v>0.8</v>
      </c>
      <c r="S4" s="254">
        <v>0.8</v>
      </c>
      <c r="T4" s="254">
        <v>0.8</v>
      </c>
      <c r="U4" s="254">
        <v>0.45</v>
      </c>
      <c r="V4" s="254">
        <v>0.15</v>
      </c>
      <c r="W4" s="254">
        <v>0.05</v>
      </c>
      <c r="X4" s="254">
        <v>0.15</v>
      </c>
      <c r="Y4" s="254">
        <v>0.2</v>
      </c>
      <c r="Z4" s="254">
        <v>0.2</v>
      </c>
      <c r="AA4" s="254">
        <v>0.1</v>
      </c>
      <c r="AB4" s="254">
        <v>0</v>
      </c>
      <c r="AC4" s="255">
        <v>0</v>
      </c>
      <c r="AD4" s="44"/>
      <c r="AE4" s="44"/>
      <c r="AF4" s="44"/>
      <c r="AG4" s="44"/>
      <c r="AH4" s="44"/>
      <c r="AI4" s="44"/>
      <c r="AJ4" s="44"/>
      <c r="AK4" s="44"/>
    </row>
    <row r="5" spans="1:39" ht="33" customHeight="1" x14ac:dyDescent="0.25">
      <c r="A5" s="420"/>
      <c r="B5" s="460"/>
      <c r="C5" s="474"/>
      <c r="D5" s="417"/>
      <c r="E5" s="269" t="s">
        <v>461</v>
      </c>
      <c r="F5" s="278">
        <v>0</v>
      </c>
      <c r="G5" s="278">
        <v>0</v>
      </c>
      <c r="H5" s="278">
        <v>0</v>
      </c>
      <c r="I5" s="278">
        <v>0</v>
      </c>
      <c r="J5" s="278">
        <v>0</v>
      </c>
      <c r="K5" s="278">
        <v>0</v>
      </c>
      <c r="L5" s="278">
        <v>0</v>
      </c>
      <c r="M5" s="278">
        <v>0</v>
      </c>
      <c r="N5" s="278">
        <v>0.1</v>
      </c>
      <c r="O5" s="278">
        <v>0.1</v>
      </c>
      <c r="P5" s="278">
        <v>0.1</v>
      </c>
      <c r="Q5" s="278">
        <v>0.1</v>
      </c>
      <c r="R5" s="278">
        <v>0.1</v>
      </c>
      <c r="S5" s="278">
        <v>0</v>
      </c>
      <c r="T5" s="278">
        <v>0</v>
      </c>
      <c r="U5" s="278">
        <v>0</v>
      </c>
      <c r="V5" s="278">
        <v>0</v>
      </c>
      <c r="W5" s="278">
        <v>0</v>
      </c>
      <c r="X5" s="278">
        <v>0</v>
      </c>
      <c r="Y5" s="278">
        <v>0</v>
      </c>
      <c r="Z5" s="278">
        <v>0</v>
      </c>
      <c r="AA5" s="278">
        <v>0</v>
      </c>
      <c r="AB5" s="278">
        <v>0</v>
      </c>
      <c r="AC5" s="279">
        <v>0</v>
      </c>
      <c r="AD5" s="44"/>
      <c r="AE5" s="44"/>
      <c r="AF5" s="44"/>
      <c r="AG5" s="44"/>
      <c r="AH5" s="44"/>
      <c r="AI5" s="44"/>
      <c r="AJ5" s="44"/>
      <c r="AK5" s="44"/>
    </row>
    <row r="6" spans="1:39" ht="33" customHeight="1" thickBot="1" x14ac:dyDescent="0.3">
      <c r="A6" s="421"/>
      <c r="B6" s="461"/>
      <c r="C6" s="475"/>
      <c r="D6" s="418"/>
      <c r="E6" s="270" t="s">
        <v>462</v>
      </c>
      <c r="F6" s="280">
        <v>0</v>
      </c>
      <c r="G6" s="280">
        <v>0</v>
      </c>
      <c r="H6" s="280">
        <v>0</v>
      </c>
      <c r="I6" s="280">
        <v>0</v>
      </c>
      <c r="J6" s="280">
        <v>0</v>
      </c>
      <c r="K6" s="280">
        <v>0</v>
      </c>
      <c r="L6" s="280">
        <v>0</v>
      </c>
      <c r="M6" s="280">
        <v>0</v>
      </c>
      <c r="N6" s="280">
        <v>0</v>
      </c>
      <c r="O6" s="280">
        <v>0</v>
      </c>
      <c r="P6" s="280">
        <v>0</v>
      </c>
      <c r="Q6" s="280">
        <v>0</v>
      </c>
      <c r="R6" s="280">
        <v>0</v>
      </c>
      <c r="S6" s="280">
        <v>0</v>
      </c>
      <c r="T6" s="280">
        <v>0</v>
      </c>
      <c r="U6" s="280">
        <v>0</v>
      </c>
      <c r="V6" s="280">
        <v>0</v>
      </c>
      <c r="W6" s="280">
        <v>0</v>
      </c>
      <c r="X6" s="280">
        <v>0</v>
      </c>
      <c r="Y6" s="280">
        <v>0</v>
      </c>
      <c r="Z6" s="280">
        <v>0</v>
      </c>
      <c r="AA6" s="280">
        <v>0</v>
      </c>
      <c r="AB6" s="280">
        <v>0</v>
      </c>
      <c r="AC6" s="281">
        <v>0</v>
      </c>
      <c r="AD6" s="44"/>
      <c r="AE6" s="44"/>
      <c r="AF6" s="44"/>
      <c r="AG6" s="44"/>
      <c r="AH6" s="44"/>
      <c r="AI6" s="44"/>
      <c r="AJ6" s="44"/>
      <c r="AK6" s="44"/>
    </row>
    <row r="7" spans="1:39" ht="38.65" customHeight="1" x14ac:dyDescent="0.25">
      <c r="A7" s="448" t="s">
        <v>456</v>
      </c>
      <c r="B7" s="459" t="s">
        <v>457</v>
      </c>
      <c r="C7" s="473" t="s">
        <v>463</v>
      </c>
      <c r="D7" s="416" t="s">
        <v>459</v>
      </c>
      <c r="E7" s="282" t="s">
        <v>460</v>
      </c>
      <c r="F7" s="283">
        <v>0.05</v>
      </c>
      <c r="G7" s="283">
        <v>0.05</v>
      </c>
      <c r="H7" s="283">
        <v>0.05</v>
      </c>
      <c r="I7" s="283">
        <v>0.05</v>
      </c>
      <c r="J7" s="283">
        <v>0.05</v>
      </c>
      <c r="K7" s="283">
        <v>0.05</v>
      </c>
      <c r="L7" s="283">
        <v>0.05</v>
      </c>
      <c r="M7" s="283">
        <v>0.3</v>
      </c>
      <c r="N7" s="283">
        <v>0.6</v>
      </c>
      <c r="O7" s="283">
        <v>0.65</v>
      </c>
      <c r="P7" s="283">
        <v>0.65</v>
      </c>
      <c r="Q7" s="283">
        <v>0.65</v>
      </c>
      <c r="R7" s="283">
        <v>0.55000000000000004</v>
      </c>
      <c r="S7" s="283">
        <v>0.55000000000000004</v>
      </c>
      <c r="T7" s="283">
        <v>0.55000000000000004</v>
      </c>
      <c r="U7" s="283">
        <v>0.5</v>
      </c>
      <c r="V7" s="283">
        <v>0.35</v>
      </c>
      <c r="W7" s="283">
        <v>0.35</v>
      </c>
      <c r="X7" s="283">
        <v>0.35</v>
      </c>
      <c r="Y7" s="283">
        <v>0.35</v>
      </c>
      <c r="Z7" s="283">
        <v>0.35</v>
      </c>
      <c r="AA7" s="283">
        <v>0.3</v>
      </c>
      <c r="AB7" s="283">
        <v>0.05</v>
      </c>
      <c r="AC7" s="284">
        <v>0.05</v>
      </c>
      <c r="AD7" s="44"/>
      <c r="AE7" s="44"/>
      <c r="AF7" s="44"/>
      <c r="AG7" s="44"/>
      <c r="AH7" s="44"/>
      <c r="AI7" s="44"/>
      <c r="AJ7" s="44"/>
      <c r="AK7" s="44"/>
      <c r="AM7" s="55"/>
    </row>
    <row r="8" spans="1:39" ht="38.65" customHeight="1" x14ac:dyDescent="0.25">
      <c r="A8" s="420"/>
      <c r="B8" s="460"/>
      <c r="C8" s="474"/>
      <c r="D8" s="417"/>
      <c r="E8" s="285" t="s">
        <v>461</v>
      </c>
      <c r="F8" s="286">
        <v>0.05</v>
      </c>
      <c r="G8" s="286">
        <v>0.05</v>
      </c>
      <c r="H8" s="286">
        <v>0.05</v>
      </c>
      <c r="I8" s="286">
        <v>0.05</v>
      </c>
      <c r="J8" s="286">
        <v>0.05</v>
      </c>
      <c r="K8" s="286">
        <v>0.05</v>
      </c>
      <c r="L8" s="286">
        <v>0.05</v>
      </c>
      <c r="M8" s="286">
        <v>0.05</v>
      </c>
      <c r="N8" s="286">
        <v>0.15</v>
      </c>
      <c r="O8" s="286">
        <v>0.15</v>
      </c>
      <c r="P8" s="286">
        <v>0.15</v>
      </c>
      <c r="Q8" s="286">
        <v>0.15</v>
      </c>
      <c r="R8" s="286">
        <v>0.15</v>
      </c>
      <c r="S8" s="286">
        <v>0.05</v>
      </c>
      <c r="T8" s="286">
        <v>0.05</v>
      </c>
      <c r="U8" s="286">
        <v>0.05</v>
      </c>
      <c r="V8" s="286">
        <v>0.05</v>
      </c>
      <c r="W8" s="286">
        <v>0.05</v>
      </c>
      <c r="X8" s="286">
        <v>0.05</v>
      </c>
      <c r="Y8" s="286">
        <v>0.05</v>
      </c>
      <c r="Z8" s="286">
        <v>0.05</v>
      </c>
      <c r="AA8" s="286">
        <v>0.05</v>
      </c>
      <c r="AB8" s="286">
        <v>0.05</v>
      </c>
      <c r="AC8" s="287">
        <v>0.05</v>
      </c>
      <c r="AD8" s="44"/>
      <c r="AE8" s="44"/>
      <c r="AF8" s="44"/>
      <c r="AG8" s="44"/>
      <c r="AH8" s="44"/>
      <c r="AI8" s="44"/>
      <c r="AJ8" s="44"/>
      <c r="AK8" s="44"/>
      <c r="AM8" s="55"/>
    </row>
    <row r="9" spans="1:39" ht="38.65" customHeight="1" thickBot="1" x14ac:dyDescent="0.3">
      <c r="A9" s="421"/>
      <c r="B9" s="461"/>
      <c r="C9" s="475"/>
      <c r="D9" s="418"/>
      <c r="E9" s="288" t="s">
        <v>462</v>
      </c>
      <c r="F9" s="289">
        <v>0.05</v>
      </c>
      <c r="G9" s="289">
        <v>0.05</v>
      </c>
      <c r="H9" s="289">
        <v>0.05</v>
      </c>
      <c r="I9" s="289">
        <v>0.05</v>
      </c>
      <c r="J9" s="289">
        <v>0.05</v>
      </c>
      <c r="K9" s="289">
        <v>0.05</v>
      </c>
      <c r="L9" s="289">
        <v>0.05</v>
      </c>
      <c r="M9" s="289">
        <v>0.05</v>
      </c>
      <c r="N9" s="289">
        <v>0.05</v>
      </c>
      <c r="O9" s="289">
        <v>0.05</v>
      </c>
      <c r="P9" s="289">
        <v>0.05</v>
      </c>
      <c r="Q9" s="289">
        <v>0.05</v>
      </c>
      <c r="R9" s="289">
        <v>0.05</v>
      </c>
      <c r="S9" s="289">
        <v>0.05</v>
      </c>
      <c r="T9" s="289">
        <v>0.05</v>
      </c>
      <c r="U9" s="289">
        <v>0.05</v>
      </c>
      <c r="V9" s="289">
        <v>0.05</v>
      </c>
      <c r="W9" s="289">
        <v>0.05</v>
      </c>
      <c r="X9" s="289">
        <v>0.05</v>
      </c>
      <c r="Y9" s="289">
        <v>0.05</v>
      </c>
      <c r="Z9" s="289">
        <v>0.05</v>
      </c>
      <c r="AA9" s="289">
        <v>0.05</v>
      </c>
      <c r="AB9" s="289">
        <v>0.05</v>
      </c>
      <c r="AC9" s="290">
        <v>0.05</v>
      </c>
      <c r="AD9" s="44"/>
      <c r="AE9" s="44"/>
      <c r="AF9" s="44"/>
      <c r="AG9" s="44"/>
      <c r="AH9" s="44"/>
      <c r="AI9" s="44"/>
      <c r="AJ9" s="44"/>
      <c r="AK9" s="44"/>
      <c r="AM9" s="55"/>
    </row>
    <row r="10" spans="1:39" ht="36" customHeight="1" x14ac:dyDescent="0.25">
      <c r="A10" s="448" t="s">
        <v>456</v>
      </c>
      <c r="B10" s="459" t="s">
        <v>457</v>
      </c>
      <c r="C10" s="445" t="s">
        <v>464</v>
      </c>
      <c r="D10" s="416" t="s">
        <v>459</v>
      </c>
      <c r="E10" s="291" t="s">
        <v>460</v>
      </c>
      <c r="F10" s="254">
        <v>0.05</v>
      </c>
      <c r="G10" s="254">
        <v>0.05</v>
      </c>
      <c r="H10" s="254">
        <v>0.05</v>
      </c>
      <c r="I10" s="254">
        <v>0.05</v>
      </c>
      <c r="J10" s="254">
        <v>0.05</v>
      </c>
      <c r="K10" s="254">
        <v>0.05</v>
      </c>
      <c r="L10" s="254">
        <v>0.05</v>
      </c>
      <c r="M10" s="254">
        <v>0.3</v>
      </c>
      <c r="N10" s="254">
        <v>0.85</v>
      </c>
      <c r="O10" s="254">
        <v>0.95</v>
      </c>
      <c r="P10" s="254">
        <v>0.95</v>
      </c>
      <c r="Q10" s="254">
        <v>0.95</v>
      </c>
      <c r="R10" s="254">
        <v>0.8</v>
      </c>
      <c r="S10" s="254">
        <v>0.8</v>
      </c>
      <c r="T10" s="254">
        <v>0.8</v>
      </c>
      <c r="U10" s="254">
        <v>0.7</v>
      </c>
      <c r="V10" s="254">
        <v>0.5</v>
      </c>
      <c r="W10" s="254">
        <v>0.5</v>
      </c>
      <c r="X10" s="254">
        <v>0.35</v>
      </c>
      <c r="Y10" s="254">
        <v>0.35</v>
      </c>
      <c r="Z10" s="254">
        <v>0.35</v>
      </c>
      <c r="AA10" s="254">
        <v>0.3</v>
      </c>
      <c r="AB10" s="254">
        <v>0.05</v>
      </c>
      <c r="AC10" s="255">
        <v>0.05</v>
      </c>
      <c r="AD10" s="45"/>
      <c r="AE10" s="44"/>
      <c r="AF10" s="44"/>
      <c r="AG10" s="44"/>
      <c r="AH10" s="44"/>
      <c r="AI10" s="44"/>
      <c r="AJ10" s="44"/>
      <c r="AK10" s="44"/>
      <c r="AM10" s="55"/>
    </row>
    <row r="11" spans="1:39" ht="36" customHeight="1" x14ac:dyDescent="0.25">
      <c r="A11" s="420"/>
      <c r="B11" s="460"/>
      <c r="C11" s="446"/>
      <c r="D11" s="417"/>
      <c r="E11" s="285" t="s">
        <v>461</v>
      </c>
      <c r="F11" s="278">
        <v>0.05</v>
      </c>
      <c r="G11" s="278">
        <v>0.05</v>
      </c>
      <c r="H11" s="278">
        <v>0.05</v>
      </c>
      <c r="I11" s="278">
        <v>0.05</v>
      </c>
      <c r="J11" s="278">
        <v>0.05</v>
      </c>
      <c r="K11" s="278">
        <v>0.05</v>
      </c>
      <c r="L11" s="278">
        <v>0.05</v>
      </c>
      <c r="M11" s="278">
        <v>0.05</v>
      </c>
      <c r="N11" s="278">
        <v>0.15</v>
      </c>
      <c r="O11" s="278">
        <v>0.15</v>
      </c>
      <c r="P11" s="278">
        <v>0.15</v>
      </c>
      <c r="Q11" s="278">
        <v>0.15</v>
      </c>
      <c r="R11" s="278">
        <v>0.15</v>
      </c>
      <c r="S11" s="278">
        <v>0.05</v>
      </c>
      <c r="T11" s="278">
        <v>0.05</v>
      </c>
      <c r="U11" s="278">
        <v>0.05</v>
      </c>
      <c r="V11" s="278">
        <v>0.05</v>
      </c>
      <c r="W11" s="278">
        <v>0.05</v>
      </c>
      <c r="X11" s="278">
        <v>0.05</v>
      </c>
      <c r="Y11" s="278">
        <v>0.05</v>
      </c>
      <c r="Z11" s="278">
        <v>0.05</v>
      </c>
      <c r="AA11" s="278">
        <v>0.05</v>
      </c>
      <c r="AB11" s="278">
        <v>0.05</v>
      </c>
      <c r="AC11" s="279">
        <v>0.05</v>
      </c>
      <c r="AD11" s="45"/>
      <c r="AE11" s="44"/>
      <c r="AF11" s="44"/>
      <c r="AG11" s="44"/>
      <c r="AH11" s="44"/>
      <c r="AI11" s="44"/>
      <c r="AJ11" s="44"/>
      <c r="AK11" s="44"/>
      <c r="AM11" s="55"/>
    </row>
    <row r="12" spans="1:39" ht="36" customHeight="1" thickBot="1" x14ac:dyDescent="0.3">
      <c r="A12" s="421"/>
      <c r="B12" s="461"/>
      <c r="C12" s="447"/>
      <c r="D12" s="418"/>
      <c r="E12" s="288" t="s">
        <v>462</v>
      </c>
      <c r="F12" s="280">
        <v>0.05</v>
      </c>
      <c r="G12" s="280">
        <v>0.05</v>
      </c>
      <c r="H12" s="280">
        <v>0.05</v>
      </c>
      <c r="I12" s="280">
        <v>0.05</v>
      </c>
      <c r="J12" s="280">
        <v>0.05</v>
      </c>
      <c r="K12" s="280">
        <v>0.05</v>
      </c>
      <c r="L12" s="280">
        <v>0.05</v>
      </c>
      <c r="M12" s="280">
        <v>0.05</v>
      </c>
      <c r="N12" s="280">
        <v>0.05</v>
      </c>
      <c r="O12" s="280">
        <v>0.05</v>
      </c>
      <c r="P12" s="280">
        <v>0.05</v>
      </c>
      <c r="Q12" s="280">
        <v>0.05</v>
      </c>
      <c r="R12" s="280">
        <v>0.05</v>
      </c>
      <c r="S12" s="280">
        <v>0.05</v>
      </c>
      <c r="T12" s="280">
        <v>0.05</v>
      </c>
      <c r="U12" s="280">
        <v>0.05</v>
      </c>
      <c r="V12" s="280">
        <v>0.05</v>
      </c>
      <c r="W12" s="280">
        <v>0.05</v>
      </c>
      <c r="X12" s="280">
        <v>0.05</v>
      </c>
      <c r="Y12" s="280">
        <v>0.05</v>
      </c>
      <c r="Z12" s="280">
        <v>0.05</v>
      </c>
      <c r="AA12" s="280">
        <v>0.05</v>
      </c>
      <c r="AB12" s="280">
        <v>0.05</v>
      </c>
      <c r="AC12" s="281">
        <v>0.05</v>
      </c>
      <c r="AD12" s="45"/>
      <c r="AE12" s="44"/>
      <c r="AF12" s="44"/>
      <c r="AG12" s="44"/>
      <c r="AH12" s="44"/>
      <c r="AI12" s="44"/>
      <c r="AJ12" s="44"/>
      <c r="AK12" s="44"/>
      <c r="AM12" s="55"/>
    </row>
    <row r="13" spans="1:39" ht="36" customHeight="1" x14ac:dyDescent="0.25">
      <c r="A13" s="448" t="s">
        <v>456</v>
      </c>
      <c r="B13" s="459" t="s">
        <v>457</v>
      </c>
      <c r="C13" s="445" t="s">
        <v>465</v>
      </c>
      <c r="D13" s="416" t="s">
        <v>459</v>
      </c>
      <c r="E13" s="268" t="s">
        <v>460</v>
      </c>
      <c r="F13" s="254">
        <v>0.05</v>
      </c>
      <c r="G13" s="254">
        <v>0.05</v>
      </c>
      <c r="H13" s="254">
        <v>0.05</v>
      </c>
      <c r="I13" s="254">
        <v>0.05</v>
      </c>
      <c r="J13" s="254">
        <v>0.05</v>
      </c>
      <c r="K13" s="254">
        <v>0.05</v>
      </c>
      <c r="L13" s="254">
        <v>0.05</v>
      </c>
      <c r="M13" s="254">
        <v>0.1</v>
      </c>
      <c r="N13" s="254">
        <v>0.34</v>
      </c>
      <c r="O13" s="254">
        <v>0.6</v>
      </c>
      <c r="P13" s="254">
        <v>0.63</v>
      </c>
      <c r="Q13" s="254">
        <v>0.72</v>
      </c>
      <c r="R13" s="254">
        <v>0.79</v>
      </c>
      <c r="S13" s="254">
        <v>0.83</v>
      </c>
      <c r="T13" s="254">
        <v>0.61</v>
      </c>
      <c r="U13" s="254">
        <v>0.65</v>
      </c>
      <c r="V13" s="254">
        <v>0.1</v>
      </c>
      <c r="W13" s="254">
        <v>0.1</v>
      </c>
      <c r="X13" s="254">
        <v>0.19</v>
      </c>
      <c r="Y13" s="254">
        <v>0.25</v>
      </c>
      <c r="Z13" s="254">
        <v>0.22</v>
      </c>
      <c r="AA13" s="254">
        <v>0.22</v>
      </c>
      <c r="AB13" s="254">
        <v>0.12</v>
      </c>
      <c r="AC13" s="255">
        <v>0.09</v>
      </c>
      <c r="AD13" s="44"/>
      <c r="AE13" s="44"/>
      <c r="AF13" s="44"/>
      <c r="AG13" s="44"/>
      <c r="AH13" s="44"/>
      <c r="AI13" s="44"/>
      <c r="AJ13" s="44"/>
      <c r="AK13" s="44"/>
      <c r="AM13" s="55"/>
    </row>
    <row r="14" spans="1:39" ht="36" customHeight="1" x14ac:dyDescent="0.25">
      <c r="A14" s="420"/>
      <c r="B14" s="460"/>
      <c r="C14" s="446"/>
      <c r="D14" s="417"/>
      <c r="E14" s="269" t="s">
        <v>461</v>
      </c>
      <c r="F14" s="278">
        <v>0.03</v>
      </c>
      <c r="G14" s="278">
        <v>0.03</v>
      </c>
      <c r="H14" s="278">
        <v>0.03</v>
      </c>
      <c r="I14" s="278">
        <v>0.03</v>
      </c>
      <c r="J14" s="278">
        <v>0.03</v>
      </c>
      <c r="K14" s="278">
        <v>0.03</v>
      </c>
      <c r="L14" s="278">
        <v>0.03</v>
      </c>
      <c r="M14" s="278">
        <v>0.03</v>
      </c>
      <c r="N14" s="278">
        <v>0.03</v>
      </c>
      <c r="O14" s="278">
        <v>0.05</v>
      </c>
      <c r="P14" s="278">
        <v>0.05</v>
      </c>
      <c r="Q14" s="278">
        <v>0.05</v>
      </c>
      <c r="R14" s="278">
        <v>0.05</v>
      </c>
      <c r="S14" s="278">
        <v>0.03</v>
      </c>
      <c r="T14" s="278">
        <v>0.03</v>
      </c>
      <c r="U14" s="278">
        <v>0.03</v>
      </c>
      <c r="V14" s="278">
        <v>0.03</v>
      </c>
      <c r="W14" s="278">
        <v>0.03</v>
      </c>
      <c r="X14" s="278">
        <v>0.03</v>
      </c>
      <c r="Y14" s="278">
        <v>0.03</v>
      </c>
      <c r="Z14" s="278">
        <v>0.03</v>
      </c>
      <c r="AA14" s="278">
        <v>0.03</v>
      </c>
      <c r="AB14" s="278">
        <v>0.03</v>
      </c>
      <c r="AC14" s="279">
        <v>0.03</v>
      </c>
      <c r="AD14" s="44"/>
      <c r="AE14" s="44"/>
      <c r="AF14" s="44"/>
      <c r="AG14" s="44"/>
      <c r="AH14" s="44"/>
      <c r="AI14" s="44"/>
      <c r="AJ14" s="44"/>
      <c r="AK14" s="44"/>
      <c r="AM14" s="55"/>
    </row>
    <row r="15" spans="1:39" ht="36" customHeight="1" thickBot="1" x14ac:dyDescent="0.3">
      <c r="A15" s="421"/>
      <c r="B15" s="461"/>
      <c r="C15" s="447"/>
      <c r="D15" s="418"/>
      <c r="E15" s="270" t="s">
        <v>462</v>
      </c>
      <c r="F15" s="280">
        <v>0.03</v>
      </c>
      <c r="G15" s="280">
        <v>0.03</v>
      </c>
      <c r="H15" s="280">
        <v>0.03</v>
      </c>
      <c r="I15" s="280">
        <v>0.03</v>
      </c>
      <c r="J15" s="280">
        <v>0.03</v>
      </c>
      <c r="K15" s="280">
        <v>0.03</v>
      </c>
      <c r="L15" s="280">
        <v>0.03</v>
      </c>
      <c r="M15" s="280">
        <v>0.03</v>
      </c>
      <c r="N15" s="280">
        <v>0.05</v>
      </c>
      <c r="O15" s="280">
        <v>0.05</v>
      </c>
      <c r="P15" s="280">
        <v>0.05</v>
      </c>
      <c r="Q15" s="280">
        <v>0.05</v>
      </c>
      <c r="R15" s="280">
        <v>0.05</v>
      </c>
      <c r="S15" s="280">
        <v>0.05</v>
      </c>
      <c r="T15" s="280">
        <v>0.03</v>
      </c>
      <c r="U15" s="280">
        <v>0.03</v>
      </c>
      <c r="V15" s="280">
        <v>0.03</v>
      </c>
      <c r="W15" s="280">
        <v>0.03</v>
      </c>
      <c r="X15" s="280">
        <v>0.03</v>
      </c>
      <c r="Y15" s="280">
        <v>0.03</v>
      </c>
      <c r="Z15" s="280">
        <v>0.03</v>
      </c>
      <c r="AA15" s="280">
        <v>0.03</v>
      </c>
      <c r="AB15" s="280">
        <v>0.03</v>
      </c>
      <c r="AC15" s="281">
        <v>0.03</v>
      </c>
      <c r="AD15" s="44"/>
      <c r="AE15" s="44"/>
      <c r="AF15" s="44"/>
      <c r="AG15" s="44"/>
      <c r="AH15" s="44"/>
      <c r="AI15" s="44"/>
      <c r="AJ15" s="44"/>
      <c r="AK15" s="44"/>
      <c r="AM15" s="55"/>
    </row>
    <row r="16" spans="1:39" ht="36" customHeight="1" x14ac:dyDescent="0.25">
      <c r="A16" s="448" t="s">
        <v>456</v>
      </c>
      <c r="B16" s="459" t="s">
        <v>457</v>
      </c>
      <c r="C16" s="445" t="s">
        <v>466</v>
      </c>
      <c r="D16" s="416" t="s">
        <v>459</v>
      </c>
      <c r="E16" s="291" t="s">
        <v>460</v>
      </c>
      <c r="F16" s="254">
        <v>0</v>
      </c>
      <c r="G16" s="254">
        <v>0</v>
      </c>
      <c r="H16" s="254">
        <v>0</v>
      </c>
      <c r="I16" s="254">
        <v>0</v>
      </c>
      <c r="J16" s="254">
        <v>0</v>
      </c>
      <c r="K16" s="254">
        <v>0</v>
      </c>
      <c r="L16" s="254">
        <v>0</v>
      </c>
      <c r="M16" s="254">
        <v>0.5</v>
      </c>
      <c r="N16" s="254">
        <v>0.5</v>
      </c>
      <c r="O16" s="254">
        <v>0.75</v>
      </c>
      <c r="P16" s="254">
        <v>0.9</v>
      </c>
      <c r="Q16" s="254">
        <v>0.9</v>
      </c>
      <c r="R16" s="254">
        <v>0.9</v>
      </c>
      <c r="S16" s="254">
        <v>0</v>
      </c>
      <c r="T16" s="254">
        <v>0</v>
      </c>
      <c r="U16" s="254">
        <v>0</v>
      </c>
      <c r="V16" s="254">
        <v>0</v>
      </c>
      <c r="W16" s="254">
        <v>0</v>
      </c>
      <c r="X16" s="254">
        <v>0</v>
      </c>
      <c r="Y16" s="254">
        <v>0</v>
      </c>
      <c r="Z16" s="254">
        <v>0</v>
      </c>
      <c r="AA16" s="254">
        <v>0</v>
      </c>
      <c r="AB16" s="254">
        <v>0</v>
      </c>
      <c r="AC16" s="255">
        <v>0</v>
      </c>
      <c r="AD16" s="45"/>
      <c r="AE16" s="44"/>
      <c r="AF16" s="44"/>
      <c r="AG16" s="44"/>
      <c r="AH16" s="44"/>
      <c r="AI16" s="44"/>
      <c r="AJ16" s="44"/>
      <c r="AK16" s="44"/>
      <c r="AM16" s="55"/>
    </row>
    <row r="17" spans="1:39" ht="36" customHeight="1" x14ac:dyDescent="0.25">
      <c r="A17" s="420"/>
      <c r="B17" s="460"/>
      <c r="C17" s="446"/>
      <c r="D17" s="417"/>
      <c r="E17" s="285" t="s">
        <v>461</v>
      </c>
      <c r="F17" s="278">
        <v>0</v>
      </c>
      <c r="G17" s="278">
        <v>0</v>
      </c>
      <c r="H17" s="278">
        <v>0</v>
      </c>
      <c r="I17" s="278">
        <v>0</v>
      </c>
      <c r="J17" s="278">
        <v>0</v>
      </c>
      <c r="K17" s="278">
        <v>0</v>
      </c>
      <c r="L17" s="278">
        <v>0</v>
      </c>
      <c r="M17" s="278">
        <v>0</v>
      </c>
      <c r="N17" s="278">
        <v>0</v>
      </c>
      <c r="O17" s="278">
        <v>0</v>
      </c>
      <c r="P17" s="278">
        <v>0</v>
      </c>
      <c r="Q17" s="278">
        <v>0</v>
      </c>
      <c r="R17" s="278">
        <v>0</v>
      </c>
      <c r="S17" s="278">
        <v>0</v>
      </c>
      <c r="T17" s="278">
        <v>0</v>
      </c>
      <c r="U17" s="278">
        <v>0</v>
      </c>
      <c r="V17" s="278">
        <v>0</v>
      </c>
      <c r="W17" s="278">
        <v>0</v>
      </c>
      <c r="X17" s="278">
        <v>0</v>
      </c>
      <c r="Y17" s="278">
        <v>0</v>
      </c>
      <c r="Z17" s="278">
        <v>0</v>
      </c>
      <c r="AA17" s="278">
        <v>0</v>
      </c>
      <c r="AB17" s="278">
        <v>0</v>
      </c>
      <c r="AC17" s="279">
        <v>0</v>
      </c>
      <c r="AD17" s="45"/>
      <c r="AE17" s="44"/>
      <c r="AF17" s="44"/>
      <c r="AG17" s="44"/>
      <c r="AH17" s="44"/>
      <c r="AI17" s="44"/>
      <c r="AJ17" s="44"/>
      <c r="AK17" s="44"/>
      <c r="AM17" s="55"/>
    </row>
    <row r="18" spans="1:39" ht="36" customHeight="1" thickBot="1" x14ac:dyDescent="0.3">
      <c r="A18" s="421"/>
      <c r="B18" s="461"/>
      <c r="C18" s="447"/>
      <c r="D18" s="418"/>
      <c r="E18" s="288" t="s">
        <v>462</v>
      </c>
      <c r="F18" s="280">
        <v>0</v>
      </c>
      <c r="G18" s="280">
        <v>0</v>
      </c>
      <c r="H18" s="280">
        <v>0</v>
      </c>
      <c r="I18" s="280">
        <v>0</v>
      </c>
      <c r="J18" s="280">
        <v>0</v>
      </c>
      <c r="K18" s="280">
        <v>0</v>
      </c>
      <c r="L18" s="280">
        <v>0</v>
      </c>
      <c r="M18" s="280">
        <v>0</v>
      </c>
      <c r="N18" s="280">
        <v>0</v>
      </c>
      <c r="O18" s="280">
        <v>0</v>
      </c>
      <c r="P18" s="280">
        <v>0</v>
      </c>
      <c r="Q18" s="280">
        <v>0</v>
      </c>
      <c r="R18" s="280">
        <v>0</v>
      </c>
      <c r="S18" s="280">
        <v>0</v>
      </c>
      <c r="T18" s="280">
        <v>0</v>
      </c>
      <c r="U18" s="280">
        <v>0</v>
      </c>
      <c r="V18" s="280">
        <v>0</v>
      </c>
      <c r="W18" s="280">
        <v>0</v>
      </c>
      <c r="X18" s="280">
        <v>0</v>
      </c>
      <c r="Y18" s="280">
        <v>0</v>
      </c>
      <c r="Z18" s="280">
        <v>0</v>
      </c>
      <c r="AA18" s="280">
        <v>0</v>
      </c>
      <c r="AB18" s="280">
        <v>0</v>
      </c>
      <c r="AC18" s="281">
        <v>0</v>
      </c>
      <c r="AD18" s="45"/>
      <c r="AE18" s="44"/>
      <c r="AF18" s="44"/>
      <c r="AG18" s="44"/>
      <c r="AH18" s="44"/>
      <c r="AI18" s="44"/>
      <c r="AJ18" s="44"/>
      <c r="AK18" s="44"/>
      <c r="AM18" s="55"/>
    </row>
    <row r="19" spans="1:39" ht="36" customHeight="1" x14ac:dyDescent="0.25">
      <c r="A19" s="448" t="s">
        <v>456</v>
      </c>
      <c r="B19" s="459" t="s">
        <v>457</v>
      </c>
      <c r="C19" s="445" t="s">
        <v>467</v>
      </c>
      <c r="D19" s="416" t="s">
        <v>459</v>
      </c>
      <c r="E19" s="291" t="s">
        <v>460</v>
      </c>
      <c r="F19" s="254">
        <v>0.9</v>
      </c>
      <c r="G19" s="254">
        <v>0.9</v>
      </c>
      <c r="H19" s="254">
        <v>0.9</v>
      </c>
      <c r="I19" s="254">
        <v>0.9</v>
      </c>
      <c r="J19" s="254">
        <v>0.9</v>
      </c>
      <c r="K19" s="254">
        <v>0.9</v>
      </c>
      <c r="L19" s="254">
        <v>0.9</v>
      </c>
      <c r="M19" s="254">
        <v>0.9</v>
      </c>
      <c r="N19" s="254">
        <v>0.9</v>
      </c>
      <c r="O19" s="254">
        <v>0.9</v>
      </c>
      <c r="P19" s="254">
        <v>0.9</v>
      </c>
      <c r="Q19" s="254">
        <v>0.9</v>
      </c>
      <c r="R19" s="254">
        <v>0.9</v>
      </c>
      <c r="S19" s="254">
        <v>0.9</v>
      </c>
      <c r="T19" s="254">
        <v>0.9</v>
      </c>
      <c r="U19" s="254">
        <v>0.9</v>
      </c>
      <c r="V19" s="254">
        <v>0.9</v>
      </c>
      <c r="W19" s="254">
        <v>0.9</v>
      </c>
      <c r="X19" s="254">
        <v>0.9</v>
      </c>
      <c r="Y19" s="254">
        <v>0.9</v>
      </c>
      <c r="Z19" s="254">
        <v>0.9</v>
      </c>
      <c r="AA19" s="254">
        <v>0.9</v>
      </c>
      <c r="AB19" s="254">
        <v>0.9</v>
      </c>
      <c r="AC19" s="255">
        <v>0.9</v>
      </c>
      <c r="AD19" s="45"/>
      <c r="AE19" s="44"/>
      <c r="AF19" s="44"/>
      <c r="AG19" s="44"/>
      <c r="AH19" s="44"/>
      <c r="AI19" s="44"/>
      <c r="AJ19" s="44"/>
      <c r="AK19" s="44"/>
      <c r="AM19" s="55"/>
    </row>
    <row r="20" spans="1:39" ht="36" customHeight="1" x14ac:dyDescent="0.25">
      <c r="A20" s="420"/>
      <c r="B20" s="460"/>
      <c r="C20" s="446"/>
      <c r="D20" s="417"/>
      <c r="E20" s="285" t="s">
        <v>461</v>
      </c>
      <c r="F20" s="278">
        <v>0.9</v>
      </c>
      <c r="G20" s="278">
        <v>0.9</v>
      </c>
      <c r="H20" s="278">
        <v>0.9</v>
      </c>
      <c r="I20" s="278">
        <v>0.9</v>
      </c>
      <c r="J20" s="278">
        <v>0.9</v>
      </c>
      <c r="K20" s="278">
        <v>0.9</v>
      </c>
      <c r="L20" s="278">
        <v>0.9</v>
      </c>
      <c r="M20" s="278">
        <v>0.9</v>
      </c>
      <c r="N20" s="278">
        <v>0.9</v>
      </c>
      <c r="O20" s="278">
        <v>0.9</v>
      </c>
      <c r="P20" s="278">
        <v>0.9</v>
      </c>
      <c r="Q20" s="278">
        <v>0.9</v>
      </c>
      <c r="R20" s="278">
        <v>0.9</v>
      </c>
      <c r="S20" s="278">
        <v>0.9</v>
      </c>
      <c r="T20" s="278">
        <v>0.9</v>
      </c>
      <c r="U20" s="278">
        <v>0.9</v>
      </c>
      <c r="V20" s="278">
        <v>0.9</v>
      </c>
      <c r="W20" s="278">
        <v>0.9</v>
      </c>
      <c r="X20" s="278">
        <v>0.9</v>
      </c>
      <c r="Y20" s="278">
        <v>0.9</v>
      </c>
      <c r="Z20" s="278">
        <v>0.9</v>
      </c>
      <c r="AA20" s="278">
        <v>0.9</v>
      </c>
      <c r="AB20" s="278">
        <v>0.9</v>
      </c>
      <c r="AC20" s="279">
        <v>0.9</v>
      </c>
      <c r="AD20" s="45"/>
      <c r="AE20" s="44"/>
      <c r="AF20" s="44"/>
      <c r="AG20" s="44"/>
      <c r="AH20" s="44"/>
      <c r="AI20" s="44"/>
      <c r="AJ20" s="44"/>
      <c r="AK20" s="44"/>
      <c r="AM20" s="55"/>
    </row>
    <row r="21" spans="1:39" ht="36" customHeight="1" thickBot="1" x14ac:dyDescent="0.3">
      <c r="A21" s="421"/>
      <c r="B21" s="461"/>
      <c r="C21" s="447"/>
      <c r="D21" s="418"/>
      <c r="E21" s="288" t="s">
        <v>462</v>
      </c>
      <c r="F21" s="280">
        <v>0.9</v>
      </c>
      <c r="G21" s="280">
        <v>0.9</v>
      </c>
      <c r="H21" s="280">
        <v>0.9</v>
      </c>
      <c r="I21" s="280">
        <v>0.9</v>
      </c>
      <c r="J21" s="280">
        <v>0.9</v>
      </c>
      <c r="K21" s="280">
        <v>0.9</v>
      </c>
      <c r="L21" s="280">
        <v>0.9</v>
      </c>
      <c r="M21" s="280">
        <v>0.9</v>
      </c>
      <c r="N21" s="280">
        <v>0.9</v>
      </c>
      <c r="O21" s="280">
        <v>0.9</v>
      </c>
      <c r="P21" s="280">
        <v>0.9</v>
      </c>
      <c r="Q21" s="280">
        <v>0.9</v>
      </c>
      <c r="R21" s="280">
        <v>0.9</v>
      </c>
      <c r="S21" s="280">
        <v>0.9</v>
      </c>
      <c r="T21" s="280">
        <v>0.9</v>
      </c>
      <c r="U21" s="280">
        <v>0.9</v>
      </c>
      <c r="V21" s="280">
        <v>0.9</v>
      </c>
      <c r="W21" s="280">
        <v>0.9</v>
      </c>
      <c r="X21" s="280">
        <v>0.9</v>
      </c>
      <c r="Y21" s="280">
        <v>0.9</v>
      </c>
      <c r="Z21" s="280">
        <v>0.9</v>
      </c>
      <c r="AA21" s="280">
        <v>0.9</v>
      </c>
      <c r="AB21" s="280">
        <v>0.9</v>
      </c>
      <c r="AC21" s="281">
        <v>0.9</v>
      </c>
      <c r="AD21" s="45"/>
      <c r="AE21" s="44"/>
      <c r="AF21" s="44"/>
      <c r="AG21" s="44"/>
      <c r="AH21" s="44"/>
      <c r="AI21" s="44"/>
      <c r="AJ21" s="44"/>
      <c r="AK21" s="44"/>
      <c r="AM21" s="55"/>
    </row>
    <row r="22" spans="1:39" ht="36" customHeight="1" x14ac:dyDescent="0.25">
      <c r="A22" s="448" t="s">
        <v>456</v>
      </c>
      <c r="B22" s="459" t="s">
        <v>457</v>
      </c>
      <c r="C22" s="445" t="s">
        <v>468</v>
      </c>
      <c r="D22" s="416" t="s">
        <v>459</v>
      </c>
      <c r="E22" s="291" t="s">
        <v>460</v>
      </c>
      <c r="F22" s="254">
        <v>0</v>
      </c>
      <c r="G22" s="254">
        <v>0</v>
      </c>
      <c r="H22" s="254">
        <v>0</v>
      </c>
      <c r="I22" s="254">
        <v>0</v>
      </c>
      <c r="J22" s="254">
        <v>0</v>
      </c>
      <c r="K22" s="254">
        <v>0</v>
      </c>
      <c r="L22" s="254">
        <v>1</v>
      </c>
      <c r="M22" s="254">
        <v>1</v>
      </c>
      <c r="N22" s="254">
        <v>1</v>
      </c>
      <c r="O22" s="254">
        <v>1</v>
      </c>
      <c r="P22" s="254">
        <v>1</v>
      </c>
      <c r="Q22" s="254">
        <v>1</v>
      </c>
      <c r="R22" s="254">
        <v>1</v>
      </c>
      <c r="S22" s="254">
        <v>1</v>
      </c>
      <c r="T22" s="254">
        <v>1</v>
      </c>
      <c r="U22" s="254">
        <v>1</v>
      </c>
      <c r="V22" s="254">
        <v>1</v>
      </c>
      <c r="W22" s="254">
        <v>1</v>
      </c>
      <c r="X22" s="254">
        <v>1</v>
      </c>
      <c r="Y22" s="254">
        <v>1</v>
      </c>
      <c r="Z22" s="254">
        <v>1</v>
      </c>
      <c r="AA22" s="254">
        <v>1</v>
      </c>
      <c r="AB22" s="254">
        <v>0</v>
      </c>
      <c r="AC22" s="255">
        <v>0</v>
      </c>
      <c r="AD22" s="45"/>
      <c r="AE22" s="44"/>
      <c r="AF22" s="44"/>
      <c r="AG22" s="44"/>
      <c r="AH22" s="44"/>
      <c r="AI22" s="44"/>
      <c r="AJ22" s="44"/>
      <c r="AK22" s="44"/>
      <c r="AM22" s="55"/>
    </row>
    <row r="23" spans="1:39" ht="36" customHeight="1" x14ac:dyDescent="0.25">
      <c r="A23" s="420"/>
      <c r="B23" s="460"/>
      <c r="C23" s="446"/>
      <c r="D23" s="417"/>
      <c r="E23" s="285" t="s">
        <v>461</v>
      </c>
      <c r="F23" s="278">
        <v>0</v>
      </c>
      <c r="G23" s="278">
        <v>0</v>
      </c>
      <c r="H23" s="278">
        <v>0</v>
      </c>
      <c r="I23" s="278">
        <v>0</v>
      </c>
      <c r="J23" s="278">
        <v>0</v>
      </c>
      <c r="K23" s="278">
        <v>0</v>
      </c>
      <c r="L23" s="278">
        <v>0</v>
      </c>
      <c r="M23" s="278">
        <v>1</v>
      </c>
      <c r="N23" s="278">
        <v>1</v>
      </c>
      <c r="O23" s="278">
        <v>1</v>
      </c>
      <c r="P23" s="278">
        <v>1</v>
      </c>
      <c r="Q23" s="278">
        <v>1</v>
      </c>
      <c r="R23" s="278">
        <v>1</v>
      </c>
      <c r="S23" s="278">
        <v>0</v>
      </c>
      <c r="T23" s="278">
        <v>0</v>
      </c>
      <c r="U23" s="278">
        <v>0</v>
      </c>
      <c r="V23" s="278">
        <v>0</v>
      </c>
      <c r="W23" s="278">
        <v>0</v>
      </c>
      <c r="X23" s="278">
        <v>0</v>
      </c>
      <c r="Y23" s="278">
        <v>0</v>
      </c>
      <c r="Z23" s="278">
        <v>0</v>
      </c>
      <c r="AA23" s="278">
        <v>0</v>
      </c>
      <c r="AB23" s="278">
        <v>0</v>
      </c>
      <c r="AC23" s="279">
        <v>0</v>
      </c>
      <c r="AD23" s="45"/>
      <c r="AE23" s="44"/>
      <c r="AF23" s="44"/>
      <c r="AG23" s="44"/>
      <c r="AH23" s="44"/>
      <c r="AI23" s="44"/>
      <c r="AJ23" s="44"/>
      <c r="AK23" s="44"/>
      <c r="AM23" s="55"/>
    </row>
    <row r="24" spans="1:39" ht="36" customHeight="1" thickBot="1" x14ac:dyDescent="0.3">
      <c r="A24" s="421"/>
      <c r="B24" s="461"/>
      <c r="C24" s="447"/>
      <c r="D24" s="418"/>
      <c r="E24" s="288" t="s">
        <v>462</v>
      </c>
      <c r="F24" s="280">
        <v>0</v>
      </c>
      <c r="G24" s="280">
        <v>0</v>
      </c>
      <c r="H24" s="280">
        <v>0</v>
      </c>
      <c r="I24" s="280">
        <v>0</v>
      </c>
      <c r="J24" s="280">
        <v>0</v>
      </c>
      <c r="K24" s="280">
        <v>0</v>
      </c>
      <c r="L24" s="280">
        <v>0</v>
      </c>
      <c r="M24" s="280">
        <v>0</v>
      </c>
      <c r="N24" s="280">
        <v>0</v>
      </c>
      <c r="O24" s="280">
        <v>0</v>
      </c>
      <c r="P24" s="280">
        <v>0</v>
      </c>
      <c r="Q24" s="280">
        <v>0</v>
      </c>
      <c r="R24" s="280">
        <v>0</v>
      </c>
      <c r="S24" s="280">
        <v>0</v>
      </c>
      <c r="T24" s="280">
        <v>0</v>
      </c>
      <c r="U24" s="280">
        <v>0</v>
      </c>
      <c r="V24" s="280">
        <v>0</v>
      </c>
      <c r="W24" s="280">
        <v>0</v>
      </c>
      <c r="X24" s="280">
        <v>0</v>
      </c>
      <c r="Y24" s="280">
        <v>0</v>
      </c>
      <c r="Z24" s="280">
        <v>0</v>
      </c>
      <c r="AA24" s="280">
        <v>0</v>
      </c>
      <c r="AB24" s="280">
        <v>0</v>
      </c>
      <c r="AC24" s="281">
        <v>0</v>
      </c>
      <c r="AD24" s="45"/>
      <c r="AE24" s="44"/>
      <c r="AF24" s="44"/>
      <c r="AG24" s="44"/>
      <c r="AH24" s="44"/>
      <c r="AI24" s="44"/>
      <c r="AJ24" s="44"/>
      <c r="AK24" s="44"/>
      <c r="AM24" s="55"/>
    </row>
    <row r="25" spans="1:39" ht="36" customHeight="1" x14ac:dyDescent="0.25">
      <c r="A25" s="448" t="s">
        <v>456</v>
      </c>
      <c r="B25" s="459" t="s">
        <v>457</v>
      </c>
      <c r="C25" s="445" t="s">
        <v>469</v>
      </c>
      <c r="D25" s="416" t="s">
        <v>470</v>
      </c>
      <c r="E25" s="291" t="s">
        <v>460</v>
      </c>
      <c r="F25" s="262">
        <f>IF(F22=0,Thermostat!$B$4,Thermostat!$B$3)</f>
        <v>60</v>
      </c>
      <c r="G25" s="262">
        <f>IF(G22=0,Thermostat!$B$4,Thermostat!$B$3)</f>
        <v>60</v>
      </c>
      <c r="H25" s="262">
        <f>IF(H22=0,Thermostat!$B$4,Thermostat!$B$3)</f>
        <v>60</v>
      </c>
      <c r="I25" s="262">
        <f>IF(I22=0,Thermostat!$B$4,Thermostat!$B$3)</f>
        <v>60</v>
      </c>
      <c r="J25" s="262">
        <f>IF(J22=0,Thermostat!$B$4,Thermostat!$B$3)</f>
        <v>60</v>
      </c>
      <c r="K25" s="262">
        <f>IF(K22=0,Thermostat!$B$4,Thermostat!$B$3)</f>
        <v>60</v>
      </c>
      <c r="L25" s="262">
        <f>IF(L22=0,Thermostat!$B$4,Thermostat!$B$3)</f>
        <v>70</v>
      </c>
      <c r="M25" s="262">
        <f>IF(M22=0,Thermostat!$B$4,Thermostat!$B$3)</f>
        <v>70</v>
      </c>
      <c r="N25" s="262">
        <f>IF(N22=0,Thermostat!$B$4,Thermostat!$B$3)</f>
        <v>70</v>
      </c>
      <c r="O25" s="262">
        <f>IF(O22=0,Thermostat!$B$4,Thermostat!$B$3)</f>
        <v>70</v>
      </c>
      <c r="P25" s="262">
        <f>IF(P22=0,Thermostat!$B$4,Thermostat!$B$3)</f>
        <v>70</v>
      </c>
      <c r="Q25" s="262">
        <f>IF(Q22=0,Thermostat!$B$4,Thermostat!$B$3)</f>
        <v>70</v>
      </c>
      <c r="R25" s="262">
        <f>IF(R22=0,Thermostat!$B$4,Thermostat!$B$3)</f>
        <v>70</v>
      </c>
      <c r="S25" s="262">
        <f>IF(S22=0,Thermostat!$B$4,Thermostat!$B$3)</f>
        <v>70</v>
      </c>
      <c r="T25" s="262">
        <f>IF(T22=0,Thermostat!$B$4,Thermostat!$B$3)</f>
        <v>70</v>
      </c>
      <c r="U25" s="262">
        <f>IF(U22=0,Thermostat!$B$4,Thermostat!$B$3)</f>
        <v>70</v>
      </c>
      <c r="V25" s="262">
        <f>IF(V22=0,Thermostat!$B$4,Thermostat!$B$3)</f>
        <v>70</v>
      </c>
      <c r="W25" s="262">
        <f>IF(W22=0,Thermostat!$B$4,Thermostat!$B$3)</f>
        <v>70</v>
      </c>
      <c r="X25" s="262">
        <f>IF(X22=0,Thermostat!$B$4,Thermostat!$B$3)</f>
        <v>70</v>
      </c>
      <c r="Y25" s="262">
        <f>IF(Y22=0,Thermostat!$B$4,Thermostat!$B$3)</f>
        <v>70</v>
      </c>
      <c r="Z25" s="262">
        <f>IF(Z22=0,Thermostat!$B$4,Thermostat!$B$3)</f>
        <v>70</v>
      </c>
      <c r="AA25" s="262">
        <f>IF(AA22=0,Thermostat!$B$4,Thermostat!$B$3)</f>
        <v>70</v>
      </c>
      <c r="AB25" s="262">
        <f>IF(AB22=0,Thermostat!$B$4,Thermostat!$B$3)</f>
        <v>60</v>
      </c>
      <c r="AC25" s="262">
        <f>IF(AC22=0,Thermostat!$B$4,Thermostat!$B$3)</f>
        <v>60</v>
      </c>
      <c r="AD25" s="45"/>
      <c r="AE25" s="44"/>
      <c r="AF25" s="44"/>
      <c r="AG25" s="44"/>
      <c r="AH25" s="44"/>
      <c r="AI25" s="44"/>
      <c r="AJ25" s="44"/>
      <c r="AK25" s="44"/>
      <c r="AM25" s="55"/>
    </row>
    <row r="26" spans="1:39" ht="36" customHeight="1" x14ac:dyDescent="0.25">
      <c r="A26" s="420"/>
      <c r="B26" s="460"/>
      <c r="C26" s="446"/>
      <c r="D26" s="417"/>
      <c r="E26" s="285" t="s">
        <v>461</v>
      </c>
      <c r="F26" s="264">
        <f>IF(F23=0,Thermostat!$B$4,Thermostat!$B$3)</f>
        <v>60</v>
      </c>
      <c r="G26" s="264">
        <f>IF(G23=0,Thermostat!$B$4,Thermostat!$B$3)</f>
        <v>60</v>
      </c>
      <c r="H26" s="264">
        <f>IF(H23=0,Thermostat!$B$4,Thermostat!$B$3)</f>
        <v>60</v>
      </c>
      <c r="I26" s="264">
        <f>IF(I23=0,Thermostat!$B$4,Thermostat!$B$3)</f>
        <v>60</v>
      </c>
      <c r="J26" s="264">
        <f>IF(J23=0,Thermostat!$B$4,Thermostat!$B$3)</f>
        <v>60</v>
      </c>
      <c r="K26" s="264">
        <f>IF(K23=0,Thermostat!$B$4,Thermostat!$B$3)</f>
        <v>60</v>
      </c>
      <c r="L26" s="264">
        <f>IF(L23=0,Thermostat!$B$4,Thermostat!$B$3)</f>
        <v>60</v>
      </c>
      <c r="M26" s="264">
        <f>IF(M23=0,Thermostat!$B$4,Thermostat!$B$3)</f>
        <v>70</v>
      </c>
      <c r="N26" s="264">
        <f>IF(N23=0,Thermostat!$B$4,Thermostat!$B$3)</f>
        <v>70</v>
      </c>
      <c r="O26" s="264">
        <f>IF(O23=0,Thermostat!$B$4,Thermostat!$B$3)</f>
        <v>70</v>
      </c>
      <c r="P26" s="264">
        <f>IF(P23=0,Thermostat!$B$4,Thermostat!$B$3)</f>
        <v>70</v>
      </c>
      <c r="Q26" s="264">
        <f>IF(Q23=0,Thermostat!$B$4,Thermostat!$B$3)</f>
        <v>70</v>
      </c>
      <c r="R26" s="264">
        <f>IF(R23=0,Thermostat!$B$4,Thermostat!$B$3)</f>
        <v>70</v>
      </c>
      <c r="S26" s="264">
        <f>IF(S23=0,Thermostat!$B$4,Thermostat!$B$3)</f>
        <v>60</v>
      </c>
      <c r="T26" s="264">
        <f>IF(T23=0,Thermostat!$B$4,Thermostat!$B$3)</f>
        <v>60</v>
      </c>
      <c r="U26" s="264">
        <f>IF(U23=0,Thermostat!$B$4,Thermostat!$B$3)</f>
        <v>60</v>
      </c>
      <c r="V26" s="264">
        <f>IF(V23=0,Thermostat!$B$4,Thermostat!$B$3)</f>
        <v>60</v>
      </c>
      <c r="W26" s="264">
        <f>IF(W23=0,Thermostat!$B$4,Thermostat!$B$3)</f>
        <v>60</v>
      </c>
      <c r="X26" s="264">
        <f>IF(X23=0,Thermostat!$B$4,Thermostat!$B$3)</f>
        <v>60</v>
      </c>
      <c r="Y26" s="264">
        <f>IF(Y23=0,Thermostat!$B$4,Thermostat!$B$3)</f>
        <v>60</v>
      </c>
      <c r="Z26" s="264">
        <f>IF(Z23=0,Thermostat!$B$4,Thermostat!$B$3)</f>
        <v>60</v>
      </c>
      <c r="AA26" s="264">
        <f>IF(AA23=0,Thermostat!$B$4,Thermostat!$B$3)</f>
        <v>60</v>
      </c>
      <c r="AB26" s="264">
        <f>IF(AB23=0,Thermostat!$B$4,Thermostat!$B$3)</f>
        <v>60</v>
      </c>
      <c r="AC26" s="264">
        <f>IF(AC23=0,Thermostat!$B$4,Thermostat!$B$3)</f>
        <v>60</v>
      </c>
      <c r="AD26" s="45"/>
      <c r="AE26" s="44"/>
      <c r="AF26" s="44"/>
      <c r="AG26" s="44"/>
      <c r="AH26" s="44"/>
      <c r="AI26" s="44"/>
      <c r="AJ26" s="44"/>
      <c r="AK26" s="44"/>
      <c r="AM26" s="55"/>
    </row>
    <row r="27" spans="1:39" ht="36" customHeight="1" thickBot="1" x14ac:dyDescent="0.3">
      <c r="A27" s="421"/>
      <c r="B27" s="461"/>
      <c r="C27" s="447"/>
      <c r="D27" s="418"/>
      <c r="E27" s="288" t="s">
        <v>462</v>
      </c>
      <c r="F27" s="266">
        <f>IF(F24=0,Thermostat!$B$4,Thermostat!$B$3)</f>
        <v>60</v>
      </c>
      <c r="G27" s="266">
        <f>IF(G24=0,Thermostat!$B$4,Thermostat!$B$3)</f>
        <v>60</v>
      </c>
      <c r="H27" s="266">
        <f>IF(H24=0,Thermostat!$B$4,Thermostat!$B$3)</f>
        <v>60</v>
      </c>
      <c r="I27" s="266">
        <f>IF(I24=0,Thermostat!$B$4,Thermostat!$B$3)</f>
        <v>60</v>
      </c>
      <c r="J27" s="266">
        <f>IF(J24=0,Thermostat!$B$4,Thermostat!$B$3)</f>
        <v>60</v>
      </c>
      <c r="K27" s="266">
        <f>IF(K24=0,Thermostat!$B$4,Thermostat!$B$3)</f>
        <v>60</v>
      </c>
      <c r="L27" s="266">
        <f>IF(L24=0,Thermostat!$B$4,Thermostat!$B$3)</f>
        <v>60</v>
      </c>
      <c r="M27" s="266">
        <f>IF(M24=0,Thermostat!$B$4,Thermostat!$B$3)</f>
        <v>60</v>
      </c>
      <c r="N27" s="266">
        <f>IF(N24=0,Thermostat!$B$4,Thermostat!$B$3)</f>
        <v>60</v>
      </c>
      <c r="O27" s="266">
        <f>IF(O24=0,Thermostat!$B$4,Thermostat!$B$3)</f>
        <v>60</v>
      </c>
      <c r="P27" s="266">
        <f>IF(P24=0,Thermostat!$B$4,Thermostat!$B$3)</f>
        <v>60</v>
      </c>
      <c r="Q27" s="266">
        <f>IF(Q24=0,Thermostat!$B$4,Thermostat!$B$3)</f>
        <v>60</v>
      </c>
      <c r="R27" s="266">
        <f>IF(R24=0,Thermostat!$B$4,Thermostat!$B$3)</f>
        <v>60</v>
      </c>
      <c r="S27" s="266">
        <f>IF(S24=0,Thermostat!$B$4,Thermostat!$B$3)</f>
        <v>60</v>
      </c>
      <c r="T27" s="266">
        <f>IF(T24=0,Thermostat!$B$4,Thermostat!$B$3)</f>
        <v>60</v>
      </c>
      <c r="U27" s="266">
        <f>IF(U24=0,Thermostat!$B$4,Thermostat!$B$3)</f>
        <v>60</v>
      </c>
      <c r="V27" s="266">
        <f>IF(V24=0,Thermostat!$B$4,Thermostat!$B$3)</f>
        <v>60</v>
      </c>
      <c r="W27" s="266">
        <f>IF(W24=0,Thermostat!$B$4,Thermostat!$B$3)</f>
        <v>60</v>
      </c>
      <c r="X27" s="266">
        <f>IF(X24=0,Thermostat!$B$4,Thermostat!$B$3)</f>
        <v>60</v>
      </c>
      <c r="Y27" s="266">
        <f>IF(Y24=0,Thermostat!$B$4,Thermostat!$B$3)</f>
        <v>60</v>
      </c>
      <c r="Z27" s="266">
        <f>IF(Z24=0,Thermostat!$B$4,Thermostat!$B$3)</f>
        <v>60</v>
      </c>
      <c r="AA27" s="266">
        <f>IF(AA24=0,Thermostat!$B$4,Thermostat!$B$3)</f>
        <v>60</v>
      </c>
      <c r="AB27" s="266">
        <f>IF(AB24=0,Thermostat!$B$4,Thermostat!$B$3)</f>
        <v>60</v>
      </c>
      <c r="AC27" s="266">
        <f>IF(AC24=0,Thermostat!$B$4,Thermostat!$B$3)</f>
        <v>60</v>
      </c>
      <c r="AD27" s="45"/>
      <c r="AE27" s="44"/>
      <c r="AF27" s="44"/>
      <c r="AG27" s="44"/>
      <c r="AH27" s="44"/>
      <c r="AI27" s="44"/>
      <c r="AJ27" s="44"/>
      <c r="AK27" s="44"/>
      <c r="AM27" s="55"/>
    </row>
    <row r="28" spans="1:39" ht="36" customHeight="1" x14ac:dyDescent="0.25">
      <c r="A28" s="448" t="s">
        <v>456</v>
      </c>
      <c r="B28" s="459" t="s">
        <v>457</v>
      </c>
      <c r="C28" s="445" t="s">
        <v>471</v>
      </c>
      <c r="D28" s="416" t="s">
        <v>470</v>
      </c>
      <c r="E28" s="291" t="s">
        <v>460</v>
      </c>
      <c r="F28" s="262">
        <f>IF(F22=0,Thermostat!$B$6,Thermostat!$B$5)</f>
        <v>85</v>
      </c>
      <c r="G28" s="262">
        <f>IF(G22=0,Thermostat!$B$6,Thermostat!$B$5)</f>
        <v>85</v>
      </c>
      <c r="H28" s="262">
        <f>IF(H22=0,Thermostat!$B$6,Thermostat!$B$5)</f>
        <v>85</v>
      </c>
      <c r="I28" s="262">
        <f>IF(I22=0,Thermostat!$B$6,Thermostat!$B$5)</f>
        <v>85</v>
      </c>
      <c r="J28" s="262">
        <f>IF(J22=0,Thermostat!$B$6,Thermostat!$B$5)</f>
        <v>85</v>
      </c>
      <c r="K28" s="262">
        <f>IF(K22=0,Thermostat!$B$6,Thermostat!$B$5)</f>
        <v>85</v>
      </c>
      <c r="L28" s="262">
        <f>IF(L22=0,Thermostat!$B$6,Thermostat!$B$5)</f>
        <v>75</v>
      </c>
      <c r="M28" s="262">
        <f>IF(M22=0,Thermostat!$B$6,Thermostat!$B$5)</f>
        <v>75</v>
      </c>
      <c r="N28" s="262">
        <f>IF(N22=0,Thermostat!$B$6,Thermostat!$B$5)</f>
        <v>75</v>
      </c>
      <c r="O28" s="262">
        <f>IF(O22=0,Thermostat!$B$6,Thermostat!$B$5)</f>
        <v>75</v>
      </c>
      <c r="P28" s="262">
        <f>IF(P22=0,Thermostat!$B$6,Thermostat!$B$5)</f>
        <v>75</v>
      </c>
      <c r="Q28" s="262">
        <f>IF(Q22=0,Thermostat!$B$6,Thermostat!$B$5)</f>
        <v>75</v>
      </c>
      <c r="R28" s="262">
        <f>IF(R22=0,Thermostat!$B$6,Thermostat!$B$5)</f>
        <v>75</v>
      </c>
      <c r="S28" s="262">
        <f>IF(S22=0,Thermostat!$B$6,Thermostat!$B$5)</f>
        <v>75</v>
      </c>
      <c r="T28" s="262">
        <f>IF(T22=0,Thermostat!$B$6,Thermostat!$B$5)</f>
        <v>75</v>
      </c>
      <c r="U28" s="262">
        <f>IF(U22=0,Thermostat!$B$6,Thermostat!$B$5)</f>
        <v>75</v>
      </c>
      <c r="V28" s="262">
        <f>IF(V22=0,Thermostat!$B$6,Thermostat!$B$5)</f>
        <v>75</v>
      </c>
      <c r="W28" s="262">
        <f>IF(W22=0,Thermostat!$B$6,Thermostat!$B$5)</f>
        <v>75</v>
      </c>
      <c r="X28" s="262">
        <f>IF(X22=0,Thermostat!$B$6,Thermostat!$B$5)</f>
        <v>75</v>
      </c>
      <c r="Y28" s="262">
        <f>IF(Y22=0,Thermostat!$B$6,Thermostat!$B$5)</f>
        <v>75</v>
      </c>
      <c r="Z28" s="262">
        <f>IF(Z22=0,Thermostat!$B$6,Thermostat!$B$5)</f>
        <v>75</v>
      </c>
      <c r="AA28" s="262">
        <f>IF(AA22=0,Thermostat!$B$6,Thermostat!$B$5)</f>
        <v>75</v>
      </c>
      <c r="AB28" s="262">
        <f>IF(AB22=0,Thermostat!$B$6,Thermostat!$B$5)</f>
        <v>85</v>
      </c>
      <c r="AC28" s="262">
        <f>IF(AC22=0,Thermostat!$B$6,Thermostat!$B$5)</f>
        <v>85</v>
      </c>
      <c r="AD28" s="45"/>
      <c r="AE28" s="44"/>
      <c r="AF28" s="44"/>
      <c r="AG28" s="44"/>
      <c r="AH28" s="44"/>
      <c r="AI28" s="44"/>
      <c r="AJ28" s="44"/>
      <c r="AK28" s="44"/>
      <c r="AM28" s="55"/>
    </row>
    <row r="29" spans="1:39" ht="36" customHeight="1" x14ac:dyDescent="0.25">
      <c r="A29" s="420"/>
      <c r="B29" s="460"/>
      <c r="C29" s="446"/>
      <c r="D29" s="417"/>
      <c r="E29" s="285" t="s">
        <v>461</v>
      </c>
      <c r="F29" s="264">
        <f>IF(F23=0,Thermostat!$B$6,Thermostat!$B$5)</f>
        <v>85</v>
      </c>
      <c r="G29" s="264">
        <f>IF(G23=0,Thermostat!$B$6,Thermostat!$B$5)</f>
        <v>85</v>
      </c>
      <c r="H29" s="264">
        <f>IF(H23=0,Thermostat!$B$6,Thermostat!$B$5)</f>
        <v>85</v>
      </c>
      <c r="I29" s="264">
        <f>IF(I23=0,Thermostat!$B$6,Thermostat!$B$5)</f>
        <v>85</v>
      </c>
      <c r="J29" s="264">
        <f>IF(J23=0,Thermostat!$B$6,Thermostat!$B$5)</f>
        <v>85</v>
      </c>
      <c r="K29" s="264">
        <f>IF(K23=0,Thermostat!$B$6,Thermostat!$B$5)</f>
        <v>85</v>
      </c>
      <c r="L29" s="264">
        <f>IF(L23=0,Thermostat!$B$6,Thermostat!$B$5)</f>
        <v>85</v>
      </c>
      <c r="M29" s="264">
        <f>IF(M23=0,Thermostat!$B$6,Thermostat!$B$5)</f>
        <v>75</v>
      </c>
      <c r="N29" s="264">
        <f>IF(N23=0,Thermostat!$B$6,Thermostat!$B$5)</f>
        <v>75</v>
      </c>
      <c r="O29" s="264">
        <f>IF(O23=0,Thermostat!$B$6,Thermostat!$B$5)</f>
        <v>75</v>
      </c>
      <c r="P29" s="264">
        <f>IF(P23=0,Thermostat!$B$6,Thermostat!$B$5)</f>
        <v>75</v>
      </c>
      <c r="Q29" s="264">
        <f>IF(Q23=0,Thermostat!$B$6,Thermostat!$B$5)</f>
        <v>75</v>
      </c>
      <c r="R29" s="264">
        <f>IF(R23=0,Thermostat!$B$6,Thermostat!$B$5)</f>
        <v>75</v>
      </c>
      <c r="S29" s="264">
        <f>IF(S23=0,Thermostat!$B$6,Thermostat!$B$5)</f>
        <v>85</v>
      </c>
      <c r="T29" s="264">
        <f>IF(T23=0,Thermostat!$B$6,Thermostat!$B$5)</f>
        <v>85</v>
      </c>
      <c r="U29" s="264">
        <f>IF(U23=0,Thermostat!$B$6,Thermostat!$B$5)</f>
        <v>85</v>
      </c>
      <c r="V29" s="264">
        <f>IF(V23=0,Thermostat!$B$6,Thermostat!$B$5)</f>
        <v>85</v>
      </c>
      <c r="W29" s="264">
        <f>IF(W23=0,Thermostat!$B$6,Thermostat!$B$5)</f>
        <v>85</v>
      </c>
      <c r="X29" s="264">
        <f>IF(X23=0,Thermostat!$B$6,Thermostat!$B$5)</f>
        <v>85</v>
      </c>
      <c r="Y29" s="264">
        <f>IF(Y23=0,Thermostat!$B$6,Thermostat!$B$5)</f>
        <v>85</v>
      </c>
      <c r="Z29" s="264">
        <f>IF(Z23=0,Thermostat!$B$6,Thermostat!$B$5)</f>
        <v>85</v>
      </c>
      <c r="AA29" s="264">
        <f>IF(AA23=0,Thermostat!$B$6,Thermostat!$B$5)</f>
        <v>85</v>
      </c>
      <c r="AB29" s="264">
        <f>IF(AB23=0,Thermostat!$B$6,Thermostat!$B$5)</f>
        <v>85</v>
      </c>
      <c r="AC29" s="264">
        <f>IF(AC23=0,Thermostat!$B$6,Thermostat!$B$5)</f>
        <v>85</v>
      </c>
      <c r="AD29" s="45"/>
      <c r="AE29" s="44"/>
      <c r="AF29" s="44"/>
      <c r="AG29" s="44"/>
      <c r="AH29" s="44"/>
      <c r="AI29" s="44"/>
      <c r="AJ29" s="44"/>
      <c r="AK29" s="44"/>
      <c r="AM29" s="55"/>
    </row>
    <row r="30" spans="1:39" ht="36" customHeight="1" thickBot="1" x14ac:dyDescent="0.3">
      <c r="A30" s="421"/>
      <c r="B30" s="461"/>
      <c r="C30" s="447"/>
      <c r="D30" s="418"/>
      <c r="E30" s="288" t="s">
        <v>462</v>
      </c>
      <c r="F30" s="266">
        <f>IF(F24=0,Thermostat!$B$6,Thermostat!$B$5)</f>
        <v>85</v>
      </c>
      <c r="G30" s="266">
        <f>IF(G24=0,Thermostat!$B$6,Thermostat!$B$5)</f>
        <v>85</v>
      </c>
      <c r="H30" s="266">
        <f>IF(H24=0,Thermostat!$B$6,Thermostat!$B$5)</f>
        <v>85</v>
      </c>
      <c r="I30" s="266">
        <f>IF(I24=0,Thermostat!$B$6,Thermostat!$B$5)</f>
        <v>85</v>
      </c>
      <c r="J30" s="266">
        <f>IF(J24=0,Thermostat!$B$6,Thermostat!$B$5)</f>
        <v>85</v>
      </c>
      <c r="K30" s="266">
        <f>IF(K24=0,Thermostat!$B$6,Thermostat!$B$5)</f>
        <v>85</v>
      </c>
      <c r="L30" s="266">
        <f>IF(L24=0,Thermostat!$B$6,Thermostat!$B$5)</f>
        <v>85</v>
      </c>
      <c r="M30" s="266">
        <f>IF(M24=0,Thermostat!$B$6,Thermostat!$B$5)</f>
        <v>85</v>
      </c>
      <c r="N30" s="266">
        <f>IF(N24=0,Thermostat!$B$6,Thermostat!$B$5)</f>
        <v>85</v>
      </c>
      <c r="O30" s="266">
        <f>IF(O24=0,Thermostat!$B$6,Thermostat!$B$5)</f>
        <v>85</v>
      </c>
      <c r="P30" s="266">
        <f>IF(P24=0,Thermostat!$B$6,Thermostat!$B$5)</f>
        <v>85</v>
      </c>
      <c r="Q30" s="266">
        <f>IF(Q24=0,Thermostat!$B$6,Thermostat!$B$5)</f>
        <v>85</v>
      </c>
      <c r="R30" s="266">
        <f>IF(R24=0,Thermostat!$B$6,Thermostat!$B$5)</f>
        <v>85</v>
      </c>
      <c r="S30" s="266">
        <f>IF(S24=0,Thermostat!$B$6,Thermostat!$B$5)</f>
        <v>85</v>
      </c>
      <c r="T30" s="266">
        <f>IF(T24=0,Thermostat!$B$6,Thermostat!$B$5)</f>
        <v>85</v>
      </c>
      <c r="U30" s="266">
        <f>IF(U24=0,Thermostat!$B$6,Thermostat!$B$5)</f>
        <v>85</v>
      </c>
      <c r="V30" s="266">
        <f>IF(V24=0,Thermostat!$B$6,Thermostat!$B$5)</f>
        <v>85</v>
      </c>
      <c r="W30" s="266">
        <f>IF(W24=0,Thermostat!$B$6,Thermostat!$B$5)</f>
        <v>85</v>
      </c>
      <c r="X30" s="266">
        <f>IF(X24=0,Thermostat!$B$6,Thermostat!$B$5)</f>
        <v>85</v>
      </c>
      <c r="Y30" s="266">
        <f>IF(Y24=0,Thermostat!$B$6,Thermostat!$B$5)</f>
        <v>85</v>
      </c>
      <c r="Z30" s="266">
        <f>IF(Z24=0,Thermostat!$B$6,Thermostat!$B$5)</f>
        <v>85</v>
      </c>
      <c r="AA30" s="266">
        <f>IF(AA24=0,Thermostat!$B$6,Thermostat!$B$5)</f>
        <v>85</v>
      </c>
      <c r="AB30" s="266">
        <f>IF(AB24=0,Thermostat!$B$6,Thermostat!$B$5)</f>
        <v>85</v>
      </c>
      <c r="AC30" s="266">
        <f>IF(AC24=0,Thermostat!$B$6,Thermostat!$B$5)</f>
        <v>85</v>
      </c>
      <c r="AD30" s="45"/>
      <c r="AE30" s="44"/>
      <c r="AF30" s="44"/>
      <c r="AG30" s="44"/>
      <c r="AH30" s="44"/>
      <c r="AI30" s="44"/>
      <c r="AJ30" s="44"/>
      <c r="AK30" s="44"/>
      <c r="AM30" s="55"/>
    </row>
    <row r="31" spans="1:39" ht="36" customHeight="1" x14ac:dyDescent="0.25">
      <c r="A31" s="448" t="s">
        <v>456</v>
      </c>
      <c r="B31" s="459" t="s">
        <v>457</v>
      </c>
      <c r="C31" s="445" t="s">
        <v>267</v>
      </c>
      <c r="D31" s="416" t="s">
        <v>470</v>
      </c>
      <c r="E31" s="291" t="s">
        <v>460</v>
      </c>
      <c r="F31" s="254">
        <v>1</v>
      </c>
      <c r="G31" s="254">
        <v>1</v>
      </c>
      <c r="H31" s="254">
        <v>1</v>
      </c>
      <c r="I31" s="254">
        <v>1</v>
      </c>
      <c r="J31" s="254">
        <v>1</v>
      </c>
      <c r="K31" s="254">
        <v>1</v>
      </c>
      <c r="L31" s="254">
        <v>1</v>
      </c>
      <c r="M31" s="254">
        <v>0.25</v>
      </c>
      <c r="N31" s="254">
        <v>0.25</v>
      </c>
      <c r="O31" s="254">
        <v>0.25</v>
      </c>
      <c r="P31" s="254">
        <v>0.25</v>
      </c>
      <c r="Q31" s="254">
        <v>0.25</v>
      </c>
      <c r="R31" s="254">
        <v>0.25</v>
      </c>
      <c r="S31" s="254">
        <v>0.25</v>
      </c>
      <c r="T31" s="254">
        <v>0.25</v>
      </c>
      <c r="U31" s="254">
        <v>0.25</v>
      </c>
      <c r="V31" s="254">
        <v>1</v>
      </c>
      <c r="W31" s="254">
        <v>1</v>
      </c>
      <c r="X31" s="254">
        <v>1</v>
      </c>
      <c r="Y31" s="254">
        <v>1</v>
      </c>
      <c r="Z31" s="254">
        <v>1</v>
      </c>
      <c r="AA31" s="254">
        <v>1</v>
      </c>
      <c r="AB31" s="254">
        <v>1</v>
      </c>
      <c r="AC31" s="254">
        <v>1</v>
      </c>
      <c r="AD31" s="45"/>
      <c r="AE31" s="44"/>
      <c r="AF31" s="44"/>
      <c r="AG31" s="44"/>
      <c r="AH31" s="44"/>
      <c r="AI31" s="44"/>
      <c r="AJ31" s="44"/>
      <c r="AK31" s="44"/>
      <c r="AM31" s="55"/>
    </row>
    <row r="32" spans="1:39" ht="36" customHeight="1" x14ac:dyDescent="0.25">
      <c r="A32" s="420"/>
      <c r="B32" s="460"/>
      <c r="C32" s="446"/>
      <c r="D32" s="417"/>
      <c r="E32" s="285" t="s">
        <v>461</v>
      </c>
      <c r="F32" s="309">
        <v>1</v>
      </c>
      <c r="G32" s="309">
        <v>1</v>
      </c>
      <c r="H32" s="309">
        <v>1</v>
      </c>
      <c r="I32" s="309">
        <v>1</v>
      </c>
      <c r="J32" s="309">
        <v>1</v>
      </c>
      <c r="K32" s="309">
        <v>1</v>
      </c>
      <c r="L32" s="309">
        <v>1</v>
      </c>
      <c r="M32" s="309">
        <v>1</v>
      </c>
      <c r="N32" s="309">
        <v>1</v>
      </c>
      <c r="O32" s="309">
        <v>1</v>
      </c>
      <c r="P32" s="309">
        <v>1</v>
      </c>
      <c r="Q32" s="309">
        <v>1</v>
      </c>
      <c r="R32" s="309">
        <v>1</v>
      </c>
      <c r="S32" s="309">
        <v>1</v>
      </c>
      <c r="T32" s="309">
        <v>1</v>
      </c>
      <c r="U32" s="309">
        <v>1</v>
      </c>
      <c r="V32" s="309">
        <v>1</v>
      </c>
      <c r="W32" s="309">
        <v>1</v>
      </c>
      <c r="X32" s="309">
        <v>1</v>
      </c>
      <c r="Y32" s="309">
        <v>1</v>
      </c>
      <c r="Z32" s="309">
        <v>1</v>
      </c>
      <c r="AA32" s="309">
        <v>1</v>
      </c>
      <c r="AB32" s="309">
        <v>1</v>
      </c>
      <c r="AC32" s="309">
        <v>1</v>
      </c>
      <c r="AD32" s="45"/>
      <c r="AE32" s="44"/>
      <c r="AF32" s="44"/>
      <c r="AG32" s="44"/>
      <c r="AH32" s="44"/>
      <c r="AI32" s="44"/>
      <c r="AJ32" s="44"/>
      <c r="AK32" s="44"/>
      <c r="AM32" s="55"/>
    </row>
    <row r="33" spans="1:39" ht="36" customHeight="1" thickBot="1" x14ac:dyDescent="0.3">
      <c r="A33" s="421"/>
      <c r="B33" s="461"/>
      <c r="C33" s="447"/>
      <c r="D33" s="418"/>
      <c r="E33" s="288" t="s">
        <v>462</v>
      </c>
      <c r="F33" s="310">
        <v>1</v>
      </c>
      <c r="G33" s="310">
        <v>1</v>
      </c>
      <c r="H33" s="310">
        <v>1</v>
      </c>
      <c r="I33" s="310">
        <v>1</v>
      </c>
      <c r="J33" s="310">
        <v>1</v>
      </c>
      <c r="K33" s="310">
        <v>1</v>
      </c>
      <c r="L33" s="310">
        <v>1</v>
      </c>
      <c r="M33" s="310">
        <v>1</v>
      </c>
      <c r="N33" s="310">
        <v>1</v>
      </c>
      <c r="O33" s="310">
        <v>1</v>
      </c>
      <c r="P33" s="310">
        <v>1</v>
      </c>
      <c r="Q33" s="310">
        <v>1</v>
      </c>
      <c r="R33" s="310">
        <v>1</v>
      </c>
      <c r="S33" s="310">
        <v>1</v>
      </c>
      <c r="T33" s="310">
        <v>1</v>
      </c>
      <c r="U33" s="310">
        <v>1</v>
      </c>
      <c r="V33" s="310">
        <v>1</v>
      </c>
      <c r="W33" s="310">
        <v>1</v>
      </c>
      <c r="X33" s="310">
        <v>1</v>
      </c>
      <c r="Y33" s="310">
        <v>1</v>
      </c>
      <c r="Z33" s="310">
        <v>1</v>
      </c>
      <c r="AA33" s="310">
        <v>1</v>
      </c>
      <c r="AB33" s="310">
        <v>1</v>
      </c>
      <c r="AC33" s="310">
        <v>1</v>
      </c>
      <c r="AD33" s="45"/>
      <c r="AE33" s="44"/>
      <c r="AF33" s="44"/>
      <c r="AG33" s="44"/>
      <c r="AH33" s="44"/>
      <c r="AI33" s="44"/>
      <c r="AJ33" s="44"/>
      <c r="AK33" s="44"/>
      <c r="AM33" s="55"/>
    </row>
    <row r="34" spans="1:39" ht="35.25" customHeight="1" thickBot="1" x14ac:dyDescent="0.3">
      <c r="A34" s="484" t="s">
        <v>93</v>
      </c>
      <c r="B34" s="484"/>
      <c r="C34" s="484" t="s">
        <v>16</v>
      </c>
      <c r="D34" s="484"/>
      <c r="E34" s="484"/>
      <c r="F34" s="484"/>
      <c r="G34" s="484"/>
      <c r="H34" s="484"/>
      <c r="I34" s="484"/>
      <c r="J34" s="484"/>
      <c r="K34" s="484"/>
      <c r="L34" s="484"/>
      <c r="M34" s="484"/>
      <c r="N34" s="484"/>
      <c r="O34" s="484"/>
      <c r="P34" s="484"/>
      <c r="Q34" s="484"/>
      <c r="R34" s="484"/>
      <c r="S34" s="484"/>
      <c r="T34" s="484"/>
      <c r="U34" s="484"/>
      <c r="V34" s="484"/>
      <c r="W34" s="484"/>
      <c r="X34" s="484"/>
      <c r="Y34" s="484"/>
      <c r="Z34" s="484"/>
      <c r="AA34" s="484"/>
      <c r="AB34" s="484"/>
      <c r="AC34" s="485"/>
    </row>
    <row r="35" spans="1:39" s="292" customFormat="1" ht="25.15" customHeight="1" x14ac:dyDescent="0.2">
      <c r="A35" s="465" t="s">
        <v>472</v>
      </c>
      <c r="B35" s="459" t="s">
        <v>93</v>
      </c>
      <c r="C35" s="459" t="s">
        <v>458</v>
      </c>
      <c r="D35" s="462" t="s">
        <v>470</v>
      </c>
      <c r="E35" s="291" t="s">
        <v>460</v>
      </c>
      <c r="F35" s="254">
        <v>0</v>
      </c>
      <c r="G35" s="254">
        <v>0</v>
      </c>
      <c r="H35" s="254">
        <v>0</v>
      </c>
      <c r="I35" s="254">
        <v>0</v>
      </c>
      <c r="J35" s="254">
        <v>0</v>
      </c>
      <c r="K35" s="254">
        <v>0.1</v>
      </c>
      <c r="L35" s="254">
        <v>0.5</v>
      </c>
      <c r="M35" s="254">
        <v>0.95</v>
      </c>
      <c r="N35" s="254">
        <v>0.95</v>
      </c>
      <c r="O35" s="254">
        <v>0.95</v>
      </c>
      <c r="P35" s="254">
        <v>0.95</v>
      </c>
      <c r="Q35" s="254">
        <v>0.95</v>
      </c>
      <c r="R35" s="254">
        <v>0.95</v>
      </c>
      <c r="S35" s="254">
        <v>0.95</v>
      </c>
      <c r="T35" s="254">
        <v>0.5</v>
      </c>
      <c r="U35" s="254">
        <v>0</v>
      </c>
      <c r="V35" s="254">
        <v>0</v>
      </c>
      <c r="W35" s="254">
        <v>0</v>
      </c>
      <c r="X35" s="254">
        <v>0</v>
      </c>
      <c r="Y35" s="254">
        <v>0</v>
      </c>
      <c r="Z35" s="254">
        <v>0</v>
      </c>
      <c r="AA35" s="254">
        <v>0</v>
      </c>
      <c r="AB35" s="254">
        <v>0</v>
      </c>
      <c r="AC35" s="255">
        <v>0</v>
      </c>
      <c r="AD35" s="44"/>
      <c r="AE35" s="44"/>
      <c r="AF35" s="44"/>
      <c r="AG35" s="44"/>
      <c r="AH35" s="44"/>
      <c r="AI35" s="44"/>
      <c r="AJ35" s="44"/>
    </row>
    <row r="36" spans="1:39" s="292" customFormat="1" ht="25.15" customHeight="1" x14ac:dyDescent="0.2">
      <c r="A36" s="466"/>
      <c r="B36" s="460"/>
      <c r="C36" s="460"/>
      <c r="D36" s="463"/>
      <c r="E36" s="285" t="s">
        <v>461</v>
      </c>
      <c r="F36" s="256">
        <v>0</v>
      </c>
      <c r="G36" s="256">
        <v>0</v>
      </c>
      <c r="H36" s="256">
        <v>0</v>
      </c>
      <c r="I36" s="256">
        <v>0</v>
      </c>
      <c r="J36" s="256">
        <v>0</v>
      </c>
      <c r="K36" s="256">
        <v>0</v>
      </c>
      <c r="L36" s="256">
        <v>0</v>
      </c>
      <c r="M36" s="256">
        <v>0</v>
      </c>
      <c r="N36" s="256">
        <v>0</v>
      </c>
      <c r="O36" s="256">
        <v>0</v>
      </c>
      <c r="P36" s="256">
        <v>0</v>
      </c>
      <c r="Q36" s="256">
        <v>0</v>
      </c>
      <c r="R36" s="256">
        <v>0</v>
      </c>
      <c r="S36" s="256">
        <v>0</v>
      </c>
      <c r="T36" s="256">
        <v>0</v>
      </c>
      <c r="U36" s="256">
        <v>0</v>
      </c>
      <c r="V36" s="256">
        <v>0</v>
      </c>
      <c r="W36" s="256">
        <v>0</v>
      </c>
      <c r="X36" s="256">
        <v>0</v>
      </c>
      <c r="Y36" s="256">
        <v>0</v>
      </c>
      <c r="Z36" s="256">
        <v>0</v>
      </c>
      <c r="AA36" s="256">
        <v>0</v>
      </c>
      <c r="AB36" s="256">
        <v>0</v>
      </c>
      <c r="AC36" s="257">
        <v>0</v>
      </c>
      <c r="AD36" s="44"/>
      <c r="AE36" s="44"/>
      <c r="AF36" s="44"/>
      <c r="AG36" s="44"/>
      <c r="AH36" s="44"/>
      <c r="AI36" s="44"/>
      <c r="AJ36" s="44"/>
    </row>
    <row r="37" spans="1:39" s="292" customFormat="1" ht="25.15" customHeight="1" thickBot="1" x14ac:dyDescent="0.25">
      <c r="A37" s="467"/>
      <c r="B37" s="461"/>
      <c r="C37" s="461"/>
      <c r="D37" s="464"/>
      <c r="E37" s="288" t="s">
        <v>462</v>
      </c>
      <c r="F37" s="258">
        <v>0</v>
      </c>
      <c r="G37" s="258">
        <v>0</v>
      </c>
      <c r="H37" s="258">
        <v>0</v>
      </c>
      <c r="I37" s="258">
        <v>0</v>
      </c>
      <c r="J37" s="258">
        <v>0</v>
      </c>
      <c r="K37" s="258">
        <v>0</v>
      </c>
      <c r="L37" s="258">
        <v>0</v>
      </c>
      <c r="M37" s="258">
        <v>0</v>
      </c>
      <c r="N37" s="258">
        <v>0</v>
      </c>
      <c r="O37" s="258">
        <v>0</v>
      </c>
      <c r="P37" s="258">
        <v>0</v>
      </c>
      <c r="Q37" s="258">
        <v>0</v>
      </c>
      <c r="R37" s="258">
        <v>0</v>
      </c>
      <c r="S37" s="258">
        <v>0</v>
      </c>
      <c r="T37" s="258">
        <v>0</v>
      </c>
      <c r="U37" s="258">
        <v>0</v>
      </c>
      <c r="V37" s="258">
        <v>0</v>
      </c>
      <c r="W37" s="258">
        <v>0</v>
      </c>
      <c r="X37" s="258">
        <v>0</v>
      </c>
      <c r="Y37" s="258">
        <v>0</v>
      </c>
      <c r="Z37" s="258">
        <v>0</v>
      </c>
      <c r="AA37" s="258">
        <v>0</v>
      </c>
      <c r="AB37" s="258">
        <v>0</v>
      </c>
      <c r="AC37" s="259">
        <v>0</v>
      </c>
      <c r="AD37" s="44"/>
      <c r="AE37" s="44"/>
      <c r="AF37" s="44"/>
      <c r="AG37" s="44"/>
      <c r="AH37" s="44"/>
      <c r="AI37" s="44"/>
      <c r="AJ37" s="44"/>
    </row>
    <row r="38" spans="1:39" s="292" customFormat="1" ht="25.15" customHeight="1" x14ac:dyDescent="0.2">
      <c r="A38" s="465" t="s">
        <v>472</v>
      </c>
      <c r="B38" s="459" t="s">
        <v>93</v>
      </c>
      <c r="C38" s="459" t="s">
        <v>468</v>
      </c>
      <c r="D38" s="462" t="s">
        <v>470</v>
      </c>
      <c r="E38" s="291" t="s">
        <v>460</v>
      </c>
      <c r="F38" s="260">
        <v>0</v>
      </c>
      <c r="G38" s="260">
        <v>0</v>
      </c>
      <c r="H38" s="260">
        <v>0</v>
      </c>
      <c r="I38" s="260">
        <v>0</v>
      </c>
      <c r="J38" s="260">
        <v>0</v>
      </c>
      <c r="K38" s="260">
        <v>1</v>
      </c>
      <c r="L38" s="260">
        <v>1</v>
      </c>
      <c r="M38" s="260">
        <v>1</v>
      </c>
      <c r="N38" s="260">
        <v>1</v>
      </c>
      <c r="O38" s="260">
        <v>1</v>
      </c>
      <c r="P38" s="260">
        <v>1</v>
      </c>
      <c r="Q38" s="260">
        <v>1</v>
      </c>
      <c r="R38" s="260">
        <v>1</v>
      </c>
      <c r="S38" s="260">
        <v>1</v>
      </c>
      <c r="T38" s="260">
        <v>1</v>
      </c>
      <c r="U38" s="260">
        <v>0</v>
      </c>
      <c r="V38" s="260">
        <v>0</v>
      </c>
      <c r="W38" s="260">
        <v>0</v>
      </c>
      <c r="X38" s="260">
        <v>0</v>
      </c>
      <c r="Y38" s="260">
        <v>0</v>
      </c>
      <c r="Z38" s="260">
        <v>0</v>
      </c>
      <c r="AA38" s="260">
        <v>0</v>
      </c>
      <c r="AB38" s="260">
        <v>0</v>
      </c>
      <c r="AC38" s="261">
        <v>0</v>
      </c>
      <c r="AD38" s="44"/>
      <c r="AE38" s="44"/>
      <c r="AF38" s="44"/>
      <c r="AG38" s="44"/>
      <c r="AH38" s="44"/>
      <c r="AI38" s="44"/>
      <c r="AJ38" s="44"/>
    </row>
    <row r="39" spans="1:39" s="292" customFormat="1" ht="25.15" customHeight="1" x14ac:dyDescent="0.2">
      <c r="A39" s="466"/>
      <c r="B39" s="460"/>
      <c r="C39" s="460"/>
      <c r="D39" s="463"/>
      <c r="E39" s="285" t="s">
        <v>461</v>
      </c>
      <c r="F39" s="256">
        <v>0</v>
      </c>
      <c r="G39" s="256">
        <v>0</v>
      </c>
      <c r="H39" s="256">
        <v>0</v>
      </c>
      <c r="I39" s="256">
        <v>0</v>
      </c>
      <c r="J39" s="256">
        <v>0</v>
      </c>
      <c r="K39" s="256">
        <v>0</v>
      </c>
      <c r="L39" s="256">
        <v>0</v>
      </c>
      <c r="M39" s="256">
        <v>0</v>
      </c>
      <c r="N39" s="256">
        <v>0</v>
      </c>
      <c r="O39" s="256">
        <v>0</v>
      </c>
      <c r="P39" s="256">
        <v>0</v>
      </c>
      <c r="Q39" s="256">
        <v>0</v>
      </c>
      <c r="R39" s="256">
        <v>0</v>
      </c>
      <c r="S39" s="256">
        <v>0</v>
      </c>
      <c r="T39" s="256">
        <v>0</v>
      </c>
      <c r="U39" s="256">
        <v>0</v>
      </c>
      <c r="V39" s="256">
        <v>0</v>
      </c>
      <c r="W39" s="256">
        <v>0</v>
      </c>
      <c r="X39" s="256">
        <v>0</v>
      </c>
      <c r="Y39" s="256">
        <v>0</v>
      </c>
      <c r="Z39" s="256">
        <v>0</v>
      </c>
      <c r="AA39" s="256">
        <v>0</v>
      </c>
      <c r="AB39" s="256">
        <v>0</v>
      </c>
      <c r="AC39" s="257">
        <v>0</v>
      </c>
      <c r="AD39" s="44"/>
      <c r="AE39" s="44"/>
      <c r="AF39" s="44"/>
      <c r="AG39" s="44"/>
      <c r="AH39" s="44"/>
      <c r="AI39" s="44"/>
      <c r="AJ39" s="44"/>
    </row>
    <row r="40" spans="1:39" s="292" customFormat="1" ht="25.15" customHeight="1" thickBot="1" x14ac:dyDescent="0.25">
      <c r="A40" s="467"/>
      <c r="B40" s="461"/>
      <c r="C40" s="461"/>
      <c r="D40" s="464"/>
      <c r="E40" s="288" t="s">
        <v>462</v>
      </c>
      <c r="F40" s="258">
        <v>0</v>
      </c>
      <c r="G40" s="258">
        <v>0</v>
      </c>
      <c r="H40" s="258">
        <v>0</v>
      </c>
      <c r="I40" s="258">
        <v>0</v>
      </c>
      <c r="J40" s="258">
        <v>0</v>
      </c>
      <c r="K40" s="258">
        <v>0</v>
      </c>
      <c r="L40" s="258">
        <v>0</v>
      </c>
      <c r="M40" s="258">
        <v>0</v>
      </c>
      <c r="N40" s="258">
        <v>0</v>
      </c>
      <c r="O40" s="258">
        <v>0</v>
      </c>
      <c r="P40" s="258">
        <v>0</v>
      </c>
      <c r="Q40" s="258">
        <v>0</v>
      </c>
      <c r="R40" s="258">
        <v>0</v>
      </c>
      <c r="S40" s="258">
        <v>0</v>
      </c>
      <c r="T40" s="258">
        <v>0</v>
      </c>
      <c r="U40" s="258">
        <v>0</v>
      </c>
      <c r="V40" s="258">
        <v>0</v>
      </c>
      <c r="W40" s="258">
        <v>0</v>
      </c>
      <c r="X40" s="258">
        <v>0</v>
      </c>
      <c r="Y40" s="258">
        <v>0</v>
      </c>
      <c r="Z40" s="258">
        <v>0</v>
      </c>
      <c r="AA40" s="258">
        <v>0</v>
      </c>
      <c r="AB40" s="258">
        <v>0</v>
      </c>
      <c r="AC40" s="259">
        <v>0</v>
      </c>
      <c r="AD40" s="44"/>
      <c r="AE40" s="44"/>
      <c r="AF40" s="44"/>
      <c r="AG40" s="44"/>
      <c r="AH40" s="44"/>
      <c r="AI40" s="44"/>
      <c r="AJ40" s="44"/>
    </row>
    <row r="41" spans="1:39" s="292" customFormat="1" ht="25.15" customHeight="1" x14ac:dyDescent="0.2">
      <c r="A41" s="465" t="s">
        <v>472</v>
      </c>
      <c r="B41" s="459" t="s">
        <v>93</v>
      </c>
      <c r="C41" s="459" t="s">
        <v>463</v>
      </c>
      <c r="D41" s="462" t="s">
        <v>470</v>
      </c>
      <c r="E41" s="291" t="s">
        <v>460</v>
      </c>
      <c r="F41" s="254">
        <v>0</v>
      </c>
      <c r="G41" s="254">
        <v>0</v>
      </c>
      <c r="H41" s="254">
        <v>0</v>
      </c>
      <c r="I41" s="254">
        <v>0</v>
      </c>
      <c r="J41" s="254">
        <v>0</v>
      </c>
      <c r="K41" s="254">
        <v>1</v>
      </c>
      <c r="L41" s="254">
        <v>1</v>
      </c>
      <c r="M41" s="254">
        <v>1</v>
      </c>
      <c r="N41" s="254">
        <v>1</v>
      </c>
      <c r="O41" s="254">
        <v>1</v>
      </c>
      <c r="P41" s="254">
        <v>1</v>
      </c>
      <c r="Q41" s="254">
        <v>1</v>
      </c>
      <c r="R41" s="254">
        <v>1</v>
      </c>
      <c r="S41" s="254">
        <v>1</v>
      </c>
      <c r="T41" s="254">
        <v>1</v>
      </c>
      <c r="U41" s="254">
        <v>0</v>
      </c>
      <c r="V41" s="254">
        <v>0</v>
      </c>
      <c r="W41" s="254">
        <v>0</v>
      </c>
      <c r="X41" s="254">
        <v>0</v>
      </c>
      <c r="Y41" s="254">
        <v>0</v>
      </c>
      <c r="Z41" s="254">
        <v>0</v>
      </c>
      <c r="AA41" s="254">
        <v>0</v>
      </c>
      <c r="AB41" s="254">
        <v>0</v>
      </c>
      <c r="AC41" s="255">
        <v>0</v>
      </c>
      <c r="AD41" s="44"/>
      <c r="AE41" s="44"/>
      <c r="AF41" s="44"/>
      <c r="AG41" s="44"/>
      <c r="AH41" s="44"/>
      <c r="AI41" s="44"/>
      <c r="AJ41" s="44"/>
    </row>
    <row r="42" spans="1:39" s="292" customFormat="1" ht="25.15" customHeight="1" x14ac:dyDescent="0.2">
      <c r="A42" s="466"/>
      <c r="B42" s="460"/>
      <c r="C42" s="460"/>
      <c r="D42" s="463"/>
      <c r="E42" s="285" t="s">
        <v>461</v>
      </c>
      <c r="F42" s="256">
        <v>0</v>
      </c>
      <c r="G42" s="256">
        <v>0</v>
      </c>
      <c r="H42" s="256">
        <v>0</v>
      </c>
      <c r="I42" s="256">
        <v>0</v>
      </c>
      <c r="J42" s="256">
        <v>0</v>
      </c>
      <c r="K42" s="256">
        <v>0</v>
      </c>
      <c r="L42" s="256">
        <v>0</v>
      </c>
      <c r="M42" s="256">
        <v>0</v>
      </c>
      <c r="N42" s="256">
        <v>0</v>
      </c>
      <c r="O42" s="256">
        <v>0</v>
      </c>
      <c r="P42" s="256">
        <v>0</v>
      </c>
      <c r="Q42" s="256">
        <v>0</v>
      </c>
      <c r="R42" s="256">
        <v>0</v>
      </c>
      <c r="S42" s="256">
        <v>0</v>
      </c>
      <c r="T42" s="256">
        <v>0</v>
      </c>
      <c r="U42" s="256">
        <v>0</v>
      </c>
      <c r="V42" s="256">
        <v>0</v>
      </c>
      <c r="W42" s="256">
        <v>0</v>
      </c>
      <c r="X42" s="256">
        <v>0</v>
      </c>
      <c r="Y42" s="256">
        <v>0</v>
      </c>
      <c r="Z42" s="256">
        <v>0</v>
      </c>
      <c r="AA42" s="256">
        <v>0</v>
      </c>
      <c r="AB42" s="256">
        <v>0</v>
      </c>
      <c r="AC42" s="257">
        <v>0</v>
      </c>
      <c r="AD42" s="44"/>
      <c r="AE42" s="44"/>
      <c r="AF42" s="44"/>
      <c r="AG42" s="44"/>
      <c r="AH42" s="44"/>
      <c r="AI42" s="44"/>
      <c r="AJ42" s="44"/>
    </row>
    <row r="43" spans="1:39" s="292" customFormat="1" ht="25.15" customHeight="1" thickBot="1" x14ac:dyDescent="0.25">
      <c r="A43" s="467"/>
      <c r="B43" s="461"/>
      <c r="C43" s="461"/>
      <c r="D43" s="464"/>
      <c r="E43" s="288" t="s">
        <v>462</v>
      </c>
      <c r="F43" s="258">
        <v>0</v>
      </c>
      <c r="G43" s="258">
        <v>0</v>
      </c>
      <c r="H43" s="258">
        <v>0</v>
      </c>
      <c r="I43" s="258">
        <v>0</v>
      </c>
      <c r="J43" s="258">
        <v>0</v>
      </c>
      <c r="K43" s="258">
        <v>0</v>
      </c>
      <c r="L43" s="258">
        <v>0</v>
      </c>
      <c r="M43" s="258">
        <v>0</v>
      </c>
      <c r="N43" s="258">
        <v>0</v>
      </c>
      <c r="O43" s="258">
        <v>0</v>
      </c>
      <c r="P43" s="258">
        <v>0</v>
      </c>
      <c r="Q43" s="258">
        <v>0</v>
      </c>
      <c r="R43" s="258">
        <v>0</v>
      </c>
      <c r="S43" s="258">
        <v>0</v>
      </c>
      <c r="T43" s="258">
        <v>0</v>
      </c>
      <c r="U43" s="258">
        <v>0</v>
      </c>
      <c r="V43" s="258">
        <v>0</v>
      </c>
      <c r="W43" s="258">
        <v>0</v>
      </c>
      <c r="X43" s="258">
        <v>0</v>
      </c>
      <c r="Y43" s="258">
        <v>0</v>
      </c>
      <c r="Z43" s="258">
        <v>0</v>
      </c>
      <c r="AA43" s="258">
        <v>0</v>
      </c>
      <c r="AB43" s="258">
        <v>0</v>
      </c>
      <c r="AC43" s="259">
        <v>0</v>
      </c>
      <c r="AD43" s="44"/>
      <c r="AE43" s="44"/>
      <c r="AF43" s="44"/>
      <c r="AG43" s="44"/>
      <c r="AH43" s="44"/>
      <c r="AI43" s="44"/>
      <c r="AJ43" s="44"/>
    </row>
    <row r="44" spans="1:39" s="292" customFormat="1" ht="25.15" customHeight="1" x14ac:dyDescent="0.2">
      <c r="A44" s="465" t="s">
        <v>472</v>
      </c>
      <c r="B44" s="459" t="s">
        <v>93</v>
      </c>
      <c r="C44" s="459" t="s">
        <v>464</v>
      </c>
      <c r="D44" s="462" t="s">
        <v>470</v>
      </c>
      <c r="E44" s="291" t="s">
        <v>460</v>
      </c>
      <c r="F44" s="260">
        <v>0.15</v>
      </c>
      <c r="G44" s="260">
        <v>0.15</v>
      </c>
      <c r="H44" s="260">
        <v>0.15</v>
      </c>
      <c r="I44" s="260">
        <v>0.15</v>
      </c>
      <c r="J44" s="260">
        <v>0.15</v>
      </c>
      <c r="K44" s="260">
        <v>0.2</v>
      </c>
      <c r="L44" s="260">
        <v>0.3</v>
      </c>
      <c r="M44" s="260">
        <v>0.9</v>
      </c>
      <c r="N44" s="260">
        <v>0.9</v>
      </c>
      <c r="O44" s="260">
        <v>0.8</v>
      </c>
      <c r="P44" s="260">
        <v>0.8</v>
      </c>
      <c r="Q44" s="260">
        <v>0.8</v>
      </c>
      <c r="R44" s="260">
        <v>0.9</v>
      </c>
      <c r="S44" s="260">
        <v>0.9</v>
      </c>
      <c r="T44" s="260">
        <v>0.9</v>
      </c>
      <c r="U44" s="260">
        <v>0.7</v>
      </c>
      <c r="V44" s="260">
        <v>0.2</v>
      </c>
      <c r="W44" s="260">
        <v>0.15</v>
      </c>
      <c r="X44" s="260">
        <v>0.15</v>
      </c>
      <c r="Y44" s="260">
        <v>0.15</v>
      </c>
      <c r="Z44" s="260">
        <v>0.15</v>
      </c>
      <c r="AA44" s="260">
        <v>0.15</v>
      </c>
      <c r="AB44" s="260">
        <v>0.15</v>
      </c>
      <c r="AC44" s="261">
        <v>0.15</v>
      </c>
      <c r="AD44" s="44"/>
      <c r="AE44" s="44"/>
      <c r="AF44" s="44"/>
      <c r="AG44" s="44"/>
      <c r="AH44" s="44"/>
      <c r="AI44" s="44"/>
      <c r="AJ44" s="44"/>
    </row>
    <row r="45" spans="1:39" s="292" customFormat="1" ht="25.15" customHeight="1" x14ac:dyDescent="0.2">
      <c r="A45" s="466"/>
      <c r="B45" s="460"/>
      <c r="C45" s="460"/>
      <c r="D45" s="463"/>
      <c r="E45" s="285" t="s">
        <v>461</v>
      </c>
      <c r="F45" s="256">
        <v>0</v>
      </c>
      <c r="G45" s="256">
        <v>0</v>
      </c>
      <c r="H45" s="256">
        <v>0</v>
      </c>
      <c r="I45" s="256">
        <v>0</v>
      </c>
      <c r="J45" s="256">
        <v>0</v>
      </c>
      <c r="K45" s="256">
        <v>0</v>
      </c>
      <c r="L45" s="256">
        <v>0</v>
      </c>
      <c r="M45" s="256">
        <v>0</v>
      </c>
      <c r="N45" s="256">
        <v>0</v>
      </c>
      <c r="O45" s="256">
        <v>0</v>
      </c>
      <c r="P45" s="256">
        <v>0</v>
      </c>
      <c r="Q45" s="256">
        <v>0</v>
      </c>
      <c r="R45" s="256">
        <v>0</v>
      </c>
      <c r="S45" s="256">
        <v>0</v>
      </c>
      <c r="T45" s="256">
        <v>0</v>
      </c>
      <c r="U45" s="256">
        <v>0</v>
      </c>
      <c r="V45" s="256">
        <v>0</v>
      </c>
      <c r="W45" s="256">
        <v>0</v>
      </c>
      <c r="X45" s="256">
        <v>0</v>
      </c>
      <c r="Y45" s="256">
        <v>0</v>
      </c>
      <c r="Z45" s="256">
        <v>0</v>
      </c>
      <c r="AA45" s="256">
        <v>0</v>
      </c>
      <c r="AB45" s="256">
        <v>0</v>
      </c>
      <c r="AC45" s="257">
        <v>0</v>
      </c>
      <c r="AD45" s="44"/>
      <c r="AE45" s="44"/>
      <c r="AF45" s="44"/>
      <c r="AG45" s="44"/>
      <c r="AH45" s="44"/>
      <c r="AI45" s="44"/>
      <c r="AJ45" s="44"/>
    </row>
    <row r="46" spans="1:39" s="292" customFormat="1" ht="25.15" customHeight="1" thickBot="1" x14ac:dyDescent="0.25">
      <c r="A46" s="467"/>
      <c r="B46" s="461"/>
      <c r="C46" s="461"/>
      <c r="D46" s="464"/>
      <c r="E46" s="293" t="s">
        <v>462</v>
      </c>
      <c r="F46" s="258">
        <v>0</v>
      </c>
      <c r="G46" s="258">
        <v>0</v>
      </c>
      <c r="H46" s="258">
        <v>0</v>
      </c>
      <c r="I46" s="258">
        <v>0</v>
      </c>
      <c r="J46" s="258">
        <v>0</v>
      </c>
      <c r="K46" s="258">
        <v>0</v>
      </c>
      <c r="L46" s="258">
        <v>0</v>
      </c>
      <c r="M46" s="258">
        <v>0</v>
      </c>
      <c r="N46" s="258">
        <v>0</v>
      </c>
      <c r="O46" s="258">
        <v>0</v>
      </c>
      <c r="P46" s="258">
        <v>0</v>
      </c>
      <c r="Q46" s="258">
        <v>0</v>
      </c>
      <c r="R46" s="258">
        <v>0</v>
      </c>
      <c r="S46" s="258">
        <v>0</v>
      </c>
      <c r="T46" s="258">
        <v>0</v>
      </c>
      <c r="U46" s="258">
        <v>0</v>
      </c>
      <c r="V46" s="258">
        <v>0</v>
      </c>
      <c r="W46" s="258">
        <v>0</v>
      </c>
      <c r="X46" s="258">
        <v>0</v>
      </c>
      <c r="Y46" s="258">
        <v>0</v>
      </c>
      <c r="Z46" s="258">
        <v>0</v>
      </c>
      <c r="AA46" s="258">
        <v>0</v>
      </c>
      <c r="AB46" s="258">
        <v>0</v>
      </c>
      <c r="AC46" s="259">
        <v>0</v>
      </c>
      <c r="AD46" s="44"/>
      <c r="AE46" s="44"/>
      <c r="AF46" s="44"/>
      <c r="AG46" s="44"/>
      <c r="AH46" s="44"/>
      <c r="AI46" s="44"/>
      <c r="AJ46" s="44"/>
    </row>
    <row r="47" spans="1:39" s="292" customFormat="1" ht="25.15" customHeight="1" x14ac:dyDescent="0.2">
      <c r="A47" s="465" t="s">
        <v>472</v>
      </c>
      <c r="B47" s="459" t="s">
        <v>93</v>
      </c>
      <c r="C47" s="459" t="s">
        <v>469</v>
      </c>
      <c r="D47" s="462" t="s">
        <v>470</v>
      </c>
      <c r="E47" s="294" t="s">
        <v>460</v>
      </c>
      <c r="F47" s="262">
        <f>IF(F38=0,Thermostat!$B$4,Thermostat!$B$3)</f>
        <v>60</v>
      </c>
      <c r="G47" s="262">
        <f>IF(G38=0,Thermostat!$B$4,Thermostat!$B$3)</f>
        <v>60</v>
      </c>
      <c r="H47" s="262">
        <f>IF(H38=0,Thermostat!$B$4,Thermostat!$B$3)</f>
        <v>60</v>
      </c>
      <c r="I47" s="262">
        <f>IF(I38=0,Thermostat!$B$4,Thermostat!$B$3)</f>
        <v>60</v>
      </c>
      <c r="J47" s="262">
        <f>IF(J38=0,Thermostat!$B$4,Thermostat!$B$3)</f>
        <v>60</v>
      </c>
      <c r="K47" s="262">
        <f>IF(K38=0,Thermostat!$B$4,Thermostat!$B$3)</f>
        <v>70</v>
      </c>
      <c r="L47" s="262">
        <f>IF(L38=0,Thermostat!$B$4,Thermostat!$B$3)</f>
        <v>70</v>
      </c>
      <c r="M47" s="262">
        <f>IF(M38=0,Thermostat!$B$4,Thermostat!$B$3)</f>
        <v>70</v>
      </c>
      <c r="N47" s="262">
        <f>IF(N38=0,Thermostat!$B$4,Thermostat!$B$3)</f>
        <v>70</v>
      </c>
      <c r="O47" s="262">
        <f>IF(O38=0,Thermostat!$B$4,Thermostat!$B$3)</f>
        <v>70</v>
      </c>
      <c r="P47" s="262">
        <f>IF(P38=0,Thermostat!$B$4,Thermostat!$B$3)</f>
        <v>70</v>
      </c>
      <c r="Q47" s="262">
        <f>IF(Q38=0,Thermostat!$B$4,Thermostat!$B$3)</f>
        <v>70</v>
      </c>
      <c r="R47" s="262">
        <f>IF(R38=0,Thermostat!$B$4,Thermostat!$B$3)</f>
        <v>70</v>
      </c>
      <c r="S47" s="262">
        <f>IF(S38=0,Thermostat!$B$4,Thermostat!$B$3)</f>
        <v>70</v>
      </c>
      <c r="T47" s="262">
        <f>IF(T38=0,Thermostat!$B$4,Thermostat!$B$3)</f>
        <v>70</v>
      </c>
      <c r="U47" s="262">
        <f>IF(U38=0,Thermostat!$B$4,Thermostat!$B$3)</f>
        <v>60</v>
      </c>
      <c r="V47" s="262">
        <f>IF(V38=0,Thermostat!$B$4,Thermostat!$B$3)</f>
        <v>60</v>
      </c>
      <c r="W47" s="262">
        <f>IF(W38=0,Thermostat!$B$4,Thermostat!$B$3)</f>
        <v>60</v>
      </c>
      <c r="X47" s="262">
        <f>IF(X38=0,Thermostat!$B$4,Thermostat!$B$3)</f>
        <v>60</v>
      </c>
      <c r="Y47" s="262">
        <f>IF(Y38=0,Thermostat!$B$4,Thermostat!$B$3)</f>
        <v>60</v>
      </c>
      <c r="Z47" s="262">
        <f>IF(Z38=0,Thermostat!$B$4,Thermostat!$B$3)</f>
        <v>60</v>
      </c>
      <c r="AA47" s="262">
        <f>IF(AA38=0,Thermostat!$B$4,Thermostat!$B$3)</f>
        <v>60</v>
      </c>
      <c r="AB47" s="262">
        <f>IF(AB38=0,Thermostat!$B$4,Thermostat!$B$3)</f>
        <v>60</v>
      </c>
      <c r="AC47" s="262">
        <f>IF(AC38=0,Thermostat!$B$4,Thermostat!$B$3)</f>
        <v>60</v>
      </c>
      <c r="AD47" s="44"/>
      <c r="AE47" s="44"/>
      <c r="AF47" s="44"/>
      <c r="AG47" s="44"/>
      <c r="AH47" s="44"/>
      <c r="AI47" s="44"/>
      <c r="AJ47" s="44"/>
    </row>
    <row r="48" spans="1:39" s="292" customFormat="1" ht="25.15" customHeight="1" x14ac:dyDescent="0.2">
      <c r="A48" s="466"/>
      <c r="B48" s="460"/>
      <c r="C48" s="460"/>
      <c r="D48" s="463"/>
      <c r="E48" s="295" t="s">
        <v>461</v>
      </c>
      <c r="F48" s="264">
        <f>IF(F39=0,Thermostat!$B$4,Thermostat!$B$3)</f>
        <v>60</v>
      </c>
      <c r="G48" s="264">
        <f>IF(G39=0,Thermostat!$B$4,Thermostat!$B$3)</f>
        <v>60</v>
      </c>
      <c r="H48" s="264">
        <f>IF(H39=0,Thermostat!$B$4,Thermostat!$B$3)</f>
        <v>60</v>
      </c>
      <c r="I48" s="264">
        <f>IF(I39=0,Thermostat!$B$4,Thermostat!$B$3)</f>
        <v>60</v>
      </c>
      <c r="J48" s="264">
        <f>IF(J39=0,Thermostat!$B$4,Thermostat!$B$3)</f>
        <v>60</v>
      </c>
      <c r="K48" s="264">
        <f>IF(K39=0,Thermostat!$B$4,Thermostat!$B$3)</f>
        <v>60</v>
      </c>
      <c r="L48" s="264">
        <f>IF(L39=0,Thermostat!$B$4,Thermostat!$B$3)</f>
        <v>60</v>
      </c>
      <c r="M48" s="264">
        <f>IF(M39=0,Thermostat!$B$4,Thermostat!$B$3)</f>
        <v>60</v>
      </c>
      <c r="N48" s="264">
        <f>IF(N39=0,Thermostat!$B$4,Thermostat!$B$3)</f>
        <v>60</v>
      </c>
      <c r="O48" s="264">
        <f>IF(O39=0,Thermostat!$B$4,Thermostat!$B$3)</f>
        <v>60</v>
      </c>
      <c r="P48" s="264">
        <f>IF(P39=0,Thermostat!$B$4,Thermostat!$B$3)</f>
        <v>60</v>
      </c>
      <c r="Q48" s="264">
        <f>IF(Q39=0,Thermostat!$B$4,Thermostat!$B$3)</f>
        <v>60</v>
      </c>
      <c r="R48" s="264">
        <f>IF(R39=0,Thermostat!$B$4,Thermostat!$B$3)</f>
        <v>60</v>
      </c>
      <c r="S48" s="264">
        <f>IF(S39=0,Thermostat!$B$4,Thermostat!$B$3)</f>
        <v>60</v>
      </c>
      <c r="T48" s="264">
        <f>IF(T39=0,Thermostat!$B$4,Thermostat!$B$3)</f>
        <v>60</v>
      </c>
      <c r="U48" s="264">
        <f>IF(U39=0,Thermostat!$B$4,Thermostat!$B$3)</f>
        <v>60</v>
      </c>
      <c r="V48" s="264">
        <f>IF(V39=0,Thermostat!$B$4,Thermostat!$B$3)</f>
        <v>60</v>
      </c>
      <c r="W48" s="264">
        <f>IF(W39=0,Thermostat!$B$4,Thermostat!$B$3)</f>
        <v>60</v>
      </c>
      <c r="X48" s="264">
        <f>IF(X39=0,Thermostat!$B$4,Thermostat!$B$3)</f>
        <v>60</v>
      </c>
      <c r="Y48" s="264">
        <f>IF(Y39=0,Thermostat!$B$4,Thermostat!$B$3)</f>
        <v>60</v>
      </c>
      <c r="Z48" s="264">
        <f>IF(Z39=0,Thermostat!$B$4,Thermostat!$B$3)</f>
        <v>60</v>
      </c>
      <c r="AA48" s="264">
        <f>IF(AA39=0,Thermostat!$B$4,Thermostat!$B$3)</f>
        <v>60</v>
      </c>
      <c r="AB48" s="264">
        <f>IF(AB39=0,Thermostat!$B$4,Thermostat!$B$3)</f>
        <v>60</v>
      </c>
      <c r="AC48" s="264">
        <f>IF(AC39=0,Thermostat!$B$4,Thermostat!$B$3)</f>
        <v>60</v>
      </c>
      <c r="AD48" s="44"/>
      <c r="AE48" s="44"/>
      <c r="AF48" s="44"/>
      <c r="AG48" s="44"/>
      <c r="AH48" s="44"/>
      <c r="AI48" s="44"/>
      <c r="AJ48" s="44"/>
    </row>
    <row r="49" spans="1:41" ht="25.15" customHeight="1" thickBot="1" x14ac:dyDescent="0.3">
      <c r="A49" s="467"/>
      <c r="B49" s="461"/>
      <c r="C49" s="461"/>
      <c r="D49" s="464"/>
      <c r="E49" s="296" t="s">
        <v>462</v>
      </c>
      <c r="F49" s="266">
        <f>IF(F40=0,Thermostat!$B$4,Thermostat!$B$3)</f>
        <v>60</v>
      </c>
      <c r="G49" s="266">
        <f>IF(G40=0,Thermostat!$B$4,Thermostat!$B$3)</f>
        <v>60</v>
      </c>
      <c r="H49" s="266">
        <f>IF(H40=0,Thermostat!$B$4,Thermostat!$B$3)</f>
        <v>60</v>
      </c>
      <c r="I49" s="266">
        <f>IF(I40=0,Thermostat!$B$4,Thermostat!$B$3)</f>
        <v>60</v>
      </c>
      <c r="J49" s="266">
        <f>IF(J40=0,Thermostat!$B$4,Thermostat!$B$3)</f>
        <v>60</v>
      </c>
      <c r="K49" s="266">
        <f>IF(K40=0,Thermostat!$B$4,Thermostat!$B$3)</f>
        <v>60</v>
      </c>
      <c r="L49" s="266">
        <f>IF(L40=0,Thermostat!$B$4,Thermostat!$B$3)</f>
        <v>60</v>
      </c>
      <c r="M49" s="266">
        <f>IF(M40=0,Thermostat!$B$4,Thermostat!$B$3)</f>
        <v>60</v>
      </c>
      <c r="N49" s="266">
        <f>IF(N40=0,Thermostat!$B$4,Thermostat!$B$3)</f>
        <v>60</v>
      </c>
      <c r="O49" s="266">
        <f>IF(O40=0,Thermostat!$B$4,Thermostat!$B$3)</f>
        <v>60</v>
      </c>
      <c r="P49" s="266">
        <f>IF(P40=0,Thermostat!$B$4,Thermostat!$B$3)</f>
        <v>60</v>
      </c>
      <c r="Q49" s="266">
        <f>IF(Q40=0,Thermostat!$B$4,Thermostat!$B$3)</f>
        <v>60</v>
      </c>
      <c r="R49" s="266">
        <f>IF(R40=0,Thermostat!$B$4,Thermostat!$B$3)</f>
        <v>60</v>
      </c>
      <c r="S49" s="266">
        <f>IF(S40=0,Thermostat!$B$4,Thermostat!$B$3)</f>
        <v>60</v>
      </c>
      <c r="T49" s="266">
        <f>IF(T40=0,Thermostat!$B$4,Thermostat!$B$3)</f>
        <v>60</v>
      </c>
      <c r="U49" s="266">
        <f>IF(U40=0,Thermostat!$B$4,Thermostat!$B$3)</f>
        <v>60</v>
      </c>
      <c r="V49" s="266">
        <f>IF(V40=0,Thermostat!$B$4,Thermostat!$B$3)</f>
        <v>60</v>
      </c>
      <c r="W49" s="266">
        <f>IF(W40=0,Thermostat!$B$4,Thermostat!$B$3)</f>
        <v>60</v>
      </c>
      <c r="X49" s="266">
        <f>IF(X40=0,Thermostat!$B$4,Thermostat!$B$3)</f>
        <v>60</v>
      </c>
      <c r="Y49" s="266">
        <f>IF(Y40=0,Thermostat!$B$4,Thermostat!$B$3)</f>
        <v>60</v>
      </c>
      <c r="Z49" s="266">
        <f>IF(Z40=0,Thermostat!$B$4,Thermostat!$B$3)</f>
        <v>60</v>
      </c>
      <c r="AA49" s="266">
        <f>IF(AA40=0,Thermostat!$B$4,Thermostat!$B$3)</f>
        <v>60</v>
      </c>
      <c r="AB49" s="266">
        <f>IF(AB40=0,Thermostat!$B$4,Thermostat!$B$3)</f>
        <v>60</v>
      </c>
      <c r="AC49" s="266">
        <f>IF(AC40=0,Thermostat!$B$4,Thermostat!$B$3)</f>
        <v>60</v>
      </c>
    </row>
    <row r="50" spans="1:41" s="292" customFormat="1" ht="25.15" customHeight="1" x14ac:dyDescent="0.2">
      <c r="A50" s="465" t="s">
        <v>472</v>
      </c>
      <c r="B50" s="459" t="s">
        <v>93</v>
      </c>
      <c r="C50" s="459" t="s">
        <v>471</v>
      </c>
      <c r="D50" s="462" t="s">
        <v>470</v>
      </c>
      <c r="E50" s="294" t="s">
        <v>460</v>
      </c>
      <c r="F50" s="262">
        <f>IF(F38=0,Thermostat!$B$6,Thermostat!$B$5)</f>
        <v>85</v>
      </c>
      <c r="G50" s="262">
        <f>IF(G38=0,Thermostat!$B$6,Thermostat!$B$5)</f>
        <v>85</v>
      </c>
      <c r="H50" s="262">
        <f>IF(H38=0,Thermostat!$B$6,Thermostat!$B$5)</f>
        <v>85</v>
      </c>
      <c r="I50" s="262">
        <f>IF(I38=0,Thermostat!$B$6,Thermostat!$B$5)</f>
        <v>85</v>
      </c>
      <c r="J50" s="262">
        <f>IF(J38=0,Thermostat!$B$6,Thermostat!$B$5)</f>
        <v>85</v>
      </c>
      <c r="K50" s="262">
        <f>IF(K38=0,Thermostat!$B$6,Thermostat!$B$5)</f>
        <v>75</v>
      </c>
      <c r="L50" s="262">
        <f>IF(L38=0,Thermostat!$B$6,Thermostat!$B$5)</f>
        <v>75</v>
      </c>
      <c r="M50" s="262">
        <f>IF(M38=0,Thermostat!$B$6,Thermostat!$B$5)</f>
        <v>75</v>
      </c>
      <c r="N50" s="262">
        <f>IF(N38=0,Thermostat!$B$6,Thermostat!$B$5)</f>
        <v>75</v>
      </c>
      <c r="O50" s="262">
        <f>IF(O38=0,Thermostat!$B$6,Thermostat!$B$5)</f>
        <v>75</v>
      </c>
      <c r="P50" s="262">
        <f>IF(P38=0,Thermostat!$B$6,Thermostat!$B$5)</f>
        <v>75</v>
      </c>
      <c r="Q50" s="262">
        <f>IF(Q38=0,Thermostat!$B$6,Thermostat!$B$5)</f>
        <v>75</v>
      </c>
      <c r="R50" s="262">
        <f>IF(R38=0,Thermostat!$B$6,Thermostat!$B$5)</f>
        <v>75</v>
      </c>
      <c r="S50" s="262">
        <f>IF(S38=0,Thermostat!$B$6,Thermostat!$B$5)</f>
        <v>75</v>
      </c>
      <c r="T50" s="262">
        <f>IF(T38=0,Thermostat!$B$6,Thermostat!$B$5)</f>
        <v>75</v>
      </c>
      <c r="U50" s="262">
        <f>IF(U38=0,Thermostat!$B$6,Thermostat!$B$5)</f>
        <v>85</v>
      </c>
      <c r="V50" s="262">
        <f>IF(V38=0,Thermostat!$B$6,Thermostat!$B$5)</f>
        <v>85</v>
      </c>
      <c r="W50" s="262">
        <f>IF(W38=0,Thermostat!$B$6,Thermostat!$B$5)</f>
        <v>85</v>
      </c>
      <c r="X50" s="262">
        <f>IF(X38=0,Thermostat!$B$6,Thermostat!$B$5)</f>
        <v>85</v>
      </c>
      <c r="Y50" s="262">
        <f>IF(Y38=0,Thermostat!$B$6,Thermostat!$B$5)</f>
        <v>85</v>
      </c>
      <c r="Z50" s="262">
        <f>IF(Z38=0,Thermostat!$B$6,Thermostat!$B$5)</f>
        <v>85</v>
      </c>
      <c r="AA50" s="262">
        <f>IF(AA38=0,Thermostat!$B$6,Thermostat!$B$5)</f>
        <v>85</v>
      </c>
      <c r="AB50" s="262">
        <f>IF(AB38=0,Thermostat!$B$6,Thermostat!$B$5)</f>
        <v>85</v>
      </c>
      <c r="AC50" s="263">
        <f>IF(AC38=0,Thermostat!$B$6,Thermostat!$B$5)</f>
        <v>85</v>
      </c>
      <c r="AD50" s="44"/>
      <c r="AE50" s="44"/>
      <c r="AF50" s="44"/>
      <c r="AG50" s="44"/>
      <c r="AH50" s="44"/>
      <c r="AI50" s="44"/>
      <c r="AJ50" s="44"/>
    </row>
    <row r="51" spans="1:41" s="292" customFormat="1" ht="25.15" customHeight="1" x14ac:dyDescent="0.2">
      <c r="A51" s="466"/>
      <c r="B51" s="460"/>
      <c r="C51" s="460"/>
      <c r="D51" s="463"/>
      <c r="E51" s="295" t="s">
        <v>461</v>
      </c>
      <c r="F51" s="264">
        <f>IF(F39=0,Thermostat!$B$6,Thermostat!$B$5)</f>
        <v>85</v>
      </c>
      <c r="G51" s="264">
        <f>IF(G39=0,Thermostat!$B$6,Thermostat!$B$5)</f>
        <v>85</v>
      </c>
      <c r="H51" s="264">
        <f>IF(H39=0,Thermostat!$B$6,Thermostat!$B$5)</f>
        <v>85</v>
      </c>
      <c r="I51" s="264">
        <f>IF(I39=0,Thermostat!$B$6,Thermostat!$B$5)</f>
        <v>85</v>
      </c>
      <c r="J51" s="264">
        <f>IF(J39=0,Thermostat!$B$6,Thermostat!$B$5)</f>
        <v>85</v>
      </c>
      <c r="K51" s="264">
        <f>IF(K39=0,Thermostat!$B$6,Thermostat!$B$5)</f>
        <v>85</v>
      </c>
      <c r="L51" s="264">
        <f>IF(L39=0,Thermostat!$B$6,Thermostat!$B$5)</f>
        <v>85</v>
      </c>
      <c r="M51" s="264">
        <f>IF(M39=0,Thermostat!$B$6,Thermostat!$B$5)</f>
        <v>85</v>
      </c>
      <c r="N51" s="264">
        <f>IF(N39=0,Thermostat!$B$6,Thermostat!$B$5)</f>
        <v>85</v>
      </c>
      <c r="O51" s="264">
        <f>IF(O39=0,Thermostat!$B$6,Thermostat!$B$5)</f>
        <v>85</v>
      </c>
      <c r="P51" s="264">
        <f>IF(P39=0,Thermostat!$B$6,Thermostat!$B$5)</f>
        <v>85</v>
      </c>
      <c r="Q51" s="264">
        <f>IF(Q39=0,Thermostat!$B$6,Thermostat!$B$5)</f>
        <v>85</v>
      </c>
      <c r="R51" s="264">
        <f>IF(R39=0,Thermostat!$B$6,Thermostat!$B$5)</f>
        <v>85</v>
      </c>
      <c r="S51" s="264">
        <f>IF(S39=0,Thermostat!$B$6,Thermostat!$B$5)</f>
        <v>85</v>
      </c>
      <c r="T51" s="264">
        <f>IF(T39=0,Thermostat!$B$6,Thermostat!$B$5)</f>
        <v>85</v>
      </c>
      <c r="U51" s="264">
        <f>IF(U39=0,Thermostat!$B$6,Thermostat!$B$5)</f>
        <v>85</v>
      </c>
      <c r="V51" s="264">
        <f>IF(V39=0,Thermostat!$B$6,Thermostat!$B$5)</f>
        <v>85</v>
      </c>
      <c r="W51" s="264">
        <f>IF(W39=0,Thermostat!$B$6,Thermostat!$B$5)</f>
        <v>85</v>
      </c>
      <c r="X51" s="264">
        <f>IF(X39=0,Thermostat!$B$6,Thermostat!$B$5)</f>
        <v>85</v>
      </c>
      <c r="Y51" s="264">
        <f>IF(Y39=0,Thermostat!$B$6,Thermostat!$B$5)</f>
        <v>85</v>
      </c>
      <c r="Z51" s="264">
        <f>IF(Z39=0,Thermostat!$B$6,Thermostat!$B$5)</f>
        <v>85</v>
      </c>
      <c r="AA51" s="264">
        <f>IF(AA39=0,Thermostat!$B$6,Thermostat!$B$5)</f>
        <v>85</v>
      </c>
      <c r="AB51" s="264">
        <f>IF(AB39=0,Thermostat!$B$6,Thermostat!$B$5)</f>
        <v>85</v>
      </c>
      <c r="AC51" s="265">
        <f>IF(AC39=0,Thermostat!$B$6,Thermostat!$B$5)</f>
        <v>85</v>
      </c>
      <c r="AD51" s="44"/>
      <c r="AE51" s="44"/>
      <c r="AF51" s="44"/>
      <c r="AG51" s="44"/>
      <c r="AH51" s="44"/>
      <c r="AI51" s="44"/>
      <c r="AJ51" s="44"/>
    </row>
    <row r="52" spans="1:41" s="292" customFormat="1" ht="25.15" customHeight="1" thickBot="1" x14ac:dyDescent="0.25">
      <c r="A52" s="467"/>
      <c r="B52" s="461"/>
      <c r="C52" s="461"/>
      <c r="D52" s="464"/>
      <c r="E52" s="296" t="s">
        <v>462</v>
      </c>
      <c r="F52" s="266">
        <f>IF(F40=0,Thermostat!$B$6,Thermostat!$B$5)</f>
        <v>85</v>
      </c>
      <c r="G52" s="266">
        <f>IF(G40=0,Thermostat!$B$6,Thermostat!$B$5)</f>
        <v>85</v>
      </c>
      <c r="H52" s="266">
        <f>IF(H40=0,Thermostat!$B$6,Thermostat!$B$5)</f>
        <v>85</v>
      </c>
      <c r="I52" s="266">
        <f>IF(I40=0,Thermostat!$B$6,Thermostat!$B$5)</f>
        <v>85</v>
      </c>
      <c r="J52" s="266">
        <f>IF(J40=0,Thermostat!$B$6,Thermostat!$B$5)</f>
        <v>85</v>
      </c>
      <c r="K52" s="266">
        <f>IF(K40=0,Thermostat!$B$6,Thermostat!$B$5)</f>
        <v>85</v>
      </c>
      <c r="L52" s="266">
        <f>IF(L40=0,Thermostat!$B$6,Thermostat!$B$5)</f>
        <v>85</v>
      </c>
      <c r="M52" s="266">
        <f>IF(M40=0,Thermostat!$B$6,Thermostat!$B$5)</f>
        <v>85</v>
      </c>
      <c r="N52" s="266">
        <f>IF(N40=0,Thermostat!$B$6,Thermostat!$B$5)</f>
        <v>85</v>
      </c>
      <c r="O52" s="266">
        <f>IF(O40=0,Thermostat!$B$6,Thermostat!$B$5)</f>
        <v>85</v>
      </c>
      <c r="P52" s="266">
        <f>IF(P40=0,Thermostat!$B$6,Thermostat!$B$5)</f>
        <v>85</v>
      </c>
      <c r="Q52" s="266">
        <f>IF(Q40=0,Thermostat!$B$6,Thermostat!$B$5)</f>
        <v>85</v>
      </c>
      <c r="R52" s="266">
        <f>IF(R40=0,Thermostat!$B$6,Thermostat!$B$5)</f>
        <v>85</v>
      </c>
      <c r="S52" s="266">
        <f>IF(S40=0,Thermostat!$B$6,Thermostat!$B$5)</f>
        <v>85</v>
      </c>
      <c r="T52" s="266">
        <f>IF(T40=0,Thermostat!$B$6,Thermostat!$B$5)</f>
        <v>85</v>
      </c>
      <c r="U52" s="266">
        <f>IF(U40=0,Thermostat!$B$6,Thermostat!$B$5)</f>
        <v>85</v>
      </c>
      <c r="V52" s="266">
        <f>IF(V40=0,Thermostat!$B$6,Thermostat!$B$5)</f>
        <v>85</v>
      </c>
      <c r="W52" s="266">
        <f>IF(W40=0,Thermostat!$B$6,Thermostat!$B$5)</f>
        <v>85</v>
      </c>
      <c r="X52" s="266">
        <f>IF(X40=0,Thermostat!$B$6,Thermostat!$B$5)</f>
        <v>85</v>
      </c>
      <c r="Y52" s="266">
        <f>IF(Y40=0,Thermostat!$B$6,Thermostat!$B$5)</f>
        <v>85</v>
      </c>
      <c r="Z52" s="266">
        <f>IF(Z40=0,Thermostat!$B$6,Thermostat!$B$5)</f>
        <v>85</v>
      </c>
      <c r="AA52" s="266">
        <f>IF(AA40=0,Thermostat!$B$6,Thermostat!$B$5)</f>
        <v>85</v>
      </c>
      <c r="AB52" s="266">
        <f>IF(AB40=0,Thermostat!$B$6,Thermostat!$B$5)</f>
        <v>85</v>
      </c>
      <c r="AC52" s="267">
        <f>IF(AC40=0,Thermostat!$B$6,Thermostat!$B$5)</f>
        <v>85</v>
      </c>
      <c r="AD52" s="44"/>
      <c r="AE52" s="44"/>
      <c r="AF52" s="44"/>
      <c r="AG52" s="44"/>
      <c r="AH52" s="44"/>
      <c r="AI52" s="44"/>
      <c r="AJ52" s="44"/>
    </row>
    <row r="53" spans="1:41" s="292" customFormat="1" ht="25.15" customHeight="1" x14ac:dyDescent="0.2">
      <c r="A53" s="465" t="s">
        <v>472</v>
      </c>
      <c r="B53" s="459" t="s">
        <v>93</v>
      </c>
      <c r="C53" s="459" t="s">
        <v>473</v>
      </c>
      <c r="D53" s="462" t="s">
        <v>470</v>
      </c>
      <c r="E53" s="291" t="s">
        <v>460</v>
      </c>
      <c r="F53" s="254">
        <v>0</v>
      </c>
      <c r="G53" s="254">
        <v>0</v>
      </c>
      <c r="H53" s="254">
        <v>0</v>
      </c>
      <c r="I53" s="254">
        <v>0</v>
      </c>
      <c r="J53" s="254">
        <v>0</v>
      </c>
      <c r="K53" s="254">
        <v>1</v>
      </c>
      <c r="L53" s="254">
        <v>1</v>
      </c>
      <c r="M53" s="254">
        <v>1</v>
      </c>
      <c r="N53" s="254">
        <v>1</v>
      </c>
      <c r="O53" s="254">
        <v>1</v>
      </c>
      <c r="P53" s="254">
        <v>1</v>
      </c>
      <c r="Q53" s="254">
        <v>1</v>
      </c>
      <c r="R53" s="254">
        <v>1</v>
      </c>
      <c r="S53" s="254">
        <v>1</v>
      </c>
      <c r="T53" s="254">
        <v>1</v>
      </c>
      <c r="U53" s="254">
        <v>0</v>
      </c>
      <c r="V53" s="254">
        <v>0</v>
      </c>
      <c r="W53" s="254">
        <v>0</v>
      </c>
      <c r="X53" s="254">
        <v>0</v>
      </c>
      <c r="Y53" s="254">
        <v>0</v>
      </c>
      <c r="Z53" s="254">
        <v>0</v>
      </c>
      <c r="AA53" s="254">
        <v>0</v>
      </c>
      <c r="AB53" s="254">
        <v>0</v>
      </c>
      <c r="AC53" s="255">
        <v>0</v>
      </c>
      <c r="AD53" s="44"/>
      <c r="AE53" s="44"/>
      <c r="AF53" s="44"/>
      <c r="AG53" s="44"/>
      <c r="AH53" s="44"/>
      <c r="AI53" s="44"/>
      <c r="AJ53" s="44"/>
    </row>
    <row r="54" spans="1:41" s="292" customFormat="1" ht="25.15" customHeight="1" x14ac:dyDescent="0.2">
      <c r="A54" s="466"/>
      <c r="B54" s="460"/>
      <c r="C54" s="460"/>
      <c r="D54" s="463"/>
      <c r="E54" s="285" t="s">
        <v>461</v>
      </c>
      <c r="F54" s="256">
        <v>0</v>
      </c>
      <c r="G54" s="256">
        <v>0</v>
      </c>
      <c r="H54" s="256">
        <v>0</v>
      </c>
      <c r="I54" s="256">
        <v>0</v>
      </c>
      <c r="J54" s="256">
        <v>0</v>
      </c>
      <c r="K54" s="256">
        <v>0</v>
      </c>
      <c r="L54" s="256">
        <v>0</v>
      </c>
      <c r="M54" s="256">
        <v>0</v>
      </c>
      <c r="N54" s="256">
        <v>0</v>
      </c>
      <c r="O54" s="256">
        <v>0</v>
      </c>
      <c r="P54" s="256">
        <v>0</v>
      </c>
      <c r="Q54" s="256">
        <v>0</v>
      </c>
      <c r="R54" s="256">
        <v>0</v>
      </c>
      <c r="S54" s="256">
        <v>0</v>
      </c>
      <c r="T54" s="256">
        <v>0</v>
      </c>
      <c r="U54" s="256">
        <v>0</v>
      </c>
      <c r="V54" s="256">
        <v>0</v>
      </c>
      <c r="W54" s="256">
        <v>0</v>
      </c>
      <c r="X54" s="256">
        <v>0</v>
      </c>
      <c r="Y54" s="256">
        <v>0</v>
      </c>
      <c r="Z54" s="256">
        <v>0</v>
      </c>
      <c r="AA54" s="256">
        <v>0</v>
      </c>
      <c r="AB54" s="256">
        <v>0</v>
      </c>
      <c r="AC54" s="257">
        <v>0</v>
      </c>
      <c r="AD54" s="44"/>
      <c r="AE54" s="44"/>
      <c r="AF54" s="44"/>
      <c r="AG54" s="44"/>
      <c r="AH54" s="44"/>
      <c r="AI54" s="44"/>
      <c r="AJ54" s="44"/>
    </row>
    <row r="55" spans="1:41" s="292" customFormat="1" ht="25.15" customHeight="1" thickBot="1" x14ac:dyDescent="0.25">
      <c r="A55" s="467"/>
      <c r="B55" s="461"/>
      <c r="C55" s="461"/>
      <c r="D55" s="464"/>
      <c r="E55" s="288" t="s">
        <v>462</v>
      </c>
      <c r="F55" s="258">
        <v>0</v>
      </c>
      <c r="G55" s="258">
        <v>0</v>
      </c>
      <c r="H55" s="258">
        <v>0</v>
      </c>
      <c r="I55" s="258">
        <v>0</v>
      </c>
      <c r="J55" s="258">
        <v>0</v>
      </c>
      <c r="K55" s="258">
        <v>0</v>
      </c>
      <c r="L55" s="258">
        <v>0</v>
      </c>
      <c r="M55" s="258">
        <v>0</v>
      </c>
      <c r="N55" s="258">
        <v>0</v>
      </c>
      <c r="O55" s="258">
        <v>0</v>
      </c>
      <c r="P55" s="258">
        <v>0</v>
      </c>
      <c r="Q55" s="258">
        <v>0</v>
      </c>
      <c r="R55" s="258">
        <v>0</v>
      </c>
      <c r="S55" s="258">
        <v>0</v>
      </c>
      <c r="T55" s="258">
        <v>0</v>
      </c>
      <c r="U55" s="258">
        <v>0</v>
      </c>
      <c r="V55" s="258">
        <v>0</v>
      </c>
      <c r="W55" s="258">
        <v>0</v>
      </c>
      <c r="X55" s="258">
        <v>0</v>
      </c>
      <c r="Y55" s="258">
        <v>0</v>
      </c>
      <c r="Z55" s="258">
        <v>0</v>
      </c>
      <c r="AA55" s="258">
        <v>0</v>
      </c>
      <c r="AB55" s="258">
        <v>0</v>
      </c>
      <c r="AC55" s="259">
        <v>0</v>
      </c>
      <c r="AD55" s="44"/>
      <c r="AE55" s="44"/>
      <c r="AF55" s="44"/>
      <c r="AG55" s="44"/>
      <c r="AH55" s="44"/>
      <c r="AI55" s="44"/>
      <c r="AJ55" s="44"/>
    </row>
    <row r="56" spans="1:41" s="292" customFormat="1" ht="25.15" customHeight="1" x14ac:dyDescent="0.2">
      <c r="A56" s="465" t="s">
        <v>472</v>
      </c>
      <c r="B56" s="459" t="s">
        <v>93</v>
      </c>
      <c r="C56" s="459" t="s">
        <v>267</v>
      </c>
      <c r="D56" s="462" t="s">
        <v>470</v>
      </c>
      <c r="E56" s="291" t="s">
        <v>460</v>
      </c>
      <c r="F56" s="254">
        <v>1</v>
      </c>
      <c r="G56" s="254">
        <v>1</v>
      </c>
      <c r="H56" s="254">
        <v>1</v>
      </c>
      <c r="I56" s="254">
        <v>1</v>
      </c>
      <c r="J56" s="254">
        <v>1</v>
      </c>
      <c r="K56" s="254">
        <v>0.25</v>
      </c>
      <c r="L56" s="254">
        <v>0.25</v>
      </c>
      <c r="M56" s="254">
        <v>0.25</v>
      </c>
      <c r="N56" s="254">
        <v>0.25</v>
      </c>
      <c r="O56" s="254">
        <v>0.25</v>
      </c>
      <c r="P56" s="254">
        <v>0.25</v>
      </c>
      <c r="Q56" s="254">
        <v>0.25</v>
      </c>
      <c r="R56" s="254">
        <v>0.25</v>
      </c>
      <c r="S56" s="254">
        <v>0.25</v>
      </c>
      <c r="T56" s="254">
        <v>0.25</v>
      </c>
      <c r="U56" s="254">
        <v>1</v>
      </c>
      <c r="V56" s="254">
        <v>1</v>
      </c>
      <c r="W56" s="254">
        <v>1</v>
      </c>
      <c r="X56" s="254">
        <v>1</v>
      </c>
      <c r="Y56" s="254">
        <v>1</v>
      </c>
      <c r="Z56" s="254">
        <v>1</v>
      </c>
      <c r="AA56" s="254">
        <v>1</v>
      </c>
      <c r="AB56" s="254">
        <v>1</v>
      </c>
      <c r="AC56" s="255">
        <v>1</v>
      </c>
      <c r="AD56" s="44"/>
      <c r="AE56" s="44"/>
      <c r="AF56" s="44"/>
      <c r="AG56" s="44"/>
      <c r="AH56" s="44"/>
      <c r="AI56" s="44"/>
      <c r="AJ56" s="44"/>
    </row>
    <row r="57" spans="1:41" s="292" customFormat="1" ht="25.15" customHeight="1" x14ac:dyDescent="0.2">
      <c r="A57" s="466"/>
      <c r="B57" s="460"/>
      <c r="C57" s="460"/>
      <c r="D57" s="463"/>
      <c r="E57" s="285" t="s">
        <v>461</v>
      </c>
      <c r="F57" s="256">
        <v>1</v>
      </c>
      <c r="G57" s="256">
        <v>1</v>
      </c>
      <c r="H57" s="256">
        <v>1</v>
      </c>
      <c r="I57" s="256">
        <v>1</v>
      </c>
      <c r="J57" s="256">
        <v>1</v>
      </c>
      <c r="K57" s="256">
        <v>1</v>
      </c>
      <c r="L57" s="256">
        <v>1</v>
      </c>
      <c r="M57" s="256">
        <v>1</v>
      </c>
      <c r="N57" s="256">
        <v>1</v>
      </c>
      <c r="O57" s="256">
        <v>1</v>
      </c>
      <c r="P57" s="256">
        <v>1</v>
      </c>
      <c r="Q57" s="256">
        <v>1</v>
      </c>
      <c r="R57" s="256">
        <v>1</v>
      </c>
      <c r="S57" s="256">
        <v>1</v>
      </c>
      <c r="T57" s="256">
        <v>1</v>
      </c>
      <c r="U57" s="256">
        <v>1</v>
      </c>
      <c r="V57" s="256">
        <v>1</v>
      </c>
      <c r="W57" s="256">
        <v>1</v>
      </c>
      <c r="X57" s="256">
        <v>1</v>
      </c>
      <c r="Y57" s="256">
        <v>1</v>
      </c>
      <c r="Z57" s="256">
        <v>1</v>
      </c>
      <c r="AA57" s="256">
        <v>1</v>
      </c>
      <c r="AB57" s="256">
        <v>1</v>
      </c>
      <c r="AC57" s="257">
        <v>1</v>
      </c>
      <c r="AD57" s="44"/>
      <c r="AE57" s="44"/>
      <c r="AF57" s="44"/>
      <c r="AG57" s="44"/>
      <c r="AH57" s="44"/>
      <c r="AI57" s="44"/>
      <c r="AJ57" s="44"/>
    </row>
    <row r="58" spans="1:41" s="292" customFormat="1" ht="25.15" customHeight="1" thickBot="1" x14ac:dyDescent="0.25">
      <c r="A58" s="467"/>
      <c r="B58" s="461"/>
      <c r="C58" s="461"/>
      <c r="D58" s="464"/>
      <c r="E58" s="288" t="s">
        <v>462</v>
      </c>
      <c r="F58" s="258">
        <v>1</v>
      </c>
      <c r="G58" s="258">
        <v>1</v>
      </c>
      <c r="H58" s="258">
        <v>1</v>
      </c>
      <c r="I58" s="258">
        <v>1</v>
      </c>
      <c r="J58" s="258">
        <v>1</v>
      </c>
      <c r="K58" s="258">
        <v>1</v>
      </c>
      <c r="L58" s="258">
        <v>1</v>
      </c>
      <c r="M58" s="258">
        <v>1</v>
      </c>
      <c r="N58" s="258">
        <v>1</v>
      </c>
      <c r="O58" s="258">
        <v>1</v>
      </c>
      <c r="P58" s="258">
        <v>1</v>
      </c>
      <c r="Q58" s="258">
        <v>1</v>
      </c>
      <c r="R58" s="258">
        <v>1</v>
      </c>
      <c r="S58" s="258">
        <v>1</v>
      </c>
      <c r="T58" s="258">
        <v>1</v>
      </c>
      <c r="U58" s="258">
        <v>1</v>
      </c>
      <c r="V58" s="258">
        <v>1</v>
      </c>
      <c r="W58" s="258">
        <v>1</v>
      </c>
      <c r="X58" s="258">
        <v>1</v>
      </c>
      <c r="Y58" s="258">
        <v>1</v>
      </c>
      <c r="Z58" s="258">
        <v>1</v>
      </c>
      <c r="AA58" s="258">
        <v>1</v>
      </c>
      <c r="AB58" s="258">
        <v>1</v>
      </c>
      <c r="AC58" s="259">
        <v>1</v>
      </c>
      <c r="AD58" s="44"/>
      <c r="AE58" s="44"/>
      <c r="AF58" s="44"/>
      <c r="AG58" s="44"/>
      <c r="AH58" s="44"/>
      <c r="AI58" s="44"/>
      <c r="AJ58" s="44"/>
    </row>
    <row r="59" spans="1:41" ht="36" customHeight="1" x14ac:dyDescent="0.25">
      <c r="A59" s="465" t="s">
        <v>472</v>
      </c>
      <c r="B59" s="459" t="s">
        <v>93</v>
      </c>
      <c r="C59" s="445" t="s">
        <v>467</v>
      </c>
      <c r="D59" s="416" t="s">
        <v>459</v>
      </c>
      <c r="E59" s="291" t="s">
        <v>460</v>
      </c>
      <c r="F59" s="254">
        <v>0.9</v>
      </c>
      <c r="G59" s="254">
        <v>0.9</v>
      </c>
      <c r="H59" s="254">
        <v>0.9</v>
      </c>
      <c r="I59" s="254">
        <v>0.9</v>
      </c>
      <c r="J59" s="254">
        <v>0.9</v>
      </c>
      <c r="K59" s="254">
        <v>0.9</v>
      </c>
      <c r="L59" s="254">
        <v>0.9</v>
      </c>
      <c r="M59" s="254">
        <v>0.9</v>
      </c>
      <c r="N59" s="254">
        <v>0.9</v>
      </c>
      <c r="O59" s="254">
        <v>0.9</v>
      </c>
      <c r="P59" s="254">
        <v>0.9</v>
      </c>
      <c r="Q59" s="254">
        <v>0.9</v>
      </c>
      <c r="R59" s="254">
        <v>0.9</v>
      </c>
      <c r="S59" s="254">
        <v>0.9</v>
      </c>
      <c r="T59" s="254">
        <v>0.9</v>
      </c>
      <c r="U59" s="254">
        <v>0.9</v>
      </c>
      <c r="V59" s="254">
        <v>0.9</v>
      </c>
      <c r="W59" s="254">
        <v>0.9</v>
      </c>
      <c r="X59" s="254">
        <v>0.9</v>
      </c>
      <c r="Y59" s="254">
        <v>0.9</v>
      </c>
      <c r="Z59" s="254">
        <v>0.9</v>
      </c>
      <c r="AA59" s="254">
        <v>0.9</v>
      </c>
      <c r="AB59" s="254">
        <v>0.9</v>
      </c>
      <c r="AC59" s="255">
        <v>0.9</v>
      </c>
      <c r="AD59" s="45"/>
      <c r="AE59" s="44"/>
      <c r="AF59" s="44"/>
      <c r="AG59" s="44"/>
      <c r="AH59" s="44"/>
      <c r="AI59" s="44"/>
      <c r="AJ59" s="44"/>
      <c r="AK59" s="44"/>
      <c r="AM59" s="55"/>
    </row>
    <row r="60" spans="1:41" ht="36" customHeight="1" x14ac:dyDescent="0.25">
      <c r="A60" s="466"/>
      <c r="B60" s="460"/>
      <c r="C60" s="446"/>
      <c r="D60" s="417"/>
      <c r="E60" s="285" t="s">
        <v>461</v>
      </c>
      <c r="F60" s="278">
        <v>0.9</v>
      </c>
      <c r="G60" s="278">
        <v>0.9</v>
      </c>
      <c r="H60" s="278">
        <v>0.9</v>
      </c>
      <c r="I60" s="278">
        <v>0.9</v>
      </c>
      <c r="J60" s="278">
        <v>0.9</v>
      </c>
      <c r="K60" s="278">
        <v>0.9</v>
      </c>
      <c r="L60" s="278">
        <v>0.9</v>
      </c>
      <c r="M60" s="278">
        <v>0.9</v>
      </c>
      <c r="N60" s="278">
        <v>0.9</v>
      </c>
      <c r="O60" s="278">
        <v>0.9</v>
      </c>
      <c r="P60" s="278">
        <v>0.9</v>
      </c>
      <c r="Q60" s="278">
        <v>0.9</v>
      </c>
      <c r="R60" s="278">
        <v>0.9</v>
      </c>
      <c r="S60" s="278">
        <v>0.9</v>
      </c>
      <c r="T60" s="278">
        <v>0.9</v>
      </c>
      <c r="U60" s="278">
        <v>0.9</v>
      </c>
      <c r="V60" s="278">
        <v>0.9</v>
      </c>
      <c r="W60" s="278">
        <v>0.9</v>
      </c>
      <c r="X60" s="278">
        <v>0.9</v>
      </c>
      <c r="Y60" s="278">
        <v>0.9</v>
      </c>
      <c r="Z60" s="278">
        <v>0.9</v>
      </c>
      <c r="AA60" s="278">
        <v>0.9</v>
      </c>
      <c r="AB60" s="278">
        <v>0.9</v>
      </c>
      <c r="AC60" s="279">
        <v>0.9</v>
      </c>
      <c r="AD60" s="45"/>
      <c r="AE60" s="44"/>
      <c r="AF60" s="44"/>
      <c r="AG60" s="44"/>
      <c r="AH60" s="44"/>
      <c r="AI60" s="44"/>
      <c r="AJ60" s="44"/>
      <c r="AK60" s="44"/>
      <c r="AM60" s="55"/>
    </row>
    <row r="61" spans="1:41" ht="36" customHeight="1" thickBot="1" x14ac:dyDescent="0.3">
      <c r="A61" s="467"/>
      <c r="B61" s="461"/>
      <c r="C61" s="447"/>
      <c r="D61" s="418"/>
      <c r="E61" s="288" t="s">
        <v>462</v>
      </c>
      <c r="F61" s="280">
        <v>0.9</v>
      </c>
      <c r="G61" s="280">
        <v>0.9</v>
      </c>
      <c r="H61" s="280">
        <v>0.9</v>
      </c>
      <c r="I61" s="280">
        <v>0.9</v>
      </c>
      <c r="J61" s="280">
        <v>0.9</v>
      </c>
      <c r="K61" s="280">
        <v>0.9</v>
      </c>
      <c r="L61" s="280">
        <v>0.9</v>
      </c>
      <c r="M61" s="280">
        <v>0.9</v>
      </c>
      <c r="N61" s="280">
        <v>0.9</v>
      </c>
      <c r="O61" s="280">
        <v>0.9</v>
      </c>
      <c r="P61" s="280">
        <v>0.9</v>
      </c>
      <c r="Q61" s="280">
        <v>0.9</v>
      </c>
      <c r="R61" s="280">
        <v>0.9</v>
      </c>
      <c r="S61" s="280">
        <v>0.9</v>
      </c>
      <c r="T61" s="280">
        <v>0.9</v>
      </c>
      <c r="U61" s="280">
        <v>0.9</v>
      </c>
      <c r="V61" s="280">
        <v>0.9</v>
      </c>
      <c r="W61" s="280">
        <v>0.9</v>
      </c>
      <c r="X61" s="280">
        <v>0.9</v>
      </c>
      <c r="Y61" s="280">
        <v>0.9</v>
      </c>
      <c r="Z61" s="280">
        <v>0.9</v>
      </c>
      <c r="AA61" s="280">
        <v>0.9</v>
      </c>
      <c r="AB61" s="280">
        <v>0.9</v>
      </c>
      <c r="AC61" s="281">
        <v>0.9</v>
      </c>
      <c r="AD61" s="45"/>
      <c r="AE61" s="44"/>
      <c r="AF61" s="44"/>
      <c r="AG61" s="44"/>
      <c r="AH61" s="44"/>
      <c r="AI61" s="44"/>
      <c r="AJ61" s="44"/>
      <c r="AK61" s="44"/>
      <c r="AM61" s="55"/>
    </row>
    <row r="62" spans="1:41" ht="38.65" customHeight="1" x14ac:dyDescent="0.25">
      <c r="A62" s="465" t="s">
        <v>472</v>
      </c>
      <c r="B62" s="486" t="s">
        <v>93</v>
      </c>
      <c r="C62" s="422" t="s">
        <v>466</v>
      </c>
      <c r="D62" s="416" t="s">
        <v>459</v>
      </c>
      <c r="E62" s="299" t="s">
        <v>460</v>
      </c>
      <c r="F62" s="260">
        <v>0</v>
      </c>
      <c r="G62" s="260">
        <v>0</v>
      </c>
      <c r="H62" s="260">
        <v>0</v>
      </c>
      <c r="I62" s="260">
        <v>0</v>
      </c>
      <c r="J62" s="260">
        <v>0</v>
      </c>
      <c r="K62" s="260">
        <v>0</v>
      </c>
      <c r="L62" s="260">
        <v>0</v>
      </c>
      <c r="M62" s="260">
        <v>0.5</v>
      </c>
      <c r="N62" s="260">
        <v>0.5</v>
      </c>
      <c r="O62" s="260">
        <v>0.75</v>
      </c>
      <c r="P62" s="260">
        <v>0.9</v>
      </c>
      <c r="Q62" s="260">
        <v>0.9</v>
      </c>
      <c r="R62" s="260">
        <v>0.9</v>
      </c>
      <c r="S62" s="260">
        <v>0</v>
      </c>
      <c r="T62" s="260">
        <v>0</v>
      </c>
      <c r="U62" s="260">
        <v>0</v>
      </c>
      <c r="V62" s="260">
        <v>0</v>
      </c>
      <c r="W62" s="260">
        <v>0</v>
      </c>
      <c r="X62" s="260">
        <v>0</v>
      </c>
      <c r="Y62" s="260">
        <v>0</v>
      </c>
      <c r="Z62" s="260">
        <v>0</v>
      </c>
      <c r="AA62" s="260">
        <v>0</v>
      </c>
      <c r="AB62" s="260">
        <v>0</v>
      </c>
      <c r="AC62" s="261">
        <v>0</v>
      </c>
      <c r="AD62" s="44"/>
      <c r="AE62" s="44"/>
      <c r="AF62" s="44"/>
      <c r="AG62" s="44"/>
      <c r="AH62" s="44"/>
      <c r="AI62" s="44"/>
      <c r="AJ62" s="44"/>
      <c r="AK62" s="44"/>
      <c r="AM62" s="55"/>
      <c r="AO62" s="298"/>
    </row>
    <row r="63" spans="1:41" ht="38.65" customHeight="1" x14ac:dyDescent="0.25">
      <c r="A63" s="466"/>
      <c r="B63" s="487"/>
      <c r="C63" s="423"/>
      <c r="D63" s="417"/>
      <c r="E63" s="269" t="s">
        <v>461</v>
      </c>
      <c r="F63" s="278">
        <v>0</v>
      </c>
      <c r="G63" s="278">
        <v>0</v>
      </c>
      <c r="H63" s="278">
        <v>0</v>
      </c>
      <c r="I63" s="278">
        <v>0</v>
      </c>
      <c r="J63" s="278">
        <v>0</v>
      </c>
      <c r="K63" s="278">
        <v>0</v>
      </c>
      <c r="L63" s="278">
        <v>0</v>
      </c>
      <c r="M63" s="278">
        <v>0</v>
      </c>
      <c r="N63" s="278">
        <v>0</v>
      </c>
      <c r="O63" s="278">
        <v>0</v>
      </c>
      <c r="P63" s="278">
        <v>0</v>
      </c>
      <c r="Q63" s="278">
        <v>0</v>
      </c>
      <c r="R63" s="278">
        <v>0</v>
      </c>
      <c r="S63" s="278">
        <v>0</v>
      </c>
      <c r="T63" s="278">
        <v>0</v>
      </c>
      <c r="U63" s="278">
        <v>0</v>
      </c>
      <c r="V63" s="278">
        <v>0</v>
      </c>
      <c r="W63" s="278">
        <v>0</v>
      </c>
      <c r="X63" s="278">
        <v>0</v>
      </c>
      <c r="Y63" s="278">
        <v>0</v>
      </c>
      <c r="Z63" s="278">
        <v>0</v>
      </c>
      <c r="AA63" s="278">
        <v>0</v>
      </c>
      <c r="AB63" s="278">
        <v>0</v>
      </c>
      <c r="AC63" s="279">
        <v>0</v>
      </c>
      <c r="AD63" s="44"/>
      <c r="AE63" s="44"/>
      <c r="AF63" s="44"/>
      <c r="AG63" s="44"/>
      <c r="AH63" s="44"/>
      <c r="AI63" s="44"/>
      <c r="AJ63" s="44"/>
      <c r="AK63" s="44"/>
      <c r="AM63" s="55"/>
      <c r="AO63" s="298"/>
    </row>
    <row r="64" spans="1:41" ht="38.65" customHeight="1" thickBot="1" x14ac:dyDescent="0.3">
      <c r="A64" s="467"/>
      <c r="B64" s="488"/>
      <c r="C64" s="424"/>
      <c r="D64" s="418"/>
      <c r="E64" s="270" t="s">
        <v>462</v>
      </c>
      <c r="F64" s="280">
        <v>0</v>
      </c>
      <c r="G64" s="280">
        <v>0</v>
      </c>
      <c r="H64" s="280">
        <v>0</v>
      </c>
      <c r="I64" s="280">
        <v>0</v>
      </c>
      <c r="J64" s="280">
        <v>0</v>
      </c>
      <c r="K64" s="280">
        <v>0</v>
      </c>
      <c r="L64" s="280">
        <v>0</v>
      </c>
      <c r="M64" s="280">
        <v>0</v>
      </c>
      <c r="N64" s="280">
        <v>0</v>
      </c>
      <c r="O64" s="280">
        <v>0</v>
      </c>
      <c r="P64" s="280">
        <v>0</v>
      </c>
      <c r="Q64" s="280">
        <v>0</v>
      </c>
      <c r="R64" s="280">
        <v>0</v>
      </c>
      <c r="S64" s="280">
        <v>0</v>
      </c>
      <c r="T64" s="280">
        <v>0</v>
      </c>
      <c r="U64" s="280">
        <v>0</v>
      </c>
      <c r="V64" s="280">
        <v>0</v>
      </c>
      <c r="W64" s="280">
        <v>0</v>
      </c>
      <c r="X64" s="280">
        <v>0</v>
      </c>
      <c r="Y64" s="280">
        <v>0</v>
      </c>
      <c r="Z64" s="280">
        <v>0</v>
      </c>
      <c r="AA64" s="280">
        <v>0</v>
      </c>
      <c r="AB64" s="280">
        <v>0</v>
      </c>
      <c r="AC64" s="281">
        <v>0</v>
      </c>
      <c r="AD64" s="44"/>
      <c r="AE64" s="44"/>
      <c r="AF64" s="44"/>
      <c r="AG64" s="44"/>
      <c r="AH64" s="44"/>
      <c r="AI64" s="44"/>
      <c r="AJ64" s="44"/>
      <c r="AK64" s="44"/>
      <c r="AM64" s="55"/>
      <c r="AO64" s="298"/>
    </row>
    <row r="65" spans="1:39" ht="38.65" customHeight="1" x14ac:dyDescent="0.25">
      <c r="A65" s="465" t="s">
        <v>472</v>
      </c>
      <c r="B65" s="489" t="s">
        <v>93</v>
      </c>
      <c r="C65" s="459" t="s">
        <v>465</v>
      </c>
      <c r="D65" s="416" t="s">
        <v>459</v>
      </c>
      <c r="E65" s="300" t="s">
        <v>460</v>
      </c>
      <c r="F65" s="301">
        <v>0.05</v>
      </c>
      <c r="G65" s="301">
        <v>0.05</v>
      </c>
      <c r="H65" s="301">
        <v>0.05</v>
      </c>
      <c r="I65" s="301">
        <v>0.05</v>
      </c>
      <c r="J65" s="301">
        <v>0.05</v>
      </c>
      <c r="K65" s="301">
        <v>0.05</v>
      </c>
      <c r="L65" s="301">
        <v>0.05</v>
      </c>
      <c r="M65" s="301">
        <v>0.1</v>
      </c>
      <c r="N65" s="301">
        <v>0.34</v>
      </c>
      <c r="O65" s="301">
        <v>0.6</v>
      </c>
      <c r="P65" s="301">
        <v>0.63</v>
      </c>
      <c r="Q65" s="301">
        <v>0.72</v>
      </c>
      <c r="R65" s="301">
        <v>0.79</v>
      </c>
      <c r="S65" s="301">
        <v>0.83</v>
      </c>
      <c r="T65" s="301">
        <v>0.61</v>
      </c>
      <c r="U65" s="301">
        <v>0.65</v>
      </c>
      <c r="V65" s="301">
        <v>0.1</v>
      </c>
      <c r="W65" s="301">
        <v>0.1</v>
      </c>
      <c r="X65" s="301">
        <v>0.19</v>
      </c>
      <c r="Y65" s="301">
        <v>0.25</v>
      </c>
      <c r="Z65" s="301">
        <v>0.22</v>
      </c>
      <c r="AA65" s="301">
        <v>0.22</v>
      </c>
      <c r="AB65" s="301">
        <v>0.12</v>
      </c>
      <c r="AC65" s="302">
        <v>0.09</v>
      </c>
      <c r="AD65" s="44"/>
      <c r="AE65" s="44"/>
      <c r="AF65" s="44"/>
      <c r="AG65" s="44"/>
      <c r="AH65" s="44"/>
      <c r="AI65" s="44"/>
      <c r="AJ65" s="44"/>
      <c r="AK65" s="44"/>
      <c r="AM65" s="55"/>
    </row>
    <row r="66" spans="1:39" ht="38.65" customHeight="1" x14ac:dyDescent="0.25">
      <c r="A66" s="466"/>
      <c r="B66" s="490"/>
      <c r="C66" s="460"/>
      <c r="D66" s="417"/>
      <c r="E66" s="303" t="s">
        <v>461</v>
      </c>
      <c r="F66" s="304">
        <v>0.03</v>
      </c>
      <c r="G66" s="304">
        <v>0.03</v>
      </c>
      <c r="H66" s="304">
        <v>0.03</v>
      </c>
      <c r="I66" s="304">
        <v>0.03</v>
      </c>
      <c r="J66" s="304">
        <v>0.03</v>
      </c>
      <c r="K66" s="304">
        <v>0.03</v>
      </c>
      <c r="L66" s="304">
        <v>0.03</v>
      </c>
      <c r="M66" s="304">
        <v>0.03</v>
      </c>
      <c r="N66" s="304">
        <v>0.03</v>
      </c>
      <c r="O66" s="304">
        <v>0.05</v>
      </c>
      <c r="P66" s="304">
        <v>0.05</v>
      </c>
      <c r="Q66" s="304">
        <v>0.05</v>
      </c>
      <c r="R66" s="304">
        <v>0.05</v>
      </c>
      <c r="S66" s="304">
        <v>0.03</v>
      </c>
      <c r="T66" s="304">
        <v>0.03</v>
      </c>
      <c r="U66" s="304">
        <v>0.03</v>
      </c>
      <c r="V66" s="304">
        <v>0.03</v>
      </c>
      <c r="W66" s="304">
        <v>0.03</v>
      </c>
      <c r="X66" s="304">
        <v>0.03</v>
      </c>
      <c r="Y66" s="304">
        <v>0.03</v>
      </c>
      <c r="Z66" s="304">
        <v>0.03</v>
      </c>
      <c r="AA66" s="304">
        <v>0.03</v>
      </c>
      <c r="AB66" s="304">
        <v>0.03</v>
      </c>
      <c r="AC66" s="305">
        <v>0.03</v>
      </c>
      <c r="AD66" s="44"/>
      <c r="AE66" s="44"/>
      <c r="AF66" s="44"/>
      <c r="AG66" s="44"/>
      <c r="AH66" s="44"/>
      <c r="AI66" s="44"/>
      <c r="AJ66" s="44"/>
      <c r="AK66" s="44"/>
      <c r="AM66" s="55"/>
    </row>
    <row r="67" spans="1:39" ht="38.65" customHeight="1" thickBot="1" x14ac:dyDescent="0.3">
      <c r="A67" s="467"/>
      <c r="B67" s="491"/>
      <c r="C67" s="461"/>
      <c r="D67" s="418"/>
      <c r="E67" s="306" t="s">
        <v>462</v>
      </c>
      <c r="F67" s="307">
        <v>0.03</v>
      </c>
      <c r="G67" s="307">
        <v>0.03</v>
      </c>
      <c r="H67" s="307">
        <v>0.03</v>
      </c>
      <c r="I67" s="307">
        <v>0.03</v>
      </c>
      <c r="J67" s="307">
        <v>0.03</v>
      </c>
      <c r="K67" s="307">
        <v>0.03</v>
      </c>
      <c r="L67" s="307">
        <v>0.03</v>
      </c>
      <c r="M67" s="307">
        <v>0.03</v>
      </c>
      <c r="N67" s="307">
        <v>0.05</v>
      </c>
      <c r="O67" s="307">
        <v>0.05</v>
      </c>
      <c r="P67" s="307">
        <v>0.05</v>
      </c>
      <c r="Q67" s="307">
        <v>0.05</v>
      </c>
      <c r="R67" s="307">
        <v>0.05</v>
      </c>
      <c r="S67" s="307">
        <v>0.05</v>
      </c>
      <c r="T67" s="307">
        <v>0.03</v>
      </c>
      <c r="U67" s="307">
        <v>0.03</v>
      </c>
      <c r="V67" s="307">
        <v>0.03</v>
      </c>
      <c r="W67" s="307">
        <v>0.03</v>
      </c>
      <c r="X67" s="307">
        <v>0.03</v>
      </c>
      <c r="Y67" s="307">
        <v>0.03</v>
      </c>
      <c r="Z67" s="307">
        <v>0.03</v>
      </c>
      <c r="AA67" s="307">
        <v>0.03</v>
      </c>
      <c r="AB67" s="307">
        <v>0.03</v>
      </c>
      <c r="AC67" s="308">
        <v>0.03</v>
      </c>
      <c r="AD67" s="44"/>
      <c r="AE67" s="44"/>
      <c r="AF67" s="44"/>
      <c r="AG67" s="44"/>
      <c r="AH67" s="44"/>
      <c r="AI67" s="44"/>
      <c r="AJ67" s="44"/>
      <c r="AK67" s="44"/>
      <c r="AM67" s="55"/>
    </row>
    <row r="68" spans="1:39" ht="35.25" customHeight="1" thickBot="1" x14ac:dyDescent="0.3">
      <c r="A68" s="477" t="s">
        <v>77</v>
      </c>
      <c r="B68" s="477"/>
      <c r="C68" s="477" t="s">
        <v>16</v>
      </c>
      <c r="D68" s="477"/>
      <c r="E68" s="477"/>
      <c r="F68" s="477"/>
      <c r="G68" s="477"/>
      <c r="H68" s="477"/>
      <c r="I68" s="477"/>
      <c r="J68" s="477"/>
      <c r="K68" s="477"/>
      <c r="L68" s="477"/>
      <c r="M68" s="477"/>
      <c r="N68" s="477"/>
      <c r="O68" s="477"/>
      <c r="P68" s="477"/>
      <c r="Q68" s="477"/>
      <c r="R68" s="477"/>
      <c r="S68" s="477"/>
      <c r="T68" s="477"/>
      <c r="U68" s="477"/>
      <c r="V68" s="477"/>
      <c r="W68" s="477"/>
      <c r="X68" s="477"/>
      <c r="Y68" s="477"/>
      <c r="Z68" s="477"/>
      <c r="AA68" s="477"/>
      <c r="AB68" s="477"/>
      <c r="AC68" s="478"/>
    </row>
    <row r="69" spans="1:39" customFormat="1" ht="26.45" customHeight="1" x14ac:dyDescent="0.25">
      <c r="A69" s="448" t="s">
        <v>474</v>
      </c>
      <c r="B69" s="449" t="s">
        <v>77</v>
      </c>
      <c r="C69" s="449" t="s">
        <v>458</v>
      </c>
      <c r="D69" s="416" t="s">
        <v>470</v>
      </c>
      <c r="E69" s="235" t="s">
        <v>460</v>
      </c>
      <c r="F69" s="254">
        <v>0</v>
      </c>
      <c r="G69" s="254">
        <v>0</v>
      </c>
      <c r="H69" s="254">
        <v>0</v>
      </c>
      <c r="I69" s="254">
        <v>0</v>
      </c>
      <c r="J69" s="254">
        <v>0</v>
      </c>
      <c r="K69" s="254">
        <v>0</v>
      </c>
      <c r="L69" s="254">
        <v>0.1</v>
      </c>
      <c r="M69" s="254">
        <v>0.5</v>
      </c>
      <c r="N69" s="254">
        <v>0.25</v>
      </c>
      <c r="O69" s="254">
        <v>0.25</v>
      </c>
      <c r="P69" s="254">
        <v>0.05</v>
      </c>
      <c r="Q69" s="254">
        <v>0.25</v>
      </c>
      <c r="R69" s="254">
        <v>0.95</v>
      </c>
      <c r="S69" s="254">
        <v>0.95</v>
      </c>
      <c r="T69" s="254">
        <v>0.25</v>
      </c>
      <c r="U69" s="254">
        <v>0.2</v>
      </c>
      <c r="V69" s="254">
        <v>0.2</v>
      </c>
      <c r="W69" s="254">
        <v>0.2</v>
      </c>
      <c r="X69" s="254">
        <v>0.15</v>
      </c>
      <c r="Y69" s="254">
        <v>0.15</v>
      </c>
      <c r="Z69" s="254">
        <v>0</v>
      </c>
      <c r="AA69" s="254">
        <v>0</v>
      </c>
      <c r="AB69" s="254">
        <v>0</v>
      </c>
      <c r="AC69" s="255">
        <v>0</v>
      </c>
      <c r="AD69" s="44"/>
      <c r="AE69" s="44"/>
      <c r="AF69" s="44"/>
      <c r="AG69" s="44"/>
      <c r="AH69" s="44"/>
      <c r="AI69" s="44"/>
      <c r="AJ69" s="44"/>
    </row>
    <row r="70" spans="1:39" customFormat="1" ht="26.45" customHeight="1" x14ac:dyDescent="0.25">
      <c r="A70" s="420"/>
      <c r="B70" s="423"/>
      <c r="C70" s="423"/>
      <c r="D70" s="417"/>
      <c r="E70" s="233" t="s">
        <v>461</v>
      </c>
      <c r="F70" s="256">
        <v>0</v>
      </c>
      <c r="G70" s="256">
        <v>0</v>
      </c>
      <c r="H70" s="256">
        <v>0</v>
      </c>
      <c r="I70" s="256">
        <v>0</v>
      </c>
      <c r="J70" s="256">
        <v>0</v>
      </c>
      <c r="K70" s="256">
        <v>0</v>
      </c>
      <c r="L70" s="256">
        <v>0</v>
      </c>
      <c r="M70" s="256">
        <v>0</v>
      </c>
      <c r="N70" s="256">
        <v>0</v>
      </c>
      <c r="O70" s="256">
        <v>0</v>
      </c>
      <c r="P70" s="256">
        <v>0</v>
      </c>
      <c r="Q70" s="256">
        <v>0</v>
      </c>
      <c r="R70" s="256">
        <v>0</v>
      </c>
      <c r="S70" s="256">
        <v>0</v>
      </c>
      <c r="T70" s="256">
        <v>0</v>
      </c>
      <c r="U70" s="256">
        <v>0</v>
      </c>
      <c r="V70" s="256">
        <v>0</v>
      </c>
      <c r="W70" s="256">
        <v>0</v>
      </c>
      <c r="X70" s="256">
        <v>0</v>
      </c>
      <c r="Y70" s="256">
        <v>0</v>
      </c>
      <c r="Z70" s="256">
        <v>0</v>
      </c>
      <c r="AA70" s="256">
        <v>0</v>
      </c>
      <c r="AB70" s="256">
        <v>0</v>
      </c>
      <c r="AC70" s="257">
        <v>0</v>
      </c>
      <c r="AD70" s="44"/>
      <c r="AE70" s="44"/>
      <c r="AF70" s="44"/>
      <c r="AG70" s="44"/>
      <c r="AH70" s="44"/>
      <c r="AI70" s="44"/>
      <c r="AJ70" s="44"/>
    </row>
    <row r="71" spans="1:39" customFormat="1" ht="26.45" customHeight="1" thickBot="1" x14ac:dyDescent="0.3">
      <c r="A71" s="421"/>
      <c r="B71" s="424"/>
      <c r="C71" s="424"/>
      <c r="D71" s="418"/>
      <c r="E71" s="234" t="s">
        <v>462</v>
      </c>
      <c r="F71" s="258">
        <v>0</v>
      </c>
      <c r="G71" s="258">
        <v>0</v>
      </c>
      <c r="H71" s="258">
        <v>0</v>
      </c>
      <c r="I71" s="258">
        <v>0</v>
      </c>
      <c r="J71" s="258">
        <v>0</v>
      </c>
      <c r="K71" s="258">
        <v>0</v>
      </c>
      <c r="L71" s="258">
        <v>0</v>
      </c>
      <c r="M71" s="258">
        <v>0</v>
      </c>
      <c r="N71" s="258">
        <v>0</v>
      </c>
      <c r="O71" s="258">
        <v>0</v>
      </c>
      <c r="P71" s="258">
        <v>0</v>
      </c>
      <c r="Q71" s="258">
        <v>0</v>
      </c>
      <c r="R71" s="258">
        <v>0</v>
      </c>
      <c r="S71" s="258">
        <v>0</v>
      </c>
      <c r="T71" s="258">
        <v>0</v>
      </c>
      <c r="U71" s="258">
        <v>0</v>
      </c>
      <c r="V71" s="258">
        <v>0</v>
      </c>
      <c r="W71" s="258">
        <v>0</v>
      </c>
      <c r="X71" s="258">
        <v>0</v>
      </c>
      <c r="Y71" s="258">
        <v>0</v>
      </c>
      <c r="Z71" s="258">
        <v>0</v>
      </c>
      <c r="AA71" s="258">
        <v>0</v>
      </c>
      <c r="AB71" s="258">
        <v>0</v>
      </c>
      <c r="AC71" s="259">
        <v>0</v>
      </c>
      <c r="AD71" s="44"/>
      <c r="AE71" s="44"/>
      <c r="AF71" s="44"/>
      <c r="AG71" s="44"/>
      <c r="AH71" s="44"/>
      <c r="AI71" s="44"/>
      <c r="AJ71" s="44"/>
    </row>
    <row r="72" spans="1:39" customFormat="1" ht="26.45" customHeight="1" x14ac:dyDescent="0.25">
      <c r="A72" s="448" t="s">
        <v>474</v>
      </c>
      <c r="B72" s="449" t="s">
        <v>77</v>
      </c>
      <c r="C72" s="449" t="s">
        <v>468</v>
      </c>
      <c r="D72" s="416" t="s">
        <v>470</v>
      </c>
      <c r="E72" s="268" t="s">
        <v>460</v>
      </c>
      <c r="F72" s="254">
        <v>0</v>
      </c>
      <c r="G72" s="254">
        <v>0</v>
      </c>
      <c r="H72" s="254">
        <v>0</v>
      </c>
      <c r="I72" s="254">
        <v>0</v>
      </c>
      <c r="J72" s="254">
        <v>0</v>
      </c>
      <c r="K72" s="254">
        <v>0</v>
      </c>
      <c r="L72" s="254">
        <v>1</v>
      </c>
      <c r="M72" s="254">
        <v>1</v>
      </c>
      <c r="N72" s="254">
        <v>1</v>
      </c>
      <c r="O72" s="254">
        <v>1</v>
      </c>
      <c r="P72" s="254">
        <v>1</v>
      </c>
      <c r="Q72" s="254">
        <v>1</v>
      </c>
      <c r="R72" s="254">
        <v>1</v>
      </c>
      <c r="S72" s="254">
        <v>1</v>
      </c>
      <c r="T72" s="254">
        <v>1</v>
      </c>
      <c r="U72" s="254">
        <v>1</v>
      </c>
      <c r="V72" s="254">
        <v>1</v>
      </c>
      <c r="W72" s="254">
        <v>1</v>
      </c>
      <c r="X72" s="254">
        <v>1</v>
      </c>
      <c r="Y72" s="254">
        <v>1</v>
      </c>
      <c r="Z72" s="254">
        <v>0</v>
      </c>
      <c r="AA72" s="254">
        <v>0</v>
      </c>
      <c r="AB72" s="254">
        <v>0</v>
      </c>
      <c r="AC72" s="255">
        <v>0</v>
      </c>
      <c r="AD72" s="44"/>
      <c r="AE72" s="44"/>
      <c r="AF72" s="44"/>
      <c r="AG72" s="44"/>
      <c r="AH72" s="44"/>
      <c r="AI72" s="44"/>
      <c r="AJ72" s="44"/>
    </row>
    <row r="73" spans="1:39" customFormat="1" ht="26.45" customHeight="1" x14ac:dyDescent="0.25">
      <c r="A73" s="420"/>
      <c r="B73" s="423"/>
      <c r="C73" s="423"/>
      <c r="D73" s="417"/>
      <c r="E73" s="269" t="s">
        <v>461</v>
      </c>
      <c r="F73" s="256">
        <v>0</v>
      </c>
      <c r="G73" s="256">
        <v>0</v>
      </c>
      <c r="H73" s="256">
        <v>0</v>
      </c>
      <c r="I73" s="256">
        <v>0</v>
      </c>
      <c r="J73" s="256">
        <v>0</v>
      </c>
      <c r="K73" s="256">
        <v>0</v>
      </c>
      <c r="L73" s="256">
        <v>0</v>
      </c>
      <c r="M73" s="256">
        <v>0</v>
      </c>
      <c r="N73" s="256">
        <v>0</v>
      </c>
      <c r="O73" s="256">
        <v>0</v>
      </c>
      <c r="P73" s="256">
        <v>0</v>
      </c>
      <c r="Q73" s="256">
        <v>0</v>
      </c>
      <c r="R73" s="256">
        <v>0</v>
      </c>
      <c r="S73" s="256">
        <v>0</v>
      </c>
      <c r="T73" s="256">
        <v>0</v>
      </c>
      <c r="U73" s="256">
        <v>0</v>
      </c>
      <c r="V73" s="256">
        <v>0</v>
      </c>
      <c r="W73" s="256">
        <v>0</v>
      </c>
      <c r="X73" s="256">
        <v>0</v>
      </c>
      <c r="Y73" s="256">
        <v>0</v>
      </c>
      <c r="Z73" s="256">
        <v>0</v>
      </c>
      <c r="AA73" s="256">
        <v>0</v>
      </c>
      <c r="AB73" s="256">
        <v>0</v>
      </c>
      <c r="AC73" s="257">
        <v>0</v>
      </c>
      <c r="AD73" s="44"/>
      <c r="AE73" s="44"/>
      <c r="AF73" s="44"/>
      <c r="AG73" s="44"/>
      <c r="AH73" s="44"/>
      <c r="AI73" s="44"/>
      <c r="AJ73" s="44"/>
    </row>
    <row r="74" spans="1:39" customFormat="1" ht="26.45" customHeight="1" thickBot="1" x14ac:dyDescent="0.3">
      <c r="A74" s="421"/>
      <c r="B74" s="424"/>
      <c r="C74" s="424"/>
      <c r="D74" s="418"/>
      <c r="E74" s="270" t="s">
        <v>462</v>
      </c>
      <c r="F74" s="258">
        <v>0</v>
      </c>
      <c r="G74" s="258">
        <v>0</v>
      </c>
      <c r="H74" s="258">
        <v>0</v>
      </c>
      <c r="I74" s="258">
        <v>0</v>
      </c>
      <c r="J74" s="258">
        <v>0</v>
      </c>
      <c r="K74" s="258">
        <v>0</v>
      </c>
      <c r="L74" s="258">
        <v>0</v>
      </c>
      <c r="M74" s="258">
        <v>0</v>
      </c>
      <c r="N74" s="258">
        <v>0</v>
      </c>
      <c r="O74" s="258">
        <v>0</v>
      </c>
      <c r="P74" s="258">
        <v>0</v>
      </c>
      <c r="Q74" s="258">
        <v>0</v>
      </c>
      <c r="R74" s="258">
        <v>0</v>
      </c>
      <c r="S74" s="258">
        <v>0</v>
      </c>
      <c r="T74" s="258">
        <v>0</v>
      </c>
      <c r="U74" s="258">
        <v>0</v>
      </c>
      <c r="V74" s="258">
        <v>0</v>
      </c>
      <c r="W74" s="258">
        <v>0</v>
      </c>
      <c r="X74" s="258">
        <v>0</v>
      </c>
      <c r="Y74" s="258">
        <v>0</v>
      </c>
      <c r="Z74" s="258">
        <v>0</v>
      </c>
      <c r="AA74" s="258">
        <v>0</v>
      </c>
      <c r="AB74" s="258">
        <v>0</v>
      </c>
      <c r="AC74" s="259">
        <v>0</v>
      </c>
      <c r="AD74" s="44"/>
      <c r="AE74" s="44"/>
      <c r="AF74" s="44"/>
      <c r="AG74" s="44"/>
      <c r="AH74" s="44"/>
      <c r="AI74" s="44"/>
      <c r="AJ74" s="44"/>
    </row>
    <row r="75" spans="1:39" customFormat="1" ht="26.45" customHeight="1" x14ac:dyDescent="0.25">
      <c r="A75" s="448" t="s">
        <v>474</v>
      </c>
      <c r="B75" s="449" t="s">
        <v>77</v>
      </c>
      <c r="C75" s="449" t="s">
        <v>463</v>
      </c>
      <c r="D75" s="416" t="s">
        <v>470</v>
      </c>
      <c r="E75" s="268" t="s">
        <v>460</v>
      </c>
      <c r="F75" s="254">
        <v>0</v>
      </c>
      <c r="G75" s="254">
        <v>0</v>
      </c>
      <c r="H75" s="254">
        <v>0</v>
      </c>
      <c r="I75" s="254">
        <v>0</v>
      </c>
      <c r="J75" s="254">
        <v>0</v>
      </c>
      <c r="K75" s="254">
        <v>0</v>
      </c>
      <c r="L75" s="254">
        <v>1</v>
      </c>
      <c r="M75" s="254">
        <v>1</v>
      </c>
      <c r="N75" s="254">
        <v>1</v>
      </c>
      <c r="O75" s="254">
        <v>1</v>
      </c>
      <c r="P75" s="254">
        <v>1</v>
      </c>
      <c r="Q75" s="254">
        <v>1</v>
      </c>
      <c r="R75" s="254">
        <v>1</v>
      </c>
      <c r="S75" s="254">
        <v>1</v>
      </c>
      <c r="T75" s="254">
        <v>1</v>
      </c>
      <c r="U75" s="254">
        <v>1</v>
      </c>
      <c r="V75" s="254">
        <v>1</v>
      </c>
      <c r="W75" s="254">
        <v>1</v>
      </c>
      <c r="X75" s="254">
        <v>1</v>
      </c>
      <c r="Y75" s="254">
        <v>1</v>
      </c>
      <c r="Z75" s="254">
        <v>0</v>
      </c>
      <c r="AA75" s="254">
        <v>0</v>
      </c>
      <c r="AB75" s="254">
        <v>0</v>
      </c>
      <c r="AC75" s="255">
        <v>0</v>
      </c>
      <c r="AD75" s="44"/>
      <c r="AE75" s="44"/>
      <c r="AF75" s="44"/>
      <c r="AG75" s="44"/>
      <c r="AH75" s="44"/>
      <c r="AI75" s="44"/>
      <c r="AJ75" s="44"/>
    </row>
    <row r="76" spans="1:39" customFormat="1" ht="26.45" customHeight="1" x14ac:dyDescent="0.25">
      <c r="A76" s="420"/>
      <c r="B76" s="423"/>
      <c r="C76" s="423"/>
      <c r="D76" s="417"/>
      <c r="E76" s="269" t="s">
        <v>461</v>
      </c>
      <c r="F76" s="256">
        <v>0</v>
      </c>
      <c r="G76" s="256">
        <v>0</v>
      </c>
      <c r="H76" s="256">
        <v>0</v>
      </c>
      <c r="I76" s="256">
        <v>0</v>
      </c>
      <c r="J76" s="256">
        <v>0</v>
      </c>
      <c r="K76" s="256">
        <v>0</v>
      </c>
      <c r="L76" s="256">
        <v>0</v>
      </c>
      <c r="M76" s="256">
        <v>0</v>
      </c>
      <c r="N76" s="256">
        <v>0</v>
      </c>
      <c r="O76" s="256">
        <v>0</v>
      </c>
      <c r="P76" s="256">
        <v>0</v>
      </c>
      <c r="Q76" s="256">
        <v>0</v>
      </c>
      <c r="R76" s="256">
        <v>0</v>
      </c>
      <c r="S76" s="256">
        <v>0</v>
      </c>
      <c r="T76" s="256">
        <v>0</v>
      </c>
      <c r="U76" s="256">
        <v>0</v>
      </c>
      <c r="V76" s="256">
        <v>0</v>
      </c>
      <c r="W76" s="256">
        <v>0</v>
      </c>
      <c r="X76" s="256">
        <v>0</v>
      </c>
      <c r="Y76" s="256">
        <v>0</v>
      </c>
      <c r="Z76" s="256">
        <v>0</v>
      </c>
      <c r="AA76" s="256">
        <v>0</v>
      </c>
      <c r="AB76" s="256">
        <v>0</v>
      </c>
      <c r="AC76" s="257">
        <v>0</v>
      </c>
      <c r="AD76" s="44"/>
      <c r="AE76" s="44"/>
      <c r="AF76" s="44"/>
      <c r="AG76" s="44"/>
      <c r="AH76" s="44"/>
      <c r="AI76" s="44"/>
      <c r="AJ76" s="44"/>
    </row>
    <row r="77" spans="1:39" customFormat="1" ht="26.45" customHeight="1" thickBot="1" x14ac:dyDescent="0.3">
      <c r="A77" s="481"/>
      <c r="B77" s="482"/>
      <c r="C77" s="482"/>
      <c r="D77" s="483"/>
      <c r="E77" s="270" t="s">
        <v>462</v>
      </c>
      <c r="F77" s="258">
        <v>0</v>
      </c>
      <c r="G77" s="258">
        <v>0</v>
      </c>
      <c r="H77" s="258">
        <v>0</v>
      </c>
      <c r="I77" s="258">
        <v>0</v>
      </c>
      <c r="J77" s="258">
        <v>0</v>
      </c>
      <c r="K77" s="258">
        <v>0</v>
      </c>
      <c r="L77" s="258">
        <v>0</v>
      </c>
      <c r="M77" s="258">
        <v>0</v>
      </c>
      <c r="N77" s="258">
        <v>0</v>
      </c>
      <c r="O77" s="258">
        <v>0</v>
      </c>
      <c r="P77" s="258">
        <v>0</v>
      </c>
      <c r="Q77" s="258">
        <v>0</v>
      </c>
      <c r="R77" s="258">
        <v>0</v>
      </c>
      <c r="S77" s="258">
        <v>0</v>
      </c>
      <c r="T77" s="258">
        <v>0</v>
      </c>
      <c r="U77" s="258">
        <v>0</v>
      </c>
      <c r="V77" s="258">
        <v>0</v>
      </c>
      <c r="W77" s="258">
        <v>0</v>
      </c>
      <c r="X77" s="258">
        <v>0</v>
      </c>
      <c r="Y77" s="258">
        <v>0</v>
      </c>
      <c r="Z77" s="258">
        <v>0</v>
      </c>
      <c r="AA77" s="258">
        <v>0</v>
      </c>
      <c r="AB77" s="258">
        <v>0</v>
      </c>
      <c r="AC77" s="259">
        <v>0</v>
      </c>
      <c r="AD77" s="44"/>
      <c r="AE77" s="44"/>
      <c r="AF77" s="44"/>
      <c r="AG77" s="44"/>
      <c r="AH77" s="44"/>
      <c r="AI77" s="44"/>
      <c r="AJ77" s="44"/>
    </row>
    <row r="78" spans="1:39" customFormat="1" ht="26.45" customHeight="1" x14ac:dyDescent="0.25">
      <c r="A78" s="448" t="s">
        <v>474</v>
      </c>
      <c r="B78" s="449" t="s">
        <v>77</v>
      </c>
      <c r="C78" s="449" t="s">
        <v>464</v>
      </c>
      <c r="D78" s="416" t="s">
        <v>470</v>
      </c>
      <c r="E78" s="268" t="s">
        <v>460</v>
      </c>
      <c r="F78" s="254">
        <v>0.15</v>
      </c>
      <c r="G78" s="254">
        <v>0.15</v>
      </c>
      <c r="H78" s="254">
        <v>0.15</v>
      </c>
      <c r="I78" s="254">
        <v>0.15</v>
      </c>
      <c r="J78" s="254">
        <v>0.15</v>
      </c>
      <c r="K78" s="254">
        <v>0.2</v>
      </c>
      <c r="L78" s="254">
        <v>0.3</v>
      </c>
      <c r="M78" s="254">
        <v>0.9</v>
      </c>
      <c r="N78" s="254">
        <v>0.9</v>
      </c>
      <c r="O78" s="254">
        <v>0.8</v>
      </c>
      <c r="P78" s="254">
        <v>0.8</v>
      </c>
      <c r="Q78" s="254">
        <v>0.8</v>
      </c>
      <c r="R78" s="254">
        <v>0.9</v>
      </c>
      <c r="S78" s="254">
        <v>0.9</v>
      </c>
      <c r="T78" s="254">
        <v>0.9</v>
      </c>
      <c r="U78" s="254">
        <v>0.7</v>
      </c>
      <c r="V78" s="254">
        <v>0.2</v>
      </c>
      <c r="W78" s="254">
        <v>0.15</v>
      </c>
      <c r="X78" s="254">
        <v>0.15</v>
      </c>
      <c r="Y78" s="254">
        <v>0.15</v>
      </c>
      <c r="Z78" s="254">
        <v>0.15</v>
      </c>
      <c r="AA78" s="254">
        <v>0.15</v>
      </c>
      <c r="AB78" s="254">
        <v>0.15</v>
      </c>
      <c r="AC78" s="255">
        <v>0.15</v>
      </c>
      <c r="AD78" s="44"/>
      <c r="AE78" s="44"/>
      <c r="AF78" s="44"/>
      <c r="AG78" s="44"/>
      <c r="AH78" s="44"/>
      <c r="AI78" s="44"/>
      <c r="AJ78" s="44"/>
    </row>
    <row r="79" spans="1:39" customFormat="1" ht="26.45" customHeight="1" x14ac:dyDescent="0.25">
      <c r="A79" s="420"/>
      <c r="B79" s="423"/>
      <c r="C79" s="423"/>
      <c r="D79" s="417"/>
      <c r="E79" s="269" t="s">
        <v>461</v>
      </c>
      <c r="F79" s="256">
        <v>0</v>
      </c>
      <c r="G79" s="256">
        <v>0</v>
      </c>
      <c r="H79" s="256">
        <v>0</v>
      </c>
      <c r="I79" s="256">
        <v>0</v>
      </c>
      <c r="J79" s="256">
        <v>0</v>
      </c>
      <c r="K79" s="256">
        <v>0</v>
      </c>
      <c r="L79" s="256">
        <v>0</v>
      </c>
      <c r="M79" s="256">
        <v>0</v>
      </c>
      <c r="N79" s="256">
        <v>0</v>
      </c>
      <c r="O79" s="256">
        <v>0</v>
      </c>
      <c r="P79" s="256">
        <v>0</v>
      </c>
      <c r="Q79" s="256">
        <v>0</v>
      </c>
      <c r="R79" s="256">
        <v>0</v>
      </c>
      <c r="S79" s="256">
        <v>0</v>
      </c>
      <c r="T79" s="256">
        <v>0</v>
      </c>
      <c r="U79" s="256">
        <v>0</v>
      </c>
      <c r="V79" s="256">
        <v>0</v>
      </c>
      <c r="W79" s="256">
        <v>0</v>
      </c>
      <c r="X79" s="256">
        <v>0</v>
      </c>
      <c r="Y79" s="256">
        <v>0</v>
      </c>
      <c r="Z79" s="256">
        <v>0</v>
      </c>
      <c r="AA79" s="256">
        <v>0</v>
      </c>
      <c r="AB79" s="256">
        <v>0</v>
      </c>
      <c r="AC79" s="257">
        <v>0</v>
      </c>
      <c r="AD79" s="44"/>
      <c r="AE79" s="44"/>
      <c r="AF79" s="44"/>
      <c r="AG79" s="44"/>
      <c r="AH79" s="44"/>
      <c r="AI79" s="44"/>
      <c r="AJ79" s="44"/>
    </row>
    <row r="80" spans="1:39" customFormat="1" ht="26.45" customHeight="1" thickBot="1" x14ac:dyDescent="0.3">
      <c r="A80" s="421"/>
      <c r="B80" s="424"/>
      <c r="C80" s="424"/>
      <c r="D80" s="418"/>
      <c r="E80" s="270" t="s">
        <v>462</v>
      </c>
      <c r="F80" s="258">
        <v>0</v>
      </c>
      <c r="G80" s="258">
        <v>0</v>
      </c>
      <c r="H80" s="258">
        <v>0</v>
      </c>
      <c r="I80" s="258">
        <v>0</v>
      </c>
      <c r="J80" s="258">
        <v>0</v>
      </c>
      <c r="K80" s="258">
        <v>0</v>
      </c>
      <c r="L80" s="258">
        <v>0</v>
      </c>
      <c r="M80" s="258">
        <v>0</v>
      </c>
      <c r="N80" s="258">
        <v>0</v>
      </c>
      <c r="O80" s="258">
        <v>0</v>
      </c>
      <c r="P80" s="258">
        <v>0</v>
      </c>
      <c r="Q80" s="258">
        <v>0</v>
      </c>
      <c r="R80" s="258">
        <v>0</v>
      </c>
      <c r="S80" s="258">
        <v>0</v>
      </c>
      <c r="T80" s="258">
        <v>0</v>
      </c>
      <c r="U80" s="258">
        <v>0</v>
      </c>
      <c r="V80" s="258">
        <v>0</v>
      </c>
      <c r="W80" s="258">
        <v>0</v>
      </c>
      <c r="X80" s="258">
        <v>0</v>
      </c>
      <c r="Y80" s="258">
        <v>0</v>
      </c>
      <c r="Z80" s="258">
        <v>0</v>
      </c>
      <c r="AA80" s="258">
        <v>0</v>
      </c>
      <c r="AB80" s="258">
        <v>0</v>
      </c>
      <c r="AC80" s="259">
        <v>0</v>
      </c>
      <c r="AD80" s="44"/>
      <c r="AE80" s="44"/>
      <c r="AF80" s="44"/>
      <c r="AG80" s="44"/>
      <c r="AH80" s="44"/>
      <c r="AI80" s="44"/>
      <c r="AJ80" s="44"/>
    </row>
    <row r="81" spans="1:36" customFormat="1" ht="23.45" customHeight="1" x14ac:dyDescent="0.25">
      <c r="A81" s="448" t="s">
        <v>474</v>
      </c>
      <c r="B81" s="449" t="s">
        <v>77</v>
      </c>
      <c r="C81" s="459" t="s">
        <v>469</v>
      </c>
      <c r="D81" s="416" t="s">
        <v>470</v>
      </c>
      <c r="E81" s="268" t="s">
        <v>460</v>
      </c>
      <c r="F81" s="271">
        <f>IF(F72=1,Thermostat!$B$3,Thermostat!$B$4)</f>
        <v>60</v>
      </c>
      <c r="G81" s="271">
        <f>IF(G72=1,Thermostat!$B$3,Thermostat!$B$4)</f>
        <v>60</v>
      </c>
      <c r="H81" s="271">
        <f>IF(H72=1,Thermostat!$B$3,Thermostat!$B$4)</f>
        <v>60</v>
      </c>
      <c r="I81" s="271">
        <f>IF(I72=1,Thermostat!$B$3,Thermostat!$B$4)</f>
        <v>60</v>
      </c>
      <c r="J81" s="271">
        <f>IF(J72=1,Thermostat!$B$3,Thermostat!$B$4)</f>
        <v>60</v>
      </c>
      <c r="K81" s="271">
        <f>IF(K72=1,Thermostat!$B$3,Thermostat!$B$4)</f>
        <v>60</v>
      </c>
      <c r="L81" s="271">
        <f>IF(L72=1,Thermostat!$B$3,Thermostat!$B$4)</f>
        <v>70</v>
      </c>
      <c r="M81" s="271">
        <f>IF(M72=1,Thermostat!$B$3,Thermostat!$B$4)</f>
        <v>70</v>
      </c>
      <c r="N81" s="271">
        <f>IF(N72=1,Thermostat!$B$3,Thermostat!$B$4)</f>
        <v>70</v>
      </c>
      <c r="O81" s="271">
        <f>IF(O72=1,Thermostat!$B$3,Thermostat!$B$4)</f>
        <v>70</v>
      </c>
      <c r="P81" s="271">
        <f>IF(P72=1,Thermostat!$B$3,Thermostat!$B$4)</f>
        <v>70</v>
      </c>
      <c r="Q81" s="271">
        <f>IF(Q72=1,Thermostat!$B$3,Thermostat!$B$4)</f>
        <v>70</v>
      </c>
      <c r="R81" s="271">
        <f>IF(R72=1,Thermostat!$B$3,Thermostat!$B$4)</f>
        <v>70</v>
      </c>
      <c r="S81" s="271">
        <f>IF(S72=1,Thermostat!$B$3,Thermostat!$B$4)</f>
        <v>70</v>
      </c>
      <c r="T81" s="271">
        <f>IF(T72=1,Thermostat!$B$3,Thermostat!$B$4)</f>
        <v>70</v>
      </c>
      <c r="U81" s="271">
        <f>IF(U72=1,Thermostat!$B$3,Thermostat!$B$4)</f>
        <v>70</v>
      </c>
      <c r="V81" s="271">
        <f>IF(V72=1,Thermostat!$B$3,Thermostat!$B$4)</f>
        <v>70</v>
      </c>
      <c r="W81" s="271">
        <f>IF(W72=1,Thermostat!$B$3,Thermostat!$B$4)</f>
        <v>70</v>
      </c>
      <c r="X81" s="271">
        <f>IF(X72=1,Thermostat!$B$3,Thermostat!$B$4)</f>
        <v>70</v>
      </c>
      <c r="Y81" s="271">
        <f>IF(Y72=1,Thermostat!$B$3,Thermostat!$B$4)</f>
        <v>70</v>
      </c>
      <c r="Z81" s="271">
        <f>IF(Z72=1,Thermostat!$B$3,Thermostat!$B$4)</f>
        <v>60</v>
      </c>
      <c r="AA81" s="271">
        <f>IF(AA72=1,Thermostat!$B$3,Thermostat!$B$4)</f>
        <v>60</v>
      </c>
      <c r="AB81" s="271">
        <f>IF(AB72=1,Thermostat!$B$3,Thermostat!$B$4)</f>
        <v>60</v>
      </c>
      <c r="AC81" s="272">
        <f>IF(AC72=1,Thermostat!$B$3,Thermostat!$B$4)</f>
        <v>60</v>
      </c>
      <c r="AD81" s="44"/>
      <c r="AE81" s="44"/>
      <c r="AF81" s="44"/>
      <c r="AG81" s="44"/>
      <c r="AH81" s="44"/>
      <c r="AI81" s="44"/>
      <c r="AJ81" s="44"/>
    </row>
    <row r="82" spans="1:36" customFormat="1" ht="23.45" customHeight="1" x14ac:dyDescent="0.25">
      <c r="A82" s="420"/>
      <c r="B82" s="423"/>
      <c r="C82" s="460"/>
      <c r="D82" s="417"/>
      <c r="E82" s="269" t="s">
        <v>461</v>
      </c>
      <c r="F82" s="264">
        <f>IF(F73=1,Thermostat!$B$3,Thermostat!$B$4)</f>
        <v>60</v>
      </c>
      <c r="G82" s="264">
        <f>IF(G73=1,Thermostat!$B$3,Thermostat!$B$4)</f>
        <v>60</v>
      </c>
      <c r="H82" s="264">
        <f>IF(H73=1,Thermostat!$B$3,Thermostat!$B$4)</f>
        <v>60</v>
      </c>
      <c r="I82" s="264">
        <f>IF(I73=1,Thermostat!$B$3,Thermostat!$B$4)</f>
        <v>60</v>
      </c>
      <c r="J82" s="264">
        <f>IF(J73=1,Thermostat!$B$3,Thermostat!$B$4)</f>
        <v>60</v>
      </c>
      <c r="K82" s="264">
        <f>IF(K73=1,Thermostat!$B$3,Thermostat!$B$4)</f>
        <v>60</v>
      </c>
      <c r="L82" s="264">
        <f>IF(L73=1,Thermostat!$B$3,Thermostat!$B$4)</f>
        <v>60</v>
      </c>
      <c r="M82" s="264">
        <f>IF(M73=1,Thermostat!$B$3,Thermostat!$B$4)</f>
        <v>60</v>
      </c>
      <c r="N82" s="264">
        <f>IF(N73=1,Thermostat!$B$3,Thermostat!$B$4)</f>
        <v>60</v>
      </c>
      <c r="O82" s="264">
        <f>IF(O73=1,Thermostat!$B$3,Thermostat!$B$4)</f>
        <v>60</v>
      </c>
      <c r="P82" s="264">
        <f>IF(P73=1,Thermostat!$B$3,Thermostat!$B$4)</f>
        <v>60</v>
      </c>
      <c r="Q82" s="264">
        <f>IF(Q73=1,Thermostat!$B$3,Thermostat!$B$4)</f>
        <v>60</v>
      </c>
      <c r="R82" s="264">
        <f>IF(R73=1,Thermostat!$B$3,Thermostat!$B$4)</f>
        <v>60</v>
      </c>
      <c r="S82" s="264">
        <f>IF(S73=1,Thermostat!$B$3,Thermostat!$B$4)</f>
        <v>60</v>
      </c>
      <c r="T82" s="264">
        <f>IF(T73=1,Thermostat!$B$3,Thermostat!$B$4)</f>
        <v>60</v>
      </c>
      <c r="U82" s="264">
        <f>IF(U73=1,Thermostat!$B$3,Thermostat!$B$4)</f>
        <v>60</v>
      </c>
      <c r="V82" s="264">
        <f>IF(V73=1,Thermostat!$B$3,Thermostat!$B$4)</f>
        <v>60</v>
      </c>
      <c r="W82" s="264">
        <f>IF(W73=1,Thermostat!$B$3,Thermostat!$B$4)</f>
        <v>60</v>
      </c>
      <c r="X82" s="264">
        <f>IF(X73=1,Thermostat!$B$3,Thermostat!$B$4)</f>
        <v>60</v>
      </c>
      <c r="Y82" s="264">
        <f>IF(Y73=1,Thermostat!$B$3,Thermostat!$B$4)</f>
        <v>60</v>
      </c>
      <c r="Z82" s="264">
        <f>IF(Z73=1,Thermostat!$B$3,Thermostat!$B$4)</f>
        <v>60</v>
      </c>
      <c r="AA82" s="264">
        <f>IF(AA73=1,Thermostat!$B$3,Thermostat!$B$4)</f>
        <v>60</v>
      </c>
      <c r="AB82" s="264">
        <f>IF(AB73=1,Thermostat!$B$3,Thermostat!$B$4)</f>
        <v>60</v>
      </c>
      <c r="AC82" s="265">
        <f>IF(AC73=1,Thermostat!$B$3,Thermostat!$B$4)</f>
        <v>60</v>
      </c>
      <c r="AD82" s="44"/>
      <c r="AE82" s="44"/>
      <c r="AF82" s="44"/>
      <c r="AG82" s="44"/>
      <c r="AH82" s="44"/>
      <c r="AI82" s="44"/>
      <c r="AJ82" s="44"/>
    </row>
    <row r="83" spans="1:36" customFormat="1" ht="23.45" customHeight="1" thickBot="1" x14ac:dyDescent="0.3">
      <c r="A83" s="421"/>
      <c r="B83" s="424"/>
      <c r="C83" s="461"/>
      <c r="D83" s="418"/>
      <c r="E83" s="270" t="s">
        <v>462</v>
      </c>
      <c r="F83" s="266">
        <f>IF(F74=1,Thermostat!$B$3,Thermostat!$B$4)</f>
        <v>60</v>
      </c>
      <c r="G83" s="266">
        <f>IF(G74=1,Thermostat!$B$3,Thermostat!$B$4)</f>
        <v>60</v>
      </c>
      <c r="H83" s="266">
        <f>IF(H74=1,Thermostat!$B$3,Thermostat!$B$4)</f>
        <v>60</v>
      </c>
      <c r="I83" s="266">
        <f>IF(I74=1,Thermostat!$B$3,Thermostat!$B$4)</f>
        <v>60</v>
      </c>
      <c r="J83" s="266">
        <f>IF(J74=1,Thermostat!$B$3,Thermostat!$B$4)</f>
        <v>60</v>
      </c>
      <c r="K83" s="266">
        <f>IF(K74=1,Thermostat!$B$3,Thermostat!$B$4)</f>
        <v>60</v>
      </c>
      <c r="L83" s="266">
        <f>IF(L74=1,Thermostat!$B$3,Thermostat!$B$4)</f>
        <v>60</v>
      </c>
      <c r="M83" s="266">
        <f>IF(M74=1,Thermostat!$B$3,Thermostat!$B$4)</f>
        <v>60</v>
      </c>
      <c r="N83" s="266">
        <f>IF(N74=1,Thermostat!$B$3,Thermostat!$B$4)</f>
        <v>60</v>
      </c>
      <c r="O83" s="266">
        <f>IF(O74=1,Thermostat!$B$3,Thermostat!$B$4)</f>
        <v>60</v>
      </c>
      <c r="P83" s="266">
        <f>IF(P74=1,Thermostat!$B$3,Thermostat!$B$4)</f>
        <v>60</v>
      </c>
      <c r="Q83" s="266">
        <f>IF(Q74=1,Thermostat!$B$3,Thermostat!$B$4)</f>
        <v>60</v>
      </c>
      <c r="R83" s="266">
        <f>IF(R74=1,Thermostat!$B$3,Thermostat!$B$4)</f>
        <v>60</v>
      </c>
      <c r="S83" s="266">
        <f>IF(S74=1,Thermostat!$B$3,Thermostat!$B$4)</f>
        <v>60</v>
      </c>
      <c r="T83" s="266">
        <f>IF(T74=1,Thermostat!$B$3,Thermostat!$B$4)</f>
        <v>60</v>
      </c>
      <c r="U83" s="266">
        <f>IF(U74=1,Thermostat!$B$3,Thermostat!$B$4)</f>
        <v>60</v>
      </c>
      <c r="V83" s="266">
        <f>IF(V74=1,Thermostat!$B$3,Thermostat!$B$4)</f>
        <v>60</v>
      </c>
      <c r="W83" s="266">
        <f>IF(W74=1,Thermostat!$B$3,Thermostat!$B$4)</f>
        <v>60</v>
      </c>
      <c r="X83" s="266">
        <f>IF(X74=1,Thermostat!$B$3,Thermostat!$B$4)</f>
        <v>60</v>
      </c>
      <c r="Y83" s="266">
        <f>IF(Y74=1,Thermostat!$B$3,Thermostat!$B$4)</f>
        <v>60</v>
      </c>
      <c r="Z83" s="266">
        <f>IF(Z74=1,Thermostat!$B$3,Thermostat!$B$4)</f>
        <v>60</v>
      </c>
      <c r="AA83" s="266">
        <f>IF(AA74=1,Thermostat!$B$3,Thermostat!$B$4)</f>
        <v>60</v>
      </c>
      <c r="AB83" s="266">
        <f>IF(AB74=1,Thermostat!$B$3,Thermostat!$B$4)</f>
        <v>60</v>
      </c>
      <c r="AC83" s="267">
        <f>IF(AC74=1,Thermostat!$B$3,Thermostat!$B$4)</f>
        <v>60</v>
      </c>
      <c r="AD83" s="44"/>
      <c r="AE83" s="44"/>
      <c r="AF83" s="44"/>
      <c r="AG83" s="44"/>
      <c r="AH83" s="44"/>
      <c r="AI83" s="44"/>
      <c r="AJ83" s="44"/>
    </row>
    <row r="84" spans="1:36" customFormat="1" ht="24.6" customHeight="1" x14ac:dyDescent="0.25">
      <c r="A84" s="419" t="s">
        <v>474</v>
      </c>
      <c r="B84" s="422" t="s">
        <v>77</v>
      </c>
      <c r="C84" s="460" t="s">
        <v>471</v>
      </c>
      <c r="D84" s="425" t="s">
        <v>470</v>
      </c>
      <c r="E84" s="268" t="s">
        <v>460</v>
      </c>
      <c r="F84" s="262">
        <f>IF(F72=1,Thermostat!$B$5,Thermostat!$B$6)</f>
        <v>85</v>
      </c>
      <c r="G84" s="262">
        <f>IF(G72=1,Thermostat!$B$5,Thermostat!$B$6)</f>
        <v>85</v>
      </c>
      <c r="H84" s="262">
        <f>IF(H72=1,Thermostat!$B$5,Thermostat!$B$6)</f>
        <v>85</v>
      </c>
      <c r="I84" s="262">
        <f>IF(I72=1,Thermostat!$B$5,Thermostat!$B$6)</f>
        <v>85</v>
      </c>
      <c r="J84" s="262">
        <f>IF(J72=1,Thermostat!$B$5,Thermostat!$B$6)</f>
        <v>85</v>
      </c>
      <c r="K84" s="262">
        <f>IF(K72=1,Thermostat!$B$5,Thermostat!$B$6)</f>
        <v>85</v>
      </c>
      <c r="L84" s="262">
        <f>IF(L72=1,Thermostat!$B$5,Thermostat!$B$6)</f>
        <v>75</v>
      </c>
      <c r="M84" s="262">
        <f>IF(M72=1,Thermostat!$B$5,Thermostat!$B$6)</f>
        <v>75</v>
      </c>
      <c r="N84" s="262">
        <f>IF(N72=1,Thermostat!$B$5,Thermostat!$B$6)</f>
        <v>75</v>
      </c>
      <c r="O84" s="262">
        <f>IF(O72=1,Thermostat!$B$5,Thermostat!$B$6)</f>
        <v>75</v>
      </c>
      <c r="P84" s="262">
        <f>IF(P72=1,Thermostat!$B$5,Thermostat!$B$6)</f>
        <v>75</v>
      </c>
      <c r="Q84" s="262">
        <f>IF(Q72=1,Thermostat!$B$5,Thermostat!$B$6)</f>
        <v>75</v>
      </c>
      <c r="R84" s="262">
        <f>IF(R72=1,Thermostat!$B$5,Thermostat!$B$6)</f>
        <v>75</v>
      </c>
      <c r="S84" s="262">
        <f>IF(S72=1,Thermostat!$B$5,Thermostat!$B$6)</f>
        <v>75</v>
      </c>
      <c r="T84" s="262">
        <f>IF(T72=1,Thermostat!$B$5,Thermostat!$B$6)</f>
        <v>75</v>
      </c>
      <c r="U84" s="262">
        <f>IF(U72=1,Thermostat!$B$5,Thermostat!$B$6)</f>
        <v>75</v>
      </c>
      <c r="V84" s="262">
        <f>IF(V72=1,Thermostat!$B$5,Thermostat!$B$6)</f>
        <v>75</v>
      </c>
      <c r="W84" s="262">
        <f>IF(W72=1,Thermostat!$B$5,Thermostat!$B$6)</f>
        <v>75</v>
      </c>
      <c r="X84" s="262">
        <f>IF(X72=1,Thermostat!$B$5,Thermostat!$B$6)</f>
        <v>75</v>
      </c>
      <c r="Y84" s="262">
        <f>IF(Y72=1,Thermostat!$B$5,Thermostat!$B$6)</f>
        <v>75</v>
      </c>
      <c r="Z84" s="262">
        <f>IF(Z72=1,Thermostat!$B$5,Thermostat!$B$6)</f>
        <v>85</v>
      </c>
      <c r="AA84" s="262">
        <f>IF(AA72=1,Thermostat!$B$5,Thermostat!$B$6)</f>
        <v>85</v>
      </c>
      <c r="AB84" s="262">
        <f>IF(AB72=1,Thermostat!$B$5,Thermostat!$B$6)</f>
        <v>85</v>
      </c>
      <c r="AC84" s="262">
        <f>IF(AC72=1,Thermostat!$B$5,Thermostat!$B$6)</f>
        <v>85</v>
      </c>
      <c r="AD84" s="44"/>
      <c r="AE84" s="44"/>
      <c r="AF84" s="44"/>
      <c r="AG84" s="44"/>
      <c r="AH84" s="44"/>
      <c r="AI84" s="44"/>
      <c r="AJ84" s="44"/>
    </row>
    <row r="85" spans="1:36" customFormat="1" ht="25.15" customHeight="1" x14ac:dyDescent="0.25">
      <c r="A85" s="420"/>
      <c r="B85" s="423"/>
      <c r="C85" s="460"/>
      <c r="D85" s="417"/>
      <c r="E85" s="269" t="s">
        <v>461</v>
      </c>
      <c r="F85" s="264">
        <f>IF(F73=1,Thermostat!$B$5,Thermostat!$B$6)</f>
        <v>85</v>
      </c>
      <c r="G85" s="264">
        <f>IF(G73=1,Thermostat!$B$5,Thermostat!$B$6)</f>
        <v>85</v>
      </c>
      <c r="H85" s="264">
        <f>IF(H73=1,Thermostat!$B$5,Thermostat!$B$6)</f>
        <v>85</v>
      </c>
      <c r="I85" s="264">
        <f>IF(I73=1,Thermostat!$B$5,Thermostat!$B$6)</f>
        <v>85</v>
      </c>
      <c r="J85" s="264">
        <f>IF(J73=1,Thermostat!$B$5,Thermostat!$B$6)</f>
        <v>85</v>
      </c>
      <c r="K85" s="264">
        <f>IF(K73=1,Thermostat!$B$5,Thermostat!$B$6)</f>
        <v>85</v>
      </c>
      <c r="L85" s="264">
        <f>IF(L73=1,Thermostat!$B$5,Thermostat!$B$6)</f>
        <v>85</v>
      </c>
      <c r="M85" s="264">
        <f>IF(M73=1,Thermostat!$B$5,Thermostat!$B$6)</f>
        <v>85</v>
      </c>
      <c r="N85" s="264">
        <f>IF(N73=1,Thermostat!$B$5,Thermostat!$B$6)</f>
        <v>85</v>
      </c>
      <c r="O85" s="264">
        <f>IF(O73=1,Thermostat!$B$5,Thermostat!$B$6)</f>
        <v>85</v>
      </c>
      <c r="P85" s="264">
        <f>IF(P73=1,Thermostat!$B$5,Thermostat!$B$6)</f>
        <v>85</v>
      </c>
      <c r="Q85" s="264">
        <f>IF(Q73=1,Thermostat!$B$5,Thermostat!$B$6)</f>
        <v>85</v>
      </c>
      <c r="R85" s="264">
        <f>IF(R73=1,Thermostat!$B$5,Thermostat!$B$6)</f>
        <v>85</v>
      </c>
      <c r="S85" s="264">
        <f>IF(S73=1,Thermostat!$B$5,Thermostat!$B$6)</f>
        <v>85</v>
      </c>
      <c r="T85" s="264">
        <f>IF(T73=1,Thermostat!$B$5,Thermostat!$B$6)</f>
        <v>85</v>
      </c>
      <c r="U85" s="264">
        <f>IF(U73=1,Thermostat!$B$5,Thermostat!$B$6)</f>
        <v>85</v>
      </c>
      <c r="V85" s="264">
        <f>IF(V73=1,Thermostat!$B$5,Thermostat!$B$6)</f>
        <v>85</v>
      </c>
      <c r="W85" s="264">
        <f>IF(W73=1,Thermostat!$B$5,Thermostat!$B$6)</f>
        <v>85</v>
      </c>
      <c r="X85" s="264">
        <f>IF(X73=1,Thermostat!$B$5,Thermostat!$B$6)</f>
        <v>85</v>
      </c>
      <c r="Y85" s="264">
        <f>IF(Y73=1,Thermostat!$B$5,Thermostat!$B$6)</f>
        <v>85</v>
      </c>
      <c r="Z85" s="264">
        <f>IF(Z73=1,Thermostat!$B$5,Thermostat!$B$6)</f>
        <v>85</v>
      </c>
      <c r="AA85" s="264">
        <f>IF(AA73=1,Thermostat!$B$5,Thermostat!$B$6)</f>
        <v>85</v>
      </c>
      <c r="AB85" s="264">
        <f>IF(AB73=1,Thermostat!$B$5,Thermostat!$B$6)</f>
        <v>85</v>
      </c>
      <c r="AC85" s="264">
        <f>IF(AC73=1,Thermostat!$B$5,Thermostat!$B$6)</f>
        <v>85</v>
      </c>
      <c r="AD85" s="44"/>
      <c r="AE85" s="44"/>
      <c r="AF85" s="44"/>
      <c r="AG85" s="44"/>
      <c r="AH85" s="44"/>
      <c r="AI85" s="44"/>
      <c r="AJ85" s="44"/>
    </row>
    <row r="86" spans="1:36" customFormat="1" ht="25.15" customHeight="1" thickBot="1" x14ac:dyDescent="0.3">
      <c r="A86" s="421"/>
      <c r="B86" s="424"/>
      <c r="C86" s="461"/>
      <c r="D86" s="418"/>
      <c r="E86" s="270" t="s">
        <v>462</v>
      </c>
      <c r="F86" s="266">
        <f>IF(F74=1,Thermostat!$B$5,Thermostat!$B$6)</f>
        <v>85</v>
      </c>
      <c r="G86" s="266">
        <f>IF(G74=1,Thermostat!$B$5,Thermostat!$B$6)</f>
        <v>85</v>
      </c>
      <c r="H86" s="266">
        <f>IF(H74=1,Thermostat!$B$5,Thermostat!$B$6)</f>
        <v>85</v>
      </c>
      <c r="I86" s="266">
        <f>IF(I74=1,Thermostat!$B$5,Thermostat!$B$6)</f>
        <v>85</v>
      </c>
      <c r="J86" s="266">
        <f>IF(J74=1,Thermostat!$B$5,Thermostat!$B$6)</f>
        <v>85</v>
      </c>
      <c r="K86" s="266">
        <f>IF(K74=1,Thermostat!$B$5,Thermostat!$B$6)</f>
        <v>85</v>
      </c>
      <c r="L86" s="266">
        <f>IF(L74=1,Thermostat!$B$5,Thermostat!$B$6)</f>
        <v>85</v>
      </c>
      <c r="M86" s="266">
        <f>IF(M74=1,Thermostat!$B$5,Thermostat!$B$6)</f>
        <v>85</v>
      </c>
      <c r="N86" s="266">
        <f>IF(N74=1,Thermostat!$B$5,Thermostat!$B$6)</f>
        <v>85</v>
      </c>
      <c r="O86" s="266">
        <f>IF(O74=1,Thermostat!$B$5,Thermostat!$B$6)</f>
        <v>85</v>
      </c>
      <c r="P86" s="266">
        <f>IF(P74=1,Thermostat!$B$5,Thermostat!$B$6)</f>
        <v>85</v>
      </c>
      <c r="Q86" s="266">
        <f>IF(Q74=1,Thermostat!$B$5,Thermostat!$B$6)</f>
        <v>85</v>
      </c>
      <c r="R86" s="266">
        <f>IF(R74=1,Thermostat!$B$5,Thermostat!$B$6)</f>
        <v>85</v>
      </c>
      <c r="S86" s="266">
        <f>IF(S74=1,Thermostat!$B$5,Thermostat!$B$6)</f>
        <v>85</v>
      </c>
      <c r="T86" s="266">
        <f>IF(T74=1,Thermostat!$B$5,Thermostat!$B$6)</f>
        <v>85</v>
      </c>
      <c r="U86" s="266">
        <f>IF(U74=1,Thermostat!$B$5,Thermostat!$B$6)</f>
        <v>85</v>
      </c>
      <c r="V86" s="266">
        <f>IF(V74=1,Thermostat!$B$5,Thermostat!$B$6)</f>
        <v>85</v>
      </c>
      <c r="W86" s="266">
        <f>IF(W74=1,Thermostat!$B$5,Thermostat!$B$6)</f>
        <v>85</v>
      </c>
      <c r="X86" s="266">
        <f>IF(X74=1,Thermostat!$B$5,Thermostat!$B$6)</f>
        <v>85</v>
      </c>
      <c r="Y86" s="266">
        <f>IF(Y74=1,Thermostat!$B$5,Thermostat!$B$6)</f>
        <v>85</v>
      </c>
      <c r="Z86" s="266">
        <f>IF(Z74=1,Thermostat!$B$5,Thermostat!$B$6)</f>
        <v>85</v>
      </c>
      <c r="AA86" s="266">
        <f>IF(AA74=1,Thermostat!$B$5,Thermostat!$B$6)</f>
        <v>85</v>
      </c>
      <c r="AB86" s="266">
        <f>IF(AB74=1,Thermostat!$B$5,Thermostat!$B$6)</f>
        <v>85</v>
      </c>
      <c r="AC86" s="266">
        <f>IF(AC74=1,Thermostat!$B$5,Thermostat!$B$6)</f>
        <v>85</v>
      </c>
      <c r="AD86" s="44"/>
      <c r="AE86" s="44"/>
      <c r="AF86" s="44"/>
      <c r="AG86" s="44"/>
      <c r="AH86" s="44"/>
      <c r="AI86" s="44"/>
      <c r="AJ86" s="44"/>
    </row>
    <row r="87" spans="1:36" customFormat="1" ht="30" customHeight="1" x14ac:dyDescent="0.25">
      <c r="A87" s="448" t="s">
        <v>474</v>
      </c>
      <c r="B87" s="449" t="s">
        <v>77</v>
      </c>
      <c r="C87" s="449" t="s">
        <v>473</v>
      </c>
      <c r="D87" s="416" t="s">
        <v>470</v>
      </c>
      <c r="E87" s="268" t="s">
        <v>460</v>
      </c>
      <c r="F87" s="254">
        <v>0</v>
      </c>
      <c r="G87" s="254">
        <v>0</v>
      </c>
      <c r="H87" s="254">
        <v>0</v>
      </c>
      <c r="I87" s="254">
        <v>0</v>
      </c>
      <c r="J87" s="254">
        <v>0</v>
      </c>
      <c r="K87" s="254">
        <v>0</v>
      </c>
      <c r="L87" s="254">
        <v>1</v>
      </c>
      <c r="M87" s="254">
        <v>1</v>
      </c>
      <c r="N87" s="254">
        <v>1</v>
      </c>
      <c r="O87" s="254">
        <v>1</v>
      </c>
      <c r="P87" s="254">
        <v>1</v>
      </c>
      <c r="Q87" s="254">
        <v>1</v>
      </c>
      <c r="R87" s="254">
        <v>1</v>
      </c>
      <c r="S87" s="254">
        <v>1</v>
      </c>
      <c r="T87" s="254">
        <v>1</v>
      </c>
      <c r="U87" s="254">
        <v>1</v>
      </c>
      <c r="V87" s="254">
        <v>1</v>
      </c>
      <c r="W87" s="254">
        <v>1</v>
      </c>
      <c r="X87" s="254">
        <v>1</v>
      </c>
      <c r="Y87" s="254">
        <v>1</v>
      </c>
      <c r="Z87" s="254">
        <v>0</v>
      </c>
      <c r="AA87" s="254">
        <v>0</v>
      </c>
      <c r="AB87" s="254">
        <v>0</v>
      </c>
      <c r="AC87" s="255">
        <v>0</v>
      </c>
      <c r="AD87" s="44"/>
      <c r="AE87" s="44"/>
      <c r="AF87" s="44"/>
      <c r="AG87" s="44"/>
      <c r="AH87" s="44"/>
      <c r="AI87" s="44"/>
      <c r="AJ87" s="44"/>
    </row>
    <row r="88" spans="1:36" customFormat="1" ht="30" customHeight="1" x14ac:dyDescent="0.25">
      <c r="A88" s="420"/>
      <c r="B88" s="423"/>
      <c r="C88" s="423"/>
      <c r="D88" s="417"/>
      <c r="E88" s="269" t="s">
        <v>461</v>
      </c>
      <c r="F88" s="256">
        <v>0</v>
      </c>
      <c r="G88" s="256">
        <v>0</v>
      </c>
      <c r="H88" s="256">
        <v>0</v>
      </c>
      <c r="I88" s="256">
        <v>0</v>
      </c>
      <c r="J88" s="256">
        <v>0</v>
      </c>
      <c r="K88" s="256">
        <v>0</v>
      </c>
      <c r="L88" s="256">
        <v>0</v>
      </c>
      <c r="M88" s="256">
        <v>0</v>
      </c>
      <c r="N88" s="256">
        <v>0</v>
      </c>
      <c r="O88" s="256">
        <v>0</v>
      </c>
      <c r="P88" s="256">
        <v>0</v>
      </c>
      <c r="Q88" s="256">
        <v>0</v>
      </c>
      <c r="R88" s="256">
        <v>0</v>
      </c>
      <c r="S88" s="256">
        <v>0</v>
      </c>
      <c r="T88" s="256">
        <v>0</v>
      </c>
      <c r="U88" s="256">
        <v>0</v>
      </c>
      <c r="V88" s="256">
        <v>0</v>
      </c>
      <c r="W88" s="256">
        <v>0</v>
      </c>
      <c r="X88" s="256">
        <v>0</v>
      </c>
      <c r="Y88" s="256">
        <v>0</v>
      </c>
      <c r="Z88" s="256">
        <v>0</v>
      </c>
      <c r="AA88" s="256">
        <v>0</v>
      </c>
      <c r="AB88" s="256">
        <v>0</v>
      </c>
      <c r="AC88" s="257">
        <v>0</v>
      </c>
      <c r="AD88" s="44"/>
      <c r="AE88" s="44"/>
      <c r="AF88" s="44"/>
      <c r="AG88" s="44"/>
      <c r="AH88" s="44"/>
      <c r="AI88" s="44"/>
      <c r="AJ88" s="44"/>
    </row>
    <row r="89" spans="1:36" customFormat="1" ht="30" customHeight="1" thickBot="1" x14ac:dyDescent="0.3">
      <c r="A89" s="421"/>
      <c r="B89" s="424"/>
      <c r="C89" s="424"/>
      <c r="D89" s="418"/>
      <c r="E89" s="270" t="s">
        <v>462</v>
      </c>
      <c r="F89" s="258">
        <v>0</v>
      </c>
      <c r="G89" s="258">
        <v>0</v>
      </c>
      <c r="H89" s="258">
        <v>0</v>
      </c>
      <c r="I89" s="258">
        <v>0</v>
      </c>
      <c r="J89" s="258">
        <v>0</v>
      </c>
      <c r="K89" s="258">
        <v>0</v>
      </c>
      <c r="L89" s="258">
        <v>0</v>
      </c>
      <c r="M89" s="258">
        <v>0</v>
      </c>
      <c r="N89" s="258">
        <v>0</v>
      </c>
      <c r="O89" s="258">
        <v>0</v>
      </c>
      <c r="P89" s="258">
        <v>0</v>
      </c>
      <c r="Q89" s="258">
        <v>0</v>
      </c>
      <c r="R89" s="258">
        <v>0</v>
      </c>
      <c r="S89" s="258">
        <v>0</v>
      </c>
      <c r="T89" s="258">
        <v>0</v>
      </c>
      <c r="U89" s="258">
        <v>0</v>
      </c>
      <c r="V89" s="258">
        <v>0</v>
      </c>
      <c r="W89" s="258">
        <v>0</v>
      </c>
      <c r="X89" s="258">
        <v>0</v>
      </c>
      <c r="Y89" s="258">
        <v>0</v>
      </c>
      <c r="Z89" s="258">
        <v>0</v>
      </c>
      <c r="AA89" s="258">
        <v>0</v>
      </c>
      <c r="AB89" s="258">
        <v>0</v>
      </c>
      <c r="AC89" s="259">
        <v>0</v>
      </c>
      <c r="AD89" s="44"/>
      <c r="AE89" s="44"/>
      <c r="AF89" s="44"/>
      <c r="AG89" s="44"/>
      <c r="AH89" s="44"/>
      <c r="AI89" s="44"/>
      <c r="AJ89" s="44"/>
    </row>
    <row r="90" spans="1:36" customFormat="1" ht="26.45" customHeight="1" x14ac:dyDescent="0.25">
      <c r="A90" s="419" t="s">
        <v>474</v>
      </c>
      <c r="B90" s="422" t="s">
        <v>77</v>
      </c>
      <c r="C90" s="422" t="s">
        <v>267</v>
      </c>
      <c r="D90" s="425" t="s">
        <v>470</v>
      </c>
      <c r="E90" s="268" t="s">
        <v>460</v>
      </c>
      <c r="F90" s="254">
        <v>1</v>
      </c>
      <c r="G90" s="254">
        <v>1</v>
      </c>
      <c r="H90" s="254">
        <v>1</v>
      </c>
      <c r="I90" s="254">
        <v>1</v>
      </c>
      <c r="J90" s="254">
        <v>1</v>
      </c>
      <c r="K90" s="254">
        <v>1</v>
      </c>
      <c r="L90" s="254">
        <v>0.25</v>
      </c>
      <c r="M90" s="254">
        <v>0.25</v>
      </c>
      <c r="N90" s="254">
        <v>0.25</v>
      </c>
      <c r="O90" s="254">
        <v>0.25</v>
      </c>
      <c r="P90" s="254">
        <v>0.25</v>
      </c>
      <c r="Q90" s="254">
        <v>0.25</v>
      </c>
      <c r="R90" s="254">
        <v>0.25</v>
      </c>
      <c r="S90" s="254">
        <v>0.25</v>
      </c>
      <c r="T90" s="254">
        <v>0.25</v>
      </c>
      <c r="U90" s="254">
        <v>0.25</v>
      </c>
      <c r="V90" s="254">
        <v>0.25</v>
      </c>
      <c r="W90" s="254">
        <v>0.25</v>
      </c>
      <c r="X90" s="254">
        <v>1</v>
      </c>
      <c r="Y90" s="254">
        <v>1</v>
      </c>
      <c r="Z90" s="254">
        <v>1</v>
      </c>
      <c r="AA90" s="254">
        <v>1</v>
      </c>
      <c r="AB90" s="254">
        <v>1</v>
      </c>
      <c r="AC90" s="255">
        <v>1</v>
      </c>
      <c r="AD90" s="44"/>
      <c r="AE90" s="44"/>
      <c r="AF90" s="44"/>
      <c r="AG90" s="44"/>
      <c r="AH90" s="44"/>
      <c r="AI90" s="44"/>
      <c r="AJ90" s="44"/>
    </row>
    <row r="91" spans="1:36" customFormat="1" ht="26.45" customHeight="1" x14ac:dyDescent="0.25">
      <c r="A91" s="420"/>
      <c r="B91" s="423"/>
      <c r="C91" s="423"/>
      <c r="D91" s="417"/>
      <c r="E91" s="269" t="s">
        <v>461</v>
      </c>
      <c r="F91" s="256">
        <v>1</v>
      </c>
      <c r="G91" s="256">
        <v>1</v>
      </c>
      <c r="H91" s="256">
        <v>1</v>
      </c>
      <c r="I91" s="256">
        <v>1</v>
      </c>
      <c r="J91" s="256">
        <v>1</v>
      </c>
      <c r="K91" s="256">
        <v>1</v>
      </c>
      <c r="L91" s="256">
        <v>1</v>
      </c>
      <c r="M91" s="256">
        <v>1</v>
      </c>
      <c r="N91" s="256">
        <v>1</v>
      </c>
      <c r="O91" s="256">
        <v>1</v>
      </c>
      <c r="P91" s="256">
        <v>1</v>
      </c>
      <c r="Q91" s="256">
        <v>1</v>
      </c>
      <c r="R91" s="256">
        <v>1</v>
      </c>
      <c r="S91" s="256">
        <v>1</v>
      </c>
      <c r="T91" s="256">
        <v>1</v>
      </c>
      <c r="U91" s="256">
        <v>1</v>
      </c>
      <c r="V91" s="256">
        <v>1</v>
      </c>
      <c r="W91" s="256">
        <v>1</v>
      </c>
      <c r="X91" s="256">
        <v>1</v>
      </c>
      <c r="Y91" s="256">
        <v>1</v>
      </c>
      <c r="Z91" s="256">
        <v>1</v>
      </c>
      <c r="AA91" s="256">
        <v>1</v>
      </c>
      <c r="AB91" s="256">
        <v>1</v>
      </c>
      <c r="AC91" s="257">
        <v>1</v>
      </c>
      <c r="AD91" s="44"/>
      <c r="AE91" s="44"/>
      <c r="AF91" s="44"/>
      <c r="AG91" s="44"/>
      <c r="AH91" s="44"/>
      <c r="AI91" s="44"/>
      <c r="AJ91" s="44"/>
    </row>
    <row r="92" spans="1:36" customFormat="1" ht="26.45" customHeight="1" thickBot="1" x14ac:dyDescent="0.3">
      <c r="A92" s="421"/>
      <c r="B92" s="424"/>
      <c r="C92" s="424"/>
      <c r="D92" s="418"/>
      <c r="E92" s="270" t="s">
        <v>462</v>
      </c>
      <c r="F92" s="258">
        <v>1</v>
      </c>
      <c r="G92" s="258">
        <v>1</v>
      </c>
      <c r="H92" s="258">
        <v>1</v>
      </c>
      <c r="I92" s="258">
        <v>1</v>
      </c>
      <c r="J92" s="258">
        <v>1</v>
      </c>
      <c r="K92" s="258">
        <v>1</v>
      </c>
      <c r="L92" s="258">
        <v>1</v>
      </c>
      <c r="M92" s="258">
        <v>1</v>
      </c>
      <c r="N92" s="258">
        <v>1</v>
      </c>
      <c r="O92" s="258">
        <v>1</v>
      </c>
      <c r="P92" s="258">
        <v>1</v>
      </c>
      <c r="Q92" s="258">
        <v>1</v>
      </c>
      <c r="R92" s="258">
        <v>1</v>
      </c>
      <c r="S92" s="258">
        <v>1</v>
      </c>
      <c r="T92" s="258">
        <v>1</v>
      </c>
      <c r="U92" s="258">
        <v>1</v>
      </c>
      <c r="V92" s="258">
        <v>1</v>
      </c>
      <c r="W92" s="258">
        <v>1</v>
      </c>
      <c r="X92" s="258">
        <v>1</v>
      </c>
      <c r="Y92" s="258">
        <v>1</v>
      </c>
      <c r="Z92" s="258">
        <v>1</v>
      </c>
      <c r="AA92" s="258">
        <v>1</v>
      </c>
      <c r="AB92" s="258">
        <v>1</v>
      </c>
      <c r="AC92" s="259">
        <v>1</v>
      </c>
      <c r="AD92" s="44"/>
      <c r="AE92" s="44"/>
      <c r="AF92" s="44"/>
      <c r="AG92" s="44"/>
      <c r="AH92" s="44"/>
      <c r="AI92" s="44"/>
      <c r="AJ92" s="44"/>
    </row>
    <row r="93" spans="1:36" customFormat="1" ht="26.45" customHeight="1" x14ac:dyDescent="0.25">
      <c r="A93" s="419" t="s">
        <v>474</v>
      </c>
      <c r="B93" s="422" t="s">
        <v>77</v>
      </c>
      <c r="C93" s="422" t="s">
        <v>467</v>
      </c>
      <c r="D93" s="425" t="s">
        <v>459</v>
      </c>
      <c r="E93" s="268" t="s">
        <v>460</v>
      </c>
      <c r="F93" s="254">
        <v>0.9</v>
      </c>
      <c r="G93" s="254">
        <v>0.9</v>
      </c>
      <c r="H93" s="254">
        <v>0.9</v>
      </c>
      <c r="I93" s="254">
        <v>0.9</v>
      </c>
      <c r="J93" s="254">
        <v>0.9</v>
      </c>
      <c r="K93" s="254">
        <v>0.9</v>
      </c>
      <c r="L93" s="254">
        <v>0.9</v>
      </c>
      <c r="M93" s="254">
        <v>0.9</v>
      </c>
      <c r="N93" s="254">
        <v>0.9</v>
      </c>
      <c r="O93" s="254">
        <v>0.9</v>
      </c>
      <c r="P93" s="254">
        <v>0.9</v>
      </c>
      <c r="Q93" s="254">
        <v>0.9</v>
      </c>
      <c r="R93" s="254">
        <v>0.9</v>
      </c>
      <c r="S93" s="254">
        <v>0.9</v>
      </c>
      <c r="T93" s="254">
        <v>0.9</v>
      </c>
      <c r="U93" s="254">
        <v>0.9</v>
      </c>
      <c r="V93" s="254">
        <v>0.9</v>
      </c>
      <c r="W93" s="254">
        <v>0.9</v>
      </c>
      <c r="X93" s="254">
        <v>0.9</v>
      </c>
      <c r="Y93" s="254">
        <v>0.9</v>
      </c>
      <c r="Z93" s="254">
        <v>0.9</v>
      </c>
      <c r="AA93" s="254">
        <v>0.9</v>
      </c>
      <c r="AB93" s="254">
        <v>0.9</v>
      </c>
      <c r="AC93" s="255">
        <v>0.9</v>
      </c>
      <c r="AD93" s="44"/>
      <c r="AE93" s="44"/>
      <c r="AF93" s="44"/>
      <c r="AG93" s="44"/>
      <c r="AH93" s="44"/>
      <c r="AI93" s="44"/>
      <c r="AJ93" s="44"/>
    </row>
    <row r="94" spans="1:36" customFormat="1" ht="26.45" customHeight="1" x14ac:dyDescent="0.25">
      <c r="A94" s="420"/>
      <c r="B94" s="423"/>
      <c r="C94" s="423"/>
      <c r="D94" s="417"/>
      <c r="E94" s="269" t="s">
        <v>461</v>
      </c>
      <c r="F94" s="278">
        <v>0.9</v>
      </c>
      <c r="G94" s="278">
        <v>0.9</v>
      </c>
      <c r="H94" s="278">
        <v>0.9</v>
      </c>
      <c r="I94" s="278">
        <v>0.9</v>
      </c>
      <c r="J94" s="278">
        <v>0.9</v>
      </c>
      <c r="K94" s="278">
        <v>0.9</v>
      </c>
      <c r="L94" s="278">
        <v>0.9</v>
      </c>
      <c r="M94" s="278">
        <v>0.9</v>
      </c>
      <c r="N94" s="278">
        <v>0.9</v>
      </c>
      <c r="O94" s="278">
        <v>0.9</v>
      </c>
      <c r="P94" s="278">
        <v>0.9</v>
      </c>
      <c r="Q94" s="278">
        <v>0.9</v>
      </c>
      <c r="R94" s="278">
        <v>0.9</v>
      </c>
      <c r="S94" s="278">
        <v>0.9</v>
      </c>
      <c r="T94" s="278">
        <v>0.9</v>
      </c>
      <c r="U94" s="278">
        <v>0.9</v>
      </c>
      <c r="V94" s="278">
        <v>0.9</v>
      </c>
      <c r="W94" s="278">
        <v>0.9</v>
      </c>
      <c r="X94" s="278">
        <v>0.9</v>
      </c>
      <c r="Y94" s="278">
        <v>0.9</v>
      </c>
      <c r="Z94" s="278">
        <v>0.9</v>
      </c>
      <c r="AA94" s="278">
        <v>0.9</v>
      </c>
      <c r="AB94" s="278">
        <v>0.9</v>
      </c>
      <c r="AC94" s="279">
        <v>0.9</v>
      </c>
      <c r="AD94" s="44"/>
      <c r="AE94" s="44"/>
      <c r="AF94" s="44"/>
      <c r="AG94" s="44"/>
      <c r="AH94" s="44"/>
      <c r="AI94" s="44"/>
      <c r="AJ94" s="44"/>
    </row>
    <row r="95" spans="1:36" customFormat="1" ht="26.45" customHeight="1" thickBot="1" x14ac:dyDescent="0.3">
      <c r="A95" s="421"/>
      <c r="B95" s="424"/>
      <c r="C95" s="424"/>
      <c r="D95" s="418"/>
      <c r="E95" s="270" t="s">
        <v>462</v>
      </c>
      <c r="F95" s="280">
        <v>0.9</v>
      </c>
      <c r="G95" s="280">
        <v>0.9</v>
      </c>
      <c r="H95" s="280">
        <v>0.9</v>
      </c>
      <c r="I95" s="280">
        <v>0.9</v>
      </c>
      <c r="J95" s="280">
        <v>0.9</v>
      </c>
      <c r="K95" s="280">
        <v>0.9</v>
      </c>
      <c r="L95" s="280">
        <v>0.9</v>
      </c>
      <c r="M95" s="280">
        <v>0.9</v>
      </c>
      <c r="N95" s="280">
        <v>0.9</v>
      </c>
      <c r="O95" s="280">
        <v>0.9</v>
      </c>
      <c r="P95" s="280">
        <v>0.9</v>
      </c>
      <c r="Q95" s="280">
        <v>0.9</v>
      </c>
      <c r="R95" s="280">
        <v>0.9</v>
      </c>
      <c r="S95" s="280">
        <v>0.9</v>
      </c>
      <c r="T95" s="280">
        <v>0.9</v>
      </c>
      <c r="U95" s="280">
        <v>0.9</v>
      </c>
      <c r="V95" s="280">
        <v>0.9</v>
      </c>
      <c r="W95" s="280">
        <v>0.9</v>
      </c>
      <c r="X95" s="280">
        <v>0.9</v>
      </c>
      <c r="Y95" s="280">
        <v>0.9</v>
      </c>
      <c r="Z95" s="280">
        <v>0.9</v>
      </c>
      <c r="AA95" s="280">
        <v>0.9</v>
      </c>
      <c r="AB95" s="280">
        <v>0.9</v>
      </c>
      <c r="AC95" s="281">
        <v>0.9</v>
      </c>
      <c r="AD95" s="44"/>
      <c r="AE95" s="44"/>
      <c r="AF95" s="44"/>
      <c r="AG95" s="44"/>
      <c r="AH95" s="44"/>
      <c r="AI95" s="44"/>
      <c r="AJ95" s="44"/>
    </row>
    <row r="96" spans="1:36" customFormat="1" ht="26.45" customHeight="1" x14ac:dyDescent="0.25">
      <c r="A96" s="419" t="s">
        <v>474</v>
      </c>
      <c r="B96" s="422" t="s">
        <v>77</v>
      </c>
      <c r="C96" s="422" t="s">
        <v>465</v>
      </c>
      <c r="D96" s="425" t="s">
        <v>459</v>
      </c>
      <c r="E96" s="268" t="s">
        <v>460</v>
      </c>
      <c r="F96" s="254">
        <v>0.05</v>
      </c>
      <c r="G96" s="254">
        <v>0.05</v>
      </c>
      <c r="H96" s="254">
        <v>0.05</v>
      </c>
      <c r="I96" s="254">
        <v>0.05</v>
      </c>
      <c r="J96" s="254">
        <v>0.05</v>
      </c>
      <c r="K96" s="254">
        <v>0.05</v>
      </c>
      <c r="L96" s="254">
        <v>0.05</v>
      </c>
      <c r="M96" s="254">
        <v>0.1</v>
      </c>
      <c r="N96" s="254">
        <v>0.34</v>
      </c>
      <c r="O96" s="254">
        <v>0.6</v>
      </c>
      <c r="P96" s="254">
        <v>0.63</v>
      </c>
      <c r="Q96" s="254">
        <v>0.72</v>
      </c>
      <c r="R96" s="254">
        <v>0.79</v>
      </c>
      <c r="S96" s="254">
        <v>0.83</v>
      </c>
      <c r="T96" s="254">
        <v>0.61</v>
      </c>
      <c r="U96" s="254">
        <v>0.65</v>
      </c>
      <c r="V96" s="254">
        <v>0.1</v>
      </c>
      <c r="W96" s="254">
        <v>0.1</v>
      </c>
      <c r="X96" s="254">
        <v>0.19</v>
      </c>
      <c r="Y96" s="254">
        <v>0.25</v>
      </c>
      <c r="Z96" s="254">
        <v>0.22</v>
      </c>
      <c r="AA96" s="254">
        <v>0.22</v>
      </c>
      <c r="AB96" s="254">
        <v>0.12</v>
      </c>
      <c r="AC96" s="255">
        <v>0.09</v>
      </c>
      <c r="AD96" s="44"/>
      <c r="AE96" s="44"/>
      <c r="AF96" s="44"/>
      <c r="AG96" s="44"/>
      <c r="AH96" s="44"/>
      <c r="AI96" s="44"/>
      <c r="AJ96" s="44"/>
    </row>
    <row r="97" spans="1:36" customFormat="1" ht="26.45" customHeight="1" x14ac:dyDescent="0.25">
      <c r="A97" s="420"/>
      <c r="B97" s="423"/>
      <c r="C97" s="423"/>
      <c r="D97" s="417"/>
      <c r="E97" s="269" t="s">
        <v>461</v>
      </c>
      <c r="F97" s="278">
        <v>0.03</v>
      </c>
      <c r="G97" s="278">
        <v>0.03</v>
      </c>
      <c r="H97" s="278">
        <v>0.03</v>
      </c>
      <c r="I97" s="278">
        <v>0.03</v>
      </c>
      <c r="J97" s="278">
        <v>0.03</v>
      </c>
      <c r="K97" s="278">
        <v>0.03</v>
      </c>
      <c r="L97" s="278">
        <v>0.03</v>
      </c>
      <c r="M97" s="278">
        <v>0.03</v>
      </c>
      <c r="N97" s="278">
        <v>0.03</v>
      </c>
      <c r="O97" s="278">
        <v>0.05</v>
      </c>
      <c r="P97" s="278">
        <v>0.05</v>
      </c>
      <c r="Q97" s="278">
        <v>0.05</v>
      </c>
      <c r="R97" s="278">
        <v>0.05</v>
      </c>
      <c r="S97" s="278">
        <v>0.03</v>
      </c>
      <c r="T97" s="278">
        <v>0.03</v>
      </c>
      <c r="U97" s="278">
        <v>0.03</v>
      </c>
      <c r="V97" s="278">
        <v>0.03</v>
      </c>
      <c r="W97" s="278">
        <v>0.03</v>
      </c>
      <c r="X97" s="278">
        <v>0.03</v>
      </c>
      <c r="Y97" s="278">
        <v>0.03</v>
      </c>
      <c r="Z97" s="278">
        <v>0.03</v>
      </c>
      <c r="AA97" s="278">
        <v>0.03</v>
      </c>
      <c r="AB97" s="278">
        <v>0.03</v>
      </c>
      <c r="AC97" s="279">
        <v>0.03</v>
      </c>
      <c r="AD97" s="44"/>
      <c r="AE97" s="44"/>
      <c r="AF97" s="44"/>
      <c r="AG97" s="44"/>
      <c r="AH97" s="44"/>
      <c r="AI97" s="44"/>
      <c r="AJ97" s="44"/>
    </row>
    <row r="98" spans="1:36" customFormat="1" ht="26.45" customHeight="1" thickBot="1" x14ac:dyDescent="0.3">
      <c r="A98" s="421"/>
      <c r="B98" s="424"/>
      <c r="C98" s="424"/>
      <c r="D98" s="418"/>
      <c r="E98" s="270" t="s">
        <v>462</v>
      </c>
      <c r="F98" s="280">
        <v>0.03</v>
      </c>
      <c r="G98" s="280">
        <v>0.03</v>
      </c>
      <c r="H98" s="280">
        <v>0.03</v>
      </c>
      <c r="I98" s="280">
        <v>0.03</v>
      </c>
      <c r="J98" s="280">
        <v>0.03</v>
      </c>
      <c r="K98" s="280">
        <v>0.03</v>
      </c>
      <c r="L98" s="280">
        <v>0.03</v>
      </c>
      <c r="M98" s="280">
        <v>0.03</v>
      </c>
      <c r="N98" s="280">
        <v>0.05</v>
      </c>
      <c r="O98" s="280">
        <v>0.05</v>
      </c>
      <c r="P98" s="280">
        <v>0.05</v>
      </c>
      <c r="Q98" s="280">
        <v>0.05</v>
      </c>
      <c r="R98" s="280">
        <v>0.05</v>
      </c>
      <c r="S98" s="280">
        <v>0.05</v>
      </c>
      <c r="T98" s="280">
        <v>0.03</v>
      </c>
      <c r="U98" s="280">
        <v>0.03</v>
      </c>
      <c r="V98" s="280">
        <v>0.03</v>
      </c>
      <c r="W98" s="280">
        <v>0.03</v>
      </c>
      <c r="X98" s="280">
        <v>0.03</v>
      </c>
      <c r="Y98" s="280">
        <v>0.03</v>
      </c>
      <c r="Z98" s="280">
        <v>0.03</v>
      </c>
      <c r="AA98" s="280">
        <v>0.03</v>
      </c>
      <c r="AB98" s="280">
        <v>0.03</v>
      </c>
      <c r="AC98" s="281">
        <v>0.03</v>
      </c>
      <c r="AD98" s="44"/>
      <c r="AE98" s="44"/>
      <c r="AF98" s="44"/>
      <c r="AG98" s="44"/>
      <c r="AH98" s="44"/>
      <c r="AI98" s="44"/>
      <c r="AJ98" s="44"/>
    </row>
    <row r="99" spans="1:36" ht="25.15" customHeight="1" thickBot="1" x14ac:dyDescent="0.3">
      <c r="A99" s="479" t="s">
        <v>16</v>
      </c>
      <c r="B99" s="479"/>
      <c r="C99" s="479" t="s">
        <v>16</v>
      </c>
      <c r="D99" s="479"/>
      <c r="E99" s="479"/>
      <c r="F99" s="479"/>
      <c r="G99" s="479"/>
      <c r="H99" s="479"/>
      <c r="I99" s="479"/>
      <c r="J99" s="479"/>
      <c r="K99" s="479"/>
      <c r="L99" s="479"/>
      <c r="M99" s="479"/>
      <c r="N99" s="479"/>
      <c r="O99" s="479"/>
      <c r="P99" s="479"/>
      <c r="Q99" s="479"/>
      <c r="R99" s="479"/>
      <c r="S99" s="479"/>
      <c r="T99" s="479"/>
      <c r="U99" s="479"/>
      <c r="V99" s="479"/>
      <c r="W99" s="479"/>
      <c r="X99" s="479"/>
      <c r="Y99" s="479"/>
      <c r="Z99" s="479"/>
      <c r="AA99" s="479"/>
      <c r="AB99" s="479"/>
      <c r="AC99" s="480"/>
    </row>
    <row r="100" spans="1:36" ht="25.15" customHeight="1" x14ac:dyDescent="0.25">
      <c r="A100" s="450"/>
      <c r="B100" s="453" t="s">
        <v>475</v>
      </c>
      <c r="C100" s="455" t="s">
        <v>406</v>
      </c>
      <c r="D100" s="457" t="s">
        <v>476</v>
      </c>
      <c r="E100" s="247" t="s">
        <v>460</v>
      </c>
      <c r="F100" s="248">
        <v>0.12</v>
      </c>
      <c r="G100" s="248">
        <v>0.12</v>
      </c>
      <c r="H100" s="248">
        <v>0.12</v>
      </c>
      <c r="I100" s="248">
        <v>0.12</v>
      </c>
      <c r="J100" s="248">
        <v>0.12</v>
      </c>
      <c r="K100" s="248">
        <v>0.2</v>
      </c>
      <c r="L100" s="248">
        <v>0.4</v>
      </c>
      <c r="M100" s="248">
        <v>0.5</v>
      </c>
      <c r="N100" s="248">
        <v>0.5</v>
      </c>
      <c r="O100" s="248">
        <v>0.35</v>
      </c>
      <c r="P100" s="248">
        <v>0.15</v>
      </c>
      <c r="Q100" s="248">
        <v>0.15</v>
      </c>
      <c r="R100" s="248">
        <v>0.15</v>
      </c>
      <c r="S100" s="248">
        <v>0.15</v>
      </c>
      <c r="T100" s="248">
        <v>0.15</v>
      </c>
      <c r="U100" s="248">
        <v>0.15</v>
      </c>
      <c r="V100" s="248">
        <v>0.35</v>
      </c>
      <c r="W100" s="248">
        <v>0.5</v>
      </c>
      <c r="X100" s="248">
        <v>0.5</v>
      </c>
      <c r="Y100" s="248">
        <v>0.4</v>
      </c>
      <c r="Z100" s="248">
        <v>0.4</v>
      </c>
      <c r="AA100" s="248">
        <v>0.3</v>
      </c>
      <c r="AB100" s="248">
        <v>0.2</v>
      </c>
      <c r="AC100" s="249">
        <v>0.12</v>
      </c>
    </row>
    <row r="101" spans="1:36" ht="25.15" customHeight="1" x14ac:dyDescent="0.25">
      <c r="A101" s="451"/>
      <c r="B101" s="430"/>
      <c r="C101" s="433"/>
      <c r="D101" s="436"/>
      <c r="E101" s="238" t="s">
        <v>461</v>
      </c>
      <c r="F101" s="246">
        <v>0.12</v>
      </c>
      <c r="G101" s="246">
        <v>0.12</v>
      </c>
      <c r="H101" s="246">
        <v>0.12</v>
      </c>
      <c r="I101" s="246">
        <v>0.12</v>
      </c>
      <c r="J101" s="246">
        <v>0.12</v>
      </c>
      <c r="K101" s="246">
        <v>0.12</v>
      </c>
      <c r="L101" s="246">
        <v>0.12</v>
      </c>
      <c r="M101" s="246">
        <v>0.12</v>
      </c>
      <c r="N101" s="246">
        <v>0.12</v>
      </c>
      <c r="O101" s="246">
        <v>0.12</v>
      </c>
      <c r="P101" s="246">
        <v>0.12</v>
      </c>
      <c r="Q101" s="246">
        <v>0.12</v>
      </c>
      <c r="R101" s="246">
        <v>0.12</v>
      </c>
      <c r="S101" s="246">
        <v>0.12</v>
      </c>
      <c r="T101" s="246">
        <v>0.12</v>
      </c>
      <c r="U101" s="246">
        <v>0.12</v>
      </c>
      <c r="V101" s="246">
        <v>0.12</v>
      </c>
      <c r="W101" s="246">
        <v>0.12</v>
      </c>
      <c r="X101" s="246">
        <v>0.12</v>
      </c>
      <c r="Y101" s="246">
        <v>0.12</v>
      </c>
      <c r="Z101" s="246">
        <v>0.12</v>
      </c>
      <c r="AA101" s="246">
        <v>0.12</v>
      </c>
      <c r="AB101" s="246">
        <v>0.12</v>
      </c>
      <c r="AC101" s="250">
        <v>0.12</v>
      </c>
    </row>
    <row r="102" spans="1:36" ht="25.15" customHeight="1" thickBot="1" x14ac:dyDescent="0.3">
      <c r="A102" s="452"/>
      <c r="B102" s="454"/>
      <c r="C102" s="456"/>
      <c r="D102" s="458"/>
      <c r="E102" s="251" t="s">
        <v>462</v>
      </c>
      <c r="F102" s="252">
        <v>0.12</v>
      </c>
      <c r="G102" s="252">
        <v>0.12</v>
      </c>
      <c r="H102" s="252">
        <v>0.12</v>
      </c>
      <c r="I102" s="252">
        <v>0.12</v>
      </c>
      <c r="J102" s="252">
        <v>0.12</v>
      </c>
      <c r="K102" s="252">
        <v>0.12</v>
      </c>
      <c r="L102" s="252">
        <v>0.12</v>
      </c>
      <c r="M102" s="252">
        <v>0.12</v>
      </c>
      <c r="N102" s="252">
        <v>0.12</v>
      </c>
      <c r="O102" s="252">
        <v>0.12</v>
      </c>
      <c r="P102" s="252">
        <v>0.12</v>
      </c>
      <c r="Q102" s="252">
        <v>0.12</v>
      </c>
      <c r="R102" s="252">
        <v>0.12</v>
      </c>
      <c r="S102" s="252">
        <v>0.12</v>
      </c>
      <c r="T102" s="252">
        <v>0.12</v>
      </c>
      <c r="U102" s="252">
        <v>0.12</v>
      </c>
      <c r="V102" s="252">
        <v>0.12</v>
      </c>
      <c r="W102" s="252">
        <v>0.12</v>
      </c>
      <c r="X102" s="252">
        <v>0.12</v>
      </c>
      <c r="Y102" s="252">
        <v>0.12</v>
      </c>
      <c r="Z102" s="252">
        <v>0.12</v>
      </c>
      <c r="AA102" s="252">
        <v>0.12</v>
      </c>
      <c r="AB102" s="252">
        <v>0.12</v>
      </c>
      <c r="AC102" s="253">
        <v>0.12</v>
      </c>
    </row>
    <row r="103" spans="1:36" ht="25.15" customHeight="1" x14ac:dyDescent="0.25">
      <c r="A103" s="450"/>
      <c r="B103" s="453" t="s">
        <v>475</v>
      </c>
      <c r="C103" s="455" t="s">
        <v>477</v>
      </c>
      <c r="D103" s="457"/>
      <c r="E103" s="247" t="s">
        <v>460</v>
      </c>
      <c r="F103" s="273">
        <v>1</v>
      </c>
      <c r="G103" s="273">
        <v>1</v>
      </c>
      <c r="H103" s="273">
        <v>1</v>
      </c>
      <c r="I103" s="273">
        <v>1</v>
      </c>
      <c r="J103" s="273">
        <v>1</v>
      </c>
      <c r="K103" s="273">
        <v>1</v>
      </c>
      <c r="L103" s="273">
        <v>1</v>
      </c>
      <c r="M103" s="273">
        <v>1</v>
      </c>
      <c r="N103" s="273">
        <v>1</v>
      </c>
      <c r="O103" s="273">
        <v>1</v>
      </c>
      <c r="P103" s="273">
        <v>1</v>
      </c>
      <c r="Q103" s="273">
        <v>1</v>
      </c>
      <c r="R103" s="273">
        <v>1</v>
      </c>
      <c r="S103" s="273">
        <v>1</v>
      </c>
      <c r="T103" s="273">
        <v>1</v>
      </c>
      <c r="U103" s="273">
        <v>1</v>
      </c>
      <c r="V103" s="273">
        <v>1</v>
      </c>
      <c r="W103" s="273">
        <v>1</v>
      </c>
      <c r="X103" s="273">
        <v>1</v>
      </c>
      <c r="Y103" s="273">
        <v>1</v>
      </c>
      <c r="Z103" s="273">
        <v>1</v>
      </c>
      <c r="AA103" s="273">
        <v>1</v>
      </c>
      <c r="AB103" s="273">
        <v>1</v>
      </c>
      <c r="AC103" s="274">
        <v>1</v>
      </c>
    </row>
    <row r="104" spans="1:36" ht="25.15" customHeight="1" x14ac:dyDescent="0.25">
      <c r="A104" s="451"/>
      <c r="B104" s="430"/>
      <c r="C104" s="433"/>
      <c r="D104" s="436"/>
      <c r="E104" s="238" t="s">
        <v>461</v>
      </c>
      <c r="F104" s="237">
        <v>1</v>
      </c>
      <c r="G104" s="237">
        <v>1</v>
      </c>
      <c r="H104" s="237">
        <v>1</v>
      </c>
      <c r="I104" s="237">
        <v>1</v>
      </c>
      <c r="J104" s="237">
        <v>1</v>
      </c>
      <c r="K104" s="237">
        <v>1</v>
      </c>
      <c r="L104" s="237">
        <v>1</v>
      </c>
      <c r="M104" s="237">
        <v>1</v>
      </c>
      <c r="N104" s="237">
        <v>1</v>
      </c>
      <c r="O104" s="237">
        <v>1</v>
      </c>
      <c r="P104" s="237">
        <v>1</v>
      </c>
      <c r="Q104" s="237">
        <v>1</v>
      </c>
      <c r="R104" s="237">
        <v>1</v>
      </c>
      <c r="S104" s="237">
        <v>1</v>
      </c>
      <c r="T104" s="237">
        <v>1</v>
      </c>
      <c r="U104" s="237">
        <v>1</v>
      </c>
      <c r="V104" s="237">
        <v>1</v>
      </c>
      <c r="W104" s="237">
        <v>1</v>
      </c>
      <c r="X104" s="237">
        <v>1</v>
      </c>
      <c r="Y104" s="237">
        <v>1</v>
      </c>
      <c r="Z104" s="237">
        <v>1</v>
      </c>
      <c r="AA104" s="237">
        <v>1</v>
      </c>
      <c r="AB104" s="237">
        <v>1</v>
      </c>
      <c r="AC104" s="275">
        <v>1</v>
      </c>
    </row>
    <row r="105" spans="1:36" ht="25.15" customHeight="1" thickBot="1" x14ac:dyDescent="0.3">
      <c r="A105" s="452"/>
      <c r="B105" s="454"/>
      <c r="C105" s="456"/>
      <c r="D105" s="458"/>
      <c r="E105" s="251" t="s">
        <v>462</v>
      </c>
      <c r="F105" s="276">
        <v>1</v>
      </c>
      <c r="G105" s="276">
        <v>1</v>
      </c>
      <c r="H105" s="276">
        <v>1</v>
      </c>
      <c r="I105" s="276">
        <v>1</v>
      </c>
      <c r="J105" s="276">
        <v>1</v>
      </c>
      <c r="K105" s="276">
        <v>1</v>
      </c>
      <c r="L105" s="276">
        <v>1</v>
      </c>
      <c r="M105" s="276">
        <v>1</v>
      </c>
      <c r="N105" s="276">
        <v>1</v>
      </c>
      <c r="O105" s="276">
        <v>1</v>
      </c>
      <c r="P105" s="276">
        <v>1</v>
      </c>
      <c r="Q105" s="276">
        <v>1</v>
      </c>
      <c r="R105" s="276">
        <v>1</v>
      </c>
      <c r="S105" s="276">
        <v>1</v>
      </c>
      <c r="T105" s="276">
        <v>1</v>
      </c>
      <c r="U105" s="276">
        <v>1</v>
      </c>
      <c r="V105" s="276">
        <v>1</v>
      </c>
      <c r="W105" s="276">
        <v>1</v>
      </c>
      <c r="X105" s="276">
        <v>1</v>
      </c>
      <c r="Y105" s="276">
        <v>1</v>
      </c>
      <c r="Z105" s="276">
        <v>1</v>
      </c>
      <c r="AA105" s="276">
        <v>1</v>
      </c>
      <c r="AB105" s="276">
        <v>1</v>
      </c>
      <c r="AC105" s="277">
        <v>1</v>
      </c>
    </row>
    <row r="106" spans="1:36" ht="30.75" customHeight="1" x14ac:dyDescent="0.25">
      <c r="A106" s="450"/>
      <c r="B106" s="453" t="s">
        <v>475</v>
      </c>
      <c r="C106" s="455" t="s">
        <v>478</v>
      </c>
      <c r="D106" s="457"/>
      <c r="E106" s="247" t="s">
        <v>460</v>
      </c>
      <c r="F106" s="273">
        <v>0</v>
      </c>
      <c r="G106" s="273">
        <v>0</v>
      </c>
      <c r="H106" s="273">
        <v>0</v>
      </c>
      <c r="I106" s="273">
        <v>0</v>
      </c>
      <c r="J106" s="273">
        <v>0</v>
      </c>
      <c r="K106" s="273">
        <v>1</v>
      </c>
      <c r="L106" s="273">
        <v>1</v>
      </c>
      <c r="M106" s="273">
        <v>1</v>
      </c>
      <c r="N106" s="273">
        <v>1</v>
      </c>
      <c r="O106" s="273">
        <v>1</v>
      </c>
      <c r="P106" s="273">
        <v>1</v>
      </c>
      <c r="Q106" s="273">
        <v>1</v>
      </c>
      <c r="R106" s="273">
        <v>1</v>
      </c>
      <c r="S106" s="273">
        <v>1</v>
      </c>
      <c r="T106" s="273">
        <v>1</v>
      </c>
      <c r="U106" s="273">
        <v>1</v>
      </c>
      <c r="V106" s="273">
        <v>1</v>
      </c>
      <c r="W106" s="273">
        <v>1</v>
      </c>
      <c r="X106" s="273">
        <v>1</v>
      </c>
      <c r="Y106" s="273">
        <v>1</v>
      </c>
      <c r="Z106" s="273">
        <v>1</v>
      </c>
      <c r="AA106" s="273">
        <v>1</v>
      </c>
      <c r="AB106" s="273">
        <v>0</v>
      </c>
      <c r="AC106" s="274">
        <v>0</v>
      </c>
    </row>
    <row r="107" spans="1:36" ht="30.75" customHeight="1" x14ac:dyDescent="0.25">
      <c r="A107" s="451"/>
      <c r="B107" s="430"/>
      <c r="C107" s="433"/>
      <c r="D107" s="436"/>
      <c r="E107" s="238" t="s">
        <v>461</v>
      </c>
      <c r="F107" s="237">
        <v>0</v>
      </c>
      <c r="G107" s="237">
        <v>0</v>
      </c>
      <c r="H107" s="237">
        <v>0</v>
      </c>
      <c r="I107" s="237">
        <v>0</v>
      </c>
      <c r="J107" s="237">
        <v>0</v>
      </c>
      <c r="K107" s="237">
        <v>1</v>
      </c>
      <c r="L107" s="237">
        <v>1</v>
      </c>
      <c r="M107" s="237">
        <v>1</v>
      </c>
      <c r="N107" s="237">
        <v>1</v>
      </c>
      <c r="O107" s="237">
        <v>1</v>
      </c>
      <c r="P107" s="237">
        <v>1</v>
      </c>
      <c r="Q107" s="237">
        <v>1</v>
      </c>
      <c r="R107" s="237">
        <v>1</v>
      </c>
      <c r="S107" s="237">
        <v>1</v>
      </c>
      <c r="T107" s="237">
        <v>1</v>
      </c>
      <c r="U107" s="237">
        <v>1</v>
      </c>
      <c r="V107" s="237">
        <v>1</v>
      </c>
      <c r="W107" s="237">
        <v>1</v>
      </c>
      <c r="X107" s="237">
        <v>1</v>
      </c>
      <c r="Y107" s="237">
        <v>1</v>
      </c>
      <c r="Z107" s="237">
        <v>1</v>
      </c>
      <c r="AA107" s="237">
        <v>1</v>
      </c>
      <c r="AB107" s="237">
        <v>1</v>
      </c>
      <c r="AC107" s="275">
        <v>1</v>
      </c>
    </row>
    <row r="108" spans="1:36" ht="37.5" customHeight="1" thickBot="1" x14ac:dyDescent="0.3">
      <c r="A108" s="452"/>
      <c r="B108" s="454"/>
      <c r="C108" s="456"/>
      <c r="D108" s="458"/>
      <c r="E108" s="251" t="s">
        <v>462</v>
      </c>
      <c r="F108" s="276">
        <v>0</v>
      </c>
      <c r="G108" s="276">
        <v>0</v>
      </c>
      <c r="H108" s="276">
        <v>0</v>
      </c>
      <c r="I108" s="276">
        <v>0</v>
      </c>
      <c r="J108" s="276">
        <v>0</v>
      </c>
      <c r="K108" s="276">
        <v>1</v>
      </c>
      <c r="L108" s="276">
        <v>1</v>
      </c>
      <c r="M108" s="276">
        <v>1</v>
      </c>
      <c r="N108" s="276">
        <v>1</v>
      </c>
      <c r="O108" s="276">
        <v>1</v>
      </c>
      <c r="P108" s="276">
        <v>1</v>
      </c>
      <c r="Q108" s="276">
        <v>1</v>
      </c>
      <c r="R108" s="276">
        <v>1</v>
      </c>
      <c r="S108" s="276">
        <v>1</v>
      </c>
      <c r="T108" s="276">
        <v>1</v>
      </c>
      <c r="U108" s="276">
        <v>1</v>
      </c>
      <c r="V108" s="276">
        <v>1</v>
      </c>
      <c r="W108" s="276">
        <v>1</v>
      </c>
      <c r="X108" s="276">
        <v>1</v>
      </c>
      <c r="Y108" s="276">
        <v>1</v>
      </c>
      <c r="Z108" s="276">
        <v>1</v>
      </c>
      <c r="AA108" s="276">
        <v>1</v>
      </c>
      <c r="AB108" s="276">
        <v>1</v>
      </c>
      <c r="AC108" s="277">
        <v>1</v>
      </c>
    </row>
    <row r="109" spans="1:36" ht="36" customHeight="1" x14ac:dyDescent="0.25">
      <c r="A109" s="438" t="s">
        <v>479</v>
      </c>
      <c r="B109" s="441" t="s">
        <v>475</v>
      </c>
      <c r="C109" s="444" t="s">
        <v>480</v>
      </c>
      <c r="D109" s="435" t="s">
        <v>481</v>
      </c>
      <c r="E109" s="239" t="s">
        <v>460</v>
      </c>
      <c r="F109" s="245">
        <v>102.6</v>
      </c>
      <c r="G109" s="245">
        <v>102.6</v>
      </c>
      <c r="H109" s="245">
        <v>102.6</v>
      </c>
      <c r="I109" s="245">
        <v>102.6</v>
      </c>
      <c r="J109" s="245">
        <v>102.6</v>
      </c>
      <c r="K109" s="245">
        <v>102.6</v>
      </c>
      <c r="L109" s="245">
        <v>102.6</v>
      </c>
      <c r="M109" s="245">
        <v>102.6</v>
      </c>
      <c r="N109" s="245">
        <v>102.6</v>
      </c>
      <c r="O109" s="245">
        <v>102.6</v>
      </c>
      <c r="P109" s="245">
        <v>102.6</v>
      </c>
      <c r="Q109" s="245">
        <v>102.6</v>
      </c>
      <c r="R109" s="245">
        <v>102.6</v>
      </c>
      <c r="S109" s="245">
        <v>102.6</v>
      </c>
      <c r="T109" s="245">
        <v>102.6</v>
      </c>
      <c r="U109" s="245">
        <v>102.6</v>
      </c>
      <c r="V109" s="245">
        <v>102.6</v>
      </c>
      <c r="W109" s="245">
        <v>102.6</v>
      </c>
      <c r="X109" s="245">
        <v>102.6</v>
      </c>
      <c r="Y109" s="245">
        <v>102.6</v>
      </c>
      <c r="Z109" s="245">
        <v>102.6</v>
      </c>
      <c r="AA109" s="245">
        <v>102.6</v>
      </c>
      <c r="AB109" s="245">
        <v>102.6</v>
      </c>
      <c r="AC109" s="244">
        <v>102.6</v>
      </c>
    </row>
    <row r="110" spans="1:36" ht="36" customHeight="1" x14ac:dyDescent="0.25">
      <c r="A110" s="439"/>
      <c r="B110" s="442"/>
      <c r="C110" s="433"/>
      <c r="D110" s="436"/>
      <c r="E110" s="238" t="s">
        <v>461</v>
      </c>
      <c r="F110" s="243">
        <v>102.6</v>
      </c>
      <c r="G110" s="243">
        <v>102.6</v>
      </c>
      <c r="H110" s="243">
        <v>102.6</v>
      </c>
      <c r="I110" s="243">
        <v>102.6</v>
      </c>
      <c r="J110" s="243">
        <v>102.6</v>
      </c>
      <c r="K110" s="243">
        <v>102.6</v>
      </c>
      <c r="L110" s="243">
        <v>102.6</v>
      </c>
      <c r="M110" s="243">
        <v>102.6</v>
      </c>
      <c r="N110" s="243">
        <v>102.6</v>
      </c>
      <c r="O110" s="243">
        <v>102.6</v>
      </c>
      <c r="P110" s="243">
        <v>102.6</v>
      </c>
      <c r="Q110" s="243">
        <v>102.6</v>
      </c>
      <c r="R110" s="243">
        <v>102.6</v>
      </c>
      <c r="S110" s="243">
        <v>102.6</v>
      </c>
      <c r="T110" s="243">
        <v>102.6</v>
      </c>
      <c r="U110" s="243">
        <v>102.6</v>
      </c>
      <c r="V110" s="243">
        <v>102.6</v>
      </c>
      <c r="W110" s="243">
        <v>102.6</v>
      </c>
      <c r="X110" s="243">
        <v>102.6</v>
      </c>
      <c r="Y110" s="243">
        <v>102.6</v>
      </c>
      <c r="Z110" s="243">
        <v>102.6</v>
      </c>
      <c r="AA110" s="243">
        <v>102.6</v>
      </c>
      <c r="AB110" s="243">
        <v>102.6</v>
      </c>
      <c r="AC110" s="242">
        <v>102.6</v>
      </c>
    </row>
    <row r="111" spans="1:36" ht="36" customHeight="1" thickBot="1" x14ac:dyDescent="0.3">
      <c r="A111" s="440"/>
      <c r="B111" s="443"/>
      <c r="C111" s="434"/>
      <c r="D111" s="437"/>
      <c r="E111" s="236" t="s">
        <v>462</v>
      </c>
      <c r="F111" s="241">
        <v>102.6</v>
      </c>
      <c r="G111" s="241">
        <v>102.6</v>
      </c>
      <c r="H111" s="241">
        <v>102.6</v>
      </c>
      <c r="I111" s="241">
        <v>102.6</v>
      </c>
      <c r="J111" s="241">
        <v>102.6</v>
      </c>
      <c r="K111" s="241">
        <v>102.6</v>
      </c>
      <c r="L111" s="241">
        <v>102.6</v>
      </c>
      <c r="M111" s="241">
        <v>102.6</v>
      </c>
      <c r="N111" s="241">
        <v>102.6</v>
      </c>
      <c r="O111" s="241">
        <v>102.6</v>
      </c>
      <c r="P111" s="241">
        <v>102.6</v>
      </c>
      <c r="Q111" s="241">
        <v>102.6</v>
      </c>
      <c r="R111" s="241">
        <v>102.6</v>
      </c>
      <c r="S111" s="241">
        <v>102.6</v>
      </c>
      <c r="T111" s="241">
        <v>102.6</v>
      </c>
      <c r="U111" s="241">
        <v>102.6</v>
      </c>
      <c r="V111" s="241">
        <v>102.6</v>
      </c>
      <c r="W111" s="241">
        <v>102.6</v>
      </c>
      <c r="X111" s="241">
        <v>102.6</v>
      </c>
      <c r="Y111" s="241">
        <v>102.6</v>
      </c>
      <c r="Z111" s="241">
        <v>102.6</v>
      </c>
      <c r="AA111" s="241">
        <v>102.6</v>
      </c>
      <c r="AB111" s="241">
        <v>102.6</v>
      </c>
      <c r="AC111" s="240">
        <v>102.6</v>
      </c>
    </row>
    <row r="112" spans="1:36" ht="36" customHeight="1" x14ac:dyDescent="0.25">
      <c r="A112" s="426" t="s">
        <v>482</v>
      </c>
      <c r="B112" s="429" t="s">
        <v>475</v>
      </c>
      <c r="C112" s="432" t="s">
        <v>483</v>
      </c>
      <c r="D112" s="435" t="s">
        <v>481</v>
      </c>
      <c r="E112" s="239" t="s">
        <v>460</v>
      </c>
      <c r="F112" s="245">
        <v>331.2</v>
      </c>
      <c r="G112" s="245">
        <v>331.2</v>
      </c>
      <c r="H112" s="245">
        <v>331.2</v>
      </c>
      <c r="I112" s="245">
        <v>331.2</v>
      </c>
      <c r="J112" s="245">
        <v>331.2</v>
      </c>
      <c r="K112" s="245">
        <v>331.2</v>
      </c>
      <c r="L112" s="245">
        <v>331.2</v>
      </c>
      <c r="M112" s="245">
        <v>331.2</v>
      </c>
      <c r="N112" s="245">
        <v>331.2</v>
      </c>
      <c r="O112" s="245">
        <v>331.2</v>
      </c>
      <c r="P112" s="245">
        <v>331.2</v>
      </c>
      <c r="Q112" s="245">
        <v>331.2</v>
      </c>
      <c r="R112" s="245">
        <v>331.2</v>
      </c>
      <c r="S112" s="245">
        <v>331.2</v>
      </c>
      <c r="T112" s="245">
        <v>331.2</v>
      </c>
      <c r="U112" s="245">
        <v>331.2</v>
      </c>
      <c r="V112" s="245">
        <v>331.2</v>
      </c>
      <c r="W112" s="245">
        <v>331.2</v>
      </c>
      <c r="X112" s="245">
        <v>331.2</v>
      </c>
      <c r="Y112" s="245">
        <v>331.2</v>
      </c>
      <c r="Z112" s="245">
        <v>331.2</v>
      </c>
      <c r="AA112" s="245">
        <v>331.2</v>
      </c>
      <c r="AB112" s="245">
        <v>331.2</v>
      </c>
      <c r="AC112" s="244">
        <v>331.2</v>
      </c>
    </row>
    <row r="113" spans="1:29" ht="36" customHeight="1" x14ac:dyDescent="0.25">
      <c r="A113" s="427"/>
      <c r="B113" s="430"/>
      <c r="C113" s="433"/>
      <c r="D113" s="436"/>
      <c r="E113" s="238" t="s">
        <v>461</v>
      </c>
      <c r="F113" s="243">
        <v>331.2</v>
      </c>
      <c r="G113" s="243">
        <v>331.2</v>
      </c>
      <c r="H113" s="243">
        <v>331.2</v>
      </c>
      <c r="I113" s="243">
        <v>331.2</v>
      </c>
      <c r="J113" s="243">
        <v>331.2</v>
      </c>
      <c r="K113" s="243">
        <v>331.2</v>
      </c>
      <c r="L113" s="243">
        <v>331.2</v>
      </c>
      <c r="M113" s="243">
        <v>331.2</v>
      </c>
      <c r="N113" s="243">
        <v>331.2</v>
      </c>
      <c r="O113" s="243">
        <v>331.2</v>
      </c>
      <c r="P113" s="243">
        <v>331.2</v>
      </c>
      <c r="Q113" s="243">
        <v>331.2</v>
      </c>
      <c r="R113" s="243">
        <v>331.2</v>
      </c>
      <c r="S113" s="243">
        <v>331.2</v>
      </c>
      <c r="T113" s="243">
        <v>331.2</v>
      </c>
      <c r="U113" s="243">
        <v>331.2</v>
      </c>
      <c r="V113" s="243">
        <v>331.2</v>
      </c>
      <c r="W113" s="243">
        <v>331.2</v>
      </c>
      <c r="X113" s="243">
        <v>331.2</v>
      </c>
      <c r="Y113" s="243">
        <v>331.2</v>
      </c>
      <c r="Z113" s="243">
        <v>331.2</v>
      </c>
      <c r="AA113" s="243">
        <v>331.2</v>
      </c>
      <c r="AB113" s="243">
        <v>331.2</v>
      </c>
      <c r="AC113" s="242">
        <v>331.2</v>
      </c>
    </row>
    <row r="114" spans="1:29" ht="36" customHeight="1" thickBot="1" x14ac:dyDescent="0.3">
      <c r="A114" s="428"/>
      <c r="B114" s="431"/>
      <c r="C114" s="434"/>
      <c r="D114" s="437"/>
      <c r="E114" s="236" t="s">
        <v>462</v>
      </c>
      <c r="F114" s="241">
        <v>331.2</v>
      </c>
      <c r="G114" s="241">
        <v>331.2</v>
      </c>
      <c r="H114" s="241">
        <v>331.2</v>
      </c>
      <c r="I114" s="241">
        <v>331.2</v>
      </c>
      <c r="J114" s="241">
        <v>331.2</v>
      </c>
      <c r="K114" s="241">
        <v>331.2</v>
      </c>
      <c r="L114" s="241">
        <v>331.2</v>
      </c>
      <c r="M114" s="241">
        <v>331.2</v>
      </c>
      <c r="N114" s="241">
        <v>331.2</v>
      </c>
      <c r="O114" s="241">
        <v>331.2</v>
      </c>
      <c r="P114" s="241">
        <v>331.2</v>
      </c>
      <c r="Q114" s="241">
        <v>331.2</v>
      </c>
      <c r="R114" s="241">
        <v>331.2</v>
      </c>
      <c r="S114" s="241">
        <v>331.2</v>
      </c>
      <c r="T114" s="241">
        <v>331.2</v>
      </c>
      <c r="U114" s="241">
        <v>331.2</v>
      </c>
      <c r="V114" s="241">
        <v>331.2</v>
      </c>
      <c r="W114" s="241">
        <v>331.2</v>
      </c>
      <c r="X114" s="241">
        <v>331.2</v>
      </c>
      <c r="Y114" s="241">
        <v>331.2</v>
      </c>
      <c r="Z114" s="241">
        <v>331.2</v>
      </c>
      <c r="AA114" s="241">
        <v>331.2</v>
      </c>
      <c r="AB114" s="241">
        <v>331.2</v>
      </c>
      <c r="AC114" s="240">
        <v>331.2</v>
      </c>
    </row>
    <row r="115" spans="1:29" ht="36" customHeight="1" x14ac:dyDescent="0.25">
      <c r="A115" s="438" t="s">
        <v>484</v>
      </c>
      <c r="B115" s="441" t="s">
        <v>475</v>
      </c>
      <c r="C115" s="444" t="s">
        <v>485</v>
      </c>
      <c r="D115" s="435" t="s">
        <v>481</v>
      </c>
      <c r="E115" s="239" t="s">
        <v>460</v>
      </c>
      <c r="F115" s="245">
        <v>146.5</v>
      </c>
      <c r="G115" s="245">
        <v>146.5</v>
      </c>
      <c r="H115" s="245">
        <v>146.5</v>
      </c>
      <c r="I115" s="245">
        <v>146.5</v>
      </c>
      <c r="J115" s="245">
        <v>146.5</v>
      </c>
      <c r="K115" s="245">
        <v>146.5</v>
      </c>
      <c r="L115" s="245">
        <v>146.5</v>
      </c>
      <c r="M115" s="245">
        <v>146.5</v>
      </c>
      <c r="N115" s="245">
        <v>146.5</v>
      </c>
      <c r="O115" s="245">
        <v>146.5</v>
      </c>
      <c r="P115" s="245">
        <v>146.5</v>
      </c>
      <c r="Q115" s="245">
        <v>146.5</v>
      </c>
      <c r="R115" s="245">
        <v>146.5</v>
      </c>
      <c r="S115" s="245">
        <v>146.5</v>
      </c>
      <c r="T115" s="245">
        <v>146.5</v>
      </c>
      <c r="U115" s="245">
        <v>146.5</v>
      </c>
      <c r="V115" s="245">
        <v>146.5</v>
      </c>
      <c r="W115" s="245">
        <v>146.5</v>
      </c>
      <c r="X115" s="245">
        <v>146.5</v>
      </c>
      <c r="Y115" s="245">
        <v>146.5</v>
      </c>
      <c r="Z115" s="245">
        <v>146.5</v>
      </c>
      <c r="AA115" s="245">
        <v>146.5</v>
      </c>
      <c r="AB115" s="245">
        <v>146.5</v>
      </c>
      <c r="AC115" s="244">
        <v>146.5</v>
      </c>
    </row>
    <row r="116" spans="1:29" ht="36" customHeight="1" x14ac:dyDescent="0.25">
      <c r="A116" s="439"/>
      <c r="B116" s="442"/>
      <c r="C116" s="433"/>
      <c r="D116" s="436"/>
      <c r="E116" s="238" t="s">
        <v>461</v>
      </c>
      <c r="F116" s="243">
        <v>146.5</v>
      </c>
      <c r="G116" s="243">
        <v>146.5</v>
      </c>
      <c r="H116" s="243">
        <v>146.5</v>
      </c>
      <c r="I116" s="243">
        <v>146.5</v>
      </c>
      <c r="J116" s="243">
        <v>146.5</v>
      </c>
      <c r="K116" s="243">
        <v>146.5</v>
      </c>
      <c r="L116" s="243">
        <v>146.5</v>
      </c>
      <c r="M116" s="243">
        <v>146.5</v>
      </c>
      <c r="N116" s="243">
        <v>146.5</v>
      </c>
      <c r="O116" s="243">
        <v>146.5</v>
      </c>
      <c r="P116" s="243">
        <v>146.5</v>
      </c>
      <c r="Q116" s="243">
        <v>146.5</v>
      </c>
      <c r="R116" s="243">
        <v>146.5</v>
      </c>
      <c r="S116" s="243">
        <v>146.5</v>
      </c>
      <c r="T116" s="243">
        <v>146.5</v>
      </c>
      <c r="U116" s="243">
        <v>146.5</v>
      </c>
      <c r="V116" s="243">
        <v>146.5</v>
      </c>
      <c r="W116" s="243">
        <v>146.5</v>
      </c>
      <c r="X116" s="243">
        <v>146.5</v>
      </c>
      <c r="Y116" s="243">
        <v>146.5</v>
      </c>
      <c r="Z116" s="243">
        <v>146.5</v>
      </c>
      <c r="AA116" s="243">
        <v>146.5</v>
      </c>
      <c r="AB116" s="243">
        <v>146.5</v>
      </c>
      <c r="AC116" s="242">
        <v>146.5</v>
      </c>
    </row>
    <row r="117" spans="1:29" ht="36" customHeight="1" thickBot="1" x14ac:dyDescent="0.3">
      <c r="A117" s="440"/>
      <c r="B117" s="443"/>
      <c r="C117" s="434"/>
      <c r="D117" s="437"/>
      <c r="E117" s="236" t="s">
        <v>462</v>
      </c>
      <c r="F117" s="241">
        <v>146.5</v>
      </c>
      <c r="G117" s="241">
        <v>146.5</v>
      </c>
      <c r="H117" s="241">
        <v>146.5</v>
      </c>
      <c r="I117" s="241">
        <v>146.5</v>
      </c>
      <c r="J117" s="241">
        <v>146.5</v>
      </c>
      <c r="K117" s="241">
        <v>146.5</v>
      </c>
      <c r="L117" s="241">
        <v>146.5</v>
      </c>
      <c r="M117" s="241">
        <v>146.5</v>
      </c>
      <c r="N117" s="241">
        <v>146.5</v>
      </c>
      <c r="O117" s="241">
        <v>146.5</v>
      </c>
      <c r="P117" s="241">
        <v>146.5</v>
      </c>
      <c r="Q117" s="241">
        <v>146.5</v>
      </c>
      <c r="R117" s="241">
        <v>146.5</v>
      </c>
      <c r="S117" s="241">
        <v>146.5</v>
      </c>
      <c r="T117" s="241">
        <v>146.5</v>
      </c>
      <c r="U117" s="241">
        <v>146.5</v>
      </c>
      <c r="V117" s="241">
        <v>146.5</v>
      </c>
      <c r="W117" s="241">
        <v>146.5</v>
      </c>
      <c r="X117" s="241">
        <v>146.5</v>
      </c>
      <c r="Y117" s="241">
        <v>146.5</v>
      </c>
      <c r="Z117" s="241">
        <v>146.5</v>
      </c>
      <c r="AA117" s="241">
        <v>146.5</v>
      </c>
      <c r="AB117" s="241">
        <v>146.5</v>
      </c>
      <c r="AC117" s="240">
        <v>146.5</v>
      </c>
    </row>
    <row r="118" spans="1:29" ht="36" customHeight="1" x14ac:dyDescent="0.25">
      <c r="A118" s="438" t="s">
        <v>117</v>
      </c>
      <c r="B118" s="441" t="s">
        <v>475</v>
      </c>
      <c r="C118" s="444" t="s">
        <v>486</v>
      </c>
      <c r="D118" s="435" t="s">
        <v>481</v>
      </c>
      <c r="E118" s="239" t="s">
        <v>460</v>
      </c>
      <c r="F118" s="245">
        <v>117.2</v>
      </c>
      <c r="G118" s="245">
        <v>117.2</v>
      </c>
      <c r="H118" s="245">
        <v>117.2</v>
      </c>
      <c r="I118" s="245">
        <v>117.2</v>
      </c>
      <c r="J118" s="245">
        <v>117.2</v>
      </c>
      <c r="K118" s="245">
        <v>117.2</v>
      </c>
      <c r="L118" s="245">
        <v>117.2</v>
      </c>
      <c r="M118" s="245">
        <v>117.2</v>
      </c>
      <c r="N118" s="245">
        <v>117.2</v>
      </c>
      <c r="O118" s="245">
        <v>117.2</v>
      </c>
      <c r="P118" s="245">
        <v>117.2</v>
      </c>
      <c r="Q118" s="245">
        <v>117.2</v>
      </c>
      <c r="R118" s="245">
        <v>117.2</v>
      </c>
      <c r="S118" s="245">
        <v>117.2</v>
      </c>
      <c r="T118" s="245">
        <v>117.2</v>
      </c>
      <c r="U118" s="245">
        <v>117.2</v>
      </c>
      <c r="V118" s="245">
        <v>117.2</v>
      </c>
      <c r="W118" s="245">
        <v>117.2</v>
      </c>
      <c r="X118" s="245">
        <v>117.2</v>
      </c>
      <c r="Y118" s="245">
        <v>117.2</v>
      </c>
      <c r="Z118" s="245">
        <v>117.2</v>
      </c>
      <c r="AA118" s="245">
        <v>117.2</v>
      </c>
      <c r="AB118" s="245">
        <v>117.2</v>
      </c>
      <c r="AC118" s="244">
        <v>117.2</v>
      </c>
    </row>
    <row r="119" spans="1:29" ht="36" customHeight="1" x14ac:dyDescent="0.25">
      <c r="A119" s="439"/>
      <c r="B119" s="442"/>
      <c r="C119" s="433"/>
      <c r="D119" s="436"/>
      <c r="E119" s="238" t="s">
        <v>461</v>
      </c>
      <c r="F119" s="243">
        <v>117.2</v>
      </c>
      <c r="G119" s="243">
        <v>117.2</v>
      </c>
      <c r="H119" s="243">
        <v>117.2</v>
      </c>
      <c r="I119" s="243">
        <v>117.2</v>
      </c>
      <c r="J119" s="243">
        <v>117.2</v>
      </c>
      <c r="K119" s="243">
        <v>117.2</v>
      </c>
      <c r="L119" s="243">
        <v>117.2</v>
      </c>
      <c r="M119" s="243">
        <v>117.2</v>
      </c>
      <c r="N119" s="243">
        <v>117.2</v>
      </c>
      <c r="O119" s="243">
        <v>117.2</v>
      </c>
      <c r="P119" s="243">
        <v>117.2</v>
      </c>
      <c r="Q119" s="243">
        <v>117.2</v>
      </c>
      <c r="R119" s="243">
        <v>117.2</v>
      </c>
      <c r="S119" s="243">
        <v>117.2</v>
      </c>
      <c r="T119" s="243">
        <v>117.2</v>
      </c>
      <c r="U119" s="243">
        <v>117.2</v>
      </c>
      <c r="V119" s="243">
        <v>117.2</v>
      </c>
      <c r="W119" s="243">
        <v>117.2</v>
      </c>
      <c r="X119" s="243">
        <v>117.2</v>
      </c>
      <c r="Y119" s="243">
        <v>117.2</v>
      </c>
      <c r="Z119" s="243">
        <v>117.2</v>
      </c>
      <c r="AA119" s="243">
        <v>117.2</v>
      </c>
      <c r="AB119" s="243">
        <v>117.2</v>
      </c>
      <c r="AC119" s="242">
        <v>117.2</v>
      </c>
    </row>
    <row r="120" spans="1:29" ht="36" customHeight="1" thickBot="1" x14ac:dyDescent="0.3">
      <c r="A120" s="440"/>
      <c r="B120" s="443"/>
      <c r="C120" s="434"/>
      <c r="D120" s="437"/>
      <c r="E120" s="236" t="s">
        <v>462</v>
      </c>
      <c r="F120" s="241">
        <v>117.2</v>
      </c>
      <c r="G120" s="241">
        <v>117.2</v>
      </c>
      <c r="H120" s="241">
        <v>117.2</v>
      </c>
      <c r="I120" s="241">
        <v>117.2</v>
      </c>
      <c r="J120" s="241">
        <v>117.2</v>
      </c>
      <c r="K120" s="241">
        <v>117.2</v>
      </c>
      <c r="L120" s="241">
        <v>117.2</v>
      </c>
      <c r="M120" s="241">
        <v>117.2</v>
      </c>
      <c r="N120" s="241">
        <v>117.2</v>
      </c>
      <c r="O120" s="241">
        <v>117.2</v>
      </c>
      <c r="P120" s="241">
        <v>117.2</v>
      </c>
      <c r="Q120" s="241">
        <v>117.2</v>
      </c>
      <c r="R120" s="241">
        <v>117.2</v>
      </c>
      <c r="S120" s="241">
        <v>117.2</v>
      </c>
      <c r="T120" s="241">
        <v>117.2</v>
      </c>
      <c r="U120" s="241">
        <v>117.2</v>
      </c>
      <c r="V120" s="241">
        <v>117.2</v>
      </c>
      <c r="W120" s="241">
        <v>117.2</v>
      </c>
      <c r="X120" s="241">
        <v>117.2</v>
      </c>
      <c r="Y120" s="241">
        <v>117.2</v>
      </c>
      <c r="Z120" s="241">
        <v>117.2</v>
      </c>
      <c r="AA120" s="241">
        <v>117.2</v>
      </c>
      <c r="AB120" s="241">
        <v>117.2</v>
      </c>
      <c r="AC120" s="240">
        <v>117.2</v>
      </c>
    </row>
    <row r="121" spans="1:29" ht="36" customHeight="1" x14ac:dyDescent="0.25">
      <c r="A121" s="426" t="s">
        <v>487</v>
      </c>
      <c r="B121" s="429" t="s">
        <v>475</v>
      </c>
      <c r="C121" s="432" t="s">
        <v>488</v>
      </c>
      <c r="D121" s="435" t="s">
        <v>481</v>
      </c>
      <c r="E121" s="239" t="s">
        <v>460</v>
      </c>
      <c r="F121" s="245">
        <v>161.19999999999999</v>
      </c>
      <c r="G121" s="245">
        <v>161.19999999999999</v>
      </c>
      <c r="H121" s="245">
        <v>161.19999999999999</v>
      </c>
      <c r="I121" s="245">
        <v>161.19999999999999</v>
      </c>
      <c r="J121" s="245">
        <v>161.19999999999999</v>
      </c>
      <c r="K121" s="245">
        <v>161.19999999999999</v>
      </c>
      <c r="L121" s="245">
        <v>161.19999999999999</v>
      </c>
      <c r="M121" s="245">
        <v>161.19999999999999</v>
      </c>
      <c r="N121" s="245">
        <v>161.19999999999999</v>
      </c>
      <c r="O121" s="245">
        <v>161.19999999999999</v>
      </c>
      <c r="P121" s="245">
        <v>161.19999999999999</v>
      </c>
      <c r="Q121" s="245">
        <v>161.19999999999999</v>
      </c>
      <c r="R121" s="245">
        <v>161.19999999999999</v>
      </c>
      <c r="S121" s="245">
        <v>161.19999999999999</v>
      </c>
      <c r="T121" s="245">
        <v>161.19999999999999</v>
      </c>
      <c r="U121" s="245">
        <v>161.19999999999999</v>
      </c>
      <c r="V121" s="245">
        <v>161.19999999999999</v>
      </c>
      <c r="W121" s="245">
        <v>161.19999999999999</v>
      </c>
      <c r="X121" s="245">
        <v>161.19999999999999</v>
      </c>
      <c r="Y121" s="245">
        <v>161.19999999999999</v>
      </c>
      <c r="Z121" s="245">
        <v>161.19999999999999</v>
      </c>
      <c r="AA121" s="245">
        <v>161.19999999999999</v>
      </c>
      <c r="AB121" s="245">
        <v>161.19999999999999</v>
      </c>
      <c r="AC121" s="244">
        <v>161.19999999999999</v>
      </c>
    </row>
    <row r="122" spans="1:29" ht="36" customHeight="1" x14ac:dyDescent="0.25">
      <c r="A122" s="427"/>
      <c r="B122" s="430"/>
      <c r="C122" s="433"/>
      <c r="D122" s="436"/>
      <c r="E122" s="238" t="s">
        <v>461</v>
      </c>
      <c r="F122" s="243">
        <v>161.19999999999999</v>
      </c>
      <c r="G122" s="243">
        <v>161.19999999999999</v>
      </c>
      <c r="H122" s="243">
        <v>161.19999999999999</v>
      </c>
      <c r="I122" s="243">
        <v>161.19999999999999</v>
      </c>
      <c r="J122" s="243">
        <v>161.19999999999999</v>
      </c>
      <c r="K122" s="243">
        <v>161.19999999999999</v>
      </c>
      <c r="L122" s="243">
        <v>161.19999999999999</v>
      </c>
      <c r="M122" s="243">
        <v>161.19999999999999</v>
      </c>
      <c r="N122" s="243">
        <v>161.19999999999999</v>
      </c>
      <c r="O122" s="243">
        <v>161.19999999999999</v>
      </c>
      <c r="P122" s="243">
        <v>161.19999999999999</v>
      </c>
      <c r="Q122" s="243">
        <v>161.19999999999999</v>
      </c>
      <c r="R122" s="243">
        <v>161.19999999999999</v>
      </c>
      <c r="S122" s="243">
        <v>161.19999999999999</v>
      </c>
      <c r="T122" s="243">
        <v>161.19999999999999</v>
      </c>
      <c r="U122" s="243">
        <v>161.19999999999999</v>
      </c>
      <c r="V122" s="243">
        <v>161.19999999999999</v>
      </c>
      <c r="W122" s="243">
        <v>161.19999999999999</v>
      </c>
      <c r="X122" s="243">
        <v>161.19999999999999</v>
      </c>
      <c r="Y122" s="243">
        <v>161.19999999999999</v>
      </c>
      <c r="Z122" s="243">
        <v>161.19999999999999</v>
      </c>
      <c r="AA122" s="243">
        <v>161.19999999999999</v>
      </c>
      <c r="AB122" s="243">
        <v>161.19999999999999</v>
      </c>
      <c r="AC122" s="242">
        <v>161.19999999999999</v>
      </c>
    </row>
    <row r="123" spans="1:29" ht="36" customHeight="1" thickBot="1" x14ac:dyDescent="0.3">
      <c r="A123" s="428"/>
      <c r="B123" s="431"/>
      <c r="C123" s="434"/>
      <c r="D123" s="437"/>
      <c r="E123" s="236" t="s">
        <v>462</v>
      </c>
      <c r="F123" s="241">
        <v>161.19999999999999</v>
      </c>
      <c r="G123" s="241">
        <v>161.19999999999999</v>
      </c>
      <c r="H123" s="241">
        <v>161.19999999999999</v>
      </c>
      <c r="I123" s="241">
        <v>161.19999999999999</v>
      </c>
      <c r="J123" s="241">
        <v>161.19999999999999</v>
      </c>
      <c r="K123" s="241">
        <v>161.19999999999999</v>
      </c>
      <c r="L123" s="241">
        <v>161.19999999999999</v>
      </c>
      <c r="M123" s="241">
        <v>161.19999999999999</v>
      </c>
      <c r="N123" s="241">
        <v>161.19999999999999</v>
      </c>
      <c r="O123" s="241">
        <v>161.19999999999999</v>
      </c>
      <c r="P123" s="241">
        <v>161.19999999999999</v>
      </c>
      <c r="Q123" s="241">
        <v>161.19999999999999</v>
      </c>
      <c r="R123" s="241">
        <v>161.19999999999999</v>
      </c>
      <c r="S123" s="241">
        <v>161.19999999999999</v>
      </c>
      <c r="T123" s="241">
        <v>161.19999999999999</v>
      </c>
      <c r="U123" s="241">
        <v>161.19999999999999</v>
      </c>
      <c r="V123" s="241">
        <v>161.19999999999999</v>
      </c>
      <c r="W123" s="241">
        <v>161.19999999999999</v>
      </c>
      <c r="X123" s="241">
        <v>161.19999999999999</v>
      </c>
      <c r="Y123" s="241">
        <v>161.19999999999999</v>
      </c>
      <c r="Z123" s="241">
        <v>161.19999999999999</v>
      </c>
      <c r="AA123" s="241">
        <v>161.19999999999999</v>
      </c>
      <c r="AB123" s="241">
        <v>161.19999999999999</v>
      </c>
      <c r="AC123" s="240">
        <v>161.19999999999999</v>
      </c>
    </row>
    <row r="124" spans="1:29" ht="36" customHeight="1" x14ac:dyDescent="0.25">
      <c r="A124" s="426" t="s">
        <v>489</v>
      </c>
      <c r="B124" s="429" t="s">
        <v>475</v>
      </c>
      <c r="C124" s="432" t="s">
        <v>490</v>
      </c>
      <c r="D124" s="435" t="s">
        <v>491</v>
      </c>
      <c r="E124" s="239" t="s">
        <v>460</v>
      </c>
      <c r="F124" s="245">
        <v>131.9</v>
      </c>
      <c r="G124" s="245">
        <v>131.9</v>
      </c>
      <c r="H124" s="245">
        <v>131.9</v>
      </c>
      <c r="I124" s="245">
        <v>131.9</v>
      </c>
      <c r="J124" s="245">
        <v>131.9</v>
      </c>
      <c r="K124" s="245">
        <v>131.9</v>
      </c>
      <c r="L124" s="245">
        <v>131.9</v>
      </c>
      <c r="M124" s="245">
        <v>131.9</v>
      </c>
      <c r="N124" s="245">
        <v>131.9</v>
      </c>
      <c r="O124" s="245">
        <v>131.9</v>
      </c>
      <c r="P124" s="245">
        <v>131.9</v>
      </c>
      <c r="Q124" s="245">
        <v>131.9</v>
      </c>
      <c r="R124" s="245">
        <v>131.9</v>
      </c>
      <c r="S124" s="245">
        <v>131.9</v>
      </c>
      <c r="T124" s="245">
        <v>131.9</v>
      </c>
      <c r="U124" s="245">
        <v>131.9</v>
      </c>
      <c r="V124" s="245">
        <v>131.9</v>
      </c>
      <c r="W124" s="245">
        <v>131.9</v>
      </c>
      <c r="X124" s="245">
        <v>131.9</v>
      </c>
      <c r="Y124" s="245">
        <v>131.9</v>
      </c>
      <c r="Z124" s="245">
        <v>131.9</v>
      </c>
      <c r="AA124" s="245">
        <v>131.9</v>
      </c>
      <c r="AB124" s="245">
        <v>131.9</v>
      </c>
      <c r="AC124" s="244">
        <v>131.9</v>
      </c>
    </row>
    <row r="125" spans="1:29" ht="36" customHeight="1" x14ac:dyDescent="0.25">
      <c r="A125" s="427"/>
      <c r="B125" s="430"/>
      <c r="C125" s="433"/>
      <c r="D125" s="436"/>
      <c r="E125" s="238" t="s">
        <v>461</v>
      </c>
      <c r="F125" s="243">
        <v>131.9</v>
      </c>
      <c r="G125" s="243">
        <v>131.9</v>
      </c>
      <c r="H125" s="243">
        <v>131.9</v>
      </c>
      <c r="I125" s="243">
        <v>131.9</v>
      </c>
      <c r="J125" s="243">
        <v>131.9</v>
      </c>
      <c r="K125" s="243">
        <v>131.9</v>
      </c>
      <c r="L125" s="243">
        <v>131.9</v>
      </c>
      <c r="M125" s="243">
        <v>131.9</v>
      </c>
      <c r="N125" s="243">
        <v>131.9</v>
      </c>
      <c r="O125" s="243">
        <v>131.9</v>
      </c>
      <c r="P125" s="243">
        <v>131.9</v>
      </c>
      <c r="Q125" s="243">
        <v>131.9</v>
      </c>
      <c r="R125" s="243">
        <v>131.9</v>
      </c>
      <c r="S125" s="243">
        <v>131.9</v>
      </c>
      <c r="T125" s="243">
        <v>131.9</v>
      </c>
      <c r="U125" s="243">
        <v>131.9</v>
      </c>
      <c r="V125" s="243">
        <v>131.9</v>
      </c>
      <c r="W125" s="243">
        <v>131.9</v>
      </c>
      <c r="X125" s="243">
        <v>131.9</v>
      </c>
      <c r="Y125" s="243">
        <v>131.9</v>
      </c>
      <c r="Z125" s="243">
        <v>131.9</v>
      </c>
      <c r="AA125" s="243">
        <v>131.9</v>
      </c>
      <c r="AB125" s="243">
        <v>131.9</v>
      </c>
      <c r="AC125" s="242">
        <v>131.9</v>
      </c>
    </row>
    <row r="126" spans="1:29" ht="36" customHeight="1" thickBot="1" x14ac:dyDescent="0.3">
      <c r="A126" s="428"/>
      <c r="B126" s="431"/>
      <c r="C126" s="434"/>
      <c r="D126" s="437"/>
      <c r="E126" s="236" t="s">
        <v>462</v>
      </c>
      <c r="F126" s="241">
        <v>131.9</v>
      </c>
      <c r="G126" s="241">
        <v>131.9</v>
      </c>
      <c r="H126" s="241">
        <v>131.9</v>
      </c>
      <c r="I126" s="241">
        <v>131.9</v>
      </c>
      <c r="J126" s="241">
        <v>131.9</v>
      </c>
      <c r="K126" s="241">
        <v>131.9</v>
      </c>
      <c r="L126" s="241">
        <v>131.9</v>
      </c>
      <c r="M126" s="241">
        <v>131.9</v>
      </c>
      <c r="N126" s="241">
        <v>131.9</v>
      </c>
      <c r="O126" s="241">
        <v>131.9</v>
      </c>
      <c r="P126" s="241">
        <v>131.9</v>
      </c>
      <c r="Q126" s="241">
        <v>131.9</v>
      </c>
      <c r="R126" s="241">
        <v>131.9</v>
      </c>
      <c r="S126" s="241">
        <v>131.9</v>
      </c>
      <c r="T126" s="241">
        <v>131.9</v>
      </c>
      <c r="U126" s="241">
        <v>131.9</v>
      </c>
      <c r="V126" s="241">
        <v>131.9</v>
      </c>
      <c r="W126" s="241">
        <v>131.9</v>
      </c>
      <c r="X126" s="241">
        <v>131.9</v>
      </c>
      <c r="Y126" s="241">
        <v>131.9</v>
      </c>
      <c r="Z126" s="241">
        <v>131.9</v>
      </c>
      <c r="AA126" s="241">
        <v>131.9</v>
      </c>
      <c r="AB126" s="241">
        <v>131.9</v>
      </c>
      <c r="AC126" s="240">
        <v>131.9</v>
      </c>
    </row>
    <row r="127" spans="1:29" ht="36" customHeight="1" x14ac:dyDescent="0.25">
      <c r="A127" s="438" t="s">
        <v>492</v>
      </c>
      <c r="B127" s="441" t="s">
        <v>475</v>
      </c>
      <c r="C127" s="432" t="s">
        <v>493</v>
      </c>
      <c r="D127" s="435" t="s">
        <v>481</v>
      </c>
      <c r="E127" s="239" t="s">
        <v>460</v>
      </c>
      <c r="F127" s="245">
        <v>219.8</v>
      </c>
      <c r="G127" s="245">
        <v>219.8</v>
      </c>
      <c r="H127" s="245">
        <v>219.8</v>
      </c>
      <c r="I127" s="245">
        <v>219.8</v>
      </c>
      <c r="J127" s="245">
        <v>219.8</v>
      </c>
      <c r="K127" s="245">
        <v>219.8</v>
      </c>
      <c r="L127" s="245">
        <v>219.8</v>
      </c>
      <c r="M127" s="245">
        <v>219.8</v>
      </c>
      <c r="N127" s="245">
        <v>219.8</v>
      </c>
      <c r="O127" s="245">
        <v>219.8</v>
      </c>
      <c r="P127" s="245">
        <v>219.8</v>
      </c>
      <c r="Q127" s="245">
        <v>219.8</v>
      </c>
      <c r="R127" s="245">
        <v>219.8</v>
      </c>
      <c r="S127" s="245">
        <v>219.8</v>
      </c>
      <c r="T127" s="245">
        <v>219.8</v>
      </c>
      <c r="U127" s="245">
        <v>219.8</v>
      </c>
      <c r="V127" s="245">
        <v>219.8</v>
      </c>
      <c r="W127" s="245">
        <v>219.8</v>
      </c>
      <c r="X127" s="245">
        <v>219.8</v>
      </c>
      <c r="Y127" s="245">
        <v>219.8</v>
      </c>
      <c r="Z127" s="245">
        <v>219.8</v>
      </c>
      <c r="AA127" s="245">
        <v>219.8</v>
      </c>
      <c r="AB127" s="245">
        <v>219.8</v>
      </c>
      <c r="AC127" s="244">
        <v>219.8</v>
      </c>
    </row>
    <row r="128" spans="1:29" ht="36" customHeight="1" x14ac:dyDescent="0.25">
      <c r="A128" s="439"/>
      <c r="B128" s="442"/>
      <c r="C128" s="433"/>
      <c r="D128" s="436"/>
      <c r="E128" s="238" t="s">
        <v>461</v>
      </c>
      <c r="F128" s="243">
        <v>219.8</v>
      </c>
      <c r="G128" s="243">
        <v>219.8</v>
      </c>
      <c r="H128" s="243">
        <v>219.8</v>
      </c>
      <c r="I128" s="243">
        <v>219.8</v>
      </c>
      <c r="J128" s="243">
        <v>219.8</v>
      </c>
      <c r="K128" s="243">
        <v>219.8</v>
      </c>
      <c r="L128" s="243">
        <v>219.8</v>
      </c>
      <c r="M128" s="243">
        <v>219.8</v>
      </c>
      <c r="N128" s="243">
        <v>219.8</v>
      </c>
      <c r="O128" s="243">
        <v>219.8</v>
      </c>
      <c r="P128" s="243">
        <v>219.8</v>
      </c>
      <c r="Q128" s="243">
        <v>219.8</v>
      </c>
      <c r="R128" s="243">
        <v>219.8</v>
      </c>
      <c r="S128" s="243">
        <v>219.8</v>
      </c>
      <c r="T128" s="243">
        <v>219.8</v>
      </c>
      <c r="U128" s="243">
        <v>219.8</v>
      </c>
      <c r="V128" s="243">
        <v>219.8</v>
      </c>
      <c r="W128" s="243">
        <v>219.8</v>
      </c>
      <c r="X128" s="243">
        <v>219.8</v>
      </c>
      <c r="Y128" s="243">
        <v>219.8</v>
      </c>
      <c r="Z128" s="243">
        <v>219.8</v>
      </c>
      <c r="AA128" s="243">
        <v>219.8</v>
      </c>
      <c r="AB128" s="243">
        <v>219.8</v>
      </c>
      <c r="AC128" s="242">
        <v>219.8</v>
      </c>
    </row>
    <row r="129" spans="1:42" ht="36" customHeight="1" thickBot="1" x14ac:dyDescent="0.3">
      <c r="A129" s="440"/>
      <c r="B129" s="443"/>
      <c r="C129" s="434"/>
      <c r="D129" s="437"/>
      <c r="E129" s="236" t="s">
        <v>462</v>
      </c>
      <c r="F129" s="241">
        <v>219.8</v>
      </c>
      <c r="G129" s="241">
        <v>219.8</v>
      </c>
      <c r="H129" s="241">
        <v>219.8</v>
      </c>
      <c r="I129" s="241">
        <v>219.8</v>
      </c>
      <c r="J129" s="241">
        <v>219.8</v>
      </c>
      <c r="K129" s="241">
        <v>219.8</v>
      </c>
      <c r="L129" s="241">
        <v>219.8</v>
      </c>
      <c r="M129" s="241">
        <v>219.8</v>
      </c>
      <c r="N129" s="241">
        <v>219.8</v>
      </c>
      <c r="O129" s="241">
        <v>219.8</v>
      </c>
      <c r="P129" s="241">
        <v>219.8</v>
      </c>
      <c r="Q129" s="241">
        <v>219.8</v>
      </c>
      <c r="R129" s="241">
        <v>219.8</v>
      </c>
      <c r="S129" s="241">
        <v>219.8</v>
      </c>
      <c r="T129" s="241">
        <v>219.8</v>
      </c>
      <c r="U129" s="241">
        <v>219.8</v>
      </c>
      <c r="V129" s="241">
        <v>219.8</v>
      </c>
      <c r="W129" s="241">
        <v>219.8</v>
      </c>
      <c r="X129" s="241">
        <v>219.8</v>
      </c>
      <c r="Y129" s="241">
        <v>219.8</v>
      </c>
      <c r="Z129" s="241">
        <v>219.8</v>
      </c>
      <c r="AA129" s="241">
        <v>219.8</v>
      </c>
      <c r="AB129" s="241">
        <v>219.8</v>
      </c>
      <c r="AC129" s="240">
        <v>219.8</v>
      </c>
    </row>
    <row r="130" spans="1:42" customFormat="1" ht="15" x14ac:dyDescent="0.25"/>
    <row r="131" spans="1:42" customFormat="1" ht="15" x14ac:dyDescent="0.25"/>
    <row r="132" spans="1:42" customFormat="1" ht="15" x14ac:dyDescent="0.25">
      <c r="A132" s="321" t="s">
        <v>172</v>
      </c>
      <c r="B132" s="322"/>
      <c r="C132" s="92"/>
      <c r="D132" s="92"/>
      <c r="E132" s="92"/>
      <c r="F132" s="92"/>
      <c r="G132" s="92"/>
      <c r="H132" s="322"/>
      <c r="I132" s="322"/>
      <c r="J132" s="322"/>
      <c r="K132" s="322"/>
      <c r="L132" s="322"/>
      <c r="M132" s="322"/>
      <c r="N132" s="322"/>
      <c r="O132" s="322"/>
      <c r="P132" s="322"/>
      <c r="Q132" s="322"/>
      <c r="R132" s="322"/>
      <c r="S132" s="322"/>
      <c r="T132" s="322"/>
      <c r="U132" s="322"/>
      <c r="V132" s="322"/>
      <c r="W132" s="322"/>
      <c r="X132" s="322"/>
      <c r="Y132" s="322"/>
      <c r="Z132" s="322"/>
      <c r="AA132" s="322"/>
      <c r="AB132" s="322"/>
      <c r="AC132" s="322"/>
      <c r="AD132" s="322"/>
      <c r="AE132" s="322"/>
      <c r="AF132" s="322"/>
      <c r="AG132" s="322"/>
      <c r="AH132" s="322"/>
      <c r="AI132" s="322"/>
      <c r="AJ132" s="322"/>
      <c r="AK132" s="322"/>
      <c r="AL132" s="322"/>
      <c r="AM132" s="322"/>
      <c r="AN132" s="322"/>
      <c r="AO132" s="322"/>
      <c r="AP132" s="322"/>
    </row>
    <row r="133" spans="1:42" customFormat="1" ht="15" x14ac:dyDescent="0.25"/>
    <row r="134" spans="1:42" customFormat="1" ht="15" x14ac:dyDescent="0.25"/>
    <row r="135" spans="1:42" customFormat="1" ht="15" x14ac:dyDescent="0.25"/>
    <row r="136" spans="1:42" customFormat="1" ht="15" x14ac:dyDescent="0.25"/>
    <row r="137" spans="1:42" customFormat="1" ht="15" x14ac:dyDescent="0.25"/>
    <row r="138" spans="1:42" customFormat="1" ht="15" x14ac:dyDescent="0.25"/>
    <row r="139" spans="1:42" customFormat="1" ht="15" x14ac:dyDescent="0.25"/>
    <row r="140" spans="1:42" customFormat="1" ht="15" x14ac:dyDescent="0.25"/>
  </sheetData>
  <mergeCells count="174">
    <mergeCell ref="A31:A33"/>
    <mergeCell ref="B31:B33"/>
    <mergeCell ref="C31:C33"/>
    <mergeCell ref="D31:D33"/>
    <mergeCell ref="A62:A64"/>
    <mergeCell ref="B62:B64"/>
    <mergeCell ref="C62:C64"/>
    <mergeCell ref="D62:D64"/>
    <mergeCell ref="A65:A67"/>
    <mergeCell ref="B65:B67"/>
    <mergeCell ref="C65:C67"/>
    <mergeCell ref="D65:D67"/>
    <mergeCell ref="A53:A55"/>
    <mergeCell ref="B53:B55"/>
    <mergeCell ref="C53:C55"/>
    <mergeCell ref="A56:A58"/>
    <mergeCell ref="B56:B58"/>
    <mergeCell ref="C56:C58"/>
    <mergeCell ref="D56:D58"/>
    <mergeCell ref="D53:D55"/>
    <mergeCell ref="D38:D40"/>
    <mergeCell ref="A41:A43"/>
    <mergeCell ref="B41:B43"/>
    <mergeCell ref="C41:C43"/>
    <mergeCell ref="C50:C52"/>
    <mergeCell ref="D50:D52"/>
    <mergeCell ref="C47:C49"/>
    <mergeCell ref="D47:D49"/>
    <mergeCell ref="A35:A37"/>
    <mergeCell ref="B35:B37"/>
    <mergeCell ref="C35:C37"/>
    <mergeCell ref="D35:D37"/>
    <mergeCell ref="A38:A40"/>
    <mergeCell ref="B38:B40"/>
    <mergeCell ref="C38:C40"/>
    <mergeCell ref="A127:A129"/>
    <mergeCell ref="B127:B129"/>
    <mergeCell ref="C127:C129"/>
    <mergeCell ref="D127:D129"/>
    <mergeCell ref="C81:C83"/>
    <mergeCell ref="D81:D83"/>
    <mergeCell ref="A84:A86"/>
    <mergeCell ref="B84:B86"/>
    <mergeCell ref="C84:C86"/>
    <mergeCell ref="D84:D86"/>
    <mergeCell ref="A87:A89"/>
    <mergeCell ref="B87:B89"/>
    <mergeCell ref="C87:C89"/>
    <mergeCell ref="D87:D89"/>
    <mergeCell ref="A90:A92"/>
    <mergeCell ref="B90:B92"/>
    <mergeCell ref="C90:C92"/>
    <mergeCell ref="D90:D92"/>
    <mergeCell ref="A96:A98"/>
    <mergeCell ref="B96:B98"/>
    <mergeCell ref="C96:C98"/>
    <mergeCell ref="D96:D98"/>
    <mergeCell ref="A121:A123"/>
    <mergeCell ref="B121:B123"/>
    <mergeCell ref="B13:B15"/>
    <mergeCell ref="B16:B18"/>
    <mergeCell ref="B19:B21"/>
    <mergeCell ref="B22:B24"/>
    <mergeCell ref="C16:C18"/>
    <mergeCell ref="A16:A18"/>
    <mergeCell ref="C19:C21"/>
    <mergeCell ref="A68:AC68"/>
    <mergeCell ref="A99:AC99"/>
    <mergeCell ref="A69:A71"/>
    <mergeCell ref="B69:B71"/>
    <mergeCell ref="C69:C71"/>
    <mergeCell ref="D69:D71"/>
    <mergeCell ref="A72:A74"/>
    <mergeCell ref="B72:B74"/>
    <mergeCell ref="C72:C74"/>
    <mergeCell ref="D72:D74"/>
    <mergeCell ref="A75:A77"/>
    <mergeCell ref="B75:B77"/>
    <mergeCell ref="C75:C77"/>
    <mergeCell ref="D75:D77"/>
    <mergeCell ref="A34:AC34"/>
    <mergeCell ref="A44:A46"/>
    <mergeCell ref="B44:B46"/>
    <mergeCell ref="D4:D6"/>
    <mergeCell ref="A7:A9"/>
    <mergeCell ref="C10:C12"/>
    <mergeCell ref="B2:B3"/>
    <mergeCell ref="B4:B6"/>
    <mergeCell ref="B7:B9"/>
    <mergeCell ref="A1:AC1"/>
    <mergeCell ref="C4:C6"/>
    <mergeCell ref="C7:C9"/>
    <mergeCell ref="C2:C3"/>
    <mergeCell ref="D10:D12"/>
    <mergeCell ref="D7:D9"/>
    <mergeCell ref="F2:AC2"/>
    <mergeCell ref="E2:E3"/>
    <mergeCell ref="A2:A3"/>
    <mergeCell ref="D2:D3"/>
    <mergeCell ref="B10:B12"/>
    <mergeCell ref="A4:A6"/>
    <mergeCell ref="A10:A12"/>
    <mergeCell ref="C13:C15"/>
    <mergeCell ref="D13:D15"/>
    <mergeCell ref="A13:A15"/>
    <mergeCell ref="A103:A105"/>
    <mergeCell ref="B103:B105"/>
    <mergeCell ref="C103:C105"/>
    <mergeCell ref="D103:D105"/>
    <mergeCell ref="A106:A108"/>
    <mergeCell ref="B106:B108"/>
    <mergeCell ref="C106:C108"/>
    <mergeCell ref="D106:D108"/>
    <mergeCell ref="D19:D21"/>
    <mergeCell ref="A19:A21"/>
    <mergeCell ref="A25:A27"/>
    <mergeCell ref="B25:B27"/>
    <mergeCell ref="C25:C27"/>
    <mergeCell ref="D25:D27"/>
    <mergeCell ref="A28:A30"/>
    <mergeCell ref="B28:B30"/>
    <mergeCell ref="C28:C30"/>
    <mergeCell ref="D28:D30"/>
    <mergeCell ref="A78:A80"/>
    <mergeCell ref="B78:B80"/>
    <mergeCell ref="C59:C61"/>
    <mergeCell ref="B118:B120"/>
    <mergeCell ref="C118:C120"/>
    <mergeCell ref="D118:D120"/>
    <mergeCell ref="D16:D18"/>
    <mergeCell ref="C22:C24"/>
    <mergeCell ref="D22:D24"/>
    <mergeCell ref="A22:A24"/>
    <mergeCell ref="C78:C80"/>
    <mergeCell ref="D78:D80"/>
    <mergeCell ref="A81:A83"/>
    <mergeCell ref="B81:B83"/>
    <mergeCell ref="A100:A102"/>
    <mergeCell ref="B100:B102"/>
    <mergeCell ref="C100:C102"/>
    <mergeCell ref="D100:D102"/>
    <mergeCell ref="C44:C46"/>
    <mergeCell ref="D44:D46"/>
    <mergeCell ref="A47:A49"/>
    <mergeCell ref="B47:B49"/>
    <mergeCell ref="A59:A61"/>
    <mergeCell ref="B59:B61"/>
    <mergeCell ref="D41:D43"/>
    <mergeCell ref="A50:A52"/>
    <mergeCell ref="B50:B52"/>
    <mergeCell ref="D59:D61"/>
    <mergeCell ref="A93:A95"/>
    <mergeCell ref="B93:B95"/>
    <mergeCell ref="C93:C95"/>
    <mergeCell ref="D93:D95"/>
    <mergeCell ref="A124:A126"/>
    <mergeCell ref="B124:B126"/>
    <mergeCell ref="C124:C126"/>
    <mergeCell ref="D124:D126"/>
    <mergeCell ref="A109:A111"/>
    <mergeCell ref="B109:B111"/>
    <mergeCell ref="C109:C111"/>
    <mergeCell ref="D109:D111"/>
    <mergeCell ref="A112:A114"/>
    <mergeCell ref="B112:B114"/>
    <mergeCell ref="C112:C114"/>
    <mergeCell ref="D112:D114"/>
    <mergeCell ref="A115:A117"/>
    <mergeCell ref="B115:B117"/>
    <mergeCell ref="C115:C117"/>
    <mergeCell ref="D115:D117"/>
    <mergeCell ref="C121:C123"/>
    <mergeCell ref="D121:D123"/>
    <mergeCell ref="A118:A12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268"/>
  <sheetViews>
    <sheetView zoomScaleNormal="100" workbookViewId="0">
      <selection sqref="A1:L1"/>
    </sheetView>
  </sheetViews>
  <sheetFormatPr defaultColWidth="8.7109375" defaultRowHeight="12.75" x14ac:dyDescent="0.2"/>
  <cols>
    <col min="1" max="1" width="17.28515625" style="6" bestFit="1" customWidth="1"/>
    <col min="2" max="2" width="15.42578125" style="6" customWidth="1"/>
    <col min="3" max="3" width="19.28515625" style="6" customWidth="1"/>
    <col min="4" max="5" width="18.28515625" style="6" customWidth="1"/>
    <col min="6" max="8" width="13.7109375" style="6" customWidth="1"/>
    <col min="9" max="9" width="10.7109375" style="6" customWidth="1"/>
    <col min="10" max="10" width="13" style="6" customWidth="1"/>
    <col min="11" max="11" width="11.140625" style="6" customWidth="1"/>
    <col min="12" max="12" width="13.7109375" style="6" customWidth="1"/>
    <col min="13" max="13" width="8.7109375" style="6"/>
    <col min="14" max="14" width="17.28515625" style="6" bestFit="1" customWidth="1"/>
    <col min="15" max="15" width="10.5703125" style="6" customWidth="1"/>
    <col min="16" max="16" width="11" style="6" customWidth="1"/>
    <col min="17" max="17" width="17.85546875" style="6" customWidth="1"/>
    <col min="18" max="19" width="10.5703125" style="6" bestFit="1" customWidth="1"/>
    <col min="20" max="21" width="11.42578125" style="6" bestFit="1" customWidth="1"/>
    <col min="22" max="22" width="14.85546875" style="6" bestFit="1" customWidth="1"/>
    <col min="23" max="16384" width="8.7109375" style="6"/>
  </cols>
  <sheetData>
    <row r="1" spans="1:24" ht="33" customHeight="1" x14ac:dyDescent="0.25">
      <c r="A1" s="493" t="str">
        <f>"CalBEM Energy Consumption - "&amp;Prototype!B4</f>
        <v>CalBEM Energy Consumption - K-8 School</v>
      </c>
      <c r="B1" s="494"/>
      <c r="C1" s="494"/>
      <c r="D1" s="494"/>
      <c r="E1" s="494"/>
      <c r="F1" s="494"/>
      <c r="G1" s="494"/>
      <c r="H1" s="494"/>
      <c r="I1" s="494"/>
      <c r="J1" s="494"/>
      <c r="K1" s="494"/>
      <c r="L1" s="494"/>
      <c r="M1"/>
      <c r="N1" s="495" t="str">
        <f>"Energy Consumption - "&amp;Prototype!A2</f>
        <v>Energy Consumption - SchoolK-8</v>
      </c>
      <c r="O1" s="363"/>
      <c r="P1" s="363"/>
      <c r="Q1" s="363"/>
      <c r="R1" s="363"/>
      <c r="S1" s="363"/>
      <c r="T1" s="363"/>
      <c r="U1" s="363"/>
      <c r="V1" s="363"/>
      <c r="W1"/>
      <c r="X1"/>
    </row>
    <row r="2" spans="1:24" ht="62.25" customHeight="1" x14ac:dyDescent="0.25">
      <c r="A2" s="348" t="s">
        <v>5</v>
      </c>
      <c r="B2" s="348" t="s">
        <v>494</v>
      </c>
      <c r="C2" s="348" t="s">
        <v>495</v>
      </c>
      <c r="D2" s="348" t="s">
        <v>496</v>
      </c>
      <c r="E2" s="348" t="s">
        <v>497</v>
      </c>
      <c r="F2" s="348" t="s">
        <v>498</v>
      </c>
      <c r="G2" s="348" t="s">
        <v>499</v>
      </c>
      <c r="H2" s="348" t="s">
        <v>500</v>
      </c>
      <c r="I2" s="323" t="s">
        <v>501</v>
      </c>
      <c r="J2" s="323" t="s">
        <v>502</v>
      </c>
      <c r="K2" s="323" t="s">
        <v>503</v>
      </c>
      <c r="L2" s="323" t="s">
        <v>504</v>
      </c>
      <c r="N2" s="315" t="s">
        <v>5</v>
      </c>
      <c r="O2" s="348" t="s">
        <v>494</v>
      </c>
      <c r="P2" s="348" t="s">
        <v>505</v>
      </c>
      <c r="Q2" s="348" t="s">
        <v>506</v>
      </c>
      <c r="R2" s="348" t="s">
        <v>507</v>
      </c>
      <c r="S2" s="324" t="s">
        <v>508</v>
      </c>
      <c r="T2" s="324" t="s">
        <v>509</v>
      </c>
      <c r="U2" s="324" t="s">
        <v>510</v>
      </c>
      <c r="V2" s="324" t="s">
        <v>511</v>
      </c>
      <c r="W2"/>
      <c r="X2"/>
    </row>
    <row r="3" spans="1:24" ht="19.149999999999999" customHeight="1" x14ac:dyDescent="0.25">
      <c r="A3" s="492" t="str">
        <f>Prototype!B4</f>
        <v>K-8 School</v>
      </c>
      <c r="B3" s="345">
        <v>1</v>
      </c>
      <c r="C3" s="313">
        <v>61.09935185185185</v>
      </c>
      <c r="D3" s="313">
        <v>56.586388888888891</v>
      </c>
      <c r="E3" s="313">
        <v>117.68574074074074</v>
      </c>
      <c r="F3" s="345">
        <v>56.85</v>
      </c>
      <c r="G3" s="345">
        <v>0.56999999999999995</v>
      </c>
      <c r="H3" s="345">
        <v>57.42</v>
      </c>
      <c r="I3" s="345">
        <v>38.700000000000003</v>
      </c>
      <c r="J3" s="313">
        <f>I3*1.25</f>
        <v>48.375</v>
      </c>
      <c r="K3" s="313">
        <f>I3*0.75</f>
        <v>29.025000000000002</v>
      </c>
      <c r="L3" s="313">
        <f>J3-K3</f>
        <v>19.349999999999998</v>
      </c>
      <c r="N3" s="371" t="str">
        <f>Prototype!B4</f>
        <v>K-8 School</v>
      </c>
      <c r="O3" s="325">
        <v>1</v>
      </c>
      <c r="P3" s="172">
        <v>7618.5336979987769</v>
      </c>
      <c r="Q3" s="326">
        <v>32.349175832782279</v>
      </c>
      <c r="R3" s="326">
        <v>12.848136512515758</v>
      </c>
      <c r="S3" s="327">
        <v>55.364803618873651</v>
      </c>
      <c r="T3" s="328">
        <f>S3*1.25</f>
        <v>69.206004523592071</v>
      </c>
      <c r="U3" s="328">
        <f>S3*0.75</f>
        <v>41.523602714155238</v>
      </c>
      <c r="V3" s="329">
        <f>T3-U3</f>
        <v>27.682401809436833</v>
      </c>
      <c r="W3"/>
      <c r="X3"/>
    </row>
    <row r="4" spans="1:24" ht="19.149999999999999" customHeight="1" x14ac:dyDescent="0.25">
      <c r="A4" s="492"/>
      <c r="B4" s="345">
        <v>2</v>
      </c>
      <c r="C4" s="313">
        <v>63.195265306122444</v>
      </c>
      <c r="D4" s="313">
        <v>38.953897959183678</v>
      </c>
      <c r="E4" s="313">
        <v>102.14916326530613</v>
      </c>
      <c r="F4" s="345">
        <v>56.44</v>
      </c>
      <c r="G4" s="345">
        <v>0.56999999999999995</v>
      </c>
      <c r="H4" s="345">
        <v>57.01</v>
      </c>
      <c r="I4" s="345">
        <v>34.299999999999997</v>
      </c>
      <c r="J4" s="313">
        <f t="shared" ref="J4:J18" si="0">I4*1.25</f>
        <v>42.875</v>
      </c>
      <c r="K4" s="313">
        <f t="shared" ref="K4:K18" si="1">I4*0.75</f>
        <v>25.724999999999998</v>
      </c>
      <c r="L4" s="313">
        <f t="shared" ref="L4:L18" si="2">J4-K4</f>
        <v>17.150000000000002</v>
      </c>
      <c r="N4" s="371"/>
      <c r="O4" s="325">
        <v>2</v>
      </c>
      <c r="P4" s="172">
        <v>11477.670560957027</v>
      </c>
      <c r="Q4" s="326">
        <v>15.421598301121483</v>
      </c>
      <c r="R4" s="326">
        <v>12.913999186871132</v>
      </c>
      <c r="S4" s="327">
        <v>47.89328303362015</v>
      </c>
      <c r="T4" s="328">
        <f t="shared" ref="T4:T18" si="3">S4*1.25</f>
        <v>59.866603792025188</v>
      </c>
      <c r="U4" s="328">
        <f t="shared" ref="U4:U18" si="4">S4*0.75</f>
        <v>35.919962275215113</v>
      </c>
      <c r="V4" s="329">
        <f t="shared" ref="V4:V18" si="5">T4-U4</f>
        <v>23.946641516810075</v>
      </c>
      <c r="W4"/>
      <c r="X4"/>
    </row>
    <row r="5" spans="1:24" ht="19.149999999999999" customHeight="1" x14ac:dyDescent="0.25">
      <c r="A5" s="492"/>
      <c r="B5" s="345">
        <v>3</v>
      </c>
      <c r="C5" s="313">
        <v>55.873703703703704</v>
      </c>
      <c r="D5" s="313">
        <v>31.34044893378227</v>
      </c>
      <c r="E5" s="313">
        <v>87.214152637485967</v>
      </c>
      <c r="F5" s="345">
        <v>49.61</v>
      </c>
      <c r="G5" s="345">
        <v>0.56999999999999995</v>
      </c>
      <c r="H5" s="345">
        <v>50.18</v>
      </c>
      <c r="I5" s="345">
        <v>30.8</v>
      </c>
      <c r="J5" s="313">
        <f t="shared" si="0"/>
        <v>38.5</v>
      </c>
      <c r="K5" s="313">
        <f t="shared" si="1"/>
        <v>23.1</v>
      </c>
      <c r="L5" s="313">
        <f t="shared" si="2"/>
        <v>15.399999999999999</v>
      </c>
      <c r="N5" s="371"/>
      <c r="O5" s="325">
        <v>3</v>
      </c>
      <c r="P5" s="172">
        <v>46411.860464613921</v>
      </c>
      <c r="Q5" s="326">
        <v>20.479594859366287</v>
      </c>
      <c r="R5" s="326">
        <v>12.79924807855271</v>
      </c>
      <c r="S5" s="327">
        <v>100.09497401574612</v>
      </c>
      <c r="T5" s="328">
        <f t="shared" si="3"/>
        <v>125.11871751968265</v>
      </c>
      <c r="U5" s="328">
        <f t="shared" si="4"/>
        <v>75.071230511809588</v>
      </c>
      <c r="V5" s="329">
        <f t="shared" si="5"/>
        <v>50.047487007873059</v>
      </c>
      <c r="W5"/>
      <c r="X5"/>
    </row>
    <row r="6" spans="1:24" ht="19.149999999999999" customHeight="1" x14ac:dyDescent="0.25">
      <c r="A6" s="492"/>
      <c r="B6" s="345">
        <v>4</v>
      </c>
      <c r="C6" s="313">
        <v>68.723253424657528</v>
      </c>
      <c r="D6" s="313">
        <v>30.775936073059363</v>
      </c>
      <c r="E6" s="313">
        <v>99.499189497716884</v>
      </c>
      <c r="F6" s="345">
        <v>58.5</v>
      </c>
      <c r="G6" s="345">
        <v>0.56999999999999995</v>
      </c>
      <c r="H6" s="345">
        <v>59.07</v>
      </c>
      <c r="I6" s="345">
        <v>39.5</v>
      </c>
      <c r="J6" s="313">
        <f t="shared" si="0"/>
        <v>49.375</v>
      </c>
      <c r="K6" s="313">
        <f t="shared" si="1"/>
        <v>29.625</v>
      </c>
      <c r="L6" s="313">
        <f t="shared" si="2"/>
        <v>19.75</v>
      </c>
      <c r="N6" s="371"/>
      <c r="O6" s="325">
        <v>4</v>
      </c>
      <c r="P6" s="172">
        <v>23032.968012628033</v>
      </c>
      <c r="Q6" s="326">
        <v>21.493730276699399</v>
      </c>
      <c r="R6" s="326">
        <v>13.019766805689686</v>
      </c>
      <c r="S6" s="327">
        <v>106.62132635774194</v>
      </c>
      <c r="T6" s="328">
        <f t="shared" si="3"/>
        <v>133.27665794717743</v>
      </c>
      <c r="U6" s="328">
        <f t="shared" si="4"/>
        <v>79.965994768306444</v>
      </c>
      <c r="V6" s="329">
        <f t="shared" si="5"/>
        <v>53.310663178870982</v>
      </c>
      <c r="W6"/>
      <c r="X6"/>
    </row>
    <row r="7" spans="1:24" ht="19.149999999999999" customHeight="1" x14ac:dyDescent="0.25">
      <c r="A7" s="492"/>
      <c r="B7" s="345">
        <v>5</v>
      </c>
      <c r="C7" s="313">
        <v>57.552864428715871</v>
      </c>
      <c r="D7" s="313">
        <v>22.817243387259857</v>
      </c>
      <c r="E7" s="313">
        <v>80.370107815975729</v>
      </c>
      <c r="F7" s="345">
        <v>49.6</v>
      </c>
      <c r="G7" s="345">
        <v>0.56999999999999995</v>
      </c>
      <c r="H7" s="345">
        <v>50.17</v>
      </c>
      <c r="I7" s="345">
        <v>29.7</v>
      </c>
      <c r="J7" s="313">
        <f t="shared" si="0"/>
        <v>37.125</v>
      </c>
      <c r="K7" s="313">
        <f t="shared" si="1"/>
        <v>22.274999999999999</v>
      </c>
      <c r="L7" s="313">
        <f t="shared" si="2"/>
        <v>14.850000000000001</v>
      </c>
      <c r="N7" s="371"/>
      <c r="O7" s="325">
        <v>5</v>
      </c>
      <c r="P7" s="172">
        <v>5978.4428422392912</v>
      </c>
      <c r="Q7" s="326">
        <v>11.998072326077015</v>
      </c>
      <c r="R7" s="326">
        <v>11.585185132606563</v>
      </c>
      <c r="S7" s="327">
        <v>59.149270516191649</v>
      </c>
      <c r="T7" s="328">
        <f t="shared" si="3"/>
        <v>73.936588145239568</v>
      </c>
      <c r="U7" s="328">
        <f t="shared" si="4"/>
        <v>44.361952887143737</v>
      </c>
      <c r="V7" s="329">
        <f t="shared" si="5"/>
        <v>29.574635258095832</v>
      </c>
      <c r="W7"/>
      <c r="X7"/>
    </row>
    <row r="8" spans="1:24" ht="19.149999999999999" customHeight="1" x14ac:dyDescent="0.25">
      <c r="A8" s="492"/>
      <c r="B8" s="345">
        <v>6</v>
      </c>
      <c r="C8" s="313">
        <v>51.983978706256622</v>
      </c>
      <c r="D8" s="313">
        <v>9.7623082290562024</v>
      </c>
      <c r="E8" s="313">
        <v>61.746286935312824</v>
      </c>
      <c r="F8" s="345">
        <v>44.94</v>
      </c>
      <c r="G8" s="345">
        <v>0.56999999999999995</v>
      </c>
      <c r="H8" s="345">
        <v>45.51</v>
      </c>
      <c r="I8" s="345">
        <v>31.8</v>
      </c>
      <c r="J8" s="313">
        <f t="shared" si="0"/>
        <v>39.75</v>
      </c>
      <c r="K8" s="313">
        <f t="shared" si="1"/>
        <v>23.85</v>
      </c>
      <c r="L8" s="313">
        <f t="shared" si="2"/>
        <v>15.899999999999999</v>
      </c>
      <c r="N8" s="371"/>
      <c r="O8" s="325">
        <v>6</v>
      </c>
      <c r="P8" s="172">
        <v>57755.958884938154</v>
      </c>
      <c r="Q8" s="326">
        <v>22.607348922099643</v>
      </c>
      <c r="R8" s="326">
        <v>9.9467421462334809</v>
      </c>
      <c r="S8" s="327">
        <v>82.347487870533669</v>
      </c>
      <c r="T8" s="328">
        <f t="shared" si="3"/>
        <v>102.93435983816708</v>
      </c>
      <c r="U8" s="328">
        <f t="shared" si="4"/>
        <v>61.760615902900255</v>
      </c>
      <c r="V8" s="329">
        <f t="shared" si="5"/>
        <v>41.173743935266828</v>
      </c>
      <c r="W8"/>
      <c r="X8"/>
    </row>
    <row r="9" spans="1:24" ht="19.149999999999999" customHeight="1" x14ac:dyDescent="0.25">
      <c r="A9" s="492"/>
      <c r="B9" s="345">
        <v>7</v>
      </c>
      <c r="C9" s="313">
        <v>51.244801670146131</v>
      </c>
      <c r="D9" s="313">
        <v>7.0378914405010438</v>
      </c>
      <c r="E9" s="313">
        <v>58.282693110647173</v>
      </c>
      <c r="F9" s="345">
        <v>45.09</v>
      </c>
      <c r="G9" s="345">
        <v>0.56999999999999995</v>
      </c>
      <c r="H9" s="345">
        <v>45.660000000000004</v>
      </c>
      <c r="I9" s="345">
        <v>32.799999999999997</v>
      </c>
      <c r="J9" s="313">
        <f t="shared" si="0"/>
        <v>41</v>
      </c>
      <c r="K9" s="313">
        <f t="shared" si="1"/>
        <v>24.599999999999998</v>
      </c>
      <c r="L9" s="313">
        <f t="shared" si="2"/>
        <v>16.400000000000002</v>
      </c>
      <c r="N9" s="371"/>
      <c r="O9" s="325">
        <v>7</v>
      </c>
      <c r="P9" s="172">
        <v>35149.992570854702</v>
      </c>
      <c r="Q9" s="326">
        <v>24.848388187104383</v>
      </c>
      <c r="R9" s="326">
        <v>6.9700357314851695</v>
      </c>
      <c r="S9" s="327">
        <v>88.553475966326303</v>
      </c>
      <c r="T9" s="328">
        <f t="shared" si="3"/>
        <v>110.69184495790788</v>
      </c>
      <c r="U9" s="328">
        <f t="shared" si="4"/>
        <v>66.415106974744731</v>
      </c>
      <c r="V9" s="329">
        <f t="shared" si="5"/>
        <v>44.276737983163144</v>
      </c>
      <c r="W9"/>
      <c r="X9"/>
    </row>
    <row r="10" spans="1:24" ht="19.149999999999999" customHeight="1" x14ac:dyDescent="0.25">
      <c r="A10" s="492"/>
      <c r="B10" s="345">
        <v>8</v>
      </c>
      <c r="C10" s="313">
        <v>60.194978494623655</v>
      </c>
      <c r="D10" s="313">
        <v>10.111204301075269</v>
      </c>
      <c r="E10" s="313">
        <v>70.30618279569893</v>
      </c>
      <c r="F10" s="345">
        <v>51.71</v>
      </c>
      <c r="G10" s="345">
        <v>0.56999999999999995</v>
      </c>
      <c r="H10" s="345">
        <v>52.28</v>
      </c>
      <c r="I10" s="345">
        <v>38.6</v>
      </c>
      <c r="J10" s="313">
        <f t="shared" si="0"/>
        <v>48.25</v>
      </c>
      <c r="K10" s="313">
        <f t="shared" si="1"/>
        <v>28.950000000000003</v>
      </c>
      <c r="L10" s="313">
        <f t="shared" si="2"/>
        <v>19.299999999999997</v>
      </c>
      <c r="N10" s="371"/>
      <c r="O10" s="325">
        <v>8</v>
      </c>
      <c r="P10" s="172">
        <v>92353.411344595792</v>
      </c>
      <c r="Q10" s="326">
        <v>22.935329040550439</v>
      </c>
      <c r="R10" s="326">
        <v>8.842202966161631</v>
      </c>
      <c r="S10" s="327">
        <v>103.44180549732351</v>
      </c>
      <c r="T10" s="328">
        <f t="shared" si="3"/>
        <v>129.30225687165438</v>
      </c>
      <c r="U10" s="328">
        <f t="shared" si="4"/>
        <v>77.581354122992636</v>
      </c>
      <c r="V10" s="329">
        <f t="shared" si="5"/>
        <v>51.720902748661743</v>
      </c>
      <c r="W10"/>
      <c r="X10"/>
    </row>
    <row r="11" spans="1:24" ht="19.149999999999999" customHeight="1" x14ac:dyDescent="0.25">
      <c r="A11" s="492"/>
      <c r="B11" s="345">
        <v>9</v>
      </c>
      <c r="C11" s="313">
        <v>61.006674528301886</v>
      </c>
      <c r="D11" s="313">
        <v>13.214905660377356</v>
      </c>
      <c r="E11" s="313">
        <v>74.221580188679241</v>
      </c>
      <c r="F11" s="345">
        <v>51.66</v>
      </c>
      <c r="G11" s="345">
        <v>0.56999999999999995</v>
      </c>
      <c r="H11" s="345">
        <v>52.23</v>
      </c>
      <c r="I11" s="345">
        <v>38.5</v>
      </c>
      <c r="J11" s="313">
        <f t="shared" si="0"/>
        <v>48.125</v>
      </c>
      <c r="K11" s="313">
        <f t="shared" si="1"/>
        <v>28.875</v>
      </c>
      <c r="L11" s="313">
        <f t="shared" si="2"/>
        <v>19.25</v>
      </c>
      <c r="N11" s="371"/>
      <c r="O11" s="325">
        <v>9</v>
      </c>
      <c r="P11" s="172">
        <v>141795.4505918849</v>
      </c>
      <c r="Q11" s="326">
        <v>26.79734320498693</v>
      </c>
      <c r="R11" s="326">
        <v>10.089066914098808</v>
      </c>
      <c r="S11" s="327">
        <v>119.15131578438451</v>
      </c>
      <c r="T11" s="328">
        <f t="shared" si="3"/>
        <v>148.93914473048062</v>
      </c>
      <c r="U11" s="328">
        <f t="shared" si="4"/>
        <v>89.363486838288381</v>
      </c>
      <c r="V11" s="329">
        <f t="shared" si="5"/>
        <v>59.57565789219224</v>
      </c>
      <c r="W11"/>
      <c r="X11"/>
    </row>
    <row r="12" spans="1:24" ht="19.149999999999999" customHeight="1" x14ac:dyDescent="0.25">
      <c r="A12" s="492"/>
      <c r="B12" s="345">
        <v>10</v>
      </c>
      <c r="C12" s="313">
        <v>63.364278242677827</v>
      </c>
      <c r="D12" s="313">
        <v>12.265125523012552</v>
      </c>
      <c r="E12" s="313">
        <v>75.629403765690384</v>
      </c>
      <c r="F12" s="345">
        <v>54.75</v>
      </c>
      <c r="G12" s="345">
        <v>0.56999999999999995</v>
      </c>
      <c r="H12" s="345">
        <v>55.32</v>
      </c>
      <c r="I12" s="345">
        <v>42.2</v>
      </c>
      <c r="J12" s="313">
        <f t="shared" si="0"/>
        <v>52.75</v>
      </c>
      <c r="K12" s="313">
        <f t="shared" si="1"/>
        <v>31.650000000000002</v>
      </c>
      <c r="L12" s="313">
        <f t="shared" si="2"/>
        <v>21.099999999999998</v>
      </c>
      <c r="N12" s="371"/>
      <c r="O12" s="325">
        <v>10</v>
      </c>
      <c r="P12" s="172">
        <v>92589.866923099296</v>
      </c>
      <c r="Q12" s="326">
        <v>22.490400741547862</v>
      </c>
      <c r="R12" s="326">
        <v>10.108975274600024</v>
      </c>
      <c r="S12" s="327">
        <v>67.419104208774073</v>
      </c>
      <c r="T12" s="328">
        <f t="shared" si="3"/>
        <v>84.273880260967587</v>
      </c>
      <c r="U12" s="328">
        <f t="shared" si="4"/>
        <v>50.564328156580558</v>
      </c>
      <c r="V12" s="329">
        <f t="shared" si="5"/>
        <v>33.709552104387029</v>
      </c>
      <c r="W12"/>
      <c r="X12"/>
    </row>
    <row r="13" spans="1:24" ht="19.149999999999999" customHeight="1" x14ac:dyDescent="0.25">
      <c r="A13" s="492"/>
      <c r="B13" s="345">
        <v>11</v>
      </c>
      <c r="C13" s="313">
        <v>72.929638390804612</v>
      </c>
      <c r="D13" s="313">
        <v>43.352930310344831</v>
      </c>
      <c r="E13" s="313">
        <v>116.28256870114944</v>
      </c>
      <c r="F13" s="345">
        <v>64.900000000000006</v>
      </c>
      <c r="G13" s="345">
        <v>0.56999999999999995</v>
      </c>
      <c r="H13" s="345">
        <v>65.47</v>
      </c>
      <c r="I13" s="345">
        <v>47.7</v>
      </c>
      <c r="J13" s="313">
        <f t="shared" si="0"/>
        <v>59.625</v>
      </c>
      <c r="K13" s="313">
        <f t="shared" si="1"/>
        <v>35.775000000000006</v>
      </c>
      <c r="L13" s="313">
        <f t="shared" si="2"/>
        <v>23.849999999999994</v>
      </c>
      <c r="N13" s="371"/>
      <c r="O13" s="325">
        <v>11</v>
      </c>
      <c r="P13" s="172">
        <v>33810.488428667806</v>
      </c>
      <c r="Q13" s="326">
        <v>26.928661316570114</v>
      </c>
      <c r="R13" s="326">
        <v>8.7604369989222359</v>
      </c>
      <c r="S13" s="327">
        <v>68.839252987034271</v>
      </c>
      <c r="T13" s="328">
        <f t="shared" si="3"/>
        <v>86.049066233792843</v>
      </c>
      <c r="U13" s="328">
        <f t="shared" si="4"/>
        <v>51.6294397402757</v>
      </c>
      <c r="V13" s="329">
        <f t="shared" si="5"/>
        <v>34.419626493517143</v>
      </c>
      <c r="W13"/>
      <c r="X13"/>
    </row>
    <row r="14" spans="1:24" ht="19.149999999999999" customHeight="1" x14ac:dyDescent="0.25">
      <c r="A14" s="492"/>
      <c r="B14" s="345">
        <v>12</v>
      </c>
      <c r="C14" s="313">
        <v>65.315855993189558</v>
      </c>
      <c r="D14" s="313">
        <v>35.186628320090804</v>
      </c>
      <c r="E14" s="313">
        <v>100.50248431328036</v>
      </c>
      <c r="F14" s="345">
        <v>58.31</v>
      </c>
      <c r="G14" s="345">
        <v>0.56999999999999995</v>
      </c>
      <c r="H14" s="345">
        <v>58.88</v>
      </c>
      <c r="I14" s="345">
        <v>41.6</v>
      </c>
      <c r="J14" s="313">
        <f t="shared" si="0"/>
        <v>52</v>
      </c>
      <c r="K14" s="313">
        <f t="shared" si="1"/>
        <v>31.200000000000003</v>
      </c>
      <c r="L14" s="313">
        <f t="shared" si="2"/>
        <v>20.799999999999997</v>
      </c>
      <c r="N14" s="371"/>
      <c r="O14" s="325">
        <v>12</v>
      </c>
      <c r="P14" s="172">
        <v>108342.43412674296</v>
      </c>
      <c r="Q14" s="326">
        <v>31.799593721150607</v>
      </c>
      <c r="R14" s="326">
        <v>12.230299256797961</v>
      </c>
      <c r="S14" s="327">
        <v>85.58737128246608</v>
      </c>
      <c r="T14" s="328">
        <f t="shared" si="3"/>
        <v>106.98421410308259</v>
      </c>
      <c r="U14" s="328">
        <f t="shared" si="4"/>
        <v>64.190528461849567</v>
      </c>
      <c r="V14" s="329">
        <f t="shared" si="5"/>
        <v>42.793685641233026</v>
      </c>
      <c r="W14"/>
      <c r="X14"/>
    </row>
    <row r="15" spans="1:24" ht="19.149999999999999" customHeight="1" x14ac:dyDescent="0.25">
      <c r="A15" s="492"/>
      <c r="B15" s="345">
        <v>13</v>
      </c>
      <c r="C15" s="313">
        <v>71.486036866359456</v>
      </c>
      <c r="D15" s="313">
        <v>27.06413594470046</v>
      </c>
      <c r="E15" s="313">
        <v>98.550172811059923</v>
      </c>
      <c r="F15" s="345">
        <v>62.85</v>
      </c>
      <c r="G15" s="345">
        <v>0.56999999999999995</v>
      </c>
      <c r="H15" s="345">
        <v>63.42</v>
      </c>
      <c r="I15" s="345">
        <v>49.6</v>
      </c>
      <c r="J15" s="313">
        <f t="shared" si="0"/>
        <v>62</v>
      </c>
      <c r="K15" s="313">
        <f t="shared" si="1"/>
        <v>37.200000000000003</v>
      </c>
      <c r="L15" s="313">
        <f t="shared" si="2"/>
        <v>24.799999999999997</v>
      </c>
      <c r="N15" s="371"/>
      <c r="O15" s="325">
        <v>13</v>
      </c>
      <c r="P15" s="172">
        <v>46676.807804914482</v>
      </c>
      <c r="Q15" s="326">
        <v>32.656044140076112</v>
      </c>
      <c r="R15" s="326">
        <v>15.473533802907214</v>
      </c>
      <c r="S15" s="327">
        <v>57.735690126779041</v>
      </c>
      <c r="T15" s="328">
        <f t="shared" si="3"/>
        <v>72.169612658473795</v>
      </c>
      <c r="U15" s="328">
        <f t="shared" si="4"/>
        <v>43.301767595084279</v>
      </c>
      <c r="V15" s="329">
        <f t="shared" si="5"/>
        <v>28.867845063389517</v>
      </c>
      <c r="W15"/>
      <c r="X15"/>
    </row>
    <row r="16" spans="1:24" ht="19.149999999999999" customHeight="1" x14ac:dyDescent="0.25">
      <c r="A16" s="492"/>
      <c r="B16" s="345">
        <v>14</v>
      </c>
      <c r="C16" s="313">
        <v>78.197094379639452</v>
      </c>
      <c r="D16" s="313">
        <v>35.313934252385998</v>
      </c>
      <c r="E16" s="313">
        <v>113.51102863202544</v>
      </c>
      <c r="F16" s="345">
        <v>68.150000000000006</v>
      </c>
      <c r="G16" s="345">
        <v>0.56999999999999995</v>
      </c>
      <c r="H16" s="345">
        <v>68.72</v>
      </c>
      <c r="I16" s="345">
        <v>48.8</v>
      </c>
      <c r="J16" s="313">
        <f t="shared" si="0"/>
        <v>61</v>
      </c>
      <c r="K16" s="313">
        <f t="shared" si="1"/>
        <v>36.599999999999994</v>
      </c>
      <c r="L16" s="313">
        <f t="shared" si="2"/>
        <v>24.400000000000006</v>
      </c>
      <c r="N16" s="371"/>
      <c r="O16" s="325">
        <v>14</v>
      </c>
      <c r="P16" s="172">
        <v>22787.738910986311</v>
      </c>
      <c r="Q16" s="326">
        <v>21.807169831743543</v>
      </c>
      <c r="R16" s="326">
        <v>11.433166078385915</v>
      </c>
      <c r="S16" s="327">
        <v>68.502534470485045</v>
      </c>
      <c r="T16" s="328">
        <f t="shared" si="3"/>
        <v>85.628168088106307</v>
      </c>
      <c r="U16" s="328">
        <f t="shared" si="4"/>
        <v>51.376900852863784</v>
      </c>
      <c r="V16" s="329">
        <f t="shared" si="5"/>
        <v>34.251267235242523</v>
      </c>
      <c r="W16"/>
      <c r="X16"/>
    </row>
    <row r="17" spans="1:24" ht="19.149999999999999" customHeight="1" x14ac:dyDescent="0.25">
      <c r="A17" s="492"/>
      <c r="B17" s="345">
        <v>15</v>
      </c>
      <c r="C17" s="313">
        <v>85.83989198757763</v>
      </c>
      <c r="D17" s="313">
        <v>8.0391577639751546</v>
      </c>
      <c r="E17" s="313">
        <v>93.879049751552785</v>
      </c>
      <c r="F17" s="345">
        <v>71.19</v>
      </c>
      <c r="G17" s="345">
        <v>0.56999999999999995</v>
      </c>
      <c r="H17" s="345">
        <v>71.759999999999991</v>
      </c>
      <c r="I17" s="345">
        <v>65.8</v>
      </c>
      <c r="J17" s="313">
        <f t="shared" si="0"/>
        <v>82.25</v>
      </c>
      <c r="K17" s="313">
        <f t="shared" si="1"/>
        <v>49.349999999999994</v>
      </c>
      <c r="L17" s="313">
        <f t="shared" si="2"/>
        <v>32.900000000000006</v>
      </c>
      <c r="N17" s="371"/>
      <c r="O17" s="325">
        <v>15</v>
      </c>
      <c r="P17" s="172">
        <v>54746.00286987007</v>
      </c>
      <c r="Q17" s="326">
        <v>21.954275213561427</v>
      </c>
      <c r="R17" s="326">
        <v>10.439126469769764</v>
      </c>
      <c r="S17" s="327">
        <v>47.715256155256746</v>
      </c>
      <c r="T17" s="328">
        <f t="shared" si="3"/>
        <v>59.644070194070935</v>
      </c>
      <c r="U17" s="328">
        <f t="shared" si="4"/>
        <v>35.786442116442558</v>
      </c>
      <c r="V17" s="329">
        <f t="shared" si="5"/>
        <v>23.857628077628377</v>
      </c>
      <c r="W17"/>
      <c r="X17"/>
    </row>
    <row r="18" spans="1:24" ht="19.149999999999999" customHeight="1" x14ac:dyDescent="0.25">
      <c r="A18" s="492"/>
      <c r="B18" s="345">
        <v>16</v>
      </c>
      <c r="C18" s="313">
        <v>69.381948294573647</v>
      </c>
      <c r="D18" s="313">
        <v>80.028885813953494</v>
      </c>
      <c r="E18" s="313">
        <v>149.41083410852713</v>
      </c>
      <c r="F18" s="345">
        <v>71.33</v>
      </c>
      <c r="G18" s="345">
        <v>0.56999999999999995</v>
      </c>
      <c r="H18" s="345">
        <v>71.899999999999991</v>
      </c>
      <c r="I18" s="345">
        <v>44</v>
      </c>
      <c r="J18" s="313">
        <f t="shared" si="0"/>
        <v>55</v>
      </c>
      <c r="K18" s="313">
        <f t="shared" si="1"/>
        <v>33</v>
      </c>
      <c r="L18" s="313">
        <f t="shared" si="2"/>
        <v>22</v>
      </c>
      <c r="N18" s="371"/>
      <c r="O18" s="325">
        <v>16</v>
      </c>
      <c r="P18" s="172">
        <v>85267.890424747078</v>
      </c>
      <c r="Q18" s="326">
        <v>27.026910677602114</v>
      </c>
      <c r="R18" s="326">
        <v>11.652926502476937</v>
      </c>
      <c r="S18" s="327">
        <v>67.576478394300892</v>
      </c>
      <c r="T18" s="328">
        <f t="shared" si="3"/>
        <v>84.470597992876122</v>
      </c>
      <c r="U18" s="328">
        <f t="shared" si="4"/>
        <v>50.682358795725669</v>
      </c>
      <c r="V18" s="329">
        <f t="shared" si="5"/>
        <v>33.788239197150453</v>
      </c>
      <c r="W18"/>
      <c r="X18"/>
    </row>
    <row r="19" spans="1:24" ht="12.75" customHeight="1" x14ac:dyDescent="0.2"/>
    <row r="20" spans="1:24" x14ac:dyDescent="0.2">
      <c r="Q20" s="6" t="s">
        <v>512</v>
      </c>
    </row>
    <row r="21" spans="1:24" ht="15" x14ac:dyDescent="0.25">
      <c r="A21"/>
      <c r="B21"/>
      <c r="Q21" s="6" t="s">
        <v>513</v>
      </c>
    </row>
    <row r="22" spans="1:24" ht="15" x14ac:dyDescent="0.25">
      <c r="A22"/>
      <c r="B22"/>
    </row>
    <row r="23" spans="1:24" ht="15" x14ac:dyDescent="0.25">
      <c r="A23"/>
      <c r="B23"/>
    </row>
    <row r="24" spans="1:24" ht="15" x14ac:dyDescent="0.25">
      <c r="A24"/>
      <c r="B24"/>
      <c r="O24"/>
      <c r="P24"/>
      <c r="Q24"/>
      <c r="R24"/>
      <c r="S24"/>
      <c r="T24"/>
      <c r="U24"/>
    </row>
    <row r="25" spans="1:24" customFormat="1" ht="15" x14ac:dyDescent="0.25"/>
    <row r="26" spans="1:24" ht="15" x14ac:dyDescent="0.25">
      <c r="A26"/>
      <c r="B26"/>
      <c r="O26"/>
      <c r="P26"/>
      <c r="Q26"/>
      <c r="R26"/>
      <c r="S26"/>
      <c r="T26"/>
      <c r="U26"/>
    </row>
    <row r="27" spans="1:24" ht="15" x14ac:dyDescent="0.25">
      <c r="A27"/>
      <c r="B27"/>
      <c r="O27"/>
      <c r="P27"/>
      <c r="Q27"/>
      <c r="R27"/>
      <c r="S27"/>
      <c r="T27"/>
      <c r="U27"/>
    </row>
    <row r="28" spans="1:24" ht="15" x14ac:dyDescent="0.25">
      <c r="A28"/>
      <c r="B28"/>
      <c r="O28"/>
      <c r="P28"/>
      <c r="Q28"/>
      <c r="R28"/>
      <c r="S28"/>
      <c r="T28"/>
      <c r="U28"/>
    </row>
    <row r="29" spans="1:24" ht="15" x14ac:dyDescent="0.25">
      <c r="A29"/>
      <c r="B29"/>
      <c r="O29"/>
      <c r="P29"/>
      <c r="Q29"/>
      <c r="R29"/>
      <c r="S29"/>
      <c r="T29"/>
      <c r="U29"/>
    </row>
    <row r="30" spans="1:24" ht="15" x14ac:dyDescent="0.25">
      <c r="A30"/>
      <c r="B30"/>
      <c r="O30"/>
      <c r="P30"/>
      <c r="Q30"/>
      <c r="R30"/>
      <c r="S30"/>
      <c r="T30"/>
      <c r="U30"/>
    </row>
    <row r="31" spans="1:24" ht="15" x14ac:dyDescent="0.25">
      <c r="A31"/>
      <c r="B31"/>
      <c r="O31"/>
      <c r="P31"/>
      <c r="Q31"/>
      <c r="R31"/>
      <c r="S31"/>
      <c r="T31"/>
      <c r="U31"/>
    </row>
    <row r="32" spans="1:24" ht="15" x14ac:dyDescent="0.25">
      <c r="A32"/>
      <c r="B32"/>
      <c r="O32"/>
      <c r="P32"/>
      <c r="Q32"/>
      <c r="R32"/>
      <c r="S32"/>
      <c r="T32"/>
      <c r="U32"/>
    </row>
    <row r="33" spans="1:21" ht="15" x14ac:dyDescent="0.25">
      <c r="A33"/>
      <c r="B33"/>
      <c r="O33"/>
      <c r="P33"/>
      <c r="Q33"/>
      <c r="R33"/>
      <c r="S33"/>
      <c r="T33"/>
      <c r="U33"/>
    </row>
    <row r="34" spans="1:21" ht="15" x14ac:dyDescent="0.25">
      <c r="A34"/>
      <c r="B34"/>
      <c r="O34"/>
      <c r="P34"/>
      <c r="Q34"/>
      <c r="R34"/>
      <c r="S34"/>
      <c r="T34"/>
      <c r="U34"/>
    </row>
    <row r="35" spans="1:21" ht="15" x14ac:dyDescent="0.25">
      <c r="A35"/>
      <c r="B35"/>
      <c r="O35"/>
      <c r="P35"/>
      <c r="Q35"/>
      <c r="R35"/>
      <c r="S35"/>
      <c r="T35"/>
      <c r="U35"/>
    </row>
    <row r="36" spans="1:21" ht="15" x14ac:dyDescent="0.25">
      <c r="A36"/>
      <c r="B36"/>
      <c r="O36"/>
      <c r="P36"/>
      <c r="Q36"/>
      <c r="R36"/>
      <c r="S36"/>
      <c r="T36"/>
      <c r="U36"/>
    </row>
    <row r="37" spans="1:21" ht="15" x14ac:dyDescent="0.25">
      <c r="A37"/>
      <c r="B37"/>
      <c r="O37"/>
      <c r="P37"/>
      <c r="Q37"/>
      <c r="R37"/>
      <c r="S37"/>
      <c r="T37"/>
      <c r="U37"/>
    </row>
    <row r="38" spans="1:21" ht="15" x14ac:dyDescent="0.25">
      <c r="O38"/>
      <c r="P38"/>
      <c r="Q38"/>
      <c r="R38"/>
      <c r="S38"/>
      <c r="T38"/>
      <c r="U38"/>
    </row>
    <row r="39" spans="1:21" ht="15" x14ac:dyDescent="0.25">
      <c r="O39"/>
      <c r="P39"/>
      <c r="Q39"/>
      <c r="R39"/>
      <c r="S39"/>
      <c r="T39"/>
      <c r="U39"/>
    </row>
    <row r="40" spans="1:21" ht="15" x14ac:dyDescent="0.25">
      <c r="O40"/>
      <c r="P40"/>
      <c r="Q40"/>
      <c r="R40"/>
      <c r="S40"/>
      <c r="T40"/>
      <c r="U40"/>
    </row>
    <row r="41" spans="1:21" ht="15" x14ac:dyDescent="0.25">
      <c r="O41"/>
      <c r="P41"/>
      <c r="Q41"/>
      <c r="R41"/>
      <c r="S41"/>
      <c r="T41"/>
      <c r="U41"/>
    </row>
    <row r="42" spans="1:21" ht="15" x14ac:dyDescent="0.25">
      <c r="O42"/>
      <c r="P42"/>
      <c r="Q42"/>
      <c r="R42"/>
      <c r="S42"/>
      <c r="T42"/>
      <c r="U42"/>
    </row>
    <row r="43" spans="1:21" ht="15" x14ac:dyDescent="0.25">
      <c r="O43"/>
      <c r="P43"/>
      <c r="Q43"/>
      <c r="R43"/>
      <c r="S43"/>
      <c r="T43"/>
      <c r="U43"/>
    </row>
    <row r="44" spans="1:21" ht="15" x14ac:dyDescent="0.25">
      <c r="O44"/>
      <c r="P44"/>
      <c r="Q44"/>
      <c r="R44"/>
      <c r="S44"/>
      <c r="T44"/>
      <c r="U44"/>
    </row>
    <row r="45" spans="1:21" ht="15" x14ac:dyDescent="0.25">
      <c r="O45"/>
      <c r="P45"/>
      <c r="Q45"/>
      <c r="R45"/>
      <c r="S45"/>
      <c r="T45"/>
      <c r="U45"/>
    </row>
    <row r="46" spans="1:21" ht="15" x14ac:dyDescent="0.25">
      <c r="O46"/>
      <c r="P46"/>
      <c r="Q46"/>
      <c r="R46"/>
      <c r="S46"/>
      <c r="T46"/>
      <c r="U46"/>
    </row>
    <row r="47" spans="1:21" ht="15" x14ac:dyDescent="0.25">
      <c r="O47"/>
      <c r="P47"/>
      <c r="Q47"/>
      <c r="R47"/>
      <c r="S47"/>
      <c r="T47"/>
      <c r="U47"/>
    </row>
    <row r="48" spans="1:21" ht="15" x14ac:dyDescent="0.25">
      <c r="O48"/>
      <c r="P48"/>
      <c r="Q48"/>
      <c r="R48"/>
      <c r="S48"/>
      <c r="T48"/>
      <c r="U48"/>
    </row>
    <row r="49" spans="15:21" ht="15" x14ac:dyDescent="0.25">
      <c r="O49"/>
      <c r="P49"/>
      <c r="Q49"/>
      <c r="R49"/>
      <c r="S49"/>
      <c r="T49"/>
      <c r="U49"/>
    </row>
    <row r="50" spans="15:21" ht="15" x14ac:dyDescent="0.25">
      <c r="O50"/>
      <c r="P50"/>
      <c r="Q50"/>
      <c r="R50"/>
      <c r="S50"/>
      <c r="T50"/>
      <c r="U50"/>
    </row>
    <row r="51" spans="15:21" ht="15" x14ac:dyDescent="0.25">
      <c r="O51"/>
      <c r="P51"/>
      <c r="Q51"/>
      <c r="R51"/>
      <c r="S51"/>
      <c r="T51"/>
      <c r="U51"/>
    </row>
    <row r="52" spans="15:21" ht="15" x14ac:dyDescent="0.25">
      <c r="O52"/>
      <c r="P52"/>
      <c r="Q52"/>
      <c r="R52"/>
      <c r="S52"/>
      <c r="T52"/>
      <c r="U52"/>
    </row>
    <row r="53" spans="15:21" ht="15" x14ac:dyDescent="0.25">
      <c r="O53"/>
      <c r="P53"/>
      <c r="Q53"/>
      <c r="R53"/>
      <c r="S53"/>
      <c r="T53"/>
      <c r="U53"/>
    </row>
    <row r="54" spans="15:21" ht="15" x14ac:dyDescent="0.25">
      <c r="O54"/>
      <c r="P54"/>
      <c r="Q54"/>
      <c r="R54"/>
      <c r="S54"/>
      <c r="T54"/>
      <c r="U54"/>
    </row>
    <row r="55" spans="15:21" ht="15" x14ac:dyDescent="0.25">
      <c r="O55"/>
      <c r="P55"/>
      <c r="Q55"/>
      <c r="R55"/>
      <c r="S55"/>
      <c r="T55"/>
      <c r="U55"/>
    </row>
    <row r="56" spans="15:21" ht="15" x14ac:dyDescent="0.25">
      <c r="O56"/>
      <c r="P56"/>
      <c r="Q56"/>
      <c r="R56"/>
      <c r="S56"/>
      <c r="T56"/>
      <c r="U56"/>
    </row>
    <row r="57" spans="15:21" ht="15" x14ac:dyDescent="0.25">
      <c r="O57"/>
      <c r="P57"/>
      <c r="Q57"/>
      <c r="R57"/>
      <c r="S57"/>
      <c r="T57"/>
      <c r="U57"/>
    </row>
    <row r="58" spans="15:21" ht="15" x14ac:dyDescent="0.25">
      <c r="O58"/>
      <c r="P58"/>
      <c r="Q58"/>
      <c r="R58"/>
      <c r="S58"/>
      <c r="T58"/>
      <c r="U58"/>
    </row>
    <row r="59" spans="15:21" ht="15" x14ac:dyDescent="0.25">
      <c r="O59"/>
      <c r="P59"/>
      <c r="Q59"/>
      <c r="R59"/>
      <c r="S59"/>
      <c r="T59"/>
      <c r="U59"/>
    </row>
    <row r="60" spans="15:21" ht="15" x14ac:dyDescent="0.25">
      <c r="O60"/>
      <c r="P60"/>
      <c r="Q60"/>
      <c r="R60"/>
      <c r="S60"/>
      <c r="T60"/>
      <c r="U60"/>
    </row>
    <row r="61" spans="15:21" ht="15" x14ac:dyDescent="0.25">
      <c r="O61"/>
      <c r="P61"/>
      <c r="Q61"/>
      <c r="R61"/>
      <c r="S61"/>
      <c r="T61"/>
      <c r="U61"/>
    </row>
    <row r="62" spans="15:21" ht="15" x14ac:dyDescent="0.25">
      <c r="O62"/>
      <c r="P62"/>
      <c r="Q62"/>
      <c r="R62"/>
      <c r="S62"/>
      <c r="T62"/>
      <c r="U62"/>
    </row>
    <row r="63" spans="15:21" ht="15" x14ac:dyDescent="0.25">
      <c r="O63"/>
      <c r="P63"/>
      <c r="Q63"/>
      <c r="R63"/>
      <c r="S63"/>
      <c r="T63"/>
      <c r="U63"/>
    </row>
    <row r="64" spans="15:21" ht="15" x14ac:dyDescent="0.25">
      <c r="O64"/>
      <c r="P64"/>
      <c r="Q64"/>
      <c r="R64"/>
      <c r="S64"/>
      <c r="T64"/>
      <c r="U64"/>
    </row>
    <row r="65" spans="15:21" ht="15" x14ac:dyDescent="0.25">
      <c r="O65"/>
      <c r="P65"/>
      <c r="Q65"/>
      <c r="R65"/>
      <c r="S65"/>
      <c r="T65"/>
      <c r="U65"/>
    </row>
    <row r="66" spans="15:21" ht="15" x14ac:dyDescent="0.25">
      <c r="O66"/>
      <c r="P66"/>
      <c r="Q66"/>
      <c r="R66"/>
      <c r="S66"/>
      <c r="T66"/>
      <c r="U66"/>
    </row>
    <row r="67" spans="15:21" ht="15" x14ac:dyDescent="0.25">
      <c r="O67"/>
      <c r="P67"/>
      <c r="Q67"/>
      <c r="R67"/>
      <c r="S67"/>
      <c r="T67"/>
      <c r="U67"/>
    </row>
    <row r="68" spans="15:21" ht="15" x14ac:dyDescent="0.25">
      <c r="O68"/>
      <c r="P68"/>
      <c r="Q68"/>
      <c r="R68"/>
      <c r="S68"/>
      <c r="T68"/>
      <c r="U68"/>
    </row>
    <row r="69" spans="15:21" ht="15" x14ac:dyDescent="0.25">
      <c r="O69"/>
      <c r="P69"/>
      <c r="Q69"/>
      <c r="R69"/>
      <c r="S69"/>
      <c r="T69"/>
      <c r="U69"/>
    </row>
    <row r="70" spans="15:21" ht="15" x14ac:dyDescent="0.25">
      <c r="O70"/>
      <c r="P70"/>
      <c r="Q70"/>
      <c r="R70"/>
      <c r="S70"/>
      <c r="T70"/>
      <c r="U70"/>
    </row>
    <row r="71" spans="15:21" ht="15" x14ac:dyDescent="0.25">
      <c r="O71"/>
      <c r="P71"/>
      <c r="Q71"/>
      <c r="R71"/>
      <c r="S71"/>
      <c r="T71"/>
      <c r="U71"/>
    </row>
    <row r="72" spans="15:21" ht="15" x14ac:dyDescent="0.25">
      <c r="O72"/>
      <c r="P72"/>
      <c r="Q72"/>
      <c r="R72"/>
      <c r="S72"/>
      <c r="T72"/>
      <c r="U72"/>
    </row>
    <row r="73" spans="15:21" ht="15" x14ac:dyDescent="0.25">
      <c r="O73"/>
      <c r="P73"/>
      <c r="Q73"/>
      <c r="R73"/>
      <c r="S73"/>
      <c r="T73"/>
      <c r="U73"/>
    </row>
    <row r="74" spans="15:21" ht="15" x14ac:dyDescent="0.25">
      <c r="O74"/>
      <c r="P74"/>
      <c r="Q74"/>
      <c r="R74"/>
      <c r="S74"/>
      <c r="T74"/>
      <c r="U74"/>
    </row>
    <row r="75" spans="15:21" ht="15" x14ac:dyDescent="0.25">
      <c r="O75"/>
      <c r="P75"/>
      <c r="Q75"/>
      <c r="R75"/>
      <c r="S75"/>
      <c r="T75"/>
      <c r="U75"/>
    </row>
    <row r="76" spans="15:21" ht="15" x14ac:dyDescent="0.25">
      <c r="O76"/>
      <c r="P76"/>
      <c r="Q76"/>
      <c r="R76"/>
      <c r="S76"/>
      <c r="T76"/>
      <c r="U76"/>
    </row>
    <row r="77" spans="15:21" ht="15" x14ac:dyDescent="0.25">
      <c r="O77"/>
      <c r="P77"/>
      <c r="Q77"/>
      <c r="R77"/>
      <c r="S77"/>
      <c r="T77"/>
      <c r="U77"/>
    </row>
    <row r="78" spans="15:21" ht="15" x14ac:dyDescent="0.25">
      <c r="O78"/>
      <c r="P78"/>
      <c r="Q78"/>
      <c r="R78"/>
      <c r="S78"/>
      <c r="T78"/>
      <c r="U78"/>
    </row>
    <row r="79" spans="15:21" ht="15" x14ac:dyDescent="0.25">
      <c r="O79"/>
      <c r="P79"/>
      <c r="Q79"/>
      <c r="R79"/>
      <c r="S79"/>
      <c r="T79"/>
      <c r="U79"/>
    </row>
    <row r="80" spans="15:21" ht="15" x14ac:dyDescent="0.25">
      <c r="O80"/>
      <c r="P80"/>
      <c r="Q80"/>
      <c r="R80"/>
      <c r="S80"/>
      <c r="T80"/>
      <c r="U80"/>
    </row>
    <row r="81" spans="15:21" ht="15" x14ac:dyDescent="0.25">
      <c r="O81"/>
      <c r="P81"/>
      <c r="Q81"/>
      <c r="R81"/>
      <c r="S81"/>
      <c r="T81"/>
      <c r="U81"/>
    </row>
    <row r="82" spans="15:21" ht="15" x14ac:dyDescent="0.25">
      <c r="O82"/>
      <c r="P82"/>
      <c r="Q82"/>
      <c r="R82"/>
      <c r="S82"/>
      <c r="T82"/>
      <c r="U82"/>
    </row>
    <row r="83" spans="15:21" ht="15" x14ac:dyDescent="0.25">
      <c r="O83"/>
      <c r="P83"/>
      <c r="Q83"/>
      <c r="R83"/>
      <c r="S83"/>
      <c r="T83"/>
      <c r="U83"/>
    </row>
    <row r="84" spans="15:21" ht="15" x14ac:dyDescent="0.25">
      <c r="O84"/>
      <c r="P84"/>
      <c r="Q84"/>
      <c r="R84"/>
      <c r="S84"/>
      <c r="T84"/>
      <c r="U84"/>
    </row>
    <row r="85" spans="15:21" ht="15" x14ac:dyDescent="0.25">
      <c r="O85"/>
      <c r="P85"/>
      <c r="Q85"/>
      <c r="R85"/>
      <c r="S85"/>
      <c r="T85"/>
      <c r="U85"/>
    </row>
    <row r="86" spans="15:21" ht="15" x14ac:dyDescent="0.25">
      <c r="O86"/>
      <c r="P86"/>
      <c r="Q86"/>
      <c r="R86"/>
      <c r="S86"/>
      <c r="T86"/>
      <c r="U86"/>
    </row>
    <row r="87" spans="15:21" ht="15" x14ac:dyDescent="0.25">
      <c r="O87"/>
      <c r="P87"/>
      <c r="Q87"/>
      <c r="R87"/>
      <c r="S87"/>
      <c r="T87"/>
      <c r="U87"/>
    </row>
    <row r="88" spans="15:21" ht="15" x14ac:dyDescent="0.25">
      <c r="O88"/>
      <c r="P88"/>
      <c r="Q88"/>
      <c r="R88"/>
      <c r="S88"/>
      <c r="T88"/>
      <c r="U88"/>
    </row>
    <row r="89" spans="15:21" ht="15" x14ac:dyDescent="0.25">
      <c r="O89"/>
      <c r="P89"/>
      <c r="Q89"/>
      <c r="R89"/>
      <c r="S89"/>
      <c r="T89"/>
      <c r="U89"/>
    </row>
    <row r="90" spans="15:21" ht="15" x14ac:dyDescent="0.25">
      <c r="O90"/>
      <c r="P90"/>
      <c r="Q90"/>
      <c r="R90"/>
      <c r="S90"/>
      <c r="T90"/>
      <c r="U90"/>
    </row>
    <row r="91" spans="15:21" ht="15" x14ac:dyDescent="0.25">
      <c r="O91"/>
      <c r="P91"/>
      <c r="Q91"/>
      <c r="R91"/>
      <c r="S91"/>
      <c r="T91"/>
      <c r="U91"/>
    </row>
    <row r="92" spans="15:21" ht="15" x14ac:dyDescent="0.25">
      <c r="O92"/>
      <c r="P92"/>
      <c r="Q92"/>
      <c r="R92"/>
      <c r="S92"/>
      <c r="T92"/>
      <c r="U92"/>
    </row>
    <row r="93" spans="15:21" ht="15" x14ac:dyDescent="0.25">
      <c r="O93"/>
      <c r="P93"/>
      <c r="Q93"/>
      <c r="R93"/>
      <c r="S93"/>
      <c r="T93"/>
      <c r="U93"/>
    </row>
    <row r="94" spans="15:21" ht="15" x14ac:dyDescent="0.25">
      <c r="O94"/>
      <c r="P94"/>
      <c r="Q94"/>
      <c r="R94"/>
      <c r="S94"/>
      <c r="T94"/>
      <c r="U94"/>
    </row>
    <row r="95" spans="15:21" ht="15" x14ac:dyDescent="0.25">
      <c r="O95"/>
      <c r="P95"/>
      <c r="Q95"/>
      <c r="R95"/>
      <c r="S95"/>
      <c r="T95"/>
      <c r="U95"/>
    </row>
    <row r="96" spans="15:21" ht="15" x14ac:dyDescent="0.25">
      <c r="O96"/>
      <c r="P96"/>
      <c r="Q96"/>
      <c r="R96"/>
      <c r="S96"/>
      <c r="T96"/>
      <c r="U96"/>
    </row>
    <row r="97" spans="15:21" ht="15" x14ac:dyDescent="0.25">
      <c r="O97"/>
      <c r="P97"/>
      <c r="Q97"/>
      <c r="R97"/>
      <c r="S97"/>
      <c r="T97"/>
      <c r="U97"/>
    </row>
    <row r="98" spans="15:21" ht="15" x14ac:dyDescent="0.25">
      <c r="O98"/>
      <c r="P98"/>
      <c r="Q98"/>
      <c r="R98"/>
      <c r="S98"/>
      <c r="T98"/>
      <c r="U98"/>
    </row>
    <row r="99" spans="15:21" ht="15" x14ac:dyDescent="0.25">
      <c r="O99"/>
      <c r="P99"/>
      <c r="Q99"/>
      <c r="R99"/>
      <c r="S99"/>
      <c r="T99"/>
      <c r="U99"/>
    </row>
    <row r="100" spans="15:21" ht="15" x14ac:dyDescent="0.25">
      <c r="O100"/>
      <c r="P100"/>
      <c r="Q100"/>
      <c r="R100"/>
      <c r="S100"/>
      <c r="T100"/>
      <c r="U100"/>
    </row>
    <row r="101" spans="15:21" ht="15" x14ac:dyDescent="0.25">
      <c r="O101"/>
      <c r="P101"/>
      <c r="Q101"/>
      <c r="R101"/>
      <c r="S101"/>
      <c r="T101"/>
      <c r="U101"/>
    </row>
    <row r="102" spans="15:21" ht="15" x14ac:dyDescent="0.25">
      <c r="O102"/>
      <c r="P102"/>
      <c r="Q102"/>
      <c r="R102"/>
      <c r="S102"/>
      <c r="T102"/>
      <c r="U102"/>
    </row>
    <row r="103" spans="15:21" ht="15" x14ac:dyDescent="0.25">
      <c r="O103"/>
      <c r="P103"/>
      <c r="Q103"/>
      <c r="R103"/>
      <c r="S103"/>
      <c r="T103"/>
      <c r="U103"/>
    </row>
    <row r="104" spans="15:21" ht="15" x14ac:dyDescent="0.25">
      <c r="O104"/>
      <c r="P104"/>
      <c r="Q104"/>
      <c r="R104"/>
      <c r="S104"/>
      <c r="T104"/>
      <c r="U104"/>
    </row>
    <row r="105" spans="15:21" ht="15" x14ac:dyDescent="0.25">
      <c r="O105"/>
      <c r="P105"/>
      <c r="Q105"/>
      <c r="R105"/>
      <c r="S105"/>
      <c r="T105"/>
      <c r="U105"/>
    </row>
    <row r="106" spans="15:21" ht="15" x14ac:dyDescent="0.25">
      <c r="O106"/>
      <c r="P106"/>
      <c r="Q106"/>
      <c r="R106"/>
      <c r="S106"/>
      <c r="T106"/>
      <c r="U106"/>
    </row>
    <row r="107" spans="15:21" ht="15" x14ac:dyDescent="0.25">
      <c r="O107"/>
      <c r="P107"/>
      <c r="Q107"/>
      <c r="R107"/>
      <c r="S107"/>
      <c r="T107"/>
      <c r="U107"/>
    </row>
    <row r="108" spans="15:21" ht="15" x14ac:dyDescent="0.25">
      <c r="O108"/>
      <c r="P108"/>
      <c r="Q108"/>
      <c r="R108"/>
      <c r="S108"/>
      <c r="T108"/>
      <c r="U108"/>
    </row>
    <row r="109" spans="15:21" ht="15" x14ac:dyDescent="0.25">
      <c r="O109"/>
      <c r="P109"/>
      <c r="Q109"/>
      <c r="R109"/>
      <c r="S109"/>
      <c r="T109"/>
      <c r="U109"/>
    </row>
    <row r="110" spans="15:21" ht="15" x14ac:dyDescent="0.25">
      <c r="O110"/>
      <c r="P110"/>
      <c r="Q110"/>
      <c r="R110"/>
      <c r="S110"/>
      <c r="T110"/>
      <c r="U110"/>
    </row>
    <row r="111" spans="15:21" ht="15" x14ac:dyDescent="0.25">
      <c r="O111"/>
      <c r="P111"/>
      <c r="Q111"/>
      <c r="R111"/>
      <c r="S111"/>
      <c r="T111"/>
      <c r="U111"/>
    </row>
    <row r="112" spans="15:21" ht="15" x14ac:dyDescent="0.25">
      <c r="O112"/>
      <c r="P112"/>
      <c r="Q112"/>
      <c r="R112"/>
      <c r="S112"/>
      <c r="T112"/>
      <c r="U112"/>
    </row>
    <row r="113" spans="15:21" ht="15" x14ac:dyDescent="0.25">
      <c r="O113"/>
      <c r="P113"/>
      <c r="Q113"/>
      <c r="R113"/>
      <c r="S113"/>
      <c r="T113"/>
      <c r="U113"/>
    </row>
    <row r="114" spans="15:21" ht="15" x14ac:dyDescent="0.25">
      <c r="O114"/>
      <c r="P114"/>
      <c r="Q114"/>
      <c r="R114"/>
      <c r="S114"/>
      <c r="T114"/>
      <c r="U114"/>
    </row>
    <row r="115" spans="15:21" ht="15" x14ac:dyDescent="0.25">
      <c r="O115"/>
      <c r="P115"/>
      <c r="Q115"/>
      <c r="R115"/>
      <c r="S115"/>
      <c r="T115"/>
      <c r="U115"/>
    </row>
    <row r="116" spans="15:21" ht="15" x14ac:dyDescent="0.25">
      <c r="O116"/>
      <c r="P116"/>
      <c r="Q116"/>
      <c r="R116"/>
      <c r="S116"/>
      <c r="T116"/>
      <c r="U116"/>
    </row>
    <row r="117" spans="15:21" ht="15" x14ac:dyDescent="0.25">
      <c r="O117"/>
      <c r="P117"/>
      <c r="Q117"/>
      <c r="R117"/>
      <c r="S117"/>
      <c r="T117"/>
      <c r="U117"/>
    </row>
    <row r="118" spans="15:21" ht="15" x14ac:dyDescent="0.25">
      <c r="O118"/>
      <c r="P118"/>
      <c r="Q118"/>
      <c r="R118"/>
      <c r="S118"/>
      <c r="T118"/>
      <c r="U118"/>
    </row>
    <row r="119" spans="15:21" ht="15" x14ac:dyDescent="0.25">
      <c r="O119"/>
      <c r="P119"/>
      <c r="Q119"/>
      <c r="R119"/>
      <c r="S119"/>
      <c r="T119"/>
      <c r="U119"/>
    </row>
    <row r="120" spans="15:21" ht="15" x14ac:dyDescent="0.25">
      <c r="O120"/>
      <c r="P120"/>
      <c r="Q120"/>
      <c r="R120"/>
      <c r="S120"/>
      <c r="T120"/>
      <c r="U120"/>
    </row>
    <row r="121" spans="15:21" ht="15" x14ac:dyDescent="0.25">
      <c r="O121"/>
      <c r="P121"/>
      <c r="Q121"/>
      <c r="R121"/>
      <c r="S121"/>
      <c r="T121"/>
      <c r="U121"/>
    </row>
    <row r="122" spans="15:21" ht="15" x14ac:dyDescent="0.25">
      <c r="O122"/>
      <c r="P122"/>
      <c r="Q122"/>
      <c r="R122"/>
      <c r="S122"/>
      <c r="T122"/>
      <c r="U122"/>
    </row>
    <row r="123" spans="15:21" ht="15" x14ac:dyDescent="0.25">
      <c r="O123"/>
      <c r="P123"/>
      <c r="Q123"/>
      <c r="R123"/>
      <c r="S123"/>
      <c r="T123"/>
      <c r="U123"/>
    </row>
    <row r="124" spans="15:21" ht="15" x14ac:dyDescent="0.25">
      <c r="O124"/>
      <c r="P124"/>
      <c r="Q124"/>
      <c r="R124"/>
      <c r="S124"/>
      <c r="T124"/>
      <c r="U124"/>
    </row>
    <row r="125" spans="15:21" ht="15" x14ac:dyDescent="0.25">
      <c r="O125"/>
      <c r="P125"/>
      <c r="Q125"/>
      <c r="R125"/>
      <c r="S125"/>
      <c r="T125"/>
      <c r="U125"/>
    </row>
    <row r="126" spans="15:21" ht="15" x14ac:dyDescent="0.25">
      <c r="O126"/>
      <c r="P126"/>
      <c r="Q126"/>
      <c r="R126"/>
      <c r="S126"/>
      <c r="T126"/>
      <c r="U126"/>
    </row>
    <row r="127" spans="15:21" ht="15" x14ac:dyDescent="0.25">
      <c r="O127"/>
      <c r="P127"/>
      <c r="Q127"/>
      <c r="R127"/>
      <c r="S127"/>
      <c r="T127"/>
      <c r="U127"/>
    </row>
    <row r="128" spans="15:21" ht="15" x14ac:dyDescent="0.25">
      <c r="O128"/>
      <c r="P128"/>
      <c r="Q128"/>
      <c r="R128"/>
      <c r="S128"/>
      <c r="T128"/>
      <c r="U128"/>
    </row>
    <row r="129" spans="15:21" ht="15" x14ac:dyDescent="0.25">
      <c r="O129"/>
      <c r="P129"/>
      <c r="Q129"/>
      <c r="R129"/>
      <c r="S129"/>
      <c r="T129"/>
      <c r="U129"/>
    </row>
    <row r="130" spans="15:21" ht="15" x14ac:dyDescent="0.25">
      <c r="O130"/>
      <c r="P130"/>
      <c r="Q130"/>
      <c r="R130"/>
      <c r="S130"/>
      <c r="T130"/>
      <c r="U130"/>
    </row>
    <row r="131" spans="15:21" ht="15" x14ac:dyDescent="0.25">
      <c r="O131"/>
      <c r="P131"/>
      <c r="Q131"/>
      <c r="R131"/>
      <c r="S131"/>
      <c r="T131"/>
      <c r="U131"/>
    </row>
    <row r="132" spans="15:21" ht="15" x14ac:dyDescent="0.25">
      <c r="O132"/>
      <c r="P132"/>
      <c r="Q132"/>
      <c r="R132"/>
      <c r="S132"/>
      <c r="T132"/>
      <c r="U132"/>
    </row>
    <row r="133" spans="15:21" ht="15" x14ac:dyDescent="0.25">
      <c r="O133"/>
      <c r="P133"/>
      <c r="Q133"/>
      <c r="R133"/>
      <c r="S133"/>
      <c r="T133"/>
      <c r="U133"/>
    </row>
    <row r="134" spans="15:21" ht="15" x14ac:dyDescent="0.25">
      <c r="O134"/>
      <c r="P134"/>
      <c r="Q134"/>
      <c r="R134"/>
      <c r="S134"/>
      <c r="T134"/>
      <c r="U134"/>
    </row>
    <row r="135" spans="15:21" ht="15" x14ac:dyDescent="0.25">
      <c r="O135"/>
      <c r="P135"/>
      <c r="Q135"/>
      <c r="R135"/>
      <c r="S135"/>
      <c r="T135"/>
      <c r="U135"/>
    </row>
    <row r="136" spans="15:21" ht="15" x14ac:dyDescent="0.25">
      <c r="O136"/>
      <c r="P136"/>
      <c r="Q136"/>
      <c r="R136"/>
      <c r="S136"/>
      <c r="T136"/>
      <c r="U136"/>
    </row>
    <row r="137" spans="15:21" ht="15" x14ac:dyDescent="0.25">
      <c r="O137"/>
      <c r="P137"/>
      <c r="Q137"/>
      <c r="R137"/>
      <c r="S137"/>
      <c r="T137"/>
      <c r="U137"/>
    </row>
    <row r="138" spans="15:21" ht="15" x14ac:dyDescent="0.25">
      <c r="O138"/>
      <c r="P138"/>
      <c r="Q138"/>
      <c r="R138"/>
      <c r="S138"/>
      <c r="T138"/>
      <c r="U138"/>
    </row>
    <row r="139" spans="15:21" ht="15" x14ac:dyDescent="0.25">
      <c r="O139"/>
      <c r="P139"/>
      <c r="Q139"/>
      <c r="R139"/>
      <c r="S139"/>
      <c r="T139"/>
      <c r="U139"/>
    </row>
    <row r="140" spans="15:21" ht="15" x14ac:dyDescent="0.25">
      <c r="O140"/>
      <c r="P140"/>
      <c r="Q140"/>
      <c r="R140"/>
      <c r="S140"/>
      <c r="T140"/>
      <c r="U140"/>
    </row>
    <row r="141" spans="15:21" ht="15" x14ac:dyDescent="0.25">
      <c r="O141"/>
      <c r="P141"/>
      <c r="Q141"/>
      <c r="R141"/>
      <c r="S141"/>
      <c r="T141"/>
      <c r="U141"/>
    </row>
    <row r="142" spans="15:21" ht="15" x14ac:dyDescent="0.25">
      <c r="O142"/>
      <c r="P142"/>
      <c r="Q142"/>
      <c r="R142"/>
      <c r="S142"/>
      <c r="T142"/>
      <c r="U142"/>
    </row>
    <row r="143" spans="15:21" ht="15" x14ac:dyDescent="0.25">
      <c r="O143"/>
      <c r="P143"/>
      <c r="Q143"/>
      <c r="R143"/>
      <c r="S143"/>
      <c r="T143"/>
      <c r="U143"/>
    </row>
    <row r="144" spans="15:21" ht="15" x14ac:dyDescent="0.25">
      <c r="O144"/>
      <c r="P144"/>
      <c r="Q144"/>
      <c r="R144"/>
      <c r="S144"/>
      <c r="T144"/>
      <c r="U144"/>
    </row>
    <row r="145" spans="15:21" ht="15" x14ac:dyDescent="0.25">
      <c r="O145"/>
      <c r="P145"/>
      <c r="Q145"/>
      <c r="R145"/>
      <c r="S145"/>
      <c r="T145"/>
      <c r="U145"/>
    </row>
    <row r="146" spans="15:21" ht="15" x14ac:dyDescent="0.25">
      <c r="O146"/>
      <c r="P146"/>
      <c r="Q146"/>
      <c r="R146"/>
      <c r="S146"/>
      <c r="T146"/>
      <c r="U146"/>
    </row>
    <row r="147" spans="15:21" ht="15" x14ac:dyDescent="0.25">
      <c r="O147"/>
      <c r="P147"/>
      <c r="Q147"/>
      <c r="R147"/>
      <c r="S147"/>
      <c r="T147"/>
      <c r="U147"/>
    </row>
    <row r="148" spans="15:21" ht="15" x14ac:dyDescent="0.25">
      <c r="O148"/>
      <c r="P148"/>
      <c r="Q148"/>
      <c r="R148"/>
      <c r="S148"/>
      <c r="T148"/>
      <c r="U148"/>
    </row>
    <row r="149" spans="15:21" ht="15" x14ac:dyDescent="0.25">
      <c r="O149"/>
      <c r="P149"/>
      <c r="Q149"/>
      <c r="R149"/>
      <c r="S149"/>
      <c r="T149"/>
      <c r="U149"/>
    </row>
    <row r="150" spans="15:21" ht="15" x14ac:dyDescent="0.25">
      <c r="O150"/>
      <c r="P150"/>
      <c r="Q150"/>
      <c r="R150"/>
      <c r="S150"/>
      <c r="T150"/>
      <c r="U150"/>
    </row>
    <row r="151" spans="15:21" ht="15" x14ac:dyDescent="0.25">
      <c r="O151"/>
      <c r="P151"/>
      <c r="Q151"/>
      <c r="R151"/>
      <c r="S151"/>
      <c r="T151"/>
      <c r="U151"/>
    </row>
    <row r="152" spans="15:21" ht="15" x14ac:dyDescent="0.25">
      <c r="O152"/>
      <c r="P152"/>
      <c r="Q152"/>
      <c r="R152"/>
      <c r="S152"/>
      <c r="T152"/>
      <c r="U152"/>
    </row>
    <row r="153" spans="15:21" ht="15" x14ac:dyDescent="0.25">
      <c r="O153"/>
      <c r="P153"/>
      <c r="Q153"/>
      <c r="R153"/>
      <c r="S153"/>
      <c r="T153"/>
      <c r="U153"/>
    </row>
    <row r="154" spans="15:21" ht="15" x14ac:dyDescent="0.25">
      <c r="O154"/>
      <c r="P154"/>
      <c r="Q154"/>
      <c r="R154"/>
      <c r="S154"/>
      <c r="T154"/>
      <c r="U154"/>
    </row>
    <row r="155" spans="15:21" ht="15" x14ac:dyDescent="0.25">
      <c r="O155"/>
      <c r="P155"/>
      <c r="Q155"/>
      <c r="R155"/>
      <c r="S155"/>
      <c r="T155"/>
      <c r="U155"/>
    </row>
    <row r="156" spans="15:21" ht="15" x14ac:dyDescent="0.25">
      <c r="O156"/>
      <c r="P156"/>
      <c r="Q156"/>
      <c r="R156"/>
      <c r="S156"/>
      <c r="T156"/>
      <c r="U156"/>
    </row>
    <row r="157" spans="15:21" ht="15" x14ac:dyDescent="0.25">
      <c r="O157"/>
      <c r="P157"/>
      <c r="Q157"/>
      <c r="R157"/>
      <c r="S157"/>
      <c r="T157"/>
      <c r="U157"/>
    </row>
    <row r="158" spans="15:21" ht="15" x14ac:dyDescent="0.25">
      <c r="O158"/>
      <c r="P158"/>
      <c r="Q158"/>
      <c r="R158"/>
      <c r="S158"/>
      <c r="T158"/>
      <c r="U158"/>
    </row>
    <row r="159" spans="15:21" ht="15" x14ac:dyDescent="0.25">
      <c r="O159"/>
      <c r="P159"/>
      <c r="Q159"/>
      <c r="R159"/>
      <c r="S159"/>
      <c r="T159"/>
      <c r="U159"/>
    </row>
    <row r="160" spans="15:21" ht="15" x14ac:dyDescent="0.25">
      <c r="O160"/>
      <c r="P160"/>
      <c r="Q160"/>
      <c r="R160"/>
      <c r="S160"/>
      <c r="T160"/>
      <c r="U160"/>
    </row>
    <row r="161" spans="15:21" ht="15" x14ac:dyDescent="0.25">
      <c r="O161"/>
      <c r="P161"/>
      <c r="Q161"/>
      <c r="R161"/>
      <c r="S161"/>
      <c r="T161"/>
      <c r="U161"/>
    </row>
    <row r="162" spans="15:21" ht="15" x14ac:dyDescent="0.25">
      <c r="O162"/>
      <c r="P162"/>
      <c r="Q162"/>
      <c r="R162"/>
      <c r="S162"/>
      <c r="T162"/>
      <c r="U162"/>
    </row>
    <row r="163" spans="15:21" ht="15" x14ac:dyDescent="0.25">
      <c r="O163"/>
      <c r="P163"/>
      <c r="Q163"/>
      <c r="R163"/>
      <c r="S163"/>
      <c r="T163"/>
      <c r="U163"/>
    </row>
    <row r="164" spans="15:21" ht="15" x14ac:dyDescent="0.25">
      <c r="O164"/>
      <c r="P164"/>
      <c r="Q164"/>
      <c r="R164"/>
      <c r="S164"/>
      <c r="T164"/>
      <c r="U164"/>
    </row>
    <row r="165" spans="15:21" ht="15" x14ac:dyDescent="0.25">
      <c r="O165"/>
      <c r="P165"/>
      <c r="Q165"/>
      <c r="R165"/>
      <c r="S165"/>
      <c r="T165"/>
      <c r="U165"/>
    </row>
    <row r="166" spans="15:21" ht="15" x14ac:dyDescent="0.25">
      <c r="O166"/>
      <c r="P166"/>
      <c r="Q166"/>
      <c r="R166"/>
      <c r="S166"/>
      <c r="T166"/>
      <c r="U166"/>
    </row>
    <row r="167" spans="15:21" ht="15" x14ac:dyDescent="0.25">
      <c r="O167"/>
      <c r="P167"/>
      <c r="Q167"/>
      <c r="R167"/>
      <c r="S167"/>
      <c r="T167"/>
      <c r="U167"/>
    </row>
    <row r="168" spans="15:21" ht="15" x14ac:dyDescent="0.25">
      <c r="O168"/>
      <c r="P168"/>
      <c r="Q168"/>
      <c r="R168"/>
      <c r="S168"/>
      <c r="T168"/>
      <c r="U168"/>
    </row>
    <row r="169" spans="15:21" ht="15" x14ac:dyDescent="0.25">
      <c r="O169"/>
      <c r="P169"/>
      <c r="Q169"/>
      <c r="R169"/>
      <c r="S169"/>
      <c r="T169"/>
      <c r="U169"/>
    </row>
    <row r="170" spans="15:21" ht="15" x14ac:dyDescent="0.25">
      <c r="O170"/>
      <c r="P170"/>
      <c r="Q170"/>
      <c r="R170"/>
      <c r="S170"/>
      <c r="T170"/>
      <c r="U170"/>
    </row>
    <row r="171" spans="15:21" ht="15" x14ac:dyDescent="0.25">
      <c r="O171"/>
      <c r="P171"/>
      <c r="Q171"/>
      <c r="R171"/>
      <c r="S171"/>
      <c r="T171"/>
      <c r="U171"/>
    </row>
    <row r="172" spans="15:21" ht="15" x14ac:dyDescent="0.25">
      <c r="O172"/>
      <c r="P172"/>
      <c r="Q172"/>
      <c r="R172"/>
      <c r="S172"/>
      <c r="T172"/>
      <c r="U172"/>
    </row>
    <row r="173" spans="15:21" ht="15" x14ac:dyDescent="0.25">
      <c r="O173"/>
      <c r="P173"/>
      <c r="Q173"/>
      <c r="R173"/>
      <c r="S173"/>
      <c r="T173"/>
      <c r="U173"/>
    </row>
    <row r="174" spans="15:21" ht="15" x14ac:dyDescent="0.25">
      <c r="O174"/>
      <c r="P174"/>
      <c r="Q174"/>
      <c r="R174"/>
      <c r="S174"/>
      <c r="T174"/>
      <c r="U174"/>
    </row>
    <row r="175" spans="15:21" ht="15" x14ac:dyDescent="0.25">
      <c r="O175"/>
      <c r="P175"/>
      <c r="Q175"/>
      <c r="R175"/>
      <c r="S175"/>
      <c r="T175"/>
      <c r="U175"/>
    </row>
    <row r="176" spans="15:21" ht="15" x14ac:dyDescent="0.25">
      <c r="O176"/>
      <c r="P176"/>
      <c r="Q176"/>
      <c r="R176"/>
      <c r="S176"/>
      <c r="T176"/>
      <c r="U176"/>
    </row>
    <row r="177" spans="15:21" ht="15" x14ac:dyDescent="0.25">
      <c r="O177"/>
      <c r="P177"/>
      <c r="Q177"/>
      <c r="R177"/>
      <c r="S177"/>
      <c r="T177"/>
      <c r="U177"/>
    </row>
    <row r="178" spans="15:21" ht="15" x14ac:dyDescent="0.25">
      <c r="O178"/>
      <c r="P178"/>
      <c r="Q178"/>
      <c r="R178"/>
      <c r="S178"/>
      <c r="T178"/>
      <c r="U178"/>
    </row>
    <row r="179" spans="15:21" ht="15" x14ac:dyDescent="0.25">
      <c r="O179"/>
      <c r="P179"/>
      <c r="Q179"/>
      <c r="R179"/>
      <c r="S179"/>
      <c r="T179"/>
      <c r="U179"/>
    </row>
    <row r="180" spans="15:21" ht="15" x14ac:dyDescent="0.25">
      <c r="O180"/>
      <c r="P180"/>
      <c r="Q180"/>
      <c r="R180"/>
      <c r="S180"/>
      <c r="T180"/>
      <c r="U180"/>
    </row>
    <row r="181" spans="15:21" ht="15" x14ac:dyDescent="0.25">
      <c r="O181"/>
      <c r="P181"/>
      <c r="Q181"/>
      <c r="R181"/>
      <c r="S181"/>
      <c r="T181"/>
      <c r="U181"/>
    </row>
    <row r="182" spans="15:21" ht="15" x14ac:dyDescent="0.25">
      <c r="O182"/>
      <c r="P182"/>
      <c r="Q182"/>
      <c r="R182"/>
      <c r="S182"/>
      <c r="T182"/>
      <c r="U182"/>
    </row>
    <row r="183" spans="15:21" ht="15" x14ac:dyDescent="0.25">
      <c r="O183"/>
      <c r="P183"/>
      <c r="Q183"/>
      <c r="R183"/>
      <c r="S183"/>
      <c r="T183"/>
      <c r="U183"/>
    </row>
    <row r="184" spans="15:21" ht="15" x14ac:dyDescent="0.25">
      <c r="O184"/>
      <c r="P184"/>
      <c r="Q184"/>
      <c r="R184"/>
      <c r="S184"/>
      <c r="T184"/>
      <c r="U184"/>
    </row>
    <row r="185" spans="15:21" ht="15" x14ac:dyDescent="0.25">
      <c r="O185"/>
      <c r="P185"/>
      <c r="Q185"/>
      <c r="R185"/>
      <c r="S185"/>
      <c r="T185"/>
      <c r="U185"/>
    </row>
    <row r="186" spans="15:21" ht="15" x14ac:dyDescent="0.25">
      <c r="O186"/>
      <c r="P186"/>
      <c r="Q186"/>
      <c r="R186"/>
      <c r="S186"/>
      <c r="T186"/>
      <c r="U186"/>
    </row>
    <row r="187" spans="15:21" ht="15" x14ac:dyDescent="0.25">
      <c r="O187"/>
      <c r="P187"/>
      <c r="Q187"/>
      <c r="R187"/>
      <c r="S187"/>
      <c r="T187"/>
      <c r="U187"/>
    </row>
    <row r="188" spans="15:21" ht="15" x14ac:dyDescent="0.25">
      <c r="O188"/>
      <c r="P188"/>
      <c r="Q188"/>
      <c r="R188"/>
      <c r="S188"/>
      <c r="T188"/>
      <c r="U188"/>
    </row>
    <row r="189" spans="15:21" ht="15" x14ac:dyDescent="0.25">
      <c r="O189"/>
      <c r="P189"/>
      <c r="Q189"/>
      <c r="R189"/>
      <c r="S189"/>
      <c r="T189"/>
      <c r="U189"/>
    </row>
    <row r="190" spans="15:21" ht="15" x14ac:dyDescent="0.25">
      <c r="O190"/>
      <c r="P190"/>
      <c r="Q190"/>
      <c r="R190"/>
      <c r="S190"/>
      <c r="T190"/>
      <c r="U190"/>
    </row>
    <row r="191" spans="15:21" ht="15" x14ac:dyDescent="0.25">
      <c r="O191"/>
      <c r="P191"/>
      <c r="Q191"/>
      <c r="R191"/>
      <c r="S191"/>
      <c r="T191"/>
      <c r="U191"/>
    </row>
    <row r="192" spans="15:21" ht="15" x14ac:dyDescent="0.25">
      <c r="O192"/>
      <c r="P192"/>
      <c r="Q192"/>
      <c r="R192"/>
      <c r="S192"/>
      <c r="T192"/>
      <c r="U192"/>
    </row>
    <row r="193" spans="15:21" ht="15" x14ac:dyDescent="0.25">
      <c r="O193"/>
      <c r="P193"/>
      <c r="Q193"/>
      <c r="R193"/>
      <c r="S193"/>
      <c r="T193"/>
      <c r="U193"/>
    </row>
    <row r="194" spans="15:21" ht="15" x14ac:dyDescent="0.25">
      <c r="O194"/>
      <c r="P194"/>
      <c r="Q194"/>
      <c r="R194"/>
      <c r="S194"/>
      <c r="T194"/>
      <c r="U194"/>
    </row>
    <row r="195" spans="15:21" ht="15" x14ac:dyDescent="0.25">
      <c r="O195"/>
      <c r="P195"/>
      <c r="Q195"/>
      <c r="R195"/>
      <c r="S195"/>
      <c r="T195"/>
      <c r="U195"/>
    </row>
    <row r="196" spans="15:21" ht="15" x14ac:dyDescent="0.25">
      <c r="O196"/>
      <c r="P196"/>
      <c r="Q196"/>
      <c r="R196"/>
      <c r="S196"/>
      <c r="T196"/>
      <c r="U196"/>
    </row>
    <row r="197" spans="15:21" ht="15" x14ac:dyDescent="0.25">
      <c r="O197"/>
      <c r="P197"/>
      <c r="Q197"/>
      <c r="R197"/>
      <c r="S197"/>
      <c r="T197"/>
      <c r="U197"/>
    </row>
    <row r="198" spans="15:21" ht="15" x14ac:dyDescent="0.25">
      <c r="O198"/>
      <c r="P198"/>
      <c r="Q198"/>
      <c r="R198"/>
      <c r="S198"/>
      <c r="T198"/>
      <c r="U198"/>
    </row>
    <row r="199" spans="15:21" ht="15" x14ac:dyDescent="0.25">
      <c r="O199"/>
      <c r="P199"/>
      <c r="Q199"/>
      <c r="R199"/>
      <c r="S199"/>
      <c r="T199"/>
      <c r="U199"/>
    </row>
    <row r="200" spans="15:21" ht="15" x14ac:dyDescent="0.25">
      <c r="O200"/>
      <c r="P200"/>
      <c r="Q200"/>
      <c r="R200"/>
      <c r="S200"/>
      <c r="T200"/>
      <c r="U200"/>
    </row>
    <row r="201" spans="15:21" ht="15" x14ac:dyDescent="0.25">
      <c r="O201"/>
      <c r="P201"/>
      <c r="Q201"/>
      <c r="R201"/>
      <c r="S201"/>
      <c r="T201"/>
      <c r="U201"/>
    </row>
    <row r="202" spans="15:21" ht="15" x14ac:dyDescent="0.25">
      <c r="O202"/>
      <c r="P202"/>
      <c r="Q202"/>
      <c r="R202"/>
      <c r="S202"/>
      <c r="T202"/>
      <c r="U202"/>
    </row>
    <row r="203" spans="15:21" ht="15" x14ac:dyDescent="0.25">
      <c r="O203"/>
      <c r="P203"/>
      <c r="Q203"/>
      <c r="R203"/>
      <c r="S203"/>
      <c r="T203"/>
      <c r="U203"/>
    </row>
    <row r="204" spans="15:21" ht="15" x14ac:dyDescent="0.25">
      <c r="O204"/>
      <c r="P204"/>
      <c r="Q204"/>
      <c r="R204"/>
      <c r="S204"/>
      <c r="T204"/>
      <c r="U204"/>
    </row>
    <row r="205" spans="15:21" ht="15" x14ac:dyDescent="0.25">
      <c r="O205"/>
      <c r="P205"/>
      <c r="Q205"/>
      <c r="R205"/>
      <c r="S205"/>
      <c r="T205"/>
      <c r="U205"/>
    </row>
    <row r="206" spans="15:21" ht="15" x14ac:dyDescent="0.25">
      <c r="O206"/>
      <c r="P206"/>
      <c r="Q206"/>
      <c r="R206"/>
      <c r="S206"/>
      <c r="T206"/>
      <c r="U206"/>
    </row>
    <row r="207" spans="15:21" ht="15" x14ac:dyDescent="0.25">
      <c r="O207"/>
      <c r="P207"/>
      <c r="Q207"/>
      <c r="R207"/>
      <c r="S207"/>
      <c r="T207"/>
      <c r="U207"/>
    </row>
    <row r="208" spans="15:21" ht="15" x14ac:dyDescent="0.25">
      <c r="O208"/>
      <c r="P208"/>
      <c r="Q208"/>
      <c r="R208"/>
      <c r="S208"/>
      <c r="T208"/>
      <c r="U208"/>
    </row>
    <row r="209" spans="15:21" ht="15" x14ac:dyDescent="0.25">
      <c r="O209"/>
      <c r="P209"/>
      <c r="Q209"/>
      <c r="R209"/>
      <c r="S209"/>
      <c r="T209"/>
      <c r="U209"/>
    </row>
    <row r="210" spans="15:21" ht="15" x14ac:dyDescent="0.25">
      <c r="O210"/>
      <c r="P210"/>
      <c r="Q210"/>
      <c r="R210"/>
      <c r="S210"/>
      <c r="T210"/>
      <c r="U210"/>
    </row>
    <row r="211" spans="15:21" ht="15" x14ac:dyDescent="0.25">
      <c r="O211"/>
      <c r="P211"/>
      <c r="Q211"/>
      <c r="R211"/>
      <c r="S211"/>
      <c r="T211"/>
      <c r="U211"/>
    </row>
    <row r="212" spans="15:21" ht="15" x14ac:dyDescent="0.25">
      <c r="O212"/>
      <c r="P212"/>
      <c r="Q212"/>
      <c r="R212"/>
      <c r="S212"/>
      <c r="T212"/>
      <c r="U212"/>
    </row>
    <row r="213" spans="15:21" ht="15" x14ac:dyDescent="0.25">
      <c r="O213"/>
      <c r="P213"/>
      <c r="Q213"/>
      <c r="R213"/>
      <c r="S213"/>
      <c r="T213"/>
      <c r="U213"/>
    </row>
    <row r="214" spans="15:21" ht="15" x14ac:dyDescent="0.25">
      <c r="O214"/>
      <c r="P214"/>
      <c r="Q214"/>
      <c r="R214"/>
      <c r="S214"/>
      <c r="T214"/>
      <c r="U214"/>
    </row>
    <row r="215" spans="15:21" ht="15" x14ac:dyDescent="0.25">
      <c r="O215"/>
      <c r="P215"/>
      <c r="Q215"/>
      <c r="R215"/>
      <c r="S215"/>
      <c r="T215"/>
      <c r="U215"/>
    </row>
    <row r="216" spans="15:21" ht="15" x14ac:dyDescent="0.25">
      <c r="O216"/>
      <c r="P216"/>
      <c r="Q216"/>
      <c r="R216"/>
      <c r="S216"/>
      <c r="T216"/>
      <c r="U216"/>
    </row>
    <row r="217" spans="15:21" ht="15" x14ac:dyDescent="0.25">
      <c r="O217"/>
      <c r="P217"/>
      <c r="Q217"/>
      <c r="R217"/>
      <c r="S217"/>
      <c r="T217"/>
      <c r="U217"/>
    </row>
    <row r="218" spans="15:21" ht="15" x14ac:dyDescent="0.25">
      <c r="O218"/>
      <c r="P218"/>
      <c r="Q218"/>
      <c r="R218"/>
      <c r="S218"/>
      <c r="T218"/>
      <c r="U218"/>
    </row>
    <row r="219" spans="15:21" ht="15" x14ac:dyDescent="0.25">
      <c r="O219"/>
      <c r="P219"/>
      <c r="Q219"/>
      <c r="R219"/>
      <c r="S219"/>
      <c r="T219"/>
      <c r="U219"/>
    </row>
    <row r="220" spans="15:21" ht="15" x14ac:dyDescent="0.25">
      <c r="O220"/>
      <c r="P220"/>
      <c r="Q220"/>
      <c r="R220"/>
      <c r="S220"/>
      <c r="T220"/>
      <c r="U220"/>
    </row>
    <row r="221" spans="15:21" ht="15" x14ac:dyDescent="0.25">
      <c r="O221"/>
      <c r="P221"/>
      <c r="Q221"/>
      <c r="R221"/>
      <c r="S221"/>
      <c r="T221"/>
      <c r="U221"/>
    </row>
    <row r="222" spans="15:21" ht="15" x14ac:dyDescent="0.25">
      <c r="O222"/>
      <c r="P222"/>
      <c r="Q222"/>
      <c r="R222"/>
      <c r="S222"/>
      <c r="T222"/>
      <c r="U222"/>
    </row>
    <row r="223" spans="15:21" ht="15" x14ac:dyDescent="0.25">
      <c r="O223"/>
      <c r="P223"/>
      <c r="Q223"/>
      <c r="R223"/>
      <c r="S223"/>
      <c r="T223"/>
      <c r="U223"/>
    </row>
    <row r="224" spans="15:21" ht="15" x14ac:dyDescent="0.25">
      <c r="O224"/>
      <c r="P224"/>
      <c r="Q224"/>
      <c r="R224"/>
      <c r="S224"/>
      <c r="T224"/>
      <c r="U224"/>
    </row>
    <row r="225" spans="15:21" ht="15" x14ac:dyDescent="0.25">
      <c r="O225"/>
      <c r="P225"/>
      <c r="Q225"/>
      <c r="R225"/>
      <c r="S225"/>
      <c r="T225"/>
      <c r="U225"/>
    </row>
    <row r="226" spans="15:21" ht="15" x14ac:dyDescent="0.25">
      <c r="O226"/>
      <c r="P226"/>
      <c r="Q226"/>
      <c r="R226"/>
      <c r="S226"/>
      <c r="T226"/>
      <c r="U226"/>
    </row>
    <row r="227" spans="15:21" ht="15" x14ac:dyDescent="0.25">
      <c r="O227"/>
      <c r="P227"/>
      <c r="Q227"/>
      <c r="R227"/>
      <c r="S227"/>
      <c r="T227"/>
      <c r="U227"/>
    </row>
    <row r="228" spans="15:21" ht="15" x14ac:dyDescent="0.25">
      <c r="O228"/>
      <c r="P228"/>
      <c r="Q228"/>
      <c r="R228"/>
      <c r="S228"/>
      <c r="T228"/>
      <c r="U228"/>
    </row>
    <row r="229" spans="15:21" ht="15" x14ac:dyDescent="0.25">
      <c r="O229"/>
      <c r="P229"/>
      <c r="Q229"/>
      <c r="R229"/>
      <c r="S229"/>
      <c r="T229"/>
      <c r="U229"/>
    </row>
    <row r="230" spans="15:21" ht="15" x14ac:dyDescent="0.25">
      <c r="O230"/>
      <c r="P230"/>
      <c r="Q230"/>
      <c r="R230"/>
      <c r="S230"/>
      <c r="T230"/>
      <c r="U230"/>
    </row>
    <row r="231" spans="15:21" ht="15" x14ac:dyDescent="0.25">
      <c r="O231"/>
      <c r="P231"/>
      <c r="Q231"/>
      <c r="R231"/>
      <c r="S231"/>
      <c r="T231"/>
      <c r="U231"/>
    </row>
    <row r="232" spans="15:21" ht="15" x14ac:dyDescent="0.25">
      <c r="O232"/>
      <c r="P232"/>
      <c r="Q232"/>
      <c r="R232"/>
      <c r="S232"/>
      <c r="T232"/>
      <c r="U232"/>
    </row>
    <row r="233" spans="15:21" ht="15" x14ac:dyDescent="0.25">
      <c r="O233"/>
      <c r="P233"/>
      <c r="Q233"/>
      <c r="R233"/>
      <c r="S233"/>
      <c r="T233"/>
      <c r="U233"/>
    </row>
    <row r="234" spans="15:21" ht="15" x14ac:dyDescent="0.25">
      <c r="O234"/>
      <c r="P234"/>
      <c r="Q234"/>
      <c r="R234"/>
      <c r="S234"/>
      <c r="T234"/>
      <c r="U234"/>
    </row>
    <row r="235" spans="15:21" ht="15" x14ac:dyDescent="0.25">
      <c r="O235"/>
      <c r="P235"/>
      <c r="Q235"/>
      <c r="R235"/>
      <c r="S235"/>
      <c r="T235"/>
      <c r="U235"/>
    </row>
    <row r="236" spans="15:21" ht="15" x14ac:dyDescent="0.25">
      <c r="O236"/>
      <c r="P236"/>
      <c r="Q236"/>
      <c r="R236"/>
      <c r="S236"/>
      <c r="T236"/>
      <c r="U236"/>
    </row>
    <row r="237" spans="15:21" ht="15" x14ac:dyDescent="0.25">
      <c r="O237"/>
      <c r="P237"/>
      <c r="Q237"/>
      <c r="R237"/>
      <c r="S237"/>
      <c r="T237"/>
      <c r="U237"/>
    </row>
    <row r="238" spans="15:21" ht="15" x14ac:dyDescent="0.25">
      <c r="O238"/>
      <c r="P238"/>
      <c r="Q238"/>
      <c r="R238"/>
      <c r="S238"/>
      <c r="T238"/>
      <c r="U238"/>
    </row>
    <row r="239" spans="15:21" ht="15" x14ac:dyDescent="0.25">
      <c r="O239"/>
      <c r="P239"/>
      <c r="Q239"/>
      <c r="R239"/>
      <c r="S239"/>
      <c r="T239"/>
      <c r="U239"/>
    </row>
    <row r="240" spans="15:21" ht="15" x14ac:dyDescent="0.25">
      <c r="O240"/>
      <c r="P240"/>
      <c r="Q240"/>
      <c r="R240"/>
      <c r="S240"/>
      <c r="T240"/>
      <c r="U240"/>
    </row>
    <row r="241" spans="15:21" ht="15" x14ac:dyDescent="0.25">
      <c r="O241"/>
      <c r="P241"/>
      <c r="Q241"/>
      <c r="R241"/>
      <c r="S241"/>
      <c r="T241"/>
      <c r="U241"/>
    </row>
    <row r="242" spans="15:21" ht="15" x14ac:dyDescent="0.25">
      <c r="O242"/>
      <c r="P242"/>
      <c r="Q242"/>
      <c r="R242"/>
      <c r="S242"/>
      <c r="T242"/>
      <c r="U242"/>
    </row>
    <row r="243" spans="15:21" ht="15" x14ac:dyDescent="0.25">
      <c r="O243"/>
      <c r="P243"/>
      <c r="Q243"/>
      <c r="R243"/>
      <c r="S243"/>
      <c r="T243"/>
      <c r="U243"/>
    </row>
    <row r="244" spans="15:21" ht="15" x14ac:dyDescent="0.25">
      <c r="O244"/>
      <c r="P244"/>
      <c r="Q244"/>
      <c r="R244"/>
      <c r="S244"/>
      <c r="T244"/>
      <c r="U244"/>
    </row>
    <row r="245" spans="15:21" ht="15" x14ac:dyDescent="0.25">
      <c r="O245"/>
      <c r="P245"/>
      <c r="Q245"/>
      <c r="R245"/>
      <c r="S245"/>
      <c r="T245"/>
      <c r="U245"/>
    </row>
    <row r="246" spans="15:21" ht="15" x14ac:dyDescent="0.25">
      <c r="O246"/>
      <c r="P246"/>
      <c r="Q246"/>
      <c r="R246"/>
      <c r="S246"/>
      <c r="T246"/>
      <c r="U246"/>
    </row>
    <row r="247" spans="15:21" ht="15" x14ac:dyDescent="0.25">
      <c r="O247"/>
      <c r="P247"/>
      <c r="Q247"/>
      <c r="R247"/>
      <c r="S247"/>
      <c r="T247"/>
      <c r="U247"/>
    </row>
    <row r="248" spans="15:21" ht="15" x14ac:dyDescent="0.25">
      <c r="O248"/>
      <c r="P248"/>
      <c r="Q248"/>
      <c r="R248"/>
      <c r="S248"/>
      <c r="T248"/>
      <c r="U248"/>
    </row>
    <row r="249" spans="15:21" ht="15" x14ac:dyDescent="0.25">
      <c r="O249"/>
      <c r="P249"/>
      <c r="Q249"/>
      <c r="R249"/>
      <c r="S249"/>
      <c r="T249"/>
      <c r="U249"/>
    </row>
    <row r="250" spans="15:21" ht="15" x14ac:dyDescent="0.25">
      <c r="O250"/>
      <c r="P250"/>
      <c r="Q250"/>
      <c r="R250"/>
      <c r="S250"/>
      <c r="T250"/>
      <c r="U250"/>
    </row>
    <row r="251" spans="15:21" ht="15" x14ac:dyDescent="0.25">
      <c r="O251"/>
      <c r="P251"/>
      <c r="Q251"/>
      <c r="R251"/>
      <c r="S251"/>
      <c r="T251"/>
      <c r="U251"/>
    </row>
    <row r="252" spans="15:21" ht="15" x14ac:dyDescent="0.25">
      <c r="O252"/>
      <c r="P252"/>
      <c r="Q252"/>
      <c r="R252"/>
      <c r="S252"/>
      <c r="T252"/>
      <c r="U252"/>
    </row>
    <row r="253" spans="15:21" ht="15" x14ac:dyDescent="0.25">
      <c r="O253"/>
      <c r="P253"/>
      <c r="Q253"/>
      <c r="R253"/>
      <c r="S253"/>
      <c r="T253"/>
      <c r="U253"/>
    </row>
    <row r="254" spans="15:21" ht="15" x14ac:dyDescent="0.25">
      <c r="O254"/>
      <c r="P254"/>
      <c r="Q254"/>
      <c r="R254"/>
      <c r="S254"/>
      <c r="T254"/>
      <c r="U254"/>
    </row>
    <row r="255" spans="15:21" ht="15" x14ac:dyDescent="0.25">
      <c r="O255"/>
      <c r="P255"/>
      <c r="Q255"/>
      <c r="R255"/>
      <c r="S255"/>
      <c r="T255"/>
      <c r="U255"/>
    </row>
    <row r="256" spans="15:21" ht="15" x14ac:dyDescent="0.25">
      <c r="O256"/>
      <c r="P256"/>
      <c r="Q256"/>
      <c r="R256"/>
      <c r="S256"/>
      <c r="T256"/>
      <c r="U256"/>
    </row>
    <row r="257" spans="15:21" ht="15" x14ac:dyDescent="0.25">
      <c r="O257"/>
      <c r="P257"/>
      <c r="Q257"/>
      <c r="R257"/>
      <c r="S257"/>
      <c r="T257"/>
      <c r="U257"/>
    </row>
    <row r="258" spans="15:21" ht="15" x14ac:dyDescent="0.25">
      <c r="O258"/>
      <c r="P258"/>
      <c r="Q258"/>
      <c r="R258"/>
      <c r="S258"/>
      <c r="T258"/>
      <c r="U258"/>
    </row>
    <row r="259" spans="15:21" ht="15" x14ac:dyDescent="0.25">
      <c r="O259"/>
      <c r="P259"/>
      <c r="Q259"/>
      <c r="R259"/>
      <c r="S259"/>
      <c r="T259"/>
      <c r="U259"/>
    </row>
    <row r="260" spans="15:21" ht="15" x14ac:dyDescent="0.25">
      <c r="O260"/>
      <c r="P260"/>
      <c r="Q260"/>
      <c r="R260"/>
      <c r="S260"/>
      <c r="T260"/>
      <c r="U260"/>
    </row>
    <row r="261" spans="15:21" ht="15" x14ac:dyDescent="0.25">
      <c r="O261"/>
      <c r="P261"/>
      <c r="Q261"/>
      <c r="R261"/>
      <c r="S261"/>
      <c r="T261"/>
      <c r="U261"/>
    </row>
    <row r="262" spans="15:21" ht="15" x14ac:dyDescent="0.25">
      <c r="O262"/>
      <c r="P262"/>
      <c r="Q262"/>
      <c r="R262"/>
      <c r="S262"/>
      <c r="T262"/>
      <c r="U262"/>
    </row>
    <row r="263" spans="15:21" ht="15" x14ac:dyDescent="0.25">
      <c r="O263"/>
      <c r="P263"/>
      <c r="Q263"/>
      <c r="R263"/>
      <c r="S263"/>
      <c r="T263"/>
      <c r="U263"/>
    </row>
    <row r="264" spans="15:21" ht="15" x14ac:dyDescent="0.25">
      <c r="O264"/>
      <c r="P264"/>
      <c r="Q264"/>
      <c r="R264"/>
      <c r="S264"/>
      <c r="T264"/>
      <c r="U264"/>
    </row>
    <row r="265" spans="15:21" ht="15" x14ac:dyDescent="0.25">
      <c r="O265"/>
      <c r="P265"/>
      <c r="Q265"/>
      <c r="R265"/>
      <c r="S265"/>
      <c r="T265"/>
      <c r="U265"/>
    </row>
    <row r="266" spans="15:21" ht="15" x14ac:dyDescent="0.25">
      <c r="O266"/>
      <c r="P266"/>
      <c r="Q266"/>
      <c r="R266"/>
      <c r="S266"/>
      <c r="T266"/>
      <c r="U266"/>
    </row>
    <row r="267" spans="15:21" ht="15" x14ac:dyDescent="0.25">
      <c r="O267"/>
      <c r="P267"/>
      <c r="Q267"/>
      <c r="R267"/>
      <c r="S267"/>
      <c r="T267"/>
      <c r="U267"/>
    </row>
    <row r="268" spans="15:21" ht="15" x14ac:dyDescent="0.25">
      <c r="O268"/>
      <c r="P268"/>
      <c r="Q268"/>
      <c r="R268"/>
      <c r="S268"/>
      <c r="T268"/>
      <c r="U268"/>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25"/>
  <sheetViews>
    <sheetView zoomScaleNormal="100" workbookViewId="0">
      <selection sqref="A1:G1"/>
    </sheetView>
  </sheetViews>
  <sheetFormatPr defaultColWidth="8.7109375" defaultRowHeight="12.75" x14ac:dyDescent="0.2"/>
  <cols>
    <col min="1" max="2" width="12" style="6" customWidth="1"/>
    <col min="3" max="6" width="13.7109375" style="6" customWidth="1"/>
    <col min="7" max="7" width="13.28515625" style="6" customWidth="1"/>
    <col min="8" max="8" width="12.7109375" style="6" bestFit="1" customWidth="1"/>
    <col min="9" max="9" width="8.7109375" style="6"/>
    <col min="10" max="10" width="12" style="6" customWidth="1"/>
    <col min="11" max="11" width="14.140625" style="6" customWidth="1"/>
    <col min="12" max="12" width="10.28515625" style="6" customWidth="1"/>
    <col min="13" max="27" width="5.7109375" style="6" customWidth="1"/>
    <col min="28" max="16384" width="8.7109375" style="6"/>
  </cols>
  <sheetData>
    <row r="1" spans="1:29" ht="28.9" customHeight="1" x14ac:dyDescent="0.25">
      <c r="A1" s="502" t="str">
        <f>"% of Floor Area per CZ and Vintage Bin - Schools"</f>
        <v>% of Floor Area per CZ and Vintage Bin - Schools</v>
      </c>
      <c r="B1" s="502"/>
      <c r="C1" s="502"/>
      <c r="D1" s="502"/>
      <c r="E1" s="502"/>
      <c r="F1" s="502"/>
      <c r="G1" s="502"/>
      <c r="I1"/>
      <c r="J1"/>
      <c r="K1"/>
      <c r="L1"/>
      <c r="M1"/>
      <c r="N1"/>
      <c r="O1"/>
      <c r="P1"/>
      <c r="Q1"/>
      <c r="R1"/>
      <c r="S1"/>
      <c r="T1"/>
      <c r="U1"/>
      <c r="V1"/>
      <c r="W1"/>
      <c r="X1"/>
      <c r="Y1"/>
      <c r="Z1"/>
      <c r="AA1"/>
      <c r="AB1"/>
      <c r="AC1"/>
    </row>
    <row r="2" spans="1:29" ht="21" customHeight="1" x14ac:dyDescent="0.25">
      <c r="A2" s="503" t="s">
        <v>5</v>
      </c>
      <c r="B2" s="503" t="s">
        <v>494</v>
      </c>
      <c r="C2" s="499" t="s">
        <v>514</v>
      </c>
      <c r="D2" s="500"/>
      <c r="E2" s="500"/>
      <c r="F2" s="500"/>
      <c r="G2" s="501"/>
      <c r="I2"/>
      <c r="J2"/>
      <c r="K2"/>
      <c r="L2"/>
      <c r="M2"/>
      <c r="N2"/>
      <c r="O2"/>
      <c r="P2"/>
      <c r="Q2"/>
      <c r="R2"/>
      <c r="S2"/>
      <c r="T2"/>
      <c r="U2"/>
      <c r="V2"/>
      <c r="W2"/>
      <c r="X2"/>
      <c r="Y2"/>
      <c r="Z2"/>
      <c r="AA2"/>
      <c r="AB2"/>
      <c r="AC2"/>
    </row>
    <row r="3" spans="1:29" ht="21" customHeight="1" x14ac:dyDescent="0.25">
      <c r="A3" s="504"/>
      <c r="B3" s="504"/>
      <c r="C3" s="315" t="s">
        <v>515</v>
      </c>
      <c r="D3" s="315" t="s">
        <v>248</v>
      </c>
      <c r="E3" s="315" t="s">
        <v>250</v>
      </c>
      <c r="F3" s="315" t="s">
        <v>252</v>
      </c>
      <c r="G3" s="315" t="s">
        <v>516</v>
      </c>
      <c r="I3"/>
      <c r="J3"/>
      <c r="K3"/>
      <c r="L3"/>
      <c r="M3"/>
      <c r="N3"/>
      <c r="O3"/>
      <c r="P3"/>
      <c r="Q3"/>
      <c r="R3"/>
      <c r="S3"/>
      <c r="T3"/>
      <c r="U3"/>
      <c r="V3"/>
      <c r="W3"/>
      <c r="X3"/>
      <c r="Y3"/>
      <c r="Z3"/>
      <c r="AA3"/>
      <c r="AB3"/>
      <c r="AC3"/>
    </row>
    <row r="4" spans="1:29" ht="16.899999999999999" customHeight="1" x14ac:dyDescent="0.25">
      <c r="A4" s="497" t="str">
        <f>Prototype!B4</f>
        <v>K-8 School</v>
      </c>
      <c r="B4" s="122">
        <v>1</v>
      </c>
      <c r="C4" s="314">
        <v>0.48499999999999999</v>
      </c>
      <c r="D4" s="314">
        <v>0.27400000000000002</v>
      </c>
      <c r="E4" s="314">
        <v>7.5999999999999998E-2</v>
      </c>
      <c r="F4" s="314">
        <v>2.9000000000000001E-2</v>
      </c>
      <c r="G4" s="57">
        <v>0.13600000000000001</v>
      </c>
      <c r="H4" s="65">
        <f>SUM(C4:G4)</f>
        <v>1</v>
      </c>
      <c r="I4"/>
      <c r="J4"/>
      <c r="K4"/>
      <c r="L4"/>
      <c r="M4"/>
      <c r="N4"/>
      <c r="O4"/>
      <c r="P4"/>
      <c r="Q4"/>
      <c r="R4"/>
      <c r="S4"/>
      <c r="T4"/>
      <c r="U4"/>
      <c r="V4"/>
      <c r="W4"/>
      <c r="X4"/>
      <c r="Y4"/>
      <c r="Z4"/>
      <c r="AA4"/>
      <c r="AB4"/>
      <c r="AC4"/>
    </row>
    <row r="5" spans="1:29" ht="16.899999999999999" customHeight="1" x14ac:dyDescent="0.25">
      <c r="A5" s="498"/>
      <c r="B5" s="39">
        <v>2</v>
      </c>
      <c r="C5" s="40">
        <v>0.85799999999999998</v>
      </c>
      <c r="D5" s="40">
        <v>7.0000000000000007E-2</v>
      </c>
      <c r="E5" s="40">
        <v>3.7999999999999999E-2</v>
      </c>
      <c r="F5" s="40">
        <v>1.4E-2</v>
      </c>
      <c r="G5" s="50">
        <v>0.02</v>
      </c>
      <c r="H5" s="65">
        <f t="shared" ref="H5:H19" si="0">SUM(C5:G5)</f>
        <v>1</v>
      </c>
      <c r="I5"/>
      <c r="J5"/>
      <c r="K5"/>
      <c r="L5"/>
      <c r="M5"/>
      <c r="N5"/>
      <c r="O5"/>
      <c r="P5"/>
      <c r="Q5"/>
      <c r="R5"/>
      <c r="S5"/>
      <c r="T5"/>
      <c r="U5"/>
      <c r="V5"/>
      <c r="W5"/>
      <c r="X5"/>
      <c r="Y5"/>
      <c r="Z5"/>
      <c r="AA5"/>
      <c r="AB5"/>
      <c r="AC5"/>
    </row>
    <row r="6" spans="1:29" ht="16.899999999999999" customHeight="1" x14ac:dyDescent="0.25">
      <c r="A6" s="498"/>
      <c r="B6" s="39">
        <v>3</v>
      </c>
      <c r="C6" s="40">
        <v>0.66100000000000003</v>
      </c>
      <c r="D6" s="40">
        <v>0.20899999999999999</v>
      </c>
      <c r="E6" s="40">
        <v>1.4999999999999999E-2</v>
      </c>
      <c r="F6" s="40">
        <v>6.0000000000000001E-3</v>
      </c>
      <c r="G6" s="50">
        <v>0.109</v>
      </c>
      <c r="H6" s="65">
        <f t="shared" si="0"/>
        <v>1</v>
      </c>
      <c r="I6"/>
      <c r="J6"/>
      <c r="K6"/>
      <c r="L6"/>
      <c r="M6"/>
      <c r="N6"/>
      <c r="O6"/>
      <c r="P6"/>
      <c r="Q6"/>
      <c r="R6"/>
      <c r="S6"/>
      <c r="T6"/>
      <c r="U6"/>
      <c r="V6"/>
      <c r="W6"/>
      <c r="X6"/>
      <c r="Y6"/>
      <c r="Z6"/>
      <c r="AA6"/>
      <c r="AB6"/>
      <c r="AC6"/>
    </row>
    <row r="7" spans="1:29" ht="16.899999999999999" customHeight="1" x14ac:dyDescent="0.25">
      <c r="A7" s="498"/>
      <c r="B7" s="39">
        <v>4</v>
      </c>
      <c r="C7" s="40">
        <v>0.68200000000000005</v>
      </c>
      <c r="D7" s="40">
        <v>0.17899999999999999</v>
      </c>
      <c r="E7" s="40">
        <v>8.9999999999999993E-3</v>
      </c>
      <c r="F7" s="40">
        <v>6.0000000000000001E-3</v>
      </c>
      <c r="G7" s="50">
        <v>0.124</v>
      </c>
      <c r="H7" s="65">
        <f t="shared" si="0"/>
        <v>1</v>
      </c>
      <c r="I7"/>
      <c r="J7"/>
      <c r="K7"/>
      <c r="L7"/>
      <c r="M7"/>
      <c r="N7"/>
      <c r="O7"/>
      <c r="P7"/>
      <c r="Q7"/>
      <c r="R7"/>
      <c r="S7"/>
      <c r="T7"/>
      <c r="U7"/>
      <c r="V7"/>
      <c r="W7"/>
      <c r="X7"/>
      <c r="Y7"/>
      <c r="Z7"/>
      <c r="AA7"/>
      <c r="AB7"/>
      <c r="AC7"/>
    </row>
    <row r="8" spans="1:29" ht="16.899999999999999" customHeight="1" x14ac:dyDescent="0.25">
      <c r="A8" s="498"/>
      <c r="B8" s="39">
        <v>5</v>
      </c>
      <c r="C8" s="40">
        <v>0.53600000000000003</v>
      </c>
      <c r="D8" s="40">
        <v>0.42099999999999999</v>
      </c>
      <c r="E8" s="40">
        <v>2.4E-2</v>
      </c>
      <c r="F8" s="40">
        <v>8.0000000000000002E-3</v>
      </c>
      <c r="G8" s="50">
        <v>1.2E-2</v>
      </c>
      <c r="H8" s="65">
        <f t="shared" si="0"/>
        <v>1.0010000000000001</v>
      </c>
      <c r="I8"/>
      <c r="J8"/>
      <c r="K8"/>
      <c r="L8"/>
      <c r="M8"/>
      <c r="N8"/>
      <c r="O8"/>
      <c r="P8"/>
      <c r="Q8"/>
      <c r="R8"/>
      <c r="S8"/>
      <c r="T8"/>
      <c r="U8"/>
      <c r="V8"/>
      <c r="W8"/>
      <c r="X8"/>
      <c r="Y8"/>
      <c r="Z8"/>
      <c r="AA8"/>
      <c r="AB8"/>
      <c r="AC8"/>
    </row>
    <row r="9" spans="1:29" ht="16.899999999999999" customHeight="1" x14ac:dyDescent="0.25">
      <c r="A9" s="498"/>
      <c r="B9" s="39">
        <v>6</v>
      </c>
      <c r="C9" s="40">
        <v>0.65700000000000003</v>
      </c>
      <c r="D9" s="40">
        <v>0.13900000000000001</v>
      </c>
      <c r="E9" s="40">
        <v>0.10299999999999999</v>
      </c>
      <c r="F9" s="40">
        <v>4.3999999999999997E-2</v>
      </c>
      <c r="G9" s="50">
        <v>5.8000000000000003E-2</v>
      </c>
      <c r="H9" s="65">
        <f t="shared" si="0"/>
        <v>1.0010000000000001</v>
      </c>
      <c r="I9"/>
      <c r="J9"/>
      <c r="K9"/>
      <c r="L9"/>
      <c r="M9"/>
      <c r="N9"/>
      <c r="O9"/>
      <c r="P9"/>
      <c r="Q9"/>
      <c r="R9"/>
      <c r="S9"/>
      <c r="T9"/>
      <c r="U9"/>
      <c r="V9"/>
      <c r="W9"/>
      <c r="X9"/>
      <c r="Y9"/>
      <c r="Z9"/>
      <c r="AA9"/>
      <c r="AB9"/>
      <c r="AC9"/>
    </row>
    <row r="10" spans="1:29" ht="16.899999999999999" customHeight="1" x14ac:dyDescent="0.25">
      <c r="A10" s="498"/>
      <c r="B10" s="39">
        <v>7</v>
      </c>
      <c r="C10" s="40">
        <v>0.28799999999999998</v>
      </c>
      <c r="D10" s="40">
        <v>0.247</v>
      </c>
      <c r="E10" s="40">
        <v>0.188</v>
      </c>
      <c r="F10" s="40">
        <v>0.23499999999999999</v>
      </c>
      <c r="G10" s="50">
        <v>4.2000000000000003E-2</v>
      </c>
      <c r="H10" s="65">
        <f t="shared" si="0"/>
        <v>0.99999999999999989</v>
      </c>
      <c r="I10"/>
      <c r="J10"/>
      <c r="K10"/>
      <c r="L10"/>
      <c r="M10"/>
      <c r="N10"/>
      <c r="O10"/>
      <c r="P10"/>
      <c r="Q10"/>
      <c r="R10"/>
      <c r="S10"/>
      <c r="T10"/>
      <c r="U10"/>
      <c r="V10"/>
      <c r="W10"/>
      <c r="X10"/>
      <c r="Y10"/>
      <c r="Z10"/>
      <c r="AA10"/>
      <c r="AB10"/>
      <c r="AC10"/>
    </row>
    <row r="11" spans="1:29" ht="16.899999999999999" customHeight="1" x14ac:dyDescent="0.2">
      <c r="A11" s="498"/>
      <c r="B11" s="39">
        <v>8</v>
      </c>
      <c r="C11" s="40">
        <v>0.66600000000000004</v>
      </c>
      <c r="D11" s="40">
        <v>0.125</v>
      </c>
      <c r="E11" s="40">
        <v>0.10299999999999999</v>
      </c>
      <c r="F11" s="40">
        <v>3.5999999999999997E-2</v>
      </c>
      <c r="G11" s="50">
        <v>7.0000000000000007E-2</v>
      </c>
      <c r="H11" s="65">
        <f t="shared" si="0"/>
        <v>1</v>
      </c>
      <c r="J11" s="8"/>
      <c r="K11" s="63"/>
      <c r="L11" s="30"/>
      <c r="M11" s="30"/>
      <c r="N11" s="30"/>
      <c r="O11" s="30"/>
      <c r="P11" s="64"/>
    </row>
    <row r="12" spans="1:29" ht="16.899999999999999" customHeight="1" x14ac:dyDescent="0.2">
      <c r="A12" s="498"/>
      <c r="B12" s="39">
        <v>9</v>
      </c>
      <c r="C12" s="40">
        <v>0.60199999999999998</v>
      </c>
      <c r="D12" s="40">
        <v>0.152</v>
      </c>
      <c r="E12" s="40">
        <v>7.3999999999999996E-2</v>
      </c>
      <c r="F12" s="40">
        <v>0.02</v>
      </c>
      <c r="G12" s="50">
        <v>0.152</v>
      </c>
      <c r="H12" s="65">
        <f t="shared" si="0"/>
        <v>1</v>
      </c>
      <c r="J12" s="8"/>
      <c r="K12" s="63"/>
      <c r="L12" s="30"/>
      <c r="M12" s="30"/>
      <c r="N12" s="30"/>
      <c r="O12" s="30"/>
      <c r="P12" s="64"/>
    </row>
    <row r="13" spans="1:29" ht="16.899999999999999" customHeight="1" x14ac:dyDescent="0.2">
      <c r="A13" s="498"/>
      <c r="B13" s="39">
        <v>10</v>
      </c>
      <c r="C13" s="40">
        <v>0.32700000000000001</v>
      </c>
      <c r="D13" s="40">
        <v>0.20100000000000001</v>
      </c>
      <c r="E13" s="40">
        <v>0.317</v>
      </c>
      <c r="F13" s="40">
        <v>0.111</v>
      </c>
      <c r="G13" s="50">
        <v>4.3999999999999997E-2</v>
      </c>
      <c r="H13" s="65">
        <f t="shared" si="0"/>
        <v>1</v>
      </c>
      <c r="J13" s="8"/>
      <c r="K13" s="63"/>
      <c r="L13" s="30"/>
      <c r="M13" s="30"/>
      <c r="N13" s="30"/>
      <c r="O13" s="30"/>
      <c r="P13" s="64"/>
    </row>
    <row r="14" spans="1:29" ht="16.899999999999999" customHeight="1" x14ac:dyDescent="0.2">
      <c r="A14" s="498"/>
      <c r="B14" s="39">
        <v>11</v>
      </c>
      <c r="C14" s="40">
        <v>0.47499999999999998</v>
      </c>
      <c r="D14" s="40">
        <v>0.30499999999999999</v>
      </c>
      <c r="E14" s="40">
        <v>7.2999999999999995E-2</v>
      </c>
      <c r="F14" s="40">
        <v>1.7000000000000001E-2</v>
      </c>
      <c r="G14" s="50">
        <v>0.13100000000000001</v>
      </c>
      <c r="H14" s="65">
        <f t="shared" si="0"/>
        <v>1.0009999999999999</v>
      </c>
      <c r="J14" s="8"/>
      <c r="K14" s="63"/>
      <c r="L14" s="30"/>
      <c r="M14" s="30"/>
      <c r="N14" s="30"/>
      <c r="O14" s="30"/>
      <c r="P14" s="64"/>
    </row>
    <row r="15" spans="1:29" ht="16.899999999999999" customHeight="1" x14ac:dyDescent="0.2">
      <c r="A15" s="498"/>
      <c r="B15" s="39">
        <v>12</v>
      </c>
      <c r="C15" s="40">
        <v>0.44700000000000001</v>
      </c>
      <c r="D15" s="40">
        <v>0.31</v>
      </c>
      <c r="E15" s="40">
        <v>9.6000000000000002E-2</v>
      </c>
      <c r="F15" s="40">
        <v>2.8000000000000001E-2</v>
      </c>
      <c r="G15" s="50">
        <v>0.11799999999999999</v>
      </c>
      <c r="H15" s="65">
        <f t="shared" si="0"/>
        <v>0.999</v>
      </c>
      <c r="J15" s="8"/>
      <c r="K15" s="63"/>
      <c r="L15" s="30"/>
      <c r="M15" s="30"/>
      <c r="N15" s="30"/>
      <c r="O15" s="30"/>
      <c r="P15" s="64"/>
    </row>
    <row r="16" spans="1:29" ht="16.899999999999999" customHeight="1" x14ac:dyDescent="0.2">
      <c r="A16" s="498"/>
      <c r="B16" s="39">
        <v>13</v>
      </c>
      <c r="C16" s="40">
        <v>0.32300000000000001</v>
      </c>
      <c r="D16" s="40">
        <v>0.34699999999999998</v>
      </c>
      <c r="E16" s="40">
        <v>0.13700000000000001</v>
      </c>
      <c r="F16" s="40">
        <v>6.0999999999999999E-2</v>
      </c>
      <c r="G16" s="50">
        <v>0.13200000000000001</v>
      </c>
      <c r="H16" s="65">
        <f t="shared" si="0"/>
        <v>0.99999999999999989</v>
      </c>
      <c r="J16" s="8"/>
      <c r="K16" s="63"/>
      <c r="L16" s="30"/>
      <c r="M16" s="30"/>
      <c r="N16" s="30"/>
      <c r="O16" s="30"/>
      <c r="P16" s="64"/>
    </row>
    <row r="17" spans="1:16" ht="16.899999999999999" customHeight="1" x14ac:dyDescent="0.2">
      <c r="A17" s="498"/>
      <c r="B17" s="39">
        <v>14</v>
      </c>
      <c r="C17" s="40">
        <v>0.52300000000000002</v>
      </c>
      <c r="D17" s="40">
        <v>0.17899999999999999</v>
      </c>
      <c r="E17" s="40">
        <v>0.14299999999999999</v>
      </c>
      <c r="F17" s="40">
        <v>9.8000000000000004E-2</v>
      </c>
      <c r="G17" s="50">
        <v>5.7000000000000002E-2</v>
      </c>
      <c r="H17" s="65">
        <f t="shared" si="0"/>
        <v>1</v>
      </c>
      <c r="J17" s="8"/>
      <c r="K17" s="63"/>
      <c r="L17" s="30"/>
      <c r="M17" s="30"/>
      <c r="N17" s="30"/>
      <c r="O17" s="30"/>
      <c r="P17" s="64"/>
    </row>
    <row r="18" spans="1:16" ht="16.899999999999999" customHeight="1" x14ac:dyDescent="0.2">
      <c r="A18" s="498"/>
      <c r="B18" s="39">
        <v>15</v>
      </c>
      <c r="C18" s="40">
        <v>0.20499999999999999</v>
      </c>
      <c r="D18" s="40">
        <v>0.20399999999999999</v>
      </c>
      <c r="E18" s="40">
        <v>0.51</v>
      </c>
      <c r="F18" s="40">
        <v>4.7E-2</v>
      </c>
      <c r="G18" s="50">
        <v>3.3000000000000002E-2</v>
      </c>
      <c r="H18" s="65">
        <f t="shared" si="0"/>
        <v>0.99900000000000011</v>
      </c>
      <c r="J18" s="8"/>
      <c r="K18" s="63"/>
      <c r="L18" s="30"/>
      <c r="M18" s="30"/>
      <c r="N18" s="30"/>
      <c r="O18" s="30"/>
      <c r="P18" s="64"/>
    </row>
    <row r="19" spans="1:16" ht="16.899999999999999" customHeight="1" x14ac:dyDescent="0.2">
      <c r="A19" s="498"/>
      <c r="B19" s="39">
        <v>16</v>
      </c>
      <c r="C19" s="50">
        <v>0.44700000000000001</v>
      </c>
      <c r="D19" s="50">
        <v>0.23499999999999999</v>
      </c>
      <c r="E19" s="50">
        <v>0.127</v>
      </c>
      <c r="F19" s="50">
        <v>9.4E-2</v>
      </c>
      <c r="G19" s="50">
        <v>9.8000000000000004E-2</v>
      </c>
      <c r="H19" s="65">
        <f t="shared" si="0"/>
        <v>1.0009999999999999</v>
      </c>
      <c r="J19" s="8"/>
      <c r="K19" s="63"/>
      <c r="L19" s="30"/>
      <c r="M19" s="30"/>
      <c r="N19" s="30"/>
      <c r="O19" s="30"/>
      <c r="P19" s="64"/>
    </row>
    <row r="20" spans="1:16" x14ac:dyDescent="0.2">
      <c r="A20" s="498"/>
      <c r="B20" s="50" t="s">
        <v>328</v>
      </c>
      <c r="C20" s="50"/>
      <c r="D20" s="50"/>
      <c r="E20" s="50"/>
      <c r="F20" s="50"/>
      <c r="G20" s="50"/>
    </row>
    <row r="22" spans="1:16" x14ac:dyDescent="0.2">
      <c r="A22" s="6" t="s">
        <v>517</v>
      </c>
    </row>
    <row r="25" spans="1:16" s="24" customFormat="1" x14ac:dyDescent="0.2">
      <c r="A25" s="24" t="s">
        <v>172</v>
      </c>
      <c r="E25" s="25"/>
      <c r="F25" s="26"/>
      <c r="G25" s="27"/>
    </row>
  </sheetData>
  <mergeCells count="5">
    <mergeCell ref="A4:A20"/>
    <mergeCell ref="C2:G2"/>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5" x14ac:dyDescent="0.25"/>
  <sheetData>
    <row r="1" spans="1:10" ht="21.6" customHeight="1" x14ac:dyDescent="0.25">
      <c r="A1" s="496" t="str">
        <f>"PV - "&amp;Prototype!A2</f>
        <v>PV - SchoolK-8</v>
      </c>
      <c r="B1" s="496"/>
      <c r="C1" s="496"/>
      <c r="D1" s="496"/>
      <c r="E1" s="496"/>
      <c r="F1" s="496"/>
      <c r="G1" s="496"/>
      <c r="H1" s="496"/>
      <c r="I1" s="496"/>
      <c r="J1" s="496"/>
    </row>
    <row r="2" spans="1:10" x14ac:dyDescent="0.25">
      <c r="A2" t="s">
        <v>518</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2" sqref="A2"/>
    </sheetView>
  </sheetViews>
  <sheetFormatPr defaultColWidth="8.7109375" defaultRowHeight="12.75" x14ac:dyDescent="0.2"/>
  <cols>
    <col min="1" max="1" width="21" style="6" customWidth="1"/>
    <col min="2" max="2" width="14.28515625" style="6" customWidth="1"/>
    <col min="3" max="3" width="14.5703125" style="6" customWidth="1"/>
    <col min="4" max="8" width="8.7109375" style="6"/>
    <col min="9" max="9" width="13.7109375" style="6" customWidth="1"/>
    <col min="10" max="10" width="14.42578125" style="6" customWidth="1"/>
    <col min="11" max="16384" width="8.7109375" style="6"/>
  </cols>
  <sheetData>
    <row r="1" spans="1:8" ht="20.45" customHeight="1" x14ac:dyDescent="0.2">
      <c r="A1" s="389" t="str">
        <f>"EV Charger - "&amp;Prototype!A2</f>
        <v>EV Charger - SchoolK-8</v>
      </c>
      <c r="B1" s="389"/>
      <c r="C1" s="389"/>
      <c r="D1" s="389"/>
      <c r="E1" s="389"/>
      <c r="F1" s="389"/>
      <c r="G1" s="389"/>
      <c r="H1" s="389"/>
    </row>
    <row r="2" spans="1:8" ht="15" x14ac:dyDescent="0.25">
      <c r="A2" t="s">
        <v>518</v>
      </c>
      <c r="B2" s="46"/>
      <c r="C2" s="47"/>
      <c r="D2" s="48"/>
      <c r="E2" s="48"/>
    </row>
    <row r="3" spans="1:8" x14ac:dyDescent="0.2">
      <c r="A3" s="334"/>
      <c r="B3" s="213"/>
      <c r="C3" s="332"/>
      <c r="D3" s="49"/>
      <c r="E3" s="49"/>
    </row>
    <row r="11" spans="1:8" s="24" customFormat="1" hidden="1" x14ac:dyDescent="0.2">
      <c r="A11" s="24" t="s">
        <v>172</v>
      </c>
      <c r="E11" s="25"/>
      <c r="F11" s="26"/>
      <c r="G11" s="27"/>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B304-56AE-48A9-ACB2-6F3F57726C56}">
  <dimension ref="A1:G82"/>
  <sheetViews>
    <sheetView workbookViewId="0"/>
  </sheetViews>
  <sheetFormatPr defaultRowHeight="15" x14ac:dyDescent="0.25"/>
  <cols>
    <col min="1" max="1" width="58.7109375" customWidth="1"/>
    <col min="2" max="2" width="30.85546875" customWidth="1"/>
    <col min="3" max="3" width="30.28515625" customWidth="1"/>
  </cols>
  <sheetData>
    <row r="1" spans="1:7" x14ac:dyDescent="0.25">
      <c r="A1" t="s">
        <v>519</v>
      </c>
      <c r="B1" t="s">
        <v>520</v>
      </c>
      <c r="C1" t="s">
        <v>520</v>
      </c>
      <c r="D1" s="505" t="s">
        <v>521</v>
      </c>
      <c r="E1" s="505"/>
      <c r="F1" s="505"/>
      <c r="G1" s="505"/>
    </row>
    <row r="2" spans="1:7" x14ac:dyDescent="0.25">
      <c r="A2" s="333" t="s">
        <v>522</v>
      </c>
      <c r="D2">
        <v>2013</v>
      </c>
      <c r="E2">
        <v>2016</v>
      </c>
      <c r="F2">
        <v>2019</v>
      </c>
      <c r="G2">
        <v>2025</v>
      </c>
    </row>
    <row r="3" spans="1:7" x14ac:dyDescent="0.25">
      <c r="A3" s="333" t="s">
        <v>523</v>
      </c>
    </row>
    <row r="4" spans="1:7" x14ac:dyDescent="0.25">
      <c r="A4" t="s">
        <v>524</v>
      </c>
    </row>
    <row r="5" spans="1:7" x14ac:dyDescent="0.25">
      <c r="A5" t="s">
        <v>525</v>
      </c>
    </row>
    <row r="6" spans="1:7" x14ac:dyDescent="0.25">
      <c r="A6" t="s">
        <v>526</v>
      </c>
    </row>
    <row r="7" spans="1:7" x14ac:dyDescent="0.25">
      <c r="A7" t="s">
        <v>527</v>
      </c>
    </row>
    <row r="8" spans="1:7" x14ac:dyDescent="0.25">
      <c r="A8" t="s">
        <v>528</v>
      </c>
    </row>
    <row r="9" spans="1:7" x14ac:dyDescent="0.25">
      <c r="A9" t="s">
        <v>529</v>
      </c>
    </row>
    <row r="10" spans="1:7" x14ac:dyDescent="0.25">
      <c r="A10" t="s">
        <v>530</v>
      </c>
    </row>
    <row r="11" spans="1:7" x14ac:dyDescent="0.25">
      <c r="A11" t="s">
        <v>531</v>
      </c>
    </row>
    <row r="12" spans="1:7" x14ac:dyDescent="0.25">
      <c r="A12" t="s">
        <v>532</v>
      </c>
    </row>
    <row r="13" spans="1:7" x14ac:dyDescent="0.25">
      <c r="A13" t="s">
        <v>533</v>
      </c>
    </row>
    <row r="14" spans="1:7" x14ac:dyDescent="0.25">
      <c r="A14" t="s">
        <v>534</v>
      </c>
    </row>
    <row r="15" spans="1:7" x14ac:dyDescent="0.25">
      <c r="A15" t="s">
        <v>114</v>
      </c>
    </row>
    <row r="16" spans="1:7" x14ac:dyDescent="0.25">
      <c r="A16" t="s">
        <v>535</v>
      </c>
    </row>
    <row r="17" spans="1:1" x14ac:dyDescent="0.25">
      <c r="A17" t="s">
        <v>79</v>
      </c>
    </row>
    <row r="18" spans="1:1" x14ac:dyDescent="0.25">
      <c r="A18" t="s">
        <v>536</v>
      </c>
    </row>
    <row r="19" spans="1:1" x14ac:dyDescent="0.25">
      <c r="A19" t="s">
        <v>82</v>
      </c>
    </row>
    <row r="20" spans="1:1" x14ac:dyDescent="0.25">
      <c r="A20" t="s">
        <v>537</v>
      </c>
    </row>
    <row r="21" spans="1:1" x14ac:dyDescent="0.25">
      <c r="A21" t="s">
        <v>538</v>
      </c>
    </row>
    <row r="22" spans="1:1" x14ac:dyDescent="0.25">
      <c r="A22" t="s">
        <v>539</v>
      </c>
    </row>
    <row r="23" spans="1:1" x14ac:dyDescent="0.25">
      <c r="A23" t="s">
        <v>85</v>
      </c>
    </row>
    <row r="24" spans="1:1" x14ac:dyDescent="0.25">
      <c r="A24" t="s">
        <v>540</v>
      </c>
    </row>
    <row r="25" spans="1:1" x14ac:dyDescent="0.25">
      <c r="A25" t="s">
        <v>541</v>
      </c>
    </row>
    <row r="26" spans="1:1" x14ac:dyDescent="0.25">
      <c r="A26" t="s">
        <v>542</v>
      </c>
    </row>
    <row r="27" spans="1:1" x14ac:dyDescent="0.25">
      <c r="A27" t="s">
        <v>543</v>
      </c>
    </row>
    <row r="28" spans="1:1" x14ac:dyDescent="0.25">
      <c r="A28" t="s">
        <v>544</v>
      </c>
    </row>
    <row r="29" spans="1:1" x14ac:dyDescent="0.25">
      <c r="A29" t="s">
        <v>545</v>
      </c>
    </row>
    <row r="30" spans="1:1" x14ac:dyDescent="0.25">
      <c r="A30" t="s">
        <v>546</v>
      </c>
    </row>
    <row r="31" spans="1:1" x14ac:dyDescent="0.25">
      <c r="A31" t="s">
        <v>547</v>
      </c>
    </row>
    <row r="32" spans="1:1" x14ac:dyDescent="0.25">
      <c r="A32" t="s">
        <v>548</v>
      </c>
    </row>
    <row r="33" spans="1:1" x14ac:dyDescent="0.25">
      <c r="A33" t="s">
        <v>549</v>
      </c>
    </row>
    <row r="34" spans="1:1" x14ac:dyDescent="0.25">
      <c r="A34" t="s">
        <v>550</v>
      </c>
    </row>
    <row r="35" spans="1:1" x14ac:dyDescent="0.25">
      <c r="A35" t="s">
        <v>551</v>
      </c>
    </row>
    <row r="36" spans="1:1" x14ac:dyDescent="0.25">
      <c r="A36" t="s">
        <v>90</v>
      </c>
    </row>
    <row r="37" spans="1:1" x14ac:dyDescent="0.25">
      <c r="A37" t="s">
        <v>552</v>
      </c>
    </row>
    <row r="38" spans="1:1" x14ac:dyDescent="0.25">
      <c r="A38" t="s">
        <v>553</v>
      </c>
    </row>
    <row r="39" spans="1:1" x14ac:dyDescent="0.25">
      <c r="A39" t="s">
        <v>554</v>
      </c>
    </row>
    <row r="40" spans="1:1" x14ac:dyDescent="0.25">
      <c r="A40" t="s">
        <v>138</v>
      </c>
    </row>
    <row r="41" spans="1:1" x14ac:dyDescent="0.25">
      <c r="A41" t="s">
        <v>555</v>
      </c>
    </row>
    <row r="42" spans="1:1" x14ac:dyDescent="0.25">
      <c r="A42" t="s">
        <v>94</v>
      </c>
    </row>
    <row r="43" spans="1:1" x14ac:dyDescent="0.25">
      <c r="A43" t="s">
        <v>556</v>
      </c>
    </row>
    <row r="44" spans="1:1" x14ac:dyDescent="0.25">
      <c r="A44" t="s">
        <v>74</v>
      </c>
    </row>
    <row r="45" spans="1:1" x14ac:dyDescent="0.25">
      <c r="A45" t="s">
        <v>557</v>
      </c>
    </row>
    <row r="46" spans="1:1" x14ac:dyDescent="0.25">
      <c r="A46" t="s">
        <v>558</v>
      </c>
    </row>
    <row r="47" spans="1:1" x14ac:dyDescent="0.25">
      <c r="A47" t="s">
        <v>559</v>
      </c>
    </row>
    <row r="48" spans="1:1" x14ac:dyDescent="0.25">
      <c r="A48" t="s">
        <v>560</v>
      </c>
    </row>
    <row r="49" spans="1:1" x14ac:dyDescent="0.25">
      <c r="A49" t="s">
        <v>561</v>
      </c>
    </row>
    <row r="50" spans="1:1" x14ac:dyDescent="0.25">
      <c r="A50" t="s">
        <v>562</v>
      </c>
    </row>
    <row r="51" spans="1:1" x14ac:dyDescent="0.25">
      <c r="A51" t="s">
        <v>99</v>
      </c>
    </row>
    <row r="52" spans="1:1" x14ac:dyDescent="0.25">
      <c r="A52" t="s">
        <v>563</v>
      </c>
    </row>
    <row r="53" spans="1:1" x14ac:dyDescent="0.25">
      <c r="A53" t="s">
        <v>564</v>
      </c>
    </row>
    <row r="54" spans="1:1" x14ac:dyDescent="0.25">
      <c r="A54" t="s">
        <v>565</v>
      </c>
    </row>
    <row r="55" spans="1:1" x14ac:dyDescent="0.25">
      <c r="A55" t="s">
        <v>566</v>
      </c>
    </row>
    <row r="56" spans="1:1" x14ac:dyDescent="0.25">
      <c r="A56" t="s">
        <v>567</v>
      </c>
    </row>
    <row r="57" spans="1:1" x14ac:dyDescent="0.25">
      <c r="A57" t="s">
        <v>568</v>
      </c>
    </row>
    <row r="58" spans="1:1" x14ac:dyDescent="0.25">
      <c r="A58" t="s">
        <v>569</v>
      </c>
    </row>
    <row r="59" spans="1:1" x14ac:dyDescent="0.25">
      <c r="A59" t="s">
        <v>102</v>
      </c>
    </row>
    <row r="60" spans="1:1" x14ac:dyDescent="0.25">
      <c r="A60" t="s">
        <v>570</v>
      </c>
    </row>
    <row r="61" spans="1:1" x14ac:dyDescent="0.25">
      <c r="A61" t="s">
        <v>571</v>
      </c>
    </row>
    <row r="62" spans="1:1" x14ac:dyDescent="0.25">
      <c r="A62" t="s">
        <v>108</v>
      </c>
    </row>
    <row r="63" spans="1:1" x14ac:dyDescent="0.25">
      <c r="A63" t="s">
        <v>572</v>
      </c>
    </row>
    <row r="64" spans="1:1" x14ac:dyDescent="0.25">
      <c r="A64" t="s">
        <v>105</v>
      </c>
    </row>
    <row r="65" spans="1:1" x14ac:dyDescent="0.25">
      <c r="A65" t="s">
        <v>573</v>
      </c>
    </row>
    <row r="66" spans="1:1" x14ac:dyDescent="0.25">
      <c r="A66" t="s">
        <v>574</v>
      </c>
    </row>
    <row r="67" spans="1:1" x14ac:dyDescent="0.25">
      <c r="A67" t="s">
        <v>575</v>
      </c>
    </row>
    <row r="68" spans="1:1" x14ac:dyDescent="0.25">
      <c r="A68" t="s">
        <v>576</v>
      </c>
    </row>
    <row r="69" spans="1:1" x14ac:dyDescent="0.25">
      <c r="A69" t="s">
        <v>577</v>
      </c>
    </row>
    <row r="70" spans="1:1" x14ac:dyDescent="0.25">
      <c r="A70" t="s">
        <v>111</v>
      </c>
    </row>
    <row r="71" spans="1:1" x14ac:dyDescent="0.25">
      <c r="A71" t="s">
        <v>578</v>
      </c>
    </row>
    <row r="72" spans="1:1" x14ac:dyDescent="0.25">
      <c r="A72" t="s">
        <v>579</v>
      </c>
    </row>
    <row r="73" spans="1:1" x14ac:dyDescent="0.25">
      <c r="A73" t="s">
        <v>580</v>
      </c>
    </row>
    <row r="74" spans="1:1" x14ac:dyDescent="0.25">
      <c r="A74" t="s">
        <v>581</v>
      </c>
    </row>
    <row r="75" spans="1:1" x14ac:dyDescent="0.25">
      <c r="A75" t="s">
        <v>582</v>
      </c>
    </row>
    <row r="76" spans="1:1" x14ac:dyDescent="0.25">
      <c r="A76" t="s">
        <v>583</v>
      </c>
    </row>
    <row r="77" spans="1:1" x14ac:dyDescent="0.25">
      <c r="A77" t="s">
        <v>584</v>
      </c>
    </row>
    <row r="78" spans="1:1" x14ac:dyDescent="0.25">
      <c r="A78" t="s">
        <v>585</v>
      </c>
    </row>
    <row r="79" spans="1:1" x14ac:dyDescent="0.25">
      <c r="A79" t="s">
        <v>406</v>
      </c>
    </row>
    <row r="80" spans="1:1" x14ac:dyDescent="0.25">
      <c r="A80" t="s">
        <v>586</v>
      </c>
    </row>
    <row r="81" spans="1:1" x14ac:dyDescent="0.25">
      <c r="A81" t="s">
        <v>587</v>
      </c>
    </row>
    <row r="82" spans="1:1" x14ac:dyDescent="0.25">
      <c r="A82" t="s">
        <v>588</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0C9589-095B-4FA5-AC36-5C7F92FBC3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47e91-274c-46a0-ba98-7b939b571e5b"/>
    <ds:schemaRef ds:uri="ea1b199f-450f-4d51-8ad4-88f218385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816333-575B-4274-8A3E-18699B071E90}">
  <ds:schemaRefs>
    <ds:schemaRef ds:uri="f3a47e91-274c-46a0-ba98-7b939b571e5b"/>
    <ds:schemaRef ds:uri="http://purl.org/dc/terms/"/>
    <ds:schemaRef ds:uri="http://schemas.microsoft.com/office/2006/metadata/properties"/>
    <ds:schemaRef ds:uri="http://purl.org/dc/elements/1.1/"/>
    <ds:schemaRef ds:uri="http://schemas.openxmlformats.org/package/2006/metadata/core-properties"/>
    <ds:schemaRef ds:uri="http://schemas.microsoft.com/office/2006/documentManagement/types"/>
    <ds:schemaRef ds:uri="http://www.w3.org/XML/1998/namespace"/>
    <ds:schemaRef ds:uri="http://purl.org/dc/dcmitype/"/>
    <ds:schemaRef ds:uri="http://schemas.microsoft.com/office/infopath/2007/PartnerControls"/>
    <ds:schemaRef ds:uri="ea1b199f-450f-4d51-8ad4-88f218385cd9"/>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Equipment</vt:lpstr>
      <vt:lpstr>Ext Lighting</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Dabbagh, Mohammad</cp:lastModifiedBy>
  <cp:revision/>
  <dcterms:created xsi:type="dcterms:W3CDTF">2024-06-21T17:19:36Z</dcterms:created>
  <dcterms:modified xsi:type="dcterms:W3CDTF">2025-12-24T09:25:50Z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ies>
</file>