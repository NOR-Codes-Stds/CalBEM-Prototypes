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7.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729" documentId="13_ncr:1_{B953FAE7-13A7-455A-A55D-8F32F7548040}" xr6:coauthVersionLast="47" xr6:coauthVersionMax="47" xr10:uidLastSave="{F881864D-21C9-448A-8A5B-D8F6D78B93B6}"/>
  <bookViews>
    <workbookView xWindow="28680" yWindow="-120" windowWidth="29040" windowHeight="15720"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33"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0" hidden="1">Equipment!$A$2:$E$13</definedName>
    <definedName name="_xlnm._FilterDatabase" localSheetId="8" hidden="1">'Interior Lights'!$A$2:$AC$14</definedName>
    <definedName name="_xlnm._FilterDatabase" localSheetId="2" hidden="1">Zones!$A$2:$K$49</definedName>
    <definedName name="nonparticipating_forecastzone_scale_factor" localSheetId="16">#REF!</definedName>
    <definedName name="nonparticipating_forecastzone_scale_factor" localSheetId="11">'Energy Usage'!#REF!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1" l="1"/>
  <c r="J4" i="20"/>
  <c r="K4" i="20"/>
  <c r="J5" i="20"/>
  <c r="K5" i="20"/>
  <c r="J6" i="20"/>
  <c r="L6" i="20" s="1"/>
  <c r="K6" i="20"/>
  <c r="J7" i="20"/>
  <c r="L7" i="20" s="1"/>
  <c r="K7" i="20"/>
  <c r="J8" i="20"/>
  <c r="K8" i="20"/>
  <c r="J9" i="20"/>
  <c r="K9" i="20"/>
  <c r="J10" i="20"/>
  <c r="K10" i="20"/>
  <c r="J11" i="20"/>
  <c r="K11" i="20"/>
  <c r="J12" i="20"/>
  <c r="K12" i="20"/>
  <c r="J13" i="20"/>
  <c r="K13" i="20"/>
  <c r="J14" i="20"/>
  <c r="K14" i="20"/>
  <c r="J15" i="20"/>
  <c r="K15" i="20"/>
  <c r="J16" i="20"/>
  <c r="K16" i="20"/>
  <c r="J17" i="20"/>
  <c r="K17" i="20"/>
  <c r="J18" i="20"/>
  <c r="K18" i="20"/>
  <c r="K3" i="20"/>
  <c r="L3" i="20" s="1"/>
  <c r="J3" i="20"/>
  <c r="T4" i="20"/>
  <c r="U4" i="20"/>
  <c r="T5" i="20"/>
  <c r="U5" i="20"/>
  <c r="T6" i="20"/>
  <c r="U6" i="20"/>
  <c r="T7" i="20"/>
  <c r="U7" i="20"/>
  <c r="T8" i="20"/>
  <c r="U8" i="20"/>
  <c r="T9" i="20"/>
  <c r="U9" i="20"/>
  <c r="T10" i="20"/>
  <c r="U10" i="20"/>
  <c r="T11" i="20"/>
  <c r="U11" i="20"/>
  <c r="T12" i="20"/>
  <c r="U12" i="20"/>
  <c r="T13" i="20"/>
  <c r="V13" i="20" s="1"/>
  <c r="U13" i="20"/>
  <c r="T14" i="20"/>
  <c r="U14" i="20"/>
  <c r="T15" i="20"/>
  <c r="U15" i="20"/>
  <c r="T16" i="20"/>
  <c r="U16" i="20"/>
  <c r="T17" i="20"/>
  <c r="U17" i="20"/>
  <c r="T18" i="20"/>
  <c r="U18" i="20"/>
  <c r="U3" i="20"/>
  <c r="T3" i="20"/>
  <c r="N1" i="20"/>
  <c r="N3" i="20"/>
  <c r="A3" i="20"/>
  <c r="A1" i="20"/>
  <c r="L18" i="20"/>
  <c r="L17" i="20"/>
  <c r="L16" i="20"/>
  <c r="L15" i="20"/>
  <c r="L12" i="20"/>
  <c r="L11" i="20"/>
  <c r="V10" i="20"/>
  <c r="L10" i="20"/>
  <c r="L9" i="20"/>
  <c r="L5" i="20"/>
  <c r="L4" i="20"/>
  <c r="L8" i="20" l="1"/>
  <c r="L13" i="20"/>
  <c r="L14" i="20"/>
  <c r="V7" i="20"/>
  <c r="V4" i="20"/>
  <c r="V17" i="20"/>
  <c r="V14" i="20"/>
  <c r="V11" i="20"/>
  <c r="V8" i="20"/>
  <c r="V5" i="20"/>
  <c r="V18" i="20"/>
  <c r="V15" i="20"/>
  <c r="V12" i="20"/>
  <c r="V9" i="20"/>
  <c r="V6" i="20"/>
  <c r="V3" i="20"/>
  <c r="V16" i="20"/>
  <c r="A4" i="18" l="1"/>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3" i="18"/>
  <c r="A12" i="29"/>
  <c r="G64" i="7" l="1"/>
  <c r="E62" i="7"/>
  <c r="B31" i="33" l="1"/>
  <c r="B28" i="33"/>
  <c r="B25" i="33"/>
  <c r="B22" i="33"/>
  <c r="B19" i="33"/>
  <c r="B16" i="33"/>
  <c r="B13" i="33"/>
  <c r="B10" i="33"/>
  <c r="B7" i="33"/>
  <c r="H25" i="33"/>
  <c r="I25" i="33"/>
  <c r="J25" i="33"/>
  <c r="K25" i="33"/>
  <c r="L25" i="33"/>
  <c r="M25" i="33"/>
  <c r="N25" i="33"/>
  <c r="O25" i="33"/>
  <c r="P25" i="33"/>
  <c r="Q25" i="33"/>
  <c r="R25" i="33"/>
  <c r="S25" i="33"/>
  <c r="T25" i="33"/>
  <c r="U25" i="33"/>
  <c r="V25" i="33"/>
  <c r="W25" i="33"/>
  <c r="X25" i="33"/>
  <c r="Y25" i="33"/>
  <c r="Z25" i="33"/>
  <c r="AA25" i="33"/>
  <c r="AB25" i="33"/>
  <c r="AC25" i="33"/>
  <c r="H26" i="33"/>
  <c r="I26" i="33"/>
  <c r="J26" i="33"/>
  <c r="K26" i="33"/>
  <c r="L26" i="33"/>
  <c r="M26" i="33"/>
  <c r="N26" i="33"/>
  <c r="O26" i="33"/>
  <c r="P26" i="33"/>
  <c r="Q26" i="33"/>
  <c r="R26" i="33"/>
  <c r="S26" i="33"/>
  <c r="T26" i="33"/>
  <c r="U26" i="33"/>
  <c r="V26" i="33"/>
  <c r="W26" i="33"/>
  <c r="X26" i="33"/>
  <c r="Y26" i="33"/>
  <c r="Z26" i="33"/>
  <c r="AA26" i="33"/>
  <c r="AB26" i="33"/>
  <c r="AC26" i="33"/>
  <c r="H27" i="33"/>
  <c r="I27" i="33"/>
  <c r="J27" i="33"/>
  <c r="K27" i="33"/>
  <c r="L27" i="33"/>
  <c r="M27" i="33"/>
  <c r="N27" i="33"/>
  <c r="O27" i="33"/>
  <c r="P27" i="33"/>
  <c r="Q27" i="33"/>
  <c r="R27" i="33"/>
  <c r="S27" i="33"/>
  <c r="T27" i="33"/>
  <c r="U27" i="33"/>
  <c r="V27" i="33"/>
  <c r="W27" i="33"/>
  <c r="X27" i="33"/>
  <c r="Y27" i="33"/>
  <c r="Z27" i="33"/>
  <c r="AA27" i="33"/>
  <c r="AB27" i="33"/>
  <c r="AC27" i="33"/>
  <c r="G26" i="33"/>
  <c r="G27" i="33"/>
  <c r="G25" i="33"/>
  <c r="F88" i="33"/>
  <c r="G88" i="33"/>
  <c r="H88" i="33"/>
  <c r="I88" i="33"/>
  <c r="J88" i="33"/>
  <c r="K88" i="33"/>
  <c r="L88" i="33"/>
  <c r="M88" i="33"/>
  <c r="N88" i="33"/>
  <c r="O88" i="33"/>
  <c r="P88" i="33"/>
  <c r="Q88" i="33"/>
  <c r="R88" i="33"/>
  <c r="S88" i="33"/>
  <c r="T88" i="33"/>
  <c r="U88" i="33"/>
  <c r="V88" i="33"/>
  <c r="W88" i="33"/>
  <c r="X88" i="33"/>
  <c r="Y88" i="33"/>
  <c r="Z88" i="33"/>
  <c r="AA88" i="33"/>
  <c r="AB88" i="33"/>
  <c r="AC88" i="33"/>
  <c r="F89" i="33"/>
  <c r="G89" i="33"/>
  <c r="H89" i="33"/>
  <c r="I89" i="33"/>
  <c r="J89" i="33"/>
  <c r="K89" i="33"/>
  <c r="L89" i="33"/>
  <c r="M89" i="33"/>
  <c r="N89" i="33"/>
  <c r="O89" i="33"/>
  <c r="P89" i="33"/>
  <c r="Q89" i="33"/>
  <c r="R89" i="33"/>
  <c r="S89" i="33"/>
  <c r="T89" i="33"/>
  <c r="U89" i="33"/>
  <c r="V89" i="33"/>
  <c r="W89" i="33"/>
  <c r="X89" i="33"/>
  <c r="Y89" i="33"/>
  <c r="Z89" i="33"/>
  <c r="AA89" i="33"/>
  <c r="AB89" i="33"/>
  <c r="AC89" i="33"/>
  <c r="AC87" i="33"/>
  <c r="G87" i="33"/>
  <c r="H87" i="33"/>
  <c r="I87" i="33"/>
  <c r="J87" i="33"/>
  <c r="K87" i="33"/>
  <c r="L87" i="33"/>
  <c r="M87" i="33"/>
  <c r="N87" i="33"/>
  <c r="O87" i="33"/>
  <c r="P87" i="33"/>
  <c r="Q87" i="33"/>
  <c r="R87" i="33"/>
  <c r="S87" i="33"/>
  <c r="T87" i="33"/>
  <c r="U87" i="33"/>
  <c r="V87" i="33"/>
  <c r="W87" i="33"/>
  <c r="X87" i="33"/>
  <c r="Y87" i="33"/>
  <c r="Z87" i="33"/>
  <c r="AA87" i="33"/>
  <c r="AB87" i="33"/>
  <c r="F87" i="33"/>
  <c r="F85" i="33"/>
  <c r="G85" i="33"/>
  <c r="H85" i="33"/>
  <c r="I85" i="33"/>
  <c r="J85" i="33"/>
  <c r="K85" i="33"/>
  <c r="L85" i="33"/>
  <c r="M85" i="33"/>
  <c r="N85" i="33"/>
  <c r="O85" i="33"/>
  <c r="P85" i="33"/>
  <c r="Q85" i="33"/>
  <c r="R85" i="33"/>
  <c r="S85" i="33"/>
  <c r="T85" i="33"/>
  <c r="U85" i="33"/>
  <c r="V85" i="33"/>
  <c r="W85" i="33"/>
  <c r="X85" i="33"/>
  <c r="Y85" i="33"/>
  <c r="Z85" i="33"/>
  <c r="AA85" i="33"/>
  <c r="AB85" i="33"/>
  <c r="AC85" i="33"/>
  <c r="F86" i="33"/>
  <c r="G86" i="33"/>
  <c r="H86" i="33"/>
  <c r="I86" i="33"/>
  <c r="J86" i="33"/>
  <c r="K86" i="33"/>
  <c r="L86" i="33"/>
  <c r="M86" i="33"/>
  <c r="N86" i="33"/>
  <c r="O86" i="33"/>
  <c r="P86" i="33"/>
  <c r="Q86" i="33"/>
  <c r="R86" i="33"/>
  <c r="S86" i="33"/>
  <c r="T86" i="33"/>
  <c r="U86" i="33"/>
  <c r="V86" i="33"/>
  <c r="W86" i="33"/>
  <c r="X86" i="33"/>
  <c r="Y86" i="33"/>
  <c r="Z86" i="33"/>
  <c r="AA86" i="33"/>
  <c r="AB86" i="33"/>
  <c r="AC86" i="33"/>
  <c r="X84" i="33"/>
  <c r="W84" i="33"/>
  <c r="V84" i="33"/>
  <c r="U84" i="33"/>
  <c r="T84" i="33"/>
  <c r="S84" i="33"/>
  <c r="R84" i="33"/>
  <c r="Q84" i="33"/>
  <c r="P84" i="33"/>
  <c r="O84" i="33"/>
  <c r="N84" i="33"/>
  <c r="M84" i="33"/>
  <c r="L84" i="33"/>
  <c r="K84" i="33"/>
  <c r="J84" i="33"/>
  <c r="I84" i="33"/>
  <c r="H84" i="33"/>
  <c r="G84" i="33"/>
  <c r="F84" i="33"/>
  <c r="Z84" i="33"/>
  <c r="AA84" i="33"/>
  <c r="AB84" i="33"/>
  <c r="AC84" i="33"/>
  <c r="Y84" i="33"/>
  <c r="G50" i="33"/>
  <c r="H50" i="33"/>
  <c r="I50" i="33"/>
  <c r="J50" i="33"/>
  <c r="K50" i="33"/>
  <c r="L50" i="33"/>
  <c r="M50" i="33"/>
  <c r="N50" i="33"/>
  <c r="O50" i="33"/>
  <c r="P50" i="33"/>
  <c r="Q50" i="33"/>
  <c r="R50" i="33"/>
  <c r="S50" i="33"/>
  <c r="T50" i="33"/>
  <c r="U50" i="33"/>
  <c r="V50" i="33"/>
  <c r="W50" i="33"/>
  <c r="X50" i="33"/>
  <c r="Y50" i="33"/>
  <c r="Z50" i="33"/>
  <c r="AA50" i="33"/>
  <c r="AB50" i="33"/>
  <c r="AC50" i="33"/>
  <c r="G51" i="33"/>
  <c r="H51" i="33"/>
  <c r="I51" i="33"/>
  <c r="J51" i="33"/>
  <c r="K51" i="33"/>
  <c r="L51" i="33"/>
  <c r="M51" i="33"/>
  <c r="N51" i="33"/>
  <c r="O51" i="33"/>
  <c r="P51" i="33"/>
  <c r="Q51" i="33"/>
  <c r="R51" i="33"/>
  <c r="S51" i="33"/>
  <c r="T51" i="33"/>
  <c r="U51" i="33"/>
  <c r="V51" i="33"/>
  <c r="W51" i="33"/>
  <c r="X51" i="33"/>
  <c r="Y51" i="33"/>
  <c r="Z51" i="33"/>
  <c r="AA51" i="33"/>
  <c r="AB51" i="33"/>
  <c r="AC51" i="33"/>
  <c r="G52" i="33"/>
  <c r="H52" i="33"/>
  <c r="I52" i="33"/>
  <c r="J52" i="33"/>
  <c r="K52" i="33"/>
  <c r="L52" i="33"/>
  <c r="M52" i="33"/>
  <c r="N52" i="33"/>
  <c r="O52" i="33"/>
  <c r="P52" i="33"/>
  <c r="Q52" i="33"/>
  <c r="R52" i="33"/>
  <c r="S52" i="33"/>
  <c r="T52" i="33"/>
  <c r="U52" i="33"/>
  <c r="V52" i="33"/>
  <c r="W52" i="33"/>
  <c r="X52" i="33"/>
  <c r="Y52" i="33"/>
  <c r="Z52" i="33"/>
  <c r="AA52" i="33"/>
  <c r="AB52" i="33"/>
  <c r="AC52" i="33"/>
  <c r="F51" i="33"/>
  <c r="F52" i="33"/>
  <c r="F55" i="33"/>
  <c r="G55" i="33"/>
  <c r="H55" i="33"/>
  <c r="I55" i="33"/>
  <c r="J55" i="33"/>
  <c r="K55" i="33"/>
  <c r="L55" i="33"/>
  <c r="M55" i="33"/>
  <c r="N55" i="33"/>
  <c r="O55" i="33"/>
  <c r="P55" i="33"/>
  <c r="Q55" i="33"/>
  <c r="R55" i="33"/>
  <c r="S55" i="33"/>
  <c r="T55" i="33"/>
  <c r="U55" i="33"/>
  <c r="V55" i="33"/>
  <c r="W55" i="33"/>
  <c r="X55" i="33"/>
  <c r="Y55" i="33"/>
  <c r="Z55" i="33"/>
  <c r="AA55" i="33"/>
  <c r="AB55" i="33"/>
  <c r="AC55" i="33"/>
  <c r="F50" i="33"/>
  <c r="G53" i="33"/>
  <c r="H53" i="33"/>
  <c r="I53" i="33"/>
  <c r="J53" i="33"/>
  <c r="K53" i="33"/>
  <c r="L53" i="33"/>
  <c r="M53" i="33"/>
  <c r="N53" i="33"/>
  <c r="O53" i="33"/>
  <c r="P53" i="33"/>
  <c r="Q53" i="33"/>
  <c r="R53" i="33"/>
  <c r="S53" i="33"/>
  <c r="T53" i="33"/>
  <c r="U53" i="33"/>
  <c r="V53" i="33"/>
  <c r="W53" i="33"/>
  <c r="X53" i="33"/>
  <c r="Y53" i="33"/>
  <c r="Z53" i="33"/>
  <c r="AA53" i="33"/>
  <c r="AB53" i="33"/>
  <c r="AC53" i="33"/>
  <c r="F53" i="33"/>
  <c r="G54" i="33"/>
  <c r="H54" i="33"/>
  <c r="I54" i="33"/>
  <c r="J54" i="33"/>
  <c r="K54" i="33"/>
  <c r="L54" i="33"/>
  <c r="M54" i="33"/>
  <c r="N54" i="33"/>
  <c r="O54" i="33"/>
  <c r="P54" i="33"/>
  <c r="Q54" i="33"/>
  <c r="R54" i="33"/>
  <c r="S54" i="33"/>
  <c r="T54" i="33"/>
  <c r="U54" i="33"/>
  <c r="V54" i="33"/>
  <c r="W54" i="33"/>
  <c r="X54" i="33"/>
  <c r="Y54" i="33"/>
  <c r="Z54" i="33"/>
  <c r="AA54" i="33"/>
  <c r="AB54" i="33"/>
  <c r="AC54" i="33"/>
  <c r="F54" i="33"/>
  <c r="G31" i="33"/>
  <c r="H31" i="33"/>
  <c r="I31" i="33"/>
  <c r="J31" i="33"/>
  <c r="K31" i="33"/>
  <c r="L31" i="33"/>
  <c r="M31" i="33"/>
  <c r="N31" i="33"/>
  <c r="O31" i="33"/>
  <c r="P31" i="33"/>
  <c r="Q31" i="33"/>
  <c r="R31" i="33"/>
  <c r="S31" i="33"/>
  <c r="T31" i="33"/>
  <c r="U31" i="33"/>
  <c r="V31" i="33"/>
  <c r="W31" i="33"/>
  <c r="X31" i="33"/>
  <c r="Y31" i="33"/>
  <c r="Z31" i="33"/>
  <c r="AA31" i="33"/>
  <c r="AB31" i="33"/>
  <c r="AC31" i="33"/>
  <c r="G32" i="33"/>
  <c r="H32" i="33"/>
  <c r="I32" i="33"/>
  <c r="J32" i="33"/>
  <c r="K32" i="33"/>
  <c r="L32" i="33"/>
  <c r="M32" i="33"/>
  <c r="N32" i="33"/>
  <c r="O32" i="33"/>
  <c r="P32" i="33"/>
  <c r="Q32" i="33"/>
  <c r="R32" i="33"/>
  <c r="S32" i="33"/>
  <c r="T32" i="33"/>
  <c r="U32" i="33"/>
  <c r="V32" i="33"/>
  <c r="W32" i="33"/>
  <c r="X32" i="33"/>
  <c r="Y32" i="33"/>
  <c r="Z32" i="33"/>
  <c r="AA32" i="33"/>
  <c r="AB32" i="33"/>
  <c r="AC32" i="33"/>
  <c r="G33" i="33"/>
  <c r="H33" i="33"/>
  <c r="I33" i="33"/>
  <c r="J33" i="33"/>
  <c r="K33" i="33"/>
  <c r="L33" i="33"/>
  <c r="M33" i="33"/>
  <c r="N33" i="33"/>
  <c r="O33" i="33"/>
  <c r="P33" i="33"/>
  <c r="Q33" i="33"/>
  <c r="R33" i="33"/>
  <c r="S33" i="33"/>
  <c r="T33" i="33"/>
  <c r="U33" i="33"/>
  <c r="V33" i="33"/>
  <c r="W33" i="33"/>
  <c r="X33" i="33"/>
  <c r="Y33" i="33"/>
  <c r="Z33" i="33"/>
  <c r="AA33" i="33"/>
  <c r="AB33" i="33"/>
  <c r="AC33" i="33"/>
  <c r="F32" i="33"/>
  <c r="F33" i="33"/>
  <c r="F31" i="33"/>
  <c r="G28" i="33"/>
  <c r="H28" i="33"/>
  <c r="I28" i="33"/>
  <c r="J28" i="33"/>
  <c r="K28" i="33"/>
  <c r="L28" i="33"/>
  <c r="M28" i="33"/>
  <c r="N28" i="33"/>
  <c r="O28" i="33"/>
  <c r="P28" i="33"/>
  <c r="Q28" i="33"/>
  <c r="R28" i="33"/>
  <c r="S28" i="33"/>
  <c r="T28" i="33"/>
  <c r="U28" i="33"/>
  <c r="V28" i="33"/>
  <c r="W28" i="33"/>
  <c r="X28" i="33"/>
  <c r="Y28" i="33"/>
  <c r="Z28" i="33"/>
  <c r="AA28" i="33"/>
  <c r="AB28" i="33"/>
  <c r="AC28" i="33"/>
  <c r="G29" i="33"/>
  <c r="H29" i="33"/>
  <c r="I29" i="33"/>
  <c r="J29" i="33"/>
  <c r="K29" i="33"/>
  <c r="L29" i="33"/>
  <c r="M29" i="33"/>
  <c r="N29" i="33"/>
  <c r="O29" i="33"/>
  <c r="P29" i="33"/>
  <c r="Q29" i="33"/>
  <c r="R29" i="33"/>
  <c r="S29" i="33"/>
  <c r="T29" i="33"/>
  <c r="U29" i="33"/>
  <c r="V29" i="33"/>
  <c r="W29" i="33"/>
  <c r="X29" i="33"/>
  <c r="Y29" i="33"/>
  <c r="Z29" i="33"/>
  <c r="AA29" i="33"/>
  <c r="AB29" i="33"/>
  <c r="AC29" i="33"/>
  <c r="G30" i="33"/>
  <c r="H30" i="33"/>
  <c r="I30" i="33"/>
  <c r="J30" i="33"/>
  <c r="K30" i="33"/>
  <c r="L30" i="33"/>
  <c r="M30" i="33"/>
  <c r="N30" i="33"/>
  <c r="O30" i="33"/>
  <c r="P30" i="33"/>
  <c r="Q30" i="33"/>
  <c r="R30" i="33"/>
  <c r="S30" i="33"/>
  <c r="T30" i="33"/>
  <c r="U30" i="33"/>
  <c r="V30" i="33"/>
  <c r="W30" i="33"/>
  <c r="X30" i="33"/>
  <c r="Y30" i="33"/>
  <c r="Z30" i="33"/>
  <c r="AA30" i="33"/>
  <c r="AB30" i="33"/>
  <c r="AC30" i="33"/>
  <c r="F29" i="33"/>
  <c r="F30" i="33"/>
  <c r="F28" i="33"/>
  <c r="B48" i="18"/>
  <c r="A1" i="33"/>
  <c r="D22" i="14" l="1"/>
  <c r="A1" i="22" l="1"/>
  <c r="A1" i="27"/>
  <c r="A1" i="29"/>
  <c r="A1" i="9"/>
  <c r="A1" i="25"/>
  <c r="A1" i="7"/>
  <c r="A1" i="14" l="1"/>
  <c r="A1" i="1"/>
  <c r="A1" i="13"/>
  <c r="C17" i="29" l="1"/>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3" i="13"/>
  <c r="B17" i="29" l="1"/>
  <c r="C23" i="29"/>
  <c r="C24" i="29" s="1"/>
  <c r="C13" i="9" l="1"/>
  <c r="A9" i="7" l="1"/>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8" i="7"/>
  <c r="B61" i="7"/>
  <c r="E8" i="7" l="1"/>
  <c r="B21" i="9"/>
  <c r="B23" i="9"/>
  <c r="A8" i="29"/>
  <c r="A9" i="29"/>
  <c r="A10" i="29"/>
  <c r="A11" i="29"/>
  <c r="A13" i="29"/>
  <c r="A9" i="25"/>
  <c r="A10" i="25"/>
  <c r="A11" i="25"/>
  <c r="A12" i="25"/>
  <c r="A13" i="25"/>
  <c r="A14" i="25"/>
  <c r="B47" i="18"/>
  <c r="C47" i="18"/>
  <c r="H47" i="18" s="1"/>
  <c r="D47" i="18"/>
  <c r="J47" i="18" s="1"/>
  <c r="B26" i="18"/>
  <c r="B27" i="18"/>
  <c r="B28" i="18"/>
  <c r="B29" i="18"/>
  <c r="B30" i="18"/>
  <c r="B31" i="18"/>
  <c r="B32" i="18"/>
  <c r="B33" i="18"/>
  <c r="B34" i="18"/>
  <c r="B35" i="18"/>
  <c r="B36" i="18"/>
  <c r="B37" i="18"/>
  <c r="B38" i="18"/>
  <c r="B39" i="18"/>
  <c r="B40" i="18"/>
  <c r="B41" i="18"/>
  <c r="B42" i="18"/>
  <c r="B43" i="18"/>
  <c r="B44" i="18"/>
  <c r="B45" i="18"/>
  <c r="B46" i="18"/>
  <c r="D41" i="18"/>
  <c r="J41" i="18" s="1"/>
  <c r="C41" i="18"/>
  <c r="H41" i="18" s="1"/>
  <c r="D40" i="18"/>
  <c r="J40" i="18" s="1"/>
  <c r="C40" i="18"/>
  <c r="H40" i="18" s="1"/>
  <c r="D39" i="18"/>
  <c r="J39" i="18" s="1"/>
  <c r="C39" i="18"/>
  <c r="H39" i="18" s="1"/>
  <c r="D38" i="18"/>
  <c r="J38" i="18" s="1"/>
  <c r="C38" i="18"/>
  <c r="H38" i="18" s="1"/>
  <c r="D37" i="18"/>
  <c r="J37" i="18" s="1"/>
  <c r="C37" i="18"/>
  <c r="H37" i="18" s="1"/>
  <c r="D36" i="18"/>
  <c r="J36" i="18" s="1"/>
  <c r="C36" i="18"/>
  <c r="H36" i="18" s="1"/>
  <c r="D35" i="18"/>
  <c r="J35" i="18" s="1"/>
  <c r="C35" i="18"/>
  <c r="H35" i="18" s="1"/>
  <c r="D34" i="18"/>
  <c r="J34" i="18" s="1"/>
  <c r="C34" i="18"/>
  <c r="H34" i="18" s="1"/>
  <c r="D33" i="18"/>
  <c r="J33" i="18" s="1"/>
  <c r="C33" i="18"/>
  <c r="H33" i="18" s="1"/>
  <c r="D32" i="18"/>
  <c r="J32" i="18" s="1"/>
  <c r="C32" i="18"/>
  <c r="H32" i="18" s="1"/>
  <c r="D31" i="18"/>
  <c r="J31" i="18" s="1"/>
  <c r="C31" i="18"/>
  <c r="H31" i="18" s="1"/>
  <c r="D30" i="18"/>
  <c r="J30" i="18" s="1"/>
  <c r="C30" i="18"/>
  <c r="H30" i="18" s="1"/>
  <c r="I47" i="18" l="1"/>
  <c r="K47" i="18" s="1"/>
  <c r="I36" i="18"/>
  <c r="K36" i="18" s="1"/>
  <c r="I33" i="18"/>
  <c r="K33" i="18" s="1"/>
  <c r="I39" i="18"/>
  <c r="K39" i="18" s="1"/>
  <c r="I32" i="18"/>
  <c r="K32" i="18" s="1"/>
  <c r="I34" i="18"/>
  <c r="K34" i="18" s="1"/>
  <c r="I37" i="18"/>
  <c r="K37" i="18" s="1"/>
  <c r="I40" i="18"/>
  <c r="K40" i="18" s="1"/>
  <c r="I38" i="18"/>
  <c r="K38" i="18" s="1"/>
  <c r="I30" i="18"/>
  <c r="K30" i="18" s="1"/>
  <c r="I41" i="18"/>
  <c r="K41" i="18" s="1"/>
  <c r="I31" i="18"/>
  <c r="K31" i="18" s="1"/>
  <c r="I35" i="18"/>
  <c r="K35" i="18" s="1"/>
  <c r="E44" i="7" l="1"/>
  <c r="G44" i="7" s="1"/>
  <c r="H44" i="7" s="1"/>
  <c r="D44" i="7"/>
  <c r="E43" i="7"/>
  <c r="G43" i="7" s="1"/>
  <c r="H43" i="7" s="1"/>
  <c r="D43" i="7"/>
  <c r="E42" i="7"/>
  <c r="G42" i="7" s="1"/>
  <c r="H42" i="7" s="1"/>
  <c r="D42" i="7"/>
  <c r="E41" i="7"/>
  <c r="G41" i="7" s="1"/>
  <c r="H41" i="7" s="1"/>
  <c r="D41" i="7"/>
  <c r="E40" i="7"/>
  <c r="G40" i="7" s="1"/>
  <c r="H40" i="7" s="1"/>
  <c r="D40" i="7"/>
  <c r="E39" i="7"/>
  <c r="G39" i="7" s="1"/>
  <c r="H39" i="7" s="1"/>
  <c r="D39" i="7"/>
  <c r="E38" i="7"/>
  <c r="G38" i="7" s="1"/>
  <c r="H38" i="7" s="1"/>
  <c r="D38" i="7"/>
  <c r="E37" i="7"/>
  <c r="G37" i="7" s="1"/>
  <c r="H37" i="7" s="1"/>
  <c r="D37" i="7"/>
  <c r="E36" i="7"/>
  <c r="G36" i="7" s="1"/>
  <c r="H36" i="7" s="1"/>
  <c r="D36" i="7"/>
  <c r="E35" i="7"/>
  <c r="G35" i="7" s="1"/>
  <c r="H35" i="7" s="1"/>
  <c r="D35" i="7"/>
  <c r="E34" i="7"/>
  <c r="G34" i="7" s="1"/>
  <c r="H34" i="7" s="1"/>
  <c r="D34" i="7"/>
  <c r="E33" i="7"/>
  <c r="G33" i="7" s="1"/>
  <c r="H33" i="7" s="1"/>
  <c r="D33" i="7"/>
  <c r="E32" i="7"/>
  <c r="G32" i="7" s="1"/>
  <c r="H32" i="7" s="1"/>
  <c r="D32" i="7"/>
  <c r="E31" i="7"/>
  <c r="G31" i="7" s="1"/>
  <c r="H31" i="7" s="1"/>
  <c r="D31" i="7"/>
  <c r="D48" i="18"/>
  <c r="J48" i="18" s="1"/>
  <c r="C48" i="18"/>
  <c r="H48" i="18" s="1"/>
  <c r="D46" i="18"/>
  <c r="J46" i="18" s="1"/>
  <c r="C46" i="18"/>
  <c r="H46" i="18" s="1"/>
  <c r="D45" i="18"/>
  <c r="I45" i="18" s="1"/>
  <c r="C45" i="18"/>
  <c r="H45" i="18" s="1"/>
  <c r="D44" i="18"/>
  <c r="J44" i="18" s="1"/>
  <c r="C44" i="18"/>
  <c r="H44" i="18" s="1"/>
  <c r="D43" i="18"/>
  <c r="J43" i="18" s="1"/>
  <c r="C43" i="18"/>
  <c r="H43" i="18" s="1"/>
  <c r="D42" i="18"/>
  <c r="I42" i="18" s="1"/>
  <c r="C42" i="18"/>
  <c r="H42" i="18" s="1"/>
  <c r="G49" i="13"/>
  <c r="F49" i="13" s="1"/>
  <c r="B9" i="2"/>
  <c r="I48" i="18" l="1"/>
  <c r="K48" i="18" s="1"/>
  <c r="J42" i="18"/>
  <c r="K42" i="18" s="1"/>
  <c r="J45" i="18"/>
  <c r="K45" i="18" s="1"/>
  <c r="I43" i="18"/>
  <c r="K43" i="18" s="1"/>
  <c r="I46" i="18"/>
  <c r="K46" i="18" s="1"/>
  <c r="I44" i="18"/>
  <c r="K44" i="18" s="1"/>
  <c r="B25" i="9"/>
  <c r="C12" i="9" s="1"/>
  <c r="C10" i="9" l="1"/>
  <c r="A7" i="29" l="1"/>
  <c r="A4" i="29"/>
  <c r="A5" i="29"/>
  <c r="A6" i="29"/>
  <c r="A3" i="29"/>
  <c r="A5" i="25"/>
  <c r="A6" i="25"/>
  <c r="A7" i="25"/>
  <c r="A8" i="25"/>
  <c r="A4" i="25"/>
  <c r="D9" i="7"/>
  <c r="E9" i="7"/>
  <c r="G9" i="7" s="1"/>
  <c r="D10" i="7"/>
  <c r="E10" i="7"/>
  <c r="G10" i="7" s="1"/>
  <c r="H10" i="7" s="1"/>
  <c r="D11" i="7"/>
  <c r="E11" i="7"/>
  <c r="G11" i="7" s="1"/>
  <c r="H11" i="7" s="1"/>
  <c r="D12" i="7"/>
  <c r="E12" i="7"/>
  <c r="G12" i="7" s="1"/>
  <c r="H12" i="7" s="1"/>
  <c r="D13" i="7"/>
  <c r="E13" i="7"/>
  <c r="G13" i="7" s="1"/>
  <c r="H13" i="7" s="1"/>
  <c r="D14" i="7"/>
  <c r="E14" i="7"/>
  <c r="G14" i="7" s="1"/>
  <c r="H14" i="7" s="1"/>
  <c r="D15" i="7"/>
  <c r="E15" i="7"/>
  <c r="G15" i="7" s="1"/>
  <c r="H15" i="7" s="1"/>
  <c r="D16" i="7"/>
  <c r="E16" i="7"/>
  <c r="G16" i="7" s="1"/>
  <c r="H16" i="7" s="1"/>
  <c r="D17" i="7"/>
  <c r="E17" i="7"/>
  <c r="G17" i="7" s="1"/>
  <c r="H17" i="7" s="1"/>
  <c r="D18" i="7"/>
  <c r="E18" i="7"/>
  <c r="G18" i="7" s="1"/>
  <c r="H18" i="7" s="1"/>
  <c r="D19" i="7"/>
  <c r="E19" i="7"/>
  <c r="G19" i="7" s="1"/>
  <c r="H19" i="7" s="1"/>
  <c r="D20" i="7"/>
  <c r="E20" i="7"/>
  <c r="G20" i="7" s="1"/>
  <c r="H20" i="7" s="1"/>
  <c r="D21" i="7"/>
  <c r="E21" i="7"/>
  <c r="G21" i="7" s="1"/>
  <c r="H21" i="7" s="1"/>
  <c r="D22" i="7"/>
  <c r="E22" i="7"/>
  <c r="G22" i="7" s="1"/>
  <c r="H22" i="7" s="1"/>
  <c r="D23" i="7"/>
  <c r="E23" i="7"/>
  <c r="G23" i="7" s="1"/>
  <c r="H23" i="7" s="1"/>
  <c r="D24" i="7"/>
  <c r="E24" i="7"/>
  <c r="G24" i="7" s="1"/>
  <c r="H24" i="7" s="1"/>
  <c r="D25" i="7"/>
  <c r="E25" i="7"/>
  <c r="G25" i="7" s="1"/>
  <c r="H25" i="7" s="1"/>
  <c r="D26" i="7"/>
  <c r="E26" i="7"/>
  <c r="G26" i="7" s="1"/>
  <c r="H26" i="7" s="1"/>
  <c r="D27" i="7"/>
  <c r="E27" i="7"/>
  <c r="G27" i="7" s="1"/>
  <c r="H27" i="7" s="1"/>
  <c r="D28" i="7"/>
  <c r="E28" i="7"/>
  <c r="G28" i="7" s="1"/>
  <c r="H28" i="7" s="1"/>
  <c r="D29" i="7"/>
  <c r="E29" i="7"/>
  <c r="G29" i="7" s="1"/>
  <c r="H29" i="7" s="1"/>
  <c r="D30" i="7"/>
  <c r="E30" i="7"/>
  <c r="G30" i="7" s="1"/>
  <c r="H30" i="7" s="1"/>
  <c r="D45" i="7"/>
  <c r="E45" i="7"/>
  <c r="G45" i="7" s="1"/>
  <c r="H45" i="7" s="1"/>
  <c r="D46" i="7"/>
  <c r="E46" i="7"/>
  <c r="G46" i="7" s="1"/>
  <c r="H46" i="7" s="1"/>
  <c r="D47" i="7"/>
  <c r="E47" i="7"/>
  <c r="G47" i="7" s="1"/>
  <c r="H47" i="7" s="1"/>
  <c r="D48" i="7"/>
  <c r="E48" i="7"/>
  <c r="G48" i="7" s="1"/>
  <c r="H48" i="7" s="1"/>
  <c r="D49" i="7"/>
  <c r="E49" i="7"/>
  <c r="G49" i="7" s="1"/>
  <c r="H49" i="7" s="1"/>
  <c r="D50" i="7"/>
  <c r="E50" i="7"/>
  <c r="G50" i="7" s="1"/>
  <c r="H50" i="7" s="1"/>
  <c r="D51" i="7"/>
  <c r="E51" i="7"/>
  <c r="G51" i="7" s="1"/>
  <c r="H51" i="7" s="1"/>
  <c r="D52" i="7"/>
  <c r="E52" i="7"/>
  <c r="G52" i="7" s="1"/>
  <c r="H52" i="7" s="1"/>
  <c r="D53" i="7"/>
  <c r="E53" i="7"/>
  <c r="G53" i="7" s="1"/>
  <c r="H53" i="7" s="1"/>
  <c r="G8" i="7"/>
  <c r="D8" i="7"/>
  <c r="C4" i="18"/>
  <c r="H4" i="18" s="1"/>
  <c r="D4" i="18"/>
  <c r="J4" i="18" s="1"/>
  <c r="C5" i="18"/>
  <c r="H5" i="18" s="1"/>
  <c r="D5" i="18"/>
  <c r="I5" i="18" s="1"/>
  <c r="C6" i="18"/>
  <c r="H6" i="18" s="1"/>
  <c r="D6" i="18"/>
  <c r="J6" i="18" s="1"/>
  <c r="C7" i="18"/>
  <c r="H7" i="18" s="1"/>
  <c r="D7" i="18"/>
  <c r="I7" i="18" s="1"/>
  <c r="C8" i="18"/>
  <c r="H8" i="18" s="1"/>
  <c r="D8" i="18"/>
  <c r="I8" i="18" s="1"/>
  <c r="C9" i="18"/>
  <c r="H9" i="18" s="1"/>
  <c r="D9" i="18"/>
  <c r="J9" i="18" s="1"/>
  <c r="C10" i="18"/>
  <c r="H10" i="18" s="1"/>
  <c r="D10" i="18"/>
  <c r="I10" i="18" s="1"/>
  <c r="C11" i="18"/>
  <c r="H11" i="18" s="1"/>
  <c r="D11" i="18"/>
  <c r="I11" i="18" s="1"/>
  <c r="C12" i="18"/>
  <c r="H12" i="18" s="1"/>
  <c r="D12" i="18"/>
  <c r="I12" i="18" s="1"/>
  <c r="C13" i="18"/>
  <c r="H13" i="18" s="1"/>
  <c r="D13" i="18"/>
  <c r="J13" i="18" s="1"/>
  <c r="C14" i="18"/>
  <c r="H14" i="18" s="1"/>
  <c r="D14" i="18"/>
  <c r="I14" i="18" s="1"/>
  <c r="C15" i="18"/>
  <c r="H15" i="18" s="1"/>
  <c r="D15" i="18"/>
  <c r="I15" i="18" s="1"/>
  <c r="C16" i="18"/>
  <c r="H16" i="18" s="1"/>
  <c r="D16" i="18"/>
  <c r="I16" i="18" s="1"/>
  <c r="C17" i="18"/>
  <c r="H17" i="18" s="1"/>
  <c r="D17" i="18"/>
  <c r="J17" i="18" s="1"/>
  <c r="C18" i="18"/>
  <c r="H18" i="18" s="1"/>
  <c r="D18" i="18"/>
  <c r="I18" i="18" s="1"/>
  <c r="C19" i="18"/>
  <c r="H19" i="18" s="1"/>
  <c r="D19" i="18"/>
  <c r="I19" i="18" s="1"/>
  <c r="C20" i="18"/>
  <c r="H20" i="18" s="1"/>
  <c r="D20" i="18"/>
  <c r="J20" i="18" s="1"/>
  <c r="C21" i="18"/>
  <c r="H21" i="18" s="1"/>
  <c r="D21" i="18"/>
  <c r="I21" i="18" s="1"/>
  <c r="C22" i="18"/>
  <c r="H22" i="18" s="1"/>
  <c r="D22" i="18"/>
  <c r="I22" i="18" s="1"/>
  <c r="C23" i="18"/>
  <c r="H23" i="18" s="1"/>
  <c r="D23" i="18"/>
  <c r="I23" i="18" s="1"/>
  <c r="C24" i="18"/>
  <c r="H24" i="18" s="1"/>
  <c r="D24" i="18"/>
  <c r="I24" i="18" s="1"/>
  <c r="C25" i="18"/>
  <c r="H25" i="18" s="1"/>
  <c r="D25" i="18"/>
  <c r="I25" i="18" s="1"/>
  <c r="C26" i="18"/>
  <c r="H26" i="18" s="1"/>
  <c r="D26" i="18"/>
  <c r="J26" i="18" s="1"/>
  <c r="C27" i="18"/>
  <c r="H27" i="18" s="1"/>
  <c r="D27" i="18"/>
  <c r="I27" i="18" s="1"/>
  <c r="C28" i="18"/>
  <c r="H28" i="18" s="1"/>
  <c r="D28" i="18"/>
  <c r="J28" i="18" s="1"/>
  <c r="C29" i="18"/>
  <c r="H29" i="18" s="1"/>
  <c r="D29" i="18"/>
  <c r="I29" i="18" s="1"/>
  <c r="D3" i="18"/>
  <c r="C3" i="18"/>
  <c r="B4" i="18"/>
  <c r="B5" i="18"/>
  <c r="B6" i="18"/>
  <c r="B7" i="18"/>
  <c r="B8" i="18"/>
  <c r="B9" i="18"/>
  <c r="B10" i="18"/>
  <c r="B11" i="18"/>
  <c r="B12" i="18"/>
  <c r="B13" i="18"/>
  <c r="B14" i="18"/>
  <c r="B15" i="18"/>
  <c r="B16" i="18"/>
  <c r="B17" i="18"/>
  <c r="B18" i="18"/>
  <c r="B19" i="18"/>
  <c r="B20" i="18"/>
  <c r="B21" i="18"/>
  <c r="B22" i="18"/>
  <c r="B23" i="18"/>
  <c r="B24" i="18"/>
  <c r="B25" i="18"/>
  <c r="B3" i="18"/>
  <c r="I28" i="18" l="1"/>
  <c r="K28" i="18" s="1"/>
  <c r="J19" i="18"/>
  <c r="J15" i="18"/>
  <c r="K15" i="18" s="1"/>
  <c r="I20" i="18"/>
  <c r="K20" i="18" s="1"/>
  <c r="H9" i="7"/>
  <c r="B60" i="7"/>
  <c r="I4" i="18"/>
  <c r="K4" i="18" s="1"/>
  <c r="I9" i="18"/>
  <c r="K9" i="18" s="1"/>
  <c r="J24" i="18"/>
  <c r="K24" i="18" s="1"/>
  <c r="J8" i="18"/>
  <c r="K8" i="18" s="1"/>
  <c r="J23" i="18"/>
  <c r="K23" i="18" s="1"/>
  <c r="I13" i="18"/>
  <c r="K19" i="18"/>
  <c r="I26" i="18"/>
  <c r="K26" i="18" s="1"/>
  <c r="J14" i="18"/>
  <c r="K14" i="18" s="1"/>
  <c r="K13" i="18"/>
  <c r="J25" i="18"/>
  <c r="K25" i="18" s="1"/>
  <c r="J7" i="18"/>
  <c r="K7" i="18" s="1"/>
  <c r="J29" i="18"/>
  <c r="K29" i="18" s="1"/>
  <c r="J18" i="18"/>
  <c r="K18" i="18" s="1"/>
  <c r="I6" i="18"/>
  <c r="K6" i="18" s="1"/>
  <c r="I17" i="18"/>
  <c r="K17" i="18" s="1"/>
  <c r="J12" i="18"/>
  <c r="K12" i="18" s="1"/>
  <c r="D54" i="7"/>
  <c r="H8" i="7"/>
  <c r="G54" i="7"/>
  <c r="E54" i="7"/>
  <c r="J21" i="18"/>
  <c r="K21" i="18" s="1"/>
  <c r="J10" i="18"/>
  <c r="K10" i="18" s="1"/>
  <c r="J27" i="18"/>
  <c r="K27" i="18" s="1"/>
  <c r="J16" i="18"/>
  <c r="K16" i="18" s="1"/>
  <c r="J5" i="18"/>
  <c r="K5" i="18" s="1"/>
  <c r="J22" i="18"/>
  <c r="K22" i="18" s="1"/>
  <c r="J11" i="18"/>
  <c r="K11" i="18" s="1"/>
  <c r="H49" i="13" l="1"/>
  <c r="J49" i="13"/>
  <c r="C49" i="18" s="1"/>
  <c r="I18" i="1"/>
  <c r="I13" i="1"/>
  <c r="F33" i="13" l="1"/>
  <c r="F32" i="13"/>
  <c r="F31" i="13"/>
  <c r="F30" i="13"/>
  <c r="F29" i="13"/>
  <c r="F28" i="13"/>
  <c r="F27" i="13"/>
  <c r="F26" i="13"/>
  <c r="F38" i="13"/>
  <c r="F37" i="13"/>
  <c r="F36" i="13"/>
  <c r="F35" i="13"/>
  <c r="F34" i="13"/>
  <c r="D49" i="18"/>
  <c r="G11" i="9"/>
  <c r="G10" i="9"/>
  <c r="A49" i="18" l="1"/>
  <c r="B49" i="18"/>
  <c r="G13" i="9" l="1"/>
  <c r="F4" i="13" l="1"/>
  <c r="F39" i="13"/>
  <c r="F41" i="13"/>
  <c r="F42" i="13"/>
  <c r="F43" i="13"/>
  <c r="F44" i="13"/>
  <c r="F45" i="13"/>
  <c r="F46" i="13"/>
  <c r="F47" i="13"/>
  <c r="F18" i="13"/>
  <c r="F3" i="13"/>
  <c r="F5" i="13"/>
  <c r="F40" i="13"/>
  <c r="F6" i="13"/>
  <c r="F7" i="13"/>
  <c r="F8" i="13"/>
  <c r="F9" i="13"/>
  <c r="F10" i="13"/>
  <c r="F11" i="13"/>
  <c r="F12" i="13"/>
  <c r="F14" i="13"/>
  <c r="F15" i="13"/>
  <c r="F16" i="13"/>
  <c r="F17" i="13"/>
  <c r="F19" i="13"/>
  <c r="F20" i="13"/>
  <c r="F21" i="13"/>
  <c r="F22" i="13"/>
  <c r="F23" i="13"/>
  <c r="F24" i="13"/>
  <c r="F25" i="13"/>
  <c r="F13" i="13"/>
  <c r="F48" i="13"/>
  <c r="H54" i="7" l="1"/>
  <c r="A7" i="9"/>
  <c r="A1" i="18"/>
  <c r="B71" i="7"/>
  <c r="C61" i="7" l="1"/>
  <c r="D61" i="7" s="1"/>
  <c r="C60" i="7"/>
  <c r="D60" i="7" s="1"/>
  <c r="E60" i="7" s="1"/>
  <c r="B62" i="7"/>
  <c r="F62" i="7" s="1"/>
  <c r="A4" i="21"/>
  <c r="G12" i="9"/>
  <c r="G15" i="9" s="1"/>
  <c r="E61" i="7" l="1"/>
  <c r="C62" i="7"/>
  <c r="D62" i="7" s="1"/>
  <c r="G9" i="9"/>
  <c r="A1" i="31"/>
  <c r="F60" i="7" l="1"/>
  <c r="G60" i="7" s="1"/>
  <c r="E3" i="7"/>
  <c r="G14" i="9"/>
  <c r="A3" i="9" s="1"/>
  <c r="F61" i="7"/>
  <c r="J14" i="1"/>
  <c r="K14" i="1"/>
  <c r="L14" i="1"/>
  <c r="M14" i="1"/>
  <c r="N14" i="1"/>
  <c r="O14" i="1"/>
  <c r="P14" i="1"/>
  <c r="Q14" i="1"/>
  <c r="R14" i="1"/>
  <c r="S14" i="1"/>
  <c r="T14" i="1"/>
  <c r="U14" i="1"/>
  <c r="V14" i="1"/>
  <c r="W14" i="1"/>
  <c r="X14" i="1"/>
  <c r="I14" i="1"/>
  <c r="I60" i="7" l="1"/>
  <c r="E4" i="7"/>
  <c r="G61" i="7"/>
  <c r="I61" i="7" s="1"/>
  <c r="D4" i="7"/>
  <c r="D3" i="7"/>
  <c r="I64" i="7"/>
  <c r="G16" i="9"/>
  <c r="B3" i="9"/>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J13" i="1"/>
  <c r="K13" i="1"/>
  <c r="L13" i="1"/>
  <c r="M13" i="1"/>
  <c r="N13" i="1"/>
  <c r="O13" i="1"/>
  <c r="P13" i="1"/>
  <c r="Q13" i="1"/>
  <c r="R13" i="1"/>
  <c r="S13" i="1"/>
  <c r="T13" i="1"/>
  <c r="U13" i="1"/>
  <c r="V13" i="1"/>
  <c r="W13" i="1"/>
  <c r="X13" i="1"/>
  <c r="C3" i="9" l="1"/>
  <c r="J3" i="18"/>
  <c r="J49" i="18" s="1"/>
  <c r="I3" i="18" l="1"/>
  <c r="I49" i="18" s="1"/>
  <c r="H3" i="18"/>
  <c r="H49" i="18" s="1"/>
  <c r="K3" i="18" l="1"/>
  <c r="K49" i="18" s="1"/>
  <c r="B3" i="1" l="1"/>
  <c r="B18" i="1" s="1"/>
  <c r="B8" i="1" l="1"/>
  <c r="B13" i="1"/>
  <c r="H5" i="21" l="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<sst xmlns="http://schemas.openxmlformats.org/spreadsheetml/2006/main" count="1116" uniqueCount="496">
  <si>
    <t>Data Sources</t>
  </si>
  <si>
    <t>Dataset</t>
  </si>
  <si>
    <t>Dodge 2023</t>
  </si>
  <si>
    <t>CEUS 2022</t>
  </si>
  <si>
    <t>ComStock 2023</t>
  </si>
  <si>
    <t>Prototype</t>
  </si>
  <si>
    <t>CEC School prototype (CBECC 2022.3.1)</t>
  </si>
  <si>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</si>
  <si>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</si>
  <si>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</si>
  <si>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</si>
  <si>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</si>
  <si>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</si>
  <si>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</si>
  <si>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</si>
  <si>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</si>
  <si>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</si>
  <si>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</si>
  <si>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</si>
  <si>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</si>
  <si>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</si>
  <si>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</si>
  <si>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</si>
  <si>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</si>
  <si>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</si>
  <si>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Air leakage Memo, NORESCO, 2025</t>
  </si>
  <si>
    <t>Infiltration_rate_report_14May2025-Short-Version.docx</t>
  </si>
  <si>
    <t>Construction Rate</t>
  </si>
  <si>
    <t>Notes</t>
  </si>
  <si>
    <t>NORESCO, Updated September 2025</t>
  </si>
  <si>
    <t>SchoolLarge</t>
  </si>
  <si>
    <t>Characteristic</t>
  </si>
  <si>
    <t>Value</t>
  </si>
  <si>
    <t>Building Type</t>
  </si>
  <si>
    <t>Large School</t>
  </si>
  <si>
    <t>Building Category</t>
  </si>
  <si>
    <t>Nonresidential</t>
  </si>
  <si>
    <t>Vintages</t>
  </si>
  <si>
    <t>4 Vintages: Pre-1978, 1978-1997,1998-2007,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</si>
  <si>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</si>
  <si>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</si>
  <si>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</si>
  <si>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</si>
  <si>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</si>
  <si>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</si>
  <si>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</si>
  <si>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Number of Floors</t>
  </si>
  <si>
    <t>Roof type</t>
  </si>
  <si>
    <t>Flat</t>
  </si>
  <si>
    <t>WWR</t>
  </si>
  <si>
    <t>Shading Geometry</t>
  </si>
  <si>
    <t xml:space="preserve">No Shades </t>
  </si>
  <si>
    <t>Floor to floor height (feet)</t>
  </si>
  <si>
    <t>13.2 ft</t>
  </si>
  <si>
    <t>Floor to ceiling height (feet)</t>
  </si>
  <si>
    <t>Glazing sill height (feet)</t>
  </si>
  <si>
    <t>3.6 ft</t>
  </si>
  <si>
    <t>Above grade wall area (ft²)</t>
  </si>
  <si>
    <t>Gross wall area  (ft²)</t>
  </si>
  <si>
    <t>Roof area  (ft²)</t>
  </si>
  <si>
    <t>Underground Gross Wall Area  (ft²)</t>
  </si>
  <si>
    <t>Space Type</t>
  </si>
  <si>
    <t>Space/Thermal Zone</t>
  </si>
  <si>
    <t>HVAC System Name/AHU Name</t>
  </si>
  <si>
    <t>Schedule Category</t>
  </si>
  <si>
    <t>Conditioned (Y/N)</t>
  </si>
  <si>
    <t>Area Fraction</t>
  </si>
  <si>
    <t>Area (ft²)</t>
  </si>
  <si>
    <t>Volume (ft³)</t>
  </si>
  <si>
    <t>Multipliers</t>
  </si>
  <si>
    <t>Number of People</t>
  </si>
  <si>
    <t xml:space="preserve">People 
(Persons/1,000 ft²)
[T24, 2025,Table 120.1-A] </t>
  </si>
  <si>
    <t>Auditorium Area</t>
  </si>
  <si>
    <t>Auditorium_FF_Zn</t>
  </si>
  <si>
    <t>BaseAirSys5</t>
  </si>
  <si>
    <t>Classroom</t>
  </si>
  <si>
    <t>Y</t>
  </si>
  <si>
    <t>Exercise/Fitness Center and Gymnasium Areas</t>
  </si>
  <si>
    <t>Aux_Gym_FF_Zn</t>
  </si>
  <si>
    <t>Restrooms</t>
  </si>
  <si>
    <t>Bathrooms_FF_Zn</t>
  </si>
  <si>
    <t>Bathrooms_SF_Zn</t>
  </si>
  <si>
    <t>BaseAirSys5-2</t>
  </si>
  <si>
    <t>Dining Area (Cafeteria/Fast Food)</t>
  </si>
  <si>
    <t>Cafeteria_FF_Zn</t>
  </si>
  <si>
    <t>Classroom, Lecture, Training, Vocational Areas</t>
  </si>
  <si>
    <t>Corner_Class_1_Pod_1_FF_Zn</t>
  </si>
  <si>
    <t>Corner_Class_1_Pod_1_SF_Zn</t>
  </si>
  <si>
    <t>Corner_Class_1_Pod_2_FF_Zn</t>
  </si>
  <si>
    <t>Corner_Class_1_Pod_2_SF_Zn</t>
  </si>
  <si>
    <t>Corner_Class_1_Pod_3_FF_Zn</t>
  </si>
  <si>
    <t>Corner_Class_1_Pod_3_SF_Zn</t>
  </si>
  <si>
    <t>Corner_Class_2_Pod_1_FF_Zn</t>
  </si>
  <si>
    <t>Corner_Class_2_Pod_1_SF_Zn</t>
  </si>
  <si>
    <t>Corner_Class_2_Pod_2_FF_Zn</t>
  </si>
  <si>
    <t>Corner_Class_2_Pod_2_SF_Zn</t>
  </si>
  <si>
    <t>Corner_Class_2_Pod_3_FF_Zn</t>
  </si>
  <si>
    <t>Corner_Class_2_Pod_3_SF_Zn</t>
  </si>
  <si>
    <t>Corridor Area</t>
  </si>
  <si>
    <t>Corridor_Pod_1_FF_Zn</t>
  </si>
  <si>
    <t>Corridor_Pod_1_SF_Zn</t>
  </si>
  <si>
    <t>Corridor_Pod_2_FF_Zn</t>
  </si>
  <si>
    <t>Corridor_Pod_2_SF_Zn</t>
  </si>
  <si>
    <t>Corridor_Pod_3_FF_Zn</t>
  </si>
  <si>
    <t>Corridor_Pod_3_SF_Zn</t>
  </si>
  <si>
    <t>Gym_FF_Zn</t>
  </si>
  <si>
    <t>Gym</t>
  </si>
  <si>
    <t>Kitchen/Food Preparation Area</t>
  </si>
  <si>
    <t>Kitchen_FF_Zn</t>
  </si>
  <si>
    <t>Kitchen</t>
  </si>
  <si>
    <t>Library (Reading Area)</t>
  </si>
  <si>
    <t>Library_Media_Center_SF_Zn</t>
  </si>
  <si>
    <t>Lobby, Main Entry</t>
  </si>
  <si>
    <t>Lobby_FF_Zn</t>
  </si>
  <si>
    <t>Lobby_SF_Zn</t>
  </si>
  <si>
    <t>Main_Corridor_FF_Zn</t>
  </si>
  <si>
    <t>Main_Corridor_SF_Zn</t>
  </si>
  <si>
    <t>Electrical, Mechanical, Telephone Rooms</t>
  </si>
  <si>
    <t>Mech_FF_Zn</t>
  </si>
  <si>
    <t>Mech_SF_Zn</t>
  </si>
  <si>
    <t>Mult_Class_1_Pod_1_FF_Zn</t>
  </si>
  <si>
    <t>Mult_Class_1_Pod_1_SF_Zn</t>
  </si>
  <si>
    <t>Mult_Class_1_Pod_2_FF_Zn</t>
  </si>
  <si>
    <t>Mult_Class_1_Pod_2_SF_Zn</t>
  </si>
  <si>
    <t>Mult_Class_1_Pod_3_FF_Zn</t>
  </si>
  <si>
    <t>Mult_Class_1_Pod_3_SF_Zn</t>
  </si>
  <si>
    <t>Mult_Class_2_Pod_1_FF_Zn</t>
  </si>
  <si>
    <t>Mult_Class_2_Pod_1_SF_Zn</t>
  </si>
  <si>
    <t>Mult_Class_2_Pod_2_FF_Zn</t>
  </si>
  <si>
    <t>Mult_Class_2_Pod_2_SF_Zn</t>
  </si>
  <si>
    <t>Mult_Class_2_Pod_3_FF_Zn</t>
  </si>
  <si>
    <t>Mult_Class_2_Pod_3_SF_Zn</t>
  </si>
  <si>
    <t>Office Area (&gt;250 square feet)</t>
  </si>
  <si>
    <t>Offices_FF_Zn</t>
  </si>
  <si>
    <t>Offices_SF_Zn</t>
  </si>
  <si>
    <t>Total (11 Space types)</t>
  </si>
  <si>
    <t>Total (46 spaces)</t>
  </si>
  <si>
    <t>Total ( 5 HVAC zones)</t>
  </si>
  <si>
    <t>Total (3 Schedule categories)</t>
  </si>
  <si>
    <t xml:space="preserve"> Total (46 Conditioned zones)</t>
  </si>
  <si>
    <t>Background Data [To be deleted prior to publication]</t>
  </si>
  <si>
    <t>Element</t>
  </si>
  <si>
    <t>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</si>
  <si>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</si>
  <si>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</si>
  <si>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</si>
  <si>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</si>
  <si>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</si>
  <si>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</si>
  <si>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</si>
  <si>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</si>
  <si>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</si>
  <si>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</si>
  <si>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</si>
  <si>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</si>
  <si>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</si>
  <si>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</si>
  <si>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</si>
  <si>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</si>
  <si>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</si>
  <si>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</si>
  <si>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</si>
  <si>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</si>
  <si>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</si>
  <si>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</si>
  <si>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</si>
  <si>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</si>
  <si>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</si>
  <si>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</si>
  <si>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</si>
  <si>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 2022, Table A3.4.3.1, 3.5", R-0</t>
  </si>
  <si>
    <t>1978-1997</t>
  </si>
  <si>
    <t xml:space="preserve">Table 2-53V-16: Package A/ Heat Capacity was considered 10.0-14.99 (BTU/F/ft²) </t>
  </si>
  <si>
    <t>1998-2007</t>
  </si>
  <si>
    <t>Table 1-H</t>
  </si>
  <si>
    <t>2008-2018</t>
  </si>
  <si>
    <t>Table 140.3-B</t>
  </si>
  <si>
    <t>2019+</t>
  </si>
  <si>
    <t>Roof</t>
  </si>
  <si>
    <t>FlatRoof_WoodFramedAndOther_NonRes</t>
  </si>
  <si>
    <t>Built-up Roof
roof membrane+roof insulation+metal decking</t>
  </si>
  <si>
    <t>Table 2-53V-16: 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</si>
  <si>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</si>
  <si>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</si>
  <si>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</si>
  <si>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</si>
  <si>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</si>
  <si>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</si>
  <si>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</si>
  <si>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</si>
  <si>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</si>
  <si>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I_75
6-Sided Inifltration rate 
@ 75 pa</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</si>
  <si>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</si>
  <si>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</si>
  <si>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</si>
  <si>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</si>
  <si>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</si>
  <si>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</si>
  <si>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Zones</t>
  </si>
  <si>
    <t xml:space="preserve">Heating </t>
  </si>
  <si>
    <t>Cooling</t>
  </si>
  <si>
    <t>Air Distribution</t>
  </si>
  <si>
    <t>Source</t>
  </si>
  <si>
    <t>Exisiting</t>
  </si>
  <si>
    <t>All Space Types</t>
  </si>
  <si>
    <t>Gas Boiler</t>
  </si>
  <si>
    <t>Air-cooled Chiller</t>
  </si>
  <si>
    <t>VAV + Hydronic reheat</t>
  </si>
  <si>
    <t>Engineering Judgement</t>
  </si>
  <si>
    <t>System 6</t>
  </si>
  <si>
    <t>New Construction</t>
  </si>
  <si>
    <t xml:space="preserve">Efficiency of HVAC system </t>
  </si>
  <si>
    <t>Upgrade/Installed year</t>
  </si>
  <si>
    <t>Gas-Fired Boiler</t>
  </si>
  <si>
    <t>Heating DX</t>
  </si>
  <si>
    <t>Water Cooled Chiller</t>
  </si>
  <si>
    <t>Heat Rejection (Cooling Tower)</t>
  </si>
  <si>
    <t>If 300,000 Btu/h ≤ input &lt; 2.5 MMBtu/h: Et ≥ 75%</t>
  </si>
  <si>
    <t>n/a</t>
  </si>
  <si>
    <t>Centrifugal ≥ 300: 
COP_FL ≥ 6.10
 IPLV COP ≥ 6.40 (ARI 550/590)</t>
  </si>
  <si>
    <t xml:space="preserve"> Axial fan 
Open-circuit cooling 
tower--95°F entering water 
85°F leaving water 
75°F entering air wb--≥ 38.2 gpm/hp </t>
  </si>
  <si>
    <t>T24, 2008, Table 112-D (for chiller COP) – Table 112-G (for boiler thermal efficiency)</t>
  </si>
  <si>
    <t>300k–2.5 MMBtu/h: Et ≥ 80%
&gt; 2.5 MMBtu/h: Ec ≥ 82%</t>
  </si>
  <si>
    <t>Positive-displacement (Screw) ≥ 300 and &lt; 600 tons: 
Path B
≤ 0.639 kW/ton
≤ 0.490 kW/ton IPLV (AHRI 550/590)</t>
  </si>
  <si>
    <t xml:space="preserve"> Axial fan 
Open-circuit cooling 
tower--95°F entering water 
85°F leaving water 
75°F entering air wb--≥ 42.1 gpm/hp </t>
  </si>
  <si>
    <r>
      <t>T24, 2013 Table 110.2-D ( for air cooled chiller) 
T24, 2013 Table 110.2-</t>
    </r>
    <r>
      <rPr>
        <sz val="10"/>
        <color theme="4"/>
        <rFont val="Arial"/>
        <family val="2"/>
      </rPr>
      <t>K (for boiler efficiency with capacity between 300,000-2,500,000 Btu/hr)</t>
    </r>
  </si>
  <si>
    <t>Boiler (hot-water, gas, &gt; 2.5 MMBtu/h): Ec ≥ 85%</t>
  </si>
  <si>
    <t>Positive-displacement (Screw) ≥ 300 and &lt; 600 tons: 
Path B
≤ 0.625 kW/ton
≤ 0.410 kW/ton IPLV</t>
  </si>
  <si>
    <t>T24, 2025 , Table 110.2-D (for chiller COP)
Table 110.2-J (for Boiler thermal efficiency)</t>
  </si>
  <si>
    <t>* Et = Combustion efficiency</t>
  </si>
  <si>
    <t>* Et = Thermal efficiency</t>
  </si>
  <si>
    <t>Fan power</t>
  </si>
  <si>
    <t>Approach</t>
  </si>
  <si>
    <t>System</t>
  </si>
  <si>
    <t>Total Static Pressure (TSP)
in w.c.
[PNNL 20405, 2010, Table 5.11]</t>
  </si>
  <si>
    <t>Fan Efficiency
[ACM, 2025]</t>
  </si>
  <si>
    <t>Fan Motor and Drive Efficiency 
[ACM 2025, Table 14]</t>
  </si>
  <si>
    <t>W/cfm
[ACM 2025, Table 15]</t>
  </si>
  <si>
    <t>Data Source</t>
  </si>
  <si>
    <t>Existing</t>
  </si>
  <si>
    <t>PNNL TSP</t>
  </si>
  <si>
    <t>VAV</t>
  </si>
  <si>
    <t>5.58 for VAV &gt;=20,000 cfm</t>
  </si>
  <si>
    <t>PNNL 2010 TSD</t>
  </si>
  <si>
    <t>Brake horse power (bhp)=(Supply cfm*TSP in w.c.)/(6356*Fan efficiency)</t>
  </si>
  <si>
    <t>Fan power (w/cfm) = bhp/motor and drive efficiency *746</t>
  </si>
  <si>
    <t>ACM 2025</t>
  </si>
  <si>
    <t>2025 ACM</t>
  </si>
  <si>
    <t>* 0.9 is an average fan efficiency according to ACM 2025, Table 14</t>
  </si>
  <si>
    <t>Fan total eff (E+ input) = 0.65 x Motor_eff</t>
  </si>
  <si>
    <t>TSP (E+ input) in w.c. = Motor_eff/746 x (6356 x Fan_eff) x W/cfm</t>
  </si>
  <si>
    <t>Fan_eff=0.65</t>
  </si>
  <si>
    <t>Gas</t>
  </si>
  <si>
    <t>Statewide</t>
  </si>
  <si>
    <t>Setpoint</t>
  </si>
  <si>
    <t>School Heating Setpoint (F)</t>
  </si>
  <si>
    <t>T24 2022 - Appendix 5.4B</t>
  </si>
  <si>
    <t>School Heating Setback (F)</t>
  </si>
  <si>
    <t>School Cooling Setpoint (F)</t>
  </si>
  <si>
    <t>School Cooling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</si>
  <si>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</si>
  <si>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</si>
  <si>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</si>
  <si>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</si>
  <si>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</si>
  <si>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</si>
  <si>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</si>
  <si>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</si>
  <si>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</si>
  <si>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</si>
  <si>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Tank Volume (gal)</t>
  </si>
  <si>
    <t>Tank Loss</t>
  </si>
  <si>
    <t xml:space="preserve">Existing  </t>
  </si>
  <si>
    <t>(Btu/hr)</t>
  </si>
  <si>
    <t>Section 1605.1. Federal and State Standards for Federally-Regulated Appliances.</t>
  </si>
  <si>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</si>
  <si>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</si>
  <si>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</si>
  <si>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</si>
  <si>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</si>
  <si>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</si>
  <si>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</si>
  <si>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</si>
  <si>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Total</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</si>
  <si>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</si>
  <si>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</si>
  <si>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</si>
  <si>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</si>
  <si>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</si>
  <si>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</si>
  <si>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Unit</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</si>
  <si>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</si>
  <si>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</si>
  <si>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</si>
  <si>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</si>
  <si>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</si>
  <si>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</si>
  <si>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</si>
  <si>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</si>
  <si>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</si>
  <si>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</si>
  <si>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</si>
  <si>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</si>
  <si>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</si>
  <si>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</si>
  <si>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</si>
  <si>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</si>
  <si>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</si>
  <si>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</si>
  <si>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</si>
  <si>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</si>
  <si>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</si>
  <si>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</si>
  <si>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</si>
  <si>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</si>
  <si>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</si>
  <si>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</si>
  <si>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</si>
  <si>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</si>
  <si>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</si>
  <si>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</si>
  <si>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</si>
  <si>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</si>
  <si>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</si>
  <si>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</si>
  <si>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</si>
  <si>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</si>
  <si>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</si>
  <si>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</si>
  <si>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</si>
  <si>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</si>
  <si>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</si>
  <si>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</si>
  <si>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</si>
  <si>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</si>
  <si>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</si>
  <si>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</si>
  <si>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</si>
  <si>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</si>
  <si>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Max Height (ft)</t>
  </si>
  <si>
    <t>Building footprint</t>
  </si>
  <si>
    <t>Floors</t>
  </si>
  <si>
    <t>Perimeter(ft)</t>
  </si>
  <si>
    <t>Total floor area (ft²)</t>
  </si>
  <si>
    <t>Hour</t>
  </si>
  <si>
    <t>Saturday</t>
  </si>
  <si>
    <t>Sunday</t>
  </si>
  <si>
    <t>Weekday</t>
  </si>
  <si>
    <t>Plug load Power Density (W/ft²)</t>
  </si>
  <si>
    <t>Gas Power Density (Btu/hr-ft²)</t>
  </si>
  <si>
    <t>Refrigeration Power Density (W/ft²)</t>
  </si>
  <si>
    <t>T24 2022 - Appendix 5.4A</t>
  </si>
  <si>
    <t>Plug load and schedules project with CEC, 2025</t>
  </si>
  <si>
    <t>Elevator</t>
  </si>
  <si>
    <t xml:space="preserve">No of Elevator </t>
  </si>
  <si>
    <t>Design Load (W)</t>
  </si>
  <si>
    <t>New Construction and Existing</t>
  </si>
  <si>
    <t xml:space="preserve">PNNL ASHRAE 90.1 2019 Large School prototype </t>
  </si>
  <si>
    <t>Assumptions for elevators:</t>
  </si>
  <si>
    <t xml:space="preserve">One elevator for approximately 50,000 ft² in use. </t>
  </si>
  <si>
    <t>https://buildingandinteriors.com/find-the-magic-number-elevators-per-building/</t>
  </si>
  <si>
    <t>For every two floors or two and a half floors, one more elevator was added.</t>
  </si>
  <si>
    <t>An in-use rate of 70% for the floor area was assumed, based on engineering judgment.</t>
  </si>
  <si>
    <t xml:space="preserve">Calculated number of Elevators: </t>
  </si>
  <si>
    <t>Calculate Elevator load (kw)based on ACM 2022:</t>
  </si>
  <si>
    <t xml:space="preserve">12 kW is PNNL ASHRE 90.1 2019 elevator load </t>
  </si>
  <si>
    <t>ACM 2022 suggestion for elevator load (kw):</t>
  </si>
  <si>
    <t>Elevator load will be defined as exterior load not equipment load.</t>
  </si>
  <si>
    <t>Zone</t>
  </si>
  <si>
    <t>Schedule</t>
  </si>
  <si>
    <t>Type</t>
  </si>
  <si>
    <t>School Zones</t>
  </si>
  <si>
    <t>Occupancy</t>
  </si>
  <si>
    <t>T24 2022 - Appendix 5.4B [School]</t>
  </si>
  <si>
    <t>Lights</t>
  </si>
  <si>
    <t>ElecEquipment</t>
  </si>
  <si>
    <t>ServiceHotWater</t>
  </si>
  <si>
    <t>GasEquipment</t>
  </si>
  <si>
    <t>Refrigeration</t>
  </si>
  <si>
    <t>HVACAvail</t>
  </si>
  <si>
    <t>HtgSetpt</t>
  </si>
  <si>
    <t>ClgSetpt</t>
  </si>
  <si>
    <t xml:space="preserve"> Classroom</t>
  </si>
  <si>
    <r>
      <t xml:space="preserve">T24 2022 - Appendix 5.4B
</t>
    </r>
    <r>
      <rPr>
        <sz val="9"/>
        <color rgb="FF00B050"/>
        <rFont val="Arial"/>
        <family val="2"/>
      </rPr>
      <t xml:space="preserve">
Updated based on the Plug Loads project</t>
    </r>
  </si>
  <si>
    <t>Kitchen Zone</t>
  </si>
  <si>
    <t>OAControl</t>
  </si>
  <si>
    <t>Gym Zone</t>
  </si>
  <si>
    <t>Building</t>
  </si>
  <si>
    <t>T24 2022 - Appendix 5.4B, [School]</t>
  </si>
  <si>
    <t>ExtLightingNonMotionCtrl</t>
  </si>
  <si>
    <t>ExtLightingMotionCtrl</t>
  </si>
  <si>
    <t>Auditorium</t>
  </si>
  <si>
    <t>PerformanceSpcPeopleActivityLevel</t>
  </si>
  <si>
    <t xml:space="preserve">Based on Activity level schedules in  CEC Prototypes </t>
  </si>
  <si>
    <t>GymPeopleActivityLevel</t>
  </si>
  <si>
    <t>CommonAreaPeopleActivityLevel</t>
  </si>
  <si>
    <t>MeetingPeopleActivityLevel</t>
  </si>
  <si>
    <t>DiningArea</t>
  </si>
  <si>
    <t>DiningAreaPeopleActivityLevel</t>
  </si>
  <si>
    <t>FunctionalAreaPeopleActivityLevel</t>
  </si>
  <si>
    <t>Based on Activity level schedules in  CEC Prototypes</t>
  </si>
  <si>
    <t>KitchenPeopleActivityLevel</t>
  </si>
  <si>
    <t>CZ</t>
  </si>
  <si>
    <t>Total Floorspace (Thousand of ft²)</t>
  </si>
  <si>
    <r>
      <rPr>
        <b/>
        <sz val="10"/>
        <color theme="1"/>
        <rFont val="Arial"/>
        <family val="2"/>
      </rPr>
      <t xml:space="preserve">Ref: </t>
    </r>
    <r>
      <rPr>
        <sz val="10"/>
        <color theme="1"/>
        <rFont val="Arial"/>
        <family val="2"/>
      </rPr>
      <t xml:space="preserve">CEUS 2022 Report </t>
    </r>
  </si>
  <si>
    <t>Vintage Bin</t>
  </si>
  <si>
    <t>Pre-1978</t>
  </si>
  <si>
    <t>Not available</t>
  </si>
  <si>
    <t>Ref: CEUS 2022 dataset</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</si>
  <si>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</si>
  <si>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</si>
  <si>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</si>
  <si>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</si>
  <si>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</si>
  <si>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</si>
  <si>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</si>
  <si>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</si>
  <si>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</si>
  <si>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</si>
  <si>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</si>
  <si>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</si>
  <si>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</si>
  <si>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</si>
  <si>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Concourse and Atria Area</t>
  </si>
  <si>
    <t>Convention, Conference, Multipurpose and Meeting Area</t>
  </si>
  <si>
    <t>Copy Room</t>
  </si>
  <si>
    <t>Dining Area (Bar/Lounge and Fine Dining)</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</si>
  <si>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</si>
  <si>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</si>
  <si>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</si>
  <si>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</si>
  <si>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</si>
  <si>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</si>
  <si>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</si>
  <si>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</si>
  <si>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</si>
  <si>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</si>
  <si>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</si>
  <si>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</si>
  <si>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</si>
  <si>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</si>
  <si>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</si>
  <si>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</si>
  <si>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</si>
  <si>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</si>
  <si>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</si>
  <si>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</si>
  <si>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</si>
  <si>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</si>
  <si>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</si>
  <si>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</si>
  <si>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</si>
  <si>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</si>
  <si>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</si>
  <si>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</si>
  <si>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</si>
  <si>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</si>
  <si>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</si>
  <si>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</si>
  <si>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</si>
  <si>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</si>
  <si>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</si>
  <si>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</si>
  <si>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</si>
  <si>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</si>
  <si>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</si>
  <si>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</si>
  <si>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</si>
  <si>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</si>
  <si>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</si>
  <si>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</si>
  <si>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</si>
  <si>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</si>
  <si>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</si>
  <si>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</si>
  <si>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</si>
  <si>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</si>
  <si>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Library, Office</t>
  </si>
  <si>
    <t>Lobby, Mech, Corridor, Restroom</t>
  </si>
  <si>
    <t>CalBEM Electricity EUI (KBTU/ft²)</t>
  </si>
  <si>
    <t>CalBEM Gas EUI (KBTU/ft²)</t>
  </si>
  <si>
    <t>CalBEM Total  EUI (KBTU/ft²)</t>
  </si>
  <si>
    <t>New Construction  Electricity EUI (KBTU/ft²)</t>
  </si>
  <si>
    <t>New Construction  Gas EUI (KBTU/ft²)</t>
  </si>
  <si>
    <t>New Construction  Total EUI (KBTU/ft²)</t>
  </si>
  <si>
    <t>National Average</t>
  </si>
  <si>
    <t>National Average Acceptable EUI Range</t>
  </si>
  <si>
    <t>CEUS 2023 Electricity EUI (kBtu/ft²)</t>
  </si>
  <si>
    <t>CEUS 2023 Gas EUI  (kBtu/ft²)</t>
  </si>
  <si>
    <t>CEUS 2023 Total EUI (kBtu/ft²)</t>
  </si>
  <si>
    <t>Acceptable Range (25% Higher)</t>
  </si>
  <si>
    <t>Acceptable Range (25% Lower)</t>
  </si>
  <si>
    <t xml:space="preserve">CEUS 2022 Acceptable EUI Range </t>
  </si>
  <si>
    <t xml:space="preserve">And by applying FZ-CZ multipliers for converting  FZ  data to  CZ  data </t>
  </si>
  <si>
    <t>Acceptable Range
 (25% Lower)</t>
  </si>
  <si>
    <t>Acceptable Range
 (25%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</si>
</sst>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8" formatCode="0.000"/>
    <numFmt numFmtId="169" formatCode="_(* #,##0_);_(* \(#,##0\);_(* &quot;-&quot;??_);_(@_)"/>
    <numFmt numFmtId="170" formatCode="#,##0;\-0;[Color15]0"/>
    <numFmt numFmtId="171" formatCode="_(* #,##0.0_);_(* \(#,##0.0\);_(* &quot;-&quot;??_);_(@_)"/>
    <numFmt numFmtId="172" formatCode="_(* #,##0.0_);_(* \(#,##0.0\);_(* &quot;-&quot;?????_);_(@_)"/>
    <numFmt numFmtId="173" formatCode="_(* #,##0_);_(* \(#,##0\);_(* &quot;-&quot;?_);_(@_)"/>
  </numFmts>
  <fonts count="47"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name val="Arial"/>
      <family val="2"/>
    </font>
    <font>
      <sz val="14"/>
      <color rgb="FF000000"/>
      <name val="Times New Roman"/>
      <family val="1"/>
    </font>
    <font>
      <sz val="10"/>
      <color theme="4"/>
      <name val="Arial"/>
      <family val="2"/>
    </font>
    <font>
      <sz val="9"/>
      <color rgb="FF00B050"/>
      <name val="Arial"/>
      <family val="2"/>
    </font>
    <font>
      <sz val="9"/>
      <name val="Arial"/>
      <family val="2"/>
    </font>
    <font>
      <sz val="10"/>
      <color theme="1"/>
      <name val="Arial"/>
      <family val="2"/>
    </font>
    <font>
      <sz val="10"/>
      <color rgb="FF000000"/>
      <name val="Arial"/>
      <family val="2"/>
    </font>
    <font>
      <sz val="9"/>
      <color theme="1"/>
      <name val="Arial"/>
      <family val="2"/>
    </font>
    <font>
      <sz val="9"/>
      <name val="Arial"/>
      <family val="2"/>
    </font>
    <font>
      <b/>
      <sz val="9"/>
      <name val="Arial"/>
      <family val="2"/>
    </font>
    <font>
      <sz val="9"/>
      <color theme="1"/>
      <name val="Calibri"/>
      <family val="2"/>
      <scheme val="minor"/>
    </font>
    <font>
      <b/>
      <sz val="9"/>
      <color theme="1"/>
      <name val="Arial"/>
      <family val="2"/>
    </font>
    <font>
      <b/>
      <sz val="9"/>
      <name val="Arial"/>
      <family val="2"/>
    </font>
  </fonts>
  <fills count="2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lightUp"/>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A6A6A6"/>
        <bgColor rgb="FF000000"/>
      </patternFill>
    </fill>
    <fill>
      <patternFill patternType="solid">
        <fgColor rgb="FFFFF2CC"/>
        <bgColor rgb="FF000000"/>
      </patternFill>
    </fill>
  </fills>
  <borders count="11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theme="1" tint="0.34998626667073579"/>
      </left>
      <right/>
      <top style="medium">
        <color theme="1" tint="0.34998626667073579"/>
      </top>
      <bottom/>
      <diagonal/>
    </border>
    <border>
      <left style="thin">
        <color theme="1" tint="0.34998626667073579"/>
      </left>
      <right/>
      <top/>
      <bottom/>
      <diagonal/>
    </border>
    <border>
      <left style="thin">
        <color theme="1" tint="0.34998626667073579"/>
      </left>
      <right/>
      <top/>
      <bottom style="medium">
        <color theme="1" tint="0.34998626667073579"/>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cellStyleXfs>
  <cellXfs count="536">
    <xf numFmtId="0" fontId="0" fillId="0" borderId="0" xfId="0"/>
    <xf numFmtId="0" fontId="0" fillId="0" borderId="0" xfId="0" applyAlignment="1">
      <alignment vertical="center"/>
    </xf>
    <xf numFmtId="0" fontId="8" fillId="0" borderId="0" xfId="5"/>
    <xf numFmtId="0" fontId="3" fillId="0" borderId="0" xfId="0" applyFont="1"/>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8"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7" borderId="2" xfId="0" applyFont="1" applyFill="1" applyBorder="1" applyAlignment="1">
      <alignment horizontal="center" vertical="center" wrapText="1"/>
    </xf>
    <xf numFmtId="0" fontId="19" fillId="7"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3" fillId="0" borderId="0" xfId="0" applyFont="1" applyAlignment="1">
      <alignment horizontal="center" vertical="center"/>
    </xf>
    <xf numFmtId="0" fontId="26" fillId="5" borderId="0" xfId="0" applyFont="1" applyFill="1" applyAlignment="1">
      <alignment vertical="center" wrapText="1"/>
    </xf>
    <xf numFmtId="0" fontId="23" fillId="5" borderId="0" xfId="0" applyFont="1" applyFill="1" applyAlignment="1">
      <alignment horizontal="center" vertical="center"/>
    </xf>
    <xf numFmtId="165" fontId="23" fillId="5" borderId="0" xfId="0"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8" fontId="23"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2" xfId="0" applyNumberFormat="1" applyFont="1" applyBorder="1" applyAlignment="1">
      <alignment horizontal="center"/>
    </xf>
    <xf numFmtId="0" fontId="27" fillId="0" borderId="0" xfId="0" applyFont="1"/>
    <xf numFmtId="0" fontId="27" fillId="0" borderId="0" xfId="0" applyFont="1" applyAlignment="1">
      <alignment wrapText="1"/>
    </xf>
    <xf numFmtId="0" fontId="27"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2" fillId="0" borderId="0" xfId="0" applyFont="1" applyAlignment="1">
      <alignment horizontal="left" vertical="center" wrapText="1"/>
    </xf>
    <xf numFmtId="0" fontId="19" fillId="7" borderId="12" xfId="0" applyFont="1" applyFill="1" applyBorder="1" applyAlignment="1">
      <alignment horizontal="center" vertical="center" wrapText="1"/>
    </xf>
    <xf numFmtId="0" fontId="12" fillId="0" borderId="0" xfId="0" applyFont="1" applyAlignment="1">
      <alignment vertical="center"/>
    </xf>
    <xf numFmtId="0" fontId="11" fillId="0" borderId="0" xfId="0" applyFont="1" applyAlignment="1">
      <alignment horizontal="center"/>
    </xf>
    <xf numFmtId="43" fontId="6" fillId="0" borderId="0" xfId="0" applyNumberFormat="1" applyFont="1"/>
    <xf numFmtId="0" fontId="10"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21" fillId="0" borderId="0" xfId="0" applyFont="1"/>
    <xf numFmtId="16" fontId="0" fillId="0" borderId="0" xfId="0" applyNumberFormat="1" applyAlignment="1">
      <alignment horizontal="left"/>
    </xf>
    <xf numFmtId="0" fontId="24" fillId="0" borderId="0" xfId="0" applyFont="1" applyAlignment="1">
      <alignment vertical="center"/>
    </xf>
    <xf numFmtId="0" fontId="24" fillId="0" borderId="0" xfId="0" applyFont="1" applyAlignment="1">
      <alignment horizontal="center" vertical="center"/>
    </xf>
    <xf numFmtId="0" fontId="19" fillId="11" borderId="2" xfId="0" applyFont="1" applyFill="1" applyBorder="1" applyAlignment="1">
      <alignment horizontal="center" vertical="center"/>
    </xf>
    <xf numFmtId="0" fontId="30" fillId="0" borderId="0" xfId="0" applyFont="1" applyAlignment="1">
      <alignment vertical="center"/>
    </xf>
    <xf numFmtId="169" fontId="24" fillId="0" borderId="2" xfId="6" applyNumberFormat="1" applyFont="1" applyBorder="1" applyAlignment="1">
      <alignment horizontal="center" vertical="center"/>
    </xf>
    <xf numFmtId="169" fontId="24" fillId="0" borderId="2" xfId="6" applyNumberFormat="1" applyFont="1" applyBorder="1" applyAlignment="1">
      <alignment horizontal="center" vertical="center" wrapText="1"/>
    </xf>
    <xf numFmtId="0" fontId="25" fillId="11" borderId="2" xfId="0" applyFont="1" applyFill="1" applyBorder="1" applyAlignment="1">
      <alignment horizontal="center" vertical="center"/>
    </xf>
    <xf numFmtId="0" fontId="6" fillId="0" borderId="2" xfId="0" applyFont="1" applyBorder="1"/>
    <xf numFmtId="0" fontId="7" fillId="2" borderId="0" xfId="0" applyFont="1" applyFill="1" applyAlignment="1">
      <alignment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25" fillId="11" borderId="2" xfId="0" applyFont="1" applyFill="1" applyBorder="1" applyAlignment="1">
      <alignment horizontal="center" vertical="center" wrapText="1"/>
    </xf>
    <xf numFmtId="0" fontId="24" fillId="14" borderId="14" xfId="0" applyFont="1" applyFill="1" applyBorder="1" applyAlignment="1">
      <alignment vertical="center"/>
    </xf>
    <xf numFmtId="0" fontId="24" fillId="14" borderId="19" xfId="0" applyFont="1" applyFill="1" applyBorder="1" applyAlignment="1">
      <alignment vertical="center"/>
    </xf>
    <xf numFmtId="0" fontId="24" fillId="0" borderId="0" xfId="0" applyFont="1" applyAlignment="1">
      <alignment horizontal="center" vertical="center" wrapText="1"/>
    </xf>
    <xf numFmtId="0" fontId="29" fillId="13" borderId="0" xfId="0" applyFont="1" applyFill="1" applyAlignment="1">
      <alignment horizontal="center" vertical="center"/>
    </xf>
    <xf numFmtId="169" fontId="6" fillId="0" borderId="0" xfId="0" applyNumberFormat="1" applyFont="1"/>
    <xf numFmtId="0" fontId="24" fillId="0" borderId="34" xfId="0" applyFont="1" applyBorder="1"/>
    <xf numFmtId="0" fontId="24" fillId="14" borderId="34" xfId="0" applyFont="1" applyFill="1" applyBorder="1" applyAlignment="1">
      <alignment vertical="center"/>
    </xf>
    <xf numFmtId="0" fontId="13" fillId="0" borderId="0" xfId="0" applyFont="1"/>
    <xf numFmtId="0" fontId="17" fillId="0" borderId="0" xfId="0" applyFont="1"/>
    <xf numFmtId="170" fontId="31" fillId="0" borderId="0" xfId="0" applyNumberFormat="1" applyFont="1"/>
    <xf numFmtId="0" fontId="6" fillId="0" borderId="2" xfId="0" applyFont="1" applyBorder="1" applyAlignment="1">
      <alignment horizontal="right" vertical="center"/>
    </xf>
    <xf numFmtId="169" fontId="6" fillId="0" borderId="2" xfId="6" applyNumberFormat="1" applyFont="1" applyBorder="1" applyAlignment="1">
      <alignment horizontal="right" vertical="center" wrapText="1"/>
    </xf>
    <xf numFmtId="169" fontId="6" fillId="0" borderId="2" xfId="0" applyNumberFormat="1" applyFont="1" applyBorder="1" applyAlignment="1">
      <alignment horizontal="right" vertical="center"/>
    </xf>
    <xf numFmtId="3" fontId="6" fillId="0" borderId="0" xfId="0" applyNumberFormat="1" applyFont="1"/>
    <xf numFmtId="169" fontId="6" fillId="0" borderId="2" xfId="6" applyNumberFormat="1" applyFont="1" applyBorder="1" applyAlignment="1">
      <alignment horizontal="right" vertical="center"/>
    </xf>
    <xf numFmtId="0" fontId="6" fillId="15" borderId="12" xfId="0" applyFont="1" applyFill="1" applyBorder="1"/>
    <xf numFmtId="0" fontId="6" fillId="8" borderId="2" xfId="0" applyFont="1" applyFill="1" applyBorder="1" applyAlignment="1">
      <alignment horizontal="center" vertical="center"/>
    </xf>
    <xf numFmtId="0" fontId="6" fillId="6" borderId="2" xfId="0" applyFont="1" applyFill="1" applyBorder="1" applyAlignment="1">
      <alignment horizontal="center" vertical="center"/>
    </xf>
    <xf numFmtId="0" fontId="6" fillId="3" borderId="2" xfId="0" applyFont="1" applyFill="1" applyBorder="1" applyAlignment="1">
      <alignment horizontal="center" vertical="center"/>
    </xf>
    <xf numFmtId="0" fontId="11" fillId="0" borderId="0" xfId="0" applyFont="1" applyAlignment="1">
      <alignment vertical="center"/>
    </xf>
    <xf numFmtId="0" fontId="6" fillId="5" borderId="0" xfId="0" applyFont="1" applyFill="1"/>
    <xf numFmtId="0" fontId="6" fillId="5" borderId="0" xfId="0" applyFont="1" applyFill="1" applyAlignment="1">
      <alignment horizontal="center"/>
    </xf>
    <xf numFmtId="165" fontId="11" fillId="0" borderId="0" xfId="2" applyNumberFormat="1" applyFont="1"/>
    <xf numFmtId="172" fontId="24" fillId="14" borderId="23" xfId="0" applyNumberFormat="1" applyFont="1" applyFill="1" applyBorder="1" applyAlignment="1">
      <alignment vertical="center"/>
    </xf>
    <xf numFmtId="0" fontId="24" fillId="0" borderId="35" xfId="0" applyFont="1" applyBorder="1" applyAlignment="1">
      <alignment horizontal="center" vertical="center"/>
    </xf>
    <xf numFmtId="0" fontId="0" fillId="0" borderId="0" xfId="0" applyAlignment="1">
      <alignment horizontal="left"/>
    </xf>
    <xf numFmtId="0" fontId="6" fillId="0" borderId="22" xfId="4" applyBorder="1" applyAlignment="1">
      <alignment horizontal="center" vertical="center"/>
    </xf>
    <xf numFmtId="0" fontId="6" fillId="0" borderId="0" xfId="0" applyFont="1" applyAlignment="1">
      <alignment horizontal="center" vertical="center"/>
    </xf>
    <xf numFmtId="0" fontId="25" fillId="11" borderId="36"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3" fontId="10" fillId="0" borderId="2" xfId="3" applyNumberFormat="1" applyFont="1" applyBorder="1" applyAlignment="1">
      <alignment horizontal="center" vertical="center" wrapText="1"/>
    </xf>
    <xf numFmtId="0" fontId="6" fillId="0" borderId="12" xfId="0" applyFont="1" applyBorder="1"/>
    <xf numFmtId="0" fontId="33" fillId="14" borderId="13" xfId="0" applyFont="1" applyFill="1" applyBorder="1" applyAlignment="1">
      <alignment horizontal="left" vertical="center"/>
    </xf>
    <xf numFmtId="0" fontId="24" fillId="14" borderId="0" xfId="0" applyFont="1" applyFill="1" applyAlignment="1">
      <alignment vertical="center"/>
    </xf>
    <xf numFmtId="0" fontId="24" fillId="14" borderId="15" xfId="0" applyFont="1" applyFill="1" applyBorder="1" applyAlignment="1">
      <alignment vertical="center"/>
    </xf>
    <xf numFmtId="0" fontId="33" fillId="14" borderId="18" xfId="0" applyFont="1" applyFill="1" applyBorder="1" applyAlignment="1">
      <alignment horizontal="left" vertical="center"/>
    </xf>
    <xf numFmtId="0" fontId="24" fillId="14" borderId="20" xfId="0" applyFont="1" applyFill="1" applyBorder="1" applyAlignment="1">
      <alignment vertical="center"/>
    </xf>
    <xf numFmtId="0" fontId="7" fillId="7" borderId="37" xfId="0" applyFont="1" applyFill="1" applyBorder="1" applyAlignment="1">
      <alignment horizontal="center" vertical="center"/>
    </xf>
    <xf numFmtId="0" fontId="8" fillId="0" borderId="2" xfId="5"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24" fillId="0" borderId="0" xfId="0" applyFont="1" applyAlignment="1">
      <alignment wrapText="1"/>
    </xf>
    <xf numFmtId="0" fontId="1" fillId="0" borderId="2" xfId="1" applyBorder="1" applyAlignment="1">
      <alignment vertical="center" wrapText="1"/>
    </xf>
    <xf numFmtId="168" fontId="6" fillId="8" borderId="2" xfId="0" applyNumberFormat="1" applyFont="1" applyFill="1" applyBorder="1" applyAlignment="1">
      <alignment horizontal="center" vertical="center" wrapText="1"/>
    </xf>
    <xf numFmtId="168" fontId="6" fillId="0" borderId="2" xfId="0" applyNumberFormat="1" applyFont="1" applyBorder="1" applyAlignment="1">
      <alignment horizontal="center" vertical="center"/>
    </xf>
    <xf numFmtId="0" fontId="6" fillId="12" borderId="2" xfId="0" applyFont="1" applyFill="1" applyBorder="1" applyAlignment="1">
      <alignment horizontal="center" vertical="center"/>
    </xf>
    <xf numFmtId="0" fontId="1" fillId="12" borderId="2" xfId="0" applyFont="1" applyFill="1" applyBorder="1" applyAlignment="1">
      <alignment horizontal="center" vertical="center"/>
    </xf>
    <xf numFmtId="2" fontId="6" fillId="0" borderId="2" xfId="0" applyNumberFormat="1" applyFont="1" applyBorder="1" applyAlignment="1">
      <alignment horizontal="center" vertical="center"/>
    </xf>
    <xf numFmtId="2" fontId="6" fillId="8" borderId="2" xfId="0" applyNumberFormat="1" applyFont="1" applyFill="1" applyBorder="1" applyAlignment="1">
      <alignment horizontal="center" vertical="center"/>
    </xf>
    <xf numFmtId="0" fontId="6" fillId="6" borderId="2" xfId="0" applyFont="1" applyFill="1" applyBorder="1" applyAlignment="1">
      <alignment horizontal="center" vertical="center" wrapText="1"/>
    </xf>
    <xf numFmtId="0" fontId="7" fillId="0" borderId="0" xfId="0" applyFont="1" applyAlignment="1">
      <alignment vertical="center" wrapText="1"/>
    </xf>
    <xf numFmtId="0" fontId="30" fillId="0" borderId="0" xfId="0" applyFont="1"/>
    <xf numFmtId="0" fontId="10" fillId="0" borderId="2" xfId="3" applyFont="1" applyBorder="1" applyAlignment="1">
      <alignment horizontal="left" vertical="center" wrapText="1"/>
    </xf>
    <xf numFmtId="0" fontId="25" fillId="7" borderId="2" xfId="0" applyFont="1" applyFill="1" applyBorder="1" applyAlignment="1">
      <alignment horizontal="left" vertical="center" wrapText="1"/>
    </xf>
    <xf numFmtId="170" fontId="6" fillId="0" borderId="2" xfId="0" applyNumberFormat="1" applyFont="1" applyBorder="1" applyAlignment="1">
      <alignment vertical="center"/>
    </xf>
    <xf numFmtId="170" fontId="1" fillId="0" borderId="2" xfId="0" applyNumberFormat="1" applyFont="1" applyBorder="1" applyAlignment="1">
      <alignment vertical="center"/>
    </xf>
    <xf numFmtId="0" fontId="19" fillId="7" borderId="2" xfId="0" applyFont="1" applyFill="1" applyBorder="1" applyAlignment="1">
      <alignment vertical="center"/>
    </xf>
    <xf numFmtId="0" fontId="1" fillId="0" borderId="2" xfId="1" applyBorder="1" applyAlignment="1">
      <alignment vertical="center"/>
    </xf>
    <xf numFmtId="0" fontId="32" fillId="0" borderId="2" xfId="0" applyFont="1" applyBorder="1" applyAlignment="1">
      <alignment horizontal="left" vertical="top" wrapText="1"/>
    </xf>
    <xf numFmtId="0" fontId="34" fillId="0" borderId="2" xfId="0" applyFont="1" applyBorder="1" applyAlignment="1">
      <alignment horizontal="center" vertical="center" wrapText="1"/>
    </xf>
    <xf numFmtId="0" fontId="22" fillId="0" borderId="2" xfId="0" applyFont="1" applyBorder="1" applyAlignment="1">
      <alignment wrapText="1"/>
    </xf>
    <xf numFmtId="169" fontId="6" fillId="0" borderId="2" xfId="0" applyNumberFormat="1" applyFont="1" applyBorder="1" applyAlignment="1">
      <alignment horizontal="center" vertical="center"/>
    </xf>
    <xf numFmtId="169"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9" fontId="32" fillId="0" borderId="2" xfId="6" applyNumberFormat="1" applyFont="1" applyBorder="1" applyAlignment="1">
      <alignment horizontal="center" vertical="center" wrapText="1"/>
    </xf>
    <xf numFmtId="0" fontId="35" fillId="0" borderId="0" xfId="0" applyFont="1" applyAlignment="1">
      <alignment horizontal="right" vertical="center" wrapText="1"/>
    </xf>
    <xf numFmtId="0" fontId="6" fillId="0" borderId="40" xfId="0" applyFont="1" applyBorder="1" applyAlignment="1">
      <alignment horizontal="left" vertical="center" wrapText="1"/>
    </xf>
    <xf numFmtId="169" fontId="6" fillId="0" borderId="3" xfId="6" applyNumberFormat="1" applyFont="1" applyBorder="1" applyAlignment="1">
      <alignment horizontal="left" vertical="center"/>
    </xf>
    <xf numFmtId="0" fontId="10" fillId="0" borderId="41" xfId="3" applyFont="1" applyBorder="1" applyAlignment="1">
      <alignment horizontal="left" vertical="center" wrapText="1"/>
    </xf>
    <xf numFmtId="169" fontId="6" fillId="0" borderId="35" xfId="6" applyNumberFormat="1" applyFont="1" applyBorder="1" applyAlignment="1">
      <alignment horizontal="left" vertical="center"/>
    </xf>
    <xf numFmtId="169" fontId="6" fillId="0" borderId="3" xfId="6" applyNumberFormat="1" applyFont="1" applyBorder="1" applyAlignment="1">
      <alignment horizontal="center" vertical="center"/>
    </xf>
    <xf numFmtId="171" fontId="24" fillId="14" borderId="2" xfId="0" applyNumberFormat="1" applyFont="1" applyFill="1" applyBorder="1" applyAlignment="1">
      <alignment horizontal="center" vertical="center"/>
    </xf>
    <xf numFmtId="169" fontId="6" fillId="0" borderId="23" xfId="0" applyNumberFormat="1" applyFont="1" applyBorder="1" applyAlignment="1">
      <alignment horizontal="center" vertical="center"/>
    </xf>
    <xf numFmtId="169" fontId="6" fillId="0" borderId="11" xfId="0" applyNumberFormat="1" applyFont="1" applyBorder="1" applyAlignment="1">
      <alignment horizontal="center" vertical="center"/>
    </xf>
    <xf numFmtId="169" fontId="6" fillId="0" borderId="2" xfId="0" applyNumberFormat="1" applyFont="1" applyBorder="1" applyAlignment="1">
      <alignment vertical="center"/>
    </xf>
    <xf numFmtId="169" fontId="6" fillId="0" borderId="23" xfId="0" applyNumberFormat="1" applyFont="1" applyBorder="1" applyAlignment="1">
      <alignment vertical="center"/>
    </xf>
    <xf numFmtId="43" fontId="6" fillId="0" borderId="11" xfId="0" applyNumberFormat="1" applyFont="1" applyBorder="1" applyAlignment="1">
      <alignment vertical="center"/>
    </xf>
    <xf numFmtId="165" fontId="24" fillId="0" borderId="2" xfId="0" applyNumberFormat="1" applyFont="1" applyBorder="1" applyAlignment="1">
      <alignment vertical="center"/>
    </xf>
    <xf numFmtId="169" fontId="6" fillId="0" borderId="35" xfId="0" applyNumberFormat="1" applyFont="1" applyBorder="1" applyAlignment="1">
      <alignment vertical="center"/>
    </xf>
    <xf numFmtId="173" fontId="6" fillId="0" borderId="35" xfId="0" applyNumberFormat="1" applyFont="1" applyBorder="1" applyAlignment="1">
      <alignment vertical="center"/>
    </xf>
    <xf numFmtId="169" fontId="6" fillId="0" borderId="42" xfId="0" applyNumberFormat="1" applyFont="1" applyBorder="1" applyAlignment="1">
      <alignment vertical="center"/>
    </xf>
    <xf numFmtId="0" fontId="6" fillId="0" borderId="35" xfId="0" applyFont="1" applyBorder="1" applyAlignment="1">
      <alignment vertical="center"/>
    </xf>
    <xf numFmtId="0" fontId="24" fillId="0" borderId="35" xfId="0" applyFont="1" applyBorder="1" applyAlignment="1">
      <alignment vertical="center"/>
    </xf>
    <xf numFmtId="169" fontId="6" fillId="0" borderId="23" xfId="0" applyNumberFormat="1" applyFont="1" applyBorder="1" applyAlignment="1">
      <alignment horizontal="center" vertical="center" wrapText="1"/>
    </xf>
    <xf numFmtId="169" fontId="1" fillId="0" borderId="23" xfId="0" applyNumberFormat="1" applyFont="1" applyBorder="1" applyAlignment="1">
      <alignment horizontal="center" vertical="center" wrapText="1"/>
    </xf>
    <xf numFmtId="0" fontId="19" fillId="11" borderId="43" xfId="0" applyFont="1" applyFill="1" applyBorder="1" applyAlignment="1">
      <alignment horizontal="center" vertical="center"/>
    </xf>
    <xf numFmtId="0" fontId="19" fillId="11" borderId="44" xfId="0" applyFont="1" applyFill="1" applyBorder="1" applyAlignment="1">
      <alignment horizontal="center" vertical="center"/>
    </xf>
    <xf numFmtId="0" fontId="19" fillId="11" borderId="45" xfId="0" applyFont="1" applyFill="1" applyBorder="1" applyAlignment="1">
      <alignment horizontal="center" vertical="center" wrapText="1"/>
    </xf>
    <xf numFmtId="0" fontId="25" fillId="11" borderId="44" xfId="0" applyFont="1" applyFill="1" applyBorder="1" applyAlignment="1">
      <alignment horizontal="center" vertical="center" wrapText="1"/>
    </xf>
    <xf numFmtId="0" fontId="25" fillId="11" borderId="44" xfId="0" applyFont="1" applyFill="1" applyBorder="1" applyAlignment="1">
      <alignment horizontal="center" vertical="center"/>
    </xf>
    <xf numFmtId="0" fontId="25" fillId="11" borderId="33" xfId="0" applyFont="1" applyFill="1" applyBorder="1" applyAlignment="1">
      <alignment horizontal="center" vertical="center"/>
    </xf>
    <xf numFmtId="1" fontId="6" fillId="0" borderId="0" xfId="0" applyNumberFormat="1" applyFont="1" applyAlignment="1">
      <alignment horizontal="left" vertical="center"/>
    </xf>
    <xf numFmtId="0" fontId="24" fillId="16" borderId="2" xfId="0" applyFont="1" applyFill="1" applyBorder="1" applyAlignment="1">
      <alignment horizontal="center" vertical="center"/>
    </xf>
    <xf numFmtId="0" fontId="24" fillId="17" borderId="2" xfId="0" applyFont="1" applyFill="1" applyBorder="1" applyAlignment="1">
      <alignment horizontal="center" vertical="center"/>
    </xf>
    <xf numFmtId="0" fontId="24" fillId="18" borderId="2" xfId="0" applyFont="1" applyFill="1" applyBorder="1" applyAlignment="1">
      <alignment horizontal="center" vertical="center"/>
    </xf>
    <xf numFmtId="0" fontId="1" fillId="19" borderId="2" xfId="0" applyFont="1" applyFill="1" applyBorder="1" applyAlignment="1">
      <alignment horizontal="center" vertical="center"/>
    </xf>
    <xf numFmtId="0" fontId="24" fillId="19" borderId="2" xfId="0" applyFont="1" applyFill="1" applyBorder="1" applyAlignment="1">
      <alignment horizontal="center" vertical="center"/>
    </xf>
    <xf numFmtId="0" fontId="24" fillId="14" borderId="2" xfId="0" applyFont="1" applyFill="1" applyBorder="1" applyAlignment="1">
      <alignment horizontal="center" vertical="center"/>
    </xf>
    <xf numFmtId="0" fontId="11" fillId="0" borderId="0" xfId="0" applyFont="1" applyAlignment="1">
      <alignment wrapText="1"/>
    </xf>
    <xf numFmtId="0" fontId="24" fillId="0" borderId="2" xfId="0" applyFont="1" applyBorder="1" applyAlignment="1">
      <alignment horizontal="center" vertical="center"/>
    </xf>
    <xf numFmtId="0" fontId="28" fillId="0" borderId="0" xfId="0" applyFont="1" applyAlignment="1">
      <alignment vertical="center" wrapText="1"/>
    </xf>
    <xf numFmtId="0" fontId="6" fillId="0" borderId="23" xfId="0" applyFont="1" applyBorder="1" applyAlignment="1">
      <alignment vertical="center"/>
    </xf>
    <xf numFmtId="0" fontId="6" fillId="0" borderId="23" xfId="0" applyFont="1" applyBorder="1" applyAlignment="1">
      <alignment vertical="center" wrapText="1"/>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24" fillId="14" borderId="2" xfId="0" applyFont="1" applyFill="1" applyBorder="1" applyAlignment="1">
      <alignment vertical="center"/>
    </xf>
    <xf numFmtId="0" fontId="16" fillId="0" borderId="0" xfId="0" applyFont="1"/>
    <xf numFmtId="0" fontId="31" fillId="0" borderId="0" xfId="0" applyFont="1"/>
    <xf numFmtId="3" fontId="24" fillId="0" borderId="0" xfId="0" applyNumberFormat="1" applyFont="1" applyAlignment="1">
      <alignment horizontal="left"/>
    </xf>
    <xf numFmtId="165" fontId="6" fillId="0" borderId="0" xfId="0" applyNumberFormat="1" applyFont="1" applyAlignment="1">
      <alignment horizontal="center" vertical="center"/>
    </xf>
    <xf numFmtId="0" fontId="8" fillId="0" borderId="0" xfId="5" applyBorder="1" applyAlignment="1">
      <alignment horizontal="center" vertical="center"/>
    </xf>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10" fillId="0" borderId="2" xfId="6" applyNumberFormat="1" applyFont="1" applyFill="1" applyBorder="1" applyAlignment="1">
      <alignment horizontal="center" vertical="center" wrapText="1"/>
    </xf>
    <xf numFmtId="2" fontId="24" fillId="0" borderId="2" xfId="0" applyNumberFormat="1" applyFont="1" applyBorder="1" applyAlignment="1">
      <alignment horizontal="center" vertical="center" wrapText="1"/>
    </xf>
    <xf numFmtId="168" fontId="24" fillId="0" borderId="2" xfId="0" applyNumberFormat="1" applyFont="1" applyBorder="1" applyAlignment="1">
      <alignment horizontal="center" vertical="center" wrapText="1"/>
    </xf>
    <xf numFmtId="0" fontId="6" fillId="0" borderId="2" xfId="0" applyFont="1" applyBorder="1" applyAlignment="1">
      <alignment horizontal="left" vertical="top" wrapText="1"/>
    </xf>
    <xf numFmtId="169" fontId="6" fillId="0" borderId="2" xfId="6" applyNumberFormat="1" applyFont="1" applyBorder="1" applyAlignment="1">
      <alignment horizontal="left" vertical="top" wrapText="1"/>
    </xf>
    <xf numFmtId="43" fontId="6" fillId="0" borderId="2" xfId="6" applyFont="1" applyBorder="1" applyAlignment="1">
      <alignment horizontal="left" vertical="top" wrapText="1"/>
    </xf>
    <xf numFmtId="1" fontId="6" fillId="0" borderId="2" xfId="0" applyNumberFormat="1" applyFont="1" applyBorder="1" applyAlignment="1">
      <alignment horizontal="left" vertical="top"/>
    </xf>
    <xf numFmtId="43" fontId="6" fillId="0" borderId="2" xfId="0" applyNumberFormat="1" applyFont="1" applyBorder="1" applyAlignment="1">
      <alignment horizontal="left" vertical="top"/>
    </xf>
    <xf numFmtId="0" fontId="6" fillId="0" borderId="23" xfId="0" applyFont="1" applyBorder="1" applyAlignment="1">
      <alignment horizontal="left" vertical="center" wrapText="1"/>
    </xf>
    <xf numFmtId="3" fontId="24" fillId="0" borderId="34" xfId="0" applyNumberFormat="1" applyFont="1" applyBorder="1" applyAlignment="1">
      <alignment vertical="center"/>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65" fontId="6" fillId="0" borderId="23" xfId="0" applyNumberFormat="1" applyFont="1" applyBorder="1" applyAlignment="1">
      <alignment horizontal="center" vertical="center" wrapText="1"/>
    </xf>
    <xf numFmtId="1" fontId="6" fillId="0" borderId="2" xfId="6" applyNumberFormat="1" applyFont="1" applyBorder="1" applyAlignment="1">
      <alignment horizontal="center" vertical="center" wrapText="1"/>
    </xf>
    <xf numFmtId="1" fontId="6" fillId="0" borderId="2" xfId="6" applyNumberFormat="1" applyFont="1" applyBorder="1" applyAlignment="1">
      <alignment horizontal="center" vertical="center"/>
    </xf>
    <xf numFmtId="1" fontId="6" fillId="0" borderId="2" xfId="0" applyNumberFormat="1" applyFont="1" applyBorder="1" applyAlignment="1">
      <alignment horizontal="center" vertical="center"/>
    </xf>
    <xf numFmtId="165" fontId="6" fillId="0" borderId="2" xfId="6" applyNumberFormat="1" applyFont="1" applyBorder="1" applyAlignment="1">
      <alignment horizontal="center" vertical="center"/>
    </xf>
    <xf numFmtId="168" fontId="1" fillId="19" borderId="2" xfId="0" applyNumberFormat="1" applyFont="1" applyFill="1" applyBorder="1" applyAlignment="1">
      <alignment horizontal="center" vertical="center"/>
    </xf>
    <xf numFmtId="0" fontId="6" fillId="0" borderId="3" xfId="0" applyFont="1" applyBorder="1" applyAlignment="1">
      <alignment vertical="center"/>
    </xf>
    <xf numFmtId="3" fontId="1" fillId="0" borderId="2" xfId="7" applyNumberFormat="1" applyFont="1" applyBorder="1" applyAlignment="1">
      <alignment horizontal="center" vertical="center"/>
    </xf>
    <xf numFmtId="0" fontId="31" fillId="0" borderId="2" xfId="0" applyFont="1" applyBorder="1" applyAlignment="1">
      <alignment horizontal="center" vertical="center"/>
    </xf>
    <xf numFmtId="3" fontId="0" fillId="0" borderId="0" xfId="6" applyNumberFormat="1" applyFont="1"/>
    <xf numFmtId="0" fontId="19" fillId="11" borderId="2" xfId="0" applyFont="1" applyFill="1" applyBorder="1" applyAlignment="1">
      <alignment horizontal="center" vertical="center" wrapText="1"/>
    </xf>
    <xf numFmtId="0" fontId="24" fillId="0" borderId="12" xfId="0" applyFont="1" applyBorder="1" applyAlignment="1">
      <alignment horizontal="center" vertical="center"/>
    </xf>
    <xf numFmtId="0" fontId="6" fillId="0" borderId="12" xfId="0" applyFont="1" applyBorder="1" applyAlignment="1">
      <alignment horizontal="center" vertical="center"/>
    </xf>
    <xf numFmtId="0" fontId="1" fillId="0" borderId="2" xfId="0" applyFont="1" applyBorder="1" applyAlignment="1">
      <alignment vertical="center" wrapText="1"/>
    </xf>
    <xf numFmtId="0" fontId="23" fillId="0" borderId="63" xfId="0" applyFont="1" applyBorder="1" applyAlignment="1">
      <alignment horizontal="center" vertical="center"/>
    </xf>
    <xf numFmtId="0" fontId="23" fillId="0" borderId="65" xfId="0" applyFont="1" applyBorder="1" applyAlignment="1">
      <alignment horizontal="center" vertical="center"/>
    </xf>
    <xf numFmtId="0" fontId="23" fillId="0" borderId="74" xfId="0" applyFont="1" applyBorder="1" applyAlignment="1">
      <alignment horizontal="center" vertical="center"/>
    </xf>
    <xf numFmtId="0" fontId="23" fillId="0" borderId="77" xfId="0" applyFont="1" applyBorder="1" applyAlignment="1">
      <alignment horizontal="center" vertical="center"/>
    </xf>
    <xf numFmtId="1" fontId="38" fillId="0" borderId="49" xfId="0" applyNumberFormat="1" applyFont="1" applyBorder="1" applyAlignment="1">
      <alignment horizontal="center" vertical="center"/>
    </xf>
    <xf numFmtId="1" fontId="38" fillId="0" borderId="50" xfId="0" applyNumberFormat="1" applyFont="1" applyBorder="1" applyAlignment="1">
      <alignment horizontal="center" vertical="center"/>
    </xf>
    <xf numFmtId="1" fontId="38" fillId="0" borderId="48" xfId="0" applyNumberFormat="1" applyFont="1" applyBorder="1" applyAlignment="1">
      <alignment horizontal="center" vertical="center"/>
    </xf>
    <xf numFmtId="1" fontId="38" fillId="0" borderId="51" xfId="0" applyNumberFormat="1" applyFont="1" applyBorder="1" applyAlignment="1">
      <alignment horizontal="center" vertical="center"/>
    </xf>
    <xf numFmtId="1" fontId="38" fillId="0" borderId="52" xfId="0" applyNumberFormat="1" applyFont="1" applyBorder="1" applyAlignment="1">
      <alignment horizontal="center" vertical="center"/>
    </xf>
    <xf numFmtId="1" fontId="38" fillId="0" borderId="53" xfId="0" applyNumberFormat="1" applyFont="1" applyBorder="1" applyAlignment="1">
      <alignment horizontal="center" vertical="center"/>
    </xf>
    <xf numFmtId="1" fontId="38" fillId="0" borderId="64" xfId="0" applyNumberFormat="1" applyFont="1" applyBorder="1" applyAlignment="1">
      <alignment horizontal="center" vertical="center"/>
    </xf>
    <xf numFmtId="1" fontId="38" fillId="0" borderId="68" xfId="0" applyNumberFormat="1" applyFont="1" applyBorder="1" applyAlignment="1">
      <alignment horizontal="center" vertical="center"/>
    </xf>
    <xf numFmtId="165" fontId="38" fillId="0" borderId="48" xfId="0" applyNumberFormat="1" applyFont="1" applyBorder="1" applyAlignment="1">
      <alignment horizontal="center" vertical="center"/>
    </xf>
    <xf numFmtId="0" fontId="1" fillId="0" borderId="2" xfId="0" applyFont="1" applyBorder="1" applyAlignment="1">
      <alignment horizontal="center" vertical="center"/>
    </xf>
    <xf numFmtId="0" fontId="23" fillId="0" borderId="85" xfId="0" applyFont="1" applyBorder="1" applyAlignment="1">
      <alignment horizontal="center" vertical="center"/>
    </xf>
    <xf numFmtId="0" fontId="23" fillId="0" borderId="93" xfId="0" applyFont="1" applyBorder="1" applyAlignment="1">
      <alignment horizontal="center" vertical="center"/>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8" xfId="0" applyFont="1" applyBorder="1" applyAlignment="1">
      <alignment horizontal="center" vertical="center"/>
    </xf>
    <xf numFmtId="2" fontId="23" fillId="0" borderId="17" xfId="0" applyNumberFormat="1" applyFont="1" applyBorder="1" applyAlignment="1">
      <alignment horizontal="center" vertical="center"/>
    </xf>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0" fontId="23" fillId="0" borderId="38" xfId="0" applyFont="1" applyBorder="1" applyAlignment="1">
      <alignment horizontal="center" vertical="center"/>
    </xf>
    <xf numFmtId="0" fontId="23" fillId="0" borderId="11" xfId="0" applyFont="1" applyBorder="1" applyAlignment="1">
      <alignment horizontal="center" vertical="center"/>
    </xf>
    <xf numFmtId="0" fontId="23" fillId="0" borderId="39" xfId="0" applyFont="1" applyBorder="1" applyAlignment="1">
      <alignment horizontal="center" vertical="center"/>
    </xf>
    <xf numFmtId="2" fontId="23" fillId="0" borderId="103" xfId="0" applyNumberFormat="1"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1" fontId="23" fillId="0" borderId="29" xfId="0" applyNumberFormat="1" applyFont="1" applyBorder="1" applyAlignment="1">
      <alignment horizontal="center" vertical="center"/>
    </xf>
    <xf numFmtId="1" fontId="23" fillId="0" borderId="9" xfId="0" applyNumberFormat="1" applyFont="1" applyBorder="1" applyAlignment="1">
      <alignment horizontal="center" vertical="center"/>
    </xf>
    <xf numFmtId="165" fontId="38" fillId="0" borderId="83" xfId="0" applyNumberFormat="1" applyFont="1" applyBorder="1" applyAlignment="1">
      <alignment horizontal="center" vertical="center"/>
    </xf>
    <xf numFmtId="165" fontId="38" fillId="0" borderId="86" xfId="0" applyNumberFormat="1" applyFont="1" applyBorder="1" applyAlignment="1">
      <alignment horizontal="center" vertical="center"/>
    </xf>
    <xf numFmtId="165" fontId="38" fillId="0" borderId="88" xfId="0" applyNumberFormat="1" applyFont="1" applyBorder="1" applyAlignment="1">
      <alignment horizontal="center" vertical="center"/>
    </xf>
    <xf numFmtId="165" fontId="38" fillId="0" borderId="90" xfId="0" applyNumberFormat="1" applyFont="1" applyBorder="1" applyAlignment="1">
      <alignment horizontal="center" vertical="center"/>
    </xf>
    <xf numFmtId="165" fontId="38" fillId="0" borderId="94" xfId="0" applyNumberFormat="1" applyFont="1" applyBorder="1" applyAlignment="1">
      <alignment horizontal="center" vertical="center"/>
    </xf>
    <xf numFmtId="2" fontId="23" fillId="4" borderId="2" xfId="0" applyNumberFormat="1" applyFont="1" applyFill="1" applyBorder="1" applyAlignment="1">
      <alignment horizontal="center" vertical="center"/>
    </xf>
    <xf numFmtId="2" fontId="23" fillId="4" borderId="7" xfId="0" applyNumberFormat="1" applyFont="1" applyFill="1" applyBorder="1" applyAlignment="1">
      <alignment horizontal="center" vertical="center"/>
    </xf>
    <xf numFmtId="2" fontId="23" fillId="4" borderId="29" xfId="0" applyNumberFormat="1" applyFont="1" applyFill="1" applyBorder="1" applyAlignment="1">
      <alignment horizontal="center" vertical="center"/>
    </xf>
    <xf numFmtId="2" fontId="23" fillId="4" borderId="9" xfId="0" applyNumberFormat="1" applyFont="1" applyFill="1" applyBorder="1" applyAlignment="1">
      <alignment horizontal="center" vertical="center"/>
    </xf>
    <xf numFmtId="1" fontId="23" fillId="9" borderId="2" xfId="0" applyNumberFormat="1" applyFont="1" applyFill="1" applyBorder="1" applyAlignment="1">
      <alignment horizontal="center" vertical="center"/>
    </xf>
    <xf numFmtId="1" fontId="23" fillId="9" borderId="7" xfId="0" applyNumberFormat="1" applyFont="1" applyFill="1" applyBorder="1" applyAlignment="1">
      <alignment horizontal="center" vertical="center"/>
    </xf>
    <xf numFmtId="1" fontId="23" fillId="9" borderId="29" xfId="0" applyNumberFormat="1" applyFont="1" applyFill="1" applyBorder="1" applyAlignment="1">
      <alignment horizontal="center" vertical="center"/>
    </xf>
    <xf numFmtId="1" fontId="23" fillId="9" borderId="9" xfId="0" applyNumberFormat="1" applyFont="1" applyFill="1" applyBorder="1" applyAlignment="1">
      <alignment horizontal="center" vertical="center"/>
    </xf>
    <xf numFmtId="1" fontId="23" fillId="0" borderId="17" xfId="0" applyNumberFormat="1" applyFont="1" applyBorder="1" applyAlignment="1">
      <alignment horizontal="center" vertical="center"/>
    </xf>
    <xf numFmtId="1" fontId="23" fillId="0" borderId="103" xfId="0" applyNumberFormat="1" applyFont="1" applyBorder="1" applyAlignment="1">
      <alignment horizontal="center" vertical="center"/>
    </xf>
    <xf numFmtId="0" fontId="24" fillId="0" borderId="0" xfId="0" applyFont="1" applyAlignment="1">
      <alignment horizontal="left" vertical="center"/>
    </xf>
    <xf numFmtId="0" fontId="6" fillId="0" borderId="0" xfId="0" applyFont="1" applyAlignment="1">
      <alignment horizontal="center"/>
    </xf>
    <xf numFmtId="0" fontId="24" fillId="0" borderId="0" xfId="0" applyFont="1" applyAlignment="1">
      <alignment horizontal="center"/>
    </xf>
    <xf numFmtId="0" fontId="8" fillId="0" borderId="0" xfId="5"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24" fillId="0" borderId="12" xfId="0" applyFont="1" applyBorder="1" applyAlignment="1">
      <alignment horizontal="center" vertical="center" wrapText="1"/>
    </xf>
    <xf numFmtId="0" fontId="7" fillId="7" borderId="2" xfId="0" applyFont="1" applyFill="1" applyBorder="1" applyAlignment="1">
      <alignment horizontal="center" vertical="center" wrapText="1"/>
    </xf>
    <xf numFmtId="0" fontId="6" fillId="0" borderId="2" xfId="0" applyFont="1" applyBorder="1" applyAlignment="1">
      <alignment horizontal="left" vertical="center"/>
    </xf>
    <xf numFmtId="0" fontId="2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6" fillId="0" borderId="23" xfId="0" applyFont="1" applyBorder="1" applyAlignment="1">
      <alignment horizontal="center" vertical="center" wrapText="1"/>
    </xf>
    <xf numFmtId="0" fontId="24" fillId="0" borderId="0" xfId="0" applyFont="1"/>
    <xf numFmtId="0" fontId="24" fillId="0" borderId="0" xfId="0" applyFont="1" applyAlignment="1">
      <alignment horizontal="left"/>
    </xf>
    <xf numFmtId="0" fontId="7" fillId="7" borderId="2" xfId="0" applyFont="1" applyFill="1" applyBorder="1" applyAlignment="1">
      <alignment horizontal="center" vertical="center"/>
    </xf>
    <xf numFmtId="0" fontId="6" fillId="0" borderId="12" xfId="0" applyFont="1" applyBorder="1" applyAlignment="1">
      <alignment horizontal="center" vertical="center" wrapText="1"/>
    </xf>
    <xf numFmtId="0" fontId="25" fillId="7" borderId="2" xfId="0" applyFont="1" applyFill="1" applyBorder="1" applyAlignment="1">
      <alignment horizontal="center" vertical="center" wrapText="1"/>
    </xf>
    <xf numFmtId="9" fontId="6" fillId="0" borderId="22" xfId="2" applyFont="1" applyFill="1" applyBorder="1" applyAlignment="1">
      <alignment horizontal="center" vertical="center"/>
    </xf>
    <xf numFmtId="0" fontId="25" fillId="7" borderId="2" xfId="0" applyFont="1" applyFill="1" applyBorder="1" applyAlignment="1">
      <alignment horizontal="center" vertical="center"/>
    </xf>
    <xf numFmtId="0" fontId="19" fillId="7" borderId="2" xfId="0" applyFont="1" applyFill="1" applyBorder="1" applyAlignment="1">
      <alignment horizontal="center" vertical="center" wrapText="1"/>
    </xf>
    <xf numFmtId="0" fontId="7" fillId="7" borderId="12" xfId="0" applyFont="1" applyFill="1" applyBorder="1" applyAlignment="1">
      <alignment horizontal="center" vertical="center"/>
    </xf>
    <xf numFmtId="0" fontId="41" fillId="0" borderId="0" xfId="0" applyFont="1" applyAlignment="1">
      <alignment horizontal="center" vertical="center"/>
    </xf>
    <xf numFmtId="0" fontId="41" fillId="0" borderId="38" xfId="0" applyFont="1" applyBorder="1" applyAlignment="1">
      <alignment horizontal="center" vertical="center"/>
    </xf>
    <xf numFmtId="2" fontId="41" fillId="0" borderId="1" xfId="0" applyNumberFormat="1" applyFont="1" applyBorder="1" applyAlignment="1">
      <alignment horizontal="center" vertical="center"/>
    </xf>
    <xf numFmtId="2" fontId="41" fillId="0" borderId="5" xfId="0" applyNumberFormat="1" applyFont="1" applyBorder="1" applyAlignment="1">
      <alignment horizontal="center" vertical="center"/>
    </xf>
    <xf numFmtId="0" fontId="41" fillId="5" borderId="0" xfId="0" applyFont="1" applyFill="1" applyAlignment="1">
      <alignment horizontal="center" vertical="center"/>
    </xf>
    <xf numFmtId="168" fontId="41" fillId="0" borderId="0" xfId="0" applyNumberFormat="1" applyFont="1" applyAlignment="1">
      <alignment horizontal="center" vertical="center"/>
    </xf>
    <xf numFmtId="0" fontId="41" fillId="0" borderId="0" xfId="0" applyFont="1" applyAlignment="1">
      <alignment horizontal="left" vertical="center" wrapText="1"/>
    </xf>
    <xf numFmtId="0" fontId="41" fillId="0" borderId="11" xfId="0" applyFont="1" applyBorder="1" applyAlignment="1">
      <alignment horizontal="center" vertical="center"/>
    </xf>
    <xf numFmtId="2" fontId="41" fillId="0" borderId="2" xfId="0" applyNumberFormat="1" applyFont="1" applyBorder="1" applyAlignment="1">
      <alignment horizontal="center" vertical="center"/>
    </xf>
    <xf numFmtId="2" fontId="41" fillId="0" borderId="7" xfId="0" applyNumberFormat="1" applyFont="1" applyBorder="1" applyAlignment="1">
      <alignment horizontal="center" vertical="center"/>
    </xf>
    <xf numFmtId="0" fontId="41" fillId="0" borderId="39" xfId="0" applyFont="1" applyBorder="1" applyAlignment="1">
      <alignment horizontal="center" vertical="center"/>
    </xf>
    <xf numFmtId="2" fontId="41" fillId="0" borderId="29" xfId="0" applyNumberFormat="1" applyFont="1" applyBorder="1" applyAlignment="1">
      <alignment horizontal="center" vertical="center"/>
    </xf>
    <xf numFmtId="2" fontId="41" fillId="0" borderId="9" xfId="0" applyNumberFormat="1" applyFont="1" applyBorder="1" applyAlignment="1">
      <alignment horizontal="center" vertical="center"/>
    </xf>
    <xf numFmtId="0" fontId="41" fillId="0" borderId="20" xfId="0" applyFont="1" applyBorder="1" applyAlignment="1">
      <alignment horizontal="center" vertical="center"/>
    </xf>
    <xf numFmtId="2" fontId="41" fillId="0" borderId="17" xfId="0" applyNumberFormat="1" applyFont="1" applyBorder="1" applyAlignment="1">
      <alignment horizontal="center" vertical="center"/>
    </xf>
    <xf numFmtId="2" fontId="41" fillId="0" borderId="103" xfId="0" applyNumberFormat="1" applyFont="1" applyBorder="1" applyAlignment="1">
      <alignment horizontal="center" vertical="center"/>
    </xf>
    <xf numFmtId="0" fontId="41" fillId="0" borderId="57" xfId="0" applyFont="1" applyBorder="1" applyAlignment="1">
      <alignment horizontal="center" vertical="center"/>
    </xf>
    <xf numFmtId="165" fontId="41" fillId="5" borderId="0" xfId="0" applyNumberFormat="1" applyFont="1" applyFill="1" applyAlignment="1">
      <alignment horizontal="center" vertical="center"/>
    </xf>
    <xf numFmtId="0" fontId="41" fillId="0" borderId="55" xfId="0" applyFont="1" applyBorder="1" applyAlignment="1">
      <alignment horizontal="center" vertical="center"/>
    </xf>
    <xf numFmtId="0" fontId="41" fillId="0" borderId="56" xfId="0" applyFont="1" applyBorder="1" applyAlignment="1">
      <alignment horizontal="center" vertical="center"/>
    </xf>
    <xf numFmtId="2" fontId="41" fillId="9" borderId="2" xfId="0" applyNumberFormat="1" applyFont="1" applyFill="1" applyBorder="1" applyAlignment="1">
      <alignment horizontal="center" vertical="center"/>
    </xf>
    <xf numFmtId="2" fontId="41" fillId="9" borderId="29" xfId="0" applyNumberFormat="1" applyFont="1" applyFill="1" applyBorder="1" applyAlignment="1">
      <alignment horizontal="center" vertical="center"/>
    </xf>
    <xf numFmtId="2" fontId="23"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2" fontId="23" fillId="0" borderId="29" xfId="0" applyNumberFormat="1" applyFont="1" applyBorder="1" applyAlignment="1">
      <alignment horizontal="center" vertical="center"/>
    </xf>
    <xf numFmtId="2" fontId="23" fillId="0" borderId="9" xfId="0" applyNumberFormat="1" applyFont="1" applyBorder="1" applyAlignment="1">
      <alignment horizontal="center" vertical="center"/>
    </xf>
    <xf numFmtId="0" fontId="23" fillId="0" borderId="54" xfId="0" applyFont="1" applyBorder="1" applyAlignment="1">
      <alignment horizontal="center" vertical="center"/>
    </xf>
    <xf numFmtId="2" fontId="23" fillId="0" borderId="24" xfId="0" applyNumberFormat="1" applyFont="1" applyBorder="1" applyAlignment="1">
      <alignment horizontal="center" vertical="center"/>
    </xf>
    <xf numFmtId="2" fontId="23" fillId="0" borderId="28" xfId="0" applyNumberFormat="1" applyFont="1" applyBorder="1" applyAlignment="1">
      <alignment horizontal="center" vertical="center"/>
    </xf>
    <xf numFmtId="0" fontId="23" fillId="0" borderId="55" xfId="0" applyFont="1" applyBorder="1" applyAlignment="1">
      <alignment horizontal="center" vertical="center"/>
    </xf>
    <xf numFmtId="2" fontId="23" fillId="0" borderId="23" xfId="0" applyNumberFormat="1" applyFont="1" applyBorder="1" applyAlignment="1">
      <alignment horizontal="center" vertical="center"/>
    </xf>
    <xf numFmtId="2" fontId="23" fillId="0" borderId="25" xfId="0" applyNumberFormat="1" applyFont="1" applyBorder="1" applyAlignment="1">
      <alignment horizontal="center" vertical="center"/>
    </xf>
    <xf numFmtId="0" fontId="23" fillId="0" borderId="56" xfId="0" applyFont="1" applyBorder="1" applyAlignment="1">
      <alignment horizontal="center" vertical="center"/>
    </xf>
    <xf numFmtId="2" fontId="23" fillId="0" borderId="26" xfId="0" applyNumberFormat="1" applyFont="1" applyBorder="1" applyAlignment="1">
      <alignment horizontal="center" vertical="center"/>
    </xf>
    <xf numFmtId="2" fontId="23" fillId="0" borderId="27" xfId="0" applyNumberFormat="1" applyFont="1" applyBorder="1" applyAlignment="1">
      <alignment horizontal="center" vertical="center"/>
    </xf>
    <xf numFmtId="0" fontId="23" fillId="0" borderId="57" xfId="0" applyFont="1" applyBorder="1" applyAlignment="1">
      <alignment horizontal="center" vertical="center"/>
    </xf>
    <xf numFmtId="0" fontId="23" fillId="0" borderId="106" xfId="0" applyFont="1" applyBorder="1" applyAlignment="1">
      <alignment horizontal="center" vertical="center"/>
    </xf>
    <xf numFmtId="2" fontId="23" fillId="0" borderId="12" xfId="0" applyNumberFormat="1" applyFont="1" applyBorder="1" applyAlignment="1">
      <alignment horizontal="center" vertical="center"/>
    </xf>
    <xf numFmtId="2" fontId="23" fillId="0" borderId="102" xfId="0" applyNumberFormat="1" applyFont="1" applyBorder="1" applyAlignment="1">
      <alignment horizontal="center" vertical="center"/>
    </xf>
    <xf numFmtId="0" fontId="44" fillId="0" borderId="0" xfId="0" applyFont="1"/>
    <xf numFmtId="0" fontId="23" fillId="0" borderId="110" xfId="0" applyFont="1" applyBorder="1" applyAlignment="1">
      <alignment horizontal="center" vertical="center"/>
    </xf>
    <xf numFmtId="0" fontId="23" fillId="0" borderId="111" xfId="0" applyFont="1" applyBorder="1" applyAlignment="1">
      <alignment horizontal="center" vertical="center"/>
    </xf>
    <xf numFmtId="0" fontId="23" fillId="0" borderId="112" xfId="0" applyFont="1" applyBorder="1" applyAlignment="1">
      <alignment horizontal="center" vertical="center"/>
    </xf>
    <xf numFmtId="0" fontId="45" fillId="2" borderId="0" xfId="0" applyFont="1" applyFill="1" applyAlignment="1">
      <alignment horizontal="left" vertical="center"/>
    </xf>
    <xf numFmtId="0" fontId="45" fillId="2" borderId="0" xfId="0" applyFont="1" applyFill="1" applyAlignment="1">
      <alignment horizontal="center" vertical="center"/>
    </xf>
    <xf numFmtId="0" fontId="45" fillId="2" borderId="0" xfId="0" applyFont="1" applyFill="1" applyAlignment="1">
      <alignment vertical="center"/>
    </xf>
    <xf numFmtId="0" fontId="39" fillId="0" borderId="0" xfId="0" applyFont="1"/>
    <xf numFmtId="165" fontId="39" fillId="0" borderId="3" xfId="0" applyNumberFormat="1" applyFont="1" applyBorder="1" applyAlignment="1">
      <alignment horizontal="center" vertical="center"/>
    </xf>
    <xf numFmtId="165" fontId="39" fillId="0" borderId="2" xfId="0" applyNumberFormat="1" applyFont="1" applyBorder="1" applyAlignment="1">
      <alignment horizontal="center" vertical="center"/>
    </xf>
    <xf numFmtId="1" fontId="39" fillId="0" borderId="2" xfId="0" applyNumberFormat="1" applyFont="1" applyBorder="1" applyAlignment="1">
      <alignment horizontal="left" vertical="center"/>
    </xf>
    <xf numFmtId="0" fontId="7" fillId="7" borderId="12" xfId="0" applyFont="1" applyFill="1" applyBorder="1" applyAlignment="1">
      <alignment horizontal="center" vertical="center" wrapText="1"/>
    </xf>
    <xf numFmtId="0" fontId="39" fillId="0" borderId="2" xfId="0" applyFont="1" applyBorder="1" applyAlignment="1">
      <alignment horizontal="left" vertical="center"/>
    </xf>
    <xf numFmtId="0" fontId="19" fillId="20" borderId="2" xfId="0" applyFont="1" applyFill="1" applyBorder="1" applyAlignment="1">
      <alignment horizontal="center" vertical="center" wrapText="1"/>
    </xf>
    <xf numFmtId="165" fontId="24" fillId="0" borderId="2" xfId="0" applyNumberFormat="1" applyFont="1" applyBorder="1" applyAlignment="1">
      <alignment horizontal="center" vertical="center"/>
    </xf>
    <xf numFmtId="0" fontId="6" fillId="0" borderId="2" xfId="4" applyBorder="1" applyAlignment="1">
      <alignment horizontal="center" vertical="center"/>
    </xf>
    <xf numFmtId="171" fontId="6" fillId="0" borderId="2" xfId="6" applyNumberFormat="1" applyFont="1" applyBorder="1" applyAlignment="1">
      <alignment vertical="center"/>
    </xf>
    <xf numFmtId="171" fontId="6" fillId="0" borderId="2" xfId="0" applyNumberFormat="1" applyFont="1" applyBorder="1" applyAlignment="1">
      <alignment vertical="center"/>
    </xf>
    <xf numFmtId="171" fontId="24" fillId="0" borderId="2" xfId="0" applyNumberFormat="1" applyFont="1" applyBorder="1" applyAlignment="1">
      <alignment vertical="center"/>
    </xf>
    <xf numFmtId="171" fontId="6" fillId="0" borderId="2" xfId="0" applyNumberFormat="1" applyFont="1" applyBorder="1"/>
    <xf numFmtId="0" fontId="6" fillId="0" borderId="0" xfId="0" applyFont="1" applyAlignment="1">
      <alignment horizontal="left" vertical="center" wrapText="1"/>
    </xf>
    <xf numFmtId="0" fontId="24" fillId="0" borderId="0" xfId="0" applyFont="1" applyAlignment="1">
      <alignment horizontal="left" vertical="center"/>
    </xf>
    <xf numFmtId="0" fontId="6" fillId="0" borderId="0" xfId="0" applyFont="1" applyAlignment="1">
      <alignment horizontal="center"/>
    </xf>
    <xf numFmtId="0" fontId="8" fillId="0" borderId="0" xfId="5" applyAlignment="1">
      <alignment horizontal="center"/>
    </xf>
    <xf numFmtId="0" fontId="24" fillId="0" borderId="0" xfId="0" applyFont="1" applyAlignment="1">
      <alignment horizontal="center"/>
    </xf>
    <xf numFmtId="0" fontId="12" fillId="10" borderId="0" xfId="0" applyFont="1" applyFill="1" applyAlignment="1">
      <alignment horizontal="center" vertical="center"/>
    </xf>
    <xf numFmtId="0" fontId="8" fillId="0" borderId="0" xfId="5"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18" fillId="0" borderId="0" xfId="0" applyFont="1" applyAlignment="1">
      <alignment horizontal="left" vertical="center"/>
    </xf>
    <xf numFmtId="0" fontId="12" fillId="10" borderId="2" xfId="1" applyFont="1" applyFill="1" applyBorder="1" applyAlignment="1">
      <alignment horizontal="center" vertical="center" wrapText="1"/>
    </xf>
    <xf numFmtId="0" fontId="12" fillId="10" borderId="30" xfId="0" applyFont="1" applyFill="1" applyBorder="1" applyAlignment="1">
      <alignment horizontal="center" vertical="center"/>
    </xf>
    <xf numFmtId="0" fontId="12" fillId="10" borderId="31" xfId="0" applyFont="1" applyFill="1" applyBorder="1" applyAlignment="1">
      <alignment horizontal="center" vertical="center"/>
    </xf>
    <xf numFmtId="0" fontId="12" fillId="10" borderId="32" xfId="0" applyFont="1" applyFill="1" applyBorder="1" applyAlignment="1">
      <alignment horizontal="center" vertical="center"/>
    </xf>
    <xf numFmtId="0" fontId="6" fillId="0" borderId="2" xfId="0" applyFont="1" applyBorder="1" applyAlignment="1">
      <alignment horizontal="center" vertical="center"/>
    </xf>
    <xf numFmtId="0" fontId="39"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2" fillId="10" borderId="2" xfId="0" applyFont="1" applyFill="1" applyBorder="1" applyAlignment="1">
      <alignment horizontal="center" vertical="center" wrapText="1"/>
    </xf>
    <xf numFmtId="0" fontId="24" fillId="0" borderId="12"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40" fillId="0" borderId="12" xfId="0" applyFont="1" applyBorder="1" applyAlignment="1">
      <alignment horizontal="center" vertical="center" wrapText="1"/>
    </xf>
    <xf numFmtId="0" fontId="39"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12" fillId="10" borderId="19" xfId="0" applyFont="1" applyFill="1" applyBorder="1" applyAlignment="1">
      <alignment horizontal="center" vertical="center"/>
    </xf>
    <xf numFmtId="0" fontId="7" fillId="7" borderId="2" xfId="0" applyFont="1" applyFill="1" applyBorder="1" applyAlignment="1">
      <alignment horizontal="center" vertical="center" wrapText="1"/>
    </xf>
    <xf numFmtId="0" fontId="6" fillId="0" borderId="2" xfId="0" applyFont="1" applyBorder="1" applyAlignment="1">
      <alignment horizontal="left" vertical="center"/>
    </xf>
    <xf numFmtId="0" fontId="29" fillId="13" borderId="30" xfId="0" applyFont="1" applyFill="1" applyBorder="1" applyAlignment="1">
      <alignment horizontal="center" vertical="center"/>
    </xf>
    <xf numFmtId="0" fontId="29" fillId="13" borderId="31" xfId="0" applyFont="1" applyFill="1" applyBorder="1" applyAlignment="1">
      <alignment horizontal="center" vertical="center"/>
    </xf>
    <xf numFmtId="0" fontId="29" fillId="13" borderId="32" xfId="0" applyFont="1" applyFill="1" applyBorder="1" applyAlignment="1">
      <alignment horizontal="center" vertical="center"/>
    </xf>
    <xf numFmtId="0" fontId="24" fillId="0" borderId="2" xfId="0" applyFont="1" applyBorder="1" applyAlignment="1">
      <alignment horizontal="center" vertical="center" wrapText="1"/>
    </xf>
    <xf numFmtId="0" fontId="12" fillId="10" borderId="30" xfId="0" applyFont="1" applyFill="1" applyBorder="1" applyAlignment="1">
      <alignment horizontal="center" vertical="center" wrapText="1"/>
    </xf>
    <xf numFmtId="0" fontId="12" fillId="10" borderId="31" xfId="0" applyFont="1" applyFill="1" applyBorder="1" applyAlignment="1">
      <alignment horizontal="center" vertical="center" wrapText="1"/>
    </xf>
    <xf numFmtId="0" fontId="12" fillId="10" borderId="32" xfId="0" applyFont="1" applyFill="1" applyBorder="1" applyAlignment="1">
      <alignment horizontal="center" vertical="center" wrapText="1"/>
    </xf>
    <xf numFmtId="0" fontId="1" fillId="0" borderId="2" xfId="0" applyFont="1" applyBorder="1" applyAlignment="1">
      <alignment horizontal="center" vertical="center" wrapText="1"/>
    </xf>
    <xf numFmtId="0" fontId="6" fillId="0" borderId="23"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60" xfId="0" applyFont="1" applyBorder="1" applyAlignment="1">
      <alignment horizontal="center" vertical="center" wrapText="1"/>
    </xf>
    <xf numFmtId="0" fontId="24" fillId="0" borderId="0" xfId="0" applyFont="1"/>
    <xf numFmtId="0" fontId="0" fillId="0" borderId="2" xfId="0" applyBorder="1" applyAlignment="1">
      <alignment horizontal="center" vertical="center" wrapText="1"/>
    </xf>
    <xf numFmtId="0" fontId="12" fillId="10" borderId="2" xfId="0" quotePrefix="1" applyFont="1" applyFill="1" applyBorder="1" applyAlignment="1">
      <alignment horizontal="center" vertical="center" wrapText="1"/>
    </xf>
    <xf numFmtId="0" fontId="29" fillId="13" borderId="3" xfId="0" applyFont="1" applyFill="1" applyBorder="1" applyAlignment="1">
      <alignment horizontal="center" vertical="center" wrapText="1"/>
    </xf>
    <xf numFmtId="0" fontId="29" fillId="13" borderId="10" xfId="0" applyFont="1" applyFill="1" applyBorder="1" applyAlignment="1">
      <alignment horizontal="center" vertical="center" wrapText="1"/>
    </xf>
    <xf numFmtId="0" fontId="29" fillId="13" borderId="11" xfId="0" applyFont="1" applyFill="1" applyBorder="1" applyAlignment="1">
      <alignment horizontal="center" vertical="center" wrapText="1"/>
    </xf>
    <xf numFmtId="0" fontId="24" fillId="0" borderId="0" xfId="0" applyFont="1" applyAlignment="1">
      <alignment horizontal="left"/>
    </xf>
    <xf numFmtId="0" fontId="19" fillId="7" borderId="46" xfId="0" applyFont="1" applyFill="1" applyBorder="1" applyAlignment="1">
      <alignment horizontal="center" vertical="center" wrapText="1"/>
    </xf>
    <xf numFmtId="0" fontId="19" fillId="7" borderId="47" xfId="0" applyFont="1" applyFill="1" applyBorder="1" applyAlignment="1">
      <alignment horizontal="center" vertical="center" wrapText="1"/>
    </xf>
    <xf numFmtId="0" fontId="12" fillId="10" borderId="18" xfId="0" applyFont="1" applyFill="1" applyBorder="1" applyAlignment="1">
      <alignment horizontal="center" vertical="center" wrapText="1"/>
    </xf>
    <xf numFmtId="0" fontId="12" fillId="10" borderId="19" xfId="0" applyFont="1" applyFill="1" applyBorder="1" applyAlignment="1">
      <alignment horizontal="center" vertical="center" wrapText="1"/>
    </xf>
    <xf numFmtId="0" fontId="7" fillId="7" borderId="2" xfId="0" applyFont="1" applyFill="1" applyBorder="1" applyAlignment="1">
      <alignment horizontal="center" vertical="center"/>
    </xf>
    <xf numFmtId="0" fontId="6" fillId="0" borderId="12" xfId="0" applyFont="1" applyBorder="1" applyAlignment="1">
      <alignment horizontal="center" vertical="center" wrapText="1"/>
    </xf>
    <xf numFmtId="0" fontId="12" fillId="10" borderId="2" xfId="0" applyFont="1" applyFill="1" applyBorder="1" applyAlignment="1">
      <alignment horizontal="center" vertical="center"/>
    </xf>
    <xf numFmtId="0" fontId="25" fillId="7" borderId="2" xfId="0" applyFont="1" applyFill="1" applyBorder="1" applyAlignment="1">
      <alignment horizontal="center" vertical="center" wrapText="1"/>
    </xf>
    <xf numFmtId="0" fontId="9" fillId="10" borderId="0" xfId="0" applyFont="1" applyFill="1" applyAlignment="1">
      <alignment horizontal="center" vertical="center" wrapText="1"/>
    </xf>
    <xf numFmtId="0" fontId="12" fillId="10" borderId="13" xfId="0" applyFont="1" applyFill="1" applyBorder="1" applyAlignment="1">
      <alignment horizontal="center" vertical="center"/>
    </xf>
    <xf numFmtId="0" fontId="40" fillId="0" borderId="16" xfId="0" applyFont="1" applyBorder="1" applyAlignment="1">
      <alignment horizontal="center" vertical="center" wrapText="1"/>
    </xf>
    <xf numFmtId="0" fontId="7" fillId="0" borderId="0" xfId="0" applyFont="1" applyAlignment="1">
      <alignment horizontal="left" vertical="center"/>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105" xfId="0" applyFont="1" applyBorder="1" applyAlignment="1">
      <alignment horizontal="center" vertical="center" wrapText="1"/>
    </xf>
    <xf numFmtId="0" fontId="23" fillId="0" borderId="100" xfId="0" applyFont="1" applyBorder="1" applyAlignment="1">
      <alignment horizontal="center" vertical="center" wrapText="1"/>
    </xf>
    <xf numFmtId="0" fontId="23" fillId="0" borderId="44"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61" xfId="0" applyFont="1" applyBorder="1" applyAlignment="1">
      <alignment horizontal="center" vertical="center" wrapText="1"/>
    </xf>
    <xf numFmtId="0" fontId="43" fillId="7" borderId="0" xfId="0" applyFont="1" applyFill="1" applyAlignment="1">
      <alignment horizontal="center" vertical="center" wrapText="1"/>
    </xf>
    <xf numFmtId="0" fontId="43" fillId="7" borderId="62" xfId="0" applyFont="1" applyFill="1" applyBorder="1" applyAlignment="1">
      <alignment horizontal="center" vertical="center" wrapText="1"/>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07" xfId="0" applyFont="1" applyBorder="1" applyAlignment="1">
      <alignment horizontal="center" vertical="center" wrapText="1"/>
    </xf>
    <xf numFmtId="0" fontId="23" fillId="0" borderId="108" xfId="0" applyFont="1" applyBorder="1" applyAlignment="1">
      <alignment horizontal="center" vertical="center" wrapText="1"/>
    </xf>
    <xf numFmtId="0" fontId="23" fillId="0" borderId="109"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02"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95" xfId="0" applyFont="1" applyBorder="1" applyAlignment="1">
      <alignment horizontal="center" vertical="center" wrapText="1"/>
    </xf>
    <xf numFmtId="0" fontId="23" fillId="0" borderId="96" xfId="0" applyFont="1" applyBorder="1" applyAlignment="1">
      <alignment horizontal="center" vertical="center" wrapText="1"/>
    </xf>
    <xf numFmtId="0" fontId="23" fillId="0" borderId="78" xfId="0" applyFont="1" applyBorder="1" applyAlignment="1">
      <alignment horizontal="center" vertical="center"/>
    </xf>
    <xf numFmtId="0" fontId="23" fillId="0" borderId="70" xfId="0" applyFont="1" applyBorder="1" applyAlignment="1">
      <alignment horizontal="center" vertical="center"/>
    </xf>
    <xf numFmtId="0" fontId="23" fillId="0" borderId="72" xfId="0" applyFont="1" applyBorder="1" applyAlignment="1">
      <alignment horizontal="center" vertical="center"/>
    </xf>
    <xf numFmtId="0" fontId="23" fillId="0" borderId="97" xfId="0" applyFont="1" applyBorder="1" applyAlignment="1">
      <alignment horizontal="center" vertical="center" wrapText="1"/>
    </xf>
    <xf numFmtId="0" fontId="23" fillId="0" borderId="98"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103"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66" xfId="0" applyFont="1" applyBorder="1" applyAlignment="1">
      <alignment horizontal="center" vertical="center" wrapText="1"/>
    </xf>
    <xf numFmtId="0" fontId="23" fillId="0" borderId="69"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64" xfId="0" applyFont="1" applyBorder="1" applyAlignment="1">
      <alignment horizontal="center" vertical="center"/>
    </xf>
    <xf numFmtId="0" fontId="23" fillId="0" borderId="48" xfId="0" applyFont="1" applyBorder="1" applyAlignment="1">
      <alignment horizontal="center" vertical="center"/>
    </xf>
    <xf numFmtId="0" fontId="23" fillId="0" borderId="52" xfId="0" applyFont="1" applyBorder="1" applyAlignment="1">
      <alignment horizontal="center" vertical="center"/>
    </xf>
    <xf numFmtId="0" fontId="38" fillId="0" borderId="64" xfId="0" applyFont="1" applyBorder="1" applyAlignment="1">
      <alignment horizontal="center" vertical="center" wrapText="1"/>
    </xf>
    <xf numFmtId="0" fontId="38" fillId="0" borderId="70" xfId="0" applyFont="1" applyBorder="1" applyAlignment="1">
      <alignment horizontal="center" vertical="center" wrapText="1"/>
    </xf>
    <xf numFmtId="0" fontId="38" fillId="0" borderId="72" xfId="0" applyFont="1" applyBorder="1" applyAlignment="1">
      <alignment horizontal="center" vertical="center" wrapText="1"/>
    </xf>
    <xf numFmtId="0" fontId="23" fillId="0" borderId="67"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75" xfId="0" applyFont="1" applyBorder="1" applyAlignment="1">
      <alignment horizontal="center" vertical="center" wrapText="1"/>
    </xf>
    <xf numFmtId="0" fontId="23" fillId="0" borderId="49" xfId="0" applyFont="1" applyBorder="1" applyAlignment="1">
      <alignment horizontal="center" vertical="center"/>
    </xf>
    <xf numFmtId="0" fontId="38" fillId="0" borderId="49" xfId="0" applyFont="1" applyBorder="1" applyAlignment="1">
      <alignment horizontal="center" vertical="center" wrapText="1"/>
    </xf>
    <xf numFmtId="0" fontId="23" fillId="0" borderId="76" xfId="0" applyFont="1" applyBorder="1" applyAlignment="1">
      <alignment horizontal="center" vertical="center" wrapText="1"/>
    </xf>
    <xf numFmtId="0" fontId="23" fillId="0" borderId="79" xfId="0" applyFont="1" applyBorder="1" applyAlignment="1">
      <alignment horizontal="center" vertical="center" wrapText="1"/>
    </xf>
    <xf numFmtId="0" fontId="23" fillId="0" borderId="80" xfId="0" applyFont="1" applyBorder="1" applyAlignment="1">
      <alignment horizontal="center" vertical="center" wrapText="1"/>
    </xf>
    <xf numFmtId="0" fontId="23" fillId="0" borderId="81" xfId="0" applyFont="1" applyBorder="1" applyAlignment="1">
      <alignment horizontal="center" vertical="center" wrapText="1"/>
    </xf>
    <xf numFmtId="0" fontId="38" fillId="0" borderId="78" xfId="0" applyFont="1" applyBorder="1" applyAlignment="1">
      <alignment horizontal="center" vertical="center" wrapText="1"/>
    </xf>
    <xf numFmtId="0" fontId="19" fillId="7" borderId="2"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7" fillId="7" borderId="12" xfId="0" applyFont="1" applyFill="1" applyBorder="1" applyAlignment="1">
      <alignment horizontal="center" vertical="center"/>
    </xf>
    <xf numFmtId="0" fontId="7" fillId="7" borderId="61" xfId="0" applyFont="1" applyFill="1" applyBorder="1" applyAlignment="1">
      <alignment horizontal="center" vertical="center"/>
    </xf>
    <xf numFmtId="0" fontId="23" fillId="0" borderId="101" xfId="0" applyFont="1" applyBorder="1" applyAlignment="1">
      <alignment horizontal="center" vertical="center" wrapText="1"/>
    </xf>
    <xf numFmtId="0" fontId="46" fillId="7" borderId="0" xfId="0" applyFont="1" applyFill="1" applyAlignment="1">
      <alignment horizontal="center" vertical="center" wrapText="1"/>
    </xf>
    <xf numFmtId="0" fontId="46" fillId="7" borderId="62" xfId="0" applyFont="1" applyFill="1" applyBorder="1" applyAlignment="1">
      <alignment horizontal="center" vertical="center" wrapText="1"/>
    </xf>
    <xf numFmtId="0" fontId="23" fillId="0" borderId="82" xfId="0" applyFont="1" applyBorder="1" applyAlignment="1">
      <alignment horizontal="center" vertical="center" wrapText="1"/>
    </xf>
    <xf numFmtId="0" fontId="23" fillId="0" borderId="87" xfId="0" applyFont="1" applyBorder="1" applyAlignment="1">
      <alignment horizontal="center" vertical="center" wrapText="1"/>
    </xf>
    <xf numFmtId="0" fontId="23" fillId="0" borderId="89" xfId="0" applyFont="1" applyBorder="1" applyAlignment="1">
      <alignment horizontal="center" vertical="center" wrapText="1"/>
    </xf>
    <xf numFmtId="0" fontId="23" fillId="0" borderId="83" xfId="0" applyFont="1" applyBorder="1" applyAlignment="1">
      <alignment horizontal="center" vertical="center"/>
    </xf>
    <xf numFmtId="0" fontId="23" fillId="0" borderId="90" xfId="0" applyFont="1" applyBorder="1" applyAlignment="1">
      <alignment horizontal="center" vertical="center"/>
    </xf>
    <xf numFmtId="0" fontId="38" fillId="0" borderId="83" xfId="0" applyFont="1" applyBorder="1" applyAlignment="1">
      <alignment horizontal="center" vertical="center" wrapText="1"/>
    </xf>
    <xf numFmtId="0" fontId="38" fillId="0" borderId="91"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92" xfId="0" applyFont="1" applyBorder="1" applyAlignment="1">
      <alignment horizontal="center" vertical="center" wrapText="1"/>
    </xf>
    <xf numFmtId="0" fontId="41" fillId="0" borderId="104" xfId="0" applyFont="1" applyBorder="1" applyAlignment="1">
      <alignment horizontal="center" vertical="center" wrapText="1"/>
    </xf>
    <xf numFmtId="0" fontId="41" fillId="0" borderId="6"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9" xfId="0" applyFont="1" applyBorder="1" applyAlignment="1">
      <alignment horizontal="center" vertical="center" wrapText="1"/>
    </xf>
    <xf numFmtId="0" fontId="41" fillId="0" borderId="103"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4" xfId="0" applyFont="1" applyBorder="1" applyAlignment="1">
      <alignment horizontal="center" vertical="center" wrapText="1"/>
    </xf>
    <xf numFmtId="0" fontId="41" fillId="0" borderId="44" xfId="0" applyFont="1" applyBorder="1" applyAlignment="1">
      <alignment horizontal="center" vertical="center" wrapText="1"/>
    </xf>
    <xf numFmtId="0" fontId="41" fillId="0" borderId="16" xfId="0" applyFont="1" applyBorder="1" applyAlignment="1">
      <alignment horizontal="center" vertical="center" wrapText="1"/>
    </xf>
    <xf numFmtId="0" fontId="41" fillId="0" borderId="61"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29" xfId="0" applyFont="1" applyBorder="1" applyAlignment="1">
      <alignment horizontal="center" vertical="center" wrapText="1"/>
    </xf>
    <xf numFmtId="0" fontId="41" fillId="0" borderId="43" xfId="0" applyFont="1" applyBorder="1" applyAlignment="1">
      <alignment horizontal="center" vertical="center" wrapText="1"/>
    </xf>
    <xf numFmtId="0" fontId="41" fillId="0" borderId="95" xfId="0" applyFont="1" applyBorder="1" applyAlignment="1">
      <alignment horizontal="center" vertical="center" wrapText="1"/>
    </xf>
    <xf numFmtId="0" fontId="41" fillId="0" borderId="96" xfId="0" applyFont="1" applyBorder="1" applyAlignment="1">
      <alignment horizontal="center" vertical="center" wrapText="1"/>
    </xf>
    <xf numFmtId="0" fontId="41" fillId="0" borderId="1" xfId="0" applyFont="1" applyBorder="1" applyAlignment="1">
      <alignment horizontal="center" vertical="center"/>
    </xf>
    <xf numFmtId="0" fontId="41" fillId="0" borderId="2" xfId="0" applyFont="1" applyBorder="1" applyAlignment="1">
      <alignment horizontal="center" vertical="center"/>
    </xf>
    <xf numFmtId="0" fontId="41" fillId="0" borderId="29" xfId="0" applyFont="1" applyBorder="1" applyAlignment="1">
      <alignment horizontal="center" vertical="center"/>
    </xf>
    <xf numFmtId="0" fontId="41" fillId="0" borderId="1" xfId="0" applyFont="1" applyBorder="1" applyAlignment="1">
      <alignment horizontal="center" vertical="center" wrapText="1"/>
    </xf>
    <xf numFmtId="0" fontId="41" fillId="0" borderId="5" xfId="0" applyFont="1" applyBorder="1" applyAlignment="1">
      <alignment horizontal="center" vertical="center" wrapText="1"/>
    </xf>
    <xf numFmtId="0" fontId="41" fillId="0" borderId="44" xfId="0" applyFont="1" applyBorder="1" applyAlignment="1">
      <alignment horizontal="center" vertical="center"/>
    </xf>
    <xf numFmtId="0" fontId="41" fillId="0" borderId="16" xfId="0" applyFont="1" applyBorder="1" applyAlignment="1">
      <alignment horizontal="center" vertical="center"/>
    </xf>
    <xf numFmtId="0" fontId="41" fillId="0" borderId="61" xfId="0" applyFont="1" applyBorder="1" applyAlignment="1">
      <alignment horizontal="center" vertical="center"/>
    </xf>
    <xf numFmtId="0" fontId="24" fillId="0" borderId="2" xfId="0" applyFont="1" applyBorder="1" applyAlignment="1">
      <alignment horizontal="center" vertical="center"/>
    </xf>
    <xf numFmtId="0" fontId="29" fillId="13" borderId="18" xfId="0" applyFont="1" applyFill="1" applyBorder="1" applyAlignment="1">
      <alignment horizontal="center" vertical="center"/>
    </xf>
    <xf numFmtId="0" fontId="29" fillId="13" borderId="19" xfId="0" applyFont="1" applyFill="1" applyBorder="1" applyAlignment="1">
      <alignment horizontal="center" vertical="center"/>
    </xf>
    <xf numFmtId="0" fontId="12" fillId="10" borderId="18"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5" fillId="7" borderId="3" xfId="0" applyFont="1" applyFill="1" applyBorder="1" applyAlignment="1">
      <alignment horizontal="center" vertical="center"/>
    </xf>
    <xf numFmtId="0" fontId="25" fillId="7" borderId="10" xfId="0" applyFont="1" applyFill="1" applyBorder="1" applyAlignment="1">
      <alignment horizontal="center" vertical="center"/>
    </xf>
    <xf numFmtId="0" fontId="25" fillId="7" borderId="11" xfId="0" applyFont="1" applyFill="1" applyBorder="1" applyAlignment="1">
      <alignment horizontal="center" vertical="center"/>
    </xf>
    <xf numFmtId="0" fontId="25" fillId="7" borderId="12" xfId="0" applyFont="1" applyFill="1" applyBorder="1" applyAlignment="1">
      <alignment horizontal="center" vertical="center"/>
    </xf>
    <xf numFmtId="0" fontId="25" fillId="7" borderId="17" xfId="0" applyFont="1" applyFill="1" applyBorder="1" applyAlignment="1">
      <alignment horizontal="center" vertical="center"/>
    </xf>
    <xf numFmtId="0" fontId="12" fillId="10" borderId="0" xfId="0" applyFont="1" applyFill="1" applyAlignment="1">
      <alignment horizontal="center" vertical="center" wrapText="1"/>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54F6-4201-93CC-A75DF0561699}"/>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F6-4201-93CC-A75DF0561699}"/>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F6-4201-93CC-A75DF05616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6A5C-4AB8-8FD6-38C4ABB54146}"/>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A5C-4AB8-8FD6-38C4ABB54146}"/>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A5C-4AB8-8FD6-38C4ABB5414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E2A0-41C2-A477-916477C8258A}"/>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E2A0-41C2-A477-916477C8258A}"/>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E2A0-41C2-A477-916477C825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0-E108-4398-BB6A-D5867F2AC7BC}"/>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1-E108-4398-BB6A-D5867F2AC7BC}"/>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2-E108-4398-BB6A-D5867F2AC7B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D858-4F31-9F6D-8BB5DBBA3BE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858-4F31-9F6D-8BB5DBBA3BE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858-4F31-9F6D-8BB5DBBA3BE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6A5-4B8C-A621-9E1EB265B99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6A5-4B8C-A621-9E1EB265B99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6A5-4B8C-A621-9E1EB265B9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1"/>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6F1-4D8B-B15D-8C6B4D8DC53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6F1-4D8B-B15D-8C6B4D8DC538}"/>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6F1-4D8B-B15D-8C6B4D8DC5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3737-4710-B7F9-FB4002D82F7C}"/>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737-4710-B7F9-FB4002D82F7C}"/>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737-4710-B7F9-FB4002D82F7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50783292058900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4E6-4CD4-9D75-F13DF8320223}"/>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C12-4A78-96FD-BE3EF6A4F9F0}"/>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C12-4A78-96FD-BE3EF6A4F9F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E9C7-4024-889D-1485AB3A44F2}"/>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028-40A0-8B39-5EE8505DE92C}"/>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B028-40A0-8B39-5EE8505DE92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Kitchen Occupancy</a:t>
            </a:r>
          </a:p>
        </c:rich>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3B1-4E49-AB36-2BFEFDA8C770}"/>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4F8-4B45-9087-4FA36C785E3F}"/>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4F8-4B45-9087-4FA36C785E3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5887927312668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0-D271-4F44-A019-6F8F9ED83584}"/>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0-C9D5-4714-B550-123D1FA6FC57}"/>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C9D5-4714-B550-123D1FA6FC5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Kitchen 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7A13-47C8-AD17-A28FF51A1D5E}"/>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F21B-4D40-A6FC-D28DFEA71376}"/>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F21B-4D40-A6FC-D28DFEA713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366193710039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829-4640-89E9-FD39C12E0941}"/>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829-4640-89E9-FD39C12E0941}"/>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829-4640-89E9-FD39C12E09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0-93E3-4F38-83D4-2C52181BE11D}"/>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0-64AC-44AC-A02E-58BCF4D92F70}"/>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64AC-44AC-A02E-58BCF4D92F7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51A-4240-BC87-D946308D4DC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51A-4240-BC87-D946308D4DC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51A-4240-BC87-D946308D4DC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Schedules!$C$56</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7DE7-4CB1-8B8B-5B4D3D2E44E4}"/>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6F6-45E5-9436-70D477728860}"/>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6F6-45E5-9436-70D47772886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4636-4E27-AB2B-61F82503DA0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4636-4E27-AB2B-61F82503DA0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4636-4E27-AB2B-61F82503DA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Schedules!$C$59</c:f>
          <c:strCache>
            <c:ptCount val="1"/>
            <c:pt idx="0">
              <c:v>Infiltration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A89-4374-83B9-589B0097359E}"/>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011D-4F15-B695-641CE90934E0}"/>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011D-4F15-B695-641CE90934E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DC4C-47B4-85D1-B0B812D179C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DC4C-47B4-85D1-B0B812D179C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DC4C-47B4-85D1-B0B812D179C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0.0</c:formatCode>
                <c:ptCount val="24"/>
                <c:pt idx="0">
                  <c:v>0</c:v>
                </c:pt>
                <c:pt idx="1">
                  <c:v>0</c:v>
                </c:pt>
                <c:pt idx="2">
                  <c:v>0</c:v>
                </c:pt>
                <c:pt idx="3">
                  <c:v>0</c:v>
                </c:pt>
                <c:pt idx="4">
                  <c:v>0</c:v>
                </c:pt>
                <c:pt idx="5">
                  <c:v>0</c:v>
                </c:pt>
                <c:pt idx="6">
                  <c:v>0</c:v>
                </c:pt>
                <c:pt idx="7">
                  <c:v>0</c:v>
                </c:pt>
                <c:pt idx="8">
                  <c:v>0.3</c:v>
                </c:pt>
                <c:pt idx="9">
                  <c:v>0.3</c:v>
                </c:pt>
                <c:pt idx="10">
                  <c:v>0.3</c:v>
                </c:pt>
                <c:pt idx="11">
                  <c:v>0.3</c:v>
                </c:pt>
                <c:pt idx="12">
                  <c:v>0.3</c:v>
                </c:pt>
                <c:pt idx="13">
                  <c:v>0.3</c:v>
                </c:pt>
                <c:pt idx="14">
                  <c:v>0.3</c:v>
                </c:pt>
                <c:pt idx="15">
                  <c:v>0.15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007-4E7F-BC6D-F6771D1E73A6}"/>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007-4E7F-BC6D-F6771D1E73A6}"/>
            </c:ext>
          </c:extLst>
        </c:ser>
        <c:ser>
          <c:idx val="2"/>
          <c:order val="2"/>
          <c:tx>
            <c:strRef>
              <c:f>Schedules!$E$102</c:f>
              <c:strCache>
                <c:ptCount val="1"/>
                <c:pt idx="0">
                  <c:v>Sunday</c:v>
                </c:pt>
              </c:strCache>
            </c:strRef>
          </c:tx>
          <c:spPr>
            <a:ln w="28575" cap="rnd">
              <a:solidFill>
                <a:schemeClr val="accent3"/>
              </a:solidFill>
              <a:prstDash val="sysDot"/>
              <a:round/>
            </a:ln>
            <a:effectLst/>
          </c:spPr>
          <c:marker>
            <c:symbol val="none"/>
          </c:marker>
          <c:val>
            <c:numRef>
              <c:f>Schedules!$F$102:$AC$102</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1007-4E7F-BC6D-F6771D1E73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F88-4A31-B598-82E1A736508A}"/>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0DD-4122-A0DB-EF18A50626C1}"/>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0DD-4122-A0DB-EF18A50626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Schedules!$E$81</c:f>
              <c:strCache>
                <c:ptCount val="1"/>
                <c:pt idx="0">
                  <c:v>Weekday</c:v>
                </c:pt>
              </c:strCache>
            </c:strRef>
          </c:tx>
          <c:spPr>
            <a:ln w="28575" cap="rnd">
              <a:solidFill>
                <a:schemeClr val="accent1"/>
              </a:solidFill>
              <a:round/>
            </a:ln>
            <a:effectLst/>
          </c:spPr>
          <c:marker>
            <c:symbol val="none"/>
          </c:marker>
          <c:val>
            <c:numRef>
              <c:f>Schedules!$F$81:$AC$81</c:f>
              <c:numCache>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D11A-4490-A5AD-446C12260A93}"/>
            </c:ext>
          </c:extLst>
        </c:ser>
        <c:ser>
          <c:idx val="1"/>
          <c:order val="1"/>
          <c:tx>
            <c:strRef>
              <c:f>Schedules!$E$82</c:f>
              <c:strCache>
                <c:ptCount val="1"/>
                <c:pt idx="0">
                  <c:v>Saturday</c:v>
                </c:pt>
              </c:strCache>
            </c:strRef>
          </c:tx>
          <c:spPr>
            <a:ln w="28575" cap="rnd">
              <a:solidFill>
                <a:schemeClr val="accent2"/>
              </a:solidFill>
              <a:round/>
            </a:ln>
            <a:effectLst/>
          </c:spPr>
          <c:marker>
            <c:symbol val="none"/>
          </c:marker>
          <c:val>
            <c:numRef>
              <c:f>Schedules!$F$82:$AC$82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316-4812-A2AF-F9B5D6CD5D5F}"/>
            </c:ext>
          </c:extLst>
        </c:ser>
        <c:ser>
          <c:idx val="2"/>
          <c:order val="2"/>
          <c:tx>
            <c:strRef>
              <c:f>Schedules!$E$83</c:f>
              <c:strCache>
                <c:ptCount val="1"/>
                <c:pt idx="0">
                  <c:v>Sunday</c:v>
                </c:pt>
              </c:strCache>
            </c:strRef>
          </c:tx>
          <c:spPr>
            <a:ln w="28575" cap="rnd">
              <a:solidFill>
                <a:schemeClr val="accent3"/>
              </a:solidFill>
              <a:round/>
            </a:ln>
            <a:effectLst/>
          </c:spPr>
          <c:marker>
            <c:symbol val="none"/>
          </c:marker>
          <c:val>
            <c:numRef>
              <c:f>Schedules!$F$83:$AC$83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316-4812-A2AF-F9B5D6CD5D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Cache>
            </c:numRef>
          </c:val>
          <c:smooth val="0"/>
          <c:extLst>
            <c:ext xmlns:c16="http://schemas.microsoft.com/office/drawing/2014/chart" uri="{C3380CC4-5D6E-409C-BE32-E72D297353CC}">
              <c16:uniqueId val="{00000000-1D71-4987-B5B7-00B243922DDF}"/>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4BE-4D0A-A894-B72598DC4038}"/>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4BE-4D0A-A894-B72598DC40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Schedules!$E$87</c:f>
              <c:strCache>
                <c:ptCount val="1"/>
                <c:pt idx="0">
                  <c:v>Weekday</c:v>
                </c:pt>
              </c:strCache>
            </c:strRef>
          </c:tx>
          <c:spPr>
            <a:ln w="28575" cap="rnd">
              <a:solidFill>
                <a:schemeClr val="accent1"/>
              </a:solidFill>
              <a:round/>
            </a:ln>
            <a:effectLst/>
          </c:spPr>
          <c:marker>
            <c:symbol val="none"/>
          </c:marker>
          <c:val>
            <c:numRef>
              <c:f>Schedules!$F$87:$AC$87</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Cache>
            </c:numRef>
          </c:val>
          <c:smooth val="0"/>
          <c:extLst>
            <c:ext xmlns:c16="http://schemas.microsoft.com/office/drawing/2014/chart" uri="{C3380CC4-5D6E-409C-BE32-E72D297353CC}">
              <c16:uniqueId val="{00000000-1EF4-4EA6-903A-AD55BED97293}"/>
            </c:ext>
          </c:extLst>
        </c:ser>
        <c:ser>
          <c:idx val="1"/>
          <c:order val="1"/>
          <c:tx>
            <c:strRef>
              <c:f>Schedules!$E$88</c:f>
              <c:strCache>
                <c:ptCount val="1"/>
                <c:pt idx="0">
                  <c:v>Saturday</c:v>
                </c:pt>
              </c:strCache>
            </c:strRef>
          </c:tx>
          <c:spPr>
            <a:ln w="28575" cap="rnd">
              <a:solidFill>
                <a:schemeClr val="accent2"/>
              </a:solidFill>
              <a:round/>
            </a:ln>
            <a:effectLst/>
          </c:spPr>
          <c:marker>
            <c:symbol val="none"/>
          </c:marker>
          <c:val>
            <c:numRef>
              <c:f>Schedules!$F$88:$AC$88</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0-9961-4086-83F3-549CFFC56B1C}"/>
            </c:ext>
          </c:extLst>
        </c:ser>
        <c:ser>
          <c:idx val="2"/>
          <c:order val="2"/>
          <c:tx>
            <c:strRef>
              <c:f>Schedules!$E$89</c:f>
              <c:strCache>
                <c:ptCount val="1"/>
                <c:pt idx="0">
                  <c:v>Sunday</c:v>
                </c:pt>
              </c:strCache>
            </c:strRef>
          </c:tx>
          <c:spPr>
            <a:ln w="28575" cap="rnd">
              <a:solidFill>
                <a:schemeClr val="accent3"/>
              </a:solidFill>
              <a:round/>
            </a:ln>
            <a:effectLst/>
          </c:spPr>
          <c:marker>
            <c:symbol val="none"/>
          </c:marker>
          <c:val>
            <c:numRef>
              <c:f>Schedules!$F$89:$AC$89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961-4086-83F3-549CFFC56B1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D10-4F6F-B035-2D31AD01E75A}"/>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E52-4A02-BFB1-BC42F565BBB7}"/>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E52-4A02-BFB1-BC42F565BBB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E78-473E-8BC8-434FB537717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E78-473E-8BC8-434FB537717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E78-473E-8BC8-434FB537717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Schedules!$E$84</c:f>
              <c:strCache>
                <c:ptCount val="1"/>
                <c:pt idx="0">
                  <c:v>Weekday</c:v>
                </c:pt>
              </c:strCache>
            </c:strRef>
          </c:tx>
          <c:spPr>
            <a:ln w="28575" cap="rnd">
              <a:solidFill>
                <a:schemeClr val="accent1"/>
              </a:solidFill>
              <a:round/>
            </a:ln>
            <a:effectLst/>
          </c:spPr>
          <c:marker>
            <c:symbol val="none"/>
          </c:marker>
          <c:val>
            <c:numRef>
              <c:f>Schedules!$F$84:$AC$84</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Cache>
            </c:numRef>
          </c:val>
          <c:smooth val="0"/>
          <c:extLst>
            <c:ext xmlns:c16="http://schemas.microsoft.com/office/drawing/2014/chart" uri="{C3380CC4-5D6E-409C-BE32-E72D297353CC}">
              <c16:uniqueId val="{00000000-FC32-4D06-8A79-7801B63BA00B}"/>
            </c:ext>
          </c:extLst>
        </c:ser>
        <c:ser>
          <c:idx val="1"/>
          <c:order val="1"/>
          <c:tx>
            <c:strRef>
              <c:f>Schedules!$E$85</c:f>
              <c:strCache>
                <c:ptCount val="1"/>
                <c:pt idx="0">
                  <c:v>Saturday</c:v>
                </c:pt>
              </c:strCache>
            </c:strRef>
          </c:tx>
          <c:spPr>
            <a:ln w="28575" cap="rnd">
              <a:solidFill>
                <a:schemeClr val="accent2"/>
              </a:solidFill>
              <a:round/>
            </a:ln>
            <a:effectLst/>
          </c:spPr>
          <c:marker>
            <c:symbol val="none"/>
          </c:marker>
          <c:val>
            <c:numRef>
              <c:f>Schedules!$F$85:$AC$85</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0-0A61-46AE-A6A4-01CA8AFA1B5A}"/>
            </c:ext>
          </c:extLst>
        </c:ser>
        <c:ser>
          <c:idx val="2"/>
          <c:order val="2"/>
          <c:tx>
            <c:strRef>
              <c:f>Schedules!$E$86</c:f>
              <c:strCache>
                <c:ptCount val="1"/>
                <c:pt idx="0">
                  <c:v>Sunday</c:v>
                </c:pt>
              </c:strCache>
            </c:strRef>
          </c:tx>
          <c:spPr>
            <a:ln w="28575" cap="rnd">
              <a:solidFill>
                <a:schemeClr val="accent3"/>
              </a:solidFill>
              <a:round/>
            </a:ln>
            <a:effectLst/>
          </c:spPr>
          <c:marker>
            <c:symbol val="none"/>
          </c:marker>
          <c:val>
            <c:numRef>
              <c:f>Schedules!$F$86:$AC$86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0A61-46AE-A6A4-01CA8AFA1B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8EB-4D5D-A852-3EE3F2339D3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8EB-4D5D-A852-3EE3F2339D3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8EB-4D5D-A852-3EE3F2339D3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Schedules!$E$90</c:f>
              <c:strCache>
                <c:ptCount val="1"/>
                <c:pt idx="0">
                  <c:v>Weekday</c:v>
                </c:pt>
              </c:strCache>
            </c:strRef>
          </c:tx>
          <c:spPr>
            <a:ln w="28575" cap="rnd">
              <a:solidFill>
                <a:schemeClr val="accent1"/>
              </a:solidFill>
              <a:round/>
            </a:ln>
            <a:effectLst/>
          </c:spPr>
          <c:marker>
            <c:symbol val="none"/>
          </c:marker>
          <c:val>
            <c:numRef>
              <c:f>Schedules!$F$90:$AC$90</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741C-4686-9991-6BB995DFC09A}"/>
            </c:ext>
          </c:extLst>
        </c:ser>
        <c:ser>
          <c:idx val="1"/>
          <c:order val="1"/>
          <c:tx>
            <c:strRef>
              <c:f>Schedules!$E$91</c:f>
              <c:strCache>
                <c:ptCount val="1"/>
                <c:pt idx="0">
                  <c:v>Saturday</c:v>
                </c:pt>
              </c:strCache>
            </c:strRef>
          </c:tx>
          <c:spPr>
            <a:ln w="28575" cap="rnd">
              <a:solidFill>
                <a:schemeClr val="accent2"/>
              </a:solidFill>
              <a:round/>
            </a:ln>
            <a:effectLst/>
          </c:spPr>
          <c:marker>
            <c:symbol val="none"/>
          </c:marker>
          <c:val>
            <c:numRef>
              <c:f>Schedules!$F$91:$AC$91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AC-4060-925D-C5D18529300A}"/>
            </c:ext>
          </c:extLst>
        </c:ser>
        <c:ser>
          <c:idx val="2"/>
          <c:order val="2"/>
          <c:tx>
            <c:strRef>
              <c:f>Schedules!$E$92</c:f>
              <c:strCache>
                <c:ptCount val="1"/>
                <c:pt idx="0">
                  <c:v>Sunday</c:v>
                </c:pt>
              </c:strCache>
            </c:strRef>
          </c:tx>
          <c:spPr>
            <a:ln w="28575" cap="rnd">
              <a:solidFill>
                <a:schemeClr val="accent3"/>
              </a:solidFill>
              <a:round/>
            </a:ln>
            <a:effectLst/>
          </c:spPr>
          <c:marker>
            <c:symbol val="none"/>
          </c:marker>
          <c:val>
            <c:numRef>
              <c:f>Schedules!$F$92:$AC$92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AC-4060-925D-C5D1852930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4A5-4AD0-BE3F-3D17975F2327}"/>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4A5-4AD0-BE3F-3D17975F2327}"/>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4A5-4AD0-BE3F-3D17975F232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Schedules!$C$93</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AAFA-40EA-99AC-8DB5EB34C8BC}"/>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2E-4986-9225-92526F3CBA5A}"/>
            </c:ext>
          </c:extLst>
        </c:ser>
        <c:ser>
          <c:idx val="2"/>
          <c:order val="2"/>
          <c:tx>
            <c:strRef>
              <c:f>Schedules!$E$95</c:f>
              <c:strCache>
                <c:ptCount val="1"/>
                <c:pt idx="0">
                  <c:v>Sunday</c:v>
                </c:pt>
              </c:strCache>
            </c:strRef>
          </c:tx>
          <c:spPr>
            <a:ln w="28575" cap="rnd">
              <a:solidFill>
                <a:schemeClr val="accent3"/>
              </a:solidFill>
              <a:round/>
            </a:ln>
            <a:effectLst/>
          </c:spPr>
          <c:marker>
            <c:symbol val="none"/>
          </c:marker>
          <c:val>
            <c:numRef>
              <c:f>Schedules!$F$95:$AC$95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2E-4986-9225-92526F3CBA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9BCB-43D0-BC3F-D2F58BEB824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9BCB-43D0-BC3F-D2F58BEB824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9BCB-43D0-BC3F-D2F58BEB824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A858-4D50-BC5C-ACCBEA1D894A}"/>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A858-4D50-BC5C-ACCBEA1D894A}"/>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A858-4D50-BC5C-ACCBEA1D89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Schedules!$C$31</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c:formatCode>
                <c:ptCount val="24"/>
                <c:pt idx="0">
                  <c:v>85</c:v>
                </c:pt>
                <c:pt idx="1">
                  <c:v>85</c:v>
                </c:pt>
                <c:pt idx="2">
                  <c:v>85</c:v>
                </c:pt>
                <c:pt idx="3">
                  <c:v>85</c:v>
                </c:pt>
                <c:pt idx="4">
                  <c:v>85</c:v>
                </c:pt>
                <c:pt idx="5">
                  <c:v>85</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85</c:v>
                </c:pt>
                <c:pt idx="23">
                  <c:v>85</c:v>
                </c:pt>
              </c:numCache>
            </c:numRef>
          </c:val>
          <c:smooth val="0"/>
          <c:extLst>
            <c:ext xmlns:c16="http://schemas.microsoft.com/office/drawing/2014/chart" uri="{C3380CC4-5D6E-409C-BE32-E72D297353CC}">
              <c16:uniqueId val="{00000000-97B4-4F39-94DC-7F4D0B4DCD61}"/>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c:formatCode>
                <c:ptCount val="24"/>
                <c:pt idx="0">
                  <c:v>85</c:v>
                </c:pt>
                <c:pt idx="1">
                  <c:v>85</c:v>
                </c:pt>
                <c:pt idx="2">
                  <c:v>85</c:v>
                </c:pt>
                <c:pt idx="3">
                  <c:v>85</c:v>
                </c:pt>
                <c:pt idx="4">
                  <c:v>85</c:v>
                </c:pt>
                <c:pt idx="5">
                  <c:v>85</c:v>
                </c:pt>
                <c:pt idx="6">
                  <c:v>85</c:v>
                </c:pt>
                <c:pt idx="7">
                  <c:v>70</c:v>
                </c:pt>
                <c:pt idx="8">
                  <c:v>70</c:v>
                </c:pt>
                <c:pt idx="9">
                  <c:v>70</c:v>
                </c:pt>
                <c:pt idx="10">
                  <c:v>70</c:v>
                </c:pt>
                <c:pt idx="11">
                  <c:v>70</c:v>
                </c:pt>
                <c:pt idx="12">
                  <c:v>70</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7B4-4F39-94DC-7F4D0B4DCD61}"/>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7B4-4F39-94DC-7F4D0B4DCD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AD2A-4EFD-90D6-E057D80D5941}"/>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AD2A-4EFD-90D6-E057D80D5941}"/>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AD2A-4EFD-90D6-E057D80D59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5ABD-43F7-80F3-05850BF1041F}"/>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5ABD-43F7-80F3-05850BF1041F}"/>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5ABD-43F7-80F3-05850BF1041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Large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F2DC-4D0C-A486-F3995D40FDC2}"/>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F2DC-4D0C-A486-F3995D40FDC2}"/>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68.84379629629629</c:v>
                </c:pt>
                <c:pt idx="1">
                  <c:v>63.353591836734694</c:v>
                </c:pt>
                <c:pt idx="2">
                  <c:v>52.415308641975315</c:v>
                </c:pt>
                <c:pt idx="3">
                  <c:v>60.444474885844762</c:v>
                </c:pt>
                <c:pt idx="4">
                  <c:v>48.080499605662283</c:v>
                </c:pt>
                <c:pt idx="5">
                  <c:v>42.737944453870625</c:v>
                </c:pt>
                <c:pt idx="6">
                  <c:v>41.599070981210858</c:v>
                </c:pt>
                <c:pt idx="7">
                  <c:v>50.620139784946232</c:v>
                </c:pt>
                <c:pt idx="8">
                  <c:v>52.435165094339624</c:v>
                </c:pt>
                <c:pt idx="9">
                  <c:v>52.585868200836821</c:v>
                </c:pt>
                <c:pt idx="10">
                  <c:v>75.384562126436776</c:v>
                </c:pt>
                <c:pt idx="11">
                  <c:v>64.221684517593644</c:v>
                </c:pt>
                <c:pt idx="12">
                  <c:v>64.524331797235021</c:v>
                </c:pt>
                <c:pt idx="13">
                  <c:v>69.143202545068931</c:v>
                </c:pt>
                <c:pt idx="14">
                  <c:v>63.679186677018642</c:v>
                </c:pt>
                <c:pt idx="15">
                  <c:v>90.478195116279068</c:v>
                </c:pt>
              </c:numCache>
            </c:numRef>
          </c:yVal>
          <c:smooth val="0"/>
          <c:extLst>
            <c:ext xmlns:c16="http://schemas.microsoft.com/office/drawing/2014/chart" uri="{C3380CC4-5D6E-409C-BE32-E72D297353CC}">
              <c16:uniqueId val="{00000002-F2DC-4D0C-A486-F3995D40FDC2}"/>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pt idx="0">
                  <c:v>57.53</c:v>
                </c:pt>
                <c:pt idx="1">
                  <c:v>52.93</c:v>
                </c:pt>
                <c:pt idx="2">
                  <c:v>44.480000000000004</c:v>
                </c:pt>
                <c:pt idx="3">
                  <c:v>49.96</c:v>
                </c:pt>
                <c:pt idx="4">
                  <c:v>40.849999999999994</c:v>
                </c:pt>
                <c:pt idx="5">
                  <c:v>37.82</c:v>
                </c:pt>
                <c:pt idx="6">
                  <c:v>36.83</c:v>
                </c:pt>
                <c:pt idx="7">
                  <c:v>44.35</c:v>
                </c:pt>
                <c:pt idx="8">
                  <c:v>45.42</c:v>
                </c:pt>
                <c:pt idx="9">
                  <c:v>46.61</c:v>
                </c:pt>
                <c:pt idx="10">
                  <c:v>63.08</c:v>
                </c:pt>
                <c:pt idx="11">
                  <c:v>54.769999999999996</c:v>
                </c:pt>
                <c:pt idx="12">
                  <c:v>55.099999999999994</c:v>
                </c:pt>
                <c:pt idx="13">
                  <c:v>57.99</c:v>
                </c:pt>
                <c:pt idx="14">
                  <c:v>55.339999999999996</c:v>
                </c:pt>
                <c:pt idx="15">
                  <c:v>76.28</c:v>
                </c:pt>
              </c:numCache>
            </c:numRef>
          </c:yVal>
          <c:smooth val="0"/>
          <c:extLst>
            <c:ext xmlns:c16="http://schemas.microsoft.com/office/drawing/2014/chart" uri="{C3380CC4-5D6E-409C-BE32-E72D297353CC}">
              <c16:uniqueId val="{00000003-F2DC-4D0C-A486-F3995D40FDC2}"/>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Large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63</c:v>
                </c:pt>
                <c:pt idx="1">
                  <c:v>63</c:v>
                </c:pt>
                <c:pt idx="2">
                  <c:v>63</c:v>
                </c:pt>
                <c:pt idx="3">
                  <c:v>63</c:v>
                </c:pt>
                <c:pt idx="4">
                  <c:v>63</c:v>
                </c:pt>
                <c:pt idx="5">
                  <c:v>63</c:v>
                </c:pt>
                <c:pt idx="6">
                  <c:v>63</c:v>
                </c:pt>
                <c:pt idx="7">
                  <c:v>63</c:v>
                </c:pt>
                <c:pt idx="8">
                  <c:v>63</c:v>
                </c:pt>
                <c:pt idx="9">
                  <c:v>63</c:v>
                </c:pt>
                <c:pt idx="10">
                  <c:v>63</c:v>
                </c:pt>
                <c:pt idx="11">
                  <c:v>63</c:v>
                </c:pt>
                <c:pt idx="12">
                  <c:v>63</c:v>
                </c:pt>
                <c:pt idx="13">
                  <c:v>63</c:v>
                </c:pt>
                <c:pt idx="14">
                  <c:v>63</c:v>
                </c:pt>
                <c:pt idx="15">
                  <c:v>63</c:v>
                </c:pt>
              </c:numCache>
            </c:numRef>
          </c:val>
          <c:extLst>
            <c:ext xmlns:c16="http://schemas.microsoft.com/office/drawing/2014/chart" uri="{C3380CC4-5D6E-409C-BE32-E72D297353CC}">
              <c16:uniqueId val="{00000000-9EF3-44A2-8157-23688FB6AE0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42</c:v>
                </c:pt>
                <c:pt idx="1">
                  <c:v>42</c:v>
                </c:pt>
                <c:pt idx="2">
                  <c:v>42</c:v>
                </c:pt>
                <c:pt idx="3">
                  <c:v>42</c:v>
                </c:pt>
                <c:pt idx="4">
                  <c:v>42</c:v>
                </c:pt>
                <c:pt idx="5">
                  <c:v>42</c:v>
                </c:pt>
                <c:pt idx="6">
                  <c:v>42</c:v>
                </c:pt>
                <c:pt idx="7">
                  <c:v>42</c:v>
                </c:pt>
                <c:pt idx="8">
                  <c:v>42</c:v>
                </c:pt>
                <c:pt idx="9">
                  <c:v>42</c:v>
                </c:pt>
                <c:pt idx="10">
                  <c:v>42</c:v>
                </c:pt>
                <c:pt idx="11">
                  <c:v>42</c:v>
                </c:pt>
                <c:pt idx="12">
                  <c:v>42</c:v>
                </c:pt>
                <c:pt idx="13">
                  <c:v>42</c:v>
                </c:pt>
                <c:pt idx="14">
                  <c:v>42</c:v>
                </c:pt>
                <c:pt idx="15">
                  <c:v>42</c:v>
                </c:pt>
              </c:numCache>
            </c:numRef>
          </c:val>
          <c:extLst>
            <c:ext xmlns:c16="http://schemas.microsoft.com/office/drawing/2014/chart" uri="{C3380CC4-5D6E-409C-BE32-E72D297353CC}">
              <c16:uniqueId val="{00000001-9EF3-44A2-8157-23688FB6AE0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68.84379629629629</c:v>
                </c:pt>
                <c:pt idx="1">
                  <c:v>63.353591836734694</c:v>
                </c:pt>
                <c:pt idx="2">
                  <c:v>52.415308641975315</c:v>
                </c:pt>
                <c:pt idx="3">
                  <c:v>60.444474885844762</c:v>
                </c:pt>
                <c:pt idx="4">
                  <c:v>48.080499605662283</c:v>
                </c:pt>
                <c:pt idx="5">
                  <c:v>42.737944453870625</c:v>
                </c:pt>
                <c:pt idx="6">
                  <c:v>41.599070981210858</c:v>
                </c:pt>
                <c:pt idx="7">
                  <c:v>50.620139784946232</c:v>
                </c:pt>
                <c:pt idx="8">
                  <c:v>52.435165094339624</c:v>
                </c:pt>
                <c:pt idx="9">
                  <c:v>52.585868200836821</c:v>
                </c:pt>
                <c:pt idx="10">
                  <c:v>75.384562126436776</c:v>
                </c:pt>
                <c:pt idx="11">
                  <c:v>64.221684517593644</c:v>
                </c:pt>
                <c:pt idx="12">
                  <c:v>64.524331797235021</c:v>
                </c:pt>
                <c:pt idx="13">
                  <c:v>69.143202545068931</c:v>
                </c:pt>
                <c:pt idx="14">
                  <c:v>63.679186677018642</c:v>
                </c:pt>
                <c:pt idx="15">
                  <c:v>90.478195116279068</c:v>
                </c:pt>
              </c:numCache>
            </c:numRef>
          </c:yVal>
          <c:smooth val="0"/>
          <c:extLst>
            <c:ext xmlns:c16="http://schemas.microsoft.com/office/drawing/2014/chart" uri="{C3380CC4-5D6E-409C-BE32-E72D297353CC}">
              <c16:uniqueId val="{00000002-9EF3-44A2-8157-23688FB6AE0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57.53</c:v>
                </c:pt>
                <c:pt idx="1">
                  <c:v>52.93</c:v>
                </c:pt>
                <c:pt idx="2">
                  <c:v>44.480000000000004</c:v>
                </c:pt>
                <c:pt idx="3">
                  <c:v>49.96</c:v>
                </c:pt>
                <c:pt idx="4">
                  <c:v>40.849999999999994</c:v>
                </c:pt>
                <c:pt idx="5">
                  <c:v>37.82</c:v>
                </c:pt>
                <c:pt idx="6">
                  <c:v>36.83</c:v>
                </c:pt>
                <c:pt idx="7">
                  <c:v>44.35</c:v>
                </c:pt>
                <c:pt idx="8">
                  <c:v>45.42</c:v>
                </c:pt>
                <c:pt idx="9">
                  <c:v>46.61</c:v>
                </c:pt>
                <c:pt idx="10">
                  <c:v>63.08</c:v>
                </c:pt>
                <c:pt idx="11">
                  <c:v>54.769999999999996</c:v>
                </c:pt>
                <c:pt idx="12">
                  <c:v>55.099999999999994</c:v>
                </c:pt>
                <c:pt idx="13">
                  <c:v>57.99</c:v>
                </c:pt>
                <c:pt idx="14">
                  <c:v>55.339999999999996</c:v>
                </c:pt>
                <c:pt idx="15">
                  <c:v>76.28</c:v>
                </c:pt>
              </c:numCache>
            </c:numRef>
          </c:yVal>
          <c:smooth val="0"/>
          <c:extLst>
            <c:ext xmlns:c16="http://schemas.microsoft.com/office/drawing/2014/chart" uri="{C3380CC4-5D6E-409C-BE32-E72D297353CC}">
              <c16:uniqueId val="{00000003-9EF3-44A2-8157-23688FB6AE0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20</xdr:row>
      <xdr:rowOff>80009</xdr:rowOff>
    </xdr:from>
    <xdr:to>
      <xdr:col>5</xdr:col>
      <xdr:colOff>383157</xdr:colOff>
      <xdr:row>31</xdr:row>
      <xdr:rowOff>87629</xdr:rowOff>
    </xdr:to>
    <xdr:pic>
      <xdr:nvPicPr>
        <xdr:cNvPr id="2" name="Picture 1">
          <a:extLst>
            <a:ext uri="{FF2B5EF4-FFF2-40B4-BE49-F238E27FC236}">
              <a16:creationId xmlns:a16="http://schemas.microsoft.com/office/drawing/2014/main" id="{CC5E647C-252F-87B3-3414-43642E508D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040" y="3722369"/>
          <a:ext cx="7995537"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6</xdr:row>
      <xdr:rowOff>9525</xdr:rowOff>
    </xdr:from>
    <xdr:to>
      <xdr:col>1</xdr:col>
      <xdr:colOff>3238500</xdr:colOff>
      <xdr:row>6</xdr:row>
      <xdr:rowOff>1209675</xdr:rowOff>
    </xdr:to>
    <xdr:pic>
      <xdr:nvPicPr>
        <xdr:cNvPr id="3" name="Picture 2">
          <a:extLst>
            <a:ext uri="{FF2B5EF4-FFF2-40B4-BE49-F238E27FC236}">
              <a16:creationId xmlns:a16="http://schemas.microsoft.com/office/drawing/2014/main" id="{736FE2F5-AB02-521E-EAAB-93D8BC3B9350}"/>
            </a:ext>
          </a:extLst>
        </xdr:cNvPr>
        <xdr:cNvPicPr>
          <a:picLocks noChangeAspect="1"/>
        </xdr:cNvPicPr>
      </xdr:nvPicPr>
      <xdr:blipFill rotWithShape="1">
        <a:blip xmlns:r="http://schemas.openxmlformats.org/officeDocument/2006/relationships" r:embed="rId1"/>
        <a:srcRect l="2910" t="13171" r="2910" b="6093"/>
        <a:stretch>
          <a:fillRect/>
        </a:stretch>
      </xdr:blipFill>
      <xdr:spPr>
        <a:xfrm>
          <a:off x="1847850" y="1571625"/>
          <a:ext cx="3057525" cy="1200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1282561</xdr:colOff>
      <xdr:row>0</xdr:row>
      <xdr:rowOff>35035</xdr:rowOff>
    </xdr:from>
    <xdr:to>
      <xdr:col>13</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1325218</xdr:colOff>
      <xdr:row>0</xdr:row>
      <xdr:rowOff>67505</xdr:rowOff>
    </xdr:from>
    <xdr:to>
      <xdr:col>13</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12</xdr:col>
      <xdr:colOff>201083</xdr:colOff>
      <xdr:row>1</xdr:row>
      <xdr:rowOff>10584</xdr:rowOff>
    </xdr:from>
    <xdr:to>
      <xdr:col>16</xdr:col>
      <xdr:colOff>1566333</xdr:colOff>
      <xdr:row>19</xdr:row>
      <xdr:rowOff>87011</xdr:rowOff>
    </xdr:to>
    <xdr:pic>
      <xdr:nvPicPr>
        <xdr:cNvPr id="9" name="Picture 8">
          <a:extLst>
            <a:ext uri="{FF2B5EF4-FFF2-40B4-BE49-F238E27FC236}">
              <a16:creationId xmlns:a16="http://schemas.microsoft.com/office/drawing/2014/main" id="{2B55954E-1C9E-7CB3-29BD-AA5FF6899DDF}"/>
            </a:ext>
          </a:extLst>
        </xdr:cNvPr>
        <xdr:cNvPicPr>
          <a:picLocks noChangeAspect="1"/>
        </xdr:cNvPicPr>
      </xdr:nvPicPr>
      <xdr:blipFill>
        <a:blip xmlns:r="http://schemas.openxmlformats.org/officeDocument/2006/relationships" r:embed="rId1"/>
        <a:stretch>
          <a:fillRect/>
        </a:stretch>
      </xdr:blipFill>
      <xdr:spPr>
        <a:xfrm>
          <a:off x="17208500" y="338667"/>
          <a:ext cx="5969000" cy="4510844"/>
        </a:xfrm>
        <a:prstGeom prst="rect">
          <a:avLst/>
        </a:prstGeom>
        <a:solidFill>
          <a:schemeClr val="tx1"/>
        </a:solidFill>
      </xdr:spPr>
    </xdr:pic>
    <xdr:clientData/>
  </xdr:twoCellAnchor>
  <xdr:twoCellAnchor>
    <xdr:from>
      <xdr:col>1</xdr:col>
      <xdr:colOff>3566583</xdr:colOff>
      <xdr:row>67</xdr:row>
      <xdr:rowOff>21166</xdr:rowOff>
    </xdr:from>
    <xdr:to>
      <xdr:col>10</xdr:col>
      <xdr:colOff>1384362</xdr:colOff>
      <xdr:row>137</xdr:row>
      <xdr:rowOff>8263</xdr:rowOff>
    </xdr:to>
    <xdr:grpSp>
      <xdr:nvGrpSpPr>
        <xdr:cNvPr id="6" name="Group 4">
          <a:extLst>
            <a:ext uri="{FF2B5EF4-FFF2-40B4-BE49-F238E27FC236}">
              <a16:creationId xmlns:a16="http://schemas.microsoft.com/office/drawing/2014/main" id="{E9A6DB52-B271-B840-F455-8F5410071365}"/>
            </a:ext>
          </a:extLst>
        </xdr:cNvPr>
        <xdr:cNvGrpSpPr/>
      </xdr:nvGrpSpPr>
      <xdr:grpSpPr>
        <a:xfrm>
          <a:off x="6561666" y="15377583"/>
          <a:ext cx="9258363" cy="13099847"/>
          <a:chOff x="6572250" y="16615833"/>
          <a:chExt cx="8030696" cy="13099847"/>
        </a:xfrm>
      </xdr:grpSpPr>
      <xdr:pic>
        <xdr:nvPicPr>
          <xdr:cNvPr id="7" name="Picture 1">
            <a:extLst>
              <a:ext uri="{FF2B5EF4-FFF2-40B4-BE49-F238E27FC236}">
                <a16:creationId xmlns:a16="http://schemas.microsoft.com/office/drawing/2014/main" id="{C1055965-4DB2-356B-CF54-50912DF892B8}"/>
              </a:ext>
            </a:extLst>
          </xdr:cNvPr>
          <xdr:cNvPicPr>
            <a:picLocks noChangeAspect="1"/>
          </xdr:cNvPicPr>
        </xdr:nvPicPr>
        <xdr:blipFill>
          <a:blip xmlns:r="http://schemas.openxmlformats.org/officeDocument/2006/relationships" r:embed="rId2"/>
          <a:stretch>
            <a:fillRect/>
          </a:stretch>
        </xdr:blipFill>
        <xdr:spPr>
          <a:xfrm>
            <a:off x="6572250" y="16615833"/>
            <a:ext cx="8030696" cy="6982799"/>
          </a:xfrm>
          <a:prstGeom prst="rect">
            <a:avLst/>
          </a:prstGeom>
        </xdr:spPr>
      </xdr:pic>
      <xdr:pic>
        <xdr:nvPicPr>
          <xdr:cNvPr id="10" name="Picture 2">
            <a:extLst>
              <a:ext uri="{FF2B5EF4-FFF2-40B4-BE49-F238E27FC236}">
                <a16:creationId xmlns:a16="http://schemas.microsoft.com/office/drawing/2014/main" id="{0F45FD9B-CC05-323E-4EC4-9EFF53A74A9A}"/>
              </a:ext>
            </a:extLst>
          </xdr:cNvPr>
          <xdr:cNvPicPr>
            <a:picLocks noChangeAspect="1"/>
          </xdr:cNvPicPr>
        </xdr:nvPicPr>
        <xdr:blipFill>
          <a:blip xmlns:r="http://schemas.openxmlformats.org/officeDocument/2006/relationships" r:embed="rId3"/>
          <a:stretch>
            <a:fillRect/>
          </a:stretch>
        </xdr:blipFill>
        <xdr:spPr>
          <a:xfrm>
            <a:off x="6582833" y="23590250"/>
            <a:ext cx="8011643" cy="612543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704850</xdr:colOff>
      <xdr:row>74</xdr:row>
      <xdr:rowOff>24765</xdr:rowOff>
    </xdr:from>
    <xdr:to>
      <xdr:col>12</xdr:col>
      <xdr:colOff>994362</xdr:colOff>
      <xdr:row>101</xdr:row>
      <xdr:rowOff>92868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57850" y="8990171"/>
          <a:ext cx="16312467" cy="4880610"/>
        </a:xfrm>
        <a:prstGeom prst="rect">
          <a:avLst/>
        </a:prstGeom>
      </xdr:spPr>
    </xdr:pic>
    <xdr:clientData/>
  </xdr:twoCellAnchor>
  <xdr:twoCellAnchor>
    <xdr:from>
      <xdr:col>0</xdr:col>
      <xdr:colOff>60465</xdr:colOff>
      <xdr:row>74</xdr:row>
      <xdr:rowOff>89040</xdr:rowOff>
    </xdr:from>
    <xdr:to>
      <xdr:col>3</xdr:col>
      <xdr:colOff>664368</xdr:colOff>
      <xdr:row>117</xdr:row>
      <xdr:rowOff>17150</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9054446"/>
          <a:ext cx="7476191" cy="7607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104774</xdr:rowOff>
    </xdr:from>
    <xdr:to>
      <xdr:col>1</xdr:col>
      <xdr:colOff>1358500</xdr:colOff>
      <xdr:row>41</xdr:row>
      <xdr:rowOff>176106</xdr:rowOff>
    </xdr:to>
    <xdr:pic>
      <xdr:nvPicPr>
        <xdr:cNvPr id="10"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24024"/>
          <a:ext cx="4724000" cy="294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313764</xdr:colOff>
      <xdr:row>3</xdr:row>
      <xdr:rowOff>22412</xdr:rowOff>
    </xdr:from>
    <xdr:to>
      <xdr:col>36</xdr:col>
      <xdr:colOff>22412</xdr:colOff>
      <xdr:row>6</xdr:row>
      <xdr:rowOff>56029</xdr:rowOff>
    </xdr:to>
    <xdr:graphicFrame macro="">
      <xdr:nvGraphicFramePr>
        <xdr:cNvPr id="51" name="Chart 5">
          <a:extLst>
            <a:ext uri="{FF2B5EF4-FFF2-40B4-BE49-F238E27FC236}">
              <a16:creationId xmlns:a16="http://schemas.microsoft.com/office/drawing/2014/main" id="{6E9DF868-DFA2-452A-AE6F-A776FA4E237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AC2CD358-79DD-494B-A2F7-B1C5C0E97DC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802B1973-A854-4D27-AB2A-BEAC8F83B1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5" name="Chart 5">
          <a:extLst>
            <a:ext uri="{FF2B5EF4-FFF2-40B4-BE49-F238E27FC236}">
              <a16:creationId xmlns:a16="http://schemas.microsoft.com/office/drawing/2014/main" id="{33C0A0A6-6BA1-40A8-B098-AD3C42983B11}"/>
            </a:ext>
            <a:ext uri="{147F2762-F138-4A5C-976F-8EAC2B608ADB}">
              <a16:predDERef xmlns:a16="http://schemas.microsoft.com/office/drawing/2014/main" pred="{802B1973-A854-4D27-AB2A-BEAC8F83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6" name="Chart 5">
          <a:extLst>
            <a:ext uri="{FF2B5EF4-FFF2-40B4-BE49-F238E27FC236}">
              <a16:creationId xmlns:a16="http://schemas.microsoft.com/office/drawing/2014/main" id="{1C5B629F-8373-4BA5-A711-F9DB584A9EF0}"/>
            </a:ext>
            <a:ext uri="{147F2762-F138-4A5C-976F-8EAC2B608ADB}">
              <a16:predDERef xmlns:a16="http://schemas.microsoft.com/office/drawing/2014/main" pred="{33C0A0A6-6BA1-40A8-B098-AD3C4298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C55925F3-C042-4D9C-B4AC-4DA448FB409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574EDB9B-3270-48BC-B4E0-9BD2943B08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307657</xdr:colOff>
      <xdr:row>21</xdr:row>
      <xdr:rowOff>55721</xdr:rowOff>
    </xdr:from>
    <xdr:to>
      <xdr:col>36</xdr:col>
      <xdr:colOff>18097</xdr:colOff>
      <xdr:row>23</xdr:row>
      <xdr:rowOff>408215</xdr:rowOff>
    </xdr:to>
    <xdr:graphicFrame macro="">
      <xdr:nvGraphicFramePr>
        <xdr:cNvPr id="9" name="Chart 8">
          <a:extLst>
            <a:ext uri="{FF2B5EF4-FFF2-40B4-BE49-F238E27FC236}">
              <a16:creationId xmlns:a16="http://schemas.microsoft.com/office/drawing/2014/main" id="{0ACCB44E-E45C-4DD0-83FD-1F1FC98E987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285750</xdr:colOff>
      <xdr:row>43</xdr:row>
      <xdr:rowOff>0</xdr:rowOff>
    </xdr:from>
    <xdr:to>
      <xdr:col>36</xdr:col>
      <xdr:colOff>0</xdr:colOff>
      <xdr:row>45</xdr:row>
      <xdr:rowOff>304800</xdr:rowOff>
    </xdr:to>
    <xdr:graphicFrame macro="">
      <xdr:nvGraphicFramePr>
        <xdr:cNvPr id="10" name="Chart 5">
          <a:extLst>
            <a:ext uri="{FF2B5EF4-FFF2-40B4-BE49-F238E27FC236}">
              <a16:creationId xmlns:a16="http://schemas.microsoft.com/office/drawing/2014/main" id="{7A6062F5-1D86-481F-9BC8-F62CBE6230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287460</xdr:colOff>
      <xdr:row>46</xdr:row>
      <xdr:rowOff>31712</xdr:rowOff>
    </xdr:from>
    <xdr:to>
      <xdr:col>35</xdr:col>
      <xdr:colOff>618930</xdr:colOff>
      <xdr:row>48</xdr:row>
      <xdr:rowOff>304800</xdr:rowOff>
    </xdr:to>
    <xdr:graphicFrame macro="">
      <xdr:nvGraphicFramePr>
        <xdr:cNvPr id="11" name="Chart 5">
          <a:extLst>
            <a:ext uri="{FF2B5EF4-FFF2-40B4-BE49-F238E27FC236}">
              <a16:creationId xmlns:a16="http://schemas.microsoft.com/office/drawing/2014/main" id="{D0AEBEB6-D05D-4952-8ED8-4F676164857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285329</xdr:colOff>
      <xdr:row>36</xdr:row>
      <xdr:rowOff>411733</xdr:rowOff>
    </xdr:from>
    <xdr:to>
      <xdr:col>36</xdr:col>
      <xdr:colOff>15716</xdr:colOff>
      <xdr:row>39</xdr:row>
      <xdr:rowOff>295275</xdr:rowOff>
    </xdr:to>
    <xdr:graphicFrame macro="">
      <xdr:nvGraphicFramePr>
        <xdr:cNvPr id="12" name="Chart 5">
          <a:extLst>
            <a:ext uri="{FF2B5EF4-FFF2-40B4-BE49-F238E27FC236}">
              <a16:creationId xmlns:a16="http://schemas.microsoft.com/office/drawing/2014/main" id="{31F35754-3028-4955-A5E8-9C17DA945A2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282165</xdr:colOff>
      <xdr:row>52</xdr:row>
      <xdr:rowOff>75079</xdr:rowOff>
    </xdr:from>
    <xdr:to>
      <xdr:col>35</xdr:col>
      <xdr:colOff>620471</xdr:colOff>
      <xdr:row>54</xdr:row>
      <xdr:rowOff>247650</xdr:rowOff>
    </xdr:to>
    <xdr:graphicFrame macro="">
      <xdr:nvGraphicFramePr>
        <xdr:cNvPr id="13" name="Chart 5">
          <a:extLst>
            <a:ext uri="{FF2B5EF4-FFF2-40B4-BE49-F238E27FC236}">
              <a16:creationId xmlns:a16="http://schemas.microsoft.com/office/drawing/2014/main" id="{0422927D-5A49-4CCA-9F9A-40AAAEDA6D4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285750</xdr:colOff>
      <xdr:row>40</xdr:row>
      <xdr:rowOff>0</xdr:rowOff>
    </xdr:from>
    <xdr:to>
      <xdr:col>35</xdr:col>
      <xdr:colOff>630555</xdr:colOff>
      <xdr:row>42</xdr:row>
      <xdr:rowOff>209550</xdr:rowOff>
    </xdr:to>
    <xdr:graphicFrame macro="">
      <xdr:nvGraphicFramePr>
        <xdr:cNvPr id="14" name="Chart 5">
          <a:extLst>
            <a:ext uri="{FF2B5EF4-FFF2-40B4-BE49-F238E27FC236}">
              <a16:creationId xmlns:a16="http://schemas.microsoft.com/office/drawing/2014/main" id="{3917CF3B-A2FB-423A-9F06-833A716FC9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284629</xdr:colOff>
      <xdr:row>52</xdr:row>
      <xdr:rowOff>0</xdr:rowOff>
    </xdr:from>
    <xdr:to>
      <xdr:col>36</xdr:col>
      <xdr:colOff>6275</xdr:colOff>
      <xdr:row>52</xdr:row>
      <xdr:rowOff>31376</xdr:rowOff>
    </xdr:to>
    <xdr:graphicFrame macro="">
      <xdr:nvGraphicFramePr>
        <xdr:cNvPr id="15" name="Chart 5">
          <a:extLst>
            <a:ext uri="{FF2B5EF4-FFF2-40B4-BE49-F238E27FC236}">
              <a16:creationId xmlns:a16="http://schemas.microsoft.com/office/drawing/2014/main" id="{8BA4B564-018A-42D6-91A2-AAFC59EC323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282165</xdr:colOff>
      <xdr:row>49</xdr:row>
      <xdr:rowOff>75079</xdr:rowOff>
    </xdr:from>
    <xdr:to>
      <xdr:col>35</xdr:col>
      <xdr:colOff>620471</xdr:colOff>
      <xdr:row>51</xdr:row>
      <xdr:rowOff>276225</xdr:rowOff>
    </xdr:to>
    <xdr:graphicFrame macro="">
      <xdr:nvGraphicFramePr>
        <xdr:cNvPr id="16" name="Chart 5">
          <a:extLst>
            <a:ext uri="{FF2B5EF4-FFF2-40B4-BE49-F238E27FC236}">
              <a16:creationId xmlns:a16="http://schemas.microsoft.com/office/drawing/2014/main" id="{8DB4032B-13E1-4BF0-A7CF-9D36DA0024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284629</xdr:colOff>
      <xdr:row>49</xdr:row>
      <xdr:rowOff>0</xdr:rowOff>
    </xdr:from>
    <xdr:to>
      <xdr:col>36</xdr:col>
      <xdr:colOff>6275</xdr:colOff>
      <xdr:row>49</xdr:row>
      <xdr:rowOff>31376</xdr:rowOff>
    </xdr:to>
    <xdr:graphicFrame macro="">
      <xdr:nvGraphicFramePr>
        <xdr:cNvPr id="17" name="Chart 5">
          <a:extLst>
            <a:ext uri="{FF2B5EF4-FFF2-40B4-BE49-F238E27FC236}">
              <a16:creationId xmlns:a16="http://schemas.microsoft.com/office/drawing/2014/main" id="{E2E4E1C5-A08D-47CA-BF0C-00988850443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282165</xdr:colOff>
      <xdr:row>55</xdr:row>
      <xdr:rowOff>75079</xdr:rowOff>
    </xdr:from>
    <xdr:to>
      <xdr:col>35</xdr:col>
      <xdr:colOff>620471</xdr:colOff>
      <xdr:row>57</xdr:row>
      <xdr:rowOff>276225</xdr:rowOff>
    </xdr:to>
    <xdr:graphicFrame macro="">
      <xdr:nvGraphicFramePr>
        <xdr:cNvPr id="20" name="Chart 5">
          <a:extLst>
            <a:ext uri="{FF2B5EF4-FFF2-40B4-BE49-F238E27FC236}">
              <a16:creationId xmlns:a16="http://schemas.microsoft.com/office/drawing/2014/main" id="{39B85F66-922C-4FF7-9080-E62B84E4ADC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284629</xdr:colOff>
      <xdr:row>55</xdr:row>
      <xdr:rowOff>0</xdr:rowOff>
    </xdr:from>
    <xdr:to>
      <xdr:col>36</xdr:col>
      <xdr:colOff>6275</xdr:colOff>
      <xdr:row>55</xdr:row>
      <xdr:rowOff>31376</xdr:rowOff>
    </xdr:to>
    <xdr:graphicFrame macro="">
      <xdr:nvGraphicFramePr>
        <xdr:cNvPr id="21" name="Chart 5">
          <a:extLst>
            <a:ext uri="{FF2B5EF4-FFF2-40B4-BE49-F238E27FC236}">
              <a16:creationId xmlns:a16="http://schemas.microsoft.com/office/drawing/2014/main" id="{AB6F4CA5-AD60-457E-9E6D-51D7299C8E4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302559</xdr:colOff>
      <xdr:row>58</xdr:row>
      <xdr:rowOff>75080</xdr:rowOff>
    </xdr:from>
    <xdr:to>
      <xdr:col>36</xdr:col>
      <xdr:colOff>4148</xdr:colOff>
      <xdr:row>61</xdr:row>
      <xdr:rowOff>437030</xdr:rowOff>
    </xdr:to>
    <xdr:graphicFrame macro="">
      <xdr:nvGraphicFramePr>
        <xdr:cNvPr id="33" name="Chart 5">
          <a:extLst>
            <a:ext uri="{FF2B5EF4-FFF2-40B4-BE49-F238E27FC236}">
              <a16:creationId xmlns:a16="http://schemas.microsoft.com/office/drawing/2014/main" id="{2DADB96C-BD8E-4099-9567-5C40B847537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284629</xdr:colOff>
      <xdr:row>58</xdr:row>
      <xdr:rowOff>0</xdr:rowOff>
    </xdr:from>
    <xdr:to>
      <xdr:col>36</xdr:col>
      <xdr:colOff>6275</xdr:colOff>
      <xdr:row>58</xdr:row>
      <xdr:rowOff>31376</xdr:rowOff>
    </xdr:to>
    <xdr:graphicFrame macro="">
      <xdr:nvGraphicFramePr>
        <xdr:cNvPr id="23" name="Chart 5">
          <a:extLst>
            <a:ext uri="{FF2B5EF4-FFF2-40B4-BE49-F238E27FC236}">
              <a16:creationId xmlns:a16="http://schemas.microsoft.com/office/drawing/2014/main" id="{89813849-48C6-4E16-86A9-3FA270921D2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296228</xdr:colOff>
      <xdr:row>99</xdr:row>
      <xdr:rowOff>0</xdr:rowOff>
    </xdr:from>
    <xdr:to>
      <xdr:col>36</xdr:col>
      <xdr:colOff>19051</xdr:colOff>
      <xdr:row>102</xdr:row>
      <xdr:rowOff>67627</xdr:rowOff>
    </xdr:to>
    <xdr:graphicFrame macro="">
      <xdr:nvGraphicFramePr>
        <xdr:cNvPr id="24" name="Chart 5">
          <a:extLst>
            <a:ext uri="{FF2B5EF4-FFF2-40B4-BE49-F238E27FC236}">
              <a16:creationId xmlns:a16="http://schemas.microsoft.com/office/drawing/2014/main" id="{7FBC53B1-F97A-4DC9-B8CB-38A4369C86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285750</xdr:colOff>
      <xdr:row>77</xdr:row>
      <xdr:rowOff>0</xdr:rowOff>
    </xdr:from>
    <xdr:to>
      <xdr:col>36</xdr:col>
      <xdr:colOff>0</xdr:colOff>
      <xdr:row>80</xdr:row>
      <xdr:rowOff>9525</xdr:rowOff>
    </xdr:to>
    <xdr:graphicFrame macro="">
      <xdr:nvGraphicFramePr>
        <xdr:cNvPr id="25" name="Chart 5">
          <a:extLst>
            <a:ext uri="{FF2B5EF4-FFF2-40B4-BE49-F238E27FC236}">
              <a16:creationId xmlns:a16="http://schemas.microsoft.com/office/drawing/2014/main" id="{67BA400C-533F-4294-9FF2-CBC1B15683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287460</xdr:colOff>
      <xdr:row>80</xdr:row>
      <xdr:rowOff>31712</xdr:rowOff>
    </xdr:from>
    <xdr:to>
      <xdr:col>35</xdr:col>
      <xdr:colOff>618930</xdr:colOff>
      <xdr:row>82</xdr:row>
      <xdr:rowOff>238125</xdr:rowOff>
    </xdr:to>
    <xdr:graphicFrame macro="">
      <xdr:nvGraphicFramePr>
        <xdr:cNvPr id="26" name="Chart 5">
          <a:extLst>
            <a:ext uri="{FF2B5EF4-FFF2-40B4-BE49-F238E27FC236}">
              <a16:creationId xmlns:a16="http://schemas.microsoft.com/office/drawing/2014/main" id="{D08D37F1-5682-4D6F-BBE9-08344AE4C03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285329</xdr:colOff>
      <xdr:row>70</xdr:row>
      <xdr:rowOff>411733</xdr:rowOff>
    </xdr:from>
    <xdr:to>
      <xdr:col>36</xdr:col>
      <xdr:colOff>15716</xdr:colOff>
      <xdr:row>73</xdr:row>
      <xdr:rowOff>238125</xdr:rowOff>
    </xdr:to>
    <xdr:graphicFrame macro="">
      <xdr:nvGraphicFramePr>
        <xdr:cNvPr id="27" name="Chart 5">
          <a:extLst>
            <a:ext uri="{FF2B5EF4-FFF2-40B4-BE49-F238E27FC236}">
              <a16:creationId xmlns:a16="http://schemas.microsoft.com/office/drawing/2014/main" id="{54BA07C3-0D71-492D-886E-42E148C9CA8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282165</xdr:colOff>
      <xdr:row>86</xdr:row>
      <xdr:rowOff>75079</xdr:rowOff>
    </xdr:from>
    <xdr:to>
      <xdr:col>35</xdr:col>
      <xdr:colOff>620471</xdr:colOff>
      <xdr:row>88</xdr:row>
      <xdr:rowOff>304800</xdr:rowOff>
    </xdr:to>
    <xdr:graphicFrame macro="">
      <xdr:nvGraphicFramePr>
        <xdr:cNvPr id="28" name="Chart 5">
          <a:extLst>
            <a:ext uri="{FF2B5EF4-FFF2-40B4-BE49-F238E27FC236}">
              <a16:creationId xmlns:a16="http://schemas.microsoft.com/office/drawing/2014/main" id="{D55B30EF-7479-4CCF-AD0A-0BEB59D2834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285750</xdr:colOff>
      <xdr:row>74</xdr:row>
      <xdr:rowOff>0</xdr:rowOff>
    </xdr:from>
    <xdr:to>
      <xdr:col>35</xdr:col>
      <xdr:colOff>630555</xdr:colOff>
      <xdr:row>76</xdr:row>
      <xdr:rowOff>238125</xdr:rowOff>
    </xdr:to>
    <xdr:graphicFrame macro="">
      <xdr:nvGraphicFramePr>
        <xdr:cNvPr id="29" name="Chart 5">
          <a:extLst>
            <a:ext uri="{FF2B5EF4-FFF2-40B4-BE49-F238E27FC236}">
              <a16:creationId xmlns:a16="http://schemas.microsoft.com/office/drawing/2014/main" id="{A99058FC-9B7F-4F9D-8DB5-6E1F313648F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30" name="Chart 5">
          <a:extLst>
            <a:ext uri="{FF2B5EF4-FFF2-40B4-BE49-F238E27FC236}">
              <a16:creationId xmlns:a16="http://schemas.microsoft.com/office/drawing/2014/main" id="{1414465A-FA4A-4098-A31D-F6D9CFA12D7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285975</xdr:colOff>
      <xdr:row>83</xdr:row>
      <xdr:rowOff>75078</xdr:rowOff>
    </xdr:from>
    <xdr:to>
      <xdr:col>35</xdr:col>
      <xdr:colOff>622376</xdr:colOff>
      <xdr:row>85</xdr:row>
      <xdr:rowOff>257175</xdr:rowOff>
    </xdr:to>
    <xdr:graphicFrame macro="">
      <xdr:nvGraphicFramePr>
        <xdr:cNvPr id="31" name="Chart 5">
          <a:extLst>
            <a:ext uri="{FF2B5EF4-FFF2-40B4-BE49-F238E27FC236}">
              <a16:creationId xmlns:a16="http://schemas.microsoft.com/office/drawing/2014/main" id="{11456B21-BC66-4047-AE32-8A30617BC50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32" name="Chart 5">
          <a:extLst>
            <a:ext uri="{FF2B5EF4-FFF2-40B4-BE49-F238E27FC236}">
              <a16:creationId xmlns:a16="http://schemas.microsoft.com/office/drawing/2014/main" id="{3B633189-D309-428D-A80F-D6FBE764CE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282165</xdr:colOff>
      <xdr:row>89</xdr:row>
      <xdr:rowOff>75079</xdr:rowOff>
    </xdr:from>
    <xdr:to>
      <xdr:col>35</xdr:col>
      <xdr:colOff>620471</xdr:colOff>
      <xdr:row>91</xdr:row>
      <xdr:rowOff>314325</xdr:rowOff>
    </xdr:to>
    <xdr:graphicFrame macro="">
      <xdr:nvGraphicFramePr>
        <xdr:cNvPr id="35" name="Chart 5">
          <a:extLst>
            <a:ext uri="{FF2B5EF4-FFF2-40B4-BE49-F238E27FC236}">
              <a16:creationId xmlns:a16="http://schemas.microsoft.com/office/drawing/2014/main" id="{31F893D5-AE3A-4BE7-A044-AB6839727C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36" name="Chart 5">
          <a:extLst>
            <a:ext uri="{FF2B5EF4-FFF2-40B4-BE49-F238E27FC236}">
              <a16:creationId xmlns:a16="http://schemas.microsoft.com/office/drawing/2014/main" id="{ACD80C64-3F1F-4C5C-A8AB-D4689F5A64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282165</xdr:colOff>
      <xdr:row>92</xdr:row>
      <xdr:rowOff>75078</xdr:rowOff>
    </xdr:from>
    <xdr:to>
      <xdr:col>35</xdr:col>
      <xdr:colOff>620471</xdr:colOff>
      <xdr:row>94</xdr:row>
      <xdr:rowOff>266699</xdr:rowOff>
    </xdr:to>
    <xdr:graphicFrame macro="">
      <xdr:nvGraphicFramePr>
        <xdr:cNvPr id="37" name="Chart 5">
          <a:extLst>
            <a:ext uri="{FF2B5EF4-FFF2-40B4-BE49-F238E27FC236}">
              <a16:creationId xmlns:a16="http://schemas.microsoft.com/office/drawing/2014/main" id="{CBF43BB6-D515-4C9D-9077-AA5718F847A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284629</xdr:colOff>
      <xdr:row>92</xdr:row>
      <xdr:rowOff>0</xdr:rowOff>
    </xdr:from>
    <xdr:to>
      <xdr:col>36</xdr:col>
      <xdr:colOff>6275</xdr:colOff>
      <xdr:row>92</xdr:row>
      <xdr:rowOff>31376</xdr:rowOff>
    </xdr:to>
    <xdr:graphicFrame macro="">
      <xdr:nvGraphicFramePr>
        <xdr:cNvPr id="38" name="Chart 5">
          <a:extLst>
            <a:ext uri="{FF2B5EF4-FFF2-40B4-BE49-F238E27FC236}">
              <a16:creationId xmlns:a16="http://schemas.microsoft.com/office/drawing/2014/main" id="{7689E3D5-58BB-4528-A835-F2237B09763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302559</xdr:colOff>
      <xdr:row>27</xdr:row>
      <xdr:rowOff>33618</xdr:rowOff>
    </xdr:from>
    <xdr:to>
      <xdr:col>36</xdr:col>
      <xdr:colOff>28015</xdr:colOff>
      <xdr:row>29</xdr:row>
      <xdr:rowOff>342298</xdr:rowOff>
    </xdr:to>
    <xdr:graphicFrame macro="">
      <xdr:nvGraphicFramePr>
        <xdr:cNvPr id="53" name="Chart 38">
          <a:extLst>
            <a:ext uri="{FF2B5EF4-FFF2-40B4-BE49-F238E27FC236}">
              <a16:creationId xmlns:a16="http://schemas.microsoft.com/office/drawing/2014/main" id="{40E620FE-F6BC-45AD-B6DF-59E2CD72EE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313764</xdr:colOff>
      <xdr:row>30</xdr:row>
      <xdr:rowOff>0</xdr:rowOff>
    </xdr:from>
    <xdr:to>
      <xdr:col>36</xdr:col>
      <xdr:colOff>39220</xdr:colOff>
      <xdr:row>32</xdr:row>
      <xdr:rowOff>308680</xdr:rowOff>
    </xdr:to>
    <xdr:graphicFrame macro="">
      <xdr:nvGraphicFramePr>
        <xdr:cNvPr id="59" name="Chart 39">
          <a:extLst>
            <a:ext uri="{FF2B5EF4-FFF2-40B4-BE49-F238E27FC236}">
              <a16:creationId xmlns:a16="http://schemas.microsoft.com/office/drawing/2014/main" id="{718BB3CC-3B30-41F3-A8B0-88B2EC7B78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211120</xdr:colOff>
      <xdr:row>67</xdr:row>
      <xdr:rowOff>7843</xdr:rowOff>
    </xdr:from>
    <xdr:to>
      <xdr:col>35</xdr:col>
      <xdr:colOff>551331</xdr:colOff>
      <xdr:row>69</xdr:row>
      <xdr:rowOff>282388</xdr:rowOff>
    </xdr:to>
    <xdr:graphicFrame macro="">
      <xdr:nvGraphicFramePr>
        <xdr:cNvPr id="34" name="Chart 5">
          <a:extLst>
            <a:ext uri="{FF2B5EF4-FFF2-40B4-BE49-F238E27FC236}">
              <a16:creationId xmlns:a16="http://schemas.microsoft.com/office/drawing/2014/main" id="{77BA82AE-20D0-403A-B477-7E156AB0F5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278355</xdr:colOff>
      <xdr:row>95</xdr:row>
      <xdr:rowOff>75079</xdr:rowOff>
    </xdr:from>
    <xdr:to>
      <xdr:col>35</xdr:col>
      <xdr:colOff>618566</xdr:colOff>
      <xdr:row>97</xdr:row>
      <xdr:rowOff>349624</xdr:rowOff>
    </xdr:to>
    <xdr:graphicFrame macro="">
      <xdr:nvGraphicFramePr>
        <xdr:cNvPr id="39" name="Chart 5">
          <a:extLst>
            <a:ext uri="{FF2B5EF4-FFF2-40B4-BE49-F238E27FC236}">
              <a16:creationId xmlns:a16="http://schemas.microsoft.com/office/drawing/2014/main" id="{47BB1477-E14E-40C4-BC18-C4BC10FF434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084BBF5F-754A-4D06-A5C6-E05A19DD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1B6FA3C1-57F8-473F-8D9A-F64B17814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file:///C:\Users\DabbagMo\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buildingandinteriors.com/find-the-magic-number-elevators-per-buildin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9"/>
  <sheetViews>
    <sheetView zoomScaleNormal="100" workbookViewId="0">
      <selection sqref="A1:F1"/>
    </sheetView>
  </sheetViews>
  <sheetFormatPr defaultColWidth="9.28515625" defaultRowHeight="12.75" x14ac:dyDescent="0.2"/>
  <cols>
    <col min="1" max="1" width="16.140625" style="6" bestFit="1" customWidth="1"/>
    <col min="2" max="2" width="83.7109375" style="6" customWidth="1"/>
    <col min="3" max="3" width="12" style="6" customWidth="1"/>
    <col min="4" max="7" width="9.28515625" style="6"/>
    <col min="8" max="8" width="21.7109375" style="6" customWidth="1"/>
    <col min="9" max="9" width="10.7109375" style="6" customWidth="1"/>
    <col min="10" max="10" width="9.7109375" style="6" customWidth="1"/>
    <col min="11" max="11" width="9.7109375" style="6" bestFit="1" customWidth="1"/>
    <col min="12" max="16384" width="9.28515625" style="6"/>
  </cols>
  <sheetData>
    <row r="1" spans="1:7" ht="20.45" customHeight="1" x14ac:dyDescent="0.2">
      <c r="A1" s="371" t="s">
        <v>0</v>
      </c>
      <c r="B1" s="371"/>
      <c r="C1" s="371"/>
      <c r="D1" s="371"/>
      <c r="E1" s="371"/>
      <c r="F1" s="371"/>
    </row>
    <row r="2" spans="1:7" x14ac:dyDescent="0.2">
      <c r="A2" s="374" t="s">
        <v>1</v>
      </c>
      <c r="B2" s="6" t="s">
        <v>2</v>
      </c>
      <c r="C2" s="368"/>
      <c r="D2" s="368"/>
      <c r="E2" s="368"/>
      <c r="F2" s="368"/>
    </row>
    <row r="3" spans="1:7" x14ac:dyDescent="0.2">
      <c r="A3" s="374"/>
      <c r="B3" s="6" t="s">
        <v>3</v>
      </c>
      <c r="C3" s="368"/>
      <c r="D3" s="368"/>
      <c r="E3" s="368"/>
      <c r="F3" s="368"/>
    </row>
    <row r="4" spans="1:7" x14ac:dyDescent="0.2">
      <c r="A4" s="374"/>
      <c r="B4" s="6" t="s">
        <v>4</v>
      </c>
      <c r="C4" s="368"/>
      <c r="D4" s="368"/>
      <c r="E4" s="368"/>
      <c r="F4" s="368"/>
    </row>
    <row r="5" spans="1:7" x14ac:dyDescent="0.2">
      <c r="A5" s="374"/>
      <c r="C5" s="368"/>
      <c r="D5" s="368"/>
      <c r="E5" s="368"/>
      <c r="F5" s="368"/>
    </row>
    <row r="6" spans="1:7" ht="15" x14ac:dyDescent="0.25">
      <c r="A6" s="374" t="s">
        <v>5</v>
      </c>
      <c r="B6" s="6" t="s">
        <v>6</v>
      </c>
      <c r="C6" s="372" t="s">
        <v>7</v>
      </c>
      <c r="D6" s="373"/>
      <c r="E6" s="373"/>
      <c r="F6" s="373"/>
    </row>
    <row r="7" spans="1:7" ht="15" x14ac:dyDescent="0.25">
      <c r="A7" s="374"/>
      <c r="C7" s="372"/>
      <c r="D7" s="373"/>
      <c r="E7" s="373"/>
      <c r="F7" s="373"/>
    </row>
    <row r="8" spans="1:7" ht="15" x14ac:dyDescent="0.25">
      <c r="A8" s="374"/>
      <c r="C8" s="372"/>
      <c r="D8" s="373"/>
      <c r="E8" s="373"/>
      <c r="F8" s="373"/>
    </row>
    <row r="9" spans="1:7" x14ac:dyDescent="0.2">
      <c r="A9" s="367" t="s">
        <v>8</v>
      </c>
      <c r="B9" s="298" t="s">
        <v>9</v>
      </c>
      <c r="C9" s="370"/>
      <c r="D9" s="370"/>
      <c r="E9" s="370"/>
      <c r="F9" s="370"/>
    </row>
    <row r="10" spans="1:7" x14ac:dyDescent="0.2">
      <c r="A10" s="367"/>
      <c r="B10" s="298" t="s">
        <v>10</v>
      </c>
      <c r="C10" s="370"/>
      <c r="D10" s="370"/>
      <c r="E10" s="370"/>
      <c r="F10" s="370"/>
    </row>
    <row r="11" spans="1:7" x14ac:dyDescent="0.2">
      <c r="A11" s="367"/>
      <c r="B11" s="298" t="s">
        <v>11</v>
      </c>
      <c r="C11" s="370"/>
      <c r="D11" s="370"/>
      <c r="E11" s="370"/>
      <c r="F11" s="370"/>
    </row>
    <row r="12" spans="1:7" x14ac:dyDescent="0.2">
      <c r="A12" s="367"/>
      <c r="B12" s="298" t="s">
        <v>12</v>
      </c>
      <c r="C12" s="370"/>
      <c r="D12" s="370"/>
      <c r="E12" s="370"/>
      <c r="F12" s="370"/>
    </row>
    <row r="13" spans="1:7" ht="15" x14ac:dyDescent="0.25">
      <c r="A13" s="367"/>
      <c r="B13" s="298" t="s">
        <v>13</v>
      </c>
      <c r="C13" s="135" t="s">
        <v>14</v>
      </c>
      <c r="D13" s="285"/>
      <c r="E13" s="285"/>
      <c r="F13" s="285"/>
      <c r="G13" s="6" t="s">
        <v>15</v>
      </c>
    </row>
    <row r="14" spans="1:7" x14ac:dyDescent="0.2">
      <c r="A14" s="367"/>
      <c r="C14" s="368"/>
      <c r="D14" s="368"/>
      <c r="E14" s="368"/>
      <c r="F14" s="368"/>
      <c r="G14" s="6" t="s">
        <v>15</v>
      </c>
    </row>
    <row r="15" spans="1:7" ht="15" x14ac:dyDescent="0.25">
      <c r="A15" s="367" t="s">
        <v>16</v>
      </c>
      <c r="B15" s="136" t="s">
        <v>17</v>
      </c>
      <c r="C15" s="372" t="s">
        <v>18</v>
      </c>
      <c r="D15" s="372"/>
      <c r="E15" s="372"/>
      <c r="F15" s="372"/>
      <c r="G15" s="6" t="s">
        <v>15</v>
      </c>
    </row>
    <row r="16" spans="1:7" ht="15" x14ac:dyDescent="0.25">
      <c r="A16" s="367"/>
      <c r="B16" s="298" t="s">
        <v>19</v>
      </c>
      <c r="C16" s="372" t="s">
        <v>20</v>
      </c>
      <c r="D16" s="372"/>
      <c r="E16" s="372"/>
      <c r="F16" s="372"/>
    </row>
    <row r="17" spans="1:7" ht="15" x14ac:dyDescent="0.25">
      <c r="A17" s="367"/>
      <c r="B17" s="136" t="s">
        <v>21</v>
      </c>
      <c r="C17" s="369" t="s">
        <v>22</v>
      </c>
      <c r="D17" s="368"/>
      <c r="E17" s="368"/>
      <c r="F17" s="368"/>
    </row>
    <row r="18" spans="1:7" ht="15" x14ac:dyDescent="0.25">
      <c r="A18" s="367"/>
      <c r="B18" s="298" t="s">
        <v>23</v>
      </c>
      <c r="C18" s="372" t="s">
        <v>24</v>
      </c>
      <c r="D18" s="372"/>
      <c r="E18" s="372"/>
      <c r="F18" s="372"/>
    </row>
    <row r="19" spans="1:7" ht="15" x14ac:dyDescent="0.25">
      <c r="A19" s="367"/>
      <c r="B19" s="298" t="s">
        <v>25</v>
      </c>
      <c r="C19" s="286" t="s">
        <v>26</v>
      </c>
      <c r="D19" s="286"/>
      <c r="E19" s="286"/>
      <c r="F19" s="286"/>
      <c r="G19" s="6" t="s">
        <v>15</v>
      </c>
    </row>
    <row r="20" spans="1:7" ht="18.600000000000001" customHeight="1" x14ac:dyDescent="0.2">
      <c r="A20" s="371" t="s">
        <v>27</v>
      </c>
      <c r="B20" s="371"/>
      <c r="C20" s="371"/>
      <c r="D20" s="371"/>
      <c r="E20" s="371"/>
      <c r="F20" s="371"/>
    </row>
    <row r="21" spans="1:7" x14ac:dyDescent="0.2">
      <c r="C21" s="284"/>
      <c r="D21" s="284"/>
      <c r="E21" s="284"/>
      <c r="F21" s="284"/>
    </row>
    <row r="22" spans="1:7" ht="15" x14ac:dyDescent="0.25">
      <c r="B22"/>
      <c r="C22" s="284"/>
      <c r="D22" s="284"/>
      <c r="E22" s="284"/>
      <c r="F22" s="284"/>
    </row>
    <row r="23" spans="1:7" x14ac:dyDescent="0.2">
      <c r="C23" s="284"/>
      <c r="D23" s="284"/>
      <c r="E23" s="284"/>
      <c r="F23" s="284"/>
    </row>
    <row r="24" spans="1:7" ht="15" x14ac:dyDescent="0.25">
      <c r="B24"/>
      <c r="C24" s="284"/>
      <c r="D24" s="284"/>
      <c r="E24" s="284"/>
      <c r="F24" s="284"/>
    </row>
    <row r="25" spans="1:7" x14ac:dyDescent="0.2">
      <c r="C25" s="284"/>
      <c r="D25" s="284"/>
      <c r="E25" s="284"/>
      <c r="F25" s="284"/>
    </row>
    <row r="26" spans="1:7" x14ac:dyDescent="0.2">
      <c r="C26" s="284"/>
      <c r="D26" s="284"/>
      <c r="E26" s="284"/>
      <c r="F26" s="284"/>
    </row>
    <row r="27" spans="1:7" x14ac:dyDescent="0.2">
      <c r="C27" s="284"/>
      <c r="D27" s="284"/>
      <c r="E27" s="284"/>
      <c r="F27" s="284"/>
    </row>
    <row r="28" spans="1:7" x14ac:dyDescent="0.2">
      <c r="C28" s="284"/>
      <c r="D28" s="284"/>
      <c r="E28" s="284"/>
      <c r="F28" s="284"/>
    </row>
    <row r="29" spans="1:7" x14ac:dyDescent="0.2">
      <c r="C29" s="284"/>
      <c r="D29" s="284"/>
      <c r="E29" s="284"/>
      <c r="F29" s="284"/>
    </row>
    <row r="30" spans="1:7" x14ac:dyDescent="0.2">
      <c r="C30" s="284"/>
      <c r="D30" s="284"/>
      <c r="E30" s="284"/>
      <c r="F30" s="284"/>
    </row>
    <row r="31" spans="1:7" x14ac:dyDescent="0.2">
      <c r="C31" s="284"/>
      <c r="D31" s="284"/>
      <c r="E31" s="284"/>
      <c r="F31" s="284"/>
    </row>
    <row r="32" spans="1:7" x14ac:dyDescent="0.2">
      <c r="C32" s="284"/>
      <c r="D32" s="284"/>
      <c r="E32" s="284"/>
      <c r="F32" s="284"/>
    </row>
    <row r="33" spans="1:11" ht="19.149999999999999" customHeight="1" x14ac:dyDescent="0.2">
      <c r="A33" s="371" t="s">
        <v>28</v>
      </c>
      <c r="B33" s="371"/>
      <c r="C33" s="371"/>
      <c r="D33" s="371"/>
      <c r="E33" s="371"/>
      <c r="F33" s="371"/>
    </row>
    <row r="34" spans="1:11" customFormat="1" ht="37.9" customHeight="1" x14ac:dyDescent="0.25"/>
    <row r="35" spans="1:11" ht="18" customHeight="1" x14ac:dyDescent="0.2">
      <c r="A35" s="10"/>
      <c r="B35" s="366"/>
      <c r="C35" s="366"/>
      <c r="D35" s="366"/>
      <c r="E35" s="366"/>
      <c r="F35" s="366"/>
      <c r="H35" s="10"/>
      <c r="I35" s="30"/>
      <c r="J35" s="30"/>
      <c r="K35" s="30"/>
    </row>
    <row r="36" spans="1:11" ht="13.9" customHeight="1" x14ac:dyDescent="0.2">
      <c r="A36" s="10"/>
      <c r="B36" s="366"/>
      <c r="C36" s="366"/>
      <c r="D36" s="366"/>
      <c r="E36" s="366"/>
      <c r="F36" s="366"/>
    </row>
    <row r="37" spans="1:11" ht="15" x14ac:dyDescent="0.25">
      <c r="A37" s="9"/>
      <c r="B37" s="10"/>
      <c r="C37" s="10"/>
      <c r="D37" s="10"/>
      <c r="E37" s="10"/>
      <c r="F37" s="10"/>
      <c r="H37"/>
    </row>
    <row r="49" spans="7:7" ht="15" x14ac:dyDescent="0.25">
      <c r="G49"/>
    </row>
  </sheetData>
  <mergeCells count="25">
    <mergeCell ref="A1:F1"/>
    <mergeCell ref="C2:F2"/>
    <mergeCell ref="C3:F3"/>
    <mergeCell ref="C5:F5"/>
    <mergeCell ref="C6:F6"/>
    <mergeCell ref="A2:A5"/>
    <mergeCell ref="A6:A8"/>
    <mergeCell ref="C7:F7"/>
    <mergeCell ref="C8:F8"/>
    <mergeCell ref="C4:F4"/>
    <mergeCell ref="B35:F35"/>
    <mergeCell ref="B36:F36"/>
    <mergeCell ref="A9:A14"/>
    <mergeCell ref="A15:A19"/>
    <mergeCell ref="C14:F14"/>
    <mergeCell ref="C17:F17"/>
    <mergeCell ref="C9:F9"/>
    <mergeCell ref="A33:F33"/>
    <mergeCell ref="A20:F20"/>
    <mergeCell ref="C10:F10"/>
    <mergeCell ref="C18:F18"/>
    <mergeCell ref="C16:F16"/>
    <mergeCell ref="C11:F11"/>
    <mergeCell ref="C12:F12"/>
    <mergeCell ref="C15:F15"/>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85" zoomScaleNormal="85" workbookViewId="0">
      <selection sqref="A1:C1"/>
    </sheetView>
  </sheetViews>
  <sheetFormatPr defaultColWidth="9.28515625" defaultRowHeight="14.25" x14ac:dyDescent="0.2"/>
  <cols>
    <col min="1" max="1" width="25" style="4" customWidth="1"/>
    <col min="2" max="2" width="51.28515625" style="4" customWidth="1"/>
    <col min="3" max="3" width="49.7109375" style="4" customWidth="1"/>
    <col min="4" max="9" width="8.7109375" style="4" customWidth="1"/>
    <col min="10" max="16384" width="9.28515625" style="4"/>
  </cols>
  <sheetData>
    <row r="1" spans="1:9" ht="18" x14ac:dyDescent="0.2">
      <c r="A1" s="375" t="s">
        <v>29</v>
      </c>
      <c r="B1" s="375"/>
      <c r="C1" s="375"/>
      <c r="D1" s="13"/>
      <c r="E1" s="13"/>
      <c r="F1" s="13"/>
    </row>
    <row r="2" spans="1:9" ht="25.15" customHeight="1" x14ac:dyDescent="0.2">
      <c r="A2" s="376" t="s">
        <v>30</v>
      </c>
      <c r="B2" s="376"/>
      <c r="C2" s="376"/>
      <c r="D2" s="13"/>
      <c r="E2" s="13"/>
      <c r="F2" s="13"/>
    </row>
    <row r="3" spans="1:9" ht="20.45" customHeight="1" x14ac:dyDescent="0.2">
      <c r="A3" s="151" t="s">
        <v>31</v>
      </c>
      <c r="B3" s="300" t="s">
        <v>32</v>
      </c>
      <c r="C3" s="300" t="s">
        <v>0</v>
      </c>
    </row>
    <row r="4" spans="1:9" ht="16.149999999999999" customHeight="1" x14ac:dyDescent="0.2">
      <c r="A4" s="16" t="s">
        <v>33</v>
      </c>
      <c r="B4" s="289" t="s">
        <v>34</v>
      </c>
      <c r="C4" s="16"/>
    </row>
    <row r="5" spans="1:9" ht="16.149999999999999" customHeight="1" x14ac:dyDescent="0.2">
      <c r="A5" s="16" t="s">
        <v>35</v>
      </c>
      <c r="B5" s="289" t="s">
        <v>36</v>
      </c>
      <c r="C5" s="16"/>
    </row>
    <row r="6" spans="1:9" ht="28.9" customHeight="1" x14ac:dyDescent="0.2">
      <c r="A6" s="16" t="s">
        <v>37</v>
      </c>
      <c r="B6" s="290" t="s">
        <v>38</v>
      </c>
      <c r="C6" s="17" t="s">
        <v>39</v>
      </c>
      <c r="D6" s="62" t="s">
        <v>40</v>
      </c>
    </row>
    <row r="7" spans="1:9" ht="97.15" customHeight="1" x14ac:dyDescent="0.25">
      <c r="A7" s="16" t="s">
        <v>41</v>
      </c>
      <c r="B7"/>
      <c r="C7" s="17" t="s">
        <v>42</v>
      </c>
      <c r="D7"/>
      <c r="I7" s="5"/>
    </row>
    <row r="8" spans="1:9" ht="19.149999999999999" customHeight="1" x14ac:dyDescent="0.2">
      <c r="A8" s="137" t="s">
        <v>43</v>
      </c>
      <c r="B8" s="14">
        <v>210906.62</v>
      </c>
      <c r="C8" s="16" t="s">
        <v>44</v>
      </c>
    </row>
    <row r="9" spans="1:9" ht="19.149999999999999" customHeight="1" x14ac:dyDescent="0.2">
      <c r="A9" s="137" t="s">
        <v>45</v>
      </c>
      <c r="B9" s="61">
        <f>(203.412+259.186)/(9.842+285.433+45.931)</f>
        <v>1.3557733451346108</v>
      </c>
      <c r="C9" s="16" t="s">
        <v>44</v>
      </c>
    </row>
    <row r="10" spans="1:9" ht="19.149999999999999" customHeight="1" x14ac:dyDescent="0.2">
      <c r="A10" s="152" t="s">
        <v>46</v>
      </c>
      <c r="B10" s="61">
        <v>2</v>
      </c>
      <c r="C10" s="16" t="s">
        <v>44</v>
      </c>
    </row>
    <row r="11" spans="1:9" ht="19.149999999999999" customHeight="1" x14ac:dyDescent="0.2">
      <c r="A11" s="152" t="s">
        <v>47</v>
      </c>
      <c r="B11" s="289" t="s">
        <v>48</v>
      </c>
      <c r="C11" s="16" t="s">
        <v>44</v>
      </c>
    </row>
    <row r="12" spans="1:9" ht="19.149999999999999" customHeight="1" x14ac:dyDescent="0.2">
      <c r="A12" s="152" t="s">
        <v>49</v>
      </c>
      <c r="B12" s="209">
        <v>0.34499999999999997</v>
      </c>
      <c r="C12" s="16" t="s">
        <v>44</v>
      </c>
    </row>
    <row r="13" spans="1:9" ht="19.149999999999999" customHeight="1" x14ac:dyDescent="0.2">
      <c r="A13" s="137" t="s">
        <v>50</v>
      </c>
      <c r="B13" s="15" t="s">
        <v>51</v>
      </c>
      <c r="C13" s="16" t="s">
        <v>44</v>
      </c>
    </row>
    <row r="14" spans="1:9" ht="39" customHeight="1" x14ac:dyDescent="0.2">
      <c r="A14" s="137" t="s">
        <v>52</v>
      </c>
      <c r="B14" s="61" t="s">
        <v>53</v>
      </c>
      <c r="C14" s="16" t="s">
        <v>44</v>
      </c>
    </row>
    <row r="15" spans="1:9" ht="38.25" customHeight="1" x14ac:dyDescent="0.2">
      <c r="A15" s="137" t="s">
        <v>54</v>
      </c>
      <c r="B15" s="290" t="s">
        <v>53</v>
      </c>
      <c r="C15" s="16" t="s">
        <v>44</v>
      </c>
    </row>
    <row r="16" spans="1:9" ht="30.6" customHeight="1" x14ac:dyDescent="0.2">
      <c r="A16" s="137" t="s">
        <v>55</v>
      </c>
      <c r="B16" s="61" t="s">
        <v>56</v>
      </c>
      <c r="C16" s="16" t="s">
        <v>44</v>
      </c>
    </row>
    <row r="17" spans="1:3" x14ac:dyDescent="0.2">
      <c r="A17" s="88"/>
      <c r="B17" s="9"/>
      <c r="C17" s="8"/>
    </row>
    <row r="18" spans="1:3" x14ac:dyDescent="0.2">
      <c r="A18" s="88"/>
      <c r="B18" s="9"/>
      <c r="C18" s="8"/>
    </row>
    <row r="20" spans="1:3" ht="18.75" x14ac:dyDescent="0.2">
      <c r="A20" s="153" t="s">
        <v>57</v>
      </c>
      <c r="B20" s="159">
        <v>64245.23</v>
      </c>
      <c r="C20" s="160"/>
    </row>
    <row r="21" spans="1:3" ht="18.75" x14ac:dyDescent="0.2">
      <c r="A21" s="153" t="s">
        <v>58</v>
      </c>
      <c r="B21" s="159">
        <v>64245.23</v>
      </c>
      <c r="C21" s="160"/>
    </row>
    <row r="22" spans="1:3" ht="22.15" customHeight="1" x14ac:dyDescent="0.2">
      <c r="A22" s="153" t="s">
        <v>59</v>
      </c>
      <c r="B22" s="159">
        <v>128124.28</v>
      </c>
      <c r="C22" s="8"/>
    </row>
    <row r="23" spans="1:3" ht="25.5" x14ac:dyDescent="0.2">
      <c r="A23" s="153" t="s">
        <v>60</v>
      </c>
      <c r="B23" s="159">
        <v>0</v>
      </c>
      <c r="C23" s="8"/>
    </row>
    <row r="24" spans="1:3" x14ac:dyDescent="0.2">
      <c r="A24" s="88"/>
      <c r="B24" s="9"/>
      <c r="C24" s="8"/>
    </row>
    <row r="25" spans="1:3" x14ac:dyDescent="0.2">
      <c r="A25" s="88"/>
      <c r="B25" s="9"/>
      <c r="C25" s="8"/>
    </row>
    <row r="26" spans="1:3" x14ac:dyDescent="0.2">
      <c r="A26" s="88"/>
      <c r="B26" s="9"/>
      <c r="C26" s="8"/>
    </row>
    <row r="27" spans="1:3" customFormat="1" ht="15" x14ac:dyDescent="0.25"/>
    <row r="28" spans="1:3" customFormat="1" ht="15" x14ac:dyDescent="0.25"/>
    <row r="29" spans="1:3" customFormat="1" ht="15" x14ac:dyDescent="0.25"/>
    <row r="30" spans="1:3" customFormat="1" ht="14.65" customHeight="1" x14ac:dyDescent="0.25"/>
    <row r="31" spans="1:3" customFormat="1" ht="184.9" customHeight="1" x14ac:dyDescent="0.25"/>
    <row r="32" spans="1:3" customFormat="1" ht="15" x14ac:dyDescent="0.25"/>
    <row r="33" customFormat="1" ht="15" x14ac:dyDescent="0.25"/>
    <row r="34" ht="14.65" customHeight="1" x14ac:dyDescent="0.2"/>
    <row r="35" ht="14.65" customHeight="1" x14ac:dyDescent="0.2"/>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XEN185"/>
  <sheetViews>
    <sheetView zoomScale="90" zoomScaleNormal="90" workbookViewId="0">
      <pane xSplit="1" topLeftCell="B1" activePane="topRight" state="frozen"/>
      <selection pane="topRight" sqref="A1:K1"/>
    </sheetView>
  </sheetViews>
  <sheetFormatPr defaultColWidth="8.7109375" defaultRowHeight="12.75" x14ac:dyDescent="0.2"/>
  <cols>
    <col min="1" max="1" width="44.85546875" style="6" customWidth="1"/>
    <col min="2" max="2" width="53.7109375" style="6" customWidth="1"/>
    <col min="3" max="4" width="18.42578125" style="6" customWidth="1"/>
    <col min="5" max="5" width="19" style="6" customWidth="1"/>
    <col min="6" max="6" width="14.7109375" style="6" customWidth="1"/>
    <col min="7" max="7" width="12.7109375" style="6" customWidth="1"/>
    <col min="8" max="8" width="12" style="6" bestFit="1" customWidth="1"/>
    <col min="9" max="10" width="11.28515625" style="6" customWidth="1"/>
    <col min="11" max="11" width="32.5703125" style="6" customWidth="1"/>
    <col min="12" max="14" width="24.42578125" style="6" customWidth="1"/>
    <col min="15" max="15" width="7.28515625" style="6" customWidth="1"/>
    <col min="16" max="16" width="12.85546875" style="6" customWidth="1"/>
    <col min="17" max="17" width="25.28515625" style="6" customWidth="1"/>
    <col min="18" max="18" width="22.28515625" style="6" bestFit="1" customWidth="1"/>
    <col min="19" max="19" width="25.7109375" style="6" customWidth="1"/>
    <col min="20" max="16383" width="8.7109375" style="6"/>
    <col min="16384" max="16384" width="8.7109375" style="6" bestFit="1"/>
  </cols>
  <sheetData>
    <row r="1" spans="1:18" ht="25.9" customHeight="1" x14ac:dyDescent="0.2">
      <c r="A1" s="377" t="str">
        <f>"Proposed Layout - "&amp;Prototype!A2</f>
        <v>Proposed Layout - SchoolLarge</v>
      </c>
      <c r="B1" s="378"/>
      <c r="C1" s="378"/>
      <c r="D1" s="378"/>
      <c r="E1" s="378"/>
      <c r="F1" s="378"/>
      <c r="G1" s="378"/>
      <c r="H1" s="378"/>
      <c r="I1" s="378"/>
      <c r="J1" s="378"/>
      <c r="K1" s="379"/>
    </row>
    <row r="2" spans="1:18" ht="53.45" customHeight="1" x14ac:dyDescent="0.2">
      <c r="A2" s="80" t="s">
        <v>61</v>
      </c>
      <c r="B2" s="80" t="s">
        <v>62</v>
      </c>
      <c r="C2" s="305" t="s">
        <v>63</v>
      </c>
      <c r="D2" s="80" t="s">
        <v>64</v>
      </c>
      <c r="E2" s="28" t="s">
        <v>65</v>
      </c>
      <c r="F2" s="29" t="s">
        <v>66</v>
      </c>
      <c r="G2" s="29" t="s">
        <v>67</v>
      </c>
      <c r="H2" s="28" t="s">
        <v>68</v>
      </c>
      <c r="I2" s="28" t="s">
        <v>69</v>
      </c>
      <c r="J2" s="119" t="s">
        <v>70</v>
      </c>
      <c r="K2" s="28" t="s">
        <v>71</v>
      </c>
      <c r="L2" s="48"/>
      <c r="N2" s="199"/>
      <c r="O2" s="199"/>
      <c r="P2" s="199"/>
      <c r="Q2" s="199"/>
    </row>
    <row r="3" spans="1:18" s="8" customFormat="1" ht="17.649999999999999" customHeight="1" x14ac:dyDescent="0.25">
      <c r="A3" s="228" t="s">
        <v>72</v>
      </c>
      <c r="B3" s="228" t="s">
        <v>73</v>
      </c>
      <c r="C3" s="121" t="s">
        <v>74</v>
      </c>
      <c r="D3" s="229" t="s">
        <v>75</v>
      </c>
      <c r="E3" s="121" t="s">
        <v>76</v>
      </c>
      <c r="F3" s="198">
        <f t="shared" ref="F3:F49" si="0">G3/$G$49</f>
        <v>5.0428995502464977E-2</v>
      </c>
      <c r="G3" s="210">
        <v>10635.81</v>
      </c>
      <c r="H3" s="18">
        <v>279168.51</v>
      </c>
      <c r="I3" s="18">
        <v>1</v>
      </c>
      <c r="J3" s="18">
        <f>K3*G3/1000</f>
        <v>1510.28502</v>
      </c>
      <c r="K3" s="120">
        <v>142</v>
      </c>
      <c r="L3" s="56"/>
      <c r="M3" s="199"/>
      <c r="N3" s="199"/>
      <c r="O3" s="199"/>
      <c r="P3" s="199"/>
      <c r="Q3" s="199"/>
      <c r="R3" s="199"/>
    </row>
    <row r="4" spans="1:18" s="8" customFormat="1" ht="17.45" customHeight="1" x14ac:dyDescent="0.25">
      <c r="A4" s="228" t="s">
        <v>77</v>
      </c>
      <c r="B4" s="228" t="s">
        <v>78</v>
      </c>
      <c r="C4" s="121" t="s">
        <v>74</v>
      </c>
      <c r="D4" s="229" t="s">
        <v>75</v>
      </c>
      <c r="E4" s="121" t="s">
        <v>76</v>
      </c>
      <c r="F4" s="198">
        <f t="shared" si="0"/>
        <v>6.3699322126605409E-2</v>
      </c>
      <c r="G4" s="210">
        <v>13434.61</v>
      </c>
      <c r="H4" s="18">
        <v>352631.31</v>
      </c>
      <c r="I4" s="18">
        <v>1</v>
      </c>
      <c r="J4" s="18">
        <f t="shared" ref="J4:J48" si="1">K4*G4/1000</f>
        <v>268.69220000000001</v>
      </c>
      <c r="K4" s="120">
        <v>20</v>
      </c>
      <c r="L4" s="56"/>
      <c r="M4" s="199"/>
      <c r="N4" s="199"/>
      <c r="O4" s="199"/>
      <c r="P4" s="199"/>
      <c r="Q4" s="199"/>
      <c r="R4" s="199"/>
    </row>
    <row r="5" spans="1:18" s="8" customFormat="1" ht="16.149999999999999" customHeight="1" x14ac:dyDescent="0.25">
      <c r="A5" s="228" t="s">
        <v>79</v>
      </c>
      <c r="B5" s="228" t="s">
        <v>80</v>
      </c>
      <c r="C5" s="121" t="s">
        <v>74</v>
      </c>
      <c r="D5" s="229" t="s">
        <v>75</v>
      </c>
      <c r="E5" s="121" t="s">
        <v>76</v>
      </c>
      <c r="F5" s="198">
        <f t="shared" si="0"/>
        <v>1.071839179648398E-2</v>
      </c>
      <c r="G5" s="210">
        <v>2260.58</v>
      </c>
      <c r="H5" s="18">
        <v>29667.9</v>
      </c>
      <c r="I5" s="18">
        <v>1</v>
      </c>
      <c r="J5" s="18">
        <f t="shared" si="1"/>
        <v>22.605799999999999</v>
      </c>
      <c r="K5" s="120">
        <v>10</v>
      </c>
      <c r="L5" s="56"/>
      <c r="M5" s="199"/>
      <c r="N5" s="199"/>
      <c r="O5" s="199"/>
      <c r="P5" s="199"/>
      <c r="Q5" s="199"/>
      <c r="R5" s="199"/>
    </row>
    <row r="6" spans="1:18" s="8" customFormat="1" ht="17.649999999999999" customHeight="1" x14ac:dyDescent="0.25">
      <c r="A6" s="228" t="s">
        <v>79</v>
      </c>
      <c r="B6" s="228" t="s">
        <v>81</v>
      </c>
      <c r="C6" s="121" t="s">
        <v>82</v>
      </c>
      <c r="D6" s="229" t="s">
        <v>75</v>
      </c>
      <c r="E6" s="121" t="s">
        <v>76</v>
      </c>
      <c r="F6" s="198">
        <f t="shared" si="0"/>
        <v>1.071839179648398E-2</v>
      </c>
      <c r="G6" s="210">
        <v>2260.58</v>
      </c>
      <c r="H6" s="18">
        <v>29667.68</v>
      </c>
      <c r="I6" s="18">
        <v>1</v>
      </c>
      <c r="J6" s="18">
        <f t="shared" si="1"/>
        <v>22.605799999999999</v>
      </c>
      <c r="K6" s="120">
        <v>10</v>
      </c>
      <c r="L6" s="56"/>
      <c r="M6" s="199"/>
      <c r="N6" s="199"/>
      <c r="O6" s="199"/>
      <c r="P6" s="199"/>
      <c r="Q6" s="199"/>
      <c r="R6" s="199"/>
    </row>
    <row r="7" spans="1:18" s="8" customFormat="1" ht="17.649999999999999" customHeight="1" x14ac:dyDescent="0.25">
      <c r="A7" s="228" t="s">
        <v>83</v>
      </c>
      <c r="B7" s="228" t="s">
        <v>84</v>
      </c>
      <c r="C7" s="121" t="s">
        <v>74</v>
      </c>
      <c r="D7" s="229" t="s">
        <v>75</v>
      </c>
      <c r="E7" s="121" t="s">
        <v>76</v>
      </c>
      <c r="F7" s="198">
        <f t="shared" si="0"/>
        <v>3.1849827013507019E-2</v>
      </c>
      <c r="G7" s="210">
        <v>6717.34</v>
      </c>
      <c r="H7" s="18">
        <v>88158.58</v>
      </c>
      <c r="I7" s="18">
        <v>1</v>
      </c>
      <c r="J7" s="18">
        <f t="shared" si="1"/>
        <v>447.82266666666669</v>
      </c>
      <c r="K7" s="120">
        <v>66.666666666666671</v>
      </c>
      <c r="L7" s="56"/>
      <c r="M7" s="199"/>
      <c r="N7" s="199"/>
      <c r="O7" s="199"/>
      <c r="P7" s="199"/>
      <c r="Q7" s="199"/>
      <c r="R7" s="199"/>
    </row>
    <row r="8" spans="1:18" s="8" customFormat="1" ht="17.649999999999999" customHeight="1" x14ac:dyDescent="0.25">
      <c r="A8" s="228" t="s">
        <v>85</v>
      </c>
      <c r="B8" s="228" t="s">
        <v>86</v>
      </c>
      <c r="C8" s="121" t="s">
        <v>74</v>
      </c>
      <c r="D8" s="229" t="s">
        <v>75</v>
      </c>
      <c r="E8" s="121" t="s">
        <v>76</v>
      </c>
      <c r="F8" s="198">
        <f t="shared" si="0"/>
        <v>5.0530888927916165E-3</v>
      </c>
      <c r="G8" s="210">
        <v>1065.73</v>
      </c>
      <c r="H8" s="18">
        <v>13986.7</v>
      </c>
      <c r="I8" s="18">
        <v>1</v>
      </c>
      <c r="J8" s="18">
        <f t="shared" si="1"/>
        <v>53.286499999999997</v>
      </c>
      <c r="K8" s="120">
        <v>50</v>
      </c>
      <c r="L8" s="56"/>
      <c r="M8" s="199"/>
      <c r="N8" s="199"/>
      <c r="O8" s="199"/>
      <c r="P8" s="199"/>
      <c r="Q8" s="199"/>
      <c r="R8" s="199"/>
    </row>
    <row r="9" spans="1:18" s="8" customFormat="1" ht="17.649999999999999" customHeight="1" x14ac:dyDescent="0.25">
      <c r="A9" s="228" t="s">
        <v>85</v>
      </c>
      <c r="B9" s="228" t="s">
        <v>87</v>
      </c>
      <c r="C9" s="121" t="s">
        <v>82</v>
      </c>
      <c r="D9" s="229" t="s">
        <v>75</v>
      </c>
      <c r="E9" s="121" t="s">
        <v>76</v>
      </c>
      <c r="F9" s="198">
        <f t="shared" si="0"/>
        <v>5.0530888927916165E-3</v>
      </c>
      <c r="G9" s="210">
        <v>1065.73</v>
      </c>
      <c r="H9" s="18">
        <v>13986.6</v>
      </c>
      <c r="I9" s="18">
        <v>1</v>
      </c>
      <c r="J9" s="18">
        <f t="shared" si="1"/>
        <v>53.286499999999997</v>
      </c>
      <c r="K9" s="120">
        <v>50</v>
      </c>
      <c r="L9" s="56"/>
      <c r="M9" s="199"/>
      <c r="N9" s="199"/>
      <c r="O9" s="199"/>
      <c r="P9" s="199"/>
      <c r="Q9" s="199"/>
      <c r="R9" s="199"/>
    </row>
    <row r="10" spans="1:18" s="8" customFormat="1" ht="17.649999999999999" customHeight="1" x14ac:dyDescent="0.25">
      <c r="A10" s="228" t="s">
        <v>85</v>
      </c>
      <c r="B10" s="228" t="s">
        <v>88</v>
      </c>
      <c r="C10" s="121" t="s">
        <v>74</v>
      </c>
      <c r="D10" s="229" t="s">
        <v>75</v>
      </c>
      <c r="E10" s="121" t="s">
        <v>76</v>
      </c>
      <c r="F10" s="198">
        <f t="shared" si="0"/>
        <v>5.0529940641034351E-3</v>
      </c>
      <c r="G10" s="210">
        <v>1065.71</v>
      </c>
      <c r="H10" s="18">
        <v>13986.42</v>
      </c>
      <c r="I10" s="18">
        <v>1</v>
      </c>
      <c r="J10" s="18">
        <f t="shared" si="1"/>
        <v>53.285499999999999</v>
      </c>
      <c r="K10" s="120">
        <v>50</v>
      </c>
      <c r="L10" s="56"/>
      <c r="M10" s="199"/>
      <c r="N10" s="199"/>
      <c r="O10" s="199"/>
      <c r="P10" s="199"/>
      <c r="Q10" s="199"/>
      <c r="R10" s="199"/>
    </row>
    <row r="11" spans="1:18" s="8" customFormat="1" ht="17.649999999999999" customHeight="1" x14ac:dyDescent="0.25">
      <c r="A11" s="228" t="s">
        <v>85</v>
      </c>
      <c r="B11" s="228" t="s">
        <v>89</v>
      </c>
      <c r="C11" s="121" t="s">
        <v>82</v>
      </c>
      <c r="D11" s="229" t="s">
        <v>75</v>
      </c>
      <c r="E11" s="121" t="s">
        <v>76</v>
      </c>
      <c r="F11" s="198">
        <f t="shared" si="0"/>
        <v>5.0529940641034351E-3</v>
      </c>
      <c r="G11" s="210">
        <v>1065.71</v>
      </c>
      <c r="H11" s="18">
        <v>13986.31</v>
      </c>
      <c r="I11" s="18">
        <v>1</v>
      </c>
      <c r="J11" s="18">
        <f t="shared" si="1"/>
        <v>53.285499999999999</v>
      </c>
      <c r="K11" s="120">
        <v>50</v>
      </c>
      <c r="L11" s="56"/>
      <c r="M11" s="199"/>
      <c r="N11" s="199"/>
      <c r="O11" s="199"/>
      <c r="P11" s="199"/>
      <c r="Q11" s="199"/>
      <c r="R11" s="199"/>
    </row>
    <row r="12" spans="1:18" s="8" customFormat="1" ht="17.649999999999999" customHeight="1" x14ac:dyDescent="0.25">
      <c r="A12" s="228" t="s">
        <v>85</v>
      </c>
      <c r="B12" s="228" t="s">
        <v>90</v>
      </c>
      <c r="C12" s="121" t="s">
        <v>74</v>
      </c>
      <c r="D12" s="229" t="s">
        <v>75</v>
      </c>
      <c r="E12" s="121" t="s">
        <v>76</v>
      </c>
      <c r="F12" s="198">
        <f t="shared" si="0"/>
        <v>5.0531837214797979E-3</v>
      </c>
      <c r="G12" s="210">
        <v>1065.75</v>
      </c>
      <c r="H12" s="18">
        <v>13986.89</v>
      </c>
      <c r="I12" s="18">
        <v>1</v>
      </c>
      <c r="J12" s="18">
        <f t="shared" si="1"/>
        <v>53.287500000000001</v>
      </c>
      <c r="K12" s="120">
        <v>50</v>
      </c>
      <c r="L12" s="56"/>
      <c r="M12" s="199"/>
      <c r="N12" s="199"/>
      <c r="O12" s="199"/>
      <c r="P12" s="199"/>
      <c r="Q12" s="199"/>
      <c r="R12" s="199"/>
    </row>
    <row r="13" spans="1:18" s="8" customFormat="1" ht="17.649999999999999" customHeight="1" x14ac:dyDescent="0.25">
      <c r="A13" s="228" t="s">
        <v>85</v>
      </c>
      <c r="B13" s="228" t="s">
        <v>91</v>
      </c>
      <c r="C13" s="121" t="s">
        <v>82</v>
      </c>
      <c r="D13" s="229" t="s">
        <v>75</v>
      </c>
      <c r="E13" s="121" t="s">
        <v>76</v>
      </c>
      <c r="F13" s="198">
        <f t="shared" si="0"/>
        <v>5.0531837214797979E-3</v>
      </c>
      <c r="G13" s="210">
        <v>1065.75</v>
      </c>
      <c r="H13" s="18">
        <v>13986.79</v>
      </c>
      <c r="I13" s="18">
        <v>1</v>
      </c>
      <c r="J13" s="18">
        <f t="shared" si="1"/>
        <v>53.287500000000001</v>
      </c>
      <c r="K13" s="120">
        <v>50</v>
      </c>
      <c r="L13" s="56"/>
      <c r="M13" s="199"/>
      <c r="N13" s="199"/>
      <c r="O13" s="199"/>
      <c r="P13" s="199"/>
      <c r="Q13" s="199"/>
      <c r="R13" s="199"/>
    </row>
    <row r="14" spans="1:18" s="8" customFormat="1" ht="17.649999999999999" customHeight="1" x14ac:dyDescent="0.25">
      <c r="A14" s="228" t="s">
        <v>85</v>
      </c>
      <c r="B14" s="228" t="s">
        <v>92</v>
      </c>
      <c r="C14" s="121" t="s">
        <v>74</v>
      </c>
      <c r="D14" s="229" t="s">
        <v>75</v>
      </c>
      <c r="E14" s="121" t="s">
        <v>76</v>
      </c>
      <c r="F14" s="198">
        <f t="shared" si="0"/>
        <v>5.0530888927916165E-3</v>
      </c>
      <c r="G14" s="210">
        <v>1065.73</v>
      </c>
      <c r="H14" s="18">
        <v>13986.66</v>
      </c>
      <c r="I14" s="18">
        <v>1</v>
      </c>
      <c r="J14" s="18">
        <f t="shared" si="1"/>
        <v>53.286499999999997</v>
      </c>
      <c r="K14" s="18">
        <v>50</v>
      </c>
      <c r="L14" s="56"/>
      <c r="M14" s="199"/>
      <c r="N14" s="199"/>
      <c r="O14" s="199"/>
      <c r="P14" s="199"/>
      <c r="Q14" s="199"/>
      <c r="R14" s="199"/>
    </row>
    <row r="15" spans="1:18" s="8" customFormat="1" ht="17.649999999999999" customHeight="1" x14ac:dyDescent="0.25">
      <c r="A15" s="228" t="s">
        <v>85</v>
      </c>
      <c r="B15" s="228" t="s">
        <v>93</v>
      </c>
      <c r="C15" s="121" t="s">
        <v>82</v>
      </c>
      <c r="D15" s="229" t="s">
        <v>75</v>
      </c>
      <c r="E15" s="121" t="s">
        <v>76</v>
      </c>
      <c r="F15" s="198">
        <f t="shared" si="0"/>
        <v>5.0530888927916165E-3</v>
      </c>
      <c r="G15" s="210">
        <v>1065.73</v>
      </c>
      <c r="H15" s="18">
        <v>13986.55</v>
      </c>
      <c r="I15" s="18">
        <v>1</v>
      </c>
      <c r="J15" s="18">
        <f t="shared" si="1"/>
        <v>53.286499999999997</v>
      </c>
      <c r="K15" s="120">
        <v>50</v>
      </c>
      <c r="L15" s="56"/>
      <c r="M15" s="199"/>
      <c r="N15" s="199"/>
      <c r="O15" s="199"/>
      <c r="P15" s="199"/>
      <c r="Q15" s="199"/>
      <c r="R15" s="199"/>
    </row>
    <row r="16" spans="1:18" s="8" customFormat="1" ht="17.649999999999999" customHeight="1" x14ac:dyDescent="0.25">
      <c r="A16" s="228" t="s">
        <v>85</v>
      </c>
      <c r="B16" s="228" t="s">
        <v>94</v>
      </c>
      <c r="C16" s="121" t="s">
        <v>74</v>
      </c>
      <c r="D16" s="229" t="s">
        <v>75</v>
      </c>
      <c r="E16" s="121" t="s">
        <v>76</v>
      </c>
      <c r="F16" s="198">
        <f t="shared" si="0"/>
        <v>5.0531837214797979E-3</v>
      </c>
      <c r="G16" s="210">
        <v>1065.75</v>
      </c>
      <c r="H16" s="18">
        <v>13986.89</v>
      </c>
      <c r="I16" s="18">
        <v>1</v>
      </c>
      <c r="J16" s="18">
        <f t="shared" si="1"/>
        <v>53.287500000000001</v>
      </c>
      <c r="K16" s="120">
        <v>50</v>
      </c>
      <c r="L16" s="56"/>
      <c r="M16" s="199"/>
      <c r="N16" s="199"/>
      <c r="O16" s="199"/>
      <c r="P16" s="199"/>
      <c r="Q16" s="199"/>
      <c r="R16" s="199"/>
    </row>
    <row r="17" spans="1:18" s="8" customFormat="1" ht="17.649999999999999" customHeight="1" x14ac:dyDescent="0.25">
      <c r="A17" s="228" t="s">
        <v>85</v>
      </c>
      <c r="B17" s="228" t="s">
        <v>95</v>
      </c>
      <c r="C17" s="121" t="s">
        <v>82</v>
      </c>
      <c r="D17" s="229" t="s">
        <v>75</v>
      </c>
      <c r="E17" s="121" t="s">
        <v>76</v>
      </c>
      <c r="F17" s="198">
        <f t="shared" si="0"/>
        <v>5.0531837214797979E-3</v>
      </c>
      <c r="G17" s="210">
        <v>1065.75</v>
      </c>
      <c r="H17" s="18">
        <v>13986.79</v>
      </c>
      <c r="I17" s="18">
        <v>1</v>
      </c>
      <c r="J17" s="18">
        <f t="shared" si="1"/>
        <v>53.287500000000001</v>
      </c>
      <c r="K17" s="120">
        <v>50</v>
      </c>
      <c r="L17" s="56"/>
      <c r="M17" s="199"/>
      <c r="N17" s="199"/>
      <c r="O17" s="199"/>
      <c r="P17" s="199"/>
      <c r="Q17" s="199"/>
      <c r="R17" s="199"/>
    </row>
    <row r="18" spans="1:18" s="8" customFormat="1" ht="17.649999999999999" customHeight="1" x14ac:dyDescent="0.25">
      <c r="A18" s="228" t="s">
        <v>85</v>
      </c>
      <c r="B18" s="228" t="s">
        <v>96</v>
      </c>
      <c r="C18" s="121" t="s">
        <v>74</v>
      </c>
      <c r="D18" s="229" t="s">
        <v>75</v>
      </c>
      <c r="E18" s="121" t="s">
        <v>76</v>
      </c>
      <c r="F18" s="198">
        <f t="shared" si="0"/>
        <v>5.0529940641034351E-3</v>
      </c>
      <c r="G18" s="210">
        <v>1065.71</v>
      </c>
      <c r="H18" s="18">
        <v>13986.42</v>
      </c>
      <c r="I18" s="18">
        <v>1</v>
      </c>
      <c r="J18" s="18">
        <f t="shared" si="1"/>
        <v>53.285499999999999</v>
      </c>
      <c r="K18" s="120">
        <v>50</v>
      </c>
      <c r="L18" s="56"/>
      <c r="M18" s="199"/>
      <c r="N18" s="199"/>
      <c r="O18" s="199"/>
      <c r="P18" s="199"/>
      <c r="Q18" s="199"/>
      <c r="R18" s="199"/>
    </row>
    <row r="19" spans="1:18" s="8" customFormat="1" ht="17.649999999999999" customHeight="1" x14ac:dyDescent="0.25">
      <c r="A19" s="228" t="s">
        <v>85</v>
      </c>
      <c r="B19" s="228" t="s">
        <v>97</v>
      </c>
      <c r="C19" s="121" t="s">
        <v>82</v>
      </c>
      <c r="D19" s="229" t="s">
        <v>75</v>
      </c>
      <c r="E19" s="121" t="s">
        <v>76</v>
      </c>
      <c r="F19" s="198">
        <f t="shared" si="0"/>
        <v>5.0529940641034351E-3</v>
      </c>
      <c r="G19" s="210">
        <v>1065.71</v>
      </c>
      <c r="H19" s="18">
        <v>13986.31</v>
      </c>
      <c r="I19" s="18">
        <v>1</v>
      </c>
      <c r="J19" s="18">
        <f t="shared" si="1"/>
        <v>53.285499999999999</v>
      </c>
      <c r="K19" s="120">
        <v>50</v>
      </c>
      <c r="L19" s="56"/>
      <c r="M19" s="199"/>
      <c r="N19" s="199"/>
      <c r="O19" s="199"/>
      <c r="P19" s="199"/>
      <c r="Q19" s="199"/>
      <c r="R19" s="199"/>
    </row>
    <row r="20" spans="1:18" s="8" customFormat="1" ht="17.649999999999999" customHeight="1" x14ac:dyDescent="0.25">
      <c r="A20" s="228" t="s">
        <v>98</v>
      </c>
      <c r="B20" s="228" t="s">
        <v>99</v>
      </c>
      <c r="C20" s="121" t="s">
        <v>74</v>
      </c>
      <c r="D20" s="230" t="s">
        <v>75</v>
      </c>
      <c r="E20" s="121" t="s">
        <v>76</v>
      </c>
      <c r="F20" s="198">
        <f t="shared" si="0"/>
        <v>1.6333245838063705E-2</v>
      </c>
      <c r="G20" s="210">
        <v>3444.79</v>
      </c>
      <c r="H20" s="18">
        <v>45209.59</v>
      </c>
      <c r="I20" s="18">
        <v>1</v>
      </c>
      <c r="J20" s="18">
        <f t="shared" si="1"/>
        <v>34.447900000000004</v>
      </c>
      <c r="K20" s="120">
        <v>10</v>
      </c>
      <c r="L20" s="56"/>
      <c r="M20" s="199"/>
      <c r="N20" s="199"/>
      <c r="O20" s="199"/>
      <c r="P20" s="199"/>
      <c r="Q20" s="199"/>
      <c r="R20" s="199"/>
    </row>
    <row r="21" spans="1:18" s="8" customFormat="1" ht="17.649999999999999" customHeight="1" x14ac:dyDescent="0.25">
      <c r="A21" s="228" t="s">
        <v>98</v>
      </c>
      <c r="B21" s="228" t="s">
        <v>100</v>
      </c>
      <c r="C21" s="121" t="s">
        <v>82</v>
      </c>
      <c r="D21" s="230" t="s">
        <v>75</v>
      </c>
      <c r="E21" s="121" t="s">
        <v>76</v>
      </c>
      <c r="F21" s="198">
        <f t="shared" si="0"/>
        <v>1.6333245838063705E-2</v>
      </c>
      <c r="G21" s="210">
        <v>3444.79</v>
      </c>
      <c r="H21" s="18">
        <v>45209.24</v>
      </c>
      <c r="I21" s="18">
        <v>1</v>
      </c>
      <c r="J21" s="18">
        <f t="shared" si="1"/>
        <v>34.447900000000004</v>
      </c>
      <c r="K21" s="120">
        <v>10</v>
      </c>
      <c r="L21" s="56"/>
      <c r="M21" s="199"/>
      <c r="N21" s="199"/>
      <c r="O21" s="199"/>
      <c r="P21" s="199"/>
      <c r="Q21" s="199"/>
      <c r="R21" s="199"/>
    </row>
    <row r="22" spans="1:18" s="8" customFormat="1" ht="17.649999999999999" customHeight="1" x14ac:dyDescent="0.25">
      <c r="A22" s="228" t="s">
        <v>98</v>
      </c>
      <c r="B22" s="228" t="s">
        <v>101</v>
      </c>
      <c r="C22" s="121" t="s">
        <v>74</v>
      </c>
      <c r="D22" s="230" t="s">
        <v>75</v>
      </c>
      <c r="E22" s="121" t="s">
        <v>76</v>
      </c>
      <c r="F22" s="198">
        <f t="shared" si="0"/>
        <v>1.6333056180687342E-2</v>
      </c>
      <c r="G22" s="210">
        <v>3444.75</v>
      </c>
      <c r="H22" s="18">
        <v>45209.03</v>
      </c>
      <c r="I22" s="18">
        <v>1</v>
      </c>
      <c r="J22" s="18">
        <f t="shared" si="1"/>
        <v>34.447499999999998</v>
      </c>
      <c r="K22" s="120">
        <v>10</v>
      </c>
      <c r="L22" s="56"/>
      <c r="M22" s="199"/>
      <c r="N22" s="199"/>
      <c r="O22" s="199"/>
      <c r="P22" s="199"/>
      <c r="Q22" s="199"/>
      <c r="R22" s="199"/>
    </row>
    <row r="23" spans="1:18" s="8" customFormat="1" ht="17.649999999999999" customHeight="1" x14ac:dyDescent="0.25">
      <c r="A23" s="228" t="s">
        <v>98</v>
      </c>
      <c r="B23" s="228" t="s">
        <v>102</v>
      </c>
      <c r="C23" s="121" t="s">
        <v>82</v>
      </c>
      <c r="D23" s="230" t="s">
        <v>75</v>
      </c>
      <c r="E23" s="121" t="s">
        <v>76</v>
      </c>
      <c r="F23" s="198">
        <f t="shared" si="0"/>
        <v>1.6333056180687342E-2</v>
      </c>
      <c r="G23" s="210">
        <v>3444.75</v>
      </c>
      <c r="H23" s="18">
        <v>45208.69</v>
      </c>
      <c r="I23" s="18">
        <v>1</v>
      </c>
      <c r="J23" s="18">
        <f t="shared" si="1"/>
        <v>34.447499999999998</v>
      </c>
      <c r="K23" s="120">
        <v>10</v>
      </c>
      <c r="L23" s="56"/>
      <c r="M23" s="199"/>
      <c r="N23" s="199"/>
      <c r="O23" s="199"/>
      <c r="P23" s="199"/>
      <c r="Q23" s="199"/>
      <c r="R23" s="199"/>
    </row>
    <row r="24" spans="1:18" s="8" customFormat="1" ht="17.649999999999999" customHeight="1" x14ac:dyDescent="0.25">
      <c r="A24" s="228" t="s">
        <v>98</v>
      </c>
      <c r="B24" s="228" t="s">
        <v>103</v>
      </c>
      <c r="C24" s="121" t="s">
        <v>74</v>
      </c>
      <c r="D24" s="230" t="s">
        <v>75</v>
      </c>
      <c r="E24" s="121" t="s">
        <v>76</v>
      </c>
      <c r="F24" s="198">
        <f t="shared" si="0"/>
        <v>1.6333056180687342E-2</v>
      </c>
      <c r="G24" s="210">
        <v>3444.75</v>
      </c>
      <c r="H24" s="18">
        <v>45209.03</v>
      </c>
      <c r="I24" s="18">
        <v>1</v>
      </c>
      <c r="J24" s="18">
        <f t="shared" si="1"/>
        <v>34.447499999999998</v>
      </c>
      <c r="K24" s="120">
        <v>10</v>
      </c>
      <c r="L24" s="56"/>
      <c r="M24" s="199"/>
      <c r="N24" s="199"/>
      <c r="O24" s="199"/>
      <c r="P24" s="199"/>
      <c r="Q24" s="199"/>
      <c r="R24" s="199"/>
    </row>
    <row r="25" spans="1:18" s="8" customFormat="1" ht="17.649999999999999" customHeight="1" x14ac:dyDescent="0.25">
      <c r="A25" s="228" t="s">
        <v>98</v>
      </c>
      <c r="B25" s="228" t="s">
        <v>104</v>
      </c>
      <c r="C25" s="121" t="s">
        <v>82</v>
      </c>
      <c r="D25" s="230" t="s">
        <v>75</v>
      </c>
      <c r="E25" s="121" t="s">
        <v>76</v>
      </c>
      <c r="F25" s="198">
        <f t="shared" si="0"/>
        <v>1.6333056180687342E-2</v>
      </c>
      <c r="G25" s="210">
        <v>3444.75</v>
      </c>
      <c r="H25" s="18">
        <v>45208.69</v>
      </c>
      <c r="I25" s="18">
        <v>1</v>
      </c>
      <c r="J25" s="18">
        <f t="shared" si="1"/>
        <v>34.447499999999998</v>
      </c>
      <c r="K25" s="120">
        <v>10</v>
      </c>
      <c r="L25" s="56"/>
      <c r="M25" s="199"/>
      <c r="N25" s="199"/>
      <c r="O25" s="199"/>
      <c r="P25" s="199"/>
      <c r="Q25" s="199"/>
      <c r="R25" s="199"/>
    </row>
    <row r="26" spans="1:18" s="8" customFormat="1" ht="17.649999999999999" customHeight="1" x14ac:dyDescent="0.25">
      <c r="A26" s="228" t="s">
        <v>77</v>
      </c>
      <c r="B26" s="228" t="s">
        <v>105</v>
      </c>
      <c r="C26" s="121" t="s">
        <v>74</v>
      </c>
      <c r="D26" s="230" t="s">
        <v>106</v>
      </c>
      <c r="E26" s="121" t="s">
        <v>76</v>
      </c>
      <c r="F26" s="198">
        <f t="shared" si="0"/>
        <v>0.10085751686148905</v>
      </c>
      <c r="G26" s="210">
        <v>21271.52</v>
      </c>
      <c r="H26" s="18">
        <v>558334.4</v>
      </c>
      <c r="I26" s="18">
        <v>1</v>
      </c>
      <c r="J26" s="18">
        <f t="shared" si="1"/>
        <v>425.43040000000002</v>
      </c>
      <c r="K26" s="120">
        <v>20</v>
      </c>
      <c r="L26" s="56"/>
      <c r="M26" s="199"/>
      <c r="N26" s="199"/>
      <c r="O26" s="199"/>
      <c r="P26" s="199"/>
      <c r="Q26" s="199"/>
      <c r="R26" s="199"/>
    </row>
    <row r="27" spans="1:18" s="8" customFormat="1" ht="17.649999999999999" customHeight="1" x14ac:dyDescent="0.25">
      <c r="A27" s="228" t="s">
        <v>107</v>
      </c>
      <c r="B27" s="228" t="s">
        <v>108</v>
      </c>
      <c r="C27" s="121" t="s">
        <v>74</v>
      </c>
      <c r="D27" s="230" t="s">
        <v>109</v>
      </c>
      <c r="E27" s="121" t="s">
        <v>76</v>
      </c>
      <c r="F27" s="198">
        <f t="shared" si="0"/>
        <v>1.1025067774063445E-2</v>
      </c>
      <c r="G27" s="210">
        <v>2325.2600000000002</v>
      </c>
      <c r="H27" s="18">
        <v>30516.83</v>
      </c>
      <c r="I27" s="18">
        <v>1</v>
      </c>
      <c r="J27" s="18">
        <f t="shared" si="1"/>
        <v>11.626300000000001</v>
      </c>
      <c r="K27" s="120">
        <v>5</v>
      </c>
      <c r="L27" s="56"/>
      <c r="M27" s="199"/>
      <c r="N27" s="199"/>
      <c r="O27" s="199"/>
      <c r="P27" s="199"/>
      <c r="Q27" s="199"/>
      <c r="R27" s="199"/>
    </row>
    <row r="28" spans="1:18" s="8" customFormat="1" ht="17.649999999999999" customHeight="1" x14ac:dyDescent="0.25">
      <c r="A28" s="228" t="s">
        <v>110</v>
      </c>
      <c r="B28" s="228" t="s">
        <v>111</v>
      </c>
      <c r="C28" s="121" t="s">
        <v>82</v>
      </c>
      <c r="D28" s="230" t="s">
        <v>75</v>
      </c>
      <c r="E28" s="121" t="s">
        <v>76</v>
      </c>
      <c r="F28" s="198">
        <f t="shared" si="0"/>
        <v>4.2874894787570464E-2</v>
      </c>
      <c r="G28" s="210">
        <v>9042.6</v>
      </c>
      <c r="H28" s="18">
        <v>118674.5</v>
      </c>
      <c r="I28" s="18">
        <v>1</v>
      </c>
      <c r="J28" s="18">
        <f t="shared" si="1"/>
        <v>180.852</v>
      </c>
      <c r="K28" s="120">
        <v>20</v>
      </c>
      <c r="L28" s="56"/>
      <c r="M28" s="199"/>
      <c r="N28" s="199"/>
      <c r="O28" s="199"/>
      <c r="P28" s="199"/>
      <c r="Q28" s="199"/>
      <c r="R28" s="199"/>
    </row>
    <row r="29" spans="1:18" s="8" customFormat="1" ht="17.649999999999999" customHeight="1" x14ac:dyDescent="0.25">
      <c r="A29" s="228" t="s">
        <v>112</v>
      </c>
      <c r="B29" s="228" t="s">
        <v>113</v>
      </c>
      <c r="C29" s="121" t="s">
        <v>74</v>
      </c>
      <c r="D29" s="230" t="s">
        <v>75</v>
      </c>
      <c r="E29" s="121" t="s">
        <v>76</v>
      </c>
      <c r="F29" s="198">
        <f t="shared" si="0"/>
        <v>1.0718581453860343E-2</v>
      </c>
      <c r="G29" s="210">
        <v>2260.62</v>
      </c>
      <c r="H29" s="18">
        <v>29668.42</v>
      </c>
      <c r="I29" s="18">
        <v>1</v>
      </c>
      <c r="J29" s="18">
        <f t="shared" si="1"/>
        <v>150.708</v>
      </c>
      <c r="K29" s="120">
        <v>66.666666666666671</v>
      </c>
      <c r="L29" s="56"/>
      <c r="M29" s="199"/>
      <c r="N29" s="199"/>
      <c r="O29" s="199"/>
      <c r="P29" s="199"/>
      <c r="Q29" s="199"/>
      <c r="R29" s="199"/>
    </row>
    <row r="30" spans="1:18" s="8" customFormat="1" ht="17.649999999999999" customHeight="1" x14ac:dyDescent="0.25">
      <c r="A30" s="228" t="s">
        <v>112</v>
      </c>
      <c r="B30" s="228" t="s">
        <v>114</v>
      </c>
      <c r="C30" s="121" t="s">
        <v>82</v>
      </c>
      <c r="D30" s="230" t="s">
        <v>75</v>
      </c>
      <c r="E30" s="121" t="s">
        <v>76</v>
      </c>
      <c r="F30" s="198">
        <f t="shared" si="0"/>
        <v>1.0718581453860343E-2</v>
      </c>
      <c r="G30" s="210">
        <v>2260.62</v>
      </c>
      <c r="H30" s="18">
        <v>29668.19</v>
      </c>
      <c r="I30" s="18">
        <v>1</v>
      </c>
      <c r="J30" s="18">
        <f t="shared" si="1"/>
        <v>150.708</v>
      </c>
      <c r="K30" s="120">
        <v>66.666666666666671</v>
      </c>
      <c r="L30" s="56"/>
      <c r="M30" s="199"/>
      <c r="N30" s="199"/>
      <c r="O30" s="199"/>
      <c r="P30" s="199"/>
      <c r="Q30" s="199"/>
      <c r="R30" s="199"/>
    </row>
    <row r="31" spans="1:18" s="8" customFormat="1" ht="17.649999999999999" customHeight="1" x14ac:dyDescent="0.25">
      <c r="A31" s="228" t="s">
        <v>98</v>
      </c>
      <c r="B31" s="228" t="s">
        <v>115</v>
      </c>
      <c r="C31" s="121" t="s">
        <v>74</v>
      </c>
      <c r="D31" s="230" t="s">
        <v>75</v>
      </c>
      <c r="E31" s="121" t="s">
        <v>76</v>
      </c>
      <c r="F31" s="198">
        <f t="shared" si="0"/>
        <v>5.8186503753509138E-2</v>
      </c>
      <c r="G31" s="210">
        <v>12271.92</v>
      </c>
      <c r="H31" s="18">
        <v>161057.23000000001</v>
      </c>
      <c r="I31" s="18">
        <v>1</v>
      </c>
      <c r="J31" s="18">
        <f t="shared" si="1"/>
        <v>122.7192</v>
      </c>
      <c r="K31" s="120">
        <v>10</v>
      </c>
      <c r="L31" s="56"/>
      <c r="M31" s="199"/>
      <c r="N31" s="199"/>
      <c r="O31" s="199"/>
      <c r="P31" s="199"/>
      <c r="Q31" s="199"/>
      <c r="R31" s="199"/>
    </row>
    <row r="32" spans="1:18" s="8" customFormat="1" ht="17.649999999999999" customHeight="1" x14ac:dyDescent="0.25">
      <c r="A32" s="228" t="s">
        <v>98</v>
      </c>
      <c r="B32" s="228" t="s">
        <v>116</v>
      </c>
      <c r="C32" s="121" t="s">
        <v>82</v>
      </c>
      <c r="D32" s="230" t="s">
        <v>75</v>
      </c>
      <c r="E32" s="121" t="s">
        <v>76</v>
      </c>
      <c r="F32" s="198">
        <f t="shared" si="0"/>
        <v>5.8186503753509138E-2</v>
      </c>
      <c r="G32" s="210">
        <v>12271.92</v>
      </c>
      <c r="H32" s="18">
        <v>161056</v>
      </c>
      <c r="I32" s="18">
        <v>1</v>
      </c>
      <c r="J32" s="18">
        <f t="shared" si="1"/>
        <v>122.7192</v>
      </c>
      <c r="K32" s="120">
        <v>10</v>
      </c>
      <c r="L32" s="56"/>
      <c r="M32" s="199"/>
      <c r="N32" s="199"/>
      <c r="O32" s="199"/>
      <c r="P32" s="199"/>
      <c r="Q32" s="199"/>
      <c r="R32" s="199"/>
    </row>
    <row r="33" spans="1:18" s="8" customFormat="1" ht="17.649999999999999" customHeight="1" x14ac:dyDescent="0.25">
      <c r="A33" s="228" t="s">
        <v>117</v>
      </c>
      <c r="B33" s="228" t="s">
        <v>118</v>
      </c>
      <c r="C33" s="121" t="s">
        <v>74</v>
      </c>
      <c r="D33" s="229" t="s">
        <v>75</v>
      </c>
      <c r="E33" s="121" t="s">
        <v>76</v>
      </c>
      <c r="F33" s="198">
        <f t="shared" si="0"/>
        <v>1.7456396820887198E-2</v>
      </c>
      <c r="G33" s="210">
        <v>3681.67</v>
      </c>
      <c r="H33" s="18">
        <v>48318.44</v>
      </c>
      <c r="I33" s="18">
        <v>1</v>
      </c>
      <c r="J33" s="18">
        <f t="shared" si="1"/>
        <v>11.04501</v>
      </c>
      <c r="K33" s="120">
        <v>3</v>
      </c>
      <c r="L33" s="56"/>
      <c r="M33" s="199"/>
      <c r="N33" s="199"/>
      <c r="O33" s="199"/>
      <c r="P33" s="199"/>
      <c r="Q33" s="199"/>
      <c r="R33" s="199"/>
    </row>
    <row r="34" spans="1:18" s="8" customFormat="1" ht="17.649999999999999" customHeight="1" x14ac:dyDescent="0.25">
      <c r="A34" s="228" t="s">
        <v>117</v>
      </c>
      <c r="B34" s="228" t="s">
        <v>119</v>
      </c>
      <c r="C34" s="121" t="s">
        <v>82</v>
      </c>
      <c r="D34" s="229" t="s">
        <v>75</v>
      </c>
      <c r="E34" s="121" t="s">
        <v>76</v>
      </c>
      <c r="F34" s="198">
        <f t="shared" si="0"/>
        <v>1.7456396820887198E-2</v>
      </c>
      <c r="G34" s="210">
        <v>3681.67</v>
      </c>
      <c r="H34" s="18">
        <v>48318.07</v>
      </c>
      <c r="I34" s="18">
        <v>1</v>
      </c>
      <c r="J34" s="18">
        <f t="shared" si="1"/>
        <v>11.04501</v>
      </c>
      <c r="K34" s="120">
        <v>3</v>
      </c>
      <c r="L34" s="56"/>
      <c r="M34" s="199"/>
      <c r="N34" s="199"/>
      <c r="O34" s="199"/>
      <c r="P34" s="199"/>
      <c r="Q34" s="199"/>
      <c r="R34" s="199"/>
    </row>
    <row r="35" spans="1:18" s="8" customFormat="1" ht="17.649999999999999" customHeight="1" x14ac:dyDescent="0.25">
      <c r="A35" s="228" t="s">
        <v>85</v>
      </c>
      <c r="B35" s="228" t="s">
        <v>120</v>
      </c>
      <c r="C35" s="121" t="s">
        <v>74</v>
      </c>
      <c r="D35" s="229" t="s">
        <v>75</v>
      </c>
      <c r="E35" s="121" t="s">
        <v>76</v>
      </c>
      <c r="F35" s="198">
        <f t="shared" si="0"/>
        <v>2.4346791547198324E-2</v>
      </c>
      <c r="G35" s="210">
        <v>5134.8999999999996</v>
      </c>
      <c r="H35" s="18">
        <v>67390.66</v>
      </c>
      <c r="I35" s="18">
        <v>1</v>
      </c>
      <c r="J35" s="18">
        <f t="shared" si="1"/>
        <v>256.74499999999995</v>
      </c>
      <c r="K35" s="120">
        <v>50</v>
      </c>
      <c r="L35" s="56"/>
      <c r="M35" s="199"/>
      <c r="N35" s="199"/>
      <c r="O35" s="199"/>
      <c r="P35" s="199"/>
      <c r="Q35" s="199"/>
      <c r="R35" s="199"/>
    </row>
    <row r="36" spans="1:18" s="8" customFormat="1" ht="17.649999999999999" customHeight="1" x14ac:dyDescent="0.25">
      <c r="A36" s="228" t="s">
        <v>85</v>
      </c>
      <c r="B36" s="228" t="s">
        <v>121</v>
      </c>
      <c r="C36" s="121" t="s">
        <v>82</v>
      </c>
      <c r="D36" s="229" t="s">
        <v>75</v>
      </c>
      <c r="E36" s="121" t="s">
        <v>76</v>
      </c>
      <c r="F36" s="198">
        <f t="shared" si="0"/>
        <v>2.4346791547198324E-2</v>
      </c>
      <c r="G36" s="210">
        <v>5134.8999999999996</v>
      </c>
      <c r="H36" s="18">
        <v>67390.149999999994</v>
      </c>
      <c r="I36" s="18">
        <v>1</v>
      </c>
      <c r="J36" s="18">
        <f t="shared" si="1"/>
        <v>256.74499999999995</v>
      </c>
      <c r="K36" s="120">
        <v>50</v>
      </c>
      <c r="L36" s="56"/>
      <c r="M36" s="199"/>
      <c r="N36" s="199"/>
      <c r="O36" s="199"/>
      <c r="P36" s="199"/>
      <c r="Q36" s="199"/>
      <c r="R36" s="199"/>
    </row>
    <row r="37" spans="1:18" s="8" customFormat="1" ht="17.649999999999999" customHeight="1" x14ac:dyDescent="0.25">
      <c r="A37" s="228" t="s">
        <v>85</v>
      </c>
      <c r="B37" s="228" t="s">
        <v>122</v>
      </c>
      <c r="C37" s="121" t="s">
        <v>74</v>
      </c>
      <c r="D37" s="229" t="s">
        <v>75</v>
      </c>
      <c r="E37" s="121" t="s">
        <v>76</v>
      </c>
      <c r="F37" s="198">
        <f t="shared" si="0"/>
        <v>2.4346317403757419E-2</v>
      </c>
      <c r="G37" s="210">
        <v>5134.8</v>
      </c>
      <c r="H37" s="18">
        <v>67389.289999999994</v>
      </c>
      <c r="I37" s="18">
        <v>1</v>
      </c>
      <c r="J37" s="18">
        <f t="shared" si="1"/>
        <v>256.74</v>
      </c>
      <c r="K37" s="120">
        <v>50</v>
      </c>
      <c r="L37" s="56"/>
      <c r="M37" s="199"/>
      <c r="N37" s="199"/>
      <c r="O37" s="199"/>
      <c r="P37" s="199"/>
      <c r="Q37" s="199"/>
      <c r="R37" s="199"/>
    </row>
    <row r="38" spans="1:18" s="8" customFormat="1" ht="17.649999999999999" customHeight="1" x14ac:dyDescent="0.25">
      <c r="A38" s="228" t="s">
        <v>85</v>
      </c>
      <c r="B38" s="228" t="s">
        <v>123</v>
      </c>
      <c r="C38" s="121" t="s">
        <v>82</v>
      </c>
      <c r="D38" s="229" t="s">
        <v>75</v>
      </c>
      <c r="E38" s="121" t="s">
        <v>76</v>
      </c>
      <c r="F38" s="198">
        <f t="shared" si="0"/>
        <v>2.4346317403757419E-2</v>
      </c>
      <c r="G38" s="210">
        <v>5134.8</v>
      </c>
      <c r="H38" s="18">
        <v>67388.78</v>
      </c>
      <c r="I38" s="18">
        <v>1</v>
      </c>
      <c r="J38" s="18">
        <f t="shared" si="1"/>
        <v>256.74</v>
      </c>
      <c r="K38" s="120">
        <v>50</v>
      </c>
      <c r="L38" s="56"/>
      <c r="M38" s="199"/>
      <c r="N38" s="199"/>
      <c r="O38" s="199"/>
      <c r="P38" s="199"/>
      <c r="Q38" s="199"/>
      <c r="R38" s="199"/>
    </row>
    <row r="39" spans="1:18" s="8" customFormat="1" ht="17.649999999999999" customHeight="1" x14ac:dyDescent="0.25">
      <c r="A39" s="228" t="s">
        <v>85</v>
      </c>
      <c r="B39" s="228" t="s">
        <v>124</v>
      </c>
      <c r="C39" s="121" t="s">
        <v>74</v>
      </c>
      <c r="D39" s="229" t="s">
        <v>75</v>
      </c>
      <c r="E39" s="121" t="s">
        <v>76</v>
      </c>
      <c r="F39" s="198">
        <f t="shared" si="0"/>
        <v>2.4347123447606964E-2</v>
      </c>
      <c r="G39" s="210">
        <v>5134.97</v>
      </c>
      <c r="H39" s="18">
        <v>67391.570000000007</v>
      </c>
      <c r="I39" s="18">
        <v>1</v>
      </c>
      <c r="J39" s="18">
        <f t="shared" si="1"/>
        <v>256.74849999999998</v>
      </c>
      <c r="K39" s="120">
        <v>50</v>
      </c>
      <c r="L39" s="1"/>
      <c r="M39" s="199"/>
      <c r="N39" s="199"/>
      <c r="O39" s="199"/>
      <c r="P39" s="199"/>
      <c r="Q39" s="199"/>
      <c r="R39" s="199"/>
    </row>
    <row r="40" spans="1:18" s="8" customFormat="1" ht="17.649999999999999" customHeight="1" x14ac:dyDescent="0.25">
      <c r="A40" s="228" t="s">
        <v>85</v>
      </c>
      <c r="B40" s="228" t="s">
        <v>125</v>
      </c>
      <c r="C40" s="121" t="s">
        <v>82</v>
      </c>
      <c r="D40" s="229" t="s">
        <v>75</v>
      </c>
      <c r="E40" s="121" t="s">
        <v>76</v>
      </c>
      <c r="F40" s="198">
        <f t="shared" si="0"/>
        <v>2.4347123447606964E-2</v>
      </c>
      <c r="G40" s="210">
        <v>5134.97</v>
      </c>
      <c r="H40" s="18">
        <v>67391.06</v>
      </c>
      <c r="I40" s="18">
        <v>1</v>
      </c>
      <c r="J40" s="18">
        <f t="shared" si="1"/>
        <v>256.74849999999998</v>
      </c>
      <c r="K40" s="120">
        <v>50</v>
      </c>
      <c r="L40" s="56"/>
      <c r="M40" s="199"/>
      <c r="N40" s="199"/>
      <c r="O40" s="199"/>
      <c r="P40" s="199"/>
      <c r="Q40" s="199"/>
      <c r="R40" s="199"/>
    </row>
    <row r="41" spans="1:18" s="8" customFormat="1" ht="17.649999999999999" customHeight="1" x14ac:dyDescent="0.25">
      <c r="A41" s="228" t="s">
        <v>85</v>
      </c>
      <c r="B41" s="228" t="s">
        <v>126</v>
      </c>
      <c r="C41" s="121" t="s">
        <v>74</v>
      </c>
      <c r="D41" s="229" t="s">
        <v>75</v>
      </c>
      <c r="E41" s="121" t="s">
        <v>76</v>
      </c>
      <c r="F41" s="198">
        <f t="shared" si="0"/>
        <v>2.4346696718510145E-2</v>
      </c>
      <c r="G41" s="210">
        <v>5134.88</v>
      </c>
      <c r="H41" s="18">
        <v>67390.429999999993</v>
      </c>
      <c r="I41" s="18">
        <v>1</v>
      </c>
      <c r="J41" s="18">
        <f t="shared" si="1"/>
        <v>256.74400000000003</v>
      </c>
      <c r="K41" s="120">
        <v>50</v>
      </c>
      <c r="L41" s="56"/>
      <c r="M41" s="199"/>
      <c r="N41" s="199"/>
      <c r="O41" s="199"/>
      <c r="P41" s="199"/>
      <c r="Q41" s="199"/>
      <c r="R41" s="199"/>
    </row>
    <row r="42" spans="1:18" s="8" customFormat="1" ht="17.649999999999999" customHeight="1" x14ac:dyDescent="0.25">
      <c r="A42" s="228" t="s">
        <v>85</v>
      </c>
      <c r="B42" s="228" t="s">
        <v>127</v>
      </c>
      <c r="C42" s="121" t="s">
        <v>82</v>
      </c>
      <c r="D42" s="229" t="s">
        <v>75</v>
      </c>
      <c r="E42" s="121" t="s">
        <v>76</v>
      </c>
      <c r="F42" s="198">
        <f t="shared" si="0"/>
        <v>2.4346696718510145E-2</v>
      </c>
      <c r="G42" s="210">
        <v>5134.88</v>
      </c>
      <c r="H42" s="18">
        <v>67389.919999999998</v>
      </c>
      <c r="I42" s="18">
        <v>1</v>
      </c>
      <c r="J42" s="18">
        <f t="shared" si="1"/>
        <v>256.74400000000003</v>
      </c>
      <c r="K42" s="120">
        <v>50</v>
      </c>
      <c r="L42" s="56"/>
      <c r="M42" s="199"/>
      <c r="N42" s="199"/>
      <c r="O42" s="199"/>
      <c r="P42" s="199"/>
      <c r="Q42" s="199"/>
      <c r="R42" s="199"/>
    </row>
    <row r="43" spans="1:18" s="8" customFormat="1" ht="17.649999999999999" customHeight="1" x14ac:dyDescent="0.25">
      <c r="A43" s="228" t="s">
        <v>85</v>
      </c>
      <c r="B43" s="228" t="s">
        <v>128</v>
      </c>
      <c r="C43" s="121" t="s">
        <v>74</v>
      </c>
      <c r="D43" s="229" t="s">
        <v>75</v>
      </c>
      <c r="E43" s="121" t="s">
        <v>76</v>
      </c>
      <c r="F43" s="198">
        <f t="shared" si="0"/>
        <v>2.4347123447606964E-2</v>
      </c>
      <c r="G43" s="210">
        <v>5134.97</v>
      </c>
      <c r="H43" s="18">
        <v>67391.570000000007</v>
      </c>
      <c r="I43" s="18">
        <v>1</v>
      </c>
      <c r="J43" s="18">
        <f t="shared" si="1"/>
        <v>256.74849999999998</v>
      </c>
      <c r="K43" s="120">
        <v>50</v>
      </c>
      <c r="L43" s="56"/>
      <c r="M43" s="199"/>
      <c r="N43" s="199"/>
      <c r="O43" s="199"/>
      <c r="P43" s="199"/>
      <c r="Q43" s="199"/>
      <c r="R43" s="199"/>
    </row>
    <row r="44" spans="1:18" s="8" customFormat="1" ht="17.649999999999999" customHeight="1" x14ac:dyDescent="0.25">
      <c r="A44" s="228" t="s">
        <v>85</v>
      </c>
      <c r="B44" s="228" t="s">
        <v>129</v>
      </c>
      <c r="C44" s="121" t="s">
        <v>82</v>
      </c>
      <c r="D44" s="229" t="s">
        <v>75</v>
      </c>
      <c r="E44" s="121" t="s">
        <v>76</v>
      </c>
      <c r="F44" s="198">
        <f t="shared" si="0"/>
        <v>2.4347123447606964E-2</v>
      </c>
      <c r="G44" s="210">
        <v>5134.97</v>
      </c>
      <c r="H44" s="18">
        <v>67391.06</v>
      </c>
      <c r="I44" s="18">
        <v>1</v>
      </c>
      <c r="J44" s="18">
        <f t="shared" si="1"/>
        <v>256.74849999999998</v>
      </c>
      <c r="K44" s="120">
        <v>50</v>
      </c>
      <c r="L44" s="56"/>
      <c r="M44" s="199"/>
      <c r="N44" s="199"/>
      <c r="O44" s="199"/>
      <c r="P44" s="199"/>
      <c r="Q44" s="199"/>
      <c r="R44" s="199"/>
    </row>
    <row r="45" spans="1:18" s="8" customFormat="1" ht="17.649999999999999" customHeight="1" x14ac:dyDescent="0.25">
      <c r="A45" s="228" t="s">
        <v>85</v>
      </c>
      <c r="B45" s="228" t="s">
        <v>130</v>
      </c>
      <c r="C45" s="121" t="s">
        <v>74</v>
      </c>
      <c r="D45" s="229" t="s">
        <v>75</v>
      </c>
      <c r="E45" s="121" t="s">
        <v>76</v>
      </c>
      <c r="F45" s="198">
        <f t="shared" si="0"/>
        <v>2.4346317403757419E-2</v>
      </c>
      <c r="G45" s="210">
        <v>5134.8</v>
      </c>
      <c r="H45" s="18">
        <v>67389.289999999994</v>
      </c>
      <c r="I45" s="18">
        <v>1</v>
      </c>
      <c r="J45" s="18">
        <f t="shared" si="1"/>
        <v>256.74</v>
      </c>
      <c r="K45" s="120">
        <v>50</v>
      </c>
      <c r="L45" s="56"/>
      <c r="M45" s="199"/>
      <c r="N45" s="199"/>
      <c r="O45" s="199"/>
      <c r="P45" s="199"/>
      <c r="Q45" s="199"/>
      <c r="R45" s="199"/>
    </row>
    <row r="46" spans="1:18" s="8" customFormat="1" ht="17.649999999999999" customHeight="1" x14ac:dyDescent="0.25">
      <c r="A46" s="228" t="s">
        <v>85</v>
      </c>
      <c r="B46" s="228" t="s">
        <v>131</v>
      </c>
      <c r="C46" s="121" t="s">
        <v>82</v>
      </c>
      <c r="D46" s="229" t="s">
        <v>75</v>
      </c>
      <c r="E46" s="121" t="s">
        <v>76</v>
      </c>
      <c r="F46" s="198">
        <f t="shared" si="0"/>
        <v>2.4346317403757419E-2</v>
      </c>
      <c r="G46" s="210">
        <v>5134.8</v>
      </c>
      <c r="H46" s="18">
        <v>67388.78</v>
      </c>
      <c r="I46" s="18">
        <v>1</v>
      </c>
      <c r="J46" s="18">
        <f t="shared" si="1"/>
        <v>256.74</v>
      </c>
      <c r="K46" s="120">
        <v>50</v>
      </c>
      <c r="L46" s="56"/>
      <c r="M46" s="199"/>
      <c r="N46" s="199"/>
      <c r="O46" s="199"/>
      <c r="P46" s="199"/>
      <c r="Q46" s="199"/>
      <c r="R46" s="199"/>
    </row>
    <row r="47" spans="1:18" s="8" customFormat="1" ht="17.649999999999999" customHeight="1" x14ac:dyDescent="0.25">
      <c r="A47" s="228" t="s">
        <v>132</v>
      </c>
      <c r="B47" s="228" t="s">
        <v>133</v>
      </c>
      <c r="C47" s="121" t="s">
        <v>74</v>
      </c>
      <c r="D47" s="229" t="s">
        <v>75</v>
      </c>
      <c r="E47" s="121" t="s">
        <v>76</v>
      </c>
      <c r="F47" s="198">
        <f t="shared" si="0"/>
        <v>2.7154052617783871E-2</v>
      </c>
      <c r="G47" s="210">
        <v>5726.97</v>
      </c>
      <c r="H47" s="18">
        <v>75160.960000000006</v>
      </c>
      <c r="I47" s="18">
        <v>1</v>
      </c>
      <c r="J47" s="18">
        <f t="shared" si="1"/>
        <v>57.269700000000007</v>
      </c>
      <c r="K47" s="120">
        <v>10</v>
      </c>
      <c r="L47" s="56"/>
      <c r="M47" s="199"/>
      <c r="N47" s="199"/>
      <c r="O47" s="199"/>
      <c r="P47" s="199"/>
      <c r="Q47" s="199"/>
      <c r="R47" s="199"/>
    </row>
    <row r="48" spans="1:18" s="8" customFormat="1" ht="17.649999999999999" customHeight="1" x14ac:dyDescent="0.25">
      <c r="A48" s="228" t="s">
        <v>132</v>
      </c>
      <c r="B48" s="228" t="s">
        <v>134</v>
      </c>
      <c r="C48" s="121" t="s">
        <v>82</v>
      </c>
      <c r="D48" s="229" t="s">
        <v>75</v>
      </c>
      <c r="E48" s="121" t="s">
        <v>76</v>
      </c>
      <c r="F48" s="198">
        <f t="shared" si="0"/>
        <v>2.7154052617783871E-2</v>
      </c>
      <c r="G48" s="210">
        <v>5726.97</v>
      </c>
      <c r="H48" s="18">
        <v>75160.39</v>
      </c>
      <c r="I48" s="18">
        <v>1</v>
      </c>
      <c r="J48" s="18">
        <f t="shared" si="1"/>
        <v>57.269700000000007</v>
      </c>
      <c r="K48" s="120">
        <v>10</v>
      </c>
      <c r="L48" s="56"/>
      <c r="M48" s="199"/>
      <c r="N48" s="199"/>
      <c r="O48" s="199"/>
      <c r="P48" s="199"/>
      <c r="Q48" s="199"/>
      <c r="R48" s="199"/>
    </row>
    <row r="49" spans="1:28" s="24" customFormat="1" ht="42" customHeight="1" x14ac:dyDescent="0.25">
      <c r="A49" s="121" t="s">
        <v>135</v>
      </c>
      <c r="B49" s="121" t="s">
        <v>136</v>
      </c>
      <c r="C49" s="121" t="s">
        <v>137</v>
      </c>
      <c r="D49" s="121" t="s">
        <v>138</v>
      </c>
      <c r="E49" s="122" t="s">
        <v>139</v>
      </c>
      <c r="F49" s="198">
        <f t="shared" si="0"/>
        <v>1</v>
      </c>
      <c r="G49" s="123">
        <f>SUM(G3:G48)</f>
        <v>210906.63999999998</v>
      </c>
      <c r="H49" s="123">
        <f>SUM(H3:H48)</f>
        <v>3363003.57</v>
      </c>
      <c r="I49" s="123"/>
      <c r="J49" s="123">
        <f>SUM(J3:J48)</f>
        <v>7500.459806666664</v>
      </c>
      <c r="K49" s="120"/>
      <c r="L49"/>
      <c r="M49"/>
      <c r="N49"/>
      <c r="O49"/>
      <c r="P49" s="199"/>
      <c r="Q49" s="199"/>
      <c r="R49" s="199"/>
      <c r="S49" s="199"/>
      <c r="T49" s="199"/>
      <c r="U49" s="199"/>
      <c r="V49" s="160"/>
      <c r="W49" s="160"/>
      <c r="X49" s="160"/>
      <c r="Y49" s="160"/>
      <c r="Z49" s="160"/>
      <c r="AA49" s="160"/>
      <c r="AB49" s="160"/>
    </row>
    <row r="50" spans="1:28" ht="18.75" x14ac:dyDescent="0.25">
      <c r="G50" s="20"/>
      <c r="H50" s="20"/>
      <c r="I50" s="20"/>
      <c r="J50" s="20"/>
      <c r="K50" s="21"/>
      <c r="L50"/>
      <c r="M50"/>
      <c r="N50"/>
      <c r="O50"/>
      <c r="P50" s="199"/>
      <c r="Q50" s="199"/>
      <c r="R50" s="199"/>
      <c r="S50" s="199"/>
      <c r="T50" s="199"/>
      <c r="U50" s="199"/>
      <c r="V50" s="160"/>
      <c r="W50" s="160"/>
      <c r="X50" s="160"/>
      <c r="Y50" s="160"/>
      <c r="Z50" s="160"/>
      <c r="AA50" s="160"/>
      <c r="AB50" s="160"/>
    </row>
    <row r="51" spans="1:28" ht="18.75" x14ac:dyDescent="0.25">
      <c r="A51" s="7"/>
      <c r="B51" s="7"/>
      <c r="C51" s="7"/>
      <c r="D51" s="7"/>
      <c r="E51" s="7"/>
      <c r="F51" s="7"/>
      <c r="G51" s="22"/>
      <c r="I51" s="20"/>
      <c r="J51" s="20"/>
      <c r="K51" s="20"/>
      <c r="L51"/>
      <c r="M51"/>
      <c r="N51"/>
      <c r="O51"/>
      <c r="P51" s="199"/>
      <c r="Q51" s="199"/>
      <c r="R51" s="199"/>
      <c r="S51" s="199"/>
      <c r="T51" s="199"/>
      <c r="U51" s="199"/>
      <c r="V51" s="160"/>
      <c r="W51" s="160"/>
      <c r="X51" s="160"/>
      <c r="Y51" s="160"/>
      <c r="Z51" s="160"/>
      <c r="AA51" s="160"/>
      <c r="AB51" s="160"/>
    </row>
    <row r="52" spans="1:28" ht="18.75" x14ac:dyDescent="0.25">
      <c r="A52" s="11"/>
      <c r="B52" s="11"/>
      <c r="C52" s="11"/>
      <c r="D52" s="11"/>
      <c r="E52" s="11"/>
      <c r="G52" s="158"/>
      <c r="H52" s="20"/>
      <c r="I52" s="20"/>
      <c r="J52" s="20"/>
      <c r="K52" s="20"/>
      <c r="L52"/>
      <c r="M52"/>
      <c r="N52"/>
      <c r="O52"/>
      <c r="P52" s="199"/>
      <c r="Q52" s="199"/>
      <c r="R52" s="199"/>
      <c r="S52" s="199"/>
      <c r="T52" s="199"/>
      <c r="U52" s="199"/>
      <c r="V52" s="160"/>
      <c r="W52" s="160"/>
      <c r="X52" s="160"/>
      <c r="Y52" s="160"/>
      <c r="Z52" s="160"/>
      <c r="AA52" s="160"/>
      <c r="AB52" s="160"/>
    </row>
    <row r="53" spans="1:28" ht="18.75" x14ac:dyDescent="0.2">
      <c r="A53" s="23"/>
      <c r="B53" s="23"/>
      <c r="C53" s="23"/>
      <c r="D53" s="23"/>
      <c r="E53" s="23"/>
      <c r="G53" s="20"/>
      <c r="H53" s="20"/>
      <c r="I53" s="20"/>
      <c r="J53" s="20"/>
      <c r="K53" s="20"/>
      <c r="P53" s="199"/>
      <c r="Q53" s="199"/>
      <c r="R53" s="199"/>
      <c r="S53" s="199"/>
      <c r="T53" s="199"/>
      <c r="U53" s="199"/>
      <c r="V53" s="160"/>
      <c r="W53" s="160"/>
      <c r="X53" s="160"/>
      <c r="Y53" s="160"/>
      <c r="Z53" s="160"/>
      <c r="AA53" s="160"/>
      <c r="AB53" s="160"/>
    </row>
    <row r="54" spans="1:28" ht="18.75" x14ac:dyDescent="0.2">
      <c r="A54" s="20"/>
      <c r="B54" s="20"/>
      <c r="C54" s="20"/>
      <c r="D54" s="20"/>
      <c r="E54" s="20"/>
      <c r="G54" s="20"/>
      <c r="H54" s="20"/>
      <c r="I54" s="20"/>
      <c r="J54" s="20"/>
      <c r="K54" s="20"/>
      <c r="P54" s="199"/>
      <c r="Q54" s="199"/>
      <c r="R54" s="199"/>
      <c r="S54" s="199"/>
      <c r="T54" s="199"/>
      <c r="U54" s="199"/>
      <c r="V54" s="160"/>
      <c r="W54" s="160"/>
      <c r="X54" s="160"/>
      <c r="Y54" s="160"/>
      <c r="Z54" s="160"/>
      <c r="AA54" s="160"/>
      <c r="AB54" s="160"/>
    </row>
    <row r="55" spans="1:28" ht="18.75" x14ac:dyDescent="0.2">
      <c r="A55" s="20"/>
      <c r="B55" s="20"/>
      <c r="C55" s="20"/>
      <c r="D55" s="20"/>
      <c r="E55" s="20"/>
      <c r="G55" s="20"/>
      <c r="H55" s="20"/>
      <c r="I55" s="20"/>
      <c r="J55" s="20"/>
      <c r="K55" s="20"/>
      <c r="P55" s="199"/>
      <c r="Q55" s="199"/>
      <c r="R55" s="199"/>
      <c r="S55" s="199"/>
      <c r="T55" s="199"/>
      <c r="U55" s="199"/>
      <c r="V55" s="160"/>
      <c r="W55" s="160"/>
      <c r="X55" s="160"/>
      <c r="Y55" s="160"/>
      <c r="Z55" s="160"/>
      <c r="AA55" s="160"/>
      <c r="AB55" s="160"/>
    </row>
    <row r="56" spans="1:28" ht="14.45" customHeight="1" x14ac:dyDescent="0.2">
      <c r="G56" s="20"/>
      <c r="H56" s="20"/>
      <c r="I56" s="20"/>
      <c r="J56" s="20"/>
      <c r="K56" s="20"/>
      <c r="P56" s="199"/>
      <c r="Q56" s="199"/>
      <c r="R56" s="199"/>
      <c r="S56" s="199"/>
      <c r="T56" s="199"/>
      <c r="U56" s="199"/>
    </row>
    <row r="57" spans="1:28" ht="14.45" customHeight="1" x14ac:dyDescent="0.2">
      <c r="G57" s="20"/>
      <c r="H57" s="20"/>
      <c r="I57" s="20"/>
      <c r="J57" s="20"/>
      <c r="K57" s="20"/>
      <c r="P57" s="199"/>
      <c r="Q57" s="199"/>
      <c r="R57" s="199"/>
      <c r="S57" s="199"/>
      <c r="T57" s="199"/>
      <c r="U57" s="199"/>
    </row>
    <row r="58" spans="1:28" ht="14.45" customHeight="1" x14ac:dyDescent="0.2">
      <c r="G58" s="20"/>
      <c r="H58" s="20"/>
      <c r="I58" s="20"/>
      <c r="J58" s="20"/>
      <c r="K58" s="20"/>
      <c r="P58" s="199"/>
      <c r="Q58" s="199"/>
      <c r="R58" s="199"/>
      <c r="S58" s="199"/>
      <c r="T58" s="199"/>
      <c r="U58" s="199"/>
    </row>
    <row r="59" spans="1:28" ht="14.45" customHeight="1" x14ac:dyDescent="0.2">
      <c r="G59" s="20"/>
      <c r="H59" s="20"/>
      <c r="I59" s="20"/>
      <c r="J59" s="20"/>
      <c r="K59" s="20"/>
      <c r="P59" s="199"/>
      <c r="Q59" s="199"/>
      <c r="R59" s="199"/>
      <c r="S59" s="199"/>
      <c r="T59" s="199"/>
      <c r="U59" s="199"/>
    </row>
    <row r="60" spans="1:28" ht="14.45" customHeight="1" x14ac:dyDescent="0.2">
      <c r="G60" s="20"/>
      <c r="H60" s="20"/>
      <c r="I60" s="20"/>
      <c r="J60" s="20"/>
      <c r="K60" s="20"/>
      <c r="P60" s="38"/>
      <c r="Q60" s="38"/>
      <c r="R60" s="38"/>
    </row>
    <row r="61" spans="1:28" ht="14.45" customHeight="1" x14ac:dyDescent="0.2">
      <c r="G61" s="20"/>
      <c r="H61" s="20"/>
      <c r="I61" s="20"/>
      <c r="J61" s="20"/>
      <c r="K61" s="20"/>
      <c r="P61" s="38"/>
      <c r="Q61" s="38"/>
      <c r="R61" s="38"/>
    </row>
    <row r="62" spans="1:28" ht="14.45" customHeight="1" x14ac:dyDescent="0.2">
      <c r="G62" s="20"/>
      <c r="H62" s="20"/>
      <c r="I62" s="20"/>
      <c r="J62" s="20"/>
      <c r="K62" s="20"/>
      <c r="P62" s="38"/>
      <c r="Q62" s="38"/>
      <c r="R62" s="38"/>
    </row>
    <row r="63" spans="1:28" ht="14.45" customHeight="1" x14ac:dyDescent="0.2">
      <c r="G63" s="20"/>
      <c r="H63" s="20"/>
      <c r="I63" s="20"/>
      <c r="J63" s="20"/>
      <c r="K63" s="20"/>
      <c r="P63" s="38"/>
      <c r="Q63" s="38"/>
      <c r="R63" s="38"/>
    </row>
    <row r="64" spans="1:28" ht="14.45" customHeight="1" x14ac:dyDescent="0.2">
      <c r="G64" s="20"/>
      <c r="H64" s="20"/>
      <c r="I64" s="20"/>
      <c r="J64" s="20"/>
      <c r="K64" s="20"/>
      <c r="P64" s="38"/>
      <c r="Q64" s="38"/>
      <c r="R64" s="38"/>
    </row>
    <row r="65" spans="1:16368" ht="14.45" customHeight="1" x14ac:dyDescent="0.2">
      <c r="G65" s="20"/>
      <c r="H65" s="20"/>
      <c r="I65" s="20"/>
      <c r="J65" s="20"/>
      <c r="K65" s="20"/>
      <c r="P65" s="38"/>
      <c r="Q65" s="38"/>
      <c r="R65" s="38"/>
    </row>
    <row r="66" spans="1:16368" ht="14.45" customHeight="1" x14ac:dyDescent="0.2">
      <c r="A66" s="24" t="s">
        <v>140</v>
      </c>
      <c r="B66" s="24"/>
      <c r="C66" s="24"/>
      <c r="D66" s="24"/>
      <c r="E66" s="24"/>
      <c r="F66" s="24"/>
      <c r="G66" s="25"/>
      <c r="H66" s="27"/>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c r="IW66" s="24"/>
      <c r="IX66" s="24"/>
      <c r="IY66" s="24"/>
      <c r="IZ66" s="24"/>
      <c r="JA66" s="24"/>
      <c r="JB66" s="24"/>
      <c r="JC66" s="24"/>
      <c r="JD66" s="24"/>
      <c r="JE66" s="24"/>
      <c r="JF66" s="24"/>
      <c r="JG66" s="24"/>
      <c r="JH66" s="24"/>
      <c r="JI66" s="24"/>
      <c r="JJ66" s="24"/>
      <c r="JK66" s="24"/>
      <c r="JL66" s="24"/>
      <c r="JM66" s="24"/>
      <c r="JN66" s="24"/>
      <c r="JO66" s="24"/>
      <c r="JP66" s="24"/>
      <c r="JQ66" s="24"/>
      <c r="JR66" s="24"/>
      <c r="JS66" s="24"/>
      <c r="JT66" s="24"/>
      <c r="JU66" s="24"/>
      <c r="JV66" s="24"/>
      <c r="JW66" s="24"/>
      <c r="JX66" s="24"/>
      <c r="JY66" s="24"/>
      <c r="JZ66" s="24"/>
      <c r="KA66" s="24"/>
      <c r="KB66" s="24"/>
      <c r="KC66" s="24"/>
      <c r="KD66" s="24"/>
      <c r="KE66" s="24"/>
      <c r="KF66" s="24"/>
      <c r="KG66" s="24"/>
      <c r="KH66" s="24"/>
      <c r="KI66" s="24"/>
      <c r="KJ66" s="24"/>
      <c r="KK66" s="24"/>
      <c r="KL66" s="24"/>
      <c r="KM66" s="24"/>
      <c r="KN66" s="24"/>
      <c r="KO66" s="24"/>
      <c r="KP66" s="24"/>
      <c r="KQ66" s="24"/>
      <c r="KR66" s="24"/>
      <c r="KS66" s="24"/>
      <c r="KT66" s="24"/>
      <c r="KU66" s="24"/>
      <c r="KV66" s="24"/>
      <c r="KW66" s="24"/>
      <c r="KX66" s="24"/>
      <c r="KY66" s="24"/>
      <c r="KZ66" s="24"/>
      <c r="LA66" s="24"/>
      <c r="LB66" s="24"/>
      <c r="LC66" s="24"/>
      <c r="LD66" s="24"/>
      <c r="LE66" s="24"/>
      <c r="LF66" s="24"/>
      <c r="LG66" s="24"/>
      <c r="LH66" s="24"/>
      <c r="LI66" s="24"/>
      <c r="LJ66" s="24"/>
      <c r="LK66" s="24"/>
      <c r="LL66" s="24"/>
      <c r="LM66" s="24"/>
      <c r="LN66" s="24"/>
      <c r="LO66" s="24"/>
      <c r="LP66" s="24"/>
      <c r="LQ66" s="24"/>
      <c r="LR66" s="24"/>
      <c r="LS66" s="24"/>
      <c r="LT66" s="24"/>
      <c r="LU66" s="24"/>
      <c r="LV66" s="24"/>
      <c r="LW66" s="24"/>
      <c r="LX66" s="24"/>
      <c r="LY66" s="24"/>
      <c r="LZ66" s="24"/>
      <c r="MA66" s="24"/>
      <c r="MB66" s="24"/>
      <c r="MC66" s="24"/>
      <c r="MD66" s="24"/>
      <c r="ME66" s="24"/>
      <c r="MF66" s="24"/>
      <c r="MG66" s="24"/>
      <c r="MH66" s="24"/>
      <c r="MI66" s="24"/>
      <c r="MJ66" s="24"/>
      <c r="MK66" s="24"/>
      <c r="ML66" s="24"/>
      <c r="MM66" s="24"/>
      <c r="MN66" s="24"/>
      <c r="MO66" s="24"/>
      <c r="MP66" s="24"/>
      <c r="MQ66" s="24"/>
      <c r="MR66" s="24"/>
      <c r="MS66" s="24"/>
      <c r="MT66" s="24"/>
      <c r="MU66" s="24"/>
      <c r="MV66" s="24"/>
      <c r="MW66" s="24"/>
      <c r="MX66" s="24"/>
      <c r="MY66" s="24"/>
      <c r="MZ66" s="24"/>
      <c r="NA66" s="24"/>
      <c r="NB66" s="24"/>
      <c r="NC66" s="24"/>
      <c r="ND66" s="24"/>
      <c r="NE66" s="24"/>
      <c r="NF66" s="24"/>
      <c r="NG66" s="24"/>
      <c r="NH66" s="24"/>
      <c r="NI66" s="24"/>
      <c r="NJ66" s="24"/>
      <c r="NK66" s="24"/>
      <c r="NL66" s="24"/>
      <c r="NM66" s="24"/>
      <c r="NN66" s="24"/>
      <c r="NO66" s="24"/>
      <c r="NP66" s="24"/>
      <c r="NQ66" s="24"/>
      <c r="NR66" s="24"/>
      <c r="NS66" s="24"/>
      <c r="NT66" s="24"/>
      <c r="NU66" s="24"/>
      <c r="NV66" s="24"/>
      <c r="NW66" s="24"/>
      <c r="NX66" s="24"/>
      <c r="NY66" s="24"/>
      <c r="NZ66" s="24"/>
      <c r="OA66" s="24"/>
      <c r="OB66" s="24"/>
      <c r="OC66" s="24"/>
      <c r="OD66" s="24"/>
      <c r="OE66" s="24"/>
      <c r="OF66" s="24"/>
      <c r="OG66" s="24"/>
      <c r="OH66" s="24"/>
      <c r="OI66" s="24"/>
      <c r="OJ66" s="24"/>
      <c r="OK66" s="24"/>
      <c r="OL66" s="24"/>
      <c r="OM66" s="24"/>
      <c r="ON66" s="24"/>
      <c r="OO66" s="24"/>
      <c r="OP66" s="24"/>
      <c r="OQ66" s="24"/>
      <c r="OR66" s="24"/>
      <c r="OS66" s="24"/>
      <c r="OT66" s="24"/>
      <c r="OU66" s="24"/>
      <c r="OV66" s="24"/>
      <c r="OW66" s="24"/>
      <c r="OX66" s="24"/>
      <c r="OY66" s="24"/>
      <c r="OZ66" s="24"/>
      <c r="PA66" s="24"/>
      <c r="PB66" s="24"/>
      <c r="PC66" s="24"/>
      <c r="PD66" s="24"/>
      <c r="PE66" s="24"/>
      <c r="PF66" s="24"/>
      <c r="PG66" s="24"/>
      <c r="PH66" s="24"/>
      <c r="PI66" s="24"/>
      <c r="PJ66" s="24"/>
      <c r="PK66" s="24"/>
      <c r="PL66" s="24"/>
      <c r="PM66" s="24"/>
      <c r="PN66" s="24"/>
      <c r="PO66" s="24"/>
      <c r="PP66" s="24"/>
      <c r="PQ66" s="24"/>
      <c r="PR66" s="24"/>
      <c r="PS66" s="24"/>
      <c r="PT66" s="24"/>
      <c r="PU66" s="24"/>
      <c r="PV66" s="24"/>
      <c r="PW66" s="24"/>
      <c r="PX66" s="24"/>
      <c r="PY66" s="24"/>
      <c r="PZ66" s="24"/>
      <c r="QA66" s="24"/>
      <c r="QB66" s="24"/>
      <c r="QC66" s="24"/>
      <c r="QD66" s="24"/>
      <c r="QE66" s="24"/>
      <c r="QF66" s="24"/>
      <c r="QG66" s="24"/>
      <c r="QH66" s="24"/>
      <c r="QI66" s="24"/>
      <c r="QJ66" s="24"/>
      <c r="QK66" s="24"/>
      <c r="QL66" s="24"/>
      <c r="QM66" s="24"/>
      <c r="QN66" s="24"/>
      <c r="QO66" s="24"/>
      <c r="QP66" s="24"/>
      <c r="QQ66" s="24"/>
      <c r="QR66" s="24"/>
      <c r="QS66" s="24"/>
      <c r="QT66" s="24"/>
      <c r="QU66" s="24"/>
      <c r="QV66" s="24"/>
      <c r="QW66" s="24"/>
      <c r="QX66" s="24"/>
      <c r="QY66" s="24"/>
      <c r="QZ66" s="24"/>
      <c r="RA66" s="24"/>
      <c r="RB66" s="24"/>
      <c r="RC66" s="24"/>
      <c r="RD66" s="24"/>
      <c r="RE66" s="24"/>
      <c r="RF66" s="24"/>
      <c r="RG66" s="24"/>
      <c r="RH66" s="24"/>
      <c r="RI66" s="24"/>
      <c r="RJ66" s="24"/>
      <c r="RK66" s="24"/>
      <c r="RL66" s="24"/>
      <c r="RM66" s="24"/>
      <c r="RN66" s="24"/>
      <c r="RO66" s="24"/>
      <c r="RP66" s="24"/>
      <c r="RQ66" s="24"/>
      <c r="RR66" s="24"/>
      <c r="RS66" s="24"/>
      <c r="RT66" s="24"/>
      <c r="RU66" s="24"/>
      <c r="RV66" s="24"/>
      <c r="RW66" s="24"/>
      <c r="RX66" s="24"/>
      <c r="RY66" s="24"/>
      <c r="RZ66" s="24"/>
      <c r="SA66" s="24"/>
      <c r="SB66" s="24"/>
      <c r="SC66" s="24"/>
      <c r="SD66" s="24"/>
      <c r="SE66" s="24"/>
      <c r="SF66" s="24"/>
      <c r="SG66" s="24"/>
      <c r="SH66" s="24"/>
      <c r="SI66" s="24"/>
      <c r="SJ66" s="24"/>
      <c r="SK66" s="24"/>
      <c r="SL66" s="24"/>
      <c r="SM66" s="24"/>
      <c r="SN66" s="24"/>
      <c r="SO66" s="24"/>
      <c r="SP66" s="24"/>
      <c r="SQ66" s="24"/>
      <c r="SR66" s="24"/>
      <c r="SS66" s="24"/>
      <c r="ST66" s="24"/>
      <c r="SU66" s="24"/>
      <c r="SV66" s="24"/>
      <c r="SW66" s="24"/>
      <c r="SX66" s="24"/>
      <c r="SY66" s="24"/>
      <c r="SZ66" s="24"/>
      <c r="TA66" s="24"/>
      <c r="TB66" s="24"/>
      <c r="TC66" s="24"/>
      <c r="TD66" s="24"/>
      <c r="TE66" s="24"/>
      <c r="TF66" s="24"/>
      <c r="TG66" s="24"/>
      <c r="TH66" s="24"/>
      <c r="TI66" s="24"/>
      <c r="TJ66" s="24"/>
      <c r="TK66" s="24"/>
      <c r="TL66" s="24"/>
      <c r="TM66" s="24"/>
      <c r="TN66" s="24"/>
      <c r="TO66" s="24"/>
      <c r="TP66" s="24"/>
      <c r="TQ66" s="24"/>
      <c r="TR66" s="24"/>
      <c r="TS66" s="24"/>
      <c r="TT66" s="24"/>
      <c r="TU66" s="24"/>
      <c r="TV66" s="24"/>
      <c r="TW66" s="24"/>
      <c r="TX66" s="24"/>
      <c r="TY66" s="24"/>
      <c r="TZ66" s="24"/>
      <c r="UA66" s="24"/>
      <c r="UB66" s="24"/>
      <c r="UC66" s="24"/>
      <c r="UD66" s="24"/>
      <c r="UE66" s="24"/>
      <c r="UF66" s="24"/>
      <c r="UG66" s="24"/>
      <c r="UH66" s="24"/>
      <c r="UI66" s="24"/>
      <c r="UJ66" s="24"/>
      <c r="UK66" s="24"/>
      <c r="UL66" s="24"/>
      <c r="UM66" s="24"/>
      <c r="UN66" s="24"/>
      <c r="UO66" s="24"/>
      <c r="UP66" s="24"/>
      <c r="UQ66" s="24"/>
      <c r="UR66" s="24"/>
      <c r="US66" s="24"/>
      <c r="UT66" s="24"/>
      <c r="UU66" s="24"/>
      <c r="UV66" s="24"/>
      <c r="UW66" s="24"/>
      <c r="UX66" s="24"/>
      <c r="UY66" s="24"/>
      <c r="UZ66" s="24"/>
      <c r="VA66" s="24"/>
      <c r="VB66" s="24"/>
      <c r="VC66" s="24"/>
      <c r="VD66" s="24"/>
      <c r="VE66" s="24"/>
      <c r="VF66" s="24"/>
      <c r="VG66" s="24"/>
      <c r="VH66" s="24"/>
      <c r="VI66" s="24"/>
      <c r="VJ66" s="24"/>
      <c r="VK66" s="24"/>
      <c r="VL66" s="24"/>
      <c r="VM66" s="24"/>
      <c r="VN66" s="24"/>
      <c r="VO66" s="24"/>
      <c r="VP66" s="24"/>
      <c r="VQ66" s="24"/>
      <c r="VR66" s="24"/>
      <c r="VS66" s="24"/>
      <c r="VT66" s="24"/>
      <c r="VU66" s="24"/>
      <c r="VV66" s="24"/>
      <c r="VW66" s="24"/>
      <c r="VX66" s="24"/>
      <c r="VY66" s="24"/>
      <c r="VZ66" s="24"/>
      <c r="WA66" s="24"/>
      <c r="WB66" s="24"/>
      <c r="WC66" s="24"/>
      <c r="WD66" s="24"/>
      <c r="WE66" s="24"/>
      <c r="WF66" s="24"/>
      <c r="WG66" s="24"/>
      <c r="WH66" s="24"/>
      <c r="WI66" s="24"/>
      <c r="WJ66" s="24"/>
      <c r="WK66" s="24"/>
      <c r="WL66" s="24"/>
      <c r="WM66" s="24"/>
      <c r="WN66" s="24"/>
      <c r="WO66" s="24"/>
      <c r="WP66" s="24"/>
      <c r="WQ66" s="24"/>
      <c r="WR66" s="24"/>
      <c r="WS66" s="24"/>
      <c r="WT66" s="24"/>
      <c r="WU66" s="24"/>
      <c r="WV66" s="24"/>
      <c r="WW66" s="24"/>
      <c r="WX66" s="24"/>
      <c r="WY66" s="24"/>
      <c r="WZ66" s="24"/>
      <c r="XA66" s="24"/>
      <c r="XB66" s="24"/>
      <c r="XC66" s="24"/>
      <c r="XD66" s="24"/>
      <c r="XE66" s="24"/>
      <c r="XF66" s="24"/>
      <c r="XG66" s="24"/>
      <c r="XH66" s="24"/>
      <c r="XI66" s="24"/>
      <c r="XJ66" s="24"/>
      <c r="XK66" s="24"/>
      <c r="XL66" s="24"/>
      <c r="XM66" s="24"/>
      <c r="XN66" s="24"/>
      <c r="XO66" s="24"/>
      <c r="XP66" s="24"/>
      <c r="XQ66" s="24"/>
      <c r="XR66" s="24"/>
      <c r="XS66" s="24"/>
      <c r="XT66" s="24"/>
      <c r="XU66" s="24"/>
      <c r="XV66" s="24"/>
      <c r="XW66" s="24"/>
      <c r="XX66" s="24"/>
      <c r="XY66" s="24"/>
      <c r="XZ66" s="24"/>
      <c r="YA66" s="24"/>
      <c r="YB66" s="24"/>
      <c r="YC66" s="24"/>
      <c r="YD66" s="24"/>
      <c r="YE66" s="24"/>
      <c r="YF66" s="24"/>
      <c r="YG66" s="24"/>
      <c r="YH66" s="24"/>
      <c r="YI66" s="24"/>
      <c r="YJ66" s="24"/>
      <c r="YK66" s="24"/>
      <c r="YL66" s="24"/>
      <c r="YM66" s="24"/>
      <c r="YN66" s="24"/>
      <c r="YO66" s="24"/>
      <c r="YP66" s="24"/>
      <c r="YQ66" s="24"/>
      <c r="YR66" s="24"/>
      <c r="YS66" s="24"/>
      <c r="YT66" s="24"/>
      <c r="YU66" s="24"/>
      <c r="YV66" s="24"/>
      <c r="YW66" s="24"/>
      <c r="YX66" s="24"/>
      <c r="YY66" s="24"/>
      <c r="YZ66" s="24"/>
      <c r="ZA66" s="24"/>
      <c r="ZB66" s="24"/>
      <c r="ZC66" s="24"/>
      <c r="ZD66" s="24"/>
      <c r="ZE66" s="24"/>
      <c r="ZF66" s="24"/>
      <c r="ZG66" s="24"/>
      <c r="ZH66" s="24"/>
      <c r="ZI66" s="24"/>
      <c r="ZJ66" s="24"/>
      <c r="ZK66" s="24"/>
      <c r="ZL66" s="24"/>
      <c r="ZM66" s="24"/>
      <c r="ZN66" s="24"/>
      <c r="ZO66" s="24"/>
      <c r="ZP66" s="24"/>
      <c r="ZQ66" s="24"/>
      <c r="ZR66" s="24"/>
      <c r="ZS66" s="24"/>
      <c r="ZT66" s="24"/>
      <c r="ZU66" s="24"/>
      <c r="ZV66" s="24"/>
      <c r="ZW66" s="24"/>
      <c r="ZX66" s="24"/>
      <c r="ZY66" s="24"/>
      <c r="ZZ66" s="24"/>
      <c r="AAA66" s="24"/>
      <c r="AAB66" s="24"/>
      <c r="AAC66" s="24"/>
      <c r="AAD66" s="24"/>
      <c r="AAE66" s="24"/>
      <c r="AAF66" s="24"/>
      <c r="AAG66" s="24"/>
      <c r="AAH66" s="24"/>
      <c r="AAI66" s="24"/>
      <c r="AAJ66" s="24"/>
      <c r="AAK66" s="24"/>
      <c r="AAL66" s="24"/>
      <c r="AAM66" s="24"/>
      <c r="AAN66" s="24"/>
      <c r="AAO66" s="24"/>
      <c r="AAP66" s="24"/>
      <c r="AAQ66" s="24"/>
      <c r="AAR66" s="24"/>
      <c r="AAS66" s="24"/>
      <c r="AAT66" s="24"/>
      <c r="AAU66" s="24"/>
      <c r="AAV66" s="24"/>
      <c r="AAW66" s="24"/>
      <c r="AAX66" s="24"/>
      <c r="AAY66" s="24"/>
      <c r="AAZ66" s="24"/>
      <c r="ABA66" s="24"/>
      <c r="ABB66" s="24"/>
      <c r="ABC66" s="24"/>
      <c r="ABD66" s="24"/>
      <c r="ABE66" s="24"/>
      <c r="ABF66" s="24"/>
      <c r="ABG66" s="24"/>
      <c r="ABH66" s="24"/>
      <c r="ABI66" s="24"/>
      <c r="ABJ66" s="24"/>
      <c r="ABK66" s="24"/>
      <c r="ABL66" s="24"/>
      <c r="ABM66" s="24"/>
      <c r="ABN66" s="24"/>
      <c r="ABO66" s="24"/>
      <c r="ABP66" s="24"/>
      <c r="ABQ66" s="24"/>
      <c r="ABR66" s="24"/>
      <c r="ABS66" s="24"/>
      <c r="ABT66" s="24"/>
      <c r="ABU66" s="24"/>
      <c r="ABV66" s="24"/>
      <c r="ABW66" s="24"/>
      <c r="ABX66" s="24"/>
      <c r="ABY66" s="24"/>
      <c r="ABZ66" s="24"/>
      <c r="ACA66" s="24"/>
      <c r="ACB66" s="24"/>
      <c r="ACC66" s="24"/>
      <c r="ACD66" s="24"/>
      <c r="ACE66" s="24"/>
      <c r="ACF66" s="24"/>
      <c r="ACG66" s="24"/>
      <c r="ACH66" s="24"/>
      <c r="ACI66" s="24"/>
      <c r="ACJ66" s="24"/>
      <c r="ACK66" s="24"/>
      <c r="ACL66" s="24"/>
      <c r="ACM66" s="24"/>
      <c r="ACN66" s="24"/>
      <c r="ACO66" s="24"/>
      <c r="ACP66" s="24"/>
      <c r="ACQ66" s="24"/>
      <c r="ACR66" s="24"/>
      <c r="ACS66" s="24"/>
      <c r="ACT66" s="24"/>
      <c r="ACU66" s="24"/>
      <c r="ACV66" s="24"/>
      <c r="ACW66" s="24"/>
      <c r="ACX66" s="24"/>
      <c r="ACY66" s="24"/>
      <c r="ACZ66" s="24"/>
      <c r="ADA66" s="24"/>
      <c r="ADB66" s="24"/>
      <c r="ADC66" s="24"/>
      <c r="ADD66" s="24"/>
      <c r="ADE66" s="24"/>
      <c r="ADF66" s="24"/>
      <c r="ADG66" s="24"/>
      <c r="ADH66" s="24"/>
      <c r="ADI66" s="24"/>
      <c r="ADJ66" s="24"/>
      <c r="ADK66" s="24"/>
      <c r="ADL66" s="24"/>
      <c r="ADM66" s="24"/>
      <c r="ADN66" s="24"/>
      <c r="ADO66" s="24"/>
      <c r="ADP66" s="24"/>
      <c r="ADQ66" s="24"/>
      <c r="ADR66" s="24"/>
      <c r="ADS66" s="24"/>
      <c r="ADT66" s="24"/>
      <c r="ADU66" s="24"/>
      <c r="ADV66" s="24"/>
      <c r="ADW66" s="24"/>
      <c r="ADX66" s="24"/>
      <c r="ADY66" s="24"/>
      <c r="ADZ66" s="24"/>
      <c r="AEA66" s="24"/>
      <c r="AEB66" s="24"/>
      <c r="AEC66" s="24"/>
      <c r="AED66" s="24"/>
      <c r="AEE66" s="24"/>
      <c r="AEF66" s="24"/>
      <c r="AEG66" s="24"/>
      <c r="AEH66" s="24"/>
      <c r="AEI66" s="24"/>
      <c r="AEJ66" s="24"/>
      <c r="AEK66" s="24"/>
      <c r="AEL66" s="24"/>
      <c r="AEM66" s="24"/>
      <c r="AEN66" s="24"/>
      <c r="AEO66" s="24"/>
      <c r="AEP66" s="24"/>
      <c r="AEQ66" s="24"/>
      <c r="AER66" s="24"/>
      <c r="AES66" s="24"/>
      <c r="AET66" s="24"/>
      <c r="AEU66" s="24"/>
      <c r="AEV66" s="24"/>
      <c r="AEW66" s="24"/>
      <c r="AEX66" s="24"/>
      <c r="AEY66" s="24"/>
      <c r="AEZ66" s="24"/>
      <c r="AFA66" s="24"/>
      <c r="AFB66" s="24"/>
      <c r="AFC66" s="24"/>
      <c r="AFD66" s="24"/>
      <c r="AFE66" s="24"/>
      <c r="AFF66" s="24"/>
      <c r="AFG66" s="24"/>
      <c r="AFH66" s="24"/>
      <c r="AFI66" s="24"/>
      <c r="AFJ66" s="24"/>
      <c r="AFK66" s="24"/>
      <c r="AFL66" s="24"/>
      <c r="AFM66" s="24"/>
      <c r="AFN66" s="24"/>
      <c r="AFO66" s="24"/>
      <c r="AFP66" s="24"/>
      <c r="AFQ66" s="24"/>
      <c r="AFR66" s="24"/>
      <c r="AFS66" s="24"/>
      <c r="AFT66" s="24"/>
      <c r="AFU66" s="24"/>
      <c r="AFV66" s="24"/>
      <c r="AFW66" s="24"/>
      <c r="AFX66" s="24"/>
      <c r="AFY66" s="24"/>
      <c r="AFZ66" s="24"/>
      <c r="AGA66" s="24"/>
      <c r="AGB66" s="24"/>
      <c r="AGC66" s="24"/>
      <c r="AGD66" s="24"/>
      <c r="AGE66" s="24"/>
      <c r="AGF66" s="24"/>
      <c r="AGG66" s="24"/>
      <c r="AGH66" s="24"/>
      <c r="AGI66" s="24"/>
      <c r="AGJ66" s="24"/>
      <c r="AGK66" s="24"/>
      <c r="AGL66" s="24"/>
      <c r="AGM66" s="24"/>
      <c r="AGN66" s="24"/>
      <c r="AGO66" s="24"/>
      <c r="AGP66" s="24"/>
      <c r="AGQ66" s="24"/>
      <c r="AGR66" s="24"/>
      <c r="AGS66" s="24"/>
      <c r="AGT66" s="24"/>
      <c r="AGU66" s="24"/>
      <c r="AGV66" s="24"/>
      <c r="AGW66" s="24"/>
      <c r="AGX66" s="24"/>
      <c r="AGY66" s="24"/>
      <c r="AGZ66" s="24"/>
      <c r="AHA66" s="24"/>
      <c r="AHB66" s="24"/>
      <c r="AHC66" s="24"/>
      <c r="AHD66" s="24"/>
      <c r="AHE66" s="24"/>
      <c r="AHF66" s="24"/>
      <c r="AHG66" s="24"/>
      <c r="AHH66" s="24"/>
      <c r="AHI66" s="24"/>
      <c r="AHJ66" s="24"/>
      <c r="AHK66" s="24"/>
      <c r="AHL66" s="24"/>
      <c r="AHM66" s="24"/>
      <c r="AHN66" s="24"/>
      <c r="AHO66" s="24"/>
      <c r="AHP66" s="24"/>
      <c r="AHQ66" s="24"/>
      <c r="AHR66" s="24"/>
      <c r="AHS66" s="24"/>
      <c r="AHT66" s="24"/>
      <c r="AHU66" s="24"/>
      <c r="AHV66" s="24"/>
      <c r="AHW66" s="24"/>
      <c r="AHX66" s="24"/>
      <c r="AHY66" s="24"/>
      <c r="AHZ66" s="24"/>
      <c r="AIA66" s="24"/>
      <c r="AIB66" s="24"/>
      <c r="AIC66" s="24"/>
      <c r="AID66" s="24"/>
      <c r="AIE66" s="24"/>
      <c r="AIF66" s="24"/>
      <c r="AIG66" s="24"/>
      <c r="AIH66" s="24"/>
      <c r="AII66" s="24"/>
      <c r="AIJ66" s="24"/>
      <c r="AIK66" s="24"/>
      <c r="AIL66" s="24"/>
      <c r="AIM66" s="24"/>
      <c r="AIN66" s="24"/>
      <c r="AIO66" s="24"/>
      <c r="AIP66" s="24"/>
      <c r="AIQ66" s="24"/>
      <c r="AIR66" s="24"/>
      <c r="AIS66" s="24"/>
      <c r="AIT66" s="24"/>
      <c r="AIU66" s="24"/>
      <c r="AIV66" s="24"/>
      <c r="AIW66" s="24"/>
      <c r="AIX66" s="24"/>
      <c r="AIY66" s="24"/>
      <c r="AIZ66" s="24"/>
      <c r="AJA66" s="24"/>
      <c r="AJB66" s="24"/>
      <c r="AJC66" s="24"/>
      <c r="AJD66" s="24"/>
      <c r="AJE66" s="24"/>
      <c r="AJF66" s="24"/>
      <c r="AJG66" s="24"/>
      <c r="AJH66" s="24"/>
      <c r="AJI66" s="24"/>
      <c r="AJJ66" s="24"/>
      <c r="AJK66" s="24"/>
      <c r="AJL66" s="24"/>
      <c r="AJM66" s="24"/>
      <c r="AJN66" s="24"/>
      <c r="AJO66" s="24"/>
      <c r="AJP66" s="24"/>
      <c r="AJQ66" s="24"/>
      <c r="AJR66" s="24"/>
      <c r="AJS66" s="24"/>
      <c r="AJT66" s="24"/>
      <c r="AJU66" s="24"/>
      <c r="AJV66" s="24"/>
      <c r="AJW66" s="24"/>
      <c r="AJX66" s="24"/>
      <c r="AJY66" s="24"/>
      <c r="AJZ66" s="24"/>
      <c r="AKA66" s="24"/>
      <c r="AKB66" s="24"/>
      <c r="AKC66" s="24"/>
      <c r="AKD66" s="24"/>
      <c r="AKE66" s="24"/>
      <c r="AKF66" s="24"/>
      <c r="AKG66" s="24"/>
      <c r="AKH66" s="24"/>
      <c r="AKI66" s="24"/>
      <c r="AKJ66" s="24"/>
      <c r="AKK66" s="24"/>
      <c r="AKL66" s="24"/>
      <c r="AKM66" s="24"/>
      <c r="AKN66" s="24"/>
      <c r="AKO66" s="24"/>
      <c r="AKP66" s="24"/>
      <c r="AKQ66" s="24"/>
      <c r="AKR66" s="24"/>
      <c r="AKS66" s="24"/>
      <c r="AKT66" s="24"/>
      <c r="AKU66" s="24"/>
      <c r="AKV66" s="24"/>
      <c r="AKW66" s="24"/>
      <c r="AKX66" s="24"/>
      <c r="AKY66" s="24"/>
      <c r="AKZ66" s="24"/>
      <c r="ALA66" s="24"/>
      <c r="ALB66" s="24"/>
      <c r="ALC66" s="24"/>
      <c r="ALD66" s="24"/>
      <c r="ALE66" s="24"/>
      <c r="ALF66" s="24"/>
      <c r="ALG66" s="24"/>
      <c r="ALH66" s="24"/>
      <c r="ALI66" s="24"/>
      <c r="ALJ66" s="24"/>
      <c r="ALK66" s="24"/>
      <c r="ALL66" s="24"/>
      <c r="ALM66" s="24"/>
      <c r="ALN66" s="24"/>
      <c r="ALO66" s="24"/>
      <c r="ALP66" s="24"/>
      <c r="ALQ66" s="24"/>
      <c r="ALR66" s="24"/>
      <c r="ALS66" s="24"/>
      <c r="ALT66" s="24"/>
      <c r="ALU66" s="24"/>
      <c r="ALV66" s="24"/>
      <c r="ALW66" s="24"/>
      <c r="ALX66" s="24"/>
      <c r="ALY66" s="24"/>
      <c r="ALZ66" s="24"/>
      <c r="AMA66" s="24"/>
      <c r="AMB66" s="24"/>
      <c r="AMC66" s="24"/>
      <c r="AMD66" s="24"/>
      <c r="AME66" s="24"/>
      <c r="AMF66" s="24"/>
      <c r="AMG66" s="24"/>
      <c r="AMH66" s="24"/>
      <c r="AMI66" s="24"/>
      <c r="AMJ66" s="24"/>
      <c r="AMK66" s="24"/>
      <c r="AML66" s="24"/>
      <c r="AMM66" s="24"/>
      <c r="AMN66" s="24"/>
      <c r="AMO66" s="24"/>
      <c r="AMP66" s="24"/>
      <c r="AMQ66" s="24"/>
      <c r="AMR66" s="24"/>
      <c r="AMS66" s="24"/>
      <c r="AMT66" s="24"/>
      <c r="AMU66" s="24"/>
      <c r="AMV66" s="24"/>
      <c r="AMW66" s="24"/>
      <c r="AMX66" s="24"/>
      <c r="AMY66" s="24"/>
      <c r="AMZ66" s="24"/>
      <c r="ANA66" s="24"/>
      <c r="ANB66" s="24"/>
      <c r="ANC66" s="24"/>
      <c r="AND66" s="24"/>
      <c r="ANE66" s="24"/>
      <c r="ANF66" s="24"/>
      <c r="ANG66" s="24"/>
      <c r="ANH66" s="24"/>
      <c r="ANI66" s="24"/>
      <c r="ANJ66" s="24"/>
      <c r="ANK66" s="24"/>
      <c r="ANL66" s="24"/>
      <c r="ANM66" s="24"/>
      <c r="ANN66" s="24"/>
      <c r="ANO66" s="24"/>
      <c r="ANP66" s="24"/>
      <c r="ANQ66" s="24"/>
      <c r="ANR66" s="24"/>
      <c r="ANS66" s="24"/>
      <c r="ANT66" s="24"/>
      <c r="ANU66" s="24"/>
      <c r="ANV66" s="24"/>
      <c r="ANW66" s="24"/>
      <c r="ANX66" s="24"/>
      <c r="ANY66" s="24"/>
      <c r="ANZ66" s="24"/>
      <c r="AOA66" s="24"/>
      <c r="AOB66" s="24"/>
      <c r="AOC66" s="24"/>
      <c r="AOD66" s="24"/>
      <c r="AOE66" s="24"/>
      <c r="AOF66" s="24"/>
      <c r="AOG66" s="24"/>
      <c r="AOH66" s="24"/>
      <c r="AOI66" s="24"/>
      <c r="AOJ66" s="24"/>
      <c r="AOK66" s="24"/>
      <c r="AOL66" s="24"/>
      <c r="AOM66" s="24"/>
      <c r="AON66" s="24"/>
      <c r="AOO66" s="24"/>
      <c r="AOP66" s="24"/>
      <c r="AOQ66" s="24"/>
      <c r="AOR66" s="24"/>
      <c r="AOS66" s="24"/>
      <c r="AOT66" s="24"/>
      <c r="AOU66" s="24"/>
      <c r="AOV66" s="24"/>
      <c r="AOW66" s="24"/>
      <c r="AOX66" s="24"/>
      <c r="AOY66" s="24"/>
      <c r="AOZ66" s="24"/>
      <c r="APA66" s="24"/>
      <c r="APB66" s="24"/>
      <c r="APC66" s="24"/>
      <c r="APD66" s="24"/>
      <c r="APE66" s="24"/>
      <c r="APF66" s="24"/>
      <c r="APG66" s="24"/>
      <c r="APH66" s="24"/>
      <c r="API66" s="24"/>
      <c r="APJ66" s="24"/>
      <c r="APK66" s="24"/>
      <c r="APL66" s="24"/>
      <c r="APM66" s="24"/>
      <c r="APN66" s="24"/>
      <c r="APO66" s="24"/>
      <c r="APP66" s="24"/>
      <c r="APQ66" s="24"/>
      <c r="APR66" s="24"/>
      <c r="APS66" s="24"/>
      <c r="APT66" s="24"/>
      <c r="APU66" s="24"/>
      <c r="APV66" s="24"/>
      <c r="APW66" s="24"/>
      <c r="APX66" s="24"/>
      <c r="APY66" s="24"/>
      <c r="APZ66" s="24"/>
      <c r="AQA66" s="24"/>
      <c r="AQB66" s="24"/>
      <c r="AQC66" s="24"/>
      <c r="AQD66" s="24"/>
      <c r="AQE66" s="24"/>
      <c r="AQF66" s="24"/>
      <c r="AQG66" s="24"/>
      <c r="AQH66" s="24"/>
      <c r="AQI66" s="24"/>
      <c r="AQJ66" s="24"/>
      <c r="AQK66" s="24"/>
      <c r="AQL66" s="24"/>
      <c r="AQM66" s="24"/>
      <c r="AQN66" s="24"/>
      <c r="AQO66" s="24"/>
      <c r="AQP66" s="24"/>
      <c r="AQQ66" s="24"/>
      <c r="AQR66" s="24"/>
      <c r="AQS66" s="24"/>
      <c r="AQT66" s="24"/>
      <c r="AQU66" s="24"/>
      <c r="AQV66" s="24"/>
      <c r="AQW66" s="24"/>
      <c r="AQX66" s="24"/>
      <c r="AQY66" s="24"/>
      <c r="AQZ66" s="24"/>
      <c r="ARA66" s="24"/>
      <c r="ARB66" s="24"/>
      <c r="ARC66" s="24"/>
      <c r="ARD66" s="24"/>
      <c r="ARE66" s="24"/>
      <c r="ARF66" s="24"/>
      <c r="ARG66" s="24"/>
      <c r="ARH66" s="24"/>
      <c r="ARI66" s="24"/>
      <c r="ARJ66" s="24"/>
      <c r="ARK66" s="24"/>
      <c r="ARL66" s="24"/>
      <c r="ARM66" s="24"/>
      <c r="ARN66" s="24"/>
      <c r="ARO66" s="24"/>
      <c r="ARP66" s="24"/>
      <c r="ARQ66" s="24"/>
      <c r="ARR66" s="24"/>
      <c r="ARS66" s="24"/>
      <c r="ART66" s="24"/>
      <c r="ARU66" s="24"/>
      <c r="ARV66" s="24"/>
      <c r="ARW66" s="24"/>
      <c r="ARX66" s="24"/>
      <c r="ARY66" s="24"/>
      <c r="ARZ66" s="24"/>
      <c r="ASA66" s="24"/>
      <c r="ASB66" s="24"/>
      <c r="ASC66" s="24"/>
      <c r="ASD66" s="24"/>
      <c r="ASE66" s="24"/>
      <c r="ASF66" s="24"/>
      <c r="ASG66" s="24"/>
      <c r="ASH66" s="24"/>
      <c r="ASI66" s="24"/>
      <c r="ASJ66" s="24"/>
      <c r="ASK66" s="24"/>
      <c r="ASL66" s="24"/>
      <c r="ASM66" s="24"/>
      <c r="ASN66" s="24"/>
      <c r="ASO66" s="24"/>
      <c r="ASP66" s="24"/>
      <c r="ASQ66" s="24"/>
      <c r="ASR66" s="24"/>
      <c r="ASS66" s="24"/>
      <c r="AST66" s="24"/>
      <c r="ASU66" s="24"/>
      <c r="ASV66" s="24"/>
      <c r="ASW66" s="24"/>
      <c r="ASX66" s="24"/>
      <c r="ASY66" s="24"/>
      <c r="ASZ66" s="24"/>
      <c r="ATA66" s="24"/>
      <c r="ATB66" s="24"/>
      <c r="ATC66" s="24"/>
      <c r="ATD66" s="24"/>
      <c r="ATE66" s="24"/>
      <c r="ATF66" s="24"/>
      <c r="ATG66" s="24"/>
      <c r="ATH66" s="24"/>
      <c r="ATI66" s="24"/>
      <c r="ATJ66" s="24"/>
      <c r="ATK66" s="24"/>
      <c r="ATL66" s="24"/>
      <c r="ATM66" s="24"/>
      <c r="ATN66" s="24"/>
      <c r="ATO66" s="24"/>
      <c r="ATP66" s="24"/>
      <c r="ATQ66" s="24"/>
      <c r="ATR66" s="24"/>
      <c r="ATS66" s="24"/>
      <c r="ATT66" s="24"/>
      <c r="ATU66" s="24"/>
      <c r="ATV66" s="24"/>
      <c r="ATW66" s="24"/>
      <c r="ATX66" s="24"/>
      <c r="ATY66" s="24"/>
      <c r="ATZ66" s="24"/>
      <c r="AUA66" s="24"/>
      <c r="AUB66" s="24"/>
      <c r="AUC66" s="24"/>
      <c r="AUD66" s="24"/>
      <c r="AUE66" s="24"/>
      <c r="AUF66" s="24"/>
      <c r="AUG66" s="24"/>
      <c r="AUH66" s="24"/>
      <c r="AUI66" s="24"/>
      <c r="AUJ66" s="24"/>
      <c r="AUK66" s="24"/>
      <c r="AUL66" s="24"/>
      <c r="AUM66" s="24"/>
      <c r="AUN66" s="24"/>
      <c r="AUO66" s="24"/>
      <c r="AUP66" s="24"/>
      <c r="AUQ66" s="24"/>
      <c r="AUR66" s="24"/>
      <c r="AUS66" s="24"/>
      <c r="AUT66" s="24"/>
      <c r="AUU66" s="24"/>
      <c r="AUV66" s="24"/>
      <c r="AUW66" s="24"/>
      <c r="AUX66" s="24"/>
      <c r="AUY66" s="24"/>
      <c r="AUZ66" s="24"/>
      <c r="AVA66" s="24"/>
      <c r="AVB66" s="24"/>
      <c r="AVC66" s="24"/>
      <c r="AVD66" s="24"/>
      <c r="AVE66" s="24"/>
      <c r="AVF66" s="24"/>
      <c r="AVG66" s="24"/>
      <c r="AVH66" s="24"/>
      <c r="AVI66" s="24"/>
      <c r="AVJ66" s="24"/>
      <c r="AVK66" s="24"/>
      <c r="AVL66" s="24"/>
      <c r="AVM66" s="24"/>
      <c r="AVN66" s="24"/>
      <c r="AVO66" s="24"/>
      <c r="AVP66" s="24"/>
      <c r="AVQ66" s="24"/>
      <c r="AVR66" s="24"/>
      <c r="AVS66" s="24"/>
      <c r="AVT66" s="24"/>
      <c r="AVU66" s="24"/>
      <c r="AVV66" s="24"/>
      <c r="AVW66" s="24"/>
      <c r="AVX66" s="24"/>
      <c r="AVY66" s="24"/>
      <c r="AVZ66" s="24"/>
      <c r="AWA66" s="24"/>
      <c r="AWB66" s="24"/>
      <c r="AWC66" s="24"/>
      <c r="AWD66" s="24"/>
      <c r="AWE66" s="24"/>
      <c r="AWF66" s="24"/>
      <c r="AWG66" s="24"/>
      <c r="AWH66" s="24"/>
      <c r="AWI66" s="24"/>
      <c r="AWJ66" s="24"/>
      <c r="AWK66" s="24"/>
      <c r="AWL66" s="24"/>
      <c r="AWM66" s="24"/>
      <c r="AWN66" s="24"/>
      <c r="AWO66" s="24"/>
      <c r="AWP66" s="24"/>
      <c r="AWQ66" s="24"/>
      <c r="AWR66" s="24"/>
      <c r="AWS66" s="24"/>
      <c r="AWT66" s="24"/>
      <c r="AWU66" s="24"/>
      <c r="AWV66" s="24"/>
      <c r="AWW66" s="24"/>
      <c r="AWX66" s="24"/>
      <c r="AWY66" s="24"/>
      <c r="AWZ66" s="24"/>
      <c r="AXA66" s="24"/>
      <c r="AXB66" s="24"/>
      <c r="AXC66" s="24"/>
      <c r="AXD66" s="24"/>
      <c r="AXE66" s="24"/>
      <c r="AXF66" s="24"/>
      <c r="AXG66" s="24"/>
      <c r="AXH66" s="24"/>
      <c r="AXI66" s="24"/>
      <c r="AXJ66" s="24"/>
      <c r="AXK66" s="24"/>
      <c r="AXL66" s="24"/>
      <c r="AXM66" s="24"/>
      <c r="AXN66" s="24"/>
      <c r="AXO66" s="24"/>
      <c r="AXP66" s="24"/>
      <c r="AXQ66" s="24"/>
      <c r="AXR66" s="24"/>
      <c r="AXS66" s="24"/>
      <c r="AXT66" s="24"/>
      <c r="AXU66" s="24"/>
      <c r="AXV66" s="24"/>
      <c r="AXW66" s="24"/>
      <c r="AXX66" s="24"/>
      <c r="AXY66" s="24"/>
      <c r="AXZ66" s="24"/>
      <c r="AYA66" s="24"/>
      <c r="AYB66" s="24"/>
      <c r="AYC66" s="24"/>
      <c r="AYD66" s="24"/>
      <c r="AYE66" s="24"/>
      <c r="AYF66" s="24"/>
      <c r="AYG66" s="24"/>
      <c r="AYH66" s="24"/>
      <c r="AYI66" s="24"/>
      <c r="AYJ66" s="24"/>
      <c r="AYK66" s="24"/>
      <c r="AYL66" s="24"/>
      <c r="AYM66" s="24"/>
      <c r="AYN66" s="24"/>
      <c r="AYO66" s="24"/>
      <c r="AYP66" s="24"/>
      <c r="AYQ66" s="24"/>
      <c r="AYR66" s="24"/>
      <c r="AYS66" s="24"/>
      <c r="AYT66" s="24"/>
      <c r="AYU66" s="24"/>
      <c r="AYV66" s="24"/>
      <c r="AYW66" s="24"/>
      <c r="AYX66" s="24"/>
      <c r="AYY66" s="24"/>
      <c r="AYZ66" s="24"/>
      <c r="AZA66" s="24"/>
      <c r="AZB66" s="24"/>
      <c r="AZC66" s="24"/>
      <c r="AZD66" s="24"/>
      <c r="AZE66" s="24"/>
      <c r="AZF66" s="24"/>
      <c r="AZG66" s="24"/>
      <c r="AZH66" s="24"/>
      <c r="AZI66" s="24"/>
      <c r="AZJ66" s="24"/>
      <c r="AZK66" s="24"/>
      <c r="AZL66" s="24"/>
      <c r="AZM66" s="24"/>
      <c r="AZN66" s="24"/>
      <c r="AZO66" s="24"/>
      <c r="AZP66" s="24"/>
      <c r="AZQ66" s="24"/>
      <c r="AZR66" s="24"/>
      <c r="AZS66" s="24"/>
      <c r="AZT66" s="24"/>
      <c r="AZU66" s="24"/>
      <c r="AZV66" s="24"/>
      <c r="AZW66" s="24"/>
      <c r="AZX66" s="24"/>
      <c r="AZY66" s="24"/>
      <c r="AZZ66" s="24"/>
      <c r="BAA66" s="24"/>
      <c r="BAB66" s="24"/>
      <c r="BAC66" s="24"/>
      <c r="BAD66" s="24"/>
      <c r="BAE66" s="24"/>
      <c r="BAF66" s="24"/>
      <c r="BAG66" s="24"/>
      <c r="BAH66" s="24"/>
      <c r="BAI66" s="24"/>
      <c r="BAJ66" s="24"/>
      <c r="BAK66" s="24"/>
      <c r="BAL66" s="24"/>
      <c r="BAM66" s="24"/>
      <c r="BAN66" s="24"/>
      <c r="BAO66" s="24"/>
      <c r="BAP66" s="24"/>
      <c r="BAQ66" s="24"/>
      <c r="BAR66" s="24"/>
      <c r="BAS66" s="24"/>
      <c r="BAT66" s="24"/>
      <c r="BAU66" s="24"/>
      <c r="BAV66" s="24"/>
      <c r="BAW66" s="24"/>
      <c r="BAX66" s="24"/>
      <c r="BAY66" s="24"/>
      <c r="BAZ66" s="24"/>
      <c r="BBA66" s="24"/>
      <c r="BBB66" s="24"/>
      <c r="BBC66" s="24"/>
      <c r="BBD66" s="24"/>
      <c r="BBE66" s="24"/>
      <c r="BBF66" s="24"/>
      <c r="BBG66" s="24"/>
      <c r="BBH66" s="24"/>
      <c r="BBI66" s="24"/>
      <c r="BBJ66" s="24"/>
      <c r="BBK66" s="24"/>
      <c r="BBL66" s="24"/>
      <c r="BBM66" s="24"/>
      <c r="BBN66" s="24"/>
      <c r="BBO66" s="24"/>
      <c r="BBP66" s="24"/>
      <c r="BBQ66" s="24"/>
      <c r="BBR66" s="24"/>
      <c r="BBS66" s="24"/>
      <c r="BBT66" s="24"/>
      <c r="BBU66" s="24"/>
      <c r="BBV66" s="24"/>
      <c r="BBW66" s="24"/>
      <c r="BBX66" s="24"/>
      <c r="BBY66" s="24"/>
      <c r="BBZ66" s="24"/>
      <c r="BCA66" s="24"/>
      <c r="BCB66" s="24"/>
      <c r="BCC66" s="24"/>
      <c r="BCD66" s="24"/>
      <c r="BCE66" s="24"/>
      <c r="BCF66" s="24"/>
      <c r="BCG66" s="24"/>
      <c r="BCH66" s="24"/>
      <c r="BCI66" s="24"/>
      <c r="BCJ66" s="24"/>
      <c r="BCK66" s="24"/>
      <c r="BCL66" s="24"/>
      <c r="BCM66" s="24"/>
      <c r="BCN66" s="24"/>
      <c r="BCO66" s="24"/>
      <c r="BCP66" s="24"/>
      <c r="BCQ66" s="24"/>
      <c r="BCR66" s="24"/>
      <c r="BCS66" s="24"/>
      <c r="BCT66" s="24"/>
      <c r="BCU66" s="24"/>
      <c r="BCV66" s="24"/>
      <c r="BCW66" s="24"/>
      <c r="BCX66" s="24"/>
      <c r="BCY66" s="24"/>
      <c r="BCZ66" s="24"/>
      <c r="BDA66" s="24"/>
      <c r="BDB66" s="24"/>
      <c r="BDC66" s="24"/>
      <c r="BDD66" s="24"/>
      <c r="BDE66" s="24"/>
      <c r="BDF66" s="24"/>
      <c r="BDG66" s="24"/>
      <c r="BDH66" s="24"/>
      <c r="BDI66" s="24"/>
      <c r="BDJ66" s="24"/>
      <c r="BDK66" s="24"/>
      <c r="BDL66" s="24"/>
      <c r="BDM66" s="24"/>
      <c r="BDN66" s="24"/>
      <c r="BDO66" s="24"/>
      <c r="BDP66" s="24"/>
      <c r="BDQ66" s="24"/>
      <c r="BDR66" s="24"/>
      <c r="BDS66" s="24"/>
      <c r="BDT66" s="24"/>
      <c r="BDU66" s="24"/>
      <c r="BDV66" s="24"/>
      <c r="BDW66" s="24"/>
      <c r="BDX66" s="24"/>
      <c r="BDY66" s="24"/>
      <c r="BDZ66" s="24"/>
      <c r="BEA66" s="24"/>
      <c r="BEB66" s="24"/>
      <c r="BEC66" s="24"/>
      <c r="BED66" s="24"/>
      <c r="BEE66" s="24"/>
      <c r="BEF66" s="24"/>
      <c r="BEG66" s="24"/>
      <c r="BEH66" s="24"/>
      <c r="BEI66" s="24"/>
      <c r="BEJ66" s="24"/>
      <c r="BEK66" s="24"/>
      <c r="BEL66" s="24"/>
      <c r="BEM66" s="24"/>
      <c r="BEN66" s="24"/>
      <c r="BEO66" s="24"/>
      <c r="BEP66" s="24"/>
      <c r="BEQ66" s="24"/>
      <c r="BER66" s="24"/>
      <c r="BES66" s="24"/>
      <c r="BET66" s="24"/>
      <c r="BEU66" s="24"/>
      <c r="BEV66" s="24"/>
      <c r="BEW66" s="24"/>
      <c r="BEX66" s="24"/>
      <c r="BEY66" s="24"/>
      <c r="BEZ66" s="24"/>
      <c r="BFA66" s="24"/>
      <c r="BFB66" s="24"/>
      <c r="BFC66" s="24"/>
      <c r="BFD66" s="24"/>
      <c r="BFE66" s="24"/>
      <c r="BFF66" s="24"/>
      <c r="BFG66" s="24"/>
      <c r="BFH66" s="24"/>
      <c r="BFI66" s="24"/>
      <c r="BFJ66" s="24"/>
      <c r="BFK66" s="24"/>
      <c r="BFL66" s="24"/>
      <c r="BFM66" s="24"/>
      <c r="BFN66" s="24"/>
      <c r="BFO66" s="24"/>
      <c r="BFP66" s="24"/>
      <c r="BFQ66" s="24"/>
      <c r="BFR66" s="24"/>
      <c r="BFS66" s="24"/>
      <c r="BFT66" s="24"/>
      <c r="BFU66" s="24"/>
      <c r="BFV66" s="24"/>
      <c r="BFW66" s="24"/>
      <c r="BFX66" s="24"/>
      <c r="BFY66" s="24"/>
      <c r="BFZ66" s="24"/>
      <c r="BGA66" s="24"/>
      <c r="BGB66" s="24"/>
      <c r="BGC66" s="24"/>
      <c r="BGD66" s="24"/>
      <c r="BGE66" s="24"/>
      <c r="BGF66" s="24"/>
      <c r="BGG66" s="24"/>
      <c r="BGH66" s="24"/>
      <c r="BGI66" s="24"/>
      <c r="BGJ66" s="24"/>
      <c r="BGK66" s="24"/>
      <c r="BGL66" s="24"/>
      <c r="BGM66" s="24"/>
      <c r="BGN66" s="24"/>
      <c r="BGO66" s="24"/>
      <c r="BGP66" s="24"/>
      <c r="BGQ66" s="24"/>
      <c r="BGR66" s="24"/>
      <c r="BGS66" s="24"/>
      <c r="BGT66" s="24"/>
      <c r="BGU66" s="24"/>
      <c r="BGV66" s="24"/>
      <c r="BGW66" s="24"/>
      <c r="BGX66" s="24"/>
      <c r="BGY66" s="24"/>
      <c r="BGZ66" s="24"/>
      <c r="BHA66" s="24"/>
      <c r="BHB66" s="24"/>
      <c r="BHC66" s="24"/>
      <c r="BHD66" s="24"/>
      <c r="BHE66" s="24"/>
      <c r="BHF66" s="24"/>
      <c r="BHG66" s="24"/>
      <c r="BHH66" s="24"/>
      <c r="BHI66" s="24"/>
      <c r="BHJ66" s="24"/>
      <c r="BHK66" s="24"/>
      <c r="BHL66" s="24"/>
      <c r="BHM66" s="24"/>
      <c r="BHN66" s="24"/>
      <c r="BHO66" s="24"/>
      <c r="BHP66" s="24"/>
      <c r="BHQ66" s="24"/>
      <c r="BHR66" s="24"/>
      <c r="BHS66" s="24"/>
      <c r="BHT66" s="24"/>
      <c r="BHU66" s="24"/>
      <c r="BHV66" s="24"/>
      <c r="BHW66" s="24"/>
      <c r="BHX66" s="24"/>
      <c r="BHY66" s="24"/>
      <c r="BHZ66" s="24"/>
      <c r="BIA66" s="24"/>
      <c r="BIB66" s="24"/>
      <c r="BIC66" s="24"/>
      <c r="BID66" s="24"/>
      <c r="BIE66" s="24"/>
      <c r="BIF66" s="24"/>
      <c r="BIG66" s="24"/>
      <c r="BIH66" s="24"/>
      <c r="BII66" s="24"/>
      <c r="BIJ66" s="24"/>
      <c r="BIK66" s="24"/>
      <c r="BIL66" s="24"/>
      <c r="BIM66" s="24"/>
      <c r="BIN66" s="24"/>
      <c r="BIO66" s="24"/>
      <c r="BIP66" s="24"/>
      <c r="BIQ66" s="24"/>
      <c r="BIR66" s="24"/>
      <c r="BIS66" s="24"/>
      <c r="BIT66" s="24"/>
      <c r="BIU66" s="24"/>
      <c r="BIV66" s="24"/>
      <c r="BIW66" s="24"/>
      <c r="BIX66" s="24"/>
      <c r="BIY66" s="24"/>
      <c r="BIZ66" s="24"/>
      <c r="BJA66" s="24"/>
      <c r="BJB66" s="24"/>
      <c r="BJC66" s="24"/>
      <c r="BJD66" s="24"/>
      <c r="BJE66" s="24"/>
      <c r="BJF66" s="24"/>
      <c r="BJG66" s="24"/>
      <c r="BJH66" s="24"/>
      <c r="BJI66" s="24"/>
      <c r="BJJ66" s="24"/>
      <c r="BJK66" s="24"/>
      <c r="BJL66" s="24"/>
      <c r="BJM66" s="24"/>
      <c r="BJN66" s="24"/>
      <c r="BJO66" s="24"/>
      <c r="BJP66" s="24"/>
      <c r="BJQ66" s="24"/>
      <c r="BJR66" s="24"/>
      <c r="BJS66" s="24"/>
      <c r="BJT66" s="24"/>
      <c r="BJU66" s="24"/>
      <c r="BJV66" s="24"/>
      <c r="BJW66" s="24"/>
      <c r="BJX66" s="24"/>
      <c r="BJY66" s="24"/>
      <c r="BJZ66" s="24"/>
      <c r="BKA66" s="24"/>
      <c r="BKB66" s="24"/>
      <c r="BKC66" s="24"/>
      <c r="BKD66" s="24"/>
      <c r="BKE66" s="24"/>
      <c r="BKF66" s="24"/>
      <c r="BKG66" s="24"/>
      <c r="BKH66" s="24"/>
      <c r="BKI66" s="24"/>
      <c r="BKJ66" s="24"/>
      <c r="BKK66" s="24"/>
      <c r="BKL66" s="24"/>
      <c r="BKM66" s="24"/>
      <c r="BKN66" s="24"/>
      <c r="BKO66" s="24"/>
      <c r="BKP66" s="24"/>
      <c r="BKQ66" s="24"/>
      <c r="BKR66" s="24"/>
      <c r="BKS66" s="24"/>
      <c r="BKT66" s="24"/>
      <c r="BKU66" s="24"/>
      <c r="BKV66" s="24"/>
      <c r="BKW66" s="24"/>
      <c r="BKX66" s="24"/>
      <c r="BKY66" s="24"/>
      <c r="BKZ66" s="24"/>
      <c r="BLA66" s="24"/>
      <c r="BLB66" s="24"/>
      <c r="BLC66" s="24"/>
      <c r="BLD66" s="24"/>
      <c r="BLE66" s="24"/>
      <c r="BLF66" s="24"/>
      <c r="BLG66" s="24"/>
      <c r="BLH66" s="24"/>
      <c r="BLI66" s="24"/>
      <c r="BLJ66" s="24"/>
      <c r="BLK66" s="24"/>
      <c r="BLL66" s="24"/>
      <c r="BLM66" s="24"/>
      <c r="BLN66" s="24"/>
      <c r="BLO66" s="24"/>
      <c r="BLP66" s="24"/>
      <c r="BLQ66" s="24"/>
      <c r="BLR66" s="24"/>
      <c r="BLS66" s="24"/>
      <c r="BLT66" s="24"/>
      <c r="BLU66" s="24"/>
      <c r="BLV66" s="24"/>
      <c r="BLW66" s="24"/>
      <c r="BLX66" s="24"/>
      <c r="BLY66" s="24"/>
      <c r="BLZ66" s="24"/>
      <c r="BMA66" s="24"/>
      <c r="BMB66" s="24"/>
      <c r="BMC66" s="24"/>
      <c r="BMD66" s="24"/>
      <c r="BME66" s="24"/>
      <c r="BMF66" s="24"/>
      <c r="BMG66" s="24"/>
      <c r="BMH66" s="24"/>
      <c r="BMI66" s="24"/>
      <c r="BMJ66" s="24"/>
      <c r="BMK66" s="24"/>
      <c r="BML66" s="24"/>
      <c r="BMM66" s="24"/>
      <c r="BMN66" s="24"/>
      <c r="BMO66" s="24"/>
      <c r="BMP66" s="24"/>
      <c r="BMQ66" s="24"/>
      <c r="BMR66" s="24"/>
      <c r="BMS66" s="24"/>
      <c r="BMT66" s="24"/>
      <c r="BMU66" s="24"/>
      <c r="BMV66" s="24"/>
      <c r="BMW66" s="24"/>
      <c r="BMX66" s="24"/>
      <c r="BMY66" s="24"/>
      <c r="BMZ66" s="24"/>
      <c r="BNA66" s="24"/>
      <c r="BNB66" s="24"/>
      <c r="BNC66" s="24"/>
      <c r="BND66" s="24"/>
      <c r="BNE66" s="24"/>
      <c r="BNF66" s="24"/>
      <c r="BNG66" s="24"/>
      <c r="BNH66" s="24"/>
      <c r="BNI66" s="24"/>
      <c r="BNJ66" s="24"/>
      <c r="BNK66" s="24"/>
      <c r="BNL66" s="24"/>
      <c r="BNM66" s="24"/>
      <c r="BNN66" s="24"/>
      <c r="BNO66" s="24"/>
      <c r="BNP66" s="24"/>
      <c r="BNQ66" s="24"/>
      <c r="BNR66" s="24"/>
      <c r="BNS66" s="24"/>
      <c r="BNT66" s="24"/>
      <c r="BNU66" s="24"/>
      <c r="BNV66" s="24"/>
      <c r="BNW66" s="24"/>
      <c r="BNX66" s="24"/>
      <c r="BNY66" s="24"/>
      <c r="BNZ66" s="24"/>
      <c r="BOA66" s="24"/>
      <c r="BOB66" s="24"/>
      <c r="BOC66" s="24"/>
      <c r="BOD66" s="24"/>
      <c r="BOE66" s="24"/>
      <c r="BOF66" s="24"/>
      <c r="BOG66" s="24"/>
      <c r="BOH66" s="24"/>
      <c r="BOI66" s="24"/>
      <c r="BOJ66" s="24"/>
      <c r="BOK66" s="24"/>
      <c r="BOL66" s="24"/>
      <c r="BOM66" s="24"/>
      <c r="BON66" s="24"/>
      <c r="BOO66" s="24"/>
      <c r="BOP66" s="24"/>
      <c r="BOQ66" s="24"/>
      <c r="BOR66" s="24"/>
      <c r="BOS66" s="24"/>
      <c r="BOT66" s="24"/>
      <c r="BOU66" s="24"/>
      <c r="BOV66" s="24"/>
      <c r="BOW66" s="24"/>
      <c r="BOX66" s="24"/>
      <c r="BOY66" s="24"/>
      <c r="BOZ66" s="24"/>
      <c r="BPA66" s="24"/>
      <c r="BPB66" s="24"/>
      <c r="BPC66" s="24"/>
      <c r="BPD66" s="24"/>
      <c r="BPE66" s="24"/>
      <c r="BPF66" s="24"/>
      <c r="BPG66" s="24"/>
      <c r="BPH66" s="24"/>
      <c r="BPI66" s="24"/>
      <c r="BPJ66" s="24"/>
      <c r="BPK66" s="24"/>
      <c r="BPL66" s="24"/>
      <c r="BPM66" s="24"/>
      <c r="BPN66" s="24"/>
      <c r="BPO66" s="24"/>
      <c r="BPP66" s="24"/>
      <c r="BPQ66" s="24"/>
      <c r="BPR66" s="24"/>
      <c r="BPS66" s="24"/>
      <c r="BPT66" s="24"/>
      <c r="BPU66" s="24"/>
      <c r="BPV66" s="24"/>
      <c r="BPW66" s="24"/>
      <c r="BPX66" s="24"/>
      <c r="BPY66" s="24"/>
      <c r="BPZ66" s="24"/>
      <c r="BQA66" s="24"/>
      <c r="BQB66" s="24"/>
      <c r="BQC66" s="24"/>
      <c r="BQD66" s="24"/>
      <c r="BQE66" s="24"/>
      <c r="BQF66" s="24"/>
      <c r="BQG66" s="24"/>
      <c r="BQH66" s="24"/>
      <c r="BQI66" s="24"/>
      <c r="BQJ66" s="24"/>
      <c r="BQK66" s="24"/>
      <c r="BQL66" s="24"/>
      <c r="BQM66" s="24"/>
      <c r="BQN66" s="24"/>
      <c r="BQO66" s="24"/>
      <c r="BQP66" s="24"/>
      <c r="BQQ66" s="24"/>
      <c r="BQR66" s="24"/>
      <c r="BQS66" s="24"/>
      <c r="BQT66" s="24"/>
      <c r="BQU66" s="24"/>
      <c r="BQV66" s="24"/>
      <c r="BQW66" s="24"/>
      <c r="BQX66" s="24"/>
      <c r="BQY66" s="24"/>
      <c r="BQZ66" s="24"/>
      <c r="BRA66" s="24"/>
      <c r="BRB66" s="24"/>
      <c r="BRC66" s="24"/>
      <c r="BRD66" s="24"/>
      <c r="BRE66" s="24"/>
      <c r="BRF66" s="24"/>
      <c r="BRG66" s="24"/>
      <c r="BRH66" s="24"/>
      <c r="BRI66" s="24"/>
      <c r="BRJ66" s="24"/>
      <c r="BRK66" s="24"/>
      <c r="BRL66" s="24"/>
      <c r="BRM66" s="24"/>
      <c r="BRN66" s="24"/>
      <c r="BRO66" s="24"/>
      <c r="BRP66" s="24"/>
      <c r="BRQ66" s="24"/>
      <c r="BRR66" s="24"/>
      <c r="BRS66" s="24"/>
      <c r="BRT66" s="24"/>
      <c r="BRU66" s="24"/>
      <c r="BRV66" s="24"/>
      <c r="BRW66" s="24"/>
      <c r="BRX66" s="24"/>
      <c r="BRY66" s="24"/>
      <c r="BRZ66" s="24"/>
      <c r="BSA66" s="24"/>
      <c r="BSB66" s="24"/>
      <c r="BSC66" s="24"/>
      <c r="BSD66" s="24"/>
      <c r="BSE66" s="24"/>
      <c r="BSF66" s="24"/>
      <c r="BSG66" s="24"/>
      <c r="BSH66" s="24"/>
      <c r="BSI66" s="24"/>
      <c r="BSJ66" s="24"/>
      <c r="BSK66" s="24"/>
      <c r="BSL66" s="24"/>
      <c r="BSM66" s="24"/>
      <c r="BSN66" s="24"/>
      <c r="BSO66" s="24"/>
      <c r="BSP66" s="24"/>
      <c r="BSQ66" s="24"/>
      <c r="BSR66" s="24"/>
      <c r="BSS66" s="24"/>
      <c r="BST66" s="24"/>
      <c r="BSU66" s="24"/>
      <c r="BSV66" s="24"/>
      <c r="BSW66" s="24"/>
      <c r="BSX66" s="24"/>
      <c r="BSY66" s="24"/>
      <c r="BSZ66" s="24"/>
      <c r="BTA66" s="24"/>
      <c r="BTB66" s="24"/>
      <c r="BTC66" s="24"/>
      <c r="BTD66" s="24"/>
      <c r="BTE66" s="24"/>
      <c r="BTF66" s="24"/>
      <c r="BTG66" s="24"/>
      <c r="BTH66" s="24"/>
      <c r="BTI66" s="24"/>
      <c r="BTJ66" s="24"/>
      <c r="BTK66" s="24"/>
      <c r="BTL66" s="24"/>
      <c r="BTM66" s="24"/>
      <c r="BTN66" s="24"/>
      <c r="BTO66" s="24"/>
      <c r="BTP66" s="24"/>
      <c r="BTQ66" s="24"/>
      <c r="BTR66" s="24"/>
      <c r="BTS66" s="24"/>
      <c r="BTT66" s="24"/>
      <c r="BTU66" s="24"/>
      <c r="BTV66" s="24"/>
      <c r="BTW66" s="24"/>
      <c r="BTX66" s="24"/>
      <c r="BTY66" s="24"/>
      <c r="BTZ66" s="24"/>
      <c r="BUA66" s="24"/>
      <c r="BUB66" s="24"/>
      <c r="BUC66" s="24"/>
      <c r="BUD66" s="24"/>
      <c r="BUE66" s="24"/>
      <c r="BUF66" s="24"/>
      <c r="BUG66" s="24"/>
      <c r="BUH66" s="24"/>
      <c r="BUI66" s="24"/>
      <c r="BUJ66" s="24"/>
      <c r="BUK66" s="24"/>
      <c r="BUL66" s="24"/>
      <c r="BUM66" s="24"/>
      <c r="BUN66" s="24"/>
      <c r="BUO66" s="24"/>
      <c r="BUP66" s="24"/>
      <c r="BUQ66" s="24"/>
      <c r="BUR66" s="24"/>
      <c r="BUS66" s="24"/>
      <c r="BUT66" s="24"/>
      <c r="BUU66" s="24"/>
      <c r="BUV66" s="24"/>
      <c r="BUW66" s="24"/>
      <c r="BUX66" s="24"/>
      <c r="BUY66" s="24"/>
      <c r="BUZ66" s="24"/>
      <c r="BVA66" s="24"/>
      <c r="BVB66" s="24"/>
      <c r="BVC66" s="24"/>
      <c r="BVD66" s="24"/>
      <c r="BVE66" s="24"/>
      <c r="BVF66" s="24"/>
      <c r="BVG66" s="24"/>
      <c r="BVH66" s="24"/>
      <c r="BVI66" s="24"/>
      <c r="BVJ66" s="24"/>
      <c r="BVK66" s="24"/>
      <c r="BVL66" s="24"/>
      <c r="BVM66" s="24"/>
      <c r="BVN66" s="24"/>
      <c r="BVO66" s="24"/>
      <c r="BVP66" s="24"/>
      <c r="BVQ66" s="24"/>
      <c r="BVR66" s="24"/>
      <c r="BVS66" s="24"/>
      <c r="BVT66" s="24"/>
      <c r="BVU66" s="24"/>
      <c r="BVV66" s="24"/>
      <c r="BVW66" s="24"/>
      <c r="BVX66" s="24"/>
      <c r="BVY66" s="24"/>
      <c r="BVZ66" s="24"/>
      <c r="BWA66" s="24"/>
      <c r="BWB66" s="24"/>
      <c r="BWC66" s="24"/>
      <c r="BWD66" s="24"/>
      <c r="BWE66" s="24"/>
      <c r="BWF66" s="24"/>
      <c r="BWG66" s="24"/>
      <c r="BWH66" s="24"/>
      <c r="BWI66" s="24"/>
      <c r="BWJ66" s="24"/>
      <c r="BWK66" s="24"/>
      <c r="BWL66" s="24"/>
      <c r="BWM66" s="24"/>
      <c r="BWN66" s="24"/>
      <c r="BWO66" s="24"/>
      <c r="BWP66" s="24"/>
      <c r="BWQ66" s="24"/>
      <c r="BWR66" s="24"/>
      <c r="BWS66" s="24"/>
      <c r="BWT66" s="24"/>
      <c r="BWU66" s="24"/>
      <c r="BWV66" s="24"/>
      <c r="BWW66" s="24"/>
      <c r="BWX66" s="24"/>
      <c r="BWY66" s="24"/>
      <c r="BWZ66" s="24"/>
      <c r="BXA66" s="24"/>
      <c r="BXB66" s="24"/>
      <c r="BXC66" s="24"/>
      <c r="BXD66" s="24"/>
      <c r="BXE66" s="24"/>
      <c r="BXF66" s="24"/>
      <c r="BXG66" s="24"/>
      <c r="BXH66" s="24"/>
      <c r="BXI66" s="24"/>
      <c r="BXJ66" s="24"/>
      <c r="BXK66" s="24"/>
      <c r="BXL66" s="24"/>
      <c r="BXM66" s="24"/>
      <c r="BXN66" s="24"/>
      <c r="BXO66" s="24"/>
      <c r="BXP66" s="24"/>
      <c r="BXQ66" s="24"/>
      <c r="BXR66" s="24"/>
      <c r="BXS66" s="24"/>
      <c r="BXT66" s="24"/>
      <c r="BXU66" s="24"/>
      <c r="BXV66" s="24"/>
      <c r="BXW66" s="24"/>
      <c r="BXX66" s="24"/>
      <c r="BXY66" s="24"/>
      <c r="BXZ66" s="24"/>
      <c r="BYA66" s="24"/>
      <c r="BYB66" s="24"/>
      <c r="BYC66" s="24"/>
      <c r="BYD66" s="24"/>
      <c r="BYE66" s="24"/>
      <c r="BYF66" s="24"/>
      <c r="BYG66" s="24"/>
      <c r="BYH66" s="24"/>
      <c r="BYI66" s="24"/>
      <c r="BYJ66" s="24"/>
      <c r="BYK66" s="24"/>
      <c r="BYL66" s="24"/>
      <c r="BYM66" s="24"/>
      <c r="BYN66" s="24"/>
      <c r="BYO66" s="24"/>
      <c r="BYP66" s="24"/>
      <c r="BYQ66" s="24"/>
      <c r="BYR66" s="24"/>
      <c r="BYS66" s="24"/>
      <c r="BYT66" s="24"/>
      <c r="BYU66" s="24"/>
      <c r="BYV66" s="24"/>
      <c r="BYW66" s="24"/>
      <c r="BYX66" s="24"/>
      <c r="BYY66" s="24"/>
      <c r="BYZ66" s="24"/>
      <c r="BZA66" s="24"/>
      <c r="BZB66" s="24"/>
      <c r="BZC66" s="24"/>
      <c r="BZD66" s="24"/>
      <c r="BZE66" s="24"/>
      <c r="BZF66" s="24"/>
      <c r="BZG66" s="24"/>
      <c r="BZH66" s="24"/>
      <c r="BZI66" s="24"/>
      <c r="BZJ66" s="24"/>
      <c r="BZK66" s="24"/>
      <c r="BZL66" s="24"/>
      <c r="BZM66" s="24"/>
      <c r="BZN66" s="24"/>
      <c r="BZO66" s="24"/>
      <c r="BZP66" s="24"/>
      <c r="BZQ66" s="24"/>
      <c r="BZR66" s="24"/>
      <c r="BZS66" s="24"/>
      <c r="BZT66" s="24"/>
      <c r="BZU66" s="24"/>
      <c r="BZV66" s="24"/>
      <c r="BZW66" s="24"/>
      <c r="BZX66" s="24"/>
      <c r="BZY66" s="24"/>
      <c r="BZZ66" s="24"/>
      <c r="CAA66" s="24"/>
      <c r="CAB66" s="24"/>
      <c r="CAC66" s="24"/>
      <c r="CAD66" s="24"/>
      <c r="CAE66" s="24"/>
      <c r="CAF66" s="24"/>
      <c r="CAG66" s="24"/>
      <c r="CAH66" s="24"/>
      <c r="CAI66" s="24"/>
      <c r="CAJ66" s="24"/>
      <c r="CAK66" s="24"/>
      <c r="CAL66" s="24"/>
      <c r="CAM66" s="24"/>
      <c r="CAN66" s="24"/>
      <c r="CAO66" s="24"/>
      <c r="CAP66" s="24"/>
      <c r="CAQ66" s="24"/>
      <c r="CAR66" s="24"/>
      <c r="CAS66" s="24"/>
      <c r="CAT66" s="24"/>
      <c r="CAU66" s="24"/>
      <c r="CAV66" s="24"/>
      <c r="CAW66" s="24"/>
      <c r="CAX66" s="24"/>
      <c r="CAY66" s="24"/>
      <c r="CAZ66" s="24"/>
      <c r="CBA66" s="24"/>
      <c r="CBB66" s="24"/>
      <c r="CBC66" s="24"/>
      <c r="CBD66" s="24"/>
      <c r="CBE66" s="24"/>
      <c r="CBF66" s="24"/>
      <c r="CBG66" s="24"/>
      <c r="CBH66" s="24"/>
      <c r="CBI66" s="24"/>
      <c r="CBJ66" s="24"/>
      <c r="CBK66" s="24"/>
      <c r="CBL66" s="24"/>
      <c r="CBM66" s="24"/>
      <c r="CBN66" s="24"/>
      <c r="CBO66" s="24"/>
      <c r="CBP66" s="24"/>
      <c r="CBQ66" s="24"/>
      <c r="CBR66" s="24"/>
      <c r="CBS66" s="24"/>
      <c r="CBT66" s="24"/>
      <c r="CBU66" s="24"/>
      <c r="CBV66" s="24"/>
      <c r="CBW66" s="24"/>
      <c r="CBX66" s="24"/>
      <c r="CBY66" s="24"/>
      <c r="CBZ66" s="24"/>
      <c r="CCA66" s="24"/>
      <c r="CCB66" s="24"/>
      <c r="CCC66" s="24"/>
      <c r="CCD66" s="24"/>
      <c r="CCE66" s="24"/>
      <c r="CCF66" s="24"/>
      <c r="CCG66" s="24"/>
      <c r="CCH66" s="24"/>
      <c r="CCI66" s="24"/>
      <c r="CCJ66" s="24"/>
      <c r="CCK66" s="24"/>
      <c r="CCL66" s="24"/>
      <c r="CCM66" s="24"/>
      <c r="CCN66" s="24"/>
      <c r="CCO66" s="24"/>
      <c r="CCP66" s="24"/>
      <c r="CCQ66" s="24"/>
      <c r="CCR66" s="24"/>
      <c r="CCS66" s="24"/>
      <c r="CCT66" s="24"/>
      <c r="CCU66" s="24"/>
      <c r="CCV66" s="24"/>
      <c r="CCW66" s="24"/>
      <c r="CCX66" s="24"/>
      <c r="CCY66" s="24"/>
      <c r="CCZ66" s="24"/>
      <c r="CDA66" s="24"/>
      <c r="CDB66" s="24"/>
      <c r="CDC66" s="24"/>
      <c r="CDD66" s="24"/>
      <c r="CDE66" s="24"/>
      <c r="CDF66" s="24"/>
      <c r="CDG66" s="24"/>
      <c r="CDH66" s="24"/>
      <c r="CDI66" s="24"/>
      <c r="CDJ66" s="24"/>
      <c r="CDK66" s="24"/>
      <c r="CDL66" s="24"/>
      <c r="CDM66" s="24"/>
      <c r="CDN66" s="24"/>
      <c r="CDO66" s="24"/>
      <c r="CDP66" s="24"/>
      <c r="CDQ66" s="24"/>
      <c r="CDR66" s="24"/>
      <c r="CDS66" s="24"/>
      <c r="CDT66" s="24"/>
      <c r="CDU66" s="24"/>
      <c r="CDV66" s="24"/>
      <c r="CDW66" s="24"/>
      <c r="CDX66" s="24"/>
      <c r="CDY66" s="24"/>
      <c r="CDZ66" s="24"/>
      <c r="CEA66" s="24"/>
      <c r="CEB66" s="24"/>
      <c r="CEC66" s="24"/>
      <c r="CED66" s="24"/>
      <c r="CEE66" s="24"/>
      <c r="CEF66" s="24"/>
      <c r="CEG66" s="24"/>
      <c r="CEH66" s="24"/>
      <c r="CEI66" s="24"/>
      <c r="CEJ66" s="24"/>
      <c r="CEK66" s="24"/>
      <c r="CEL66" s="24"/>
      <c r="CEM66" s="24"/>
      <c r="CEN66" s="24"/>
      <c r="CEO66" s="24"/>
      <c r="CEP66" s="24"/>
      <c r="CEQ66" s="24"/>
      <c r="CER66" s="24"/>
      <c r="CES66" s="24"/>
      <c r="CET66" s="24"/>
      <c r="CEU66" s="24"/>
      <c r="CEV66" s="24"/>
      <c r="CEW66" s="24"/>
      <c r="CEX66" s="24"/>
      <c r="CEY66" s="24"/>
      <c r="CEZ66" s="24"/>
      <c r="CFA66" s="24"/>
      <c r="CFB66" s="24"/>
      <c r="CFC66" s="24"/>
      <c r="CFD66" s="24"/>
      <c r="CFE66" s="24"/>
      <c r="CFF66" s="24"/>
      <c r="CFG66" s="24"/>
      <c r="CFH66" s="24"/>
      <c r="CFI66" s="24"/>
      <c r="CFJ66" s="24"/>
      <c r="CFK66" s="24"/>
      <c r="CFL66" s="24"/>
      <c r="CFM66" s="24"/>
      <c r="CFN66" s="24"/>
      <c r="CFO66" s="24"/>
      <c r="CFP66" s="24"/>
      <c r="CFQ66" s="24"/>
      <c r="CFR66" s="24"/>
      <c r="CFS66" s="24"/>
      <c r="CFT66" s="24"/>
      <c r="CFU66" s="24"/>
      <c r="CFV66" s="24"/>
      <c r="CFW66" s="24"/>
      <c r="CFX66" s="24"/>
      <c r="CFY66" s="24"/>
      <c r="CFZ66" s="24"/>
      <c r="CGA66" s="24"/>
      <c r="CGB66" s="24"/>
      <c r="CGC66" s="24"/>
      <c r="CGD66" s="24"/>
      <c r="CGE66" s="24"/>
      <c r="CGF66" s="24"/>
      <c r="CGG66" s="24"/>
      <c r="CGH66" s="24"/>
      <c r="CGI66" s="24"/>
      <c r="CGJ66" s="24"/>
      <c r="CGK66" s="24"/>
      <c r="CGL66" s="24"/>
      <c r="CGM66" s="24"/>
      <c r="CGN66" s="24"/>
      <c r="CGO66" s="24"/>
      <c r="CGP66" s="24"/>
      <c r="CGQ66" s="24"/>
      <c r="CGR66" s="24"/>
      <c r="CGS66" s="24"/>
      <c r="CGT66" s="24"/>
      <c r="CGU66" s="24"/>
      <c r="CGV66" s="24"/>
      <c r="CGW66" s="24"/>
      <c r="CGX66" s="24"/>
      <c r="CGY66" s="24"/>
      <c r="CGZ66" s="24"/>
      <c r="CHA66" s="24"/>
      <c r="CHB66" s="24"/>
      <c r="CHC66" s="24"/>
      <c r="CHD66" s="24"/>
      <c r="CHE66" s="24"/>
      <c r="CHF66" s="24"/>
      <c r="CHG66" s="24"/>
      <c r="CHH66" s="24"/>
      <c r="CHI66" s="24"/>
      <c r="CHJ66" s="24"/>
      <c r="CHK66" s="24"/>
      <c r="CHL66" s="24"/>
      <c r="CHM66" s="24"/>
      <c r="CHN66" s="24"/>
      <c r="CHO66" s="24"/>
      <c r="CHP66" s="24"/>
      <c r="CHQ66" s="24"/>
      <c r="CHR66" s="24"/>
      <c r="CHS66" s="24"/>
      <c r="CHT66" s="24"/>
      <c r="CHU66" s="24"/>
      <c r="CHV66" s="24"/>
      <c r="CHW66" s="24"/>
      <c r="CHX66" s="24"/>
      <c r="CHY66" s="24"/>
      <c r="CHZ66" s="24"/>
      <c r="CIA66" s="24"/>
      <c r="CIB66" s="24"/>
      <c r="CIC66" s="24"/>
      <c r="CID66" s="24"/>
      <c r="CIE66" s="24"/>
      <c r="CIF66" s="24"/>
      <c r="CIG66" s="24"/>
      <c r="CIH66" s="24"/>
      <c r="CII66" s="24"/>
      <c r="CIJ66" s="24"/>
      <c r="CIK66" s="24"/>
      <c r="CIL66" s="24"/>
      <c r="CIM66" s="24"/>
      <c r="CIN66" s="24"/>
      <c r="CIO66" s="24"/>
      <c r="CIP66" s="24"/>
      <c r="CIQ66" s="24"/>
      <c r="CIR66" s="24"/>
      <c r="CIS66" s="24"/>
      <c r="CIT66" s="24"/>
      <c r="CIU66" s="24"/>
      <c r="CIV66" s="24"/>
      <c r="CIW66" s="24"/>
      <c r="CIX66" s="24"/>
      <c r="CIY66" s="24"/>
      <c r="CIZ66" s="24"/>
      <c r="CJA66" s="24"/>
      <c r="CJB66" s="24"/>
      <c r="CJC66" s="24"/>
      <c r="CJD66" s="24"/>
      <c r="CJE66" s="24"/>
      <c r="CJF66" s="24"/>
      <c r="CJG66" s="24"/>
      <c r="CJH66" s="24"/>
      <c r="CJI66" s="24"/>
      <c r="CJJ66" s="24"/>
      <c r="CJK66" s="24"/>
      <c r="CJL66" s="24"/>
      <c r="CJM66" s="24"/>
      <c r="CJN66" s="24"/>
      <c r="CJO66" s="24"/>
      <c r="CJP66" s="24"/>
      <c r="CJQ66" s="24"/>
      <c r="CJR66" s="24"/>
      <c r="CJS66" s="24"/>
      <c r="CJT66" s="24"/>
      <c r="CJU66" s="24"/>
      <c r="CJV66" s="24"/>
      <c r="CJW66" s="24"/>
      <c r="CJX66" s="24"/>
      <c r="CJY66" s="24"/>
      <c r="CJZ66" s="24"/>
      <c r="CKA66" s="24"/>
      <c r="CKB66" s="24"/>
      <c r="CKC66" s="24"/>
      <c r="CKD66" s="24"/>
      <c r="CKE66" s="24"/>
      <c r="CKF66" s="24"/>
      <c r="CKG66" s="24"/>
      <c r="CKH66" s="24"/>
      <c r="CKI66" s="24"/>
      <c r="CKJ66" s="24"/>
      <c r="CKK66" s="24"/>
      <c r="CKL66" s="24"/>
      <c r="CKM66" s="24"/>
      <c r="CKN66" s="24"/>
      <c r="CKO66" s="24"/>
      <c r="CKP66" s="24"/>
      <c r="CKQ66" s="24"/>
      <c r="CKR66" s="24"/>
      <c r="CKS66" s="24"/>
      <c r="CKT66" s="24"/>
      <c r="CKU66" s="24"/>
      <c r="CKV66" s="24"/>
      <c r="CKW66" s="24"/>
      <c r="CKX66" s="24"/>
      <c r="CKY66" s="24"/>
      <c r="CKZ66" s="24"/>
      <c r="CLA66" s="24"/>
      <c r="CLB66" s="24"/>
      <c r="CLC66" s="24"/>
      <c r="CLD66" s="24"/>
      <c r="CLE66" s="24"/>
      <c r="CLF66" s="24"/>
      <c r="CLG66" s="24"/>
      <c r="CLH66" s="24"/>
      <c r="CLI66" s="24"/>
      <c r="CLJ66" s="24"/>
      <c r="CLK66" s="24"/>
      <c r="CLL66" s="24"/>
      <c r="CLM66" s="24"/>
      <c r="CLN66" s="24"/>
      <c r="CLO66" s="24"/>
      <c r="CLP66" s="24"/>
      <c r="CLQ66" s="24"/>
      <c r="CLR66" s="24"/>
      <c r="CLS66" s="24"/>
      <c r="CLT66" s="24"/>
      <c r="CLU66" s="24"/>
      <c r="CLV66" s="24"/>
      <c r="CLW66" s="24"/>
      <c r="CLX66" s="24"/>
      <c r="CLY66" s="24"/>
      <c r="CLZ66" s="24"/>
      <c r="CMA66" s="24"/>
      <c r="CMB66" s="24"/>
      <c r="CMC66" s="24"/>
      <c r="CMD66" s="24"/>
      <c r="CME66" s="24"/>
      <c r="CMF66" s="24"/>
      <c r="CMG66" s="24"/>
      <c r="CMH66" s="24"/>
      <c r="CMI66" s="24"/>
      <c r="CMJ66" s="24"/>
      <c r="CMK66" s="24"/>
      <c r="CML66" s="24"/>
      <c r="CMM66" s="24"/>
      <c r="CMN66" s="24"/>
      <c r="CMO66" s="24"/>
      <c r="CMP66" s="24"/>
      <c r="CMQ66" s="24"/>
      <c r="CMR66" s="24"/>
      <c r="CMS66" s="24"/>
      <c r="CMT66" s="24"/>
      <c r="CMU66" s="24"/>
      <c r="CMV66" s="24"/>
      <c r="CMW66" s="24"/>
      <c r="CMX66" s="24"/>
      <c r="CMY66" s="24"/>
      <c r="CMZ66" s="24"/>
      <c r="CNA66" s="24"/>
      <c r="CNB66" s="24"/>
      <c r="CNC66" s="24"/>
      <c r="CND66" s="24"/>
      <c r="CNE66" s="24"/>
      <c r="CNF66" s="24"/>
      <c r="CNG66" s="24"/>
      <c r="CNH66" s="24"/>
      <c r="CNI66" s="24"/>
      <c r="CNJ66" s="24"/>
      <c r="CNK66" s="24"/>
      <c r="CNL66" s="24"/>
      <c r="CNM66" s="24"/>
      <c r="CNN66" s="24"/>
      <c r="CNO66" s="24"/>
      <c r="CNP66" s="24"/>
      <c r="CNQ66" s="24"/>
      <c r="CNR66" s="24"/>
      <c r="CNS66" s="24"/>
      <c r="CNT66" s="24"/>
      <c r="CNU66" s="24"/>
      <c r="CNV66" s="24"/>
      <c r="CNW66" s="24"/>
      <c r="CNX66" s="24"/>
      <c r="CNY66" s="24"/>
      <c r="CNZ66" s="24"/>
      <c r="COA66" s="24"/>
      <c r="COB66" s="24"/>
      <c r="COC66" s="24"/>
      <c r="COD66" s="24"/>
      <c r="COE66" s="24"/>
      <c r="COF66" s="24"/>
      <c r="COG66" s="24"/>
      <c r="COH66" s="24"/>
      <c r="COI66" s="24"/>
      <c r="COJ66" s="24"/>
      <c r="COK66" s="24"/>
      <c r="COL66" s="24"/>
      <c r="COM66" s="24"/>
      <c r="CON66" s="24"/>
      <c r="COO66" s="24"/>
      <c r="COP66" s="24"/>
      <c r="COQ66" s="24"/>
      <c r="COR66" s="24"/>
      <c r="COS66" s="24"/>
      <c r="COT66" s="24"/>
      <c r="COU66" s="24"/>
      <c r="COV66" s="24"/>
      <c r="COW66" s="24"/>
      <c r="COX66" s="24"/>
      <c r="COY66" s="24"/>
      <c r="COZ66" s="24"/>
      <c r="CPA66" s="24"/>
      <c r="CPB66" s="24"/>
      <c r="CPC66" s="24"/>
      <c r="CPD66" s="24"/>
      <c r="CPE66" s="24"/>
      <c r="CPF66" s="24"/>
      <c r="CPG66" s="24"/>
      <c r="CPH66" s="24"/>
      <c r="CPI66" s="24"/>
      <c r="CPJ66" s="24"/>
      <c r="CPK66" s="24"/>
      <c r="CPL66" s="24"/>
      <c r="CPM66" s="24"/>
      <c r="CPN66" s="24"/>
      <c r="CPO66" s="24"/>
      <c r="CPP66" s="24"/>
      <c r="CPQ66" s="24"/>
      <c r="CPR66" s="24"/>
      <c r="CPS66" s="24"/>
      <c r="CPT66" s="24"/>
      <c r="CPU66" s="24"/>
      <c r="CPV66" s="24"/>
      <c r="CPW66" s="24"/>
      <c r="CPX66" s="24"/>
      <c r="CPY66" s="24"/>
      <c r="CPZ66" s="24"/>
      <c r="CQA66" s="24"/>
      <c r="CQB66" s="24"/>
      <c r="CQC66" s="24"/>
      <c r="CQD66" s="24"/>
      <c r="CQE66" s="24"/>
      <c r="CQF66" s="24"/>
      <c r="CQG66" s="24"/>
      <c r="CQH66" s="24"/>
      <c r="CQI66" s="24"/>
      <c r="CQJ66" s="24"/>
      <c r="CQK66" s="24"/>
      <c r="CQL66" s="24"/>
      <c r="CQM66" s="24"/>
      <c r="CQN66" s="24"/>
      <c r="CQO66" s="24"/>
      <c r="CQP66" s="24"/>
      <c r="CQQ66" s="24"/>
      <c r="CQR66" s="24"/>
      <c r="CQS66" s="24"/>
      <c r="CQT66" s="24"/>
      <c r="CQU66" s="24"/>
      <c r="CQV66" s="24"/>
      <c r="CQW66" s="24"/>
      <c r="CQX66" s="24"/>
      <c r="CQY66" s="24"/>
      <c r="CQZ66" s="24"/>
      <c r="CRA66" s="24"/>
      <c r="CRB66" s="24"/>
      <c r="CRC66" s="24"/>
      <c r="CRD66" s="24"/>
      <c r="CRE66" s="24"/>
      <c r="CRF66" s="24"/>
      <c r="CRG66" s="24"/>
      <c r="CRH66" s="24"/>
      <c r="CRI66" s="24"/>
      <c r="CRJ66" s="24"/>
      <c r="CRK66" s="24"/>
      <c r="CRL66" s="24"/>
      <c r="CRM66" s="24"/>
      <c r="CRN66" s="24"/>
      <c r="CRO66" s="24"/>
      <c r="CRP66" s="24"/>
      <c r="CRQ66" s="24"/>
      <c r="CRR66" s="24"/>
      <c r="CRS66" s="24"/>
      <c r="CRT66" s="24"/>
      <c r="CRU66" s="24"/>
      <c r="CRV66" s="24"/>
      <c r="CRW66" s="24"/>
      <c r="CRX66" s="24"/>
      <c r="CRY66" s="24"/>
      <c r="CRZ66" s="24"/>
      <c r="CSA66" s="24"/>
      <c r="CSB66" s="24"/>
      <c r="CSC66" s="24"/>
      <c r="CSD66" s="24"/>
      <c r="CSE66" s="24"/>
      <c r="CSF66" s="24"/>
      <c r="CSG66" s="24"/>
      <c r="CSH66" s="24"/>
      <c r="CSI66" s="24"/>
      <c r="CSJ66" s="24"/>
      <c r="CSK66" s="24"/>
      <c r="CSL66" s="24"/>
      <c r="CSM66" s="24"/>
      <c r="CSN66" s="24"/>
      <c r="CSO66" s="24"/>
      <c r="CSP66" s="24"/>
      <c r="CSQ66" s="24"/>
      <c r="CSR66" s="24"/>
      <c r="CSS66" s="24"/>
      <c r="CST66" s="24"/>
      <c r="CSU66" s="24"/>
      <c r="CSV66" s="24"/>
      <c r="CSW66" s="24"/>
      <c r="CSX66" s="24"/>
      <c r="CSY66" s="24"/>
      <c r="CSZ66" s="24"/>
      <c r="CTA66" s="24"/>
      <c r="CTB66" s="24"/>
      <c r="CTC66" s="24"/>
      <c r="CTD66" s="24"/>
      <c r="CTE66" s="24"/>
      <c r="CTF66" s="24"/>
      <c r="CTG66" s="24"/>
      <c r="CTH66" s="24"/>
      <c r="CTI66" s="24"/>
      <c r="CTJ66" s="24"/>
      <c r="CTK66" s="24"/>
      <c r="CTL66" s="24"/>
      <c r="CTM66" s="24"/>
      <c r="CTN66" s="24"/>
      <c r="CTO66" s="24"/>
      <c r="CTP66" s="24"/>
      <c r="CTQ66" s="24"/>
      <c r="CTR66" s="24"/>
      <c r="CTS66" s="24"/>
      <c r="CTT66" s="24"/>
      <c r="CTU66" s="24"/>
      <c r="CTV66" s="24"/>
      <c r="CTW66" s="24"/>
      <c r="CTX66" s="24"/>
      <c r="CTY66" s="24"/>
      <c r="CTZ66" s="24"/>
      <c r="CUA66" s="24"/>
      <c r="CUB66" s="24"/>
      <c r="CUC66" s="24"/>
      <c r="CUD66" s="24"/>
      <c r="CUE66" s="24"/>
      <c r="CUF66" s="24"/>
      <c r="CUG66" s="24"/>
      <c r="CUH66" s="24"/>
      <c r="CUI66" s="24"/>
      <c r="CUJ66" s="24"/>
      <c r="CUK66" s="24"/>
      <c r="CUL66" s="24"/>
      <c r="CUM66" s="24"/>
      <c r="CUN66" s="24"/>
      <c r="CUO66" s="24"/>
      <c r="CUP66" s="24"/>
      <c r="CUQ66" s="24"/>
      <c r="CUR66" s="24"/>
      <c r="CUS66" s="24"/>
      <c r="CUT66" s="24"/>
      <c r="CUU66" s="24"/>
      <c r="CUV66" s="24"/>
      <c r="CUW66" s="24"/>
      <c r="CUX66" s="24"/>
      <c r="CUY66" s="24"/>
      <c r="CUZ66" s="24"/>
      <c r="CVA66" s="24"/>
      <c r="CVB66" s="24"/>
      <c r="CVC66" s="24"/>
      <c r="CVD66" s="24"/>
      <c r="CVE66" s="24"/>
      <c r="CVF66" s="24"/>
      <c r="CVG66" s="24"/>
      <c r="CVH66" s="24"/>
      <c r="CVI66" s="24"/>
      <c r="CVJ66" s="24"/>
      <c r="CVK66" s="24"/>
      <c r="CVL66" s="24"/>
      <c r="CVM66" s="24"/>
      <c r="CVN66" s="24"/>
      <c r="CVO66" s="24"/>
      <c r="CVP66" s="24"/>
      <c r="CVQ66" s="24"/>
      <c r="CVR66" s="24"/>
      <c r="CVS66" s="24"/>
      <c r="CVT66" s="24"/>
      <c r="CVU66" s="24"/>
      <c r="CVV66" s="24"/>
      <c r="CVW66" s="24"/>
      <c r="CVX66" s="24"/>
      <c r="CVY66" s="24"/>
      <c r="CVZ66" s="24"/>
      <c r="CWA66" s="24"/>
      <c r="CWB66" s="24"/>
      <c r="CWC66" s="24"/>
      <c r="CWD66" s="24"/>
      <c r="CWE66" s="24"/>
      <c r="CWF66" s="24"/>
      <c r="CWG66" s="24"/>
      <c r="CWH66" s="24"/>
      <c r="CWI66" s="24"/>
      <c r="CWJ66" s="24"/>
      <c r="CWK66" s="24"/>
      <c r="CWL66" s="24"/>
      <c r="CWM66" s="24"/>
      <c r="CWN66" s="24"/>
      <c r="CWO66" s="24"/>
      <c r="CWP66" s="24"/>
      <c r="CWQ66" s="24"/>
      <c r="CWR66" s="24"/>
      <c r="CWS66" s="24"/>
      <c r="CWT66" s="24"/>
      <c r="CWU66" s="24"/>
      <c r="CWV66" s="24"/>
      <c r="CWW66" s="24"/>
      <c r="CWX66" s="24"/>
      <c r="CWY66" s="24"/>
      <c r="CWZ66" s="24"/>
      <c r="CXA66" s="24"/>
      <c r="CXB66" s="24"/>
      <c r="CXC66" s="24"/>
      <c r="CXD66" s="24"/>
      <c r="CXE66" s="24"/>
      <c r="CXF66" s="24"/>
      <c r="CXG66" s="24"/>
      <c r="CXH66" s="24"/>
      <c r="CXI66" s="24"/>
      <c r="CXJ66" s="24"/>
      <c r="CXK66" s="24"/>
      <c r="CXL66" s="24"/>
      <c r="CXM66" s="24"/>
      <c r="CXN66" s="24"/>
      <c r="CXO66" s="24"/>
      <c r="CXP66" s="24"/>
      <c r="CXQ66" s="24"/>
      <c r="CXR66" s="24"/>
      <c r="CXS66" s="24"/>
      <c r="CXT66" s="24"/>
      <c r="CXU66" s="24"/>
      <c r="CXV66" s="24"/>
      <c r="CXW66" s="24"/>
      <c r="CXX66" s="24"/>
      <c r="CXY66" s="24"/>
      <c r="CXZ66" s="24"/>
      <c r="CYA66" s="24"/>
      <c r="CYB66" s="24"/>
      <c r="CYC66" s="24"/>
      <c r="CYD66" s="24"/>
      <c r="CYE66" s="24"/>
      <c r="CYF66" s="24"/>
      <c r="CYG66" s="24"/>
      <c r="CYH66" s="24"/>
      <c r="CYI66" s="24"/>
      <c r="CYJ66" s="24"/>
      <c r="CYK66" s="24"/>
      <c r="CYL66" s="24"/>
      <c r="CYM66" s="24"/>
      <c r="CYN66" s="24"/>
      <c r="CYO66" s="24"/>
      <c r="CYP66" s="24"/>
      <c r="CYQ66" s="24"/>
      <c r="CYR66" s="24"/>
      <c r="CYS66" s="24"/>
      <c r="CYT66" s="24"/>
      <c r="CYU66" s="24"/>
      <c r="CYV66" s="24"/>
      <c r="CYW66" s="24"/>
      <c r="CYX66" s="24"/>
      <c r="CYY66" s="24"/>
      <c r="CYZ66" s="24"/>
      <c r="CZA66" s="24"/>
      <c r="CZB66" s="24"/>
      <c r="CZC66" s="24"/>
      <c r="CZD66" s="24"/>
      <c r="CZE66" s="24"/>
      <c r="CZF66" s="24"/>
      <c r="CZG66" s="24"/>
      <c r="CZH66" s="24"/>
      <c r="CZI66" s="24"/>
      <c r="CZJ66" s="24"/>
      <c r="CZK66" s="24"/>
      <c r="CZL66" s="24"/>
      <c r="CZM66" s="24"/>
      <c r="CZN66" s="24"/>
      <c r="CZO66" s="24"/>
      <c r="CZP66" s="24"/>
      <c r="CZQ66" s="24"/>
      <c r="CZR66" s="24"/>
      <c r="CZS66" s="24"/>
      <c r="CZT66" s="24"/>
      <c r="CZU66" s="24"/>
      <c r="CZV66" s="24"/>
      <c r="CZW66" s="24"/>
      <c r="CZX66" s="24"/>
      <c r="CZY66" s="24"/>
      <c r="CZZ66" s="24"/>
      <c r="DAA66" s="24"/>
      <c r="DAB66" s="24"/>
      <c r="DAC66" s="24"/>
      <c r="DAD66" s="24"/>
      <c r="DAE66" s="24"/>
      <c r="DAF66" s="24"/>
      <c r="DAG66" s="24"/>
      <c r="DAH66" s="24"/>
      <c r="DAI66" s="24"/>
      <c r="DAJ66" s="24"/>
      <c r="DAK66" s="24"/>
      <c r="DAL66" s="24"/>
      <c r="DAM66" s="24"/>
      <c r="DAN66" s="24"/>
      <c r="DAO66" s="24"/>
      <c r="DAP66" s="24"/>
      <c r="DAQ66" s="24"/>
      <c r="DAR66" s="24"/>
      <c r="DAS66" s="24"/>
      <c r="DAT66" s="24"/>
      <c r="DAU66" s="24"/>
      <c r="DAV66" s="24"/>
      <c r="DAW66" s="24"/>
      <c r="DAX66" s="24"/>
      <c r="DAY66" s="24"/>
      <c r="DAZ66" s="24"/>
      <c r="DBA66" s="24"/>
      <c r="DBB66" s="24"/>
      <c r="DBC66" s="24"/>
      <c r="DBD66" s="24"/>
      <c r="DBE66" s="24"/>
      <c r="DBF66" s="24"/>
      <c r="DBG66" s="24"/>
      <c r="DBH66" s="24"/>
      <c r="DBI66" s="24"/>
      <c r="DBJ66" s="24"/>
      <c r="DBK66" s="24"/>
      <c r="DBL66" s="24"/>
      <c r="DBM66" s="24"/>
      <c r="DBN66" s="24"/>
      <c r="DBO66" s="24"/>
      <c r="DBP66" s="24"/>
      <c r="DBQ66" s="24"/>
      <c r="DBR66" s="24"/>
      <c r="DBS66" s="24"/>
      <c r="DBT66" s="24"/>
      <c r="DBU66" s="24"/>
      <c r="DBV66" s="24"/>
      <c r="DBW66" s="24"/>
      <c r="DBX66" s="24"/>
      <c r="DBY66" s="24"/>
      <c r="DBZ66" s="24"/>
      <c r="DCA66" s="24"/>
      <c r="DCB66" s="24"/>
      <c r="DCC66" s="24"/>
      <c r="DCD66" s="24"/>
      <c r="DCE66" s="24"/>
      <c r="DCF66" s="24"/>
      <c r="DCG66" s="24"/>
      <c r="DCH66" s="24"/>
      <c r="DCI66" s="24"/>
      <c r="DCJ66" s="24"/>
      <c r="DCK66" s="24"/>
      <c r="DCL66" s="24"/>
      <c r="DCM66" s="24"/>
      <c r="DCN66" s="24"/>
      <c r="DCO66" s="24"/>
      <c r="DCP66" s="24"/>
      <c r="DCQ66" s="24"/>
      <c r="DCR66" s="24"/>
      <c r="DCS66" s="24"/>
      <c r="DCT66" s="24"/>
      <c r="DCU66" s="24"/>
      <c r="DCV66" s="24"/>
      <c r="DCW66" s="24"/>
      <c r="DCX66" s="24"/>
      <c r="DCY66" s="24"/>
      <c r="DCZ66" s="24"/>
      <c r="DDA66" s="24"/>
      <c r="DDB66" s="24"/>
      <c r="DDC66" s="24"/>
      <c r="DDD66" s="24"/>
      <c r="DDE66" s="24"/>
      <c r="DDF66" s="24"/>
      <c r="DDG66" s="24"/>
      <c r="DDH66" s="24"/>
      <c r="DDI66" s="24"/>
      <c r="DDJ66" s="24"/>
      <c r="DDK66" s="24"/>
      <c r="DDL66" s="24"/>
      <c r="DDM66" s="24"/>
      <c r="DDN66" s="24"/>
      <c r="DDO66" s="24"/>
      <c r="DDP66" s="24"/>
      <c r="DDQ66" s="24"/>
      <c r="DDR66" s="24"/>
      <c r="DDS66" s="24"/>
      <c r="DDT66" s="24"/>
      <c r="DDU66" s="24"/>
      <c r="DDV66" s="24"/>
      <c r="DDW66" s="24"/>
      <c r="DDX66" s="24"/>
      <c r="DDY66" s="24"/>
      <c r="DDZ66" s="24"/>
      <c r="DEA66" s="24"/>
      <c r="DEB66" s="24"/>
      <c r="DEC66" s="24"/>
      <c r="DED66" s="24"/>
      <c r="DEE66" s="24"/>
      <c r="DEF66" s="24"/>
      <c r="DEG66" s="24"/>
      <c r="DEH66" s="24"/>
      <c r="DEI66" s="24"/>
      <c r="DEJ66" s="24"/>
      <c r="DEK66" s="24"/>
      <c r="DEL66" s="24"/>
      <c r="DEM66" s="24"/>
      <c r="DEN66" s="24"/>
      <c r="DEO66" s="24"/>
      <c r="DEP66" s="24"/>
      <c r="DEQ66" s="24"/>
      <c r="DER66" s="24"/>
      <c r="DES66" s="24"/>
      <c r="DET66" s="24"/>
      <c r="DEU66" s="24"/>
      <c r="DEV66" s="24"/>
      <c r="DEW66" s="24"/>
      <c r="DEX66" s="24"/>
      <c r="DEY66" s="24"/>
      <c r="DEZ66" s="24"/>
      <c r="DFA66" s="24"/>
      <c r="DFB66" s="24"/>
      <c r="DFC66" s="24"/>
      <c r="DFD66" s="24"/>
      <c r="DFE66" s="24"/>
      <c r="DFF66" s="24"/>
      <c r="DFG66" s="24"/>
      <c r="DFH66" s="24"/>
      <c r="DFI66" s="24"/>
      <c r="DFJ66" s="24"/>
      <c r="DFK66" s="24"/>
      <c r="DFL66" s="24"/>
      <c r="DFM66" s="24"/>
      <c r="DFN66" s="24"/>
      <c r="DFO66" s="24"/>
      <c r="DFP66" s="24"/>
      <c r="DFQ66" s="24"/>
      <c r="DFR66" s="24"/>
      <c r="DFS66" s="24"/>
      <c r="DFT66" s="24"/>
      <c r="DFU66" s="24"/>
      <c r="DFV66" s="24"/>
      <c r="DFW66" s="24"/>
      <c r="DFX66" s="24"/>
      <c r="DFY66" s="24"/>
      <c r="DFZ66" s="24"/>
      <c r="DGA66" s="24"/>
      <c r="DGB66" s="24"/>
      <c r="DGC66" s="24"/>
      <c r="DGD66" s="24"/>
      <c r="DGE66" s="24"/>
      <c r="DGF66" s="24"/>
      <c r="DGG66" s="24"/>
      <c r="DGH66" s="24"/>
      <c r="DGI66" s="24"/>
      <c r="DGJ66" s="24"/>
      <c r="DGK66" s="24"/>
      <c r="DGL66" s="24"/>
      <c r="DGM66" s="24"/>
      <c r="DGN66" s="24"/>
      <c r="DGO66" s="24"/>
      <c r="DGP66" s="24"/>
      <c r="DGQ66" s="24"/>
      <c r="DGR66" s="24"/>
      <c r="DGS66" s="24"/>
      <c r="DGT66" s="24"/>
      <c r="DGU66" s="24"/>
      <c r="DGV66" s="24"/>
      <c r="DGW66" s="24"/>
      <c r="DGX66" s="24"/>
      <c r="DGY66" s="24"/>
      <c r="DGZ66" s="24"/>
      <c r="DHA66" s="24"/>
      <c r="DHB66" s="24"/>
      <c r="DHC66" s="24"/>
      <c r="DHD66" s="24"/>
      <c r="DHE66" s="24"/>
      <c r="DHF66" s="24"/>
      <c r="DHG66" s="24"/>
      <c r="DHH66" s="24"/>
      <c r="DHI66" s="24"/>
      <c r="DHJ66" s="24"/>
      <c r="DHK66" s="24"/>
      <c r="DHL66" s="24"/>
      <c r="DHM66" s="24"/>
      <c r="DHN66" s="24"/>
      <c r="DHO66" s="24"/>
      <c r="DHP66" s="24"/>
      <c r="DHQ66" s="24"/>
      <c r="DHR66" s="24"/>
      <c r="DHS66" s="24"/>
      <c r="DHT66" s="24"/>
      <c r="DHU66" s="24"/>
      <c r="DHV66" s="24"/>
      <c r="DHW66" s="24"/>
      <c r="DHX66" s="24"/>
      <c r="DHY66" s="24"/>
      <c r="DHZ66" s="24"/>
      <c r="DIA66" s="24"/>
      <c r="DIB66" s="24"/>
      <c r="DIC66" s="24"/>
      <c r="DID66" s="24"/>
      <c r="DIE66" s="24"/>
      <c r="DIF66" s="24"/>
      <c r="DIG66" s="24"/>
      <c r="DIH66" s="24"/>
      <c r="DII66" s="24"/>
      <c r="DIJ66" s="24"/>
      <c r="DIK66" s="24"/>
      <c r="DIL66" s="24"/>
      <c r="DIM66" s="24"/>
      <c r="DIN66" s="24"/>
      <c r="DIO66" s="24"/>
      <c r="DIP66" s="24"/>
      <c r="DIQ66" s="24"/>
      <c r="DIR66" s="24"/>
      <c r="DIS66" s="24"/>
      <c r="DIT66" s="24"/>
      <c r="DIU66" s="24"/>
      <c r="DIV66" s="24"/>
      <c r="DIW66" s="24"/>
      <c r="DIX66" s="24"/>
      <c r="DIY66" s="24"/>
      <c r="DIZ66" s="24"/>
      <c r="DJA66" s="24"/>
      <c r="DJB66" s="24"/>
      <c r="DJC66" s="24"/>
      <c r="DJD66" s="24"/>
      <c r="DJE66" s="24"/>
      <c r="DJF66" s="24"/>
      <c r="DJG66" s="24"/>
      <c r="DJH66" s="24"/>
      <c r="DJI66" s="24"/>
      <c r="DJJ66" s="24"/>
      <c r="DJK66" s="24"/>
      <c r="DJL66" s="24"/>
      <c r="DJM66" s="24"/>
      <c r="DJN66" s="24"/>
      <c r="DJO66" s="24"/>
      <c r="DJP66" s="24"/>
      <c r="DJQ66" s="24"/>
      <c r="DJR66" s="24"/>
      <c r="DJS66" s="24"/>
      <c r="DJT66" s="24"/>
      <c r="DJU66" s="24"/>
      <c r="DJV66" s="24"/>
      <c r="DJW66" s="24"/>
      <c r="DJX66" s="24"/>
      <c r="DJY66" s="24"/>
      <c r="DJZ66" s="24"/>
      <c r="DKA66" s="24"/>
      <c r="DKB66" s="24"/>
      <c r="DKC66" s="24"/>
      <c r="DKD66" s="24"/>
      <c r="DKE66" s="24"/>
      <c r="DKF66" s="24"/>
      <c r="DKG66" s="24"/>
      <c r="DKH66" s="24"/>
      <c r="DKI66" s="24"/>
      <c r="DKJ66" s="24"/>
      <c r="DKK66" s="24"/>
      <c r="DKL66" s="24"/>
      <c r="DKM66" s="24"/>
      <c r="DKN66" s="24"/>
      <c r="DKO66" s="24"/>
      <c r="DKP66" s="24"/>
      <c r="DKQ66" s="24"/>
      <c r="DKR66" s="24"/>
      <c r="DKS66" s="24"/>
      <c r="DKT66" s="24"/>
      <c r="DKU66" s="24"/>
      <c r="DKV66" s="24"/>
      <c r="DKW66" s="24"/>
      <c r="DKX66" s="24"/>
      <c r="DKY66" s="24"/>
      <c r="DKZ66" s="24"/>
      <c r="DLA66" s="24"/>
      <c r="DLB66" s="24"/>
      <c r="DLC66" s="24"/>
      <c r="DLD66" s="24"/>
      <c r="DLE66" s="24"/>
      <c r="DLF66" s="24"/>
      <c r="DLG66" s="24"/>
      <c r="DLH66" s="24"/>
      <c r="DLI66" s="24"/>
      <c r="DLJ66" s="24"/>
      <c r="DLK66" s="24"/>
      <c r="DLL66" s="24"/>
      <c r="DLM66" s="24"/>
      <c r="DLN66" s="24"/>
      <c r="DLO66" s="24"/>
      <c r="DLP66" s="24"/>
      <c r="DLQ66" s="24"/>
      <c r="DLR66" s="24"/>
      <c r="DLS66" s="24"/>
      <c r="DLT66" s="24"/>
      <c r="DLU66" s="24"/>
      <c r="DLV66" s="24"/>
      <c r="DLW66" s="24"/>
      <c r="DLX66" s="24"/>
      <c r="DLY66" s="24"/>
      <c r="DLZ66" s="24"/>
      <c r="DMA66" s="24"/>
      <c r="DMB66" s="24"/>
      <c r="DMC66" s="24"/>
      <c r="DMD66" s="24"/>
      <c r="DME66" s="24"/>
      <c r="DMF66" s="24"/>
      <c r="DMG66" s="24"/>
      <c r="DMH66" s="24"/>
      <c r="DMI66" s="24"/>
      <c r="DMJ66" s="24"/>
      <c r="DMK66" s="24"/>
      <c r="DML66" s="24"/>
      <c r="DMM66" s="24"/>
      <c r="DMN66" s="24"/>
      <c r="DMO66" s="24"/>
      <c r="DMP66" s="24"/>
      <c r="DMQ66" s="24"/>
      <c r="DMR66" s="24"/>
      <c r="DMS66" s="24"/>
      <c r="DMT66" s="24"/>
      <c r="DMU66" s="24"/>
      <c r="DMV66" s="24"/>
      <c r="DMW66" s="24"/>
      <c r="DMX66" s="24"/>
      <c r="DMY66" s="24"/>
      <c r="DMZ66" s="24"/>
      <c r="DNA66" s="24"/>
      <c r="DNB66" s="24"/>
      <c r="DNC66" s="24"/>
      <c r="DND66" s="24"/>
      <c r="DNE66" s="24"/>
      <c r="DNF66" s="24"/>
      <c r="DNG66" s="24"/>
      <c r="DNH66" s="24"/>
      <c r="DNI66" s="24"/>
      <c r="DNJ66" s="24"/>
      <c r="DNK66" s="24"/>
      <c r="DNL66" s="24"/>
      <c r="DNM66" s="24"/>
      <c r="DNN66" s="24"/>
      <c r="DNO66" s="24"/>
      <c r="DNP66" s="24"/>
      <c r="DNQ66" s="24"/>
      <c r="DNR66" s="24"/>
      <c r="DNS66" s="24"/>
      <c r="DNT66" s="24"/>
      <c r="DNU66" s="24"/>
      <c r="DNV66" s="24"/>
      <c r="DNW66" s="24"/>
      <c r="DNX66" s="24"/>
      <c r="DNY66" s="24"/>
      <c r="DNZ66" s="24"/>
      <c r="DOA66" s="24"/>
      <c r="DOB66" s="24"/>
      <c r="DOC66" s="24"/>
      <c r="DOD66" s="24"/>
      <c r="DOE66" s="24"/>
      <c r="DOF66" s="24"/>
      <c r="DOG66" s="24"/>
      <c r="DOH66" s="24"/>
      <c r="DOI66" s="24"/>
      <c r="DOJ66" s="24"/>
      <c r="DOK66" s="24"/>
      <c r="DOL66" s="24"/>
      <c r="DOM66" s="24"/>
      <c r="DON66" s="24"/>
      <c r="DOO66" s="24"/>
      <c r="DOP66" s="24"/>
      <c r="DOQ66" s="24"/>
      <c r="DOR66" s="24"/>
      <c r="DOS66" s="24"/>
      <c r="DOT66" s="24"/>
      <c r="DOU66" s="24"/>
      <c r="DOV66" s="24"/>
      <c r="DOW66" s="24"/>
      <c r="DOX66" s="24"/>
      <c r="DOY66" s="24"/>
      <c r="DOZ66" s="24"/>
      <c r="DPA66" s="24"/>
      <c r="DPB66" s="24"/>
      <c r="DPC66" s="24"/>
      <c r="DPD66" s="24"/>
      <c r="DPE66" s="24"/>
      <c r="DPF66" s="24"/>
      <c r="DPG66" s="24"/>
      <c r="DPH66" s="24"/>
      <c r="DPI66" s="24"/>
      <c r="DPJ66" s="24"/>
      <c r="DPK66" s="24"/>
      <c r="DPL66" s="24"/>
      <c r="DPM66" s="24"/>
      <c r="DPN66" s="24"/>
      <c r="DPO66" s="24"/>
      <c r="DPP66" s="24"/>
      <c r="DPQ66" s="24"/>
      <c r="DPR66" s="24"/>
      <c r="DPS66" s="24"/>
      <c r="DPT66" s="24"/>
      <c r="DPU66" s="24"/>
      <c r="DPV66" s="24"/>
      <c r="DPW66" s="24"/>
      <c r="DPX66" s="24"/>
      <c r="DPY66" s="24"/>
      <c r="DPZ66" s="24"/>
      <c r="DQA66" s="24"/>
      <c r="DQB66" s="24"/>
      <c r="DQC66" s="24"/>
      <c r="DQD66" s="24"/>
      <c r="DQE66" s="24"/>
      <c r="DQF66" s="24"/>
      <c r="DQG66" s="24"/>
      <c r="DQH66" s="24"/>
      <c r="DQI66" s="24"/>
      <c r="DQJ66" s="24"/>
      <c r="DQK66" s="24"/>
      <c r="DQL66" s="24"/>
      <c r="DQM66" s="24"/>
      <c r="DQN66" s="24"/>
      <c r="DQO66" s="24"/>
      <c r="DQP66" s="24"/>
      <c r="DQQ66" s="24"/>
      <c r="DQR66" s="24"/>
      <c r="DQS66" s="24"/>
      <c r="DQT66" s="24"/>
      <c r="DQU66" s="24"/>
      <c r="DQV66" s="24"/>
      <c r="DQW66" s="24"/>
      <c r="DQX66" s="24"/>
      <c r="DQY66" s="24"/>
      <c r="DQZ66" s="24"/>
      <c r="DRA66" s="24"/>
      <c r="DRB66" s="24"/>
      <c r="DRC66" s="24"/>
      <c r="DRD66" s="24"/>
      <c r="DRE66" s="24"/>
      <c r="DRF66" s="24"/>
      <c r="DRG66" s="24"/>
      <c r="DRH66" s="24"/>
      <c r="DRI66" s="24"/>
      <c r="DRJ66" s="24"/>
      <c r="DRK66" s="24"/>
      <c r="DRL66" s="24"/>
      <c r="DRM66" s="24"/>
      <c r="DRN66" s="24"/>
      <c r="DRO66" s="24"/>
      <c r="DRP66" s="24"/>
      <c r="DRQ66" s="24"/>
      <c r="DRR66" s="24"/>
      <c r="DRS66" s="24"/>
      <c r="DRT66" s="24"/>
      <c r="DRU66" s="24"/>
      <c r="DRV66" s="24"/>
      <c r="DRW66" s="24"/>
      <c r="DRX66" s="24"/>
      <c r="DRY66" s="24"/>
      <c r="DRZ66" s="24"/>
      <c r="DSA66" s="24"/>
      <c r="DSB66" s="24"/>
      <c r="DSC66" s="24"/>
      <c r="DSD66" s="24"/>
      <c r="DSE66" s="24"/>
      <c r="DSF66" s="24"/>
      <c r="DSG66" s="24"/>
      <c r="DSH66" s="24"/>
      <c r="DSI66" s="24"/>
      <c r="DSJ66" s="24"/>
      <c r="DSK66" s="24"/>
      <c r="DSL66" s="24"/>
      <c r="DSM66" s="24"/>
      <c r="DSN66" s="24"/>
      <c r="DSO66" s="24"/>
      <c r="DSP66" s="24"/>
      <c r="DSQ66" s="24"/>
      <c r="DSR66" s="24"/>
      <c r="DSS66" s="24"/>
      <c r="DST66" s="24"/>
      <c r="DSU66" s="24"/>
      <c r="DSV66" s="24"/>
      <c r="DSW66" s="24"/>
      <c r="DSX66" s="24"/>
      <c r="DSY66" s="24"/>
      <c r="DSZ66" s="24"/>
      <c r="DTA66" s="24"/>
      <c r="DTB66" s="24"/>
      <c r="DTC66" s="24"/>
      <c r="DTD66" s="24"/>
      <c r="DTE66" s="24"/>
      <c r="DTF66" s="24"/>
      <c r="DTG66" s="24"/>
      <c r="DTH66" s="24"/>
      <c r="DTI66" s="24"/>
      <c r="DTJ66" s="24"/>
      <c r="DTK66" s="24"/>
      <c r="DTL66" s="24"/>
      <c r="DTM66" s="24"/>
      <c r="DTN66" s="24"/>
      <c r="DTO66" s="24"/>
      <c r="DTP66" s="24"/>
      <c r="DTQ66" s="24"/>
      <c r="DTR66" s="24"/>
      <c r="DTS66" s="24"/>
      <c r="DTT66" s="24"/>
      <c r="DTU66" s="24"/>
      <c r="DTV66" s="24"/>
      <c r="DTW66" s="24"/>
      <c r="DTX66" s="24"/>
      <c r="DTY66" s="24"/>
      <c r="DTZ66" s="24"/>
      <c r="DUA66" s="24"/>
      <c r="DUB66" s="24"/>
      <c r="DUC66" s="24"/>
      <c r="DUD66" s="24"/>
      <c r="DUE66" s="24"/>
      <c r="DUF66" s="24"/>
      <c r="DUG66" s="24"/>
      <c r="DUH66" s="24"/>
      <c r="DUI66" s="24"/>
      <c r="DUJ66" s="24"/>
      <c r="DUK66" s="24"/>
      <c r="DUL66" s="24"/>
      <c r="DUM66" s="24"/>
      <c r="DUN66" s="24"/>
      <c r="DUO66" s="24"/>
      <c r="DUP66" s="24"/>
      <c r="DUQ66" s="24"/>
      <c r="DUR66" s="24"/>
      <c r="DUS66" s="24"/>
      <c r="DUT66" s="24"/>
      <c r="DUU66" s="24"/>
      <c r="DUV66" s="24"/>
      <c r="DUW66" s="24"/>
      <c r="DUX66" s="24"/>
      <c r="DUY66" s="24"/>
      <c r="DUZ66" s="24"/>
      <c r="DVA66" s="24"/>
      <c r="DVB66" s="24"/>
      <c r="DVC66" s="24"/>
      <c r="DVD66" s="24"/>
      <c r="DVE66" s="24"/>
      <c r="DVF66" s="24"/>
      <c r="DVG66" s="24"/>
      <c r="DVH66" s="24"/>
      <c r="DVI66" s="24"/>
      <c r="DVJ66" s="24"/>
      <c r="DVK66" s="24"/>
      <c r="DVL66" s="24"/>
      <c r="DVM66" s="24"/>
      <c r="DVN66" s="24"/>
      <c r="DVO66" s="24"/>
      <c r="DVP66" s="24"/>
      <c r="DVQ66" s="24"/>
      <c r="DVR66" s="24"/>
      <c r="DVS66" s="24"/>
      <c r="DVT66" s="24"/>
      <c r="DVU66" s="24"/>
      <c r="DVV66" s="24"/>
      <c r="DVW66" s="24"/>
      <c r="DVX66" s="24"/>
      <c r="DVY66" s="24"/>
      <c r="DVZ66" s="24"/>
      <c r="DWA66" s="24"/>
      <c r="DWB66" s="24"/>
      <c r="DWC66" s="24"/>
      <c r="DWD66" s="24"/>
      <c r="DWE66" s="24"/>
      <c r="DWF66" s="24"/>
      <c r="DWG66" s="24"/>
      <c r="DWH66" s="24"/>
      <c r="DWI66" s="24"/>
      <c r="DWJ66" s="24"/>
      <c r="DWK66" s="24"/>
      <c r="DWL66" s="24"/>
      <c r="DWM66" s="24"/>
      <c r="DWN66" s="24"/>
      <c r="DWO66" s="24"/>
      <c r="DWP66" s="24"/>
      <c r="DWQ66" s="24"/>
      <c r="DWR66" s="24"/>
      <c r="DWS66" s="24"/>
      <c r="DWT66" s="24"/>
      <c r="DWU66" s="24"/>
      <c r="DWV66" s="24"/>
      <c r="DWW66" s="24"/>
      <c r="DWX66" s="24"/>
      <c r="DWY66" s="24"/>
      <c r="DWZ66" s="24"/>
      <c r="DXA66" s="24"/>
      <c r="DXB66" s="24"/>
      <c r="DXC66" s="24"/>
      <c r="DXD66" s="24"/>
      <c r="DXE66" s="24"/>
      <c r="DXF66" s="24"/>
      <c r="DXG66" s="24"/>
      <c r="DXH66" s="24"/>
      <c r="DXI66" s="24"/>
      <c r="DXJ66" s="24"/>
      <c r="DXK66" s="24"/>
      <c r="DXL66" s="24"/>
      <c r="DXM66" s="24"/>
      <c r="DXN66" s="24"/>
      <c r="DXO66" s="24"/>
      <c r="DXP66" s="24"/>
      <c r="DXQ66" s="24"/>
      <c r="DXR66" s="24"/>
      <c r="DXS66" s="24"/>
      <c r="DXT66" s="24"/>
      <c r="DXU66" s="24"/>
      <c r="DXV66" s="24"/>
      <c r="DXW66" s="24"/>
      <c r="DXX66" s="24"/>
      <c r="DXY66" s="24"/>
      <c r="DXZ66" s="24"/>
      <c r="DYA66" s="24"/>
      <c r="DYB66" s="24"/>
      <c r="DYC66" s="24"/>
      <c r="DYD66" s="24"/>
      <c r="DYE66" s="24"/>
      <c r="DYF66" s="24"/>
      <c r="DYG66" s="24"/>
      <c r="DYH66" s="24"/>
      <c r="DYI66" s="24"/>
      <c r="DYJ66" s="24"/>
      <c r="DYK66" s="24"/>
      <c r="DYL66" s="24"/>
      <c r="DYM66" s="24"/>
      <c r="DYN66" s="24"/>
      <c r="DYO66" s="24"/>
      <c r="DYP66" s="24"/>
      <c r="DYQ66" s="24"/>
      <c r="DYR66" s="24"/>
      <c r="DYS66" s="24"/>
      <c r="DYT66" s="24"/>
      <c r="DYU66" s="24"/>
      <c r="DYV66" s="24"/>
      <c r="DYW66" s="24"/>
      <c r="DYX66" s="24"/>
      <c r="DYY66" s="24"/>
      <c r="DYZ66" s="24"/>
      <c r="DZA66" s="24"/>
      <c r="DZB66" s="24"/>
      <c r="DZC66" s="24"/>
      <c r="DZD66" s="24"/>
      <c r="DZE66" s="24"/>
      <c r="DZF66" s="24"/>
      <c r="DZG66" s="24"/>
      <c r="DZH66" s="24"/>
      <c r="DZI66" s="24"/>
      <c r="DZJ66" s="24"/>
      <c r="DZK66" s="24"/>
      <c r="DZL66" s="24"/>
      <c r="DZM66" s="24"/>
      <c r="DZN66" s="24"/>
      <c r="DZO66" s="24"/>
      <c r="DZP66" s="24"/>
      <c r="DZQ66" s="24"/>
      <c r="DZR66" s="24"/>
      <c r="DZS66" s="24"/>
      <c r="DZT66" s="24"/>
      <c r="DZU66" s="24"/>
      <c r="DZV66" s="24"/>
      <c r="DZW66" s="24"/>
      <c r="DZX66" s="24"/>
      <c r="DZY66" s="24"/>
      <c r="DZZ66" s="24"/>
      <c r="EAA66" s="24"/>
      <c r="EAB66" s="24"/>
      <c r="EAC66" s="24"/>
      <c r="EAD66" s="24"/>
      <c r="EAE66" s="24"/>
      <c r="EAF66" s="24"/>
      <c r="EAG66" s="24"/>
      <c r="EAH66" s="24"/>
      <c r="EAI66" s="24"/>
      <c r="EAJ66" s="24"/>
      <c r="EAK66" s="24"/>
      <c r="EAL66" s="24"/>
      <c r="EAM66" s="24"/>
      <c r="EAN66" s="24"/>
      <c r="EAO66" s="24"/>
      <c r="EAP66" s="24"/>
      <c r="EAQ66" s="24"/>
      <c r="EAR66" s="24"/>
      <c r="EAS66" s="24"/>
      <c r="EAT66" s="24"/>
      <c r="EAU66" s="24"/>
      <c r="EAV66" s="24"/>
      <c r="EAW66" s="24"/>
      <c r="EAX66" s="24"/>
      <c r="EAY66" s="24"/>
      <c r="EAZ66" s="24"/>
      <c r="EBA66" s="24"/>
      <c r="EBB66" s="24"/>
      <c r="EBC66" s="24"/>
      <c r="EBD66" s="24"/>
      <c r="EBE66" s="24"/>
      <c r="EBF66" s="24"/>
      <c r="EBG66" s="24"/>
      <c r="EBH66" s="24"/>
      <c r="EBI66" s="24"/>
      <c r="EBJ66" s="24"/>
      <c r="EBK66" s="24"/>
      <c r="EBL66" s="24"/>
      <c r="EBM66" s="24"/>
      <c r="EBN66" s="24"/>
      <c r="EBO66" s="24"/>
      <c r="EBP66" s="24"/>
      <c r="EBQ66" s="24"/>
      <c r="EBR66" s="24"/>
      <c r="EBS66" s="24"/>
      <c r="EBT66" s="24"/>
      <c r="EBU66" s="24"/>
      <c r="EBV66" s="24"/>
      <c r="EBW66" s="24"/>
      <c r="EBX66" s="24"/>
      <c r="EBY66" s="24"/>
      <c r="EBZ66" s="24"/>
      <c r="ECA66" s="24"/>
      <c r="ECB66" s="24"/>
      <c r="ECC66" s="24"/>
      <c r="ECD66" s="24"/>
      <c r="ECE66" s="24"/>
      <c r="ECF66" s="24"/>
      <c r="ECG66" s="24"/>
      <c r="ECH66" s="24"/>
      <c r="ECI66" s="24"/>
      <c r="ECJ66" s="24"/>
      <c r="ECK66" s="24"/>
      <c r="ECL66" s="24"/>
      <c r="ECM66" s="24"/>
      <c r="ECN66" s="24"/>
      <c r="ECO66" s="24"/>
      <c r="ECP66" s="24"/>
      <c r="ECQ66" s="24"/>
      <c r="ECR66" s="24"/>
      <c r="ECS66" s="24"/>
      <c r="ECT66" s="24"/>
      <c r="ECU66" s="24"/>
      <c r="ECV66" s="24"/>
      <c r="ECW66" s="24"/>
      <c r="ECX66" s="24"/>
      <c r="ECY66" s="24"/>
      <c r="ECZ66" s="24"/>
      <c r="EDA66" s="24"/>
      <c r="EDB66" s="24"/>
      <c r="EDC66" s="24"/>
      <c r="EDD66" s="24"/>
      <c r="EDE66" s="24"/>
      <c r="EDF66" s="24"/>
      <c r="EDG66" s="24"/>
      <c r="EDH66" s="24"/>
      <c r="EDI66" s="24"/>
      <c r="EDJ66" s="24"/>
      <c r="EDK66" s="24"/>
      <c r="EDL66" s="24"/>
      <c r="EDM66" s="24"/>
      <c r="EDN66" s="24"/>
      <c r="EDO66" s="24"/>
      <c r="EDP66" s="24"/>
      <c r="EDQ66" s="24"/>
      <c r="EDR66" s="24"/>
      <c r="EDS66" s="24"/>
      <c r="EDT66" s="24"/>
      <c r="EDU66" s="24"/>
      <c r="EDV66" s="24"/>
      <c r="EDW66" s="24"/>
      <c r="EDX66" s="24"/>
      <c r="EDY66" s="24"/>
      <c r="EDZ66" s="24"/>
      <c r="EEA66" s="24"/>
      <c r="EEB66" s="24"/>
      <c r="EEC66" s="24"/>
      <c r="EED66" s="24"/>
      <c r="EEE66" s="24"/>
      <c r="EEF66" s="24"/>
      <c r="EEG66" s="24"/>
      <c r="EEH66" s="24"/>
      <c r="EEI66" s="24"/>
      <c r="EEJ66" s="24"/>
      <c r="EEK66" s="24"/>
      <c r="EEL66" s="24"/>
      <c r="EEM66" s="24"/>
      <c r="EEN66" s="24"/>
      <c r="EEO66" s="24"/>
      <c r="EEP66" s="24"/>
      <c r="EEQ66" s="24"/>
      <c r="EER66" s="24"/>
      <c r="EES66" s="24"/>
      <c r="EET66" s="24"/>
      <c r="EEU66" s="24"/>
      <c r="EEV66" s="24"/>
      <c r="EEW66" s="24"/>
      <c r="EEX66" s="24"/>
      <c r="EEY66" s="24"/>
      <c r="EEZ66" s="24"/>
      <c r="EFA66" s="24"/>
      <c r="EFB66" s="24"/>
      <c r="EFC66" s="24"/>
      <c r="EFD66" s="24"/>
      <c r="EFE66" s="24"/>
      <c r="EFF66" s="24"/>
      <c r="EFG66" s="24"/>
      <c r="EFH66" s="24"/>
      <c r="EFI66" s="24"/>
      <c r="EFJ66" s="24"/>
      <c r="EFK66" s="24"/>
      <c r="EFL66" s="24"/>
      <c r="EFM66" s="24"/>
      <c r="EFN66" s="24"/>
      <c r="EFO66" s="24"/>
      <c r="EFP66" s="24"/>
      <c r="EFQ66" s="24"/>
      <c r="EFR66" s="24"/>
      <c r="EFS66" s="24"/>
      <c r="EFT66" s="24"/>
      <c r="EFU66" s="24"/>
      <c r="EFV66" s="24"/>
      <c r="EFW66" s="24"/>
      <c r="EFX66" s="24"/>
      <c r="EFY66" s="24"/>
      <c r="EFZ66" s="24"/>
      <c r="EGA66" s="24"/>
      <c r="EGB66" s="24"/>
      <c r="EGC66" s="24"/>
      <c r="EGD66" s="24"/>
      <c r="EGE66" s="24"/>
      <c r="EGF66" s="24"/>
      <c r="EGG66" s="24"/>
      <c r="EGH66" s="24"/>
      <c r="EGI66" s="24"/>
      <c r="EGJ66" s="24"/>
      <c r="EGK66" s="24"/>
      <c r="EGL66" s="24"/>
      <c r="EGM66" s="24"/>
      <c r="EGN66" s="24"/>
      <c r="EGO66" s="24"/>
      <c r="EGP66" s="24"/>
      <c r="EGQ66" s="24"/>
      <c r="EGR66" s="24"/>
      <c r="EGS66" s="24"/>
      <c r="EGT66" s="24"/>
      <c r="EGU66" s="24"/>
      <c r="EGV66" s="24"/>
      <c r="EGW66" s="24"/>
      <c r="EGX66" s="24"/>
      <c r="EGY66" s="24"/>
      <c r="EGZ66" s="24"/>
      <c r="EHA66" s="24"/>
      <c r="EHB66" s="24"/>
      <c r="EHC66" s="24"/>
      <c r="EHD66" s="24"/>
      <c r="EHE66" s="24"/>
      <c r="EHF66" s="24"/>
      <c r="EHG66" s="24"/>
      <c r="EHH66" s="24"/>
      <c r="EHI66" s="24"/>
      <c r="EHJ66" s="24"/>
      <c r="EHK66" s="24"/>
      <c r="EHL66" s="24"/>
      <c r="EHM66" s="24"/>
      <c r="EHN66" s="24"/>
      <c r="EHO66" s="24"/>
      <c r="EHP66" s="24"/>
      <c r="EHQ66" s="24"/>
      <c r="EHR66" s="24"/>
      <c r="EHS66" s="24"/>
      <c r="EHT66" s="24"/>
      <c r="EHU66" s="24"/>
      <c r="EHV66" s="24"/>
      <c r="EHW66" s="24"/>
      <c r="EHX66" s="24"/>
      <c r="EHY66" s="24"/>
      <c r="EHZ66" s="24"/>
      <c r="EIA66" s="24"/>
      <c r="EIB66" s="24"/>
      <c r="EIC66" s="24"/>
      <c r="EID66" s="24"/>
      <c r="EIE66" s="24"/>
      <c r="EIF66" s="24"/>
      <c r="EIG66" s="24"/>
      <c r="EIH66" s="24"/>
      <c r="EII66" s="24"/>
      <c r="EIJ66" s="24"/>
      <c r="EIK66" s="24"/>
      <c r="EIL66" s="24"/>
      <c r="EIM66" s="24"/>
      <c r="EIN66" s="24"/>
      <c r="EIO66" s="24"/>
      <c r="EIP66" s="24"/>
      <c r="EIQ66" s="24"/>
      <c r="EIR66" s="24"/>
      <c r="EIS66" s="24"/>
      <c r="EIT66" s="24"/>
      <c r="EIU66" s="24"/>
      <c r="EIV66" s="24"/>
      <c r="EIW66" s="24"/>
      <c r="EIX66" s="24"/>
      <c r="EIY66" s="24"/>
      <c r="EIZ66" s="24"/>
      <c r="EJA66" s="24"/>
      <c r="EJB66" s="24"/>
      <c r="EJC66" s="24"/>
      <c r="EJD66" s="24"/>
      <c r="EJE66" s="24"/>
      <c r="EJF66" s="24"/>
      <c r="EJG66" s="24"/>
      <c r="EJH66" s="24"/>
      <c r="EJI66" s="24"/>
      <c r="EJJ66" s="24"/>
      <c r="EJK66" s="24"/>
      <c r="EJL66" s="24"/>
      <c r="EJM66" s="24"/>
      <c r="EJN66" s="24"/>
      <c r="EJO66" s="24"/>
      <c r="EJP66" s="24"/>
      <c r="EJQ66" s="24"/>
      <c r="EJR66" s="24"/>
      <c r="EJS66" s="24"/>
      <c r="EJT66" s="24"/>
      <c r="EJU66" s="24"/>
      <c r="EJV66" s="24"/>
      <c r="EJW66" s="24"/>
      <c r="EJX66" s="24"/>
      <c r="EJY66" s="24"/>
      <c r="EJZ66" s="24"/>
      <c r="EKA66" s="24"/>
      <c r="EKB66" s="24"/>
      <c r="EKC66" s="24"/>
      <c r="EKD66" s="24"/>
      <c r="EKE66" s="24"/>
      <c r="EKF66" s="24"/>
      <c r="EKG66" s="24"/>
      <c r="EKH66" s="24"/>
      <c r="EKI66" s="24"/>
      <c r="EKJ66" s="24"/>
      <c r="EKK66" s="24"/>
      <c r="EKL66" s="24"/>
      <c r="EKM66" s="24"/>
      <c r="EKN66" s="24"/>
      <c r="EKO66" s="24"/>
      <c r="EKP66" s="24"/>
      <c r="EKQ66" s="24"/>
      <c r="EKR66" s="24"/>
      <c r="EKS66" s="24"/>
      <c r="EKT66" s="24"/>
      <c r="EKU66" s="24"/>
      <c r="EKV66" s="24"/>
      <c r="EKW66" s="24"/>
      <c r="EKX66" s="24"/>
      <c r="EKY66" s="24"/>
      <c r="EKZ66" s="24"/>
      <c r="ELA66" s="24"/>
      <c r="ELB66" s="24"/>
      <c r="ELC66" s="24"/>
      <c r="ELD66" s="24"/>
      <c r="ELE66" s="24"/>
      <c r="ELF66" s="24"/>
      <c r="ELG66" s="24"/>
      <c r="ELH66" s="24"/>
      <c r="ELI66" s="24"/>
      <c r="ELJ66" s="24"/>
      <c r="ELK66" s="24"/>
      <c r="ELL66" s="24"/>
      <c r="ELM66" s="24"/>
      <c r="ELN66" s="24"/>
      <c r="ELO66" s="24"/>
      <c r="ELP66" s="24"/>
      <c r="ELQ66" s="24"/>
      <c r="ELR66" s="24"/>
      <c r="ELS66" s="24"/>
      <c r="ELT66" s="24"/>
      <c r="ELU66" s="24"/>
      <c r="ELV66" s="24"/>
      <c r="ELW66" s="24"/>
      <c r="ELX66" s="24"/>
      <c r="ELY66" s="24"/>
      <c r="ELZ66" s="24"/>
      <c r="EMA66" s="24"/>
      <c r="EMB66" s="24"/>
      <c r="EMC66" s="24"/>
      <c r="EMD66" s="24"/>
      <c r="EME66" s="24"/>
      <c r="EMF66" s="24"/>
      <c r="EMG66" s="24"/>
      <c r="EMH66" s="24"/>
      <c r="EMI66" s="24"/>
      <c r="EMJ66" s="24"/>
      <c r="EMK66" s="24"/>
      <c r="EML66" s="24"/>
      <c r="EMM66" s="24"/>
      <c r="EMN66" s="24"/>
      <c r="EMO66" s="24"/>
      <c r="EMP66" s="24"/>
      <c r="EMQ66" s="24"/>
      <c r="EMR66" s="24"/>
      <c r="EMS66" s="24"/>
      <c r="EMT66" s="24"/>
      <c r="EMU66" s="24"/>
      <c r="EMV66" s="24"/>
      <c r="EMW66" s="24"/>
      <c r="EMX66" s="24"/>
      <c r="EMY66" s="24"/>
      <c r="EMZ66" s="24"/>
      <c r="ENA66" s="24"/>
      <c r="ENB66" s="24"/>
      <c r="ENC66" s="24"/>
      <c r="END66" s="24"/>
      <c r="ENE66" s="24"/>
      <c r="ENF66" s="24"/>
      <c r="ENG66" s="24"/>
      <c r="ENH66" s="24"/>
      <c r="ENI66" s="24"/>
      <c r="ENJ66" s="24"/>
      <c r="ENK66" s="24"/>
      <c r="ENL66" s="24"/>
      <c r="ENM66" s="24"/>
      <c r="ENN66" s="24"/>
      <c r="ENO66" s="24"/>
      <c r="ENP66" s="24"/>
      <c r="ENQ66" s="24"/>
      <c r="ENR66" s="24"/>
      <c r="ENS66" s="24"/>
      <c r="ENT66" s="24"/>
      <c r="ENU66" s="24"/>
      <c r="ENV66" s="24"/>
      <c r="ENW66" s="24"/>
      <c r="ENX66" s="24"/>
      <c r="ENY66" s="24"/>
      <c r="ENZ66" s="24"/>
      <c r="EOA66" s="24"/>
      <c r="EOB66" s="24"/>
      <c r="EOC66" s="24"/>
      <c r="EOD66" s="24"/>
      <c r="EOE66" s="24"/>
      <c r="EOF66" s="24"/>
      <c r="EOG66" s="24"/>
      <c r="EOH66" s="24"/>
      <c r="EOI66" s="24"/>
      <c r="EOJ66" s="24"/>
      <c r="EOK66" s="24"/>
      <c r="EOL66" s="24"/>
      <c r="EOM66" s="24"/>
      <c r="EON66" s="24"/>
      <c r="EOO66" s="24"/>
      <c r="EOP66" s="24"/>
      <c r="EOQ66" s="24"/>
      <c r="EOR66" s="24"/>
      <c r="EOS66" s="24"/>
      <c r="EOT66" s="24"/>
      <c r="EOU66" s="24"/>
      <c r="EOV66" s="24"/>
      <c r="EOW66" s="24"/>
      <c r="EOX66" s="24"/>
      <c r="EOY66" s="24"/>
      <c r="EOZ66" s="24"/>
      <c r="EPA66" s="24"/>
      <c r="EPB66" s="24"/>
      <c r="EPC66" s="24"/>
      <c r="EPD66" s="24"/>
      <c r="EPE66" s="24"/>
      <c r="EPF66" s="24"/>
      <c r="EPG66" s="24"/>
      <c r="EPH66" s="24"/>
      <c r="EPI66" s="24"/>
      <c r="EPJ66" s="24"/>
      <c r="EPK66" s="24"/>
      <c r="EPL66" s="24"/>
      <c r="EPM66" s="24"/>
      <c r="EPN66" s="24"/>
      <c r="EPO66" s="24"/>
      <c r="EPP66" s="24"/>
      <c r="EPQ66" s="24"/>
      <c r="EPR66" s="24"/>
      <c r="EPS66" s="24"/>
      <c r="EPT66" s="24"/>
      <c r="EPU66" s="24"/>
      <c r="EPV66" s="24"/>
      <c r="EPW66" s="24"/>
      <c r="EPX66" s="24"/>
      <c r="EPY66" s="24"/>
      <c r="EPZ66" s="24"/>
      <c r="EQA66" s="24"/>
      <c r="EQB66" s="24"/>
      <c r="EQC66" s="24"/>
      <c r="EQD66" s="24"/>
      <c r="EQE66" s="24"/>
      <c r="EQF66" s="24"/>
      <c r="EQG66" s="24"/>
      <c r="EQH66" s="24"/>
      <c r="EQI66" s="24"/>
      <c r="EQJ66" s="24"/>
      <c r="EQK66" s="24"/>
      <c r="EQL66" s="24"/>
      <c r="EQM66" s="24"/>
      <c r="EQN66" s="24"/>
      <c r="EQO66" s="24"/>
      <c r="EQP66" s="24"/>
      <c r="EQQ66" s="24"/>
      <c r="EQR66" s="24"/>
      <c r="EQS66" s="24"/>
      <c r="EQT66" s="24"/>
      <c r="EQU66" s="24"/>
      <c r="EQV66" s="24"/>
      <c r="EQW66" s="24"/>
      <c r="EQX66" s="24"/>
      <c r="EQY66" s="24"/>
      <c r="EQZ66" s="24"/>
      <c r="ERA66" s="24"/>
      <c r="ERB66" s="24"/>
      <c r="ERC66" s="24"/>
      <c r="ERD66" s="24"/>
      <c r="ERE66" s="24"/>
      <c r="ERF66" s="24"/>
      <c r="ERG66" s="24"/>
      <c r="ERH66" s="24"/>
      <c r="ERI66" s="24"/>
      <c r="ERJ66" s="24"/>
      <c r="ERK66" s="24"/>
      <c r="ERL66" s="24"/>
      <c r="ERM66" s="24"/>
      <c r="ERN66" s="24"/>
      <c r="ERO66" s="24"/>
      <c r="ERP66" s="24"/>
      <c r="ERQ66" s="24"/>
      <c r="ERR66" s="24"/>
      <c r="ERS66" s="24"/>
      <c r="ERT66" s="24"/>
      <c r="ERU66" s="24"/>
      <c r="ERV66" s="24"/>
      <c r="ERW66" s="24"/>
      <c r="ERX66" s="24"/>
      <c r="ERY66" s="24"/>
      <c r="ERZ66" s="24"/>
      <c r="ESA66" s="24"/>
      <c r="ESB66" s="24"/>
      <c r="ESC66" s="24"/>
      <c r="ESD66" s="24"/>
      <c r="ESE66" s="24"/>
      <c r="ESF66" s="24"/>
      <c r="ESG66" s="24"/>
      <c r="ESH66" s="24"/>
      <c r="ESI66" s="24"/>
      <c r="ESJ66" s="24"/>
      <c r="ESK66" s="24"/>
      <c r="ESL66" s="24"/>
      <c r="ESM66" s="24"/>
      <c r="ESN66" s="24"/>
      <c r="ESO66" s="24"/>
      <c r="ESP66" s="24"/>
      <c r="ESQ66" s="24"/>
      <c r="ESR66" s="24"/>
      <c r="ESS66" s="24"/>
      <c r="EST66" s="24"/>
      <c r="ESU66" s="24"/>
      <c r="ESV66" s="24"/>
      <c r="ESW66" s="24"/>
      <c r="ESX66" s="24"/>
      <c r="ESY66" s="24"/>
      <c r="ESZ66" s="24"/>
      <c r="ETA66" s="24"/>
      <c r="ETB66" s="24"/>
      <c r="ETC66" s="24"/>
      <c r="ETD66" s="24"/>
      <c r="ETE66" s="24"/>
      <c r="ETF66" s="24"/>
      <c r="ETG66" s="24"/>
      <c r="ETH66" s="24"/>
      <c r="ETI66" s="24"/>
      <c r="ETJ66" s="24"/>
      <c r="ETK66" s="24"/>
      <c r="ETL66" s="24"/>
      <c r="ETM66" s="24"/>
      <c r="ETN66" s="24"/>
      <c r="ETO66" s="24"/>
      <c r="ETP66" s="24"/>
      <c r="ETQ66" s="24"/>
      <c r="ETR66" s="24"/>
      <c r="ETS66" s="24"/>
      <c r="ETT66" s="24"/>
      <c r="ETU66" s="24"/>
      <c r="ETV66" s="24"/>
      <c r="ETW66" s="24"/>
      <c r="ETX66" s="24"/>
      <c r="ETY66" s="24"/>
      <c r="ETZ66" s="24"/>
      <c r="EUA66" s="24"/>
      <c r="EUB66" s="24"/>
      <c r="EUC66" s="24"/>
      <c r="EUD66" s="24"/>
      <c r="EUE66" s="24"/>
      <c r="EUF66" s="24"/>
      <c r="EUG66" s="24"/>
      <c r="EUH66" s="24"/>
      <c r="EUI66" s="24"/>
      <c r="EUJ66" s="24"/>
      <c r="EUK66" s="24"/>
      <c r="EUL66" s="24"/>
      <c r="EUM66" s="24"/>
      <c r="EUN66" s="24"/>
      <c r="EUO66" s="24"/>
      <c r="EUP66" s="24"/>
      <c r="EUQ66" s="24"/>
      <c r="EUR66" s="24"/>
      <c r="EUS66" s="24"/>
      <c r="EUT66" s="24"/>
      <c r="EUU66" s="24"/>
      <c r="EUV66" s="24"/>
      <c r="EUW66" s="24"/>
      <c r="EUX66" s="24"/>
      <c r="EUY66" s="24"/>
      <c r="EUZ66" s="24"/>
      <c r="EVA66" s="24"/>
      <c r="EVB66" s="24"/>
      <c r="EVC66" s="24"/>
      <c r="EVD66" s="24"/>
      <c r="EVE66" s="24"/>
      <c r="EVF66" s="24"/>
      <c r="EVG66" s="24"/>
      <c r="EVH66" s="24"/>
      <c r="EVI66" s="24"/>
      <c r="EVJ66" s="24"/>
      <c r="EVK66" s="24"/>
      <c r="EVL66" s="24"/>
      <c r="EVM66" s="24"/>
      <c r="EVN66" s="24"/>
      <c r="EVO66" s="24"/>
      <c r="EVP66" s="24"/>
      <c r="EVQ66" s="24"/>
      <c r="EVR66" s="24"/>
      <c r="EVS66" s="24"/>
      <c r="EVT66" s="24"/>
      <c r="EVU66" s="24"/>
      <c r="EVV66" s="24"/>
      <c r="EVW66" s="24"/>
      <c r="EVX66" s="24"/>
      <c r="EVY66" s="24"/>
      <c r="EVZ66" s="24"/>
      <c r="EWA66" s="24"/>
      <c r="EWB66" s="24"/>
      <c r="EWC66" s="24"/>
      <c r="EWD66" s="24"/>
      <c r="EWE66" s="24"/>
      <c r="EWF66" s="24"/>
      <c r="EWG66" s="24"/>
      <c r="EWH66" s="24"/>
      <c r="EWI66" s="24"/>
      <c r="EWJ66" s="24"/>
      <c r="EWK66" s="24"/>
      <c r="EWL66" s="24"/>
      <c r="EWM66" s="24"/>
      <c r="EWN66" s="24"/>
      <c r="EWO66" s="24"/>
      <c r="EWP66" s="24"/>
      <c r="EWQ66" s="24"/>
      <c r="EWR66" s="24"/>
      <c r="EWS66" s="24"/>
      <c r="EWT66" s="24"/>
      <c r="EWU66" s="24"/>
      <c r="EWV66" s="24"/>
      <c r="EWW66" s="24"/>
      <c r="EWX66" s="24"/>
      <c r="EWY66" s="24"/>
      <c r="EWZ66" s="24"/>
      <c r="EXA66" s="24"/>
      <c r="EXB66" s="24"/>
      <c r="EXC66" s="24"/>
      <c r="EXD66" s="24"/>
      <c r="EXE66" s="24"/>
      <c r="EXF66" s="24"/>
      <c r="EXG66" s="24"/>
      <c r="EXH66" s="24"/>
      <c r="EXI66" s="24"/>
      <c r="EXJ66" s="24"/>
      <c r="EXK66" s="24"/>
      <c r="EXL66" s="24"/>
      <c r="EXM66" s="24"/>
      <c r="EXN66" s="24"/>
      <c r="EXO66" s="24"/>
      <c r="EXP66" s="24"/>
      <c r="EXQ66" s="24"/>
      <c r="EXR66" s="24"/>
      <c r="EXS66" s="24"/>
      <c r="EXT66" s="24"/>
      <c r="EXU66" s="24"/>
      <c r="EXV66" s="24"/>
      <c r="EXW66" s="24"/>
      <c r="EXX66" s="24"/>
      <c r="EXY66" s="24"/>
      <c r="EXZ66" s="24"/>
      <c r="EYA66" s="24"/>
      <c r="EYB66" s="24"/>
      <c r="EYC66" s="24"/>
      <c r="EYD66" s="24"/>
      <c r="EYE66" s="24"/>
      <c r="EYF66" s="24"/>
      <c r="EYG66" s="24"/>
      <c r="EYH66" s="24"/>
      <c r="EYI66" s="24"/>
      <c r="EYJ66" s="24"/>
      <c r="EYK66" s="24"/>
      <c r="EYL66" s="24"/>
      <c r="EYM66" s="24"/>
      <c r="EYN66" s="24"/>
      <c r="EYO66" s="24"/>
      <c r="EYP66" s="24"/>
      <c r="EYQ66" s="24"/>
      <c r="EYR66" s="24"/>
      <c r="EYS66" s="24"/>
      <c r="EYT66" s="24"/>
      <c r="EYU66" s="24"/>
      <c r="EYV66" s="24"/>
      <c r="EYW66" s="24"/>
      <c r="EYX66" s="24"/>
      <c r="EYY66" s="24"/>
      <c r="EYZ66" s="24"/>
      <c r="EZA66" s="24"/>
      <c r="EZB66" s="24"/>
      <c r="EZC66" s="24"/>
      <c r="EZD66" s="24"/>
      <c r="EZE66" s="24"/>
      <c r="EZF66" s="24"/>
      <c r="EZG66" s="24"/>
      <c r="EZH66" s="24"/>
      <c r="EZI66" s="24"/>
      <c r="EZJ66" s="24"/>
      <c r="EZK66" s="24"/>
      <c r="EZL66" s="24"/>
      <c r="EZM66" s="24"/>
      <c r="EZN66" s="24"/>
      <c r="EZO66" s="24"/>
      <c r="EZP66" s="24"/>
      <c r="EZQ66" s="24"/>
      <c r="EZR66" s="24"/>
      <c r="EZS66" s="24"/>
      <c r="EZT66" s="24"/>
      <c r="EZU66" s="24"/>
      <c r="EZV66" s="24"/>
      <c r="EZW66" s="24"/>
      <c r="EZX66" s="24"/>
      <c r="EZY66" s="24"/>
      <c r="EZZ66" s="24"/>
      <c r="FAA66" s="24"/>
      <c r="FAB66" s="24"/>
      <c r="FAC66" s="24"/>
      <c r="FAD66" s="24"/>
      <c r="FAE66" s="24"/>
      <c r="FAF66" s="24"/>
      <c r="FAG66" s="24"/>
      <c r="FAH66" s="24"/>
      <c r="FAI66" s="24"/>
      <c r="FAJ66" s="24"/>
      <c r="FAK66" s="24"/>
      <c r="FAL66" s="24"/>
      <c r="FAM66" s="24"/>
      <c r="FAN66" s="24"/>
      <c r="FAO66" s="24"/>
      <c r="FAP66" s="24"/>
      <c r="FAQ66" s="24"/>
      <c r="FAR66" s="24"/>
      <c r="FAS66" s="24"/>
      <c r="FAT66" s="24"/>
      <c r="FAU66" s="24"/>
      <c r="FAV66" s="24"/>
      <c r="FAW66" s="24"/>
      <c r="FAX66" s="24"/>
      <c r="FAY66" s="24"/>
      <c r="FAZ66" s="24"/>
      <c r="FBA66" s="24"/>
      <c r="FBB66" s="24"/>
      <c r="FBC66" s="24"/>
      <c r="FBD66" s="24"/>
      <c r="FBE66" s="24"/>
      <c r="FBF66" s="24"/>
      <c r="FBG66" s="24"/>
      <c r="FBH66" s="24"/>
      <c r="FBI66" s="24"/>
      <c r="FBJ66" s="24"/>
      <c r="FBK66" s="24"/>
      <c r="FBL66" s="24"/>
      <c r="FBM66" s="24"/>
      <c r="FBN66" s="24"/>
      <c r="FBO66" s="24"/>
      <c r="FBP66" s="24"/>
      <c r="FBQ66" s="24"/>
      <c r="FBR66" s="24"/>
      <c r="FBS66" s="24"/>
      <c r="FBT66" s="24"/>
      <c r="FBU66" s="24"/>
      <c r="FBV66" s="24"/>
      <c r="FBW66" s="24"/>
      <c r="FBX66" s="24"/>
      <c r="FBY66" s="24"/>
      <c r="FBZ66" s="24"/>
      <c r="FCA66" s="24"/>
      <c r="FCB66" s="24"/>
      <c r="FCC66" s="24"/>
      <c r="FCD66" s="24"/>
      <c r="FCE66" s="24"/>
      <c r="FCF66" s="24"/>
      <c r="FCG66" s="24"/>
      <c r="FCH66" s="24"/>
      <c r="FCI66" s="24"/>
      <c r="FCJ66" s="24"/>
      <c r="FCK66" s="24"/>
      <c r="FCL66" s="24"/>
      <c r="FCM66" s="24"/>
      <c r="FCN66" s="24"/>
      <c r="FCO66" s="24"/>
      <c r="FCP66" s="24"/>
      <c r="FCQ66" s="24"/>
      <c r="FCR66" s="24"/>
      <c r="FCS66" s="24"/>
      <c r="FCT66" s="24"/>
      <c r="FCU66" s="24"/>
      <c r="FCV66" s="24"/>
      <c r="FCW66" s="24"/>
      <c r="FCX66" s="24"/>
      <c r="FCY66" s="24"/>
      <c r="FCZ66" s="24"/>
      <c r="FDA66" s="24"/>
      <c r="FDB66" s="24"/>
      <c r="FDC66" s="24"/>
      <c r="FDD66" s="24"/>
      <c r="FDE66" s="24"/>
      <c r="FDF66" s="24"/>
      <c r="FDG66" s="24"/>
      <c r="FDH66" s="24"/>
      <c r="FDI66" s="24"/>
      <c r="FDJ66" s="24"/>
      <c r="FDK66" s="24"/>
      <c r="FDL66" s="24"/>
      <c r="FDM66" s="24"/>
      <c r="FDN66" s="24"/>
      <c r="FDO66" s="24"/>
      <c r="FDP66" s="24"/>
      <c r="FDQ66" s="24"/>
      <c r="FDR66" s="24"/>
      <c r="FDS66" s="24"/>
      <c r="FDT66" s="24"/>
      <c r="FDU66" s="24"/>
      <c r="FDV66" s="24"/>
      <c r="FDW66" s="24"/>
      <c r="FDX66" s="24"/>
      <c r="FDY66" s="24"/>
      <c r="FDZ66" s="24"/>
      <c r="FEA66" s="24"/>
      <c r="FEB66" s="24"/>
      <c r="FEC66" s="24"/>
      <c r="FED66" s="24"/>
      <c r="FEE66" s="24"/>
      <c r="FEF66" s="24"/>
      <c r="FEG66" s="24"/>
      <c r="FEH66" s="24"/>
      <c r="FEI66" s="24"/>
      <c r="FEJ66" s="24"/>
      <c r="FEK66" s="24"/>
      <c r="FEL66" s="24"/>
      <c r="FEM66" s="24"/>
      <c r="FEN66" s="24"/>
      <c r="FEO66" s="24"/>
      <c r="FEP66" s="24"/>
      <c r="FEQ66" s="24"/>
      <c r="FER66" s="24"/>
      <c r="FES66" s="24"/>
      <c r="FET66" s="24"/>
      <c r="FEU66" s="24"/>
      <c r="FEV66" s="24"/>
      <c r="FEW66" s="24"/>
      <c r="FEX66" s="24"/>
      <c r="FEY66" s="24"/>
      <c r="FEZ66" s="24"/>
      <c r="FFA66" s="24"/>
      <c r="FFB66" s="24"/>
      <c r="FFC66" s="24"/>
      <c r="FFD66" s="24"/>
      <c r="FFE66" s="24"/>
      <c r="FFF66" s="24"/>
      <c r="FFG66" s="24"/>
      <c r="FFH66" s="24"/>
      <c r="FFI66" s="24"/>
      <c r="FFJ66" s="24"/>
      <c r="FFK66" s="24"/>
      <c r="FFL66" s="24"/>
      <c r="FFM66" s="24"/>
      <c r="FFN66" s="24"/>
      <c r="FFO66" s="24"/>
      <c r="FFP66" s="24"/>
      <c r="FFQ66" s="24"/>
      <c r="FFR66" s="24"/>
      <c r="FFS66" s="24"/>
      <c r="FFT66" s="24"/>
      <c r="FFU66" s="24"/>
      <c r="FFV66" s="24"/>
      <c r="FFW66" s="24"/>
      <c r="FFX66" s="24"/>
      <c r="FFY66" s="24"/>
      <c r="FFZ66" s="24"/>
      <c r="FGA66" s="24"/>
      <c r="FGB66" s="24"/>
      <c r="FGC66" s="24"/>
      <c r="FGD66" s="24"/>
      <c r="FGE66" s="24"/>
      <c r="FGF66" s="24"/>
      <c r="FGG66" s="24"/>
      <c r="FGH66" s="24"/>
      <c r="FGI66" s="24"/>
      <c r="FGJ66" s="24"/>
      <c r="FGK66" s="24"/>
      <c r="FGL66" s="24"/>
      <c r="FGM66" s="24"/>
      <c r="FGN66" s="24"/>
      <c r="FGO66" s="24"/>
      <c r="FGP66" s="24"/>
      <c r="FGQ66" s="24"/>
      <c r="FGR66" s="24"/>
      <c r="FGS66" s="24"/>
      <c r="FGT66" s="24"/>
      <c r="FGU66" s="24"/>
      <c r="FGV66" s="24"/>
      <c r="FGW66" s="24"/>
      <c r="FGX66" s="24"/>
      <c r="FGY66" s="24"/>
      <c r="FGZ66" s="24"/>
      <c r="FHA66" s="24"/>
      <c r="FHB66" s="24"/>
      <c r="FHC66" s="24"/>
      <c r="FHD66" s="24"/>
      <c r="FHE66" s="24"/>
      <c r="FHF66" s="24"/>
      <c r="FHG66" s="24"/>
      <c r="FHH66" s="24"/>
      <c r="FHI66" s="24"/>
      <c r="FHJ66" s="24"/>
      <c r="FHK66" s="24"/>
      <c r="FHL66" s="24"/>
      <c r="FHM66" s="24"/>
      <c r="FHN66" s="24"/>
      <c r="FHO66" s="24"/>
      <c r="FHP66" s="24"/>
      <c r="FHQ66" s="24"/>
      <c r="FHR66" s="24"/>
      <c r="FHS66" s="24"/>
      <c r="FHT66" s="24"/>
      <c r="FHU66" s="24"/>
      <c r="FHV66" s="24"/>
      <c r="FHW66" s="24"/>
      <c r="FHX66" s="24"/>
      <c r="FHY66" s="24"/>
      <c r="FHZ66" s="24"/>
      <c r="FIA66" s="24"/>
      <c r="FIB66" s="24"/>
      <c r="FIC66" s="24"/>
      <c r="FID66" s="24"/>
      <c r="FIE66" s="24"/>
      <c r="FIF66" s="24"/>
      <c r="FIG66" s="24"/>
      <c r="FIH66" s="24"/>
      <c r="FII66" s="24"/>
      <c r="FIJ66" s="24"/>
      <c r="FIK66" s="24"/>
      <c r="FIL66" s="24"/>
      <c r="FIM66" s="24"/>
      <c r="FIN66" s="24"/>
      <c r="FIO66" s="24"/>
      <c r="FIP66" s="24"/>
      <c r="FIQ66" s="24"/>
      <c r="FIR66" s="24"/>
      <c r="FIS66" s="24"/>
      <c r="FIT66" s="24"/>
      <c r="FIU66" s="24"/>
      <c r="FIV66" s="24"/>
      <c r="FIW66" s="24"/>
      <c r="FIX66" s="24"/>
      <c r="FIY66" s="24"/>
      <c r="FIZ66" s="24"/>
      <c r="FJA66" s="24"/>
      <c r="FJB66" s="24"/>
      <c r="FJC66" s="24"/>
      <c r="FJD66" s="24"/>
      <c r="FJE66" s="24"/>
      <c r="FJF66" s="24"/>
      <c r="FJG66" s="24"/>
      <c r="FJH66" s="24"/>
      <c r="FJI66" s="24"/>
      <c r="FJJ66" s="24"/>
      <c r="FJK66" s="24"/>
      <c r="FJL66" s="24"/>
      <c r="FJM66" s="24"/>
      <c r="FJN66" s="24"/>
      <c r="FJO66" s="24"/>
      <c r="FJP66" s="24"/>
      <c r="FJQ66" s="24"/>
      <c r="FJR66" s="24"/>
      <c r="FJS66" s="24"/>
      <c r="FJT66" s="24"/>
      <c r="FJU66" s="24"/>
      <c r="FJV66" s="24"/>
      <c r="FJW66" s="24"/>
      <c r="FJX66" s="24"/>
      <c r="FJY66" s="24"/>
      <c r="FJZ66" s="24"/>
      <c r="FKA66" s="24"/>
      <c r="FKB66" s="24"/>
      <c r="FKC66" s="24"/>
      <c r="FKD66" s="24"/>
      <c r="FKE66" s="24"/>
      <c r="FKF66" s="24"/>
      <c r="FKG66" s="24"/>
      <c r="FKH66" s="24"/>
      <c r="FKI66" s="24"/>
      <c r="FKJ66" s="24"/>
      <c r="FKK66" s="24"/>
      <c r="FKL66" s="24"/>
      <c r="FKM66" s="24"/>
      <c r="FKN66" s="24"/>
      <c r="FKO66" s="24"/>
      <c r="FKP66" s="24"/>
      <c r="FKQ66" s="24"/>
      <c r="FKR66" s="24"/>
      <c r="FKS66" s="24"/>
      <c r="FKT66" s="24"/>
      <c r="FKU66" s="24"/>
      <c r="FKV66" s="24"/>
      <c r="FKW66" s="24"/>
      <c r="FKX66" s="24"/>
      <c r="FKY66" s="24"/>
      <c r="FKZ66" s="24"/>
      <c r="FLA66" s="24"/>
      <c r="FLB66" s="24"/>
      <c r="FLC66" s="24"/>
      <c r="FLD66" s="24"/>
      <c r="FLE66" s="24"/>
      <c r="FLF66" s="24"/>
      <c r="FLG66" s="24"/>
      <c r="FLH66" s="24"/>
      <c r="FLI66" s="24"/>
      <c r="FLJ66" s="24"/>
      <c r="FLK66" s="24"/>
      <c r="FLL66" s="24"/>
      <c r="FLM66" s="24"/>
      <c r="FLN66" s="24"/>
      <c r="FLO66" s="24"/>
      <c r="FLP66" s="24"/>
      <c r="FLQ66" s="24"/>
      <c r="FLR66" s="24"/>
      <c r="FLS66" s="24"/>
      <c r="FLT66" s="24"/>
      <c r="FLU66" s="24"/>
      <c r="FLV66" s="24"/>
      <c r="FLW66" s="24"/>
      <c r="FLX66" s="24"/>
      <c r="FLY66" s="24"/>
      <c r="FLZ66" s="24"/>
      <c r="FMA66" s="24"/>
      <c r="FMB66" s="24"/>
      <c r="FMC66" s="24"/>
      <c r="FMD66" s="24"/>
      <c r="FME66" s="24"/>
      <c r="FMF66" s="24"/>
      <c r="FMG66" s="24"/>
      <c r="FMH66" s="24"/>
      <c r="FMI66" s="24"/>
      <c r="FMJ66" s="24"/>
      <c r="FMK66" s="24"/>
      <c r="FML66" s="24"/>
      <c r="FMM66" s="24"/>
      <c r="FMN66" s="24"/>
      <c r="FMO66" s="24"/>
      <c r="FMP66" s="24"/>
      <c r="FMQ66" s="24"/>
      <c r="FMR66" s="24"/>
      <c r="FMS66" s="24"/>
      <c r="FMT66" s="24"/>
      <c r="FMU66" s="24"/>
      <c r="FMV66" s="24"/>
      <c r="FMW66" s="24"/>
      <c r="FMX66" s="24"/>
      <c r="FMY66" s="24"/>
      <c r="FMZ66" s="24"/>
      <c r="FNA66" s="24"/>
      <c r="FNB66" s="24"/>
      <c r="FNC66" s="24"/>
      <c r="FND66" s="24"/>
      <c r="FNE66" s="24"/>
      <c r="FNF66" s="24"/>
      <c r="FNG66" s="24"/>
      <c r="FNH66" s="24"/>
      <c r="FNI66" s="24"/>
      <c r="FNJ66" s="24"/>
      <c r="FNK66" s="24"/>
      <c r="FNL66" s="24"/>
      <c r="FNM66" s="24"/>
      <c r="FNN66" s="24"/>
      <c r="FNO66" s="24"/>
      <c r="FNP66" s="24"/>
      <c r="FNQ66" s="24"/>
      <c r="FNR66" s="24"/>
      <c r="FNS66" s="24"/>
      <c r="FNT66" s="24"/>
      <c r="FNU66" s="24"/>
      <c r="FNV66" s="24"/>
      <c r="FNW66" s="24"/>
      <c r="FNX66" s="24"/>
      <c r="FNY66" s="24"/>
      <c r="FNZ66" s="24"/>
      <c r="FOA66" s="24"/>
      <c r="FOB66" s="24"/>
      <c r="FOC66" s="24"/>
      <c r="FOD66" s="24"/>
      <c r="FOE66" s="24"/>
      <c r="FOF66" s="24"/>
      <c r="FOG66" s="24"/>
      <c r="FOH66" s="24"/>
      <c r="FOI66" s="24"/>
      <c r="FOJ66" s="24"/>
      <c r="FOK66" s="24"/>
      <c r="FOL66" s="24"/>
      <c r="FOM66" s="24"/>
      <c r="FON66" s="24"/>
      <c r="FOO66" s="24"/>
      <c r="FOP66" s="24"/>
      <c r="FOQ66" s="24"/>
      <c r="FOR66" s="24"/>
      <c r="FOS66" s="24"/>
      <c r="FOT66" s="24"/>
      <c r="FOU66" s="24"/>
      <c r="FOV66" s="24"/>
      <c r="FOW66" s="24"/>
      <c r="FOX66" s="24"/>
      <c r="FOY66" s="24"/>
      <c r="FOZ66" s="24"/>
      <c r="FPA66" s="24"/>
      <c r="FPB66" s="24"/>
      <c r="FPC66" s="24"/>
      <c r="FPD66" s="24"/>
      <c r="FPE66" s="24"/>
      <c r="FPF66" s="24"/>
      <c r="FPG66" s="24"/>
      <c r="FPH66" s="24"/>
      <c r="FPI66" s="24"/>
      <c r="FPJ66" s="24"/>
      <c r="FPK66" s="24"/>
      <c r="FPL66" s="24"/>
      <c r="FPM66" s="24"/>
      <c r="FPN66" s="24"/>
      <c r="FPO66" s="24"/>
      <c r="FPP66" s="24"/>
      <c r="FPQ66" s="24"/>
      <c r="FPR66" s="24"/>
      <c r="FPS66" s="24"/>
      <c r="FPT66" s="24"/>
      <c r="FPU66" s="24"/>
      <c r="FPV66" s="24"/>
      <c r="FPW66" s="24"/>
      <c r="FPX66" s="24"/>
      <c r="FPY66" s="24"/>
      <c r="FPZ66" s="24"/>
      <c r="FQA66" s="24"/>
      <c r="FQB66" s="24"/>
      <c r="FQC66" s="24"/>
      <c r="FQD66" s="24"/>
      <c r="FQE66" s="24"/>
      <c r="FQF66" s="24"/>
      <c r="FQG66" s="24"/>
      <c r="FQH66" s="24"/>
      <c r="FQI66" s="24"/>
      <c r="FQJ66" s="24"/>
      <c r="FQK66" s="24"/>
      <c r="FQL66" s="24"/>
      <c r="FQM66" s="24"/>
      <c r="FQN66" s="24"/>
      <c r="FQO66" s="24"/>
      <c r="FQP66" s="24"/>
      <c r="FQQ66" s="24"/>
      <c r="FQR66" s="24"/>
      <c r="FQS66" s="24"/>
      <c r="FQT66" s="24"/>
      <c r="FQU66" s="24"/>
      <c r="FQV66" s="24"/>
      <c r="FQW66" s="24"/>
      <c r="FQX66" s="24"/>
      <c r="FQY66" s="24"/>
      <c r="FQZ66" s="24"/>
      <c r="FRA66" s="24"/>
      <c r="FRB66" s="24"/>
      <c r="FRC66" s="24"/>
      <c r="FRD66" s="24"/>
      <c r="FRE66" s="24"/>
      <c r="FRF66" s="24"/>
      <c r="FRG66" s="24"/>
      <c r="FRH66" s="24"/>
      <c r="FRI66" s="24"/>
      <c r="FRJ66" s="24"/>
      <c r="FRK66" s="24"/>
      <c r="FRL66" s="24"/>
      <c r="FRM66" s="24"/>
      <c r="FRN66" s="24"/>
      <c r="FRO66" s="24"/>
      <c r="FRP66" s="24"/>
      <c r="FRQ66" s="24"/>
      <c r="FRR66" s="24"/>
      <c r="FRS66" s="24"/>
      <c r="FRT66" s="24"/>
      <c r="FRU66" s="24"/>
      <c r="FRV66" s="24"/>
      <c r="FRW66" s="24"/>
      <c r="FRX66" s="24"/>
      <c r="FRY66" s="24"/>
      <c r="FRZ66" s="24"/>
      <c r="FSA66" s="24"/>
      <c r="FSB66" s="24"/>
      <c r="FSC66" s="24"/>
      <c r="FSD66" s="24"/>
      <c r="FSE66" s="24"/>
      <c r="FSF66" s="24"/>
      <c r="FSG66" s="24"/>
      <c r="FSH66" s="24"/>
      <c r="FSI66" s="24"/>
      <c r="FSJ66" s="24"/>
      <c r="FSK66" s="24"/>
      <c r="FSL66" s="24"/>
      <c r="FSM66" s="24"/>
      <c r="FSN66" s="24"/>
      <c r="FSO66" s="24"/>
      <c r="FSP66" s="24"/>
      <c r="FSQ66" s="24"/>
      <c r="FSR66" s="24"/>
      <c r="FSS66" s="24"/>
      <c r="FST66" s="24"/>
      <c r="FSU66" s="24"/>
      <c r="FSV66" s="24"/>
      <c r="FSW66" s="24"/>
      <c r="FSX66" s="24"/>
      <c r="FSY66" s="24"/>
      <c r="FSZ66" s="24"/>
      <c r="FTA66" s="24"/>
      <c r="FTB66" s="24"/>
      <c r="FTC66" s="24"/>
      <c r="FTD66" s="24"/>
      <c r="FTE66" s="24"/>
      <c r="FTF66" s="24"/>
      <c r="FTG66" s="24"/>
      <c r="FTH66" s="24"/>
      <c r="FTI66" s="24"/>
      <c r="FTJ66" s="24"/>
      <c r="FTK66" s="24"/>
      <c r="FTL66" s="24"/>
      <c r="FTM66" s="24"/>
      <c r="FTN66" s="24"/>
      <c r="FTO66" s="24"/>
      <c r="FTP66" s="24"/>
      <c r="FTQ66" s="24"/>
      <c r="FTR66" s="24"/>
      <c r="FTS66" s="24"/>
      <c r="FTT66" s="24"/>
      <c r="FTU66" s="24"/>
      <c r="FTV66" s="24"/>
      <c r="FTW66" s="24"/>
      <c r="FTX66" s="24"/>
      <c r="FTY66" s="24"/>
      <c r="FTZ66" s="24"/>
      <c r="FUA66" s="24"/>
      <c r="FUB66" s="24"/>
      <c r="FUC66" s="24"/>
      <c r="FUD66" s="24"/>
      <c r="FUE66" s="24"/>
      <c r="FUF66" s="24"/>
      <c r="FUG66" s="24"/>
      <c r="FUH66" s="24"/>
      <c r="FUI66" s="24"/>
      <c r="FUJ66" s="24"/>
      <c r="FUK66" s="24"/>
      <c r="FUL66" s="24"/>
      <c r="FUM66" s="24"/>
      <c r="FUN66" s="24"/>
      <c r="FUO66" s="24"/>
      <c r="FUP66" s="24"/>
      <c r="FUQ66" s="24"/>
      <c r="FUR66" s="24"/>
      <c r="FUS66" s="24"/>
      <c r="FUT66" s="24"/>
      <c r="FUU66" s="24"/>
      <c r="FUV66" s="24"/>
      <c r="FUW66" s="24"/>
      <c r="FUX66" s="24"/>
      <c r="FUY66" s="24"/>
      <c r="FUZ66" s="24"/>
      <c r="FVA66" s="24"/>
      <c r="FVB66" s="24"/>
      <c r="FVC66" s="24"/>
      <c r="FVD66" s="24"/>
      <c r="FVE66" s="24"/>
      <c r="FVF66" s="24"/>
      <c r="FVG66" s="24"/>
      <c r="FVH66" s="24"/>
      <c r="FVI66" s="24"/>
      <c r="FVJ66" s="24"/>
      <c r="FVK66" s="24"/>
      <c r="FVL66" s="24"/>
      <c r="FVM66" s="24"/>
      <c r="FVN66" s="24"/>
      <c r="FVO66" s="24"/>
      <c r="FVP66" s="24"/>
      <c r="FVQ66" s="24"/>
      <c r="FVR66" s="24"/>
      <c r="FVS66" s="24"/>
      <c r="FVT66" s="24"/>
      <c r="FVU66" s="24"/>
      <c r="FVV66" s="24"/>
      <c r="FVW66" s="24"/>
      <c r="FVX66" s="24"/>
      <c r="FVY66" s="24"/>
      <c r="FVZ66" s="24"/>
      <c r="FWA66" s="24"/>
      <c r="FWB66" s="24"/>
      <c r="FWC66" s="24"/>
      <c r="FWD66" s="24"/>
      <c r="FWE66" s="24"/>
      <c r="FWF66" s="24"/>
      <c r="FWG66" s="24"/>
      <c r="FWH66" s="24"/>
      <c r="FWI66" s="24"/>
      <c r="FWJ66" s="24"/>
      <c r="FWK66" s="24"/>
      <c r="FWL66" s="24"/>
      <c r="FWM66" s="24"/>
      <c r="FWN66" s="24"/>
      <c r="FWO66" s="24"/>
      <c r="FWP66" s="24"/>
      <c r="FWQ66" s="24"/>
      <c r="FWR66" s="24"/>
      <c r="FWS66" s="24"/>
      <c r="FWT66" s="24"/>
      <c r="FWU66" s="24"/>
      <c r="FWV66" s="24"/>
      <c r="FWW66" s="24"/>
      <c r="FWX66" s="24"/>
      <c r="FWY66" s="24"/>
      <c r="FWZ66" s="24"/>
      <c r="FXA66" s="24"/>
      <c r="FXB66" s="24"/>
      <c r="FXC66" s="24"/>
      <c r="FXD66" s="24"/>
      <c r="FXE66" s="24"/>
      <c r="FXF66" s="24"/>
      <c r="FXG66" s="24"/>
      <c r="FXH66" s="24"/>
      <c r="FXI66" s="24"/>
      <c r="FXJ66" s="24"/>
      <c r="FXK66" s="24"/>
      <c r="FXL66" s="24"/>
      <c r="FXM66" s="24"/>
      <c r="FXN66" s="24"/>
      <c r="FXO66" s="24"/>
      <c r="FXP66" s="24"/>
      <c r="FXQ66" s="24"/>
      <c r="FXR66" s="24"/>
      <c r="FXS66" s="24"/>
      <c r="FXT66" s="24"/>
      <c r="FXU66" s="24"/>
      <c r="FXV66" s="24"/>
      <c r="FXW66" s="24"/>
      <c r="FXX66" s="24"/>
      <c r="FXY66" s="24"/>
      <c r="FXZ66" s="24"/>
      <c r="FYA66" s="24"/>
      <c r="FYB66" s="24"/>
      <c r="FYC66" s="24"/>
      <c r="FYD66" s="24"/>
      <c r="FYE66" s="24"/>
      <c r="FYF66" s="24"/>
      <c r="FYG66" s="24"/>
      <c r="FYH66" s="24"/>
      <c r="FYI66" s="24"/>
      <c r="FYJ66" s="24"/>
      <c r="FYK66" s="24"/>
      <c r="FYL66" s="24"/>
      <c r="FYM66" s="24"/>
      <c r="FYN66" s="24"/>
      <c r="FYO66" s="24"/>
      <c r="FYP66" s="24"/>
      <c r="FYQ66" s="24"/>
      <c r="FYR66" s="24"/>
      <c r="FYS66" s="24"/>
      <c r="FYT66" s="24"/>
      <c r="FYU66" s="24"/>
      <c r="FYV66" s="24"/>
      <c r="FYW66" s="24"/>
      <c r="FYX66" s="24"/>
      <c r="FYY66" s="24"/>
      <c r="FYZ66" s="24"/>
      <c r="FZA66" s="24"/>
      <c r="FZB66" s="24"/>
      <c r="FZC66" s="24"/>
      <c r="FZD66" s="24"/>
      <c r="FZE66" s="24"/>
      <c r="FZF66" s="24"/>
      <c r="FZG66" s="24"/>
      <c r="FZH66" s="24"/>
      <c r="FZI66" s="24"/>
      <c r="FZJ66" s="24"/>
      <c r="FZK66" s="24"/>
      <c r="FZL66" s="24"/>
      <c r="FZM66" s="24"/>
      <c r="FZN66" s="24"/>
      <c r="FZO66" s="24"/>
      <c r="FZP66" s="24"/>
      <c r="FZQ66" s="24"/>
      <c r="FZR66" s="24"/>
      <c r="FZS66" s="24"/>
      <c r="FZT66" s="24"/>
      <c r="FZU66" s="24"/>
      <c r="FZV66" s="24"/>
      <c r="FZW66" s="24"/>
      <c r="FZX66" s="24"/>
      <c r="FZY66" s="24"/>
      <c r="FZZ66" s="24"/>
      <c r="GAA66" s="24"/>
      <c r="GAB66" s="24"/>
      <c r="GAC66" s="24"/>
      <c r="GAD66" s="24"/>
      <c r="GAE66" s="24"/>
      <c r="GAF66" s="24"/>
      <c r="GAG66" s="24"/>
      <c r="GAH66" s="24"/>
      <c r="GAI66" s="24"/>
      <c r="GAJ66" s="24"/>
      <c r="GAK66" s="24"/>
      <c r="GAL66" s="24"/>
      <c r="GAM66" s="24"/>
      <c r="GAN66" s="24"/>
      <c r="GAO66" s="24"/>
      <c r="GAP66" s="24"/>
      <c r="GAQ66" s="24"/>
      <c r="GAR66" s="24"/>
      <c r="GAS66" s="24"/>
      <c r="GAT66" s="24"/>
      <c r="GAU66" s="24"/>
      <c r="GAV66" s="24"/>
      <c r="GAW66" s="24"/>
      <c r="GAX66" s="24"/>
      <c r="GAY66" s="24"/>
      <c r="GAZ66" s="24"/>
      <c r="GBA66" s="24"/>
      <c r="GBB66" s="24"/>
      <c r="GBC66" s="24"/>
      <c r="GBD66" s="24"/>
      <c r="GBE66" s="24"/>
      <c r="GBF66" s="24"/>
      <c r="GBG66" s="24"/>
      <c r="GBH66" s="24"/>
      <c r="GBI66" s="24"/>
      <c r="GBJ66" s="24"/>
      <c r="GBK66" s="24"/>
      <c r="GBL66" s="24"/>
      <c r="GBM66" s="24"/>
      <c r="GBN66" s="24"/>
      <c r="GBO66" s="24"/>
      <c r="GBP66" s="24"/>
      <c r="GBQ66" s="24"/>
      <c r="GBR66" s="24"/>
      <c r="GBS66" s="24"/>
      <c r="GBT66" s="24"/>
      <c r="GBU66" s="24"/>
      <c r="GBV66" s="24"/>
      <c r="GBW66" s="24"/>
      <c r="GBX66" s="24"/>
      <c r="GBY66" s="24"/>
      <c r="GBZ66" s="24"/>
      <c r="GCA66" s="24"/>
      <c r="GCB66" s="24"/>
      <c r="GCC66" s="24"/>
      <c r="GCD66" s="24"/>
      <c r="GCE66" s="24"/>
      <c r="GCF66" s="24"/>
      <c r="GCG66" s="24"/>
      <c r="GCH66" s="24"/>
      <c r="GCI66" s="24"/>
      <c r="GCJ66" s="24"/>
      <c r="GCK66" s="24"/>
      <c r="GCL66" s="24"/>
      <c r="GCM66" s="24"/>
      <c r="GCN66" s="24"/>
      <c r="GCO66" s="24"/>
      <c r="GCP66" s="24"/>
      <c r="GCQ66" s="24"/>
      <c r="GCR66" s="24"/>
      <c r="GCS66" s="24"/>
      <c r="GCT66" s="24"/>
      <c r="GCU66" s="24"/>
      <c r="GCV66" s="24"/>
      <c r="GCW66" s="24"/>
      <c r="GCX66" s="24"/>
      <c r="GCY66" s="24"/>
      <c r="GCZ66" s="24"/>
      <c r="GDA66" s="24"/>
      <c r="GDB66" s="24"/>
      <c r="GDC66" s="24"/>
      <c r="GDD66" s="24"/>
      <c r="GDE66" s="24"/>
      <c r="GDF66" s="24"/>
      <c r="GDG66" s="24"/>
      <c r="GDH66" s="24"/>
      <c r="GDI66" s="24"/>
      <c r="GDJ66" s="24"/>
      <c r="GDK66" s="24"/>
      <c r="GDL66" s="24"/>
      <c r="GDM66" s="24"/>
      <c r="GDN66" s="24"/>
      <c r="GDO66" s="24"/>
      <c r="GDP66" s="24"/>
      <c r="GDQ66" s="24"/>
      <c r="GDR66" s="24"/>
      <c r="GDS66" s="24"/>
      <c r="GDT66" s="24"/>
      <c r="GDU66" s="24"/>
      <c r="GDV66" s="24"/>
      <c r="GDW66" s="24"/>
      <c r="GDX66" s="24"/>
      <c r="GDY66" s="24"/>
      <c r="GDZ66" s="24"/>
      <c r="GEA66" s="24"/>
      <c r="GEB66" s="24"/>
      <c r="GEC66" s="24"/>
      <c r="GED66" s="24"/>
      <c r="GEE66" s="24"/>
      <c r="GEF66" s="24"/>
      <c r="GEG66" s="24"/>
      <c r="GEH66" s="24"/>
      <c r="GEI66" s="24"/>
      <c r="GEJ66" s="24"/>
      <c r="GEK66" s="24"/>
      <c r="GEL66" s="24"/>
      <c r="GEM66" s="24"/>
      <c r="GEN66" s="24"/>
      <c r="GEO66" s="24"/>
      <c r="GEP66" s="24"/>
      <c r="GEQ66" s="24"/>
      <c r="GER66" s="24"/>
      <c r="GES66" s="24"/>
      <c r="GET66" s="24"/>
      <c r="GEU66" s="24"/>
      <c r="GEV66" s="24"/>
      <c r="GEW66" s="24"/>
      <c r="GEX66" s="24"/>
      <c r="GEY66" s="24"/>
      <c r="GEZ66" s="24"/>
      <c r="GFA66" s="24"/>
      <c r="GFB66" s="24"/>
      <c r="GFC66" s="24"/>
      <c r="GFD66" s="24"/>
      <c r="GFE66" s="24"/>
      <c r="GFF66" s="24"/>
      <c r="GFG66" s="24"/>
      <c r="GFH66" s="24"/>
      <c r="GFI66" s="24"/>
      <c r="GFJ66" s="24"/>
      <c r="GFK66" s="24"/>
      <c r="GFL66" s="24"/>
      <c r="GFM66" s="24"/>
      <c r="GFN66" s="24"/>
      <c r="GFO66" s="24"/>
      <c r="GFP66" s="24"/>
      <c r="GFQ66" s="24"/>
      <c r="GFR66" s="24"/>
      <c r="GFS66" s="24"/>
      <c r="GFT66" s="24"/>
      <c r="GFU66" s="24"/>
      <c r="GFV66" s="24"/>
      <c r="GFW66" s="24"/>
      <c r="GFX66" s="24"/>
      <c r="GFY66" s="24"/>
      <c r="GFZ66" s="24"/>
      <c r="GGA66" s="24"/>
      <c r="GGB66" s="24"/>
      <c r="GGC66" s="24"/>
      <c r="GGD66" s="24"/>
      <c r="GGE66" s="24"/>
      <c r="GGF66" s="24"/>
      <c r="GGG66" s="24"/>
      <c r="GGH66" s="24"/>
      <c r="GGI66" s="24"/>
      <c r="GGJ66" s="24"/>
      <c r="GGK66" s="24"/>
      <c r="GGL66" s="24"/>
      <c r="GGM66" s="24"/>
      <c r="GGN66" s="24"/>
      <c r="GGO66" s="24"/>
      <c r="GGP66" s="24"/>
      <c r="GGQ66" s="24"/>
      <c r="GGR66" s="24"/>
      <c r="GGS66" s="24"/>
      <c r="GGT66" s="24"/>
      <c r="GGU66" s="24"/>
      <c r="GGV66" s="24"/>
      <c r="GGW66" s="24"/>
      <c r="GGX66" s="24"/>
      <c r="GGY66" s="24"/>
      <c r="GGZ66" s="24"/>
      <c r="GHA66" s="24"/>
      <c r="GHB66" s="24"/>
      <c r="GHC66" s="24"/>
      <c r="GHD66" s="24"/>
      <c r="GHE66" s="24"/>
      <c r="GHF66" s="24"/>
      <c r="GHG66" s="24"/>
      <c r="GHH66" s="24"/>
      <c r="GHI66" s="24"/>
      <c r="GHJ66" s="24"/>
      <c r="GHK66" s="24"/>
      <c r="GHL66" s="24"/>
      <c r="GHM66" s="24"/>
      <c r="GHN66" s="24"/>
      <c r="GHO66" s="24"/>
      <c r="GHP66" s="24"/>
      <c r="GHQ66" s="24"/>
      <c r="GHR66" s="24"/>
      <c r="GHS66" s="24"/>
      <c r="GHT66" s="24"/>
      <c r="GHU66" s="24"/>
      <c r="GHV66" s="24"/>
      <c r="GHW66" s="24"/>
      <c r="GHX66" s="24"/>
      <c r="GHY66" s="24"/>
      <c r="GHZ66" s="24"/>
      <c r="GIA66" s="24"/>
      <c r="GIB66" s="24"/>
      <c r="GIC66" s="24"/>
      <c r="GID66" s="24"/>
      <c r="GIE66" s="24"/>
      <c r="GIF66" s="24"/>
      <c r="GIG66" s="24"/>
      <c r="GIH66" s="24"/>
      <c r="GII66" s="24"/>
      <c r="GIJ66" s="24"/>
      <c r="GIK66" s="24"/>
      <c r="GIL66" s="24"/>
      <c r="GIM66" s="24"/>
      <c r="GIN66" s="24"/>
      <c r="GIO66" s="24"/>
      <c r="GIP66" s="24"/>
      <c r="GIQ66" s="24"/>
      <c r="GIR66" s="24"/>
      <c r="GIS66" s="24"/>
      <c r="GIT66" s="24"/>
      <c r="GIU66" s="24"/>
      <c r="GIV66" s="24"/>
      <c r="GIW66" s="24"/>
      <c r="GIX66" s="24"/>
      <c r="GIY66" s="24"/>
      <c r="GIZ66" s="24"/>
      <c r="GJA66" s="24"/>
      <c r="GJB66" s="24"/>
      <c r="GJC66" s="24"/>
      <c r="GJD66" s="24"/>
      <c r="GJE66" s="24"/>
      <c r="GJF66" s="24"/>
      <c r="GJG66" s="24"/>
      <c r="GJH66" s="24"/>
      <c r="GJI66" s="24"/>
      <c r="GJJ66" s="24"/>
      <c r="GJK66" s="24"/>
      <c r="GJL66" s="24"/>
      <c r="GJM66" s="24"/>
      <c r="GJN66" s="24"/>
      <c r="GJO66" s="24"/>
      <c r="GJP66" s="24"/>
      <c r="GJQ66" s="24"/>
      <c r="GJR66" s="24"/>
      <c r="GJS66" s="24"/>
      <c r="GJT66" s="24"/>
      <c r="GJU66" s="24"/>
      <c r="GJV66" s="24"/>
      <c r="GJW66" s="24"/>
      <c r="GJX66" s="24"/>
      <c r="GJY66" s="24"/>
      <c r="GJZ66" s="24"/>
      <c r="GKA66" s="24"/>
      <c r="GKB66" s="24"/>
      <c r="GKC66" s="24"/>
      <c r="GKD66" s="24"/>
      <c r="GKE66" s="24"/>
      <c r="GKF66" s="24"/>
      <c r="GKG66" s="24"/>
      <c r="GKH66" s="24"/>
      <c r="GKI66" s="24"/>
      <c r="GKJ66" s="24"/>
      <c r="GKK66" s="24"/>
      <c r="GKL66" s="24"/>
      <c r="GKM66" s="24"/>
      <c r="GKN66" s="24"/>
      <c r="GKO66" s="24"/>
      <c r="GKP66" s="24"/>
      <c r="GKQ66" s="24"/>
      <c r="GKR66" s="24"/>
      <c r="GKS66" s="24"/>
      <c r="GKT66" s="24"/>
      <c r="GKU66" s="24"/>
      <c r="GKV66" s="24"/>
      <c r="GKW66" s="24"/>
      <c r="GKX66" s="24"/>
      <c r="GKY66" s="24"/>
      <c r="GKZ66" s="24"/>
      <c r="GLA66" s="24"/>
      <c r="GLB66" s="24"/>
      <c r="GLC66" s="24"/>
      <c r="GLD66" s="24"/>
      <c r="GLE66" s="24"/>
      <c r="GLF66" s="24"/>
      <c r="GLG66" s="24"/>
      <c r="GLH66" s="24"/>
      <c r="GLI66" s="24"/>
      <c r="GLJ66" s="24"/>
      <c r="GLK66" s="24"/>
      <c r="GLL66" s="24"/>
      <c r="GLM66" s="24"/>
      <c r="GLN66" s="24"/>
      <c r="GLO66" s="24"/>
      <c r="GLP66" s="24"/>
      <c r="GLQ66" s="24"/>
      <c r="GLR66" s="24"/>
      <c r="GLS66" s="24"/>
      <c r="GLT66" s="24"/>
      <c r="GLU66" s="24"/>
      <c r="GLV66" s="24"/>
      <c r="GLW66" s="24"/>
      <c r="GLX66" s="24"/>
      <c r="GLY66" s="24"/>
      <c r="GLZ66" s="24"/>
      <c r="GMA66" s="24"/>
      <c r="GMB66" s="24"/>
      <c r="GMC66" s="24"/>
      <c r="GMD66" s="24"/>
      <c r="GME66" s="24"/>
      <c r="GMF66" s="24"/>
      <c r="GMG66" s="24"/>
      <c r="GMH66" s="24"/>
      <c r="GMI66" s="24"/>
      <c r="GMJ66" s="24"/>
      <c r="GMK66" s="24"/>
      <c r="GML66" s="24"/>
      <c r="GMM66" s="24"/>
      <c r="GMN66" s="24"/>
      <c r="GMO66" s="24"/>
      <c r="GMP66" s="24"/>
      <c r="GMQ66" s="24"/>
      <c r="GMR66" s="24"/>
      <c r="GMS66" s="24"/>
      <c r="GMT66" s="24"/>
      <c r="GMU66" s="24"/>
      <c r="GMV66" s="24"/>
      <c r="GMW66" s="24"/>
      <c r="GMX66" s="24"/>
      <c r="GMY66" s="24"/>
      <c r="GMZ66" s="24"/>
      <c r="GNA66" s="24"/>
      <c r="GNB66" s="24"/>
      <c r="GNC66" s="24"/>
      <c r="GND66" s="24"/>
      <c r="GNE66" s="24"/>
      <c r="GNF66" s="24"/>
      <c r="GNG66" s="24"/>
      <c r="GNH66" s="24"/>
      <c r="GNI66" s="24"/>
      <c r="GNJ66" s="24"/>
      <c r="GNK66" s="24"/>
      <c r="GNL66" s="24"/>
      <c r="GNM66" s="24"/>
      <c r="GNN66" s="24"/>
      <c r="GNO66" s="24"/>
      <c r="GNP66" s="24"/>
      <c r="GNQ66" s="24"/>
      <c r="GNR66" s="24"/>
      <c r="GNS66" s="24"/>
      <c r="GNT66" s="24"/>
      <c r="GNU66" s="24"/>
      <c r="GNV66" s="24"/>
      <c r="GNW66" s="24"/>
      <c r="GNX66" s="24"/>
      <c r="GNY66" s="24"/>
      <c r="GNZ66" s="24"/>
      <c r="GOA66" s="24"/>
      <c r="GOB66" s="24"/>
      <c r="GOC66" s="24"/>
      <c r="GOD66" s="24"/>
      <c r="GOE66" s="24"/>
      <c r="GOF66" s="24"/>
      <c r="GOG66" s="24"/>
      <c r="GOH66" s="24"/>
      <c r="GOI66" s="24"/>
      <c r="GOJ66" s="24"/>
      <c r="GOK66" s="24"/>
      <c r="GOL66" s="24"/>
      <c r="GOM66" s="24"/>
      <c r="GON66" s="24"/>
      <c r="GOO66" s="24"/>
      <c r="GOP66" s="24"/>
      <c r="GOQ66" s="24"/>
      <c r="GOR66" s="24"/>
      <c r="GOS66" s="24"/>
      <c r="GOT66" s="24"/>
      <c r="GOU66" s="24"/>
      <c r="GOV66" s="24"/>
      <c r="GOW66" s="24"/>
      <c r="GOX66" s="24"/>
      <c r="GOY66" s="24"/>
      <c r="GOZ66" s="24"/>
      <c r="GPA66" s="24"/>
      <c r="GPB66" s="24"/>
      <c r="GPC66" s="24"/>
      <c r="GPD66" s="24"/>
      <c r="GPE66" s="24"/>
      <c r="GPF66" s="24"/>
      <c r="GPG66" s="24"/>
      <c r="GPH66" s="24"/>
      <c r="GPI66" s="24"/>
      <c r="GPJ66" s="24"/>
      <c r="GPK66" s="24"/>
      <c r="GPL66" s="24"/>
      <c r="GPM66" s="24"/>
      <c r="GPN66" s="24"/>
      <c r="GPO66" s="24"/>
      <c r="GPP66" s="24"/>
      <c r="GPQ66" s="24"/>
      <c r="GPR66" s="24"/>
      <c r="GPS66" s="24"/>
      <c r="GPT66" s="24"/>
      <c r="GPU66" s="24"/>
      <c r="GPV66" s="24"/>
      <c r="GPW66" s="24"/>
      <c r="GPX66" s="24"/>
      <c r="GPY66" s="24"/>
      <c r="GPZ66" s="24"/>
      <c r="GQA66" s="24"/>
      <c r="GQB66" s="24"/>
      <c r="GQC66" s="24"/>
      <c r="GQD66" s="24"/>
      <c r="GQE66" s="24"/>
      <c r="GQF66" s="24"/>
      <c r="GQG66" s="24"/>
      <c r="GQH66" s="24"/>
      <c r="GQI66" s="24"/>
      <c r="GQJ66" s="24"/>
      <c r="GQK66" s="24"/>
      <c r="GQL66" s="24"/>
      <c r="GQM66" s="24"/>
      <c r="GQN66" s="24"/>
      <c r="GQO66" s="24"/>
      <c r="GQP66" s="24"/>
      <c r="GQQ66" s="24"/>
      <c r="GQR66" s="24"/>
      <c r="GQS66" s="24"/>
      <c r="GQT66" s="24"/>
      <c r="GQU66" s="24"/>
      <c r="GQV66" s="24"/>
      <c r="GQW66" s="24"/>
      <c r="GQX66" s="24"/>
      <c r="GQY66" s="24"/>
      <c r="GQZ66" s="24"/>
      <c r="GRA66" s="24"/>
      <c r="GRB66" s="24"/>
      <c r="GRC66" s="24"/>
      <c r="GRD66" s="24"/>
      <c r="GRE66" s="24"/>
      <c r="GRF66" s="24"/>
      <c r="GRG66" s="24"/>
      <c r="GRH66" s="24"/>
      <c r="GRI66" s="24"/>
      <c r="GRJ66" s="24"/>
      <c r="GRK66" s="24"/>
      <c r="GRL66" s="24"/>
      <c r="GRM66" s="24"/>
      <c r="GRN66" s="24"/>
      <c r="GRO66" s="24"/>
      <c r="GRP66" s="24"/>
      <c r="GRQ66" s="24"/>
      <c r="GRR66" s="24"/>
      <c r="GRS66" s="24"/>
      <c r="GRT66" s="24"/>
      <c r="GRU66" s="24"/>
      <c r="GRV66" s="24"/>
      <c r="GRW66" s="24"/>
      <c r="GRX66" s="24"/>
      <c r="GRY66" s="24"/>
      <c r="GRZ66" s="24"/>
      <c r="GSA66" s="24"/>
      <c r="GSB66" s="24"/>
      <c r="GSC66" s="24"/>
      <c r="GSD66" s="24"/>
      <c r="GSE66" s="24"/>
      <c r="GSF66" s="24"/>
      <c r="GSG66" s="24"/>
      <c r="GSH66" s="24"/>
      <c r="GSI66" s="24"/>
      <c r="GSJ66" s="24"/>
      <c r="GSK66" s="24"/>
      <c r="GSL66" s="24"/>
      <c r="GSM66" s="24"/>
      <c r="GSN66" s="24"/>
      <c r="GSO66" s="24"/>
      <c r="GSP66" s="24"/>
      <c r="GSQ66" s="24"/>
      <c r="GSR66" s="24"/>
      <c r="GSS66" s="24"/>
      <c r="GST66" s="24"/>
      <c r="GSU66" s="24"/>
      <c r="GSV66" s="24"/>
      <c r="GSW66" s="24"/>
      <c r="GSX66" s="24"/>
      <c r="GSY66" s="24"/>
      <c r="GSZ66" s="24"/>
      <c r="GTA66" s="24"/>
      <c r="GTB66" s="24"/>
      <c r="GTC66" s="24"/>
      <c r="GTD66" s="24"/>
      <c r="GTE66" s="24"/>
      <c r="GTF66" s="24"/>
      <c r="GTG66" s="24"/>
      <c r="GTH66" s="24"/>
      <c r="GTI66" s="24"/>
      <c r="GTJ66" s="24"/>
      <c r="GTK66" s="24"/>
      <c r="GTL66" s="24"/>
      <c r="GTM66" s="24"/>
      <c r="GTN66" s="24"/>
      <c r="GTO66" s="24"/>
      <c r="GTP66" s="24"/>
      <c r="GTQ66" s="24"/>
      <c r="GTR66" s="24"/>
      <c r="GTS66" s="24"/>
      <c r="GTT66" s="24"/>
      <c r="GTU66" s="24"/>
      <c r="GTV66" s="24"/>
      <c r="GTW66" s="24"/>
      <c r="GTX66" s="24"/>
      <c r="GTY66" s="24"/>
      <c r="GTZ66" s="24"/>
      <c r="GUA66" s="24"/>
      <c r="GUB66" s="24"/>
      <c r="GUC66" s="24"/>
      <c r="GUD66" s="24"/>
      <c r="GUE66" s="24"/>
      <c r="GUF66" s="24"/>
      <c r="GUG66" s="24"/>
      <c r="GUH66" s="24"/>
      <c r="GUI66" s="24"/>
      <c r="GUJ66" s="24"/>
      <c r="GUK66" s="24"/>
      <c r="GUL66" s="24"/>
      <c r="GUM66" s="24"/>
      <c r="GUN66" s="24"/>
      <c r="GUO66" s="24"/>
      <c r="GUP66" s="24"/>
      <c r="GUQ66" s="24"/>
      <c r="GUR66" s="24"/>
      <c r="GUS66" s="24"/>
      <c r="GUT66" s="24"/>
      <c r="GUU66" s="24"/>
      <c r="GUV66" s="24"/>
      <c r="GUW66" s="24"/>
      <c r="GUX66" s="24"/>
      <c r="GUY66" s="24"/>
      <c r="GUZ66" s="24"/>
      <c r="GVA66" s="24"/>
      <c r="GVB66" s="24"/>
      <c r="GVC66" s="24"/>
      <c r="GVD66" s="24"/>
      <c r="GVE66" s="24"/>
      <c r="GVF66" s="24"/>
      <c r="GVG66" s="24"/>
      <c r="GVH66" s="24"/>
      <c r="GVI66" s="24"/>
      <c r="GVJ66" s="24"/>
      <c r="GVK66" s="24"/>
      <c r="GVL66" s="24"/>
      <c r="GVM66" s="24"/>
      <c r="GVN66" s="24"/>
      <c r="GVO66" s="24"/>
      <c r="GVP66" s="24"/>
      <c r="GVQ66" s="24"/>
      <c r="GVR66" s="24"/>
      <c r="GVS66" s="24"/>
      <c r="GVT66" s="24"/>
      <c r="GVU66" s="24"/>
      <c r="GVV66" s="24"/>
      <c r="GVW66" s="24"/>
      <c r="GVX66" s="24"/>
      <c r="GVY66" s="24"/>
      <c r="GVZ66" s="24"/>
      <c r="GWA66" s="24"/>
      <c r="GWB66" s="24"/>
      <c r="GWC66" s="24"/>
      <c r="GWD66" s="24"/>
      <c r="GWE66" s="24"/>
      <c r="GWF66" s="24"/>
      <c r="GWG66" s="24"/>
      <c r="GWH66" s="24"/>
      <c r="GWI66" s="24"/>
      <c r="GWJ66" s="24"/>
      <c r="GWK66" s="24"/>
      <c r="GWL66" s="24"/>
      <c r="GWM66" s="24"/>
      <c r="GWN66" s="24"/>
      <c r="GWO66" s="24"/>
      <c r="GWP66" s="24"/>
      <c r="GWQ66" s="24"/>
      <c r="GWR66" s="24"/>
      <c r="GWS66" s="24"/>
      <c r="GWT66" s="24"/>
      <c r="GWU66" s="24"/>
      <c r="GWV66" s="24"/>
      <c r="GWW66" s="24"/>
      <c r="GWX66" s="24"/>
      <c r="GWY66" s="24"/>
      <c r="GWZ66" s="24"/>
      <c r="GXA66" s="24"/>
      <c r="GXB66" s="24"/>
      <c r="GXC66" s="24"/>
      <c r="GXD66" s="24"/>
      <c r="GXE66" s="24"/>
      <c r="GXF66" s="24"/>
      <c r="GXG66" s="24"/>
      <c r="GXH66" s="24"/>
      <c r="GXI66" s="24"/>
      <c r="GXJ66" s="24"/>
      <c r="GXK66" s="24"/>
      <c r="GXL66" s="24"/>
      <c r="GXM66" s="24"/>
      <c r="GXN66" s="24"/>
      <c r="GXO66" s="24"/>
      <c r="GXP66" s="24"/>
      <c r="GXQ66" s="24"/>
      <c r="GXR66" s="24"/>
      <c r="GXS66" s="24"/>
      <c r="GXT66" s="24"/>
      <c r="GXU66" s="24"/>
      <c r="GXV66" s="24"/>
      <c r="GXW66" s="24"/>
      <c r="GXX66" s="24"/>
      <c r="GXY66" s="24"/>
      <c r="GXZ66" s="24"/>
      <c r="GYA66" s="24"/>
      <c r="GYB66" s="24"/>
      <c r="GYC66" s="24"/>
      <c r="GYD66" s="24"/>
      <c r="GYE66" s="24"/>
      <c r="GYF66" s="24"/>
      <c r="GYG66" s="24"/>
      <c r="GYH66" s="24"/>
      <c r="GYI66" s="24"/>
      <c r="GYJ66" s="24"/>
      <c r="GYK66" s="24"/>
      <c r="GYL66" s="24"/>
      <c r="GYM66" s="24"/>
      <c r="GYN66" s="24"/>
      <c r="GYO66" s="24"/>
      <c r="GYP66" s="24"/>
      <c r="GYQ66" s="24"/>
      <c r="GYR66" s="24"/>
      <c r="GYS66" s="24"/>
      <c r="GYT66" s="24"/>
      <c r="GYU66" s="24"/>
      <c r="GYV66" s="24"/>
      <c r="GYW66" s="24"/>
      <c r="GYX66" s="24"/>
      <c r="GYY66" s="24"/>
      <c r="GYZ66" s="24"/>
      <c r="GZA66" s="24"/>
      <c r="GZB66" s="24"/>
      <c r="GZC66" s="24"/>
      <c r="GZD66" s="24"/>
      <c r="GZE66" s="24"/>
      <c r="GZF66" s="24"/>
      <c r="GZG66" s="24"/>
      <c r="GZH66" s="24"/>
      <c r="GZI66" s="24"/>
      <c r="GZJ66" s="24"/>
      <c r="GZK66" s="24"/>
      <c r="GZL66" s="24"/>
      <c r="GZM66" s="24"/>
      <c r="GZN66" s="24"/>
      <c r="GZO66" s="24"/>
      <c r="GZP66" s="24"/>
      <c r="GZQ66" s="24"/>
      <c r="GZR66" s="24"/>
      <c r="GZS66" s="24"/>
      <c r="GZT66" s="24"/>
      <c r="GZU66" s="24"/>
      <c r="GZV66" s="24"/>
      <c r="GZW66" s="24"/>
      <c r="GZX66" s="24"/>
      <c r="GZY66" s="24"/>
      <c r="GZZ66" s="24"/>
      <c r="HAA66" s="24"/>
      <c r="HAB66" s="24"/>
      <c r="HAC66" s="24"/>
      <c r="HAD66" s="24"/>
      <c r="HAE66" s="24"/>
      <c r="HAF66" s="24"/>
      <c r="HAG66" s="24"/>
      <c r="HAH66" s="24"/>
      <c r="HAI66" s="24"/>
      <c r="HAJ66" s="24"/>
      <c r="HAK66" s="24"/>
      <c r="HAL66" s="24"/>
      <c r="HAM66" s="24"/>
      <c r="HAN66" s="24"/>
      <c r="HAO66" s="24"/>
      <c r="HAP66" s="24"/>
      <c r="HAQ66" s="24"/>
      <c r="HAR66" s="24"/>
      <c r="HAS66" s="24"/>
      <c r="HAT66" s="24"/>
      <c r="HAU66" s="24"/>
      <c r="HAV66" s="24"/>
      <c r="HAW66" s="24"/>
      <c r="HAX66" s="24"/>
      <c r="HAY66" s="24"/>
      <c r="HAZ66" s="24"/>
      <c r="HBA66" s="24"/>
      <c r="HBB66" s="24"/>
      <c r="HBC66" s="24"/>
      <c r="HBD66" s="24"/>
      <c r="HBE66" s="24"/>
      <c r="HBF66" s="24"/>
      <c r="HBG66" s="24"/>
      <c r="HBH66" s="24"/>
      <c r="HBI66" s="24"/>
      <c r="HBJ66" s="24"/>
      <c r="HBK66" s="24"/>
      <c r="HBL66" s="24"/>
      <c r="HBM66" s="24"/>
      <c r="HBN66" s="24"/>
      <c r="HBO66" s="24"/>
      <c r="HBP66" s="24"/>
      <c r="HBQ66" s="24"/>
      <c r="HBR66" s="24"/>
      <c r="HBS66" s="24"/>
      <c r="HBT66" s="24"/>
      <c r="HBU66" s="24"/>
      <c r="HBV66" s="24"/>
      <c r="HBW66" s="24"/>
      <c r="HBX66" s="24"/>
      <c r="HBY66" s="24"/>
      <c r="HBZ66" s="24"/>
      <c r="HCA66" s="24"/>
      <c r="HCB66" s="24"/>
      <c r="HCC66" s="24"/>
      <c r="HCD66" s="24"/>
      <c r="HCE66" s="24"/>
      <c r="HCF66" s="24"/>
      <c r="HCG66" s="24"/>
      <c r="HCH66" s="24"/>
      <c r="HCI66" s="24"/>
      <c r="HCJ66" s="24"/>
      <c r="HCK66" s="24"/>
      <c r="HCL66" s="24"/>
      <c r="HCM66" s="24"/>
      <c r="HCN66" s="24"/>
      <c r="HCO66" s="24"/>
      <c r="HCP66" s="24"/>
      <c r="HCQ66" s="24"/>
      <c r="HCR66" s="24"/>
      <c r="HCS66" s="24"/>
      <c r="HCT66" s="24"/>
      <c r="HCU66" s="24"/>
      <c r="HCV66" s="24"/>
      <c r="HCW66" s="24"/>
      <c r="HCX66" s="24"/>
      <c r="HCY66" s="24"/>
      <c r="HCZ66" s="24"/>
      <c r="HDA66" s="24"/>
      <c r="HDB66" s="24"/>
      <c r="HDC66" s="24"/>
      <c r="HDD66" s="24"/>
      <c r="HDE66" s="24"/>
      <c r="HDF66" s="24"/>
      <c r="HDG66" s="24"/>
      <c r="HDH66" s="24"/>
      <c r="HDI66" s="24"/>
      <c r="HDJ66" s="24"/>
      <c r="HDK66" s="24"/>
      <c r="HDL66" s="24"/>
      <c r="HDM66" s="24"/>
      <c r="HDN66" s="24"/>
      <c r="HDO66" s="24"/>
      <c r="HDP66" s="24"/>
      <c r="HDQ66" s="24"/>
      <c r="HDR66" s="24"/>
      <c r="HDS66" s="24"/>
      <c r="HDT66" s="24"/>
      <c r="HDU66" s="24"/>
      <c r="HDV66" s="24"/>
      <c r="HDW66" s="24"/>
      <c r="HDX66" s="24"/>
      <c r="HDY66" s="24"/>
      <c r="HDZ66" s="24"/>
      <c r="HEA66" s="24"/>
      <c r="HEB66" s="24"/>
      <c r="HEC66" s="24"/>
      <c r="HED66" s="24"/>
      <c r="HEE66" s="24"/>
      <c r="HEF66" s="24"/>
      <c r="HEG66" s="24"/>
      <c r="HEH66" s="24"/>
      <c r="HEI66" s="24"/>
      <c r="HEJ66" s="24"/>
      <c r="HEK66" s="24"/>
      <c r="HEL66" s="24"/>
      <c r="HEM66" s="24"/>
      <c r="HEN66" s="24"/>
      <c r="HEO66" s="24"/>
      <c r="HEP66" s="24"/>
      <c r="HEQ66" s="24"/>
      <c r="HER66" s="24"/>
      <c r="HES66" s="24"/>
      <c r="HET66" s="24"/>
      <c r="HEU66" s="24"/>
      <c r="HEV66" s="24"/>
      <c r="HEW66" s="24"/>
      <c r="HEX66" s="24"/>
      <c r="HEY66" s="24"/>
      <c r="HEZ66" s="24"/>
      <c r="HFA66" s="24"/>
      <c r="HFB66" s="24"/>
      <c r="HFC66" s="24"/>
      <c r="HFD66" s="24"/>
      <c r="HFE66" s="24"/>
      <c r="HFF66" s="24"/>
      <c r="HFG66" s="24"/>
      <c r="HFH66" s="24"/>
      <c r="HFI66" s="24"/>
      <c r="HFJ66" s="24"/>
      <c r="HFK66" s="24"/>
      <c r="HFL66" s="24"/>
      <c r="HFM66" s="24"/>
      <c r="HFN66" s="24"/>
      <c r="HFO66" s="24"/>
      <c r="HFP66" s="24"/>
      <c r="HFQ66" s="24"/>
      <c r="HFR66" s="24"/>
      <c r="HFS66" s="24"/>
      <c r="HFT66" s="24"/>
      <c r="HFU66" s="24"/>
      <c r="HFV66" s="24"/>
      <c r="HFW66" s="24"/>
      <c r="HFX66" s="24"/>
      <c r="HFY66" s="24"/>
      <c r="HFZ66" s="24"/>
      <c r="HGA66" s="24"/>
      <c r="HGB66" s="24"/>
      <c r="HGC66" s="24"/>
      <c r="HGD66" s="24"/>
      <c r="HGE66" s="24"/>
      <c r="HGF66" s="24"/>
      <c r="HGG66" s="24"/>
      <c r="HGH66" s="24"/>
      <c r="HGI66" s="24"/>
      <c r="HGJ66" s="24"/>
      <c r="HGK66" s="24"/>
      <c r="HGL66" s="24"/>
      <c r="HGM66" s="24"/>
      <c r="HGN66" s="24"/>
      <c r="HGO66" s="24"/>
      <c r="HGP66" s="24"/>
      <c r="HGQ66" s="24"/>
      <c r="HGR66" s="24"/>
      <c r="HGS66" s="24"/>
      <c r="HGT66" s="24"/>
      <c r="HGU66" s="24"/>
      <c r="HGV66" s="24"/>
      <c r="HGW66" s="24"/>
      <c r="HGX66" s="24"/>
      <c r="HGY66" s="24"/>
      <c r="HGZ66" s="24"/>
      <c r="HHA66" s="24"/>
      <c r="HHB66" s="24"/>
      <c r="HHC66" s="24"/>
      <c r="HHD66" s="24"/>
      <c r="HHE66" s="24"/>
      <c r="HHF66" s="24"/>
      <c r="HHG66" s="24"/>
      <c r="HHH66" s="24"/>
      <c r="HHI66" s="24"/>
      <c r="HHJ66" s="24"/>
      <c r="HHK66" s="24"/>
      <c r="HHL66" s="24"/>
      <c r="HHM66" s="24"/>
      <c r="HHN66" s="24"/>
      <c r="HHO66" s="24"/>
      <c r="HHP66" s="24"/>
      <c r="HHQ66" s="24"/>
      <c r="HHR66" s="24"/>
      <c r="HHS66" s="24"/>
      <c r="HHT66" s="24"/>
      <c r="HHU66" s="24"/>
      <c r="HHV66" s="24"/>
      <c r="HHW66" s="24"/>
      <c r="HHX66" s="24"/>
      <c r="HHY66" s="24"/>
      <c r="HHZ66" s="24"/>
      <c r="HIA66" s="24"/>
      <c r="HIB66" s="24"/>
      <c r="HIC66" s="24"/>
      <c r="HID66" s="24"/>
      <c r="HIE66" s="24"/>
      <c r="HIF66" s="24"/>
      <c r="HIG66" s="24"/>
      <c r="HIH66" s="24"/>
      <c r="HII66" s="24"/>
      <c r="HIJ66" s="24"/>
      <c r="HIK66" s="24"/>
      <c r="HIL66" s="24"/>
      <c r="HIM66" s="24"/>
      <c r="HIN66" s="24"/>
      <c r="HIO66" s="24"/>
      <c r="HIP66" s="24"/>
      <c r="HIQ66" s="24"/>
      <c r="HIR66" s="24"/>
      <c r="HIS66" s="24"/>
      <c r="HIT66" s="24"/>
      <c r="HIU66" s="24"/>
      <c r="HIV66" s="24"/>
      <c r="HIW66" s="24"/>
      <c r="HIX66" s="24"/>
      <c r="HIY66" s="24"/>
      <c r="HIZ66" s="24"/>
      <c r="HJA66" s="24"/>
      <c r="HJB66" s="24"/>
      <c r="HJC66" s="24"/>
      <c r="HJD66" s="24"/>
      <c r="HJE66" s="24"/>
      <c r="HJF66" s="24"/>
      <c r="HJG66" s="24"/>
      <c r="HJH66" s="24"/>
      <c r="HJI66" s="24"/>
      <c r="HJJ66" s="24"/>
      <c r="HJK66" s="24"/>
      <c r="HJL66" s="24"/>
      <c r="HJM66" s="24"/>
      <c r="HJN66" s="24"/>
      <c r="HJO66" s="24"/>
      <c r="HJP66" s="24"/>
      <c r="HJQ66" s="24"/>
      <c r="HJR66" s="24"/>
      <c r="HJS66" s="24"/>
      <c r="HJT66" s="24"/>
      <c r="HJU66" s="24"/>
      <c r="HJV66" s="24"/>
      <c r="HJW66" s="24"/>
      <c r="HJX66" s="24"/>
      <c r="HJY66" s="24"/>
      <c r="HJZ66" s="24"/>
      <c r="HKA66" s="24"/>
      <c r="HKB66" s="24"/>
      <c r="HKC66" s="24"/>
      <c r="HKD66" s="24"/>
      <c r="HKE66" s="24"/>
      <c r="HKF66" s="24"/>
      <c r="HKG66" s="24"/>
      <c r="HKH66" s="24"/>
      <c r="HKI66" s="24"/>
      <c r="HKJ66" s="24"/>
      <c r="HKK66" s="24"/>
      <c r="HKL66" s="24"/>
      <c r="HKM66" s="24"/>
      <c r="HKN66" s="24"/>
      <c r="HKO66" s="24"/>
      <c r="HKP66" s="24"/>
      <c r="HKQ66" s="24"/>
      <c r="HKR66" s="24"/>
      <c r="HKS66" s="24"/>
      <c r="HKT66" s="24"/>
      <c r="HKU66" s="24"/>
      <c r="HKV66" s="24"/>
      <c r="HKW66" s="24"/>
      <c r="HKX66" s="24"/>
      <c r="HKY66" s="24"/>
      <c r="HKZ66" s="24"/>
      <c r="HLA66" s="24"/>
      <c r="HLB66" s="24"/>
      <c r="HLC66" s="24"/>
      <c r="HLD66" s="24"/>
      <c r="HLE66" s="24"/>
      <c r="HLF66" s="24"/>
      <c r="HLG66" s="24"/>
      <c r="HLH66" s="24"/>
      <c r="HLI66" s="24"/>
      <c r="HLJ66" s="24"/>
      <c r="HLK66" s="24"/>
      <c r="HLL66" s="24"/>
      <c r="HLM66" s="24"/>
      <c r="HLN66" s="24"/>
      <c r="HLO66" s="24"/>
      <c r="HLP66" s="24"/>
      <c r="HLQ66" s="24"/>
      <c r="HLR66" s="24"/>
      <c r="HLS66" s="24"/>
      <c r="HLT66" s="24"/>
      <c r="HLU66" s="24"/>
      <c r="HLV66" s="24"/>
      <c r="HLW66" s="24"/>
      <c r="HLX66" s="24"/>
      <c r="HLY66" s="24"/>
      <c r="HLZ66" s="24"/>
      <c r="HMA66" s="24"/>
      <c r="HMB66" s="24"/>
      <c r="HMC66" s="24"/>
      <c r="HMD66" s="24"/>
      <c r="HME66" s="24"/>
      <c r="HMF66" s="24"/>
      <c r="HMG66" s="24"/>
      <c r="HMH66" s="24"/>
      <c r="HMI66" s="24"/>
      <c r="HMJ66" s="24"/>
      <c r="HMK66" s="24"/>
      <c r="HML66" s="24"/>
      <c r="HMM66" s="24"/>
      <c r="HMN66" s="24"/>
      <c r="HMO66" s="24"/>
      <c r="HMP66" s="24"/>
      <c r="HMQ66" s="24"/>
      <c r="HMR66" s="24"/>
      <c r="HMS66" s="24"/>
      <c r="HMT66" s="24"/>
      <c r="HMU66" s="24"/>
      <c r="HMV66" s="24"/>
      <c r="HMW66" s="24"/>
      <c r="HMX66" s="24"/>
      <c r="HMY66" s="24"/>
      <c r="HMZ66" s="24"/>
      <c r="HNA66" s="24"/>
      <c r="HNB66" s="24"/>
      <c r="HNC66" s="24"/>
      <c r="HND66" s="24"/>
      <c r="HNE66" s="24"/>
      <c r="HNF66" s="24"/>
      <c r="HNG66" s="24"/>
      <c r="HNH66" s="24"/>
      <c r="HNI66" s="24"/>
      <c r="HNJ66" s="24"/>
      <c r="HNK66" s="24"/>
      <c r="HNL66" s="24"/>
      <c r="HNM66" s="24"/>
      <c r="HNN66" s="24"/>
      <c r="HNO66" s="24"/>
      <c r="HNP66" s="24"/>
      <c r="HNQ66" s="24"/>
      <c r="HNR66" s="24"/>
      <c r="HNS66" s="24"/>
      <c r="HNT66" s="24"/>
      <c r="HNU66" s="24"/>
      <c r="HNV66" s="24"/>
      <c r="HNW66" s="24"/>
      <c r="HNX66" s="24"/>
      <c r="HNY66" s="24"/>
      <c r="HNZ66" s="24"/>
      <c r="HOA66" s="24"/>
      <c r="HOB66" s="24"/>
      <c r="HOC66" s="24"/>
      <c r="HOD66" s="24"/>
      <c r="HOE66" s="24"/>
      <c r="HOF66" s="24"/>
      <c r="HOG66" s="24"/>
      <c r="HOH66" s="24"/>
      <c r="HOI66" s="24"/>
      <c r="HOJ66" s="24"/>
      <c r="HOK66" s="24"/>
      <c r="HOL66" s="24"/>
      <c r="HOM66" s="24"/>
      <c r="HON66" s="24"/>
      <c r="HOO66" s="24"/>
      <c r="HOP66" s="24"/>
      <c r="HOQ66" s="24"/>
      <c r="HOR66" s="24"/>
      <c r="HOS66" s="24"/>
      <c r="HOT66" s="24"/>
      <c r="HOU66" s="24"/>
      <c r="HOV66" s="24"/>
      <c r="HOW66" s="24"/>
      <c r="HOX66" s="24"/>
      <c r="HOY66" s="24"/>
      <c r="HOZ66" s="24"/>
      <c r="HPA66" s="24"/>
      <c r="HPB66" s="24"/>
      <c r="HPC66" s="24"/>
      <c r="HPD66" s="24"/>
      <c r="HPE66" s="24"/>
      <c r="HPF66" s="24"/>
      <c r="HPG66" s="24"/>
      <c r="HPH66" s="24"/>
      <c r="HPI66" s="24"/>
      <c r="HPJ66" s="24"/>
      <c r="HPK66" s="24"/>
      <c r="HPL66" s="24"/>
      <c r="HPM66" s="24"/>
      <c r="HPN66" s="24"/>
      <c r="HPO66" s="24"/>
      <c r="HPP66" s="24"/>
      <c r="HPQ66" s="24"/>
      <c r="HPR66" s="24"/>
      <c r="HPS66" s="24"/>
      <c r="HPT66" s="24"/>
      <c r="HPU66" s="24"/>
      <c r="HPV66" s="24"/>
      <c r="HPW66" s="24"/>
      <c r="HPX66" s="24"/>
      <c r="HPY66" s="24"/>
      <c r="HPZ66" s="24"/>
      <c r="HQA66" s="24"/>
      <c r="HQB66" s="24"/>
      <c r="HQC66" s="24"/>
      <c r="HQD66" s="24"/>
      <c r="HQE66" s="24"/>
      <c r="HQF66" s="24"/>
      <c r="HQG66" s="24"/>
      <c r="HQH66" s="24"/>
      <c r="HQI66" s="24"/>
      <c r="HQJ66" s="24"/>
      <c r="HQK66" s="24"/>
      <c r="HQL66" s="24"/>
      <c r="HQM66" s="24"/>
      <c r="HQN66" s="24"/>
      <c r="HQO66" s="24"/>
      <c r="HQP66" s="24"/>
      <c r="HQQ66" s="24"/>
      <c r="HQR66" s="24"/>
      <c r="HQS66" s="24"/>
      <c r="HQT66" s="24"/>
      <c r="HQU66" s="24"/>
      <c r="HQV66" s="24"/>
      <c r="HQW66" s="24"/>
      <c r="HQX66" s="24"/>
      <c r="HQY66" s="24"/>
      <c r="HQZ66" s="24"/>
      <c r="HRA66" s="24"/>
      <c r="HRB66" s="24"/>
      <c r="HRC66" s="24"/>
      <c r="HRD66" s="24"/>
      <c r="HRE66" s="24"/>
      <c r="HRF66" s="24"/>
      <c r="HRG66" s="24"/>
      <c r="HRH66" s="24"/>
      <c r="HRI66" s="24"/>
      <c r="HRJ66" s="24"/>
      <c r="HRK66" s="24"/>
      <c r="HRL66" s="24"/>
      <c r="HRM66" s="24"/>
      <c r="HRN66" s="24"/>
      <c r="HRO66" s="24"/>
      <c r="HRP66" s="24"/>
      <c r="HRQ66" s="24"/>
      <c r="HRR66" s="24"/>
      <c r="HRS66" s="24"/>
      <c r="HRT66" s="24"/>
      <c r="HRU66" s="24"/>
      <c r="HRV66" s="24"/>
      <c r="HRW66" s="24"/>
      <c r="HRX66" s="24"/>
      <c r="HRY66" s="24"/>
      <c r="HRZ66" s="24"/>
      <c r="HSA66" s="24"/>
      <c r="HSB66" s="24"/>
      <c r="HSC66" s="24"/>
      <c r="HSD66" s="24"/>
      <c r="HSE66" s="24"/>
      <c r="HSF66" s="24"/>
      <c r="HSG66" s="24"/>
      <c r="HSH66" s="24"/>
      <c r="HSI66" s="24"/>
      <c r="HSJ66" s="24"/>
      <c r="HSK66" s="24"/>
      <c r="HSL66" s="24"/>
      <c r="HSM66" s="24"/>
      <c r="HSN66" s="24"/>
      <c r="HSO66" s="24"/>
      <c r="HSP66" s="24"/>
      <c r="HSQ66" s="24"/>
      <c r="HSR66" s="24"/>
      <c r="HSS66" s="24"/>
      <c r="HST66" s="24"/>
      <c r="HSU66" s="24"/>
      <c r="HSV66" s="24"/>
      <c r="HSW66" s="24"/>
      <c r="HSX66" s="24"/>
      <c r="HSY66" s="24"/>
      <c r="HSZ66" s="24"/>
      <c r="HTA66" s="24"/>
      <c r="HTB66" s="24"/>
      <c r="HTC66" s="24"/>
      <c r="HTD66" s="24"/>
      <c r="HTE66" s="24"/>
      <c r="HTF66" s="24"/>
      <c r="HTG66" s="24"/>
      <c r="HTH66" s="24"/>
      <c r="HTI66" s="24"/>
      <c r="HTJ66" s="24"/>
      <c r="HTK66" s="24"/>
      <c r="HTL66" s="24"/>
      <c r="HTM66" s="24"/>
      <c r="HTN66" s="24"/>
      <c r="HTO66" s="24"/>
      <c r="HTP66" s="24"/>
      <c r="HTQ66" s="24"/>
      <c r="HTR66" s="24"/>
      <c r="HTS66" s="24"/>
      <c r="HTT66" s="24"/>
      <c r="HTU66" s="24"/>
      <c r="HTV66" s="24"/>
      <c r="HTW66" s="24"/>
      <c r="HTX66" s="24"/>
      <c r="HTY66" s="24"/>
      <c r="HTZ66" s="24"/>
      <c r="HUA66" s="24"/>
      <c r="HUB66" s="24"/>
      <c r="HUC66" s="24"/>
      <c r="HUD66" s="24"/>
      <c r="HUE66" s="24"/>
      <c r="HUF66" s="24"/>
      <c r="HUG66" s="24"/>
      <c r="HUH66" s="24"/>
      <c r="HUI66" s="24"/>
      <c r="HUJ66" s="24"/>
      <c r="HUK66" s="24"/>
      <c r="HUL66" s="24"/>
      <c r="HUM66" s="24"/>
      <c r="HUN66" s="24"/>
      <c r="HUO66" s="24"/>
      <c r="HUP66" s="24"/>
      <c r="HUQ66" s="24"/>
      <c r="HUR66" s="24"/>
      <c r="HUS66" s="24"/>
      <c r="HUT66" s="24"/>
      <c r="HUU66" s="24"/>
      <c r="HUV66" s="24"/>
      <c r="HUW66" s="24"/>
      <c r="HUX66" s="24"/>
      <c r="HUY66" s="24"/>
      <c r="HUZ66" s="24"/>
      <c r="HVA66" s="24"/>
      <c r="HVB66" s="24"/>
      <c r="HVC66" s="24"/>
      <c r="HVD66" s="24"/>
      <c r="HVE66" s="24"/>
      <c r="HVF66" s="24"/>
      <c r="HVG66" s="24"/>
      <c r="HVH66" s="24"/>
      <c r="HVI66" s="24"/>
      <c r="HVJ66" s="24"/>
      <c r="HVK66" s="24"/>
      <c r="HVL66" s="24"/>
      <c r="HVM66" s="24"/>
      <c r="HVN66" s="24"/>
      <c r="HVO66" s="24"/>
      <c r="HVP66" s="24"/>
      <c r="HVQ66" s="24"/>
      <c r="HVR66" s="24"/>
      <c r="HVS66" s="24"/>
      <c r="HVT66" s="24"/>
      <c r="HVU66" s="24"/>
      <c r="HVV66" s="24"/>
      <c r="HVW66" s="24"/>
      <c r="HVX66" s="24"/>
      <c r="HVY66" s="24"/>
      <c r="HVZ66" s="24"/>
      <c r="HWA66" s="24"/>
      <c r="HWB66" s="24"/>
      <c r="HWC66" s="24"/>
      <c r="HWD66" s="24"/>
      <c r="HWE66" s="24"/>
      <c r="HWF66" s="24"/>
      <c r="HWG66" s="24"/>
      <c r="HWH66" s="24"/>
      <c r="HWI66" s="24"/>
      <c r="HWJ66" s="24"/>
      <c r="HWK66" s="24"/>
      <c r="HWL66" s="24"/>
      <c r="HWM66" s="24"/>
      <c r="HWN66" s="24"/>
      <c r="HWO66" s="24"/>
      <c r="HWP66" s="24"/>
      <c r="HWQ66" s="24"/>
      <c r="HWR66" s="24"/>
      <c r="HWS66" s="24"/>
      <c r="HWT66" s="24"/>
      <c r="HWU66" s="24"/>
      <c r="HWV66" s="24"/>
      <c r="HWW66" s="24"/>
      <c r="HWX66" s="24"/>
      <c r="HWY66" s="24"/>
      <c r="HWZ66" s="24"/>
      <c r="HXA66" s="24"/>
      <c r="HXB66" s="24"/>
      <c r="HXC66" s="24"/>
      <c r="HXD66" s="24"/>
      <c r="HXE66" s="24"/>
      <c r="HXF66" s="24"/>
      <c r="HXG66" s="24"/>
      <c r="HXH66" s="24"/>
      <c r="HXI66" s="24"/>
      <c r="HXJ66" s="24"/>
      <c r="HXK66" s="24"/>
      <c r="HXL66" s="24"/>
      <c r="HXM66" s="24"/>
      <c r="HXN66" s="24"/>
      <c r="HXO66" s="24"/>
      <c r="HXP66" s="24"/>
      <c r="HXQ66" s="24"/>
      <c r="HXR66" s="24"/>
      <c r="HXS66" s="24"/>
      <c r="HXT66" s="24"/>
      <c r="HXU66" s="24"/>
      <c r="HXV66" s="24"/>
      <c r="HXW66" s="24"/>
      <c r="HXX66" s="24"/>
      <c r="HXY66" s="24"/>
      <c r="HXZ66" s="24"/>
      <c r="HYA66" s="24"/>
      <c r="HYB66" s="24"/>
      <c r="HYC66" s="24"/>
      <c r="HYD66" s="24"/>
      <c r="HYE66" s="24"/>
      <c r="HYF66" s="24"/>
      <c r="HYG66" s="24"/>
      <c r="HYH66" s="24"/>
      <c r="HYI66" s="24"/>
      <c r="HYJ66" s="24"/>
      <c r="HYK66" s="24"/>
      <c r="HYL66" s="24"/>
      <c r="HYM66" s="24"/>
      <c r="HYN66" s="24"/>
      <c r="HYO66" s="24"/>
      <c r="HYP66" s="24"/>
      <c r="HYQ66" s="24"/>
      <c r="HYR66" s="24"/>
      <c r="HYS66" s="24"/>
      <c r="HYT66" s="24"/>
      <c r="HYU66" s="24"/>
      <c r="HYV66" s="24"/>
      <c r="HYW66" s="24"/>
      <c r="HYX66" s="24"/>
      <c r="HYY66" s="24"/>
      <c r="HYZ66" s="24"/>
      <c r="HZA66" s="24"/>
      <c r="HZB66" s="24"/>
      <c r="HZC66" s="24"/>
      <c r="HZD66" s="24"/>
      <c r="HZE66" s="24"/>
      <c r="HZF66" s="24"/>
      <c r="HZG66" s="24"/>
      <c r="HZH66" s="24"/>
      <c r="HZI66" s="24"/>
      <c r="HZJ66" s="24"/>
      <c r="HZK66" s="24"/>
      <c r="HZL66" s="24"/>
      <c r="HZM66" s="24"/>
      <c r="HZN66" s="24"/>
      <c r="HZO66" s="24"/>
      <c r="HZP66" s="24"/>
      <c r="HZQ66" s="24"/>
      <c r="HZR66" s="24"/>
      <c r="HZS66" s="24"/>
      <c r="HZT66" s="24"/>
      <c r="HZU66" s="24"/>
      <c r="HZV66" s="24"/>
      <c r="HZW66" s="24"/>
      <c r="HZX66" s="24"/>
      <c r="HZY66" s="24"/>
      <c r="HZZ66" s="24"/>
      <c r="IAA66" s="24"/>
      <c r="IAB66" s="24"/>
      <c r="IAC66" s="24"/>
      <c r="IAD66" s="24"/>
      <c r="IAE66" s="24"/>
      <c r="IAF66" s="24"/>
      <c r="IAG66" s="24"/>
      <c r="IAH66" s="24"/>
      <c r="IAI66" s="24"/>
      <c r="IAJ66" s="24"/>
      <c r="IAK66" s="24"/>
      <c r="IAL66" s="24"/>
      <c r="IAM66" s="24"/>
      <c r="IAN66" s="24"/>
      <c r="IAO66" s="24"/>
      <c r="IAP66" s="24"/>
      <c r="IAQ66" s="24"/>
      <c r="IAR66" s="24"/>
      <c r="IAS66" s="24"/>
      <c r="IAT66" s="24"/>
      <c r="IAU66" s="24"/>
      <c r="IAV66" s="24"/>
      <c r="IAW66" s="24"/>
      <c r="IAX66" s="24"/>
      <c r="IAY66" s="24"/>
      <c r="IAZ66" s="24"/>
      <c r="IBA66" s="24"/>
      <c r="IBB66" s="24"/>
      <c r="IBC66" s="24"/>
      <c r="IBD66" s="24"/>
      <c r="IBE66" s="24"/>
      <c r="IBF66" s="24"/>
      <c r="IBG66" s="24"/>
      <c r="IBH66" s="24"/>
      <c r="IBI66" s="24"/>
      <c r="IBJ66" s="24"/>
      <c r="IBK66" s="24"/>
      <c r="IBL66" s="24"/>
      <c r="IBM66" s="24"/>
      <c r="IBN66" s="24"/>
      <c r="IBO66" s="24"/>
      <c r="IBP66" s="24"/>
      <c r="IBQ66" s="24"/>
      <c r="IBR66" s="24"/>
      <c r="IBS66" s="24"/>
      <c r="IBT66" s="24"/>
      <c r="IBU66" s="24"/>
      <c r="IBV66" s="24"/>
      <c r="IBW66" s="24"/>
      <c r="IBX66" s="24"/>
      <c r="IBY66" s="24"/>
      <c r="IBZ66" s="24"/>
      <c r="ICA66" s="24"/>
      <c r="ICB66" s="24"/>
      <c r="ICC66" s="24"/>
      <c r="ICD66" s="24"/>
      <c r="ICE66" s="24"/>
      <c r="ICF66" s="24"/>
      <c r="ICG66" s="24"/>
      <c r="ICH66" s="24"/>
      <c r="ICI66" s="24"/>
      <c r="ICJ66" s="24"/>
      <c r="ICK66" s="24"/>
      <c r="ICL66" s="24"/>
      <c r="ICM66" s="24"/>
      <c r="ICN66" s="24"/>
      <c r="ICO66" s="24"/>
      <c r="ICP66" s="24"/>
      <c r="ICQ66" s="24"/>
      <c r="ICR66" s="24"/>
      <c r="ICS66" s="24"/>
      <c r="ICT66" s="24"/>
      <c r="ICU66" s="24"/>
      <c r="ICV66" s="24"/>
      <c r="ICW66" s="24"/>
      <c r="ICX66" s="24"/>
      <c r="ICY66" s="24"/>
      <c r="ICZ66" s="24"/>
      <c r="IDA66" s="24"/>
      <c r="IDB66" s="24"/>
      <c r="IDC66" s="24"/>
      <c r="IDD66" s="24"/>
      <c r="IDE66" s="24"/>
      <c r="IDF66" s="24"/>
      <c r="IDG66" s="24"/>
      <c r="IDH66" s="24"/>
      <c r="IDI66" s="24"/>
      <c r="IDJ66" s="24"/>
      <c r="IDK66" s="24"/>
      <c r="IDL66" s="24"/>
      <c r="IDM66" s="24"/>
      <c r="IDN66" s="24"/>
      <c r="IDO66" s="24"/>
      <c r="IDP66" s="24"/>
      <c r="IDQ66" s="24"/>
      <c r="IDR66" s="24"/>
      <c r="IDS66" s="24"/>
      <c r="IDT66" s="24"/>
      <c r="IDU66" s="24"/>
      <c r="IDV66" s="24"/>
      <c r="IDW66" s="24"/>
      <c r="IDX66" s="24"/>
      <c r="IDY66" s="24"/>
      <c r="IDZ66" s="24"/>
      <c r="IEA66" s="24"/>
      <c r="IEB66" s="24"/>
      <c r="IEC66" s="24"/>
      <c r="IED66" s="24"/>
      <c r="IEE66" s="24"/>
      <c r="IEF66" s="24"/>
      <c r="IEG66" s="24"/>
      <c r="IEH66" s="24"/>
      <c r="IEI66" s="24"/>
      <c r="IEJ66" s="24"/>
      <c r="IEK66" s="24"/>
      <c r="IEL66" s="24"/>
      <c r="IEM66" s="24"/>
      <c r="IEN66" s="24"/>
      <c r="IEO66" s="24"/>
      <c r="IEP66" s="24"/>
      <c r="IEQ66" s="24"/>
      <c r="IER66" s="24"/>
      <c r="IES66" s="24"/>
      <c r="IET66" s="24"/>
      <c r="IEU66" s="24"/>
      <c r="IEV66" s="24"/>
      <c r="IEW66" s="24"/>
      <c r="IEX66" s="24"/>
      <c r="IEY66" s="24"/>
      <c r="IEZ66" s="24"/>
      <c r="IFA66" s="24"/>
      <c r="IFB66" s="24"/>
      <c r="IFC66" s="24"/>
      <c r="IFD66" s="24"/>
      <c r="IFE66" s="24"/>
      <c r="IFF66" s="24"/>
      <c r="IFG66" s="24"/>
      <c r="IFH66" s="24"/>
      <c r="IFI66" s="24"/>
      <c r="IFJ66" s="24"/>
      <c r="IFK66" s="24"/>
      <c r="IFL66" s="24"/>
      <c r="IFM66" s="24"/>
      <c r="IFN66" s="24"/>
      <c r="IFO66" s="24"/>
      <c r="IFP66" s="24"/>
      <c r="IFQ66" s="24"/>
      <c r="IFR66" s="24"/>
      <c r="IFS66" s="24"/>
      <c r="IFT66" s="24"/>
      <c r="IFU66" s="24"/>
      <c r="IFV66" s="24"/>
      <c r="IFW66" s="24"/>
      <c r="IFX66" s="24"/>
      <c r="IFY66" s="24"/>
      <c r="IFZ66" s="24"/>
      <c r="IGA66" s="24"/>
      <c r="IGB66" s="24"/>
      <c r="IGC66" s="24"/>
      <c r="IGD66" s="24"/>
      <c r="IGE66" s="24"/>
      <c r="IGF66" s="24"/>
      <c r="IGG66" s="24"/>
      <c r="IGH66" s="24"/>
      <c r="IGI66" s="24"/>
      <c r="IGJ66" s="24"/>
      <c r="IGK66" s="24"/>
      <c r="IGL66" s="24"/>
      <c r="IGM66" s="24"/>
      <c r="IGN66" s="24"/>
      <c r="IGO66" s="24"/>
      <c r="IGP66" s="24"/>
      <c r="IGQ66" s="24"/>
      <c r="IGR66" s="24"/>
      <c r="IGS66" s="24"/>
      <c r="IGT66" s="24"/>
      <c r="IGU66" s="24"/>
      <c r="IGV66" s="24"/>
      <c r="IGW66" s="24"/>
      <c r="IGX66" s="24"/>
      <c r="IGY66" s="24"/>
      <c r="IGZ66" s="24"/>
      <c r="IHA66" s="24"/>
      <c r="IHB66" s="24"/>
      <c r="IHC66" s="24"/>
      <c r="IHD66" s="24"/>
      <c r="IHE66" s="24"/>
      <c r="IHF66" s="24"/>
      <c r="IHG66" s="24"/>
      <c r="IHH66" s="24"/>
      <c r="IHI66" s="24"/>
      <c r="IHJ66" s="24"/>
      <c r="IHK66" s="24"/>
      <c r="IHL66" s="24"/>
      <c r="IHM66" s="24"/>
      <c r="IHN66" s="24"/>
      <c r="IHO66" s="24"/>
      <c r="IHP66" s="24"/>
      <c r="IHQ66" s="24"/>
      <c r="IHR66" s="24"/>
      <c r="IHS66" s="24"/>
      <c r="IHT66" s="24"/>
      <c r="IHU66" s="24"/>
      <c r="IHV66" s="24"/>
      <c r="IHW66" s="24"/>
      <c r="IHX66" s="24"/>
      <c r="IHY66" s="24"/>
      <c r="IHZ66" s="24"/>
      <c r="IIA66" s="24"/>
      <c r="IIB66" s="24"/>
      <c r="IIC66" s="24"/>
      <c r="IID66" s="24"/>
      <c r="IIE66" s="24"/>
      <c r="IIF66" s="24"/>
      <c r="IIG66" s="24"/>
      <c r="IIH66" s="24"/>
      <c r="III66" s="24"/>
      <c r="IIJ66" s="24"/>
      <c r="IIK66" s="24"/>
      <c r="IIL66" s="24"/>
      <c r="IIM66" s="24"/>
      <c r="IIN66" s="24"/>
      <c r="IIO66" s="24"/>
      <c r="IIP66" s="24"/>
      <c r="IIQ66" s="24"/>
      <c r="IIR66" s="24"/>
      <c r="IIS66" s="24"/>
      <c r="IIT66" s="24"/>
      <c r="IIU66" s="24"/>
      <c r="IIV66" s="24"/>
      <c r="IIW66" s="24"/>
      <c r="IIX66" s="24"/>
      <c r="IIY66" s="24"/>
      <c r="IIZ66" s="24"/>
      <c r="IJA66" s="24"/>
      <c r="IJB66" s="24"/>
      <c r="IJC66" s="24"/>
      <c r="IJD66" s="24"/>
      <c r="IJE66" s="24"/>
      <c r="IJF66" s="24"/>
      <c r="IJG66" s="24"/>
      <c r="IJH66" s="24"/>
      <c r="IJI66" s="24"/>
      <c r="IJJ66" s="24"/>
      <c r="IJK66" s="24"/>
      <c r="IJL66" s="24"/>
      <c r="IJM66" s="24"/>
      <c r="IJN66" s="24"/>
      <c r="IJO66" s="24"/>
      <c r="IJP66" s="24"/>
      <c r="IJQ66" s="24"/>
      <c r="IJR66" s="24"/>
      <c r="IJS66" s="24"/>
      <c r="IJT66" s="24"/>
      <c r="IJU66" s="24"/>
      <c r="IJV66" s="24"/>
      <c r="IJW66" s="24"/>
      <c r="IJX66" s="24"/>
      <c r="IJY66" s="24"/>
      <c r="IJZ66" s="24"/>
      <c r="IKA66" s="24"/>
      <c r="IKB66" s="24"/>
      <c r="IKC66" s="24"/>
      <c r="IKD66" s="24"/>
      <c r="IKE66" s="24"/>
      <c r="IKF66" s="24"/>
      <c r="IKG66" s="24"/>
      <c r="IKH66" s="24"/>
      <c r="IKI66" s="24"/>
      <c r="IKJ66" s="24"/>
      <c r="IKK66" s="24"/>
      <c r="IKL66" s="24"/>
      <c r="IKM66" s="24"/>
      <c r="IKN66" s="24"/>
      <c r="IKO66" s="24"/>
      <c r="IKP66" s="24"/>
      <c r="IKQ66" s="24"/>
      <c r="IKR66" s="24"/>
      <c r="IKS66" s="24"/>
      <c r="IKT66" s="24"/>
      <c r="IKU66" s="24"/>
      <c r="IKV66" s="24"/>
      <c r="IKW66" s="24"/>
      <c r="IKX66" s="24"/>
      <c r="IKY66" s="24"/>
      <c r="IKZ66" s="24"/>
      <c r="ILA66" s="24"/>
      <c r="ILB66" s="24"/>
      <c r="ILC66" s="24"/>
      <c r="ILD66" s="24"/>
      <c r="ILE66" s="24"/>
      <c r="ILF66" s="24"/>
      <c r="ILG66" s="24"/>
      <c r="ILH66" s="24"/>
      <c r="ILI66" s="24"/>
      <c r="ILJ66" s="24"/>
      <c r="ILK66" s="24"/>
      <c r="ILL66" s="24"/>
      <c r="ILM66" s="24"/>
      <c r="ILN66" s="24"/>
      <c r="ILO66" s="24"/>
      <c r="ILP66" s="24"/>
      <c r="ILQ66" s="24"/>
      <c r="ILR66" s="24"/>
      <c r="ILS66" s="24"/>
      <c r="ILT66" s="24"/>
      <c r="ILU66" s="24"/>
      <c r="ILV66" s="24"/>
      <c r="ILW66" s="24"/>
      <c r="ILX66" s="24"/>
      <c r="ILY66" s="24"/>
      <c r="ILZ66" s="24"/>
      <c r="IMA66" s="24"/>
      <c r="IMB66" s="24"/>
      <c r="IMC66" s="24"/>
      <c r="IMD66" s="24"/>
      <c r="IME66" s="24"/>
      <c r="IMF66" s="24"/>
      <c r="IMG66" s="24"/>
      <c r="IMH66" s="24"/>
      <c r="IMI66" s="24"/>
      <c r="IMJ66" s="24"/>
      <c r="IMK66" s="24"/>
      <c r="IML66" s="24"/>
      <c r="IMM66" s="24"/>
      <c r="IMN66" s="24"/>
      <c r="IMO66" s="24"/>
      <c r="IMP66" s="24"/>
      <c r="IMQ66" s="24"/>
      <c r="IMR66" s="24"/>
      <c r="IMS66" s="24"/>
      <c r="IMT66" s="24"/>
      <c r="IMU66" s="24"/>
      <c r="IMV66" s="24"/>
      <c r="IMW66" s="24"/>
      <c r="IMX66" s="24"/>
      <c r="IMY66" s="24"/>
      <c r="IMZ66" s="24"/>
      <c r="INA66" s="24"/>
      <c r="INB66" s="24"/>
      <c r="INC66" s="24"/>
      <c r="IND66" s="24"/>
      <c r="INE66" s="24"/>
      <c r="INF66" s="24"/>
      <c r="ING66" s="24"/>
      <c r="INH66" s="24"/>
      <c r="INI66" s="24"/>
      <c r="INJ66" s="24"/>
      <c r="INK66" s="24"/>
      <c r="INL66" s="24"/>
      <c r="INM66" s="24"/>
      <c r="INN66" s="24"/>
      <c r="INO66" s="24"/>
      <c r="INP66" s="24"/>
      <c r="INQ66" s="24"/>
      <c r="INR66" s="24"/>
      <c r="INS66" s="24"/>
      <c r="INT66" s="24"/>
      <c r="INU66" s="24"/>
      <c r="INV66" s="24"/>
      <c r="INW66" s="24"/>
      <c r="INX66" s="24"/>
      <c r="INY66" s="24"/>
      <c r="INZ66" s="24"/>
      <c r="IOA66" s="24"/>
      <c r="IOB66" s="24"/>
      <c r="IOC66" s="24"/>
      <c r="IOD66" s="24"/>
      <c r="IOE66" s="24"/>
      <c r="IOF66" s="24"/>
      <c r="IOG66" s="24"/>
      <c r="IOH66" s="24"/>
      <c r="IOI66" s="24"/>
      <c r="IOJ66" s="24"/>
      <c r="IOK66" s="24"/>
      <c r="IOL66" s="24"/>
      <c r="IOM66" s="24"/>
      <c r="ION66" s="24"/>
      <c r="IOO66" s="24"/>
      <c r="IOP66" s="24"/>
      <c r="IOQ66" s="24"/>
      <c r="IOR66" s="24"/>
      <c r="IOS66" s="24"/>
      <c r="IOT66" s="24"/>
      <c r="IOU66" s="24"/>
      <c r="IOV66" s="24"/>
      <c r="IOW66" s="24"/>
      <c r="IOX66" s="24"/>
      <c r="IOY66" s="24"/>
      <c r="IOZ66" s="24"/>
      <c r="IPA66" s="24"/>
      <c r="IPB66" s="24"/>
      <c r="IPC66" s="24"/>
      <c r="IPD66" s="24"/>
      <c r="IPE66" s="24"/>
      <c r="IPF66" s="24"/>
      <c r="IPG66" s="24"/>
      <c r="IPH66" s="24"/>
      <c r="IPI66" s="24"/>
      <c r="IPJ66" s="24"/>
      <c r="IPK66" s="24"/>
      <c r="IPL66" s="24"/>
      <c r="IPM66" s="24"/>
      <c r="IPN66" s="24"/>
      <c r="IPO66" s="24"/>
      <c r="IPP66" s="24"/>
      <c r="IPQ66" s="24"/>
      <c r="IPR66" s="24"/>
      <c r="IPS66" s="24"/>
      <c r="IPT66" s="24"/>
      <c r="IPU66" s="24"/>
      <c r="IPV66" s="24"/>
      <c r="IPW66" s="24"/>
      <c r="IPX66" s="24"/>
      <c r="IPY66" s="24"/>
      <c r="IPZ66" s="24"/>
      <c r="IQA66" s="24"/>
      <c r="IQB66" s="24"/>
      <c r="IQC66" s="24"/>
      <c r="IQD66" s="24"/>
      <c r="IQE66" s="24"/>
      <c r="IQF66" s="24"/>
      <c r="IQG66" s="24"/>
      <c r="IQH66" s="24"/>
      <c r="IQI66" s="24"/>
      <c r="IQJ66" s="24"/>
      <c r="IQK66" s="24"/>
      <c r="IQL66" s="24"/>
      <c r="IQM66" s="24"/>
      <c r="IQN66" s="24"/>
      <c r="IQO66" s="24"/>
      <c r="IQP66" s="24"/>
      <c r="IQQ66" s="24"/>
      <c r="IQR66" s="24"/>
      <c r="IQS66" s="24"/>
      <c r="IQT66" s="24"/>
      <c r="IQU66" s="24"/>
      <c r="IQV66" s="24"/>
      <c r="IQW66" s="24"/>
      <c r="IQX66" s="24"/>
      <c r="IQY66" s="24"/>
      <c r="IQZ66" s="24"/>
      <c r="IRA66" s="24"/>
      <c r="IRB66" s="24"/>
      <c r="IRC66" s="24"/>
      <c r="IRD66" s="24"/>
      <c r="IRE66" s="24"/>
      <c r="IRF66" s="24"/>
      <c r="IRG66" s="24"/>
      <c r="IRH66" s="24"/>
      <c r="IRI66" s="24"/>
      <c r="IRJ66" s="24"/>
      <c r="IRK66" s="24"/>
      <c r="IRL66" s="24"/>
      <c r="IRM66" s="24"/>
      <c r="IRN66" s="24"/>
      <c r="IRO66" s="24"/>
      <c r="IRP66" s="24"/>
      <c r="IRQ66" s="24"/>
      <c r="IRR66" s="24"/>
      <c r="IRS66" s="24"/>
      <c r="IRT66" s="24"/>
      <c r="IRU66" s="24"/>
      <c r="IRV66" s="24"/>
      <c r="IRW66" s="24"/>
      <c r="IRX66" s="24"/>
      <c r="IRY66" s="24"/>
      <c r="IRZ66" s="24"/>
      <c r="ISA66" s="24"/>
      <c r="ISB66" s="24"/>
      <c r="ISC66" s="24"/>
      <c r="ISD66" s="24"/>
      <c r="ISE66" s="24"/>
      <c r="ISF66" s="24"/>
      <c r="ISG66" s="24"/>
      <c r="ISH66" s="24"/>
      <c r="ISI66" s="24"/>
      <c r="ISJ66" s="24"/>
      <c r="ISK66" s="24"/>
      <c r="ISL66" s="24"/>
      <c r="ISM66" s="24"/>
      <c r="ISN66" s="24"/>
      <c r="ISO66" s="24"/>
      <c r="ISP66" s="24"/>
      <c r="ISQ66" s="24"/>
      <c r="ISR66" s="24"/>
      <c r="ISS66" s="24"/>
      <c r="IST66" s="24"/>
      <c r="ISU66" s="24"/>
      <c r="ISV66" s="24"/>
      <c r="ISW66" s="24"/>
      <c r="ISX66" s="24"/>
      <c r="ISY66" s="24"/>
      <c r="ISZ66" s="24"/>
      <c r="ITA66" s="24"/>
      <c r="ITB66" s="24"/>
      <c r="ITC66" s="24"/>
      <c r="ITD66" s="24"/>
      <c r="ITE66" s="24"/>
      <c r="ITF66" s="24"/>
      <c r="ITG66" s="24"/>
      <c r="ITH66" s="24"/>
      <c r="ITI66" s="24"/>
      <c r="ITJ66" s="24"/>
      <c r="ITK66" s="24"/>
      <c r="ITL66" s="24"/>
      <c r="ITM66" s="24"/>
      <c r="ITN66" s="24"/>
      <c r="ITO66" s="24"/>
      <c r="ITP66" s="24"/>
      <c r="ITQ66" s="24"/>
      <c r="ITR66" s="24"/>
      <c r="ITS66" s="24"/>
      <c r="ITT66" s="24"/>
      <c r="ITU66" s="24"/>
      <c r="ITV66" s="24"/>
      <c r="ITW66" s="24"/>
      <c r="ITX66" s="24"/>
      <c r="ITY66" s="24"/>
      <c r="ITZ66" s="24"/>
      <c r="IUA66" s="24"/>
      <c r="IUB66" s="24"/>
      <c r="IUC66" s="24"/>
      <c r="IUD66" s="24"/>
      <c r="IUE66" s="24"/>
      <c r="IUF66" s="24"/>
      <c r="IUG66" s="24"/>
      <c r="IUH66" s="24"/>
      <c r="IUI66" s="24"/>
      <c r="IUJ66" s="24"/>
      <c r="IUK66" s="24"/>
      <c r="IUL66" s="24"/>
      <c r="IUM66" s="24"/>
      <c r="IUN66" s="24"/>
      <c r="IUO66" s="24"/>
      <c r="IUP66" s="24"/>
      <c r="IUQ66" s="24"/>
      <c r="IUR66" s="24"/>
      <c r="IUS66" s="24"/>
      <c r="IUT66" s="24"/>
      <c r="IUU66" s="24"/>
      <c r="IUV66" s="24"/>
      <c r="IUW66" s="24"/>
      <c r="IUX66" s="24"/>
      <c r="IUY66" s="24"/>
      <c r="IUZ66" s="24"/>
      <c r="IVA66" s="24"/>
      <c r="IVB66" s="24"/>
      <c r="IVC66" s="24"/>
      <c r="IVD66" s="24"/>
      <c r="IVE66" s="24"/>
      <c r="IVF66" s="24"/>
      <c r="IVG66" s="24"/>
      <c r="IVH66" s="24"/>
      <c r="IVI66" s="24"/>
      <c r="IVJ66" s="24"/>
      <c r="IVK66" s="24"/>
      <c r="IVL66" s="24"/>
      <c r="IVM66" s="24"/>
      <c r="IVN66" s="24"/>
      <c r="IVO66" s="24"/>
      <c r="IVP66" s="24"/>
      <c r="IVQ66" s="24"/>
      <c r="IVR66" s="24"/>
      <c r="IVS66" s="24"/>
      <c r="IVT66" s="24"/>
      <c r="IVU66" s="24"/>
      <c r="IVV66" s="24"/>
      <c r="IVW66" s="24"/>
      <c r="IVX66" s="24"/>
      <c r="IVY66" s="24"/>
      <c r="IVZ66" s="24"/>
      <c r="IWA66" s="24"/>
      <c r="IWB66" s="24"/>
      <c r="IWC66" s="24"/>
      <c r="IWD66" s="24"/>
      <c r="IWE66" s="24"/>
      <c r="IWF66" s="24"/>
      <c r="IWG66" s="24"/>
      <c r="IWH66" s="24"/>
      <c r="IWI66" s="24"/>
      <c r="IWJ66" s="24"/>
      <c r="IWK66" s="24"/>
      <c r="IWL66" s="24"/>
      <c r="IWM66" s="24"/>
      <c r="IWN66" s="24"/>
      <c r="IWO66" s="24"/>
      <c r="IWP66" s="24"/>
      <c r="IWQ66" s="24"/>
      <c r="IWR66" s="24"/>
      <c r="IWS66" s="24"/>
      <c r="IWT66" s="24"/>
      <c r="IWU66" s="24"/>
      <c r="IWV66" s="24"/>
      <c r="IWW66" s="24"/>
      <c r="IWX66" s="24"/>
      <c r="IWY66" s="24"/>
      <c r="IWZ66" s="24"/>
      <c r="IXA66" s="24"/>
      <c r="IXB66" s="24"/>
      <c r="IXC66" s="24"/>
      <c r="IXD66" s="24"/>
      <c r="IXE66" s="24"/>
      <c r="IXF66" s="24"/>
      <c r="IXG66" s="24"/>
      <c r="IXH66" s="24"/>
      <c r="IXI66" s="24"/>
      <c r="IXJ66" s="24"/>
      <c r="IXK66" s="24"/>
      <c r="IXL66" s="24"/>
      <c r="IXM66" s="24"/>
      <c r="IXN66" s="24"/>
      <c r="IXO66" s="24"/>
      <c r="IXP66" s="24"/>
      <c r="IXQ66" s="24"/>
      <c r="IXR66" s="24"/>
      <c r="IXS66" s="24"/>
      <c r="IXT66" s="24"/>
      <c r="IXU66" s="24"/>
      <c r="IXV66" s="24"/>
      <c r="IXW66" s="24"/>
      <c r="IXX66" s="24"/>
      <c r="IXY66" s="24"/>
      <c r="IXZ66" s="24"/>
      <c r="IYA66" s="24"/>
      <c r="IYB66" s="24"/>
      <c r="IYC66" s="24"/>
      <c r="IYD66" s="24"/>
      <c r="IYE66" s="24"/>
      <c r="IYF66" s="24"/>
      <c r="IYG66" s="24"/>
      <c r="IYH66" s="24"/>
      <c r="IYI66" s="24"/>
      <c r="IYJ66" s="24"/>
      <c r="IYK66" s="24"/>
      <c r="IYL66" s="24"/>
      <c r="IYM66" s="24"/>
      <c r="IYN66" s="24"/>
      <c r="IYO66" s="24"/>
      <c r="IYP66" s="24"/>
      <c r="IYQ66" s="24"/>
      <c r="IYR66" s="24"/>
      <c r="IYS66" s="24"/>
      <c r="IYT66" s="24"/>
      <c r="IYU66" s="24"/>
      <c r="IYV66" s="24"/>
      <c r="IYW66" s="24"/>
      <c r="IYX66" s="24"/>
      <c r="IYY66" s="24"/>
      <c r="IYZ66" s="24"/>
      <c r="IZA66" s="24"/>
      <c r="IZB66" s="24"/>
      <c r="IZC66" s="24"/>
      <c r="IZD66" s="24"/>
      <c r="IZE66" s="24"/>
      <c r="IZF66" s="24"/>
      <c r="IZG66" s="24"/>
      <c r="IZH66" s="24"/>
      <c r="IZI66" s="24"/>
      <c r="IZJ66" s="24"/>
      <c r="IZK66" s="24"/>
      <c r="IZL66" s="24"/>
      <c r="IZM66" s="24"/>
      <c r="IZN66" s="24"/>
      <c r="IZO66" s="24"/>
      <c r="IZP66" s="24"/>
      <c r="IZQ66" s="24"/>
      <c r="IZR66" s="24"/>
      <c r="IZS66" s="24"/>
      <c r="IZT66" s="24"/>
      <c r="IZU66" s="24"/>
      <c r="IZV66" s="24"/>
      <c r="IZW66" s="24"/>
      <c r="IZX66" s="24"/>
      <c r="IZY66" s="24"/>
      <c r="IZZ66" s="24"/>
      <c r="JAA66" s="24"/>
      <c r="JAB66" s="24"/>
      <c r="JAC66" s="24"/>
      <c r="JAD66" s="24"/>
      <c r="JAE66" s="24"/>
      <c r="JAF66" s="24"/>
      <c r="JAG66" s="24"/>
      <c r="JAH66" s="24"/>
      <c r="JAI66" s="24"/>
      <c r="JAJ66" s="24"/>
      <c r="JAK66" s="24"/>
      <c r="JAL66" s="24"/>
      <c r="JAM66" s="24"/>
      <c r="JAN66" s="24"/>
      <c r="JAO66" s="24"/>
      <c r="JAP66" s="24"/>
      <c r="JAQ66" s="24"/>
      <c r="JAR66" s="24"/>
      <c r="JAS66" s="24"/>
      <c r="JAT66" s="24"/>
      <c r="JAU66" s="24"/>
      <c r="JAV66" s="24"/>
      <c r="JAW66" s="24"/>
      <c r="JAX66" s="24"/>
      <c r="JAY66" s="24"/>
      <c r="JAZ66" s="24"/>
      <c r="JBA66" s="24"/>
      <c r="JBB66" s="24"/>
      <c r="JBC66" s="24"/>
      <c r="JBD66" s="24"/>
      <c r="JBE66" s="24"/>
      <c r="JBF66" s="24"/>
      <c r="JBG66" s="24"/>
      <c r="JBH66" s="24"/>
      <c r="JBI66" s="24"/>
      <c r="JBJ66" s="24"/>
      <c r="JBK66" s="24"/>
      <c r="JBL66" s="24"/>
      <c r="JBM66" s="24"/>
      <c r="JBN66" s="24"/>
      <c r="JBO66" s="24"/>
      <c r="JBP66" s="24"/>
      <c r="JBQ66" s="24"/>
      <c r="JBR66" s="24"/>
      <c r="JBS66" s="24"/>
      <c r="JBT66" s="24"/>
      <c r="JBU66" s="24"/>
      <c r="JBV66" s="24"/>
      <c r="JBW66" s="24"/>
      <c r="JBX66" s="24"/>
      <c r="JBY66" s="24"/>
      <c r="JBZ66" s="24"/>
      <c r="JCA66" s="24"/>
      <c r="JCB66" s="24"/>
      <c r="JCC66" s="24"/>
      <c r="JCD66" s="24"/>
      <c r="JCE66" s="24"/>
      <c r="JCF66" s="24"/>
      <c r="JCG66" s="24"/>
      <c r="JCH66" s="24"/>
      <c r="JCI66" s="24"/>
      <c r="JCJ66" s="24"/>
      <c r="JCK66" s="24"/>
      <c r="JCL66" s="24"/>
      <c r="JCM66" s="24"/>
      <c r="JCN66" s="24"/>
      <c r="JCO66" s="24"/>
      <c r="JCP66" s="24"/>
      <c r="JCQ66" s="24"/>
      <c r="JCR66" s="24"/>
      <c r="JCS66" s="24"/>
      <c r="JCT66" s="24"/>
      <c r="JCU66" s="24"/>
      <c r="JCV66" s="24"/>
      <c r="JCW66" s="24"/>
      <c r="JCX66" s="24"/>
      <c r="JCY66" s="24"/>
      <c r="JCZ66" s="24"/>
      <c r="JDA66" s="24"/>
      <c r="JDB66" s="24"/>
      <c r="JDC66" s="24"/>
      <c r="JDD66" s="24"/>
      <c r="JDE66" s="24"/>
      <c r="JDF66" s="24"/>
      <c r="JDG66" s="24"/>
      <c r="JDH66" s="24"/>
      <c r="JDI66" s="24"/>
      <c r="JDJ66" s="24"/>
      <c r="JDK66" s="24"/>
      <c r="JDL66" s="24"/>
      <c r="JDM66" s="24"/>
      <c r="JDN66" s="24"/>
      <c r="JDO66" s="24"/>
      <c r="JDP66" s="24"/>
      <c r="JDQ66" s="24"/>
      <c r="JDR66" s="24"/>
      <c r="JDS66" s="24"/>
      <c r="JDT66" s="24"/>
      <c r="JDU66" s="24"/>
      <c r="JDV66" s="24"/>
      <c r="JDW66" s="24"/>
      <c r="JDX66" s="24"/>
      <c r="JDY66" s="24"/>
      <c r="JDZ66" s="24"/>
      <c r="JEA66" s="24"/>
      <c r="JEB66" s="24"/>
      <c r="JEC66" s="24"/>
      <c r="JED66" s="24"/>
      <c r="JEE66" s="24"/>
      <c r="JEF66" s="24"/>
      <c r="JEG66" s="24"/>
      <c r="JEH66" s="24"/>
      <c r="JEI66" s="24"/>
      <c r="JEJ66" s="24"/>
      <c r="JEK66" s="24"/>
      <c r="JEL66" s="24"/>
      <c r="JEM66" s="24"/>
      <c r="JEN66" s="24"/>
      <c r="JEO66" s="24"/>
      <c r="JEP66" s="24"/>
      <c r="JEQ66" s="24"/>
      <c r="JER66" s="24"/>
      <c r="JES66" s="24"/>
      <c r="JET66" s="24"/>
      <c r="JEU66" s="24"/>
      <c r="JEV66" s="24"/>
      <c r="JEW66" s="24"/>
      <c r="JEX66" s="24"/>
      <c r="JEY66" s="24"/>
      <c r="JEZ66" s="24"/>
      <c r="JFA66" s="24"/>
      <c r="JFB66" s="24"/>
      <c r="JFC66" s="24"/>
      <c r="JFD66" s="24"/>
      <c r="JFE66" s="24"/>
      <c r="JFF66" s="24"/>
      <c r="JFG66" s="24"/>
      <c r="JFH66" s="24"/>
      <c r="JFI66" s="24"/>
      <c r="JFJ66" s="24"/>
      <c r="JFK66" s="24"/>
      <c r="JFL66" s="24"/>
      <c r="JFM66" s="24"/>
      <c r="JFN66" s="24"/>
      <c r="JFO66" s="24"/>
      <c r="JFP66" s="24"/>
      <c r="JFQ66" s="24"/>
      <c r="JFR66" s="24"/>
      <c r="JFS66" s="24"/>
      <c r="JFT66" s="24"/>
      <c r="JFU66" s="24"/>
      <c r="JFV66" s="24"/>
      <c r="JFW66" s="24"/>
      <c r="JFX66" s="24"/>
      <c r="JFY66" s="24"/>
      <c r="JFZ66" s="24"/>
      <c r="JGA66" s="24"/>
      <c r="JGB66" s="24"/>
      <c r="JGC66" s="24"/>
      <c r="JGD66" s="24"/>
      <c r="JGE66" s="24"/>
      <c r="JGF66" s="24"/>
      <c r="JGG66" s="24"/>
      <c r="JGH66" s="24"/>
      <c r="JGI66" s="24"/>
      <c r="JGJ66" s="24"/>
      <c r="JGK66" s="24"/>
      <c r="JGL66" s="24"/>
      <c r="JGM66" s="24"/>
      <c r="JGN66" s="24"/>
      <c r="JGO66" s="24"/>
      <c r="JGP66" s="24"/>
      <c r="JGQ66" s="24"/>
      <c r="JGR66" s="24"/>
      <c r="JGS66" s="24"/>
      <c r="JGT66" s="24"/>
      <c r="JGU66" s="24"/>
      <c r="JGV66" s="24"/>
      <c r="JGW66" s="24"/>
      <c r="JGX66" s="24"/>
      <c r="JGY66" s="24"/>
      <c r="JGZ66" s="24"/>
      <c r="JHA66" s="24"/>
      <c r="JHB66" s="24"/>
      <c r="JHC66" s="24"/>
      <c r="JHD66" s="24"/>
      <c r="JHE66" s="24"/>
      <c r="JHF66" s="24"/>
      <c r="JHG66" s="24"/>
      <c r="JHH66" s="24"/>
      <c r="JHI66" s="24"/>
      <c r="JHJ66" s="24"/>
      <c r="JHK66" s="24"/>
      <c r="JHL66" s="24"/>
      <c r="JHM66" s="24"/>
      <c r="JHN66" s="24"/>
      <c r="JHO66" s="24"/>
      <c r="JHP66" s="24"/>
      <c r="JHQ66" s="24"/>
      <c r="JHR66" s="24"/>
      <c r="JHS66" s="24"/>
      <c r="JHT66" s="24"/>
      <c r="JHU66" s="24"/>
      <c r="JHV66" s="24"/>
      <c r="JHW66" s="24"/>
      <c r="JHX66" s="24"/>
      <c r="JHY66" s="24"/>
      <c r="JHZ66" s="24"/>
      <c r="JIA66" s="24"/>
      <c r="JIB66" s="24"/>
      <c r="JIC66" s="24"/>
      <c r="JID66" s="24"/>
      <c r="JIE66" s="24"/>
      <c r="JIF66" s="24"/>
      <c r="JIG66" s="24"/>
      <c r="JIH66" s="24"/>
      <c r="JII66" s="24"/>
      <c r="JIJ66" s="24"/>
      <c r="JIK66" s="24"/>
      <c r="JIL66" s="24"/>
      <c r="JIM66" s="24"/>
      <c r="JIN66" s="24"/>
      <c r="JIO66" s="24"/>
      <c r="JIP66" s="24"/>
      <c r="JIQ66" s="24"/>
      <c r="JIR66" s="24"/>
      <c r="JIS66" s="24"/>
      <c r="JIT66" s="24"/>
      <c r="JIU66" s="24"/>
      <c r="JIV66" s="24"/>
      <c r="JIW66" s="24"/>
      <c r="JIX66" s="24"/>
      <c r="JIY66" s="24"/>
      <c r="JIZ66" s="24"/>
      <c r="JJA66" s="24"/>
      <c r="JJB66" s="24"/>
      <c r="JJC66" s="24"/>
      <c r="JJD66" s="24"/>
      <c r="JJE66" s="24"/>
      <c r="JJF66" s="24"/>
      <c r="JJG66" s="24"/>
      <c r="JJH66" s="24"/>
      <c r="JJI66" s="24"/>
      <c r="JJJ66" s="24"/>
      <c r="JJK66" s="24"/>
      <c r="JJL66" s="24"/>
      <c r="JJM66" s="24"/>
      <c r="JJN66" s="24"/>
      <c r="JJO66" s="24"/>
      <c r="JJP66" s="24"/>
      <c r="JJQ66" s="24"/>
      <c r="JJR66" s="24"/>
      <c r="JJS66" s="24"/>
      <c r="JJT66" s="24"/>
      <c r="JJU66" s="24"/>
      <c r="JJV66" s="24"/>
      <c r="JJW66" s="24"/>
      <c r="JJX66" s="24"/>
      <c r="JJY66" s="24"/>
      <c r="JJZ66" s="24"/>
      <c r="JKA66" s="24"/>
      <c r="JKB66" s="24"/>
      <c r="JKC66" s="24"/>
      <c r="JKD66" s="24"/>
      <c r="JKE66" s="24"/>
      <c r="JKF66" s="24"/>
      <c r="JKG66" s="24"/>
      <c r="JKH66" s="24"/>
      <c r="JKI66" s="24"/>
      <c r="JKJ66" s="24"/>
      <c r="JKK66" s="24"/>
      <c r="JKL66" s="24"/>
      <c r="JKM66" s="24"/>
      <c r="JKN66" s="24"/>
      <c r="JKO66" s="24"/>
      <c r="JKP66" s="24"/>
      <c r="JKQ66" s="24"/>
      <c r="JKR66" s="24"/>
      <c r="JKS66" s="24"/>
      <c r="JKT66" s="24"/>
      <c r="JKU66" s="24"/>
      <c r="JKV66" s="24"/>
      <c r="JKW66" s="24"/>
      <c r="JKX66" s="24"/>
      <c r="JKY66" s="24"/>
      <c r="JKZ66" s="24"/>
      <c r="JLA66" s="24"/>
      <c r="JLB66" s="24"/>
      <c r="JLC66" s="24"/>
      <c r="JLD66" s="24"/>
      <c r="JLE66" s="24"/>
      <c r="JLF66" s="24"/>
      <c r="JLG66" s="24"/>
      <c r="JLH66" s="24"/>
      <c r="JLI66" s="24"/>
      <c r="JLJ66" s="24"/>
      <c r="JLK66" s="24"/>
      <c r="JLL66" s="24"/>
      <c r="JLM66" s="24"/>
      <c r="JLN66" s="24"/>
      <c r="JLO66" s="24"/>
      <c r="JLP66" s="24"/>
      <c r="JLQ66" s="24"/>
      <c r="JLR66" s="24"/>
      <c r="JLS66" s="24"/>
      <c r="JLT66" s="24"/>
      <c r="JLU66" s="24"/>
      <c r="JLV66" s="24"/>
      <c r="JLW66" s="24"/>
      <c r="JLX66" s="24"/>
      <c r="JLY66" s="24"/>
      <c r="JLZ66" s="24"/>
      <c r="JMA66" s="24"/>
      <c r="JMB66" s="24"/>
      <c r="JMC66" s="24"/>
      <c r="JMD66" s="24"/>
      <c r="JME66" s="24"/>
      <c r="JMF66" s="24"/>
      <c r="JMG66" s="24"/>
      <c r="JMH66" s="24"/>
      <c r="JMI66" s="24"/>
      <c r="JMJ66" s="24"/>
      <c r="JMK66" s="24"/>
      <c r="JML66" s="24"/>
      <c r="JMM66" s="24"/>
      <c r="JMN66" s="24"/>
      <c r="JMO66" s="24"/>
      <c r="JMP66" s="24"/>
      <c r="JMQ66" s="24"/>
      <c r="JMR66" s="24"/>
      <c r="JMS66" s="24"/>
      <c r="JMT66" s="24"/>
      <c r="JMU66" s="24"/>
      <c r="JMV66" s="24"/>
      <c r="JMW66" s="24"/>
      <c r="JMX66" s="24"/>
      <c r="JMY66" s="24"/>
      <c r="JMZ66" s="24"/>
      <c r="JNA66" s="24"/>
      <c r="JNB66" s="24"/>
      <c r="JNC66" s="24"/>
      <c r="JND66" s="24"/>
      <c r="JNE66" s="24"/>
      <c r="JNF66" s="24"/>
      <c r="JNG66" s="24"/>
      <c r="JNH66" s="24"/>
      <c r="JNI66" s="24"/>
      <c r="JNJ66" s="24"/>
      <c r="JNK66" s="24"/>
      <c r="JNL66" s="24"/>
      <c r="JNM66" s="24"/>
      <c r="JNN66" s="24"/>
      <c r="JNO66" s="24"/>
      <c r="JNP66" s="24"/>
      <c r="JNQ66" s="24"/>
      <c r="JNR66" s="24"/>
      <c r="JNS66" s="24"/>
      <c r="JNT66" s="24"/>
      <c r="JNU66" s="24"/>
      <c r="JNV66" s="24"/>
      <c r="JNW66" s="24"/>
      <c r="JNX66" s="24"/>
      <c r="JNY66" s="24"/>
      <c r="JNZ66" s="24"/>
      <c r="JOA66" s="24"/>
      <c r="JOB66" s="24"/>
      <c r="JOC66" s="24"/>
      <c r="JOD66" s="24"/>
      <c r="JOE66" s="24"/>
      <c r="JOF66" s="24"/>
      <c r="JOG66" s="24"/>
      <c r="JOH66" s="24"/>
      <c r="JOI66" s="24"/>
      <c r="JOJ66" s="24"/>
      <c r="JOK66" s="24"/>
      <c r="JOL66" s="24"/>
      <c r="JOM66" s="24"/>
      <c r="JON66" s="24"/>
      <c r="JOO66" s="24"/>
      <c r="JOP66" s="24"/>
      <c r="JOQ66" s="24"/>
      <c r="JOR66" s="24"/>
      <c r="JOS66" s="24"/>
      <c r="JOT66" s="24"/>
      <c r="JOU66" s="24"/>
      <c r="JOV66" s="24"/>
      <c r="JOW66" s="24"/>
      <c r="JOX66" s="24"/>
      <c r="JOY66" s="24"/>
      <c r="JOZ66" s="24"/>
      <c r="JPA66" s="24"/>
      <c r="JPB66" s="24"/>
      <c r="JPC66" s="24"/>
      <c r="JPD66" s="24"/>
      <c r="JPE66" s="24"/>
      <c r="JPF66" s="24"/>
      <c r="JPG66" s="24"/>
      <c r="JPH66" s="24"/>
      <c r="JPI66" s="24"/>
      <c r="JPJ66" s="24"/>
      <c r="JPK66" s="24"/>
      <c r="JPL66" s="24"/>
      <c r="JPM66" s="24"/>
      <c r="JPN66" s="24"/>
      <c r="JPO66" s="24"/>
      <c r="JPP66" s="24"/>
      <c r="JPQ66" s="24"/>
      <c r="JPR66" s="24"/>
      <c r="JPS66" s="24"/>
      <c r="JPT66" s="24"/>
      <c r="JPU66" s="24"/>
      <c r="JPV66" s="24"/>
      <c r="JPW66" s="24"/>
      <c r="JPX66" s="24"/>
      <c r="JPY66" s="24"/>
      <c r="JPZ66" s="24"/>
      <c r="JQA66" s="24"/>
      <c r="JQB66" s="24"/>
      <c r="JQC66" s="24"/>
      <c r="JQD66" s="24"/>
      <c r="JQE66" s="24"/>
      <c r="JQF66" s="24"/>
      <c r="JQG66" s="24"/>
      <c r="JQH66" s="24"/>
      <c r="JQI66" s="24"/>
      <c r="JQJ66" s="24"/>
      <c r="JQK66" s="24"/>
      <c r="JQL66" s="24"/>
      <c r="JQM66" s="24"/>
      <c r="JQN66" s="24"/>
      <c r="JQO66" s="24"/>
      <c r="JQP66" s="24"/>
      <c r="JQQ66" s="24"/>
      <c r="JQR66" s="24"/>
      <c r="JQS66" s="24"/>
      <c r="JQT66" s="24"/>
      <c r="JQU66" s="24"/>
      <c r="JQV66" s="24"/>
      <c r="JQW66" s="24"/>
      <c r="JQX66" s="24"/>
      <c r="JQY66" s="24"/>
      <c r="JQZ66" s="24"/>
      <c r="JRA66" s="24"/>
      <c r="JRB66" s="24"/>
      <c r="JRC66" s="24"/>
      <c r="JRD66" s="24"/>
      <c r="JRE66" s="24"/>
      <c r="JRF66" s="24"/>
      <c r="JRG66" s="24"/>
      <c r="JRH66" s="24"/>
      <c r="JRI66" s="24"/>
      <c r="JRJ66" s="24"/>
      <c r="JRK66" s="24"/>
      <c r="JRL66" s="24"/>
      <c r="JRM66" s="24"/>
      <c r="JRN66" s="24"/>
      <c r="JRO66" s="24"/>
      <c r="JRP66" s="24"/>
      <c r="JRQ66" s="24"/>
      <c r="JRR66" s="24"/>
      <c r="JRS66" s="24"/>
      <c r="JRT66" s="24"/>
      <c r="JRU66" s="24"/>
      <c r="JRV66" s="24"/>
      <c r="JRW66" s="24"/>
      <c r="JRX66" s="24"/>
      <c r="JRY66" s="24"/>
      <c r="JRZ66" s="24"/>
      <c r="JSA66" s="24"/>
      <c r="JSB66" s="24"/>
      <c r="JSC66" s="24"/>
      <c r="JSD66" s="24"/>
      <c r="JSE66" s="24"/>
      <c r="JSF66" s="24"/>
      <c r="JSG66" s="24"/>
      <c r="JSH66" s="24"/>
      <c r="JSI66" s="24"/>
      <c r="JSJ66" s="24"/>
      <c r="JSK66" s="24"/>
      <c r="JSL66" s="24"/>
      <c r="JSM66" s="24"/>
      <c r="JSN66" s="24"/>
      <c r="JSO66" s="24"/>
      <c r="JSP66" s="24"/>
      <c r="JSQ66" s="24"/>
      <c r="JSR66" s="24"/>
      <c r="JSS66" s="24"/>
      <c r="JST66" s="24"/>
      <c r="JSU66" s="24"/>
      <c r="JSV66" s="24"/>
      <c r="JSW66" s="24"/>
      <c r="JSX66" s="24"/>
      <c r="JSY66" s="24"/>
      <c r="JSZ66" s="24"/>
      <c r="JTA66" s="24"/>
      <c r="JTB66" s="24"/>
      <c r="JTC66" s="24"/>
      <c r="JTD66" s="24"/>
      <c r="JTE66" s="24"/>
      <c r="JTF66" s="24"/>
      <c r="JTG66" s="24"/>
      <c r="JTH66" s="24"/>
      <c r="JTI66" s="24"/>
      <c r="JTJ66" s="24"/>
      <c r="JTK66" s="24"/>
      <c r="JTL66" s="24"/>
      <c r="JTM66" s="24"/>
      <c r="JTN66" s="24"/>
      <c r="JTO66" s="24"/>
      <c r="JTP66" s="24"/>
      <c r="JTQ66" s="24"/>
      <c r="JTR66" s="24"/>
      <c r="JTS66" s="24"/>
      <c r="JTT66" s="24"/>
      <c r="JTU66" s="24"/>
      <c r="JTV66" s="24"/>
      <c r="JTW66" s="24"/>
      <c r="JTX66" s="24"/>
      <c r="JTY66" s="24"/>
      <c r="JTZ66" s="24"/>
      <c r="JUA66" s="24"/>
      <c r="JUB66" s="24"/>
      <c r="JUC66" s="24"/>
      <c r="JUD66" s="24"/>
      <c r="JUE66" s="24"/>
      <c r="JUF66" s="24"/>
      <c r="JUG66" s="24"/>
      <c r="JUH66" s="24"/>
      <c r="JUI66" s="24"/>
      <c r="JUJ66" s="24"/>
      <c r="JUK66" s="24"/>
      <c r="JUL66" s="24"/>
      <c r="JUM66" s="24"/>
      <c r="JUN66" s="24"/>
      <c r="JUO66" s="24"/>
      <c r="JUP66" s="24"/>
      <c r="JUQ66" s="24"/>
      <c r="JUR66" s="24"/>
      <c r="JUS66" s="24"/>
      <c r="JUT66" s="24"/>
      <c r="JUU66" s="24"/>
      <c r="JUV66" s="24"/>
      <c r="JUW66" s="24"/>
      <c r="JUX66" s="24"/>
      <c r="JUY66" s="24"/>
      <c r="JUZ66" s="24"/>
      <c r="JVA66" s="24"/>
      <c r="JVB66" s="24"/>
      <c r="JVC66" s="24"/>
      <c r="JVD66" s="24"/>
      <c r="JVE66" s="24"/>
      <c r="JVF66" s="24"/>
      <c r="JVG66" s="24"/>
      <c r="JVH66" s="24"/>
      <c r="JVI66" s="24"/>
      <c r="JVJ66" s="24"/>
      <c r="JVK66" s="24"/>
      <c r="JVL66" s="24"/>
      <c r="JVM66" s="24"/>
      <c r="JVN66" s="24"/>
      <c r="JVO66" s="24"/>
      <c r="JVP66" s="24"/>
      <c r="JVQ66" s="24"/>
      <c r="JVR66" s="24"/>
      <c r="JVS66" s="24"/>
      <c r="JVT66" s="24"/>
      <c r="JVU66" s="24"/>
      <c r="JVV66" s="24"/>
      <c r="JVW66" s="24"/>
      <c r="JVX66" s="24"/>
      <c r="JVY66" s="24"/>
      <c r="JVZ66" s="24"/>
      <c r="JWA66" s="24"/>
      <c r="JWB66" s="24"/>
      <c r="JWC66" s="24"/>
      <c r="JWD66" s="24"/>
      <c r="JWE66" s="24"/>
      <c r="JWF66" s="24"/>
      <c r="JWG66" s="24"/>
      <c r="JWH66" s="24"/>
      <c r="JWI66" s="24"/>
      <c r="JWJ66" s="24"/>
      <c r="JWK66" s="24"/>
      <c r="JWL66" s="24"/>
      <c r="JWM66" s="24"/>
      <c r="JWN66" s="24"/>
      <c r="JWO66" s="24"/>
      <c r="JWP66" s="24"/>
      <c r="JWQ66" s="24"/>
      <c r="JWR66" s="24"/>
      <c r="JWS66" s="24"/>
      <c r="JWT66" s="24"/>
      <c r="JWU66" s="24"/>
      <c r="JWV66" s="24"/>
      <c r="JWW66" s="24"/>
      <c r="JWX66" s="24"/>
      <c r="JWY66" s="24"/>
      <c r="JWZ66" s="24"/>
      <c r="JXA66" s="24"/>
      <c r="JXB66" s="24"/>
      <c r="JXC66" s="24"/>
      <c r="JXD66" s="24"/>
      <c r="JXE66" s="24"/>
      <c r="JXF66" s="24"/>
      <c r="JXG66" s="24"/>
      <c r="JXH66" s="24"/>
      <c r="JXI66" s="24"/>
      <c r="JXJ66" s="24"/>
      <c r="JXK66" s="24"/>
      <c r="JXL66" s="24"/>
      <c r="JXM66" s="24"/>
      <c r="JXN66" s="24"/>
      <c r="JXO66" s="24"/>
      <c r="JXP66" s="24"/>
      <c r="JXQ66" s="24"/>
      <c r="JXR66" s="24"/>
      <c r="JXS66" s="24"/>
      <c r="JXT66" s="24"/>
      <c r="JXU66" s="24"/>
      <c r="JXV66" s="24"/>
      <c r="JXW66" s="24"/>
      <c r="JXX66" s="24"/>
      <c r="JXY66" s="24"/>
      <c r="JXZ66" s="24"/>
      <c r="JYA66" s="24"/>
      <c r="JYB66" s="24"/>
      <c r="JYC66" s="24"/>
      <c r="JYD66" s="24"/>
      <c r="JYE66" s="24"/>
      <c r="JYF66" s="24"/>
      <c r="JYG66" s="24"/>
      <c r="JYH66" s="24"/>
      <c r="JYI66" s="24"/>
      <c r="JYJ66" s="24"/>
      <c r="JYK66" s="24"/>
      <c r="JYL66" s="24"/>
      <c r="JYM66" s="24"/>
      <c r="JYN66" s="24"/>
      <c r="JYO66" s="24"/>
      <c r="JYP66" s="24"/>
      <c r="JYQ66" s="24"/>
      <c r="JYR66" s="24"/>
      <c r="JYS66" s="24"/>
      <c r="JYT66" s="24"/>
      <c r="JYU66" s="24"/>
      <c r="JYV66" s="24"/>
      <c r="JYW66" s="24"/>
      <c r="JYX66" s="24"/>
      <c r="JYY66" s="24"/>
      <c r="JYZ66" s="24"/>
      <c r="JZA66" s="24"/>
      <c r="JZB66" s="24"/>
      <c r="JZC66" s="24"/>
      <c r="JZD66" s="24"/>
      <c r="JZE66" s="24"/>
      <c r="JZF66" s="24"/>
      <c r="JZG66" s="24"/>
      <c r="JZH66" s="24"/>
      <c r="JZI66" s="24"/>
      <c r="JZJ66" s="24"/>
      <c r="JZK66" s="24"/>
      <c r="JZL66" s="24"/>
      <c r="JZM66" s="24"/>
      <c r="JZN66" s="24"/>
      <c r="JZO66" s="24"/>
      <c r="JZP66" s="24"/>
      <c r="JZQ66" s="24"/>
      <c r="JZR66" s="24"/>
      <c r="JZS66" s="24"/>
      <c r="JZT66" s="24"/>
      <c r="JZU66" s="24"/>
      <c r="JZV66" s="24"/>
      <c r="JZW66" s="24"/>
      <c r="JZX66" s="24"/>
      <c r="JZY66" s="24"/>
      <c r="JZZ66" s="24"/>
      <c r="KAA66" s="24"/>
      <c r="KAB66" s="24"/>
      <c r="KAC66" s="24"/>
      <c r="KAD66" s="24"/>
      <c r="KAE66" s="24"/>
      <c r="KAF66" s="24"/>
      <c r="KAG66" s="24"/>
      <c r="KAH66" s="24"/>
      <c r="KAI66" s="24"/>
      <c r="KAJ66" s="24"/>
      <c r="KAK66" s="24"/>
      <c r="KAL66" s="24"/>
      <c r="KAM66" s="24"/>
      <c r="KAN66" s="24"/>
      <c r="KAO66" s="24"/>
      <c r="KAP66" s="24"/>
      <c r="KAQ66" s="24"/>
      <c r="KAR66" s="24"/>
      <c r="KAS66" s="24"/>
      <c r="KAT66" s="24"/>
      <c r="KAU66" s="24"/>
      <c r="KAV66" s="24"/>
      <c r="KAW66" s="24"/>
      <c r="KAX66" s="24"/>
      <c r="KAY66" s="24"/>
      <c r="KAZ66" s="24"/>
      <c r="KBA66" s="24"/>
      <c r="KBB66" s="24"/>
      <c r="KBC66" s="24"/>
      <c r="KBD66" s="24"/>
      <c r="KBE66" s="24"/>
      <c r="KBF66" s="24"/>
      <c r="KBG66" s="24"/>
      <c r="KBH66" s="24"/>
      <c r="KBI66" s="24"/>
      <c r="KBJ66" s="24"/>
      <c r="KBK66" s="24"/>
      <c r="KBL66" s="24"/>
      <c r="KBM66" s="24"/>
      <c r="KBN66" s="24"/>
      <c r="KBO66" s="24"/>
      <c r="KBP66" s="24"/>
      <c r="KBQ66" s="24"/>
      <c r="KBR66" s="24"/>
      <c r="KBS66" s="24"/>
      <c r="KBT66" s="24"/>
      <c r="KBU66" s="24"/>
      <c r="KBV66" s="24"/>
      <c r="KBW66" s="24"/>
      <c r="KBX66" s="24"/>
      <c r="KBY66" s="24"/>
      <c r="KBZ66" s="24"/>
      <c r="KCA66" s="24"/>
      <c r="KCB66" s="24"/>
      <c r="KCC66" s="24"/>
      <c r="KCD66" s="24"/>
      <c r="KCE66" s="24"/>
      <c r="KCF66" s="24"/>
      <c r="KCG66" s="24"/>
      <c r="KCH66" s="24"/>
      <c r="KCI66" s="24"/>
      <c r="KCJ66" s="24"/>
      <c r="KCK66" s="24"/>
      <c r="KCL66" s="24"/>
      <c r="KCM66" s="24"/>
      <c r="KCN66" s="24"/>
      <c r="KCO66" s="24"/>
      <c r="KCP66" s="24"/>
      <c r="KCQ66" s="24"/>
      <c r="KCR66" s="24"/>
      <c r="KCS66" s="24"/>
      <c r="KCT66" s="24"/>
      <c r="KCU66" s="24"/>
      <c r="KCV66" s="24"/>
      <c r="KCW66" s="24"/>
      <c r="KCX66" s="24"/>
      <c r="KCY66" s="24"/>
      <c r="KCZ66" s="24"/>
      <c r="KDA66" s="24"/>
      <c r="KDB66" s="24"/>
      <c r="KDC66" s="24"/>
      <c r="KDD66" s="24"/>
      <c r="KDE66" s="24"/>
      <c r="KDF66" s="24"/>
      <c r="KDG66" s="24"/>
      <c r="KDH66" s="24"/>
      <c r="KDI66" s="24"/>
      <c r="KDJ66" s="24"/>
      <c r="KDK66" s="24"/>
      <c r="KDL66" s="24"/>
      <c r="KDM66" s="24"/>
      <c r="KDN66" s="24"/>
      <c r="KDO66" s="24"/>
      <c r="KDP66" s="24"/>
      <c r="KDQ66" s="24"/>
      <c r="KDR66" s="24"/>
      <c r="KDS66" s="24"/>
      <c r="KDT66" s="24"/>
      <c r="KDU66" s="24"/>
      <c r="KDV66" s="24"/>
      <c r="KDW66" s="24"/>
      <c r="KDX66" s="24"/>
      <c r="KDY66" s="24"/>
      <c r="KDZ66" s="24"/>
      <c r="KEA66" s="24"/>
      <c r="KEB66" s="24"/>
      <c r="KEC66" s="24"/>
      <c r="KED66" s="24"/>
      <c r="KEE66" s="24"/>
      <c r="KEF66" s="24"/>
      <c r="KEG66" s="24"/>
      <c r="KEH66" s="24"/>
      <c r="KEI66" s="24"/>
      <c r="KEJ66" s="24"/>
      <c r="KEK66" s="24"/>
      <c r="KEL66" s="24"/>
      <c r="KEM66" s="24"/>
      <c r="KEN66" s="24"/>
      <c r="KEO66" s="24"/>
      <c r="KEP66" s="24"/>
      <c r="KEQ66" s="24"/>
      <c r="KER66" s="24"/>
      <c r="KES66" s="24"/>
      <c r="KET66" s="24"/>
      <c r="KEU66" s="24"/>
      <c r="KEV66" s="24"/>
      <c r="KEW66" s="24"/>
      <c r="KEX66" s="24"/>
      <c r="KEY66" s="24"/>
      <c r="KEZ66" s="24"/>
      <c r="KFA66" s="24"/>
      <c r="KFB66" s="24"/>
      <c r="KFC66" s="24"/>
      <c r="KFD66" s="24"/>
      <c r="KFE66" s="24"/>
      <c r="KFF66" s="24"/>
      <c r="KFG66" s="24"/>
      <c r="KFH66" s="24"/>
      <c r="KFI66" s="24"/>
      <c r="KFJ66" s="24"/>
      <c r="KFK66" s="24"/>
      <c r="KFL66" s="24"/>
      <c r="KFM66" s="24"/>
      <c r="KFN66" s="24"/>
      <c r="KFO66" s="24"/>
      <c r="KFP66" s="24"/>
      <c r="KFQ66" s="24"/>
      <c r="KFR66" s="24"/>
      <c r="KFS66" s="24"/>
      <c r="KFT66" s="24"/>
      <c r="KFU66" s="24"/>
      <c r="KFV66" s="24"/>
      <c r="KFW66" s="24"/>
      <c r="KFX66" s="24"/>
      <c r="KFY66" s="24"/>
      <c r="KFZ66" s="24"/>
      <c r="KGA66" s="24"/>
      <c r="KGB66" s="24"/>
      <c r="KGC66" s="24"/>
      <c r="KGD66" s="24"/>
      <c r="KGE66" s="24"/>
      <c r="KGF66" s="24"/>
      <c r="KGG66" s="24"/>
      <c r="KGH66" s="24"/>
      <c r="KGI66" s="24"/>
      <c r="KGJ66" s="24"/>
      <c r="KGK66" s="24"/>
      <c r="KGL66" s="24"/>
      <c r="KGM66" s="24"/>
      <c r="KGN66" s="24"/>
      <c r="KGO66" s="24"/>
      <c r="KGP66" s="24"/>
      <c r="KGQ66" s="24"/>
      <c r="KGR66" s="24"/>
      <c r="KGS66" s="24"/>
      <c r="KGT66" s="24"/>
      <c r="KGU66" s="24"/>
      <c r="KGV66" s="24"/>
      <c r="KGW66" s="24"/>
      <c r="KGX66" s="24"/>
      <c r="KGY66" s="24"/>
      <c r="KGZ66" s="24"/>
      <c r="KHA66" s="24"/>
      <c r="KHB66" s="24"/>
      <c r="KHC66" s="24"/>
      <c r="KHD66" s="24"/>
      <c r="KHE66" s="24"/>
      <c r="KHF66" s="24"/>
      <c r="KHG66" s="24"/>
      <c r="KHH66" s="24"/>
      <c r="KHI66" s="24"/>
      <c r="KHJ66" s="24"/>
      <c r="KHK66" s="24"/>
      <c r="KHL66" s="24"/>
      <c r="KHM66" s="24"/>
      <c r="KHN66" s="24"/>
      <c r="KHO66" s="24"/>
      <c r="KHP66" s="24"/>
      <c r="KHQ66" s="24"/>
      <c r="KHR66" s="24"/>
      <c r="KHS66" s="24"/>
      <c r="KHT66" s="24"/>
      <c r="KHU66" s="24"/>
      <c r="KHV66" s="24"/>
      <c r="KHW66" s="24"/>
      <c r="KHX66" s="24"/>
      <c r="KHY66" s="24"/>
      <c r="KHZ66" s="24"/>
      <c r="KIA66" s="24"/>
      <c r="KIB66" s="24"/>
      <c r="KIC66" s="24"/>
      <c r="KID66" s="24"/>
      <c r="KIE66" s="24"/>
      <c r="KIF66" s="24"/>
      <c r="KIG66" s="24"/>
      <c r="KIH66" s="24"/>
      <c r="KII66" s="24"/>
      <c r="KIJ66" s="24"/>
      <c r="KIK66" s="24"/>
      <c r="KIL66" s="24"/>
      <c r="KIM66" s="24"/>
      <c r="KIN66" s="24"/>
      <c r="KIO66" s="24"/>
      <c r="KIP66" s="24"/>
      <c r="KIQ66" s="24"/>
      <c r="KIR66" s="24"/>
      <c r="KIS66" s="24"/>
      <c r="KIT66" s="24"/>
      <c r="KIU66" s="24"/>
      <c r="KIV66" s="24"/>
      <c r="KIW66" s="24"/>
      <c r="KIX66" s="24"/>
      <c r="KIY66" s="24"/>
      <c r="KIZ66" s="24"/>
      <c r="KJA66" s="24"/>
      <c r="KJB66" s="24"/>
      <c r="KJC66" s="24"/>
      <c r="KJD66" s="24"/>
      <c r="KJE66" s="24"/>
      <c r="KJF66" s="24"/>
      <c r="KJG66" s="24"/>
      <c r="KJH66" s="24"/>
      <c r="KJI66" s="24"/>
      <c r="KJJ66" s="24"/>
      <c r="KJK66" s="24"/>
      <c r="KJL66" s="24"/>
      <c r="KJM66" s="24"/>
      <c r="KJN66" s="24"/>
      <c r="KJO66" s="24"/>
      <c r="KJP66" s="24"/>
      <c r="KJQ66" s="24"/>
      <c r="KJR66" s="24"/>
      <c r="KJS66" s="24"/>
      <c r="KJT66" s="24"/>
      <c r="KJU66" s="24"/>
      <c r="KJV66" s="24"/>
      <c r="KJW66" s="24"/>
      <c r="KJX66" s="24"/>
      <c r="KJY66" s="24"/>
      <c r="KJZ66" s="24"/>
      <c r="KKA66" s="24"/>
      <c r="KKB66" s="24"/>
      <c r="KKC66" s="24"/>
      <c r="KKD66" s="24"/>
      <c r="KKE66" s="24"/>
      <c r="KKF66" s="24"/>
      <c r="KKG66" s="24"/>
      <c r="KKH66" s="24"/>
      <c r="KKI66" s="24"/>
      <c r="KKJ66" s="24"/>
      <c r="KKK66" s="24"/>
      <c r="KKL66" s="24"/>
      <c r="KKM66" s="24"/>
      <c r="KKN66" s="24"/>
      <c r="KKO66" s="24"/>
      <c r="KKP66" s="24"/>
      <c r="KKQ66" s="24"/>
      <c r="KKR66" s="24"/>
      <c r="KKS66" s="24"/>
      <c r="KKT66" s="24"/>
      <c r="KKU66" s="24"/>
      <c r="KKV66" s="24"/>
      <c r="KKW66" s="24"/>
      <c r="KKX66" s="24"/>
      <c r="KKY66" s="24"/>
      <c r="KKZ66" s="24"/>
      <c r="KLA66" s="24"/>
      <c r="KLB66" s="24"/>
      <c r="KLC66" s="24"/>
      <c r="KLD66" s="24"/>
      <c r="KLE66" s="24"/>
      <c r="KLF66" s="24"/>
      <c r="KLG66" s="24"/>
      <c r="KLH66" s="24"/>
      <c r="KLI66" s="24"/>
      <c r="KLJ66" s="24"/>
      <c r="KLK66" s="24"/>
      <c r="KLL66" s="24"/>
      <c r="KLM66" s="24"/>
      <c r="KLN66" s="24"/>
      <c r="KLO66" s="24"/>
      <c r="KLP66" s="24"/>
      <c r="KLQ66" s="24"/>
      <c r="KLR66" s="24"/>
      <c r="KLS66" s="24"/>
      <c r="KLT66" s="24"/>
      <c r="KLU66" s="24"/>
      <c r="KLV66" s="24"/>
      <c r="KLW66" s="24"/>
      <c r="KLX66" s="24"/>
      <c r="KLY66" s="24"/>
      <c r="KLZ66" s="24"/>
      <c r="KMA66" s="24"/>
      <c r="KMB66" s="24"/>
      <c r="KMC66" s="24"/>
      <c r="KMD66" s="24"/>
      <c r="KME66" s="24"/>
      <c r="KMF66" s="24"/>
      <c r="KMG66" s="24"/>
      <c r="KMH66" s="24"/>
      <c r="KMI66" s="24"/>
      <c r="KMJ66" s="24"/>
      <c r="KMK66" s="24"/>
      <c r="KML66" s="24"/>
      <c r="KMM66" s="24"/>
      <c r="KMN66" s="24"/>
      <c r="KMO66" s="24"/>
      <c r="KMP66" s="24"/>
      <c r="KMQ66" s="24"/>
      <c r="KMR66" s="24"/>
      <c r="KMS66" s="24"/>
      <c r="KMT66" s="24"/>
      <c r="KMU66" s="24"/>
      <c r="KMV66" s="24"/>
      <c r="KMW66" s="24"/>
      <c r="KMX66" s="24"/>
      <c r="KMY66" s="24"/>
      <c r="KMZ66" s="24"/>
      <c r="KNA66" s="24"/>
      <c r="KNB66" s="24"/>
      <c r="KNC66" s="24"/>
      <c r="KND66" s="24"/>
      <c r="KNE66" s="24"/>
      <c r="KNF66" s="24"/>
      <c r="KNG66" s="24"/>
      <c r="KNH66" s="24"/>
      <c r="KNI66" s="24"/>
      <c r="KNJ66" s="24"/>
      <c r="KNK66" s="24"/>
      <c r="KNL66" s="24"/>
      <c r="KNM66" s="24"/>
      <c r="KNN66" s="24"/>
      <c r="KNO66" s="24"/>
      <c r="KNP66" s="24"/>
      <c r="KNQ66" s="24"/>
      <c r="KNR66" s="24"/>
      <c r="KNS66" s="24"/>
      <c r="KNT66" s="24"/>
      <c r="KNU66" s="24"/>
      <c r="KNV66" s="24"/>
      <c r="KNW66" s="24"/>
      <c r="KNX66" s="24"/>
      <c r="KNY66" s="24"/>
      <c r="KNZ66" s="24"/>
      <c r="KOA66" s="24"/>
      <c r="KOB66" s="24"/>
      <c r="KOC66" s="24"/>
      <c r="KOD66" s="24"/>
      <c r="KOE66" s="24"/>
      <c r="KOF66" s="24"/>
      <c r="KOG66" s="24"/>
      <c r="KOH66" s="24"/>
      <c r="KOI66" s="24"/>
      <c r="KOJ66" s="24"/>
      <c r="KOK66" s="24"/>
      <c r="KOL66" s="24"/>
      <c r="KOM66" s="24"/>
      <c r="KON66" s="24"/>
      <c r="KOO66" s="24"/>
      <c r="KOP66" s="24"/>
      <c r="KOQ66" s="24"/>
      <c r="KOR66" s="24"/>
      <c r="KOS66" s="24"/>
      <c r="KOT66" s="24"/>
      <c r="KOU66" s="24"/>
      <c r="KOV66" s="24"/>
      <c r="KOW66" s="24"/>
      <c r="KOX66" s="24"/>
      <c r="KOY66" s="24"/>
      <c r="KOZ66" s="24"/>
      <c r="KPA66" s="24"/>
      <c r="KPB66" s="24"/>
      <c r="KPC66" s="24"/>
      <c r="KPD66" s="24"/>
      <c r="KPE66" s="24"/>
      <c r="KPF66" s="24"/>
      <c r="KPG66" s="24"/>
      <c r="KPH66" s="24"/>
      <c r="KPI66" s="24"/>
      <c r="KPJ66" s="24"/>
      <c r="KPK66" s="24"/>
      <c r="KPL66" s="24"/>
      <c r="KPM66" s="24"/>
      <c r="KPN66" s="24"/>
      <c r="KPO66" s="24"/>
      <c r="KPP66" s="24"/>
      <c r="KPQ66" s="24"/>
      <c r="KPR66" s="24"/>
      <c r="KPS66" s="24"/>
      <c r="KPT66" s="24"/>
      <c r="KPU66" s="24"/>
      <c r="KPV66" s="24"/>
      <c r="KPW66" s="24"/>
      <c r="KPX66" s="24"/>
      <c r="KPY66" s="24"/>
      <c r="KPZ66" s="24"/>
      <c r="KQA66" s="24"/>
      <c r="KQB66" s="24"/>
      <c r="KQC66" s="24"/>
      <c r="KQD66" s="24"/>
      <c r="KQE66" s="24"/>
      <c r="KQF66" s="24"/>
      <c r="KQG66" s="24"/>
      <c r="KQH66" s="24"/>
      <c r="KQI66" s="24"/>
      <c r="KQJ66" s="24"/>
      <c r="KQK66" s="24"/>
      <c r="KQL66" s="24"/>
      <c r="KQM66" s="24"/>
      <c r="KQN66" s="24"/>
      <c r="KQO66" s="24"/>
      <c r="KQP66" s="24"/>
      <c r="KQQ66" s="24"/>
      <c r="KQR66" s="24"/>
      <c r="KQS66" s="24"/>
      <c r="KQT66" s="24"/>
      <c r="KQU66" s="24"/>
      <c r="KQV66" s="24"/>
      <c r="KQW66" s="24"/>
      <c r="KQX66" s="24"/>
      <c r="KQY66" s="24"/>
      <c r="KQZ66" s="24"/>
      <c r="KRA66" s="24"/>
      <c r="KRB66" s="24"/>
      <c r="KRC66" s="24"/>
      <c r="KRD66" s="24"/>
      <c r="KRE66" s="24"/>
      <c r="KRF66" s="24"/>
      <c r="KRG66" s="24"/>
      <c r="KRH66" s="24"/>
      <c r="KRI66" s="24"/>
      <c r="KRJ66" s="24"/>
      <c r="KRK66" s="24"/>
      <c r="KRL66" s="24"/>
      <c r="KRM66" s="24"/>
      <c r="KRN66" s="24"/>
      <c r="KRO66" s="24"/>
      <c r="KRP66" s="24"/>
      <c r="KRQ66" s="24"/>
      <c r="KRR66" s="24"/>
      <c r="KRS66" s="24"/>
      <c r="KRT66" s="24"/>
      <c r="KRU66" s="24"/>
      <c r="KRV66" s="24"/>
      <c r="KRW66" s="24"/>
      <c r="KRX66" s="24"/>
      <c r="KRY66" s="24"/>
      <c r="KRZ66" s="24"/>
      <c r="KSA66" s="24"/>
      <c r="KSB66" s="24"/>
      <c r="KSC66" s="24"/>
      <c r="KSD66" s="24"/>
      <c r="KSE66" s="24"/>
      <c r="KSF66" s="24"/>
      <c r="KSG66" s="24"/>
      <c r="KSH66" s="24"/>
      <c r="KSI66" s="24"/>
      <c r="KSJ66" s="24"/>
      <c r="KSK66" s="24"/>
      <c r="KSL66" s="24"/>
      <c r="KSM66" s="24"/>
      <c r="KSN66" s="24"/>
      <c r="KSO66" s="24"/>
      <c r="KSP66" s="24"/>
      <c r="KSQ66" s="24"/>
      <c r="KSR66" s="24"/>
      <c r="KSS66" s="24"/>
      <c r="KST66" s="24"/>
      <c r="KSU66" s="24"/>
      <c r="KSV66" s="24"/>
      <c r="KSW66" s="24"/>
      <c r="KSX66" s="24"/>
      <c r="KSY66" s="24"/>
      <c r="KSZ66" s="24"/>
      <c r="KTA66" s="24"/>
      <c r="KTB66" s="24"/>
      <c r="KTC66" s="24"/>
      <c r="KTD66" s="24"/>
      <c r="KTE66" s="24"/>
      <c r="KTF66" s="24"/>
      <c r="KTG66" s="24"/>
      <c r="KTH66" s="24"/>
      <c r="KTI66" s="24"/>
      <c r="KTJ66" s="24"/>
      <c r="KTK66" s="24"/>
      <c r="KTL66" s="24"/>
      <c r="KTM66" s="24"/>
      <c r="KTN66" s="24"/>
      <c r="KTO66" s="24"/>
      <c r="KTP66" s="24"/>
      <c r="KTQ66" s="24"/>
      <c r="KTR66" s="24"/>
      <c r="KTS66" s="24"/>
      <c r="KTT66" s="24"/>
      <c r="KTU66" s="24"/>
      <c r="KTV66" s="24"/>
      <c r="KTW66" s="24"/>
      <c r="KTX66" s="24"/>
      <c r="KTY66" s="24"/>
      <c r="KTZ66" s="24"/>
      <c r="KUA66" s="24"/>
      <c r="KUB66" s="24"/>
      <c r="KUC66" s="24"/>
      <c r="KUD66" s="24"/>
      <c r="KUE66" s="24"/>
      <c r="KUF66" s="24"/>
      <c r="KUG66" s="24"/>
      <c r="KUH66" s="24"/>
      <c r="KUI66" s="24"/>
      <c r="KUJ66" s="24"/>
      <c r="KUK66" s="24"/>
      <c r="KUL66" s="24"/>
      <c r="KUM66" s="24"/>
      <c r="KUN66" s="24"/>
      <c r="KUO66" s="24"/>
      <c r="KUP66" s="24"/>
      <c r="KUQ66" s="24"/>
      <c r="KUR66" s="24"/>
      <c r="KUS66" s="24"/>
      <c r="KUT66" s="24"/>
      <c r="KUU66" s="24"/>
      <c r="KUV66" s="24"/>
      <c r="KUW66" s="24"/>
      <c r="KUX66" s="24"/>
      <c r="KUY66" s="24"/>
      <c r="KUZ66" s="24"/>
      <c r="KVA66" s="24"/>
      <c r="KVB66" s="24"/>
      <c r="KVC66" s="24"/>
      <c r="KVD66" s="24"/>
      <c r="KVE66" s="24"/>
      <c r="KVF66" s="24"/>
      <c r="KVG66" s="24"/>
      <c r="KVH66" s="24"/>
      <c r="KVI66" s="24"/>
      <c r="KVJ66" s="24"/>
      <c r="KVK66" s="24"/>
      <c r="KVL66" s="24"/>
      <c r="KVM66" s="24"/>
      <c r="KVN66" s="24"/>
      <c r="KVO66" s="24"/>
      <c r="KVP66" s="24"/>
      <c r="KVQ66" s="24"/>
      <c r="KVR66" s="24"/>
      <c r="KVS66" s="24"/>
      <c r="KVT66" s="24"/>
      <c r="KVU66" s="24"/>
      <c r="KVV66" s="24"/>
      <c r="KVW66" s="24"/>
      <c r="KVX66" s="24"/>
      <c r="KVY66" s="24"/>
      <c r="KVZ66" s="24"/>
      <c r="KWA66" s="24"/>
      <c r="KWB66" s="24"/>
      <c r="KWC66" s="24"/>
      <c r="KWD66" s="24"/>
      <c r="KWE66" s="24"/>
      <c r="KWF66" s="24"/>
      <c r="KWG66" s="24"/>
      <c r="KWH66" s="24"/>
      <c r="KWI66" s="24"/>
      <c r="KWJ66" s="24"/>
      <c r="KWK66" s="24"/>
      <c r="KWL66" s="24"/>
      <c r="KWM66" s="24"/>
      <c r="KWN66" s="24"/>
      <c r="KWO66" s="24"/>
      <c r="KWP66" s="24"/>
      <c r="KWQ66" s="24"/>
      <c r="KWR66" s="24"/>
      <c r="KWS66" s="24"/>
      <c r="KWT66" s="24"/>
      <c r="KWU66" s="24"/>
      <c r="KWV66" s="24"/>
      <c r="KWW66" s="24"/>
      <c r="KWX66" s="24"/>
      <c r="KWY66" s="24"/>
      <c r="KWZ66" s="24"/>
      <c r="KXA66" s="24"/>
      <c r="KXB66" s="24"/>
      <c r="KXC66" s="24"/>
      <c r="KXD66" s="24"/>
      <c r="KXE66" s="24"/>
      <c r="KXF66" s="24"/>
      <c r="KXG66" s="24"/>
      <c r="KXH66" s="24"/>
      <c r="KXI66" s="24"/>
      <c r="KXJ66" s="24"/>
      <c r="KXK66" s="24"/>
      <c r="KXL66" s="24"/>
      <c r="KXM66" s="24"/>
      <c r="KXN66" s="24"/>
      <c r="KXO66" s="24"/>
      <c r="KXP66" s="24"/>
      <c r="KXQ66" s="24"/>
      <c r="KXR66" s="24"/>
      <c r="KXS66" s="24"/>
      <c r="KXT66" s="24"/>
      <c r="KXU66" s="24"/>
      <c r="KXV66" s="24"/>
      <c r="KXW66" s="24"/>
      <c r="KXX66" s="24"/>
      <c r="KXY66" s="24"/>
      <c r="KXZ66" s="24"/>
      <c r="KYA66" s="24"/>
      <c r="KYB66" s="24"/>
      <c r="KYC66" s="24"/>
      <c r="KYD66" s="24"/>
      <c r="KYE66" s="24"/>
      <c r="KYF66" s="24"/>
      <c r="KYG66" s="24"/>
      <c r="KYH66" s="24"/>
      <c r="KYI66" s="24"/>
      <c r="KYJ66" s="24"/>
      <c r="KYK66" s="24"/>
      <c r="KYL66" s="24"/>
      <c r="KYM66" s="24"/>
      <c r="KYN66" s="24"/>
      <c r="KYO66" s="24"/>
      <c r="KYP66" s="24"/>
      <c r="KYQ66" s="24"/>
      <c r="KYR66" s="24"/>
      <c r="KYS66" s="24"/>
      <c r="KYT66" s="24"/>
      <c r="KYU66" s="24"/>
      <c r="KYV66" s="24"/>
      <c r="KYW66" s="24"/>
      <c r="KYX66" s="24"/>
      <c r="KYY66" s="24"/>
      <c r="KYZ66" s="24"/>
      <c r="KZA66" s="24"/>
      <c r="KZB66" s="24"/>
      <c r="KZC66" s="24"/>
      <c r="KZD66" s="24"/>
      <c r="KZE66" s="24"/>
      <c r="KZF66" s="24"/>
      <c r="KZG66" s="24"/>
      <c r="KZH66" s="24"/>
      <c r="KZI66" s="24"/>
      <c r="KZJ66" s="24"/>
      <c r="KZK66" s="24"/>
      <c r="KZL66" s="24"/>
      <c r="KZM66" s="24"/>
      <c r="KZN66" s="24"/>
      <c r="KZO66" s="24"/>
      <c r="KZP66" s="24"/>
      <c r="KZQ66" s="24"/>
      <c r="KZR66" s="24"/>
      <c r="KZS66" s="24"/>
      <c r="KZT66" s="24"/>
      <c r="KZU66" s="24"/>
      <c r="KZV66" s="24"/>
      <c r="KZW66" s="24"/>
      <c r="KZX66" s="24"/>
      <c r="KZY66" s="24"/>
      <c r="KZZ66" s="24"/>
      <c r="LAA66" s="24"/>
      <c r="LAB66" s="24"/>
      <c r="LAC66" s="24"/>
      <c r="LAD66" s="24"/>
      <c r="LAE66" s="24"/>
      <c r="LAF66" s="24"/>
      <c r="LAG66" s="24"/>
      <c r="LAH66" s="24"/>
      <c r="LAI66" s="24"/>
      <c r="LAJ66" s="24"/>
      <c r="LAK66" s="24"/>
      <c r="LAL66" s="24"/>
      <c r="LAM66" s="24"/>
      <c r="LAN66" s="24"/>
      <c r="LAO66" s="24"/>
      <c r="LAP66" s="24"/>
      <c r="LAQ66" s="24"/>
      <c r="LAR66" s="24"/>
      <c r="LAS66" s="24"/>
      <c r="LAT66" s="24"/>
      <c r="LAU66" s="24"/>
      <c r="LAV66" s="24"/>
      <c r="LAW66" s="24"/>
      <c r="LAX66" s="24"/>
      <c r="LAY66" s="24"/>
      <c r="LAZ66" s="24"/>
      <c r="LBA66" s="24"/>
      <c r="LBB66" s="24"/>
      <c r="LBC66" s="24"/>
      <c r="LBD66" s="24"/>
      <c r="LBE66" s="24"/>
      <c r="LBF66" s="24"/>
      <c r="LBG66" s="24"/>
      <c r="LBH66" s="24"/>
      <c r="LBI66" s="24"/>
      <c r="LBJ66" s="24"/>
      <c r="LBK66" s="24"/>
      <c r="LBL66" s="24"/>
      <c r="LBM66" s="24"/>
      <c r="LBN66" s="24"/>
      <c r="LBO66" s="24"/>
      <c r="LBP66" s="24"/>
      <c r="LBQ66" s="24"/>
      <c r="LBR66" s="24"/>
      <c r="LBS66" s="24"/>
      <c r="LBT66" s="24"/>
      <c r="LBU66" s="24"/>
      <c r="LBV66" s="24"/>
      <c r="LBW66" s="24"/>
      <c r="LBX66" s="24"/>
      <c r="LBY66" s="24"/>
      <c r="LBZ66" s="24"/>
      <c r="LCA66" s="24"/>
      <c r="LCB66" s="24"/>
      <c r="LCC66" s="24"/>
      <c r="LCD66" s="24"/>
      <c r="LCE66" s="24"/>
      <c r="LCF66" s="24"/>
      <c r="LCG66" s="24"/>
      <c r="LCH66" s="24"/>
      <c r="LCI66" s="24"/>
      <c r="LCJ66" s="24"/>
      <c r="LCK66" s="24"/>
      <c r="LCL66" s="24"/>
      <c r="LCM66" s="24"/>
      <c r="LCN66" s="24"/>
      <c r="LCO66" s="24"/>
      <c r="LCP66" s="24"/>
      <c r="LCQ66" s="24"/>
      <c r="LCR66" s="24"/>
      <c r="LCS66" s="24"/>
      <c r="LCT66" s="24"/>
      <c r="LCU66" s="24"/>
      <c r="LCV66" s="24"/>
      <c r="LCW66" s="24"/>
      <c r="LCX66" s="24"/>
      <c r="LCY66" s="24"/>
      <c r="LCZ66" s="24"/>
      <c r="LDA66" s="24"/>
      <c r="LDB66" s="24"/>
      <c r="LDC66" s="24"/>
      <c r="LDD66" s="24"/>
      <c r="LDE66" s="24"/>
      <c r="LDF66" s="24"/>
      <c r="LDG66" s="24"/>
      <c r="LDH66" s="24"/>
      <c r="LDI66" s="24"/>
      <c r="LDJ66" s="24"/>
      <c r="LDK66" s="24"/>
      <c r="LDL66" s="24"/>
      <c r="LDM66" s="24"/>
      <c r="LDN66" s="24"/>
      <c r="LDO66" s="24"/>
      <c r="LDP66" s="24"/>
      <c r="LDQ66" s="24"/>
      <c r="LDR66" s="24"/>
      <c r="LDS66" s="24"/>
      <c r="LDT66" s="24"/>
      <c r="LDU66" s="24"/>
      <c r="LDV66" s="24"/>
      <c r="LDW66" s="24"/>
      <c r="LDX66" s="24"/>
      <c r="LDY66" s="24"/>
      <c r="LDZ66" s="24"/>
      <c r="LEA66" s="24"/>
      <c r="LEB66" s="24"/>
      <c r="LEC66" s="24"/>
      <c r="LED66" s="24"/>
      <c r="LEE66" s="24"/>
      <c r="LEF66" s="24"/>
      <c r="LEG66" s="24"/>
      <c r="LEH66" s="24"/>
      <c r="LEI66" s="24"/>
      <c r="LEJ66" s="24"/>
      <c r="LEK66" s="24"/>
      <c r="LEL66" s="24"/>
      <c r="LEM66" s="24"/>
      <c r="LEN66" s="24"/>
      <c r="LEO66" s="24"/>
      <c r="LEP66" s="24"/>
      <c r="LEQ66" s="24"/>
      <c r="LER66" s="24"/>
      <c r="LES66" s="24"/>
      <c r="LET66" s="24"/>
      <c r="LEU66" s="24"/>
      <c r="LEV66" s="24"/>
      <c r="LEW66" s="24"/>
      <c r="LEX66" s="24"/>
      <c r="LEY66" s="24"/>
      <c r="LEZ66" s="24"/>
      <c r="LFA66" s="24"/>
      <c r="LFB66" s="24"/>
      <c r="LFC66" s="24"/>
      <c r="LFD66" s="24"/>
      <c r="LFE66" s="24"/>
      <c r="LFF66" s="24"/>
      <c r="LFG66" s="24"/>
      <c r="LFH66" s="24"/>
      <c r="LFI66" s="24"/>
      <c r="LFJ66" s="24"/>
      <c r="LFK66" s="24"/>
      <c r="LFL66" s="24"/>
      <c r="LFM66" s="24"/>
      <c r="LFN66" s="24"/>
      <c r="LFO66" s="24"/>
      <c r="LFP66" s="24"/>
      <c r="LFQ66" s="24"/>
      <c r="LFR66" s="24"/>
      <c r="LFS66" s="24"/>
      <c r="LFT66" s="24"/>
      <c r="LFU66" s="24"/>
      <c r="LFV66" s="24"/>
      <c r="LFW66" s="24"/>
      <c r="LFX66" s="24"/>
      <c r="LFY66" s="24"/>
      <c r="LFZ66" s="24"/>
      <c r="LGA66" s="24"/>
      <c r="LGB66" s="24"/>
      <c r="LGC66" s="24"/>
      <c r="LGD66" s="24"/>
      <c r="LGE66" s="24"/>
      <c r="LGF66" s="24"/>
      <c r="LGG66" s="24"/>
      <c r="LGH66" s="24"/>
      <c r="LGI66" s="24"/>
      <c r="LGJ66" s="24"/>
      <c r="LGK66" s="24"/>
      <c r="LGL66" s="24"/>
      <c r="LGM66" s="24"/>
      <c r="LGN66" s="24"/>
      <c r="LGO66" s="24"/>
      <c r="LGP66" s="24"/>
      <c r="LGQ66" s="24"/>
      <c r="LGR66" s="24"/>
      <c r="LGS66" s="24"/>
      <c r="LGT66" s="24"/>
      <c r="LGU66" s="24"/>
      <c r="LGV66" s="24"/>
      <c r="LGW66" s="24"/>
      <c r="LGX66" s="24"/>
      <c r="LGY66" s="24"/>
      <c r="LGZ66" s="24"/>
      <c r="LHA66" s="24"/>
      <c r="LHB66" s="24"/>
      <c r="LHC66" s="24"/>
      <c r="LHD66" s="24"/>
      <c r="LHE66" s="24"/>
      <c r="LHF66" s="24"/>
      <c r="LHG66" s="24"/>
      <c r="LHH66" s="24"/>
      <c r="LHI66" s="24"/>
      <c r="LHJ66" s="24"/>
      <c r="LHK66" s="24"/>
      <c r="LHL66" s="24"/>
      <c r="LHM66" s="24"/>
      <c r="LHN66" s="24"/>
      <c r="LHO66" s="24"/>
      <c r="LHP66" s="24"/>
      <c r="LHQ66" s="24"/>
      <c r="LHR66" s="24"/>
      <c r="LHS66" s="24"/>
      <c r="LHT66" s="24"/>
      <c r="LHU66" s="24"/>
      <c r="LHV66" s="24"/>
      <c r="LHW66" s="24"/>
      <c r="LHX66" s="24"/>
      <c r="LHY66" s="24"/>
      <c r="LHZ66" s="24"/>
      <c r="LIA66" s="24"/>
      <c r="LIB66" s="24"/>
      <c r="LIC66" s="24"/>
      <c r="LID66" s="24"/>
      <c r="LIE66" s="24"/>
      <c r="LIF66" s="24"/>
      <c r="LIG66" s="24"/>
      <c r="LIH66" s="24"/>
      <c r="LII66" s="24"/>
      <c r="LIJ66" s="24"/>
      <c r="LIK66" s="24"/>
      <c r="LIL66" s="24"/>
      <c r="LIM66" s="24"/>
      <c r="LIN66" s="24"/>
      <c r="LIO66" s="24"/>
      <c r="LIP66" s="24"/>
      <c r="LIQ66" s="24"/>
      <c r="LIR66" s="24"/>
      <c r="LIS66" s="24"/>
      <c r="LIT66" s="24"/>
      <c r="LIU66" s="24"/>
      <c r="LIV66" s="24"/>
      <c r="LIW66" s="24"/>
      <c r="LIX66" s="24"/>
      <c r="LIY66" s="24"/>
      <c r="LIZ66" s="24"/>
      <c r="LJA66" s="24"/>
      <c r="LJB66" s="24"/>
      <c r="LJC66" s="24"/>
      <c r="LJD66" s="24"/>
      <c r="LJE66" s="24"/>
      <c r="LJF66" s="24"/>
      <c r="LJG66" s="24"/>
      <c r="LJH66" s="24"/>
      <c r="LJI66" s="24"/>
      <c r="LJJ66" s="24"/>
      <c r="LJK66" s="24"/>
      <c r="LJL66" s="24"/>
      <c r="LJM66" s="24"/>
      <c r="LJN66" s="24"/>
      <c r="LJO66" s="24"/>
      <c r="LJP66" s="24"/>
      <c r="LJQ66" s="24"/>
      <c r="LJR66" s="24"/>
      <c r="LJS66" s="24"/>
      <c r="LJT66" s="24"/>
      <c r="LJU66" s="24"/>
      <c r="LJV66" s="24"/>
      <c r="LJW66" s="24"/>
      <c r="LJX66" s="24"/>
      <c r="LJY66" s="24"/>
      <c r="LJZ66" s="24"/>
      <c r="LKA66" s="24"/>
      <c r="LKB66" s="24"/>
      <c r="LKC66" s="24"/>
      <c r="LKD66" s="24"/>
      <c r="LKE66" s="24"/>
      <c r="LKF66" s="24"/>
      <c r="LKG66" s="24"/>
      <c r="LKH66" s="24"/>
      <c r="LKI66" s="24"/>
      <c r="LKJ66" s="24"/>
      <c r="LKK66" s="24"/>
      <c r="LKL66" s="24"/>
      <c r="LKM66" s="24"/>
      <c r="LKN66" s="24"/>
      <c r="LKO66" s="24"/>
      <c r="LKP66" s="24"/>
      <c r="LKQ66" s="24"/>
      <c r="LKR66" s="24"/>
      <c r="LKS66" s="24"/>
      <c r="LKT66" s="24"/>
      <c r="LKU66" s="24"/>
      <c r="LKV66" s="24"/>
      <c r="LKW66" s="24"/>
      <c r="LKX66" s="24"/>
      <c r="LKY66" s="24"/>
      <c r="LKZ66" s="24"/>
      <c r="LLA66" s="24"/>
      <c r="LLB66" s="24"/>
      <c r="LLC66" s="24"/>
      <c r="LLD66" s="24"/>
      <c r="LLE66" s="24"/>
      <c r="LLF66" s="24"/>
      <c r="LLG66" s="24"/>
      <c r="LLH66" s="24"/>
      <c r="LLI66" s="24"/>
      <c r="LLJ66" s="24"/>
      <c r="LLK66" s="24"/>
      <c r="LLL66" s="24"/>
      <c r="LLM66" s="24"/>
      <c r="LLN66" s="24"/>
      <c r="LLO66" s="24"/>
      <c r="LLP66" s="24"/>
      <c r="LLQ66" s="24"/>
      <c r="LLR66" s="24"/>
      <c r="LLS66" s="24"/>
      <c r="LLT66" s="24"/>
      <c r="LLU66" s="24"/>
      <c r="LLV66" s="24"/>
      <c r="LLW66" s="24"/>
      <c r="LLX66" s="24"/>
      <c r="LLY66" s="24"/>
      <c r="LLZ66" s="24"/>
      <c r="LMA66" s="24"/>
      <c r="LMB66" s="24"/>
      <c r="LMC66" s="24"/>
      <c r="LMD66" s="24"/>
      <c r="LME66" s="24"/>
      <c r="LMF66" s="24"/>
      <c r="LMG66" s="24"/>
      <c r="LMH66" s="24"/>
      <c r="LMI66" s="24"/>
      <c r="LMJ66" s="24"/>
      <c r="LMK66" s="24"/>
      <c r="LML66" s="24"/>
      <c r="LMM66" s="24"/>
      <c r="LMN66" s="24"/>
      <c r="LMO66" s="24"/>
      <c r="LMP66" s="24"/>
      <c r="LMQ66" s="24"/>
      <c r="LMR66" s="24"/>
      <c r="LMS66" s="24"/>
      <c r="LMT66" s="24"/>
      <c r="LMU66" s="24"/>
      <c r="LMV66" s="24"/>
      <c r="LMW66" s="24"/>
      <c r="LMX66" s="24"/>
      <c r="LMY66" s="24"/>
      <c r="LMZ66" s="24"/>
      <c r="LNA66" s="24"/>
      <c r="LNB66" s="24"/>
      <c r="LNC66" s="24"/>
      <c r="LND66" s="24"/>
      <c r="LNE66" s="24"/>
      <c r="LNF66" s="24"/>
      <c r="LNG66" s="24"/>
      <c r="LNH66" s="24"/>
      <c r="LNI66" s="24"/>
      <c r="LNJ66" s="24"/>
      <c r="LNK66" s="24"/>
      <c r="LNL66" s="24"/>
      <c r="LNM66" s="24"/>
      <c r="LNN66" s="24"/>
      <c r="LNO66" s="24"/>
      <c r="LNP66" s="24"/>
      <c r="LNQ66" s="24"/>
      <c r="LNR66" s="24"/>
      <c r="LNS66" s="24"/>
      <c r="LNT66" s="24"/>
      <c r="LNU66" s="24"/>
      <c r="LNV66" s="24"/>
      <c r="LNW66" s="24"/>
      <c r="LNX66" s="24"/>
      <c r="LNY66" s="24"/>
      <c r="LNZ66" s="24"/>
      <c r="LOA66" s="24"/>
      <c r="LOB66" s="24"/>
      <c r="LOC66" s="24"/>
      <c r="LOD66" s="24"/>
      <c r="LOE66" s="24"/>
      <c r="LOF66" s="24"/>
      <c r="LOG66" s="24"/>
      <c r="LOH66" s="24"/>
      <c r="LOI66" s="24"/>
      <c r="LOJ66" s="24"/>
      <c r="LOK66" s="24"/>
      <c r="LOL66" s="24"/>
      <c r="LOM66" s="24"/>
      <c r="LON66" s="24"/>
      <c r="LOO66" s="24"/>
      <c r="LOP66" s="24"/>
      <c r="LOQ66" s="24"/>
      <c r="LOR66" s="24"/>
      <c r="LOS66" s="24"/>
      <c r="LOT66" s="24"/>
      <c r="LOU66" s="24"/>
      <c r="LOV66" s="24"/>
      <c r="LOW66" s="24"/>
      <c r="LOX66" s="24"/>
      <c r="LOY66" s="24"/>
      <c r="LOZ66" s="24"/>
      <c r="LPA66" s="24"/>
      <c r="LPB66" s="24"/>
      <c r="LPC66" s="24"/>
      <c r="LPD66" s="24"/>
      <c r="LPE66" s="24"/>
      <c r="LPF66" s="24"/>
      <c r="LPG66" s="24"/>
      <c r="LPH66" s="24"/>
      <c r="LPI66" s="24"/>
      <c r="LPJ66" s="24"/>
      <c r="LPK66" s="24"/>
      <c r="LPL66" s="24"/>
      <c r="LPM66" s="24"/>
      <c r="LPN66" s="24"/>
      <c r="LPO66" s="24"/>
      <c r="LPP66" s="24"/>
      <c r="LPQ66" s="24"/>
      <c r="LPR66" s="24"/>
      <c r="LPS66" s="24"/>
      <c r="LPT66" s="24"/>
      <c r="LPU66" s="24"/>
      <c r="LPV66" s="24"/>
      <c r="LPW66" s="24"/>
      <c r="LPX66" s="24"/>
      <c r="LPY66" s="24"/>
      <c r="LPZ66" s="24"/>
      <c r="LQA66" s="24"/>
      <c r="LQB66" s="24"/>
      <c r="LQC66" s="24"/>
      <c r="LQD66" s="24"/>
      <c r="LQE66" s="24"/>
      <c r="LQF66" s="24"/>
      <c r="LQG66" s="24"/>
      <c r="LQH66" s="24"/>
      <c r="LQI66" s="24"/>
      <c r="LQJ66" s="24"/>
      <c r="LQK66" s="24"/>
      <c r="LQL66" s="24"/>
      <c r="LQM66" s="24"/>
      <c r="LQN66" s="24"/>
      <c r="LQO66" s="24"/>
      <c r="LQP66" s="24"/>
      <c r="LQQ66" s="24"/>
      <c r="LQR66" s="24"/>
      <c r="LQS66" s="24"/>
      <c r="LQT66" s="24"/>
      <c r="LQU66" s="24"/>
      <c r="LQV66" s="24"/>
      <c r="LQW66" s="24"/>
      <c r="LQX66" s="24"/>
      <c r="LQY66" s="24"/>
      <c r="LQZ66" s="24"/>
      <c r="LRA66" s="24"/>
      <c r="LRB66" s="24"/>
      <c r="LRC66" s="24"/>
      <c r="LRD66" s="24"/>
      <c r="LRE66" s="24"/>
      <c r="LRF66" s="24"/>
      <c r="LRG66" s="24"/>
      <c r="LRH66" s="24"/>
      <c r="LRI66" s="24"/>
      <c r="LRJ66" s="24"/>
      <c r="LRK66" s="24"/>
      <c r="LRL66" s="24"/>
      <c r="LRM66" s="24"/>
      <c r="LRN66" s="24"/>
      <c r="LRO66" s="24"/>
      <c r="LRP66" s="24"/>
      <c r="LRQ66" s="24"/>
      <c r="LRR66" s="24"/>
      <c r="LRS66" s="24"/>
      <c r="LRT66" s="24"/>
      <c r="LRU66" s="24"/>
      <c r="LRV66" s="24"/>
      <c r="LRW66" s="24"/>
      <c r="LRX66" s="24"/>
      <c r="LRY66" s="24"/>
      <c r="LRZ66" s="24"/>
      <c r="LSA66" s="24"/>
      <c r="LSB66" s="24"/>
      <c r="LSC66" s="24"/>
      <c r="LSD66" s="24"/>
      <c r="LSE66" s="24"/>
      <c r="LSF66" s="24"/>
      <c r="LSG66" s="24"/>
      <c r="LSH66" s="24"/>
      <c r="LSI66" s="24"/>
      <c r="LSJ66" s="24"/>
      <c r="LSK66" s="24"/>
      <c r="LSL66" s="24"/>
      <c r="LSM66" s="24"/>
      <c r="LSN66" s="24"/>
      <c r="LSO66" s="24"/>
      <c r="LSP66" s="24"/>
      <c r="LSQ66" s="24"/>
      <c r="LSR66" s="24"/>
      <c r="LSS66" s="24"/>
      <c r="LST66" s="24"/>
      <c r="LSU66" s="24"/>
      <c r="LSV66" s="24"/>
      <c r="LSW66" s="24"/>
      <c r="LSX66" s="24"/>
      <c r="LSY66" s="24"/>
      <c r="LSZ66" s="24"/>
      <c r="LTA66" s="24"/>
      <c r="LTB66" s="24"/>
      <c r="LTC66" s="24"/>
      <c r="LTD66" s="24"/>
      <c r="LTE66" s="24"/>
      <c r="LTF66" s="24"/>
      <c r="LTG66" s="24"/>
      <c r="LTH66" s="24"/>
      <c r="LTI66" s="24"/>
      <c r="LTJ66" s="24"/>
      <c r="LTK66" s="24"/>
      <c r="LTL66" s="24"/>
      <c r="LTM66" s="24"/>
      <c r="LTN66" s="24"/>
      <c r="LTO66" s="24"/>
      <c r="LTP66" s="24"/>
      <c r="LTQ66" s="24"/>
      <c r="LTR66" s="24"/>
      <c r="LTS66" s="24"/>
      <c r="LTT66" s="24"/>
      <c r="LTU66" s="24"/>
      <c r="LTV66" s="24"/>
      <c r="LTW66" s="24"/>
      <c r="LTX66" s="24"/>
      <c r="LTY66" s="24"/>
      <c r="LTZ66" s="24"/>
      <c r="LUA66" s="24"/>
      <c r="LUB66" s="24"/>
      <c r="LUC66" s="24"/>
      <c r="LUD66" s="24"/>
      <c r="LUE66" s="24"/>
      <c r="LUF66" s="24"/>
      <c r="LUG66" s="24"/>
      <c r="LUH66" s="24"/>
      <c r="LUI66" s="24"/>
      <c r="LUJ66" s="24"/>
      <c r="LUK66" s="24"/>
      <c r="LUL66" s="24"/>
      <c r="LUM66" s="24"/>
      <c r="LUN66" s="24"/>
      <c r="LUO66" s="24"/>
      <c r="LUP66" s="24"/>
      <c r="LUQ66" s="24"/>
      <c r="LUR66" s="24"/>
      <c r="LUS66" s="24"/>
      <c r="LUT66" s="24"/>
      <c r="LUU66" s="24"/>
      <c r="LUV66" s="24"/>
      <c r="LUW66" s="24"/>
      <c r="LUX66" s="24"/>
      <c r="LUY66" s="24"/>
      <c r="LUZ66" s="24"/>
      <c r="LVA66" s="24"/>
      <c r="LVB66" s="24"/>
      <c r="LVC66" s="24"/>
      <c r="LVD66" s="24"/>
      <c r="LVE66" s="24"/>
      <c r="LVF66" s="24"/>
      <c r="LVG66" s="24"/>
      <c r="LVH66" s="24"/>
      <c r="LVI66" s="24"/>
      <c r="LVJ66" s="24"/>
      <c r="LVK66" s="24"/>
      <c r="LVL66" s="24"/>
      <c r="LVM66" s="24"/>
      <c r="LVN66" s="24"/>
      <c r="LVO66" s="24"/>
      <c r="LVP66" s="24"/>
      <c r="LVQ66" s="24"/>
      <c r="LVR66" s="24"/>
      <c r="LVS66" s="24"/>
      <c r="LVT66" s="24"/>
      <c r="LVU66" s="24"/>
      <c r="LVV66" s="24"/>
      <c r="LVW66" s="24"/>
      <c r="LVX66" s="24"/>
      <c r="LVY66" s="24"/>
      <c r="LVZ66" s="24"/>
      <c r="LWA66" s="24"/>
      <c r="LWB66" s="24"/>
      <c r="LWC66" s="24"/>
      <c r="LWD66" s="24"/>
      <c r="LWE66" s="24"/>
      <c r="LWF66" s="24"/>
      <c r="LWG66" s="24"/>
      <c r="LWH66" s="24"/>
      <c r="LWI66" s="24"/>
      <c r="LWJ66" s="24"/>
      <c r="LWK66" s="24"/>
      <c r="LWL66" s="24"/>
      <c r="LWM66" s="24"/>
      <c r="LWN66" s="24"/>
      <c r="LWO66" s="24"/>
      <c r="LWP66" s="24"/>
      <c r="LWQ66" s="24"/>
      <c r="LWR66" s="24"/>
      <c r="LWS66" s="24"/>
      <c r="LWT66" s="24"/>
      <c r="LWU66" s="24"/>
      <c r="LWV66" s="24"/>
      <c r="LWW66" s="24"/>
      <c r="LWX66" s="24"/>
      <c r="LWY66" s="24"/>
      <c r="LWZ66" s="24"/>
      <c r="LXA66" s="24"/>
      <c r="LXB66" s="24"/>
      <c r="LXC66" s="24"/>
      <c r="LXD66" s="24"/>
      <c r="LXE66" s="24"/>
      <c r="LXF66" s="24"/>
      <c r="LXG66" s="24"/>
      <c r="LXH66" s="24"/>
      <c r="LXI66" s="24"/>
      <c r="LXJ66" s="24"/>
      <c r="LXK66" s="24"/>
      <c r="LXL66" s="24"/>
      <c r="LXM66" s="24"/>
      <c r="LXN66" s="24"/>
      <c r="LXO66" s="24"/>
      <c r="LXP66" s="24"/>
      <c r="LXQ66" s="24"/>
      <c r="LXR66" s="24"/>
      <c r="LXS66" s="24"/>
      <c r="LXT66" s="24"/>
      <c r="LXU66" s="24"/>
      <c r="LXV66" s="24"/>
      <c r="LXW66" s="24"/>
      <c r="LXX66" s="24"/>
      <c r="LXY66" s="24"/>
      <c r="LXZ66" s="24"/>
      <c r="LYA66" s="24"/>
      <c r="LYB66" s="24"/>
      <c r="LYC66" s="24"/>
      <c r="LYD66" s="24"/>
      <c r="LYE66" s="24"/>
      <c r="LYF66" s="24"/>
      <c r="LYG66" s="24"/>
      <c r="LYH66" s="24"/>
      <c r="LYI66" s="24"/>
      <c r="LYJ66" s="24"/>
      <c r="LYK66" s="24"/>
      <c r="LYL66" s="24"/>
      <c r="LYM66" s="24"/>
      <c r="LYN66" s="24"/>
      <c r="LYO66" s="24"/>
      <c r="LYP66" s="24"/>
      <c r="LYQ66" s="24"/>
      <c r="LYR66" s="24"/>
      <c r="LYS66" s="24"/>
      <c r="LYT66" s="24"/>
      <c r="LYU66" s="24"/>
      <c r="LYV66" s="24"/>
      <c r="LYW66" s="24"/>
      <c r="LYX66" s="24"/>
      <c r="LYY66" s="24"/>
      <c r="LYZ66" s="24"/>
      <c r="LZA66" s="24"/>
      <c r="LZB66" s="24"/>
      <c r="LZC66" s="24"/>
      <c r="LZD66" s="24"/>
      <c r="LZE66" s="24"/>
      <c r="LZF66" s="24"/>
      <c r="LZG66" s="24"/>
      <c r="LZH66" s="24"/>
      <c r="LZI66" s="24"/>
      <c r="LZJ66" s="24"/>
      <c r="LZK66" s="24"/>
      <c r="LZL66" s="24"/>
      <c r="LZM66" s="24"/>
      <c r="LZN66" s="24"/>
      <c r="LZO66" s="24"/>
      <c r="LZP66" s="24"/>
      <c r="LZQ66" s="24"/>
      <c r="LZR66" s="24"/>
      <c r="LZS66" s="24"/>
      <c r="LZT66" s="24"/>
      <c r="LZU66" s="24"/>
      <c r="LZV66" s="24"/>
      <c r="LZW66" s="24"/>
      <c r="LZX66" s="24"/>
      <c r="LZY66" s="24"/>
      <c r="LZZ66" s="24"/>
      <c r="MAA66" s="24"/>
      <c r="MAB66" s="24"/>
      <c r="MAC66" s="24"/>
      <c r="MAD66" s="24"/>
      <c r="MAE66" s="24"/>
      <c r="MAF66" s="24"/>
      <c r="MAG66" s="24"/>
      <c r="MAH66" s="24"/>
      <c r="MAI66" s="24"/>
      <c r="MAJ66" s="24"/>
      <c r="MAK66" s="24"/>
      <c r="MAL66" s="24"/>
      <c r="MAM66" s="24"/>
      <c r="MAN66" s="24"/>
      <c r="MAO66" s="24"/>
      <c r="MAP66" s="24"/>
      <c r="MAQ66" s="24"/>
      <c r="MAR66" s="24"/>
      <c r="MAS66" s="24"/>
      <c r="MAT66" s="24"/>
      <c r="MAU66" s="24"/>
      <c r="MAV66" s="24"/>
      <c r="MAW66" s="24"/>
      <c r="MAX66" s="24"/>
      <c r="MAY66" s="24"/>
      <c r="MAZ66" s="24"/>
      <c r="MBA66" s="24"/>
      <c r="MBB66" s="24"/>
      <c r="MBC66" s="24"/>
      <c r="MBD66" s="24"/>
      <c r="MBE66" s="24"/>
      <c r="MBF66" s="24"/>
      <c r="MBG66" s="24"/>
      <c r="MBH66" s="24"/>
      <c r="MBI66" s="24"/>
      <c r="MBJ66" s="24"/>
      <c r="MBK66" s="24"/>
      <c r="MBL66" s="24"/>
      <c r="MBM66" s="24"/>
      <c r="MBN66" s="24"/>
      <c r="MBO66" s="24"/>
      <c r="MBP66" s="24"/>
      <c r="MBQ66" s="24"/>
      <c r="MBR66" s="24"/>
      <c r="MBS66" s="24"/>
      <c r="MBT66" s="24"/>
      <c r="MBU66" s="24"/>
      <c r="MBV66" s="24"/>
      <c r="MBW66" s="24"/>
      <c r="MBX66" s="24"/>
      <c r="MBY66" s="24"/>
      <c r="MBZ66" s="24"/>
      <c r="MCA66" s="24"/>
      <c r="MCB66" s="24"/>
      <c r="MCC66" s="24"/>
      <c r="MCD66" s="24"/>
      <c r="MCE66" s="24"/>
      <c r="MCF66" s="24"/>
      <c r="MCG66" s="24"/>
      <c r="MCH66" s="24"/>
      <c r="MCI66" s="24"/>
      <c r="MCJ66" s="24"/>
      <c r="MCK66" s="24"/>
      <c r="MCL66" s="24"/>
      <c r="MCM66" s="24"/>
      <c r="MCN66" s="24"/>
      <c r="MCO66" s="24"/>
      <c r="MCP66" s="24"/>
      <c r="MCQ66" s="24"/>
      <c r="MCR66" s="24"/>
      <c r="MCS66" s="24"/>
      <c r="MCT66" s="24"/>
      <c r="MCU66" s="24"/>
      <c r="MCV66" s="24"/>
      <c r="MCW66" s="24"/>
      <c r="MCX66" s="24"/>
      <c r="MCY66" s="24"/>
      <c r="MCZ66" s="24"/>
      <c r="MDA66" s="24"/>
      <c r="MDB66" s="24"/>
      <c r="MDC66" s="24"/>
      <c r="MDD66" s="24"/>
      <c r="MDE66" s="24"/>
      <c r="MDF66" s="24"/>
      <c r="MDG66" s="24"/>
      <c r="MDH66" s="24"/>
      <c r="MDI66" s="24"/>
      <c r="MDJ66" s="24"/>
      <c r="MDK66" s="24"/>
      <c r="MDL66" s="24"/>
      <c r="MDM66" s="24"/>
      <c r="MDN66" s="24"/>
      <c r="MDO66" s="24"/>
      <c r="MDP66" s="24"/>
      <c r="MDQ66" s="24"/>
      <c r="MDR66" s="24"/>
      <c r="MDS66" s="24"/>
      <c r="MDT66" s="24"/>
      <c r="MDU66" s="24"/>
      <c r="MDV66" s="24"/>
      <c r="MDW66" s="24"/>
      <c r="MDX66" s="24"/>
      <c r="MDY66" s="24"/>
      <c r="MDZ66" s="24"/>
      <c r="MEA66" s="24"/>
      <c r="MEB66" s="24"/>
      <c r="MEC66" s="24"/>
      <c r="MED66" s="24"/>
      <c r="MEE66" s="24"/>
      <c r="MEF66" s="24"/>
      <c r="MEG66" s="24"/>
      <c r="MEH66" s="24"/>
      <c r="MEI66" s="24"/>
      <c r="MEJ66" s="24"/>
      <c r="MEK66" s="24"/>
      <c r="MEL66" s="24"/>
      <c r="MEM66" s="24"/>
      <c r="MEN66" s="24"/>
      <c r="MEO66" s="24"/>
      <c r="MEP66" s="24"/>
      <c r="MEQ66" s="24"/>
      <c r="MER66" s="24"/>
      <c r="MES66" s="24"/>
      <c r="MET66" s="24"/>
      <c r="MEU66" s="24"/>
      <c r="MEV66" s="24"/>
      <c r="MEW66" s="24"/>
      <c r="MEX66" s="24"/>
      <c r="MEY66" s="24"/>
      <c r="MEZ66" s="24"/>
      <c r="MFA66" s="24"/>
      <c r="MFB66" s="24"/>
      <c r="MFC66" s="24"/>
      <c r="MFD66" s="24"/>
      <c r="MFE66" s="24"/>
      <c r="MFF66" s="24"/>
      <c r="MFG66" s="24"/>
      <c r="MFH66" s="24"/>
      <c r="MFI66" s="24"/>
      <c r="MFJ66" s="24"/>
      <c r="MFK66" s="24"/>
      <c r="MFL66" s="24"/>
      <c r="MFM66" s="24"/>
      <c r="MFN66" s="24"/>
      <c r="MFO66" s="24"/>
      <c r="MFP66" s="24"/>
      <c r="MFQ66" s="24"/>
      <c r="MFR66" s="24"/>
      <c r="MFS66" s="24"/>
      <c r="MFT66" s="24"/>
      <c r="MFU66" s="24"/>
      <c r="MFV66" s="24"/>
      <c r="MFW66" s="24"/>
      <c r="MFX66" s="24"/>
      <c r="MFY66" s="24"/>
      <c r="MFZ66" s="24"/>
      <c r="MGA66" s="24"/>
      <c r="MGB66" s="24"/>
      <c r="MGC66" s="24"/>
      <c r="MGD66" s="24"/>
      <c r="MGE66" s="24"/>
      <c r="MGF66" s="24"/>
      <c r="MGG66" s="24"/>
      <c r="MGH66" s="24"/>
      <c r="MGI66" s="24"/>
      <c r="MGJ66" s="24"/>
      <c r="MGK66" s="24"/>
      <c r="MGL66" s="24"/>
      <c r="MGM66" s="24"/>
      <c r="MGN66" s="24"/>
      <c r="MGO66" s="24"/>
      <c r="MGP66" s="24"/>
      <c r="MGQ66" s="24"/>
      <c r="MGR66" s="24"/>
      <c r="MGS66" s="24"/>
      <c r="MGT66" s="24"/>
      <c r="MGU66" s="24"/>
      <c r="MGV66" s="24"/>
      <c r="MGW66" s="24"/>
      <c r="MGX66" s="24"/>
      <c r="MGY66" s="24"/>
      <c r="MGZ66" s="24"/>
      <c r="MHA66" s="24"/>
      <c r="MHB66" s="24"/>
      <c r="MHC66" s="24"/>
      <c r="MHD66" s="24"/>
      <c r="MHE66" s="24"/>
      <c r="MHF66" s="24"/>
      <c r="MHG66" s="24"/>
      <c r="MHH66" s="24"/>
      <c r="MHI66" s="24"/>
      <c r="MHJ66" s="24"/>
      <c r="MHK66" s="24"/>
      <c r="MHL66" s="24"/>
      <c r="MHM66" s="24"/>
      <c r="MHN66" s="24"/>
      <c r="MHO66" s="24"/>
      <c r="MHP66" s="24"/>
      <c r="MHQ66" s="24"/>
      <c r="MHR66" s="24"/>
      <c r="MHS66" s="24"/>
      <c r="MHT66" s="24"/>
      <c r="MHU66" s="24"/>
      <c r="MHV66" s="24"/>
      <c r="MHW66" s="24"/>
      <c r="MHX66" s="24"/>
      <c r="MHY66" s="24"/>
      <c r="MHZ66" s="24"/>
      <c r="MIA66" s="24"/>
      <c r="MIB66" s="24"/>
      <c r="MIC66" s="24"/>
      <c r="MID66" s="24"/>
      <c r="MIE66" s="24"/>
      <c r="MIF66" s="24"/>
      <c r="MIG66" s="24"/>
      <c r="MIH66" s="24"/>
      <c r="MII66" s="24"/>
      <c r="MIJ66" s="24"/>
      <c r="MIK66" s="24"/>
      <c r="MIL66" s="24"/>
      <c r="MIM66" s="24"/>
      <c r="MIN66" s="24"/>
      <c r="MIO66" s="24"/>
      <c r="MIP66" s="24"/>
      <c r="MIQ66" s="24"/>
      <c r="MIR66" s="24"/>
      <c r="MIS66" s="24"/>
      <c r="MIT66" s="24"/>
      <c r="MIU66" s="24"/>
      <c r="MIV66" s="24"/>
      <c r="MIW66" s="24"/>
      <c r="MIX66" s="24"/>
      <c r="MIY66" s="24"/>
      <c r="MIZ66" s="24"/>
      <c r="MJA66" s="24"/>
      <c r="MJB66" s="24"/>
      <c r="MJC66" s="24"/>
      <c r="MJD66" s="24"/>
      <c r="MJE66" s="24"/>
      <c r="MJF66" s="24"/>
      <c r="MJG66" s="24"/>
      <c r="MJH66" s="24"/>
      <c r="MJI66" s="24"/>
      <c r="MJJ66" s="24"/>
      <c r="MJK66" s="24"/>
      <c r="MJL66" s="24"/>
      <c r="MJM66" s="24"/>
      <c r="MJN66" s="24"/>
      <c r="MJO66" s="24"/>
      <c r="MJP66" s="24"/>
      <c r="MJQ66" s="24"/>
      <c r="MJR66" s="24"/>
      <c r="MJS66" s="24"/>
      <c r="MJT66" s="24"/>
      <c r="MJU66" s="24"/>
      <c r="MJV66" s="24"/>
      <c r="MJW66" s="24"/>
      <c r="MJX66" s="24"/>
      <c r="MJY66" s="24"/>
      <c r="MJZ66" s="24"/>
      <c r="MKA66" s="24"/>
      <c r="MKB66" s="24"/>
      <c r="MKC66" s="24"/>
      <c r="MKD66" s="24"/>
      <c r="MKE66" s="24"/>
      <c r="MKF66" s="24"/>
      <c r="MKG66" s="24"/>
      <c r="MKH66" s="24"/>
      <c r="MKI66" s="24"/>
      <c r="MKJ66" s="24"/>
      <c r="MKK66" s="24"/>
      <c r="MKL66" s="24"/>
      <c r="MKM66" s="24"/>
      <c r="MKN66" s="24"/>
      <c r="MKO66" s="24"/>
      <c r="MKP66" s="24"/>
      <c r="MKQ66" s="24"/>
      <c r="MKR66" s="24"/>
      <c r="MKS66" s="24"/>
      <c r="MKT66" s="24"/>
      <c r="MKU66" s="24"/>
      <c r="MKV66" s="24"/>
      <c r="MKW66" s="24"/>
      <c r="MKX66" s="24"/>
      <c r="MKY66" s="24"/>
      <c r="MKZ66" s="24"/>
      <c r="MLA66" s="24"/>
      <c r="MLB66" s="24"/>
      <c r="MLC66" s="24"/>
      <c r="MLD66" s="24"/>
      <c r="MLE66" s="24"/>
      <c r="MLF66" s="24"/>
      <c r="MLG66" s="24"/>
      <c r="MLH66" s="24"/>
      <c r="MLI66" s="24"/>
      <c r="MLJ66" s="24"/>
      <c r="MLK66" s="24"/>
      <c r="MLL66" s="24"/>
      <c r="MLM66" s="24"/>
      <c r="MLN66" s="24"/>
      <c r="MLO66" s="24"/>
      <c r="MLP66" s="24"/>
      <c r="MLQ66" s="24"/>
      <c r="MLR66" s="24"/>
      <c r="MLS66" s="24"/>
      <c r="MLT66" s="24"/>
      <c r="MLU66" s="24"/>
      <c r="MLV66" s="24"/>
      <c r="MLW66" s="24"/>
      <c r="MLX66" s="24"/>
      <c r="MLY66" s="24"/>
      <c r="MLZ66" s="24"/>
      <c r="MMA66" s="24"/>
      <c r="MMB66" s="24"/>
      <c r="MMC66" s="24"/>
      <c r="MMD66" s="24"/>
      <c r="MME66" s="24"/>
      <c r="MMF66" s="24"/>
      <c r="MMG66" s="24"/>
      <c r="MMH66" s="24"/>
      <c r="MMI66" s="24"/>
      <c r="MMJ66" s="24"/>
      <c r="MMK66" s="24"/>
      <c r="MML66" s="24"/>
      <c r="MMM66" s="24"/>
      <c r="MMN66" s="24"/>
      <c r="MMO66" s="24"/>
      <c r="MMP66" s="24"/>
      <c r="MMQ66" s="24"/>
      <c r="MMR66" s="24"/>
      <c r="MMS66" s="24"/>
      <c r="MMT66" s="24"/>
      <c r="MMU66" s="24"/>
      <c r="MMV66" s="24"/>
      <c r="MMW66" s="24"/>
      <c r="MMX66" s="24"/>
      <c r="MMY66" s="24"/>
      <c r="MMZ66" s="24"/>
      <c r="MNA66" s="24"/>
      <c r="MNB66" s="24"/>
      <c r="MNC66" s="24"/>
      <c r="MND66" s="24"/>
      <c r="MNE66" s="24"/>
      <c r="MNF66" s="24"/>
      <c r="MNG66" s="24"/>
      <c r="MNH66" s="24"/>
      <c r="MNI66" s="24"/>
      <c r="MNJ66" s="24"/>
      <c r="MNK66" s="24"/>
      <c r="MNL66" s="24"/>
      <c r="MNM66" s="24"/>
      <c r="MNN66" s="24"/>
      <c r="MNO66" s="24"/>
      <c r="MNP66" s="24"/>
      <c r="MNQ66" s="24"/>
      <c r="MNR66" s="24"/>
      <c r="MNS66" s="24"/>
      <c r="MNT66" s="24"/>
      <c r="MNU66" s="24"/>
      <c r="MNV66" s="24"/>
      <c r="MNW66" s="24"/>
      <c r="MNX66" s="24"/>
      <c r="MNY66" s="24"/>
      <c r="MNZ66" s="24"/>
      <c r="MOA66" s="24"/>
      <c r="MOB66" s="24"/>
      <c r="MOC66" s="24"/>
      <c r="MOD66" s="24"/>
      <c r="MOE66" s="24"/>
      <c r="MOF66" s="24"/>
      <c r="MOG66" s="24"/>
      <c r="MOH66" s="24"/>
      <c r="MOI66" s="24"/>
      <c r="MOJ66" s="24"/>
      <c r="MOK66" s="24"/>
      <c r="MOL66" s="24"/>
      <c r="MOM66" s="24"/>
      <c r="MON66" s="24"/>
      <c r="MOO66" s="24"/>
      <c r="MOP66" s="24"/>
      <c r="MOQ66" s="24"/>
      <c r="MOR66" s="24"/>
      <c r="MOS66" s="24"/>
      <c r="MOT66" s="24"/>
      <c r="MOU66" s="24"/>
      <c r="MOV66" s="24"/>
      <c r="MOW66" s="24"/>
      <c r="MOX66" s="24"/>
      <c r="MOY66" s="24"/>
      <c r="MOZ66" s="24"/>
      <c r="MPA66" s="24"/>
      <c r="MPB66" s="24"/>
      <c r="MPC66" s="24"/>
      <c r="MPD66" s="24"/>
      <c r="MPE66" s="24"/>
      <c r="MPF66" s="24"/>
      <c r="MPG66" s="24"/>
      <c r="MPH66" s="24"/>
      <c r="MPI66" s="24"/>
      <c r="MPJ66" s="24"/>
      <c r="MPK66" s="24"/>
      <c r="MPL66" s="24"/>
      <c r="MPM66" s="24"/>
      <c r="MPN66" s="24"/>
      <c r="MPO66" s="24"/>
      <c r="MPP66" s="24"/>
      <c r="MPQ66" s="24"/>
      <c r="MPR66" s="24"/>
      <c r="MPS66" s="24"/>
      <c r="MPT66" s="24"/>
      <c r="MPU66" s="24"/>
      <c r="MPV66" s="24"/>
      <c r="MPW66" s="24"/>
      <c r="MPX66" s="24"/>
      <c r="MPY66" s="24"/>
      <c r="MPZ66" s="24"/>
      <c r="MQA66" s="24"/>
      <c r="MQB66" s="24"/>
      <c r="MQC66" s="24"/>
      <c r="MQD66" s="24"/>
      <c r="MQE66" s="24"/>
      <c r="MQF66" s="24"/>
      <c r="MQG66" s="24"/>
      <c r="MQH66" s="24"/>
      <c r="MQI66" s="24"/>
      <c r="MQJ66" s="24"/>
      <c r="MQK66" s="24"/>
      <c r="MQL66" s="24"/>
      <c r="MQM66" s="24"/>
      <c r="MQN66" s="24"/>
      <c r="MQO66" s="24"/>
      <c r="MQP66" s="24"/>
      <c r="MQQ66" s="24"/>
      <c r="MQR66" s="24"/>
      <c r="MQS66" s="24"/>
      <c r="MQT66" s="24"/>
      <c r="MQU66" s="24"/>
      <c r="MQV66" s="24"/>
      <c r="MQW66" s="24"/>
      <c r="MQX66" s="24"/>
      <c r="MQY66" s="24"/>
      <c r="MQZ66" s="24"/>
      <c r="MRA66" s="24"/>
      <c r="MRB66" s="24"/>
      <c r="MRC66" s="24"/>
      <c r="MRD66" s="24"/>
      <c r="MRE66" s="24"/>
      <c r="MRF66" s="24"/>
      <c r="MRG66" s="24"/>
      <c r="MRH66" s="24"/>
      <c r="MRI66" s="24"/>
      <c r="MRJ66" s="24"/>
      <c r="MRK66" s="24"/>
      <c r="MRL66" s="24"/>
      <c r="MRM66" s="24"/>
      <c r="MRN66" s="24"/>
      <c r="MRO66" s="24"/>
      <c r="MRP66" s="24"/>
      <c r="MRQ66" s="24"/>
      <c r="MRR66" s="24"/>
      <c r="MRS66" s="24"/>
      <c r="MRT66" s="24"/>
      <c r="MRU66" s="24"/>
      <c r="MRV66" s="24"/>
      <c r="MRW66" s="24"/>
      <c r="MRX66" s="24"/>
      <c r="MRY66" s="24"/>
      <c r="MRZ66" s="24"/>
      <c r="MSA66" s="24"/>
      <c r="MSB66" s="24"/>
      <c r="MSC66" s="24"/>
      <c r="MSD66" s="24"/>
      <c r="MSE66" s="24"/>
      <c r="MSF66" s="24"/>
      <c r="MSG66" s="24"/>
      <c r="MSH66" s="24"/>
      <c r="MSI66" s="24"/>
      <c r="MSJ66" s="24"/>
      <c r="MSK66" s="24"/>
      <c r="MSL66" s="24"/>
      <c r="MSM66" s="24"/>
      <c r="MSN66" s="24"/>
      <c r="MSO66" s="24"/>
      <c r="MSP66" s="24"/>
      <c r="MSQ66" s="24"/>
      <c r="MSR66" s="24"/>
      <c r="MSS66" s="24"/>
      <c r="MST66" s="24"/>
      <c r="MSU66" s="24"/>
      <c r="MSV66" s="24"/>
      <c r="MSW66" s="24"/>
      <c r="MSX66" s="24"/>
      <c r="MSY66" s="24"/>
      <c r="MSZ66" s="24"/>
      <c r="MTA66" s="24"/>
      <c r="MTB66" s="24"/>
      <c r="MTC66" s="24"/>
      <c r="MTD66" s="24"/>
      <c r="MTE66" s="24"/>
      <c r="MTF66" s="24"/>
      <c r="MTG66" s="24"/>
      <c r="MTH66" s="24"/>
      <c r="MTI66" s="24"/>
      <c r="MTJ66" s="24"/>
      <c r="MTK66" s="24"/>
      <c r="MTL66" s="24"/>
      <c r="MTM66" s="24"/>
      <c r="MTN66" s="24"/>
      <c r="MTO66" s="24"/>
      <c r="MTP66" s="24"/>
      <c r="MTQ66" s="24"/>
      <c r="MTR66" s="24"/>
      <c r="MTS66" s="24"/>
      <c r="MTT66" s="24"/>
      <c r="MTU66" s="24"/>
      <c r="MTV66" s="24"/>
      <c r="MTW66" s="24"/>
      <c r="MTX66" s="24"/>
      <c r="MTY66" s="24"/>
      <c r="MTZ66" s="24"/>
      <c r="MUA66" s="24"/>
      <c r="MUB66" s="24"/>
      <c r="MUC66" s="24"/>
      <c r="MUD66" s="24"/>
      <c r="MUE66" s="24"/>
      <c r="MUF66" s="24"/>
      <c r="MUG66" s="24"/>
      <c r="MUH66" s="24"/>
      <c r="MUI66" s="24"/>
      <c r="MUJ66" s="24"/>
      <c r="MUK66" s="24"/>
      <c r="MUL66" s="24"/>
      <c r="MUM66" s="24"/>
      <c r="MUN66" s="24"/>
      <c r="MUO66" s="24"/>
      <c r="MUP66" s="24"/>
      <c r="MUQ66" s="24"/>
      <c r="MUR66" s="24"/>
      <c r="MUS66" s="24"/>
      <c r="MUT66" s="24"/>
      <c r="MUU66" s="24"/>
      <c r="MUV66" s="24"/>
      <c r="MUW66" s="24"/>
      <c r="MUX66" s="24"/>
      <c r="MUY66" s="24"/>
      <c r="MUZ66" s="24"/>
      <c r="MVA66" s="24"/>
      <c r="MVB66" s="24"/>
      <c r="MVC66" s="24"/>
      <c r="MVD66" s="24"/>
      <c r="MVE66" s="24"/>
      <c r="MVF66" s="24"/>
      <c r="MVG66" s="24"/>
      <c r="MVH66" s="24"/>
      <c r="MVI66" s="24"/>
      <c r="MVJ66" s="24"/>
      <c r="MVK66" s="24"/>
      <c r="MVL66" s="24"/>
      <c r="MVM66" s="24"/>
      <c r="MVN66" s="24"/>
      <c r="MVO66" s="24"/>
      <c r="MVP66" s="24"/>
      <c r="MVQ66" s="24"/>
      <c r="MVR66" s="24"/>
      <c r="MVS66" s="24"/>
      <c r="MVT66" s="24"/>
      <c r="MVU66" s="24"/>
      <c r="MVV66" s="24"/>
      <c r="MVW66" s="24"/>
      <c r="MVX66" s="24"/>
      <c r="MVY66" s="24"/>
      <c r="MVZ66" s="24"/>
      <c r="MWA66" s="24"/>
      <c r="MWB66" s="24"/>
      <c r="MWC66" s="24"/>
      <c r="MWD66" s="24"/>
      <c r="MWE66" s="24"/>
      <c r="MWF66" s="24"/>
      <c r="MWG66" s="24"/>
      <c r="MWH66" s="24"/>
      <c r="MWI66" s="24"/>
      <c r="MWJ66" s="24"/>
      <c r="MWK66" s="24"/>
      <c r="MWL66" s="24"/>
      <c r="MWM66" s="24"/>
      <c r="MWN66" s="24"/>
      <c r="MWO66" s="24"/>
      <c r="MWP66" s="24"/>
      <c r="MWQ66" s="24"/>
      <c r="MWR66" s="24"/>
      <c r="MWS66" s="24"/>
      <c r="MWT66" s="24"/>
      <c r="MWU66" s="24"/>
      <c r="MWV66" s="24"/>
      <c r="MWW66" s="24"/>
      <c r="MWX66" s="24"/>
      <c r="MWY66" s="24"/>
      <c r="MWZ66" s="24"/>
      <c r="MXA66" s="24"/>
      <c r="MXB66" s="24"/>
      <c r="MXC66" s="24"/>
      <c r="MXD66" s="24"/>
      <c r="MXE66" s="24"/>
      <c r="MXF66" s="24"/>
      <c r="MXG66" s="24"/>
      <c r="MXH66" s="24"/>
      <c r="MXI66" s="24"/>
      <c r="MXJ66" s="24"/>
      <c r="MXK66" s="24"/>
      <c r="MXL66" s="24"/>
      <c r="MXM66" s="24"/>
      <c r="MXN66" s="24"/>
      <c r="MXO66" s="24"/>
      <c r="MXP66" s="24"/>
      <c r="MXQ66" s="24"/>
      <c r="MXR66" s="24"/>
      <c r="MXS66" s="24"/>
      <c r="MXT66" s="24"/>
      <c r="MXU66" s="24"/>
      <c r="MXV66" s="24"/>
      <c r="MXW66" s="24"/>
      <c r="MXX66" s="24"/>
      <c r="MXY66" s="24"/>
      <c r="MXZ66" s="24"/>
      <c r="MYA66" s="24"/>
      <c r="MYB66" s="24"/>
      <c r="MYC66" s="24"/>
      <c r="MYD66" s="24"/>
      <c r="MYE66" s="24"/>
      <c r="MYF66" s="24"/>
      <c r="MYG66" s="24"/>
      <c r="MYH66" s="24"/>
      <c r="MYI66" s="24"/>
      <c r="MYJ66" s="24"/>
      <c r="MYK66" s="24"/>
      <c r="MYL66" s="24"/>
      <c r="MYM66" s="24"/>
      <c r="MYN66" s="24"/>
      <c r="MYO66" s="24"/>
      <c r="MYP66" s="24"/>
      <c r="MYQ66" s="24"/>
      <c r="MYR66" s="24"/>
      <c r="MYS66" s="24"/>
      <c r="MYT66" s="24"/>
      <c r="MYU66" s="24"/>
      <c r="MYV66" s="24"/>
      <c r="MYW66" s="24"/>
      <c r="MYX66" s="24"/>
      <c r="MYY66" s="24"/>
      <c r="MYZ66" s="24"/>
      <c r="MZA66" s="24"/>
      <c r="MZB66" s="24"/>
      <c r="MZC66" s="24"/>
      <c r="MZD66" s="24"/>
      <c r="MZE66" s="24"/>
      <c r="MZF66" s="24"/>
      <c r="MZG66" s="24"/>
      <c r="MZH66" s="24"/>
      <c r="MZI66" s="24"/>
      <c r="MZJ66" s="24"/>
      <c r="MZK66" s="24"/>
      <c r="MZL66" s="24"/>
      <c r="MZM66" s="24"/>
      <c r="MZN66" s="24"/>
      <c r="MZO66" s="24"/>
      <c r="MZP66" s="24"/>
      <c r="MZQ66" s="24"/>
      <c r="MZR66" s="24"/>
      <c r="MZS66" s="24"/>
      <c r="MZT66" s="24"/>
      <c r="MZU66" s="24"/>
      <c r="MZV66" s="24"/>
      <c r="MZW66" s="24"/>
      <c r="MZX66" s="24"/>
      <c r="MZY66" s="24"/>
      <c r="MZZ66" s="24"/>
      <c r="NAA66" s="24"/>
      <c r="NAB66" s="24"/>
      <c r="NAC66" s="24"/>
      <c r="NAD66" s="24"/>
      <c r="NAE66" s="24"/>
      <c r="NAF66" s="24"/>
      <c r="NAG66" s="24"/>
      <c r="NAH66" s="24"/>
      <c r="NAI66" s="24"/>
      <c r="NAJ66" s="24"/>
      <c r="NAK66" s="24"/>
      <c r="NAL66" s="24"/>
      <c r="NAM66" s="24"/>
      <c r="NAN66" s="24"/>
      <c r="NAO66" s="24"/>
      <c r="NAP66" s="24"/>
      <c r="NAQ66" s="24"/>
      <c r="NAR66" s="24"/>
      <c r="NAS66" s="24"/>
      <c r="NAT66" s="24"/>
      <c r="NAU66" s="24"/>
      <c r="NAV66" s="24"/>
      <c r="NAW66" s="24"/>
      <c r="NAX66" s="24"/>
      <c r="NAY66" s="24"/>
      <c r="NAZ66" s="24"/>
      <c r="NBA66" s="24"/>
      <c r="NBB66" s="24"/>
      <c r="NBC66" s="24"/>
      <c r="NBD66" s="24"/>
      <c r="NBE66" s="24"/>
      <c r="NBF66" s="24"/>
      <c r="NBG66" s="24"/>
      <c r="NBH66" s="24"/>
      <c r="NBI66" s="24"/>
      <c r="NBJ66" s="24"/>
      <c r="NBK66" s="24"/>
      <c r="NBL66" s="24"/>
      <c r="NBM66" s="24"/>
      <c r="NBN66" s="24"/>
      <c r="NBO66" s="24"/>
      <c r="NBP66" s="24"/>
      <c r="NBQ66" s="24"/>
      <c r="NBR66" s="24"/>
      <c r="NBS66" s="24"/>
      <c r="NBT66" s="24"/>
      <c r="NBU66" s="24"/>
      <c r="NBV66" s="24"/>
      <c r="NBW66" s="24"/>
      <c r="NBX66" s="24"/>
      <c r="NBY66" s="24"/>
      <c r="NBZ66" s="24"/>
      <c r="NCA66" s="24"/>
      <c r="NCB66" s="24"/>
      <c r="NCC66" s="24"/>
      <c r="NCD66" s="24"/>
      <c r="NCE66" s="24"/>
      <c r="NCF66" s="24"/>
      <c r="NCG66" s="24"/>
      <c r="NCH66" s="24"/>
      <c r="NCI66" s="24"/>
      <c r="NCJ66" s="24"/>
      <c r="NCK66" s="24"/>
      <c r="NCL66" s="24"/>
      <c r="NCM66" s="24"/>
      <c r="NCN66" s="24"/>
      <c r="NCO66" s="24"/>
      <c r="NCP66" s="24"/>
      <c r="NCQ66" s="24"/>
      <c r="NCR66" s="24"/>
      <c r="NCS66" s="24"/>
      <c r="NCT66" s="24"/>
      <c r="NCU66" s="24"/>
      <c r="NCV66" s="24"/>
      <c r="NCW66" s="24"/>
      <c r="NCX66" s="24"/>
      <c r="NCY66" s="24"/>
      <c r="NCZ66" s="24"/>
      <c r="NDA66" s="24"/>
      <c r="NDB66" s="24"/>
      <c r="NDC66" s="24"/>
      <c r="NDD66" s="24"/>
      <c r="NDE66" s="24"/>
      <c r="NDF66" s="24"/>
      <c r="NDG66" s="24"/>
      <c r="NDH66" s="24"/>
      <c r="NDI66" s="24"/>
      <c r="NDJ66" s="24"/>
      <c r="NDK66" s="24"/>
      <c r="NDL66" s="24"/>
      <c r="NDM66" s="24"/>
      <c r="NDN66" s="24"/>
      <c r="NDO66" s="24"/>
      <c r="NDP66" s="24"/>
      <c r="NDQ66" s="24"/>
      <c r="NDR66" s="24"/>
      <c r="NDS66" s="24"/>
      <c r="NDT66" s="24"/>
      <c r="NDU66" s="24"/>
      <c r="NDV66" s="24"/>
      <c r="NDW66" s="24"/>
      <c r="NDX66" s="24"/>
      <c r="NDY66" s="24"/>
      <c r="NDZ66" s="24"/>
      <c r="NEA66" s="24"/>
      <c r="NEB66" s="24"/>
      <c r="NEC66" s="24"/>
      <c r="NED66" s="24"/>
      <c r="NEE66" s="24"/>
      <c r="NEF66" s="24"/>
      <c r="NEG66" s="24"/>
      <c r="NEH66" s="24"/>
      <c r="NEI66" s="24"/>
      <c r="NEJ66" s="24"/>
      <c r="NEK66" s="24"/>
      <c r="NEL66" s="24"/>
      <c r="NEM66" s="24"/>
      <c r="NEN66" s="24"/>
      <c r="NEO66" s="24"/>
      <c r="NEP66" s="24"/>
      <c r="NEQ66" s="24"/>
      <c r="NER66" s="24"/>
      <c r="NES66" s="24"/>
      <c r="NET66" s="24"/>
      <c r="NEU66" s="24"/>
      <c r="NEV66" s="24"/>
      <c r="NEW66" s="24"/>
      <c r="NEX66" s="24"/>
      <c r="NEY66" s="24"/>
      <c r="NEZ66" s="24"/>
      <c r="NFA66" s="24"/>
      <c r="NFB66" s="24"/>
      <c r="NFC66" s="24"/>
      <c r="NFD66" s="24"/>
      <c r="NFE66" s="24"/>
      <c r="NFF66" s="24"/>
      <c r="NFG66" s="24"/>
      <c r="NFH66" s="24"/>
      <c r="NFI66" s="24"/>
      <c r="NFJ66" s="24"/>
      <c r="NFK66" s="24"/>
      <c r="NFL66" s="24"/>
      <c r="NFM66" s="24"/>
      <c r="NFN66" s="24"/>
      <c r="NFO66" s="24"/>
      <c r="NFP66" s="24"/>
      <c r="NFQ66" s="24"/>
      <c r="NFR66" s="24"/>
      <c r="NFS66" s="24"/>
      <c r="NFT66" s="24"/>
      <c r="NFU66" s="24"/>
      <c r="NFV66" s="24"/>
      <c r="NFW66" s="24"/>
      <c r="NFX66" s="24"/>
      <c r="NFY66" s="24"/>
      <c r="NFZ66" s="24"/>
      <c r="NGA66" s="24"/>
      <c r="NGB66" s="24"/>
      <c r="NGC66" s="24"/>
      <c r="NGD66" s="24"/>
      <c r="NGE66" s="24"/>
      <c r="NGF66" s="24"/>
      <c r="NGG66" s="24"/>
      <c r="NGH66" s="24"/>
      <c r="NGI66" s="24"/>
      <c r="NGJ66" s="24"/>
      <c r="NGK66" s="24"/>
      <c r="NGL66" s="24"/>
      <c r="NGM66" s="24"/>
      <c r="NGN66" s="24"/>
      <c r="NGO66" s="24"/>
      <c r="NGP66" s="24"/>
      <c r="NGQ66" s="24"/>
      <c r="NGR66" s="24"/>
      <c r="NGS66" s="24"/>
      <c r="NGT66" s="24"/>
      <c r="NGU66" s="24"/>
      <c r="NGV66" s="24"/>
      <c r="NGW66" s="24"/>
      <c r="NGX66" s="24"/>
      <c r="NGY66" s="24"/>
      <c r="NGZ66" s="24"/>
      <c r="NHA66" s="24"/>
      <c r="NHB66" s="24"/>
      <c r="NHC66" s="24"/>
      <c r="NHD66" s="24"/>
      <c r="NHE66" s="24"/>
      <c r="NHF66" s="24"/>
      <c r="NHG66" s="24"/>
      <c r="NHH66" s="24"/>
      <c r="NHI66" s="24"/>
      <c r="NHJ66" s="24"/>
      <c r="NHK66" s="24"/>
      <c r="NHL66" s="24"/>
      <c r="NHM66" s="24"/>
      <c r="NHN66" s="24"/>
      <c r="NHO66" s="24"/>
      <c r="NHP66" s="24"/>
      <c r="NHQ66" s="24"/>
      <c r="NHR66" s="24"/>
      <c r="NHS66" s="24"/>
      <c r="NHT66" s="24"/>
      <c r="NHU66" s="24"/>
      <c r="NHV66" s="24"/>
      <c r="NHW66" s="24"/>
      <c r="NHX66" s="24"/>
      <c r="NHY66" s="24"/>
      <c r="NHZ66" s="24"/>
      <c r="NIA66" s="24"/>
      <c r="NIB66" s="24"/>
      <c r="NIC66" s="24"/>
      <c r="NID66" s="24"/>
      <c r="NIE66" s="24"/>
      <c r="NIF66" s="24"/>
      <c r="NIG66" s="24"/>
      <c r="NIH66" s="24"/>
      <c r="NII66" s="24"/>
      <c r="NIJ66" s="24"/>
      <c r="NIK66" s="24"/>
      <c r="NIL66" s="24"/>
      <c r="NIM66" s="24"/>
      <c r="NIN66" s="24"/>
      <c r="NIO66" s="24"/>
      <c r="NIP66" s="24"/>
      <c r="NIQ66" s="24"/>
      <c r="NIR66" s="24"/>
      <c r="NIS66" s="24"/>
      <c r="NIT66" s="24"/>
      <c r="NIU66" s="24"/>
      <c r="NIV66" s="24"/>
      <c r="NIW66" s="24"/>
      <c r="NIX66" s="24"/>
      <c r="NIY66" s="24"/>
      <c r="NIZ66" s="24"/>
      <c r="NJA66" s="24"/>
      <c r="NJB66" s="24"/>
      <c r="NJC66" s="24"/>
      <c r="NJD66" s="24"/>
      <c r="NJE66" s="24"/>
      <c r="NJF66" s="24"/>
      <c r="NJG66" s="24"/>
      <c r="NJH66" s="24"/>
      <c r="NJI66" s="24"/>
      <c r="NJJ66" s="24"/>
      <c r="NJK66" s="24"/>
      <c r="NJL66" s="24"/>
      <c r="NJM66" s="24"/>
      <c r="NJN66" s="24"/>
      <c r="NJO66" s="24"/>
      <c r="NJP66" s="24"/>
      <c r="NJQ66" s="24"/>
      <c r="NJR66" s="24"/>
      <c r="NJS66" s="24"/>
      <c r="NJT66" s="24"/>
      <c r="NJU66" s="24"/>
      <c r="NJV66" s="24"/>
      <c r="NJW66" s="24"/>
      <c r="NJX66" s="24"/>
      <c r="NJY66" s="24"/>
      <c r="NJZ66" s="24"/>
      <c r="NKA66" s="24"/>
      <c r="NKB66" s="24"/>
      <c r="NKC66" s="24"/>
      <c r="NKD66" s="24"/>
      <c r="NKE66" s="24"/>
      <c r="NKF66" s="24"/>
      <c r="NKG66" s="24"/>
      <c r="NKH66" s="24"/>
      <c r="NKI66" s="24"/>
      <c r="NKJ66" s="24"/>
      <c r="NKK66" s="24"/>
      <c r="NKL66" s="24"/>
      <c r="NKM66" s="24"/>
      <c r="NKN66" s="24"/>
      <c r="NKO66" s="24"/>
      <c r="NKP66" s="24"/>
      <c r="NKQ66" s="24"/>
      <c r="NKR66" s="24"/>
      <c r="NKS66" s="24"/>
      <c r="NKT66" s="24"/>
      <c r="NKU66" s="24"/>
      <c r="NKV66" s="24"/>
      <c r="NKW66" s="24"/>
      <c r="NKX66" s="24"/>
      <c r="NKY66" s="24"/>
      <c r="NKZ66" s="24"/>
      <c r="NLA66" s="24"/>
      <c r="NLB66" s="24"/>
      <c r="NLC66" s="24"/>
      <c r="NLD66" s="24"/>
      <c r="NLE66" s="24"/>
      <c r="NLF66" s="24"/>
      <c r="NLG66" s="24"/>
      <c r="NLH66" s="24"/>
      <c r="NLI66" s="24"/>
      <c r="NLJ66" s="24"/>
      <c r="NLK66" s="24"/>
      <c r="NLL66" s="24"/>
      <c r="NLM66" s="24"/>
      <c r="NLN66" s="24"/>
      <c r="NLO66" s="24"/>
      <c r="NLP66" s="24"/>
      <c r="NLQ66" s="24"/>
      <c r="NLR66" s="24"/>
      <c r="NLS66" s="24"/>
      <c r="NLT66" s="24"/>
      <c r="NLU66" s="24"/>
      <c r="NLV66" s="24"/>
      <c r="NLW66" s="24"/>
      <c r="NLX66" s="24"/>
      <c r="NLY66" s="24"/>
      <c r="NLZ66" s="24"/>
      <c r="NMA66" s="24"/>
      <c r="NMB66" s="24"/>
      <c r="NMC66" s="24"/>
      <c r="NMD66" s="24"/>
      <c r="NME66" s="24"/>
      <c r="NMF66" s="24"/>
      <c r="NMG66" s="24"/>
      <c r="NMH66" s="24"/>
      <c r="NMI66" s="24"/>
      <c r="NMJ66" s="24"/>
      <c r="NMK66" s="24"/>
      <c r="NML66" s="24"/>
      <c r="NMM66" s="24"/>
      <c r="NMN66" s="24"/>
      <c r="NMO66" s="24"/>
      <c r="NMP66" s="24"/>
      <c r="NMQ66" s="24"/>
      <c r="NMR66" s="24"/>
      <c r="NMS66" s="24"/>
      <c r="NMT66" s="24"/>
      <c r="NMU66" s="24"/>
      <c r="NMV66" s="24"/>
      <c r="NMW66" s="24"/>
      <c r="NMX66" s="24"/>
      <c r="NMY66" s="24"/>
      <c r="NMZ66" s="24"/>
      <c r="NNA66" s="24"/>
      <c r="NNB66" s="24"/>
      <c r="NNC66" s="24"/>
      <c r="NND66" s="24"/>
      <c r="NNE66" s="24"/>
      <c r="NNF66" s="24"/>
      <c r="NNG66" s="24"/>
      <c r="NNH66" s="24"/>
      <c r="NNI66" s="24"/>
      <c r="NNJ66" s="24"/>
      <c r="NNK66" s="24"/>
      <c r="NNL66" s="24"/>
      <c r="NNM66" s="24"/>
      <c r="NNN66" s="24"/>
      <c r="NNO66" s="24"/>
      <c r="NNP66" s="24"/>
      <c r="NNQ66" s="24"/>
      <c r="NNR66" s="24"/>
      <c r="NNS66" s="24"/>
      <c r="NNT66" s="24"/>
      <c r="NNU66" s="24"/>
      <c r="NNV66" s="24"/>
      <c r="NNW66" s="24"/>
      <c r="NNX66" s="24"/>
      <c r="NNY66" s="24"/>
      <c r="NNZ66" s="24"/>
      <c r="NOA66" s="24"/>
      <c r="NOB66" s="24"/>
      <c r="NOC66" s="24"/>
      <c r="NOD66" s="24"/>
      <c r="NOE66" s="24"/>
      <c r="NOF66" s="24"/>
      <c r="NOG66" s="24"/>
      <c r="NOH66" s="24"/>
      <c r="NOI66" s="24"/>
      <c r="NOJ66" s="24"/>
      <c r="NOK66" s="24"/>
      <c r="NOL66" s="24"/>
      <c r="NOM66" s="24"/>
      <c r="NON66" s="24"/>
      <c r="NOO66" s="24"/>
      <c r="NOP66" s="24"/>
      <c r="NOQ66" s="24"/>
      <c r="NOR66" s="24"/>
      <c r="NOS66" s="24"/>
      <c r="NOT66" s="24"/>
      <c r="NOU66" s="24"/>
      <c r="NOV66" s="24"/>
      <c r="NOW66" s="24"/>
      <c r="NOX66" s="24"/>
      <c r="NOY66" s="24"/>
      <c r="NOZ66" s="24"/>
      <c r="NPA66" s="24"/>
      <c r="NPB66" s="24"/>
      <c r="NPC66" s="24"/>
      <c r="NPD66" s="24"/>
      <c r="NPE66" s="24"/>
      <c r="NPF66" s="24"/>
      <c r="NPG66" s="24"/>
      <c r="NPH66" s="24"/>
      <c r="NPI66" s="24"/>
      <c r="NPJ66" s="24"/>
      <c r="NPK66" s="24"/>
      <c r="NPL66" s="24"/>
      <c r="NPM66" s="24"/>
      <c r="NPN66" s="24"/>
      <c r="NPO66" s="24"/>
      <c r="NPP66" s="24"/>
      <c r="NPQ66" s="24"/>
      <c r="NPR66" s="24"/>
      <c r="NPS66" s="24"/>
      <c r="NPT66" s="24"/>
      <c r="NPU66" s="24"/>
      <c r="NPV66" s="24"/>
      <c r="NPW66" s="24"/>
      <c r="NPX66" s="24"/>
      <c r="NPY66" s="24"/>
      <c r="NPZ66" s="24"/>
      <c r="NQA66" s="24"/>
      <c r="NQB66" s="24"/>
      <c r="NQC66" s="24"/>
      <c r="NQD66" s="24"/>
      <c r="NQE66" s="24"/>
      <c r="NQF66" s="24"/>
      <c r="NQG66" s="24"/>
      <c r="NQH66" s="24"/>
      <c r="NQI66" s="24"/>
      <c r="NQJ66" s="24"/>
      <c r="NQK66" s="24"/>
      <c r="NQL66" s="24"/>
      <c r="NQM66" s="24"/>
      <c r="NQN66" s="24"/>
      <c r="NQO66" s="24"/>
      <c r="NQP66" s="24"/>
      <c r="NQQ66" s="24"/>
      <c r="NQR66" s="24"/>
      <c r="NQS66" s="24"/>
      <c r="NQT66" s="24"/>
      <c r="NQU66" s="24"/>
      <c r="NQV66" s="24"/>
      <c r="NQW66" s="24"/>
      <c r="NQX66" s="24"/>
      <c r="NQY66" s="24"/>
      <c r="NQZ66" s="24"/>
      <c r="NRA66" s="24"/>
      <c r="NRB66" s="24"/>
      <c r="NRC66" s="24"/>
      <c r="NRD66" s="24"/>
      <c r="NRE66" s="24"/>
      <c r="NRF66" s="24"/>
      <c r="NRG66" s="24"/>
      <c r="NRH66" s="24"/>
      <c r="NRI66" s="24"/>
      <c r="NRJ66" s="24"/>
      <c r="NRK66" s="24"/>
      <c r="NRL66" s="24"/>
      <c r="NRM66" s="24"/>
      <c r="NRN66" s="24"/>
      <c r="NRO66" s="24"/>
      <c r="NRP66" s="24"/>
      <c r="NRQ66" s="24"/>
      <c r="NRR66" s="24"/>
      <c r="NRS66" s="24"/>
      <c r="NRT66" s="24"/>
      <c r="NRU66" s="24"/>
      <c r="NRV66" s="24"/>
      <c r="NRW66" s="24"/>
      <c r="NRX66" s="24"/>
      <c r="NRY66" s="24"/>
      <c r="NRZ66" s="24"/>
      <c r="NSA66" s="24"/>
      <c r="NSB66" s="24"/>
      <c r="NSC66" s="24"/>
      <c r="NSD66" s="24"/>
      <c r="NSE66" s="24"/>
      <c r="NSF66" s="24"/>
      <c r="NSG66" s="24"/>
      <c r="NSH66" s="24"/>
      <c r="NSI66" s="24"/>
      <c r="NSJ66" s="24"/>
      <c r="NSK66" s="24"/>
      <c r="NSL66" s="24"/>
      <c r="NSM66" s="24"/>
      <c r="NSN66" s="24"/>
      <c r="NSO66" s="24"/>
      <c r="NSP66" s="24"/>
      <c r="NSQ66" s="24"/>
      <c r="NSR66" s="24"/>
      <c r="NSS66" s="24"/>
      <c r="NST66" s="24"/>
      <c r="NSU66" s="24"/>
      <c r="NSV66" s="24"/>
      <c r="NSW66" s="24"/>
      <c r="NSX66" s="24"/>
      <c r="NSY66" s="24"/>
      <c r="NSZ66" s="24"/>
      <c r="NTA66" s="24"/>
      <c r="NTB66" s="24"/>
      <c r="NTC66" s="24"/>
      <c r="NTD66" s="24"/>
      <c r="NTE66" s="24"/>
      <c r="NTF66" s="24"/>
      <c r="NTG66" s="24"/>
      <c r="NTH66" s="24"/>
      <c r="NTI66" s="24"/>
      <c r="NTJ66" s="24"/>
      <c r="NTK66" s="24"/>
      <c r="NTL66" s="24"/>
      <c r="NTM66" s="24"/>
      <c r="NTN66" s="24"/>
      <c r="NTO66" s="24"/>
      <c r="NTP66" s="24"/>
      <c r="NTQ66" s="24"/>
      <c r="NTR66" s="24"/>
      <c r="NTS66" s="24"/>
      <c r="NTT66" s="24"/>
      <c r="NTU66" s="24"/>
      <c r="NTV66" s="24"/>
      <c r="NTW66" s="24"/>
      <c r="NTX66" s="24"/>
      <c r="NTY66" s="24"/>
      <c r="NTZ66" s="24"/>
      <c r="NUA66" s="24"/>
      <c r="NUB66" s="24"/>
      <c r="NUC66" s="24"/>
      <c r="NUD66" s="24"/>
      <c r="NUE66" s="24"/>
      <c r="NUF66" s="24"/>
      <c r="NUG66" s="24"/>
      <c r="NUH66" s="24"/>
      <c r="NUI66" s="24"/>
      <c r="NUJ66" s="24"/>
      <c r="NUK66" s="24"/>
      <c r="NUL66" s="24"/>
      <c r="NUM66" s="24"/>
      <c r="NUN66" s="24"/>
      <c r="NUO66" s="24"/>
      <c r="NUP66" s="24"/>
      <c r="NUQ66" s="24"/>
      <c r="NUR66" s="24"/>
      <c r="NUS66" s="24"/>
      <c r="NUT66" s="24"/>
      <c r="NUU66" s="24"/>
      <c r="NUV66" s="24"/>
      <c r="NUW66" s="24"/>
      <c r="NUX66" s="24"/>
      <c r="NUY66" s="24"/>
      <c r="NUZ66" s="24"/>
      <c r="NVA66" s="24"/>
      <c r="NVB66" s="24"/>
      <c r="NVC66" s="24"/>
      <c r="NVD66" s="24"/>
      <c r="NVE66" s="24"/>
      <c r="NVF66" s="24"/>
      <c r="NVG66" s="24"/>
      <c r="NVH66" s="24"/>
      <c r="NVI66" s="24"/>
      <c r="NVJ66" s="24"/>
      <c r="NVK66" s="24"/>
      <c r="NVL66" s="24"/>
      <c r="NVM66" s="24"/>
      <c r="NVN66" s="24"/>
      <c r="NVO66" s="24"/>
      <c r="NVP66" s="24"/>
      <c r="NVQ66" s="24"/>
      <c r="NVR66" s="24"/>
      <c r="NVS66" s="24"/>
      <c r="NVT66" s="24"/>
      <c r="NVU66" s="24"/>
      <c r="NVV66" s="24"/>
      <c r="NVW66" s="24"/>
      <c r="NVX66" s="24"/>
      <c r="NVY66" s="24"/>
      <c r="NVZ66" s="24"/>
      <c r="NWA66" s="24"/>
      <c r="NWB66" s="24"/>
      <c r="NWC66" s="24"/>
      <c r="NWD66" s="24"/>
      <c r="NWE66" s="24"/>
      <c r="NWF66" s="24"/>
      <c r="NWG66" s="24"/>
      <c r="NWH66" s="24"/>
      <c r="NWI66" s="24"/>
      <c r="NWJ66" s="24"/>
      <c r="NWK66" s="24"/>
      <c r="NWL66" s="24"/>
      <c r="NWM66" s="24"/>
      <c r="NWN66" s="24"/>
      <c r="NWO66" s="24"/>
      <c r="NWP66" s="24"/>
      <c r="NWQ66" s="24"/>
      <c r="NWR66" s="24"/>
      <c r="NWS66" s="24"/>
      <c r="NWT66" s="24"/>
      <c r="NWU66" s="24"/>
      <c r="NWV66" s="24"/>
      <c r="NWW66" s="24"/>
      <c r="NWX66" s="24"/>
      <c r="NWY66" s="24"/>
      <c r="NWZ66" s="24"/>
      <c r="NXA66" s="24"/>
      <c r="NXB66" s="24"/>
      <c r="NXC66" s="24"/>
      <c r="NXD66" s="24"/>
      <c r="NXE66" s="24"/>
      <c r="NXF66" s="24"/>
      <c r="NXG66" s="24"/>
      <c r="NXH66" s="24"/>
      <c r="NXI66" s="24"/>
      <c r="NXJ66" s="24"/>
      <c r="NXK66" s="24"/>
      <c r="NXL66" s="24"/>
      <c r="NXM66" s="24"/>
      <c r="NXN66" s="24"/>
      <c r="NXO66" s="24"/>
      <c r="NXP66" s="24"/>
      <c r="NXQ66" s="24"/>
      <c r="NXR66" s="24"/>
      <c r="NXS66" s="24"/>
      <c r="NXT66" s="24"/>
      <c r="NXU66" s="24"/>
      <c r="NXV66" s="24"/>
      <c r="NXW66" s="24"/>
      <c r="NXX66" s="24"/>
      <c r="NXY66" s="24"/>
      <c r="NXZ66" s="24"/>
      <c r="NYA66" s="24"/>
      <c r="NYB66" s="24"/>
      <c r="NYC66" s="24"/>
      <c r="NYD66" s="24"/>
      <c r="NYE66" s="24"/>
      <c r="NYF66" s="24"/>
      <c r="NYG66" s="24"/>
      <c r="NYH66" s="24"/>
      <c r="NYI66" s="24"/>
      <c r="NYJ66" s="24"/>
      <c r="NYK66" s="24"/>
      <c r="NYL66" s="24"/>
      <c r="NYM66" s="24"/>
      <c r="NYN66" s="24"/>
      <c r="NYO66" s="24"/>
      <c r="NYP66" s="24"/>
      <c r="NYQ66" s="24"/>
      <c r="NYR66" s="24"/>
      <c r="NYS66" s="24"/>
      <c r="NYT66" s="24"/>
      <c r="NYU66" s="24"/>
      <c r="NYV66" s="24"/>
      <c r="NYW66" s="24"/>
      <c r="NYX66" s="24"/>
      <c r="NYY66" s="24"/>
      <c r="NYZ66" s="24"/>
      <c r="NZA66" s="24"/>
      <c r="NZB66" s="24"/>
      <c r="NZC66" s="24"/>
      <c r="NZD66" s="24"/>
      <c r="NZE66" s="24"/>
      <c r="NZF66" s="24"/>
      <c r="NZG66" s="24"/>
      <c r="NZH66" s="24"/>
      <c r="NZI66" s="24"/>
      <c r="NZJ66" s="24"/>
      <c r="NZK66" s="24"/>
      <c r="NZL66" s="24"/>
      <c r="NZM66" s="24"/>
      <c r="NZN66" s="24"/>
      <c r="NZO66" s="24"/>
      <c r="NZP66" s="24"/>
      <c r="NZQ66" s="24"/>
      <c r="NZR66" s="24"/>
      <c r="NZS66" s="24"/>
      <c r="NZT66" s="24"/>
      <c r="NZU66" s="24"/>
      <c r="NZV66" s="24"/>
      <c r="NZW66" s="24"/>
      <c r="NZX66" s="24"/>
      <c r="NZY66" s="24"/>
      <c r="NZZ66" s="24"/>
      <c r="OAA66" s="24"/>
      <c r="OAB66" s="24"/>
      <c r="OAC66" s="24"/>
      <c r="OAD66" s="24"/>
      <c r="OAE66" s="24"/>
      <c r="OAF66" s="24"/>
      <c r="OAG66" s="24"/>
      <c r="OAH66" s="24"/>
      <c r="OAI66" s="24"/>
      <c r="OAJ66" s="24"/>
      <c r="OAK66" s="24"/>
      <c r="OAL66" s="24"/>
      <c r="OAM66" s="24"/>
      <c r="OAN66" s="24"/>
      <c r="OAO66" s="24"/>
      <c r="OAP66" s="24"/>
      <c r="OAQ66" s="24"/>
      <c r="OAR66" s="24"/>
      <c r="OAS66" s="24"/>
      <c r="OAT66" s="24"/>
      <c r="OAU66" s="24"/>
      <c r="OAV66" s="24"/>
      <c r="OAW66" s="24"/>
      <c r="OAX66" s="24"/>
      <c r="OAY66" s="24"/>
      <c r="OAZ66" s="24"/>
      <c r="OBA66" s="24"/>
      <c r="OBB66" s="24"/>
      <c r="OBC66" s="24"/>
      <c r="OBD66" s="24"/>
      <c r="OBE66" s="24"/>
      <c r="OBF66" s="24"/>
      <c r="OBG66" s="24"/>
      <c r="OBH66" s="24"/>
      <c r="OBI66" s="24"/>
      <c r="OBJ66" s="24"/>
      <c r="OBK66" s="24"/>
      <c r="OBL66" s="24"/>
      <c r="OBM66" s="24"/>
      <c r="OBN66" s="24"/>
      <c r="OBO66" s="24"/>
      <c r="OBP66" s="24"/>
      <c r="OBQ66" s="24"/>
      <c r="OBR66" s="24"/>
      <c r="OBS66" s="24"/>
      <c r="OBT66" s="24"/>
      <c r="OBU66" s="24"/>
      <c r="OBV66" s="24"/>
      <c r="OBW66" s="24"/>
      <c r="OBX66" s="24"/>
      <c r="OBY66" s="24"/>
      <c r="OBZ66" s="24"/>
      <c r="OCA66" s="24"/>
      <c r="OCB66" s="24"/>
      <c r="OCC66" s="24"/>
      <c r="OCD66" s="24"/>
      <c r="OCE66" s="24"/>
      <c r="OCF66" s="24"/>
      <c r="OCG66" s="24"/>
      <c r="OCH66" s="24"/>
      <c r="OCI66" s="24"/>
      <c r="OCJ66" s="24"/>
      <c r="OCK66" s="24"/>
      <c r="OCL66" s="24"/>
      <c r="OCM66" s="24"/>
      <c r="OCN66" s="24"/>
      <c r="OCO66" s="24"/>
      <c r="OCP66" s="24"/>
      <c r="OCQ66" s="24"/>
      <c r="OCR66" s="24"/>
      <c r="OCS66" s="24"/>
      <c r="OCT66" s="24"/>
      <c r="OCU66" s="24"/>
      <c r="OCV66" s="24"/>
      <c r="OCW66" s="24"/>
      <c r="OCX66" s="24"/>
      <c r="OCY66" s="24"/>
      <c r="OCZ66" s="24"/>
      <c r="ODA66" s="24"/>
      <c r="ODB66" s="24"/>
      <c r="ODC66" s="24"/>
      <c r="ODD66" s="24"/>
      <c r="ODE66" s="24"/>
      <c r="ODF66" s="24"/>
      <c r="ODG66" s="24"/>
      <c r="ODH66" s="24"/>
      <c r="ODI66" s="24"/>
      <c r="ODJ66" s="24"/>
      <c r="ODK66" s="24"/>
      <c r="ODL66" s="24"/>
      <c r="ODM66" s="24"/>
      <c r="ODN66" s="24"/>
      <c r="ODO66" s="24"/>
      <c r="ODP66" s="24"/>
      <c r="ODQ66" s="24"/>
      <c r="ODR66" s="24"/>
      <c r="ODS66" s="24"/>
      <c r="ODT66" s="24"/>
      <c r="ODU66" s="24"/>
      <c r="ODV66" s="24"/>
      <c r="ODW66" s="24"/>
      <c r="ODX66" s="24"/>
      <c r="ODY66" s="24"/>
      <c r="ODZ66" s="24"/>
      <c r="OEA66" s="24"/>
      <c r="OEB66" s="24"/>
      <c r="OEC66" s="24"/>
      <c r="OED66" s="24"/>
      <c r="OEE66" s="24"/>
      <c r="OEF66" s="24"/>
      <c r="OEG66" s="24"/>
      <c r="OEH66" s="24"/>
      <c r="OEI66" s="24"/>
      <c r="OEJ66" s="24"/>
      <c r="OEK66" s="24"/>
      <c r="OEL66" s="24"/>
      <c r="OEM66" s="24"/>
      <c r="OEN66" s="24"/>
      <c r="OEO66" s="24"/>
      <c r="OEP66" s="24"/>
      <c r="OEQ66" s="24"/>
      <c r="OER66" s="24"/>
      <c r="OES66" s="24"/>
      <c r="OET66" s="24"/>
      <c r="OEU66" s="24"/>
      <c r="OEV66" s="24"/>
      <c r="OEW66" s="24"/>
      <c r="OEX66" s="24"/>
      <c r="OEY66" s="24"/>
      <c r="OEZ66" s="24"/>
      <c r="OFA66" s="24"/>
      <c r="OFB66" s="24"/>
      <c r="OFC66" s="24"/>
      <c r="OFD66" s="24"/>
      <c r="OFE66" s="24"/>
      <c r="OFF66" s="24"/>
      <c r="OFG66" s="24"/>
      <c r="OFH66" s="24"/>
      <c r="OFI66" s="24"/>
      <c r="OFJ66" s="24"/>
      <c r="OFK66" s="24"/>
      <c r="OFL66" s="24"/>
      <c r="OFM66" s="24"/>
      <c r="OFN66" s="24"/>
      <c r="OFO66" s="24"/>
      <c r="OFP66" s="24"/>
      <c r="OFQ66" s="24"/>
      <c r="OFR66" s="24"/>
      <c r="OFS66" s="24"/>
      <c r="OFT66" s="24"/>
      <c r="OFU66" s="24"/>
      <c r="OFV66" s="24"/>
      <c r="OFW66" s="24"/>
      <c r="OFX66" s="24"/>
      <c r="OFY66" s="24"/>
      <c r="OFZ66" s="24"/>
      <c r="OGA66" s="24"/>
      <c r="OGB66" s="24"/>
      <c r="OGC66" s="24"/>
      <c r="OGD66" s="24"/>
      <c r="OGE66" s="24"/>
      <c r="OGF66" s="24"/>
      <c r="OGG66" s="24"/>
      <c r="OGH66" s="24"/>
      <c r="OGI66" s="24"/>
      <c r="OGJ66" s="24"/>
      <c r="OGK66" s="24"/>
      <c r="OGL66" s="24"/>
      <c r="OGM66" s="24"/>
      <c r="OGN66" s="24"/>
      <c r="OGO66" s="24"/>
      <c r="OGP66" s="24"/>
      <c r="OGQ66" s="24"/>
      <c r="OGR66" s="24"/>
      <c r="OGS66" s="24"/>
      <c r="OGT66" s="24"/>
      <c r="OGU66" s="24"/>
      <c r="OGV66" s="24"/>
      <c r="OGW66" s="24"/>
      <c r="OGX66" s="24"/>
      <c r="OGY66" s="24"/>
      <c r="OGZ66" s="24"/>
      <c r="OHA66" s="24"/>
      <c r="OHB66" s="24"/>
      <c r="OHC66" s="24"/>
      <c r="OHD66" s="24"/>
      <c r="OHE66" s="24"/>
      <c r="OHF66" s="24"/>
      <c r="OHG66" s="24"/>
      <c r="OHH66" s="24"/>
      <c r="OHI66" s="24"/>
      <c r="OHJ66" s="24"/>
      <c r="OHK66" s="24"/>
      <c r="OHL66" s="24"/>
      <c r="OHM66" s="24"/>
      <c r="OHN66" s="24"/>
      <c r="OHO66" s="24"/>
      <c r="OHP66" s="24"/>
      <c r="OHQ66" s="24"/>
      <c r="OHR66" s="24"/>
      <c r="OHS66" s="24"/>
      <c r="OHT66" s="24"/>
      <c r="OHU66" s="24"/>
      <c r="OHV66" s="24"/>
      <c r="OHW66" s="24"/>
      <c r="OHX66" s="24"/>
      <c r="OHY66" s="24"/>
      <c r="OHZ66" s="24"/>
      <c r="OIA66" s="24"/>
      <c r="OIB66" s="24"/>
      <c r="OIC66" s="24"/>
      <c r="OID66" s="24"/>
      <c r="OIE66" s="24"/>
      <c r="OIF66" s="24"/>
      <c r="OIG66" s="24"/>
      <c r="OIH66" s="24"/>
      <c r="OII66" s="24"/>
      <c r="OIJ66" s="24"/>
      <c r="OIK66" s="24"/>
      <c r="OIL66" s="24"/>
      <c r="OIM66" s="24"/>
      <c r="OIN66" s="24"/>
      <c r="OIO66" s="24"/>
      <c r="OIP66" s="24"/>
      <c r="OIQ66" s="24"/>
      <c r="OIR66" s="24"/>
      <c r="OIS66" s="24"/>
      <c r="OIT66" s="24"/>
      <c r="OIU66" s="24"/>
      <c r="OIV66" s="24"/>
      <c r="OIW66" s="24"/>
      <c r="OIX66" s="24"/>
      <c r="OIY66" s="24"/>
      <c r="OIZ66" s="24"/>
      <c r="OJA66" s="24"/>
      <c r="OJB66" s="24"/>
      <c r="OJC66" s="24"/>
      <c r="OJD66" s="24"/>
      <c r="OJE66" s="24"/>
      <c r="OJF66" s="24"/>
      <c r="OJG66" s="24"/>
      <c r="OJH66" s="24"/>
      <c r="OJI66" s="24"/>
      <c r="OJJ66" s="24"/>
      <c r="OJK66" s="24"/>
      <c r="OJL66" s="24"/>
      <c r="OJM66" s="24"/>
      <c r="OJN66" s="24"/>
      <c r="OJO66" s="24"/>
      <c r="OJP66" s="24"/>
      <c r="OJQ66" s="24"/>
      <c r="OJR66" s="24"/>
      <c r="OJS66" s="24"/>
      <c r="OJT66" s="24"/>
      <c r="OJU66" s="24"/>
      <c r="OJV66" s="24"/>
      <c r="OJW66" s="24"/>
      <c r="OJX66" s="24"/>
      <c r="OJY66" s="24"/>
      <c r="OJZ66" s="24"/>
      <c r="OKA66" s="24"/>
      <c r="OKB66" s="24"/>
      <c r="OKC66" s="24"/>
      <c r="OKD66" s="24"/>
      <c r="OKE66" s="24"/>
      <c r="OKF66" s="24"/>
      <c r="OKG66" s="24"/>
      <c r="OKH66" s="24"/>
      <c r="OKI66" s="24"/>
      <c r="OKJ66" s="24"/>
      <c r="OKK66" s="24"/>
      <c r="OKL66" s="24"/>
      <c r="OKM66" s="24"/>
      <c r="OKN66" s="24"/>
      <c r="OKO66" s="24"/>
      <c r="OKP66" s="24"/>
      <c r="OKQ66" s="24"/>
      <c r="OKR66" s="24"/>
      <c r="OKS66" s="24"/>
      <c r="OKT66" s="24"/>
      <c r="OKU66" s="24"/>
      <c r="OKV66" s="24"/>
      <c r="OKW66" s="24"/>
      <c r="OKX66" s="24"/>
      <c r="OKY66" s="24"/>
      <c r="OKZ66" s="24"/>
      <c r="OLA66" s="24"/>
      <c r="OLB66" s="24"/>
      <c r="OLC66" s="24"/>
      <c r="OLD66" s="24"/>
      <c r="OLE66" s="24"/>
      <c r="OLF66" s="24"/>
      <c r="OLG66" s="24"/>
      <c r="OLH66" s="24"/>
      <c r="OLI66" s="24"/>
      <c r="OLJ66" s="24"/>
      <c r="OLK66" s="24"/>
      <c r="OLL66" s="24"/>
      <c r="OLM66" s="24"/>
      <c r="OLN66" s="24"/>
      <c r="OLO66" s="24"/>
      <c r="OLP66" s="24"/>
      <c r="OLQ66" s="24"/>
      <c r="OLR66" s="24"/>
      <c r="OLS66" s="24"/>
      <c r="OLT66" s="24"/>
      <c r="OLU66" s="24"/>
      <c r="OLV66" s="24"/>
      <c r="OLW66" s="24"/>
      <c r="OLX66" s="24"/>
      <c r="OLY66" s="24"/>
      <c r="OLZ66" s="24"/>
      <c r="OMA66" s="24"/>
      <c r="OMB66" s="24"/>
      <c r="OMC66" s="24"/>
      <c r="OMD66" s="24"/>
      <c r="OME66" s="24"/>
      <c r="OMF66" s="24"/>
      <c r="OMG66" s="24"/>
      <c r="OMH66" s="24"/>
      <c r="OMI66" s="24"/>
      <c r="OMJ66" s="24"/>
      <c r="OMK66" s="24"/>
      <c r="OML66" s="24"/>
      <c r="OMM66" s="24"/>
      <c r="OMN66" s="24"/>
      <c r="OMO66" s="24"/>
      <c r="OMP66" s="24"/>
      <c r="OMQ66" s="24"/>
      <c r="OMR66" s="24"/>
      <c r="OMS66" s="24"/>
      <c r="OMT66" s="24"/>
      <c r="OMU66" s="24"/>
      <c r="OMV66" s="24"/>
      <c r="OMW66" s="24"/>
      <c r="OMX66" s="24"/>
      <c r="OMY66" s="24"/>
      <c r="OMZ66" s="24"/>
      <c r="ONA66" s="24"/>
      <c r="ONB66" s="24"/>
      <c r="ONC66" s="24"/>
      <c r="OND66" s="24"/>
      <c r="ONE66" s="24"/>
      <c r="ONF66" s="24"/>
      <c r="ONG66" s="24"/>
      <c r="ONH66" s="24"/>
      <c r="ONI66" s="24"/>
      <c r="ONJ66" s="24"/>
      <c r="ONK66" s="24"/>
      <c r="ONL66" s="24"/>
      <c r="ONM66" s="24"/>
      <c r="ONN66" s="24"/>
      <c r="ONO66" s="24"/>
      <c r="ONP66" s="24"/>
      <c r="ONQ66" s="24"/>
      <c r="ONR66" s="24"/>
      <c r="ONS66" s="24"/>
      <c r="ONT66" s="24"/>
      <c r="ONU66" s="24"/>
      <c r="ONV66" s="24"/>
      <c r="ONW66" s="24"/>
      <c r="ONX66" s="24"/>
      <c r="ONY66" s="24"/>
      <c r="ONZ66" s="24"/>
      <c r="OOA66" s="24"/>
      <c r="OOB66" s="24"/>
      <c r="OOC66" s="24"/>
      <c r="OOD66" s="24"/>
      <c r="OOE66" s="24"/>
      <c r="OOF66" s="24"/>
      <c r="OOG66" s="24"/>
      <c r="OOH66" s="24"/>
      <c r="OOI66" s="24"/>
      <c r="OOJ66" s="24"/>
      <c r="OOK66" s="24"/>
      <c r="OOL66" s="24"/>
      <c r="OOM66" s="24"/>
      <c r="OON66" s="24"/>
      <c r="OOO66" s="24"/>
      <c r="OOP66" s="24"/>
      <c r="OOQ66" s="24"/>
      <c r="OOR66" s="24"/>
      <c r="OOS66" s="24"/>
      <c r="OOT66" s="24"/>
      <c r="OOU66" s="24"/>
      <c r="OOV66" s="24"/>
      <c r="OOW66" s="24"/>
      <c r="OOX66" s="24"/>
      <c r="OOY66" s="24"/>
      <c r="OOZ66" s="24"/>
      <c r="OPA66" s="24"/>
      <c r="OPB66" s="24"/>
      <c r="OPC66" s="24"/>
      <c r="OPD66" s="24"/>
      <c r="OPE66" s="24"/>
      <c r="OPF66" s="24"/>
      <c r="OPG66" s="24"/>
      <c r="OPH66" s="24"/>
      <c r="OPI66" s="24"/>
      <c r="OPJ66" s="24"/>
      <c r="OPK66" s="24"/>
      <c r="OPL66" s="24"/>
      <c r="OPM66" s="24"/>
      <c r="OPN66" s="24"/>
      <c r="OPO66" s="24"/>
      <c r="OPP66" s="24"/>
      <c r="OPQ66" s="24"/>
      <c r="OPR66" s="24"/>
      <c r="OPS66" s="24"/>
      <c r="OPT66" s="24"/>
      <c r="OPU66" s="24"/>
      <c r="OPV66" s="24"/>
      <c r="OPW66" s="24"/>
      <c r="OPX66" s="24"/>
      <c r="OPY66" s="24"/>
      <c r="OPZ66" s="24"/>
      <c r="OQA66" s="24"/>
      <c r="OQB66" s="24"/>
      <c r="OQC66" s="24"/>
      <c r="OQD66" s="24"/>
      <c r="OQE66" s="24"/>
      <c r="OQF66" s="24"/>
      <c r="OQG66" s="24"/>
      <c r="OQH66" s="24"/>
      <c r="OQI66" s="24"/>
      <c r="OQJ66" s="24"/>
      <c r="OQK66" s="24"/>
      <c r="OQL66" s="24"/>
      <c r="OQM66" s="24"/>
      <c r="OQN66" s="24"/>
      <c r="OQO66" s="24"/>
      <c r="OQP66" s="24"/>
      <c r="OQQ66" s="24"/>
      <c r="OQR66" s="24"/>
      <c r="OQS66" s="24"/>
      <c r="OQT66" s="24"/>
      <c r="OQU66" s="24"/>
      <c r="OQV66" s="24"/>
      <c r="OQW66" s="24"/>
      <c r="OQX66" s="24"/>
      <c r="OQY66" s="24"/>
      <c r="OQZ66" s="24"/>
      <c r="ORA66" s="24"/>
      <c r="ORB66" s="24"/>
      <c r="ORC66" s="24"/>
      <c r="ORD66" s="24"/>
      <c r="ORE66" s="24"/>
      <c r="ORF66" s="24"/>
      <c r="ORG66" s="24"/>
      <c r="ORH66" s="24"/>
      <c r="ORI66" s="24"/>
      <c r="ORJ66" s="24"/>
      <c r="ORK66" s="24"/>
      <c r="ORL66" s="24"/>
      <c r="ORM66" s="24"/>
      <c r="ORN66" s="24"/>
      <c r="ORO66" s="24"/>
      <c r="ORP66" s="24"/>
      <c r="ORQ66" s="24"/>
      <c r="ORR66" s="24"/>
      <c r="ORS66" s="24"/>
      <c r="ORT66" s="24"/>
      <c r="ORU66" s="24"/>
      <c r="ORV66" s="24"/>
      <c r="ORW66" s="24"/>
      <c r="ORX66" s="24"/>
      <c r="ORY66" s="24"/>
      <c r="ORZ66" s="24"/>
      <c r="OSA66" s="24"/>
      <c r="OSB66" s="24"/>
      <c r="OSC66" s="24"/>
      <c r="OSD66" s="24"/>
      <c r="OSE66" s="24"/>
      <c r="OSF66" s="24"/>
      <c r="OSG66" s="24"/>
      <c r="OSH66" s="24"/>
      <c r="OSI66" s="24"/>
      <c r="OSJ66" s="24"/>
      <c r="OSK66" s="24"/>
      <c r="OSL66" s="24"/>
      <c r="OSM66" s="24"/>
      <c r="OSN66" s="24"/>
      <c r="OSO66" s="24"/>
      <c r="OSP66" s="24"/>
      <c r="OSQ66" s="24"/>
      <c r="OSR66" s="24"/>
      <c r="OSS66" s="24"/>
      <c r="OST66" s="24"/>
      <c r="OSU66" s="24"/>
      <c r="OSV66" s="24"/>
      <c r="OSW66" s="24"/>
      <c r="OSX66" s="24"/>
      <c r="OSY66" s="24"/>
      <c r="OSZ66" s="24"/>
      <c r="OTA66" s="24"/>
      <c r="OTB66" s="24"/>
      <c r="OTC66" s="24"/>
      <c r="OTD66" s="24"/>
      <c r="OTE66" s="24"/>
      <c r="OTF66" s="24"/>
      <c r="OTG66" s="24"/>
      <c r="OTH66" s="24"/>
      <c r="OTI66" s="24"/>
      <c r="OTJ66" s="24"/>
      <c r="OTK66" s="24"/>
      <c r="OTL66" s="24"/>
      <c r="OTM66" s="24"/>
      <c r="OTN66" s="24"/>
      <c r="OTO66" s="24"/>
      <c r="OTP66" s="24"/>
      <c r="OTQ66" s="24"/>
      <c r="OTR66" s="24"/>
      <c r="OTS66" s="24"/>
      <c r="OTT66" s="24"/>
      <c r="OTU66" s="24"/>
      <c r="OTV66" s="24"/>
      <c r="OTW66" s="24"/>
      <c r="OTX66" s="24"/>
      <c r="OTY66" s="24"/>
      <c r="OTZ66" s="24"/>
      <c r="OUA66" s="24"/>
      <c r="OUB66" s="24"/>
      <c r="OUC66" s="24"/>
      <c r="OUD66" s="24"/>
      <c r="OUE66" s="24"/>
      <c r="OUF66" s="24"/>
      <c r="OUG66" s="24"/>
      <c r="OUH66" s="24"/>
      <c r="OUI66" s="24"/>
      <c r="OUJ66" s="24"/>
      <c r="OUK66" s="24"/>
      <c r="OUL66" s="24"/>
      <c r="OUM66" s="24"/>
      <c r="OUN66" s="24"/>
      <c r="OUO66" s="24"/>
      <c r="OUP66" s="24"/>
      <c r="OUQ66" s="24"/>
      <c r="OUR66" s="24"/>
      <c r="OUS66" s="24"/>
      <c r="OUT66" s="24"/>
      <c r="OUU66" s="24"/>
      <c r="OUV66" s="24"/>
      <c r="OUW66" s="24"/>
      <c r="OUX66" s="24"/>
      <c r="OUY66" s="24"/>
      <c r="OUZ66" s="24"/>
      <c r="OVA66" s="24"/>
      <c r="OVB66" s="24"/>
      <c r="OVC66" s="24"/>
      <c r="OVD66" s="24"/>
      <c r="OVE66" s="24"/>
      <c r="OVF66" s="24"/>
      <c r="OVG66" s="24"/>
      <c r="OVH66" s="24"/>
      <c r="OVI66" s="24"/>
      <c r="OVJ66" s="24"/>
      <c r="OVK66" s="24"/>
      <c r="OVL66" s="24"/>
      <c r="OVM66" s="24"/>
      <c r="OVN66" s="24"/>
      <c r="OVO66" s="24"/>
      <c r="OVP66" s="24"/>
      <c r="OVQ66" s="24"/>
      <c r="OVR66" s="24"/>
      <c r="OVS66" s="24"/>
      <c r="OVT66" s="24"/>
      <c r="OVU66" s="24"/>
      <c r="OVV66" s="24"/>
      <c r="OVW66" s="24"/>
      <c r="OVX66" s="24"/>
      <c r="OVY66" s="24"/>
      <c r="OVZ66" s="24"/>
      <c r="OWA66" s="24"/>
      <c r="OWB66" s="24"/>
      <c r="OWC66" s="24"/>
      <c r="OWD66" s="24"/>
      <c r="OWE66" s="24"/>
      <c r="OWF66" s="24"/>
      <c r="OWG66" s="24"/>
      <c r="OWH66" s="24"/>
      <c r="OWI66" s="24"/>
      <c r="OWJ66" s="24"/>
      <c r="OWK66" s="24"/>
      <c r="OWL66" s="24"/>
      <c r="OWM66" s="24"/>
      <c r="OWN66" s="24"/>
      <c r="OWO66" s="24"/>
      <c r="OWP66" s="24"/>
      <c r="OWQ66" s="24"/>
      <c r="OWR66" s="24"/>
      <c r="OWS66" s="24"/>
      <c r="OWT66" s="24"/>
      <c r="OWU66" s="24"/>
      <c r="OWV66" s="24"/>
      <c r="OWW66" s="24"/>
      <c r="OWX66" s="24"/>
      <c r="OWY66" s="24"/>
      <c r="OWZ66" s="24"/>
      <c r="OXA66" s="24"/>
      <c r="OXB66" s="24"/>
      <c r="OXC66" s="24"/>
      <c r="OXD66" s="24"/>
      <c r="OXE66" s="24"/>
      <c r="OXF66" s="24"/>
      <c r="OXG66" s="24"/>
      <c r="OXH66" s="24"/>
      <c r="OXI66" s="24"/>
      <c r="OXJ66" s="24"/>
      <c r="OXK66" s="24"/>
      <c r="OXL66" s="24"/>
      <c r="OXM66" s="24"/>
      <c r="OXN66" s="24"/>
      <c r="OXO66" s="24"/>
      <c r="OXP66" s="24"/>
      <c r="OXQ66" s="24"/>
      <c r="OXR66" s="24"/>
      <c r="OXS66" s="24"/>
      <c r="OXT66" s="24"/>
      <c r="OXU66" s="24"/>
      <c r="OXV66" s="24"/>
      <c r="OXW66" s="24"/>
      <c r="OXX66" s="24"/>
      <c r="OXY66" s="24"/>
      <c r="OXZ66" s="24"/>
      <c r="OYA66" s="24"/>
      <c r="OYB66" s="24"/>
      <c r="OYC66" s="24"/>
      <c r="OYD66" s="24"/>
      <c r="OYE66" s="24"/>
      <c r="OYF66" s="24"/>
      <c r="OYG66" s="24"/>
      <c r="OYH66" s="24"/>
      <c r="OYI66" s="24"/>
      <c r="OYJ66" s="24"/>
      <c r="OYK66" s="24"/>
      <c r="OYL66" s="24"/>
      <c r="OYM66" s="24"/>
      <c r="OYN66" s="24"/>
      <c r="OYO66" s="24"/>
      <c r="OYP66" s="24"/>
      <c r="OYQ66" s="24"/>
      <c r="OYR66" s="24"/>
      <c r="OYS66" s="24"/>
      <c r="OYT66" s="24"/>
      <c r="OYU66" s="24"/>
      <c r="OYV66" s="24"/>
      <c r="OYW66" s="24"/>
      <c r="OYX66" s="24"/>
      <c r="OYY66" s="24"/>
      <c r="OYZ66" s="24"/>
      <c r="OZA66" s="24"/>
      <c r="OZB66" s="24"/>
      <c r="OZC66" s="24"/>
      <c r="OZD66" s="24"/>
      <c r="OZE66" s="24"/>
      <c r="OZF66" s="24"/>
      <c r="OZG66" s="24"/>
      <c r="OZH66" s="24"/>
      <c r="OZI66" s="24"/>
      <c r="OZJ66" s="24"/>
      <c r="OZK66" s="24"/>
      <c r="OZL66" s="24"/>
      <c r="OZM66" s="24"/>
      <c r="OZN66" s="24"/>
      <c r="OZO66" s="24"/>
      <c r="OZP66" s="24"/>
      <c r="OZQ66" s="24"/>
      <c r="OZR66" s="24"/>
      <c r="OZS66" s="24"/>
      <c r="OZT66" s="24"/>
      <c r="OZU66" s="24"/>
      <c r="OZV66" s="24"/>
      <c r="OZW66" s="24"/>
      <c r="OZX66" s="24"/>
      <c r="OZY66" s="24"/>
      <c r="OZZ66" s="24"/>
      <c r="PAA66" s="24"/>
      <c r="PAB66" s="24"/>
      <c r="PAC66" s="24"/>
      <c r="PAD66" s="24"/>
      <c r="PAE66" s="24"/>
      <c r="PAF66" s="24"/>
      <c r="PAG66" s="24"/>
      <c r="PAH66" s="24"/>
      <c r="PAI66" s="24"/>
      <c r="PAJ66" s="24"/>
      <c r="PAK66" s="24"/>
      <c r="PAL66" s="24"/>
      <c r="PAM66" s="24"/>
      <c r="PAN66" s="24"/>
      <c r="PAO66" s="24"/>
      <c r="PAP66" s="24"/>
      <c r="PAQ66" s="24"/>
      <c r="PAR66" s="24"/>
      <c r="PAS66" s="24"/>
      <c r="PAT66" s="24"/>
      <c r="PAU66" s="24"/>
      <c r="PAV66" s="24"/>
      <c r="PAW66" s="24"/>
      <c r="PAX66" s="24"/>
      <c r="PAY66" s="24"/>
      <c r="PAZ66" s="24"/>
      <c r="PBA66" s="24"/>
      <c r="PBB66" s="24"/>
      <c r="PBC66" s="24"/>
      <c r="PBD66" s="24"/>
      <c r="PBE66" s="24"/>
      <c r="PBF66" s="24"/>
      <c r="PBG66" s="24"/>
      <c r="PBH66" s="24"/>
      <c r="PBI66" s="24"/>
      <c r="PBJ66" s="24"/>
      <c r="PBK66" s="24"/>
      <c r="PBL66" s="24"/>
      <c r="PBM66" s="24"/>
      <c r="PBN66" s="24"/>
      <c r="PBO66" s="24"/>
      <c r="PBP66" s="24"/>
      <c r="PBQ66" s="24"/>
      <c r="PBR66" s="24"/>
      <c r="PBS66" s="24"/>
      <c r="PBT66" s="24"/>
      <c r="PBU66" s="24"/>
      <c r="PBV66" s="24"/>
      <c r="PBW66" s="24"/>
      <c r="PBX66" s="24"/>
      <c r="PBY66" s="24"/>
      <c r="PBZ66" s="24"/>
      <c r="PCA66" s="24"/>
      <c r="PCB66" s="24"/>
      <c r="PCC66" s="24"/>
      <c r="PCD66" s="24"/>
      <c r="PCE66" s="24"/>
      <c r="PCF66" s="24"/>
      <c r="PCG66" s="24"/>
      <c r="PCH66" s="24"/>
      <c r="PCI66" s="24"/>
      <c r="PCJ66" s="24"/>
      <c r="PCK66" s="24"/>
      <c r="PCL66" s="24"/>
      <c r="PCM66" s="24"/>
      <c r="PCN66" s="24"/>
      <c r="PCO66" s="24"/>
      <c r="PCP66" s="24"/>
      <c r="PCQ66" s="24"/>
      <c r="PCR66" s="24"/>
      <c r="PCS66" s="24"/>
      <c r="PCT66" s="24"/>
      <c r="PCU66" s="24"/>
      <c r="PCV66" s="24"/>
      <c r="PCW66" s="24"/>
      <c r="PCX66" s="24"/>
      <c r="PCY66" s="24"/>
      <c r="PCZ66" s="24"/>
      <c r="PDA66" s="24"/>
      <c r="PDB66" s="24"/>
      <c r="PDC66" s="24"/>
      <c r="PDD66" s="24"/>
      <c r="PDE66" s="24"/>
      <c r="PDF66" s="24"/>
      <c r="PDG66" s="24"/>
      <c r="PDH66" s="24"/>
      <c r="PDI66" s="24"/>
      <c r="PDJ66" s="24"/>
      <c r="PDK66" s="24"/>
      <c r="PDL66" s="24"/>
      <c r="PDM66" s="24"/>
      <c r="PDN66" s="24"/>
      <c r="PDO66" s="24"/>
      <c r="PDP66" s="24"/>
      <c r="PDQ66" s="24"/>
      <c r="PDR66" s="24"/>
      <c r="PDS66" s="24"/>
      <c r="PDT66" s="24"/>
      <c r="PDU66" s="24"/>
      <c r="PDV66" s="24"/>
      <c r="PDW66" s="24"/>
      <c r="PDX66" s="24"/>
      <c r="PDY66" s="24"/>
      <c r="PDZ66" s="24"/>
      <c r="PEA66" s="24"/>
      <c r="PEB66" s="24"/>
      <c r="PEC66" s="24"/>
      <c r="PED66" s="24"/>
      <c r="PEE66" s="24"/>
      <c r="PEF66" s="24"/>
      <c r="PEG66" s="24"/>
      <c r="PEH66" s="24"/>
      <c r="PEI66" s="24"/>
      <c r="PEJ66" s="24"/>
      <c r="PEK66" s="24"/>
      <c r="PEL66" s="24"/>
      <c r="PEM66" s="24"/>
      <c r="PEN66" s="24"/>
      <c r="PEO66" s="24"/>
      <c r="PEP66" s="24"/>
      <c r="PEQ66" s="24"/>
      <c r="PER66" s="24"/>
      <c r="PES66" s="24"/>
      <c r="PET66" s="24"/>
      <c r="PEU66" s="24"/>
      <c r="PEV66" s="24"/>
      <c r="PEW66" s="24"/>
      <c r="PEX66" s="24"/>
      <c r="PEY66" s="24"/>
      <c r="PEZ66" s="24"/>
      <c r="PFA66" s="24"/>
      <c r="PFB66" s="24"/>
      <c r="PFC66" s="24"/>
      <c r="PFD66" s="24"/>
      <c r="PFE66" s="24"/>
      <c r="PFF66" s="24"/>
      <c r="PFG66" s="24"/>
      <c r="PFH66" s="24"/>
      <c r="PFI66" s="24"/>
      <c r="PFJ66" s="24"/>
      <c r="PFK66" s="24"/>
      <c r="PFL66" s="24"/>
      <c r="PFM66" s="24"/>
      <c r="PFN66" s="24"/>
      <c r="PFO66" s="24"/>
      <c r="PFP66" s="24"/>
      <c r="PFQ66" s="24"/>
      <c r="PFR66" s="24"/>
      <c r="PFS66" s="24"/>
      <c r="PFT66" s="24"/>
      <c r="PFU66" s="24"/>
      <c r="PFV66" s="24"/>
      <c r="PFW66" s="24"/>
      <c r="PFX66" s="24"/>
      <c r="PFY66" s="24"/>
      <c r="PFZ66" s="24"/>
      <c r="PGA66" s="24"/>
      <c r="PGB66" s="24"/>
      <c r="PGC66" s="24"/>
      <c r="PGD66" s="24"/>
      <c r="PGE66" s="24"/>
      <c r="PGF66" s="24"/>
      <c r="PGG66" s="24"/>
      <c r="PGH66" s="24"/>
      <c r="PGI66" s="24"/>
      <c r="PGJ66" s="24"/>
      <c r="PGK66" s="24"/>
      <c r="PGL66" s="24"/>
      <c r="PGM66" s="24"/>
      <c r="PGN66" s="24"/>
      <c r="PGO66" s="24"/>
      <c r="PGP66" s="24"/>
      <c r="PGQ66" s="24"/>
      <c r="PGR66" s="24"/>
      <c r="PGS66" s="24"/>
      <c r="PGT66" s="24"/>
      <c r="PGU66" s="24"/>
      <c r="PGV66" s="24"/>
      <c r="PGW66" s="24"/>
      <c r="PGX66" s="24"/>
      <c r="PGY66" s="24"/>
      <c r="PGZ66" s="24"/>
      <c r="PHA66" s="24"/>
      <c r="PHB66" s="24"/>
      <c r="PHC66" s="24"/>
      <c r="PHD66" s="24"/>
      <c r="PHE66" s="24"/>
      <c r="PHF66" s="24"/>
      <c r="PHG66" s="24"/>
      <c r="PHH66" s="24"/>
      <c r="PHI66" s="24"/>
      <c r="PHJ66" s="24"/>
      <c r="PHK66" s="24"/>
      <c r="PHL66" s="24"/>
      <c r="PHM66" s="24"/>
      <c r="PHN66" s="24"/>
      <c r="PHO66" s="24"/>
      <c r="PHP66" s="24"/>
      <c r="PHQ66" s="24"/>
      <c r="PHR66" s="24"/>
      <c r="PHS66" s="24"/>
      <c r="PHT66" s="24"/>
      <c r="PHU66" s="24"/>
      <c r="PHV66" s="24"/>
      <c r="PHW66" s="24"/>
      <c r="PHX66" s="24"/>
      <c r="PHY66" s="24"/>
      <c r="PHZ66" s="24"/>
      <c r="PIA66" s="24"/>
      <c r="PIB66" s="24"/>
      <c r="PIC66" s="24"/>
      <c r="PID66" s="24"/>
      <c r="PIE66" s="24"/>
      <c r="PIF66" s="24"/>
      <c r="PIG66" s="24"/>
      <c r="PIH66" s="24"/>
      <c r="PII66" s="24"/>
      <c r="PIJ66" s="24"/>
      <c r="PIK66" s="24"/>
      <c r="PIL66" s="24"/>
      <c r="PIM66" s="24"/>
      <c r="PIN66" s="24"/>
      <c r="PIO66" s="24"/>
      <c r="PIP66" s="24"/>
      <c r="PIQ66" s="24"/>
      <c r="PIR66" s="24"/>
      <c r="PIS66" s="24"/>
      <c r="PIT66" s="24"/>
      <c r="PIU66" s="24"/>
      <c r="PIV66" s="24"/>
      <c r="PIW66" s="24"/>
      <c r="PIX66" s="24"/>
      <c r="PIY66" s="24"/>
      <c r="PIZ66" s="24"/>
      <c r="PJA66" s="24"/>
      <c r="PJB66" s="24"/>
      <c r="PJC66" s="24"/>
      <c r="PJD66" s="24"/>
      <c r="PJE66" s="24"/>
      <c r="PJF66" s="24"/>
      <c r="PJG66" s="24"/>
      <c r="PJH66" s="24"/>
      <c r="PJI66" s="24"/>
      <c r="PJJ66" s="24"/>
      <c r="PJK66" s="24"/>
      <c r="PJL66" s="24"/>
      <c r="PJM66" s="24"/>
      <c r="PJN66" s="24"/>
      <c r="PJO66" s="24"/>
      <c r="PJP66" s="24"/>
      <c r="PJQ66" s="24"/>
      <c r="PJR66" s="24"/>
      <c r="PJS66" s="24"/>
      <c r="PJT66" s="24"/>
      <c r="PJU66" s="24"/>
      <c r="PJV66" s="24"/>
      <c r="PJW66" s="24"/>
      <c r="PJX66" s="24"/>
      <c r="PJY66" s="24"/>
      <c r="PJZ66" s="24"/>
      <c r="PKA66" s="24"/>
      <c r="PKB66" s="24"/>
      <c r="PKC66" s="24"/>
      <c r="PKD66" s="24"/>
      <c r="PKE66" s="24"/>
      <c r="PKF66" s="24"/>
      <c r="PKG66" s="24"/>
      <c r="PKH66" s="24"/>
      <c r="PKI66" s="24"/>
      <c r="PKJ66" s="24"/>
      <c r="PKK66" s="24"/>
      <c r="PKL66" s="24"/>
      <c r="PKM66" s="24"/>
      <c r="PKN66" s="24"/>
      <c r="PKO66" s="24"/>
      <c r="PKP66" s="24"/>
      <c r="PKQ66" s="24"/>
      <c r="PKR66" s="24"/>
      <c r="PKS66" s="24"/>
      <c r="PKT66" s="24"/>
      <c r="PKU66" s="24"/>
      <c r="PKV66" s="24"/>
      <c r="PKW66" s="24"/>
      <c r="PKX66" s="24"/>
      <c r="PKY66" s="24"/>
      <c r="PKZ66" s="24"/>
      <c r="PLA66" s="24"/>
      <c r="PLB66" s="24"/>
      <c r="PLC66" s="24"/>
      <c r="PLD66" s="24"/>
      <c r="PLE66" s="24"/>
      <c r="PLF66" s="24"/>
      <c r="PLG66" s="24"/>
      <c r="PLH66" s="24"/>
      <c r="PLI66" s="24"/>
      <c r="PLJ66" s="24"/>
      <c r="PLK66" s="24"/>
      <c r="PLL66" s="24"/>
      <c r="PLM66" s="24"/>
      <c r="PLN66" s="24"/>
      <c r="PLO66" s="24"/>
      <c r="PLP66" s="24"/>
      <c r="PLQ66" s="24"/>
      <c r="PLR66" s="24"/>
      <c r="PLS66" s="24"/>
      <c r="PLT66" s="24"/>
      <c r="PLU66" s="24"/>
      <c r="PLV66" s="24"/>
      <c r="PLW66" s="24"/>
      <c r="PLX66" s="24"/>
      <c r="PLY66" s="24"/>
      <c r="PLZ66" s="24"/>
      <c r="PMA66" s="24"/>
      <c r="PMB66" s="24"/>
      <c r="PMC66" s="24"/>
      <c r="PMD66" s="24"/>
      <c r="PME66" s="24"/>
      <c r="PMF66" s="24"/>
      <c r="PMG66" s="24"/>
      <c r="PMH66" s="24"/>
      <c r="PMI66" s="24"/>
      <c r="PMJ66" s="24"/>
      <c r="PMK66" s="24"/>
      <c r="PML66" s="24"/>
      <c r="PMM66" s="24"/>
      <c r="PMN66" s="24"/>
      <c r="PMO66" s="24"/>
      <c r="PMP66" s="24"/>
      <c r="PMQ66" s="24"/>
      <c r="PMR66" s="24"/>
      <c r="PMS66" s="24"/>
      <c r="PMT66" s="24"/>
      <c r="PMU66" s="24"/>
      <c r="PMV66" s="24"/>
      <c r="PMW66" s="24"/>
      <c r="PMX66" s="24"/>
      <c r="PMY66" s="24"/>
      <c r="PMZ66" s="24"/>
      <c r="PNA66" s="24"/>
      <c r="PNB66" s="24"/>
      <c r="PNC66" s="24"/>
      <c r="PND66" s="24"/>
      <c r="PNE66" s="24"/>
      <c r="PNF66" s="24"/>
      <c r="PNG66" s="24"/>
      <c r="PNH66" s="24"/>
      <c r="PNI66" s="24"/>
      <c r="PNJ66" s="24"/>
      <c r="PNK66" s="24"/>
      <c r="PNL66" s="24"/>
      <c r="PNM66" s="24"/>
      <c r="PNN66" s="24"/>
      <c r="PNO66" s="24"/>
      <c r="PNP66" s="24"/>
      <c r="PNQ66" s="24"/>
      <c r="PNR66" s="24"/>
      <c r="PNS66" s="24"/>
      <c r="PNT66" s="24"/>
      <c r="PNU66" s="24"/>
      <c r="PNV66" s="24"/>
      <c r="PNW66" s="24"/>
      <c r="PNX66" s="24"/>
      <c r="PNY66" s="24"/>
      <c r="PNZ66" s="24"/>
      <c r="POA66" s="24"/>
      <c r="POB66" s="24"/>
      <c r="POC66" s="24"/>
      <c r="POD66" s="24"/>
      <c r="POE66" s="24"/>
      <c r="POF66" s="24"/>
      <c r="POG66" s="24"/>
      <c r="POH66" s="24"/>
      <c r="POI66" s="24"/>
      <c r="POJ66" s="24"/>
      <c r="POK66" s="24"/>
      <c r="POL66" s="24"/>
      <c r="POM66" s="24"/>
      <c r="PON66" s="24"/>
      <c r="POO66" s="24"/>
      <c r="POP66" s="24"/>
      <c r="POQ66" s="24"/>
      <c r="POR66" s="24"/>
      <c r="POS66" s="24"/>
      <c r="POT66" s="24"/>
      <c r="POU66" s="24"/>
      <c r="POV66" s="24"/>
      <c r="POW66" s="24"/>
      <c r="POX66" s="24"/>
      <c r="POY66" s="24"/>
      <c r="POZ66" s="24"/>
      <c r="PPA66" s="24"/>
      <c r="PPB66" s="24"/>
      <c r="PPC66" s="24"/>
      <c r="PPD66" s="24"/>
      <c r="PPE66" s="24"/>
      <c r="PPF66" s="24"/>
      <c r="PPG66" s="24"/>
      <c r="PPH66" s="24"/>
      <c r="PPI66" s="24"/>
      <c r="PPJ66" s="24"/>
      <c r="PPK66" s="24"/>
      <c r="PPL66" s="24"/>
      <c r="PPM66" s="24"/>
      <c r="PPN66" s="24"/>
      <c r="PPO66" s="24"/>
      <c r="PPP66" s="24"/>
      <c r="PPQ66" s="24"/>
      <c r="PPR66" s="24"/>
      <c r="PPS66" s="24"/>
      <c r="PPT66" s="24"/>
      <c r="PPU66" s="24"/>
      <c r="PPV66" s="24"/>
      <c r="PPW66" s="24"/>
      <c r="PPX66" s="24"/>
      <c r="PPY66" s="24"/>
      <c r="PPZ66" s="24"/>
      <c r="PQA66" s="24"/>
      <c r="PQB66" s="24"/>
      <c r="PQC66" s="24"/>
      <c r="PQD66" s="24"/>
      <c r="PQE66" s="24"/>
      <c r="PQF66" s="24"/>
      <c r="PQG66" s="24"/>
      <c r="PQH66" s="24"/>
      <c r="PQI66" s="24"/>
      <c r="PQJ66" s="24"/>
      <c r="PQK66" s="24"/>
      <c r="PQL66" s="24"/>
      <c r="PQM66" s="24"/>
      <c r="PQN66" s="24"/>
      <c r="PQO66" s="24"/>
      <c r="PQP66" s="24"/>
      <c r="PQQ66" s="24"/>
      <c r="PQR66" s="24"/>
      <c r="PQS66" s="24"/>
      <c r="PQT66" s="24"/>
      <c r="PQU66" s="24"/>
      <c r="PQV66" s="24"/>
      <c r="PQW66" s="24"/>
      <c r="PQX66" s="24"/>
      <c r="PQY66" s="24"/>
      <c r="PQZ66" s="24"/>
      <c r="PRA66" s="24"/>
      <c r="PRB66" s="24"/>
      <c r="PRC66" s="24"/>
      <c r="PRD66" s="24"/>
      <c r="PRE66" s="24"/>
      <c r="PRF66" s="24"/>
      <c r="PRG66" s="24"/>
      <c r="PRH66" s="24"/>
      <c r="PRI66" s="24"/>
      <c r="PRJ66" s="24"/>
      <c r="PRK66" s="24"/>
      <c r="PRL66" s="24"/>
      <c r="PRM66" s="24"/>
      <c r="PRN66" s="24"/>
      <c r="PRO66" s="24"/>
      <c r="PRP66" s="24"/>
      <c r="PRQ66" s="24"/>
      <c r="PRR66" s="24"/>
      <c r="PRS66" s="24"/>
      <c r="PRT66" s="24"/>
      <c r="PRU66" s="24"/>
      <c r="PRV66" s="24"/>
      <c r="PRW66" s="24"/>
      <c r="PRX66" s="24"/>
      <c r="PRY66" s="24"/>
      <c r="PRZ66" s="24"/>
      <c r="PSA66" s="24"/>
      <c r="PSB66" s="24"/>
      <c r="PSC66" s="24"/>
      <c r="PSD66" s="24"/>
      <c r="PSE66" s="24"/>
      <c r="PSF66" s="24"/>
      <c r="PSG66" s="24"/>
      <c r="PSH66" s="24"/>
      <c r="PSI66" s="24"/>
      <c r="PSJ66" s="24"/>
      <c r="PSK66" s="24"/>
      <c r="PSL66" s="24"/>
      <c r="PSM66" s="24"/>
      <c r="PSN66" s="24"/>
      <c r="PSO66" s="24"/>
      <c r="PSP66" s="24"/>
      <c r="PSQ66" s="24"/>
      <c r="PSR66" s="24"/>
      <c r="PSS66" s="24"/>
      <c r="PST66" s="24"/>
      <c r="PSU66" s="24"/>
      <c r="PSV66" s="24"/>
      <c r="PSW66" s="24"/>
      <c r="PSX66" s="24"/>
      <c r="PSY66" s="24"/>
      <c r="PSZ66" s="24"/>
      <c r="PTA66" s="24"/>
      <c r="PTB66" s="24"/>
      <c r="PTC66" s="24"/>
      <c r="PTD66" s="24"/>
      <c r="PTE66" s="24"/>
      <c r="PTF66" s="24"/>
      <c r="PTG66" s="24"/>
      <c r="PTH66" s="24"/>
      <c r="PTI66" s="24"/>
      <c r="PTJ66" s="24"/>
      <c r="PTK66" s="24"/>
      <c r="PTL66" s="24"/>
      <c r="PTM66" s="24"/>
      <c r="PTN66" s="24"/>
      <c r="PTO66" s="24"/>
      <c r="PTP66" s="24"/>
      <c r="PTQ66" s="24"/>
      <c r="PTR66" s="24"/>
      <c r="PTS66" s="24"/>
      <c r="PTT66" s="24"/>
      <c r="PTU66" s="24"/>
      <c r="PTV66" s="24"/>
      <c r="PTW66" s="24"/>
      <c r="PTX66" s="24"/>
      <c r="PTY66" s="24"/>
      <c r="PTZ66" s="24"/>
      <c r="PUA66" s="24"/>
      <c r="PUB66" s="24"/>
      <c r="PUC66" s="24"/>
      <c r="PUD66" s="24"/>
      <c r="PUE66" s="24"/>
      <c r="PUF66" s="24"/>
      <c r="PUG66" s="24"/>
      <c r="PUH66" s="24"/>
      <c r="PUI66" s="24"/>
      <c r="PUJ66" s="24"/>
      <c r="PUK66" s="24"/>
      <c r="PUL66" s="24"/>
      <c r="PUM66" s="24"/>
      <c r="PUN66" s="24"/>
      <c r="PUO66" s="24"/>
      <c r="PUP66" s="24"/>
      <c r="PUQ66" s="24"/>
      <c r="PUR66" s="24"/>
      <c r="PUS66" s="24"/>
      <c r="PUT66" s="24"/>
      <c r="PUU66" s="24"/>
      <c r="PUV66" s="24"/>
      <c r="PUW66" s="24"/>
      <c r="PUX66" s="24"/>
      <c r="PUY66" s="24"/>
      <c r="PUZ66" s="24"/>
      <c r="PVA66" s="24"/>
      <c r="PVB66" s="24"/>
      <c r="PVC66" s="24"/>
      <c r="PVD66" s="24"/>
      <c r="PVE66" s="24"/>
      <c r="PVF66" s="24"/>
      <c r="PVG66" s="24"/>
      <c r="PVH66" s="24"/>
      <c r="PVI66" s="24"/>
      <c r="PVJ66" s="24"/>
      <c r="PVK66" s="24"/>
      <c r="PVL66" s="24"/>
      <c r="PVM66" s="24"/>
      <c r="PVN66" s="24"/>
      <c r="PVO66" s="24"/>
      <c r="PVP66" s="24"/>
      <c r="PVQ66" s="24"/>
      <c r="PVR66" s="24"/>
      <c r="PVS66" s="24"/>
      <c r="PVT66" s="24"/>
      <c r="PVU66" s="24"/>
      <c r="PVV66" s="24"/>
      <c r="PVW66" s="24"/>
      <c r="PVX66" s="24"/>
      <c r="PVY66" s="24"/>
      <c r="PVZ66" s="24"/>
      <c r="PWA66" s="24"/>
      <c r="PWB66" s="24"/>
      <c r="PWC66" s="24"/>
      <c r="PWD66" s="24"/>
      <c r="PWE66" s="24"/>
      <c r="PWF66" s="24"/>
      <c r="PWG66" s="24"/>
      <c r="PWH66" s="24"/>
      <c r="PWI66" s="24"/>
      <c r="PWJ66" s="24"/>
      <c r="PWK66" s="24"/>
      <c r="PWL66" s="24"/>
      <c r="PWM66" s="24"/>
      <c r="PWN66" s="24"/>
      <c r="PWO66" s="24"/>
      <c r="PWP66" s="24"/>
      <c r="PWQ66" s="24"/>
      <c r="PWR66" s="24"/>
      <c r="PWS66" s="24"/>
      <c r="PWT66" s="24"/>
      <c r="PWU66" s="24"/>
      <c r="PWV66" s="24"/>
      <c r="PWW66" s="24"/>
      <c r="PWX66" s="24"/>
      <c r="PWY66" s="24"/>
      <c r="PWZ66" s="24"/>
      <c r="PXA66" s="24"/>
      <c r="PXB66" s="24"/>
      <c r="PXC66" s="24"/>
      <c r="PXD66" s="24"/>
      <c r="PXE66" s="24"/>
      <c r="PXF66" s="24"/>
      <c r="PXG66" s="24"/>
      <c r="PXH66" s="24"/>
      <c r="PXI66" s="24"/>
      <c r="PXJ66" s="24"/>
      <c r="PXK66" s="24"/>
      <c r="PXL66" s="24"/>
      <c r="PXM66" s="24"/>
      <c r="PXN66" s="24"/>
      <c r="PXO66" s="24"/>
      <c r="PXP66" s="24"/>
      <c r="PXQ66" s="24"/>
      <c r="PXR66" s="24"/>
      <c r="PXS66" s="24"/>
      <c r="PXT66" s="24"/>
      <c r="PXU66" s="24"/>
      <c r="PXV66" s="24"/>
      <c r="PXW66" s="24"/>
      <c r="PXX66" s="24"/>
      <c r="PXY66" s="24"/>
      <c r="PXZ66" s="24"/>
      <c r="PYA66" s="24"/>
      <c r="PYB66" s="24"/>
      <c r="PYC66" s="24"/>
      <c r="PYD66" s="24"/>
      <c r="PYE66" s="24"/>
      <c r="PYF66" s="24"/>
      <c r="PYG66" s="24"/>
      <c r="PYH66" s="24"/>
      <c r="PYI66" s="24"/>
      <c r="PYJ66" s="24"/>
      <c r="PYK66" s="24"/>
      <c r="PYL66" s="24"/>
      <c r="PYM66" s="24"/>
      <c r="PYN66" s="24"/>
      <c r="PYO66" s="24"/>
      <c r="PYP66" s="24"/>
      <c r="PYQ66" s="24"/>
      <c r="PYR66" s="24"/>
      <c r="PYS66" s="24"/>
      <c r="PYT66" s="24"/>
      <c r="PYU66" s="24"/>
      <c r="PYV66" s="24"/>
      <c r="PYW66" s="24"/>
      <c r="PYX66" s="24"/>
      <c r="PYY66" s="24"/>
      <c r="PYZ66" s="24"/>
      <c r="PZA66" s="24"/>
      <c r="PZB66" s="24"/>
      <c r="PZC66" s="24"/>
      <c r="PZD66" s="24"/>
      <c r="PZE66" s="24"/>
      <c r="PZF66" s="24"/>
      <c r="PZG66" s="24"/>
      <c r="PZH66" s="24"/>
      <c r="PZI66" s="24"/>
      <c r="PZJ66" s="24"/>
      <c r="PZK66" s="24"/>
      <c r="PZL66" s="24"/>
      <c r="PZM66" s="24"/>
      <c r="PZN66" s="24"/>
      <c r="PZO66" s="24"/>
      <c r="PZP66" s="24"/>
      <c r="PZQ66" s="24"/>
      <c r="PZR66" s="24"/>
      <c r="PZS66" s="24"/>
      <c r="PZT66" s="24"/>
      <c r="PZU66" s="24"/>
      <c r="PZV66" s="24"/>
      <c r="PZW66" s="24"/>
      <c r="PZX66" s="24"/>
      <c r="PZY66" s="24"/>
      <c r="PZZ66" s="24"/>
      <c r="QAA66" s="24"/>
      <c r="QAB66" s="24"/>
      <c r="QAC66" s="24"/>
      <c r="QAD66" s="24"/>
      <c r="QAE66" s="24"/>
      <c r="QAF66" s="24"/>
      <c r="QAG66" s="24"/>
      <c r="QAH66" s="24"/>
      <c r="QAI66" s="24"/>
      <c r="QAJ66" s="24"/>
      <c r="QAK66" s="24"/>
      <c r="QAL66" s="24"/>
      <c r="QAM66" s="24"/>
      <c r="QAN66" s="24"/>
      <c r="QAO66" s="24"/>
      <c r="QAP66" s="24"/>
      <c r="QAQ66" s="24"/>
      <c r="QAR66" s="24"/>
      <c r="QAS66" s="24"/>
      <c r="QAT66" s="24"/>
      <c r="QAU66" s="24"/>
      <c r="QAV66" s="24"/>
      <c r="QAW66" s="24"/>
      <c r="QAX66" s="24"/>
      <c r="QAY66" s="24"/>
      <c r="QAZ66" s="24"/>
      <c r="QBA66" s="24"/>
      <c r="QBB66" s="24"/>
      <c r="QBC66" s="24"/>
      <c r="QBD66" s="24"/>
      <c r="QBE66" s="24"/>
      <c r="QBF66" s="24"/>
      <c r="QBG66" s="24"/>
      <c r="QBH66" s="24"/>
      <c r="QBI66" s="24"/>
      <c r="QBJ66" s="24"/>
      <c r="QBK66" s="24"/>
      <c r="QBL66" s="24"/>
      <c r="QBM66" s="24"/>
      <c r="QBN66" s="24"/>
      <c r="QBO66" s="24"/>
      <c r="QBP66" s="24"/>
      <c r="QBQ66" s="24"/>
      <c r="QBR66" s="24"/>
      <c r="QBS66" s="24"/>
      <c r="QBT66" s="24"/>
      <c r="QBU66" s="24"/>
      <c r="QBV66" s="24"/>
      <c r="QBW66" s="24"/>
      <c r="QBX66" s="24"/>
      <c r="QBY66" s="24"/>
      <c r="QBZ66" s="24"/>
      <c r="QCA66" s="24"/>
      <c r="QCB66" s="24"/>
      <c r="QCC66" s="24"/>
      <c r="QCD66" s="24"/>
      <c r="QCE66" s="24"/>
      <c r="QCF66" s="24"/>
      <c r="QCG66" s="24"/>
      <c r="QCH66" s="24"/>
      <c r="QCI66" s="24"/>
      <c r="QCJ66" s="24"/>
      <c r="QCK66" s="24"/>
      <c r="QCL66" s="24"/>
      <c r="QCM66" s="24"/>
      <c r="QCN66" s="24"/>
      <c r="QCO66" s="24"/>
      <c r="QCP66" s="24"/>
      <c r="QCQ66" s="24"/>
      <c r="QCR66" s="24"/>
      <c r="QCS66" s="24"/>
      <c r="QCT66" s="24"/>
      <c r="QCU66" s="24"/>
      <c r="QCV66" s="24"/>
      <c r="QCW66" s="24"/>
      <c r="QCX66" s="24"/>
      <c r="QCY66" s="24"/>
      <c r="QCZ66" s="24"/>
      <c r="QDA66" s="24"/>
      <c r="QDB66" s="24"/>
      <c r="QDC66" s="24"/>
      <c r="QDD66" s="24"/>
      <c r="QDE66" s="24"/>
      <c r="QDF66" s="24"/>
      <c r="QDG66" s="24"/>
      <c r="QDH66" s="24"/>
      <c r="QDI66" s="24"/>
      <c r="QDJ66" s="24"/>
      <c r="QDK66" s="24"/>
      <c r="QDL66" s="24"/>
      <c r="QDM66" s="24"/>
      <c r="QDN66" s="24"/>
      <c r="QDO66" s="24"/>
      <c r="QDP66" s="24"/>
      <c r="QDQ66" s="24"/>
      <c r="QDR66" s="24"/>
      <c r="QDS66" s="24"/>
      <c r="QDT66" s="24"/>
      <c r="QDU66" s="24"/>
      <c r="QDV66" s="24"/>
      <c r="QDW66" s="24"/>
      <c r="QDX66" s="24"/>
      <c r="QDY66" s="24"/>
      <c r="QDZ66" s="24"/>
      <c r="QEA66" s="24"/>
      <c r="QEB66" s="24"/>
      <c r="QEC66" s="24"/>
      <c r="QED66" s="24"/>
      <c r="QEE66" s="24"/>
      <c r="QEF66" s="24"/>
      <c r="QEG66" s="24"/>
      <c r="QEH66" s="24"/>
      <c r="QEI66" s="24"/>
      <c r="QEJ66" s="24"/>
      <c r="QEK66" s="24"/>
      <c r="QEL66" s="24"/>
      <c r="QEM66" s="24"/>
      <c r="QEN66" s="24"/>
      <c r="QEO66" s="24"/>
      <c r="QEP66" s="24"/>
      <c r="QEQ66" s="24"/>
      <c r="QER66" s="24"/>
      <c r="QES66" s="24"/>
      <c r="QET66" s="24"/>
      <c r="QEU66" s="24"/>
      <c r="QEV66" s="24"/>
      <c r="QEW66" s="24"/>
      <c r="QEX66" s="24"/>
      <c r="QEY66" s="24"/>
      <c r="QEZ66" s="24"/>
      <c r="QFA66" s="24"/>
      <c r="QFB66" s="24"/>
      <c r="QFC66" s="24"/>
      <c r="QFD66" s="24"/>
      <c r="QFE66" s="24"/>
      <c r="QFF66" s="24"/>
      <c r="QFG66" s="24"/>
      <c r="QFH66" s="24"/>
      <c r="QFI66" s="24"/>
      <c r="QFJ66" s="24"/>
      <c r="QFK66" s="24"/>
      <c r="QFL66" s="24"/>
      <c r="QFM66" s="24"/>
      <c r="QFN66" s="24"/>
      <c r="QFO66" s="24"/>
      <c r="QFP66" s="24"/>
      <c r="QFQ66" s="24"/>
      <c r="QFR66" s="24"/>
      <c r="QFS66" s="24"/>
      <c r="QFT66" s="24"/>
      <c r="QFU66" s="24"/>
      <c r="QFV66" s="24"/>
      <c r="QFW66" s="24"/>
      <c r="QFX66" s="24"/>
      <c r="QFY66" s="24"/>
      <c r="QFZ66" s="24"/>
      <c r="QGA66" s="24"/>
      <c r="QGB66" s="24"/>
      <c r="QGC66" s="24"/>
      <c r="QGD66" s="24"/>
      <c r="QGE66" s="24"/>
      <c r="QGF66" s="24"/>
      <c r="QGG66" s="24"/>
      <c r="QGH66" s="24"/>
      <c r="QGI66" s="24"/>
      <c r="QGJ66" s="24"/>
      <c r="QGK66" s="24"/>
      <c r="QGL66" s="24"/>
      <c r="QGM66" s="24"/>
      <c r="QGN66" s="24"/>
      <c r="QGO66" s="24"/>
      <c r="QGP66" s="24"/>
      <c r="QGQ66" s="24"/>
      <c r="QGR66" s="24"/>
      <c r="QGS66" s="24"/>
      <c r="QGT66" s="24"/>
      <c r="QGU66" s="24"/>
      <c r="QGV66" s="24"/>
      <c r="QGW66" s="24"/>
      <c r="QGX66" s="24"/>
      <c r="QGY66" s="24"/>
      <c r="QGZ66" s="24"/>
      <c r="QHA66" s="24"/>
      <c r="QHB66" s="24"/>
      <c r="QHC66" s="24"/>
      <c r="QHD66" s="24"/>
      <c r="QHE66" s="24"/>
      <c r="QHF66" s="24"/>
      <c r="QHG66" s="24"/>
      <c r="QHH66" s="24"/>
      <c r="QHI66" s="24"/>
      <c r="QHJ66" s="24"/>
      <c r="QHK66" s="24"/>
      <c r="QHL66" s="24"/>
      <c r="QHM66" s="24"/>
      <c r="QHN66" s="24"/>
      <c r="QHO66" s="24"/>
      <c r="QHP66" s="24"/>
      <c r="QHQ66" s="24"/>
      <c r="QHR66" s="24"/>
      <c r="QHS66" s="24"/>
      <c r="QHT66" s="24"/>
      <c r="QHU66" s="24"/>
      <c r="QHV66" s="24"/>
      <c r="QHW66" s="24"/>
      <c r="QHX66" s="24"/>
      <c r="QHY66" s="24"/>
      <c r="QHZ66" s="24"/>
      <c r="QIA66" s="24"/>
      <c r="QIB66" s="24"/>
      <c r="QIC66" s="24"/>
      <c r="QID66" s="24"/>
      <c r="QIE66" s="24"/>
      <c r="QIF66" s="24"/>
      <c r="QIG66" s="24"/>
      <c r="QIH66" s="24"/>
      <c r="QII66" s="24"/>
      <c r="QIJ66" s="24"/>
      <c r="QIK66" s="24"/>
      <c r="QIL66" s="24"/>
      <c r="QIM66" s="24"/>
      <c r="QIN66" s="24"/>
      <c r="QIO66" s="24"/>
      <c r="QIP66" s="24"/>
      <c r="QIQ66" s="24"/>
      <c r="QIR66" s="24"/>
      <c r="QIS66" s="24"/>
      <c r="QIT66" s="24"/>
      <c r="QIU66" s="24"/>
      <c r="QIV66" s="24"/>
      <c r="QIW66" s="24"/>
      <c r="QIX66" s="24"/>
      <c r="QIY66" s="24"/>
      <c r="QIZ66" s="24"/>
      <c r="QJA66" s="24"/>
      <c r="QJB66" s="24"/>
      <c r="QJC66" s="24"/>
      <c r="QJD66" s="24"/>
      <c r="QJE66" s="24"/>
      <c r="QJF66" s="24"/>
      <c r="QJG66" s="24"/>
      <c r="QJH66" s="24"/>
      <c r="QJI66" s="24"/>
      <c r="QJJ66" s="24"/>
      <c r="QJK66" s="24"/>
      <c r="QJL66" s="24"/>
      <c r="QJM66" s="24"/>
      <c r="QJN66" s="24"/>
      <c r="QJO66" s="24"/>
      <c r="QJP66" s="24"/>
      <c r="QJQ66" s="24"/>
      <c r="QJR66" s="24"/>
      <c r="QJS66" s="24"/>
      <c r="QJT66" s="24"/>
      <c r="QJU66" s="24"/>
      <c r="QJV66" s="24"/>
      <c r="QJW66" s="24"/>
      <c r="QJX66" s="24"/>
      <c r="QJY66" s="24"/>
      <c r="QJZ66" s="24"/>
      <c r="QKA66" s="24"/>
      <c r="QKB66" s="24"/>
      <c r="QKC66" s="24"/>
      <c r="QKD66" s="24"/>
      <c r="QKE66" s="24"/>
      <c r="QKF66" s="24"/>
      <c r="QKG66" s="24"/>
      <c r="QKH66" s="24"/>
      <c r="QKI66" s="24"/>
      <c r="QKJ66" s="24"/>
      <c r="QKK66" s="24"/>
      <c r="QKL66" s="24"/>
      <c r="QKM66" s="24"/>
      <c r="QKN66" s="24"/>
      <c r="QKO66" s="24"/>
      <c r="QKP66" s="24"/>
      <c r="QKQ66" s="24"/>
      <c r="QKR66" s="24"/>
      <c r="QKS66" s="24"/>
      <c r="QKT66" s="24"/>
      <c r="QKU66" s="24"/>
      <c r="QKV66" s="24"/>
      <c r="QKW66" s="24"/>
      <c r="QKX66" s="24"/>
      <c r="QKY66" s="24"/>
      <c r="QKZ66" s="24"/>
      <c r="QLA66" s="24"/>
      <c r="QLB66" s="24"/>
      <c r="QLC66" s="24"/>
      <c r="QLD66" s="24"/>
      <c r="QLE66" s="24"/>
      <c r="QLF66" s="24"/>
      <c r="QLG66" s="24"/>
      <c r="QLH66" s="24"/>
      <c r="QLI66" s="24"/>
      <c r="QLJ66" s="24"/>
      <c r="QLK66" s="24"/>
      <c r="QLL66" s="24"/>
      <c r="QLM66" s="24"/>
      <c r="QLN66" s="24"/>
      <c r="QLO66" s="24"/>
      <c r="QLP66" s="24"/>
      <c r="QLQ66" s="24"/>
      <c r="QLR66" s="24"/>
      <c r="QLS66" s="24"/>
      <c r="QLT66" s="24"/>
      <c r="QLU66" s="24"/>
      <c r="QLV66" s="24"/>
      <c r="QLW66" s="24"/>
      <c r="QLX66" s="24"/>
      <c r="QLY66" s="24"/>
      <c r="QLZ66" s="24"/>
      <c r="QMA66" s="24"/>
      <c r="QMB66" s="24"/>
      <c r="QMC66" s="24"/>
      <c r="QMD66" s="24"/>
      <c r="QME66" s="24"/>
      <c r="QMF66" s="24"/>
      <c r="QMG66" s="24"/>
      <c r="QMH66" s="24"/>
      <c r="QMI66" s="24"/>
      <c r="QMJ66" s="24"/>
      <c r="QMK66" s="24"/>
      <c r="QML66" s="24"/>
      <c r="QMM66" s="24"/>
      <c r="QMN66" s="24"/>
      <c r="QMO66" s="24"/>
      <c r="QMP66" s="24"/>
      <c r="QMQ66" s="24"/>
      <c r="QMR66" s="24"/>
      <c r="QMS66" s="24"/>
      <c r="QMT66" s="24"/>
      <c r="QMU66" s="24"/>
      <c r="QMV66" s="24"/>
      <c r="QMW66" s="24"/>
      <c r="QMX66" s="24"/>
      <c r="QMY66" s="24"/>
      <c r="QMZ66" s="24"/>
      <c r="QNA66" s="24"/>
      <c r="QNB66" s="24"/>
      <c r="QNC66" s="24"/>
      <c r="QND66" s="24"/>
      <c r="QNE66" s="24"/>
      <c r="QNF66" s="24"/>
      <c r="QNG66" s="24"/>
      <c r="QNH66" s="24"/>
      <c r="QNI66" s="24"/>
      <c r="QNJ66" s="24"/>
      <c r="QNK66" s="24"/>
      <c r="QNL66" s="24"/>
      <c r="QNM66" s="24"/>
      <c r="QNN66" s="24"/>
      <c r="QNO66" s="24"/>
      <c r="QNP66" s="24"/>
      <c r="QNQ66" s="24"/>
      <c r="QNR66" s="24"/>
      <c r="QNS66" s="24"/>
      <c r="QNT66" s="24"/>
      <c r="QNU66" s="24"/>
      <c r="QNV66" s="24"/>
      <c r="QNW66" s="24"/>
      <c r="QNX66" s="24"/>
      <c r="QNY66" s="24"/>
      <c r="QNZ66" s="24"/>
      <c r="QOA66" s="24"/>
      <c r="QOB66" s="24"/>
      <c r="QOC66" s="24"/>
      <c r="QOD66" s="24"/>
      <c r="QOE66" s="24"/>
      <c r="QOF66" s="24"/>
      <c r="QOG66" s="24"/>
      <c r="QOH66" s="24"/>
      <c r="QOI66" s="24"/>
      <c r="QOJ66" s="24"/>
      <c r="QOK66" s="24"/>
      <c r="QOL66" s="24"/>
      <c r="QOM66" s="24"/>
      <c r="QON66" s="24"/>
      <c r="QOO66" s="24"/>
      <c r="QOP66" s="24"/>
      <c r="QOQ66" s="24"/>
      <c r="QOR66" s="24"/>
      <c r="QOS66" s="24"/>
      <c r="QOT66" s="24"/>
      <c r="QOU66" s="24"/>
      <c r="QOV66" s="24"/>
      <c r="QOW66" s="24"/>
      <c r="QOX66" s="24"/>
      <c r="QOY66" s="24"/>
      <c r="QOZ66" s="24"/>
      <c r="QPA66" s="24"/>
      <c r="QPB66" s="24"/>
      <c r="QPC66" s="24"/>
      <c r="QPD66" s="24"/>
      <c r="QPE66" s="24"/>
      <c r="QPF66" s="24"/>
      <c r="QPG66" s="24"/>
      <c r="QPH66" s="24"/>
      <c r="QPI66" s="24"/>
      <c r="QPJ66" s="24"/>
      <c r="QPK66" s="24"/>
      <c r="QPL66" s="24"/>
      <c r="QPM66" s="24"/>
      <c r="QPN66" s="24"/>
      <c r="QPO66" s="24"/>
      <c r="QPP66" s="24"/>
      <c r="QPQ66" s="24"/>
      <c r="QPR66" s="24"/>
      <c r="QPS66" s="24"/>
      <c r="QPT66" s="24"/>
      <c r="QPU66" s="24"/>
      <c r="QPV66" s="24"/>
      <c r="QPW66" s="24"/>
      <c r="QPX66" s="24"/>
      <c r="QPY66" s="24"/>
      <c r="QPZ66" s="24"/>
      <c r="QQA66" s="24"/>
      <c r="QQB66" s="24"/>
      <c r="QQC66" s="24"/>
      <c r="QQD66" s="24"/>
      <c r="QQE66" s="24"/>
      <c r="QQF66" s="24"/>
      <c r="QQG66" s="24"/>
      <c r="QQH66" s="24"/>
      <c r="QQI66" s="24"/>
      <c r="QQJ66" s="24"/>
      <c r="QQK66" s="24"/>
      <c r="QQL66" s="24"/>
      <c r="QQM66" s="24"/>
      <c r="QQN66" s="24"/>
      <c r="QQO66" s="24"/>
      <c r="QQP66" s="24"/>
      <c r="QQQ66" s="24"/>
      <c r="QQR66" s="24"/>
      <c r="QQS66" s="24"/>
      <c r="QQT66" s="24"/>
      <c r="QQU66" s="24"/>
      <c r="QQV66" s="24"/>
      <c r="QQW66" s="24"/>
      <c r="QQX66" s="24"/>
      <c r="QQY66" s="24"/>
      <c r="QQZ66" s="24"/>
      <c r="QRA66" s="24"/>
      <c r="QRB66" s="24"/>
      <c r="QRC66" s="24"/>
      <c r="QRD66" s="24"/>
      <c r="QRE66" s="24"/>
      <c r="QRF66" s="24"/>
      <c r="QRG66" s="24"/>
      <c r="QRH66" s="24"/>
      <c r="QRI66" s="24"/>
      <c r="QRJ66" s="24"/>
      <c r="QRK66" s="24"/>
      <c r="QRL66" s="24"/>
      <c r="QRM66" s="24"/>
      <c r="QRN66" s="24"/>
      <c r="QRO66" s="24"/>
      <c r="QRP66" s="24"/>
      <c r="QRQ66" s="24"/>
      <c r="QRR66" s="24"/>
      <c r="QRS66" s="24"/>
      <c r="QRT66" s="24"/>
      <c r="QRU66" s="24"/>
      <c r="QRV66" s="24"/>
      <c r="QRW66" s="24"/>
      <c r="QRX66" s="24"/>
      <c r="QRY66" s="24"/>
      <c r="QRZ66" s="24"/>
      <c r="QSA66" s="24"/>
      <c r="QSB66" s="24"/>
      <c r="QSC66" s="24"/>
      <c r="QSD66" s="24"/>
      <c r="QSE66" s="24"/>
      <c r="QSF66" s="24"/>
      <c r="QSG66" s="24"/>
      <c r="QSH66" s="24"/>
      <c r="QSI66" s="24"/>
      <c r="QSJ66" s="24"/>
      <c r="QSK66" s="24"/>
      <c r="QSL66" s="24"/>
      <c r="QSM66" s="24"/>
      <c r="QSN66" s="24"/>
      <c r="QSO66" s="24"/>
      <c r="QSP66" s="24"/>
      <c r="QSQ66" s="24"/>
      <c r="QSR66" s="24"/>
      <c r="QSS66" s="24"/>
      <c r="QST66" s="24"/>
      <c r="QSU66" s="24"/>
      <c r="QSV66" s="24"/>
      <c r="QSW66" s="24"/>
      <c r="QSX66" s="24"/>
      <c r="QSY66" s="24"/>
      <c r="QSZ66" s="24"/>
      <c r="QTA66" s="24"/>
      <c r="QTB66" s="24"/>
      <c r="QTC66" s="24"/>
      <c r="QTD66" s="24"/>
      <c r="QTE66" s="24"/>
      <c r="QTF66" s="24"/>
      <c r="QTG66" s="24"/>
      <c r="QTH66" s="24"/>
      <c r="QTI66" s="24"/>
      <c r="QTJ66" s="24"/>
      <c r="QTK66" s="24"/>
      <c r="QTL66" s="24"/>
      <c r="QTM66" s="24"/>
      <c r="QTN66" s="24"/>
      <c r="QTO66" s="24"/>
      <c r="QTP66" s="24"/>
      <c r="QTQ66" s="24"/>
      <c r="QTR66" s="24"/>
      <c r="QTS66" s="24"/>
      <c r="QTT66" s="24"/>
      <c r="QTU66" s="24"/>
      <c r="QTV66" s="24"/>
      <c r="QTW66" s="24"/>
      <c r="QTX66" s="24"/>
      <c r="QTY66" s="24"/>
      <c r="QTZ66" s="24"/>
      <c r="QUA66" s="24"/>
      <c r="QUB66" s="24"/>
      <c r="QUC66" s="24"/>
      <c r="QUD66" s="24"/>
      <c r="QUE66" s="24"/>
      <c r="QUF66" s="24"/>
      <c r="QUG66" s="24"/>
      <c r="QUH66" s="24"/>
      <c r="QUI66" s="24"/>
      <c r="QUJ66" s="24"/>
      <c r="QUK66" s="24"/>
      <c r="QUL66" s="24"/>
      <c r="QUM66" s="24"/>
      <c r="QUN66" s="24"/>
      <c r="QUO66" s="24"/>
      <c r="QUP66" s="24"/>
      <c r="QUQ66" s="24"/>
      <c r="QUR66" s="24"/>
      <c r="QUS66" s="24"/>
      <c r="QUT66" s="24"/>
      <c r="QUU66" s="24"/>
      <c r="QUV66" s="24"/>
      <c r="QUW66" s="24"/>
      <c r="QUX66" s="24"/>
      <c r="QUY66" s="24"/>
      <c r="QUZ66" s="24"/>
      <c r="QVA66" s="24"/>
      <c r="QVB66" s="24"/>
      <c r="QVC66" s="24"/>
      <c r="QVD66" s="24"/>
      <c r="QVE66" s="24"/>
      <c r="QVF66" s="24"/>
      <c r="QVG66" s="24"/>
      <c r="QVH66" s="24"/>
      <c r="QVI66" s="24"/>
      <c r="QVJ66" s="24"/>
      <c r="QVK66" s="24"/>
      <c r="QVL66" s="24"/>
      <c r="QVM66" s="24"/>
      <c r="QVN66" s="24"/>
      <c r="QVO66" s="24"/>
      <c r="QVP66" s="24"/>
      <c r="QVQ66" s="24"/>
      <c r="QVR66" s="24"/>
      <c r="QVS66" s="24"/>
      <c r="QVT66" s="24"/>
      <c r="QVU66" s="24"/>
      <c r="QVV66" s="24"/>
      <c r="QVW66" s="24"/>
      <c r="QVX66" s="24"/>
      <c r="QVY66" s="24"/>
      <c r="QVZ66" s="24"/>
      <c r="QWA66" s="24"/>
      <c r="QWB66" s="24"/>
      <c r="QWC66" s="24"/>
      <c r="QWD66" s="24"/>
      <c r="QWE66" s="24"/>
      <c r="QWF66" s="24"/>
      <c r="QWG66" s="24"/>
      <c r="QWH66" s="24"/>
      <c r="QWI66" s="24"/>
      <c r="QWJ66" s="24"/>
      <c r="QWK66" s="24"/>
      <c r="QWL66" s="24"/>
      <c r="QWM66" s="24"/>
      <c r="QWN66" s="24"/>
      <c r="QWO66" s="24"/>
      <c r="QWP66" s="24"/>
      <c r="QWQ66" s="24"/>
      <c r="QWR66" s="24"/>
      <c r="QWS66" s="24"/>
      <c r="QWT66" s="24"/>
      <c r="QWU66" s="24"/>
      <c r="QWV66" s="24"/>
      <c r="QWW66" s="24"/>
      <c r="QWX66" s="24"/>
      <c r="QWY66" s="24"/>
      <c r="QWZ66" s="24"/>
      <c r="QXA66" s="24"/>
      <c r="QXB66" s="24"/>
      <c r="QXC66" s="24"/>
      <c r="QXD66" s="24"/>
      <c r="QXE66" s="24"/>
      <c r="QXF66" s="24"/>
      <c r="QXG66" s="24"/>
      <c r="QXH66" s="24"/>
      <c r="QXI66" s="24"/>
      <c r="QXJ66" s="24"/>
      <c r="QXK66" s="24"/>
      <c r="QXL66" s="24"/>
      <c r="QXM66" s="24"/>
      <c r="QXN66" s="24"/>
      <c r="QXO66" s="24"/>
      <c r="QXP66" s="24"/>
      <c r="QXQ66" s="24"/>
      <c r="QXR66" s="24"/>
      <c r="QXS66" s="24"/>
      <c r="QXT66" s="24"/>
      <c r="QXU66" s="24"/>
      <c r="QXV66" s="24"/>
      <c r="QXW66" s="24"/>
      <c r="QXX66" s="24"/>
      <c r="QXY66" s="24"/>
      <c r="QXZ66" s="24"/>
      <c r="QYA66" s="24"/>
      <c r="QYB66" s="24"/>
      <c r="QYC66" s="24"/>
      <c r="QYD66" s="24"/>
      <c r="QYE66" s="24"/>
      <c r="QYF66" s="24"/>
      <c r="QYG66" s="24"/>
      <c r="QYH66" s="24"/>
      <c r="QYI66" s="24"/>
      <c r="QYJ66" s="24"/>
      <c r="QYK66" s="24"/>
      <c r="QYL66" s="24"/>
      <c r="QYM66" s="24"/>
      <c r="QYN66" s="24"/>
      <c r="QYO66" s="24"/>
      <c r="QYP66" s="24"/>
      <c r="QYQ66" s="24"/>
      <c r="QYR66" s="24"/>
      <c r="QYS66" s="24"/>
      <c r="QYT66" s="24"/>
      <c r="QYU66" s="24"/>
      <c r="QYV66" s="24"/>
      <c r="QYW66" s="24"/>
      <c r="QYX66" s="24"/>
      <c r="QYY66" s="24"/>
      <c r="QYZ66" s="24"/>
      <c r="QZA66" s="24"/>
      <c r="QZB66" s="24"/>
      <c r="QZC66" s="24"/>
      <c r="QZD66" s="24"/>
      <c r="QZE66" s="24"/>
      <c r="QZF66" s="24"/>
      <c r="QZG66" s="24"/>
      <c r="QZH66" s="24"/>
      <c r="QZI66" s="24"/>
      <c r="QZJ66" s="24"/>
      <c r="QZK66" s="24"/>
      <c r="QZL66" s="24"/>
      <c r="QZM66" s="24"/>
      <c r="QZN66" s="24"/>
      <c r="QZO66" s="24"/>
      <c r="QZP66" s="24"/>
      <c r="QZQ66" s="24"/>
      <c r="QZR66" s="24"/>
      <c r="QZS66" s="24"/>
      <c r="QZT66" s="24"/>
      <c r="QZU66" s="24"/>
      <c r="QZV66" s="24"/>
      <c r="QZW66" s="24"/>
      <c r="QZX66" s="24"/>
      <c r="QZY66" s="24"/>
      <c r="QZZ66" s="24"/>
      <c r="RAA66" s="24"/>
      <c r="RAB66" s="24"/>
      <c r="RAC66" s="24"/>
      <c r="RAD66" s="24"/>
      <c r="RAE66" s="24"/>
      <c r="RAF66" s="24"/>
      <c r="RAG66" s="24"/>
      <c r="RAH66" s="24"/>
      <c r="RAI66" s="24"/>
      <c r="RAJ66" s="24"/>
      <c r="RAK66" s="24"/>
      <c r="RAL66" s="24"/>
      <c r="RAM66" s="24"/>
      <c r="RAN66" s="24"/>
      <c r="RAO66" s="24"/>
      <c r="RAP66" s="24"/>
      <c r="RAQ66" s="24"/>
      <c r="RAR66" s="24"/>
      <c r="RAS66" s="24"/>
      <c r="RAT66" s="24"/>
      <c r="RAU66" s="24"/>
      <c r="RAV66" s="24"/>
      <c r="RAW66" s="24"/>
      <c r="RAX66" s="24"/>
      <c r="RAY66" s="24"/>
      <c r="RAZ66" s="24"/>
      <c r="RBA66" s="24"/>
      <c r="RBB66" s="24"/>
      <c r="RBC66" s="24"/>
      <c r="RBD66" s="24"/>
      <c r="RBE66" s="24"/>
      <c r="RBF66" s="24"/>
      <c r="RBG66" s="24"/>
      <c r="RBH66" s="24"/>
      <c r="RBI66" s="24"/>
      <c r="RBJ66" s="24"/>
      <c r="RBK66" s="24"/>
      <c r="RBL66" s="24"/>
      <c r="RBM66" s="24"/>
      <c r="RBN66" s="24"/>
      <c r="RBO66" s="24"/>
      <c r="RBP66" s="24"/>
      <c r="RBQ66" s="24"/>
      <c r="RBR66" s="24"/>
      <c r="RBS66" s="24"/>
      <c r="RBT66" s="24"/>
      <c r="RBU66" s="24"/>
      <c r="RBV66" s="24"/>
      <c r="RBW66" s="24"/>
      <c r="RBX66" s="24"/>
      <c r="RBY66" s="24"/>
      <c r="RBZ66" s="24"/>
      <c r="RCA66" s="24"/>
      <c r="RCB66" s="24"/>
      <c r="RCC66" s="24"/>
      <c r="RCD66" s="24"/>
      <c r="RCE66" s="24"/>
      <c r="RCF66" s="24"/>
      <c r="RCG66" s="24"/>
      <c r="RCH66" s="24"/>
      <c r="RCI66" s="24"/>
      <c r="RCJ66" s="24"/>
      <c r="RCK66" s="24"/>
      <c r="RCL66" s="24"/>
      <c r="RCM66" s="24"/>
      <c r="RCN66" s="24"/>
      <c r="RCO66" s="24"/>
      <c r="RCP66" s="24"/>
      <c r="RCQ66" s="24"/>
      <c r="RCR66" s="24"/>
      <c r="RCS66" s="24"/>
      <c r="RCT66" s="24"/>
      <c r="RCU66" s="24"/>
      <c r="RCV66" s="24"/>
      <c r="RCW66" s="24"/>
      <c r="RCX66" s="24"/>
      <c r="RCY66" s="24"/>
      <c r="RCZ66" s="24"/>
      <c r="RDA66" s="24"/>
      <c r="RDB66" s="24"/>
      <c r="RDC66" s="24"/>
      <c r="RDD66" s="24"/>
      <c r="RDE66" s="24"/>
      <c r="RDF66" s="24"/>
      <c r="RDG66" s="24"/>
      <c r="RDH66" s="24"/>
      <c r="RDI66" s="24"/>
      <c r="RDJ66" s="24"/>
      <c r="RDK66" s="24"/>
      <c r="RDL66" s="24"/>
      <c r="RDM66" s="24"/>
      <c r="RDN66" s="24"/>
      <c r="RDO66" s="24"/>
      <c r="RDP66" s="24"/>
      <c r="RDQ66" s="24"/>
      <c r="RDR66" s="24"/>
      <c r="RDS66" s="24"/>
      <c r="RDT66" s="24"/>
      <c r="RDU66" s="24"/>
      <c r="RDV66" s="24"/>
      <c r="RDW66" s="24"/>
      <c r="RDX66" s="24"/>
      <c r="RDY66" s="24"/>
      <c r="RDZ66" s="24"/>
      <c r="REA66" s="24"/>
      <c r="REB66" s="24"/>
      <c r="REC66" s="24"/>
      <c r="RED66" s="24"/>
      <c r="REE66" s="24"/>
      <c r="REF66" s="24"/>
      <c r="REG66" s="24"/>
      <c r="REH66" s="24"/>
      <c r="REI66" s="24"/>
      <c r="REJ66" s="24"/>
      <c r="REK66" s="24"/>
      <c r="REL66" s="24"/>
      <c r="REM66" s="24"/>
      <c r="REN66" s="24"/>
      <c r="REO66" s="24"/>
      <c r="REP66" s="24"/>
      <c r="REQ66" s="24"/>
      <c r="RER66" s="24"/>
      <c r="RES66" s="24"/>
      <c r="RET66" s="24"/>
      <c r="REU66" s="24"/>
      <c r="REV66" s="24"/>
      <c r="REW66" s="24"/>
      <c r="REX66" s="24"/>
      <c r="REY66" s="24"/>
      <c r="REZ66" s="24"/>
      <c r="RFA66" s="24"/>
      <c r="RFB66" s="24"/>
      <c r="RFC66" s="24"/>
      <c r="RFD66" s="24"/>
      <c r="RFE66" s="24"/>
      <c r="RFF66" s="24"/>
      <c r="RFG66" s="24"/>
      <c r="RFH66" s="24"/>
      <c r="RFI66" s="24"/>
      <c r="RFJ66" s="24"/>
      <c r="RFK66" s="24"/>
      <c r="RFL66" s="24"/>
      <c r="RFM66" s="24"/>
      <c r="RFN66" s="24"/>
      <c r="RFO66" s="24"/>
      <c r="RFP66" s="24"/>
      <c r="RFQ66" s="24"/>
      <c r="RFR66" s="24"/>
      <c r="RFS66" s="24"/>
      <c r="RFT66" s="24"/>
      <c r="RFU66" s="24"/>
      <c r="RFV66" s="24"/>
      <c r="RFW66" s="24"/>
      <c r="RFX66" s="24"/>
      <c r="RFY66" s="24"/>
      <c r="RFZ66" s="24"/>
      <c r="RGA66" s="24"/>
      <c r="RGB66" s="24"/>
      <c r="RGC66" s="24"/>
      <c r="RGD66" s="24"/>
      <c r="RGE66" s="24"/>
      <c r="RGF66" s="24"/>
      <c r="RGG66" s="24"/>
      <c r="RGH66" s="24"/>
      <c r="RGI66" s="24"/>
      <c r="RGJ66" s="24"/>
      <c r="RGK66" s="24"/>
      <c r="RGL66" s="24"/>
      <c r="RGM66" s="24"/>
      <c r="RGN66" s="24"/>
      <c r="RGO66" s="24"/>
      <c r="RGP66" s="24"/>
      <c r="RGQ66" s="24"/>
      <c r="RGR66" s="24"/>
      <c r="RGS66" s="24"/>
      <c r="RGT66" s="24"/>
      <c r="RGU66" s="24"/>
      <c r="RGV66" s="24"/>
      <c r="RGW66" s="24"/>
      <c r="RGX66" s="24"/>
      <c r="RGY66" s="24"/>
      <c r="RGZ66" s="24"/>
      <c r="RHA66" s="24"/>
      <c r="RHB66" s="24"/>
      <c r="RHC66" s="24"/>
      <c r="RHD66" s="24"/>
      <c r="RHE66" s="24"/>
      <c r="RHF66" s="24"/>
      <c r="RHG66" s="24"/>
      <c r="RHH66" s="24"/>
      <c r="RHI66" s="24"/>
      <c r="RHJ66" s="24"/>
      <c r="RHK66" s="24"/>
      <c r="RHL66" s="24"/>
      <c r="RHM66" s="24"/>
      <c r="RHN66" s="24"/>
      <c r="RHO66" s="24"/>
      <c r="RHP66" s="24"/>
      <c r="RHQ66" s="24"/>
      <c r="RHR66" s="24"/>
      <c r="RHS66" s="24"/>
      <c r="RHT66" s="24"/>
      <c r="RHU66" s="24"/>
      <c r="RHV66" s="24"/>
      <c r="RHW66" s="24"/>
      <c r="RHX66" s="24"/>
      <c r="RHY66" s="24"/>
      <c r="RHZ66" s="24"/>
      <c r="RIA66" s="24"/>
      <c r="RIB66" s="24"/>
      <c r="RIC66" s="24"/>
      <c r="RID66" s="24"/>
      <c r="RIE66" s="24"/>
      <c r="RIF66" s="24"/>
      <c r="RIG66" s="24"/>
      <c r="RIH66" s="24"/>
      <c r="RII66" s="24"/>
      <c r="RIJ66" s="24"/>
      <c r="RIK66" s="24"/>
      <c r="RIL66" s="24"/>
      <c r="RIM66" s="24"/>
      <c r="RIN66" s="24"/>
      <c r="RIO66" s="24"/>
      <c r="RIP66" s="24"/>
      <c r="RIQ66" s="24"/>
      <c r="RIR66" s="24"/>
      <c r="RIS66" s="24"/>
      <c r="RIT66" s="24"/>
      <c r="RIU66" s="24"/>
      <c r="RIV66" s="24"/>
      <c r="RIW66" s="24"/>
      <c r="RIX66" s="24"/>
      <c r="RIY66" s="24"/>
      <c r="RIZ66" s="24"/>
      <c r="RJA66" s="24"/>
      <c r="RJB66" s="24"/>
      <c r="RJC66" s="24"/>
      <c r="RJD66" s="24"/>
      <c r="RJE66" s="24"/>
      <c r="RJF66" s="24"/>
      <c r="RJG66" s="24"/>
      <c r="RJH66" s="24"/>
      <c r="RJI66" s="24"/>
      <c r="RJJ66" s="24"/>
      <c r="RJK66" s="24"/>
      <c r="RJL66" s="24"/>
      <c r="RJM66" s="24"/>
      <c r="RJN66" s="24"/>
      <c r="RJO66" s="24"/>
      <c r="RJP66" s="24"/>
      <c r="RJQ66" s="24"/>
      <c r="RJR66" s="24"/>
      <c r="RJS66" s="24"/>
      <c r="RJT66" s="24"/>
      <c r="RJU66" s="24"/>
      <c r="RJV66" s="24"/>
      <c r="RJW66" s="24"/>
      <c r="RJX66" s="24"/>
      <c r="RJY66" s="24"/>
      <c r="RJZ66" s="24"/>
      <c r="RKA66" s="24"/>
      <c r="RKB66" s="24"/>
      <c r="RKC66" s="24"/>
      <c r="RKD66" s="24"/>
      <c r="RKE66" s="24"/>
      <c r="RKF66" s="24"/>
      <c r="RKG66" s="24"/>
      <c r="RKH66" s="24"/>
      <c r="RKI66" s="24"/>
      <c r="RKJ66" s="24"/>
      <c r="RKK66" s="24"/>
      <c r="RKL66" s="24"/>
      <c r="RKM66" s="24"/>
      <c r="RKN66" s="24"/>
      <c r="RKO66" s="24"/>
      <c r="RKP66" s="24"/>
      <c r="RKQ66" s="24"/>
      <c r="RKR66" s="24"/>
      <c r="RKS66" s="24"/>
      <c r="RKT66" s="24"/>
      <c r="RKU66" s="24"/>
      <c r="RKV66" s="24"/>
      <c r="RKW66" s="24"/>
      <c r="RKX66" s="24"/>
      <c r="RKY66" s="24"/>
      <c r="RKZ66" s="24"/>
      <c r="RLA66" s="24"/>
      <c r="RLB66" s="24"/>
      <c r="RLC66" s="24"/>
      <c r="RLD66" s="24"/>
      <c r="RLE66" s="24"/>
      <c r="RLF66" s="24"/>
      <c r="RLG66" s="24"/>
      <c r="RLH66" s="24"/>
      <c r="RLI66" s="24"/>
      <c r="RLJ66" s="24"/>
      <c r="RLK66" s="24"/>
      <c r="RLL66" s="24"/>
      <c r="RLM66" s="24"/>
      <c r="RLN66" s="24"/>
      <c r="RLO66" s="24"/>
      <c r="RLP66" s="24"/>
      <c r="RLQ66" s="24"/>
      <c r="RLR66" s="24"/>
      <c r="RLS66" s="24"/>
      <c r="RLT66" s="24"/>
      <c r="RLU66" s="24"/>
      <c r="RLV66" s="24"/>
      <c r="RLW66" s="24"/>
      <c r="RLX66" s="24"/>
      <c r="RLY66" s="24"/>
      <c r="RLZ66" s="24"/>
      <c r="RMA66" s="24"/>
      <c r="RMB66" s="24"/>
      <c r="RMC66" s="24"/>
      <c r="RMD66" s="24"/>
      <c r="RME66" s="24"/>
      <c r="RMF66" s="24"/>
      <c r="RMG66" s="24"/>
      <c r="RMH66" s="24"/>
      <c r="RMI66" s="24"/>
      <c r="RMJ66" s="24"/>
      <c r="RMK66" s="24"/>
      <c r="RML66" s="24"/>
      <c r="RMM66" s="24"/>
      <c r="RMN66" s="24"/>
      <c r="RMO66" s="24"/>
      <c r="RMP66" s="24"/>
      <c r="RMQ66" s="24"/>
      <c r="RMR66" s="24"/>
      <c r="RMS66" s="24"/>
      <c r="RMT66" s="24"/>
      <c r="RMU66" s="24"/>
      <c r="RMV66" s="24"/>
      <c r="RMW66" s="24"/>
      <c r="RMX66" s="24"/>
      <c r="RMY66" s="24"/>
      <c r="RMZ66" s="24"/>
      <c r="RNA66" s="24"/>
      <c r="RNB66" s="24"/>
      <c r="RNC66" s="24"/>
      <c r="RND66" s="24"/>
      <c r="RNE66" s="24"/>
      <c r="RNF66" s="24"/>
      <c r="RNG66" s="24"/>
      <c r="RNH66" s="24"/>
      <c r="RNI66" s="24"/>
      <c r="RNJ66" s="24"/>
      <c r="RNK66" s="24"/>
      <c r="RNL66" s="24"/>
      <c r="RNM66" s="24"/>
      <c r="RNN66" s="24"/>
      <c r="RNO66" s="24"/>
      <c r="RNP66" s="24"/>
      <c r="RNQ66" s="24"/>
      <c r="RNR66" s="24"/>
      <c r="RNS66" s="24"/>
      <c r="RNT66" s="24"/>
      <c r="RNU66" s="24"/>
      <c r="RNV66" s="24"/>
      <c r="RNW66" s="24"/>
      <c r="RNX66" s="24"/>
      <c r="RNY66" s="24"/>
      <c r="RNZ66" s="24"/>
      <c r="ROA66" s="24"/>
      <c r="ROB66" s="24"/>
      <c r="ROC66" s="24"/>
      <c r="ROD66" s="24"/>
      <c r="ROE66" s="24"/>
      <c r="ROF66" s="24"/>
      <c r="ROG66" s="24"/>
      <c r="ROH66" s="24"/>
      <c r="ROI66" s="24"/>
      <c r="ROJ66" s="24"/>
      <c r="ROK66" s="24"/>
      <c r="ROL66" s="24"/>
      <c r="ROM66" s="24"/>
      <c r="RON66" s="24"/>
      <c r="ROO66" s="24"/>
      <c r="ROP66" s="24"/>
      <c r="ROQ66" s="24"/>
      <c r="ROR66" s="24"/>
      <c r="ROS66" s="24"/>
      <c r="ROT66" s="24"/>
      <c r="ROU66" s="24"/>
      <c r="ROV66" s="24"/>
      <c r="ROW66" s="24"/>
      <c r="ROX66" s="24"/>
      <c r="ROY66" s="24"/>
      <c r="ROZ66" s="24"/>
      <c r="RPA66" s="24"/>
      <c r="RPB66" s="24"/>
      <c r="RPC66" s="24"/>
      <c r="RPD66" s="24"/>
      <c r="RPE66" s="24"/>
      <c r="RPF66" s="24"/>
      <c r="RPG66" s="24"/>
      <c r="RPH66" s="24"/>
      <c r="RPI66" s="24"/>
      <c r="RPJ66" s="24"/>
      <c r="RPK66" s="24"/>
      <c r="RPL66" s="24"/>
      <c r="RPM66" s="24"/>
      <c r="RPN66" s="24"/>
      <c r="RPO66" s="24"/>
      <c r="RPP66" s="24"/>
      <c r="RPQ66" s="24"/>
      <c r="RPR66" s="24"/>
      <c r="RPS66" s="24"/>
      <c r="RPT66" s="24"/>
      <c r="RPU66" s="24"/>
      <c r="RPV66" s="24"/>
      <c r="RPW66" s="24"/>
      <c r="RPX66" s="24"/>
      <c r="RPY66" s="24"/>
      <c r="RPZ66" s="24"/>
      <c r="RQA66" s="24"/>
      <c r="RQB66" s="24"/>
      <c r="RQC66" s="24"/>
      <c r="RQD66" s="24"/>
      <c r="RQE66" s="24"/>
      <c r="RQF66" s="24"/>
      <c r="RQG66" s="24"/>
      <c r="RQH66" s="24"/>
      <c r="RQI66" s="24"/>
      <c r="RQJ66" s="24"/>
      <c r="RQK66" s="24"/>
      <c r="RQL66" s="24"/>
      <c r="RQM66" s="24"/>
      <c r="RQN66" s="24"/>
      <c r="RQO66" s="24"/>
      <c r="RQP66" s="24"/>
      <c r="RQQ66" s="24"/>
      <c r="RQR66" s="24"/>
      <c r="RQS66" s="24"/>
      <c r="RQT66" s="24"/>
      <c r="RQU66" s="24"/>
      <c r="RQV66" s="24"/>
      <c r="RQW66" s="24"/>
      <c r="RQX66" s="24"/>
      <c r="RQY66" s="24"/>
      <c r="RQZ66" s="24"/>
      <c r="RRA66" s="24"/>
      <c r="RRB66" s="24"/>
      <c r="RRC66" s="24"/>
      <c r="RRD66" s="24"/>
      <c r="RRE66" s="24"/>
      <c r="RRF66" s="24"/>
      <c r="RRG66" s="24"/>
      <c r="RRH66" s="24"/>
      <c r="RRI66" s="24"/>
      <c r="RRJ66" s="24"/>
      <c r="RRK66" s="24"/>
      <c r="RRL66" s="24"/>
      <c r="RRM66" s="24"/>
      <c r="RRN66" s="24"/>
      <c r="RRO66" s="24"/>
      <c r="RRP66" s="24"/>
      <c r="RRQ66" s="24"/>
      <c r="RRR66" s="24"/>
      <c r="RRS66" s="24"/>
      <c r="RRT66" s="24"/>
      <c r="RRU66" s="24"/>
      <c r="RRV66" s="24"/>
      <c r="RRW66" s="24"/>
      <c r="RRX66" s="24"/>
      <c r="RRY66" s="24"/>
      <c r="RRZ66" s="24"/>
      <c r="RSA66" s="24"/>
      <c r="RSB66" s="24"/>
      <c r="RSC66" s="24"/>
      <c r="RSD66" s="24"/>
      <c r="RSE66" s="24"/>
      <c r="RSF66" s="24"/>
      <c r="RSG66" s="24"/>
      <c r="RSH66" s="24"/>
      <c r="RSI66" s="24"/>
      <c r="RSJ66" s="24"/>
      <c r="RSK66" s="24"/>
      <c r="RSL66" s="24"/>
      <c r="RSM66" s="24"/>
      <c r="RSN66" s="24"/>
      <c r="RSO66" s="24"/>
      <c r="RSP66" s="24"/>
      <c r="RSQ66" s="24"/>
      <c r="RSR66" s="24"/>
      <c r="RSS66" s="24"/>
      <c r="RST66" s="24"/>
      <c r="RSU66" s="24"/>
      <c r="RSV66" s="24"/>
      <c r="RSW66" s="24"/>
      <c r="RSX66" s="24"/>
      <c r="RSY66" s="24"/>
      <c r="RSZ66" s="24"/>
      <c r="RTA66" s="24"/>
      <c r="RTB66" s="24"/>
      <c r="RTC66" s="24"/>
      <c r="RTD66" s="24"/>
      <c r="RTE66" s="24"/>
      <c r="RTF66" s="24"/>
      <c r="RTG66" s="24"/>
      <c r="RTH66" s="24"/>
      <c r="RTI66" s="24"/>
      <c r="RTJ66" s="24"/>
      <c r="RTK66" s="24"/>
      <c r="RTL66" s="24"/>
      <c r="RTM66" s="24"/>
      <c r="RTN66" s="24"/>
      <c r="RTO66" s="24"/>
      <c r="RTP66" s="24"/>
      <c r="RTQ66" s="24"/>
      <c r="RTR66" s="24"/>
      <c r="RTS66" s="24"/>
      <c r="RTT66" s="24"/>
      <c r="RTU66" s="24"/>
      <c r="RTV66" s="24"/>
      <c r="RTW66" s="24"/>
      <c r="RTX66" s="24"/>
      <c r="RTY66" s="24"/>
      <c r="RTZ66" s="24"/>
      <c r="RUA66" s="24"/>
      <c r="RUB66" s="24"/>
      <c r="RUC66" s="24"/>
      <c r="RUD66" s="24"/>
      <c r="RUE66" s="24"/>
      <c r="RUF66" s="24"/>
      <c r="RUG66" s="24"/>
      <c r="RUH66" s="24"/>
      <c r="RUI66" s="24"/>
      <c r="RUJ66" s="24"/>
      <c r="RUK66" s="24"/>
      <c r="RUL66" s="24"/>
      <c r="RUM66" s="24"/>
      <c r="RUN66" s="24"/>
      <c r="RUO66" s="24"/>
      <c r="RUP66" s="24"/>
      <c r="RUQ66" s="24"/>
      <c r="RUR66" s="24"/>
      <c r="RUS66" s="24"/>
      <c r="RUT66" s="24"/>
      <c r="RUU66" s="24"/>
      <c r="RUV66" s="24"/>
      <c r="RUW66" s="24"/>
      <c r="RUX66" s="24"/>
      <c r="RUY66" s="24"/>
      <c r="RUZ66" s="24"/>
      <c r="RVA66" s="24"/>
      <c r="RVB66" s="24"/>
      <c r="RVC66" s="24"/>
      <c r="RVD66" s="24"/>
      <c r="RVE66" s="24"/>
      <c r="RVF66" s="24"/>
      <c r="RVG66" s="24"/>
      <c r="RVH66" s="24"/>
      <c r="RVI66" s="24"/>
      <c r="RVJ66" s="24"/>
      <c r="RVK66" s="24"/>
      <c r="RVL66" s="24"/>
      <c r="RVM66" s="24"/>
      <c r="RVN66" s="24"/>
      <c r="RVO66" s="24"/>
      <c r="RVP66" s="24"/>
      <c r="RVQ66" s="24"/>
      <c r="RVR66" s="24"/>
      <c r="RVS66" s="24"/>
      <c r="RVT66" s="24"/>
      <c r="RVU66" s="24"/>
      <c r="RVV66" s="24"/>
      <c r="RVW66" s="24"/>
      <c r="RVX66" s="24"/>
      <c r="RVY66" s="24"/>
      <c r="RVZ66" s="24"/>
      <c r="RWA66" s="24"/>
      <c r="RWB66" s="24"/>
      <c r="RWC66" s="24"/>
      <c r="RWD66" s="24"/>
      <c r="RWE66" s="24"/>
      <c r="RWF66" s="24"/>
      <c r="RWG66" s="24"/>
      <c r="RWH66" s="24"/>
      <c r="RWI66" s="24"/>
      <c r="RWJ66" s="24"/>
      <c r="RWK66" s="24"/>
      <c r="RWL66" s="24"/>
      <c r="RWM66" s="24"/>
      <c r="RWN66" s="24"/>
      <c r="RWO66" s="24"/>
      <c r="RWP66" s="24"/>
      <c r="RWQ66" s="24"/>
      <c r="RWR66" s="24"/>
      <c r="RWS66" s="24"/>
      <c r="RWT66" s="24"/>
      <c r="RWU66" s="24"/>
      <c r="RWV66" s="24"/>
      <c r="RWW66" s="24"/>
      <c r="RWX66" s="24"/>
      <c r="RWY66" s="24"/>
      <c r="RWZ66" s="24"/>
      <c r="RXA66" s="24"/>
      <c r="RXB66" s="24"/>
      <c r="RXC66" s="24"/>
      <c r="RXD66" s="24"/>
      <c r="RXE66" s="24"/>
      <c r="RXF66" s="24"/>
      <c r="RXG66" s="24"/>
      <c r="RXH66" s="24"/>
      <c r="RXI66" s="24"/>
      <c r="RXJ66" s="24"/>
      <c r="RXK66" s="24"/>
      <c r="RXL66" s="24"/>
      <c r="RXM66" s="24"/>
      <c r="RXN66" s="24"/>
      <c r="RXO66" s="24"/>
      <c r="RXP66" s="24"/>
      <c r="RXQ66" s="24"/>
      <c r="RXR66" s="24"/>
      <c r="RXS66" s="24"/>
      <c r="RXT66" s="24"/>
      <c r="RXU66" s="24"/>
      <c r="RXV66" s="24"/>
      <c r="RXW66" s="24"/>
      <c r="RXX66" s="24"/>
      <c r="RXY66" s="24"/>
      <c r="RXZ66" s="24"/>
      <c r="RYA66" s="24"/>
      <c r="RYB66" s="24"/>
      <c r="RYC66" s="24"/>
      <c r="RYD66" s="24"/>
      <c r="RYE66" s="24"/>
      <c r="RYF66" s="24"/>
      <c r="RYG66" s="24"/>
      <c r="RYH66" s="24"/>
      <c r="RYI66" s="24"/>
      <c r="RYJ66" s="24"/>
      <c r="RYK66" s="24"/>
      <c r="RYL66" s="24"/>
      <c r="RYM66" s="24"/>
      <c r="RYN66" s="24"/>
      <c r="RYO66" s="24"/>
      <c r="RYP66" s="24"/>
      <c r="RYQ66" s="24"/>
      <c r="RYR66" s="24"/>
      <c r="RYS66" s="24"/>
      <c r="RYT66" s="24"/>
      <c r="RYU66" s="24"/>
      <c r="RYV66" s="24"/>
      <c r="RYW66" s="24"/>
      <c r="RYX66" s="24"/>
      <c r="RYY66" s="24"/>
      <c r="RYZ66" s="24"/>
      <c r="RZA66" s="24"/>
      <c r="RZB66" s="24"/>
      <c r="RZC66" s="24"/>
      <c r="RZD66" s="24"/>
      <c r="RZE66" s="24"/>
      <c r="RZF66" s="24"/>
      <c r="RZG66" s="24"/>
      <c r="RZH66" s="24"/>
      <c r="RZI66" s="24"/>
      <c r="RZJ66" s="24"/>
      <c r="RZK66" s="24"/>
      <c r="RZL66" s="24"/>
      <c r="RZM66" s="24"/>
      <c r="RZN66" s="24"/>
      <c r="RZO66" s="24"/>
      <c r="RZP66" s="24"/>
      <c r="RZQ66" s="24"/>
      <c r="RZR66" s="24"/>
      <c r="RZS66" s="24"/>
      <c r="RZT66" s="24"/>
      <c r="RZU66" s="24"/>
      <c r="RZV66" s="24"/>
      <c r="RZW66" s="24"/>
      <c r="RZX66" s="24"/>
      <c r="RZY66" s="24"/>
      <c r="RZZ66" s="24"/>
      <c r="SAA66" s="24"/>
      <c r="SAB66" s="24"/>
      <c r="SAC66" s="24"/>
      <c r="SAD66" s="24"/>
      <c r="SAE66" s="24"/>
      <c r="SAF66" s="24"/>
      <c r="SAG66" s="24"/>
      <c r="SAH66" s="24"/>
      <c r="SAI66" s="24"/>
      <c r="SAJ66" s="24"/>
      <c r="SAK66" s="24"/>
      <c r="SAL66" s="24"/>
      <c r="SAM66" s="24"/>
      <c r="SAN66" s="24"/>
      <c r="SAO66" s="24"/>
      <c r="SAP66" s="24"/>
      <c r="SAQ66" s="24"/>
      <c r="SAR66" s="24"/>
      <c r="SAS66" s="24"/>
      <c r="SAT66" s="24"/>
      <c r="SAU66" s="24"/>
      <c r="SAV66" s="24"/>
      <c r="SAW66" s="24"/>
      <c r="SAX66" s="24"/>
      <c r="SAY66" s="24"/>
      <c r="SAZ66" s="24"/>
      <c r="SBA66" s="24"/>
      <c r="SBB66" s="24"/>
      <c r="SBC66" s="24"/>
      <c r="SBD66" s="24"/>
      <c r="SBE66" s="24"/>
      <c r="SBF66" s="24"/>
      <c r="SBG66" s="24"/>
      <c r="SBH66" s="24"/>
      <c r="SBI66" s="24"/>
      <c r="SBJ66" s="24"/>
      <c r="SBK66" s="24"/>
      <c r="SBL66" s="24"/>
      <c r="SBM66" s="24"/>
      <c r="SBN66" s="24"/>
      <c r="SBO66" s="24"/>
      <c r="SBP66" s="24"/>
      <c r="SBQ66" s="24"/>
      <c r="SBR66" s="24"/>
      <c r="SBS66" s="24"/>
      <c r="SBT66" s="24"/>
      <c r="SBU66" s="24"/>
      <c r="SBV66" s="24"/>
      <c r="SBW66" s="24"/>
      <c r="SBX66" s="24"/>
      <c r="SBY66" s="24"/>
      <c r="SBZ66" s="24"/>
      <c r="SCA66" s="24"/>
      <c r="SCB66" s="24"/>
      <c r="SCC66" s="24"/>
      <c r="SCD66" s="24"/>
      <c r="SCE66" s="24"/>
      <c r="SCF66" s="24"/>
      <c r="SCG66" s="24"/>
      <c r="SCH66" s="24"/>
      <c r="SCI66" s="24"/>
      <c r="SCJ66" s="24"/>
      <c r="SCK66" s="24"/>
      <c r="SCL66" s="24"/>
      <c r="SCM66" s="24"/>
      <c r="SCN66" s="24"/>
      <c r="SCO66" s="24"/>
      <c r="SCP66" s="24"/>
      <c r="SCQ66" s="24"/>
      <c r="SCR66" s="24"/>
      <c r="SCS66" s="24"/>
      <c r="SCT66" s="24"/>
      <c r="SCU66" s="24"/>
      <c r="SCV66" s="24"/>
      <c r="SCW66" s="24"/>
      <c r="SCX66" s="24"/>
      <c r="SCY66" s="24"/>
      <c r="SCZ66" s="24"/>
      <c r="SDA66" s="24"/>
      <c r="SDB66" s="24"/>
      <c r="SDC66" s="24"/>
      <c r="SDD66" s="24"/>
      <c r="SDE66" s="24"/>
      <c r="SDF66" s="24"/>
      <c r="SDG66" s="24"/>
      <c r="SDH66" s="24"/>
      <c r="SDI66" s="24"/>
      <c r="SDJ66" s="24"/>
      <c r="SDK66" s="24"/>
      <c r="SDL66" s="24"/>
      <c r="SDM66" s="24"/>
      <c r="SDN66" s="24"/>
      <c r="SDO66" s="24"/>
      <c r="SDP66" s="24"/>
      <c r="SDQ66" s="24"/>
      <c r="SDR66" s="24"/>
      <c r="SDS66" s="24"/>
      <c r="SDT66" s="24"/>
      <c r="SDU66" s="24"/>
      <c r="SDV66" s="24"/>
      <c r="SDW66" s="24"/>
      <c r="SDX66" s="24"/>
      <c r="SDY66" s="24"/>
      <c r="SDZ66" s="24"/>
      <c r="SEA66" s="24"/>
      <c r="SEB66" s="24"/>
      <c r="SEC66" s="24"/>
      <c r="SED66" s="24"/>
      <c r="SEE66" s="24"/>
      <c r="SEF66" s="24"/>
      <c r="SEG66" s="24"/>
      <c r="SEH66" s="24"/>
      <c r="SEI66" s="24"/>
      <c r="SEJ66" s="24"/>
      <c r="SEK66" s="24"/>
      <c r="SEL66" s="24"/>
      <c r="SEM66" s="24"/>
      <c r="SEN66" s="24"/>
      <c r="SEO66" s="24"/>
      <c r="SEP66" s="24"/>
      <c r="SEQ66" s="24"/>
      <c r="SER66" s="24"/>
      <c r="SES66" s="24"/>
      <c r="SET66" s="24"/>
      <c r="SEU66" s="24"/>
      <c r="SEV66" s="24"/>
      <c r="SEW66" s="24"/>
      <c r="SEX66" s="24"/>
      <c r="SEY66" s="24"/>
      <c r="SEZ66" s="24"/>
      <c r="SFA66" s="24"/>
      <c r="SFB66" s="24"/>
      <c r="SFC66" s="24"/>
      <c r="SFD66" s="24"/>
      <c r="SFE66" s="24"/>
      <c r="SFF66" s="24"/>
      <c r="SFG66" s="24"/>
      <c r="SFH66" s="24"/>
      <c r="SFI66" s="24"/>
      <c r="SFJ66" s="24"/>
      <c r="SFK66" s="24"/>
      <c r="SFL66" s="24"/>
      <c r="SFM66" s="24"/>
      <c r="SFN66" s="24"/>
      <c r="SFO66" s="24"/>
      <c r="SFP66" s="24"/>
      <c r="SFQ66" s="24"/>
      <c r="SFR66" s="24"/>
      <c r="SFS66" s="24"/>
      <c r="SFT66" s="24"/>
      <c r="SFU66" s="24"/>
      <c r="SFV66" s="24"/>
      <c r="SFW66" s="24"/>
      <c r="SFX66" s="24"/>
      <c r="SFY66" s="24"/>
      <c r="SFZ66" s="24"/>
      <c r="SGA66" s="24"/>
      <c r="SGB66" s="24"/>
      <c r="SGC66" s="24"/>
      <c r="SGD66" s="24"/>
      <c r="SGE66" s="24"/>
      <c r="SGF66" s="24"/>
      <c r="SGG66" s="24"/>
      <c r="SGH66" s="24"/>
      <c r="SGI66" s="24"/>
      <c r="SGJ66" s="24"/>
      <c r="SGK66" s="24"/>
      <c r="SGL66" s="24"/>
      <c r="SGM66" s="24"/>
      <c r="SGN66" s="24"/>
      <c r="SGO66" s="24"/>
      <c r="SGP66" s="24"/>
      <c r="SGQ66" s="24"/>
      <c r="SGR66" s="24"/>
      <c r="SGS66" s="24"/>
      <c r="SGT66" s="24"/>
      <c r="SGU66" s="24"/>
      <c r="SGV66" s="24"/>
      <c r="SGW66" s="24"/>
      <c r="SGX66" s="24"/>
      <c r="SGY66" s="24"/>
      <c r="SGZ66" s="24"/>
      <c r="SHA66" s="24"/>
      <c r="SHB66" s="24"/>
      <c r="SHC66" s="24"/>
      <c r="SHD66" s="24"/>
      <c r="SHE66" s="24"/>
      <c r="SHF66" s="24"/>
      <c r="SHG66" s="24"/>
      <c r="SHH66" s="24"/>
      <c r="SHI66" s="24"/>
      <c r="SHJ66" s="24"/>
      <c r="SHK66" s="24"/>
      <c r="SHL66" s="24"/>
      <c r="SHM66" s="24"/>
      <c r="SHN66" s="24"/>
      <c r="SHO66" s="24"/>
      <c r="SHP66" s="24"/>
      <c r="SHQ66" s="24"/>
      <c r="SHR66" s="24"/>
      <c r="SHS66" s="24"/>
      <c r="SHT66" s="24"/>
      <c r="SHU66" s="24"/>
      <c r="SHV66" s="24"/>
      <c r="SHW66" s="24"/>
      <c r="SHX66" s="24"/>
      <c r="SHY66" s="24"/>
      <c r="SHZ66" s="24"/>
      <c r="SIA66" s="24"/>
      <c r="SIB66" s="24"/>
      <c r="SIC66" s="24"/>
      <c r="SID66" s="24"/>
      <c r="SIE66" s="24"/>
      <c r="SIF66" s="24"/>
      <c r="SIG66" s="24"/>
      <c r="SIH66" s="24"/>
      <c r="SII66" s="24"/>
      <c r="SIJ66" s="24"/>
      <c r="SIK66" s="24"/>
      <c r="SIL66" s="24"/>
      <c r="SIM66" s="24"/>
      <c r="SIN66" s="24"/>
      <c r="SIO66" s="24"/>
      <c r="SIP66" s="24"/>
      <c r="SIQ66" s="24"/>
      <c r="SIR66" s="24"/>
      <c r="SIS66" s="24"/>
      <c r="SIT66" s="24"/>
      <c r="SIU66" s="24"/>
      <c r="SIV66" s="24"/>
      <c r="SIW66" s="24"/>
      <c r="SIX66" s="24"/>
      <c r="SIY66" s="24"/>
      <c r="SIZ66" s="24"/>
      <c r="SJA66" s="24"/>
      <c r="SJB66" s="24"/>
      <c r="SJC66" s="24"/>
      <c r="SJD66" s="24"/>
      <c r="SJE66" s="24"/>
      <c r="SJF66" s="24"/>
      <c r="SJG66" s="24"/>
      <c r="SJH66" s="24"/>
      <c r="SJI66" s="24"/>
      <c r="SJJ66" s="24"/>
      <c r="SJK66" s="24"/>
      <c r="SJL66" s="24"/>
      <c r="SJM66" s="24"/>
      <c r="SJN66" s="24"/>
      <c r="SJO66" s="24"/>
      <c r="SJP66" s="24"/>
      <c r="SJQ66" s="24"/>
      <c r="SJR66" s="24"/>
      <c r="SJS66" s="24"/>
      <c r="SJT66" s="24"/>
      <c r="SJU66" s="24"/>
      <c r="SJV66" s="24"/>
      <c r="SJW66" s="24"/>
      <c r="SJX66" s="24"/>
      <c r="SJY66" s="24"/>
      <c r="SJZ66" s="24"/>
      <c r="SKA66" s="24"/>
      <c r="SKB66" s="24"/>
      <c r="SKC66" s="24"/>
      <c r="SKD66" s="24"/>
      <c r="SKE66" s="24"/>
      <c r="SKF66" s="24"/>
      <c r="SKG66" s="24"/>
      <c r="SKH66" s="24"/>
      <c r="SKI66" s="24"/>
      <c r="SKJ66" s="24"/>
      <c r="SKK66" s="24"/>
      <c r="SKL66" s="24"/>
      <c r="SKM66" s="24"/>
      <c r="SKN66" s="24"/>
      <c r="SKO66" s="24"/>
      <c r="SKP66" s="24"/>
      <c r="SKQ66" s="24"/>
      <c r="SKR66" s="24"/>
      <c r="SKS66" s="24"/>
      <c r="SKT66" s="24"/>
      <c r="SKU66" s="24"/>
      <c r="SKV66" s="24"/>
      <c r="SKW66" s="24"/>
      <c r="SKX66" s="24"/>
      <c r="SKY66" s="24"/>
      <c r="SKZ66" s="24"/>
      <c r="SLA66" s="24"/>
      <c r="SLB66" s="24"/>
      <c r="SLC66" s="24"/>
      <c r="SLD66" s="24"/>
      <c r="SLE66" s="24"/>
      <c r="SLF66" s="24"/>
      <c r="SLG66" s="24"/>
      <c r="SLH66" s="24"/>
      <c r="SLI66" s="24"/>
      <c r="SLJ66" s="24"/>
      <c r="SLK66" s="24"/>
      <c r="SLL66" s="24"/>
      <c r="SLM66" s="24"/>
      <c r="SLN66" s="24"/>
      <c r="SLO66" s="24"/>
      <c r="SLP66" s="24"/>
      <c r="SLQ66" s="24"/>
      <c r="SLR66" s="24"/>
      <c r="SLS66" s="24"/>
      <c r="SLT66" s="24"/>
      <c r="SLU66" s="24"/>
      <c r="SLV66" s="24"/>
      <c r="SLW66" s="24"/>
      <c r="SLX66" s="24"/>
      <c r="SLY66" s="24"/>
      <c r="SLZ66" s="24"/>
      <c r="SMA66" s="24"/>
      <c r="SMB66" s="24"/>
      <c r="SMC66" s="24"/>
      <c r="SMD66" s="24"/>
      <c r="SME66" s="24"/>
      <c r="SMF66" s="24"/>
      <c r="SMG66" s="24"/>
      <c r="SMH66" s="24"/>
      <c r="SMI66" s="24"/>
      <c r="SMJ66" s="24"/>
      <c r="SMK66" s="24"/>
      <c r="SML66" s="24"/>
      <c r="SMM66" s="24"/>
      <c r="SMN66" s="24"/>
      <c r="SMO66" s="24"/>
      <c r="SMP66" s="24"/>
      <c r="SMQ66" s="24"/>
      <c r="SMR66" s="24"/>
      <c r="SMS66" s="24"/>
      <c r="SMT66" s="24"/>
      <c r="SMU66" s="24"/>
      <c r="SMV66" s="24"/>
      <c r="SMW66" s="24"/>
      <c r="SMX66" s="24"/>
      <c r="SMY66" s="24"/>
      <c r="SMZ66" s="24"/>
      <c r="SNA66" s="24"/>
      <c r="SNB66" s="24"/>
      <c r="SNC66" s="24"/>
      <c r="SND66" s="24"/>
      <c r="SNE66" s="24"/>
      <c r="SNF66" s="24"/>
      <c r="SNG66" s="24"/>
      <c r="SNH66" s="24"/>
      <c r="SNI66" s="24"/>
      <c r="SNJ66" s="24"/>
      <c r="SNK66" s="24"/>
      <c r="SNL66" s="24"/>
      <c r="SNM66" s="24"/>
      <c r="SNN66" s="24"/>
      <c r="SNO66" s="24"/>
      <c r="SNP66" s="24"/>
      <c r="SNQ66" s="24"/>
      <c r="SNR66" s="24"/>
      <c r="SNS66" s="24"/>
      <c r="SNT66" s="24"/>
      <c r="SNU66" s="24"/>
      <c r="SNV66" s="24"/>
      <c r="SNW66" s="24"/>
      <c r="SNX66" s="24"/>
      <c r="SNY66" s="24"/>
      <c r="SNZ66" s="24"/>
      <c r="SOA66" s="24"/>
      <c r="SOB66" s="24"/>
      <c r="SOC66" s="24"/>
      <c r="SOD66" s="24"/>
      <c r="SOE66" s="24"/>
      <c r="SOF66" s="24"/>
      <c r="SOG66" s="24"/>
      <c r="SOH66" s="24"/>
      <c r="SOI66" s="24"/>
      <c r="SOJ66" s="24"/>
      <c r="SOK66" s="24"/>
      <c r="SOL66" s="24"/>
      <c r="SOM66" s="24"/>
      <c r="SON66" s="24"/>
      <c r="SOO66" s="24"/>
      <c r="SOP66" s="24"/>
      <c r="SOQ66" s="24"/>
      <c r="SOR66" s="24"/>
      <c r="SOS66" s="24"/>
      <c r="SOT66" s="24"/>
      <c r="SOU66" s="24"/>
      <c r="SOV66" s="24"/>
      <c r="SOW66" s="24"/>
      <c r="SOX66" s="24"/>
      <c r="SOY66" s="24"/>
      <c r="SOZ66" s="24"/>
      <c r="SPA66" s="24"/>
      <c r="SPB66" s="24"/>
      <c r="SPC66" s="24"/>
      <c r="SPD66" s="24"/>
      <c r="SPE66" s="24"/>
      <c r="SPF66" s="24"/>
      <c r="SPG66" s="24"/>
      <c r="SPH66" s="24"/>
      <c r="SPI66" s="24"/>
      <c r="SPJ66" s="24"/>
      <c r="SPK66" s="24"/>
      <c r="SPL66" s="24"/>
      <c r="SPM66" s="24"/>
      <c r="SPN66" s="24"/>
      <c r="SPO66" s="24"/>
      <c r="SPP66" s="24"/>
      <c r="SPQ66" s="24"/>
      <c r="SPR66" s="24"/>
      <c r="SPS66" s="24"/>
      <c r="SPT66" s="24"/>
      <c r="SPU66" s="24"/>
      <c r="SPV66" s="24"/>
      <c r="SPW66" s="24"/>
      <c r="SPX66" s="24"/>
      <c r="SPY66" s="24"/>
      <c r="SPZ66" s="24"/>
      <c r="SQA66" s="24"/>
      <c r="SQB66" s="24"/>
      <c r="SQC66" s="24"/>
      <c r="SQD66" s="24"/>
      <c r="SQE66" s="24"/>
      <c r="SQF66" s="24"/>
      <c r="SQG66" s="24"/>
      <c r="SQH66" s="24"/>
      <c r="SQI66" s="24"/>
      <c r="SQJ66" s="24"/>
      <c r="SQK66" s="24"/>
      <c r="SQL66" s="24"/>
      <c r="SQM66" s="24"/>
      <c r="SQN66" s="24"/>
      <c r="SQO66" s="24"/>
      <c r="SQP66" s="24"/>
      <c r="SQQ66" s="24"/>
      <c r="SQR66" s="24"/>
      <c r="SQS66" s="24"/>
      <c r="SQT66" s="24"/>
      <c r="SQU66" s="24"/>
      <c r="SQV66" s="24"/>
      <c r="SQW66" s="24"/>
      <c r="SQX66" s="24"/>
      <c r="SQY66" s="24"/>
      <c r="SQZ66" s="24"/>
      <c r="SRA66" s="24"/>
      <c r="SRB66" s="24"/>
      <c r="SRC66" s="24"/>
      <c r="SRD66" s="24"/>
      <c r="SRE66" s="24"/>
      <c r="SRF66" s="24"/>
      <c r="SRG66" s="24"/>
      <c r="SRH66" s="24"/>
      <c r="SRI66" s="24"/>
      <c r="SRJ66" s="24"/>
      <c r="SRK66" s="24"/>
      <c r="SRL66" s="24"/>
      <c r="SRM66" s="24"/>
      <c r="SRN66" s="24"/>
      <c r="SRO66" s="24"/>
      <c r="SRP66" s="24"/>
      <c r="SRQ66" s="24"/>
      <c r="SRR66" s="24"/>
      <c r="SRS66" s="24"/>
      <c r="SRT66" s="24"/>
      <c r="SRU66" s="24"/>
      <c r="SRV66" s="24"/>
      <c r="SRW66" s="24"/>
      <c r="SRX66" s="24"/>
      <c r="SRY66" s="24"/>
      <c r="SRZ66" s="24"/>
      <c r="SSA66" s="24"/>
      <c r="SSB66" s="24"/>
      <c r="SSC66" s="24"/>
      <c r="SSD66" s="24"/>
      <c r="SSE66" s="24"/>
      <c r="SSF66" s="24"/>
      <c r="SSG66" s="24"/>
      <c r="SSH66" s="24"/>
      <c r="SSI66" s="24"/>
      <c r="SSJ66" s="24"/>
      <c r="SSK66" s="24"/>
      <c r="SSL66" s="24"/>
      <c r="SSM66" s="24"/>
      <c r="SSN66" s="24"/>
      <c r="SSO66" s="24"/>
      <c r="SSP66" s="24"/>
      <c r="SSQ66" s="24"/>
      <c r="SSR66" s="24"/>
      <c r="SSS66" s="24"/>
      <c r="SST66" s="24"/>
      <c r="SSU66" s="24"/>
      <c r="SSV66" s="24"/>
      <c r="SSW66" s="24"/>
      <c r="SSX66" s="24"/>
      <c r="SSY66" s="24"/>
      <c r="SSZ66" s="24"/>
      <c r="STA66" s="24"/>
      <c r="STB66" s="24"/>
      <c r="STC66" s="24"/>
      <c r="STD66" s="24"/>
      <c r="STE66" s="24"/>
      <c r="STF66" s="24"/>
      <c r="STG66" s="24"/>
      <c r="STH66" s="24"/>
      <c r="STI66" s="24"/>
      <c r="STJ66" s="24"/>
      <c r="STK66" s="24"/>
      <c r="STL66" s="24"/>
      <c r="STM66" s="24"/>
      <c r="STN66" s="24"/>
      <c r="STO66" s="24"/>
      <c r="STP66" s="24"/>
      <c r="STQ66" s="24"/>
      <c r="STR66" s="24"/>
      <c r="STS66" s="24"/>
      <c r="STT66" s="24"/>
      <c r="STU66" s="24"/>
      <c r="STV66" s="24"/>
      <c r="STW66" s="24"/>
      <c r="STX66" s="24"/>
      <c r="STY66" s="24"/>
      <c r="STZ66" s="24"/>
      <c r="SUA66" s="24"/>
      <c r="SUB66" s="24"/>
      <c r="SUC66" s="24"/>
      <c r="SUD66" s="24"/>
      <c r="SUE66" s="24"/>
      <c r="SUF66" s="24"/>
      <c r="SUG66" s="24"/>
      <c r="SUH66" s="24"/>
      <c r="SUI66" s="24"/>
      <c r="SUJ66" s="24"/>
      <c r="SUK66" s="24"/>
      <c r="SUL66" s="24"/>
      <c r="SUM66" s="24"/>
      <c r="SUN66" s="24"/>
      <c r="SUO66" s="24"/>
      <c r="SUP66" s="24"/>
      <c r="SUQ66" s="24"/>
      <c r="SUR66" s="24"/>
      <c r="SUS66" s="24"/>
      <c r="SUT66" s="24"/>
      <c r="SUU66" s="24"/>
      <c r="SUV66" s="24"/>
      <c r="SUW66" s="24"/>
      <c r="SUX66" s="24"/>
      <c r="SUY66" s="24"/>
      <c r="SUZ66" s="24"/>
      <c r="SVA66" s="24"/>
      <c r="SVB66" s="24"/>
      <c r="SVC66" s="24"/>
      <c r="SVD66" s="24"/>
      <c r="SVE66" s="24"/>
      <c r="SVF66" s="24"/>
      <c r="SVG66" s="24"/>
      <c r="SVH66" s="24"/>
      <c r="SVI66" s="24"/>
      <c r="SVJ66" s="24"/>
      <c r="SVK66" s="24"/>
      <c r="SVL66" s="24"/>
      <c r="SVM66" s="24"/>
      <c r="SVN66" s="24"/>
      <c r="SVO66" s="24"/>
      <c r="SVP66" s="24"/>
      <c r="SVQ66" s="24"/>
      <c r="SVR66" s="24"/>
      <c r="SVS66" s="24"/>
      <c r="SVT66" s="24"/>
      <c r="SVU66" s="24"/>
      <c r="SVV66" s="24"/>
      <c r="SVW66" s="24"/>
      <c r="SVX66" s="24"/>
      <c r="SVY66" s="24"/>
      <c r="SVZ66" s="24"/>
      <c r="SWA66" s="24"/>
      <c r="SWB66" s="24"/>
      <c r="SWC66" s="24"/>
      <c r="SWD66" s="24"/>
      <c r="SWE66" s="24"/>
      <c r="SWF66" s="24"/>
      <c r="SWG66" s="24"/>
      <c r="SWH66" s="24"/>
      <c r="SWI66" s="24"/>
      <c r="SWJ66" s="24"/>
      <c r="SWK66" s="24"/>
      <c r="SWL66" s="24"/>
      <c r="SWM66" s="24"/>
      <c r="SWN66" s="24"/>
      <c r="SWO66" s="24"/>
      <c r="SWP66" s="24"/>
      <c r="SWQ66" s="24"/>
      <c r="SWR66" s="24"/>
      <c r="SWS66" s="24"/>
      <c r="SWT66" s="24"/>
      <c r="SWU66" s="24"/>
      <c r="SWV66" s="24"/>
      <c r="SWW66" s="24"/>
      <c r="SWX66" s="24"/>
      <c r="SWY66" s="24"/>
      <c r="SWZ66" s="24"/>
      <c r="SXA66" s="24"/>
      <c r="SXB66" s="24"/>
      <c r="SXC66" s="24"/>
      <c r="SXD66" s="24"/>
      <c r="SXE66" s="24"/>
      <c r="SXF66" s="24"/>
      <c r="SXG66" s="24"/>
      <c r="SXH66" s="24"/>
      <c r="SXI66" s="24"/>
      <c r="SXJ66" s="24"/>
      <c r="SXK66" s="24"/>
      <c r="SXL66" s="24"/>
      <c r="SXM66" s="24"/>
      <c r="SXN66" s="24"/>
      <c r="SXO66" s="24"/>
      <c r="SXP66" s="24"/>
      <c r="SXQ66" s="24"/>
      <c r="SXR66" s="24"/>
      <c r="SXS66" s="24"/>
      <c r="SXT66" s="24"/>
      <c r="SXU66" s="24"/>
      <c r="SXV66" s="24"/>
      <c r="SXW66" s="24"/>
      <c r="SXX66" s="24"/>
      <c r="SXY66" s="24"/>
      <c r="SXZ66" s="24"/>
      <c r="SYA66" s="24"/>
      <c r="SYB66" s="24"/>
      <c r="SYC66" s="24"/>
      <c r="SYD66" s="24"/>
      <c r="SYE66" s="24"/>
      <c r="SYF66" s="24"/>
      <c r="SYG66" s="24"/>
      <c r="SYH66" s="24"/>
      <c r="SYI66" s="24"/>
      <c r="SYJ66" s="24"/>
      <c r="SYK66" s="24"/>
      <c r="SYL66" s="24"/>
      <c r="SYM66" s="24"/>
      <c r="SYN66" s="24"/>
      <c r="SYO66" s="24"/>
      <c r="SYP66" s="24"/>
      <c r="SYQ66" s="24"/>
      <c r="SYR66" s="24"/>
      <c r="SYS66" s="24"/>
      <c r="SYT66" s="24"/>
      <c r="SYU66" s="24"/>
      <c r="SYV66" s="24"/>
      <c r="SYW66" s="24"/>
      <c r="SYX66" s="24"/>
      <c r="SYY66" s="24"/>
      <c r="SYZ66" s="24"/>
      <c r="SZA66" s="24"/>
      <c r="SZB66" s="24"/>
      <c r="SZC66" s="24"/>
      <c r="SZD66" s="24"/>
      <c r="SZE66" s="24"/>
      <c r="SZF66" s="24"/>
      <c r="SZG66" s="24"/>
      <c r="SZH66" s="24"/>
      <c r="SZI66" s="24"/>
      <c r="SZJ66" s="24"/>
      <c r="SZK66" s="24"/>
      <c r="SZL66" s="24"/>
      <c r="SZM66" s="24"/>
      <c r="SZN66" s="24"/>
      <c r="SZO66" s="24"/>
      <c r="SZP66" s="24"/>
      <c r="SZQ66" s="24"/>
      <c r="SZR66" s="24"/>
      <c r="SZS66" s="24"/>
      <c r="SZT66" s="24"/>
      <c r="SZU66" s="24"/>
      <c r="SZV66" s="24"/>
      <c r="SZW66" s="24"/>
      <c r="SZX66" s="24"/>
      <c r="SZY66" s="24"/>
      <c r="SZZ66" s="24"/>
      <c r="TAA66" s="24"/>
      <c r="TAB66" s="24"/>
      <c r="TAC66" s="24"/>
      <c r="TAD66" s="24"/>
      <c r="TAE66" s="24"/>
      <c r="TAF66" s="24"/>
      <c r="TAG66" s="24"/>
      <c r="TAH66" s="24"/>
      <c r="TAI66" s="24"/>
      <c r="TAJ66" s="24"/>
      <c r="TAK66" s="24"/>
      <c r="TAL66" s="24"/>
      <c r="TAM66" s="24"/>
      <c r="TAN66" s="24"/>
      <c r="TAO66" s="24"/>
      <c r="TAP66" s="24"/>
      <c r="TAQ66" s="24"/>
      <c r="TAR66" s="24"/>
      <c r="TAS66" s="24"/>
      <c r="TAT66" s="24"/>
      <c r="TAU66" s="24"/>
      <c r="TAV66" s="24"/>
      <c r="TAW66" s="24"/>
      <c r="TAX66" s="24"/>
      <c r="TAY66" s="24"/>
      <c r="TAZ66" s="24"/>
      <c r="TBA66" s="24"/>
      <c r="TBB66" s="24"/>
      <c r="TBC66" s="24"/>
      <c r="TBD66" s="24"/>
      <c r="TBE66" s="24"/>
      <c r="TBF66" s="24"/>
      <c r="TBG66" s="24"/>
      <c r="TBH66" s="24"/>
      <c r="TBI66" s="24"/>
      <c r="TBJ66" s="24"/>
      <c r="TBK66" s="24"/>
      <c r="TBL66" s="24"/>
      <c r="TBM66" s="24"/>
      <c r="TBN66" s="24"/>
      <c r="TBO66" s="24"/>
      <c r="TBP66" s="24"/>
      <c r="TBQ66" s="24"/>
      <c r="TBR66" s="24"/>
      <c r="TBS66" s="24"/>
      <c r="TBT66" s="24"/>
      <c r="TBU66" s="24"/>
      <c r="TBV66" s="24"/>
      <c r="TBW66" s="24"/>
      <c r="TBX66" s="24"/>
      <c r="TBY66" s="24"/>
      <c r="TBZ66" s="24"/>
      <c r="TCA66" s="24"/>
      <c r="TCB66" s="24"/>
      <c r="TCC66" s="24"/>
      <c r="TCD66" s="24"/>
      <c r="TCE66" s="24"/>
      <c r="TCF66" s="24"/>
      <c r="TCG66" s="24"/>
      <c r="TCH66" s="24"/>
      <c r="TCI66" s="24"/>
      <c r="TCJ66" s="24"/>
      <c r="TCK66" s="24"/>
      <c r="TCL66" s="24"/>
      <c r="TCM66" s="24"/>
      <c r="TCN66" s="24"/>
      <c r="TCO66" s="24"/>
      <c r="TCP66" s="24"/>
      <c r="TCQ66" s="24"/>
      <c r="TCR66" s="24"/>
      <c r="TCS66" s="24"/>
      <c r="TCT66" s="24"/>
      <c r="TCU66" s="24"/>
      <c r="TCV66" s="24"/>
      <c r="TCW66" s="24"/>
      <c r="TCX66" s="24"/>
      <c r="TCY66" s="24"/>
      <c r="TCZ66" s="24"/>
      <c r="TDA66" s="24"/>
      <c r="TDB66" s="24"/>
      <c r="TDC66" s="24"/>
      <c r="TDD66" s="24"/>
      <c r="TDE66" s="24"/>
      <c r="TDF66" s="24"/>
      <c r="TDG66" s="24"/>
      <c r="TDH66" s="24"/>
      <c r="TDI66" s="24"/>
      <c r="TDJ66" s="24"/>
      <c r="TDK66" s="24"/>
      <c r="TDL66" s="24"/>
      <c r="TDM66" s="24"/>
      <c r="TDN66" s="24"/>
      <c r="TDO66" s="24"/>
      <c r="TDP66" s="24"/>
      <c r="TDQ66" s="24"/>
      <c r="TDR66" s="24"/>
      <c r="TDS66" s="24"/>
      <c r="TDT66" s="24"/>
      <c r="TDU66" s="24"/>
      <c r="TDV66" s="24"/>
      <c r="TDW66" s="24"/>
      <c r="TDX66" s="24"/>
      <c r="TDY66" s="24"/>
      <c r="TDZ66" s="24"/>
      <c r="TEA66" s="24"/>
      <c r="TEB66" s="24"/>
      <c r="TEC66" s="24"/>
      <c r="TED66" s="24"/>
      <c r="TEE66" s="24"/>
      <c r="TEF66" s="24"/>
      <c r="TEG66" s="24"/>
      <c r="TEH66" s="24"/>
      <c r="TEI66" s="24"/>
      <c r="TEJ66" s="24"/>
      <c r="TEK66" s="24"/>
      <c r="TEL66" s="24"/>
      <c r="TEM66" s="24"/>
      <c r="TEN66" s="24"/>
      <c r="TEO66" s="24"/>
      <c r="TEP66" s="24"/>
      <c r="TEQ66" s="24"/>
      <c r="TER66" s="24"/>
      <c r="TES66" s="24"/>
      <c r="TET66" s="24"/>
      <c r="TEU66" s="24"/>
      <c r="TEV66" s="24"/>
      <c r="TEW66" s="24"/>
      <c r="TEX66" s="24"/>
      <c r="TEY66" s="24"/>
      <c r="TEZ66" s="24"/>
      <c r="TFA66" s="24"/>
      <c r="TFB66" s="24"/>
      <c r="TFC66" s="24"/>
      <c r="TFD66" s="24"/>
      <c r="TFE66" s="24"/>
      <c r="TFF66" s="24"/>
      <c r="TFG66" s="24"/>
      <c r="TFH66" s="24"/>
      <c r="TFI66" s="24"/>
      <c r="TFJ66" s="24"/>
      <c r="TFK66" s="24"/>
      <c r="TFL66" s="24"/>
      <c r="TFM66" s="24"/>
      <c r="TFN66" s="24"/>
      <c r="TFO66" s="24"/>
      <c r="TFP66" s="24"/>
      <c r="TFQ66" s="24"/>
      <c r="TFR66" s="24"/>
      <c r="TFS66" s="24"/>
      <c r="TFT66" s="24"/>
      <c r="TFU66" s="24"/>
      <c r="TFV66" s="24"/>
      <c r="TFW66" s="24"/>
      <c r="TFX66" s="24"/>
      <c r="TFY66" s="24"/>
      <c r="TFZ66" s="24"/>
      <c r="TGA66" s="24"/>
      <c r="TGB66" s="24"/>
      <c r="TGC66" s="24"/>
      <c r="TGD66" s="24"/>
      <c r="TGE66" s="24"/>
      <c r="TGF66" s="24"/>
      <c r="TGG66" s="24"/>
      <c r="TGH66" s="24"/>
      <c r="TGI66" s="24"/>
      <c r="TGJ66" s="24"/>
      <c r="TGK66" s="24"/>
      <c r="TGL66" s="24"/>
      <c r="TGM66" s="24"/>
      <c r="TGN66" s="24"/>
      <c r="TGO66" s="24"/>
      <c r="TGP66" s="24"/>
      <c r="TGQ66" s="24"/>
      <c r="TGR66" s="24"/>
      <c r="TGS66" s="24"/>
      <c r="TGT66" s="24"/>
      <c r="TGU66" s="24"/>
      <c r="TGV66" s="24"/>
      <c r="TGW66" s="24"/>
      <c r="TGX66" s="24"/>
      <c r="TGY66" s="24"/>
      <c r="TGZ66" s="24"/>
      <c r="THA66" s="24"/>
      <c r="THB66" s="24"/>
      <c r="THC66" s="24"/>
      <c r="THD66" s="24"/>
      <c r="THE66" s="24"/>
      <c r="THF66" s="24"/>
      <c r="THG66" s="24"/>
      <c r="THH66" s="24"/>
      <c r="THI66" s="24"/>
      <c r="THJ66" s="24"/>
      <c r="THK66" s="24"/>
      <c r="THL66" s="24"/>
      <c r="THM66" s="24"/>
      <c r="THN66" s="24"/>
      <c r="THO66" s="24"/>
      <c r="THP66" s="24"/>
      <c r="THQ66" s="24"/>
      <c r="THR66" s="24"/>
      <c r="THS66" s="24"/>
      <c r="THT66" s="24"/>
      <c r="THU66" s="24"/>
      <c r="THV66" s="24"/>
      <c r="THW66" s="24"/>
      <c r="THX66" s="24"/>
      <c r="THY66" s="24"/>
      <c r="THZ66" s="24"/>
      <c r="TIA66" s="24"/>
      <c r="TIB66" s="24"/>
      <c r="TIC66" s="24"/>
      <c r="TID66" s="24"/>
      <c r="TIE66" s="24"/>
      <c r="TIF66" s="24"/>
      <c r="TIG66" s="24"/>
      <c r="TIH66" s="24"/>
      <c r="TII66" s="24"/>
      <c r="TIJ66" s="24"/>
      <c r="TIK66" s="24"/>
      <c r="TIL66" s="24"/>
      <c r="TIM66" s="24"/>
      <c r="TIN66" s="24"/>
      <c r="TIO66" s="24"/>
      <c r="TIP66" s="24"/>
      <c r="TIQ66" s="24"/>
      <c r="TIR66" s="24"/>
      <c r="TIS66" s="24"/>
      <c r="TIT66" s="24"/>
      <c r="TIU66" s="24"/>
      <c r="TIV66" s="24"/>
      <c r="TIW66" s="24"/>
      <c r="TIX66" s="24"/>
      <c r="TIY66" s="24"/>
      <c r="TIZ66" s="24"/>
      <c r="TJA66" s="24"/>
      <c r="TJB66" s="24"/>
      <c r="TJC66" s="24"/>
      <c r="TJD66" s="24"/>
      <c r="TJE66" s="24"/>
      <c r="TJF66" s="24"/>
      <c r="TJG66" s="24"/>
      <c r="TJH66" s="24"/>
      <c r="TJI66" s="24"/>
      <c r="TJJ66" s="24"/>
      <c r="TJK66" s="24"/>
      <c r="TJL66" s="24"/>
      <c r="TJM66" s="24"/>
      <c r="TJN66" s="24"/>
      <c r="TJO66" s="24"/>
      <c r="TJP66" s="24"/>
      <c r="TJQ66" s="24"/>
      <c r="TJR66" s="24"/>
      <c r="TJS66" s="24"/>
      <c r="TJT66" s="24"/>
      <c r="TJU66" s="24"/>
      <c r="TJV66" s="24"/>
      <c r="TJW66" s="24"/>
      <c r="TJX66" s="24"/>
      <c r="TJY66" s="24"/>
      <c r="TJZ66" s="24"/>
      <c r="TKA66" s="24"/>
      <c r="TKB66" s="24"/>
      <c r="TKC66" s="24"/>
      <c r="TKD66" s="24"/>
      <c r="TKE66" s="24"/>
      <c r="TKF66" s="24"/>
      <c r="TKG66" s="24"/>
      <c r="TKH66" s="24"/>
      <c r="TKI66" s="24"/>
      <c r="TKJ66" s="24"/>
      <c r="TKK66" s="24"/>
      <c r="TKL66" s="24"/>
      <c r="TKM66" s="24"/>
      <c r="TKN66" s="24"/>
      <c r="TKO66" s="24"/>
      <c r="TKP66" s="24"/>
      <c r="TKQ66" s="24"/>
      <c r="TKR66" s="24"/>
      <c r="TKS66" s="24"/>
      <c r="TKT66" s="24"/>
      <c r="TKU66" s="24"/>
      <c r="TKV66" s="24"/>
      <c r="TKW66" s="24"/>
      <c r="TKX66" s="24"/>
      <c r="TKY66" s="24"/>
      <c r="TKZ66" s="24"/>
      <c r="TLA66" s="24"/>
      <c r="TLB66" s="24"/>
      <c r="TLC66" s="24"/>
      <c r="TLD66" s="24"/>
      <c r="TLE66" s="24"/>
      <c r="TLF66" s="24"/>
      <c r="TLG66" s="24"/>
      <c r="TLH66" s="24"/>
      <c r="TLI66" s="24"/>
      <c r="TLJ66" s="24"/>
      <c r="TLK66" s="24"/>
      <c r="TLL66" s="24"/>
      <c r="TLM66" s="24"/>
      <c r="TLN66" s="24"/>
      <c r="TLO66" s="24"/>
      <c r="TLP66" s="24"/>
      <c r="TLQ66" s="24"/>
      <c r="TLR66" s="24"/>
      <c r="TLS66" s="24"/>
      <c r="TLT66" s="24"/>
      <c r="TLU66" s="24"/>
      <c r="TLV66" s="24"/>
      <c r="TLW66" s="24"/>
      <c r="TLX66" s="24"/>
      <c r="TLY66" s="24"/>
      <c r="TLZ66" s="24"/>
      <c r="TMA66" s="24"/>
      <c r="TMB66" s="24"/>
      <c r="TMC66" s="24"/>
      <c r="TMD66" s="24"/>
      <c r="TME66" s="24"/>
      <c r="TMF66" s="24"/>
      <c r="TMG66" s="24"/>
      <c r="TMH66" s="24"/>
      <c r="TMI66" s="24"/>
      <c r="TMJ66" s="24"/>
      <c r="TMK66" s="24"/>
      <c r="TML66" s="24"/>
      <c r="TMM66" s="24"/>
      <c r="TMN66" s="24"/>
      <c r="TMO66" s="24"/>
      <c r="TMP66" s="24"/>
      <c r="TMQ66" s="24"/>
      <c r="TMR66" s="24"/>
      <c r="TMS66" s="24"/>
      <c r="TMT66" s="24"/>
      <c r="TMU66" s="24"/>
      <c r="TMV66" s="24"/>
      <c r="TMW66" s="24"/>
      <c r="TMX66" s="24"/>
      <c r="TMY66" s="24"/>
      <c r="TMZ66" s="24"/>
      <c r="TNA66" s="24"/>
      <c r="TNB66" s="24"/>
      <c r="TNC66" s="24"/>
      <c r="TND66" s="24"/>
      <c r="TNE66" s="24"/>
      <c r="TNF66" s="24"/>
      <c r="TNG66" s="24"/>
      <c r="TNH66" s="24"/>
      <c r="TNI66" s="24"/>
      <c r="TNJ66" s="24"/>
      <c r="TNK66" s="24"/>
      <c r="TNL66" s="24"/>
      <c r="TNM66" s="24"/>
      <c r="TNN66" s="24"/>
      <c r="TNO66" s="24"/>
      <c r="TNP66" s="24"/>
      <c r="TNQ66" s="24"/>
      <c r="TNR66" s="24"/>
      <c r="TNS66" s="24"/>
      <c r="TNT66" s="24"/>
      <c r="TNU66" s="24"/>
      <c r="TNV66" s="24"/>
      <c r="TNW66" s="24"/>
      <c r="TNX66" s="24"/>
      <c r="TNY66" s="24"/>
      <c r="TNZ66" s="24"/>
      <c r="TOA66" s="24"/>
      <c r="TOB66" s="24"/>
      <c r="TOC66" s="24"/>
      <c r="TOD66" s="24"/>
      <c r="TOE66" s="24"/>
      <c r="TOF66" s="24"/>
      <c r="TOG66" s="24"/>
      <c r="TOH66" s="24"/>
      <c r="TOI66" s="24"/>
      <c r="TOJ66" s="24"/>
      <c r="TOK66" s="24"/>
      <c r="TOL66" s="24"/>
      <c r="TOM66" s="24"/>
      <c r="TON66" s="24"/>
      <c r="TOO66" s="24"/>
      <c r="TOP66" s="24"/>
      <c r="TOQ66" s="24"/>
      <c r="TOR66" s="24"/>
      <c r="TOS66" s="24"/>
      <c r="TOT66" s="24"/>
      <c r="TOU66" s="24"/>
      <c r="TOV66" s="24"/>
      <c r="TOW66" s="24"/>
      <c r="TOX66" s="24"/>
      <c r="TOY66" s="24"/>
      <c r="TOZ66" s="24"/>
      <c r="TPA66" s="24"/>
      <c r="TPB66" s="24"/>
      <c r="TPC66" s="24"/>
      <c r="TPD66" s="24"/>
      <c r="TPE66" s="24"/>
      <c r="TPF66" s="24"/>
      <c r="TPG66" s="24"/>
      <c r="TPH66" s="24"/>
      <c r="TPI66" s="24"/>
      <c r="TPJ66" s="24"/>
      <c r="TPK66" s="24"/>
      <c r="TPL66" s="24"/>
      <c r="TPM66" s="24"/>
      <c r="TPN66" s="24"/>
      <c r="TPO66" s="24"/>
      <c r="TPP66" s="24"/>
      <c r="TPQ66" s="24"/>
      <c r="TPR66" s="24"/>
      <c r="TPS66" s="24"/>
      <c r="TPT66" s="24"/>
      <c r="TPU66" s="24"/>
      <c r="TPV66" s="24"/>
      <c r="TPW66" s="24"/>
      <c r="TPX66" s="24"/>
      <c r="TPY66" s="24"/>
      <c r="TPZ66" s="24"/>
      <c r="TQA66" s="24"/>
      <c r="TQB66" s="24"/>
      <c r="TQC66" s="24"/>
      <c r="TQD66" s="24"/>
      <c r="TQE66" s="24"/>
      <c r="TQF66" s="24"/>
      <c r="TQG66" s="24"/>
      <c r="TQH66" s="24"/>
      <c r="TQI66" s="24"/>
      <c r="TQJ66" s="24"/>
      <c r="TQK66" s="24"/>
      <c r="TQL66" s="24"/>
      <c r="TQM66" s="24"/>
      <c r="TQN66" s="24"/>
      <c r="TQO66" s="24"/>
      <c r="TQP66" s="24"/>
      <c r="TQQ66" s="24"/>
      <c r="TQR66" s="24"/>
      <c r="TQS66" s="24"/>
      <c r="TQT66" s="24"/>
      <c r="TQU66" s="24"/>
      <c r="TQV66" s="24"/>
      <c r="TQW66" s="24"/>
      <c r="TQX66" s="24"/>
      <c r="TQY66" s="24"/>
      <c r="TQZ66" s="24"/>
      <c r="TRA66" s="24"/>
      <c r="TRB66" s="24"/>
      <c r="TRC66" s="24"/>
      <c r="TRD66" s="24"/>
      <c r="TRE66" s="24"/>
      <c r="TRF66" s="24"/>
      <c r="TRG66" s="24"/>
      <c r="TRH66" s="24"/>
      <c r="TRI66" s="24"/>
      <c r="TRJ66" s="24"/>
      <c r="TRK66" s="24"/>
      <c r="TRL66" s="24"/>
      <c r="TRM66" s="24"/>
      <c r="TRN66" s="24"/>
      <c r="TRO66" s="24"/>
      <c r="TRP66" s="24"/>
      <c r="TRQ66" s="24"/>
      <c r="TRR66" s="24"/>
      <c r="TRS66" s="24"/>
      <c r="TRT66" s="24"/>
      <c r="TRU66" s="24"/>
      <c r="TRV66" s="24"/>
      <c r="TRW66" s="24"/>
      <c r="TRX66" s="24"/>
      <c r="TRY66" s="24"/>
      <c r="TRZ66" s="24"/>
      <c r="TSA66" s="24"/>
      <c r="TSB66" s="24"/>
      <c r="TSC66" s="24"/>
      <c r="TSD66" s="24"/>
      <c r="TSE66" s="24"/>
      <c r="TSF66" s="24"/>
      <c r="TSG66" s="24"/>
      <c r="TSH66" s="24"/>
      <c r="TSI66" s="24"/>
      <c r="TSJ66" s="24"/>
      <c r="TSK66" s="24"/>
      <c r="TSL66" s="24"/>
      <c r="TSM66" s="24"/>
      <c r="TSN66" s="24"/>
      <c r="TSO66" s="24"/>
      <c r="TSP66" s="24"/>
      <c r="TSQ66" s="24"/>
      <c r="TSR66" s="24"/>
      <c r="TSS66" s="24"/>
      <c r="TST66" s="24"/>
      <c r="TSU66" s="24"/>
      <c r="TSV66" s="24"/>
      <c r="TSW66" s="24"/>
      <c r="TSX66" s="24"/>
      <c r="TSY66" s="24"/>
      <c r="TSZ66" s="24"/>
      <c r="TTA66" s="24"/>
      <c r="TTB66" s="24"/>
      <c r="TTC66" s="24"/>
      <c r="TTD66" s="24"/>
      <c r="TTE66" s="24"/>
      <c r="TTF66" s="24"/>
      <c r="TTG66" s="24"/>
      <c r="TTH66" s="24"/>
      <c r="TTI66" s="24"/>
      <c r="TTJ66" s="24"/>
      <c r="TTK66" s="24"/>
      <c r="TTL66" s="24"/>
      <c r="TTM66" s="24"/>
      <c r="TTN66" s="24"/>
      <c r="TTO66" s="24"/>
      <c r="TTP66" s="24"/>
      <c r="TTQ66" s="24"/>
      <c r="TTR66" s="24"/>
      <c r="TTS66" s="24"/>
      <c r="TTT66" s="24"/>
      <c r="TTU66" s="24"/>
      <c r="TTV66" s="24"/>
      <c r="TTW66" s="24"/>
      <c r="TTX66" s="24"/>
      <c r="TTY66" s="24"/>
      <c r="TTZ66" s="24"/>
      <c r="TUA66" s="24"/>
      <c r="TUB66" s="24"/>
      <c r="TUC66" s="24"/>
      <c r="TUD66" s="24"/>
      <c r="TUE66" s="24"/>
      <c r="TUF66" s="24"/>
      <c r="TUG66" s="24"/>
      <c r="TUH66" s="24"/>
      <c r="TUI66" s="24"/>
      <c r="TUJ66" s="24"/>
      <c r="TUK66" s="24"/>
      <c r="TUL66" s="24"/>
      <c r="TUM66" s="24"/>
      <c r="TUN66" s="24"/>
      <c r="TUO66" s="24"/>
      <c r="TUP66" s="24"/>
      <c r="TUQ66" s="24"/>
      <c r="TUR66" s="24"/>
      <c r="TUS66" s="24"/>
      <c r="TUT66" s="24"/>
      <c r="TUU66" s="24"/>
      <c r="TUV66" s="24"/>
      <c r="TUW66" s="24"/>
      <c r="TUX66" s="24"/>
      <c r="TUY66" s="24"/>
      <c r="TUZ66" s="24"/>
      <c r="TVA66" s="24"/>
      <c r="TVB66" s="24"/>
      <c r="TVC66" s="24"/>
      <c r="TVD66" s="24"/>
      <c r="TVE66" s="24"/>
      <c r="TVF66" s="24"/>
      <c r="TVG66" s="24"/>
      <c r="TVH66" s="24"/>
      <c r="TVI66" s="24"/>
      <c r="TVJ66" s="24"/>
      <c r="TVK66" s="24"/>
      <c r="TVL66" s="24"/>
      <c r="TVM66" s="24"/>
      <c r="TVN66" s="24"/>
      <c r="TVO66" s="24"/>
      <c r="TVP66" s="24"/>
      <c r="TVQ66" s="24"/>
      <c r="TVR66" s="24"/>
      <c r="TVS66" s="24"/>
      <c r="TVT66" s="24"/>
      <c r="TVU66" s="24"/>
      <c r="TVV66" s="24"/>
      <c r="TVW66" s="24"/>
      <c r="TVX66" s="24"/>
      <c r="TVY66" s="24"/>
      <c r="TVZ66" s="24"/>
      <c r="TWA66" s="24"/>
      <c r="TWB66" s="24"/>
      <c r="TWC66" s="24"/>
      <c r="TWD66" s="24"/>
      <c r="TWE66" s="24"/>
      <c r="TWF66" s="24"/>
      <c r="TWG66" s="24"/>
      <c r="TWH66" s="24"/>
      <c r="TWI66" s="24"/>
      <c r="TWJ66" s="24"/>
      <c r="TWK66" s="24"/>
      <c r="TWL66" s="24"/>
      <c r="TWM66" s="24"/>
      <c r="TWN66" s="24"/>
      <c r="TWO66" s="24"/>
      <c r="TWP66" s="24"/>
      <c r="TWQ66" s="24"/>
      <c r="TWR66" s="24"/>
      <c r="TWS66" s="24"/>
      <c r="TWT66" s="24"/>
      <c r="TWU66" s="24"/>
      <c r="TWV66" s="24"/>
      <c r="TWW66" s="24"/>
      <c r="TWX66" s="24"/>
      <c r="TWY66" s="24"/>
      <c r="TWZ66" s="24"/>
      <c r="TXA66" s="24"/>
      <c r="TXB66" s="24"/>
      <c r="TXC66" s="24"/>
      <c r="TXD66" s="24"/>
      <c r="TXE66" s="24"/>
      <c r="TXF66" s="24"/>
      <c r="TXG66" s="24"/>
      <c r="TXH66" s="24"/>
      <c r="TXI66" s="24"/>
      <c r="TXJ66" s="24"/>
      <c r="TXK66" s="24"/>
      <c r="TXL66" s="24"/>
      <c r="TXM66" s="24"/>
      <c r="TXN66" s="24"/>
      <c r="TXO66" s="24"/>
      <c r="TXP66" s="24"/>
      <c r="TXQ66" s="24"/>
      <c r="TXR66" s="24"/>
      <c r="TXS66" s="24"/>
      <c r="TXT66" s="24"/>
      <c r="TXU66" s="24"/>
      <c r="TXV66" s="24"/>
      <c r="TXW66" s="24"/>
      <c r="TXX66" s="24"/>
      <c r="TXY66" s="24"/>
      <c r="TXZ66" s="24"/>
      <c r="TYA66" s="24"/>
      <c r="TYB66" s="24"/>
      <c r="TYC66" s="24"/>
      <c r="TYD66" s="24"/>
      <c r="TYE66" s="24"/>
      <c r="TYF66" s="24"/>
      <c r="TYG66" s="24"/>
      <c r="TYH66" s="24"/>
      <c r="TYI66" s="24"/>
      <c r="TYJ66" s="24"/>
      <c r="TYK66" s="24"/>
      <c r="TYL66" s="24"/>
      <c r="TYM66" s="24"/>
      <c r="TYN66" s="24"/>
      <c r="TYO66" s="24"/>
      <c r="TYP66" s="24"/>
      <c r="TYQ66" s="24"/>
      <c r="TYR66" s="24"/>
      <c r="TYS66" s="24"/>
      <c r="TYT66" s="24"/>
      <c r="TYU66" s="24"/>
      <c r="TYV66" s="24"/>
      <c r="TYW66" s="24"/>
      <c r="TYX66" s="24"/>
      <c r="TYY66" s="24"/>
      <c r="TYZ66" s="24"/>
      <c r="TZA66" s="24"/>
      <c r="TZB66" s="24"/>
      <c r="TZC66" s="24"/>
      <c r="TZD66" s="24"/>
      <c r="TZE66" s="24"/>
      <c r="TZF66" s="24"/>
      <c r="TZG66" s="24"/>
      <c r="TZH66" s="24"/>
      <c r="TZI66" s="24"/>
      <c r="TZJ66" s="24"/>
      <c r="TZK66" s="24"/>
      <c r="TZL66" s="24"/>
      <c r="TZM66" s="24"/>
      <c r="TZN66" s="24"/>
      <c r="TZO66" s="24"/>
      <c r="TZP66" s="24"/>
      <c r="TZQ66" s="24"/>
      <c r="TZR66" s="24"/>
      <c r="TZS66" s="24"/>
      <c r="TZT66" s="24"/>
      <c r="TZU66" s="24"/>
      <c r="TZV66" s="24"/>
      <c r="TZW66" s="24"/>
      <c r="TZX66" s="24"/>
      <c r="TZY66" s="24"/>
      <c r="TZZ66" s="24"/>
      <c r="UAA66" s="24"/>
      <c r="UAB66" s="24"/>
      <c r="UAC66" s="24"/>
      <c r="UAD66" s="24"/>
      <c r="UAE66" s="24"/>
      <c r="UAF66" s="24"/>
      <c r="UAG66" s="24"/>
      <c r="UAH66" s="24"/>
      <c r="UAI66" s="24"/>
      <c r="UAJ66" s="24"/>
      <c r="UAK66" s="24"/>
      <c r="UAL66" s="24"/>
      <c r="UAM66" s="24"/>
      <c r="UAN66" s="24"/>
      <c r="UAO66" s="24"/>
      <c r="UAP66" s="24"/>
      <c r="UAQ66" s="24"/>
      <c r="UAR66" s="24"/>
      <c r="UAS66" s="24"/>
      <c r="UAT66" s="24"/>
      <c r="UAU66" s="24"/>
      <c r="UAV66" s="24"/>
      <c r="UAW66" s="24"/>
      <c r="UAX66" s="24"/>
      <c r="UAY66" s="24"/>
      <c r="UAZ66" s="24"/>
      <c r="UBA66" s="24"/>
      <c r="UBB66" s="24"/>
      <c r="UBC66" s="24"/>
      <c r="UBD66" s="24"/>
      <c r="UBE66" s="24"/>
      <c r="UBF66" s="24"/>
      <c r="UBG66" s="24"/>
      <c r="UBH66" s="24"/>
      <c r="UBI66" s="24"/>
      <c r="UBJ66" s="24"/>
      <c r="UBK66" s="24"/>
      <c r="UBL66" s="24"/>
      <c r="UBM66" s="24"/>
      <c r="UBN66" s="24"/>
      <c r="UBO66" s="24"/>
      <c r="UBP66" s="24"/>
      <c r="UBQ66" s="24"/>
      <c r="UBR66" s="24"/>
      <c r="UBS66" s="24"/>
      <c r="UBT66" s="24"/>
      <c r="UBU66" s="24"/>
      <c r="UBV66" s="24"/>
      <c r="UBW66" s="24"/>
      <c r="UBX66" s="24"/>
      <c r="UBY66" s="24"/>
      <c r="UBZ66" s="24"/>
      <c r="UCA66" s="24"/>
      <c r="UCB66" s="24"/>
      <c r="UCC66" s="24"/>
      <c r="UCD66" s="24"/>
      <c r="UCE66" s="24"/>
      <c r="UCF66" s="24"/>
      <c r="UCG66" s="24"/>
      <c r="UCH66" s="24"/>
      <c r="UCI66" s="24"/>
      <c r="UCJ66" s="24"/>
      <c r="UCK66" s="24"/>
      <c r="UCL66" s="24"/>
      <c r="UCM66" s="24"/>
      <c r="UCN66" s="24"/>
      <c r="UCO66" s="24"/>
      <c r="UCP66" s="24"/>
      <c r="UCQ66" s="24"/>
      <c r="UCR66" s="24"/>
      <c r="UCS66" s="24"/>
      <c r="UCT66" s="24"/>
      <c r="UCU66" s="24"/>
      <c r="UCV66" s="24"/>
      <c r="UCW66" s="24"/>
      <c r="UCX66" s="24"/>
      <c r="UCY66" s="24"/>
      <c r="UCZ66" s="24"/>
      <c r="UDA66" s="24"/>
      <c r="UDB66" s="24"/>
      <c r="UDC66" s="24"/>
      <c r="UDD66" s="24"/>
      <c r="UDE66" s="24"/>
      <c r="UDF66" s="24"/>
      <c r="UDG66" s="24"/>
      <c r="UDH66" s="24"/>
      <c r="UDI66" s="24"/>
      <c r="UDJ66" s="24"/>
      <c r="UDK66" s="24"/>
      <c r="UDL66" s="24"/>
      <c r="UDM66" s="24"/>
      <c r="UDN66" s="24"/>
      <c r="UDO66" s="24"/>
      <c r="UDP66" s="24"/>
      <c r="UDQ66" s="24"/>
      <c r="UDR66" s="24"/>
      <c r="UDS66" s="24"/>
      <c r="UDT66" s="24"/>
      <c r="UDU66" s="24"/>
      <c r="UDV66" s="24"/>
      <c r="UDW66" s="24"/>
      <c r="UDX66" s="24"/>
      <c r="UDY66" s="24"/>
      <c r="UDZ66" s="24"/>
      <c r="UEA66" s="24"/>
      <c r="UEB66" s="24"/>
      <c r="UEC66" s="24"/>
      <c r="UED66" s="24"/>
      <c r="UEE66" s="24"/>
      <c r="UEF66" s="24"/>
      <c r="UEG66" s="24"/>
      <c r="UEH66" s="24"/>
      <c r="UEI66" s="24"/>
      <c r="UEJ66" s="24"/>
      <c r="UEK66" s="24"/>
      <c r="UEL66" s="24"/>
      <c r="UEM66" s="24"/>
      <c r="UEN66" s="24"/>
      <c r="UEO66" s="24"/>
      <c r="UEP66" s="24"/>
      <c r="UEQ66" s="24"/>
      <c r="UER66" s="24"/>
      <c r="UES66" s="24"/>
      <c r="UET66" s="24"/>
      <c r="UEU66" s="24"/>
      <c r="UEV66" s="24"/>
      <c r="UEW66" s="24"/>
      <c r="UEX66" s="24"/>
      <c r="UEY66" s="24"/>
      <c r="UEZ66" s="24"/>
      <c r="UFA66" s="24"/>
      <c r="UFB66" s="24"/>
      <c r="UFC66" s="24"/>
      <c r="UFD66" s="24"/>
      <c r="UFE66" s="24"/>
      <c r="UFF66" s="24"/>
      <c r="UFG66" s="24"/>
      <c r="UFH66" s="24"/>
      <c r="UFI66" s="24"/>
      <c r="UFJ66" s="24"/>
      <c r="UFK66" s="24"/>
      <c r="UFL66" s="24"/>
      <c r="UFM66" s="24"/>
      <c r="UFN66" s="24"/>
      <c r="UFO66" s="24"/>
      <c r="UFP66" s="24"/>
      <c r="UFQ66" s="24"/>
      <c r="UFR66" s="24"/>
      <c r="UFS66" s="24"/>
      <c r="UFT66" s="24"/>
      <c r="UFU66" s="24"/>
      <c r="UFV66" s="24"/>
      <c r="UFW66" s="24"/>
      <c r="UFX66" s="24"/>
      <c r="UFY66" s="24"/>
      <c r="UFZ66" s="24"/>
      <c r="UGA66" s="24"/>
      <c r="UGB66" s="24"/>
      <c r="UGC66" s="24"/>
      <c r="UGD66" s="24"/>
      <c r="UGE66" s="24"/>
      <c r="UGF66" s="24"/>
      <c r="UGG66" s="24"/>
      <c r="UGH66" s="24"/>
      <c r="UGI66" s="24"/>
      <c r="UGJ66" s="24"/>
      <c r="UGK66" s="24"/>
      <c r="UGL66" s="24"/>
      <c r="UGM66" s="24"/>
      <c r="UGN66" s="24"/>
      <c r="UGO66" s="24"/>
      <c r="UGP66" s="24"/>
      <c r="UGQ66" s="24"/>
      <c r="UGR66" s="24"/>
      <c r="UGS66" s="24"/>
      <c r="UGT66" s="24"/>
      <c r="UGU66" s="24"/>
      <c r="UGV66" s="24"/>
      <c r="UGW66" s="24"/>
      <c r="UGX66" s="24"/>
      <c r="UGY66" s="24"/>
      <c r="UGZ66" s="24"/>
      <c r="UHA66" s="24"/>
      <c r="UHB66" s="24"/>
      <c r="UHC66" s="24"/>
      <c r="UHD66" s="24"/>
      <c r="UHE66" s="24"/>
      <c r="UHF66" s="24"/>
      <c r="UHG66" s="24"/>
      <c r="UHH66" s="24"/>
      <c r="UHI66" s="24"/>
      <c r="UHJ66" s="24"/>
      <c r="UHK66" s="24"/>
      <c r="UHL66" s="24"/>
      <c r="UHM66" s="24"/>
      <c r="UHN66" s="24"/>
      <c r="UHO66" s="24"/>
      <c r="UHP66" s="24"/>
      <c r="UHQ66" s="24"/>
      <c r="UHR66" s="24"/>
      <c r="UHS66" s="24"/>
      <c r="UHT66" s="24"/>
      <c r="UHU66" s="24"/>
      <c r="UHV66" s="24"/>
      <c r="UHW66" s="24"/>
      <c r="UHX66" s="24"/>
      <c r="UHY66" s="24"/>
      <c r="UHZ66" s="24"/>
      <c r="UIA66" s="24"/>
      <c r="UIB66" s="24"/>
      <c r="UIC66" s="24"/>
      <c r="UID66" s="24"/>
      <c r="UIE66" s="24"/>
      <c r="UIF66" s="24"/>
      <c r="UIG66" s="24"/>
      <c r="UIH66" s="24"/>
      <c r="UII66" s="24"/>
      <c r="UIJ66" s="24"/>
      <c r="UIK66" s="24"/>
      <c r="UIL66" s="24"/>
      <c r="UIM66" s="24"/>
      <c r="UIN66" s="24"/>
      <c r="UIO66" s="24"/>
      <c r="UIP66" s="24"/>
      <c r="UIQ66" s="24"/>
      <c r="UIR66" s="24"/>
      <c r="UIS66" s="24"/>
      <c r="UIT66" s="24"/>
      <c r="UIU66" s="24"/>
      <c r="UIV66" s="24"/>
      <c r="UIW66" s="24"/>
      <c r="UIX66" s="24"/>
      <c r="UIY66" s="24"/>
      <c r="UIZ66" s="24"/>
      <c r="UJA66" s="24"/>
      <c r="UJB66" s="24"/>
      <c r="UJC66" s="24"/>
      <c r="UJD66" s="24"/>
      <c r="UJE66" s="24"/>
      <c r="UJF66" s="24"/>
      <c r="UJG66" s="24"/>
      <c r="UJH66" s="24"/>
      <c r="UJI66" s="24"/>
      <c r="UJJ66" s="24"/>
      <c r="UJK66" s="24"/>
      <c r="UJL66" s="24"/>
      <c r="UJM66" s="24"/>
      <c r="UJN66" s="24"/>
      <c r="UJO66" s="24"/>
      <c r="UJP66" s="24"/>
      <c r="UJQ66" s="24"/>
      <c r="UJR66" s="24"/>
      <c r="UJS66" s="24"/>
      <c r="UJT66" s="24"/>
      <c r="UJU66" s="24"/>
      <c r="UJV66" s="24"/>
      <c r="UJW66" s="24"/>
      <c r="UJX66" s="24"/>
      <c r="UJY66" s="24"/>
      <c r="UJZ66" s="24"/>
      <c r="UKA66" s="24"/>
      <c r="UKB66" s="24"/>
      <c r="UKC66" s="24"/>
      <c r="UKD66" s="24"/>
      <c r="UKE66" s="24"/>
      <c r="UKF66" s="24"/>
      <c r="UKG66" s="24"/>
      <c r="UKH66" s="24"/>
      <c r="UKI66" s="24"/>
      <c r="UKJ66" s="24"/>
      <c r="UKK66" s="24"/>
      <c r="UKL66" s="24"/>
      <c r="UKM66" s="24"/>
      <c r="UKN66" s="24"/>
      <c r="UKO66" s="24"/>
      <c r="UKP66" s="24"/>
      <c r="UKQ66" s="24"/>
      <c r="UKR66" s="24"/>
      <c r="UKS66" s="24"/>
      <c r="UKT66" s="24"/>
      <c r="UKU66" s="24"/>
      <c r="UKV66" s="24"/>
      <c r="UKW66" s="24"/>
      <c r="UKX66" s="24"/>
      <c r="UKY66" s="24"/>
      <c r="UKZ66" s="24"/>
      <c r="ULA66" s="24"/>
      <c r="ULB66" s="24"/>
      <c r="ULC66" s="24"/>
      <c r="ULD66" s="24"/>
      <c r="ULE66" s="24"/>
      <c r="ULF66" s="24"/>
      <c r="ULG66" s="24"/>
      <c r="ULH66" s="24"/>
      <c r="ULI66" s="24"/>
      <c r="ULJ66" s="24"/>
      <c r="ULK66" s="24"/>
      <c r="ULL66" s="24"/>
      <c r="ULM66" s="24"/>
      <c r="ULN66" s="24"/>
      <c r="ULO66" s="24"/>
      <c r="ULP66" s="24"/>
      <c r="ULQ66" s="24"/>
      <c r="ULR66" s="24"/>
      <c r="ULS66" s="24"/>
      <c r="ULT66" s="24"/>
      <c r="ULU66" s="24"/>
      <c r="ULV66" s="24"/>
      <c r="ULW66" s="24"/>
      <c r="ULX66" s="24"/>
      <c r="ULY66" s="24"/>
      <c r="ULZ66" s="24"/>
      <c r="UMA66" s="24"/>
      <c r="UMB66" s="24"/>
      <c r="UMC66" s="24"/>
      <c r="UMD66" s="24"/>
      <c r="UME66" s="24"/>
      <c r="UMF66" s="24"/>
      <c r="UMG66" s="24"/>
      <c r="UMH66" s="24"/>
      <c r="UMI66" s="24"/>
      <c r="UMJ66" s="24"/>
      <c r="UMK66" s="24"/>
      <c r="UML66" s="24"/>
      <c r="UMM66" s="24"/>
      <c r="UMN66" s="24"/>
      <c r="UMO66" s="24"/>
      <c r="UMP66" s="24"/>
      <c r="UMQ66" s="24"/>
      <c r="UMR66" s="24"/>
      <c r="UMS66" s="24"/>
      <c r="UMT66" s="24"/>
      <c r="UMU66" s="24"/>
      <c r="UMV66" s="24"/>
      <c r="UMW66" s="24"/>
      <c r="UMX66" s="24"/>
      <c r="UMY66" s="24"/>
      <c r="UMZ66" s="24"/>
      <c r="UNA66" s="24"/>
      <c r="UNB66" s="24"/>
      <c r="UNC66" s="24"/>
      <c r="UND66" s="24"/>
      <c r="UNE66" s="24"/>
      <c r="UNF66" s="24"/>
      <c r="UNG66" s="24"/>
      <c r="UNH66" s="24"/>
      <c r="UNI66" s="24"/>
      <c r="UNJ66" s="24"/>
      <c r="UNK66" s="24"/>
      <c r="UNL66" s="24"/>
      <c r="UNM66" s="24"/>
      <c r="UNN66" s="24"/>
      <c r="UNO66" s="24"/>
      <c r="UNP66" s="24"/>
      <c r="UNQ66" s="24"/>
      <c r="UNR66" s="24"/>
      <c r="UNS66" s="24"/>
      <c r="UNT66" s="24"/>
      <c r="UNU66" s="24"/>
      <c r="UNV66" s="24"/>
      <c r="UNW66" s="24"/>
      <c r="UNX66" s="24"/>
      <c r="UNY66" s="24"/>
      <c r="UNZ66" s="24"/>
      <c r="UOA66" s="24"/>
      <c r="UOB66" s="24"/>
      <c r="UOC66" s="24"/>
      <c r="UOD66" s="24"/>
      <c r="UOE66" s="24"/>
      <c r="UOF66" s="24"/>
      <c r="UOG66" s="24"/>
      <c r="UOH66" s="24"/>
      <c r="UOI66" s="24"/>
      <c r="UOJ66" s="24"/>
      <c r="UOK66" s="24"/>
      <c r="UOL66" s="24"/>
      <c r="UOM66" s="24"/>
      <c r="UON66" s="24"/>
      <c r="UOO66" s="24"/>
      <c r="UOP66" s="24"/>
      <c r="UOQ66" s="24"/>
      <c r="UOR66" s="24"/>
      <c r="UOS66" s="24"/>
      <c r="UOT66" s="24"/>
      <c r="UOU66" s="24"/>
      <c r="UOV66" s="24"/>
      <c r="UOW66" s="24"/>
      <c r="UOX66" s="24"/>
      <c r="UOY66" s="24"/>
      <c r="UOZ66" s="24"/>
      <c r="UPA66" s="24"/>
      <c r="UPB66" s="24"/>
      <c r="UPC66" s="24"/>
      <c r="UPD66" s="24"/>
      <c r="UPE66" s="24"/>
      <c r="UPF66" s="24"/>
      <c r="UPG66" s="24"/>
      <c r="UPH66" s="24"/>
      <c r="UPI66" s="24"/>
      <c r="UPJ66" s="24"/>
      <c r="UPK66" s="24"/>
      <c r="UPL66" s="24"/>
      <c r="UPM66" s="24"/>
      <c r="UPN66" s="24"/>
      <c r="UPO66" s="24"/>
      <c r="UPP66" s="24"/>
      <c r="UPQ66" s="24"/>
      <c r="UPR66" s="24"/>
      <c r="UPS66" s="24"/>
      <c r="UPT66" s="24"/>
      <c r="UPU66" s="24"/>
      <c r="UPV66" s="24"/>
      <c r="UPW66" s="24"/>
      <c r="UPX66" s="24"/>
      <c r="UPY66" s="24"/>
      <c r="UPZ66" s="24"/>
      <c r="UQA66" s="24"/>
      <c r="UQB66" s="24"/>
      <c r="UQC66" s="24"/>
      <c r="UQD66" s="24"/>
      <c r="UQE66" s="24"/>
      <c r="UQF66" s="24"/>
      <c r="UQG66" s="24"/>
      <c r="UQH66" s="24"/>
      <c r="UQI66" s="24"/>
      <c r="UQJ66" s="24"/>
      <c r="UQK66" s="24"/>
      <c r="UQL66" s="24"/>
      <c r="UQM66" s="24"/>
      <c r="UQN66" s="24"/>
      <c r="UQO66" s="24"/>
      <c r="UQP66" s="24"/>
      <c r="UQQ66" s="24"/>
      <c r="UQR66" s="24"/>
      <c r="UQS66" s="24"/>
      <c r="UQT66" s="24"/>
      <c r="UQU66" s="24"/>
      <c r="UQV66" s="24"/>
      <c r="UQW66" s="24"/>
      <c r="UQX66" s="24"/>
      <c r="UQY66" s="24"/>
      <c r="UQZ66" s="24"/>
      <c r="URA66" s="24"/>
      <c r="URB66" s="24"/>
      <c r="URC66" s="24"/>
      <c r="URD66" s="24"/>
      <c r="URE66" s="24"/>
      <c r="URF66" s="24"/>
      <c r="URG66" s="24"/>
      <c r="URH66" s="24"/>
      <c r="URI66" s="24"/>
      <c r="URJ66" s="24"/>
      <c r="URK66" s="24"/>
      <c r="URL66" s="24"/>
      <c r="URM66" s="24"/>
      <c r="URN66" s="24"/>
      <c r="URO66" s="24"/>
      <c r="URP66" s="24"/>
      <c r="URQ66" s="24"/>
      <c r="URR66" s="24"/>
      <c r="URS66" s="24"/>
      <c r="URT66" s="24"/>
      <c r="URU66" s="24"/>
      <c r="URV66" s="24"/>
      <c r="URW66" s="24"/>
      <c r="URX66" s="24"/>
      <c r="URY66" s="24"/>
      <c r="URZ66" s="24"/>
      <c r="USA66" s="24"/>
      <c r="USB66" s="24"/>
      <c r="USC66" s="24"/>
      <c r="USD66" s="24"/>
      <c r="USE66" s="24"/>
      <c r="USF66" s="24"/>
      <c r="USG66" s="24"/>
      <c r="USH66" s="24"/>
      <c r="USI66" s="24"/>
      <c r="USJ66" s="24"/>
      <c r="USK66" s="24"/>
      <c r="USL66" s="24"/>
      <c r="USM66" s="24"/>
      <c r="USN66" s="24"/>
      <c r="USO66" s="24"/>
      <c r="USP66" s="24"/>
      <c r="USQ66" s="24"/>
      <c r="USR66" s="24"/>
      <c r="USS66" s="24"/>
      <c r="UST66" s="24"/>
      <c r="USU66" s="24"/>
      <c r="USV66" s="24"/>
      <c r="USW66" s="24"/>
      <c r="USX66" s="24"/>
      <c r="USY66" s="24"/>
      <c r="USZ66" s="24"/>
      <c r="UTA66" s="24"/>
      <c r="UTB66" s="24"/>
      <c r="UTC66" s="24"/>
      <c r="UTD66" s="24"/>
      <c r="UTE66" s="24"/>
      <c r="UTF66" s="24"/>
      <c r="UTG66" s="24"/>
      <c r="UTH66" s="24"/>
      <c r="UTI66" s="24"/>
      <c r="UTJ66" s="24"/>
      <c r="UTK66" s="24"/>
      <c r="UTL66" s="24"/>
      <c r="UTM66" s="24"/>
      <c r="UTN66" s="24"/>
      <c r="UTO66" s="24"/>
      <c r="UTP66" s="24"/>
      <c r="UTQ66" s="24"/>
      <c r="UTR66" s="24"/>
      <c r="UTS66" s="24"/>
      <c r="UTT66" s="24"/>
      <c r="UTU66" s="24"/>
      <c r="UTV66" s="24"/>
      <c r="UTW66" s="24"/>
      <c r="UTX66" s="24"/>
      <c r="UTY66" s="24"/>
      <c r="UTZ66" s="24"/>
      <c r="UUA66" s="24"/>
      <c r="UUB66" s="24"/>
      <c r="UUC66" s="24"/>
      <c r="UUD66" s="24"/>
      <c r="UUE66" s="24"/>
      <c r="UUF66" s="24"/>
      <c r="UUG66" s="24"/>
      <c r="UUH66" s="24"/>
      <c r="UUI66" s="24"/>
      <c r="UUJ66" s="24"/>
      <c r="UUK66" s="24"/>
      <c r="UUL66" s="24"/>
      <c r="UUM66" s="24"/>
      <c r="UUN66" s="24"/>
      <c r="UUO66" s="24"/>
      <c r="UUP66" s="24"/>
      <c r="UUQ66" s="24"/>
      <c r="UUR66" s="24"/>
      <c r="UUS66" s="24"/>
      <c r="UUT66" s="24"/>
      <c r="UUU66" s="24"/>
      <c r="UUV66" s="24"/>
      <c r="UUW66" s="24"/>
      <c r="UUX66" s="24"/>
      <c r="UUY66" s="24"/>
      <c r="UUZ66" s="24"/>
      <c r="UVA66" s="24"/>
      <c r="UVB66" s="24"/>
      <c r="UVC66" s="24"/>
      <c r="UVD66" s="24"/>
      <c r="UVE66" s="24"/>
      <c r="UVF66" s="24"/>
      <c r="UVG66" s="24"/>
      <c r="UVH66" s="24"/>
      <c r="UVI66" s="24"/>
      <c r="UVJ66" s="24"/>
      <c r="UVK66" s="24"/>
      <c r="UVL66" s="24"/>
      <c r="UVM66" s="24"/>
      <c r="UVN66" s="24"/>
      <c r="UVO66" s="24"/>
      <c r="UVP66" s="24"/>
      <c r="UVQ66" s="24"/>
      <c r="UVR66" s="24"/>
      <c r="UVS66" s="24"/>
      <c r="UVT66" s="24"/>
      <c r="UVU66" s="24"/>
      <c r="UVV66" s="24"/>
      <c r="UVW66" s="24"/>
      <c r="UVX66" s="24"/>
      <c r="UVY66" s="24"/>
      <c r="UVZ66" s="24"/>
      <c r="UWA66" s="24"/>
      <c r="UWB66" s="24"/>
      <c r="UWC66" s="24"/>
      <c r="UWD66" s="24"/>
      <c r="UWE66" s="24"/>
      <c r="UWF66" s="24"/>
      <c r="UWG66" s="24"/>
      <c r="UWH66" s="24"/>
      <c r="UWI66" s="24"/>
      <c r="UWJ66" s="24"/>
      <c r="UWK66" s="24"/>
      <c r="UWL66" s="24"/>
      <c r="UWM66" s="24"/>
      <c r="UWN66" s="24"/>
      <c r="UWO66" s="24"/>
      <c r="UWP66" s="24"/>
      <c r="UWQ66" s="24"/>
      <c r="UWR66" s="24"/>
      <c r="UWS66" s="24"/>
      <c r="UWT66" s="24"/>
      <c r="UWU66" s="24"/>
      <c r="UWV66" s="24"/>
      <c r="UWW66" s="24"/>
      <c r="UWX66" s="24"/>
      <c r="UWY66" s="24"/>
      <c r="UWZ66" s="24"/>
      <c r="UXA66" s="24"/>
      <c r="UXB66" s="24"/>
      <c r="UXC66" s="24"/>
      <c r="UXD66" s="24"/>
      <c r="UXE66" s="24"/>
      <c r="UXF66" s="24"/>
      <c r="UXG66" s="24"/>
      <c r="UXH66" s="24"/>
      <c r="UXI66" s="24"/>
      <c r="UXJ66" s="24"/>
      <c r="UXK66" s="24"/>
      <c r="UXL66" s="24"/>
      <c r="UXM66" s="24"/>
      <c r="UXN66" s="24"/>
      <c r="UXO66" s="24"/>
      <c r="UXP66" s="24"/>
      <c r="UXQ66" s="24"/>
      <c r="UXR66" s="24"/>
      <c r="UXS66" s="24"/>
      <c r="UXT66" s="24"/>
      <c r="UXU66" s="24"/>
      <c r="UXV66" s="24"/>
      <c r="UXW66" s="24"/>
      <c r="UXX66" s="24"/>
      <c r="UXY66" s="24"/>
      <c r="UXZ66" s="24"/>
      <c r="UYA66" s="24"/>
      <c r="UYB66" s="24"/>
      <c r="UYC66" s="24"/>
      <c r="UYD66" s="24"/>
      <c r="UYE66" s="24"/>
      <c r="UYF66" s="24"/>
      <c r="UYG66" s="24"/>
      <c r="UYH66" s="24"/>
      <c r="UYI66" s="24"/>
      <c r="UYJ66" s="24"/>
      <c r="UYK66" s="24"/>
      <c r="UYL66" s="24"/>
      <c r="UYM66" s="24"/>
      <c r="UYN66" s="24"/>
      <c r="UYO66" s="24"/>
      <c r="UYP66" s="24"/>
      <c r="UYQ66" s="24"/>
      <c r="UYR66" s="24"/>
      <c r="UYS66" s="24"/>
      <c r="UYT66" s="24"/>
      <c r="UYU66" s="24"/>
      <c r="UYV66" s="24"/>
      <c r="UYW66" s="24"/>
      <c r="UYX66" s="24"/>
      <c r="UYY66" s="24"/>
      <c r="UYZ66" s="24"/>
      <c r="UZA66" s="24"/>
      <c r="UZB66" s="24"/>
      <c r="UZC66" s="24"/>
      <c r="UZD66" s="24"/>
      <c r="UZE66" s="24"/>
      <c r="UZF66" s="24"/>
      <c r="UZG66" s="24"/>
      <c r="UZH66" s="24"/>
      <c r="UZI66" s="24"/>
      <c r="UZJ66" s="24"/>
      <c r="UZK66" s="24"/>
      <c r="UZL66" s="24"/>
      <c r="UZM66" s="24"/>
      <c r="UZN66" s="24"/>
      <c r="UZO66" s="24"/>
      <c r="UZP66" s="24"/>
      <c r="UZQ66" s="24"/>
      <c r="UZR66" s="24"/>
      <c r="UZS66" s="24"/>
      <c r="UZT66" s="24"/>
      <c r="UZU66" s="24"/>
      <c r="UZV66" s="24"/>
      <c r="UZW66" s="24"/>
      <c r="UZX66" s="24"/>
      <c r="UZY66" s="24"/>
      <c r="UZZ66" s="24"/>
      <c r="VAA66" s="24"/>
      <c r="VAB66" s="24"/>
      <c r="VAC66" s="24"/>
      <c r="VAD66" s="24"/>
      <c r="VAE66" s="24"/>
      <c r="VAF66" s="24"/>
      <c r="VAG66" s="24"/>
      <c r="VAH66" s="24"/>
      <c r="VAI66" s="24"/>
      <c r="VAJ66" s="24"/>
      <c r="VAK66" s="24"/>
      <c r="VAL66" s="24"/>
      <c r="VAM66" s="24"/>
      <c r="VAN66" s="24"/>
      <c r="VAO66" s="24"/>
      <c r="VAP66" s="24"/>
      <c r="VAQ66" s="24"/>
      <c r="VAR66" s="24"/>
      <c r="VAS66" s="24"/>
      <c r="VAT66" s="24"/>
      <c r="VAU66" s="24"/>
      <c r="VAV66" s="24"/>
      <c r="VAW66" s="24"/>
      <c r="VAX66" s="24"/>
      <c r="VAY66" s="24"/>
      <c r="VAZ66" s="24"/>
      <c r="VBA66" s="24"/>
      <c r="VBB66" s="24"/>
      <c r="VBC66" s="24"/>
      <c r="VBD66" s="24"/>
      <c r="VBE66" s="24"/>
      <c r="VBF66" s="24"/>
      <c r="VBG66" s="24"/>
      <c r="VBH66" s="24"/>
      <c r="VBI66" s="24"/>
      <c r="VBJ66" s="24"/>
      <c r="VBK66" s="24"/>
      <c r="VBL66" s="24"/>
      <c r="VBM66" s="24"/>
      <c r="VBN66" s="24"/>
      <c r="VBO66" s="24"/>
      <c r="VBP66" s="24"/>
      <c r="VBQ66" s="24"/>
      <c r="VBR66" s="24"/>
      <c r="VBS66" s="24"/>
      <c r="VBT66" s="24"/>
      <c r="VBU66" s="24"/>
      <c r="VBV66" s="24"/>
      <c r="VBW66" s="24"/>
      <c r="VBX66" s="24"/>
      <c r="VBY66" s="24"/>
      <c r="VBZ66" s="24"/>
      <c r="VCA66" s="24"/>
      <c r="VCB66" s="24"/>
      <c r="VCC66" s="24"/>
      <c r="VCD66" s="24"/>
      <c r="VCE66" s="24"/>
      <c r="VCF66" s="24"/>
      <c r="VCG66" s="24"/>
      <c r="VCH66" s="24"/>
      <c r="VCI66" s="24"/>
      <c r="VCJ66" s="24"/>
      <c r="VCK66" s="24"/>
      <c r="VCL66" s="24"/>
      <c r="VCM66" s="24"/>
      <c r="VCN66" s="24"/>
      <c r="VCO66" s="24"/>
      <c r="VCP66" s="24"/>
      <c r="VCQ66" s="24"/>
      <c r="VCR66" s="24"/>
      <c r="VCS66" s="24"/>
      <c r="VCT66" s="24"/>
      <c r="VCU66" s="24"/>
      <c r="VCV66" s="24"/>
      <c r="VCW66" s="24"/>
      <c r="VCX66" s="24"/>
      <c r="VCY66" s="24"/>
      <c r="VCZ66" s="24"/>
      <c r="VDA66" s="24"/>
      <c r="VDB66" s="24"/>
      <c r="VDC66" s="24"/>
      <c r="VDD66" s="24"/>
      <c r="VDE66" s="24"/>
      <c r="VDF66" s="24"/>
      <c r="VDG66" s="24"/>
      <c r="VDH66" s="24"/>
      <c r="VDI66" s="24"/>
      <c r="VDJ66" s="24"/>
      <c r="VDK66" s="24"/>
      <c r="VDL66" s="24"/>
      <c r="VDM66" s="24"/>
      <c r="VDN66" s="24"/>
      <c r="VDO66" s="24"/>
      <c r="VDP66" s="24"/>
      <c r="VDQ66" s="24"/>
      <c r="VDR66" s="24"/>
      <c r="VDS66" s="24"/>
      <c r="VDT66" s="24"/>
      <c r="VDU66" s="24"/>
      <c r="VDV66" s="24"/>
      <c r="VDW66" s="24"/>
      <c r="VDX66" s="24"/>
      <c r="VDY66" s="24"/>
      <c r="VDZ66" s="24"/>
      <c r="VEA66" s="24"/>
      <c r="VEB66" s="24"/>
      <c r="VEC66" s="24"/>
      <c r="VED66" s="24"/>
      <c r="VEE66" s="24"/>
      <c r="VEF66" s="24"/>
      <c r="VEG66" s="24"/>
      <c r="VEH66" s="24"/>
      <c r="VEI66" s="24"/>
      <c r="VEJ66" s="24"/>
      <c r="VEK66" s="24"/>
      <c r="VEL66" s="24"/>
      <c r="VEM66" s="24"/>
      <c r="VEN66" s="24"/>
      <c r="VEO66" s="24"/>
      <c r="VEP66" s="24"/>
      <c r="VEQ66" s="24"/>
      <c r="VER66" s="24"/>
      <c r="VES66" s="24"/>
      <c r="VET66" s="24"/>
      <c r="VEU66" s="24"/>
      <c r="VEV66" s="24"/>
      <c r="VEW66" s="24"/>
      <c r="VEX66" s="24"/>
      <c r="VEY66" s="24"/>
      <c r="VEZ66" s="24"/>
      <c r="VFA66" s="24"/>
      <c r="VFB66" s="24"/>
      <c r="VFC66" s="24"/>
      <c r="VFD66" s="24"/>
      <c r="VFE66" s="24"/>
      <c r="VFF66" s="24"/>
      <c r="VFG66" s="24"/>
      <c r="VFH66" s="24"/>
      <c r="VFI66" s="24"/>
      <c r="VFJ66" s="24"/>
      <c r="VFK66" s="24"/>
      <c r="VFL66" s="24"/>
      <c r="VFM66" s="24"/>
      <c r="VFN66" s="24"/>
      <c r="VFO66" s="24"/>
      <c r="VFP66" s="24"/>
      <c r="VFQ66" s="24"/>
      <c r="VFR66" s="24"/>
      <c r="VFS66" s="24"/>
      <c r="VFT66" s="24"/>
      <c r="VFU66" s="24"/>
      <c r="VFV66" s="24"/>
      <c r="VFW66" s="24"/>
      <c r="VFX66" s="24"/>
      <c r="VFY66" s="24"/>
      <c r="VFZ66" s="24"/>
      <c r="VGA66" s="24"/>
      <c r="VGB66" s="24"/>
      <c r="VGC66" s="24"/>
      <c r="VGD66" s="24"/>
      <c r="VGE66" s="24"/>
      <c r="VGF66" s="24"/>
      <c r="VGG66" s="24"/>
      <c r="VGH66" s="24"/>
      <c r="VGI66" s="24"/>
      <c r="VGJ66" s="24"/>
      <c r="VGK66" s="24"/>
      <c r="VGL66" s="24"/>
      <c r="VGM66" s="24"/>
      <c r="VGN66" s="24"/>
      <c r="VGO66" s="24"/>
      <c r="VGP66" s="24"/>
      <c r="VGQ66" s="24"/>
      <c r="VGR66" s="24"/>
      <c r="VGS66" s="24"/>
      <c r="VGT66" s="24"/>
      <c r="VGU66" s="24"/>
      <c r="VGV66" s="24"/>
      <c r="VGW66" s="24"/>
      <c r="VGX66" s="24"/>
      <c r="VGY66" s="24"/>
      <c r="VGZ66" s="24"/>
      <c r="VHA66" s="24"/>
      <c r="VHB66" s="24"/>
      <c r="VHC66" s="24"/>
      <c r="VHD66" s="24"/>
      <c r="VHE66" s="24"/>
      <c r="VHF66" s="24"/>
      <c r="VHG66" s="24"/>
      <c r="VHH66" s="24"/>
      <c r="VHI66" s="24"/>
      <c r="VHJ66" s="24"/>
      <c r="VHK66" s="24"/>
      <c r="VHL66" s="24"/>
      <c r="VHM66" s="24"/>
      <c r="VHN66" s="24"/>
      <c r="VHO66" s="24"/>
      <c r="VHP66" s="24"/>
      <c r="VHQ66" s="24"/>
      <c r="VHR66" s="24"/>
      <c r="VHS66" s="24"/>
      <c r="VHT66" s="24"/>
      <c r="VHU66" s="24"/>
      <c r="VHV66" s="24"/>
      <c r="VHW66" s="24"/>
      <c r="VHX66" s="24"/>
      <c r="VHY66" s="24"/>
      <c r="VHZ66" s="24"/>
      <c r="VIA66" s="24"/>
      <c r="VIB66" s="24"/>
      <c r="VIC66" s="24"/>
      <c r="VID66" s="24"/>
      <c r="VIE66" s="24"/>
      <c r="VIF66" s="24"/>
      <c r="VIG66" s="24"/>
      <c r="VIH66" s="24"/>
      <c r="VII66" s="24"/>
      <c r="VIJ66" s="24"/>
      <c r="VIK66" s="24"/>
      <c r="VIL66" s="24"/>
      <c r="VIM66" s="24"/>
      <c r="VIN66" s="24"/>
      <c r="VIO66" s="24"/>
      <c r="VIP66" s="24"/>
      <c r="VIQ66" s="24"/>
      <c r="VIR66" s="24"/>
      <c r="VIS66" s="24"/>
      <c r="VIT66" s="24"/>
      <c r="VIU66" s="24"/>
      <c r="VIV66" s="24"/>
      <c r="VIW66" s="24"/>
      <c r="VIX66" s="24"/>
      <c r="VIY66" s="24"/>
      <c r="VIZ66" s="24"/>
      <c r="VJA66" s="24"/>
      <c r="VJB66" s="24"/>
      <c r="VJC66" s="24"/>
      <c r="VJD66" s="24"/>
      <c r="VJE66" s="24"/>
      <c r="VJF66" s="24"/>
      <c r="VJG66" s="24"/>
      <c r="VJH66" s="24"/>
      <c r="VJI66" s="24"/>
      <c r="VJJ66" s="24"/>
      <c r="VJK66" s="24"/>
      <c r="VJL66" s="24"/>
      <c r="VJM66" s="24"/>
      <c r="VJN66" s="24"/>
      <c r="VJO66" s="24"/>
      <c r="VJP66" s="24"/>
      <c r="VJQ66" s="24"/>
      <c r="VJR66" s="24"/>
      <c r="VJS66" s="24"/>
      <c r="VJT66" s="24"/>
      <c r="VJU66" s="24"/>
      <c r="VJV66" s="24"/>
      <c r="VJW66" s="24"/>
      <c r="VJX66" s="24"/>
      <c r="VJY66" s="24"/>
      <c r="VJZ66" s="24"/>
      <c r="VKA66" s="24"/>
      <c r="VKB66" s="24"/>
      <c r="VKC66" s="24"/>
      <c r="VKD66" s="24"/>
      <c r="VKE66" s="24"/>
      <c r="VKF66" s="24"/>
      <c r="VKG66" s="24"/>
      <c r="VKH66" s="24"/>
      <c r="VKI66" s="24"/>
      <c r="VKJ66" s="24"/>
      <c r="VKK66" s="24"/>
      <c r="VKL66" s="24"/>
      <c r="VKM66" s="24"/>
      <c r="VKN66" s="24"/>
      <c r="VKO66" s="24"/>
      <c r="VKP66" s="24"/>
      <c r="VKQ66" s="24"/>
      <c r="VKR66" s="24"/>
      <c r="VKS66" s="24"/>
      <c r="VKT66" s="24"/>
      <c r="VKU66" s="24"/>
      <c r="VKV66" s="24"/>
      <c r="VKW66" s="24"/>
      <c r="VKX66" s="24"/>
      <c r="VKY66" s="24"/>
      <c r="VKZ66" s="24"/>
      <c r="VLA66" s="24"/>
      <c r="VLB66" s="24"/>
      <c r="VLC66" s="24"/>
      <c r="VLD66" s="24"/>
      <c r="VLE66" s="24"/>
      <c r="VLF66" s="24"/>
      <c r="VLG66" s="24"/>
      <c r="VLH66" s="24"/>
      <c r="VLI66" s="24"/>
      <c r="VLJ66" s="24"/>
      <c r="VLK66" s="24"/>
      <c r="VLL66" s="24"/>
      <c r="VLM66" s="24"/>
      <c r="VLN66" s="24"/>
      <c r="VLO66" s="24"/>
      <c r="VLP66" s="24"/>
      <c r="VLQ66" s="24"/>
      <c r="VLR66" s="24"/>
      <c r="VLS66" s="24"/>
      <c r="VLT66" s="24"/>
      <c r="VLU66" s="24"/>
      <c r="VLV66" s="24"/>
      <c r="VLW66" s="24"/>
      <c r="VLX66" s="24"/>
      <c r="VLY66" s="24"/>
      <c r="VLZ66" s="24"/>
      <c r="VMA66" s="24"/>
      <c r="VMB66" s="24"/>
      <c r="VMC66" s="24"/>
      <c r="VMD66" s="24"/>
      <c r="VME66" s="24"/>
      <c r="VMF66" s="24"/>
      <c r="VMG66" s="24"/>
      <c r="VMH66" s="24"/>
      <c r="VMI66" s="24"/>
      <c r="VMJ66" s="24"/>
      <c r="VMK66" s="24"/>
      <c r="VML66" s="24"/>
      <c r="VMM66" s="24"/>
      <c r="VMN66" s="24"/>
      <c r="VMO66" s="24"/>
      <c r="VMP66" s="24"/>
      <c r="VMQ66" s="24"/>
      <c r="VMR66" s="24"/>
      <c r="VMS66" s="24"/>
      <c r="VMT66" s="24"/>
      <c r="VMU66" s="24"/>
      <c r="VMV66" s="24"/>
      <c r="VMW66" s="24"/>
      <c r="VMX66" s="24"/>
      <c r="VMY66" s="24"/>
      <c r="VMZ66" s="24"/>
      <c r="VNA66" s="24"/>
      <c r="VNB66" s="24"/>
      <c r="VNC66" s="24"/>
      <c r="VND66" s="24"/>
      <c r="VNE66" s="24"/>
      <c r="VNF66" s="24"/>
      <c r="VNG66" s="24"/>
      <c r="VNH66" s="24"/>
      <c r="VNI66" s="24"/>
      <c r="VNJ66" s="24"/>
      <c r="VNK66" s="24"/>
      <c r="VNL66" s="24"/>
      <c r="VNM66" s="24"/>
      <c r="VNN66" s="24"/>
      <c r="VNO66" s="24"/>
      <c r="VNP66" s="24"/>
      <c r="VNQ66" s="24"/>
      <c r="VNR66" s="24"/>
      <c r="VNS66" s="24"/>
      <c r="VNT66" s="24"/>
      <c r="VNU66" s="24"/>
      <c r="VNV66" s="24"/>
      <c r="VNW66" s="24"/>
      <c r="VNX66" s="24"/>
      <c r="VNY66" s="24"/>
      <c r="VNZ66" s="24"/>
      <c r="VOA66" s="24"/>
      <c r="VOB66" s="24"/>
      <c r="VOC66" s="24"/>
      <c r="VOD66" s="24"/>
      <c r="VOE66" s="24"/>
      <c r="VOF66" s="24"/>
      <c r="VOG66" s="24"/>
      <c r="VOH66" s="24"/>
      <c r="VOI66" s="24"/>
      <c r="VOJ66" s="24"/>
      <c r="VOK66" s="24"/>
      <c r="VOL66" s="24"/>
      <c r="VOM66" s="24"/>
      <c r="VON66" s="24"/>
      <c r="VOO66" s="24"/>
      <c r="VOP66" s="24"/>
      <c r="VOQ66" s="24"/>
      <c r="VOR66" s="24"/>
      <c r="VOS66" s="24"/>
      <c r="VOT66" s="24"/>
      <c r="VOU66" s="24"/>
      <c r="VOV66" s="24"/>
      <c r="VOW66" s="24"/>
      <c r="VOX66" s="24"/>
      <c r="VOY66" s="24"/>
      <c r="VOZ66" s="24"/>
      <c r="VPA66" s="24"/>
      <c r="VPB66" s="24"/>
      <c r="VPC66" s="24"/>
      <c r="VPD66" s="24"/>
      <c r="VPE66" s="24"/>
      <c r="VPF66" s="24"/>
      <c r="VPG66" s="24"/>
      <c r="VPH66" s="24"/>
      <c r="VPI66" s="24"/>
      <c r="VPJ66" s="24"/>
      <c r="VPK66" s="24"/>
      <c r="VPL66" s="24"/>
      <c r="VPM66" s="24"/>
      <c r="VPN66" s="24"/>
      <c r="VPO66" s="24"/>
      <c r="VPP66" s="24"/>
      <c r="VPQ66" s="24"/>
      <c r="VPR66" s="24"/>
      <c r="VPS66" s="24"/>
      <c r="VPT66" s="24"/>
      <c r="VPU66" s="24"/>
      <c r="VPV66" s="24"/>
      <c r="VPW66" s="24"/>
      <c r="VPX66" s="24"/>
      <c r="VPY66" s="24"/>
      <c r="VPZ66" s="24"/>
      <c r="VQA66" s="24"/>
      <c r="VQB66" s="24"/>
      <c r="VQC66" s="24"/>
      <c r="VQD66" s="24"/>
      <c r="VQE66" s="24"/>
      <c r="VQF66" s="24"/>
      <c r="VQG66" s="24"/>
      <c r="VQH66" s="24"/>
      <c r="VQI66" s="24"/>
      <c r="VQJ66" s="24"/>
      <c r="VQK66" s="24"/>
      <c r="VQL66" s="24"/>
      <c r="VQM66" s="24"/>
      <c r="VQN66" s="24"/>
      <c r="VQO66" s="24"/>
      <c r="VQP66" s="24"/>
      <c r="VQQ66" s="24"/>
      <c r="VQR66" s="24"/>
      <c r="VQS66" s="24"/>
      <c r="VQT66" s="24"/>
      <c r="VQU66" s="24"/>
      <c r="VQV66" s="24"/>
      <c r="VQW66" s="24"/>
      <c r="VQX66" s="24"/>
      <c r="VQY66" s="24"/>
      <c r="VQZ66" s="24"/>
      <c r="VRA66" s="24"/>
      <c r="VRB66" s="24"/>
      <c r="VRC66" s="24"/>
      <c r="VRD66" s="24"/>
      <c r="VRE66" s="24"/>
      <c r="VRF66" s="24"/>
      <c r="VRG66" s="24"/>
      <c r="VRH66" s="24"/>
      <c r="VRI66" s="24"/>
      <c r="VRJ66" s="24"/>
      <c r="VRK66" s="24"/>
      <c r="VRL66" s="24"/>
      <c r="VRM66" s="24"/>
      <c r="VRN66" s="24"/>
      <c r="VRO66" s="24"/>
      <c r="VRP66" s="24"/>
      <c r="VRQ66" s="24"/>
      <c r="VRR66" s="24"/>
      <c r="VRS66" s="24"/>
      <c r="VRT66" s="24"/>
      <c r="VRU66" s="24"/>
      <c r="VRV66" s="24"/>
      <c r="VRW66" s="24"/>
      <c r="VRX66" s="24"/>
      <c r="VRY66" s="24"/>
      <c r="VRZ66" s="24"/>
      <c r="VSA66" s="24"/>
      <c r="VSB66" s="24"/>
      <c r="VSC66" s="24"/>
      <c r="VSD66" s="24"/>
      <c r="VSE66" s="24"/>
      <c r="VSF66" s="24"/>
      <c r="VSG66" s="24"/>
      <c r="VSH66" s="24"/>
      <c r="VSI66" s="24"/>
      <c r="VSJ66" s="24"/>
      <c r="VSK66" s="24"/>
      <c r="VSL66" s="24"/>
      <c r="VSM66" s="24"/>
      <c r="VSN66" s="24"/>
      <c r="VSO66" s="24"/>
      <c r="VSP66" s="24"/>
      <c r="VSQ66" s="24"/>
      <c r="VSR66" s="24"/>
      <c r="VSS66" s="24"/>
      <c r="VST66" s="24"/>
      <c r="VSU66" s="24"/>
      <c r="VSV66" s="24"/>
      <c r="VSW66" s="24"/>
      <c r="VSX66" s="24"/>
      <c r="VSY66" s="24"/>
      <c r="VSZ66" s="24"/>
      <c r="VTA66" s="24"/>
      <c r="VTB66" s="24"/>
      <c r="VTC66" s="24"/>
      <c r="VTD66" s="24"/>
      <c r="VTE66" s="24"/>
      <c r="VTF66" s="24"/>
      <c r="VTG66" s="24"/>
      <c r="VTH66" s="24"/>
      <c r="VTI66" s="24"/>
      <c r="VTJ66" s="24"/>
      <c r="VTK66" s="24"/>
      <c r="VTL66" s="24"/>
      <c r="VTM66" s="24"/>
      <c r="VTN66" s="24"/>
      <c r="VTO66" s="24"/>
      <c r="VTP66" s="24"/>
      <c r="VTQ66" s="24"/>
      <c r="VTR66" s="24"/>
      <c r="VTS66" s="24"/>
      <c r="VTT66" s="24"/>
      <c r="VTU66" s="24"/>
      <c r="VTV66" s="24"/>
      <c r="VTW66" s="24"/>
      <c r="VTX66" s="24"/>
      <c r="VTY66" s="24"/>
      <c r="VTZ66" s="24"/>
      <c r="VUA66" s="24"/>
      <c r="VUB66" s="24"/>
      <c r="VUC66" s="24"/>
      <c r="VUD66" s="24"/>
      <c r="VUE66" s="24"/>
      <c r="VUF66" s="24"/>
      <c r="VUG66" s="24"/>
      <c r="VUH66" s="24"/>
      <c r="VUI66" s="24"/>
      <c r="VUJ66" s="24"/>
      <c r="VUK66" s="24"/>
      <c r="VUL66" s="24"/>
      <c r="VUM66" s="24"/>
      <c r="VUN66" s="24"/>
      <c r="VUO66" s="24"/>
      <c r="VUP66" s="24"/>
      <c r="VUQ66" s="24"/>
      <c r="VUR66" s="24"/>
      <c r="VUS66" s="24"/>
      <c r="VUT66" s="24"/>
      <c r="VUU66" s="24"/>
      <c r="VUV66" s="24"/>
      <c r="VUW66" s="24"/>
      <c r="VUX66" s="24"/>
      <c r="VUY66" s="24"/>
      <c r="VUZ66" s="24"/>
      <c r="VVA66" s="24"/>
      <c r="VVB66" s="24"/>
      <c r="VVC66" s="24"/>
      <c r="VVD66" s="24"/>
      <c r="VVE66" s="24"/>
      <c r="VVF66" s="24"/>
      <c r="VVG66" s="24"/>
      <c r="VVH66" s="24"/>
      <c r="VVI66" s="24"/>
      <c r="VVJ66" s="24"/>
      <c r="VVK66" s="24"/>
      <c r="VVL66" s="24"/>
      <c r="VVM66" s="24"/>
      <c r="VVN66" s="24"/>
      <c r="VVO66" s="24"/>
      <c r="VVP66" s="24"/>
      <c r="VVQ66" s="24"/>
      <c r="VVR66" s="24"/>
      <c r="VVS66" s="24"/>
      <c r="VVT66" s="24"/>
      <c r="VVU66" s="24"/>
      <c r="VVV66" s="24"/>
      <c r="VVW66" s="24"/>
      <c r="VVX66" s="24"/>
      <c r="VVY66" s="24"/>
      <c r="VVZ66" s="24"/>
      <c r="VWA66" s="24"/>
      <c r="VWB66" s="24"/>
      <c r="VWC66" s="24"/>
      <c r="VWD66" s="24"/>
      <c r="VWE66" s="24"/>
      <c r="VWF66" s="24"/>
      <c r="VWG66" s="24"/>
      <c r="VWH66" s="24"/>
      <c r="VWI66" s="24"/>
      <c r="VWJ66" s="24"/>
      <c r="VWK66" s="24"/>
      <c r="VWL66" s="24"/>
      <c r="VWM66" s="24"/>
      <c r="VWN66" s="24"/>
      <c r="VWO66" s="24"/>
      <c r="VWP66" s="24"/>
      <c r="VWQ66" s="24"/>
      <c r="VWR66" s="24"/>
      <c r="VWS66" s="24"/>
      <c r="VWT66" s="24"/>
      <c r="VWU66" s="24"/>
      <c r="VWV66" s="24"/>
      <c r="VWW66" s="24"/>
      <c r="VWX66" s="24"/>
      <c r="VWY66" s="24"/>
      <c r="VWZ66" s="24"/>
      <c r="VXA66" s="24"/>
      <c r="VXB66" s="24"/>
      <c r="VXC66" s="24"/>
      <c r="VXD66" s="24"/>
      <c r="VXE66" s="24"/>
      <c r="VXF66" s="24"/>
      <c r="VXG66" s="24"/>
      <c r="VXH66" s="24"/>
      <c r="VXI66" s="24"/>
      <c r="VXJ66" s="24"/>
      <c r="VXK66" s="24"/>
      <c r="VXL66" s="24"/>
      <c r="VXM66" s="24"/>
      <c r="VXN66" s="24"/>
      <c r="VXO66" s="24"/>
      <c r="VXP66" s="24"/>
      <c r="VXQ66" s="24"/>
      <c r="VXR66" s="24"/>
      <c r="VXS66" s="24"/>
      <c r="VXT66" s="24"/>
      <c r="VXU66" s="24"/>
      <c r="VXV66" s="24"/>
      <c r="VXW66" s="24"/>
      <c r="VXX66" s="24"/>
      <c r="VXY66" s="24"/>
      <c r="VXZ66" s="24"/>
      <c r="VYA66" s="24"/>
      <c r="VYB66" s="24"/>
      <c r="VYC66" s="24"/>
      <c r="VYD66" s="24"/>
      <c r="VYE66" s="24"/>
      <c r="VYF66" s="24"/>
      <c r="VYG66" s="24"/>
      <c r="VYH66" s="24"/>
      <c r="VYI66" s="24"/>
      <c r="VYJ66" s="24"/>
      <c r="VYK66" s="24"/>
      <c r="VYL66" s="24"/>
      <c r="VYM66" s="24"/>
      <c r="VYN66" s="24"/>
      <c r="VYO66" s="24"/>
      <c r="VYP66" s="24"/>
      <c r="VYQ66" s="24"/>
      <c r="VYR66" s="24"/>
      <c r="VYS66" s="24"/>
      <c r="VYT66" s="24"/>
      <c r="VYU66" s="24"/>
      <c r="VYV66" s="24"/>
      <c r="VYW66" s="24"/>
      <c r="VYX66" s="24"/>
      <c r="VYY66" s="24"/>
      <c r="VYZ66" s="24"/>
      <c r="VZA66" s="24"/>
      <c r="VZB66" s="24"/>
      <c r="VZC66" s="24"/>
      <c r="VZD66" s="24"/>
      <c r="VZE66" s="24"/>
      <c r="VZF66" s="24"/>
      <c r="VZG66" s="24"/>
      <c r="VZH66" s="24"/>
      <c r="VZI66" s="24"/>
      <c r="VZJ66" s="24"/>
      <c r="VZK66" s="24"/>
      <c r="VZL66" s="24"/>
      <c r="VZM66" s="24"/>
      <c r="VZN66" s="24"/>
      <c r="VZO66" s="24"/>
      <c r="VZP66" s="24"/>
      <c r="VZQ66" s="24"/>
      <c r="VZR66" s="24"/>
      <c r="VZS66" s="24"/>
      <c r="VZT66" s="24"/>
      <c r="VZU66" s="24"/>
      <c r="VZV66" s="24"/>
      <c r="VZW66" s="24"/>
      <c r="VZX66" s="24"/>
      <c r="VZY66" s="24"/>
      <c r="VZZ66" s="24"/>
      <c r="WAA66" s="24"/>
      <c r="WAB66" s="24"/>
      <c r="WAC66" s="24"/>
      <c r="WAD66" s="24"/>
      <c r="WAE66" s="24"/>
      <c r="WAF66" s="24"/>
      <c r="WAG66" s="24"/>
      <c r="WAH66" s="24"/>
      <c r="WAI66" s="24"/>
      <c r="WAJ66" s="24"/>
      <c r="WAK66" s="24"/>
      <c r="WAL66" s="24"/>
      <c r="WAM66" s="24"/>
      <c r="WAN66" s="24"/>
      <c r="WAO66" s="24"/>
      <c r="WAP66" s="24"/>
      <c r="WAQ66" s="24"/>
      <c r="WAR66" s="24"/>
      <c r="WAS66" s="24"/>
      <c r="WAT66" s="24"/>
      <c r="WAU66" s="24"/>
      <c r="WAV66" s="24"/>
      <c r="WAW66" s="24"/>
      <c r="WAX66" s="24"/>
      <c r="WAY66" s="24"/>
      <c r="WAZ66" s="24"/>
      <c r="WBA66" s="24"/>
      <c r="WBB66" s="24"/>
      <c r="WBC66" s="24"/>
      <c r="WBD66" s="24"/>
      <c r="WBE66" s="24"/>
      <c r="WBF66" s="24"/>
      <c r="WBG66" s="24"/>
      <c r="WBH66" s="24"/>
      <c r="WBI66" s="24"/>
      <c r="WBJ66" s="24"/>
      <c r="WBK66" s="24"/>
      <c r="WBL66" s="24"/>
      <c r="WBM66" s="24"/>
      <c r="WBN66" s="24"/>
      <c r="WBO66" s="24"/>
      <c r="WBP66" s="24"/>
      <c r="WBQ66" s="24"/>
      <c r="WBR66" s="24"/>
      <c r="WBS66" s="24"/>
      <c r="WBT66" s="24"/>
      <c r="WBU66" s="24"/>
      <c r="WBV66" s="24"/>
      <c r="WBW66" s="24"/>
      <c r="WBX66" s="24"/>
      <c r="WBY66" s="24"/>
      <c r="WBZ66" s="24"/>
      <c r="WCA66" s="24"/>
      <c r="WCB66" s="24"/>
      <c r="WCC66" s="24"/>
      <c r="WCD66" s="24"/>
      <c r="WCE66" s="24"/>
      <c r="WCF66" s="24"/>
      <c r="WCG66" s="24"/>
      <c r="WCH66" s="24"/>
      <c r="WCI66" s="24"/>
      <c r="WCJ66" s="24"/>
      <c r="WCK66" s="24"/>
      <c r="WCL66" s="24"/>
      <c r="WCM66" s="24"/>
      <c r="WCN66" s="24"/>
      <c r="WCO66" s="24"/>
      <c r="WCP66" s="24"/>
      <c r="WCQ66" s="24"/>
      <c r="WCR66" s="24"/>
      <c r="WCS66" s="24"/>
      <c r="WCT66" s="24"/>
      <c r="WCU66" s="24"/>
      <c r="WCV66" s="24"/>
      <c r="WCW66" s="24"/>
      <c r="WCX66" s="24"/>
      <c r="WCY66" s="24"/>
      <c r="WCZ66" s="24"/>
      <c r="WDA66" s="24"/>
      <c r="WDB66" s="24"/>
      <c r="WDC66" s="24"/>
      <c r="WDD66" s="24"/>
      <c r="WDE66" s="24"/>
      <c r="WDF66" s="24"/>
      <c r="WDG66" s="24"/>
      <c r="WDH66" s="24"/>
      <c r="WDI66" s="24"/>
      <c r="WDJ66" s="24"/>
      <c r="WDK66" s="24"/>
      <c r="WDL66" s="24"/>
      <c r="WDM66" s="24"/>
      <c r="WDN66" s="24"/>
      <c r="WDO66" s="24"/>
      <c r="WDP66" s="24"/>
      <c r="WDQ66" s="24"/>
      <c r="WDR66" s="24"/>
      <c r="WDS66" s="24"/>
      <c r="WDT66" s="24"/>
      <c r="WDU66" s="24"/>
      <c r="WDV66" s="24"/>
      <c r="WDW66" s="24"/>
      <c r="WDX66" s="24"/>
      <c r="WDY66" s="24"/>
      <c r="WDZ66" s="24"/>
      <c r="WEA66" s="24"/>
      <c r="WEB66" s="24"/>
      <c r="WEC66" s="24"/>
      <c r="WED66" s="24"/>
      <c r="WEE66" s="24"/>
      <c r="WEF66" s="24"/>
      <c r="WEG66" s="24"/>
      <c r="WEH66" s="24"/>
      <c r="WEI66" s="24"/>
      <c r="WEJ66" s="24"/>
      <c r="WEK66" s="24"/>
      <c r="WEL66" s="24"/>
      <c r="WEM66" s="24"/>
      <c r="WEN66" s="24"/>
      <c r="WEO66" s="24"/>
      <c r="WEP66" s="24"/>
      <c r="WEQ66" s="24"/>
      <c r="WER66" s="24"/>
      <c r="WES66" s="24"/>
      <c r="WET66" s="24"/>
      <c r="WEU66" s="24"/>
      <c r="WEV66" s="24"/>
      <c r="WEW66" s="24"/>
      <c r="WEX66" s="24"/>
      <c r="WEY66" s="24"/>
      <c r="WEZ66" s="24"/>
      <c r="WFA66" s="24"/>
      <c r="WFB66" s="24"/>
      <c r="WFC66" s="24"/>
      <c r="WFD66" s="24"/>
      <c r="WFE66" s="24"/>
      <c r="WFF66" s="24"/>
      <c r="WFG66" s="24"/>
      <c r="WFH66" s="24"/>
      <c r="WFI66" s="24"/>
      <c r="WFJ66" s="24"/>
      <c r="WFK66" s="24"/>
      <c r="WFL66" s="24"/>
      <c r="WFM66" s="24"/>
      <c r="WFN66" s="24"/>
      <c r="WFO66" s="24"/>
      <c r="WFP66" s="24"/>
      <c r="WFQ66" s="24"/>
      <c r="WFR66" s="24"/>
      <c r="WFS66" s="24"/>
      <c r="WFT66" s="24"/>
      <c r="WFU66" s="24"/>
      <c r="WFV66" s="24"/>
      <c r="WFW66" s="24"/>
      <c r="WFX66" s="24"/>
      <c r="WFY66" s="24"/>
      <c r="WFZ66" s="24"/>
      <c r="WGA66" s="24"/>
      <c r="WGB66" s="24"/>
      <c r="WGC66" s="24"/>
      <c r="WGD66" s="24"/>
      <c r="WGE66" s="24"/>
      <c r="WGF66" s="24"/>
      <c r="WGG66" s="24"/>
      <c r="WGH66" s="24"/>
      <c r="WGI66" s="24"/>
      <c r="WGJ66" s="24"/>
      <c r="WGK66" s="24"/>
      <c r="WGL66" s="24"/>
      <c r="WGM66" s="24"/>
      <c r="WGN66" s="24"/>
      <c r="WGO66" s="24"/>
      <c r="WGP66" s="24"/>
      <c r="WGQ66" s="24"/>
      <c r="WGR66" s="24"/>
      <c r="WGS66" s="24"/>
      <c r="WGT66" s="24"/>
      <c r="WGU66" s="24"/>
      <c r="WGV66" s="24"/>
      <c r="WGW66" s="24"/>
      <c r="WGX66" s="24"/>
      <c r="WGY66" s="24"/>
      <c r="WGZ66" s="24"/>
      <c r="WHA66" s="24"/>
      <c r="WHB66" s="24"/>
      <c r="WHC66" s="24"/>
      <c r="WHD66" s="24"/>
      <c r="WHE66" s="24"/>
      <c r="WHF66" s="24"/>
      <c r="WHG66" s="24"/>
      <c r="WHH66" s="24"/>
      <c r="WHI66" s="24"/>
      <c r="WHJ66" s="24"/>
      <c r="WHK66" s="24"/>
      <c r="WHL66" s="24"/>
      <c r="WHM66" s="24"/>
      <c r="WHN66" s="24"/>
      <c r="WHO66" s="24"/>
      <c r="WHP66" s="24"/>
      <c r="WHQ66" s="24"/>
      <c r="WHR66" s="24"/>
      <c r="WHS66" s="24"/>
      <c r="WHT66" s="24"/>
      <c r="WHU66" s="24"/>
      <c r="WHV66" s="24"/>
      <c r="WHW66" s="24"/>
      <c r="WHX66" s="24"/>
      <c r="WHY66" s="24"/>
      <c r="WHZ66" s="24"/>
      <c r="WIA66" s="24"/>
      <c r="WIB66" s="24"/>
      <c r="WIC66" s="24"/>
      <c r="WID66" s="24"/>
      <c r="WIE66" s="24"/>
      <c r="WIF66" s="24"/>
      <c r="WIG66" s="24"/>
      <c r="WIH66" s="24"/>
      <c r="WII66" s="24"/>
      <c r="WIJ66" s="24"/>
      <c r="WIK66" s="24"/>
      <c r="WIL66" s="24"/>
      <c r="WIM66" s="24"/>
      <c r="WIN66" s="24"/>
      <c r="WIO66" s="24"/>
      <c r="WIP66" s="24"/>
      <c r="WIQ66" s="24"/>
      <c r="WIR66" s="24"/>
      <c r="WIS66" s="24"/>
      <c r="WIT66" s="24"/>
      <c r="WIU66" s="24"/>
      <c r="WIV66" s="24"/>
      <c r="WIW66" s="24"/>
      <c r="WIX66" s="24"/>
      <c r="WIY66" s="24"/>
      <c r="WIZ66" s="24"/>
      <c r="WJA66" s="24"/>
      <c r="WJB66" s="24"/>
      <c r="WJC66" s="24"/>
      <c r="WJD66" s="24"/>
      <c r="WJE66" s="24"/>
      <c r="WJF66" s="24"/>
      <c r="WJG66" s="24"/>
      <c r="WJH66" s="24"/>
      <c r="WJI66" s="24"/>
      <c r="WJJ66" s="24"/>
      <c r="WJK66" s="24"/>
      <c r="WJL66" s="24"/>
      <c r="WJM66" s="24"/>
      <c r="WJN66" s="24"/>
      <c r="WJO66" s="24"/>
      <c r="WJP66" s="24"/>
      <c r="WJQ66" s="24"/>
      <c r="WJR66" s="24"/>
      <c r="WJS66" s="24"/>
      <c r="WJT66" s="24"/>
      <c r="WJU66" s="24"/>
      <c r="WJV66" s="24"/>
      <c r="WJW66" s="24"/>
      <c r="WJX66" s="24"/>
      <c r="WJY66" s="24"/>
      <c r="WJZ66" s="24"/>
      <c r="WKA66" s="24"/>
      <c r="WKB66" s="24"/>
      <c r="WKC66" s="24"/>
      <c r="WKD66" s="24"/>
      <c r="WKE66" s="24"/>
      <c r="WKF66" s="24"/>
      <c r="WKG66" s="24"/>
      <c r="WKH66" s="24"/>
      <c r="WKI66" s="24"/>
      <c r="WKJ66" s="24"/>
      <c r="WKK66" s="24"/>
      <c r="WKL66" s="24"/>
      <c r="WKM66" s="24"/>
      <c r="WKN66" s="24"/>
      <c r="WKO66" s="24"/>
      <c r="WKP66" s="24"/>
      <c r="WKQ66" s="24"/>
      <c r="WKR66" s="24"/>
      <c r="WKS66" s="24"/>
      <c r="WKT66" s="24"/>
      <c r="WKU66" s="24"/>
      <c r="WKV66" s="24"/>
      <c r="WKW66" s="24"/>
      <c r="WKX66" s="24"/>
      <c r="WKY66" s="24"/>
      <c r="WKZ66" s="24"/>
      <c r="WLA66" s="24"/>
      <c r="WLB66" s="24"/>
      <c r="WLC66" s="24"/>
      <c r="WLD66" s="24"/>
      <c r="WLE66" s="24"/>
      <c r="WLF66" s="24"/>
      <c r="WLG66" s="24"/>
      <c r="WLH66" s="24"/>
      <c r="WLI66" s="24"/>
      <c r="WLJ66" s="24"/>
      <c r="WLK66" s="24"/>
      <c r="WLL66" s="24"/>
      <c r="WLM66" s="24"/>
      <c r="WLN66" s="24"/>
      <c r="WLO66" s="24"/>
      <c r="WLP66" s="24"/>
      <c r="WLQ66" s="24"/>
      <c r="WLR66" s="24"/>
      <c r="WLS66" s="24"/>
      <c r="WLT66" s="24"/>
      <c r="WLU66" s="24"/>
      <c r="WLV66" s="24"/>
      <c r="WLW66" s="24"/>
      <c r="WLX66" s="24"/>
      <c r="WLY66" s="24"/>
      <c r="WLZ66" s="24"/>
      <c r="WMA66" s="24"/>
      <c r="WMB66" s="24"/>
      <c r="WMC66" s="24"/>
      <c r="WMD66" s="24"/>
      <c r="WME66" s="24"/>
      <c r="WMF66" s="24"/>
      <c r="WMG66" s="24"/>
      <c r="WMH66" s="24"/>
      <c r="WMI66" s="24"/>
      <c r="WMJ66" s="24"/>
      <c r="WMK66" s="24"/>
      <c r="WML66" s="24"/>
      <c r="WMM66" s="24"/>
      <c r="WMN66" s="24"/>
      <c r="WMO66" s="24"/>
      <c r="WMP66" s="24"/>
      <c r="WMQ66" s="24"/>
      <c r="WMR66" s="24"/>
      <c r="WMS66" s="24"/>
      <c r="WMT66" s="24"/>
      <c r="WMU66" s="24"/>
      <c r="WMV66" s="24"/>
      <c r="WMW66" s="24"/>
      <c r="WMX66" s="24"/>
      <c r="WMY66" s="24"/>
      <c r="WMZ66" s="24"/>
      <c r="WNA66" s="24"/>
      <c r="WNB66" s="24"/>
      <c r="WNC66" s="24"/>
      <c r="WND66" s="24"/>
      <c r="WNE66" s="24"/>
      <c r="WNF66" s="24"/>
      <c r="WNG66" s="24"/>
      <c r="WNH66" s="24"/>
      <c r="WNI66" s="24"/>
      <c r="WNJ66" s="24"/>
      <c r="WNK66" s="24"/>
      <c r="WNL66" s="24"/>
      <c r="WNM66" s="24"/>
      <c r="WNN66" s="24"/>
      <c r="WNO66" s="24"/>
      <c r="WNP66" s="24"/>
      <c r="WNQ66" s="24"/>
      <c r="WNR66" s="24"/>
      <c r="WNS66" s="24"/>
      <c r="WNT66" s="24"/>
      <c r="WNU66" s="24"/>
      <c r="WNV66" s="24"/>
      <c r="WNW66" s="24"/>
      <c r="WNX66" s="24"/>
      <c r="WNY66" s="24"/>
      <c r="WNZ66" s="24"/>
      <c r="WOA66" s="24"/>
      <c r="WOB66" s="24"/>
      <c r="WOC66" s="24"/>
      <c r="WOD66" s="24"/>
      <c r="WOE66" s="24"/>
      <c r="WOF66" s="24"/>
      <c r="WOG66" s="24"/>
      <c r="WOH66" s="24"/>
      <c r="WOI66" s="24"/>
      <c r="WOJ66" s="24"/>
      <c r="WOK66" s="24"/>
      <c r="WOL66" s="24"/>
      <c r="WOM66" s="24"/>
      <c r="WON66" s="24"/>
      <c r="WOO66" s="24"/>
      <c r="WOP66" s="24"/>
      <c r="WOQ66" s="24"/>
      <c r="WOR66" s="24"/>
      <c r="WOS66" s="24"/>
      <c r="WOT66" s="24"/>
      <c r="WOU66" s="24"/>
      <c r="WOV66" s="24"/>
      <c r="WOW66" s="24"/>
      <c r="WOX66" s="24"/>
      <c r="WOY66" s="24"/>
      <c r="WOZ66" s="24"/>
      <c r="WPA66" s="24"/>
      <c r="WPB66" s="24"/>
      <c r="WPC66" s="24"/>
      <c r="WPD66" s="24"/>
      <c r="WPE66" s="24"/>
      <c r="WPF66" s="24"/>
      <c r="WPG66" s="24"/>
      <c r="WPH66" s="24"/>
      <c r="WPI66" s="24"/>
      <c r="WPJ66" s="24"/>
      <c r="WPK66" s="24"/>
      <c r="WPL66" s="24"/>
      <c r="WPM66" s="24"/>
      <c r="WPN66" s="24"/>
      <c r="WPO66" s="24"/>
      <c r="WPP66" s="24"/>
      <c r="WPQ66" s="24"/>
      <c r="WPR66" s="24"/>
      <c r="WPS66" s="24"/>
      <c r="WPT66" s="24"/>
      <c r="WPU66" s="24"/>
      <c r="WPV66" s="24"/>
      <c r="WPW66" s="24"/>
      <c r="WPX66" s="24"/>
      <c r="WPY66" s="24"/>
      <c r="WPZ66" s="24"/>
      <c r="WQA66" s="24"/>
      <c r="WQB66" s="24"/>
      <c r="WQC66" s="24"/>
      <c r="WQD66" s="24"/>
      <c r="WQE66" s="24"/>
      <c r="WQF66" s="24"/>
      <c r="WQG66" s="24"/>
      <c r="WQH66" s="24"/>
      <c r="WQI66" s="24"/>
      <c r="WQJ66" s="24"/>
      <c r="WQK66" s="24"/>
      <c r="WQL66" s="24"/>
      <c r="WQM66" s="24"/>
      <c r="WQN66" s="24"/>
      <c r="WQO66" s="24"/>
      <c r="WQP66" s="24"/>
      <c r="WQQ66" s="24"/>
      <c r="WQR66" s="24"/>
      <c r="WQS66" s="24"/>
      <c r="WQT66" s="24"/>
      <c r="WQU66" s="24"/>
      <c r="WQV66" s="24"/>
      <c r="WQW66" s="24"/>
      <c r="WQX66" s="24"/>
      <c r="WQY66" s="24"/>
      <c r="WQZ66" s="24"/>
      <c r="WRA66" s="24"/>
      <c r="WRB66" s="24"/>
      <c r="WRC66" s="24"/>
      <c r="WRD66" s="24"/>
      <c r="WRE66" s="24"/>
      <c r="WRF66" s="24"/>
      <c r="WRG66" s="24"/>
      <c r="WRH66" s="24"/>
      <c r="WRI66" s="24"/>
      <c r="WRJ66" s="24"/>
      <c r="WRK66" s="24"/>
      <c r="WRL66" s="24"/>
      <c r="WRM66" s="24"/>
      <c r="WRN66" s="24"/>
      <c r="WRO66" s="24"/>
      <c r="WRP66" s="24"/>
      <c r="WRQ66" s="24"/>
      <c r="WRR66" s="24"/>
      <c r="WRS66" s="24"/>
      <c r="WRT66" s="24"/>
      <c r="WRU66" s="24"/>
      <c r="WRV66" s="24"/>
      <c r="WRW66" s="24"/>
      <c r="WRX66" s="24"/>
      <c r="WRY66" s="24"/>
      <c r="WRZ66" s="24"/>
      <c r="WSA66" s="24"/>
      <c r="WSB66" s="24"/>
      <c r="WSC66" s="24"/>
      <c r="WSD66" s="24"/>
      <c r="WSE66" s="24"/>
      <c r="WSF66" s="24"/>
      <c r="WSG66" s="24"/>
      <c r="WSH66" s="24"/>
      <c r="WSI66" s="24"/>
      <c r="WSJ66" s="24"/>
      <c r="WSK66" s="24"/>
      <c r="WSL66" s="24"/>
      <c r="WSM66" s="24"/>
      <c r="WSN66" s="24"/>
      <c r="WSO66" s="24"/>
      <c r="WSP66" s="24"/>
      <c r="WSQ66" s="24"/>
      <c r="WSR66" s="24"/>
      <c r="WSS66" s="24"/>
      <c r="WST66" s="24"/>
      <c r="WSU66" s="24"/>
      <c r="WSV66" s="24"/>
      <c r="WSW66" s="24"/>
      <c r="WSX66" s="24"/>
      <c r="WSY66" s="24"/>
      <c r="WSZ66" s="24"/>
      <c r="WTA66" s="24"/>
      <c r="WTB66" s="24"/>
      <c r="WTC66" s="24"/>
      <c r="WTD66" s="24"/>
      <c r="WTE66" s="24"/>
      <c r="WTF66" s="24"/>
      <c r="WTG66" s="24"/>
      <c r="WTH66" s="24"/>
      <c r="WTI66" s="24"/>
      <c r="WTJ66" s="24"/>
      <c r="WTK66" s="24"/>
      <c r="WTL66" s="24"/>
      <c r="WTM66" s="24"/>
      <c r="WTN66" s="24"/>
      <c r="WTO66" s="24"/>
      <c r="WTP66" s="24"/>
      <c r="WTQ66" s="24"/>
      <c r="WTR66" s="24"/>
      <c r="WTS66" s="24"/>
      <c r="WTT66" s="24"/>
      <c r="WTU66" s="24"/>
      <c r="WTV66" s="24"/>
      <c r="WTW66" s="24"/>
      <c r="WTX66" s="24"/>
      <c r="WTY66" s="24"/>
      <c r="WTZ66" s="24"/>
      <c r="WUA66" s="24"/>
      <c r="WUB66" s="24"/>
      <c r="WUC66" s="24"/>
      <c r="WUD66" s="24"/>
      <c r="WUE66" s="24"/>
      <c r="WUF66" s="24"/>
      <c r="WUG66" s="24"/>
      <c r="WUH66" s="24"/>
      <c r="WUI66" s="24"/>
      <c r="WUJ66" s="24"/>
      <c r="WUK66" s="24"/>
      <c r="WUL66" s="24"/>
      <c r="WUM66" s="24"/>
      <c r="WUN66" s="24"/>
      <c r="WUO66" s="24"/>
      <c r="WUP66" s="24"/>
      <c r="WUQ66" s="24"/>
      <c r="WUR66" s="24"/>
      <c r="WUS66" s="24"/>
      <c r="WUT66" s="24"/>
      <c r="WUU66" s="24"/>
      <c r="WUV66" s="24"/>
      <c r="WUW66" s="24"/>
      <c r="WUX66" s="24"/>
      <c r="WUY66" s="24"/>
      <c r="WUZ66" s="24"/>
      <c r="WVA66" s="24"/>
      <c r="WVB66" s="24"/>
      <c r="WVC66" s="24"/>
      <c r="WVD66" s="24"/>
      <c r="WVE66" s="24"/>
      <c r="WVF66" s="24"/>
      <c r="WVG66" s="24"/>
      <c r="WVH66" s="24"/>
      <c r="WVI66" s="24"/>
      <c r="WVJ66" s="24"/>
      <c r="WVK66" s="24"/>
      <c r="WVL66" s="24"/>
      <c r="WVM66" s="24"/>
      <c r="WVN66" s="24"/>
      <c r="WVO66" s="24"/>
      <c r="WVP66" s="24"/>
      <c r="WVQ66" s="24"/>
      <c r="WVR66" s="24"/>
      <c r="WVS66" s="24"/>
      <c r="WVT66" s="24"/>
      <c r="WVU66" s="24"/>
      <c r="WVV66" s="24"/>
      <c r="WVW66" s="24"/>
      <c r="WVX66" s="24"/>
      <c r="WVY66" s="24"/>
      <c r="WVZ66" s="24"/>
      <c r="WWA66" s="24"/>
      <c r="WWB66" s="24"/>
      <c r="WWC66" s="24"/>
      <c r="WWD66" s="24"/>
      <c r="WWE66" s="24"/>
      <c r="WWF66" s="24"/>
      <c r="WWG66" s="24"/>
      <c r="WWH66" s="24"/>
      <c r="WWI66" s="24"/>
      <c r="WWJ66" s="24"/>
      <c r="WWK66" s="24"/>
      <c r="WWL66" s="24"/>
      <c r="WWM66" s="24"/>
      <c r="WWN66" s="24"/>
      <c r="WWO66" s="24"/>
      <c r="WWP66" s="24"/>
      <c r="WWQ66" s="24"/>
      <c r="WWR66" s="24"/>
      <c r="WWS66" s="24"/>
      <c r="WWT66" s="24"/>
      <c r="WWU66" s="24"/>
      <c r="WWV66" s="24"/>
      <c r="WWW66" s="24"/>
      <c r="WWX66" s="24"/>
      <c r="WWY66" s="24"/>
      <c r="WWZ66" s="24"/>
      <c r="WXA66" s="24"/>
      <c r="WXB66" s="24"/>
      <c r="WXC66" s="24"/>
      <c r="WXD66" s="24"/>
      <c r="WXE66" s="24"/>
      <c r="WXF66" s="24"/>
      <c r="WXG66" s="24"/>
      <c r="WXH66" s="24"/>
      <c r="WXI66" s="24"/>
      <c r="WXJ66" s="24"/>
      <c r="WXK66" s="24"/>
      <c r="WXL66" s="24"/>
      <c r="WXM66" s="24"/>
      <c r="WXN66" s="24"/>
      <c r="WXO66" s="24"/>
      <c r="WXP66" s="24"/>
      <c r="WXQ66" s="24"/>
      <c r="WXR66" s="24"/>
      <c r="WXS66" s="24"/>
      <c r="WXT66" s="24"/>
      <c r="WXU66" s="24"/>
      <c r="WXV66" s="24"/>
      <c r="WXW66" s="24"/>
      <c r="WXX66" s="24"/>
      <c r="WXY66" s="24"/>
      <c r="WXZ66" s="24"/>
      <c r="WYA66" s="24"/>
      <c r="WYB66" s="24"/>
      <c r="WYC66" s="24"/>
      <c r="WYD66" s="24"/>
      <c r="WYE66" s="24"/>
      <c r="WYF66" s="24"/>
      <c r="WYG66" s="24"/>
      <c r="WYH66" s="24"/>
      <c r="WYI66" s="24"/>
      <c r="WYJ66" s="24"/>
      <c r="WYK66" s="24"/>
      <c r="WYL66" s="24"/>
      <c r="WYM66" s="24"/>
      <c r="WYN66" s="24"/>
      <c r="WYO66" s="24"/>
      <c r="WYP66" s="24"/>
      <c r="WYQ66" s="24"/>
      <c r="WYR66" s="24"/>
      <c r="WYS66" s="24"/>
      <c r="WYT66" s="24"/>
      <c r="WYU66" s="24"/>
      <c r="WYV66" s="24"/>
      <c r="WYW66" s="24"/>
      <c r="WYX66" s="24"/>
      <c r="WYY66" s="24"/>
      <c r="WYZ66" s="24"/>
      <c r="WZA66" s="24"/>
      <c r="WZB66" s="24"/>
      <c r="WZC66" s="24"/>
      <c r="WZD66" s="24"/>
      <c r="WZE66" s="24"/>
      <c r="WZF66" s="24"/>
      <c r="WZG66" s="24"/>
      <c r="WZH66" s="24"/>
      <c r="WZI66" s="24"/>
      <c r="WZJ66" s="24"/>
      <c r="WZK66" s="24"/>
      <c r="WZL66" s="24"/>
      <c r="WZM66" s="24"/>
      <c r="WZN66" s="24"/>
      <c r="WZO66" s="24"/>
      <c r="WZP66" s="24"/>
      <c r="WZQ66" s="24"/>
      <c r="WZR66" s="24"/>
      <c r="WZS66" s="24"/>
      <c r="WZT66" s="24"/>
      <c r="WZU66" s="24"/>
      <c r="WZV66" s="24"/>
      <c r="WZW66" s="24"/>
      <c r="WZX66" s="24"/>
      <c r="WZY66" s="24"/>
      <c r="WZZ66" s="24"/>
      <c r="XAA66" s="24"/>
      <c r="XAB66" s="24"/>
      <c r="XAC66" s="24"/>
      <c r="XAD66" s="24"/>
      <c r="XAE66" s="24"/>
      <c r="XAF66" s="24"/>
      <c r="XAG66" s="24"/>
      <c r="XAH66" s="24"/>
      <c r="XAI66" s="24"/>
      <c r="XAJ66" s="24"/>
      <c r="XAK66" s="24"/>
      <c r="XAL66" s="24"/>
      <c r="XAM66" s="24"/>
      <c r="XAN66" s="24"/>
      <c r="XAO66" s="24"/>
      <c r="XAP66" s="24"/>
      <c r="XAQ66" s="24"/>
      <c r="XAR66" s="24"/>
      <c r="XAS66" s="24"/>
      <c r="XAT66" s="24"/>
      <c r="XAU66" s="24"/>
      <c r="XAV66" s="24"/>
      <c r="XAW66" s="24"/>
      <c r="XAX66" s="24"/>
      <c r="XAY66" s="24"/>
      <c r="XAZ66" s="24"/>
      <c r="XBA66" s="24"/>
      <c r="XBB66" s="24"/>
      <c r="XBC66" s="24"/>
      <c r="XBD66" s="24"/>
      <c r="XBE66" s="24"/>
      <c r="XBF66" s="24"/>
      <c r="XBG66" s="24"/>
      <c r="XBH66" s="24"/>
      <c r="XBI66" s="24"/>
      <c r="XBJ66" s="24"/>
      <c r="XBK66" s="24"/>
      <c r="XBL66" s="24"/>
      <c r="XBM66" s="24"/>
      <c r="XBN66" s="24"/>
      <c r="XBO66" s="24"/>
      <c r="XBP66" s="24"/>
      <c r="XBQ66" s="24"/>
      <c r="XBR66" s="24"/>
      <c r="XBS66" s="24"/>
      <c r="XBT66" s="24"/>
      <c r="XBU66" s="24"/>
      <c r="XBV66" s="24"/>
      <c r="XBW66" s="24"/>
      <c r="XBX66" s="24"/>
      <c r="XBY66" s="24"/>
      <c r="XBZ66" s="24"/>
      <c r="XCA66" s="24"/>
      <c r="XCB66" s="24"/>
      <c r="XCC66" s="24"/>
      <c r="XCD66" s="24"/>
      <c r="XCE66" s="24"/>
      <c r="XCF66" s="24"/>
      <c r="XCG66" s="24"/>
      <c r="XCH66" s="24"/>
      <c r="XCI66" s="24"/>
      <c r="XCJ66" s="24"/>
      <c r="XCK66" s="24"/>
      <c r="XCL66" s="24"/>
      <c r="XCM66" s="24"/>
      <c r="XCN66" s="24"/>
      <c r="XCO66" s="24"/>
      <c r="XCP66" s="24"/>
      <c r="XCQ66" s="24"/>
      <c r="XCR66" s="24"/>
      <c r="XCS66" s="24"/>
      <c r="XCT66" s="24"/>
      <c r="XCU66" s="24"/>
      <c r="XCV66" s="24"/>
      <c r="XCW66" s="24"/>
      <c r="XCX66" s="24"/>
      <c r="XCY66" s="24"/>
      <c r="XCZ66" s="24"/>
      <c r="XDA66" s="24"/>
      <c r="XDB66" s="24"/>
      <c r="XDC66" s="24"/>
      <c r="XDD66" s="24"/>
      <c r="XDE66" s="24"/>
      <c r="XDF66" s="24"/>
      <c r="XDG66" s="24"/>
      <c r="XDH66" s="24"/>
      <c r="XDI66" s="24"/>
      <c r="XDJ66" s="24"/>
      <c r="XDK66" s="24"/>
      <c r="XDL66" s="24"/>
      <c r="XDM66" s="24"/>
      <c r="XDN66" s="24"/>
      <c r="XDO66" s="24"/>
      <c r="XDP66" s="24"/>
      <c r="XDQ66" s="24"/>
      <c r="XDR66" s="24"/>
      <c r="XDS66" s="24"/>
      <c r="XDT66" s="24"/>
      <c r="XDU66" s="24"/>
      <c r="XDV66" s="24"/>
      <c r="XDW66" s="24"/>
      <c r="XDX66" s="24"/>
      <c r="XDY66" s="24"/>
      <c r="XDZ66" s="24"/>
      <c r="XEA66" s="24"/>
      <c r="XEB66" s="24"/>
      <c r="XEC66" s="24"/>
      <c r="XED66" s="24"/>
      <c r="XEE66" s="24"/>
      <c r="XEF66" s="24"/>
      <c r="XEG66" s="24"/>
      <c r="XEH66" s="24"/>
      <c r="XEI66" s="24"/>
      <c r="XEJ66" s="24"/>
      <c r="XEK66" s="24"/>
      <c r="XEL66" s="24"/>
      <c r="XEM66" s="24"/>
      <c r="XEN66" s="24"/>
    </row>
    <row r="67" spans="1:16368" ht="14.45" customHeight="1" x14ac:dyDescent="0.2">
      <c r="A67" s="19"/>
      <c r="B67" s="19"/>
      <c r="C67" s="19"/>
      <c r="D67" s="19"/>
      <c r="E67" s="19"/>
      <c r="F67" s="19"/>
      <c r="P67" s="38"/>
      <c r="Q67" s="38"/>
      <c r="R67" s="38"/>
    </row>
    <row r="68" spans="1:16368" ht="14.45" customHeight="1" x14ac:dyDescent="0.2">
      <c r="P68" s="38"/>
      <c r="Q68" s="38"/>
      <c r="R68" s="38"/>
    </row>
    <row r="69" spans="1:16368" ht="14.45" customHeight="1" x14ac:dyDescent="0.2">
      <c r="P69" s="38"/>
      <c r="Q69" s="38"/>
      <c r="R69" s="38"/>
    </row>
    <row r="70" spans="1:16368" ht="14.45" customHeight="1" x14ac:dyDescent="0.2">
      <c r="P70" s="38"/>
      <c r="Q70" s="38"/>
      <c r="R70" s="38"/>
    </row>
    <row r="71" spans="1:16368" ht="14.45" customHeight="1" x14ac:dyDescent="0.2">
      <c r="P71" s="38"/>
      <c r="Q71" s="38"/>
      <c r="R71" s="38"/>
    </row>
    <row r="72" spans="1:16368" ht="14.45" customHeight="1" x14ac:dyDescent="0.25">
      <c r="G72"/>
      <c r="H72"/>
      <c r="I72"/>
      <c r="J72"/>
      <c r="K72"/>
      <c r="L72"/>
      <c r="M72"/>
      <c r="N72"/>
      <c r="O72"/>
      <c r="P72"/>
      <c r="Q72"/>
      <c r="R72"/>
      <c r="S72"/>
      <c r="T72"/>
      <c r="U72"/>
      <c r="V72"/>
      <c r="W72"/>
      <c r="X72"/>
      <c r="Y72"/>
      <c r="Z72"/>
      <c r="AA72"/>
      <c r="AB72"/>
      <c r="AC72"/>
      <c r="AD72"/>
    </row>
    <row r="73" spans="1:16368" ht="14.45" customHeight="1" x14ac:dyDescent="0.25">
      <c r="G73"/>
      <c r="H73"/>
      <c r="I73"/>
      <c r="J73"/>
      <c r="K73"/>
      <c r="L73"/>
      <c r="M73"/>
      <c r="N73"/>
      <c r="O73"/>
      <c r="P73"/>
      <c r="Q73"/>
      <c r="R73"/>
      <c r="S73"/>
      <c r="T73"/>
      <c r="U73"/>
      <c r="V73"/>
      <c r="W73"/>
      <c r="X73"/>
      <c r="Y73"/>
      <c r="Z73"/>
      <c r="AA73"/>
      <c r="AB73"/>
      <c r="AC73"/>
      <c r="AD73"/>
    </row>
    <row r="74" spans="1:16368" ht="14.45" customHeight="1" x14ac:dyDescent="0.25">
      <c r="B74"/>
      <c r="C74"/>
      <c r="D74"/>
      <c r="E74"/>
      <c r="F74"/>
      <c r="G74"/>
      <c r="H74"/>
      <c r="I74"/>
      <c r="J74"/>
      <c r="K74"/>
      <c r="L74"/>
      <c r="M74"/>
      <c r="N74"/>
      <c r="O74"/>
      <c r="P74"/>
      <c r="Q74"/>
      <c r="R74"/>
      <c r="S74"/>
      <c r="T74"/>
      <c r="U74"/>
      <c r="V74"/>
      <c r="W74"/>
      <c r="X74"/>
      <c r="Y74"/>
      <c r="Z74"/>
      <c r="AA74"/>
      <c r="AB74"/>
      <c r="AC74"/>
      <c r="AD74"/>
    </row>
    <row r="75" spans="1:16368" ht="14.45" customHeight="1" x14ac:dyDescent="0.25">
      <c r="B75"/>
      <c r="C75"/>
      <c r="D75"/>
      <c r="E75"/>
      <c r="F75"/>
      <c r="G75"/>
      <c r="H75"/>
      <c r="I75"/>
      <c r="J75"/>
      <c r="K75"/>
      <c r="L75"/>
      <c r="M75"/>
      <c r="N75"/>
      <c r="O75"/>
      <c r="P75"/>
      <c r="Q75"/>
      <c r="R75"/>
      <c r="S75"/>
      <c r="T75"/>
      <c r="U75"/>
      <c r="V75"/>
      <c r="W75"/>
      <c r="X75"/>
      <c r="Y75"/>
      <c r="Z75"/>
      <c r="AA75"/>
      <c r="AB75"/>
      <c r="AC75"/>
      <c r="AD75"/>
    </row>
    <row r="76" spans="1:16368" ht="14.45" customHeight="1" x14ac:dyDescent="0.25">
      <c r="B76"/>
      <c r="C76"/>
      <c r="D76"/>
      <c r="E76"/>
      <c r="F76"/>
      <c r="G76"/>
      <c r="H76"/>
      <c r="I76"/>
      <c r="J76"/>
      <c r="K76"/>
      <c r="L76"/>
      <c r="M76"/>
      <c r="N76"/>
      <c r="O76"/>
      <c r="P76"/>
      <c r="Q76"/>
      <c r="R76"/>
      <c r="S76"/>
      <c r="T76"/>
      <c r="U76"/>
      <c r="V76"/>
      <c r="W76"/>
      <c r="X76"/>
      <c r="Y76"/>
      <c r="Z76"/>
      <c r="AA76"/>
      <c r="AB76"/>
      <c r="AC76"/>
      <c r="AD76"/>
    </row>
    <row r="77" spans="1:16368" ht="14.45" customHeight="1" x14ac:dyDescent="0.25">
      <c r="B77"/>
      <c r="C77"/>
      <c r="D77"/>
      <c r="E77"/>
      <c r="F77"/>
      <c r="G77"/>
      <c r="H77"/>
      <c r="I77"/>
      <c r="J77"/>
      <c r="K77"/>
      <c r="L77"/>
      <c r="M77"/>
      <c r="N77"/>
      <c r="O77"/>
      <c r="P77"/>
      <c r="Q77"/>
      <c r="R77"/>
      <c r="S77"/>
      <c r="T77"/>
      <c r="U77"/>
      <c r="V77"/>
      <c r="W77"/>
      <c r="X77"/>
      <c r="Y77"/>
      <c r="Z77"/>
      <c r="AA77"/>
      <c r="AB77"/>
      <c r="AC77"/>
      <c r="AD77"/>
    </row>
    <row r="78" spans="1:16368" ht="14.45" customHeight="1" x14ac:dyDescent="0.25">
      <c r="B78"/>
      <c r="C78"/>
      <c r="D78"/>
      <c r="E78"/>
      <c r="F78"/>
      <c r="G78"/>
      <c r="H78"/>
      <c r="I78"/>
      <c r="J78"/>
      <c r="K78"/>
      <c r="L78"/>
      <c r="M78"/>
      <c r="N78"/>
      <c r="O78"/>
      <c r="P78"/>
      <c r="Q78"/>
      <c r="R78"/>
      <c r="S78"/>
      <c r="T78"/>
      <c r="U78"/>
      <c r="V78"/>
      <c r="W78"/>
      <c r="X78"/>
      <c r="Y78"/>
      <c r="Z78"/>
      <c r="AA78"/>
      <c r="AB78"/>
      <c r="AC78"/>
      <c r="AD78"/>
    </row>
    <row r="79" spans="1:16368" ht="14.45" customHeight="1" x14ac:dyDescent="0.25">
      <c r="B79"/>
      <c r="C79"/>
      <c r="D79"/>
      <c r="E79"/>
      <c r="F79"/>
      <c r="G79"/>
      <c r="H79"/>
      <c r="I79"/>
      <c r="J79"/>
      <c r="K79"/>
      <c r="L79"/>
      <c r="M79"/>
      <c r="N79"/>
      <c r="O79"/>
      <c r="P79"/>
      <c r="Q79"/>
      <c r="R79"/>
      <c r="S79"/>
      <c r="T79"/>
      <c r="U79"/>
      <c r="V79"/>
      <c r="W79"/>
      <c r="X79"/>
      <c r="Y79"/>
      <c r="Z79"/>
      <c r="AA79"/>
      <c r="AB79"/>
      <c r="AC79"/>
      <c r="AD79"/>
    </row>
    <row r="80" spans="1:16368" ht="14.45" customHeight="1" x14ac:dyDescent="0.25">
      <c r="B80"/>
      <c r="C80"/>
      <c r="D80"/>
      <c r="E80"/>
      <c r="F80"/>
      <c r="G80"/>
      <c r="H80"/>
      <c r="I80"/>
      <c r="J80"/>
      <c r="K80"/>
      <c r="L80"/>
      <c r="M80"/>
      <c r="N80"/>
      <c r="O80"/>
      <c r="P80"/>
      <c r="Q80"/>
      <c r="R80"/>
      <c r="S80"/>
      <c r="T80"/>
      <c r="U80"/>
      <c r="V80"/>
      <c r="W80"/>
      <c r="X80"/>
      <c r="Y80"/>
      <c r="Z80"/>
      <c r="AA80"/>
      <c r="AB80"/>
      <c r="AC80"/>
      <c r="AD80"/>
    </row>
    <row r="81" spans="2:30" ht="14.45" customHeight="1" x14ac:dyDescent="0.25">
      <c r="B81"/>
      <c r="C81"/>
      <c r="D81"/>
      <c r="E81"/>
      <c r="F81"/>
      <c r="G81"/>
      <c r="H81"/>
      <c r="I81"/>
      <c r="J81"/>
      <c r="K81"/>
      <c r="L81"/>
      <c r="M81"/>
      <c r="N81"/>
      <c r="O81"/>
      <c r="P81"/>
      <c r="Q81"/>
      <c r="R81"/>
      <c r="S81"/>
      <c r="T81"/>
      <c r="U81"/>
      <c r="V81"/>
      <c r="W81"/>
      <c r="X81"/>
      <c r="Y81"/>
      <c r="Z81"/>
      <c r="AA81"/>
      <c r="AB81"/>
      <c r="AC81"/>
      <c r="AD81"/>
    </row>
    <row r="82" spans="2:30" ht="14.45" customHeight="1" x14ac:dyDescent="0.25">
      <c r="B82"/>
      <c r="C82"/>
      <c r="D82"/>
      <c r="E82"/>
      <c r="F82"/>
      <c r="G82"/>
      <c r="H82"/>
      <c r="I82"/>
      <c r="J82"/>
      <c r="K82"/>
      <c r="L82"/>
      <c r="M82"/>
      <c r="N82"/>
      <c r="O82"/>
      <c r="P82"/>
      <c r="Q82"/>
      <c r="R82"/>
      <c r="S82"/>
      <c r="T82"/>
      <c r="U82"/>
      <c r="V82"/>
      <c r="W82"/>
      <c r="X82"/>
      <c r="Y82"/>
      <c r="Z82"/>
      <c r="AA82"/>
      <c r="AB82"/>
      <c r="AC82"/>
      <c r="AD82"/>
    </row>
    <row r="83" spans="2:30" ht="14.45" customHeight="1" x14ac:dyDescent="0.25">
      <c r="B83"/>
      <c r="C83"/>
      <c r="D83"/>
      <c r="E83"/>
      <c r="F83"/>
      <c r="G83"/>
      <c r="H83"/>
      <c r="I83"/>
      <c r="J83"/>
      <c r="K83"/>
      <c r="L83"/>
      <c r="M83"/>
      <c r="N83"/>
      <c r="O83"/>
      <c r="P83"/>
      <c r="Q83"/>
      <c r="R83"/>
      <c r="S83"/>
      <c r="T83"/>
      <c r="U83"/>
      <c r="V83"/>
      <c r="W83"/>
      <c r="X83"/>
      <c r="Y83"/>
      <c r="Z83"/>
      <c r="AA83"/>
      <c r="AB83"/>
      <c r="AC83"/>
      <c r="AD83"/>
    </row>
    <row r="84" spans="2:30" ht="14.45" customHeight="1" x14ac:dyDescent="0.25">
      <c r="B84"/>
      <c r="C84"/>
      <c r="D84"/>
      <c r="E84"/>
      <c r="F84"/>
      <c r="G84"/>
      <c r="H84"/>
      <c r="I84"/>
      <c r="J84"/>
      <c r="K84"/>
      <c r="L84"/>
      <c r="M84"/>
      <c r="N84"/>
      <c r="O84"/>
      <c r="P84"/>
      <c r="Q84"/>
      <c r="R84"/>
      <c r="S84"/>
      <c r="T84"/>
      <c r="U84"/>
      <c r="V84"/>
      <c r="W84"/>
      <c r="X84"/>
      <c r="Y84"/>
      <c r="Z84"/>
      <c r="AA84"/>
      <c r="AB84"/>
      <c r="AC84"/>
      <c r="AD84"/>
    </row>
    <row r="85" spans="2:30" ht="14.45" customHeight="1" x14ac:dyDescent="0.25">
      <c r="B85"/>
      <c r="C85"/>
      <c r="D85"/>
      <c r="E85"/>
      <c r="F85"/>
      <c r="G85"/>
      <c r="H85"/>
      <c r="I85"/>
      <c r="J85"/>
      <c r="K85"/>
      <c r="L85"/>
      <c r="M85"/>
      <c r="N85"/>
      <c r="O85"/>
      <c r="P85"/>
      <c r="Q85"/>
      <c r="R85"/>
      <c r="S85"/>
      <c r="T85"/>
      <c r="U85"/>
      <c r="V85"/>
      <c r="W85"/>
      <c r="X85"/>
      <c r="Y85"/>
      <c r="Z85"/>
      <c r="AA85"/>
      <c r="AB85"/>
      <c r="AC85"/>
      <c r="AD85"/>
    </row>
    <row r="86" spans="2:30" ht="14.45" customHeight="1" x14ac:dyDescent="0.25">
      <c r="B86"/>
      <c r="C86"/>
      <c r="D86"/>
      <c r="E86"/>
      <c r="F86"/>
      <c r="G86"/>
      <c r="H86"/>
      <c r="I86"/>
      <c r="J86"/>
      <c r="K86"/>
      <c r="L86"/>
      <c r="M86"/>
      <c r="N86"/>
      <c r="O86"/>
      <c r="P86"/>
      <c r="Q86"/>
      <c r="R86"/>
      <c r="S86"/>
      <c r="T86"/>
      <c r="U86"/>
      <c r="V86"/>
      <c r="W86"/>
      <c r="X86"/>
      <c r="Y86"/>
      <c r="Z86"/>
      <c r="AA86"/>
      <c r="AB86"/>
      <c r="AC86"/>
      <c r="AD86"/>
    </row>
    <row r="87" spans="2:30" ht="14.45" customHeight="1" x14ac:dyDescent="0.25">
      <c r="B87"/>
      <c r="C87"/>
      <c r="D87"/>
      <c r="E87"/>
      <c r="F87"/>
      <c r="G87"/>
      <c r="H87"/>
      <c r="I87"/>
      <c r="J87"/>
      <c r="K87"/>
      <c r="L87"/>
      <c r="M87"/>
      <c r="N87"/>
      <c r="O87"/>
      <c r="P87"/>
      <c r="Q87"/>
      <c r="R87"/>
      <c r="S87"/>
      <c r="T87"/>
      <c r="U87"/>
      <c r="V87"/>
      <c r="W87"/>
      <c r="X87"/>
      <c r="Y87"/>
      <c r="Z87"/>
      <c r="AA87"/>
      <c r="AB87"/>
      <c r="AC87"/>
      <c r="AD87"/>
    </row>
    <row r="88" spans="2:30" ht="14.45" customHeight="1" x14ac:dyDescent="0.25">
      <c r="B88"/>
      <c r="C88"/>
      <c r="D88"/>
      <c r="E88"/>
      <c r="F88"/>
      <c r="G88"/>
      <c r="H88"/>
      <c r="I88"/>
      <c r="J88"/>
      <c r="K88"/>
      <c r="L88"/>
      <c r="M88"/>
      <c r="N88"/>
      <c r="O88"/>
      <c r="P88"/>
      <c r="Q88"/>
      <c r="R88"/>
      <c r="S88"/>
      <c r="T88"/>
      <c r="U88"/>
      <c r="V88"/>
      <c r="W88"/>
      <c r="X88"/>
      <c r="Y88"/>
      <c r="Z88"/>
      <c r="AA88"/>
      <c r="AB88"/>
      <c r="AC88"/>
      <c r="AD88"/>
    </row>
    <row r="89" spans="2:30" ht="15" x14ac:dyDescent="0.25">
      <c r="B89"/>
      <c r="C89"/>
      <c r="D89"/>
      <c r="E89"/>
      <c r="F89"/>
      <c r="G89"/>
      <c r="H89"/>
      <c r="I89"/>
      <c r="J89"/>
      <c r="K89"/>
      <c r="L89"/>
      <c r="M89"/>
      <c r="N89"/>
      <c r="O89"/>
      <c r="P89"/>
      <c r="Q89"/>
      <c r="R89"/>
      <c r="S89"/>
      <c r="T89"/>
      <c r="U89"/>
      <c r="V89"/>
      <c r="W89"/>
      <c r="X89"/>
      <c r="Y89"/>
      <c r="Z89"/>
      <c r="AA89"/>
      <c r="AB89"/>
      <c r="AC89"/>
      <c r="AD89"/>
    </row>
    <row r="90" spans="2:30" ht="15" x14ac:dyDescent="0.25">
      <c r="B90"/>
      <c r="C90"/>
      <c r="D90"/>
      <c r="E90"/>
      <c r="F90"/>
      <c r="G90"/>
      <c r="H90"/>
      <c r="I90"/>
      <c r="J90"/>
      <c r="K90"/>
      <c r="L90"/>
      <c r="M90"/>
      <c r="N90"/>
      <c r="O90"/>
      <c r="P90"/>
      <c r="Q90"/>
      <c r="R90"/>
      <c r="S90"/>
      <c r="T90"/>
      <c r="U90"/>
      <c r="V90"/>
      <c r="W90"/>
      <c r="X90"/>
      <c r="Y90"/>
      <c r="Z90"/>
      <c r="AA90"/>
      <c r="AB90"/>
      <c r="AC90"/>
      <c r="AD90"/>
    </row>
    <row r="91" spans="2:30" ht="15" x14ac:dyDescent="0.25">
      <c r="B91"/>
      <c r="C91"/>
      <c r="D91"/>
      <c r="E91"/>
      <c r="F91"/>
      <c r="G91"/>
      <c r="H91"/>
      <c r="I91"/>
      <c r="J91"/>
      <c r="K91"/>
      <c r="L91"/>
      <c r="M91"/>
      <c r="N91"/>
      <c r="O91"/>
      <c r="P91"/>
      <c r="Q91"/>
      <c r="R91"/>
      <c r="S91"/>
      <c r="T91"/>
      <c r="U91"/>
      <c r="V91"/>
      <c r="W91"/>
      <c r="X91"/>
      <c r="Y91"/>
      <c r="Z91"/>
      <c r="AA91"/>
      <c r="AB91"/>
      <c r="AC91"/>
      <c r="AD91"/>
    </row>
    <row r="92" spans="2:30" ht="15" x14ac:dyDescent="0.25">
      <c r="B92"/>
      <c r="C92"/>
      <c r="D92"/>
      <c r="E92"/>
      <c r="F92"/>
      <c r="G92"/>
      <c r="H92"/>
      <c r="I92"/>
      <c r="J92"/>
      <c r="K92"/>
      <c r="L92"/>
      <c r="M92"/>
      <c r="N92"/>
      <c r="O92"/>
      <c r="P92"/>
      <c r="Q92"/>
      <c r="R92"/>
      <c r="S92"/>
      <c r="T92"/>
      <c r="U92"/>
      <c r="V92"/>
      <c r="W92"/>
      <c r="X92"/>
      <c r="Y92"/>
      <c r="Z92"/>
      <c r="AA92"/>
      <c r="AB92"/>
      <c r="AC92"/>
      <c r="AD92"/>
    </row>
    <row r="93" spans="2:30" ht="15" x14ac:dyDescent="0.25">
      <c r="B93"/>
      <c r="C93"/>
      <c r="D93"/>
      <c r="E93"/>
      <c r="F93"/>
      <c r="G93"/>
      <c r="H93"/>
      <c r="I93"/>
      <c r="J93"/>
      <c r="K93"/>
      <c r="L93"/>
      <c r="M93"/>
      <c r="N93"/>
      <c r="O93"/>
      <c r="P93"/>
      <c r="Q93"/>
      <c r="R93"/>
      <c r="S93"/>
      <c r="T93"/>
      <c r="U93"/>
      <c r="V93"/>
      <c r="W93"/>
      <c r="X93"/>
      <c r="Y93"/>
      <c r="Z93"/>
      <c r="AA93"/>
      <c r="AB93"/>
      <c r="AC93"/>
      <c r="AD93"/>
    </row>
    <row r="94" spans="2:30" ht="15" x14ac:dyDescent="0.25">
      <c r="B94"/>
      <c r="C94"/>
      <c r="D94"/>
      <c r="E94"/>
      <c r="F94"/>
      <c r="G94"/>
      <c r="H94"/>
      <c r="I94"/>
      <c r="J94"/>
      <c r="K94"/>
      <c r="L94"/>
      <c r="M94"/>
      <c r="N94"/>
      <c r="O94"/>
      <c r="P94"/>
      <c r="Q94"/>
      <c r="R94"/>
      <c r="S94"/>
      <c r="T94"/>
      <c r="U94"/>
      <c r="V94"/>
      <c r="W94"/>
      <c r="X94"/>
      <c r="Y94"/>
      <c r="Z94"/>
      <c r="AA94"/>
      <c r="AB94"/>
      <c r="AC94"/>
      <c r="AD94"/>
    </row>
    <row r="95" spans="2:30" ht="15" x14ac:dyDescent="0.25">
      <c r="B95"/>
      <c r="C95"/>
      <c r="D95"/>
      <c r="E95"/>
      <c r="F95"/>
      <c r="G95"/>
      <c r="H95"/>
      <c r="I95"/>
      <c r="J95"/>
      <c r="K95"/>
      <c r="L95"/>
      <c r="M95"/>
      <c r="N95"/>
      <c r="O95"/>
      <c r="P95"/>
      <c r="Q95"/>
      <c r="R95"/>
      <c r="S95"/>
      <c r="T95"/>
      <c r="U95"/>
      <c r="V95"/>
      <c r="W95"/>
      <c r="X95"/>
      <c r="Y95"/>
      <c r="Z95"/>
      <c r="AA95"/>
      <c r="AB95"/>
      <c r="AC95"/>
      <c r="AD95"/>
    </row>
    <row r="96" spans="2:30" ht="15" x14ac:dyDescent="0.25">
      <c r="B96"/>
      <c r="C96"/>
      <c r="D96"/>
      <c r="E96"/>
      <c r="F96"/>
      <c r="G96"/>
      <c r="H96"/>
      <c r="I96"/>
      <c r="J96"/>
      <c r="K96"/>
      <c r="L96"/>
      <c r="M96"/>
      <c r="N96"/>
      <c r="O96"/>
      <c r="P96"/>
      <c r="Q96"/>
      <c r="R96"/>
      <c r="S96"/>
      <c r="T96"/>
      <c r="U96"/>
      <c r="V96"/>
      <c r="W96"/>
      <c r="X96"/>
      <c r="Y96"/>
      <c r="Z96"/>
      <c r="AA96"/>
      <c r="AB96"/>
      <c r="AC96"/>
      <c r="AD96"/>
    </row>
    <row r="97" spans="2:30" ht="15" x14ac:dyDescent="0.25">
      <c r="B97"/>
      <c r="C97"/>
      <c r="D97"/>
      <c r="E97"/>
      <c r="F97"/>
      <c r="G97"/>
      <c r="H97"/>
      <c r="I97"/>
      <c r="J97"/>
      <c r="K97"/>
      <c r="L97"/>
      <c r="M97"/>
      <c r="N97"/>
      <c r="O97"/>
      <c r="P97"/>
      <c r="Q97"/>
      <c r="R97"/>
      <c r="S97"/>
      <c r="T97"/>
      <c r="U97"/>
      <c r="V97"/>
      <c r="W97"/>
      <c r="X97"/>
      <c r="Y97"/>
      <c r="Z97"/>
      <c r="AA97"/>
      <c r="AB97"/>
      <c r="AC97"/>
      <c r="AD97"/>
    </row>
    <row r="98" spans="2:30" ht="15" x14ac:dyDescent="0.25">
      <c r="B98"/>
      <c r="C98"/>
      <c r="D98"/>
      <c r="E98"/>
      <c r="F98"/>
      <c r="G98"/>
      <c r="H98"/>
      <c r="I98"/>
      <c r="J98"/>
      <c r="K98"/>
      <c r="L98"/>
      <c r="M98"/>
      <c r="N98"/>
      <c r="O98"/>
      <c r="P98"/>
      <c r="Q98"/>
      <c r="R98"/>
      <c r="S98"/>
      <c r="T98"/>
      <c r="U98"/>
      <c r="V98"/>
      <c r="W98"/>
      <c r="X98"/>
      <c r="Y98"/>
      <c r="Z98"/>
      <c r="AA98"/>
      <c r="AB98"/>
      <c r="AC98"/>
      <c r="AD98"/>
    </row>
    <row r="99" spans="2:30" ht="15" x14ac:dyDescent="0.25">
      <c r="B99"/>
      <c r="C99"/>
      <c r="D99"/>
      <c r="E99"/>
      <c r="F99"/>
      <c r="G99"/>
      <c r="H99"/>
      <c r="I99"/>
      <c r="J99"/>
      <c r="K99"/>
      <c r="L99"/>
      <c r="M99"/>
      <c r="N99"/>
      <c r="O99"/>
      <c r="P99"/>
      <c r="Q99"/>
      <c r="R99"/>
      <c r="S99"/>
      <c r="T99"/>
      <c r="U99"/>
      <c r="V99"/>
      <c r="W99"/>
      <c r="X99"/>
      <c r="Y99"/>
      <c r="Z99"/>
      <c r="AA99"/>
      <c r="AB99"/>
      <c r="AC99"/>
      <c r="AD99"/>
    </row>
    <row r="100" spans="2:30" ht="15" x14ac:dyDescent="0.25">
      <c r="B100"/>
      <c r="C100"/>
      <c r="D100"/>
      <c r="E100"/>
      <c r="F100"/>
      <c r="G100"/>
      <c r="H100"/>
      <c r="I100"/>
      <c r="J100"/>
      <c r="K100"/>
      <c r="L100"/>
      <c r="M100"/>
      <c r="N100"/>
      <c r="O100"/>
      <c r="P100"/>
      <c r="Q100"/>
      <c r="R100"/>
      <c r="S100"/>
      <c r="T100"/>
      <c r="U100"/>
      <c r="V100"/>
      <c r="W100"/>
      <c r="X100"/>
      <c r="Y100"/>
      <c r="Z100"/>
      <c r="AA100"/>
      <c r="AB100"/>
      <c r="AC100"/>
      <c r="AD100"/>
    </row>
    <row r="101" spans="2:30" ht="15" x14ac:dyDescent="0.25">
      <c r="B101"/>
      <c r="C101"/>
      <c r="D101"/>
      <c r="E101"/>
      <c r="F101"/>
      <c r="G101"/>
      <c r="H101"/>
      <c r="I101"/>
      <c r="J101"/>
      <c r="K101"/>
      <c r="L101"/>
      <c r="M101"/>
      <c r="N101"/>
      <c r="O101"/>
      <c r="P101"/>
      <c r="Q101"/>
      <c r="R101"/>
      <c r="S101"/>
      <c r="T101"/>
      <c r="U101"/>
      <c r="V101"/>
      <c r="W101"/>
      <c r="X101"/>
      <c r="Y101"/>
      <c r="Z101"/>
      <c r="AA101"/>
      <c r="AB101"/>
      <c r="AC101"/>
      <c r="AD101"/>
    </row>
    <row r="102" spans="2:30" ht="15" x14ac:dyDescent="0.25">
      <c r="B102"/>
      <c r="C102"/>
      <c r="D102"/>
      <c r="E102"/>
      <c r="F102"/>
      <c r="G102"/>
      <c r="H102"/>
      <c r="I102"/>
      <c r="J102"/>
      <c r="K102"/>
      <c r="L102"/>
      <c r="M102"/>
      <c r="N102"/>
      <c r="O102"/>
      <c r="P102"/>
      <c r="Q102"/>
      <c r="R102"/>
      <c r="S102"/>
      <c r="T102"/>
      <c r="U102"/>
      <c r="V102"/>
      <c r="W102"/>
      <c r="X102"/>
      <c r="Y102"/>
      <c r="Z102"/>
      <c r="AA102"/>
      <c r="AB102"/>
      <c r="AC102"/>
      <c r="AD102"/>
    </row>
    <row r="103" spans="2:30" ht="15" x14ac:dyDescent="0.25">
      <c r="B103"/>
      <c r="C103"/>
      <c r="D103"/>
      <c r="E103"/>
      <c r="F103"/>
      <c r="G103"/>
      <c r="H103"/>
      <c r="I103"/>
      <c r="J103"/>
      <c r="K103"/>
      <c r="L103"/>
      <c r="M103"/>
      <c r="N103"/>
      <c r="O103"/>
      <c r="P103"/>
      <c r="Q103"/>
      <c r="R103"/>
      <c r="S103"/>
      <c r="T103"/>
      <c r="U103"/>
      <c r="V103"/>
      <c r="W103"/>
      <c r="X103"/>
      <c r="Y103"/>
      <c r="Z103"/>
      <c r="AA103"/>
      <c r="AB103"/>
      <c r="AC103"/>
      <c r="AD103"/>
    </row>
    <row r="104" spans="2:30" ht="15" x14ac:dyDescent="0.25">
      <c r="B104"/>
      <c r="C104"/>
      <c r="D104"/>
      <c r="E104"/>
      <c r="F104"/>
      <c r="G104"/>
      <c r="H104"/>
      <c r="I104"/>
      <c r="J104"/>
      <c r="K104"/>
      <c r="L104"/>
      <c r="M104"/>
      <c r="N104"/>
      <c r="O104"/>
      <c r="P104"/>
      <c r="Q104"/>
      <c r="R104"/>
      <c r="S104"/>
      <c r="T104"/>
      <c r="U104"/>
      <c r="V104"/>
      <c r="W104"/>
      <c r="X104"/>
      <c r="Y104"/>
      <c r="Z104"/>
      <c r="AA104"/>
      <c r="AB104"/>
      <c r="AC104"/>
      <c r="AD104"/>
    </row>
    <row r="105" spans="2:30" ht="15" x14ac:dyDescent="0.25">
      <c r="B105"/>
      <c r="C105"/>
      <c r="D105"/>
      <c r="E105"/>
      <c r="F105"/>
      <c r="G105"/>
      <c r="H105"/>
      <c r="I105"/>
      <c r="J105"/>
      <c r="K105"/>
      <c r="L105"/>
      <c r="M105"/>
      <c r="N105"/>
      <c r="O105"/>
      <c r="P105"/>
      <c r="Q105"/>
      <c r="R105"/>
      <c r="S105"/>
      <c r="T105"/>
      <c r="U105"/>
      <c r="V105"/>
      <c r="W105"/>
      <c r="X105"/>
      <c r="Y105"/>
      <c r="Z105"/>
      <c r="AA105"/>
      <c r="AB105"/>
      <c r="AC105"/>
      <c r="AD105"/>
    </row>
    <row r="106" spans="2:30" ht="15" x14ac:dyDescent="0.25">
      <c r="B106"/>
      <c r="C106"/>
      <c r="D106"/>
      <c r="E106"/>
      <c r="F106"/>
      <c r="G106"/>
      <c r="H106"/>
      <c r="I106"/>
      <c r="J106"/>
      <c r="K106"/>
      <c r="L106"/>
      <c r="M106"/>
      <c r="N106"/>
      <c r="O106"/>
      <c r="P106"/>
      <c r="Q106"/>
      <c r="R106"/>
      <c r="S106"/>
      <c r="T106"/>
      <c r="U106"/>
      <c r="V106"/>
      <c r="W106"/>
      <c r="X106"/>
      <c r="Y106"/>
      <c r="Z106"/>
      <c r="AA106"/>
      <c r="AB106"/>
      <c r="AC106"/>
      <c r="AD106"/>
    </row>
    <row r="107" spans="2:30" ht="15" x14ac:dyDescent="0.25">
      <c r="B107"/>
      <c r="C107"/>
      <c r="D107"/>
      <c r="E107"/>
      <c r="F107"/>
      <c r="G107"/>
      <c r="H107"/>
      <c r="I107"/>
      <c r="J107"/>
      <c r="K107"/>
      <c r="L107"/>
      <c r="M107"/>
      <c r="N107"/>
      <c r="O107"/>
      <c r="P107"/>
      <c r="Q107"/>
      <c r="R107"/>
      <c r="S107"/>
      <c r="T107"/>
      <c r="U107"/>
      <c r="V107"/>
      <c r="W107"/>
      <c r="X107"/>
      <c r="Y107"/>
      <c r="Z107"/>
      <c r="AA107"/>
      <c r="AB107"/>
      <c r="AC107"/>
      <c r="AD107"/>
    </row>
    <row r="108" spans="2:30" ht="15" x14ac:dyDescent="0.25">
      <c r="B108"/>
      <c r="C108"/>
      <c r="D108"/>
      <c r="E108"/>
      <c r="F108"/>
      <c r="G108"/>
      <c r="H108"/>
      <c r="I108"/>
      <c r="J108"/>
      <c r="K108"/>
      <c r="L108"/>
      <c r="M108"/>
      <c r="N108"/>
      <c r="O108"/>
      <c r="P108"/>
      <c r="Q108"/>
      <c r="R108"/>
      <c r="S108"/>
      <c r="T108"/>
      <c r="U108"/>
      <c r="V108"/>
      <c r="W108"/>
      <c r="X108"/>
      <c r="Y108"/>
      <c r="Z108"/>
      <c r="AA108"/>
      <c r="AB108"/>
      <c r="AC108"/>
      <c r="AD108"/>
    </row>
    <row r="109" spans="2:30" ht="15" x14ac:dyDescent="0.25">
      <c r="B109"/>
      <c r="C109"/>
      <c r="D109"/>
      <c r="E109"/>
      <c r="F109"/>
      <c r="G109"/>
      <c r="H109"/>
      <c r="I109"/>
      <c r="J109"/>
      <c r="K109"/>
      <c r="L109"/>
      <c r="M109"/>
      <c r="N109"/>
      <c r="O109"/>
      <c r="P109"/>
      <c r="Q109"/>
      <c r="R109"/>
      <c r="S109"/>
      <c r="T109"/>
      <c r="U109"/>
      <c r="V109"/>
      <c r="W109"/>
      <c r="X109"/>
      <c r="Y109"/>
      <c r="Z109"/>
      <c r="AA109"/>
      <c r="AB109"/>
      <c r="AC109"/>
      <c r="AD109"/>
    </row>
    <row r="110" spans="2:30" ht="15" x14ac:dyDescent="0.25">
      <c r="B110"/>
      <c r="C110"/>
      <c r="D110"/>
      <c r="E110"/>
      <c r="F110"/>
      <c r="G110"/>
      <c r="H110"/>
      <c r="I110"/>
      <c r="J110"/>
      <c r="K110"/>
      <c r="L110"/>
      <c r="M110"/>
      <c r="N110"/>
      <c r="O110"/>
      <c r="P110"/>
      <c r="Q110"/>
      <c r="R110"/>
      <c r="S110"/>
      <c r="T110"/>
      <c r="U110"/>
      <c r="V110"/>
      <c r="W110"/>
      <c r="X110"/>
      <c r="Y110"/>
      <c r="Z110"/>
      <c r="AA110"/>
      <c r="AB110"/>
      <c r="AC110"/>
      <c r="AD110"/>
    </row>
    <row r="111" spans="2:30" ht="15" x14ac:dyDescent="0.25">
      <c r="B111"/>
      <c r="C111"/>
      <c r="D111"/>
      <c r="E111"/>
      <c r="F111"/>
      <c r="G111"/>
      <c r="H111"/>
      <c r="I111"/>
      <c r="J111"/>
      <c r="K111"/>
      <c r="L111"/>
      <c r="M111"/>
      <c r="N111"/>
      <c r="O111"/>
      <c r="P111"/>
      <c r="Q111"/>
      <c r="R111"/>
      <c r="S111"/>
      <c r="T111"/>
      <c r="U111"/>
      <c r="V111"/>
      <c r="W111"/>
      <c r="X111"/>
      <c r="Y111"/>
      <c r="Z111"/>
      <c r="AA111"/>
      <c r="AB111"/>
      <c r="AC111"/>
      <c r="AD111"/>
    </row>
    <row r="112" spans="2:30" ht="15" x14ac:dyDescent="0.25">
      <c r="B112"/>
      <c r="C112"/>
      <c r="D112"/>
      <c r="E112"/>
      <c r="F112"/>
      <c r="G112"/>
      <c r="H112"/>
      <c r="I112"/>
      <c r="J112"/>
      <c r="K112"/>
      <c r="L112"/>
      <c r="M112"/>
      <c r="N112"/>
      <c r="O112"/>
      <c r="P112"/>
      <c r="Q112"/>
      <c r="R112"/>
      <c r="S112"/>
      <c r="T112"/>
      <c r="U112"/>
      <c r="V112"/>
      <c r="W112"/>
      <c r="X112"/>
      <c r="Y112"/>
      <c r="Z112"/>
      <c r="AA112"/>
      <c r="AB112"/>
      <c r="AC112"/>
      <c r="AD112"/>
    </row>
    <row r="113" spans="2:30" ht="15" x14ac:dyDescent="0.25">
      <c r="B113"/>
      <c r="C113"/>
      <c r="D113"/>
      <c r="E113"/>
      <c r="F113"/>
      <c r="G113"/>
      <c r="H113"/>
      <c r="I113"/>
      <c r="J113"/>
      <c r="K113"/>
      <c r="L113"/>
      <c r="M113"/>
      <c r="N113"/>
      <c r="O113"/>
      <c r="P113"/>
      <c r="Q113"/>
      <c r="R113"/>
      <c r="S113"/>
      <c r="T113"/>
      <c r="U113"/>
      <c r="V113"/>
      <c r="W113"/>
      <c r="X113"/>
      <c r="Y113"/>
      <c r="Z113"/>
      <c r="AA113"/>
      <c r="AB113"/>
      <c r="AC113"/>
      <c r="AD113"/>
    </row>
    <row r="114" spans="2:30" ht="15" x14ac:dyDescent="0.25">
      <c r="B114"/>
      <c r="C114"/>
      <c r="D114"/>
      <c r="E114"/>
      <c r="F114"/>
      <c r="G114"/>
      <c r="H114"/>
      <c r="I114"/>
      <c r="J114"/>
      <c r="K114"/>
      <c r="L114"/>
      <c r="M114"/>
      <c r="N114"/>
      <c r="O114"/>
      <c r="P114"/>
      <c r="Q114"/>
      <c r="R114"/>
      <c r="S114"/>
      <c r="T114"/>
      <c r="U114"/>
      <c r="V114"/>
      <c r="W114"/>
      <c r="X114"/>
      <c r="Y114"/>
      <c r="Z114"/>
      <c r="AA114"/>
      <c r="AB114"/>
      <c r="AC114"/>
      <c r="AD114"/>
    </row>
    <row r="115" spans="2:30" ht="15" x14ac:dyDescent="0.25">
      <c r="B115"/>
      <c r="C115"/>
      <c r="D115"/>
      <c r="E115"/>
      <c r="F115"/>
      <c r="G115"/>
      <c r="H115"/>
      <c r="I115"/>
      <c r="J115"/>
      <c r="K115"/>
      <c r="L115"/>
      <c r="M115"/>
      <c r="N115"/>
      <c r="O115"/>
      <c r="P115"/>
      <c r="Q115"/>
      <c r="R115"/>
      <c r="S115"/>
      <c r="T115"/>
      <c r="U115"/>
      <c r="V115"/>
      <c r="W115"/>
      <c r="X115"/>
      <c r="Y115"/>
      <c r="Z115"/>
      <c r="AA115"/>
      <c r="AB115"/>
      <c r="AC115"/>
      <c r="AD115"/>
    </row>
    <row r="116" spans="2:30" ht="15" x14ac:dyDescent="0.25">
      <c r="B116"/>
      <c r="C116"/>
      <c r="D116"/>
      <c r="E116"/>
      <c r="F116"/>
      <c r="G116"/>
      <c r="H116"/>
      <c r="I116"/>
      <c r="J116"/>
      <c r="K116"/>
      <c r="L116"/>
      <c r="M116"/>
      <c r="N116"/>
      <c r="O116"/>
      <c r="P116"/>
      <c r="Q116"/>
      <c r="R116"/>
      <c r="S116"/>
      <c r="T116"/>
      <c r="U116"/>
      <c r="V116"/>
      <c r="W116"/>
      <c r="X116"/>
      <c r="Y116"/>
      <c r="Z116"/>
      <c r="AA116"/>
      <c r="AB116"/>
      <c r="AC116"/>
      <c r="AD116"/>
    </row>
    <row r="117" spans="2:30" ht="15" x14ac:dyDescent="0.25">
      <c r="B117"/>
      <c r="C117"/>
      <c r="D117"/>
      <c r="E117"/>
      <c r="F117"/>
      <c r="G117"/>
      <c r="H117"/>
      <c r="I117"/>
      <c r="J117"/>
      <c r="K117"/>
      <c r="L117"/>
      <c r="M117"/>
      <c r="N117"/>
      <c r="O117"/>
      <c r="P117"/>
      <c r="Q117"/>
      <c r="R117"/>
      <c r="S117"/>
      <c r="T117"/>
      <c r="U117"/>
      <c r="V117"/>
      <c r="W117"/>
      <c r="X117"/>
      <c r="Y117"/>
      <c r="Z117"/>
      <c r="AA117"/>
      <c r="AB117"/>
      <c r="AC117"/>
      <c r="AD117"/>
    </row>
    <row r="118" spans="2:30" ht="15" x14ac:dyDescent="0.25">
      <c r="B118"/>
      <c r="C118"/>
      <c r="D118"/>
      <c r="E118"/>
      <c r="F118"/>
      <c r="G118"/>
      <c r="H118"/>
      <c r="I118"/>
      <c r="J118"/>
      <c r="K118"/>
      <c r="L118"/>
      <c r="M118"/>
      <c r="N118"/>
      <c r="O118"/>
      <c r="P118"/>
      <c r="Q118"/>
      <c r="R118"/>
      <c r="S118"/>
      <c r="T118"/>
      <c r="U118"/>
      <c r="V118"/>
      <c r="W118"/>
      <c r="X118"/>
      <c r="Y118"/>
      <c r="Z118"/>
      <c r="AA118"/>
      <c r="AB118"/>
      <c r="AC118"/>
      <c r="AD118"/>
    </row>
    <row r="119" spans="2:30" ht="15" x14ac:dyDescent="0.25">
      <c r="B119"/>
      <c r="C119"/>
      <c r="D119"/>
      <c r="E119"/>
      <c r="F119"/>
      <c r="G119"/>
      <c r="H119"/>
      <c r="I119"/>
      <c r="J119"/>
      <c r="K119"/>
      <c r="L119"/>
      <c r="M119"/>
      <c r="N119"/>
      <c r="O119"/>
      <c r="P119"/>
      <c r="Q119"/>
      <c r="R119"/>
      <c r="S119"/>
      <c r="T119"/>
      <c r="U119"/>
      <c r="V119"/>
      <c r="W119"/>
      <c r="X119"/>
      <c r="Y119"/>
      <c r="Z119"/>
      <c r="AA119"/>
      <c r="AB119"/>
      <c r="AC119"/>
      <c r="AD119"/>
    </row>
    <row r="120" spans="2:30" ht="15" x14ac:dyDescent="0.25">
      <c r="B120"/>
      <c r="C120"/>
      <c r="D120"/>
      <c r="E120"/>
      <c r="F120"/>
      <c r="G120"/>
      <c r="H120"/>
      <c r="I120"/>
      <c r="J120"/>
      <c r="K120"/>
      <c r="L120"/>
      <c r="M120"/>
      <c r="N120"/>
      <c r="O120"/>
      <c r="P120"/>
      <c r="Q120"/>
      <c r="R120"/>
      <c r="S120"/>
      <c r="T120"/>
      <c r="U120"/>
      <c r="V120"/>
      <c r="W120"/>
      <c r="X120"/>
      <c r="Y120"/>
      <c r="Z120"/>
      <c r="AA120"/>
      <c r="AB120"/>
      <c r="AC120"/>
      <c r="AD120"/>
    </row>
    <row r="121" spans="2:30" ht="15" x14ac:dyDescent="0.25">
      <c r="B121"/>
      <c r="C121"/>
      <c r="D121"/>
      <c r="E121"/>
      <c r="F121"/>
      <c r="G121"/>
      <c r="H121"/>
      <c r="I121"/>
      <c r="J121"/>
      <c r="K121"/>
      <c r="L121"/>
      <c r="M121"/>
      <c r="N121"/>
      <c r="O121"/>
      <c r="P121"/>
      <c r="Q121"/>
      <c r="R121"/>
      <c r="S121"/>
      <c r="T121"/>
      <c r="U121"/>
      <c r="V121"/>
      <c r="W121"/>
      <c r="X121"/>
      <c r="Y121"/>
      <c r="Z121"/>
      <c r="AA121"/>
      <c r="AB121"/>
      <c r="AC121"/>
      <c r="AD121"/>
    </row>
    <row r="122" spans="2:30" ht="15" x14ac:dyDescent="0.25">
      <c r="B122"/>
      <c r="C122"/>
      <c r="D122"/>
      <c r="E122"/>
      <c r="F122"/>
      <c r="G122"/>
      <c r="H122"/>
      <c r="I122"/>
      <c r="J122"/>
      <c r="K122"/>
      <c r="L122"/>
      <c r="M122"/>
      <c r="N122"/>
      <c r="O122"/>
      <c r="P122"/>
      <c r="Q122"/>
      <c r="R122"/>
      <c r="S122"/>
      <c r="T122"/>
      <c r="U122"/>
      <c r="V122"/>
      <c r="W122"/>
      <c r="X122"/>
      <c r="Y122"/>
      <c r="Z122"/>
      <c r="AA122"/>
      <c r="AB122"/>
      <c r="AC122"/>
      <c r="AD122"/>
    </row>
    <row r="123" spans="2:30" ht="15" x14ac:dyDescent="0.25">
      <c r="B123"/>
      <c r="C123"/>
      <c r="D123"/>
      <c r="E123"/>
      <c r="F123"/>
      <c r="G123"/>
      <c r="H123"/>
      <c r="I123"/>
      <c r="J123"/>
      <c r="K123"/>
      <c r="L123"/>
      <c r="M123"/>
      <c r="N123"/>
      <c r="O123"/>
      <c r="P123"/>
      <c r="Q123"/>
      <c r="R123"/>
      <c r="S123"/>
      <c r="T123"/>
      <c r="U123"/>
      <c r="V123"/>
      <c r="W123"/>
      <c r="X123"/>
      <c r="Y123"/>
      <c r="Z123"/>
      <c r="AA123"/>
      <c r="AB123"/>
      <c r="AC123"/>
      <c r="AD123"/>
    </row>
    <row r="124" spans="2:30" ht="15" x14ac:dyDescent="0.25">
      <c r="B124"/>
      <c r="C124"/>
      <c r="D124"/>
      <c r="E124"/>
      <c r="F124"/>
      <c r="G124"/>
      <c r="H124"/>
      <c r="I124"/>
      <c r="J124"/>
      <c r="K124"/>
      <c r="L124"/>
      <c r="M124"/>
      <c r="N124"/>
      <c r="O124"/>
      <c r="P124"/>
      <c r="Q124"/>
      <c r="R124"/>
      <c r="S124"/>
      <c r="T124"/>
      <c r="U124"/>
      <c r="V124"/>
      <c r="W124"/>
      <c r="X124"/>
      <c r="Y124"/>
      <c r="Z124"/>
      <c r="AA124"/>
      <c r="AB124"/>
      <c r="AC124"/>
      <c r="AD124"/>
    </row>
    <row r="125" spans="2:30" ht="15" x14ac:dyDescent="0.25">
      <c r="B125"/>
      <c r="C125"/>
      <c r="D125"/>
      <c r="E125"/>
      <c r="F125"/>
      <c r="G125"/>
      <c r="H125"/>
      <c r="I125"/>
      <c r="J125"/>
      <c r="K125"/>
      <c r="L125"/>
      <c r="M125"/>
      <c r="N125"/>
      <c r="O125"/>
      <c r="P125"/>
      <c r="Q125"/>
      <c r="R125"/>
      <c r="S125"/>
      <c r="T125"/>
      <c r="U125"/>
      <c r="V125"/>
      <c r="W125"/>
      <c r="X125"/>
      <c r="Y125"/>
      <c r="Z125"/>
      <c r="AA125"/>
      <c r="AB125"/>
      <c r="AC125"/>
      <c r="AD125"/>
    </row>
    <row r="126" spans="2:30" ht="15" x14ac:dyDescent="0.25">
      <c r="B126"/>
      <c r="C126"/>
      <c r="D126"/>
      <c r="E126"/>
      <c r="F126"/>
      <c r="G126"/>
      <c r="H126"/>
      <c r="I126"/>
      <c r="J126"/>
      <c r="K126"/>
      <c r="L126"/>
      <c r="M126"/>
      <c r="N126"/>
      <c r="O126"/>
      <c r="P126"/>
      <c r="Q126"/>
      <c r="R126"/>
      <c r="S126"/>
      <c r="T126"/>
      <c r="U126"/>
      <c r="V126"/>
      <c r="W126"/>
      <c r="X126"/>
      <c r="Y126"/>
      <c r="Z126"/>
      <c r="AA126"/>
      <c r="AB126"/>
      <c r="AC126"/>
      <c r="AD126"/>
    </row>
    <row r="127" spans="2:30" ht="15" x14ac:dyDescent="0.25">
      <c r="B127"/>
      <c r="C127"/>
      <c r="D127"/>
      <c r="E127"/>
      <c r="F127"/>
      <c r="G127"/>
      <c r="H127"/>
      <c r="I127"/>
      <c r="J127"/>
      <c r="K127"/>
      <c r="L127"/>
      <c r="M127"/>
      <c r="N127"/>
      <c r="O127"/>
      <c r="P127"/>
      <c r="Q127"/>
      <c r="R127"/>
      <c r="S127"/>
      <c r="T127"/>
      <c r="U127"/>
      <c r="V127"/>
      <c r="W127"/>
      <c r="X127"/>
      <c r="Y127"/>
      <c r="Z127"/>
      <c r="AA127"/>
      <c r="AB127"/>
      <c r="AC127"/>
      <c r="AD127"/>
    </row>
    <row r="128" spans="2:30" ht="15" x14ac:dyDescent="0.25">
      <c r="B128"/>
      <c r="C128"/>
      <c r="D128"/>
      <c r="E128"/>
      <c r="F128"/>
      <c r="G128"/>
      <c r="H128"/>
      <c r="I128"/>
      <c r="J128"/>
      <c r="K128"/>
      <c r="L128"/>
      <c r="M128"/>
      <c r="N128"/>
      <c r="O128"/>
      <c r="P128"/>
      <c r="Q128"/>
      <c r="R128"/>
      <c r="S128"/>
      <c r="T128"/>
      <c r="U128"/>
      <c r="V128"/>
      <c r="W128"/>
      <c r="X128"/>
      <c r="Y128"/>
      <c r="Z128"/>
      <c r="AA128"/>
      <c r="AB128"/>
      <c r="AC128"/>
      <c r="AD128"/>
    </row>
    <row r="129" spans="2:30" ht="15" x14ac:dyDescent="0.25">
      <c r="B129"/>
      <c r="C129"/>
      <c r="D129"/>
      <c r="E129"/>
      <c r="F129"/>
      <c r="G129"/>
      <c r="H129"/>
      <c r="I129"/>
      <c r="J129"/>
      <c r="K129"/>
      <c r="L129"/>
      <c r="M129"/>
      <c r="N129"/>
      <c r="O129"/>
      <c r="P129"/>
      <c r="Q129"/>
      <c r="R129"/>
      <c r="S129"/>
      <c r="T129"/>
      <c r="U129"/>
      <c r="V129"/>
      <c r="W129"/>
      <c r="X129"/>
      <c r="Y129"/>
      <c r="Z129"/>
      <c r="AA129"/>
      <c r="AB129"/>
      <c r="AC129"/>
      <c r="AD129"/>
    </row>
    <row r="130" spans="2:30" ht="15" x14ac:dyDescent="0.25">
      <c r="B130"/>
      <c r="C130"/>
      <c r="D130"/>
      <c r="E130"/>
      <c r="F130"/>
      <c r="G130"/>
      <c r="H130"/>
      <c r="I130"/>
      <c r="J130"/>
      <c r="K130"/>
      <c r="L130"/>
      <c r="M130"/>
      <c r="N130"/>
      <c r="O130"/>
      <c r="P130"/>
      <c r="Q130"/>
      <c r="R130"/>
      <c r="S130"/>
      <c r="T130"/>
      <c r="U130"/>
      <c r="V130"/>
      <c r="W130"/>
      <c r="X130"/>
      <c r="Y130"/>
      <c r="Z130"/>
      <c r="AA130"/>
      <c r="AB130"/>
      <c r="AC130"/>
      <c r="AD130"/>
    </row>
    <row r="131" spans="2:30" ht="15" x14ac:dyDescent="0.25">
      <c r="B131"/>
      <c r="C131"/>
      <c r="D131"/>
      <c r="E131"/>
      <c r="F131"/>
      <c r="G131"/>
      <c r="H131"/>
      <c r="I131"/>
      <c r="J131"/>
      <c r="K131"/>
      <c r="L131"/>
      <c r="M131"/>
      <c r="N131"/>
      <c r="O131"/>
      <c r="P131"/>
      <c r="Q131"/>
      <c r="R131"/>
      <c r="S131"/>
      <c r="T131"/>
      <c r="U131"/>
      <c r="V131"/>
      <c r="W131"/>
      <c r="X131"/>
      <c r="Y131"/>
      <c r="Z131"/>
      <c r="AA131"/>
      <c r="AB131"/>
      <c r="AC131"/>
      <c r="AD131"/>
    </row>
    <row r="132" spans="2:30" ht="15" x14ac:dyDescent="0.25">
      <c r="B132"/>
      <c r="C132"/>
      <c r="D132"/>
      <c r="E132"/>
      <c r="F132"/>
      <c r="G132"/>
      <c r="H132"/>
      <c r="I132"/>
      <c r="J132"/>
      <c r="K132"/>
      <c r="L132"/>
      <c r="M132"/>
      <c r="N132"/>
      <c r="O132"/>
      <c r="P132"/>
      <c r="Q132"/>
      <c r="R132"/>
      <c r="S132"/>
      <c r="T132"/>
      <c r="U132"/>
      <c r="V132"/>
      <c r="W132"/>
      <c r="X132"/>
      <c r="Y132"/>
      <c r="Z132"/>
      <c r="AA132"/>
      <c r="AB132"/>
      <c r="AC132"/>
      <c r="AD132"/>
    </row>
    <row r="133" spans="2:30" ht="15" x14ac:dyDescent="0.25">
      <c r="B133"/>
      <c r="C133"/>
      <c r="D133"/>
      <c r="E133"/>
      <c r="F133"/>
      <c r="G133"/>
      <c r="H133"/>
      <c r="I133"/>
      <c r="J133"/>
      <c r="K133"/>
      <c r="L133"/>
      <c r="M133"/>
      <c r="N133"/>
      <c r="O133"/>
      <c r="P133"/>
      <c r="Q133"/>
      <c r="R133"/>
      <c r="S133"/>
      <c r="T133"/>
      <c r="U133"/>
      <c r="V133"/>
      <c r="W133"/>
      <c r="X133"/>
      <c r="Y133"/>
      <c r="Z133"/>
      <c r="AA133"/>
      <c r="AB133"/>
      <c r="AC133"/>
      <c r="AD133"/>
    </row>
    <row r="134" spans="2:30" ht="15" x14ac:dyDescent="0.25">
      <c r="B134"/>
      <c r="C134"/>
      <c r="D134"/>
      <c r="E134"/>
      <c r="F134"/>
      <c r="G134"/>
      <c r="H134"/>
      <c r="I134"/>
      <c r="J134"/>
      <c r="K134"/>
      <c r="L134"/>
      <c r="M134"/>
      <c r="N134"/>
      <c r="O134"/>
      <c r="P134"/>
      <c r="Q134"/>
      <c r="R134"/>
      <c r="S134"/>
      <c r="T134"/>
      <c r="U134"/>
      <c r="V134"/>
      <c r="W134"/>
      <c r="X134"/>
      <c r="Y134"/>
      <c r="Z134"/>
      <c r="AA134"/>
      <c r="AB134"/>
      <c r="AC134"/>
      <c r="AD134"/>
    </row>
    <row r="135" spans="2:30" ht="15" x14ac:dyDescent="0.25">
      <c r="B135"/>
      <c r="C135"/>
      <c r="D135"/>
      <c r="E135"/>
      <c r="F135"/>
      <c r="G135"/>
      <c r="H135"/>
      <c r="I135"/>
      <c r="J135"/>
      <c r="K135"/>
      <c r="L135"/>
      <c r="M135"/>
      <c r="N135"/>
      <c r="O135"/>
      <c r="P135"/>
      <c r="Q135"/>
      <c r="R135"/>
      <c r="S135"/>
      <c r="T135"/>
      <c r="U135"/>
      <c r="V135"/>
      <c r="W135"/>
      <c r="X135"/>
      <c r="Y135"/>
      <c r="Z135"/>
      <c r="AA135"/>
      <c r="AB135"/>
      <c r="AC135"/>
      <c r="AD135"/>
    </row>
    <row r="136" spans="2:30" ht="15" x14ac:dyDescent="0.25">
      <c r="B136"/>
      <c r="C136"/>
      <c r="D136"/>
      <c r="E136"/>
      <c r="F136"/>
      <c r="G136"/>
      <c r="H136"/>
      <c r="I136"/>
      <c r="J136"/>
      <c r="K136"/>
      <c r="L136"/>
      <c r="M136"/>
      <c r="N136"/>
      <c r="O136"/>
      <c r="P136"/>
      <c r="Q136"/>
      <c r="R136"/>
      <c r="S136"/>
      <c r="T136"/>
      <c r="U136"/>
      <c r="V136"/>
      <c r="W136"/>
      <c r="X136"/>
      <c r="Y136"/>
      <c r="Z136"/>
      <c r="AA136"/>
      <c r="AB136"/>
      <c r="AC136"/>
      <c r="AD136"/>
    </row>
    <row r="137" spans="2:30" ht="15" x14ac:dyDescent="0.25">
      <c r="B137"/>
      <c r="C137"/>
      <c r="D137"/>
      <c r="E137"/>
      <c r="F137"/>
      <c r="G137"/>
      <c r="H137"/>
      <c r="I137"/>
      <c r="J137"/>
      <c r="K137"/>
      <c r="L137"/>
      <c r="M137"/>
      <c r="N137"/>
      <c r="O137"/>
      <c r="P137"/>
      <c r="Q137"/>
      <c r="R137"/>
      <c r="S137"/>
      <c r="T137"/>
      <c r="U137"/>
      <c r="V137"/>
      <c r="W137"/>
      <c r="X137"/>
      <c r="Y137"/>
      <c r="Z137"/>
      <c r="AA137"/>
      <c r="AB137"/>
      <c r="AC137"/>
      <c r="AD137"/>
    </row>
    <row r="138" spans="2:30" ht="15" x14ac:dyDescent="0.25">
      <c r="B138"/>
      <c r="C138"/>
      <c r="D138"/>
      <c r="E138"/>
      <c r="F138"/>
      <c r="G138"/>
      <c r="H138"/>
      <c r="I138"/>
      <c r="J138"/>
      <c r="K138"/>
      <c r="L138"/>
      <c r="M138"/>
      <c r="N138"/>
      <c r="O138"/>
      <c r="P138"/>
      <c r="Q138"/>
      <c r="R138"/>
      <c r="S138"/>
      <c r="T138"/>
      <c r="U138"/>
      <c r="V138"/>
      <c r="W138"/>
      <c r="X138"/>
      <c r="Y138"/>
      <c r="Z138"/>
      <c r="AA138"/>
      <c r="AB138"/>
      <c r="AC138"/>
      <c r="AD138"/>
    </row>
    <row r="139" spans="2:30" ht="15" x14ac:dyDescent="0.25">
      <c r="B139"/>
      <c r="C139"/>
      <c r="D139"/>
      <c r="E139"/>
      <c r="F139"/>
      <c r="G139"/>
      <c r="H139"/>
      <c r="I139"/>
      <c r="J139"/>
      <c r="K139"/>
      <c r="L139"/>
      <c r="M139"/>
      <c r="N139"/>
      <c r="O139"/>
      <c r="P139"/>
      <c r="Q139"/>
      <c r="R139"/>
      <c r="S139"/>
      <c r="T139"/>
      <c r="U139"/>
      <c r="V139"/>
      <c r="W139"/>
      <c r="X139"/>
      <c r="Y139"/>
      <c r="Z139"/>
      <c r="AA139"/>
      <c r="AB139"/>
      <c r="AC139"/>
      <c r="AD139"/>
    </row>
    <row r="140" spans="2:30" ht="15" x14ac:dyDescent="0.25">
      <c r="B140"/>
      <c r="C140"/>
      <c r="D140"/>
      <c r="E140"/>
      <c r="F140"/>
      <c r="G140"/>
      <c r="H140"/>
      <c r="I140"/>
      <c r="J140"/>
      <c r="K140"/>
      <c r="L140"/>
      <c r="M140"/>
      <c r="N140"/>
      <c r="O140"/>
      <c r="P140"/>
      <c r="Q140"/>
      <c r="R140"/>
      <c r="S140"/>
      <c r="T140"/>
      <c r="U140"/>
      <c r="V140"/>
      <c r="W140"/>
      <c r="X140"/>
      <c r="Y140"/>
      <c r="Z140"/>
      <c r="AA140"/>
      <c r="AB140"/>
      <c r="AC140"/>
      <c r="AD140"/>
    </row>
    <row r="141" spans="2:30" ht="15" x14ac:dyDescent="0.25">
      <c r="B141"/>
      <c r="C141"/>
      <c r="D141"/>
      <c r="E141"/>
      <c r="F141"/>
      <c r="G141"/>
      <c r="H141"/>
      <c r="I141"/>
      <c r="J141"/>
      <c r="K141"/>
      <c r="L141"/>
      <c r="M141"/>
      <c r="N141"/>
      <c r="O141"/>
      <c r="P141"/>
      <c r="Q141"/>
      <c r="R141"/>
      <c r="S141"/>
      <c r="T141"/>
      <c r="U141"/>
      <c r="V141"/>
      <c r="W141"/>
      <c r="X141"/>
      <c r="Y141"/>
      <c r="Z141"/>
      <c r="AA141"/>
      <c r="AB141"/>
      <c r="AC141"/>
      <c r="AD141"/>
    </row>
    <row r="142" spans="2:30" ht="15" x14ac:dyDescent="0.25">
      <c r="B142"/>
      <c r="C142"/>
      <c r="D142"/>
      <c r="E142"/>
      <c r="F142"/>
      <c r="G142"/>
      <c r="H142"/>
      <c r="I142"/>
      <c r="J142"/>
      <c r="K142"/>
      <c r="L142"/>
      <c r="M142"/>
      <c r="N142"/>
      <c r="O142"/>
      <c r="P142"/>
      <c r="Q142"/>
      <c r="R142"/>
      <c r="S142"/>
      <c r="T142"/>
      <c r="U142"/>
      <c r="V142"/>
      <c r="W142"/>
      <c r="X142"/>
      <c r="Y142"/>
      <c r="Z142"/>
      <c r="AA142"/>
      <c r="AB142"/>
      <c r="AC142"/>
      <c r="AD142"/>
    </row>
    <row r="143" spans="2:30" ht="15" x14ac:dyDescent="0.25">
      <c r="B143"/>
      <c r="C143"/>
      <c r="D143"/>
      <c r="E143"/>
      <c r="F143"/>
      <c r="G143"/>
      <c r="H143"/>
      <c r="I143"/>
      <c r="J143"/>
      <c r="K143"/>
      <c r="L143"/>
      <c r="M143"/>
      <c r="N143"/>
      <c r="O143"/>
      <c r="P143"/>
      <c r="Q143"/>
      <c r="R143"/>
      <c r="S143"/>
      <c r="T143"/>
      <c r="U143"/>
      <c r="V143"/>
      <c r="W143"/>
      <c r="X143"/>
      <c r="Y143"/>
      <c r="Z143"/>
      <c r="AA143"/>
      <c r="AB143"/>
      <c r="AC143"/>
      <c r="AD143"/>
    </row>
    <row r="144" spans="2:30" ht="15" x14ac:dyDescent="0.25">
      <c r="B144"/>
      <c r="C144"/>
      <c r="D144"/>
      <c r="E144"/>
      <c r="F144"/>
      <c r="G144"/>
      <c r="H144"/>
      <c r="I144"/>
      <c r="J144"/>
      <c r="K144"/>
      <c r="L144"/>
      <c r="M144"/>
      <c r="N144"/>
      <c r="O144"/>
      <c r="P144"/>
      <c r="Q144"/>
      <c r="R144"/>
      <c r="S144"/>
      <c r="T144"/>
      <c r="U144"/>
      <c r="V144"/>
      <c r="W144"/>
      <c r="X144"/>
      <c r="Y144"/>
      <c r="Z144"/>
      <c r="AA144"/>
      <c r="AB144"/>
      <c r="AC144"/>
      <c r="AD144"/>
    </row>
    <row r="145" spans="2:30" ht="15" x14ac:dyDescent="0.25">
      <c r="B145"/>
      <c r="C145"/>
      <c r="D145"/>
      <c r="E145"/>
      <c r="F145"/>
      <c r="G145"/>
      <c r="H145"/>
      <c r="I145"/>
      <c r="J145"/>
      <c r="K145"/>
      <c r="L145"/>
      <c r="M145"/>
      <c r="N145"/>
      <c r="O145"/>
      <c r="P145"/>
      <c r="Q145"/>
      <c r="R145"/>
      <c r="S145"/>
      <c r="T145"/>
      <c r="U145"/>
      <c r="V145"/>
      <c r="W145"/>
      <c r="X145"/>
      <c r="Y145"/>
      <c r="Z145"/>
      <c r="AA145"/>
      <c r="AB145"/>
      <c r="AC145"/>
      <c r="AD145"/>
    </row>
    <row r="146" spans="2:30" ht="15" x14ac:dyDescent="0.25">
      <c r="B146"/>
      <c r="C146"/>
      <c r="D146"/>
      <c r="E146"/>
      <c r="F146"/>
      <c r="G146"/>
      <c r="H146"/>
      <c r="I146"/>
      <c r="J146"/>
      <c r="K146"/>
      <c r="L146"/>
      <c r="M146"/>
      <c r="N146"/>
      <c r="O146"/>
      <c r="P146"/>
      <c r="Q146"/>
      <c r="R146"/>
      <c r="S146"/>
      <c r="T146"/>
      <c r="U146"/>
      <c r="V146"/>
      <c r="W146"/>
      <c r="X146"/>
      <c r="Y146"/>
      <c r="Z146"/>
      <c r="AA146"/>
      <c r="AB146"/>
      <c r="AC146"/>
      <c r="AD146"/>
    </row>
    <row r="147" spans="2:30" ht="15" x14ac:dyDescent="0.25">
      <c r="B147"/>
      <c r="C147"/>
      <c r="D147"/>
      <c r="E147"/>
      <c r="F147"/>
      <c r="G147"/>
      <c r="H147"/>
      <c r="I147"/>
      <c r="J147"/>
      <c r="K147"/>
      <c r="L147"/>
      <c r="M147"/>
      <c r="N147"/>
      <c r="O147"/>
      <c r="P147"/>
      <c r="Q147"/>
      <c r="R147"/>
      <c r="S147"/>
      <c r="T147"/>
      <c r="U147"/>
      <c r="V147"/>
      <c r="W147"/>
      <c r="X147"/>
      <c r="Y147"/>
      <c r="Z147"/>
      <c r="AA147"/>
      <c r="AB147"/>
      <c r="AC147"/>
      <c r="AD147"/>
    </row>
    <row r="148" spans="2:30" ht="15" x14ac:dyDescent="0.25">
      <c r="B148"/>
      <c r="C148"/>
      <c r="D148"/>
      <c r="E148"/>
      <c r="F148"/>
      <c r="G148"/>
      <c r="H148"/>
      <c r="I148"/>
      <c r="J148"/>
      <c r="K148"/>
      <c r="L148"/>
      <c r="M148"/>
      <c r="N148"/>
      <c r="O148"/>
      <c r="P148"/>
      <c r="Q148"/>
      <c r="R148"/>
      <c r="S148"/>
      <c r="T148"/>
      <c r="U148"/>
      <c r="V148"/>
      <c r="W148"/>
      <c r="X148"/>
      <c r="Y148"/>
      <c r="Z148"/>
      <c r="AA148"/>
      <c r="AB148"/>
      <c r="AC148"/>
      <c r="AD148"/>
    </row>
    <row r="149" spans="2:30" ht="15" x14ac:dyDescent="0.25">
      <c r="B149"/>
      <c r="C149"/>
      <c r="D149"/>
      <c r="E149"/>
      <c r="F149"/>
      <c r="G149"/>
      <c r="H149"/>
      <c r="I149"/>
      <c r="J149"/>
      <c r="K149"/>
      <c r="L149"/>
      <c r="M149"/>
      <c r="N149"/>
      <c r="O149"/>
      <c r="P149"/>
      <c r="Q149"/>
      <c r="R149"/>
      <c r="S149"/>
      <c r="T149"/>
      <c r="U149"/>
      <c r="V149"/>
      <c r="W149"/>
      <c r="X149"/>
      <c r="Y149"/>
      <c r="Z149"/>
      <c r="AA149"/>
      <c r="AB149"/>
      <c r="AC149"/>
      <c r="AD149"/>
    </row>
    <row r="150" spans="2:30" ht="15" x14ac:dyDescent="0.25">
      <c r="B150"/>
      <c r="C150"/>
      <c r="D150"/>
      <c r="E150"/>
      <c r="F150"/>
      <c r="G150"/>
      <c r="H150"/>
      <c r="I150"/>
      <c r="J150"/>
      <c r="K150"/>
      <c r="L150"/>
      <c r="M150"/>
      <c r="N150"/>
      <c r="O150"/>
      <c r="P150"/>
      <c r="Q150"/>
      <c r="R150"/>
      <c r="S150"/>
      <c r="T150"/>
      <c r="U150"/>
      <c r="V150"/>
      <c r="W150"/>
      <c r="X150"/>
      <c r="Y150"/>
      <c r="Z150"/>
      <c r="AA150"/>
      <c r="AB150"/>
      <c r="AC150"/>
      <c r="AD150"/>
    </row>
    <row r="151" spans="2:30" ht="15" x14ac:dyDescent="0.25">
      <c r="B151"/>
      <c r="C151"/>
      <c r="D151"/>
      <c r="E151"/>
      <c r="F151"/>
      <c r="G151"/>
      <c r="H151"/>
      <c r="I151"/>
      <c r="J151"/>
      <c r="K151"/>
      <c r="L151"/>
      <c r="M151"/>
      <c r="N151"/>
      <c r="O151"/>
      <c r="P151"/>
      <c r="Q151"/>
      <c r="R151"/>
      <c r="S151"/>
      <c r="T151"/>
      <c r="U151"/>
      <c r="V151"/>
      <c r="W151"/>
      <c r="X151"/>
      <c r="Y151"/>
      <c r="Z151"/>
      <c r="AA151"/>
      <c r="AB151"/>
      <c r="AC151"/>
      <c r="AD151"/>
    </row>
    <row r="152" spans="2:30" ht="15" x14ac:dyDescent="0.25">
      <c r="B152"/>
      <c r="C152"/>
      <c r="D152"/>
      <c r="E152"/>
      <c r="F152"/>
      <c r="G152"/>
      <c r="H152"/>
      <c r="I152"/>
      <c r="J152"/>
      <c r="K152"/>
      <c r="L152"/>
      <c r="M152"/>
      <c r="N152"/>
      <c r="O152"/>
      <c r="P152"/>
      <c r="Q152"/>
      <c r="R152"/>
      <c r="S152"/>
      <c r="T152"/>
      <c r="U152"/>
      <c r="V152"/>
      <c r="W152"/>
      <c r="X152"/>
      <c r="Y152"/>
      <c r="Z152"/>
      <c r="AA152"/>
      <c r="AB152"/>
      <c r="AC152"/>
      <c r="AD152"/>
    </row>
    <row r="153" spans="2:30" ht="15" x14ac:dyDescent="0.25">
      <c r="B153"/>
      <c r="C153"/>
      <c r="D153"/>
      <c r="E153"/>
      <c r="F153"/>
      <c r="G153"/>
      <c r="H153"/>
      <c r="I153"/>
      <c r="J153"/>
      <c r="K153"/>
      <c r="L153"/>
      <c r="M153"/>
      <c r="N153"/>
      <c r="O153"/>
      <c r="P153"/>
      <c r="Q153"/>
      <c r="R153"/>
      <c r="S153"/>
      <c r="T153"/>
      <c r="U153"/>
      <c r="V153"/>
      <c r="W153"/>
      <c r="X153"/>
      <c r="Y153"/>
      <c r="Z153"/>
      <c r="AA153"/>
      <c r="AB153"/>
      <c r="AC153"/>
      <c r="AD153"/>
    </row>
    <row r="154" spans="2:30" ht="15" x14ac:dyDescent="0.25">
      <c r="B154"/>
      <c r="C154"/>
      <c r="D154"/>
      <c r="E154"/>
      <c r="F154"/>
      <c r="G154"/>
      <c r="H154"/>
      <c r="I154"/>
      <c r="J154"/>
      <c r="K154"/>
      <c r="L154"/>
      <c r="M154"/>
      <c r="N154"/>
      <c r="O154"/>
      <c r="P154"/>
      <c r="Q154"/>
      <c r="R154"/>
      <c r="S154"/>
      <c r="T154"/>
      <c r="U154"/>
      <c r="V154"/>
      <c r="W154"/>
      <c r="X154"/>
      <c r="Y154"/>
      <c r="Z154"/>
      <c r="AA154"/>
      <c r="AB154"/>
      <c r="AC154"/>
      <c r="AD154"/>
    </row>
    <row r="155" spans="2:30" ht="15" x14ac:dyDescent="0.25">
      <c r="B155"/>
      <c r="C155"/>
      <c r="D155"/>
      <c r="E155"/>
      <c r="F155"/>
      <c r="G155"/>
      <c r="H155"/>
      <c r="I155"/>
      <c r="J155"/>
      <c r="K155"/>
      <c r="L155"/>
      <c r="M155"/>
      <c r="N155"/>
      <c r="O155"/>
      <c r="P155"/>
      <c r="Q155"/>
      <c r="R155"/>
      <c r="S155"/>
      <c r="T155"/>
      <c r="U155"/>
      <c r="V155"/>
      <c r="W155"/>
      <c r="X155"/>
      <c r="Y155"/>
      <c r="Z155"/>
      <c r="AA155"/>
      <c r="AB155"/>
      <c r="AC155"/>
      <c r="AD155"/>
    </row>
    <row r="156" spans="2:30" ht="15" x14ac:dyDescent="0.25">
      <c r="B156"/>
      <c r="C156"/>
      <c r="D156"/>
      <c r="E156"/>
      <c r="F156"/>
      <c r="G156"/>
      <c r="H156"/>
      <c r="I156"/>
      <c r="J156"/>
      <c r="K156"/>
      <c r="L156"/>
      <c r="M156"/>
      <c r="N156"/>
      <c r="O156"/>
      <c r="P156"/>
      <c r="Q156"/>
      <c r="R156"/>
      <c r="S156"/>
      <c r="T156"/>
      <c r="U156"/>
      <c r="V156"/>
      <c r="W156"/>
      <c r="X156"/>
      <c r="Y156"/>
      <c r="Z156"/>
      <c r="AA156"/>
      <c r="AB156"/>
      <c r="AC156"/>
      <c r="AD156"/>
    </row>
    <row r="157" spans="2:30" ht="15" x14ac:dyDescent="0.25">
      <c r="B157"/>
      <c r="C157"/>
      <c r="D157"/>
      <c r="E157"/>
      <c r="F157"/>
      <c r="G157"/>
      <c r="H157"/>
      <c r="I157"/>
      <c r="J157"/>
      <c r="K157"/>
      <c r="L157"/>
      <c r="M157"/>
      <c r="N157"/>
      <c r="O157"/>
      <c r="P157"/>
      <c r="Q157"/>
      <c r="R157"/>
      <c r="S157"/>
      <c r="T157"/>
      <c r="U157"/>
      <c r="V157"/>
      <c r="W157"/>
      <c r="X157"/>
      <c r="Y157"/>
      <c r="Z157"/>
      <c r="AA157"/>
      <c r="AB157"/>
      <c r="AC157"/>
      <c r="AD157"/>
    </row>
    <row r="158" spans="2:30" ht="15" x14ac:dyDescent="0.25">
      <c r="B158"/>
      <c r="C158"/>
      <c r="D158"/>
      <c r="E158"/>
      <c r="F158"/>
      <c r="G158"/>
      <c r="H158"/>
      <c r="I158"/>
      <c r="J158"/>
      <c r="K158"/>
      <c r="L158"/>
      <c r="M158"/>
      <c r="N158"/>
      <c r="O158"/>
      <c r="P158"/>
      <c r="Q158"/>
      <c r="R158"/>
      <c r="S158"/>
      <c r="T158"/>
      <c r="U158"/>
      <c r="V158"/>
      <c r="W158"/>
      <c r="X158"/>
      <c r="Y158"/>
      <c r="Z158"/>
      <c r="AA158"/>
      <c r="AB158"/>
      <c r="AC158"/>
      <c r="AD158"/>
    </row>
    <row r="159" spans="2:30" ht="15" x14ac:dyDescent="0.25">
      <c r="B159"/>
      <c r="C159"/>
      <c r="D159"/>
      <c r="E159"/>
      <c r="F159"/>
      <c r="G159"/>
      <c r="H159"/>
      <c r="I159"/>
      <c r="J159"/>
      <c r="K159"/>
      <c r="L159"/>
      <c r="M159"/>
      <c r="N159"/>
      <c r="O159"/>
      <c r="P159"/>
      <c r="Q159"/>
      <c r="R159"/>
      <c r="S159"/>
      <c r="T159"/>
      <c r="U159"/>
      <c r="V159"/>
      <c r="W159"/>
      <c r="X159"/>
      <c r="Y159"/>
      <c r="Z159"/>
      <c r="AA159"/>
      <c r="AB159"/>
      <c r="AC159"/>
      <c r="AD159"/>
    </row>
    <row r="160" spans="2:30" ht="15" x14ac:dyDescent="0.25">
      <c r="B160"/>
      <c r="C160"/>
      <c r="D160"/>
      <c r="E160"/>
      <c r="F160"/>
      <c r="G160"/>
      <c r="H160"/>
      <c r="I160"/>
      <c r="J160"/>
      <c r="K160"/>
      <c r="L160"/>
      <c r="M160"/>
      <c r="N160"/>
      <c r="O160"/>
      <c r="P160"/>
      <c r="Q160"/>
      <c r="R160"/>
      <c r="S160"/>
      <c r="T160"/>
      <c r="U160"/>
      <c r="V160"/>
      <c r="W160"/>
      <c r="X160"/>
      <c r="Y160"/>
      <c r="Z160"/>
      <c r="AA160"/>
      <c r="AB160"/>
      <c r="AC160"/>
      <c r="AD160"/>
    </row>
    <row r="161" spans="2:30" ht="15" x14ac:dyDescent="0.25">
      <c r="B161"/>
      <c r="C161"/>
      <c r="D161"/>
      <c r="E161"/>
      <c r="F161"/>
      <c r="G161"/>
      <c r="H161"/>
      <c r="I161"/>
      <c r="J161"/>
      <c r="K161"/>
      <c r="L161"/>
      <c r="M161"/>
      <c r="N161"/>
      <c r="O161"/>
      <c r="P161"/>
      <c r="Q161"/>
      <c r="R161"/>
      <c r="S161"/>
      <c r="T161"/>
      <c r="U161"/>
      <c r="V161"/>
      <c r="W161"/>
      <c r="X161"/>
      <c r="Y161"/>
      <c r="Z161"/>
      <c r="AA161"/>
      <c r="AB161"/>
      <c r="AC161"/>
      <c r="AD161"/>
    </row>
    <row r="162" spans="2:30" ht="15" x14ac:dyDescent="0.25">
      <c r="B162"/>
      <c r="C162"/>
      <c r="D162"/>
      <c r="E162"/>
      <c r="F162"/>
      <c r="G162"/>
      <c r="H162"/>
      <c r="I162"/>
      <c r="J162"/>
      <c r="K162"/>
      <c r="L162"/>
      <c r="M162"/>
      <c r="N162"/>
      <c r="O162"/>
      <c r="P162"/>
      <c r="Q162"/>
      <c r="R162"/>
      <c r="S162"/>
      <c r="T162"/>
      <c r="U162"/>
      <c r="V162"/>
      <c r="W162"/>
      <c r="X162"/>
      <c r="Y162"/>
      <c r="Z162"/>
      <c r="AA162"/>
      <c r="AB162"/>
      <c r="AC162"/>
      <c r="AD162"/>
    </row>
    <row r="163" spans="2:30" ht="15" x14ac:dyDescent="0.25">
      <c r="B163"/>
      <c r="C163"/>
      <c r="D163"/>
      <c r="E163"/>
      <c r="F163"/>
      <c r="G163"/>
      <c r="H163"/>
      <c r="I163"/>
      <c r="J163"/>
      <c r="K163"/>
      <c r="L163"/>
      <c r="M163"/>
      <c r="N163"/>
      <c r="O163"/>
      <c r="P163"/>
      <c r="Q163"/>
      <c r="R163"/>
      <c r="S163"/>
      <c r="T163"/>
      <c r="U163"/>
      <c r="V163"/>
      <c r="W163"/>
      <c r="X163"/>
      <c r="Y163"/>
      <c r="Z163"/>
      <c r="AA163"/>
      <c r="AB163"/>
      <c r="AC163"/>
      <c r="AD163"/>
    </row>
    <row r="164" spans="2:30" ht="15" x14ac:dyDescent="0.25">
      <c r="B164"/>
      <c r="C164"/>
      <c r="D164"/>
      <c r="E164"/>
      <c r="F164"/>
      <c r="G164"/>
      <c r="H164"/>
      <c r="I164"/>
      <c r="J164"/>
      <c r="K164"/>
      <c r="L164"/>
      <c r="M164"/>
      <c r="N164"/>
      <c r="O164"/>
      <c r="P164"/>
      <c r="Q164"/>
      <c r="R164"/>
      <c r="S164"/>
      <c r="T164"/>
      <c r="U164"/>
      <c r="V164"/>
      <c r="W164"/>
      <c r="X164"/>
      <c r="Y164"/>
      <c r="Z164"/>
      <c r="AA164"/>
      <c r="AB164"/>
      <c r="AC164"/>
      <c r="AD164"/>
    </row>
    <row r="165" spans="2:30" ht="15" x14ac:dyDescent="0.25">
      <c r="B165"/>
      <c r="C165"/>
      <c r="D165"/>
      <c r="E165"/>
      <c r="F165"/>
      <c r="G165"/>
      <c r="H165"/>
      <c r="I165"/>
      <c r="J165"/>
      <c r="K165"/>
      <c r="L165"/>
      <c r="M165"/>
      <c r="N165"/>
      <c r="O165"/>
      <c r="P165"/>
      <c r="Q165"/>
      <c r="R165"/>
      <c r="S165"/>
      <c r="T165"/>
      <c r="U165"/>
      <c r="V165"/>
      <c r="W165"/>
      <c r="X165"/>
      <c r="Y165"/>
      <c r="Z165"/>
      <c r="AA165"/>
      <c r="AB165"/>
      <c r="AC165"/>
      <c r="AD165"/>
    </row>
    <row r="166" spans="2:30" ht="15" x14ac:dyDescent="0.25">
      <c r="B166"/>
      <c r="C166"/>
      <c r="D166"/>
      <c r="E166"/>
      <c r="F166"/>
      <c r="G166"/>
      <c r="H166"/>
      <c r="I166"/>
      <c r="J166"/>
      <c r="K166"/>
      <c r="L166"/>
      <c r="M166"/>
      <c r="N166"/>
      <c r="O166"/>
      <c r="P166"/>
      <c r="Q166"/>
      <c r="R166"/>
      <c r="S166"/>
      <c r="T166"/>
      <c r="U166"/>
      <c r="V166"/>
      <c r="W166"/>
      <c r="X166"/>
      <c r="Y166"/>
      <c r="Z166"/>
      <c r="AA166"/>
      <c r="AB166"/>
      <c r="AC166"/>
      <c r="AD166"/>
    </row>
    <row r="167" spans="2:30" ht="15" x14ac:dyDescent="0.25">
      <c r="B167"/>
      <c r="C167"/>
      <c r="D167"/>
      <c r="E167"/>
      <c r="F167"/>
      <c r="G167"/>
      <c r="H167"/>
      <c r="I167"/>
      <c r="J167"/>
      <c r="K167"/>
      <c r="L167"/>
      <c r="M167"/>
      <c r="N167"/>
      <c r="O167"/>
      <c r="P167"/>
      <c r="Q167"/>
      <c r="R167"/>
      <c r="S167"/>
      <c r="T167"/>
      <c r="U167"/>
      <c r="V167"/>
      <c r="W167"/>
      <c r="X167"/>
      <c r="Y167"/>
      <c r="Z167"/>
      <c r="AA167"/>
      <c r="AB167"/>
      <c r="AC167"/>
      <c r="AD167"/>
    </row>
    <row r="168" spans="2:30" ht="15" x14ac:dyDescent="0.25">
      <c r="B168"/>
      <c r="C168"/>
      <c r="D168"/>
      <c r="E168"/>
      <c r="F168"/>
      <c r="G168"/>
      <c r="H168"/>
      <c r="I168"/>
      <c r="J168"/>
      <c r="K168"/>
      <c r="L168"/>
      <c r="M168"/>
      <c r="N168"/>
      <c r="O168"/>
      <c r="P168"/>
      <c r="Q168"/>
      <c r="R168"/>
      <c r="S168"/>
      <c r="T168"/>
      <c r="U168"/>
      <c r="V168"/>
      <c r="W168"/>
      <c r="X168"/>
      <c r="Y168"/>
      <c r="Z168"/>
      <c r="AA168"/>
      <c r="AB168"/>
      <c r="AC168"/>
      <c r="AD168"/>
    </row>
    <row r="169" spans="2:30" ht="15" x14ac:dyDescent="0.25">
      <c r="B169"/>
      <c r="C169"/>
      <c r="D169"/>
      <c r="E169"/>
      <c r="F169"/>
      <c r="G169"/>
      <c r="H169"/>
      <c r="I169"/>
      <c r="J169"/>
      <c r="K169"/>
      <c r="L169"/>
      <c r="M169"/>
      <c r="N169"/>
      <c r="O169"/>
      <c r="P169"/>
      <c r="Q169"/>
      <c r="R169"/>
      <c r="S169"/>
      <c r="T169"/>
      <c r="U169"/>
      <c r="V169"/>
      <c r="W169"/>
      <c r="X169"/>
      <c r="Y169"/>
      <c r="Z169"/>
      <c r="AA169"/>
      <c r="AB169"/>
      <c r="AC169"/>
      <c r="AD169"/>
    </row>
    <row r="170" spans="2:30" ht="15" x14ac:dyDescent="0.25">
      <c r="B170"/>
      <c r="C170"/>
      <c r="D170"/>
      <c r="E170"/>
      <c r="F170"/>
      <c r="G170"/>
      <c r="H170"/>
      <c r="I170"/>
      <c r="J170"/>
      <c r="K170"/>
      <c r="L170"/>
      <c r="M170"/>
      <c r="N170"/>
      <c r="O170"/>
      <c r="P170"/>
      <c r="Q170"/>
      <c r="R170"/>
      <c r="S170"/>
      <c r="T170"/>
      <c r="U170"/>
      <c r="V170"/>
      <c r="W170"/>
      <c r="X170"/>
      <c r="Y170"/>
      <c r="Z170"/>
      <c r="AA170"/>
      <c r="AB170"/>
      <c r="AC170"/>
      <c r="AD170"/>
    </row>
    <row r="171" spans="2:30" ht="15" x14ac:dyDescent="0.25">
      <c r="B171"/>
      <c r="C171"/>
      <c r="D171"/>
      <c r="E171"/>
      <c r="F171"/>
      <c r="G171"/>
      <c r="H171"/>
      <c r="I171"/>
      <c r="J171"/>
      <c r="K171"/>
      <c r="L171"/>
      <c r="M171"/>
      <c r="N171"/>
      <c r="O171"/>
      <c r="P171"/>
      <c r="Q171"/>
      <c r="R171"/>
      <c r="S171"/>
      <c r="T171"/>
      <c r="U171"/>
      <c r="V171"/>
      <c r="W171"/>
      <c r="X171"/>
      <c r="Y171"/>
      <c r="Z171"/>
      <c r="AA171"/>
      <c r="AB171"/>
      <c r="AC171"/>
      <c r="AD171"/>
    </row>
    <row r="172" spans="2:30" ht="15" x14ac:dyDescent="0.25">
      <c r="B172"/>
      <c r="C172"/>
      <c r="D172"/>
      <c r="E172"/>
      <c r="F172"/>
      <c r="G172"/>
      <c r="H172"/>
      <c r="I172"/>
      <c r="J172"/>
      <c r="K172"/>
      <c r="L172"/>
      <c r="M172"/>
      <c r="N172"/>
      <c r="O172"/>
      <c r="P172"/>
      <c r="Q172"/>
      <c r="R172"/>
      <c r="S172"/>
      <c r="T172"/>
      <c r="U172"/>
      <c r="V172"/>
      <c r="W172"/>
      <c r="X172"/>
      <c r="Y172"/>
      <c r="Z172"/>
      <c r="AA172"/>
      <c r="AB172"/>
      <c r="AC172"/>
      <c r="AD172"/>
    </row>
    <row r="173" spans="2:30" ht="15" x14ac:dyDescent="0.25">
      <c r="B173"/>
      <c r="C173"/>
      <c r="D173"/>
      <c r="E173"/>
      <c r="F173"/>
      <c r="G173"/>
      <c r="H173"/>
      <c r="I173"/>
      <c r="J173"/>
      <c r="K173"/>
      <c r="L173"/>
      <c r="M173"/>
      <c r="N173"/>
      <c r="O173"/>
      <c r="P173"/>
      <c r="Q173"/>
      <c r="R173"/>
      <c r="S173"/>
      <c r="T173"/>
      <c r="U173"/>
      <c r="V173"/>
      <c r="W173"/>
      <c r="X173"/>
      <c r="Y173"/>
      <c r="Z173"/>
      <c r="AA173"/>
      <c r="AB173"/>
      <c r="AC173"/>
      <c r="AD173"/>
    </row>
    <row r="174" spans="2:30" ht="15" x14ac:dyDescent="0.25">
      <c r="B174"/>
      <c r="C174"/>
      <c r="D174"/>
      <c r="E174"/>
      <c r="F174"/>
      <c r="G174"/>
      <c r="H174"/>
      <c r="I174"/>
      <c r="J174"/>
      <c r="K174"/>
      <c r="L174"/>
      <c r="M174"/>
      <c r="N174"/>
      <c r="O174"/>
      <c r="P174"/>
      <c r="Q174"/>
      <c r="R174"/>
      <c r="S174"/>
      <c r="T174"/>
      <c r="U174"/>
      <c r="V174"/>
      <c r="W174"/>
      <c r="X174"/>
      <c r="Y174"/>
      <c r="Z174"/>
      <c r="AA174"/>
      <c r="AB174"/>
      <c r="AC174"/>
      <c r="AD174"/>
    </row>
    <row r="175" spans="2:30" ht="15" x14ac:dyDescent="0.25">
      <c r="B175"/>
      <c r="C175"/>
      <c r="D175"/>
      <c r="E175"/>
      <c r="F175"/>
      <c r="G175"/>
      <c r="H175"/>
      <c r="I175"/>
      <c r="J175"/>
      <c r="K175"/>
      <c r="L175"/>
      <c r="M175"/>
      <c r="N175"/>
      <c r="O175"/>
      <c r="P175"/>
      <c r="Q175"/>
      <c r="R175"/>
      <c r="S175"/>
      <c r="T175"/>
      <c r="U175"/>
      <c r="V175"/>
      <c r="W175"/>
      <c r="X175"/>
      <c r="Y175"/>
      <c r="Z175"/>
      <c r="AA175"/>
      <c r="AB175"/>
      <c r="AC175"/>
      <c r="AD175"/>
    </row>
    <row r="176" spans="2:30" ht="15" x14ac:dyDescent="0.25">
      <c r="B176"/>
      <c r="C176"/>
      <c r="D176"/>
      <c r="E176"/>
      <c r="F176"/>
      <c r="G176"/>
      <c r="H176"/>
      <c r="I176"/>
      <c r="J176"/>
      <c r="K176"/>
      <c r="L176"/>
      <c r="M176"/>
      <c r="N176"/>
      <c r="O176"/>
      <c r="P176"/>
      <c r="Q176"/>
      <c r="R176"/>
      <c r="S176"/>
      <c r="T176"/>
      <c r="U176"/>
      <c r="V176"/>
      <c r="W176"/>
      <c r="X176"/>
      <c r="Y176"/>
      <c r="Z176"/>
      <c r="AA176"/>
      <c r="AB176"/>
      <c r="AC176"/>
      <c r="AD176"/>
    </row>
    <row r="177" spans="2:30" ht="15" x14ac:dyDescent="0.25">
      <c r="B177"/>
      <c r="C177"/>
      <c r="D177"/>
      <c r="E177"/>
      <c r="F177"/>
      <c r="G177"/>
      <c r="H177"/>
      <c r="I177"/>
      <c r="J177"/>
      <c r="K177"/>
      <c r="L177"/>
      <c r="M177"/>
      <c r="N177"/>
      <c r="O177"/>
      <c r="P177"/>
      <c r="Q177"/>
      <c r="R177"/>
      <c r="S177"/>
      <c r="T177"/>
      <c r="U177"/>
      <c r="V177"/>
      <c r="W177"/>
      <c r="X177"/>
      <c r="Y177"/>
      <c r="Z177"/>
      <c r="AA177"/>
      <c r="AB177"/>
      <c r="AC177"/>
      <c r="AD177"/>
    </row>
    <row r="178" spans="2:30" ht="15" x14ac:dyDescent="0.25">
      <c r="B178"/>
      <c r="C178"/>
      <c r="D178"/>
      <c r="E178"/>
      <c r="F178"/>
      <c r="G178"/>
      <c r="H178"/>
      <c r="I178"/>
      <c r="J178"/>
      <c r="K178"/>
      <c r="L178"/>
      <c r="M178"/>
      <c r="N178"/>
      <c r="O178"/>
      <c r="P178"/>
      <c r="Q178"/>
      <c r="R178"/>
      <c r="S178"/>
      <c r="T178"/>
      <c r="U178"/>
      <c r="V178"/>
      <c r="W178"/>
      <c r="X178"/>
      <c r="Y178"/>
      <c r="Z178"/>
      <c r="AA178"/>
      <c r="AB178"/>
      <c r="AC178"/>
      <c r="AD178"/>
    </row>
    <row r="179" spans="2:30" ht="15" x14ac:dyDescent="0.25">
      <c r="B179"/>
      <c r="C179"/>
      <c r="D179"/>
      <c r="E179"/>
      <c r="F179"/>
      <c r="G179"/>
      <c r="H179"/>
      <c r="I179"/>
      <c r="J179"/>
      <c r="K179"/>
      <c r="L179"/>
      <c r="M179"/>
      <c r="N179"/>
      <c r="O179"/>
      <c r="P179"/>
      <c r="Q179"/>
      <c r="R179"/>
      <c r="S179"/>
      <c r="T179"/>
      <c r="U179"/>
      <c r="V179"/>
      <c r="W179"/>
      <c r="X179"/>
      <c r="Y179"/>
      <c r="Z179"/>
      <c r="AA179"/>
      <c r="AB179"/>
      <c r="AC179"/>
      <c r="AD179"/>
    </row>
    <row r="180" spans="2:30" ht="15" x14ac:dyDescent="0.25">
      <c r="B180"/>
      <c r="C180"/>
      <c r="D180"/>
      <c r="E180"/>
      <c r="F180"/>
      <c r="G180"/>
      <c r="H180"/>
      <c r="I180"/>
      <c r="J180"/>
      <c r="K180"/>
      <c r="L180"/>
      <c r="M180"/>
      <c r="N180"/>
      <c r="O180"/>
      <c r="P180"/>
      <c r="Q180"/>
      <c r="R180"/>
      <c r="S180"/>
      <c r="T180"/>
      <c r="U180"/>
      <c r="V180"/>
      <c r="W180"/>
      <c r="X180"/>
      <c r="Y180"/>
      <c r="Z180"/>
      <c r="AA180"/>
      <c r="AB180"/>
      <c r="AC180"/>
      <c r="AD180"/>
    </row>
    <row r="181" spans="2:30" ht="15" x14ac:dyDescent="0.25">
      <c r="B181"/>
      <c r="C181"/>
      <c r="D181"/>
      <c r="E181"/>
      <c r="F181"/>
      <c r="G181"/>
      <c r="H181"/>
      <c r="I181"/>
      <c r="J181"/>
      <c r="K181"/>
      <c r="L181"/>
      <c r="M181"/>
      <c r="N181"/>
      <c r="O181"/>
      <c r="P181"/>
      <c r="Q181"/>
      <c r="R181"/>
      <c r="S181"/>
      <c r="T181"/>
      <c r="U181"/>
      <c r="V181"/>
      <c r="W181"/>
      <c r="X181"/>
      <c r="Y181"/>
      <c r="Z181"/>
      <c r="AA181"/>
      <c r="AB181"/>
      <c r="AC181"/>
      <c r="AD181"/>
    </row>
    <row r="182" spans="2:30" ht="15" x14ac:dyDescent="0.25">
      <c r="B182"/>
      <c r="C182"/>
      <c r="D182"/>
      <c r="E182"/>
      <c r="F182"/>
      <c r="G182"/>
      <c r="H182"/>
      <c r="I182"/>
      <c r="J182"/>
      <c r="K182"/>
      <c r="L182"/>
      <c r="M182"/>
      <c r="N182"/>
      <c r="O182"/>
      <c r="P182"/>
      <c r="Q182"/>
      <c r="R182"/>
      <c r="S182"/>
      <c r="T182"/>
      <c r="U182"/>
      <c r="V182"/>
      <c r="W182"/>
      <c r="X182"/>
      <c r="Y182"/>
      <c r="Z182"/>
      <c r="AA182"/>
      <c r="AB182"/>
      <c r="AC182"/>
      <c r="AD182"/>
    </row>
    <row r="183" spans="2:30" ht="15" x14ac:dyDescent="0.25">
      <c r="B183"/>
      <c r="C183"/>
      <c r="D183"/>
      <c r="E183"/>
      <c r="F183"/>
      <c r="G183"/>
      <c r="H183"/>
      <c r="I183"/>
      <c r="J183"/>
      <c r="K183"/>
      <c r="L183"/>
      <c r="M183"/>
      <c r="N183"/>
      <c r="O183"/>
      <c r="P183"/>
      <c r="Q183"/>
      <c r="R183"/>
      <c r="S183"/>
      <c r="T183"/>
      <c r="U183"/>
      <c r="V183"/>
      <c r="W183"/>
      <c r="X183"/>
      <c r="Y183"/>
      <c r="Z183"/>
      <c r="AA183"/>
      <c r="AB183"/>
      <c r="AC183"/>
      <c r="AD183"/>
    </row>
    <row r="184" spans="2:30" ht="15" x14ac:dyDescent="0.25">
      <c r="B184"/>
      <c r="C184"/>
      <c r="D184"/>
      <c r="E184"/>
      <c r="F184"/>
      <c r="G184"/>
      <c r="H184"/>
      <c r="I184"/>
      <c r="J184"/>
      <c r="K184"/>
      <c r="L184"/>
      <c r="M184"/>
      <c r="N184"/>
      <c r="O184"/>
      <c r="P184"/>
      <c r="Q184"/>
      <c r="R184"/>
      <c r="S184"/>
      <c r="T184"/>
      <c r="U184"/>
      <c r="V184"/>
      <c r="W184"/>
      <c r="X184"/>
      <c r="Y184"/>
      <c r="Z184"/>
      <c r="AA184"/>
      <c r="AB184"/>
      <c r="AC184"/>
      <c r="AD184"/>
    </row>
    <row r="185" spans="2:30" ht="15" x14ac:dyDescent="0.25">
      <c r="B185"/>
      <c r="C185"/>
      <c r="D185"/>
      <c r="E185"/>
      <c r="F185"/>
      <c r="G185"/>
      <c r="H185"/>
      <c r="I185"/>
      <c r="J185"/>
      <c r="K185"/>
      <c r="L185"/>
      <c r="M185"/>
      <c r="N185"/>
      <c r="O185"/>
      <c r="P185"/>
      <c r="Q185"/>
      <c r="R185"/>
      <c r="S185"/>
      <c r="T185"/>
      <c r="U185"/>
      <c r="V185"/>
      <c r="W185"/>
      <c r="X185"/>
      <c r="Y185"/>
      <c r="Z185"/>
      <c r="AA185"/>
      <c r="AB185"/>
      <c r="AC185"/>
      <c r="AD185"/>
    </row>
  </sheetData>
  <autoFilter ref="A2:K49" xr:uid="{2E9DC9C1-ABE9-4C74-8C0A-F769CBEC5074}"/>
  <mergeCells count="1">
    <mergeCell ref="A1:K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Data!$A$2:$A$79</xm:f>
          </x14:formula1>
          <xm:sqref>A3:A48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33"/>
  <sheetViews>
    <sheetView topLeftCell="D1" zoomScale="80" zoomScaleNormal="80" workbookViewId="0">
      <selection sqref="A1:X1"/>
    </sheetView>
  </sheetViews>
  <sheetFormatPr defaultColWidth="9.28515625" defaultRowHeight="14.25" x14ac:dyDescent="0.2"/>
  <cols>
    <col min="1" max="1" width="15.42578125" style="58" customWidth="1"/>
    <col min="2" max="2" width="13.5703125" style="59" customWidth="1"/>
    <col min="3" max="3" width="18.5703125" style="58" customWidth="1"/>
    <col min="4" max="4" width="41.42578125" style="58" bestFit="1" customWidth="1"/>
    <col min="5" max="5" width="11.7109375" style="58" customWidth="1"/>
    <col min="6" max="6" width="20" style="58" customWidth="1"/>
    <col min="7" max="7" width="20.5703125" style="60" customWidth="1"/>
    <col min="8" max="8" width="59.5703125" style="58" customWidth="1"/>
    <col min="9" max="9" width="6.85546875" style="58" customWidth="1"/>
    <col min="10" max="12" width="7" style="58" customWidth="1"/>
    <col min="13" max="13" width="7.85546875" style="58" customWidth="1"/>
    <col min="14" max="14" width="8.7109375" style="58" customWidth="1"/>
    <col min="15" max="15" width="7" style="58" customWidth="1"/>
    <col min="16" max="16" width="7.140625" style="58" customWidth="1"/>
    <col min="17" max="17" width="7.5703125" style="58" customWidth="1"/>
    <col min="18" max="21" width="7" style="58" customWidth="1"/>
    <col min="22" max="22" width="7.7109375" style="58" customWidth="1"/>
    <col min="23" max="24" width="7" style="58" customWidth="1"/>
    <col min="25" max="26" width="9.28515625" style="58"/>
    <col min="27" max="30" width="7.7109375" style="58" customWidth="1"/>
    <col min="31" max="31" width="9.7109375" style="58" customWidth="1"/>
    <col min="32" max="32" width="7.5703125" style="58" customWidth="1"/>
    <col min="33" max="33" width="11.42578125" style="58" customWidth="1"/>
    <col min="34" max="42" width="7.7109375" style="58" customWidth="1"/>
    <col min="43" max="46" width="10.42578125" style="58" customWidth="1"/>
    <col min="47" max="47" width="9.85546875" style="58" customWidth="1"/>
    <col min="48" max="48" width="10.42578125" style="58" customWidth="1"/>
    <col min="49" max="49" width="21.7109375" style="58" customWidth="1"/>
    <col min="50" max="50" width="10.42578125" style="58" customWidth="1"/>
    <col min="51" max="53" width="7.42578125" style="58" customWidth="1"/>
    <col min="54" max="54" width="7.7109375" style="58" customWidth="1"/>
    <col min="55" max="55" width="7.42578125" style="58" customWidth="1"/>
    <col min="56" max="56" width="13.7109375" style="58" customWidth="1"/>
    <col min="57" max="60" width="7.42578125" style="58" customWidth="1"/>
    <col min="61" max="62" width="9.7109375" style="58" bestFit="1" customWidth="1"/>
    <col min="63" max="16384" width="9.28515625" style="58"/>
  </cols>
  <sheetData>
    <row r="1" spans="1:25" ht="31.9" customHeight="1" x14ac:dyDescent="0.2">
      <c r="A1" s="386" t="str">
        <f>"Envelope - "&amp;Prototype!A2</f>
        <v>Envelope - SchoolLarge</v>
      </c>
      <c r="B1" s="386"/>
      <c r="C1" s="386"/>
      <c r="D1" s="386"/>
      <c r="E1" s="386"/>
      <c r="F1" s="386"/>
      <c r="G1" s="386"/>
      <c r="H1" s="386"/>
      <c r="I1" s="386"/>
      <c r="J1" s="386"/>
      <c r="K1" s="386"/>
      <c r="L1" s="386"/>
      <c r="M1" s="386"/>
      <c r="N1" s="386"/>
      <c r="O1" s="386"/>
      <c r="P1" s="386"/>
      <c r="Q1" s="386"/>
      <c r="R1" s="386"/>
      <c r="S1" s="386"/>
      <c r="T1" s="386"/>
      <c r="U1" s="386"/>
      <c r="V1" s="386"/>
      <c r="W1" s="386"/>
      <c r="X1" s="386"/>
      <c r="Y1" s="4"/>
    </row>
    <row r="2" spans="1:25" ht="45.6" customHeight="1" x14ac:dyDescent="0.2">
      <c r="A2" s="300" t="s">
        <v>141</v>
      </c>
      <c r="B2" s="300" t="s">
        <v>5</v>
      </c>
      <c r="C2" s="300" t="s">
        <v>142</v>
      </c>
      <c r="D2" s="300" t="s">
        <v>143</v>
      </c>
      <c r="E2" s="293" t="s">
        <v>144</v>
      </c>
      <c r="F2" s="300" t="s">
        <v>145</v>
      </c>
      <c r="G2" s="293" t="s">
        <v>146</v>
      </c>
      <c r="H2" s="300" t="s">
        <v>147</v>
      </c>
      <c r="I2" s="300" t="s">
        <v>148</v>
      </c>
      <c r="J2" s="300" t="s">
        <v>149</v>
      </c>
      <c r="K2" s="300" t="s">
        <v>150</v>
      </c>
      <c r="L2" s="300" t="s">
        <v>151</v>
      </c>
      <c r="M2" s="300" t="s">
        <v>152</v>
      </c>
      <c r="N2" s="300" t="s">
        <v>153</v>
      </c>
      <c r="O2" s="300" t="s">
        <v>154</v>
      </c>
      <c r="P2" s="300" t="s">
        <v>155</v>
      </c>
      <c r="Q2" s="300" t="s">
        <v>156</v>
      </c>
      <c r="R2" s="300" t="s">
        <v>157</v>
      </c>
      <c r="S2" s="300" t="s">
        <v>158</v>
      </c>
      <c r="T2" s="300" t="s">
        <v>159</v>
      </c>
      <c r="U2" s="300" t="s">
        <v>160</v>
      </c>
      <c r="V2" s="300" t="s">
        <v>161</v>
      </c>
      <c r="W2" s="300" t="s">
        <v>162</v>
      </c>
      <c r="X2" s="300" t="s">
        <v>163</v>
      </c>
      <c r="Y2" s="4"/>
    </row>
    <row r="3" spans="1:25" ht="19.149999999999999" customHeight="1" x14ac:dyDescent="0.2">
      <c r="A3" s="380" t="s">
        <v>164</v>
      </c>
      <c r="B3" s="382" t="str">
        <f>Prototype!A2</f>
        <v>SchoolLarge</v>
      </c>
      <c r="C3" s="390" t="s">
        <v>165</v>
      </c>
      <c r="D3" s="387" t="s">
        <v>166</v>
      </c>
      <c r="E3" s="380" t="s">
        <v>167</v>
      </c>
      <c r="F3" s="289" t="s">
        <v>168</v>
      </c>
      <c r="G3" s="289" t="s">
        <v>169</v>
      </c>
      <c r="H3" s="139" t="s">
        <v>170</v>
      </c>
      <c r="I3" s="194">
        <v>0.29199999999999998</v>
      </c>
      <c r="J3" s="194">
        <v>0.29199999999999998</v>
      </c>
      <c r="K3" s="194">
        <v>0.29199999999999998</v>
      </c>
      <c r="L3" s="194">
        <v>0.29199999999999998</v>
      </c>
      <c r="M3" s="194">
        <v>0.29199999999999998</v>
      </c>
      <c r="N3" s="194">
        <v>0.29199999999999998</v>
      </c>
      <c r="O3" s="194">
        <v>0.29199999999999998</v>
      </c>
      <c r="P3" s="194">
        <v>0.29199999999999998</v>
      </c>
      <c r="Q3" s="194">
        <v>0.29199999999999998</v>
      </c>
      <c r="R3" s="194">
        <v>0.29199999999999998</v>
      </c>
      <c r="S3" s="194">
        <v>0.29199999999999998</v>
      </c>
      <c r="T3" s="194">
        <v>0.29199999999999998</v>
      </c>
      <c r="U3" s="194">
        <v>0.29199999999999998</v>
      </c>
      <c r="V3" s="194">
        <v>0.29199999999999998</v>
      </c>
      <c r="W3" s="194">
        <v>0.29199999999999998</v>
      </c>
      <c r="X3" s="194">
        <v>0.29199999999999998</v>
      </c>
      <c r="Y3" s="4"/>
    </row>
    <row r="4" spans="1:25" ht="32.25" customHeight="1" x14ac:dyDescent="0.2">
      <c r="A4" s="380"/>
      <c r="B4" s="382"/>
      <c r="C4" s="388"/>
      <c r="D4" s="388"/>
      <c r="E4" s="380"/>
      <c r="F4" s="107" t="s">
        <v>171</v>
      </c>
      <c r="G4" s="107">
        <v>1986</v>
      </c>
      <c r="H4" s="138" t="s">
        <v>172</v>
      </c>
      <c r="I4" s="187">
        <v>0.15082956259426847</v>
      </c>
      <c r="J4" s="187">
        <v>0.15748031496062992</v>
      </c>
      <c r="K4" s="187">
        <v>0.15748031496062992</v>
      </c>
      <c r="L4" s="187">
        <v>0.14367816091954022</v>
      </c>
      <c r="M4" s="187">
        <v>0.14367816091954022</v>
      </c>
      <c r="N4" s="187">
        <v>0.21645021645021645</v>
      </c>
      <c r="O4" s="187">
        <v>0.21645021645021645</v>
      </c>
      <c r="P4" s="187">
        <v>0.21645021645021645</v>
      </c>
      <c r="Q4" s="187">
        <v>0.21645021645021645</v>
      </c>
      <c r="R4" s="187">
        <v>0.21645021645021645</v>
      </c>
      <c r="S4" s="187">
        <v>0.18621973929236499</v>
      </c>
      <c r="T4" s="187">
        <v>0.18621973929236499</v>
      </c>
      <c r="U4" s="187">
        <v>0.18621973929236499</v>
      </c>
      <c r="V4" s="187">
        <v>0.15873015873015872</v>
      </c>
      <c r="W4" s="187">
        <v>0.15873015873015872</v>
      </c>
      <c r="X4" s="187">
        <v>0.15082956259426847</v>
      </c>
      <c r="Y4" s="4"/>
    </row>
    <row r="5" spans="1:25" ht="19.149999999999999" customHeight="1" x14ac:dyDescent="0.2">
      <c r="A5" s="380"/>
      <c r="B5" s="382"/>
      <c r="C5" s="388"/>
      <c r="D5" s="388"/>
      <c r="E5" s="380"/>
      <c r="F5" s="108" t="s">
        <v>173</v>
      </c>
      <c r="G5" s="108">
        <v>2001</v>
      </c>
      <c r="H5" s="108" t="s">
        <v>174</v>
      </c>
      <c r="I5" s="188">
        <v>8.4000000000000005E-2</v>
      </c>
      <c r="J5" s="188">
        <v>8.4000000000000005E-2</v>
      </c>
      <c r="K5" s="188">
        <v>9.1999999999999998E-2</v>
      </c>
      <c r="L5" s="188">
        <v>9.1999999999999998E-2</v>
      </c>
      <c r="M5" s="188">
        <v>9.1999999999999998E-2</v>
      </c>
      <c r="N5" s="188">
        <v>9.1999999999999998E-2</v>
      </c>
      <c r="O5" s="188">
        <v>9.1999999999999998E-2</v>
      </c>
      <c r="P5" s="188">
        <v>9.1999999999999998E-2</v>
      </c>
      <c r="Q5" s="188">
        <v>9.1999999999999998E-2</v>
      </c>
      <c r="R5" s="188">
        <v>8.4000000000000005E-2</v>
      </c>
      <c r="S5" s="188">
        <v>8.4000000000000005E-2</v>
      </c>
      <c r="T5" s="188">
        <v>8.4000000000000005E-2</v>
      </c>
      <c r="U5" s="188">
        <v>8.4000000000000005E-2</v>
      </c>
      <c r="V5" s="188">
        <v>8.4000000000000005E-2</v>
      </c>
      <c r="W5" s="188">
        <v>8.4000000000000005E-2</v>
      </c>
      <c r="X5" s="188">
        <v>8.4000000000000005E-2</v>
      </c>
      <c r="Y5" s="4"/>
    </row>
    <row r="6" spans="1:25" ht="19.149999999999999" customHeight="1" x14ac:dyDescent="0.2">
      <c r="A6" s="380"/>
      <c r="B6" s="382"/>
      <c r="C6" s="388"/>
      <c r="D6" s="388"/>
      <c r="E6" s="380"/>
      <c r="F6" s="109" t="s">
        <v>175</v>
      </c>
      <c r="G6" s="109">
        <v>2013</v>
      </c>
      <c r="H6" s="109" t="s">
        <v>176</v>
      </c>
      <c r="I6" s="189">
        <v>0.10199999999999999</v>
      </c>
      <c r="J6" s="189">
        <v>5.8999999999999997E-2</v>
      </c>
      <c r="K6" s="189">
        <v>0.11</v>
      </c>
      <c r="L6" s="189">
        <v>5.8999999999999997E-2</v>
      </c>
      <c r="M6" s="189">
        <v>0.10199999999999999</v>
      </c>
      <c r="N6" s="189">
        <v>0.11</v>
      </c>
      <c r="O6" s="189">
        <v>0.11</v>
      </c>
      <c r="P6" s="189">
        <v>0.10199999999999999</v>
      </c>
      <c r="Q6" s="189">
        <v>5.8999999999999997E-2</v>
      </c>
      <c r="R6" s="189">
        <v>5.8999999999999997E-2</v>
      </c>
      <c r="S6" s="189">
        <v>5.8999999999999997E-2</v>
      </c>
      <c r="T6" s="189">
        <v>5.8999999999999997E-2</v>
      </c>
      <c r="U6" s="189">
        <v>5.8999999999999997E-2</v>
      </c>
      <c r="V6" s="189">
        <v>5.8999999999999997E-2</v>
      </c>
      <c r="W6" s="189">
        <v>4.2000000000000003E-2</v>
      </c>
      <c r="X6" s="189">
        <v>5.8999999999999997E-2</v>
      </c>
      <c r="Y6" s="4"/>
    </row>
    <row r="7" spans="1:25" ht="19.149999999999999" customHeight="1" x14ac:dyDescent="0.2">
      <c r="A7" s="380"/>
      <c r="B7" s="382"/>
      <c r="C7" s="389"/>
      <c r="D7" s="389"/>
      <c r="E7" s="380"/>
      <c r="F7" s="140" t="s">
        <v>177</v>
      </c>
      <c r="G7" s="141">
        <v>2025</v>
      </c>
      <c r="H7" s="141" t="s">
        <v>176</v>
      </c>
      <c r="I7" s="227">
        <v>7.8E-2</v>
      </c>
      <c r="J7" s="190">
        <v>5.2999999999999999E-2</v>
      </c>
      <c r="K7" s="190">
        <v>0.10199999999999999</v>
      </c>
      <c r="L7" s="190">
        <v>5.2999999999999999E-2</v>
      </c>
      <c r="M7" s="190">
        <v>9.5000000000000001E-2</v>
      </c>
      <c r="N7" s="227">
        <v>0.10199999999999999</v>
      </c>
      <c r="O7" s="227">
        <v>0.10199999999999999</v>
      </c>
      <c r="P7" s="190">
        <v>9.5000000000000001E-2</v>
      </c>
      <c r="Q7" s="190">
        <v>5.2999999999999999E-2</v>
      </c>
      <c r="R7" s="190">
        <v>5.2999999999999999E-2</v>
      </c>
      <c r="S7" s="190">
        <v>4.2000000000000003E-2</v>
      </c>
      <c r="T7" s="190">
        <v>5.2999999999999999E-2</v>
      </c>
      <c r="U7" s="190">
        <v>5.2999999999999999E-2</v>
      </c>
      <c r="V7" s="190">
        <v>5.2999999999999999E-2</v>
      </c>
      <c r="W7" s="191">
        <v>3.7999999999999999E-2</v>
      </c>
      <c r="X7" s="191">
        <v>5.2999999999999999E-2</v>
      </c>
      <c r="Y7" s="4"/>
    </row>
    <row r="8" spans="1:25" ht="19.149999999999999" customHeight="1" x14ac:dyDescent="0.2">
      <c r="A8" s="380" t="s">
        <v>178</v>
      </c>
      <c r="B8" s="382" t="str">
        <f t="shared" ref="B8" si="0">$B$3</f>
        <v>SchoolLarge</v>
      </c>
      <c r="C8" s="391" t="s">
        <v>179</v>
      </c>
      <c r="D8" s="383" t="s">
        <v>180</v>
      </c>
      <c r="E8" s="380" t="s">
        <v>167</v>
      </c>
      <c r="F8" s="289" t="s">
        <v>168</v>
      </c>
      <c r="G8" s="289" t="s">
        <v>169</v>
      </c>
      <c r="H8" s="382" t="s">
        <v>181</v>
      </c>
      <c r="I8" s="194">
        <v>5.7000000000000002E-2</v>
      </c>
      <c r="J8" s="194">
        <v>5.7000000000000002E-2</v>
      </c>
      <c r="K8" s="194">
        <v>5.7000000000000002E-2</v>
      </c>
      <c r="L8" s="194">
        <v>5.7000000000000002E-2</v>
      </c>
      <c r="M8" s="194">
        <v>5.7000000000000002E-2</v>
      </c>
      <c r="N8" s="194">
        <v>7.8E-2</v>
      </c>
      <c r="O8" s="194">
        <v>7.8E-2</v>
      </c>
      <c r="P8" s="194">
        <v>7.8E-2</v>
      </c>
      <c r="Q8" s="194">
        <v>7.8E-2</v>
      </c>
      <c r="R8" s="194">
        <v>7.8E-2</v>
      </c>
      <c r="S8" s="194">
        <v>5.7000000000000002E-2</v>
      </c>
      <c r="T8" s="194">
        <v>5.7000000000000002E-2</v>
      </c>
      <c r="U8" s="194">
        <v>5.7000000000000002E-2</v>
      </c>
      <c r="V8" s="194">
        <v>5.7000000000000002E-2</v>
      </c>
      <c r="W8" s="194">
        <v>5.7000000000000002E-2</v>
      </c>
      <c r="X8" s="194">
        <v>5.7000000000000002E-2</v>
      </c>
      <c r="Y8" s="110"/>
    </row>
    <row r="9" spans="1:25" ht="19.149999999999999" customHeight="1" x14ac:dyDescent="0.2">
      <c r="A9" s="380"/>
      <c r="B9" s="382"/>
      <c r="C9" s="392"/>
      <c r="D9" s="384"/>
      <c r="E9" s="380"/>
      <c r="F9" s="107" t="s">
        <v>171</v>
      </c>
      <c r="G9" s="107">
        <v>1992</v>
      </c>
      <c r="H9" s="382"/>
      <c r="I9" s="187">
        <v>5.7000000000000002E-2</v>
      </c>
      <c r="J9" s="187">
        <v>5.7000000000000002E-2</v>
      </c>
      <c r="K9" s="187">
        <v>5.7000000000000002E-2</v>
      </c>
      <c r="L9" s="187">
        <v>5.7000000000000002E-2</v>
      </c>
      <c r="M9" s="187">
        <v>5.7000000000000002E-2</v>
      </c>
      <c r="N9" s="187">
        <v>7.8E-2</v>
      </c>
      <c r="O9" s="187">
        <v>7.8E-2</v>
      </c>
      <c r="P9" s="187">
        <v>7.8E-2</v>
      </c>
      <c r="Q9" s="187">
        <v>7.8E-2</v>
      </c>
      <c r="R9" s="187">
        <v>7.8E-2</v>
      </c>
      <c r="S9" s="187">
        <v>5.7000000000000002E-2</v>
      </c>
      <c r="T9" s="187">
        <v>5.7000000000000002E-2</v>
      </c>
      <c r="U9" s="187">
        <v>5.7000000000000002E-2</v>
      </c>
      <c r="V9" s="187">
        <v>5.7000000000000002E-2</v>
      </c>
      <c r="W9" s="187">
        <v>5.7000000000000002E-2</v>
      </c>
      <c r="X9" s="187">
        <v>5.7000000000000002E-2</v>
      </c>
      <c r="Y9" s="110"/>
    </row>
    <row r="10" spans="1:25" ht="19.149999999999999" customHeight="1" x14ac:dyDescent="0.2">
      <c r="A10" s="380"/>
      <c r="B10" s="382"/>
      <c r="C10" s="392"/>
      <c r="D10" s="384"/>
      <c r="E10" s="380"/>
      <c r="F10" s="108" t="s">
        <v>173</v>
      </c>
      <c r="G10" s="108">
        <v>2001</v>
      </c>
      <c r="H10" s="108" t="s">
        <v>174</v>
      </c>
      <c r="I10" s="188">
        <v>5.7000000000000002E-2</v>
      </c>
      <c r="J10" s="188">
        <v>5.7000000000000002E-2</v>
      </c>
      <c r="K10" s="188">
        <v>5.7000000000000002E-2</v>
      </c>
      <c r="L10" s="188">
        <v>5.7000000000000002E-2</v>
      </c>
      <c r="M10" s="188">
        <v>5.7000000000000002E-2</v>
      </c>
      <c r="N10" s="188">
        <v>7.8E-2</v>
      </c>
      <c r="O10" s="188">
        <v>7.8E-2</v>
      </c>
      <c r="P10" s="188">
        <v>7.8E-2</v>
      </c>
      <c r="Q10" s="188">
        <v>7.8E-2</v>
      </c>
      <c r="R10" s="188">
        <v>5.7000000000000002E-2</v>
      </c>
      <c r="S10" s="188">
        <v>5.7000000000000002E-2</v>
      </c>
      <c r="T10" s="188">
        <v>5.7000000000000002E-2</v>
      </c>
      <c r="U10" s="188">
        <v>5.7000000000000002E-2</v>
      </c>
      <c r="V10" s="188">
        <v>5.7000000000000002E-2</v>
      </c>
      <c r="W10" s="188">
        <v>5.7000000000000002E-2</v>
      </c>
      <c r="X10" s="188">
        <v>5.7000000000000002E-2</v>
      </c>
      <c r="Y10" s="110"/>
    </row>
    <row r="11" spans="1:25" ht="19.149999999999999" customHeight="1" x14ac:dyDescent="0.2">
      <c r="A11" s="380"/>
      <c r="B11" s="382"/>
      <c r="C11" s="392"/>
      <c r="D11" s="384"/>
      <c r="E11" s="380"/>
      <c r="F11" s="109" t="s">
        <v>175</v>
      </c>
      <c r="G11" s="109">
        <v>2013</v>
      </c>
      <c r="H11" s="109" t="s">
        <v>176</v>
      </c>
      <c r="I11" s="189">
        <v>4.9000000000000002E-2</v>
      </c>
      <c r="J11" s="189">
        <v>3.9E-2</v>
      </c>
      <c r="K11" s="189">
        <v>3.9E-2</v>
      </c>
      <c r="L11" s="189">
        <v>3.9E-2</v>
      </c>
      <c r="M11" s="189">
        <v>4.9000000000000002E-2</v>
      </c>
      <c r="N11" s="189">
        <v>7.4999999999999997E-2</v>
      </c>
      <c r="O11" s="189">
        <v>6.7000000000000004E-2</v>
      </c>
      <c r="P11" s="189">
        <v>6.7000000000000004E-2</v>
      </c>
      <c r="Q11" s="189">
        <v>3.9E-2</v>
      </c>
      <c r="R11" s="189">
        <v>3.9E-2</v>
      </c>
      <c r="S11" s="189">
        <v>3.9E-2</v>
      </c>
      <c r="T11" s="189">
        <v>3.9E-2</v>
      </c>
      <c r="U11" s="189">
        <v>3.9E-2</v>
      </c>
      <c r="V11" s="189">
        <v>3.9E-2</v>
      </c>
      <c r="W11" s="189">
        <v>3.9E-2</v>
      </c>
      <c r="X11" s="189">
        <v>3.9E-2</v>
      </c>
      <c r="Y11" s="110"/>
    </row>
    <row r="12" spans="1:25" ht="19.149999999999999" customHeight="1" x14ac:dyDescent="0.2">
      <c r="A12" s="380"/>
      <c r="B12" s="382"/>
      <c r="C12" s="393"/>
      <c r="D12" s="385"/>
      <c r="E12" s="380"/>
      <c r="F12" s="140" t="s">
        <v>177</v>
      </c>
      <c r="G12" s="141">
        <v>2025</v>
      </c>
      <c r="H12" s="141" t="s">
        <v>176</v>
      </c>
      <c r="I12" s="190">
        <v>2.8000000000000001E-2</v>
      </c>
      <c r="J12" s="190">
        <v>2.8000000000000001E-2</v>
      </c>
      <c r="K12" s="190">
        <v>2.8000000000000001E-2</v>
      </c>
      <c r="L12" s="190">
        <v>2.8000000000000001E-2</v>
      </c>
      <c r="M12" s="190">
        <v>2.8000000000000001E-2</v>
      </c>
      <c r="N12" s="190">
        <v>4.7E-2</v>
      </c>
      <c r="O12" s="190">
        <v>4.7E-2</v>
      </c>
      <c r="P12" s="190">
        <v>4.7E-2</v>
      </c>
      <c r="Q12" s="190">
        <v>2.8000000000000001E-2</v>
      </c>
      <c r="R12" s="190">
        <v>2.8000000000000001E-2</v>
      </c>
      <c r="S12" s="190">
        <v>2.8000000000000001E-2</v>
      </c>
      <c r="T12" s="190">
        <v>2.8000000000000001E-2</v>
      </c>
      <c r="U12" s="190">
        <v>2.8000000000000001E-2</v>
      </c>
      <c r="V12" s="190">
        <v>2.8000000000000001E-2</v>
      </c>
      <c r="W12" s="190">
        <v>2.8000000000000001E-2</v>
      </c>
      <c r="X12" s="190">
        <v>2.8000000000000001E-2</v>
      </c>
      <c r="Y12" s="110"/>
    </row>
    <row r="13" spans="1:25" ht="19.149999999999999" customHeight="1" x14ac:dyDescent="0.2">
      <c r="A13" s="380" t="s">
        <v>182</v>
      </c>
      <c r="B13" s="382" t="str">
        <f t="shared" ref="B13" si="1">$B$3</f>
        <v>SchoolLarge</v>
      </c>
      <c r="C13" s="381" t="s">
        <v>183</v>
      </c>
      <c r="D13" s="382" t="s">
        <v>184</v>
      </c>
      <c r="E13" s="380" t="s">
        <v>167</v>
      </c>
      <c r="F13" s="289" t="s">
        <v>168</v>
      </c>
      <c r="G13" s="289" t="s">
        <v>169</v>
      </c>
      <c r="H13" s="382" t="s">
        <v>185</v>
      </c>
      <c r="I13" s="142">
        <f>0.33*1.12+0.67*0.36</f>
        <v>0.61080000000000001</v>
      </c>
      <c r="J13" s="142">
        <f t="shared" ref="J13:X14" si="2">0.33*1.12+0.67*0.36</f>
        <v>0.61080000000000001</v>
      </c>
      <c r="K13" s="142">
        <f t="shared" si="2"/>
        <v>0.61080000000000001</v>
      </c>
      <c r="L13" s="142">
        <f t="shared" si="2"/>
        <v>0.61080000000000001</v>
      </c>
      <c r="M13" s="142">
        <f t="shared" si="2"/>
        <v>0.61080000000000001</v>
      </c>
      <c r="N13" s="142">
        <f t="shared" si="2"/>
        <v>0.61080000000000001</v>
      </c>
      <c r="O13" s="142">
        <f t="shared" si="2"/>
        <v>0.61080000000000001</v>
      </c>
      <c r="P13" s="142">
        <f t="shared" si="2"/>
        <v>0.61080000000000001</v>
      </c>
      <c r="Q13" s="142">
        <f t="shared" si="2"/>
        <v>0.61080000000000001</v>
      </c>
      <c r="R13" s="142">
        <f t="shared" si="2"/>
        <v>0.61080000000000001</v>
      </c>
      <c r="S13" s="142">
        <f t="shared" si="2"/>
        <v>0.61080000000000001</v>
      </c>
      <c r="T13" s="142">
        <f t="shared" si="2"/>
        <v>0.61080000000000001</v>
      </c>
      <c r="U13" s="142">
        <f t="shared" si="2"/>
        <v>0.61080000000000001</v>
      </c>
      <c r="V13" s="142">
        <f t="shared" si="2"/>
        <v>0.61080000000000001</v>
      </c>
      <c r="W13" s="142">
        <f t="shared" si="2"/>
        <v>0.61080000000000001</v>
      </c>
      <c r="X13" s="142">
        <f t="shared" si="2"/>
        <v>0.61080000000000001</v>
      </c>
      <c r="Y13" s="110"/>
    </row>
    <row r="14" spans="1:25" ht="19.149999999999999" customHeight="1" x14ac:dyDescent="0.2">
      <c r="A14" s="380"/>
      <c r="B14" s="382"/>
      <c r="C14" s="382"/>
      <c r="D14" s="382"/>
      <c r="E14" s="380"/>
      <c r="F14" s="107" t="s">
        <v>171</v>
      </c>
      <c r="G14" s="107" t="s">
        <v>169</v>
      </c>
      <c r="H14" s="382"/>
      <c r="I14" s="143">
        <f>0.33*1.12+0.67*0.36</f>
        <v>0.61080000000000001</v>
      </c>
      <c r="J14" s="143">
        <f t="shared" si="2"/>
        <v>0.61080000000000001</v>
      </c>
      <c r="K14" s="143">
        <f t="shared" si="2"/>
        <v>0.61080000000000001</v>
      </c>
      <c r="L14" s="143">
        <f t="shared" si="2"/>
        <v>0.61080000000000001</v>
      </c>
      <c r="M14" s="143">
        <f t="shared" si="2"/>
        <v>0.61080000000000001</v>
      </c>
      <c r="N14" s="143">
        <f t="shared" si="2"/>
        <v>0.61080000000000001</v>
      </c>
      <c r="O14" s="143">
        <f t="shared" si="2"/>
        <v>0.61080000000000001</v>
      </c>
      <c r="P14" s="143">
        <f t="shared" si="2"/>
        <v>0.61080000000000001</v>
      </c>
      <c r="Q14" s="143">
        <f t="shared" si="2"/>
        <v>0.61080000000000001</v>
      </c>
      <c r="R14" s="143">
        <f t="shared" si="2"/>
        <v>0.61080000000000001</v>
      </c>
      <c r="S14" s="143">
        <f t="shared" si="2"/>
        <v>0.61080000000000001</v>
      </c>
      <c r="T14" s="143">
        <f t="shared" si="2"/>
        <v>0.61080000000000001</v>
      </c>
      <c r="U14" s="143">
        <f t="shared" si="2"/>
        <v>0.61080000000000001</v>
      </c>
      <c r="V14" s="143">
        <f t="shared" si="2"/>
        <v>0.61080000000000001</v>
      </c>
      <c r="W14" s="143">
        <f t="shared" si="2"/>
        <v>0.61080000000000001</v>
      </c>
      <c r="X14" s="143">
        <f t="shared" si="2"/>
        <v>0.61080000000000001</v>
      </c>
      <c r="Y14" s="110"/>
    </row>
    <row r="15" spans="1:25" ht="19.149999999999999" customHeight="1" x14ac:dyDescent="0.2">
      <c r="A15" s="380"/>
      <c r="B15" s="382"/>
      <c r="C15" s="382"/>
      <c r="D15" s="380" t="s">
        <v>186</v>
      </c>
      <c r="E15" s="380"/>
      <c r="F15" s="108" t="s">
        <v>173</v>
      </c>
      <c r="G15" s="108">
        <v>2001</v>
      </c>
      <c r="H15" s="108" t="s">
        <v>174</v>
      </c>
      <c r="I15" s="108">
        <v>0.49</v>
      </c>
      <c r="J15" s="108">
        <v>0.49</v>
      </c>
      <c r="K15" s="108">
        <v>0.81</v>
      </c>
      <c r="L15" s="108">
        <v>0.81</v>
      </c>
      <c r="M15" s="108">
        <v>0.81</v>
      </c>
      <c r="N15" s="108">
        <v>0.81</v>
      </c>
      <c r="O15" s="108">
        <v>0.81</v>
      </c>
      <c r="P15" s="108">
        <v>0.81</v>
      </c>
      <c r="Q15" s="108">
        <v>0.81</v>
      </c>
      <c r="R15" s="108">
        <v>0.49</v>
      </c>
      <c r="S15" s="108">
        <v>0.49</v>
      </c>
      <c r="T15" s="108">
        <v>0.49</v>
      </c>
      <c r="U15" s="108">
        <v>0.49</v>
      </c>
      <c r="V15" s="108">
        <v>0.49</v>
      </c>
      <c r="W15" s="108">
        <v>0.49</v>
      </c>
      <c r="X15" s="108">
        <v>0.49</v>
      </c>
      <c r="Y15" s="110"/>
    </row>
    <row r="16" spans="1:25" ht="19.149999999999999" customHeight="1" x14ac:dyDescent="0.2">
      <c r="A16" s="380"/>
      <c r="B16" s="382"/>
      <c r="C16" s="382"/>
      <c r="D16" s="380"/>
      <c r="E16" s="380"/>
      <c r="F16" s="109" t="s">
        <v>175</v>
      </c>
      <c r="G16" s="109">
        <v>2013</v>
      </c>
      <c r="H16" s="109" t="s">
        <v>176</v>
      </c>
      <c r="I16" s="109">
        <v>0.36</v>
      </c>
      <c r="J16" s="109">
        <v>0.36</v>
      </c>
      <c r="K16" s="109">
        <v>0.36</v>
      </c>
      <c r="L16" s="109">
        <v>0.36</v>
      </c>
      <c r="M16" s="109">
        <v>0.36</v>
      </c>
      <c r="N16" s="109">
        <v>0.36</v>
      </c>
      <c r="O16" s="109">
        <v>0.36</v>
      </c>
      <c r="P16" s="109">
        <v>0.36</v>
      </c>
      <c r="Q16" s="109">
        <v>0.36</v>
      </c>
      <c r="R16" s="109">
        <v>0.36</v>
      </c>
      <c r="S16" s="109">
        <v>0.36</v>
      </c>
      <c r="T16" s="109">
        <v>0.36</v>
      </c>
      <c r="U16" s="109">
        <v>0.36</v>
      </c>
      <c r="V16" s="109">
        <v>0.36</v>
      </c>
      <c r="W16" s="109">
        <v>0.36</v>
      </c>
      <c r="X16" s="109">
        <v>0.36</v>
      </c>
      <c r="Y16" s="110"/>
    </row>
    <row r="17" spans="1:50" ht="19.149999999999999" customHeight="1" x14ac:dyDescent="0.2">
      <c r="A17" s="380"/>
      <c r="B17" s="382"/>
      <c r="C17" s="382"/>
      <c r="D17" s="380"/>
      <c r="E17" s="380"/>
      <c r="F17" s="140" t="s">
        <v>177</v>
      </c>
      <c r="G17" s="141">
        <v>2025</v>
      </c>
      <c r="H17" s="141" t="s">
        <v>176</v>
      </c>
      <c r="I17" s="141">
        <v>0.36</v>
      </c>
      <c r="J17" s="141">
        <v>0.36</v>
      </c>
      <c r="K17" s="141">
        <v>0.36</v>
      </c>
      <c r="L17" s="141">
        <v>0.36</v>
      </c>
      <c r="M17" s="141">
        <v>0.36</v>
      </c>
      <c r="N17" s="141">
        <v>0.36</v>
      </c>
      <c r="O17" s="141">
        <v>0.36</v>
      </c>
      <c r="P17" s="141">
        <v>0.36</v>
      </c>
      <c r="Q17" s="141">
        <v>0.34</v>
      </c>
      <c r="R17" s="141">
        <v>0.36</v>
      </c>
      <c r="S17" s="141">
        <v>0.34</v>
      </c>
      <c r="T17" s="141">
        <v>0.34</v>
      </c>
      <c r="U17" s="141">
        <v>0.34</v>
      </c>
      <c r="V17" s="141">
        <v>0.34</v>
      </c>
      <c r="W17" s="141">
        <v>0.34</v>
      </c>
      <c r="X17" s="141">
        <v>0.36</v>
      </c>
      <c r="Y17" s="110"/>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ht="19.149999999999999" customHeight="1" x14ac:dyDescent="0.2">
      <c r="A18" s="380"/>
      <c r="B18" s="382" t="str">
        <f t="shared" ref="B18" si="3">$B$3</f>
        <v>SchoolLarge</v>
      </c>
      <c r="C18" s="381" t="s">
        <v>183</v>
      </c>
      <c r="D18" s="382" t="s">
        <v>184</v>
      </c>
      <c r="E18" s="380" t="s">
        <v>187</v>
      </c>
      <c r="F18" s="289" t="s">
        <v>168</v>
      </c>
      <c r="G18" s="289" t="s">
        <v>169</v>
      </c>
      <c r="H18" s="382" t="s">
        <v>188</v>
      </c>
      <c r="I18" s="142">
        <f>0.79*0.33+0.67*I21</f>
        <v>0.42820000000000003</v>
      </c>
      <c r="J18" s="142">
        <f t="shared" ref="J18:X18" si="4">0.79*0.33+0.67*J21</f>
        <v>0.42820000000000003</v>
      </c>
      <c r="K18" s="142">
        <f t="shared" si="4"/>
        <v>0.42820000000000003</v>
      </c>
      <c r="L18" s="142">
        <f t="shared" si="4"/>
        <v>0.42820000000000003</v>
      </c>
      <c r="M18" s="142">
        <f t="shared" si="4"/>
        <v>0.42820000000000003</v>
      </c>
      <c r="N18" s="142">
        <f t="shared" si="4"/>
        <v>0.42820000000000003</v>
      </c>
      <c r="O18" s="142">
        <f t="shared" si="4"/>
        <v>0.42820000000000003</v>
      </c>
      <c r="P18" s="142">
        <f t="shared" si="4"/>
        <v>0.42820000000000003</v>
      </c>
      <c r="Q18" s="142">
        <f t="shared" si="4"/>
        <v>0.42820000000000003</v>
      </c>
      <c r="R18" s="142">
        <f t="shared" si="4"/>
        <v>0.42820000000000003</v>
      </c>
      <c r="S18" s="142">
        <f t="shared" si="4"/>
        <v>0.42820000000000003</v>
      </c>
      <c r="T18" s="142">
        <f t="shared" si="4"/>
        <v>0.42820000000000003</v>
      </c>
      <c r="U18" s="142">
        <f t="shared" si="4"/>
        <v>0.42820000000000003</v>
      </c>
      <c r="V18" s="142">
        <f t="shared" si="4"/>
        <v>0.42820000000000003</v>
      </c>
      <c r="W18" s="142">
        <f t="shared" si="4"/>
        <v>0.42820000000000003</v>
      </c>
      <c r="X18" s="142">
        <f t="shared" si="4"/>
        <v>0.42820000000000003</v>
      </c>
      <c r="Y18" s="110"/>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ht="19.149999999999999" customHeight="1" x14ac:dyDescent="0.2">
      <c r="A19" s="380"/>
      <c r="B19" s="382"/>
      <c r="C19" s="381"/>
      <c r="D19" s="382"/>
      <c r="E19" s="380"/>
      <c r="F19" s="107" t="s">
        <v>171</v>
      </c>
      <c r="G19" s="107" t="s">
        <v>169</v>
      </c>
      <c r="H19" s="382"/>
      <c r="I19" s="143">
        <f>0.79*0.33+0.67*I21</f>
        <v>0.42820000000000003</v>
      </c>
      <c r="J19" s="143">
        <f t="shared" ref="J19:X19" si="5">0.79*0.33+0.67*J21</f>
        <v>0.42820000000000003</v>
      </c>
      <c r="K19" s="143">
        <f t="shared" si="5"/>
        <v>0.42820000000000003</v>
      </c>
      <c r="L19" s="143">
        <f t="shared" si="5"/>
        <v>0.42820000000000003</v>
      </c>
      <c r="M19" s="143">
        <f t="shared" si="5"/>
        <v>0.42820000000000003</v>
      </c>
      <c r="N19" s="143">
        <f t="shared" si="5"/>
        <v>0.42820000000000003</v>
      </c>
      <c r="O19" s="143">
        <f t="shared" si="5"/>
        <v>0.42820000000000003</v>
      </c>
      <c r="P19" s="143">
        <f t="shared" si="5"/>
        <v>0.42820000000000003</v>
      </c>
      <c r="Q19" s="143">
        <f t="shared" si="5"/>
        <v>0.42820000000000003</v>
      </c>
      <c r="R19" s="143">
        <f t="shared" si="5"/>
        <v>0.42820000000000003</v>
      </c>
      <c r="S19" s="143">
        <f t="shared" si="5"/>
        <v>0.42820000000000003</v>
      </c>
      <c r="T19" s="143">
        <f t="shared" si="5"/>
        <v>0.42820000000000003</v>
      </c>
      <c r="U19" s="143">
        <f t="shared" si="5"/>
        <v>0.42820000000000003</v>
      </c>
      <c r="V19" s="143">
        <f t="shared" si="5"/>
        <v>0.42820000000000003</v>
      </c>
      <c r="W19" s="143">
        <f t="shared" si="5"/>
        <v>0.42820000000000003</v>
      </c>
      <c r="X19" s="143">
        <f t="shared" si="5"/>
        <v>0.42820000000000003</v>
      </c>
      <c r="Y19" s="110"/>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ht="19.149999999999999" customHeight="1" x14ac:dyDescent="0.2">
      <c r="A20" s="380"/>
      <c r="B20" s="382"/>
      <c r="C20" s="381"/>
      <c r="D20" s="380" t="s">
        <v>186</v>
      </c>
      <c r="E20" s="380"/>
      <c r="F20" s="108" t="s">
        <v>173</v>
      </c>
      <c r="G20" s="108">
        <v>2001</v>
      </c>
      <c r="H20" s="144" t="s">
        <v>189</v>
      </c>
      <c r="I20" s="108">
        <v>0.43</v>
      </c>
      <c r="J20" s="108">
        <v>0.36</v>
      </c>
      <c r="K20" s="108">
        <v>0.41</v>
      </c>
      <c r="L20" s="108">
        <v>0.41</v>
      </c>
      <c r="M20" s="108">
        <v>0.41</v>
      </c>
      <c r="N20" s="108">
        <v>0.34</v>
      </c>
      <c r="O20" s="108">
        <v>0.34</v>
      </c>
      <c r="P20" s="108">
        <v>0.34</v>
      </c>
      <c r="Q20" s="108">
        <v>0.34</v>
      </c>
      <c r="R20" s="108">
        <v>0.31</v>
      </c>
      <c r="S20" s="108">
        <v>0.31</v>
      </c>
      <c r="T20" s="108">
        <v>0.31</v>
      </c>
      <c r="U20" s="108">
        <v>0.31</v>
      </c>
      <c r="V20" s="108">
        <v>0.31</v>
      </c>
      <c r="W20" s="108">
        <v>0.31</v>
      </c>
      <c r="X20" s="108">
        <v>0.43</v>
      </c>
      <c r="Y20" s="110"/>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ht="19.149999999999999" customHeight="1" x14ac:dyDescent="0.2">
      <c r="A21" s="380"/>
      <c r="B21" s="382"/>
      <c r="C21" s="381"/>
      <c r="D21" s="380"/>
      <c r="E21" s="380"/>
      <c r="F21" s="109" t="s">
        <v>175</v>
      </c>
      <c r="G21" s="109">
        <v>2013</v>
      </c>
      <c r="H21" s="109" t="s">
        <v>176</v>
      </c>
      <c r="I21" s="109">
        <v>0.25</v>
      </c>
      <c r="J21" s="109">
        <v>0.25</v>
      </c>
      <c r="K21" s="109">
        <v>0.25</v>
      </c>
      <c r="L21" s="109">
        <v>0.25</v>
      </c>
      <c r="M21" s="109">
        <v>0.25</v>
      </c>
      <c r="N21" s="109">
        <v>0.25</v>
      </c>
      <c r="O21" s="109">
        <v>0.25</v>
      </c>
      <c r="P21" s="109">
        <v>0.25</v>
      </c>
      <c r="Q21" s="109">
        <v>0.25</v>
      </c>
      <c r="R21" s="109">
        <v>0.25</v>
      </c>
      <c r="S21" s="109">
        <v>0.25</v>
      </c>
      <c r="T21" s="109">
        <v>0.25</v>
      </c>
      <c r="U21" s="109">
        <v>0.25</v>
      </c>
      <c r="V21" s="109">
        <v>0.25</v>
      </c>
      <c r="W21" s="109">
        <v>0.25</v>
      </c>
      <c r="X21" s="109">
        <v>0.25</v>
      </c>
      <c r="Y21" s="110"/>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spans="1:50" ht="19.149999999999999" customHeight="1" x14ac:dyDescent="0.2">
      <c r="A22" s="380"/>
      <c r="B22" s="382"/>
      <c r="C22" s="381"/>
      <c r="D22" s="380"/>
      <c r="E22" s="380"/>
      <c r="F22" s="140" t="s">
        <v>177</v>
      </c>
      <c r="G22" s="141">
        <v>2025</v>
      </c>
      <c r="H22" s="140" t="s">
        <v>176</v>
      </c>
      <c r="I22" s="141">
        <v>0.25</v>
      </c>
      <c r="J22" s="141">
        <v>0.25</v>
      </c>
      <c r="K22" s="141">
        <v>0.25</v>
      </c>
      <c r="L22" s="141">
        <v>0.25</v>
      </c>
      <c r="M22" s="141">
        <v>0.25</v>
      </c>
      <c r="N22" s="141">
        <v>0.25</v>
      </c>
      <c r="O22" s="141">
        <v>0.25</v>
      </c>
      <c r="P22" s="141">
        <v>0.25</v>
      </c>
      <c r="Q22" s="141">
        <v>0.22</v>
      </c>
      <c r="R22" s="141">
        <v>0.25</v>
      </c>
      <c r="S22" s="141">
        <v>0.22</v>
      </c>
      <c r="T22" s="141">
        <v>0.22</v>
      </c>
      <c r="U22" s="141">
        <v>0.22</v>
      </c>
      <c r="V22" s="141">
        <v>0.22</v>
      </c>
      <c r="W22" s="141">
        <v>0.22</v>
      </c>
      <c r="X22" s="141">
        <v>0.25</v>
      </c>
      <c r="Y22" s="110"/>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customFormat="1" ht="19.149999999999999" customHeight="1" x14ac:dyDescent="0.25"/>
    <row r="24" spans="1:50" x14ac:dyDescent="0.2">
      <c r="A24" s="6"/>
      <c r="B24" s="12"/>
      <c r="C24" s="6"/>
      <c r="D24" s="6"/>
      <c r="E24" s="111"/>
      <c r="F24" s="111"/>
      <c r="G24" s="112"/>
      <c r="H24" s="111"/>
      <c r="I24" s="111"/>
      <c r="J24" s="111"/>
      <c r="K24" s="111"/>
      <c r="L24" s="111"/>
      <c r="M24" s="111"/>
      <c r="N24" s="111"/>
      <c r="O24" s="111"/>
      <c r="P24" s="111"/>
      <c r="Q24" s="111"/>
      <c r="R24" s="111"/>
      <c r="S24" s="111"/>
      <c r="T24" s="111"/>
      <c r="U24" s="111"/>
      <c r="V24" s="111"/>
      <c r="W24" s="111"/>
      <c r="X24" s="111"/>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spans="1:50" ht="44.45" customHeight="1" x14ac:dyDescent="0.2">
      <c r="A25" s="4"/>
      <c r="B25" s="193"/>
      <c r="C25" s="4"/>
      <c r="D25" s="4"/>
      <c r="E25" s="394" t="s">
        <v>190</v>
      </c>
      <c r="F25" s="394"/>
      <c r="G25" s="394"/>
      <c r="H25" s="394"/>
      <c r="I25" s="394"/>
      <c r="J25" s="394"/>
      <c r="K25" s="394"/>
      <c r="L25" s="394"/>
      <c r="M25" s="394"/>
      <c r="N25" s="394"/>
      <c r="O25" s="394"/>
      <c r="P25" s="394"/>
      <c r="Q25" s="394"/>
      <c r="R25" s="394"/>
      <c r="S25" s="394"/>
      <c r="T25" s="394"/>
      <c r="U25" s="394"/>
      <c r="V25" s="394"/>
      <c r="W25" s="394"/>
      <c r="X25" s="394"/>
      <c r="Y25" s="68"/>
      <c r="Z25" s="68"/>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ht="63" customHeight="1" x14ac:dyDescent="0.2">
      <c r="A26" s="4"/>
      <c r="B26" s="193"/>
      <c r="C26" s="4"/>
      <c r="D26" s="4"/>
      <c r="E26" s="293"/>
      <c r="F26" s="300" t="s">
        <v>145</v>
      </c>
      <c r="G26" s="293" t="s">
        <v>191</v>
      </c>
      <c r="H26" s="293" t="s">
        <v>147</v>
      </c>
      <c r="I26" s="395" t="s">
        <v>192</v>
      </c>
      <c r="J26" s="395"/>
      <c r="K26" s="395"/>
      <c r="L26" s="395"/>
      <c r="M26" s="395"/>
      <c r="N26" s="395"/>
      <c r="O26" s="395"/>
      <c r="P26" s="395"/>
      <c r="Q26" s="395"/>
      <c r="R26" s="395"/>
      <c r="S26" s="395"/>
      <c r="T26" s="395"/>
      <c r="U26" s="395"/>
      <c r="V26" s="395"/>
      <c r="W26" s="395"/>
      <c r="X26" s="395"/>
      <c r="Y26" s="145"/>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ht="18.600000000000001" customHeight="1" x14ac:dyDescent="0.2">
      <c r="A27" s="4"/>
      <c r="B27" s="193"/>
      <c r="C27" s="4"/>
      <c r="D27" s="4"/>
      <c r="E27" s="396" t="s">
        <v>190</v>
      </c>
      <c r="F27" s="289" t="s">
        <v>168</v>
      </c>
      <c r="G27" s="290">
        <v>1.1000000000000001</v>
      </c>
      <c r="H27" s="131" t="s">
        <v>193</v>
      </c>
      <c r="I27" s="382">
        <v>0.61460000000000004</v>
      </c>
      <c r="J27" s="382"/>
      <c r="K27" s="382"/>
      <c r="L27" s="382"/>
      <c r="M27" s="382"/>
      <c r="N27" s="382"/>
      <c r="O27" s="382"/>
      <c r="P27" s="382"/>
      <c r="Q27" s="382"/>
      <c r="R27" s="382"/>
      <c r="S27" s="382"/>
      <c r="T27" s="382"/>
      <c r="U27" s="382"/>
      <c r="V27" s="382"/>
      <c r="W27" s="382"/>
      <c r="X27" s="382"/>
      <c r="Y27" s="10"/>
      <c r="Z27" s="4"/>
      <c r="AA27" s="368"/>
      <c r="AB27" s="368"/>
      <c r="AC27" s="368"/>
      <c r="AD27" s="368"/>
      <c r="AE27" s="368"/>
      <c r="AF27" s="368"/>
      <c r="AG27" s="368"/>
      <c r="AH27" s="368"/>
      <c r="AI27" s="368"/>
      <c r="AJ27" s="368"/>
      <c r="AK27" s="368"/>
      <c r="AL27" s="368"/>
      <c r="AM27" s="368"/>
      <c r="AN27" s="368"/>
      <c r="AO27" s="368"/>
      <c r="AP27" s="368"/>
      <c r="AQ27" s="368"/>
      <c r="AR27" s="368"/>
      <c r="AS27" s="368"/>
      <c r="AT27" s="368"/>
      <c r="AU27" s="368"/>
      <c r="AV27" s="368"/>
      <c r="AW27" s="368"/>
      <c r="AX27" s="4"/>
    </row>
    <row r="28" spans="1:50" ht="18.600000000000001" customHeight="1" x14ac:dyDescent="0.2">
      <c r="A28" s="4"/>
      <c r="B28" s="193"/>
      <c r="C28" s="4"/>
      <c r="D28" s="4"/>
      <c r="E28" s="396"/>
      <c r="F28" s="289" t="s">
        <v>171</v>
      </c>
      <c r="G28" s="290">
        <v>1.1000000000000001</v>
      </c>
      <c r="H28" s="131" t="s">
        <v>193</v>
      </c>
      <c r="I28" s="382">
        <v>0.61460000000000004</v>
      </c>
      <c r="J28" s="382"/>
      <c r="K28" s="382"/>
      <c r="L28" s="382"/>
      <c r="M28" s="382"/>
      <c r="N28" s="382"/>
      <c r="O28" s="382"/>
      <c r="P28" s="382"/>
      <c r="Q28" s="382"/>
      <c r="R28" s="382"/>
      <c r="S28" s="382"/>
      <c r="T28" s="382"/>
      <c r="U28" s="382"/>
      <c r="V28" s="382"/>
      <c r="W28" s="382"/>
      <c r="X28" s="382"/>
      <c r="Y28" s="10"/>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1:50" ht="18.600000000000001" customHeight="1" x14ac:dyDescent="0.2">
      <c r="A29" s="4"/>
      <c r="B29" s="193"/>
      <c r="C29" s="4"/>
      <c r="D29" s="4"/>
      <c r="E29" s="396"/>
      <c r="F29" s="289" t="s">
        <v>173</v>
      </c>
      <c r="G29" s="290">
        <v>1.1000000000000001</v>
      </c>
      <c r="H29" s="131" t="s">
        <v>193</v>
      </c>
      <c r="I29" s="382">
        <v>0.61460000000000004</v>
      </c>
      <c r="J29" s="382"/>
      <c r="K29" s="382"/>
      <c r="L29" s="382"/>
      <c r="M29" s="382"/>
      <c r="N29" s="382"/>
      <c r="O29" s="382"/>
      <c r="P29" s="382"/>
      <c r="Q29" s="382"/>
      <c r="R29" s="382"/>
      <c r="S29" s="382"/>
      <c r="T29" s="382"/>
      <c r="U29" s="382"/>
      <c r="V29" s="382"/>
      <c r="W29" s="382"/>
      <c r="X29" s="382"/>
      <c r="Y29" s="10"/>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ht="34.9" customHeight="1" x14ac:dyDescent="0.2">
      <c r="A30" s="4"/>
      <c r="B30" s="193"/>
      <c r="C30" s="4"/>
      <c r="D30" s="4"/>
      <c r="E30" s="396"/>
      <c r="F30" s="289" t="s">
        <v>175</v>
      </c>
      <c r="G30" s="290">
        <v>1</v>
      </c>
      <c r="H30" s="290" t="s">
        <v>194</v>
      </c>
      <c r="I30" s="382">
        <v>0.56240000000000001</v>
      </c>
      <c r="J30" s="382"/>
      <c r="K30" s="382"/>
      <c r="L30" s="382"/>
      <c r="M30" s="382"/>
      <c r="N30" s="382"/>
      <c r="O30" s="382"/>
      <c r="P30" s="382"/>
      <c r="Q30" s="382"/>
      <c r="R30" s="382"/>
      <c r="S30" s="382"/>
      <c r="T30" s="382"/>
      <c r="U30" s="382"/>
      <c r="V30" s="382"/>
      <c r="W30" s="382"/>
      <c r="X30" s="382"/>
      <c r="Y30" s="10"/>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ht="31.15" customHeight="1" x14ac:dyDescent="0.2">
      <c r="A31" s="4"/>
      <c r="B31" s="193"/>
      <c r="C31" s="4"/>
      <c r="D31" s="4"/>
      <c r="E31" s="396"/>
      <c r="F31" s="289" t="s">
        <v>177</v>
      </c>
      <c r="G31" s="290">
        <v>0.6</v>
      </c>
      <c r="H31" s="290" t="s">
        <v>195</v>
      </c>
      <c r="I31" s="382">
        <v>0.3352</v>
      </c>
      <c r="J31" s="382"/>
      <c r="K31" s="382"/>
      <c r="L31" s="382"/>
      <c r="M31" s="382"/>
      <c r="N31" s="382"/>
      <c r="O31" s="382"/>
      <c r="P31" s="382"/>
      <c r="Q31" s="382"/>
      <c r="R31" s="382"/>
      <c r="S31" s="382"/>
      <c r="T31" s="382"/>
      <c r="U31" s="382"/>
      <c r="V31" s="382"/>
      <c r="W31" s="382"/>
      <c r="X31" s="382"/>
      <c r="Y31" s="10"/>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x14ac:dyDescent="0.2">
      <c r="A32" s="4"/>
      <c r="B32" s="193"/>
      <c r="C32" s="4"/>
      <c r="D32" s="4"/>
      <c r="E32" s="6" t="s">
        <v>196</v>
      </c>
      <c r="F32" s="4"/>
      <c r="G32" s="69"/>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5:22" ht="15" x14ac:dyDescent="0.25">
      <c r="E33" s="6" t="s">
        <v>197</v>
      </c>
      <c r="F33" s="4"/>
      <c r="G33" s="2" t="s">
        <v>26</v>
      </c>
      <c r="H33" s="4"/>
      <c r="I33" s="4"/>
      <c r="J33" s="4"/>
      <c r="K33" s="4"/>
      <c r="L33" s="4"/>
      <c r="M33" s="4"/>
      <c r="N33" s="4"/>
      <c r="O33" s="4"/>
      <c r="P33" s="4"/>
      <c r="Q33" s="4"/>
      <c r="R33" s="4"/>
      <c r="S33" s="4"/>
      <c r="T33" s="4"/>
      <c r="U33" s="4"/>
      <c r="V33" s="4"/>
    </row>
  </sheetData>
  <mergeCells count="38">
    <mergeCell ref="E25:X25"/>
    <mergeCell ref="I26:X26"/>
    <mergeCell ref="I27:X27"/>
    <mergeCell ref="I28:X28"/>
    <mergeCell ref="I29:X29"/>
    <mergeCell ref="E27:E31"/>
    <mergeCell ref="I30:X30"/>
    <mergeCell ref="I31:X31"/>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27:AS27"/>
    <mergeCell ref="AT27:AW27"/>
    <mergeCell ref="AF27:AJ27"/>
    <mergeCell ref="AA27:AE27"/>
    <mergeCell ref="AK27:AO27"/>
    <mergeCell ref="D20:D22"/>
    <mergeCell ref="E3:E7"/>
    <mergeCell ref="C13:C17"/>
    <mergeCell ref="B8:B12"/>
    <mergeCell ref="E8:E12"/>
    <mergeCell ref="E13:E17"/>
    <mergeCell ref="D8:D12"/>
    <mergeCell ref="D15:D17"/>
    <mergeCell ref="D13:D14"/>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4"/>
  <sheetViews>
    <sheetView zoomScale="85" zoomScaleNormal="85" zoomScaleSheetLayoutView="40" workbookViewId="0">
      <selection sqref="A1:G1"/>
    </sheetView>
  </sheetViews>
  <sheetFormatPr defaultColWidth="8.7109375" defaultRowHeight="12.75" x14ac:dyDescent="0.2"/>
  <cols>
    <col min="1" max="1" width="39" style="6" customWidth="1"/>
    <col min="2" max="2" width="34.7109375" style="6" customWidth="1"/>
    <col min="3" max="3" width="29.140625" style="6" customWidth="1"/>
    <col min="4" max="4" width="29.42578125" style="6" customWidth="1"/>
    <col min="5" max="5" width="45.7109375" style="6" bestFit="1" customWidth="1"/>
    <col min="6" max="6" width="48.28515625" style="6" bestFit="1" customWidth="1"/>
    <col min="7" max="7" width="34" style="6" customWidth="1"/>
    <col min="8" max="8" width="25.140625" style="6" bestFit="1" customWidth="1"/>
    <col min="9" max="9" width="34.7109375" style="6" bestFit="1" customWidth="1"/>
    <col min="10" max="11" width="12.7109375" style="6" customWidth="1"/>
    <col min="12" max="19" width="15.28515625" style="6" customWidth="1"/>
    <col min="20" max="20" width="14.7109375" style="6" customWidth="1"/>
    <col min="21" max="21" width="13.5703125" style="6" customWidth="1"/>
    <col min="22" max="22" width="15.7109375" style="6" customWidth="1"/>
    <col min="23" max="29" width="11" style="6" customWidth="1"/>
    <col min="30" max="38" width="6.5703125" style="6" customWidth="1"/>
    <col min="39" max="39" width="8.7109375" style="6" customWidth="1"/>
    <col min="40" max="16384" width="8.7109375" style="6"/>
  </cols>
  <sheetData>
    <row r="1" spans="1:9" ht="27" customHeight="1" x14ac:dyDescent="0.2">
      <c r="A1" s="401" t="str">
        <f>"HVAC system - "&amp;Prototype!A2</f>
        <v>HVAC system - SchoolLarge</v>
      </c>
      <c r="B1" s="402"/>
      <c r="C1" s="402"/>
      <c r="D1" s="402"/>
      <c r="E1" s="402"/>
      <c r="F1" s="402"/>
      <c r="G1" s="403"/>
    </row>
    <row r="2" spans="1:9" ht="19.149999999999999" customHeight="1" x14ac:dyDescent="0.2">
      <c r="A2" s="130" t="s">
        <v>145</v>
      </c>
      <c r="B2" s="67" t="s">
        <v>198</v>
      </c>
      <c r="C2" s="67" t="s">
        <v>199</v>
      </c>
      <c r="D2" s="67" t="s">
        <v>200</v>
      </c>
      <c r="E2" s="67" t="s">
        <v>201</v>
      </c>
      <c r="F2" s="67" t="s">
        <v>202</v>
      </c>
      <c r="G2" s="67" t="s">
        <v>147</v>
      </c>
    </row>
    <row r="3" spans="1:9" ht="42" customHeight="1" x14ac:dyDescent="0.2">
      <c r="A3" s="290" t="s">
        <v>203</v>
      </c>
      <c r="B3" s="290" t="s">
        <v>204</v>
      </c>
      <c r="C3" s="295" t="s">
        <v>205</v>
      </c>
      <c r="D3" s="249" t="s">
        <v>206</v>
      </c>
      <c r="E3" s="296" t="s">
        <v>207</v>
      </c>
      <c r="F3" s="194" t="s">
        <v>208</v>
      </c>
      <c r="G3" s="290" t="s">
        <v>209</v>
      </c>
      <c r="H3" s="288"/>
      <c r="I3" s="288"/>
    </row>
    <row r="4" spans="1:9" ht="47.25" customHeight="1" x14ac:dyDescent="0.2">
      <c r="A4" s="289" t="s">
        <v>210</v>
      </c>
      <c r="B4" s="290" t="s">
        <v>204</v>
      </c>
      <c r="C4" s="295" t="s">
        <v>205</v>
      </c>
      <c r="D4" s="249" t="s">
        <v>206</v>
      </c>
      <c r="E4" s="296" t="s">
        <v>207</v>
      </c>
      <c r="F4" s="194" t="s">
        <v>208</v>
      </c>
      <c r="G4" s="290" t="s">
        <v>209</v>
      </c>
      <c r="H4" s="66"/>
      <c r="I4" s="66"/>
    </row>
    <row r="5" spans="1:9" ht="25.9" customHeight="1" x14ac:dyDescent="0.2">
      <c r="A5" s="10"/>
      <c r="B5" s="10"/>
      <c r="C5" s="118"/>
      <c r="D5" s="118"/>
      <c r="E5" s="118"/>
      <c r="F5" s="66"/>
      <c r="G5" s="66"/>
      <c r="H5" s="66"/>
      <c r="I5" s="66"/>
    </row>
    <row r="6" spans="1:9" x14ac:dyDescent="0.2">
      <c r="A6" s="118"/>
      <c r="B6" s="118"/>
      <c r="C6" s="118"/>
      <c r="D6" s="118"/>
      <c r="E6" s="118"/>
    </row>
    <row r="7" spans="1:9" ht="25.9" customHeight="1" x14ac:dyDescent="0.2">
      <c r="A7" s="386" t="s">
        <v>211</v>
      </c>
      <c r="B7" s="386"/>
      <c r="C7" s="386"/>
      <c r="D7" s="386"/>
      <c r="E7" s="386"/>
      <c r="F7" s="386"/>
      <c r="G7" s="386"/>
      <c r="H7" s="386"/>
    </row>
    <row r="8" spans="1:9" ht="43.9" customHeight="1" x14ac:dyDescent="0.2">
      <c r="A8" s="300" t="s">
        <v>145</v>
      </c>
      <c r="B8" s="300" t="s">
        <v>212</v>
      </c>
      <c r="C8" s="300" t="s">
        <v>213</v>
      </c>
      <c r="D8" s="293" t="s">
        <v>214</v>
      </c>
      <c r="E8" s="232" t="s">
        <v>215</v>
      </c>
      <c r="F8" s="232" t="s">
        <v>216</v>
      </c>
      <c r="G8" s="232" t="s">
        <v>202</v>
      </c>
      <c r="H8" s="300" t="s">
        <v>147</v>
      </c>
    </row>
    <row r="9" spans="1:9" ht="22.15" customHeight="1" x14ac:dyDescent="0.2">
      <c r="A9" s="289" t="s">
        <v>168</v>
      </c>
      <c r="B9" s="380">
        <v>2008</v>
      </c>
      <c r="C9" s="404" t="s">
        <v>217</v>
      </c>
      <c r="D9" s="400" t="s">
        <v>218</v>
      </c>
      <c r="E9" s="405" t="s">
        <v>219</v>
      </c>
      <c r="F9" s="405" t="s">
        <v>220</v>
      </c>
      <c r="G9" s="406" t="s">
        <v>221</v>
      </c>
      <c r="H9" s="400"/>
    </row>
    <row r="10" spans="1:9" ht="20.45" customHeight="1" x14ac:dyDescent="0.2">
      <c r="A10" s="289" t="s">
        <v>171</v>
      </c>
      <c r="B10" s="380"/>
      <c r="C10" s="404"/>
      <c r="D10" s="400"/>
      <c r="E10" s="405"/>
      <c r="F10" s="405"/>
      <c r="G10" s="407"/>
      <c r="H10" s="400"/>
    </row>
    <row r="11" spans="1:9" ht="25.5" customHeight="1" x14ac:dyDescent="0.2">
      <c r="A11" s="289" t="s">
        <v>173</v>
      </c>
      <c r="B11" s="380"/>
      <c r="C11" s="404"/>
      <c r="D11" s="400"/>
      <c r="E11" s="405"/>
      <c r="F11" s="405"/>
      <c r="G11" s="408"/>
      <c r="H11" s="400"/>
    </row>
    <row r="12" spans="1:9" ht="72.75" customHeight="1" x14ac:dyDescent="0.2">
      <c r="A12" s="289" t="s">
        <v>175</v>
      </c>
      <c r="B12" s="249">
        <v>2013</v>
      </c>
      <c r="C12" s="297" t="s">
        <v>222</v>
      </c>
      <c r="D12" s="295" t="s">
        <v>218</v>
      </c>
      <c r="E12" s="297" t="s">
        <v>223</v>
      </c>
      <c r="F12" s="297" t="s">
        <v>224</v>
      </c>
      <c r="G12" s="235" t="s">
        <v>225</v>
      </c>
      <c r="H12" s="295"/>
    </row>
    <row r="13" spans="1:9" ht="69" customHeight="1" x14ac:dyDescent="0.2">
      <c r="A13" s="289" t="s">
        <v>210</v>
      </c>
      <c r="B13" s="249">
        <v>2025</v>
      </c>
      <c r="C13" s="297" t="s">
        <v>226</v>
      </c>
      <c r="D13" s="295" t="s">
        <v>218</v>
      </c>
      <c r="E13" s="297" t="s">
        <v>227</v>
      </c>
      <c r="F13" s="297" t="s">
        <v>224</v>
      </c>
      <c r="G13" s="235" t="s">
        <v>228</v>
      </c>
      <c r="H13" s="295"/>
    </row>
    <row r="14" spans="1:9" x14ac:dyDescent="0.2">
      <c r="B14" s="8"/>
      <c r="C14" s="8"/>
      <c r="D14" s="37"/>
      <c r="E14" s="8"/>
    </row>
    <row r="15" spans="1:9" x14ac:dyDescent="0.2">
      <c r="A15" s="38"/>
      <c r="B15" s="8"/>
      <c r="C15" s="8" t="s">
        <v>229</v>
      </c>
      <c r="D15" s="8" t="s">
        <v>230</v>
      </c>
      <c r="E15" s="8"/>
    </row>
    <row r="16" spans="1:9" ht="13.5" thickBot="1" x14ac:dyDescent="0.25">
      <c r="A16" s="298"/>
      <c r="B16" s="298"/>
      <c r="C16" s="298"/>
      <c r="D16" s="298"/>
      <c r="E16" s="298"/>
    </row>
    <row r="17" spans="1:40" ht="15.75" x14ac:dyDescent="0.2">
      <c r="A17" s="397" t="s">
        <v>231</v>
      </c>
      <c r="B17" s="398"/>
      <c r="C17" s="398"/>
      <c r="D17" s="398"/>
      <c r="E17" s="398"/>
      <c r="F17" s="398"/>
      <c r="G17" s="398"/>
      <c r="H17" s="398"/>
      <c r="I17" s="399"/>
    </row>
    <row r="18" spans="1:40" ht="38.25" x14ac:dyDescent="0.2">
      <c r="A18" s="84" t="s">
        <v>145</v>
      </c>
      <c r="B18" s="84" t="s">
        <v>232</v>
      </c>
      <c r="C18" s="84" t="s">
        <v>233</v>
      </c>
      <c r="D18" s="90" t="s">
        <v>234</v>
      </c>
      <c r="E18" s="90" t="s">
        <v>235</v>
      </c>
      <c r="F18" s="90" t="s">
        <v>236</v>
      </c>
      <c r="G18" s="90" t="s">
        <v>237</v>
      </c>
      <c r="H18" s="84" t="s">
        <v>238</v>
      </c>
      <c r="I18" s="84" t="s">
        <v>147</v>
      </c>
    </row>
    <row r="19" spans="1:40" ht="33" customHeight="1" x14ac:dyDescent="0.2">
      <c r="A19" s="233" t="s">
        <v>239</v>
      </c>
      <c r="B19" s="233" t="s">
        <v>240</v>
      </c>
      <c r="C19" s="295" t="s">
        <v>241</v>
      </c>
      <c r="D19" s="301" t="s">
        <v>242</v>
      </c>
      <c r="E19" s="234">
        <v>0.65</v>
      </c>
      <c r="F19" s="234">
        <v>0.9</v>
      </c>
      <c r="G19" s="106"/>
      <c r="H19" s="115" t="s">
        <v>243</v>
      </c>
      <c r="I19" s="124"/>
    </row>
    <row r="20" spans="1:40" x14ac:dyDescent="0.2">
      <c r="A20" s="125" t="s">
        <v>244</v>
      </c>
      <c r="B20" s="91"/>
      <c r="C20" s="91"/>
      <c r="D20" s="91"/>
      <c r="E20" s="91"/>
      <c r="F20" s="91"/>
      <c r="G20" s="91"/>
      <c r="H20" s="126"/>
      <c r="I20" s="127"/>
    </row>
    <row r="21" spans="1:40" x14ac:dyDescent="0.2">
      <c r="A21" s="128" t="s">
        <v>245</v>
      </c>
      <c r="B21" s="92"/>
      <c r="C21" s="92"/>
      <c r="D21" s="92"/>
      <c r="E21" s="92"/>
      <c r="F21" s="92"/>
      <c r="G21" s="92"/>
      <c r="H21" s="92"/>
      <c r="I21" s="129"/>
    </row>
    <row r="22" spans="1:40" ht="32.450000000000003" customHeight="1" x14ac:dyDescent="0.2">
      <c r="A22" s="194" t="s">
        <v>210</v>
      </c>
      <c r="B22" s="194" t="s">
        <v>246</v>
      </c>
      <c r="C22" s="192" t="s">
        <v>241</v>
      </c>
      <c r="D22" s="211">
        <f>G22*$F$22*$E$22/746*6356</f>
        <v>4.7200968096514746</v>
      </c>
      <c r="E22" s="194">
        <v>0.65</v>
      </c>
      <c r="F22" s="289">
        <v>0.9</v>
      </c>
      <c r="G22" s="212">
        <v>0.94699999999999995</v>
      </c>
      <c r="H22" s="194" t="s">
        <v>247</v>
      </c>
      <c r="I22" s="200"/>
    </row>
    <row r="23" spans="1:40" x14ac:dyDescent="0.2">
      <c r="A23" s="78"/>
      <c r="B23" s="78"/>
      <c r="C23" s="93"/>
      <c r="D23" s="93"/>
      <c r="E23" s="79"/>
      <c r="F23" s="78" t="s">
        <v>248</v>
      </c>
      <c r="G23" s="93"/>
      <c r="H23" s="79"/>
    </row>
    <row r="24" spans="1:40" x14ac:dyDescent="0.2">
      <c r="A24" s="298" t="s">
        <v>249</v>
      </c>
      <c r="B24" s="298"/>
      <c r="C24" s="298"/>
      <c r="D24" s="298"/>
      <c r="E24" s="298"/>
      <c r="F24" s="298"/>
      <c r="G24" s="298"/>
      <c r="H24" s="298"/>
      <c r="I24" s="298"/>
      <c r="J24" s="298"/>
      <c r="K24" s="298"/>
      <c r="L24" s="298"/>
      <c r="M24" s="298"/>
      <c r="N24" s="298"/>
      <c r="O24" s="298"/>
      <c r="P24" s="298"/>
      <c r="Q24" s="298"/>
      <c r="R24" s="298"/>
      <c r="S24" s="298"/>
      <c r="T24" s="298"/>
      <c r="U24" s="298"/>
      <c r="V24" s="298"/>
      <c r="W24" s="298"/>
      <c r="X24" s="298"/>
      <c r="Y24" s="298"/>
      <c r="Z24" s="298"/>
      <c r="AA24" s="298"/>
      <c r="AB24" s="298"/>
      <c r="AC24" s="298"/>
      <c r="AD24" s="298"/>
      <c r="AE24" s="409"/>
      <c r="AF24" s="409"/>
      <c r="AG24" s="409"/>
      <c r="AH24" s="409"/>
      <c r="AI24" s="409"/>
      <c r="AJ24" s="409"/>
      <c r="AK24" s="409"/>
      <c r="AL24" s="409"/>
      <c r="AM24" s="409"/>
      <c r="AN24" s="409"/>
    </row>
    <row r="25" spans="1:40" x14ac:dyDescent="0.2">
      <c r="A25" s="78" t="s">
        <v>250</v>
      </c>
      <c r="B25" s="298"/>
      <c r="C25" s="298"/>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c r="AD25" s="298"/>
      <c r="AE25" s="409"/>
      <c r="AF25" s="409"/>
      <c r="AG25" s="409"/>
      <c r="AH25" s="409"/>
      <c r="AI25" s="409"/>
      <c r="AJ25" s="409"/>
      <c r="AK25" s="409"/>
      <c r="AL25" s="409"/>
      <c r="AM25" s="409"/>
      <c r="AN25" s="409"/>
    </row>
    <row r="26" spans="1:40" x14ac:dyDescent="0.2">
      <c r="A26" s="78" t="s">
        <v>251</v>
      </c>
      <c r="B26" s="146"/>
      <c r="C26" s="298"/>
      <c r="D26" s="298"/>
      <c r="E26" s="298"/>
      <c r="F26" s="298"/>
      <c r="G26" s="298"/>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409"/>
      <c r="AF26" s="409"/>
      <c r="AG26" s="409"/>
      <c r="AH26" s="409"/>
      <c r="AI26" s="409"/>
      <c r="AJ26" s="409"/>
      <c r="AK26" s="409"/>
      <c r="AL26" s="409"/>
      <c r="AM26" s="409"/>
      <c r="AN26" s="409"/>
    </row>
    <row r="27" spans="1:40" x14ac:dyDescent="0.2">
      <c r="A27" s="8"/>
      <c r="B27" s="8"/>
      <c r="C27" s="8"/>
      <c r="D27" s="8"/>
    </row>
    <row r="28" spans="1:40" x14ac:dyDescent="0.2">
      <c r="D28" s="34"/>
    </row>
    <row r="29" spans="1:40" ht="13.9" customHeight="1" x14ac:dyDescent="0.2">
      <c r="A29" s="81"/>
      <c r="B29" s="78"/>
      <c r="C29" s="62"/>
      <c r="D29" s="78"/>
      <c r="E29" s="78"/>
    </row>
    <row r="30" spans="1:40" s="24" customFormat="1" hidden="1" x14ac:dyDescent="0.2">
      <c r="A30" s="24" t="s">
        <v>140</v>
      </c>
    </row>
    <row r="31" spans="1:40" x14ac:dyDescent="0.2">
      <c r="U31" s="33"/>
      <c r="V31" s="52"/>
      <c r="W31" s="53"/>
      <c r="X31" s="53"/>
      <c r="Y31" s="53"/>
      <c r="Z31" s="53"/>
      <c r="AA31" s="53"/>
      <c r="AB31" s="53"/>
      <c r="AC31" s="53"/>
      <c r="AD31" s="53"/>
      <c r="AE31" s="53"/>
      <c r="AF31" s="53"/>
      <c r="AG31" s="53"/>
      <c r="AH31" s="53"/>
      <c r="AI31" s="53"/>
      <c r="AJ31" s="53"/>
      <c r="AK31" s="53"/>
      <c r="AL31" s="53"/>
    </row>
    <row r="32" spans="1:40" x14ac:dyDescent="0.2">
      <c r="U32" s="33"/>
      <c r="V32" s="52"/>
      <c r="W32" s="53"/>
      <c r="X32" s="53"/>
      <c r="Y32" s="53"/>
      <c r="Z32" s="53"/>
      <c r="AA32" s="53"/>
      <c r="AB32" s="53"/>
      <c r="AC32" s="53"/>
      <c r="AD32" s="53"/>
      <c r="AE32" s="53"/>
      <c r="AF32" s="53"/>
      <c r="AG32" s="53"/>
      <c r="AH32" s="53"/>
      <c r="AI32" s="53"/>
      <c r="AJ32" s="53"/>
      <c r="AK32" s="53"/>
      <c r="AL32" s="53"/>
    </row>
    <row r="33" spans="21:38" x14ac:dyDescent="0.2">
      <c r="U33" s="33"/>
      <c r="V33" s="52"/>
      <c r="W33" s="53"/>
      <c r="X33" s="53"/>
      <c r="Y33" s="53"/>
      <c r="Z33" s="53"/>
      <c r="AA33" s="53"/>
      <c r="AB33" s="53"/>
      <c r="AC33" s="53"/>
      <c r="AD33" s="53"/>
      <c r="AE33" s="53"/>
      <c r="AF33" s="53"/>
      <c r="AG33" s="53"/>
      <c r="AH33" s="53"/>
      <c r="AI33" s="53"/>
      <c r="AJ33" s="53"/>
      <c r="AK33" s="53"/>
      <c r="AL33" s="53"/>
    </row>
    <row r="34" spans="21:38" x14ac:dyDescent="0.2">
      <c r="U34" s="33"/>
      <c r="V34" s="52"/>
      <c r="W34" s="53"/>
      <c r="X34" s="53"/>
      <c r="Y34" s="53"/>
      <c r="Z34" s="53"/>
      <c r="AA34" s="53"/>
      <c r="AB34" s="53"/>
      <c r="AC34" s="53"/>
      <c r="AD34" s="53"/>
      <c r="AE34" s="53"/>
      <c r="AF34" s="53"/>
      <c r="AG34" s="53"/>
      <c r="AH34" s="53"/>
      <c r="AI34" s="53"/>
      <c r="AJ34" s="53"/>
      <c r="AK34" s="53"/>
      <c r="AL34" s="53"/>
    </row>
    <row r="35" spans="21:38" x14ac:dyDescent="0.2">
      <c r="U35" s="33"/>
      <c r="V35" s="52"/>
      <c r="W35" s="53"/>
      <c r="X35" s="53"/>
      <c r="Y35" s="53"/>
      <c r="Z35" s="53"/>
      <c r="AA35" s="53"/>
      <c r="AB35" s="53"/>
      <c r="AC35" s="53"/>
      <c r="AD35" s="53"/>
      <c r="AE35" s="53"/>
      <c r="AF35" s="53"/>
      <c r="AG35" s="53"/>
      <c r="AH35" s="53"/>
      <c r="AI35" s="53"/>
      <c r="AJ35" s="53"/>
      <c r="AK35" s="53"/>
      <c r="AL35" s="53"/>
    </row>
    <row r="36" spans="21:38" x14ac:dyDescent="0.2">
      <c r="U36" s="33"/>
      <c r="W36" s="32"/>
      <c r="X36" s="32"/>
      <c r="Y36" s="32"/>
      <c r="Z36" s="32"/>
      <c r="AA36" s="32"/>
      <c r="AB36" s="32"/>
      <c r="AC36" s="32"/>
      <c r="AD36" s="32"/>
      <c r="AE36" s="32"/>
      <c r="AF36" s="32"/>
      <c r="AG36" s="32"/>
      <c r="AH36" s="32"/>
      <c r="AI36" s="32"/>
      <c r="AJ36" s="32"/>
      <c r="AK36" s="32"/>
      <c r="AL36" s="32"/>
    </row>
    <row r="37" spans="21:38" x14ac:dyDescent="0.2">
      <c r="U37" s="35"/>
      <c r="W37" s="33"/>
      <c r="X37" s="33"/>
      <c r="Y37" s="33"/>
      <c r="Z37" s="33"/>
      <c r="AA37" s="33"/>
      <c r="AB37" s="33"/>
      <c r="AC37" s="33"/>
      <c r="AD37" s="33"/>
      <c r="AE37" s="33"/>
      <c r="AF37" s="33"/>
      <c r="AG37" s="33"/>
      <c r="AH37" s="33"/>
      <c r="AI37" s="33"/>
      <c r="AJ37" s="33"/>
      <c r="AK37" s="33"/>
      <c r="AL37" s="33"/>
    </row>
    <row r="38" spans="21:38" x14ac:dyDescent="0.2">
      <c r="U38" s="33"/>
    </row>
    <row r="41" spans="21:38" x14ac:dyDescent="0.2">
      <c r="U41" s="31"/>
      <c r="V41" s="31"/>
      <c r="W41" s="51"/>
      <c r="X41" s="51"/>
      <c r="Y41" s="51"/>
      <c r="Z41" s="51"/>
      <c r="AA41" s="51"/>
      <c r="AB41" s="51"/>
      <c r="AC41" s="51"/>
      <c r="AD41" s="51"/>
      <c r="AE41" s="51"/>
      <c r="AF41" s="51"/>
      <c r="AG41" s="51"/>
      <c r="AH41" s="51"/>
      <c r="AI41" s="51"/>
      <c r="AJ41" s="51"/>
      <c r="AK41" s="51"/>
      <c r="AL41" s="51"/>
    </row>
    <row r="42" spans="21:38" x14ac:dyDescent="0.2">
      <c r="V42" s="36"/>
    </row>
    <row r="43" spans="21:38" x14ac:dyDescent="0.2">
      <c r="U43" s="33"/>
      <c r="V43" s="36"/>
    </row>
    <row r="44" spans="21:38" x14ac:dyDescent="0.2">
      <c r="U44" s="33"/>
      <c r="V44" s="36"/>
    </row>
    <row r="45" spans="21:38" x14ac:dyDescent="0.2">
      <c r="U45" s="33"/>
      <c r="V45" s="36"/>
    </row>
    <row r="46" spans="21:38" x14ac:dyDescent="0.2">
      <c r="U46" s="33"/>
      <c r="V46" s="36"/>
    </row>
    <row r="47" spans="21:38" x14ac:dyDescent="0.2">
      <c r="U47" s="33"/>
      <c r="V47" s="36"/>
    </row>
    <row r="48" spans="21:38" x14ac:dyDescent="0.2">
      <c r="U48" s="33"/>
      <c r="V48" s="36"/>
    </row>
    <row r="49" spans="21:38" x14ac:dyDescent="0.2">
      <c r="U49" s="33"/>
      <c r="V49" s="36"/>
    </row>
    <row r="50" spans="21:38" x14ac:dyDescent="0.2">
      <c r="U50" s="33"/>
      <c r="V50" s="36"/>
    </row>
    <row r="51" spans="21:38" x14ac:dyDescent="0.2">
      <c r="U51" s="33"/>
      <c r="V51" s="36"/>
    </row>
    <row r="52" spans="21:38" x14ac:dyDescent="0.2">
      <c r="U52" s="33"/>
      <c r="V52" s="36"/>
    </row>
    <row r="53" spans="21:38" x14ac:dyDescent="0.2">
      <c r="U53" s="33"/>
      <c r="V53" s="36"/>
    </row>
    <row r="54" spans="21:38" x14ac:dyDescent="0.2">
      <c r="U54" s="33"/>
      <c r="V54" s="36"/>
    </row>
    <row r="55" spans="21:38" x14ac:dyDescent="0.2">
      <c r="U55" s="33"/>
      <c r="V55" s="36"/>
    </row>
    <row r="56" spans="21:38" x14ac:dyDescent="0.2">
      <c r="U56" s="33"/>
      <c r="V56" s="36"/>
    </row>
    <row r="57" spans="21:38" x14ac:dyDescent="0.2">
      <c r="U57" s="33"/>
      <c r="V57" s="36"/>
    </row>
    <row r="58" spans="21:38" x14ac:dyDescent="0.2">
      <c r="U58" s="33"/>
      <c r="V58" s="36"/>
    </row>
    <row r="59" spans="21:38" x14ac:dyDescent="0.2">
      <c r="U59" s="33"/>
      <c r="V59" s="36"/>
    </row>
    <row r="60" spans="21:38" x14ac:dyDescent="0.2">
      <c r="U60" s="33"/>
      <c r="V60" s="36"/>
    </row>
    <row r="61" spans="21:38" x14ac:dyDescent="0.2">
      <c r="U61" s="33"/>
      <c r="V61" s="36"/>
    </row>
    <row r="62" spans="21:38" x14ac:dyDescent="0.2">
      <c r="U62" s="33"/>
      <c r="V62" s="36"/>
    </row>
    <row r="63" spans="21:38" x14ac:dyDescent="0.2">
      <c r="U63" s="33"/>
      <c r="W63" s="32"/>
      <c r="X63" s="32"/>
      <c r="Y63" s="32"/>
      <c r="Z63" s="32"/>
      <c r="AA63" s="32"/>
      <c r="AB63" s="32"/>
      <c r="AC63" s="32"/>
      <c r="AD63" s="32"/>
      <c r="AE63" s="32"/>
      <c r="AF63" s="32"/>
      <c r="AG63" s="32"/>
      <c r="AH63" s="32"/>
      <c r="AI63" s="32"/>
      <c r="AJ63" s="32"/>
      <c r="AK63" s="32"/>
      <c r="AL63" s="32"/>
    </row>
    <row r="64" spans="21:38" x14ac:dyDescent="0.2">
      <c r="U64" s="35"/>
      <c r="W64" s="33"/>
      <c r="X64" s="33"/>
      <c r="Y64" s="33"/>
      <c r="Z64" s="33"/>
      <c r="AA64" s="33"/>
      <c r="AB64" s="33"/>
      <c r="AC64" s="33"/>
      <c r="AD64" s="33"/>
      <c r="AE64" s="33"/>
      <c r="AF64" s="33"/>
      <c r="AG64" s="33"/>
      <c r="AH64" s="33"/>
      <c r="AI64" s="33"/>
      <c r="AJ64" s="33"/>
      <c r="AK64" s="33"/>
      <c r="AL64" s="33"/>
    </row>
  </sheetData>
  <mergeCells count="25">
    <mergeCell ref="AE26:AF26"/>
    <mergeCell ref="AG26:AH26"/>
    <mergeCell ref="AI26:AJ26"/>
    <mergeCell ref="AK26:AL26"/>
    <mergeCell ref="AM26:AN26"/>
    <mergeCell ref="AE25:AF25"/>
    <mergeCell ref="AG25:AH25"/>
    <mergeCell ref="AI25:AJ25"/>
    <mergeCell ref="AK25:AL25"/>
    <mergeCell ref="AM25:AN25"/>
    <mergeCell ref="AE24:AF24"/>
    <mergeCell ref="AG24:AH24"/>
    <mergeCell ref="AI24:AJ24"/>
    <mergeCell ref="AK24:AL24"/>
    <mergeCell ref="AM24:AN24"/>
    <mergeCell ref="A17:I17"/>
    <mergeCell ref="H9:H11"/>
    <mergeCell ref="A1:G1"/>
    <mergeCell ref="C9:C11"/>
    <mergeCell ref="B9:B11"/>
    <mergeCell ref="E9:E11"/>
    <mergeCell ref="A7:H7"/>
    <mergeCell ref="F9:F11"/>
    <mergeCell ref="G9:G11"/>
    <mergeCell ref="D9:D11"/>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5"/>
  <sheetViews>
    <sheetView zoomScale="80" zoomScaleNormal="80" workbookViewId="0">
      <selection sqref="A1:R1"/>
    </sheetView>
  </sheetViews>
  <sheetFormatPr defaultRowHeight="15" x14ac:dyDescent="0.25"/>
  <cols>
    <col min="1" max="1" width="57.85546875" customWidth="1"/>
    <col min="18" max="18" width="17.7109375" customWidth="1"/>
  </cols>
  <sheetData>
    <row r="1" spans="1:18" ht="24" customHeight="1" x14ac:dyDescent="0.25">
      <c r="A1" s="386" t="str">
        <f>"Thermostat Setpoints - "&amp;Prototype!A2</f>
        <v>Thermostat Setpoints - SchoolLarge</v>
      </c>
      <c r="B1" s="386"/>
      <c r="C1" s="386"/>
      <c r="D1" s="386"/>
      <c r="E1" s="386"/>
      <c r="F1" s="386"/>
      <c r="G1" s="386"/>
      <c r="H1" s="386"/>
      <c r="I1" s="386"/>
      <c r="J1" s="386"/>
      <c r="K1" s="386"/>
      <c r="L1" s="386"/>
      <c r="M1" s="386"/>
      <c r="N1" s="386"/>
      <c r="O1" s="386"/>
      <c r="P1" s="386"/>
      <c r="Q1" s="386"/>
      <c r="R1" s="386"/>
    </row>
    <row r="2" spans="1:18" ht="21.6" customHeight="1" x14ac:dyDescent="0.25">
      <c r="A2" s="305" t="s">
        <v>254</v>
      </c>
      <c r="B2" s="300" t="s">
        <v>148</v>
      </c>
      <c r="C2" s="300" t="s">
        <v>149</v>
      </c>
      <c r="D2" s="300" t="s">
        <v>150</v>
      </c>
      <c r="E2" s="300" t="s">
        <v>151</v>
      </c>
      <c r="F2" s="300" t="s">
        <v>152</v>
      </c>
      <c r="G2" s="300" t="s">
        <v>153</v>
      </c>
      <c r="H2" s="300" t="s">
        <v>154</v>
      </c>
      <c r="I2" s="300" t="s">
        <v>155</v>
      </c>
      <c r="J2" s="300" t="s">
        <v>156</v>
      </c>
      <c r="K2" s="300" t="s">
        <v>157</v>
      </c>
      <c r="L2" s="300" t="s">
        <v>158</v>
      </c>
      <c r="M2" s="300" t="s">
        <v>159</v>
      </c>
      <c r="N2" s="300" t="s">
        <v>160</v>
      </c>
      <c r="O2" s="300" t="s">
        <v>161</v>
      </c>
      <c r="P2" s="300" t="s">
        <v>162</v>
      </c>
      <c r="Q2" s="300" t="s">
        <v>163</v>
      </c>
      <c r="R2" s="84" t="s">
        <v>202</v>
      </c>
    </row>
    <row r="3" spans="1:18" ht="26.45" customHeight="1" x14ac:dyDescent="0.25">
      <c r="A3" s="294" t="s">
        <v>255</v>
      </c>
      <c r="B3" s="289">
        <v>70</v>
      </c>
      <c r="C3" s="289">
        <v>70</v>
      </c>
      <c r="D3" s="289">
        <v>70</v>
      </c>
      <c r="E3" s="289">
        <v>70</v>
      </c>
      <c r="F3" s="289">
        <v>70</v>
      </c>
      <c r="G3" s="289">
        <v>70</v>
      </c>
      <c r="H3" s="289">
        <v>70</v>
      </c>
      <c r="I3" s="289">
        <v>70</v>
      </c>
      <c r="J3" s="289">
        <v>70</v>
      </c>
      <c r="K3" s="289">
        <v>70</v>
      </c>
      <c r="L3" s="289">
        <v>70</v>
      </c>
      <c r="M3" s="289">
        <v>70</v>
      </c>
      <c r="N3" s="289">
        <v>70</v>
      </c>
      <c r="O3" s="289">
        <v>70</v>
      </c>
      <c r="P3" s="289">
        <v>70</v>
      </c>
      <c r="Q3" s="289">
        <v>70</v>
      </c>
      <c r="R3" s="410" t="s">
        <v>256</v>
      </c>
    </row>
    <row r="4" spans="1:18" ht="26.45" customHeight="1" x14ac:dyDescent="0.25">
      <c r="A4" s="294" t="s">
        <v>257</v>
      </c>
      <c r="B4" s="289">
        <v>60</v>
      </c>
      <c r="C4" s="289">
        <v>60</v>
      </c>
      <c r="D4" s="289">
        <v>60</v>
      </c>
      <c r="E4" s="289">
        <v>60</v>
      </c>
      <c r="F4" s="289">
        <v>60</v>
      </c>
      <c r="G4" s="289">
        <v>60</v>
      </c>
      <c r="H4" s="289">
        <v>60</v>
      </c>
      <c r="I4" s="289">
        <v>60</v>
      </c>
      <c r="J4" s="289">
        <v>60</v>
      </c>
      <c r="K4" s="289">
        <v>60</v>
      </c>
      <c r="L4" s="289">
        <v>60</v>
      </c>
      <c r="M4" s="289">
        <v>60</v>
      </c>
      <c r="N4" s="289">
        <v>60</v>
      </c>
      <c r="O4" s="289">
        <v>60</v>
      </c>
      <c r="P4" s="289">
        <v>60</v>
      </c>
      <c r="Q4" s="289">
        <v>60</v>
      </c>
      <c r="R4" s="410"/>
    </row>
    <row r="5" spans="1:18" ht="22.9" customHeight="1" x14ac:dyDescent="0.25">
      <c r="A5" s="294" t="s">
        <v>258</v>
      </c>
      <c r="B5" s="289">
        <v>75</v>
      </c>
      <c r="C5" s="289">
        <v>75</v>
      </c>
      <c r="D5" s="289">
        <v>75</v>
      </c>
      <c r="E5" s="289">
        <v>75</v>
      </c>
      <c r="F5" s="289">
        <v>75</v>
      </c>
      <c r="G5" s="289">
        <v>75</v>
      </c>
      <c r="H5" s="289">
        <v>75</v>
      </c>
      <c r="I5" s="289">
        <v>75</v>
      </c>
      <c r="J5" s="289">
        <v>75</v>
      </c>
      <c r="K5" s="289">
        <v>75</v>
      </c>
      <c r="L5" s="289">
        <v>75</v>
      </c>
      <c r="M5" s="289">
        <v>75</v>
      </c>
      <c r="N5" s="289">
        <v>75</v>
      </c>
      <c r="O5" s="289">
        <v>75</v>
      </c>
      <c r="P5" s="289">
        <v>75</v>
      </c>
      <c r="Q5" s="289">
        <v>75</v>
      </c>
      <c r="R5" s="410" t="s">
        <v>256</v>
      </c>
    </row>
    <row r="6" spans="1:18" ht="22.9" customHeight="1" x14ac:dyDescent="0.25">
      <c r="A6" s="294" t="s">
        <v>259</v>
      </c>
      <c r="B6" s="289">
        <v>85</v>
      </c>
      <c r="C6" s="289">
        <v>85</v>
      </c>
      <c r="D6" s="289">
        <v>85</v>
      </c>
      <c r="E6" s="289">
        <v>85</v>
      </c>
      <c r="F6" s="289">
        <v>85</v>
      </c>
      <c r="G6" s="289">
        <v>85</v>
      </c>
      <c r="H6" s="289">
        <v>85</v>
      </c>
      <c r="I6" s="289">
        <v>85</v>
      </c>
      <c r="J6" s="289">
        <v>85</v>
      </c>
      <c r="K6" s="289">
        <v>85</v>
      </c>
      <c r="L6" s="289">
        <v>85</v>
      </c>
      <c r="M6" s="289">
        <v>85</v>
      </c>
      <c r="N6" s="289">
        <v>85</v>
      </c>
      <c r="O6" s="289">
        <v>85</v>
      </c>
      <c r="P6" s="289">
        <v>85</v>
      </c>
      <c r="Q6" s="289">
        <v>85</v>
      </c>
      <c r="R6" s="410"/>
    </row>
    <row r="7" spans="1:18" ht="22.9" customHeight="1" x14ac:dyDescent="0.25">
      <c r="A7" s="1"/>
      <c r="B7" s="77"/>
      <c r="C7" s="116"/>
      <c r="D7" s="116"/>
      <c r="E7" s="77"/>
      <c r="F7" s="116"/>
      <c r="G7" s="116"/>
      <c r="H7" s="116"/>
      <c r="I7" s="116"/>
    </row>
    <row r="8" spans="1:18" ht="22.9" customHeight="1" x14ac:dyDescent="0.25">
      <c r="A8" s="1"/>
      <c r="B8" s="116"/>
      <c r="C8" s="116"/>
      <c r="D8" s="116"/>
      <c r="E8" s="116"/>
      <c r="F8" s="116"/>
      <c r="G8" s="116"/>
      <c r="H8" s="116"/>
      <c r="I8" s="116"/>
    </row>
    <row r="9" spans="1:18" ht="22.9" customHeight="1" x14ac:dyDescent="0.25">
      <c r="A9" s="116"/>
      <c r="B9" s="116"/>
      <c r="C9" s="116"/>
      <c r="D9" s="116"/>
      <c r="E9" s="116"/>
      <c r="F9" s="116"/>
      <c r="G9" s="116"/>
      <c r="H9" s="116"/>
      <c r="I9" s="116"/>
    </row>
    <row r="10" spans="1:18" ht="22.9" customHeight="1" x14ac:dyDescent="0.25">
      <c r="A10" s="116"/>
      <c r="B10" s="116"/>
      <c r="C10" s="116"/>
      <c r="D10" s="116"/>
      <c r="E10" s="116"/>
      <c r="F10" s="116"/>
      <c r="G10" s="116"/>
      <c r="H10" s="116"/>
      <c r="I10" s="116"/>
    </row>
    <row r="11" spans="1:18" ht="22.9" customHeight="1" x14ac:dyDescent="0.25">
      <c r="A11" s="195"/>
      <c r="B11" s="195"/>
      <c r="C11" s="195"/>
      <c r="D11" s="195"/>
      <c r="E11" s="195"/>
      <c r="F11" s="195"/>
      <c r="G11" s="195"/>
      <c r="H11" s="195"/>
      <c r="I11" s="195"/>
    </row>
    <row r="12" spans="1:18" ht="22.9" customHeight="1" x14ac:dyDescent="0.25">
      <c r="A12" s="116"/>
      <c r="B12" s="116"/>
      <c r="C12" s="116"/>
      <c r="D12" s="116"/>
      <c r="E12" s="116"/>
      <c r="F12" s="116"/>
      <c r="G12" s="116"/>
      <c r="H12" s="116"/>
      <c r="I12" s="116"/>
    </row>
    <row r="13" spans="1:18" ht="22.9" customHeight="1" x14ac:dyDescent="0.25">
      <c r="A13" s="116"/>
      <c r="B13" s="116"/>
      <c r="C13" s="116"/>
      <c r="D13" s="116"/>
      <c r="E13" s="116"/>
      <c r="F13" s="116"/>
      <c r="G13" s="116"/>
      <c r="H13" s="116"/>
      <c r="I13" s="116"/>
    </row>
    <row r="14" spans="1:18" ht="22.9" customHeight="1" x14ac:dyDescent="0.25">
      <c r="A14" s="116"/>
      <c r="B14" s="116"/>
      <c r="C14" s="116"/>
      <c r="D14" s="116"/>
      <c r="E14" s="116"/>
      <c r="F14" s="116"/>
      <c r="G14" s="116"/>
      <c r="H14" s="116"/>
      <c r="I14" s="116"/>
    </row>
    <row r="15" spans="1:18" ht="22.9" customHeight="1" x14ac:dyDescent="0.25">
      <c r="A15" s="116"/>
      <c r="B15" s="116"/>
      <c r="C15" s="116"/>
      <c r="D15" s="116"/>
      <c r="E15" s="116"/>
      <c r="F15" s="116"/>
      <c r="G15" s="116"/>
      <c r="H15" s="116"/>
      <c r="I15" s="116"/>
    </row>
    <row r="16" spans="1:18" ht="22.9" customHeight="1" x14ac:dyDescent="0.25">
      <c r="A16" s="116"/>
      <c r="B16" s="116"/>
      <c r="C16" s="116"/>
      <c r="D16" s="116"/>
      <c r="E16" s="116"/>
      <c r="F16" s="116"/>
      <c r="G16" s="116"/>
      <c r="H16" s="116"/>
      <c r="I16" s="116"/>
    </row>
    <row r="17" spans="1:9" ht="22.9" customHeight="1" x14ac:dyDescent="0.25">
      <c r="A17" s="116"/>
      <c r="B17" s="116"/>
      <c r="C17" s="116"/>
      <c r="D17" s="116"/>
      <c r="E17" s="116"/>
      <c r="F17" s="116"/>
      <c r="G17" s="116"/>
      <c r="H17" s="116"/>
      <c r="I17" s="116"/>
    </row>
    <row r="18" spans="1:9" ht="22.9" customHeight="1" x14ac:dyDescent="0.25">
      <c r="A18" s="116"/>
      <c r="B18" s="116"/>
      <c r="C18" s="116"/>
      <c r="D18" s="116"/>
      <c r="E18" s="116"/>
      <c r="F18" s="116"/>
      <c r="G18" s="116"/>
      <c r="H18" s="116"/>
      <c r="I18" s="116"/>
    </row>
    <row r="19" spans="1:9" ht="22.9" customHeight="1" x14ac:dyDescent="0.25">
      <c r="A19" s="116"/>
      <c r="B19" s="116"/>
      <c r="C19" s="116"/>
      <c r="D19" s="116"/>
      <c r="E19" s="116"/>
      <c r="F19" s="116"/>
      <c r="G19" s="116"/>
      <c r="H19" s="116"/>
      <c r="I19" s="116"/>
    </row>
    <row r="20" spans="1:9" ht="22.9" customHeight="1" x14ac:dyDescent="0.25">
      <c r="A20" s="116"/>
      <c r="B20" s="116"/>
      <c r="C20" s="116"/>
      <c r="D20" s="116"/>
      <c r="E20" s="116"/>
      <c r="F20" s="116"/>
      <c r="G20" s="116"/>
      <c r="H20" s="116"/>
      <c r="I20" s="116"/>
    </row>
    <row r="21" spans="1:9" ht="22.9" customHeight="1" x14ac:dyDescent="0.25">
      <c r="A21" s="116"/>
      <c r="B21" s="116"/>
      <c r="C21" s="116"/>
      <c r="D21" s="116"/>
      <c r="E21" s="116"/>
      <c r="F21" s="116"/>
      <c r="G21" s="116"/>
      <c r="H21" s="116"/>
      <c r="I21" s="116"/>
    </row>
    <row r="22" spans="1:9" ht="22.9" customHeight="1" x14ac:dyDescent="0.25">
      <c r="A22" s="116"/>
      <c r="B22" s="116"/>
      <c r="C22" s="116"/>
      <c r="D22" s="116"/>
      <c r="E22" s="116"/>
      <c r="F22" s="116"/>
      <c r="G22" s="116"/>
      <c r="H22" s="116"/>
      <c r="I22" s="116"/>
    </row>
    <row r="23" spans="1:9" ht="22.9" customHeight="1" x14ac:dyDescent="0.25">
      <c r="A23" s="116"/>
      <c r="B23" s="116"/>
      <c r="C23" s="116"/>
      <c r="D23" s="116"/>
      <c r="E23" s="116"/>
      <c r="F23" s="116"/>
      <c r="G23" s="116"/>
      <c r="H23" s="116"/>
      <c r="I23" s="116"/>
    </row>
    <row r="24" spans="1:9" ht="22.9" customHeight="1" x14ac:dyDescent="0.25">
      <c r="A24" s="116"/>
      <c r="B24" s="116"/>
      <c r="C24" s="116"/>
      <c r="D24" s="116"/>
      <c r="E24" s="116"/>
      <c r="F24" s="116"/>
      <c r="G24" s="116"/>
      <c r="H24" s="116"/>
      <c r="I24" s="116"/>
    </row>
    <row r="25" spans="1:9" ht="22.9" customHeight="1" x14ac:dyDescent="0.25">
      <c r="A25" s="116"/>
      <c r="B25" s="116"/>
      <c r="C25" s="116"/>
      <c r="D25" s="116"/>
      <c r="E25" s="116"/>
      <c r="F25" s="116"/>
      <c r="G25" s="116"/>
      <c r="H25" s="116"/>
      <c r="I25" s="116"/>
    </row>
  </sheetData>
  <mergeCells count="3">
    <mergeCell ref="R3:R4"/>
    <mergeCell ref="A1:R1"/>
    <mergeCell ref="R5: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61"/>
  <sheetViews>
    <sheetView zoomScale="80" zoomScaleNormal="80" workbookViewId="0">
      <pane xSplit="1" topLeftCell="B1" activePane="topRight" state="frozen"/>
      <selection pane="topRight" sqref="A1:K1"/>
    </sheetView>
  </sheetViews>
  <sheetFormatPr defaultColWidth="9.28515625" defaultRowHeight="14.25" x14ac:dyDescent="0.2"/>
  <cols>
    <col min="1" max="1" width="54" style="58" customWidth="1"/>
    <col min="2" max="2" width="49.7109375" style="58" customWidth="1"/>
    <col min="3" max="5" width="20.28515625" style="58" customWidth="1"/>
    <col min="6" max="6" width="25.28515625" style="58" bestFit="1" customWidth="1"/>
    <col min="7" max="7" width="19.7109375" style="58" customWidth="1"/>
    <col min="8" max="8" width="23.7109375" style="58" customWidth="1"/>
    <col min="9" max="9" width="13.7109375" style="58" customWidth="1"/>
    <col min="10" max="10" width="11.7109375" style="58" customWidth="1"/>
    <col min="11" max="11" width="13.7109375" style="58" customWidth="1"/>
    <col min="12" max="12" width="68.28515625" style="58" customWidth="1"/>
    <col min="13" max="13" width="12.28515625" style="58" customWidth="1"/>
    <col min="14" max="14" width="13.7109375" style="58" customWidth="1"/>
    <col min="15" max="15" width="12.28515625" style="58" customWidth="1"/>
    <col min="16" max="16" width="18.140625" style="58" customWidth="1"/>
    <col min="17" max="17" width="17.140625" style="58" customWidth="1"/>
    <col min="18" max="18" width="22.42578125" style="58" customWidth="1"/>
    <col min="19" max="19" width="21.7109375" style="58" customWidth="1"/>
    <col min="20" max="20" width="9.28515625" style="58" customWidth="1"/>
    <col min="21" max="21" width="23.28515625" style="58" customWidth="1"/>
    <col min="22" max="25" width="11.28515625" style="58" customWidth="1"/>
    <col min="26" max="16384" width="9.28515625" style="58"/>
  </cols>
  <sheetData>
    <row r="1" spans="1:22" ht="24.6" customHeight="1" thickBot="1" x14ac:dyDescent="0.25">
      <c r="A1" s="397" t="str">
        <f>"Outdoor Airflow Rate - "&amp;Prototype!A2</f>
        <v>Outdoor Airflow Rate - SchoolLarge</v>
      </c>
      <c r="B1" s="398"/>
      <c r="C1" s="398"/>
      <c r="D1" s="398"/>
      <c r="E1" s="398"/>
      <c r="F1" s="398"/>
      <c r="G1" s="398"/>
      <c r="H1" s="398"/>
      <c r="I1" s="398"/>
      <c r="J1" s="398"/>
      <c r="K1" s="398"/>
      <c r="L1" s="94"/>
      <c r="M1" s="4"/>
      <c r="N1" s="4"/>
      <c r="O1" s="4"/>
      <c r="P1" s="4"/>
      <c r="Q1" s="4"/>
      <c r="R1" s="4"/>
      <c r="S1" s="4"/>
      <c r="T1" s="4"/>
      <c r="U1" s="4"/>
      <c r="V1" s="4"/>
    </row>
    <row r="2" spans="1:22" ht="76.150000000000006" customHeight="1" x14ac:dyDescent="0.2">
      <c r="A2" s="180" t="s">
        <v>61</v>
      </c>
      <c r="B2" s="181" t="s">
        <v>62</v>
      </c>
      <c r="C2" s="181" t="s">
        <v>70</v>
      </c>
      <c r="D2" s="182" t="s">
        <v>260</v>
      </c>
      <c r="E2" s="183" t="s">
        <v>261</v>
      </c>
      <c r="F2" s="183" t="s">
        <v>262</v>
      </c>
      <c r="G2" s="183" t="s">
        <v>263</v>
      </c>
      <c r="H2" s="183" t="s">
        <v>264</v>
      </c>
      <c r="I2" s="183" t="s">
        <v>265</v>
      </c>
      <c r="J2" s="183" t="s">
        <v>266</v>
      </c>
      <c r="K2" s="184" t="s">
        <v>267</v>
      </c>
      <c r="L2" s="185" t="s">
        <v>28</v>
      </c>
      <c r="M2" s="4"/>
      <c r="N2" s="4"/>
      <c r="O2" s="4"/>
      <c r="P2" s="4"/>
      <c r="Q2" s="4"/>
      <c r="R2" s="4"/>
      <c r="S2" s="4"/>
      <c r="T2" s="4"/>
      <c r="U2" s="4"/>
      <c r="V2" s="4"/>
    </row>
    <row r="3" spans="1:22" ht="23.45" customHeight="1" x14ac:dyDescent="0.2">
      <c r="A3" s="294" t="str">
        <f>Zones!A3</f>
        <v>Auditorium Area</v>
      </c>
      <c r="B3" s="294" t="str">
        <f>Zones!B3</f>
        <v>Auditorium_FF_Zn</v>
      </c>
      <c r="C3" s="157">
        <f>Zones!J3</f>
        <v>1510.28502</v>
      </c>
      <c r="D3" s="157">
        <f>Zones!G3</f>
        <v>10635.81</v>
      </c>
      <c r="E3" s="289">
        <v>15</v>
      </c>
      <c r="F3" s="142">
        <v>1.0649999999999999</v>
      </c>
      <c r="G3" s="142"/>
      <c r="H3" s="82">
        <f t="shared" ref="H3" si="0">C3*E3</f>
        <v>22654.275300000001</v>
      </c>
      <c r="I3" s="83">
        <f t="shared" ref="I3" si="1">D3*F3</f>
        <v>11327.137649999999</v>
      </c>
      <c r="J3" s="83">
        <f t="shared" ref="J3" si="2">G3*D3</f>
        <v>0</v>
      </c>
      <c r="K3" s="82">
        <f>MAX(H3,I3,J3)</f>
        <v>22654.275300000001</v>
      </c>
      <c r="L3" s="82"/>
      <c r="M3" s="4"/>
      <c r="N3" s="4"/>
      <c r="O3" s="4"/>
      <c r="P3" s="4"/>
      <c r="Q3" s="4"/>
      <c r="R3" s="4"/>
      <c r="S3" s="4"/>
      <c r="T3" s="4"/>
      <c r="U3" s="4"/>
      <c r="V3" s="113"/>
    </row>
    <row r="4" spans="1:22" ht="23.45" customHeight="1" x14ac:dyDescent="0.2">
      <c r="A4" s="358" t="str">
        <f>Zones!A4</f>
        <v>Exercise/Fitness Center and Gymnasium Areas</v>
      </c>
      <c r="B4" s="294" t="str">
        <f>Zones!B4</f>
        <v>Aux_Gym_FF_Zn</v>
      </c>
      <c r="C4" s="157">
        <f>Zones!J4</f>
        <v>268.69220000000001</v>
      </c>
      <c r="D4" s="157">
        <f>Zones!G4</f>
        <v>13434.61</v>
      </c>
      <c r="E4" s="289">
        <v>15</v>
      </c>
      <c r="F4" s="142">
        <v>0.15</v>
      </c>
      <c r="G4" s="142"/>
      <c r="H4" s="82">
        <f t="shared" ref="H4:H29" si="3">C4*E4</f>
        <v>4030.3830000000003</v>
      </c>
      <c r="I4" s="83">
        <f t="shared" ref="I4:I29" si="4">D4*F4</f>
        <v>2015.1914999999999</v>
      </c>
      <c r="J4" s="83">
        <f t="shared" ref="J4:J29" si="5">G4*D4</f>
        <v>0</v>
      </c>
      <c r="K4" s="82">
        <f t="shared" ref="K4:K29" si="6">MAX(H4,I4,J4)</f>
        <v>4030.3830000000003</v>
      </c>
      <c r="L4" s="82"/>
      <c r="M4" s="4"/>
      <c r="N4" s="4"/>
      <c r="O4" s="4"/>
      <c r="P4" s="4"/>
      <c r="Q4" s="4"/>
      <c r="R4" s="4"/>
      <c r="S4" s="4"/>
      <c r="T4" s="4"/>
      <c r="U4" s="4"/>
      <c r="V4" s="113"/>
    </row>
    <row r="5" spans="1:22" ht="23.45" customHeight="1" x14ac:dyDescent="0.2">
      <c r="A5" s="358" t="str">
        <f>Zones!A5</f>
        <v>Restrooms</v>
      </c>
      <c r="B5" s="294" t="str">
        <f>Zones!B5</f>
        <v>Bathrooms_FF_Zn</v>
      </c>
      <c r="C5" s="157">
        <f>Zones!J5</f>
        <v>22.605799999999999</v>
      </c>
      <c r="D5" s="157">
        <f>Zones!G5</f>
        <v>2260.58</v>
      </c>
      <c r="E5" s="289">
        <v>15</v>
      </c>
      <c r="F5" s="142">
        <v>7.4999999999999997E-2</v>
      </c>
      <c r="G5" s="142"/>
      <c r="H5" s="82">
        <f t="shared" si="3"/>
        <v>339.08699999999999</v>
      </c>
      <c r="I5" s="83">
        <f t="shared" si="4"/>
        <v>169.54349999999999</v>
      </c>
      <c r="J5" s="83">
        <f t="shared" si="5"/>
        <v>0</v>
      </c>
      <c r="K5" s="82">
        <f t="shared" si="6"/>
        <v>339.08699999999999</v>
      </c>
      <c r="L5" s="82"/>
      <c r="M5" s="4"/>
      <c r="N5" s="4"/>
      <c r="O5" s="4"/>
      <c r="P5" s="4"/>
      <c r="Q5" s="4"/>
      <c r="R5" s="4"/>
      <c r="S5" s="4"/>
      <c r="T5" s="4"/>
      <c r="U5" s="4"/>
      <c r="V5" s="113"/>
    </row>
    <row r="6" spans="1:22" ht="23.45" customHeight="1" x14ac:dyDescent="0.2">
      <c r="A6" s="358" t="str">
        <f>Zones!A6</f>
        <v>Restrooms</v>
      </c>
      <c r="B6" s="294" t="str">
        <f>Zones!B6</f>
        <v>Bathrooms_SF_Zn</v>
      </c>
      <c r="C6" s="157">
        <f>Zones!J6</f>
        <v>22.605799999999999</v>
      </c>
      <c r="D6" s="157">
        <f>Zones!G6</f>
        <v>2260.58</v>
      </c>
      <c r="E6" s="289">
        <v>15</v>
      </c>
      <c r="F6" s="142">
        <v>7.4999999999999997E-2</v>
      </c>
      <c r="G6" s="142"/>
      <c r="H6" s="82">
        <f t="shared" si="3"/>
        <v>339.08699999999999</v>
      </c>
      <c r="I6" s="83">
        <f t="shared" si="4"/>
        <v>169.54349999999999</v>
      </c>
      <c r="J6" s="83">
        <f t="shared" si="5"/>
        <v>0</v>
      </c>
      <c r="K6" s="82">
        <f t="shared" si="6"/>
        <v>339.08699999999999</v>
      </c>
      <c r="L6" s="82"/>
      <c r="M6" s="4"/>
      <c r="N6" s="4"/>
      <c r="O6" s="4"/>
      <c r="P6" s="4"/>
      <c r="Q6" s="4"/>
      <c r="R6" s="4"/>
      <c r="S6" s="4"/>
      <c r="T6" s="4"/>
      <c r="U6" s="4"/>
      <c r="V6" s="113"/>
    </row>
    <row r="7" spans="1:22" ht="23.45" customHeight="1" x14ac:dyDescent="0.2">
      <c r="A7" s="358" t="str">
        <f>Zones!A7</f>
        <v>Dining Area (Cafeteria/Fast Food)</v>
      </c>
      <c r="B7" s="294" t="str">
        <f>Zones!B7</f>
        <v>Cafeteria_FF_Zn</v>
      </c>
      <c r="C7" s="157">
        <f>Zones!J7</f>
        <v>447.82266666666669</v>
      </c>
      <c r="D7" s="157">
        <f>Zones!G7</f>
        <v>6717.34</v>
      </c>
      <c r="E7" s="289">
        <v>15</v>
      </c>
      <c r="F7" s="142">
        <v>0.495</v>
      </c>
      <c r="G7" s="142"/>
      <c r="H7" s="82">
        <f t="shared" si="3"/>
        <v>6717.34</v>
      </c>
      <c r="I7" s="83">
        <f t="shared" si="4"/>
        <v>3325.0833000000002</v>
      </c>
      <c r="J7" s="83">
        <f t="shared" si="5"/>
        <v>0</v>
      </c>
      <c r="K7" s="82">
        <f t="shared" si="6"/>
        <v>6717.34</v>
      </c>
      <c r="L7" s="82"/>
      <c r="M7" s="4"/>
      <c r="N7" s="4"/>
      <c r="O7" s="4"/>
      <c r="P7" s="4"/>
      <c r="Q7" s="4"/>
      <c r="R7" s="4"/>
      <c r="S7" s="4"/>
      <c r="T7" s="4"/>
      <c r="U7" s="4"/>
      <c r="V7" s="113"/>
    </row>
    <row r="8" spans="1:22" ht="23.45" customHeight="1" x14ac:dyDescent="0.2">
      <c r="A8" s="358" t="str">
        <f>Zones!A8</f>
        <v>Classroom, Lecture, Training, Vocational Areas</v>
      </c>
      <c r="B8" s="294" t="str">
        <f>Zones!B8</f>
        <v>Corner_Class_1_Pod_1_FF_Zn</v>
      </c>
      <c r="C8" s="157">
        <f>Zones!J8</f>
        <v>53.286499999999997</v>
      </c>
      <c r="D8" s="157">
        <f>Zones!G8</f>
        <v>1065.73</v>
      </c>
      <c r="E8" s="289">
        <v>15</v>
      </c>
      <c r="F8" s="142">
        <v>0.375</v>
      </c>
      <c r="G8" s="142"/>
      <c r="H8" s="82">
        <f t="shared" si="3"/>
        <v>799.2974999999999</v>
      </c>
      <c r="I8" s="83">
        <f t="shared" si="4"/>
        <v>399.64875000000001</v>
      </c>
      <c r="J8" s="83">
        <f t="shared" si="5"/>
        <v>0</v>
      </c>
      <c r="K8" s="82">
        <f t="shared" si="6"/>
        <v>799.2974999999999</v>
      </c>
      <c r="L8" s="82"/>
      <c r="M8" s="4"/>
      <c r="N8" s="4"/>
      <c r="O8" s="4"/>
      <c r="P8" s="4"/>
      <c r="Q8" s="4"/>
      <c r="R8" s="4"/>
      <c r="S8" s="4"/>
      <c r="T8" s="4"/>
      <c r="U8" s="4"/>
      <c r="V8" s="113"/>
    </row>
    <row r="9" spans="1:22" ht="23.45" customHeight="1" x14ac:dyDescent="0.2">
      <c r="A9" s="358" t="str">
        <f>Zones!A9</f>
        <v>Classroom, Lecture, Training, Vocational Areas</v>
      </c>
      <c r="B9" s="294" t="str">
        <f>Zones!B9</f>
        <v>Corner_Class_1_Pod_1_SF_Zn</v>
      </c>
      <c r="C9" s="157">
        <f>Zones!J9</f>
        <v>53.286499999999997</v>
      </c>
      <c r="D9" s="157">
        <f>Zones!G9</f>
        <v>1065.73</v>
      </c>
      <c r="E9" s="289">
        <v>15</v>
      </c>
      <c r="F9" s="142">
        <v>0.375</v>
      </c>
      <c r="G9" s="142"/>
      <c r="H9" s="82">
        <f t="shared" si="3"/>
        <v>799.2974999999999</v>
      </c>
      <c r="I9" s="83">
        <f t="shared" si="4"/>
        <v>399.64875000000001</v>
      </c>
      <c r="J9" s="83">
        <f t="shared" si="5"/>
        <v>0</v>
      </c>
      <c r="K9" s="82">
        <f t="shared" si="6"/>
        <v>799.2974999999999</v>
      </c>
      <c r="L9" s="82"/>
      <c r="M9" s="4"/>
      <c r="N9" s="4"/>
      <c r="O9" s="4"/>
      <c r="P9" s="4"/>
      <c r="Q9" s="4"/>
      <c r="R9" s="4"/>
      <c r="S9" s="4"/>
      <c r="T9" s="4"/>
      <c r="U9" s="4"/>
      <c r="V9" s="113"/>
    </row>
    <row r="10" spans="1:22" ht="23.45" customHeight="1" x14ac:dyDescent="0.2">
      <c r="A10" s="358" t="str">
        <f>Zones!A10</f>
        <v>Classroom, Lecture, Training, Vocational Areas</v>
      </c>
      <c r="B10" s="294" t="str">
        <f>Zones!B10</f>
        <v>Corner_Class_1_Pod_2_FF_Zn</v>
      </c>
      <c r="C10" s="157">
        <f>Zones!J10</f>
        <v>53.285499999999999</v>
      </c>
      <c r="D10" s="157">
        <f>Zones!G10</f>
        <v>1065.71</v>
      </c>
      <c r="E10" s="289">
        <v>15</v>
      </c>
      <c r="F10" s="142">
        <v>0.375</v>
      </c>
      <c r="G10" s="142"/>
      <c r="H10" s="82">
        <f t="shared" si="3"/>
        <v>799.28250000000003</v>
      </c>
      <c r="I10" s="83">
        <f t="shared" si="4"/>
        <v>399.64125000000001</v>
      </c>
      <c r="J10" s="83">
        <f t="shared" si="5"/>
        <v>0</v>
      </c>
      <c r="K10" s="82">
        <f t="shared" si="6"/>
        <v>799.28250000000003</v>
      </c>
      <c r="L10" s="82"/>
      <c r="M10" s="4"/>
      <c r="N10" s="4"/>
      <c r="O10" s="4"/>
      <c r="P10" s="4"/>
      <c r="Q10" s="4"/>
      <c r="R10" s="4"/>
      <c r="S10" s="4"/>
      <c r="T10" s="4"/>
      <c r="U10" s="4"/>
      <c r="V10" s="113"/>
    </row>
    <row r="11" spans="1:22" ht="23.45" customHeight="1" x14ac:dyDescent="0.2">
      <c r="A11" s="358" t="str">
        <f>Zones!A11</f>
        <v>Classroom, Lecture, Training, Vocational Areas</v>
      </c>
      <c r="B11" s="294" t="str">
        <f>Zones!B11</f>
        <v>Corner_Class_1_Pod_2_SF_Zn</v>
      </c>
      <c r="C11" s="157">
        <f>Zones!J11</f>
        <v>53.285499999999999</v>
      </c>
      <c r="D11" s="157">
        <f>Zones!G11</f>
        <v>1065.71</v>
      </c>
      <c r="E11" s="289">
        <v>15</v>
      </c>
      <c r="F11" s="142">
        <v>0.375</v>
      </c>
      <c r="G11" s="142"/>
      <c r="H11" s="82">
        <f t="shared" si="3"/>
        <v>799.28250000000003</v>
      </c>
      <c r="I11" s="83">
        <f t="shared" si="4"/>
        <v>399.64125000000001</v>
      </c>
      <c r="J11" s="83">
        <f t="shared" si="5"/>
        <v>0</v>
      </c>
      <c r="K11" s="82">
        <f t="shared" si="6"/>
        <v>799.28250000000003</v>
      </c>
      <c r="L11" s="82"/>
      <c r="M11" s="4"/>
      <c r="N11" s="4"/>
      <c r="O11" s="4"/>
      <c r="P11" s="4"/>
      <c r="Q11" s="4"/>
      <c r="R11" s="4"/>
      <c r="S11" s="4"/>
      <c r="T11" s="4"/>
      <c r="U11" s="4"/>
      <c r="V11" s="113"/>
    </row>
    <row r="12" spans="1:22" ht="23.45" customHeight="1" x14ac:dyDescent="0.2">
      <c r="A12" s="358" t="str">
        <f>Zones!A12</f>
        <v>Classroom, Lecture, Training, Vocational Areas</v>
      </c>
      <c r="B12" s="294" t="str">
        <f>Zones!B12</f>
        <v>Corner_Class_1_Pod_3_FF_Zn</v>
      </c>
      <c r="C12" s="157">
        <f>Zones!J12</f>
        <v>53.287500000000001</v>
      </c>
      <c r="D12" s="157">
        <f>Zones!G12</f>
        <v>1065.75</v>
      </c>
      <c r="E12" s="289">
        <v>15</v>
      </c>
      <c r="F12" s="142">
        <v>0.375</v>
      </c>
      <c r="G12" s="142"/>
      <c r="H12" s="82">
        <f t="shared" si="3"/>
        <v>799.3125</v>
      </c>
      <c r="I12" s="83">
        <f t="shared" si="4"/>
        <v>399.65625</v>
      </c>
      <c r="J12" s="83">
        <f t="shared" si="5"/>
        <v>0</v>
      </c>
      <c r="K12" s="82">
        <f t="shared" si="6"/>
        <v>799.3125</v>
      </c>
      <c r="L12" s="82"/>
      <c r="M12" s="4"/>
      <c r="N12" s="4"/>
      <c r="O12" s="4"/>
      <c r="P12" s="4"/>
      <c r="Q12" s="4"/>
      <c r="R12" s="4"/>
      <c r="S12" s="4"/>
      <c r="T12" s="4"/>
      <c r="U12" s="4"/>
      <c r="V12" s="113"/>
    </row>
    <row r="13" spans="1:22" ht="23.45" customHeight="1" x14ac:dyDescent="0.2">
      <c r="A13" s="358" t="str">
        <f>Zones!A13</f>
        <v>Classroom, Lecture, Training, Vocational Areas</v>
      </c>
      <c r="B13" s="294" t="str">
        <f>Zones!B13</f>
        <v>Corner_Class_1_Pod_3_SF_Zn</v>
      </c>
      <c r="C13" s="157">
        <f>Zones!J13</f>
        <v>53.287500000000001</v>
      </c>
      <c r="D13" s="157">
        <f>Zones!G13</f>
        <v>1065.75</v>
      </c>
      <c r="E13" s="289">
        <v>15</v>
      </c>
      <c r="F13" s="142">
        <v>0.375</v>
      </c>
      <c r="G13" s="142"/>
      <c r="H13" s="82">
        <f t="shared" si="3"/>
        <v>799.3125</v>
      </c>
      <c r="I13" s="83">
        <f t="shared" si="4"/>
        <v>399.65625</v>
      </c>
      <c r="J13" s="83">
        <f t="shared" si="5"/>
        <v>0</v>
      </c>
      <c r="K13" s="82">
        <f t="shared" si="6"/>
        <v>799.3125</v>
      </c>
      <c r="L13" s="82"/>
      <c r="M13" s="4"/>
      <c r="N13" s="4"/>
      <c r="O13" s="4"/>
      <c r="P13" s="4"/>
      <c r="Q13" s="4"/>
      <c r="R13" s="4"/>
      <c r="S13" s="4"/>
      <c r="T13" s="4"/>
      <c r="U13" s="4"/>
      <c r="V13" s="113"/>
    </row>
    <row r="14" spans="1:22" ht="23.45" customHeight="1" x14ac:dyDescent="0.2">
      <c r="A14" s="358" t="str">
        <f>Zones!A14</f>
        <v>Classroom, Lecture, Training, Vocational Areas</v>
      </c>
      <c r="B14" s="294" t="str">
        <f>Zones!B14</f>
        <v>Corner_Class_2_Pod_1_FF_Zn</v>
      </c>
      <c r="C14" s="157">
        <f>Zones!J14</f>
        <v>53.286499999999997</v>
      </c>
      <c r="D14" s="157">
        <f>Zones!G14</f>
        <v>1065.73</v>
      </c>
      <c r="E14" s="289">
        <v>15</v>
      </c>
      <c r="F14" s="142">
        <v>0.375</v>
      </c>
      <c r="G14" s="142"/>
      <c r="H14" s="82">
        <f t="shared" si="3"/>
        <v>799.2974999999999</v>
      </c>
      <c r="I14" s="83">
        <f t="shared" si="4"/>
        <v>399.64875000000001</v>
      </c>
      <c r="J14" s="83">
        <f t="shared" si="5"/>
        <v>0</v>
      </c>
      <c r="K14" s="82">
        <f t="shared" si="6"/>
        <v>799.2974999999999</v>
      </c>
      <c r="L14" s="82"/>
      <c r="M14" s="4"/>
      <c r="N14" s="4"/>
      <c r="O14" s="4"/>
      <c r="P14" s="4"/>
      <c r="Q14" s="4"/>
      <c r="R14" s="4"/>
      <c r="S14" s="4"/>
      <c r="T14" s="4"/>
      <c r="U14" s="4"/>
      <c r="V14" s="113"/>
    </row>
    <row r="15" spans="1:22" ht="23.45" customHeight="1" x14ac:dyDescent="0.2">
      <c r="A15" s="358" t="str">
        <f>Zones!A15</f>
        <v>Classroom, Lecture, Training, Vocational Areas</v>
      </c>
      <c r="B15" s="294" t="str">
        <f>Zones!B15</f>
        <v>Corner_Class_2_Pod_1_SF_Zn</v>
      </c>
      <c r="C15" s="157">
        <f>Zones!J15</f>
        <v>53.286499999999997</v>
      </c>
      <c r="D15" s="157">
        <f>Zones!G15</f>
        <v>1065.73</v>
      </c>
      <c r="E15" s="289">
        <v>15</v>
      </c>
      <c r="F15" s="142">
        <v>0.375</v>
      </c>
      <c r="G15" s="142"/>
      <c r="H15" s="82">
        <f t="shared" si="3"/>
        <v>799.2974999999999</v>
      </c>
      <c r="I15" s="83">
        <f t="shared" si="4"/>
        <v>399.64875000000001</v>
      </c>
      <c r="J15" s="83">
        <f t="shared" si="5"/>
        <v>0</v>
      </c>
      <c r="K15" s="82">
        <f t="shared" si="6"/>
        <v>799.2974999999999</v>
      </c>
      <c r="L15" s="82"/>
      <c r="M15" s="4"/>
      <c r="N15" s="4"/>
      <c r="O15" s="4"/>
      <c r="P15" s="4"/>
      <c r="Q15" s="4"/>
      <c r="R15" s="4"/>
      <c r="S15" s="4"/>
      <c r="T15" s="4"/>
      <c r="U15" s="4"/>
      <c r="V15" s="113"/>
    </row>
    <row r="16" spans="1:22" ht="23.45" customHeight="1" x14ac:dyDescent="0.2">
      <c r="A16" s="358" t="str">
        <f>Zones!A16</f>
        <v>Classroom, Lecture, Training, Vocational Areas</v>
      </c>
      <c r="B16" s="294" t="str">
        <f>Zones!B16</f>
        <v>Corner_Class_2_Pod_2_FF_Zn</v>
      </c>
      <c r="C16" s="157">
        <f>Zones!J16</f>
        <v>53.287500000000001</v>
      </c>
      <c r="D16" s="157">
        <f>Zones!G16</f>
        <v>1065.75</v>
      </c>
      <c r="E16" s="289">
        <v>15</v>
      </c>
      <c r="F16" s="142">
        <v>0.375</v>
      </c>
      <c r="G16" s="142"/>
      <c r="H16" s="82">
        <f t="shared" si="3"/>
        <v>799.3125</v>
      </c>
      <c r="I16" s="83">
        <f t="shared" si="4"/>
        <v>399.65625</v>
      </c>
      <c r="J16" s="83">
        <f t="shared" si="5"/>
        <v>0</v>
      </c>
      <c r="K16" s="82">
        <f t="shared" si="6"/>
        <v>799.3125</v>
      </c>
      <c r="L16" s="82"/>
      <c r="M16" s="4"/>
      <c r="N16" s="4"/>
      <c r="O16" s="4"/>
      <c r="P16" s="4"/>
      <c r="Q16" s="4"/>
      <c r="R16" s="4"/>
      <c r="S16" s="4"/>
      <c r="T16" s="4"/>
      <c r="U16" s="4"/>
      <c r="V16" s="113"/>
    </row>
    <row r="17" spans="1:22" ht="23.45" customHeight="1" x14ac:dyDescent="0.2">
      <c r="A17" s="358" t="str">
        <f>Zones!A17</f>
        <v>Classroom, Lecture, Training, Vocational Areas</v>
      </c>
      <c r="B17" s="294" t="str">
        <f>Zones!B17</f>
        <v>Corner_Class_2_Pod_2_SF_Zn</v>
      </c>
      <c r="C17" s="157">
        <f>Zones!J17</f>
        <v>53.287500000000001</v>
      </c>
      <c r="D17" s="157">
        <f>Zones!G17</f>
        <v>1065.75</v>
      </c>
      <c r="E17" s="289">
        <v>15</v>
      </c>
      <c r="F17" s="142">
        <v>0.375</v>
      </c>
      <c r="G17" s="142"/>
      <c r="H17" s="82">
        <f t="shared" si="3"/>
        <v>799.3125</v>
      </c>
      <c r="I17" s="83">
        <f t="shared" si="4"/>
        <v>399.65625</v>
      </c>
      <c r="J17" s="83">
        <f t="shared" si="5"/>
        <v>0</v>
      </c>
      <c r="K17" s="82">
        <f t="shared" si="6"/>
        <v>799.3125</v>
      </c>
      <c r="L17" s="82"/>
      <c r="M17" s="4"/>
      <c r="N17" s="4"/>
      <c r="O17" s="4"/>
      <c r="P17" s="4"/>
      <c r="Q17" s="4"/>
      <c r="R17" s="4"/>
      <c r="S17" s="4"/>
      <c r="T17" s="4"/>
      <c r="U17" s="4"/>
      <c r="V17" s="113"/>
    </row>
    <row r="18" spans="1:22" ht="23.45" customHeight="1" x14ac:dyDescent="0.2">
      <c r="A18" s="358" t="str">
        <f>Zones!A18</f>
        <v>Classroom, Lecture, Training, Vocational Areas</v>
      </c>
      <c r="B18" s="294" t="str">
        <f>Zones!B18</f>
        <v>Corner_Class_2_Pod_3_FF_Zn</v>
      </c>
      <c r="C18" s="157">
        <f>Zones!J18</f>
        <v>53.285499999999999</v>
      </c>
      <c r="D18" s="157">
        <f>Zones!G18</f>
        <v>1065.71</v>
      </c>
      <c r="E18" s="289">
        <v>15</v>
      </c>
      <c r="F18" s="142">
        <v>0.375</v>
      </c>
      <c r="G18" s="142"/>
      <c r="H18" s="82">
        <f t="shared" si="3"/>
        <v>799.28250000000003</v>
      </c>
      <c r="I18" s="83">
        <f t="shared" si="4"/>
        <v>399.64125000000001</v>
      </c>
      <c r="J18" s="83">
        <f t="shared" si="5"/>
        <v>0</v>
      </c>
      <c r="K18" s="82">
        <f t="shared" si="6"/>
        <v>799.28250000000003</v>
      </c>
      <c r="L18" s="82"/>
      <c r="M18" s="4"/>
      <c r="N18" s="4"/>
      <c r="O18" s="4"/>
      <c r="P18" s="4"/>
      <c r="Q18" s="4"/>
      <c r="R18" s="4"/>
      <c r="S18" s="4"/>
      <c r="T18" s="4"/>
      <c r="U18" s="4"/>
      <c r="V18" s="113"/>
    </row>
    <row r="19" spans="1:22" ht="23.45" customHeight="1" x14ac:dyDescent="0.2">
      <c r="A19" s="358" t="str">
        <f>Zones!A19</f>
        <v>Classroom, Lecture, Training, Vocational Areas</v>
      </c>
      <c r="B19" s="294" t="str">
        <f>Zones!B19</f>
        <v>Corner_Class_2_Pod_3_SF_Zn</v>
      </c>
      <c r="C19" s="157">
        <f>Zones!J19</f>
        <v>53.285499999999999</v>
      </c>
      <c r="D19" s="157">
        <f>Zones!G19</f>
        <v>1065.71</v>
      </c>
      <c r="E19" s="289">
        <v>15</v>
      </c>
      <c r="F19" s="142">
        <v>0.375</v>
      </c>
      <c r="G19" s="142"/>
      <c r="H19" s="82">
        <f t="shared" si="3"/>
        <v>799.28250000000003</v>
      </c>
      <c r="I19" s="83">
        <f t="shared" si="4"/>
        <v>399.64125000000001</v>
      </c>
      <c r="J19" s="83">
        <f t="shared" si="5"/>
        <v>0</v>
      </c>
      <c r="K19" s="82">
        <f t="shared" si="6"/>
        <v>799.28250000000003</v>
      </c>
      <c r="L19" s="82"/>
      <c r="M19" s="4"/>
      <c r="N19" s="4"/>
      <c r="O19" s="4"/>
      <c r="P19" s="4"/>
      <c r="Q19" s="4"/>
      <c r="R19" s="4"/>
      <c r="S19" s="4"/>
      <c r="T19" s="4"/>
      <c r="U19" s="4"/>
      <c r="V19" s="113"/>
    </row>
    <row r="20" spans="1:22" ht="23.45" customHeight="1" x14ac:dyDescent="0.2">
      <c r="A20" s="358" t="str">
        <f>Zones!A20</f>
        <v>Corridor Area</v>
      </c>
      <c r="B20" s="294" t="str">
        <f>Zones!B20</f>
        <v>Corridor_Pod_1_FF_Zn</v>
      </c>
      <c r="C20" s="157">
        <f>Zones!J20</f>
        <v>34.447900000000004</v>
      </c>
      <c r="D20" s="157">
        <f>Zones!G20</f>
        <v>3444.79</v>
      </c>
      <c r="E20" s="289">
        <v>30</v>
      </c>
      <c r="F20" s="142">
        <v>0.15</v>
      </c>
      <c r="G20" s="142"/>
      <c r="H20" s="82">
        <f t="shared" si="3"/>
        <v>1033.4370000000001</v>
      </c>
      <c r="I20" s="83">
        <f t="shared" si="4"/>
        <v>516.71849999999995</v>
      </c>
      <c r="J20" s="83">
        <f t="shared" si="5"/>
        <v>0</v>
      </c>
      <c r="K20" s="82">
        <f t="shared" si="6"/>
        <v>1033.4370000000001</v>
      </c>
      <c r="L20" s="82"/>
      <c r="M20" s="4"/>
      <c r="N20" s="4"/>
      <c r="O20" s="4"/>
      <c r="P20" s="4"/>
      <c r="Q20" s="4"/>
      <c r="R20" s="4"/>
      <c r="S20" s="4"/>
      <c r="T20" s="4"/>
      <c r="U20" s="4"/>
      <c r="V20" s="113"/>
    </row>
    <row r="21" spans="1:22" ht="23.45" customHeight="1" x14ac:dyDescent="0.2">
      <c r="A21" s="358" t="str">
        <f>Zones!A21</f>
        <v>Corridor Area</v>
      </c>
      <c r="B21" s="294" t="str">
        <f>Zones!B21</f>
        <v>Corridor_Pod_1_SF_Zn</v>
      </c>
      <c r="C21" s="157">
        <f>Zones!J21</f>
        <v>34.447900000000004</v>
      </c>
      <c r="D21" s="157">
        <f>Zones!G21</f>
        <v>3444.79</v>
      </c>
      <c r="E21" s="289">
        <v>30</v>
      </c>
      <c r="F21" s="142">
        <v>0.15</v>
      </c>
      <c r="G21" s="142"/>
      <c r="H21" s="82">
        <f t="shared" si="3"/>
        <v>1033.4370000000001</v>
      </c>
      <c r="I21" s="83">
        <f t="shared" si="4"/>
        <v>516.71849999999995</v>
      </c>
      <c r="J21" s="83">
        <f t="shared" si="5"/>
        <v>0</v>
      </c>
      <c r="K21" s="82">
        <f t="shared" si="6"/>
        <v>1033.4370000000001</v>
      </c>
      <c r="L21" s="82"/>
      <c r="M21" s="4"/>
      <c r="N21" s="4"/>
      <c r="O21" s="4"/>
      <c r="P21" s="4"/>
      <c r="Q21" s="4"/>
      <c r="R21" s="4"/>
      <c r="S21" s="4"/>
      <c r="T21" s="4"/>
      <c r="U21" s="4"/>
      <c r="V21" s="113"/>
    </row>
    <row r="22" spans="1:22" ht="23.45" customHeight="1" x14ac:dyDescent="0.2">
      <c r="A22" s="358" t="str">
        <f>Zones!A22</f>
        <v>Corridor Area</v>
      </c>
      <c r="B22" s="294" t="str">
        <f>Zones!B22</f>
        <v>Corridor_Pod_2_FF_Zn</v>
      </c>
      <c r="C22" s="157">
        <f>Zones!J22</f>
        <v>34.447499999999998</v>
      </c>
      <c r="D22" s="157">
        <f>Zones!G22</f>
        <v>3444.75</v>
      </c>
      <c r="E22" s="289">
        <v>30</v>
      </c>
      <c r="F22" s="142">
        <v>0.15</v>
      </c>
      <c r="G22" s="142"/>
      <c r="H22" s="82">
        <f t="shared" si="3"/>
        <v>1033.425</v>
      </c>
      <c r="I22" s="83">
        <f t="shared" si="4"/>
        <v>516.71249999999998</v>
      </c>
      <c r="J22" s="83">
        <f t="shared" si="5"/>
        <v>0</v>
      </c>
      <c r="K22" s="82">
        <f t="shared" si="6"/>
        <v>1033.425</v>
      </c>
      <c r="L22" s="82"/>
      <c r="M22" s="4"/>
      <c r="N22" s="4"/>
      <c r="O22" s="4"/>
      <c r="P22" s="4"/>
      <c r="Q22" s="4"/>
      <c r="R22" s="4"/>
      <c r="S22" s="4"/>
      <c r="T22" s="4"/>
      <c r="U22" s="4"/>
      <c r="V22" s="113"/>
    </row>
    <row r="23" spans="1:22" ht="23.45" customHeight="1" x14ac:dyDescent="0.2">
      <c r="A23" s="358" t="str">
        <f>Zones!A23</f>
        <v>Corridor Area</v>
      </c>
      <c r="B23" s="294" t="str">
        <f>Zones!B23</f>
        <v>Corridor_Pod_2_SF_Zn</v>
      </c>
      <c r="C23" s="157">
        <f>Zones!J23</f>
        <v>34.447499999999998</v>
      </c>
      <c r="D23" s="157">
        <f>Zones!G23</f>
        <v>3444.75</v>
      </c>
      <c r="E23" s="289">
        <v>30</v>
      </c>
      <c r="F23" s="142">
        <v>0.15</v>
      </c>
      <c r="G23" s="142"/>
      <c r="H23" s="82">
        <f t="shared" si="3"/>
        <v>1033.425</v>
      </c>
      <c r="I23" s="83">
        <f t="shared" si="4"/>
        <v>516.71249999999998</v>
      </c>
      <c r="J23" s="83">
        <f t="shared" si="5"/>
        <v>0</v>
      </c>
      <c r="K23" s="82">
        <f t="shared" si="6"/>
        <v>1033.425</v>
      </c>
      <c r="L23" s="82"/>
      <c r="M23" s="4"/>
      <c r="N23" s="4"/>
      <c r="O23" s="4"/>
      <c r="P23" s="4"/>
      <c r="Q23" s="4"/>
      <c r="R23" s="4"/>
      <c r="S23" s="4"/>
      <c r="T23" s="4"/>
      <c r="U23" s="4"/>
      <c r="V23" s="113"/>
    </row>
    <row r="24" spans="1:22" ht="23.45" customHeight="1" x14ac:dyDescent="0.2">
      <c r="A24" s="358" t="str">
        <f>Zones!A24</f>
        <v>Corridor Area</v>
      </c>
      <c r="B24" s="294" t="str">
        <f>Zones!B24</f>
        <v>Corridor_Pod_3_FF_Zn</v>
      </c>
      <c r="C24" s="157">
        <f>Zones!J24</f>
        <v>34.447499999999998</v>
      </c>
      <c r="D24" s="157">
        <f>Zones!G24</f>
        <v>3444.75</v>
      </c>
      <c r="E24" s="289">
        <v>30</v>
      </c>
      <c r="F24" s="142">
        <v>0.15</v>
      </c>
      <c r="G24" s="142"/>
      <c r="H24" s="82">
        <f t="shared" si="3"/>
        <v>1033.425</v>
      </c>
      <c r="I24" s="83">
        <f t="shared" si="4"/>
        <v>516.71249999999998</v>
      </c>
      <c r="J24" s="83">
        <f t="shared" si="5"/>
        <v>0</v>
      </c>
      <c r="K24" s="82">
        <f t="shared" si="6"/>
        <v>1033.425</v>
      </c>
      <c r="L24" s="82"/>
      <c r="M24" s="4"/>
      <c r="N24" s="4"/>
      <c r="O24" s="4"/>
      <c r="P24" s="4"/>
      <c r="Q24" s="4"/>
      <c r="R24" s="4"/>
      <c r="S24" s="4"/>
      <c r="T24" s="4"/>
      <c r="U24" s="4"/>
      <c r="V24" s="113"/>
    </row>
    <row r="25" spans="1:22" ht="23.45" customHeight="1" x14ac:dyDescent="0.2">
      <c r="A25" s="358" t="str">
        <f>Zones!A25</f>
        <v>Corridor Area</v>
      </c>
      <c r="B25" s="294" t="str">
        <f>Zones!B25</f>
        <v>Corridor_Pod_3_SF_Zn</v>
      </c>
      <c r="C25" s="157">
        <f>Zones!J25</f>
        <v>34.447499999999998</v>
      </c>
      <c r="D25" s="157">
        <f>Zones!G25</f>
        <v>3444.75</v>
      </c>
      <c r="E25" s="289">
        <v>30</v>
      </c>
      <c r="F25" s="142">
        <v>0.15</v>
      </c>
      <c r="G25" s="142"/>
      <c r="H25" s="82">
        <f t="shared" si="3"/>
        <v>1033.425</v>
      </c>
      <c r="I25" s="83">
        <f t="shared" si="4"/>
        <v>516.71249999999998</v>
      </c>
      <c r="J25" s="83">
        <f t="shared" si="5"/>
        <v>0</v>
      </c>
      <c r="K25" s="82">
        <f t="shared" si="6"/>
        <v>1033.425</v>
      </c>
      <c r="L25" s="82"/>
      <c r="M25" s="4"/>
      <c r="N25" s="4"/>
      <c r="O25" s="4"/>
      <c r="P25" s="4"/>
      <c r="Q25" s="4"/>
      <c r="R25" s="4"/>
      <c r="S25" s="4"/>
      <c r="T25" s="4"/>
      <c r="U25" s="4"/>
      <c r="V25" s="113"/>
    </row>
    <row r="26" spans="1:22" ht="23.45" customHeight="1" x14ac:dyDescent="0.2">
      <c r="A26" s="358" t="str">
        <f>Zones!A26</f>
        <v>Exercise/Fitness Center and Gymnasium Areas</v>
      </c>
      <c r="B26" s="294" t="str">
        <f>Zones!B26</f>
        <v>Gym_FF_Zn</v>
      </c>
      <c r="C26" s="157">
        <f>Zones!J39</f>
        <v>256.74849999999998</v>
      </c>
      <c r="D26" s="157">
        <f>Zones!G39</f>
        <v>5134.97</v>
      </c>
      <c r="E26" s="289">
        <v>15</v>
      </c>
      <c r="F26" s="142">
        <v>0.15</v>
      </c>
      <c r="G26" s="142"/>
      <c r="H26" s="82">
        <f t="shared" si="3"/>
        <v>3851.2274999999995</v>
      </c>
      <c r="I26" s="83">
        <f t="shared" si="4"/>
        <v>770.24549999999999</v>
      </c>
      <c r="J26" s="83">
        <f t="shared" si="5"/>
        <v>0</v>
      </c>
      <c r="K26" s="82">
        <f t="shared" si="6"/>
        <v>3851.2274999999995</v>
      </c>
      <c r="L26" s="82"/>
      <c r="M26" s="4"/>
      <c r="N26" s="4"/>
      <c r="O26" s="4"/>
      <c r="P26" s="4"/>
      <c r="Q26" s="4"/>
      <c r="R26" s="4"/>
      <c r="S26" s="4"/>
      <c r="T26" s="4"/>
      <c r="U26" s="4"/>
      <c r="V26" s="113"/>
    </row>
    <row r="27" spans="1:22" ht="23.45" customHeight="1" x14ac:dyDescent="0.2">
      <c r="A27" s="358" t="str">
        <f>Zones!A27</f>
        <v>Kitchen/Food Preparation Area</v>
      </c>
      <c r="B27" s="294" t="str">
        <f>Zones!B27</f>
        <v>Kitchen_FF_Zn</v>
      </c>
      <c r="C27" s="157">
        <f>Zones!J40</f>
        <v>256.74849999999998</v>
      </c>
      <c r="D27" s="157">
        <f>Zones!G40</f>
        <v>5134.97</v>
      </c>
      <c r="E27" s="289">
        <v>50</v>
      </c>
      <c r="F27" s="142">
        <v>0.15</v>
      </c>
      <c r="G27" s="142"/>
      <c r="H27" s="82">
        <f t="shared" si="3"/>
        <v>12837.424999999999</v>
      </c>
      <c r="I27" s="83">
        <f t="shared" si="4"/>
        <v>770.24549999999999</v>
      </c>
      <c r="J27" s="83">
        <f t="shared" si="5"/>
        <v>0</v>
      </c>
      <c r="K27" s="82">
        <f t="shared" si="6"/>
        <v>12837.424999999999</v>
      </c>
      <c r="L27" s="82"/>
      <c r="M27" s="4"/>
      <c r="N27" s="4"/>
      <c r="O27" s="4"/>
      <c r="P27" s="4"/>
      <c r="Q27" s="4"/>
      <c r="R27" s="4"/>
      <c r="S27" s="4"/>
      <c r="T27" s="4"/>
      <c r="U27" s="4"/>
      <c r="V27" s="113"/>
    </row>
    <row r="28" spans="1:22" ht="23.45" customHeight="1" x14ac:dyDescent="0.2">
      <c r="A28" s="358" t="str">
        <f>Zones!A28</f>
        <v>Library (Reading Area)</v>
      </c>
      <c r="B28" s="294" t="str">
        <f>Zones!B28</f>
        <v>Library_Media_Center_SF_Zn</v>
      </c>
      <c r="C28" s="157">
        <f>Zones!J41</f>
        <v>256.74400000000003</v>
      </c>
      <c r="D28" s="157">
        <f>Zones!G41</f>
        <v>5134.88</v>
      </c>
      <c r="E28" s="289">
        <v>15</v>
      </c>
      <c r="F28" s="142">
        <v>0.15</v>
      </c>
      <c r="G28" s="142"/>
      <c r="H28" s="82">
        <f t="shared" si="3"/>
        <v>3851.1600000000003</v>
      </c>
      <c r="I28" s="83">
        <f t="shared" si="4"/>
        <v>770.23199999999997</v>
      </c>
      <c r="J28" s="83">
        <f t="shared" si="5"/>
        <v>0</v>
      </c>
      <c r="K28" s="82">
        <f t="shared" si="6"/>
        <v>3851.1600000000003</v>
      </c>
      <c r="L28" s="82"/>
      <c r="M28" s="4"/>
      <c r="N28" s="4"/>
      <c r="O28" s="4"/>
      <c r="P28" s="4"/>
      <c r="Q28" s="4"/>
      <c r="R28" s="4"/>
      <c r="S28" s="4"/>
      <c r="T28" s="4"/>
      <c r="U28" s="4"/>
      <c r="V28" s="113"/>
    </row>
    <row r="29" spans="1:22" ht="23.45" customHeight="1" x14ac:dyDescent="0.2">
      <c r="A29" s="358" t="str">
        <f>Zones!A29</f>
        <v>Lobby, Main Entry</v>
      </c>
      <c r="B29" s="294" t="str">
        <f>Zones!B29</f>
        <v>Lobby_FF_Zn</v>
      </c>
      <c r="C29" s="157">
        <f>Zones!J42</f>
        <v>256.74400000000003</v>
      </c>
      <c r="D29" s="157">
        <f>Zones!G42</f>
        <v>5134.88</v>
      </c>
      <c r="E29" s="289">
        <v>30</v>
      </c>
      <c r="F29" s="142">
        <v>0.15</v>
      </c>
      <c r="G29" s="142"/>
      <c r="H29" s="82">
        <f t="shared" si="3"/>
        <v>7702.3200000000006</v>
      </c>
      <c r="I29" s="83">
        <f t="shared" si="4"/>
        <v>770.23199999999997</v>
      </c>
      <c r="J29" s="83">
        <f t="shared" si="5"/>
        <v>0</v>
      </c>
      <c r="K29" s="82">
        <f t="shared" si="6"/>
        <v>7702.3200000000006</v>
      </c>
      <c r="L29" s="82"/>
      <c r="M29" s="4"/>
      <c r="N29" s="4"/>
      <c r="O29" s="4"/>
      <c r="P29" s="4"/>
      <c r="Q29" s="4"/>
      <c r="R29" s="4"/>
      <c r="S29" s="4"/>
      <c r="T29" s="4"/>
      <c r="U29" s="4"/>
      <c r="V29" s="113"/>
    </row>
    <row r="30" spans="1:22" ht="23.45" customHeight="1" x14ac:dyDescent="0.2">
      <c r="A30" s="358" t="str">
        <f>Zones!A30</f>
        <v>Lobby, Main Entry</v>
      </c>
      <c r="B30" s="294" t="str">
        <f>Zones!B30</f>
        <v>Lobby_SF_Zn</v>
      </c>
      <c r="C30" s="157">
        <f>Zones!J30</f>
        <v>150.708</v>
      </c>
      <c r="D30" s="157">
        <f>Zones!G30</f>
        <v>2260.62</v>
      </c>
      <c r="E30" s="289">
        <v>30</v>
      </c>
      <c r="F30" s="142">
        <v>0.15</v>
      </c>
      <c r="G30" s="142"/>
      <c r="H30" s="82">
        <f t="shared" ref="H30:H41" si="7">C30*E30</f>
        <v>4521.24</v>
      </c>
      <c r="I30" s="83">
        <f t="shared" ref="I30:I41" si="8">D30*F30</f>
        <v>339.09299999999996</v>
      </c>
      <c r="J30" s="83">
        <f t="shared" ref="J30:J41" si="9">G30*D30</f>
        <v>0</v>
      </c>
      <c r="K30" s="82">
        <f t="shared" ref="K30:K41" si="10">MAX(H30,I30,J30)</f>
        <v>4521.24</v>
      </c>
      <c r="L30" s="82"/>
      <c r="M30" s="4"/>
      <c r="N30" s="4"/>
      <c r="O30" s="4"/>
      <c r="P30" s="4"/>
      <c r="Q30" s="4"/>
      <c r="R30" s="4"/>
      <c r="S30" s="4"/>
      <c r="T30" s="4"/>
      <c r="U30" s="4"/>
      <c r="V30" s="113"/>
    </row>
    <row r="31" spans="1:22" ht="23.45" customHeight="1" x14ac:dyDescent="0.2">
      <c r="A31" s="358" t="str">
        <f>Zones!A31</f>
        <v>Corridor Area</v>
      </c>
      <c r="B31" s="294" t="str">
        <f>Zones!B31</f>
        <v>Main_Corridor_FF_Zn</v>
      </c>
      <c r="C31" s="157">
        <f>Zones!J31</f>
        <v>122.7192</v>
      </c>
      <c r="D31" s="157">
        <f>Zones!G31</f>
        <v>12271.92</v>
      </c>
      <c r="E31" s="289">
        <v>30</v>
      </c>
      <c r="F31" s="142">
        <v>0.15</v>
      </c>
      <c r="G31" s="142"/>
      <c r="H31" s="82">
        <f t="shared" si="7"/>
        <v>3681.576</v>
      </c>
      <c r="I31" s="83">
        <f t="shared" si="8"/>
        <v>1840.788</v>
      </c>
      <c r="J31" s="83">
        <f t="shared" si="9"/>
        <v>0</v>
      </c>
      <c r="K31" s="82">
        <f t="shared" si="10"/>
        <v>3681.576</v>
      </c>
      <c r="L31" s="82"/>
      <c r="M31" s="4"/>
      <c r="N31" s="4"/>
      <c r="O31" s="4"/>
      <c r="P31" s="4"/>
      <c r="Q31" s="4"/>
      <c r="R31" s="4"/>
      <c r="S31" s="4"/>
      <c r="T31" s="4"/>
      <c r="U31" s="4"/>
      <c r="V31" s="113"/>
    </row>
    <row r="32" spans="1:22" ht="23.45" customHeight="1" x14ac:dyDescent="0.2">
      <c r="A32" s="358" t="str">
        <f>Zones!A32</f>
        <v>Corridor Area</v>
      </c>
      <c r="B32" s="294" t="str">
        <f>Zones!B32</f>
        <v>Main_Corridor_SF_Zn</v>
      </c>
      <c r="C32" s="157">
        <f>Zones!J32</f>
        <v>122.7192</v>
      </c>
      <c r="D32" s="157">
        <f>Zones!G32</f>
        <v>12271.92</v>
      </c>
      <c r="E32" s="289">
        <v>30</v>
      </c>
      <c r="F32" s="142">
        <v>0.15</v>
      </c>
      <c r="G32" s="142"/>
      <c r="H32" s="82">
        <f t="shared" si="7"/>
        <v>3681.576</v>
      </c>
      <c r="I32" s="83">
        <f t="shared" si="8"/>
        <v>1840.788</v>
      </c>
      <c r="J32" s="83">
        <f t="shared" si="9"/>
        <v>0</v>
      </c>
      <c r="K32" s="82">
        <f t="shared" si="10"/>
        <v>3681.576</v>
      </c>
      <c r="L32" s="82"/>
      <c r="M32" s="4"/>
      <c r="N32" s="4"/>
      <c r="O32" s="4"/>
      <c r="P32" s="4"/>
      <c r="Q32" s="4"/>
      <c r="R32" s="4"/>
      <c r="S32" s="4"/>
      <c r="T32" s="4"/>
      <c r="U32" s="4"/>
      <c r="V32" s="113"/>
    </row>
    <row r="33" spans="1:22" ht="23.45" customHeight="1" x14ac:dyDescent="0.2">
      <c r="A33" s="358" t="str">
        <f>Zones!A33</f>
        <v>Electrical, Mechanical, Telephone Rooms</v>
      </c>
      <c r="B33" s="294" t="str">
        <f>Zones!B33</f>
        <v>Mech_FF_Zn</v>
      </c>
      <c r="C33" s="157">
        <f>Zones!J33</f>
        <v>11.04501</v>
      </c>
      <c r="D33" s="157">
        <f>Zones!G33</f>
        <v>3681.67</v>
      </c>
      <c r="E33" s="289">
        <v>30</v>
      </c>
      <c r="F33" s="142">
        <v>0.15</v>
      </c>
      <c r="G33" s="142"/>
      <c r="H33" s="82">
        <f t="shared" si="7"/>
        <v>331.3503</v>
      </c>
      <c r="I33" s="83">
        <f t="shared" si="8"/>
        <v>552.25049999999999</v>
      </c>
      <c r="J33" s="83">
        <f t="shared" si="9"/>
        <v>0</v>
      </c>
      <c r="K33" s="82">
        <f t="shared" si="10"/>
        <v>552.25049999999999</v>
      </c>
      <c r="L33" s="82"/>
      <c r="M33" s="4"/>
      <c r="N33" s="4"/>
      <c r="O33" s="4"/>
      <c r="P33" s="4"/>
      <c r="Q33" s="4"/>
      <c r="R33" s="4"/>
      <c r="S33" s="4"/>
      <c r="T33" s="4"/>
      <c r="U33" s="4"/>
      <c r="V33" s="113"/>
    </row>
    <row r="34" spans="1:22" ht="23.45" customHeight="1" x14ac:dyDescent="0.2">
      <c r="A34" s="358" t="str">
        <f>Zones!A34</f>
        <v>Electrical, Mechanical, Telephone Rooms</v>
      </c>
      <c r="B34" s="294" t="str">
        <f>Zones!B34</f>
        <v>Mech_SF_Zn</v>
      </c>
      <c r="C34" s="157">
        <f>Zones!J34</f>
        <v>11.04501</v>
      </c>
      <c r="D34" s="157">
        <f>Zones!G34</f>
        <v>3681.67</v>
      </c>
      <c r="E34" s="289">
        <v>30</v>
      </c>
      <c r="F34" s="142">
        <v>0.15</v>
      </c>
      <c r="G34" s="142"/>
      <c r="H34" s="82">
        <f t="shared" si="7"/>
        <v>331.3503</v>
      </c>
      <c r="I34" s="83">
        <f t="shared" si="8"/>
        <v>552.25049999999999</v>
      </c>
      <c r="J34" s="83">
        <f t="shared" si="9"/>
        <v>0</v>
      </c>
      <c r="K34" s="82">
        <f t="shared" si="10"/>
        <v>552.25049999999999</v>
      </c>
      <c r="L34" s="82"/>
      <c r="M34" s="4"/>
      <c r="N34" s="4"/>
      <c r="O34" s="4"/>
      <c r="P34" s="4"/>
      <c r="Q34" s="4"/>
      <c r="R34" s="4"/>
      <c r="S34" s="4"/>
      <c r="T34" s="4"/>
      <c r="U34" s="4"/>
      <c r="V34" s="113"/>
    </row>
    <row r="35" spans="1:22" ht="23.45" customHeight="1" x14ac:dyDescent="0.2">
      <c r="A35" s="358" t="str">
        <f>Zones!A35</f>
        <v>Classroom, Lecture, Training, Vocational Areas</v>
      </c>
      <c r="B35" s="294" t="str">
        <f>Zones!B35</f>
        <v>Mult_Class_1_Pod_1_FF_Zn</v>
      </c>
      <c r="C35" s="157">
        <f>Zones!J35</f>
        <v>256.74499999999995</v>
      </c>
      <c r="D35" s="157">
        <f>Zones!G35</f>
        <v>5134.8999999999996</v>
      </c>
      <c r="E35" s="289">
        <v>15</v>
      </c>
      <c r="F35" s="142">
        <v>0.375</v>
      </c>
      <c r="G35" s="142"/>
      <c r="H35" s="82">
        <f t="shared" si="7"/>
        <v>3851.1749999999993</v>
      </c>
      <c r="I35" s="83">
        <f t="shared" si="8"/>
        <v>1925.5874999999999</v>
      </c>
      <c r="J35" s="83">
        <f t="shared" si="9"/>
        <v>0</v>
      </c>
      <c r="K35" s="82">
        <f t="shared" si="10"/>
        <v>3851.1749999999993</v>
      </c>
      <c r="L35" s="82"/>
      <c r="M35" s="4"/>
      <c r="N35" s="4"/>
      <c r="O35" s="4"/>
      <c r="P35" s="4"/>
      <c r="Q35" s="4"/>
      <c r="R35" s="4"/>
      <c r="S35" s="4"/>
      <c r="T35" s="4"/>
      <c r="U35" s="4"/>
      <c r="V35" s="113"/>
    </row>
    <row r="36" spans="1:22" ht="23.45" customHeight="1" x14ac:dyDescent="0.2">
      <c r="A36" s="358" t="str">
        <f>Zones!A36</f>
        <v>Classroom, Lecture, Training, Vocational Areas</v>
      </c>
      <c r="B36" s="294" t="str">
        <f>Zones!B36</f>
        <v>Mult_Class_1_Pod_1_SF_Zn</v>
      </c>
      <c r="C36" s="157">
        <f>Zones!J36</f>
        <v>256.74499999999995</v>
      </c>
      <c r="D36" s="157">
        <f>Zones!G36</f>
        <v>5134.8999999999996</v>
      </c>
      <c r="E36" s="289">
        <v>15</v>
      </c>
      <c r="F36" s="142">
        <v>0.375</v>
      </c>
      <c r="G36" s="142"/>
      <c r="H36" s="82">
        <f t="shared" si="7"/>
        <v>3851.1749999999993</v>
      </c>
      <c r="I36" s="83">
        <f t="shared" si="8"/>
        <v>1925.5874999999999</v>
      </c>
      <c r="J36" s="83">
        <f t="shared" si="9"/>
        <v>0</v>
      </c>
      <c r="K36" s="82">
        <f t="shared" si="10"/>
        <v>3851.1749999999993</v>
      </c>
      <c r="L36" s="82"/>
      <c r="M36" s="4"/>
      <c r="N36" s="4"/>
      <c r="O36" s="4"/>
      <c r="P36" s="4"/>
      <c r="Q36" s="4"/>
      <c r="R36" s="4"/>
      <c r="S36" s="4"/>
      <c r="T36" s="4"/>
      <c r="U36" s="4"/>
      <c r="V36" s="113"/>
    </row>
    <row r="37" spans="1:22" ht="23.45" customHeight="1" x14ac:dyDescent="0.2">
      <c r="A37" s="358" t="str">
        <f>Zones!A37</f>
        <v>Classroom, Lecture, Training, Vocational Areas</v>
      </c>
      <c r="B37" s="294" t="str">
        <f>Zones!B37</f>
        <v>Mult_Class_1_Pod_2_FF_Zn</v>
      </c>
      <c r="C37" s="157">
        <f>Zones!J37</f>
        <v>256.74</v>
      </c>
      <c r="D37" s="157">
        <f>Zones!G37</f>
        <v>5134.8</v>
      </c>
      <c r="E37" s="289">
        <v>15</v>
      </c>
      <c r="F37" s="142">
        <v>0.375</v>
      </c>
      <c r="G37" s="142"/>
      <c r="H37" s="82">
        <f t="shared" si="7"/>
        <v>3851.1000000000004</v>
      </c>
      <c r="I37" s="83">
        <f t="shared" si="8"/>
        <v>1925.5500000000002</v>
      </c>
      <c r="J37" s="83">
        <f t="shared" si="9"/>
        <v>0</v>
      </c>
      <c r="K37" s="82">
        <f t="shared" si="10"/>
        <v>3851.1000000000004</v>
      </c>
      <c r="L37" s="82"/>
      <c r="M37" s="4"/>
      <c r="N37" s="4"/>
      <c r="O37" s="4"/>
      <c r="P37" s="4"/>
      <c r="Q37" s="4"/>
      <c r="R37" s="4"/>
      <c r="S37" s="4"/>
      <c r="T37" s="4"/>
      <c r="U37" s="4"/>
      <c r="V37" s="113"/>
    </row>
    <row r="38" spans="1:22" ht="23.45" customHeight="1" x14ac:dyDescent="0.2">
      <c r="A38" s="358" t="str">
        <f>Zones!A38</f>
        <v>Classroom, Lecture, Training, Vocational Areas</v>
      </c>
      <c r="B38" s="294" t="str">
        <f>Zones!B38</f>
        <v>Mult_Class_1_Pod_2_SF_Zn</v>
      </c>
      <c r="C38" s="157">
        <f>Zones!J51</f>
        <v>0</v>
      </c>
      <c r="D38" s="157">
        <f>Zones!G51</f>
        <v>0</v>
      </c>
      <c r="E38" s="289">
        <v>15</v>
      </c>
      <c r="F38" s="142">
        <v>0.375</v>
      </c>
      <c r="G38" s="142"/>
      <c r="H38" s="82">
        <f t="shared" si="7"/>
        <v>0</v>
      </c>
      <c r="I38" s="83">
        <f t="shared" si="8"/>
        <v>0</v>
      </c>
      <c r="J38" s="83">
        <f t="shared" si="9"/>
        <v>0</v>
      </c>
      <c r="K38" s="82">
        <f t="shared" si="10"/>
        <v>0</v>
      </c>
      <c r="L38" s="82"/>
      <c r="M38" s="4"/>
      <c r="N38" s="4"/>
      <c r="O38" s="4"/>
      <c r="P38" s="4"/>
      <c r="Q38" s="4"/>
      <c r="R38" s="4"/>
      <c r="S38" s="4"/>
      <c r="T38" s="4"/>
      <c r="U38" s="4"/>
      <c r="V38" s="113"/>
    </row>
    <row r="39" spans="1:22" ht="23.45" customHeight="1" x14ac:dyDescent="0.2">
      <c r="A39" s="358" t="str">
        <f>Zones!A39</f>
        <v>Classroom, Lecture, Training, Vocational Areas</v>
      </c>
      <c r="B39" s="294" t="str">
        <f>Zones!B39</f>
        <v>Mult_Class_1_Pod_3_FF_Zn</v>
      </c>
      <c r="C39" s="157">
        <f>Zones!J52</f>
        <v>0</v>
      </c>
      <c r="D39" s="157">
        <f>Zones!G52</f>
        <v>0</v>
      </c>
      <c r="E39" s="289">
        <v>15</v>
      </c>
      <c r="F39" s="142">
        <v>0.375</v>
      </c>
      <c r="G39" s="142"/>
      <c r="H39" s="82">
        <f t="shared" si="7"/>
        <v>0</v>
      </c>
      <c r="I39" s="83">
        <f t="shared" si="8"/>
        <v>0</v>
      </c>
      <c r="J39" s="83">
        <f t="shared" si="9"/>
        <v>0</v>
      </c>
      <c r="K39" s="82">
        <f t="shared" si="10"/>
        <v>0</v>
      </c>
      <c r="L39" s="82"/>
      <c r="M39" s="4"/>
      <c r="N39" s="4"/>
      <c r="O39" s="4"/>
      <c r="P39" s="4"/>
      <c r="Q39" s="4"/>
      <c r="R39" s="4"/>
      <c r="S39" s="4"/>
      <c r="T39" s="4"/>
      <c r="U39" s="4"/>
      <c r="V39" s="113"/>
    </row>
    <row r="40" spans="1:22" ht="23.45" customHeight="1" x14ac:dyDescent="0.2">
      <c r="A40" s="358" t="str">
        <f>Zones!A40</f>
        <v>Classroom, Lecture, Training, Vocational Areas</v>
      </c>
      <c r="B40" s="294" t="str">
        <f>Zones!B40</f>
        <v>Mult_Class_1_Pod_3_SF_Zn</v>
      </c>
      <c r="C40" s="157">
        <f>Zones!J53</f>
        <v>0</v>
      </c>
      <c r="D40" s="157">
        <f>Zones!G53</f>
        <v>0</v>
      </c>
      <c r="E40" s="289">
        <v>15</v>
      </c>
      <c r="F40" s="142">
        <v>0.375</v>
      </c>
      <c r="G40" s="142"/>
      <c r="H40" s="82">
        <f t="shared" si="7"/>
        <v>0</v>
      </c>
      <c r="I40" s="83">
        <f t="shared" si="8"/>
        <v>0</v>
      </c>
      <c r="J40" s="83">
        <f t="shared" si="9"/>
        <v>0</v>
      </c>
      <c r="K40" s="82">
        <f t="shared" si="10"/>
        <v>0</v>
      </c>
      <c r="L40" s="82"/>
      <c r="M40" s="4"/>
      <c r="N40" s="4"/>
      <c r="O40" s="4"/>
      <c r="P40" s="4"/>
      <c r="Q40" s="4"/>
      <c r="R40" s="4"/>
      <c r="S40" s="4"/>
      <c r="T40" s="4"/>
      <c r="U40" s="4"/>
      <c r="V40" s="113"/>
    </row>
    <row r="41" spans="1:22" ht="23.45" customHeight="1" x14ac:dyDescent="0.2">
      <c r="A41" s="358" t="str">
        <f>Zones!A41</f>
        <v>Classroom, Lecture, Training, Vocational Areas</v>
      </c>
      <c r="B41" s="294" t="str">
        <f>Zones!B41</f>
        <v>Mult_Class_2_Pod_1_FF_Zn</v>
      </c>
      <c r="C41" s="157">
        <f>Zones!J54</f>
        <v>0</v>
      </c>
      <c r="D41" s="157">
        <f>Zones!G54</f>
        <v>0</v>
      </c>
      <c r="E41" s="289">
        <v>15</v>
      </c>
      <c r="F41" s="142">
        <v>0.375</v>
      </c>
      <c r="G41" s="142"/>
      <c r="H41" s="82">
        <f t="shared" si="7"/>
        <v>0</v>
      </c>
      <c r="I41" s="83">
        <f t="shared" si="8"/>
        <v>0</v>
      </c>
      <c r="J41" s="83">
        <f t="shared" si="9"/>
        <v>0</v>
      </c>
      <c r="K41" s="82">
        <f t="shared" si="10"/>
        <v>0</v>
      </c>
      <c r="L41" s="82"/>
      <c r="M41" s="4"/>
      <c r="N41" s="4"/>
      <c r="O41" s="4"/>
      <c r="P41" s="4"/>
      <c r="Q41" s="4"/>
      <c r="R41" s="4"/>
      <c r="S41" s="4"/>
      <c r="T41" s="4"/>
      <c r="U41" s="4"/>
      <c r="V41" s="113"/>
    </row>
    <row r="42" spans="1:22" ht="23.45" customHeight="1" x14ac:dyDescent="0.2">
      <c r="A42" s="358" t="str">
        <f>Zones!A42</f>
        <v>Classroom, Lecture, Training, Vocational Areas</v>
      </c>
      <c r="B42" s="294" t="str">
        <f>Zones!B42</f>
        <v>Mult_Class_2_Pod_1_SF_Zn</v>
      </c>
      <c r="C42" s="157">
        <f>Zones!J30</f>
        <v>150.708</v>
      </c>
      <c r="D42" s="157">
        <f>Zones!G30</f>
        <v>2260.62</v>
      </c>
      <c r="E42" s="289">
        <v>15</v>
      </c>
      <c r="F42" s="142">
        <v>0.375</v>
      </c>
      <c r="G42" s="142"/>
      <c r="H42" s="82">
        <f t="shared" ref="H42:H48" si="11">C42*E42</f>
        <v>2260.62</v>
      </c>
      <c r="I42" s="83">
        <f t="shared" ref="I42:I48" si="12">D42*F42</f>
        <v>847.73249999999996</v>
      </c>
      <c r="J42" s="83">
        <f t="shared" ref="J42:J48" si="13">G42*D42</f>
        <v>0</v>
      </c>
      <c r="K42" s="82">
        <f t="shared" ref="K42:K48" si="14">MAX(H42,I42,J42)</f>
        <v>2260.62</v>
      </c>
      <c r="L42" s="82"/>
      <c r="M42" s="4"/>
      <c r="N42" s="4"/>
      <c r="O42" s="4"/>
      <c r="P42" s="4"/>
      <c r="Q42" s="4"/>
      <c r="R42" s="4"/>
      <c r="S42" s="4"/>
      <c r="T42" s="4"/>
      <c r="U42" s="4"/>
      <c r="V42" s="113"/>
    </row>
    <row r="43" spans="1:22" ht="23.45" customHeight="1" x14ac:dyDescent="0.2">
      <c r="A43" s="358" t="str">
        <f>Zones!A43</f>
        <v>Classroom, Lecture, Training, Vocational Areas</v>
      </c>
      <c r="B43" s="294" t="str">
        <f>Zones!B43</f>
        <v>Mult_Class_2_Pod_2_FF_Zn</v>
      </c>
      <c r="C43" s="157">
        <f>Zones!J31</f>
        <v>122.7192</v>
      </c>
      <c r="D43" s="157">
        <f>Zones!G31</f>
        <v>12271.92</v>
      </c>
      <c r="E43" s="289">
        <v>15</v>
      </c>
      <c r="F43" s="142">
        <v>0.375</v>
      </c>
      <c r="G43" s="142"/>
      <c r="H43" s="82">
        <f t="shared" si="11"/>
        <v>1840.788</v>
      </c>
      <c r="I43" s="83">
        <f t="shared" si="12"/>
        <v>4601.97</v>
      </c>
      <c r="J43" s="83">
        <f t="shared" si="13"/>
        <v>0</v>
      </c>
      <c r="K43" s="82">
        <f t="shared" si="14"/>
        <v>4601.97</v>
      </c>
      <c r="L43" s="82"/>
      <c r="M43" s="4"/>
      <c r="N43" s="4"/>
      <c r="O43" s="4"/>
      <c r="P43" s="4"/>
      <c r="Q43" s="4"/>
      <c r="R43" s="4"/>
      <c r="S43" s="4"/>
      <c r="T43" s="4"/>
      <c r="U43" s="4"/>
      <c r="V43" s="113"/>
    </row>
    <row r="44" spans="1:22" ht="23.45" customHeight="1" x14ac:dyDescent="0.2">
      <c r="A44" s="358" t="str">
        <f>Zones!A44</f>
        <v>Classroom, Lecture, Training, Vocational Areas</v>
      </c>
      <c r="B44" s="294" t="str">
        <f>Zones!B44</f>
        <v>Mult_Class_2_Pod_2_SF_Zn</v>
      </c>
      <c r="C44" s="157">
        <f>Zones!J32</f>
        <v>122.7192</v>
      </c>
      <c r="D44" s="157">
        <f>Zones!G32</f>
        <v>12271.92</v>
      </c>
      <c r="E44" s="289">
        <v>15</v>
      </c>
      <c r="F44" s="142">
        <v>0.375</v>
      </c>
      <c r="G44" s="142"/>
      <c r="H44" s="82">
        <f t="shared" si="11"/>
        <v>1840.788</v>
      </c>
      <c r="I44" s="83">
        <f t="shared" si="12"/>
        <v>4601.97</v>
      </c>
      <c r="J44" s="83">
        <f t="shared" si="13"/>
        <v>0</v>
      </c>
      <c r="K44" s="82">
        <f t="shared" si="14"/>
        <v>4601.97</v>
      </c>
      <c r="L44" s="82"/>
      <c r="M44" s="4"/>
      <c r="N44" s="4"/>
      <c r="O44" s="4"/>
      <c r="P44" s="4"/>
      <c r="Q44" s="4"/>
      <c r="R44" s="4"/>
      <c r="S44" s="4"/>
      <c r="T44" s="4"/>
      <c r="U44" s="4"/>
      <c r="V44" s="113"/>
    </row>
    <row r="45" spans="1:22" ht="23.45" customHeight="1" x14ac:dyDescent="0.2">
      <c r="A45" s="358" t="str">
        <f>Zones!A45</f>
        <v>Classroom, Lecture, Training, Vocational Areas</v>
      </c>
      <c r="B45" s="294" t="str">
        <f>Zones!B45</f>
        <v>Mult_Class_2_Pod_3_FF_Zn</v>
      </c>
      <c r="C45" s="157">
        <f>Zones!J33</f>
        <v>11.04501</v>
      </c>
      <c r="D45" s="157">
        <f>Zones!G33</f>
        <v>3681.67</v>
      </c>
      <c r="E45" s="289">
        <v>15</v>
      </c>
      <c r="F45" s="142">
        <v>0.375</v>
      </c>
      <c r="G45" s="142"/>
      <c r="H45" s="82">
        <f t="shared" si="11"/>
        <v>165.67515</v>
      </c>
      <c r="I45" s="83">
        <f t="shared" si="12"/>
        <v>1380.62625</v>
      </c>
      <c r="J45" s="83">
        <f t="shared" si="13"/>
        <v>0</v>
      </c>
      <c r="K45" s="82">
        <f t="shared" si="14"/>
        <v>1380.62625</v>
      </c>
      <c r="L45" s="82"/>
      <c r="M45" s="4"/>
      <c r="N45" s="4"/>
      <c r="O45" s="4"/>
      <c r="P45" s="4"/>
      <c r="Q45" s="4"/>
      <c r="R45" s="4"/>
      <c r="S45" s="4"/>
      <c r="T45" s="4"/>
      <c r="U45" s="4"/>
      <c r="V45" s="113"/>
    </row>
    <row r="46" spans="1:22" ht="23.45" customHeight="1" x14ac:dyDescent="0.2">
      <c r="A46" s="358" t="str">
        <f>Zones!A46</f>
        <v>Classroom, Lecture, Training, Vocational Areas</v>
      </c>
      <c r="B46" s="294" t="str">
        <f>Zones!B46</f>
        <v>Mult_Class_2_Pod_3_SF_Zn</v>
      </c>
      <c r="C46" s="157">
        <f>Zones!J34</f>
        <v>11.04501</v>
      </c>
      <c r="D46" s="157">
        <f>Zones!G34</f>
        <v>3681.67</v>
      </c>
      <c r="E46" s="289">
        <v>15</v>
      </c>
      <c r="F46" s="142">
        <v>0.375</v>
      </c>
      <c r="G46" s="142"/>
      <c r="H46" s="82">
        <f t="shared" si="11"/>
        <v>165.67515</v>
      </c>
      <c r="I46" s="83">
        <f t="shared" si="12"/>
        <v>1380.62625</v>
      </c>
      <c r="J46" s="83">
        <f t="shared" si="13"/>
        <v>0</v>
      </c>
      <c r="K46" s="82">
        <f t="shared" si="14"/>
        <v>1380.62625</v>
      </c>
      <c r="L46" s="82"/>
      <c r="M46" s="4"/>
      <c r="N46" s="4"/>
      <c r="O46" s="4"/>
      <c r="P46" s="4"/>
      <c r="Q46" s="4"/>
      <c r="R46" s="4"/>
      <c r="S46" s="4"/>
      <c r="T46" s="4"/>
      <c r="U46" s="4"/>
      <c r="V46" s="113"/>
    </row>
    <row r="47" spans="1:22" ht="23.45" customHeight="1" x14ac:dyDescent="0.2">
      <c r="A47" s="358" t="str">
        <f>Zones!A47</f>
        <v>Office Area (&gt;250 square feet)</v>
      </c>
      <c r="B47" s="294" t="str">
        <f>Zones!B47</f>
        <v>Offices_FF_Zn</v>
      </c>
      <c r="C47" s="157">
        <f>Zones!J35</f>
        <v>256.74499999999995</v>
      </c>
      <c r="D47" s="157">
        <f>Zones!G35</f>
        <v>5134.8999999999996</v>
      </c>
      <c r="E47" s="289">
        <v>30</v>
      </c>
      <c r="F47" s="142">
        <v>0.15</v>
      </c>
      <c r="G47" s="142"/>
      <c r="H47" s="82">
        <f t="shared" ref="H47" si="15">C47*E47</f>
        <v>7702.3499999999985</v>
      </c>
      <c r="I47" s="83">
        <f t="shared" ref="I47" si="16">D47*F47</f>
        <v>770.2349999999999</v>
      </c>
      <c r="J47" s="83">
        <f t="shared" ref="J47" si="17">G47*D47</f>
        <v>0</v>
      </c>
      <c r="K47" s="82">
        <f t="shared" ref="K47" si="18">MAX(H47,I47,J47)</f>
        <v>7702.3499999999985</v>
      </c>
      <c r="L47" s="82"/>
      <c r="M47" s="4"/>
      <c r="N47" s="4"/>
      <c r="O47" s="4"/>
      <c r="P47" s="4"/>
      <c r="Q47" s="4"/>
      <c r="R47" s="4"/>
      <c r="S47" s="4"/>
      <c r="T47" s="4"/>
      <c r="U47" s="4"/>
      <c r="V47" s="113"/>
    </row>
    <row r="48" spans="1:22" ht="23.45" customHeight="1" x14ac:dyDescent="0.2">
      <c r="A48" s="358" t="str">
        <f>Zones!A48</f>
        <v>Office Area (&gt;250 square feet)</v>
      </c>
      <c r="B48" s="294" t="str">
        <f>Zones!B48</f>
        <v>Offices_SF_Zn</v>
      </c>
      <c r="C48" s="157">
        <f>Zones!J35</f>
        <v>256.74499999999995</v>
      </c>
      <c r="D48" s="157">
        <f>Zones!G35</f>
        <v>5134.8999999999996</v>
      </c>
      <c r="E48" s="289">
        <v>30</v>
      </c>
      <c r="F48" s="142">
        <v>0.15</v>
      </c>
      <c r="G48" s="142"/>
      <c r="H48" s="82">
        <f t="shared" si="11"/>
        <v>7702.3499999999985</v>
      </c>
      <c r="I48" s="83">
        <f t="shared" si="12"/>
        <v>770.2349999999999</v>
      </c>
      <c r="J48" s="83">
        <f t="shared" si="13"/>
        <v>0</v>
      </c>
      <c r="K48" s="82">
        <f t="shared" si="14"/>
        <v>7702.3499999999985</v>
      </c>
      <c r="L48" s="82"/>
      <c r="M48" s="4"/>
      <c r="N48" s="4"/>
      <c r="O48" s="4"/>
      <c r="P48" s="4"/>
      <c r="Q48" s="4"/>
      <c r="R48" s="4"/>
      <c r="S48" s="4"/>
      <c r="T48" s="4"/>
      <c r="U48" s="4"/>
      <c r="V48" s="113"/>
    </row>
    <row r="49" spans="1:12" ht="24.6" customHeight="1" x14ac:dyDescent="0.2">
      <c r="A49" s="294" t="str">
        <f>Zones!A49</f>
        <v>Total (11 Space types)</v>
      </c>
      <c r="B49" s="294" t="str">
        <f>Zones!B49</f>
        <v>Total (46 spaces)</v>
      </c>
      <c r="C49" s="157">
        <f>Zones!J49</f>
        <v>7500.459806666664</v>
      </c>
      <c r="D49" s="157">
        <f>Zones!G49</f>
        <v>210906.63999999998</v>
      </c>
      <c r="E49" s="289"/>
      <c r="F49" s="289"/>
      <c r="G49" s="289"/>
      <c r="H49" s="82">
        <f>SUM(H3:H48)</f>
        <v>123893.23770000006</v>
      </c>
      <c r="I49" s="82">
        <f>SUM(I3:I48)</f>
        <v>53238.816450000013</v>
      </c>
      <c r="J49" s="82">
        <f>SUM(J3:J48)</f>
        <v>0</v>
      </c>
      <c r="K49" s="82">
        <f>SUM(K3:K48)</f>
        <v>132287.30430000005</v>
      </c>
      <c r="L49" s="289"/>
    </row>
    <row r="50" spans="1:12" ht="24.6" customHeight="1" x14ac:dyDescent="0.2">
      <c r="A50" s="4"/>
      <c r="B50" s="4"/>
      <c r="C50" s="4"/>
      <c r="D50" s="4"/>
      <c r="E50" s="4"/>
      <c r="F50" s="4"/>
      <c r="G50" s="4"/>
      <c r="H50" s="4"/>
      <c r="I50" s="4"/>
      <c r="J50" s="4"/>
      <c r="K50" s="4"/>
      <c r="L50" s="4"/>
    </row>
    <row r="51" spans="1:12" ht="24.6" customHeight="1" x14ac:dyDescent="0.2">
      <c r="A51" s="4"/>
      <c r="B51" s="4"/>
      <c r="C51" s="4"/>
      <c r="D51" s="4"/>
      <c r="E51" s="4"/>
      <c r="F51" s="4"/>
      <c r="G51" s="4"/>
      <c r="H51" s="4"/>
      <c r="I51" s="4"/>
      <c r="J51" s="4"/>
      <c r="K51" s="4"/>
      <c r="L51" s="4"/>
    </row>
    <row r="61" spans="1:12" x14ac:dyDescent="0.2">
      <c r="A61" s="4"/>
      <c r="B61" s="4"/>
      <c r="C61" s="4"/>
      <c r="D61" s="4"/>
      <c r="E61" s="4"/>
      <c r="F61" s="4"/>
      <c r="G61" s="4"/>
      <c r="H61" s="4"/>
      <c r="I61" s="4"/>
      <c r="J61" s="4"/>
      <c r="K61" s="4"/>
      <c r="L61" s="4"/>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127"/>
  <sheetViews>
    <sheetView zoomScale="80" zoomScaleNormal="80" workbookViewId="0">
      <selection sqref="A1:G1"/>
    </sheetView>
  </sheetViews>
  <sheetFormatPr defaultColWidth="8.7109375" defaultRowHeight="12.75" customHeight="1" x14ac:dyDescent="0.2"/>
  <cols>
    <col min="1" max="1" width="55.28515625" style="6" customWidth="1"/>
    <col min="2" max="3" width="22.5703125" style="6" customWidth="1"/>
    <col min="4" max="4" width="20.85546875" style="6" customWidth="1"/>
    <col min="5" max="6" width="21.42578125" style="6" customWidth="1"/>
    <col min="7" max="7" width="30.85546875" style="6" customWidth="1"/>
    <col min="8" max="8" width="30.5703125" style="6" bestFit="1" customWidth="1"/>
    <col min="9" max="9" width="25.85546875" style="6" customWidth="1"/>
    <col min="10" max="10" width="50.140625" style="6" customWidth="1"/>
    <col min="11" max="13" width="15.28515625" style="6" customWidth="1"/>
    <col min="14" max="14" width="12.28515625" style="6" customWidth="1"/>
    <col min="15" max="15" width="13.28515625" style="6" customWidth="1"/>
    <col min="16" max="16" width="15.28515625" style="6" customWidth="1"/>
    <col min="17" max="17" width="11" style="6" customWidth="1"/>
    <col min="18" max="21" width="15.28515625" style="6" customWidth="1"/>
    <col min="22" max="22" width="7.7109375" style="6" hidden="1" customWidth="1"/>
    <col min="23" max="23" width="12.42578125" style="6" hidden="1" customWidth="1"/>
    <col min="24" max="39" width="6.5703125" style="6" hidden="1" customWidth="1"/>
    <col min="40" max="40" width="15.28515625" style="6" customWidth="1"/>
    <col min="41" max="41" width="11.28515625" style="6" customWidth="1"/>
    <col min="42" max="42" width="6.28515625" style="6" customWidth="1"/>
    <col min="43" max="46" width="4.7109375" style="6" customWidth="1"/>
    <col min="47" max="47" width="6.28515625" style="6" customWidth="1"/>
    <col min="48" max="62" width="4.7109375" style="6" customWidth="1"/>
    <col min="63" max="16384" width="8.7109375" style="6"/>
  </cols>
  <sheetData>
    <row r="1" spans="1:18" ht="24" customHeight="1" x14ac:dyDescent="0.2">
      <c r="A1" s="411" t="str">
        <f>"Water Heater -"&amp;Prototype!A2</f>
        <v>Water Heater -SchoolLarge</v>
      </c>
      <c r="B1" s="386"/>
      <c r="C1" s="386"/>
      <c r="D1" s="386"/>
      <c r="E1" s="386"/>
      <c r="F1" s="386"/>
      <c r="G1" s="386"/>
    </row>
    <row r="2" spans="1:18" ht="22.15" customHeight="1" x14ac:dyDescent="0.2">
      <c r="A2" s="305" t="s">
        <v>145</v>
      </c>
      <c r="B2" s="305" t="s">
        <v>268</v>
      </c>
      <c r="C2" s="305" t="s">
        <v>269</v>
      </c>
      <c r="D2" s="305" t="s">
        <v>270</v>
      </c>
      <c r="E2" s="416" t="s">
        <v>271</v>
      </c>
      <c r="F2" s="417"/>
      <c r="G2" s="305" t="s">
        <v>147</v>
      </c>
    </row>
    <row r="3" spans="1:18" ht="31.15" customHeight="1" x14ac:dyDescent="0.2">
      <c r="A3" s="218" t="s">
        <v>272</v>
      </c>
      <c r="B3" s="297" t="s">
        <v>252</v>
      </c>
      <c r="C3" s="297">
        <v>0.8</v>
      </c>
      <c r="D3" s="178">
        <f>F60</f>
        <v>526.51044085333331</v>
      </c>
      <c r="E3" s="178">
        <f>G64</f>
        <v>3342.2072944424008</v>
      </c>
      <c r="F3" s="297" t="s">
        <v>273</v>
      </c>
      <c r="G3" s="196"/>
    </row>
    <row r="4" spans="1:18" ht="45.75" customHeight="1" x14ac:dyDescent="0.2">
      <c r="A4" s="197" t="s">
        <v>210</v>
      </c>
      <c r="B4" s="297" t="s">
        <v>252</v>
      </c>
      <c r="C4" s="222">
        <v>0.8</v>
      </c>
      <c r="D4" s="179">
        <f>F60</f>
        <v>526.51044085333331</v>
      </c>
      <c r="E4" s="178">
        <f>G60</f>
        <v>3342.2072944424008</v>
      </c>
      <c r="F4" s="297" t="s">
        <v>273</v>
      </c>
      <c r="G4" s="197" t="s">
        <v>274</v>
      </c>
    </row>
    <row r="5" spans="1:18" ht="13.9" customHeight="1" x14ac:dyDescent="0.2">
      <c r="F5" s="12"/>
    </row>
    <row r="6" spans="1:18" ht="16.149999999999999" customHeight="1" x14ac:dyDescent="0.2">
      <c r="A6" s="418" t="s">
        <v>275</v>
      </c>
      <c r="B6" s="419"/>
      <c r="C6" s="419"/>
      <c r="D6" s="419"/>
      <c r="E6" s="419"/>
      <c r="F6" s="419"/>
      <c r="G6" s="419"/>
      <c r="H6" s="419"/>
      <c r="I6" s="89"/>
    </row>
    <row r="7" spans="1:18" ht="84" customHeight="1" x14ac:dyDescent="0.25">
      <c r="A7" s="132" t="s">
        <v>276</v>
      </c>
      <c r="B7" s="213" t="s">
        <v>277</v>
      </c>
      <c r="C7" s="213" t="s">
        <v>278</v>
      </c>
      <c r="D7" s="214" t="s">
        <v>279</v>
      </c>
      <c r="E7" s="214" t="s">
        <v>70</v>
      </c>
      <c r="F7" s="215" t="s">
        <v>280</v>
      </c>
      <c r="G7" s="216" t="s">
        <v>281</v>
      </c>
      <c r="H7" s="217" t="s">
        <v>282</v>
      </c>
      <c r="K7"/>
      <c r="L7"/>
      <c r="M7"/>
      <c r="N7"/>
      <c r="O7"/>
      <c r="P7"/>
      <c r="Q7"/>
      <c r="R7"/>
    </row>
    <row r="8" spans="1:18" ht="22.15" customHeight="1" x14ac:dyDescent="0.25">
      <c r="A8" s="132" t="str">
        <f>Zones!B3</f>
        <v>Auditorium_FF_Zn</v>
      </c>
      <c r="B8" s="16" t="s">
        <v>252</v>
      </c>
      <c r="C8" s="16"/>
      <c r="D8" s="223">
        <f>Zones!G3</f>
        <v>10635.81</v>
      </c>
      <c r="E8" s="223">
        <f>Zones!J3</f>
        <v>1510.28502</v>
      </c>
      <c r="F8" s="226">
        <v>0.09</v>
      </c>
      <c r="G8" s="220">
        <f>F8*E8</f>
        <v>135.9256518</v>
      </c>
      <c r="H8" s="225">
        <f>G8/60</f>
        <v>2.2654275299999997</v>
      </c>
      <c r="K8"/>
      <c r="L8"/>
      <c r="M8"/>
      <c r="N8"/>
      <c r="O8"/>
      <c r="P8"/>
      <c r="Q8"/>
      <c r="R8"/>
    </row>
    <row r="9" spans="1:18" ht="22.15" customHeight="1" x14ac:dyDescent="0.25">
      <c r="A9" s="132" t="str">
        <f>Zones!B4</f>
        <v>Aux_Gym_FF_Zn</v>
      </c>
      <c r="B9" s="16" t="s">
        <v>252</v>
      </c>
      <c r="C9" s="16"/>
      <c r="D9" s="223">
        <f>Zones!G4</f>
        <v>13434.61</v>
      </c>
      <c r="E9" s="223">
        <f>Zones!J4</f>
        <v>268.69220000000001</v>
      </c>
      <c r="F9" s="226">
        <v>0.18</v>
      </c>
      <c r="G9" s="220">
        <f t="shared" ref="G9:G53" si="0">F9*E9</f>
        <v>48.364595999999999</v>
      </c>
      <c r="H9" s="225">
        <f t="shared" ref="H9:H53" si="1">G9/60</f>
        <v>0.80607660000000003</v>
      </c>
      <c r="K9"/>
      <c r="L9"/>
      <c r="M9"/>
      <c r="N9"/>
      <c r="O9"/>
      <c r="P9"/>
      <c r="Q9"/>
      <c r="R9"/>
    </row>
    <row r="10" spans="1:18" ht="22.15" customHeight="1" x14ac:dyDescent="0.25">
      <c r="A10" s="132" t="str">
        <f>Zones!B5</f>
        <v>Bathrooms_FF_Zn</v>
      </c>
      <c r="B10" s="16" t="s">
        <v>252</v>
      </c>
      <c r="C10" s="16"/>
      <c r="D10" s="223">
        <f>Zones!G5</f>
        <v>2260.58</v>
      </c>
      <c r="E10" s="223">
        <f>Zones!J5</f>
        <v>22.605799999999999</v>
      </c>
      <c r="F10" s="226">
        <v>0</v>
      </c>
      <c r="G10" s="220">
        <f t="shared" si="0"/>
        <v>0</v>
      </c>
      <c r="H10" s="225">
        <f t="shared" si="1"/>
        <v>0</v>
      </c>
      <c r="K10"/>
      <c r="L10"/>
      <c r="M10"/>
      <c r="N10"/>
      <c r="O10"/>
      <c r="P10"/>
      <c r="Q10"/>
      <c r="R10"/>
    </row>
    <row r="11" spans="1:18" ht="22.15" customHeight="1" x14ac:dyDescent="0.25">
      <c r="A11" s="132" t="str">
        <f>Zones!B6</f>
        <v>Bathrooms_SF_Zn</v>
      </c>
      <c r="B11" s="16" t="s">
        <v>252</v>
      </c>
      <c r="C11" s="16"/>
      <c r="D11" s="223">
        <f>Zones!G6</f>
        <v>2260.58</v>
      </c>
      <c r="E11" s="223">
        <f>Zones!J6</f>
        <v>22.605799999999999</v>
      </c>
      <c r="F11" s="226">
        <v>0</v>
      </c>
      <c r="G11" s="220">
        <f t="shared" si="0"/>
        <v>0</v>
      </c>
      <c r="H11" s="225">
        <f t="shared" si="1"/>
        <v>0</v>
      </c>
      <c r="K11"/>
      <c r="L11"/>
      <c r="M11"/>
      <c r="N11"/>
      <c r="O11"/>
      <c r="P11"/>
      <c r="Q11"/>
      <c r="R11"/>
    </row>
    <row r="12" spans="1:18" ht="22.15" customHeight="1" x14ac:dyDescent="0.25">
      <c r="A12" s="132" t="str">
        <f>Zones!B7</f>
        <v>Cafeteria_FF_Zn</v>
      </c>
      <c r="B12" s="16" t="s">
        <v>252</v>
      </c>
      <c r="C12" s="16"/>
      <c r="D12" s="223">
        <f>Zones!G7</f>
        <v>6717.34</v>
      </c>
      <c r="E12" s="223">
        <f>Zones!J7</f>
        <v>447.82266666666669</v>
      </c>
      <c r="F12" s="226">
        <v>0.57799999999999996</v>
      </c>
      <c r="G12" s="220">
        <f t="shared" si="0"/>
        <v>258.84150133333333</v>
      </c>
      <c r="H12" s="225">
        <f t="shared" si="1"/>
        <v>4.3140250222222223</v>
      </c>
      <c r="K12"/>
      <c r="L12"/>
      <c r="M12"/>
      <c r="N12"/>
      <c r="O12"/>
      <c r="P12"/>
      <c r="Q12"/>
      <c r="R12"/>
    </row>
    <row r="13" spans="1:18" ht="22.15" customHeight="1" x14ac:dyDescent="0.25">
      <c r="A13" s="132" t="str">
        <f>Zones!B8</f>
        <v>Corner_Class_1_Pod_1_FF_Zn</v>
      </c>
      <c r="B13" s="16" t="s">
        <v>252</v>
      </c>
      <c r="C13" s="16"/>
      <c r="D13" s="223">
        <f>Zones!G8</f>
        <v>1065.73</v>
      </c>
      <c r="E13" s="223">
        <f>Zones!J8</f>
        <v>53.286499999999997</v>
      </c>
      <c r="F13" s="226">
        <v>0.18</v>
      </c>
      <c r="G13" s="220">
        <f t="shared" si="0"/>
        <v>9.591569999999999</v>
      </c>
      <c r="H13" s="225">
        <f t="shared" si="1"/>
        <v>0.15985949999999999</v>
      </c>
      <c r="K13"/>
      <c r="L13"/>
      <c r="M13"/>
      <c r="N13"/>
      <c r="O13"/>
      <c r="P13"/>
      <c r="Q13"/>
      <c r="R13"/>
    </row>
    <row r="14" spans="1:18" ht="22.15" customHeight="1" x14ac:dyDescent="0.25">
      <c r="A14" s="132" t="str">
        <f>Zones!B9</f>
        <v>Corner_Class_1_Pod_1_SF_Zn</v>
      </c>
      <c r="B14" s="16" t="s">
        <v>252</v>
      </c>
      <c r="C14" s="16"/>
      <c r="D14" s="223">
        <f>Zones!G9</f>
        <v>1065.73</v>
      </c>
      <c r="E14" s="223">
        <f>Zones!J9</f>
        <v>53.286499999999997</v>
      </c>
      <c r="F14" s="226">
        <v>0.18</v>
      </c>
      <c r="G14" s="220">
        <f t="shared" si="0"/>
        <v>9.591569999999999</v>
      </c>
      <c r="H14" s="225">
        <f t="shared" si="1"/>
        <v>0.15985949999999999</v>
      </c>
      <c r="K14"/>
      <c r="L14"/>
      <c r="M14"/>
      <c r="N14"/>
      <c r="O14"/>
      <c r="P14"/>
      <c r="Q14"/>
      <c r="R14"/>
    </row>
    <row r="15" spans="1:18" ht="22.15" customHeight="1" x14ac:dyDescent="0.25">
      <c r="A15" s="132" t="str">
        <f>Zones!B10</f>
        <v>Corner_Class_1_Pod_2_FF_Zn</v>
      </c>
      <c r="B15" s="16" t="s">
        <v>252</v>
      </c>
      <c r="C15" s="16"/>
      <c r="D15" s="223">
        <f>Zones!G10</f>
        <v>1065.71</v>
      </c>
      <c r="E15" s="223">
        <f>Zones!J10</f>
        <v>53.285499999999999</v>
      </c>
      <c r="F15" s="226">
        <v>0.18</v>
      </c>
      <c r="G15" s="220">
        <f t="shared" si="0"/>
        <v>9.5913899999999988</v>
      </c>
      <c r="H15" s="225">
        <f t="shared" si="1"/>
        <v>0.15985649999999998</v>
      </c>
      <c r="K15"/>
      <c r="L15"/>
      <c r="M15"/>
      <c r="N15"/>
      <c r="O15"/>
      <c r="P15"/>
      <c r="Q15"/>
      <c r="R15"/>
    </row>
    <row r="16" spans="1:18" ht="22.15" customHeight="1" x14ac:dyDescent="0.25">
      <c r="A16" s="132" t="str">
        <f>Zones!B11</f>
        <v>Corner_Class_1_Pod_2_SF_Zn</v>
      </c>
      <c r="B16" s="16" t="s">
        <v>252</v>
      </c>
      <c r="C16" s="16"/>
      <c r="D16" s="223">
        <f>Zones!G11</f>
        <v>1065.71</v>
      </c>
      <c r="E16" s="223">
        <f>Zones!J11</f>
        <v>53.285499999999999</v>
      </c>
      <c r="F16" s="226">
        <v>0.18</v>
      </c>
      <c r="G16" s="220">
        <f t="shared" si="0"/>
        <v>9.5913899999999988</v>
      </c>
      <c r="H16" s="225">
        <f t="shared" si="1"/>
        <v>0.15985649999999998</v>
      </c>
      <c r="K16"/>
      <c r="L16"/>
      <c r="M16"/>
      <c r="N16"/>
      <c r="O16"/>
      <c r="P16"/>
      <c r="Q16"/>
      <c r="R16"/>
    </row>
    <row r="17" spans="1:18" ht="22.15" customHeight="1" x14ac:dyDescent="0.25">
      <c r="A17" s="132" t="str">
        <f>Zones!B12</f>
        <v>Corner_Class_1_Pod_3_FF_Zn</v>
      </c>
      <c r="B17" s="16" t="s">
        <v>252</v>
      </c>
      <c r="C17" s="16"/>
      <c r="D17" s="223">
        <f>Zones!G12</f>
        <v>1065.75</v>
      </c>
      <c r="E17" s="223">
        <f>Zones!J12</f>
        <v>53.287500000000001</v>
      </c>
      <c r="F17" s="226">
        <v>0.18</v>
      </c>
      <c r="G17" s="220">
        <f t="shared" si="0"/>
        <v>9.5917499999999993</v>
      </c>
      <c r="H17" s="225">
        <f t="shared" si="1"/>
        <v>0.15986249999999999</v>
      </c>
      <c r="K17"/>
      <c r="L17"/>
      <c r="M17"/>
      <c r="N17"/>
      <c r="O17"/>
      <c r="P17"/>
      <c r="Q17"/>
      <c r="R17"/>
    </row>
    <row r="18" spans="1:18" ht="22.15" customHeight="1" x14ac:dyDescent="0.25">
      <c r="A18" s="132" t="str">
        <f>Zones!B13</f>
        <v>Corner_Class_1_Pod_3_SF_Zn</v>
      </c>
      <c r="B18" s="16" t="s">
        <v>252</v>
      </c>
      <c r="C18" s="16"/>
      <c r="D18" s="223">
        <f>Zones!G13</f>
        <v>1065.75</v>
      </c>
      <c r="E18" s="223">
        <f>Zones!J13</f>
        <v>53.287500000000001</v>
      </c>
      <c r="F18" s="226">
        <v>0.18</v>
      </c>
      <c r="G18" s="220">
        <f t="shared" si="0"/>
        <v>9.5917499999999993</v>
      </c>
      <c r="H18" s="225">
        <f t="shared" si="1"/>
        <v>0.15986249999999999</v>
      </c>
      <c r="K18"/>
      <c r="L18"/>
      <c r="M18"/>
      <c r="N18"/>
      <c r="O18"/>
      <c r="P18"/>
      <c r="Q18"/>
      <c r="R18"/>
    </row>
    <row r="19" spans="1:18" ht="22.15" customHeight="1" x14ac:dyDescent="0.25">
      <c r="A19" s="132" t="str">
        <f>Zones!B14</f>
        <v>Corner_Class_2_Pod_1_FF_Zn</v>
      </c>
      <c r="B19" s="16" t="s">
        <v>252</v>
      </c>
      <c r="C19" s="16"/>
      <c r="D19" s="223">
        <f>Zones!G14</f>
        <v>1065.73</v>
      </c>
      <c r="E19" s="223">
        <f>Zones!J14</f>
        <v>53.286499999999997</v>
      </c>
      <c r="F19" s="226">
        <v>0.18</v>
      </c>
      <c r="G19" s="220">
        <f t="shared" si="0"/>
        <v>9.591569999999999</v>
      </c>
      <c r="H19" s="225">
        <f t="shared" si="1"/>
        <v>0.15985949999999999</v>
      </c>
      <c r="K19"/>
      <c r="L19"/>
      <c r="M19"/>
      <c r="N19"/>
      <c r="O19"/>
      <c r="P19"/>
      <c r="Q19"/>
      <c r="R19"/>
    </row>
    <row r="20" spans="1:18" ht="22.15" customHeight="1" x14ac:dyDescent="0.25">
      <c r="A20" s="132" t="str">
        <f>Zones!B15</f>
        <v>Corner_Class_2_Pod_1_SF_Zn</v>
      </c>
      <c r="B20" s="16" t="s">
        <v>252</v>
      </c>
      <c r="C20" s="16"/>
      <c r="D20" s="223">
        <f>Zones!G15</f>
        <v>1065.73</v>
      </c>
      <c r="E20" s="223">
        <f>Zones!J15</f>
        <v>53.286499999999997</v>
      </c>
      <c r="F20" s="226">
        <v>0.18</v>
      </c>
      <c r="G20" s="220">
        <f t="shared" si="0"/>
        <v>9.591569999999999</v>
      </c>
      <c r="H20" s="225">
        <f t="shared" si="1"/>
        <v>0.15985949999999999</v>
      </c>
      <c r="K20"/>
      <c r="L20"/>
      <c r="M20"/>
      <c r="N20"/>
      <c r="O20"/>
      <c r="P20"/>
      <c r="Q20"/>
      <c r="R20"/>
    </row>
    <row r="21" spans="1:18" ht="22.15" customHeight="1" x14ac:dyDescent="0.25">
      <c r="A21" s="132" t="str">
        <f>Zones!B16</f>
        <v>Corner_Class_2_Pod_2_FF_Zn</v>
      </c>
      <c r="B21" s="16" t="s">
        <v>252</v>
      </c>
      <c r="C21" s="16"/>
      <c r="D21" s="223">
        <f>Zones!G16</f>
        <v>1065.75</v>
      </c>
      <c r="E21" s="223">
        <f>Zones!J16</f>
        <v>53.287500000000001</v>
      </c>
      <c r="F21" s="226">
        <v>0.18</v>
      </c>
      <c r="G21" s="220">
        <f t="shared" si="0"/>
        <v>9.5917499999999993</v>
      </c>
      <c r="H21" s="225">
        <f t="shared" si="1"/>
        <v>0.15986249999999999</v>
      </c>
      <c r="K21"/>
      <c r="L21"/>
      <c r="M21"/>
      <c r="N21"/>
      <c r="O21"/>
      <c r="P21"/>
      <c r="Q21"/>
      <c r="R21"/>
    </row>
    <row r="22" spans="1:18" ht="22.15" customHeight="1" x14ac:dyDescent="0.25">
      <c r="A22" s="132" t="str">
        <f>Zones!B17</f>
        <v>Corner_Class_2_Pod_2_SF_Zn</v>
      </c>
      <c r="B22" s="16" t="s">
        <v>252</v>
      </c>
      <c r="C22" s="16"/>
      <c r="D22" s="223">
        <f>Zones!G17</f>
        <v>1065.75</v>
      </c>
      <c r="E22" s="223">
        <f>Zones!J17</f>
        <v>53.287500000000001</v>
      </c>
      <c r="F22" s="226">
        <v>0.18</v>
      </c>
      <c r="G22" s="220">
        <f t="shared" si="0"/>
        <v>9.5917499999999993</v>
      </c>
      <c r="H22" s="225">
        <f t="shared" si="1"/>
        <v>0.15986249999999999</v>
      </c>
      <c r="K22"/>
      <c r="L22"/>
      <c r="M22"/>
      <c r="N22"/>
      <c r="O22"/>
      <c r="P22"/>
      <c r="Q22"/>
      <c r="R22"/>
    </row>
    <row r="23" spans="1:18" ht="22.15" customHeight="1" x14ac:dyDescent="0.25">
      <c r="A23" s="132" t="str">
        <f>Zones!B18</f>
        <v>Corner_Class_2_Pod_3_FF_Zn</v>
      </c>
      <c r="B23" s="16" t="s">
        <v>252</v>
      </c>
      <c r="C23" s="16"/>
      <c r="D23" s="223">
        <f>Zones!G18</f>
        <v>1065.71</v>
      </c>
      <c r="E23" s="223">
        <f>Zones!J18</f>
        <v>53.285499999999999</v>
      </c>
      <c r="F23" s="226">
        <v>0.18</v>
      </c>
      <c r="G23" s="220">
        <f t="shared" si="0"/>
        <v>9.5913899999999988</v>
      </c>
      <c r="H23" s="225">
        <f t="shared" si="1"/>
        <v>0.15985649999999998</v>
      </c>
      <c r="K23"/>
      <c r="L23"/>
      <c r="M23"/>
      <c r="N23"/>
      <c r="O23"/>
      <c r="P23"/>
      <c r="Q23"/>
      <c r="R23"/>
    </row>
    <row r="24" spans="1:18" ht="22.15" customHeight="1" x14ac:dyDescent="0.25">
      <c r="A24" s="132" t="str">
        <f>Zones!B19</f>
        <v>Corner_Class_2_Pod_3_SF_Zn</v>
      </c>
      <c r="B24" s="16" t="s">
        <v>252</v>
      </c>
      <c r="C24" s="16"/>
      <c r="D24" s="223">
        <f>Zones!G19</f>
        <v>1065.71</v>
      </c>
      <c r="E24" s="223">
        <f>Zones!J19</f>
        <v>53.285499999999999</v>
      </c>
      <c r="F24" s="226">
        <v>0.18</v>
      </c>
      <c r="G24" s="220">
        <f t="shared" si="0"/>
        <v>9.5913899999999988</v>
      </c>
      <c r="H24" s="225">
        <f t="shared" si="1"/>
        <v>0.15985649999999998</v>
      </c>
      <c r="K24"/>
      <c r="L24"/>
      <c r="M24"/>
      <c r="N24"/>
      <c r="O24"/>
      <c r="P24"/>
      <c r="Q24"/>
      <c r="R24"/>
    </row>
    <row r="25" spans="1:18" ht="22.15" customHeight="1" x14ac:dyDescent="0.25">
      <c r="A25" s="132" t="str">
        <f>Zones!B20</f>
        <v>Corridor_Pod_1_FF_Zn</v>
      </c>
      <c r="B25" s="16" t="s">
        <v>252</v>
      </c>
      <c r="C25" s="16"/>
      <c r="D25" s="223">
        <f>Zones!G20</f>
        <v>3444.79</v>
      </c>
      <c r="E25" s="223">
        <f>Zones!J20</f>
        <v>34.447900000000004</v>
      </c>
      <c r="F25" s="226">
        <v>0</v>
      </c>
      <c r="G25" s="220">
        <f t="shared" si="0"/>
        <v>0</v>
      </c>
      <c r="H25" s="225">
        <f t="shared" si="1"/>
        <v>0</v>
      </c>
      <c r="K25"/>
      <c r="L25"/>
      <c r="M25"/>
      <c r="N25"/>
      <c r="O25"/>
      <c r="P25"/>
      <c r="Q25"/>
      <c r="R25"/>
    </row>
    <row r="26" spans="1:18" ht="22.15" customHeight="1" x14ac:dyDescent="0.25">
      <c r="A26" s="132" t="str">
        <f>Zones!B21</f>
        <v>Corridor_Pod_1_SF_Zn</v>
      </c>
      <c r="B26" s="16" t="s">
        <v>252</v>
      </c>
      <c r="C26" s="16"/>
      <c r="D26" s="223">
        <f>Zones!G21</f>
        <v>3444.79</v>
      </c>
      <c r="E26" s="223">
        <f>Zones!J21</f>
        <v>34.447900000000004</v>
      </c>
      <c r="F26" s="226">
        <v>0</v>
      </c>
      <c r="G26" s="220">
        <f t="shared" si="0"/>
        <v>0</v>
      </c>
      <c r="H26" s="225">
        <f t="shared" si="1"/>
        <v>0</v>
      </c>
      <c r="K26"/>
      <c r="L26"/>
      <c r="M26"/>
      <c r="N26"/>
      <c r="O26"/>
      <c r="P26"/>
      <c r="Q26"/>
      <c r="R26"/>
    </row>
    <row r="27" spans="1:18" ht="22.15" customHeight="1" x14ac:dyDescent="0.25">
      <c r="A27" s="132" t="str">
        <f>Zones!B22</f>
        <v>Corridor_Pod_2_FF_Zn</v>
      </c>
      <c r="B27" s="16" t="s">
        <v>252</v>
      </c>
      <c r="C27" s="16"/>
      <c r="D27" s="223">
        <f>Zones!G22</f>
        <v>3444.75</v>
      </c>
      <c r="E27" s="223">
        <f>Zones!J22</f>
        <v>34.447499999999998</v>
      </c>
      <c r="F27" s="226">
        <v>0</v>
      </c>
      <c r="G27" s="220">
        <f t="shared" si="0"/>
        <v>0</v>
      </c>
      <c r="H27" s="225">
        <f t="shared" si="1"/>
        <v>0</v>
      </c>
      <c r="K27"/>
      <c r="L27"/>
      <c r="M27"/>
      <c r="N27"/>
      <c r="O27"/>
      <c r="P27"/>
      <c r="Q27"/>
      <c r="R27"/>
    </row>
    <row r="28" spans="1:18" ht="22.15" customHeight="1" x14ac:dyDescent="0.25">
      <c r="A28" s="132" t="str">
        <f>Zones!B23</f>
        <v>Corridor_Pod_2_SF_Zn</v>
      </c>
      <c r="B28" s="16" t="s">
        <v>252</v>
      </c>
      <c r="C28" s="16"/>
      <c r="D28" s="223">
        <f>Zones!G23</f>
        <v>3444.75</v>
      </c>
      <c r="E28" s="223">
        <f>Zones!J23</f>
        <v>34.447499999999998</v>
      </c>
      <c r="F28" s="226">
        <v>0</v>
      </c>
      <c r="G28" s="220">
        <f t="shared" si="0"/>
        <v>0</v>
      </c>
      <c r="H28" s="225">
        <f t="shared" si="1"/>
        <v>0</v>
      </c>
      <c r="K28"/>
      <c r="L28"/>
      <c r="M28"/>
      <c r="N28"/>
      <c r="O28"/>
      <c r="P28"/>
      <c r="Q28"/>
      <c r="R28"/>
    </row>
    <row r="29" spans="1:18" ht="22.15" customHeight="1" x14ac:dyDescent="0.25">
      <c r="A29" s="132" t="str">
        <f>Zones!B24</f>
        <v>Corridor_Pod_3_FF_Zn</v>
      </c>
      <c r="B29" s="16" t="s">
        <v>252</v>
      </c>
      <c r="C29" s="16"/>
      <c r="D29" s="223">
        <f>Zones!G24</f>
        <v>3444.75</v>
      </c>
      <c r="E29" s="223">
        <f>Zones!J24</f>
        <v>34.447499999999998</v>
      </c>
      <c r="F29" s="226">
        <v>0</v>
      </c>
      <c r="G29" s="220">
        <f t="shared" si="0"/>
        <v>0</v>
      </c>
      <c r="H29" s="225">
        <f t="shared" si="1"/>
        <v>0</v>
      </c>
      <c r="K29"/>
      <c r="L29"/>
      <c r="M29"/>
      <c r="N29"/>
      <c r="O29"/>
      <c r="P29"/>
      <c r="Q29"/>
      <c r="R29"/>
    </row>
    <row r="30" spans="1:18" ht="22.15" customHeight="1" x14ac:dyDescent="0.25">
      <c r="A30" s="132" t="str">
        <f>Zones!B25</f>
        <v>Corridor_Pod_3_SF_Zn</v>
      </c>
      <c r="B30" s="16" t="s">
        <v>252</v>
      </c>
      <c r="C30" s="16"/>
      <c r="D30" s="223">
        <f>Zones!G25</f>
        <v>3444.75</v>
      </c>
      <c r="E30" s="223">
        <f>Zones!J25</f>
        <v>34.447499999999998</v>
      </c>
      <c r="F30" s="226">
        <v>0</v>
      </c>
      <c r="G30" s="220">
        <f t="shared" si="0"/>
        <v>0</v>
      </c>
      <c r="H30" s="225">
        <f t="shared" si="1"/>
        <v>0</v>
      </c>
      <c r="K30"/>
      <c r="L30"/>
      <c r="M30"/>
      <c r="N30"/>
      <c r="O30"/>
      <c r="P30"/>
      <c r="Q30"/>
      <c r="R30"/>
    </row>
    <row r="31" spans="1:18" ht="22.15" customHeight="1" x14ac:dyDescent="0.25">
      <c r="A31" s="132" t="str">
        <f>Zones!B26</f>
        <v>Gym_FF_Zn</v>
      </c>
      <c r="B31" s="16" t="s">
        <v>252</v>
      </c>
      <c r="C31" s="16"/>
      <c r="D31" s="223">
        <f>Zones!G26</f>
        <v>21271.52</v>
      </c>
      <c r="E31" s="223">
        <f>Zones!J26</f>
        <v>425.43040000000002</v>
      </c>
      <c r="F31" s="226">
        <v>0.18</v>
      </c>
      <c r="G31" s="220">
        <f t="shared" ref="G31:G44" si="2">F31*E31</f>
        <v>76.577472</v>
      </c>
      <c r="H31" s="225">
        <f t="shared" ref="H31:H44" si="3">G31/60</f>
        <v>1.2762912</v>
      </c>
      <c r="K31"/>
      <c r="L31"/>
      <c r="M31"/>
      <c r="N31"/>
      <c r="O31"/>
      <c r="P31"/>
      <c r="Q31"/>
      <c r="R31"/>
    </row>
    <row r="32" spans="1:18" ht="22.15" customHeight="1" x14ac:dyDescent="0.25">
      <c r="A32" s="132" t="str">
        <f>Zones!B27</f>
        <v>Kitchen_FF_Zn</v>
      </c>
      <c r="B32" s="16" t="s">
        <v>252</v>
      </c>
      <c r="C32" s="16"/>
      <c r="D32" s="223">
        <f>Zones!G27</f>
        <v>2325.2600000000002</v>
      </c>
      <c r="E32" s="223">
        <f>Zones!J27</f>
        <v>11.626300000000001</v>
      </c>
      <c r="F32" s="226">
        <v>0.57799999999999996</v>
      </c>
      <c r="G32" s="220">
        <f t="shared" si="2"/>
        <v>6.7200014000000001</v>
      </c>
      <c r="H32" s="225">
        <f t="shared" si="3"/>
        <v>0.11200002333333334</v>
      </c>
      <c r="K32"/>
      <c r="L32"/>
      <c r="M32"/>
      <c r="N32"/>
      <c r="O32"/>
      <c r="P32"/>
      <c r="Q32"/>
      <c r="R32"/>
    </row>
    <row r="33" spans="1:18" ht="22.15" customHeight="1" x14ac:dyDescent="0.25">
      <c r="A33" s="132" t="str">
        <f>Zones!B28</f>
        <v>Library_Media_Center_SF_Zn</v>
      </c>
      <c r="B33" s="16" t="s">
        <v>252</v>
      </c>
      <c r="C33" s="16"/>
      <c r="D33" s="223">
        <f>Zones!G28</f>
        <v>9042.6</v>
      </c>
      <c r="E33" s="223">
        <f>Zones!J28</f>
        <v>180.852</v>
      </c>
      <c r="F33" s="226">
        <v>0.18</v>
      </c>
      <c r="G33" s="220">
        <f t="shared" si="2"/>
        <v>32.553359999999998</v>
      </c>
      <c r="H33" s="225">
        <f t="shared" si="3"/>
        <v>0.54255599999999993</v>
      </c>
      <c r="K33"/>
      <c r="L33"/>
      <c r="M33"/>
      <c r="N33"/>
      <c r="O33"/>
      <c r="P33"/>
      <c r="Q33"/>
      <c r="R33"/>
    </row>
    <row r="34" spans="1:18" ht="22.15" customHeight="1" x14ac:dyDescent="0.25">
      <c r="A34" s="132" t="str">
        <f>Zones!B29</f>
        <v>Lobby_FF_Zn</v>
      </c>
      <c r="B34" s="16" t="s">
        <v>252</v>
      </c>
      <c r="C34" s="16"/>
      <c r="D34" s="223">
        <f>Zones!G29</f>
        <v>2260.62</v>
      </c>
      <c r="E34" s="223">
        <f>Zones!J29</f>
        <v>150.708</v>
      </c>
      <c r="F34" s="226">
        <v>0.09</v>
      </c>
      <c r="G34" s="220">
        <f t="shared" si="2"/>
        <v>13.56372</v>
      </c>
      <c r="H34" s="225">
        <f t="shared" si="3"/>
        <v>0.22606200000000001</v>
      </c>
      <c r="K34"/>
      <c r="L34"/>
      <c r="M34"/>
      <c r="N34"/>
      <c r="O34"/>
      <c r="P34"/>
      <c r="Q34"/>
      <c r="R34"/>
    </row>
    <row r="35" spans="1:18" ht="22.15" customHeight="1" x14ac:dyDescent="0.25">
      <c r="A35" s="132" t="str">
        <f>Zones!B30</f>
        <v>Lobby_SF_Zn</v>
      </c>
      <c r="B35" s="16" t="s">
        <v>252</v>
      </c>
      <c r="C35" s="16"/>
      <c r="D35" s="223">
        <f>Zones!G30</f>
        <v>2260.62</v>
      </c>
      <c r="E35" s="223">
        <f>Zones!J30</f>
        <v>150.708</v>
      </c>
      <c r="F35" s="226">
        <v>0.09</v>
      </c>
      <c r="G35" s="220">
        <f t="shared" si="2"/>
        <v>13.56372</v>
      </c>
      <c r="H35" s="225">
        <f t="shared" si="3"/>
        <v>0.22606200000000001</v>
      </c>
      <c r="K35"/>
      <c r="L35"/>
      <c r="M35"/>
      <c r="N35"/>
      <c r="O35"/>
      <c r="P35"/>
      <c r="Q35"/>
      <c r="R35"/>
    </row>
    <row r="36" spans="1:18" ht="22.15" customHeight="1" x14ac:dyDescent="0.25">
      <c r="A36" s="132" t="str">
        <f>Zones!B31</f>
        <v>Main_Corridor_FF_Zn</v>
      </c>
      <c r="B36" s="16" t="s">
        <v>252</v>
      </c>
      <c r="C36" s="16"/>
      <c r="D36" s="223">
        <f>Zones!G31</f>
        <v>12271.92</v>
      </c>
      <c r="E36" s="223">
        <f>Zones!J31</f>
        <v>122.7192</v>
      </c>
      <c r="F36" s="226">
        <v>0</v>
      </c>
      <c r="G36" s="220">
        <f t="shared" si="2"/>
        <v>0</v>
      </c>
      <c r="H36" s="225">
        <f t="shared" si="3"/>
        <v>0</v>
      </c>
      <c r="K36"/>
      <c r="L36"/>
      <c r="M36"/>
      <c r="N36"/>
      <c r="O36"/>
      <c r="P36"/>
      <c r="Q36"/>
      <c r="R36"/>
    </row>
    <row r="37" spans="1:18" ht="22.15" customHeight="1" x14ac:dyDescent="0.25">
      <c r="A37" s="132" t="str">
        <f>Zones!B32</f>
        <v>Main_Corridor_SF_Zn</v>
      </c>
      <c r="B37" s="16" t="s">
        <v>252</v>
      </c>
      <c r="C37" s="16"/>
      <c r="D37" s="223">
        <f>Zones!G32</f>
        <v>12271.92</v>
      </c>
      <c r="E37" s="223">
        <f>Zones!J32</f>
        <v>122.7192</v>
      </c>
      <c r="F37" s="226">
        <v>0</v>
      </c>
      <c r="G37" s="220">
        <f t="shared" si="2"/>
        <v>0</v>
      </c>
      <c r="H37" s="225">
        <f t="shared" si="3"/>
        <v>0</v>
      </c>
      <c r="K37"/>
      <c r="L37"/>
      <c r="M37"/>
      <c r="N37"/>
      <c r="O37"/>
      <c r="P37"/>
      <c r="Q37"/>
      <c r="R37"/>
    </row>
    <row r="38" spans="1:18" ht="22.15" customHeight="1" x14ac:dyDescent="0.25">
      <c r="A38" s="132" t="str">
        <f>Zones!B33</f>
        <v>Mech_FF_Zn</v>
      </c>
      <c r="B38" s="16" t="s">
        <v>252</v>
      </c>
      <c r="C38" s="16"/>
      <c r="D38" s="223">
        <f>Zones!G33</f>
        <v>3681.67</v>
      </c>
      <c r="E38" s="223">
        <f>Zones!J33</f>
        <v>11.04501</v>
      </c>
      <c r="F38" s="226">
        <v>0.18</v>
      </c>
      <c r="G38" s="220">
        <f t="shared" si="2"/>
        <v>1.9881017999999999</v>
      </c>
      <c r="H38" s="225">
        <f t="shared" si="3"/>
        <v>3.3135029999999996E-2</v>
      </c>
      <c r="K38"/>
      <c r="L38"/>
      <c r="M38"/>
      <c r="N38"/>
      <c r="O38"/>
      <c r="P38"/>
      <c r="Q38"/>
      <c r="R38"/>
    </row>
    <row r="39" spans="1:18" ht="22.15" customHeight="1" x14ac:dyDescent="0.25">
      <c r="A39" s="132" t="str">
        <f>Zones!B34</f>
        <v>Mech_SF_Zn</v>
      </c>
      <c r="B39" s="16" t="s">
        <v>252</v>
      </c>
      <c r="C39" s="16"/>
      <c r="D39" s="223">
        <f>Zones!G34</f>
        <v>3681.67</v>
      </c>
      <c r="E39" s="223">
        <f>Zones!J34</f>
        <v>11.04501</v>
      </c>
      <c r="F39" s="226">
        <v>0.18</v>
      </c>
      <c r="G39" s="220">
        <f t="shared" si="2"/>
        <v>1.9881017999999999</v>
      </c>
      <c r="H39" s="225">
        <f t="shared" si="3"/>
        <v>3.3135029999999996E-2</v>
      </c>
      <c r="K39"/>
      <c r="L39"/>
      <c r="M39"/>
      <c r="N39"/>
      <c r="O39"/>
      <c r="P39"/>
      <c r="Q39"/>
      <c r="R39"/>
    </row>
    <row r="40" spans="1:18" ht="22.15" customHeight="1" x14ac:dyDescent="0.25">
      <c r="A40" s="132" t="str">
        <f>Zones!B35</f>
        <v>Mult_Class_1_Pod_1_FF_Zn</v>
      </c>
      <c r="B40" s="16" t="s">
        <v>252</v>
      </c>
      <c r="C40" s="16"/>
      <c r="D40" s="223">
        <f>Zones!G35</f>
        <v>5134.8999999999996</v>
      </c>
      <c r="E40" s="223">
        <f>Zones!J35</f>
        <v>256.74499999999995</v>
      </c>
      <c r="F40" s="226">
        <v>0.18</v>
      </c>
      <c r="G40" s="220">
        <f t="shared" si="2"/>
        <v>46.214099999999988</v>
      </c>
      <c r="H40" s="225">
        <f t="shared" si="3"/>
        <v>0.77023499999999978</v>
      </c>
      <c r="K40"/>
      <c r="L40"/>
      <c r="M40"/>
      <c r="N40"/>
      <c r="O40"/>
      <c r="P40"/>
      <c r="Q40"/>
      <c r="R40"/>
    </row>
    <row r="41" spans="1:18" ht="22.15" customHeight="1" x14ac:dyDescent="0.25">
      <c r="A41" s="132" t="str">
        <f>Zones!B36</f>
        <v>Mult_Class_1_Pod_1_SF_Zn</v>
      </c>
      <c r="B41" s="16" t="s">
        <v>252</v>
      </c>
      <c r="C41" s="16"/>
      <c r="D41" s="223">
        <f>Zones!G36</f>
        <v>5134.8999999999996</v>
      </c>
      <c r="E41" s="223">
        <f>Zones!J36</f>
        <v>256.74499999999995</v>
      </c>
      <c r="F41" s="226">
        <v>0.18</v>
      </c>
      <c r="G41" s="220">
        <f t="shared" si="2"/>
        <v>46.214099999999988</v>
      </c>
      <c r="H41" s="225">
        <f t="shared" si="3"/>
        <v>0.77023499999999978</v>
      </c>
      <c r="K41"/>
      <c r="L41"/>
      <c r="M41"/>
      <c r="N41"/>
      <c r="O41"/>
      <c r="P41"/>
      <c r="Q41"/>
      <c r="R41"/>
    </row>
    <row r="42" spans="1:18" ht="22.15" customHeight="1" x14ac:dyDescent="0.25">
      <c r="A42" s="132" t="str">
        <f>Zones!B37</f>
        <v>Mult_Class_1_Pod_2_FF_Zn</v>
      </c>
      <c r="B42" s="16" t="s">
        <v>252</v>
      </c>
      <c r="C42" s="16"/>
      <c r="D42" s="223">
        <f>Zones!G37</f>
        <v>5134.8</v>
      </c>
      <c r="E42" s="223">
        <f>Zones!J37</f>
        <v>256.74</v>
      </c>
      <c r="F42" s="226">
        <v>0.18</v>
      </c>
      <c r="G42" s="220">
        <f t="shared" si="2"/>
        <v>46.213200000000001</v>
      </c>
      <c r="H42" s="225">
        <f t="shared" si="3"/>
        <v>0.77022000000000002</v>
      </c>
      <c r="K42"/>
      <c r="L42"/>
      <c r="M42"/>
      <c r="N42"/>
      <c r="O42"/>
      <c r="P42"/>
      <c r="Q42"/>
      <c r="R42"/>
    </row>
    <row r="43" spans="1:18" ht="22.15" customHeight="1" x14ac:dyDescent="0.25">
      <c r="A43" s="132" t="str">
        <f>Zones!B38</f>
        <v>Mult_Class_1_Pod_2_SF_Zn</v>
      </c>
      <c r="B43" s="16" t="s">
        <v>252</v>
      </c>
      <c r="C43" s="16"/>
      <c r="D43" s="223">
        <f>Zones!G38</f>
        <v>5134.8</v>
      </c>
      <c r="E43" s="223">
        <f>Zones!J38</f>
        <v>256.74</v>
      </c>
      <c r="F43" s="226">
        <v>0.18</v>
      </c>
      <c r="G43" s="220">
        <f t="shared" si="2"/>
        <v>46.213200000000001</v>
      </c>
      <c r="H43" s="225">
        <f t="shared" si="3"/>
        <v>0.77022000000000002</v>
      </c>
      <c r="K43"/>
      <c r="L43"/>
      <c r="M43"/>
      <c r="N43"/>
      <c r="O43"/>
      <c r="P43"/>
      <c r="Q43"/>
      <c r="R43"/>
    </row>
    <row r="44" spans="1:18" ht="22.15" customHeight="1" x14ac:dyDescent="0.25">
      <c r="A44" s="132" t="str">
        <f>Zones!B39</f>
        <v>Mult_Class_1_Pod_3_FF_Zn</v>
      </c>
      <c r="B44" s="16" t="s">
        <v>252</v>
      </c>
      <c r="C44" s="16"/>
      <c r="D44" s="223">
        <f>Zones!G39</f>
        <v>5134.97</v>
      </c>
      <c r="E44" s="223">
        <f>Zones!J39</f>
        <v>256.74849999999998</v>
      </c>
      <c r="F44" s="226">
        <v>0.18</v>
      </c>
      <c r="G44" s="220">
        <f t="shared" si="2"/>
        <v>46.214729999999996</v>
      </c>
      <c r="H44" s="225">
        <f t="shared" si="3"/>
        <v>0.77024549999999992</v>
      </c>
      <c r="K44"/>
      <c r="L44"/>
      <c r="M44"/>
      <c r="N44"/>
      <c r="O44"/>
      <c r="P44"/>
      <c r="Q44"/>
      <c r="R44"/>
    </row>
    <row r="45" spans="1:18" ht="22.15" customHeight="1" x14ac:dyDescent="0.25">
      <c r="A45" s="132" t="str">
        <f>Zones!B40</f>
        <v>Mult_Class_1_Pod_3_SF_Zn</v>
      </c>
      <c r="B45" s="16" t="s">
        <v>252</v>
      </c>
      <c r="C45" s="16"/>
      <c r="D45" s="223">
        <f>Zones!G39</f>
        <v>5134.97</v>
      </c>
      <c r="E45" s="223">
        <f>Zones!J39</f>
        <v>256.74849999999998</v>
      </c>
      <c r="F45" s="226">
        <v>0.18</v>
      </c>
      <c r="G45" s="220">
        <f t="shared" si="0"/>
        <v>46.214729999999996</v>
      </c>
      <c r="H45" s="225">
        <f t="shared" si="1"/>
        <v>0.77024549999999992</v>
      </c>
      <c r="K45"/>
      <c r="L45"/>
      <c r="M45"/>
      <c r="N45"/>
      <c r="O45"/>
      <c r="P45"/>
      <c r="Q45"/>
      <c r="R45"/>
    </row>
    <row r="46" spans="1:18" ht="22.15" customHeight="1" x14ac:dyDescent="0.25">
      <c r="A46" s="132" t="str">
        <f>Zones!B41</f>
        <v>Mult_Class_2_Pod_1_FF_Zn</v>
      </c>
      <c r="B46" s="16" t="s">
        <v>252</v>
      </c>
      <c r="C46" s="16"/>
      <c r="D46" s="223">
        <f>Zones!G40</f>
        <v>5134.97</v>
      </c>
      <c r="E46" s="223">
        <f>Zones!J40</f>
        <v>256.74849999999998</v>
      </c>
      <c r="F46" s="226">
        <v>0.18</v>
      </c>
      <c r="G46" s="220">
        <f t="shared" si="0"/>
        <v>46.214729999999996</v>
      </c>
      <c r="H46" s="225">
        <f t="shared" si="1"/>
        <v>0.77024549999999992</v>
      </c>
      <c r="K46"/>
      <c r="L46"/>
      <c r="M46"/>
      <c r="N46"/>
      <c r="O46"/>
      <c r="P46"/>
      <c r="Q46"/>
      <c r="R46"/>
    </row>
    <row r="47" spans="1:18" ht="22.15" customHeight="1" x14ac:dyDescent="0.25">
      <c r="A47" s="132" t="str">
        <f>Zones!B42</f>
        <v>Mult_Class_2_Pod_1_SF_Zn</v>
      </c>
      <c r="B47" s="16" t="s">
        <v>252</v>
      </c>
      <c r="C47" s="16"/>
      <c r="D47" s="223">
        <f>Zones!G41</f>
        <v>5134.88</v>
      </c>
      <c r="E47" s="223">
        <f>Zones!J41</f>
        <v>256.74400000000003</v>
      </c>
      <c r="F47" s="226">
        <v>0.18</v>
      </c>
      <c r="G47" s="220">
        <f t="shared" si="0"/>
        <v>46.213920000000002</v>
      </c>
      <c r="H47" s="225">
        <f t="shared" si="1"/>
        <v>0.77023200000000003</v>
      </c>
      <c r="K47"/>
      <c r="L47"/>
      <c r="M47"/>
      <c r="N47"/>
      <c r="O47"/>
      <c r="P47"/>
      <c r="Q47"/>
      <c r="R47"/>
    </row>
    <row r="48" spans="1:18" ht="22.15" customHeight="1" x14ac:dyDescent="0.25">
      <c r="A48" s="132" t="str">
        <f>Zones!B43</f>
        <v>Mult_Class_2_Pod_2_FF_Zn</v>
      </c>
      <c r="B48" s="16" t="s">
        <v>252</v>
      </c>
      <c r="C48" s="16"/>
      <c r="D48" s="223">
        <f>Zones!G42</f>
        <v>5134.88</v>
      </c>
      <c r="E48" s="223">
        <f>Zones!J42</f>
        <v>256.74400000000003</v>
      </c>
      <c r="F48" s="226">
        <v>0.18</v>
      </c>
      <c r="G48" s="220">
        <f t="shared" si="0"/>
        <v>46.213920000000002</v>
      </c>
      <c r="H48" s="225">
        <f t="shared" si="1"/>
        <v>0.77023200000000003</v>
      </c>
      <c r="K48"/>
      <c r="L48"/>
      <c r="M48"/>
      <c r="N48"/>
      <c r="O48"/>
      <c r="P48"/>
      <c r="Q48"/>
      <c r="R48"/>
    </row>
    <row r="49" spans="1:18" ht="22.15" customHeight="1" x14ac:dyDescent="0.25">
      <c r="A49" s="132" t="str">
        <f>Zones!B44</f>
        <v>Mult_Class_2_Pod_2_SF_Zn</v>
      </c>
      <c r="B49" s="16" t="s">
        <v>252</v>
      </c>
      <c r="C49" s="16"/>
      <c r="D49" s="223">
        <f>Zones!G43</f>
        <v>5134.97</v>
      </c>
      <c r="E49" s="223">
        <f>Zones!J43</f>
        <v>256.74849999999998</v>
      </c>
      <c r="F49" s="226">
        <v>0.18</v>
      </c>
      <c r="G49" s="220">
        <f t="shared" si="0"/>
        <v>46.214729999999996</v>
      </c>
      <c r="H49" s="225">
        <f t="shared" si="1"/>
        <v>0.77024549999999992</v>
      </c>
      <c r="K49"/>
      <c r="L49"/>
      <c r="M49"/>
      <c r="N49"/>
      <c r="O49"/>
      <c r="P49"/>
      <c r="Q49"/>
      <c r="R49"/>
    </row>
    <row r="50" spans="1:18" ht="22.15" customHeight="1" x14ac:dyDescent="0.25">
      <c r="A50" s="132" t="str">
        <f>Zones!B45</f>
        <v>Mult_Class_2_Pod_3_FF_Zn</v>
      </c>
      <c r="B50" s="16" t="s">
        <v>252</v>
      </c>
      <c r="C50" s="16"/>
      <c r="D50" s="223">
        <f>Zones!G44</f>
        <v>5134.97</v>
      </c>
      <c r="E50" s="223">
        <f>Zones!J44</f>
        <v>256.74849999999998</v>
      </c>
      <c r="F50" s="226">
        <v>0.18</v>
      </c>
      <c r="G50" s="220">
        <f t="shared" si="0"/>
        <v>46.214729999999996</v>
      </c>
      <c r="H50" s="225">
        <f t="shared" si="1"/>
        <v>0.77024549999999992</v>
      </c>
      <c r="K50"/>
      <c r="L50"/>
      <c r="M50"/>
      <c r="N50"/>
      <c r="O50"/>
      <c r="P50"/>
      <c r="Q50"/>
      <c r="R50"/>
    </row>
    <row r="51" spans="1:18" ht="22.15" customHeight="1" x14ac:dyDescent="0.25">
      <c r="A51" s="132" t="str">
        <f>Zones!B46</f>
        <v>Mult_Class_2_Pod_3_SF_Zn</v>
      </c>
      <c r="B51" s="16" t="s">
        <v>252</v>
      </c>
      <c r="C51" s="16"/>
      <c r="D51" s="223">
        <f>Zones!G45</f>
        <v>5134.8</v>
      </c>
      <c r="E51" s="223">
        <f>Zones!J45</f>
        <v>256.74</v>
      </c>
      <c r="F51" s="226">
        <v>0.18</v>
      </c>
      <c r="G51" s="220">
        <f t="shared" si="0"/>
        <v>46.213200000000001</v>
      </c>
      <c r="H51" s="225">
        <f t="shared" si="1"/>
        <v>0.77022000000000002</v>
      </c>
      <c r="K51"/>
      <c r="L51"/>
      <c r="M51"/>
      <c r="N51"/>
      <c r="O51"/>
      <c r="P51"/>
      <c r="Q51"/>
      <c r="R51"/>
    </row>
    <row r="52" spans="1:18" ht="22.15" customHeight="1" x14ac:dyDescent="0.25">
      <c r="A52" s="132" t="str">
        <f>Zones!B47</f>
        <v>Offices_FF_Zn</v>
      </c>
      <c r="B52" s="16" t="s">
        <v>252</v>
      </c>
      <c r="C52" s="16"/>
      <c r="D52" s="223">
        <f>Zones!G46</f>
        <v>5134.8</v>
      </c>
      <c r="E52" s="223">
        <f>Zones!J46</f>
        <v>256.74</v>
      </c>
      <c r="F52" s="226">
        <v>0.18</v>
      </c>
      <c r="G52" s="220">
        <f t="shared" si="0"/>
        <v>46.213200000000001</v>
      </c>
      <c r="H52" s="225">
        <f t="shared" si="1"/>
        <v>0.77022000000000002</v>
      </c>
      <c r="K52"/>
      <c r="L52"/>
      <c r="M52"/>
      <c r="N52"/>
      <c r="O52"/>
      <c r="P52"/>
      <c r="Q52"/>
      <c r="R52"/>
    </row>
    <row r="53" spans="1:18" ht="22.15" customHeight="1" x14ac:dyDescent="0.25">
      <c r="A53" s="132" t="str">
        <f>Zones!B48</f>
        <v>Offices_SF_Zn</v>
      </c>
      <c r="B53" s="16" t="s">
        <v>252</v>
      </c>
      <c r="C53" s="16"/>
      <c r="D53" s="223">
        <f>Zones!G47</f>
        <v>5726.97</v>
      </c>
      <c r="E53" s="223">
        <f>Zones!J47</f>
        <v>57.269700000000007</v>
      </c>
      <c r="F53" s="226">
        <v>0.18</v>
      </c>
      <c r="G53" s="220">
        <f t="shared" si="0"/>
        <v>10.308546000000002</v>
      </c>
      <c r="H53" s="225">
        <f t="shared" si="1"/>
        <v>0.17180910000000002</v>
      </c>
      <c r="K53"/>
      <c r="L53"/>
      <c r="M53"/>
      <c r="N53"/>
      <c r="O53"/>
      <c r="P53"/>
      <c r="Q53"/>
      <c r="R53"/>
    </row>
    <row r="54" spans="1:18" ht="33" customHeight="1" x14ac:dyDescent="0.2">
      <c r="A54" s="147" t="s">
        <v>283</v>
      </c>
      <c r="B54" s="147"/>
      <c r="C54" s="147"/>
      <c r="D54" s="224">
        <f>SUM(D8:D53)</f>
        <v>210314.63999999998</v>
      </c>
      <c r="E54" s="224">
        <f>SUM(E8:E53)</f>
        <v>7699.9386066666639</v>
      </c>
      <c r="F54" s="224"/>
      <c r="G54" s="224">
        <f>SUM(G8:G53)</f>
        <v>1316.2761021333331</v>
      </c>
      <c r="H54" s="225">
        <f>G54/60</f>
        <v>21.937935035555551</v>
      </c>
      <c r="I54" s="70"/>
      <c r="J54" s="70"/>
    </row>
    <row r="55" spans="1:18" x14ac:dyDescent="0.2">
      <c r="A55" s="71"/>
      <c r="E55" s="72"/>
    </row>
    <row r="56" spans="1:18" x14ac:dyDescent="0.2">
      <c r="A56" s="71"/>
      <c r="E56" s="72"/>
    </row>
    <row r="57" spans="1:18" x14ac:dyDescent="0.2">
      <c r="A57" s="71"/>
      <c r="E57" s="72"/>
    </row>
    <row r="58" spans="1:18" ht="15.75" customHeight="1" x14ac:dyDescent="0.2">
      <c r="A58" s="412" t="s">
        <v>284</v>
      </c>
      <c r="B58" s="413"/>
      <c r="C58" s="413"/>
      <c r="D58" s="413"/>
      <c r="E58" s="413"/>
      <c r="F58" s="413"/>
      <c r="G58" s="413"/>
      <c r="H58" s="413"/>
      <c r="I58" s="413"/>
      <c r="J58" s="414"/>
    </row>
    <row r="59" spans="1:18" ht="70.150000000000006" customHeight="1" x14ac:dyDescent="0.2">
      <c r="A59" s="305" t="s">
        <v>268</v>
      </c>
      <c r="B59" s="305" t="s">
        <v>281</v>
      </c>
      <c r="C59" s="305" t="s">
        <v>285</v>
      </c>
      <c r="D59" s="305" t="s">
        <v>286</v>
      </c>
      <c r="E59" s="305" t="s">
        <v>287</v>
      </c>
      <c r="F59" s="305" t="s">
        <v>288</v>
      </c>
      <c r="G59" s="305" t="s">
        <v>289</v>
      </c>
      <c r="H59" s="305" t="s">
        <v>290</v>
      </c>
      <c r="I59" s="305" t="s">
        <v>291</v>
      </c>
      <c r="J59" s="305" t="s">
        <v>202</v>
      </c>
    </row>
    <row r="60" spans="1:18" s="118" customFormat="1" ht="47.45" customHeight="1" x14ac:dyDescent="0.25">
      <c r="A60" s="161" t="s">
        <v>292</v>
      </c>
      <c r="B60" s="156">
        <f>SUMIF(B8:B53, "*Gas*", G8:G53)</f>
        <v>1316.2761021333331</v>
      </c>
      <c r="C60" s="156">
        <f>B60*(135-55)*8.2877*1</f>
        <v>872712.11613203399</v>
      </c>
      <c r="D60" s="156">
        <f>C60*0.6</f>
        <v>523627.26967922039</v>
      </c>
      <c r="E60" s="165">
        <f>D60/0.8</f>
        <v>654534.08709902549</v>
      </c>
      <c r="F60" s="167">
        <f>(B60*F62)/B62</f>
        <v>526.51044085333331</v>
      </c>
      <c r="G60" s="168">
        <f>(E60/800)+110*SQRT(F60)</f>
        <v>3342.2072944424008</v>
      </c>
      <c r="H60" s="294" t="s">
        <v>293</v>
      </c>
      <c r="I60" s="166">
        <f>G60/B71</f>
        <v>49.883690961826879</v>
      </c>
      <c r="J60" s="382" t="s">
        <v>294</v>
      </c>
    </row>
    <row r="61" spans="1:18" ht="21" customHeight="1" x14ac:dyDescent="0.2">
      <c r="A61" s="161" t="s">
        <v>295</v>
      </c>
      <c r="B61" s="169">
        <f xml:space="preserve"> SUMIF(B8:B53, "*Electric*",G8:G53)</f>
        <v>0</v>
      </c>
      <c r="C61" s="169">
        <f>B61*(135-55)*8.2877*1</f>
        <v>0</v>
      </c>
      <c r="D61" s="169">
        <f>C61*0.6</f>
        <v>0</v>
      </c>
      <c r="E61" s="162">
        <f>D61/1</f>
        <v>0</v>
      </c>
      <c r="F61" s="170">
        <f>(B61*F62)/B62</f>
        <v>0</v>
      </c>
      <c r="G61" s="171">
        <f>IFERROR(0.3+(27/F61),0)</f>
        <v>0</v>
      </c>
      <c r="H61" s="16" t="s">
        <v>296</v>
      </c>
      <c r="I61" s="172">
        <f>0.0834*G61*F61</f>
        <v>0</v>
      </c>
      <c r="J61" s="382"/>
    </row>
    <row r="62" spans="1:18" ht="22.9" customHeight="1" x14ac:dyDescent="0.2">
      <c r="A62" s="163" t="s">
        <v>283</v>
      </c>
      <c r="B62" s="173">
        <f>B60+B61</f>
        <v>1316.2761021333331</v>
      </c>
      <c r="C62" s="173">
        <f>B62*(135-55)*8.2877*1</f>
        <v>872712.11613203399</v>
      </c>
      <c r="D62" s="174">
        <f>C62*0.6</f>
        <v>523627.26967922039</v>
      </c>
      <c r="E62" s="164">
        <f>D62/0.8</f>
        <v>654534.08709902549</v>
      </c>
      <c r="F62" s="175">
        <f>B62*1*0.4</f>
        <v>526.51044085333331</v>
      </c>
      <c r="G62" s="176"/>
      <c r="H62" s="176"/>
      <c r="I62" s="177"/>
      <c r="J62" s="382"/>
    </row>
    <row r="63" spans="1:18" ht="21" customHeight="1" x14ac:dyDescent="0.2">
      <c r="A63" s="71"/>
      <c r="B63" s="95"/>
      <c r="E63" s="72"/>
      <c r="F63" s="95"/>
    </row>
    <row r="64" spans="1:18" ht="18.600000000000001" customHeight="1" x14ac:dyDescent="0.2">
      <c r="A64" s="298" t="s">
        <v>297</v>
      </c>
      <c r="B64" s="299">
        <v>135</v>
      </c>
      <c r="C64" s="298" t="s">
        <v>298</v>
      </c>
      <c r="D64" s="298"/>
      <c r="E64" s="298"/>
      <c r="F64" s="96" t="s">
        <v>299</v>
      </c>
      <c r="G64" s="219">
        <f>(E62/800)+110*SQRT(F62)</f>
        <v>3342.2072944424008</v>
      </c>
      <c r="H64" s="97" t="s">
        <v>293</v>
      </c>
      <c r="I64" s="114">
        <f>G64/B71</f>
        <v>49.883690961826879</v>
      </c>
      <c r="J64" s="298"/>
    </row>
    <row r="65" spans="1:10" x14ac:dyDescent="0.2">
      <c r="A65" s="298" t="s">
        <v>300</v>
      </c>
      <c r="B65" s="299">
        <v>55</v>
      </c>
      <c r="C65" s="298" t="s">
        <v>301</v>
      </c>
      <c r="D65" s="298"/>
      <c r="E65" s="298"/>
      <c r="F65" s="298"/>
      <c r="G65" s="298"/>
      <c r="H65" s="298"/>
      <c r="I65" s="298"/>
      <c r="J65" s="298"/>
    </row>
    <row r="66" spans="1:10" ht="15" x14ac:dyDescent="0.25">
      <c r="A66" s="98" t="s">
        <v>302</v>
      </c>
      <c r="B66" s="299">
        <v>0.6</v>
      </c>
      <c r="C66" s="298" t="s">
        <v>301</v>
      </c>
      <c r="D66" s="298"/>
      <c r="E66" s="298"/>
      <c r="F66" s="298"/>
      <c r="G66" s="298"/>
      <c r="H66" s="298"/>
      <c r="I66" s="298"/>
      <c r="J66" s="298"/>
    </row>
    <row r="67" spans="1:10" x14ac:dyDescent="0.2">
      <c r="A67" s="298" t="s">
        <v>303</v>
      </c>
      <c r="B67" s="299">
        <v>0.4</v>
      </c>
      <c r="C67" s="298"/>
      <c r="D67" s="298"/>
      <c r="E67" s="298"/>
      <c r="F67" s="298"/>
      <c r="G67" s="298"/>
      <c r="H67" s="298"/>
      <c r="I67" s="298"/>
      <c r="J67" s="298"/>
    </row>
    <row r="68" spans="1:10" x14ac:dyDescent="0.2">
      <c r="A68" s="415" t="s">
        <v>304</v>
      </c>
      <c r="B68" s="415"/>
      <c r="C68" s="415"/>
      <c r="D68" s="415"/>
      <c r="E68" s="415"/>
      <c r="F68" s="415"/>
      <c r="G68" s="415"/>
      <c r="H68" s="415"/>
      <c r="I68" s="415"/>
      <c r="J68" s="415"/>
    </row>
    <row r="69" spans="1:10" ht="15" x14ac:dyDescent="0.25">
      <c r="A69" t="s">
        <v>305</v>
      </c>
      <c r="E69" s="72"/>
    </row>
    <row r="70" spans="1:10" ht="15" x14ac:dyDescent="0.25">
      <c r="A70" t="s">
        <v>306</v>
      </c>
      <c r="B70" s="32">
        <v>68</v>
      </c>
    </row>
    <row r="71" spans="1:10" ht="15" x14ac:dyDescent="0.25">
      <c r="A71" t="s">
        <v>307</v>
      </c>
      <c r="B71" s="32">
        <f>B64-B70</f>
        <v>67</v>
      </c>
    </row>
    <row r="72" spans="1:10" ht="15" x14ac:dyDescent="0.25">
      <c r="A72" t="s">
        <v>308</v>
      </c>
      <c r="B72" s="32"/>
    </row>
    <row r="73" spans="1:10" ht="15" x14ac:dyDescent="0.25">
      <c r="A73"/>
      <c r="B73" s="32"/>
    </row>
    <row r="74" spans="1:10" s="86" customFormat="1" ht="21" hidden="1" customHeight="1" x14ac:dyDescent="0.25">
      <c r="A74" s="86" t="s">
        <v>140</v>
      </c>
    </row>
    <row r="75" spans="1:10" ht="15" hidden="1" x14ac:dyDescent="0.2">
      <c r="A75" s="74"/>
    </row>
    <row r="76" spans="1:10" ht="15" hidden="1" x14ac:dyDescent="0.2">
      <c r="A76" s="73"/>
    </row>
    <row r="77" spans="1:10" ht="15" hidden="1" x14ac:dyDescent="0.2">
      <c r="A77" s="74"/>
    </row>
    <row r="78" spans="1:10" ht="15" hidden="1" x14ac:dyDescent="0.2">
      <c r="A78" s="75"/>
    </row>
    <row r="79" spans="1:10" ht="15" hidden="1" x14ac:dyDescent="0.2">
      <c r="A79" s="74"/>
    </row>
    <row r="80" spans="1:10" ht="15" hidden="1" x14ac:dyDescent="0.2">
      <c r="A80" s="75"/>
    </row>
    <row r="81" spans="1:1" ht="15" hidden="1" x14ac:dyDescent="0.2">
      <c r="A81" s="74"/>
    </row>
    <row r="82" spans="1:1" ht="15" hidden="1" x14ac:dyDescent="0.2">
      <c r="A82" s="75"/>
    </row>
    <row r="83" spans="1:1" ht="15" hidden="1" x14ac:dyDescent="0.2">
      <c r="A83" s="74"/>
    </row>
    <row r="84" spans="1:1" ht="15" hidden="1" x14ac:dyDescent="0.2">
      <c r="A84" s="73"/>
    </row>
    <row r="85" spans="1:1" ht="15" hidden="1" x14ac:dyDescent="0.2">
      <c r="A85" s="74"/>
    </row>
    <row r="86" spans="1:1" ht="15" hidden="1" x14ac:dyDescent="0.2">
      <c r="A86" s="73"/>
    </row>
    <row r="87" spans="1:1" ht="15" hidden="1" x14ac:dyDescent="0.2">
      <c r="A87" s="73"/>
    </row>
    <row r="88" spans="1:1" ht="15" hidden="1" x14ac:dyDescent="0.2">
      <c r="A88" s="75"/>
    </row>
    <row r="89" spans="1:1" ht="15" hidden="1" x14ac:dyDescent="0.2">
      <c r="A89" s="75"/>
    </row>
    <row r="90" spans="1:1" ht="15" hidden="1" x14ac:dyDescent="0.2">
      <c r="A90" s="75"/>
    </row>
    <row r="91" spans="1:1" ht="15" hidden="1" x14ac:dyDescent="0.2">
      <c r="A91" s="75"/>
    </row>
    <row r="92" spans="1:1" ht="15" hidden="1" x14ac:dyDescent="0.2">
      <c r="A92" s="75"/>
    </row>
    <row r="93" spans="1:1" ht="15" hidden="1" x14ac:dyDescent="0.2">
      <c r="A93" s="75"/>
    </row>
    <row r="94" spans="1:1" ht="15" hidden="1" x14ac:dyDescent="0.2">
      <c r="A94" s="73"/>
    </row>
    <row r="95" spans="1:1" ht="15" hidden="1" x14ac:dyDescent="0.2">
      <c r="A95" s="74"/>
    </row>
    <row r="96" spans="1:1" ht="15" hidden="1" x14ac:dyDescent="0.2">
      <c r="A96" s="73"/>
    </row>
    <row r="97" spans="1:1" ht="15" hidden="1" x14ac:dyDescent="0.2">
      <c r="A97" s="73"/>
    </row>
    <row r="98" spans="1:1" ht="15" hidden="1" x14ac:dyDescent="0.2">
      <c r="A98" s="75"/>
    </row>
    <row r="99" spans="1:1" ht="15" hidden="1" x14ac:dyDescent="0.2">
      <c r="A99" s="75"/>
    </row>
    <row r="100" spans="1:1" ht="15" hidden="1" x14ac:dyDescent="0.2">
      <c r="A100" s="73"/>
    </row>
    <row r="101" spans="1:1" ht="15" hidden="1" x14ac:dyDescent="0.2">
      <c r="A101" s="74"/>
    </row>
    <row r="102" spans="1:1" ht="15" hidden="1" x14ac:dyDescent="0.2">
      <c r="A102" s="73"/>
    </row>
    <row r="103" spans="1:1" ht="15" hidden="1" x14ac:dyDescent="0.2">
      <c r="A103" s="73"/>
    </row>
    <row r="104" spans="1:1" ht="15" hidden="1" x14ac:dyDescent="0.2">
      <c r="A104" s="75"/>
    </row>
    <row r="105" spans="1:1" ht="15" hidden="1" x14ac:dyDescent="0.2">
      <c r="A105" s="75"/>
    </row>
    <row r="106" spans="1:1" ht="15" hidden="1" x14ac:dyDescent="0.2">
      <c r="A106" s="75"/>
    </row>
    <row r="107" spans="1:1" ht="15" hidden="1" x14ac:dyDescent="0.2">
      <c r="A107" s="75"/>
    </row>
    <row r="108" spans="1:1" ht="15" hidden="1" x14ac:dyDescent="0.2">
      <c r="A108" s="75"/>
    </row>
    <row r="109" spans="1:1" ht="15" hidden="1" x14ac:dyDescent="0.2">
      <c r="A109" s="75"/>
    </row>
    <row r="110" spans="1:1" ht="15" hidden="1" x14ac:dyDescent="0.2">
      <c r="A110" s="75"/>
    </row>
    <row r="111" spans="1:1" ht="15" hidden="1" x14ac:dyDescent="0.2">
      <c r="A111" s="75"/>
    </row>
    <row r="112" spans="1:1" ht="15" hidden="1" x14ac:dyDescent="0.2">
      <c r="A112" s="73"/>
    </row>
    <row r="113" spans="1:1" ht="15" hidden="1" x14ac:dyDescent="0.2">
      <c r="A113" s="74"/>
    </row>
    <row r="114" spans="1:1" ht="15" hidden="1" x14ac:dyDescent="0.2">
      <c r="A114" s="73"/>
    </row>
    <row r="115" spans="1:1" ht="15" hidden="1" x14ac:dyDescent="0.2">
      <c r="A115" s="73"/>
    </row>
    <row r="116" spans="1:1" ht="15" hidden="1" x14ac:dyDescent="0.2">
      <c r="A116" s="75"/>
    </row>
    <row r="117" spans="1:1" ht="15" hidden="1" x14ac:dyDescent="0.2">
      <c r="A117" s="75"/>
    </row>
    <row r="118" spans="1:1" ht="15" hidden="1" x14ac:dyDescent="0.2">
      <c r="A118" s="75"/>
    </row>
    <row r="119" spans="1:1" ht="15" hidden="1" x14ac:dyDescent="0.2">
      <c r="A119" s="75"/>
    </row>
    <row r="120" spans="1:1" ht="15" hidden="1" x14ac:dyDescent="0.25">
      <c r="A120"/>
    </row>
    <row r="121" spans="1:1" ht="15" x14ac:dyDescent="0.25">
      <c r="A121"/>
    </row>
    <row r="122" spans="1:1" ht="15" x14ac:dyDescent="0.25">
      <c r="A122"/>
    </row>
    <row r="123" spans="1:1" ht="15" x14ac:dyDescent="0.25">
      <c r="A123" s="3"/>
    </row>
    <row r="124" spans="1:1" ht="15" x14ac:dyDescent="0.2">
      <c r="A124" s="73"/>
    </row>
    <row r="125" spans="1:1" ht="15" x14ac:dyDescent="0.2">
      <c r="A125" s="74"/>
    </row>
    <row r="126" spans="1:1" ht="15" x14ac:dyDescent="0.2">
      <c r="A126" s="73"/>
    </row>
    <row r="127" spans="1:1" ht="15" x14ac:dyDescent="0.2">
      <c r="A127" s="73"/>
    </row>
  </sheetData>
  <mergeCells count="6">
    <mergeCell ref="A1:G1"/>
    <mergeCell ref="A58:J58"/>
    <mergeCell ref="A68:J68"/>
    <mergeCell ref="J60:J62"/>
    <mergeCell ref="E2:F2"/>
    <mergeCell ref="A6:H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47"/>
  <sheetViews>
    <sheetView zoomScale="90" zoomScaleNormal="90" workbookViewId="0">
      <selection sqref="A1:G1"/>
    </sheetView>
  </sheetViews>
  <sheetFormatPr defaultColWidth="8.7109375" defaultRowHeight="12.75" x14ac:dyDescent="0.2"/>
  <cols>
    <col min="1" max="1" width="49.7109375" style="6" bestFit="1" customWidth="1"/>
    <col min="2" max="2" width="21.42578125" style="6" bestFit="1" customWidth="1"/>
    <col min="3" max="3" width="26.5703125" style="6" customWidth="1"/>
    <col min="4" max="4" width="30.140625" style="6" customWidth="1"/>
    <col min="5" max="5" width="18.28515625" style="6" customWidth="1"/>
    <col min="6" max="6" width="28.42578125" style="6" customWidth="1"/>
    <col min="7" max="7" width="30" style="6" customWidth="1"/>
    <col min="8" max="8" width="10.5703125" style="6" customWidth="1"/>
    <col min="9" max="9" width="11.42578125" style="6" customWidth="1"/>
    <col min="10" max="16384" width="8.7109375" style="6"/>
  </cols>
  <sheetData>
    <row r="1" spans="1:29" ht="25.9" customHeight="1" x14ac:dyDescent="0.2">
      <c r="A1" s="386" t="str">
        <f>"Interior Lighting - "&amp;Prototype!A2</f>
        <v>Interior Lighting - SchoolLarge</v>
      </c>
      <c r="B1" s="386"/>
      <c r="C1" s="386"/>
      <c r="D1" s="386"/>
      <c r="E1" s="386"/>
      <c r="F1" s="386"/>
      <c r="G1" s="386"/>
    </row>
    <row r="2" spans="1:29" ht="25.9" customHeight="1" x14ac:dyDescent="0.2">
      <c r="A2" s="420" t="s">
        <v>61</v>
      </c>
      <c r="B2" s="395" t="s">
        <v>309</v>
      </c>
      <c r="C2" s="395"/>
      <c r="D2" s="395"/>
      <c r="E2" s="395" t="s">
        <v>239</v>
      </c>
      <c r="F2" s="395"/>
      <c r="G2" s="395"/>
    </row>
    <row r="3" spans="1:29" ht="43.15" customHeight="1" x14ac:dyDescent="0.2">
      <c r="A3" s="420"/>
      <c r="B3" s="293" t="s">
        <v>310</v>
      </c>
      <c r="C3" s="293" t="s">
        <v>311</v>
      </c>
      <c r="D3" s="300" t="s">
        <v>202</v>
      </c>
      <c r="E3" s="293" t="s">
        <v>312</v>
      </c>
      <c r="F3" s="293" t="s">
        <v>313</v>
      </c>
      <c r="G3" s="293" t="s">
        <v>202</v>
      </c>
    </row>
    <row r="4" spans="1:29" ht="27" customHeight="1" x14ac:dyDescent="0.2">
      <c r="A4" s="134" t="str">
        <f>Zones!A3</f>
        <v>Auditorium Area</v>
      </c>
      <c r="B4" s="87">
        <v>0.7</v>
      </c>
      <c r="C4" s="296"/>
      <c r="D4" s="421" t="s">
        <v>314</v>
      </c>
      <c r="E4" s="87">
        <v>1.4</v>
      </c>
      <c r="F4" s="296"/>
      <c r="G4" s="421" t="s">
        <v>315</v>
      </c>
    </row>
    <row r="5" spans="1:29" ht="24" customHeight="1" x14ac:dyDescent="0.25">
      <c r="A5" s="134" t="str">
        <f>Zones!A4</f>
        <v>Exercise/Fitness Center and Gymnasium Areas</v>
      </c>
      <c r="B5" s="87">
        <v>0.5</v>
      </c>
      <c r="C5" s="296"/>
      <c r="D5" s="392"/>
      <c r="E5" s="87">
        <v>1</v>
      </c>
      <c r="F5" s="296"/>
      <c r="G5" s="392"/>
      <c r="L5"/>
      <c r="M5"/>
      <c r="N5"/>
      <c r="O5"/>
      <c r="P5"/>
      <c r="Q5"/>
      <c r="R5"/>
      <c r="S5"/>
      <c r="T5"/>
      <c r="U5"/>
      <c r="V5"/>
      <c r="W5"/>
      <c r="X5"/>
      <c r="Y5"/>
      <c r="Z5"/>
      <c r="AA5"/>
      <c r="AB5"/>
      <c r="AC5"/>
    </row>
    <row r="6" spans="1:29" ht="22.9" customHeight="1" x14ac:dyDescent="0.25">
      <c r="A6" s="134" t="str">
        <f>Zones!A5</f>
        <v>Restrooms</v>
      </c>
      <c r="B6" s="87">
        <v>0.65</v>
      </c>
      <c r="C6" s="154"/>
      <c r="D6" s="392"/>
      <c r="E6" s="87">
        <v>0.6</v>
      </c>
      <c r="F6" s="155"/>
      <c r="G6" s="392"/>
      <c r="L6"/>
      <c r="M6"/>
      <c r="N6"/>
      <c r="O6"/>
      <c r="P6"/>
      <c r="Q6"/>
      <c r="R6"/>
      <c r="S6"/>
      <c r="T6"/>
      <c r="U6"/>
      <c r="V6"/>
      <c r="W6"/>
      <c r="X6"/>
      <c r="Y6"/>
      <c r="Z6"/>
      <c r="AA6"/>
      <c r="AB6"/>
      <c r="AC6"/>
    </row>
    <row r="7" spans="1:29" ht="27" customHeight="1" x14ac:dyDescent="0.25">
      <c r="A7" s="134" t="str">
        <f>Zones!A7</f>
        <v>Dining Area (Cafeteria/Fast Food)</v>
      </c>
      <c r="B7" s="87">
        <v>0.6</v>
      </c>
      <c r="C7" s="296"/>
      <c r="D7" s="392"/>
      <c r="E7" s="87">
        <v>1</v>
      </c>
      <c r="F7" s="85"/>
      <c r="G7" s="392"/>
      <c r="L7"/>
      <c r="M7"/>
      <c r="N7"/>
      <c r="O7"/>
      <c r="P7"/>
      <c r="Q7"/>
      <c r="R7"/>
      <c r="S7"/>
      <c r="T7"/>
      <c r="U7"/>
      <c r="V7"/>
      <c r="W7"/>
      <c r="X7"/>
      <c r="Y7"/>
      <c r="Z7"/>
      <c r="AA7"/>
      <c r="AB7"/>
      <c r="AC7"/>
    </row>
    <row r="8" spans="1:29" ht="27" customHeight="1" x14ac:dyDescent="0.25">
      <c r="A8" s="134" t="str">
        <f>Zones!A8</f>
        <v>Classroom, Lecture, Training, Vocational Areas</v>
      </c>
      <c r="B8" s="87">
        <v>0.6</v>
      </c>
      <c r="C8" s="291"/>
      <c r="D8" s="392"/>
      <c r="E8" s="87">
        <v>1.2</v>
      </c>
      <c r="F8" s="124"/>
      <c r="G8" s="392"/>
      <c r="L8"/>
      <c r="M8"/>
      <c r="N8"/>
      <c r="O8"/>
      <c r="P8"/>
      <c r="Q8"/>
      <c r="R8"/>
      <c r="S8"/>
      <c r="T8"/>
      <c r="U8"/>
      <c r="V8"/>
      <c r="W8"/>
      <c r="X8"/>
      <c r="Y8"/>
      <c r="Z8"/>
      <c r="AA8"/>
      <c r="AB8"/>
      <c r="AC8"/>
    </row>
    <row r="9" spans="1:29" ht="27" customHeight="1" x14ac:dyDescent="0.25">
      <c r="A9" s="134" t="str">
        <f>Zones!A20</f>
        <v>Corridor Area</v>
      </c>
      <c r="B9" s="87">
        <v>0.4</v>
      </c>
      <c r="C9" s="85"/>
      <c r="D9" s="392"/>
      <c r="E9" s="87">
        <v>0.6</v>
      </c>
      <c r="F9" s="85"/>
      <c r="G9" s="392"/>
      <c r="L9"/>
      <c r="M9"/>
      <c r="N9"/>
      <c r="O9"/>
      <c r="P9"/>
      <c r="Q9"/>
      <c r="R9"/>
      <c r="S9"/>
      <c r="T9"/>
      <c r="U9"/>
      <c r="V9"/>
      <c r="W9"/>
      <c r="X9"/>
      <c r="Y9"/>
      <c r="Z9"/>
      <c r="AA9"/>
      <c r="AB9"/>
      <c r="AC9"/>
    </row>
    <row r="10" spans="1:29" ht="27" customHeight="1" x14ac:dyDescent="0.25">
      <c r="A10" s="134" t="str">
        <f>Zones!A27</f>
        <v>Kitchen/Food Preparation Area</v>
      </c>
      <c r="B10" s="87">
        <v>0.6</v>
      </c>
      <c r="C10" s="85"/>
      <c r="D10" s="392"/>
      <c r="E10" s="87">
        <v>1.2</v>
      </c>
      <c r="F10" s="85"/>
      <c r="G10" s="392"/>
      <c r="L10"/>
      <c r="M10"/>
      <c r="N10"/>
      <c r="O10"/>
      <c r="P10"/>
      <c r="Q10"/>
      <c r="R10"/>
      <c r="S10"/>
      <c r="T10"/>
      <c r="U10"/>
      <c r="V10"/>
      <c r="W10"/>
      <c r="X10"/>
      <c r="Y10"/>
      <c r="Z10"/>
      <c r="AA10"/>
      <c r="AB10"/>
      <c r="AC10"/>
    </row>
    <row r="11" spans="1:29" ht="27" customHeight="1" x14ac:dyDescent="0.25">
      <c r="A11" s="134" t="str">
        <f>Zones!A28</f>
        <v>Library (Reading Area)</v>
      </c>
      <c r="B11" s="87">
        <v>0.65</v>
      </c>
      <c r="C11" s="85"/>
      <c r="D11" s="392"/>
      <c r="E11" s="87">
        <v>1.1000000000000001</v>
      </c>
      <c r="F11" s="85"/>
      <c r="G11" s="392"/>
      <c r="L11"/>
      <c r="M11"/>
      <c r="N11"/>
      <c r="O11"/>
      <c r="P11"/>
      <c r="Q11"/>
      <c r="R11"/>
      <c r="S11"/>
      <c r="T11"/>
      <c r="U11"/>
      <c r="V11"/>
      <c r="W11"/>
      <c r="X11"/>
      <c r="Y11"/>
      <c r="Z11"/>
      <c r="AA11"/>
      <c r="AB11"/>
      <c r="AC11"/>
    </row>
    <row r="12" spans="1:29" ht="27" customHeight="1" x14ac:dyDescent="0.25">
      <c r="A12" s="134" t="str">
        <f>Zones!A29</f>
        <v>Lobby, Main Entry</v>
      </c>
      <c r="B12" s="87">
        <v>0.6</v>
      </c>
      <c r="C12" s="85"/>
      <c r="D12" s="392"/>
      <c r="E12" s="87">
        <v>0.95</v>
      </c>
      <c r="F12" s="85"/>
      <c r="G12" s="392"/>
      <c r="L12"/>
      <c r="M12"/>
      <c r="N12"/>
      <c r="O12"/>
      <c r="P12"/>
      <c r="Q12"/>
      <c r="R12"/>
      <c r="S12"/>
      <c r="T12"/>
      <c r="U12"/>
      <c r="V12"/>
      <c r="W12"/>
      <c r="X12"/>
      <c r="Y12"/>
      <c r="Z12"/>
      <c r="AA12"/>
      <c r="AB12"/>
      <c r="AC12"/>
    </row>
    <row r="13" spans="1:29" ht="27" customHeight="1" x14ac:dyDescent="0.25">
      <c r="A13" s="134" t="str">
        <f>Zones!A33</f>
        <v>Electrical, Mechanical, Telephone Rooms</v>
      </c>
      <c r="B13" s="87">
        <v>0.6</v>
      </c>
      <c r="C13" s="85"/>
      <c r="D13" s="392"/>
      <c r="E13" s="87">
        <v>0.55000000000000004</v>
      </c>
      <c r="F13" s="85"/>
      <c r="G13" s="392"/>
      <c r="L13"/>
      <c r="M13"/>
      <c r="N13"/>
      <c r="O13"/>
      <c r="P13"/>
      <c r="Q13"/>
      <c r="R13"/>
      <c r="S13"/>
      <c r="T13"/>
      <c r="U13"/>
      <c r="V13"/>
      <c r="W13"/>
      <c r="X13"/>
      <c r="Y13"/>
      <c r="Z13"/>
      <c r="AA13"/>
      <c r="AB13"/>
      <c r="AC13"/>
    </row>
    <row r="14" spans="1:29" ht="27" customHeight="1" x14ac:dyDescent="0.25">
      <c r="A14" s="134" t="str">
        <f>Zones!A47</f>
        <v>Office Area (&gt;250 square feet)</v>
      </c>
      <c r="B14" s="87">
        <v>0.6</v>
      </c>
      <c r="C14" s="85"/>
      <c r="D14" s="393"/>
      <c r="E14" s="87">
        <v>0.75</v>
      </c>
      <c r="F14" s="85"/>
      <c r="G14" s="393"/>
      <c r="J14"/>
      <c r="K14"/>
      <c r="L14"/>
      <c r="M14"/>
      <c r="N14"/>
      <c r="O14"/>
      <c r="P14"/>
      <c r="Q14"/>
      <c r="R14"/>
      <c r="S14"/>
      <c r="T14"/>
      <c r="U14"/>
      <c r="V14"/>
      <c r="W14"/>
      <c r="X14"/>
      <c r="Y14"/>
      <c r="Z14"/>
      <c r="AA14"/>
      <c r="AB14"/>
      <c r="AC14"/>
    </row>
    <row r="15" spans="1:29" ht="15" x14ac:dyDescent="0.25">
      <c r="J15"/>
      <c r="K15"/>
      <c r="L15"/>
      <c r="M15"/>
      <c r="N15"/>
      <c r="O15"/>
      <c r="P15"/>
      <c r="Q15"/>
      <c r="R15"/>
      <c r="S15"/>
      <c r="T15"/>
      <c r="U15"/>
      <c r="V15"/>
      <c r="W15"/>
      <c r="X15"/>
      <c r="Y15"/>
      <c r="Z15"/>
      <c r="AA15"/>
      <c r="AB15"/>
      <c r="AC15"/>
    </row>
    <row r="16" spans="1:29" ht="15" x14ac:dyDescent="0.25">
      <c r="J16"/>
      <c r="K16"/>
      <c r="L16"/>
      <c r="M16"/>
      <c r="N16"/>
      <c r="O16"/>
      <c r="P16"/>
      <c r="Q16"/>
      <c r="R16"/>
      <c r="S16"/>
      <c r="T16"/>
      <c r="U16"/>
      <c r="V16"/>
      <c r="W16"/>
      <c r="X16"/>
      <c r="Y16"/>
      <c r="Z16"/>
      <c r="AA16"/>
      <c r="AB16"/>
      <c r="AC16"/>
    </row>
    <row r="17" spans="10:29" ht="15" x14ac:dyDescent="0.25">
      <c r="J17"/>
      <c r="K17"/>
      <c r="L17"/>
      <c r="M17"/>
      <c r="N17"/>
      <c r="O17"/>
      <c r="P17"/>
      <c r="Q17"/>
      <c r="R17"/>
      <c r="S17"/>
      <c r="T17"/>
      <c r="U17"/>
      <c r="V17"/>
      <c r="W17"/>
      <c r="X17"/>
      <c r="Y17"/>
      <c r="Z17"/>
      <c r="AA17"/>
      <c r="AB17"/>
      <c r="AC17"/>
    </row>
    <row r="18" spans="10:29" ht="15" x14ac:dyDescent="0.25">
      <c r="J18"/>
      <c r="K18"/>
      <c r="L18"/>
      <c r="M18"/>
      <c r="N18"/>
      <c r="O18"/>
      <c r="P18"/>
      <c r="Q18"/>
      <c r="R18"/>
      <c r="S18"/>
      <c r="T18"/>
      <c r="U18"/>
      <c r="V18"/>
      <c r="W18"/>
      <c r="X18"/>
      <c r="Y18"/>
      <c r="Z18"/>
      <c r="AA18"/>
      <c r="AB18"/>
      <c r="AC18"/>
    </row>
    <row r="19" spans="10:29" ht="15" x14ac:dyDescent="0.25">
      <c r="J19"/>
      <c r="K19"/>
      <c r="L19"/>
      <c r="M19"/>
      <c r="N19"/>
      <c r="O19"/>
      <c r="P19"/>
      <c r="Q19"/>
      <c r="R19"/>
      <c r="S19"/>
      <c r="T19"/>
      <c r="U19"/>
      <c r="V19"/>
      <c r="W19"/>
      <c r="X19"/>
      <c r="Y19"/>
      <c r="Z19"/>
      <c r="AA19"/>
      <c r="AB19"/>
      <c r="AC19"/>
    </row>
    <row r="20" spans="10:29" ht="15" x14ac:dyDescent="0.25">
      <c r="J20"/>
      <c r="K20"/>
      <c r="L20"/>
      <c r="M20"/>
      <c r="N20"/>
      <c r="O20"/>
      <c r="P20"/>
      <c r="Q20"/>
      <c r="R20"/>
      <c r="S20"/>
      <c r="T20"/>
      <c r="U20"/>
      <c r="V20"/>
      <c r="W20"/>
      <c r="X20"/>
      <c r="Y20"/>
      <c r="Z20"/>
      <c r="AA20"/>
      <c r="AB20"/>
      <c r="AC20"/>
    </row>
    <row r="21" spans="10:29" ht="15" x14ac:dyDescent="0.25">
      <c r="J21"/>
      <c r="K21"/>
      <c r="L21"/>
      <c r="M21"/>
      <c r="N21"/>
      <c r="O21"/>
      <c r="P21"/>
      <c r="Q21"/>
      <c r="R21"/>
      <c r="S21"/>
      <c r="T21"/>
      <c r="U21"/>
      <c r="V21"/>
      <c r="W21"/>
      <c r="X21"/>
      <c r="Y21"/>
      <c r="Z21"/>
      <c r="AA21"/>
      <c r="AB21"/>
      <c r="AC21"/>
    </row>
    <row r="22" spans="10:29" ht="15" x14ac:dyDescent="0.25">
      <c r="J22"/>
      <c r="K22"/>
      <c r="L22"/>
      <c r="M22"/>
      <c r="N22"/>
      <c r="O22"/>
      <c r="P22"/>
      <c r="Q22"/>
      <c r="R22"/>
      <c r="S22"/>
      <c r="T22"/>
      <c r="U22"/>
      <c r="V22"/>
      <c r="W22"/>
      <c r="X22"/>
      <c r="Y22"/>
      <c r="Z22"/>
      <c r="AA22"/>
      <c r="AB22"/>
      <c r="AC22"/>
    </row>
    <row r="23" spans="10:29" ht="15" x14ac:dyDescent="0.25">
      <c r="J23"/>
      <c r="K23"/>
      <c r="L23"/>
      <c r="M23"/>
      <c r="N23"/>
      <c r="O23"/>
      <c r="P23"/>
      <c r="Q23"/>
      <c r="R23"/>
      <c r="S23"/>
      <c r="T23"/>
      <c r="U23"/>
      <c r="V23"/>
      <c r="W23"/>
      <c r="X23"/>
      <c r="Y23"/>
      <c r="Z23"/>
      <c r="AA23"/>
      <c r="AB23"/>
      <c r="AC23"/>
    </row>
    <row r="24" spans="10:29" ht="15" x14ac:dyDescent="0.25">
      <c r="J24"/>
      <c r="K24"/>
      <c r="L24"/>
      <c r="M24"/>
      <c r="N24"/>
      <c r="O24"/>
      <c r="P24"/>
      <c r="Q24"/>
      <c r="R24"/>
      <c r="S24"/>
      <c r="T24"/>
      <c r="U24"/>
      <c r="V24"/>
      <c r="W24"/>
      <c r="X24"/>
      <c r="Y24"/>
      <c r="Z24"/>
      <c r="AA24"/>
      <c r="AB24"/>
      <c r="AC24"/>
    </row>
    <row r="25" spans="10:29" ht="15" x14ac:dyDescent="0.25">
      <c r="J25"/>
      <c r="K25"/>
      <c r="L25"/>
      <c r="M25"/>
      <c r="N25"/>
      <c r="O25"/>
      <c r="P25"/>
      <c r="Q25"/>
      <c r="R25"/>
      <c r="S25"/>
      <c r="T25"/>
      <c r="U25"/>
      <c r="V25"/>
      <c r="W25"/>
      <c r="X25"/>
      <c r="Y25"/>
      <c r="Z25"/>
      <c r="AA25"/>
      <c r="AB25"/>
      <c r="AC25"/>
    </row>
    <row r="26" spans="10:29" ht="15" x14ac:dyDescent="0.25">
      <c r="J26"/>
      <c r="K26"/>
      <c r="L26"/>
      <c r="M26"/>
      <c r="N26"/>
      <c r="O26"/>
      <c r="P26"/>
      <c r="Q26"/>
      <c r="R26"/>
      <c r="S26"/>
      <c r="T26"/>
      <c r="U26"/>
      <c r="V26"/>
      <c r="W26"/>
      <c r="X26"/>
      <c r="Y26"/>
      <c r="Z26"/>
      <c r="AA26"/>
      <c r="AB26"/>
      <c r="AC26"/>
    </row>
    <row r="27" spans="10:29" ht="15" x14ac:dyDescent="0.25">
      <c r="J27"/>
      <c r="K27"/>
      <c r="L27"/>
      <c r="M27"/>
      <c r="N27"/>
      <c r="O27"/>
      <c r="P27"/>
      <c r="Q27"/>
      <c r="R27"/>
      <c r="S27"/>
      <c r="T27"/>
      <c r="U27"/>
      <c r="V27"/>
      <c r="W27"/>
      <c r="X27"/>
      <c r="Y27"/>
      <c r="Z27"/>
      <c r="AA27"/>
      <c r="AB27"/>
      <c r="AC27"/>
    </row>
    <row r="28" spans="10:29" ht="15" x14ac:dyDescent="0.25">
      <c r="J28"/>
      <c r="K28"/>
      <c r="L28"/>
      <c r="M28"/>
      <c r="N28"/>
      <c r="O28"/>
      <c r="P28"/>
      <c r="Q28"/>
      <c r="R28"/>
      <c r="S28"/>
      <c r="T28"/>
      <c r="U28"/>
      <c r="V28"/>
      <c r="W28"/>
      <c r="X28"/>
      <c r="Y28"/>
      <c r="Z28"/>
      <c r="AA28"/>
      <c r="AB28"/>
      <c r="AC28"/>
    </row>
    <row r="29" spans="10:29" ht="15" x14ac:dyDescent="0.25">
      <c r="J29"/>
      <c r="K29"/>
      <c r="L29"/>
      <c r="M29"/>
      <c r="N29"/>
      <c r="O29"/>
      <c r="P29"/>
      <c r="Q29"/>
      <c r="R29"/>
      <c r="S29"/>
      <c r="T29"/>
      <c r="U29"/>
      <c r="V29"/>
      <c r="W29"/>
      <c r="X29"/>
      <c r="Y29"/>
      <c r="Z29"/>
      <c r="AA29"/>
      <c r="AB29"/>
      <c r="AC29"/>
    </row>
    <row r="30" spans="10:29" ht="15" x14ac:dyDescent="0.25">
      <c r="J30"/>
      <c r="K30"/>
      <c r="L30"/>
      <c r="M30"/>
      <c r="N30"/>
      <c r="O30"/>
      <c r="P30"/>
      <c r="Q30"/>
      <c r="R30"/>
      <c r="S30"/>
      <c r="T30"/>
      <c r="U30"/>
      <c r="V30"/>
      <c r="W30"/>
      <c r="X30"/>
      <c r="Y30"/>
      <c r="Z30"/>
      <c r="AA30"/>
      <c r="AB30"/>
      <c r="AC30"/>
    </row>
    <row r="31" spans="10:29" ht="15" x14ac:dyDescent="0.25">
      <c r="J31"/>
      <c r="K31"/>
      <c r="L31"/>
      <c r="M31"/>
      <c r="N31"/>
      <c r="O31"/>
      <c r="P31"/>
      <c r="Q31"/>
      <c r="R31"/>
      <c r="S31"/>
      <c r="T31"/>
      <c r="U31"/>
      <c r="V31"/>
      <c r="W31"/>
      <c r="X31"/>
      <c r="Y31"/>
      <c r="Z31"/>
      <c r="AA31"/>
      <c r="AB31"/>
      <c r="AC31"/>
    </row>
    <row r="32" spans="10:29" ht="15" x14ac:dyDescent="0.25">
      <c r="J32"/>
      <c r="K32"/>
      <c r="L32"/>
      <c r="M32"/>
      <c r="N32"/>
      <c r="O32"/>
      <c r="P32"/>
      <c r="Q32"/>
      <c r="R32"/>
      <c r="S32"/>
      <c r="T32"/>
      <c r="U32"/>
      <c r="V32"/>
      <c r="W32"/>
      <c r="X32"/>
      <c r="Y32"/>
      <c r="Z32"/>
      <c r="AA32"/>
      <c r="AB32"/>
      <c r="AC32"/>
    </row>
    <row r="33" spans="10:29" ht="15" x14ac:dyDescent="0.25">
      <c r="J33"/>
      <c r="K33"/>
      <c r="L33"/>
      <c r="M33"/>
      <c r="N33"/>
      <c r="O33"/>
      <c r="P33"/>
      <c r="Q33"/>
      <c r="R33"/>
      <c r="S33"/>
      <c r="T33"/>
      <c r="U33"/>
      <c r="V33"/>
      <c r="W33"/>
      <c r="X33"/>
      <c r="Y33"/>
      <c r="Z33"/>
      <c r="AA33"/>
      <c r="AB33"/>
      <c r="AC33"/>
    </row>
    <row r="34" spans="10:29" ht="15" x14ac:dyDescent="0.25">
      <c r="J34"/>
      <c r="K34"/>
      <c r="L34"/>
      <c r="M34"/>
      <c r="N34"/>
      <c r="O34"/>
      <c r="P34"/>
      <c r="Q34"/>
      <c r="R34"/>
      <c r="S34"/>
      <c r="T34"/>
      <c r="U34"/>
      <c r="V34"/>
      <c r="W34"/>
      <c r="X34"/>
      <c r="Y34"/>
      <c r="Z34"/>
      <c r="AA34"/>
      <c r="AB34"/>
      <c r="AC34"/>
    </row>
    <row r="35" spans="10:29" ht="15" x14ac:dyDescent="0.25">
      <c r="J35"/>
      <c r="K35"/>
      <c r="L35"/>
      <c r="M35"/>
      <c r="N35"/>
      <c r="O35"/>
      <c r="P35"/>
      <c r="Q35"/>
      <c r="R35"/>
      <c r="S35"/>
      <c r="T35"/>
      <c r="U35"/>
      <c r="V35"/>
      <c r="W35"/>
      <c r="X35"/>
      <c r="Y35"/>
      <c r="Z35"/>
      <c r="AA35"/>
      <c r="AB35"/>
      <c r="AC35"/>
    </row>
    <row r="36" spans="10:29" ht="15" x14ac:dyDescent="0.25">
      <c r="J36"/>
      <c r="K36"/>
      <c r="L36"/>
      <c r="M36"/>
      <c r="N36"/>
      <c r="O36"/>
      <c r="P36"/>
      <c r="Q36"/>
      <c r="R36"/>
      <c r="S36"/>
      <c r="T36"/>
      <c r="U36"/>
      <c r="V36"/>
      <c r="W36"/>
      <c r="X36"/>
      <c r="Y36"/>
      <c r="Z36"/>
      <c r="AA36"/>
      <c r="AB36"/>
      <c r="AC36"/>
    </row>
    <row r="37" spans="10:29" ht="15" x14ac:dyDescent="0.25">
      <c r="J37"/>
      <c r="K37"/>
      <c r="L37"/>
      <c r="M37"/>
      <c r="N37"/>
      <c r="O37"/>
      <c r="P37"/>
      <c r="Q37"/>
      <c r="R37"/>
      <c r="S37"/>
      <c r="T37"/>
      <c r="U37"/>
      <c r="V37"/>
      <c r="W37"/>
      <c r="X37"/>
      <c r="Y37"/>
      <c r="Z37"/>
      <c r="AA37"/>
      <c r="AB37"/>
      <c r="AC37"/>
    </row>
    <row r="38" spans="10:29" ht="15" x14ac:dyDescent="0.25">
      <c r="J38"/>
      <c r="K38"/>
      <c r="L38"/>
      <c r="M38"/>
      <c r="N38"/>
      <c r="O38"/>
      <c r="P38"/>
      <c r="Q38"/>
      <c r="R38"/>
      <c r="S38"/>
      <c r="T38"/>
      <c r="U38"/>
      <c r="V38"/>
      <c r="W38"/>
      <c r="X38"/>
      <c r="Y38"/>
      <c r="Z38"/>
      <c r="AA38"/>
      <c r="AB38"/>
      <c r="AC38"/>
    </row>
    <row r="39" spans="10:29" ht="15" x14ac:dyDescent="0.25">
      <c r="J39"/>
      <c r="K39"/>
      <c r="L39"/>
      <c r="M39"/>
      <c r="N39"/>
      <c r="O39"/>
      <c r="P39"/>
      <c r="Q39"/>
      <c r="R39"/>
      <c r="S39"/>
      <c r="T39"/>
      <c r="U39"/>
      <c r="V39"/>
      <c r="W39"/>
      <c r="X39"/>
      <c r="Y39"/>
      <c r="Z39"/>
      <c r="AA39"/>
      <c r="AB39"/>
      <c r="AC39"/>
    </row>
    <row r="40" spans="10:29" ht="15" x14ac:dyDescent="0.25">
      <c r="J40"/>
      <c r="K40"/>
      <c r="L40"/>
      <c r="M40"/>
      <c r="N40"/>
      <c r="O40"/>
      <c r="P40"/>
      <c r="Q40"/>
      <c r="R40"/>
      <c r="S40"/>
      <c r="T40"/>
      <c r="U40"/>
      <c r="V40"/>
      <c r="W40"/>
      <c r="X40"/>
      <c r="Y40"/>
      <c r="Z40"/>
      <c r="AA40"/>
      <c r="AB40"/>
      <c r="AC40"/>
    </row>
    <row r="41" spans="10:29" ht="15" x14ac:dyDescent="0.25">
      <c r="J41"/>
      <c r="K41"/>
      <c r="L41"/>
      <c r="M41"/>
      <c r="N41"/>
      <c r="O41"/>
      <c r="P41"/>
      <c r="Q41"/>
      <c r="R41"/>
      <c r="S41"/>
      <c r="T41"/>
      <c r="U41"/>
      <c r="V41"/>
      <c r="W41"/>
      <c r="X41"/>
      <c r="Y41"/>
      <c r="Z41"/>
      <c r="AA41"/>
      <c r="AB41"/>
      <c r="AC41"/>
    </row>
    <row r="42" spans="10:29" ht="15" x14ac:dyDescent="0.25">
      <c r="J42"/>
      <c r="K42"/>
      <c r="L42"/>
      <c r="M42"/>
      <c r="N42"/>
      <c r="O42"/>
      <c r="P42"/>
      <c r="Q42"/>
      <c r="R42"/>
      <c r="S42"/>
      <c r="T42"/>
      <c r="U42"/>
      <c r="V42"/>
      <c r="W42"/>
      <c r="X42"/>
      <c r="Y42"/>
      <c r="Z42"/>
      <c r="AA42"/>
      <c r="AB42"/>
      <c r="AC42"/>
    </row>
    <row r="43" spans="10:29" ht="15" x14ac:dyDescent="0.25">
      <c r="J43"/>
      <c r="K43"/>
      <c r="L43"/>
      <c r="M43"/>
      <c r="N43"/>
      <c r="O43"/>
      <c r="P43"/>
      <c r="Q43"/>
      <c r="R43"/>
      <c r="S43"/>
      <c r="T43"/>
      <c r="U43"/>
      <c r="V43"/>
      <c r="W43"/>
      <c r="X43"/>
      <c r="Y43"/>
      <c r="Z43"/>
      <c r="AA43"/>
      <c r="AB43"/>
      <c r="AC43"/>
    </row>
    <row r="44" spans="10:29" ht="15" x14ac:dyDescent="0.25">
      <c r="J44"/>
      <c r="K44"/>
      <c r="L44"/>
      <c r="M44"/>
      <c r="N44"/>
      <c r="O44"/>
      <c r="P44"/>
      <c r="Q44"/>
      <c r="R44"/>
      <c r="S44"/>
      <c r="T44"/>
      <c r="U44"/>
      <c r="V44"/>
      <c r="W44"/>
      <c r="X44"/>
      <c r="Y44"/>
      <c r="Z44"/>
      <c r="AA44"/>
      <c r="AB44"/>
      <c r="AC44"/>
    </row>
    <row r="45" spans="10:29" ht="15" x14ac:dyDescent="0.25">
      <c r="J45"/>
      <c r="K45"/>
      <c r="L45"/>
      <c r="M45"/>
      <c r="N45"/>
      <c r="O45"/>
      <c r="P45"/>
      <c r="Q45"/>
      <c r="R45"/>
      <c r="S45"/>
      <c r="T45"/>
      <c r="U45"/>
      <c r="V45"/>
      <c r="W45"/>
      <c r="X45"/>
      <c r="Y45"/>
      <c r="Z45"/>
      <c r="AA45"/>
      <c r="AB45"/>
      <c r="AC45"/>
    </row>
    <row r="46" spans="10:29" ht="15" x14ac:dyDescent="0.25">
      <c r="J46"/>
      <c r="K46"/>
      <c r="L46"/>
      <c r="M46"/>
      <c r="N46"/>
      <c r="O46"/>
      <c r="P46"/>
      <c r="Q46"/>
      <c r="R46"/>
      <c r="S46"/>
      <c r="T46"/>
      <c r="U46"/>
      <c r="V46"/>
      <c r="W46"/>
      <c r="X46"/>
      <c r="Y46"/>
      <c r="Z46"/>
      <c r="AA46"/>
      <c r="AB46"/>
      <c r="AC46"/>
    </row>
    <row r="47" spans="10:29" ht="15" x14ac:dyDescent="0.25">
      <c r="J47"/>
      <c r="K47"/>
      <c r="L47"/>
      <c r="M47"/>
      <c r="N47"/>
      <c r="O47"/>
      <c r="P47"/>
      <c r="Q47"/>
      <c r="R47"/>
      <c r="S47"/>
      <c r="T47"/>
      <c r="U47"/>
      <c r="V47"/>
      <c r="W47"/>
      <c r="X47"/>
      <c r="Y47"/>
      <c r="Z47"/>
      <c r="AA47"/>
      <c r="AB47"/>
      <c r="AC47"/>
    </row>
  </sheetData>
  <autoFilter ref="A2:AC14"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14"/>
    <mergeCell ref="G4:G14"/>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5"/>
  <sheetViews>
    <sheetView zoomScale="90" zoomScaleNormal="90" workbookViewId="0">
      <selection sqref="A1:D1"/>
    </sheetView>
  </sheetViews>
  <sheetFormatPr defaultColWidth="8.7109375" defaultRowHeight="12.75" x14ac:dyDescent="0.2"/>
  <cols>
    <col min="1" max="1" width="32" style="6" customWidth="1"/>
    <col min="2" max="2" width="34.5703125" style="6" customWidth="1"/>
    <col min="3" max="3" width="21.28515625" style="6" customWidth="1"/>
    <col min="4" max="4" width="36.28515625" style="6" customWidth="1"/>
    <col min="5" max="5" width="38.85546875" style="6" customWidth="1"/>
    <col min="6" max="6" width="17.140625" style="6" customWidth="1"/>
    <col min="7" max="7" width="17.5703125" style="6" customWidth="1"/>
    <col min="8" max="8" width="15.5703125" style="6" customWidth="1"/>
    <col min="9" max="9" width="13.28515625" style="6" customWidth="1"/>
    <col min="10" max="16384" width="8.7109375" style="6"/>
  </cols>
  <sheetData>
    <row r="1" spans="1:7" ht="25.15" customHeight="1" x14ac:dyDescent="0.2">
      <c r="A1" s="422" t="str">
        <f>"Exterior Lighting - "&amp;Prototype!A2</f>
        <v>Exterior Lighting - SchoolLarge</v>
      </c>
      <c r="B1" s="422"/>
      <c r="C1" s="422"/>
      <c r="D1" s="422"/>
    </row>
    <row r="2" spans="1:7" ht="37.15" customHeight="1" x14ac:dyDescent="0.2">
      <c r="A2" s="302" t="s">
        <v>316</v>
      </c>
      <c r="B2" s="302" t="s">
        <v>317</v>
      </c>
      <c r="C2" s="302" t="s">
        <v>318</v>
      </c>
      <c r="D2" s="302" t="s">
        <v>202</v>
      </c>
    </row>
    <row r="3" spans="1:7" ht="45.6" customHeight="1" x14ac:dyDescent="0.2">
      <c r="A3" s="41">
        <f>G14</f>
        <v>2296.1931469879519</v>
      </c>
      <c r="B3" s="41">
        <f>G15</f>
        <v>8911.399433999999</v>
      </c>
      <c r="C3" s="41">
        <f>A3+B3</f>
        <v>11207.592580987952</v>
      </c>
      <c r="D3" s="290" t="s">
        <v>319</v>
      </c>
      <c r="E3" s="76"/>
    </row>
    <row r="4" spans="1:7" ht="22.15" customHeight="1" x14ac:dyDescent="0.2">
      <c r="A4" s="54"/>
      <c r="B4" s="54"/>
      <c r="C4" s="54"/>
    </row>
    <row r="5" spans="1:7" ht="15" x14ac:dyDescent="0.25">
      <c r="A5"/>
      <c r="C5" s="99"/>
      <c r="E5" s="100"/>
    </row>
    <row r="6" spans="1:7" ht="15" x14ac:dyDescent="0.25">
      <c r="A6"/>
      <c r="C6" s="99"/>
      <c r="E6" s="100"/>
    </row>
    <row r="7" spans="1:7" ht="15.75" x14ac:dyDescent="0.2">
      <c r="A7" s="422" t="str">
        <f>"Exterior Lighting"</f>
        <v>Exterior Lighting</v>
      </c>
      <c r="B7" s="422"/>
      <c r="C7" s="422"/>
      <c r="D7" s="422"/>
      <c r="E7" s="422"/>
      <c r="F7" s="422"/>
      <c r="G7" s="422"/>
    </row>
    <row r="8" spans="1:7" ht="51.6" customHeight="1" x14ac:dyDescent="0.2">
      <c r="A8" s="148" t="s">
        <v>320</v>
      </c>
      <c r="B8" s="423" t="s">
        <v>321</v>
      </c>
      <c r="C8" s="423"/>
      <c r="D8" s="302" t="s">
        <v>290</v>
      </c>
      <c r="E8" s="302" t="s">
        <v>322</v>
      </c>
      <c r="F8" s="302" t="s">
        <v>290</v>
      </c>
      <c r="G8" s="302" t="s">
        <v>323</v>
      </c>
    </row>
    <row r="9" spans="1:7" ht="21" customHeight="1" x14ac:dyDescent="0.2">
      <c r="A9" s="16" t="s">
        <v>324</v>
      </c>
      <c r="B9" s="16"/>
      <c r="C9" s="101"/>
      <c r="D9" s="289"/>
      <c r="E9" s="289">
        <v>200</v>
      </c>
      <c r="F9" s="194" t="s">
        <v>325</v>
      </c>
      <c r="G9" s="149">
        <f>$E9</f>
        <v>200</v>
      </c>
    </row>
    <row r="10" spans="1:7" ht="38.25" x14ac:dyDescent="0.2">
      <c r="A10" s="16" t="s">
        <v>326</v>
      </c>
      <c r="B10" s="17" t="s">
        <v>327</v>
      </c>
      <c r="C10" s="102">
        <f>B25/830*400</f>
        <v>101641.74457831326</v>
      </c>
      <c r="D10" s="289" t="s">
        <v>328</v>
      </c>
      <c r="E10" s="289">
        <v>1.9E-2</v>
      </c>
      <c r="F10" s="194" t="s">
        <v>329</v>
      </c>
      <c r="G10" s="149">
        <f t="shared" ref="G10:G13" si="0">E10*C10</f>
        <v>1931.1931469879519</v>
      </c>
    </row>
    <row r="11" spans="1:7" ht="25.5" x14ac:dyDescent="0.2">
      <c r="A11" s="16" t="s">
        <v>330</v>
      </c>
      <c r="B11" s="17" t="s">
        <v>331</v>
      </c>
      <c r="C11" s="101">
        <v>11</v>
      </c>
      <c r="D11" s="289" t="s">
        <v>332</v>
      </c>
      <c r="E11" s="289">
        <v>15</v>
      </c>
      <c r="F11" s="194" t="s">
        <v>333</v>
      </c>
      <c r="G11" s="149">
        <f t="shared" si="0"/>
        <v>165</v>
      </c>
    </row>
    <row r="12" spans="1:7" ht="39.6" customHeight="1" x14ac:dyDescent="0.2">
      <c r="A12" s="16" t="s">
        <v>334</v>
      </c>
      <c r="B12" s="17" t="s">
        <v>335</v>
      </c>
      <c r="C12" s="105">
        <f>B25*0.1</f>
        <v>21090.662</v>
      </c>
      <c r="D12" s="289" t="s">
        <v>328</v>
      </c>
      <c r="E12" s="289">
        <v>7.0000000000000001E-3</v>
      </c>
      <c r="F12" s="194" t="s">
        <v>329</v>
      </c>
      <c r="G12" s="150">
        <f t="shared" si="0"/>
        <v>147.63463400000001</v>
      </c>
    </row>
    <row r="13" spans="1:7" ht="102" x14ac:dyDescent="0.2">
      <c r="A13" s="16" t="s">
        <v>336</v>
      </c>
      <c r="B13" s="17" t="s">
        <v>337</v>
      </c>
      <c r="C13" s="103">
        <f>0.5*4*(B23*B20)</f>
        <v>87637.647999999986</v>
      </c>
      <c r="D13" s="289" t="s">
        <v>328</v>
      </c>
      <c r="E13" s="289">
        <v>0.1</v>
      </c>
      <c r="F13" s="194" t="s">
        <v>329</v>
      </c>
      <c r="G13" s="150">
        <f t="shared" si="0"/>
        <v>8763.764799999999</v>
      </c>
    </row>
    <row r="14" spans="1:7" x14ac:dyDescent="0.2">
      <c r="A14" s="16" t="s">
        <v>316</v>
      </c>
      <c r="B14" s="16"/>
      <c r="C14" s="101"/>
      <c r="D14" s="289"/>
      <c r="E14" s="289"/>
      <c r="F14" s="289"/>
      <c r="G14" s="150">
        <f>G10+G9+G11</f>
        <v>2296.1931469879519</v>
      </c>
    </row>
    <row r="15" spans="1:7" x14ac:dyDescent="0.2">
      <c r="A15" s="16" t="s">
        <v>338</v>
      </c>
      <c r="B15" s="16"/>
      <c r="C15" s="101"/>
      <c r="D15" s="289"/>
      <c r="E15" s="289"/>
      <c r="F15" s="289"/>
      <c r="G15" s="150">
        <f>G12+G13</f>
        <v>8911.399433999999</v>
      </c>
    </row>
    <row r="16" spans="1:7" x14ac:dyDescent="0.2">
      <c r="A16" s="16" t="s">
        <v>283</v>
      </c>
      <c r="B16" s="16"/>
      <c r="C16" s="101"/>
      <c r="D16" s="289"/>
      <c r="E16" s="289"/>
      <c r="F16" s="289"/>
      <c r="G16" s="150">
        <f>G14+G15</f>
        <v>11207.592580987952</v>
      </c>
    </row>
    <row r="19" spans="1:9" x14ac:dyDescent="0.2">
      <c r="B19" s="104"/>
    </row>
    <row r="20" spans="1:9" x14ac:dyDescent="0.2">
      <c r="A20" s="12" t="s">
        <v>339</v>
      </c>
      <c r="B20" s="287">
        <v>28</v>
      </c>
      <c r="C20" s="287"/>
      <c r="D20" s="287"/>
      <c r="E20" s="287"/>
      <c r="F20" s="287"/>
    </row>
    <row r="21" spans="1:9" x14ac:dyDescent="0.2">
      <c r="A21" s="12" t="s">
        <v>340</v>
      </c>
      <c r="B21" s="206">
        <f>B25/2</f>
        <v>105453.31</v>
      </c>
      <c r="C21" s="206"/>
      <c r="D21" s="206"/>
      <c r="E21" s="206"/>
      <c r="F21" s="287"/>
    </row>
    <row r="22" spans="1:9" x14ac:dyDescent="0.2">
      <c r="A22" s="6" t="s">
        <v>341</v>
      </c>
      <c r="B22" s="287">
        <v>2</v>
      </c>
    </row>
    <row r="23" spans="1:9" ht="15" x14ac:dyDescent="0.25">
      <c r="A23" s="6" t="s">
        <v>342</v>
      </c>
      <c r="B23" s="206">
        <f>285.433+203.412+259.186+9.842+78.74+383.858+(75.459*3)+(59.055*2)</f>
        <v>1564.9579999999999</v>
      </c>
      <c r="C23" s="298"/>
      <c r="D23" s="201"/>
      <c r="E23" s="298"/>
      <c r="F23" s="202"/>
      <c r="G23" s="298"/>
      <c r="H23" s="298"/>
      <c r="I23" s="298"/>
    </row>
    <row r="24" spans="1:9" s="24" customFormat="1" ht="13.15" hidden="1" customHeight="1" x14ac:dyDescent="0.2">
      <c r="A24" s="24" t="s">
        <v>140</v>
      </c>
      <c r="E24" s="25"/>
      <c r="F24" s="26"/>
      <c r="G24" s="27"/>
    </row>
    <row r="25" spans="1:9" x14ac:dyDescent="0.2">
      <c r="A25" s="298" t="s">
        <v>343</v>
      </c>
      <c r="B25" s="203">
        <f>Prototype!B8</f>
        <v>210906.62</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45"/>
  <sheetViews>
    <sheetView zoomScale="90" zoomScaleNormal="90" workbookViewId="0">
      <selection sqref="A1:E1"/>
    </sheetView>
  </sheetViews>
  <sheetFormatPr defaultColWidth="8.7109375" defaultRowHeight="15" x14ac:dyDescent="0.25"/>
  <cols>
    <col min="1" max="1" width="49" style="6" customWidth="1"/>
    <col min="2" max="2" width="23.5703125" style="6" customWidth="1"/>
    <col min="3" max="3" width="18.42578125" style="6" bestFit="1" customWidth="1"/>
    <col min="4" max="4" width="23.28515625" style="6" customWidth="1"/>
    <col min="5" max="5" width="59.5703125" style="6" customWidth="1"/>
    <col min="6" max="6" width="18.28515625" customWidth="1"/>
    <col min="7" max="7" width="21.42578125" style="6" customWidth="1"/>
    <col min="8" max="8" width="33.85546875" style="6" bestFit="1" customWidth="1"/>
    <col min="9" max="9" width="10.7109375" style="6" bestFit="1" customWidth="1"/>
    <col min="10" max="10" width="10.5703125" style="6" bestFit="1" customWidth="1"/>
    <col min="11" max="16384" width="8.7109375" style="6"/>
  </cols>
  <sheetData>
    <row r="1" spans="1:16" ht="23.45" customHeight="1" x14ac:dyDescent="0.25">
      <c r="A1" s="425" t="str">
        <f>"Equipment - "&amp;Prototype!A2</f>
        <v>Equipment - SchoolLarge</v>
      </c>
      <c r="B1" s="425"/>
      <c r="C1" s="425"/>
      <c r="D1" s="425"/>
      <c r="E1" s="425"/>
    </row>
    <row r="2" spans="1:16" ht="40.9" customHeight="1" x14ac:dyDescent="0.25">
      <c r="A2" s="306" t="s">
        <v>61</v>
      </c>
      <c r="B2" s="357" t="s">
        <v>348</v>
      </c>
      <c r="C2" s="357" t="s">
        <v>349</v>
      </c>
      <c r="D2" s="357" t="s">
        <v>350</v>
      </c>
      <c r="E2" s="306" t="s">
        <v>202</v>
      </c>
      <c r="H2"/>
      <c r="I2"/>
      <c r="J2"/>
      <c r="K2"/>
      <c r="L2"/>
      <c r="M2"/>
      <c r="N2"/>
      <c r="O2"/>
      <c r="P2"/>
    </row>
    <row r="3" spans="1:16" ht="20.45" customHeight="1" x14ac:dyDescent="0.25">
      <c r="A3" s="133" t="str">
        <f>Zones!A3</f>
        <v>Auditorium Area</v>
      </c>
      <c r="B3" s="220">
        <v>1</v>
      </c>
      <c r="C3" s="220">
        <v>0</v>
      </c>
      <c r="D3" s="221">
        <v>0</v>
      </c>
      <c r="E3" s="421" t="s">
        <v>351</v>
      </c>
      <c r="H3"/>
      <c r="I3"/>
      <c r="J3"/>
      <c r="K3"/>
      <c r="L3"/>
      <c r="M3"/>
      <c r="N3"/>
      <c r="O3"/>
      <c r="P3"/>
    </row>
    <row r="4" spans="1:16" ht="20.45" customHeight="1" x14ac:dyDescent="0.25">
      <c r="A4" s="133" t="str">
        <f>Zones!A4</f>
        <v>Exercise/Fitness Center and Gymnasium Areas</v>
      </c>
      <c r="B4" s="220">
        <v>0.5</v>
      </c>
      <c r="C4" s="220">
        <v>0</v>
      </c>
      <c r="D4" s="221">
        <v>0</v>
      </c>
      <c r="E4" s="421"/>
      <c r="H4"/>
      <c r="I4"/>
      <c r="J4"/>
      <c r="K4"/>
      <c r="L4"/>
      <c r="M4"/>
      <c r="N4"/>
      <c r="O4"/>
      <c r="P4"/>
    </row>
    <row r="5" spans="1:16" ht="20.45" customHeight="1" x14ac:dyDescent="0.25">
      <c r="A5" s="133" t="str">
        <f>Zones!A5</f>
        <v>Restrooms</v>
      </c>
      <c r="B5" s="220">
        <v>0</v>
      </c>
      <c r="C5" s="220">
        <v>0</v>
      </c>
      <c r="D5" s="221">
        <v>0</v>
      </c>
      <c r="E5" s="421"/>
      <c r="H5"/>
      <c r="I5"/>
      <c r="J5"/>
      <c r="K5"/>
      <c r="L5"/>
      <c r="M5"/>
      <c r="N5"/>
      <c r="O5"/>
      <c r="P5"/>
    </row>
    <row r="6" spans="1:16" ht="20.45" customHeight="1" x14ac:dyDescent="0.25">
      <c r="A6" s="133" t="str">
        <f>Zones!A7</f>
        <v>Dining Area (Cafeteria/Fast Food)</v>
      </c>
      <c r="B6" s="220">
        <v>0.5</v>
      </c>
      <c r="C6" s="220">
        <v>0</v>
      </c>
      <c r="D6" s="221">
        <v>0.25</v>
      </c>
      <c r="E6" s="421"/>
      <c r="H6"/>
      <c r="I6"/>
      <c r="J6"/>
      <c r="K6"/>
      <c r="L6"/>
      <c r="M6"/>
      <c r="N6"/>
      <c r="O6"/>
      <c r="P6"/>
    </row>
    <row r="7" spans="1:16" ht="20.45" customHeight="1" x14ac:dyDescent="0.25">
      <c r="A7" s="133" t="str">
        <f>Zones!A20</f>
        <v>Corridor Area</v>
      </c>
      <c r="B7" s="220">
        <v>0</v>
      </c>
      <c r="C7" s="220">
        <v>0</v>
      </c>
      <c r="D7" s="221">
        <v>0</v>
      </c>
      <c r="E7" s="292" t="s">
        <v>351</v>
      </c>
      <c r="H7"/>
      <c r="I7"/>
      <c r="J7"/>
      <c r="K7"/>
      <c r="L7"/>
      <c r="M7"/>
      <c r="N7"/>
      <c r="O7"/>
      <c r="P7"/>
    </row>
    <row r="8" spans="1:16" ht="20.45" customHeight="1" x14ac:dyDescent="0.25">
      <c r="A8" s="133" t="str">
        <f>Zones!A27</f>
        <v>Kitchen/Food Preparation Area</v>
      </c>
      <c r="B8" s="220">
        <v>1.5</v>
      </c>
      <c r="C8" s="220">
        <v>17.537679999999998</v>
      </c>
      <c r="D8" s="221">
        <v>1.1200000000000001</v>
      </c>
      <c r="E8" s="290" t="s">
        <v>352</v>
      </c>
      <c r="H8"/>
      <c r="I8"/>
      <c r="J8"/>
      <c r="K8"/>
      <c r="L8"/>
      <c r="M8"/>
      <c r="N8"/>
      <c r="O8"/>
      <c r="P8"/>
    </row>
    <row r="9" spans="1:16" ht="20.45" customHeight="1" x14ac:dyDescent="0.25">
      <c r="A9" s="133" t="str">
        <f>Zones!A28</f>
        <v>Library (Reading Area)</v>
      </c>
      <c r="B9" s="220">
        <v>1.5</v>
      </c>
      <c r="C9" s="220">
        <v>0</v>
      </c>
      <c r="D9" s="221">
        <v>0</v>
      </c>
      <c r="E9" s="421" t="s">
        <v>351</v>
      </c>
      <c r="H9"/>
      <c r="I9"/>
      <c r="J9"/>
      <c r="K9"/>
      <c r="L9"/>
      <c r="M9"/>
      <c r="N9"/>
      <c r="O9"/>
      <c r="P9"/>
    </row>
    <row r="10" spans="1:16" ht="20.45" customHeight="1" x14ac:dyDescent="0.25">
      <c r="A10" s="133" t="str">
        <f>Zones!A29</f>
        <v>Lobby, Main Entry</v>
      </c>
      <c r="B10" s="220">
        <v>0.5</v>
      </c>
      <c r="C10" s="220">
        <v>0</v>
      </c>
      <c r="D10" s="221">
        <v>0</v>
      </c>
      <c r="E10" s="421"/>
      <c r="H10"/>
      <c r="I10"/>
      <c r="J10"/>
      <c r="K10"/>
      <c r="L10"/>
      <c r="M10"/>
      <c r="N10"/>
      <c r="O10"/>
      <c r="P10"/>
    </row>
    <row r="11" spans="1:16" ht="20.45" customHeight="1" x14ac:dyDescent="0.25">
      <c r="A11" s="133" t="str">
        <f>Zones!A33</f>
        <v>Electrical, Mechanical, Telephone Rooms</v>
      </c>
      <c r="B11" s="220">
        <v>3</v>
      </c>
      <c r="C11" s="220">
        <v>0</v>
      </c>
      <c r="D11" s="221">
        <v>0</v>
      </c>
      <c r="E11" s="421"/>
      <c r="H11"/>
      <c r="I11"/>
      <c r="J11"/>
      <c r="K11"/>
      <c r="L11"/>
      <c r="M11"/>
      <c r="N11"/>
      <c r="O11"/>
      <c r="P11"/>
    </row>
    <row r="12" spans="1:16" s="353" customFormat="1" ht="20.45" customHeight="1" x14ac:dyDescent="0.25">
      <c r="A12" s="356" t="str">
        <f>Zones!A46</f>
        <v>Classroom, Lecture, Training, Vocational Areas</v>
      </c>
      <c r="B12" s="355">
        <v>0.8</v>
      </c>
      <c r="C12" s="355">
        <v>0</v>
      </c>
      <c r="D12" s="354">
        <v>0</v>
      </c>
      <c r="E12" s="426"/>
      <c r="F12"/>
      <c r="H12"/>
      <c r="I12"/>
      <c r="J12"/>
      <c r="K12"/>
      <c r="L12"/>
      <c r="M12"/>
      <c r="N12"/>
      <c r="O12"/>
      <c r="P12"/>
    </row>
    <row r="13" spans="1:16" ht="20.45" customHeight="1" x14ac:dyDescent="0.25">
      <c r="A13" s="133" t="str">
        <f>Zones!A47</f>
        <v>Office Area (&gt;250 square feet)</v>
      </c>
      <c r="B13" s="220">
        <v>0.7</v>
      </c>
      <c r="C13" s="220">
        <v>0</v>
      </c>
      <c r="D13" s="221">
        <v>0</v>
      </c>
      <c r="E13" s="389"/>
      <c r="H13"/>
      <c r="I13"/>
      <c r="J13"/>
      <c r="K13"/>
      <c r="L13"/>
      <c r="M13"/>
      <c r="N13"/>
      <c r="O13"/>
      <c r="P13"/>
    </row>
    <row r="14" spans="1:16" customFormat="1" ht="15" customHeight="1" x14ac:dyDescent="0.25">
      <c r="A14" s="186"/>
      <c r="B14" s="6"/>
      <c r="C14" s="6"/>
      <c r="D14" s="6"/>
      <c r="E14" s="6"/>
      <c r="G14" s="6"/>
    </row>
    <row r="15" spans="1:16" customFormat="1" ht="15" customHeight="1" x14ac:dyDescent="0.25">
      <c r="A15" s="394" t="s">
        <v>353</v>
      </c>
      <c r="B15" s="394"/>
      <c r="C15" s="394"/>
      <c r="D15" s="394"/>
    </row>
    <row r="16" spans="1:16" customFormat="1" ht="15" customHeight="1" x14ac:dyDescent="0.25">
      <c r="A16" s="300" t="s">
        <v>37</v>
      </c>
      <c r="B16" s="300" t="s">
        <v>354</v>
      </c>
      <c r="C16" s="300" t="s">
        <v>355</v>
      </c>
      <c r="D16" s="300" t="s">
        <v>202</v>
      </c>
    </row>
    <row r="17" spans="1:16" customFormat="1" ht="34.5" customHeight="1" x14ac:dyDescent="0.25">
      <c r="A17" s="290" t="s">
        <v>356</v>
      </c>
      <c r="B17" s="289">
        <f>ROUND(('Ext Lighting'!B21*0.7/50000)+ROUND(2/2,0),0)</f>
        <v>2</v>
      </c>
      <c r="C17" s="41">
        <f>F24*1000</f>
        <v>11793.11</v>
      </c>
      <c r="D17" s="290" t="s">
        <v>357</v>
      </c>
    </row>
    <row r="18" spans="1:16" ht="15" customHeight="1" x14ac:dyDescent="0.25">
      <c r="A18" s="186"/>
      <c r="H18"/>
      <c r="I18"/>
      <c r="J18"/>
      <c r="K18"/>
      <c r="L18"/>
      <c r="M18"/>
      <c r="N18"/>
      <c r="O18"/>
      <c r="P18"/>
    </row>
    <row r="19" spans="1:16" x14ac:dyDescent="0.25">
      <c r="A19" s="427" t="s">
        <v>358</v>
      </c>
      <c r="B19" s="427"/>
      <c r="C19" s="427"/>
      <c r="D19" s="427"/>
      <c r="E19" s="427"/>
      <c r="G19" s="204"/>
    </row>
    <row r="20" spans="1:16" x14ac:dyDescent="0.25">
      <c r="A20" s="366" t="s">
        <v>359</v>
      </c>
      <c r="B20" s="366"/>
      <c r="C20" s="366"/>
      <c r="D20" s="366"/>
      <c r="E20" s="366"/>
      <c r="F20" t="s">
        <v>360</v>
      </c>
      <c r="G20" s="205"/>
      <c r="H20" s="205"/>
      <c r="I20" s="205"/>
      <c r="J20" s="205"/>
    </row>
    <row r="21" spans="1:16" x14ac:dyDescent="0.25">
      <c r="A21" s="366" t="s">
        <v>361</v>
      </c>
      <c r="B21" s="366"/>
      <c r="C21" s="366"/>
      <c r="D21" s="366"/>
      <c r="E21" s="366"/>
      <c r="G21" s="205"/>
      <c r="H21" s="205"/>
      <c r="I21" s="205"/>
      <c r="J21" s="205"/>
    </row>
    <row r="22" spans="1:16" x14ac:dyDescent="0.25">
      <c r="A22" s="374" t="s">
        <v>362</v>
      </c>
      <c r="B22" s="374"/>
      <c r="C22" s="374"/>
      <c r="D22" s="374"/>
      <c r="E22" s="374"/>
      <c r="G22" s="204"/>
    </row>
    <row r="23" spans="1:16" x14ac:dyDescent="0.25">
      <c r="A23" s="374" t="s">
        <v>363</v>
      </c>
      <c r="B23" s="374"/>
      <c r="C23" s="118">
        <f>ROUND(('Ext Lighting'!B21*0.7/50000)+ROUND(2/2,0),0)</f>
        <v>2</v>
      </c>
      <c r="D23" s="366"/>
      <c r="E23" s="366"/>
      <c r="G23" s="204"/>
    </row>
    <row r="24" spans="1:16" x14ac:dyDescent="0.25">
      <c r="A24" s="374" t="s">
        <v>364</v>
      </c>
      <c r="B24" s="374"/>
      <c r="C24" s="118">
        <f>C23*C25</f>
        <v>20</v>
      </c>
      <c r="D24" s="366" t="s">
        <v>365</v>
      </c>
      <c r="E24" s="366"/>
      <c r="F24" s="231">
        <v>11.79311</v>
      </c>
      <c r="G24" s="204"/>
    </row>
    <row r="25" spans="1:16" x14ac:dyDescent="0.25">
      <c r="A25" s="374" t="s">
        <v>366</v>
      </c>
      <c r="B25" s="374"/>
      <c r="C25" s="118">
        <v>10</v>
      </c>
      <c r="D25" s="366"/>
      <c r="E25" s="366"/>
      <c r="G25" s="204"/>
    </row>
    <row r="26" spans="1:16" hidden="1" x14ac:dyDescent="0.25"/>
    <row r="27" spans="1:16" hidden="1" x14ac:dyDescent="0.25"/>
    <row r="28" spans="1:16" hidden="1" x14ac:dyDescent="0.25"/>
    <row r="29" spans="1:16" hidden="1" x14ac:dyDescent="0.25"/>
    <row r="30" spans="1:16" hidden="1" x14ac:dyDescent="0.25"/>
    <row r="31" spans="1:16" hidden="1" x14ac:dyDescent="0.25"/>
    <row r="32" spans="1:16" hidden="1" x14ac:dyDescent="0.25"/>
    <row r="33" spans="1:7" hidden="1" x14ac:dyDescent="0.25"/>
    <row r="34" spans="1:7" hidden="1" x14ac:dyDescent="0.25"/>
    <row r="35" spans="1:7" hidden="1" x14ac:dyDescent="0.25"/>
    <row r="36" spans="1:7" hidden="1" x14ac:dyDescent="0.25"/>
    <row r="37" spans="1:7" hidden="1" x14ac:dyDescent="0.25"/>
    <row r="38" spans="1:7" hidden="1" x14ac:dyDescent="0.25"/>
    <row r="39" spans="1:7" hidden="1" x14ac:dyDescent="0.25"/>
    <row r="40" spans="1:7" hidden="1" x14ac:dyDescent="0.25"/>
    <row r="41" spans="1:7" hidden="1" x14ac:dyDescent="0.25"/>
    <row r="42" spans="1:7" hidden="1" x14ac:dyDescent="0.25"/>
    <row r="43" spans="1:7" hidden="1" x14ac:dyDescent="0.25"/>
    <row r="44" spans="1:7" hidden="1" x14ac:dyDescent="0.25"/>
    <row r="45" spans="1:7" x14ac:dyDescent="0.25">
      <c r="A45" s="373" t="s">
        <v>367</v>
      </c>
      <c r="B45" s="373"/>
      <c r="C45" s="373"/>
      <c r="D45" s="373"/>
      <c r="E45" s="373"/>
      <c r="G45" s="204"/>
    </row>
  </sheetData>
  <autoFilter ref="A2:E13" xr:uid="{84519C81-B0B9-4AE9-9154-3628732CA590}"/>
  <mergeCells count="16">
    <mergeCell ref="A19:E19"/>
    <mergeCell ref="A20:E20"/>
    <mergeCell ref="A21:E21"/>
    <mergeCell ref="A25:B25"/>
    <mergeCell ref="D25:E25"/>
    <mergeCell ref="A45:E45"/>
    <mergeCell ref="A22:E22"/>
    <mergeCell ref="A23:B23"/>
    <mergeCell ref="D23:E23"/>
    <mergeCell ref="A24:B24"/>
    <mergeCell ref="D24:E24"/>
    <mergeCell ref="A15:D15"/>
    <mergeCell ref="A1:E1"/>
    <mergeCell ref="E3:E6"/>
    <mergeCell ref="E9:E11"/>
    <mergeCell ref="E12:E13"/>
  </mergeCells>
  <phoneticPr fontId="5" type="noConversion"/>
  <hyperlinks>
    <hyperlink ref="F20" r:id="rId1" xr:uid="{A52395C6-23DB-4245-982F-26A4899AA5A2}"/>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18A7-DEA1-4031-AD37-400D0987043A}">
  <sheetPr codeName="Sheet11"/>
  <dimension ref="A1:XFD166"/>
  <sheetViews>
    <sheetView zoomScale="85" zoomScaleNormal="85" workbookViewId="0">
      <pane xSplit="5" ySplit="3" topLeftCell="F4" activePane="bottomRight" state="frozen"/>
      <selection pane="topRight" activeCell="F1" sqref="F1"/>
      <selection pane="bottomLeft" activeCell="A4" sqref="A4"/>
      <selection pane="bottomRight" sqref="A1:AD1"/>
    </sheetView>
  </sheetViews>
  <sheetFormatPr defaultColWidth="9.28515625" defaultRowHeight="12" x14ac:dyDescent="0.25"/>
  <cols>
    <col min="1" max="1" width="13.5703125" style="42" customWidth="1"/>
    <col min="2" max="2" width="25.5703125" style="42" bestFit="1" customWidth="1"/>
    <col min="3" max="3" width="33.140625" style="42" customWidth="1"/>
    <col min="4" max="4" width="16.7109375" style="42" customWidth="1"/>
    <col min="5" max="5" width="24.28515625" style="42" bestFit="1" customWidth="1"/>
    <col min="6" max="6" width="9.28515625" style="42"/>
    <col min="7" max="30" width="5.7109375" style="42" customWidth="1"/>
    <col min="31" max="16384" width="9.28515625" style="42"/>
  </cols>
  <sheetData>
    <row r="1" spans="1:39" ht="30" customHeight="1" x14ac:dyDescent="0.25">
      <c r="A1" s="419" t="str">
        <f>"Schedules - "&amp;Prototype!A2</f>
        <v>Schedules - SchoolLarge</v>
      </c>
      <c r="B1" s="419"/>
      <c r="C1" s="419"/>
      <c r="D1" s="419"/>
      <c r="E1" s="419"/>
      <c r="F1" s="419"/>
      <c r="G1" s="419"/>
      <c r="H1" s="419"/>
      <c r="I1" s="419"/>
      <c r="J1" s="419"/>
      <c r="K1" s="419"/>
      <c r="L1" s="419"/>
      <c r="M1" s="419"/>
      <c r="N1" s="419"/>
      <c r="O1" s="419"/>
      <c r="P1" s="419"/>
      <c r="Q1" s="419"/>
      <c r="R1" s="419"/>
      <c r="S1" s="419"/>
      <c r="T1" s="419"/>
      <c r="U1" s="419"/>
      <c r="V1" s="419"/>
      <c r="W1" s="419"/>
      <c r="X1" s="419"/>
      <c r="Y1" s="419"/>
      <c r="Z1" s="419"/>
      <c r="AA1" s="419"/>
      <c r="AB1" s="419"/>
      <c r="AC1" s="419"/>
      <c r="AD1" s="482"/>
      <c r="AE1" s="43"/>
      <c r="AF1" s="43"/>
      <c r="AG1" s="43"/>
      <c r="AH1" s="43"/>
      <c r="AI1" s="43"/>
      <c r="AJ1" s="44"/>
      <c r="AK1" s="44"/>
      <c r="AL1" s="44"/>
    </row>
    <row r="2" spans="1:39" ht="24" customHeight="1" x14ac:dyDescent="0.25">
      <c r="A2" s="420" t="s">
        <v>368</v>
      </c>
      <c r="B2" s="483" t="s">
        <v>64</v>
      </c>
      <c r="C2" s="420" t="s">
        <v>369</v>
      </c>
      <c r="D2" s="420" t="s">
        <v>202</v>
      </c>
      <c r="E2" s="420" t="s">
        <v>370</v>
      </c>
      <c r="F2" s="481" t="s">
        <v>344</v>
      </c>
      <c r="G2" s="481"/>
      <c r="H2" s="481"/>
      <c r="I2" s="481"/>
      <c r="J2" s="481"/>
      <c r="K2" s="481"/>
      <c r="L2" s="481"/>
      <c r="M2" s="481"/>
      <c r="N2" s="481"/>
      <c r="O2" s="481"/>
      <c r="P2" s="481"/>
      <c r="Q2" s="481"/>
      <c r="R2" s="481"/>
      <c r="S2" s="481"/>
      <c r="T2" s="481"/>
      <c r="U2" s="481"/>
      <c r="V2" s="481"/>
      <c r="W2" s="481"/>
      <c r="X2" s="481"/>
      <c r="Y2" s="481"/>
      <c r="Z2" s="481"/>
      <c r="AA2" s="481"/>
      <c r="AB2" s="481"/>
      <c r="AC2" s="481"/>
      <c r="AD2" s="43"/>
      <c r="AE2" s="43"/>
      <c r="AF2" s="43"/>
      <c r="AG2" s="43"/>
      <c r="AH2" s="43"/>
      <c r="AI2" s="44"/>
      <c r="AJ2" s="44"/>
      <c r="AK2" s="44"/>
    </row>
    <row r="3" spans="1:39" ht="17.45" customHeight="1" thickBot="1" x14ac:dyDescent="0.3">
      <c r="A3" s="483"/>
      <c r="B3" s="484"/>
      <c r="C3" s="483"/>
      <c r="D3" s="483"/>
      <c r="E3" s="483"/>
      <c r="F3" s="306">
        <v>1</v>
      </c>
      <c r="G3" s="306">
        <v>2</v>
      </c>
      <c r="H3" s="306">
        <v>3</v>
      </c>
      <c r="I3" s="306">
        <v>4</v>
      </c>
      <c r="J3" s="306">
        <v>5</v>
      </c>
      <c r="K3" s="306">
        <v>6</v>
      </c>
      <c r="L3" s="306">
        <v>7</v>
      </c>
      <c r="M3" s="306">
        <v>8</v>
      </c>
      <c r="N3" s="306">
        <v>9</v>
      </c>
      <c r="O3" s="306">
        <v>10</v>
      </c>
      <c r="P3" s="306">
        <v>11</v>
      </c>
      <c r="Q3" s="306">
        <v>12</v>
      </c>
      <c r="R3" s="306">
        <v>13</v>
      </c>
      <c r="S3" s="306">
        <v>14</v>
      </c>
      <c r="T3" s="306">
        <v>15</v>
      </c>
      <c r="U3" s="306">
        <v>16</v>
      </c>
      <c r="V3" s="306">
        <v>17</v>
      </c>
      <c r="W3" s="306">
        <v>18</v>
      </c>
      <c r="X3" s="306">
        <v>19</v>
      </c>
      <c r="Y3" s="306">
        <v>20</v>
      </c>
      <c r="Z3" s="306">
        <v>21</v>
      </c>
      <c r="AA3" s="306">
        <v>22</v>
      </c>
      <c r="AB3" s="306">
        <v>23</v>
      </c>
      <c r="AC3" s="306">
        <v>24</v>
      </c>
      <c r="AD3" s="44"/>
      <c r="AE3" s="44"/>
      <c r="AF3" s="44"/>
      <c r="AG3" s="44"/>
      <c r="AH3" s="44"/>
      <c r="AI3" s="44"/>
      <c r="AJ3" s="44"/>
      <c r="AK3" s="44"/>
    </row>
    <row r="4" spans="1:39" ht="29.45" customHeight="1" x14ac:dyDescent="0.25">
      <c r="A4" s="439" t="s">
        <v>371</v>
      </c>
      <c r="B4" s="434" t="s">
        <v>75</v>
      </c>
      <c r="C4" s="442" t="s">
        <v>372</v>
      </c>
      <c r="D4" s="428" t="s">
        <v>373</v>
      </c>
      <c r="E4" s="258" t="s">
        <v>347</v>
      </c>
      <c r="F4" s="256">
        <v>0</v>
      </c>
      <c r="G4" s="256">
        <v>0</v>
      </c>
      <c r="H4" s="256">
        <v>0</v>
      </c>
      <c r="I4" s="256">
        <v>0</v>
      </c>
      <c r="J4" s="256">
        <v>0</v>
      </c>
      <c r="K4" s="256">
        <v>0</v>
      </c>
      <c r="L4" s="256">
        <v>0</v>
      </c>
      <c r="M4" s="256">
        <v>0.05</v>
      </c>
      <c r="N4" s="256">
        <v>0.75</v>
      </c>
      <c r="O4" s="256">
        <v>0.9</v>
      </c>
      <c r="P4" s="256">
        <v>0.9</v>
      </c>
      <c r="Q4" s="256">
        <v>0.8</v>
      </c>
      <c r="R4" s="256">
        <v>0.8</v>
      </c>
      <c r="S4" s="256">
        <v>0.8</v>
      </c>
      <c r="T4" s="256">
        <v>0.8</v>
      </c>
      <c r="U4" s="256">
        <v>0.45</v>
      </c>
      <c r="V4" s="256">
        <v>0.15</v>
      </c>
      <c r="W4" s="256">
        <v>0.05</v>
      </c>
      <c r="X4" s="256">
        <v>0.15</v>
      </c>
      <c r="Y4" s="256">
        <v>0.2</v>
      </c>
      <c r="Z4" s="256">
        <v>0.2</v>
      </c>
      <c r="AA4" s="256">
        <v>0.1</v>
      </c>
      <c r="AB4" s="256">
        <v>0</v>
      </c>
      <c r="AC4" s="257">
        <v>0</v>
      </c>
      <c r="AD4" s="44"/>
      <c r="AE4" s="44"/>
      <c r="AF4" s="44"/>
      <c r="AG4" s="44"/>
      <c r="AH4" s="44"/>
      <c r="AI4" s="44"/>
      <c r="AJ4" s="44"/>
      <c r="AK4" s="44"/>
    </row>
    <row r="5" spans="1:39" ht="29.45" customHeight="1" x14ac:dyDescent="0.25">
      <c r="A5" s="440"/>
      <c r="B5" s="435"/>
      <c r="C5" s="443"/>
      <c r="D5" s="429"/>
      <c r="E5" s="259" t="s">
        <v>345</v>
      </c>
      <c r="F5" s="329">
        <v>0</v>
      </c>
      <c r="G5" s="329">
        <v>0</v>
      </c>
      <c r="H5" s="329">
        <v>0</v>
      </c>
      <c r="I5" s="329">
        <v>0</v>
      </c>
      <c r="J5" s="329">
        <v>0</v>
      </c>
      <c r="K5" s="329">
        <v>0</v>
      </c>
      <c r="L5" s="329">
        <v>0</v>
      </c>
      <c r="M5" s="329">
        <v>0</v>
      </c>
      <c r="N5" s="329">
        <v>0.1</v>
      </c>
      <c r="O5" s="329">
        <v>0.1</v>
      </c>
      <c r="P5" s="329">
        <v>0.1</v>
      </c>
      <c r="Q5" s="329">
        <v>0.1</v>
      </c>
      <c r="R5" s="329">
        <v>0.1</v>
      </c>
      <c r="S5" s="329">
        <v>0</v>
      </c>
      <c r="T5" s="329">
        <v>0</v>
      </c>
      <c r="U5" s="329">
        <v>0</v>
      </c>
      <c r="V5" s="329">
        <v>0</v>
      </c>
      <c r="W5" s="329">
        <v>0</v>
      </c>
      <c r="X5" s="329">
        <v>0</v>
      </c>
      <c r="Y5" s="329">
        <v>0</v>
      </c>
      <c r="Z5" s="329">
        <v>0</v>
      </c>
      <c r="AA5" s="329">
        <v>0</v>
      </c>
      <c r="AB5" s="329">
        <v>0</v>
      </c>
      <c r="AC5" s="330">
        <v>0</v>
      </c>
      <c r="AD5" s="44"/>
      <c r="AE5" s="44"/>
      <c r="AF5" s="44"/>
      <c r="AG5" s="44"/>
      <c r="AH5" s="44"/>
      <c r="AI5" s="44"/>
      <c r="AJ5" s="44"/>
      <c r="AK5" s="44"/>
    </row>
    <row r="6" spans="1:39" ht="29.45" customHeight="1" thickBot="1" x14ac:dyDescent="0.3">
      <c r="A6" s="441"/>
      <c r="B6" s="436"/>
      <c r="C6" s="444"/>
      <c r="D6" s="430"/>
      <c r="E6" s="260" t="s">
        <v>346</v>
      </c>
      <c r="F6" s="331">
        <v>0</v>
      </c>
      <c r="G6" s="331">
        <v>0</v>
      </c>
      <c r="H6" s="331">
        <v>0</v>
      </c>
      <c r="I6" s="331">
        <v>0</v>
      </c>
      <c r="J6" s="331">
        <v>0</v>
      </c>
      <c r="K6" s="331">
        <v>0</v>
      </c>
      <c r="L6" s="331">
        <v>0</v>
      </c>
      <c r="M6" s="331">
        <v>0</v>
      </c>
      <c r="N6" s="331">
        <v>0</v>
      </c>
      <c r="O6" s="331">
        <v>0</v>
      </c>
      <c r="P6" s="331">
        <v>0</v>
      </c>
      <c r="Q6" s="331">
        <v>0</v>
      </c>
      <c r="R6" s="331">
        <v>0</v>
      </c>
      <c r="S6" s="331">
        <v>0</v>
      </c>
      <c r="T6" s="331">
        <v>0</v>
      </c>
      <c r="U6" s="331">
        <v>0</v>
      </c>
      <c r="V6" s="331">
        <v>0</v>
      </c>
      <c r="W6" s="331">
        <v>0</v>
      </c>
      <c r="X6" s="331">
        <v>0</v>
      </c>
      <c r="Y6" s="331">
        <v>0</v>
      </c>
      <c r="Z6" s="331">
        <v>0</v>
      </c>
      <c r="AA6" s="331">
        <v>0</v>
      </c>
      <c r="AB6" s="331">
        <v>0</v>
      </c>
      <c r="AC6" s="332">
        <v>0</v>
      </c>
      <c r="AD6" s="44"/>
      <c r="AE6" s="44"/>
      <c r="AF6" s="44"/>
      <c r="AG6" s="44"/>
      <c r="AH6" s="44"/>
      <c r="AI6" s="44"/>
      <c r="AJ6" s="44"/>
      <c r="AK6" s="44"/>
    </row>
    <row r="7" spans="1:39" ht="29.45" customHeight="1" x14ac:dyDescent="0.25">
      <c r="A7" s="439" t="s">
        <v>371</v>
      </c>
      <c r="B7" s="434" t="str">
        <f>B4</f>
        <v>Classroom</v>
      </c>
      <c r="C7" s="442" t="s">
        <v>374</v>
      </c>
      <c r="D7" s="428" t="s">
        <v>373</v>
      </c>
      <c r="E7" s="333" t="s">
        <v>347</v>
      </c>
      <c r="F7" s="334">
        <v>0.05</v>
      </c>
      <c r="G7" s="334">
        <v>0.05</v>
      </c>
      <c r="H7" s="334">
        <v>0.05</v>
      </c>
      <c r="I7" s="334">
        <v>0.05</v>
      </c>
      <c r="J7" s="334">
        <v>0.05</v>
      </c>
      <c r="K7" s="334">
        <v>0.05</v>
      </c>
      <c r="L7" s="334">
        <v>0.05</v>
      </c>
      <c r="M7" s="334">
        <v>0.3</v>
      </c>
      <c r="N7" s="334">
        <v>0.6</v>
      </c>
      <c r="O7" s="334">
        <v>0.65</v>
      </c>
      <c r="P7" s="334">
        <v>0.65</v>
      </c>
      <c r="Q7" s="334">
        <v>0.65</v>
      </c>
      <c r="R7" s="334">
        <v>0.55000000000000004</v>
      </c>
      <c r="S7" s="334">
        <v>0.55000000000000004</v>
      </c>
      <c r="T7" s="334">
        <v>0.55000000000000004</v>
      </c>
      <c r="U7" s="334">
        <v>0.5</v>
      </c>
      <c r="V7" s="334">
        <v>0.35</v>
      </c>
      <c r="W7" s="334">
        <v>0.35</v>
      </c>
      <c r="X7" s="334">
        <v>0.35</v>
      </c>
      <c r="Y7" s="334">
        <v>0.35</v>
      </c>
      <c r="Z7" s="334">
        <v>0.35</v>
      </c>
      <c r="AA7" s="334">
        <v>0.3</v>
      </c>
      <c r="AB7" s="334">
        <v>0.05</v>
      </c>
      <c r="AC7" s="335">
        <v>0.05</v>
      </c>
      <c r="AD7" s="44"/>
      <c r="AE7" s="44"/>
      <c r="AF7" s="44"/>
      <c r="AG7" s="44"/>
      <c r="AH7" s="44"/>
      <c r="AI7" s="44"/>
      <c r="AJ7" s="44"/>
      <c r="AK7" s="44"/>
      <c r="AM7" s="55"/>
    </row>
    <row r="8" spans="1:39" ht="29.45" customHeight="1" x14ac:dyDescent="0.25">
      <c r="A8" s="440"/>
      <c r="B8" s="435"/>
      <c r="C8" s="443"/>
      <c r="D8" s="429"/>
      <c r="E8" s="336" t="s">
        <v>345</v>
      </c>
      <c r="F8" s="337">
        <v>0.05</v>
      </c>
      <c r="G8" s="337">
        <v>0.05</v>
      </c>
      <c r="H8" s="337">
        <v>0.05</v>
      </c>
      <c r="I8" s="337">
        <v>0.05</v>
      </c>
      <c r="J8" s="337">
        <v>0.05</v>
      </c>
      <c r="K8" s="337">
        <v>0.05</v>
      </c>
      <c r="L8" s="337">
        <v>0.05</v>
      </c>
      <c r="M8" s="337">
        <v>0.05</v>
      </c>
      <c r="N8" s="337">
        <v>0.15</v>
      </c>
      <c r="O8" s="337">
        <v>0.15</v>
      </c>
      <c r="P8" s="337">
        <v>0.15</v>
      </c>
      <c r="Q8" s="337">
        <v>0.15</v>
      </c>
      <c r="R8" s="337">
        <v>0.15</v>
      </c>
      <c r="S8" s="337">
        <v>0.05</v>
      </c>
      <c r="T8" s="337">
        <v>0.05</v>
      </c>
      <c r="U8" s="337">
        <v>0.05</v>
      </c>
      <c r="V8" s="337">
        <v>0.05</v>
      </c>
      <c r="W8" s="337">
        <v>0.05</v>
      </c>
      <c r="X8" s="337">
        <v>0.05</v>
      </c>
      <c r="Y8" s="337">
        <v>0.05</v>
      </c>
      <c r="Z8" s="337">
        <v>0.05</v>
      </c>
      <c r="AA8" s="337">
        <v>0.05</v>
      </c>
      <c r="AB8" s="337">
        <v>0.05</v>
      </c>
      <c r="AC8" s="338">
        <v>0.05</v>
      </c>
      <c r="AD8" s="44"/>
      <c r="AE8" s="44"/>
      <c r="AF8" s="44"/>
      <c r="AG8" s="44"/>
      <c r="AH8" s="44"/>
      <c r="AI8" s="44"/>
      <c r="AJ8" s="44"/>
      <c r="AK8" s="44"/>
      <c r="AM8" s="55"/>
    </row>
    <row r="9" spans="1:39" ht="29.45" customHeight="1" thickBot="1" x14ac:dyDescent="0.3">
      <c r="A9" s="441"/>
      <c r="B9" s="436"/>
      <c r="C9" s="444"/>
      <c r="D9" s="430"/>
      <c r="E9" s="339" t="s">
        <v>346</v>
      </c>
      <c r="F9" s="340">
        <v>0.05</v>
      </c>
      <c r="G9" s="340">
        <v>0.05</v>
      </c>
      <c r="H9" s="340">
        <v>0.05</v>
      </c>
      <c r="I9" s="340">
        <v>0.05</v>
      </c>
      <c r="J9" s="340">
        <v>0.05</v>
      </c>
      <c r="K9" s="340">
        <v>0.05</v>
      </c>
      <c r="L9" s="340">
        <v>0.05</v>
      </c>
      <c r="M9" s="340">
        <v>0.05</v>
      </c>
      <c r="N9" s="340">
        <v>0.05</v>
      </c>
      <c r="O9" s="340">
        <v>0.05</v>
      </c>
      <c r="P9" s="340">
        <v>0.05</v>
      </c>
      <c r="Q9" s="340">
        <v>0.05</v>
      </c>
      <c r="R9" s="340">
        <v>0.05</v>
      </c>
      <c r="S9" s="340">
        <v>0.05</v>
      </c>
      <c r="T9" s="340">
        <v>0.05</v>
      </c>
      <c r="U9" s="340">
        <v>0.05</v>
      </c>
      <c r="V9" s="340">
        <v>0.05</v>
      </c>
      <c r="W9" s="340">
        <v>0.05</v>
      </c>
      <c r="X9" s="340">
        <v>0.05</v>
      </c>
      <c r="Y9" s="340">
        <v>0.05</v>
      </c>
      <c r="Z9" s="340">
        <v>0.05</v>
      </c>
      <c r="AA9" s="340">
        <v>0.05</v>
      </c>
      <c r="AB9" s="340">
        <v>0.05</v>
      </c>
      <c r="AC9" s="341">
        <v>0.05</v>
      </c>
      <c r="AD9" s="44"/>
      <c r="AE9" s="44"/>
      <c r="AF9" s="44"/>
      <c r="AG9" s="44"/>
      <c r="AH9" s="44"/>
      <c r="AI9" s="44"/>
      <c r="AJ9" s="44"/>
      <c r="AK9" s="44"/>
      <c r="AM9" s="55"/>
    </row>
    <row r="10" spans="1:39" ht="29.45" customHeight="1" x14ac:dyDescent="0.25">
      <c r="A10" s="439" t="s">
        <v>371</v>
      </c>
      <c r="B10" s="434" t="str">
        <f>B4</f>
        <v>Classroom</v>
      </c>
      <c r="C10" s="442" t="s">
        <v>375</v>
      </c>
      <c r="D10" s="428" t="s">
        <v>373</v>
      </c>
      <c r="E10" s="342" t="s">
        <v>347</v>
      </c>
      <c r="F10" s="256">
        <v>0.05</v>
      </c>
      <c r="G10" s="256">
        <v>0.05</v>
      </c>
      <c r="H10" s="256">
        <v>0.05</v>
      </c>
      <c r="I10" s="256">
        <v>0.05</v>
      </c>
      <c r="J10" s="256">
        <v>0.05</v>
      </c>
      <c r="K10" s="256">
        <v>0.05</v>
      </c>
      <c r="L10" s="256">
        <v>0.05</v>
      </c>
      <c r="M10" s="256">
        <v>0.3</v>
      </c>
      <c r="N10" s="256">
        <v>0.85</v>
      </c>
      <c r="O10" s="256">
        <v>0.95</v>
      </c>
      <c r="P10" s="256">
        <v>0.95</v>
      </c>
      <c r="Q10" s="256">
        <v>0.95</v>
      </c>
      <c r="R10" s="256">
        <v>0.8</v>
      </c>
      <c r="S10" s="256">
        <v>0.8</v>
      </c>
      <c r="T10" s="256">
        <v>0.8</v>
      </c>
      <c r="U10" s="256">
        <v>0.7</v>
      </c>
      <c r="V10" s="256">
        <v>0.5</v>
      </c>
      <c r="W10" s="256">
        <v>0.5</v>
      </c>
      <c r="X10" s="256">
        <v>0.35</v>
      </c>
      <c r="Y10" s="256">
        <v>0.35</v>
      </c>
      <c r="Z10" s="256">
        <v>0.35</v>
      </c>
      <c r="AA10" s="256">
        <v>0.3</v>
      </c>
      <c r="AB10" s="256">
        <v>0.05</v>
      </c>
      <c r="AC10" s="257">
        <v>0.05</v>
      </c>
      <c r="AD10" s="45"/>
      <c r="AE10" s="44"/>
      <c r="AF10" s="44"/>
      <c r="AG10" s="44"/>
      <c r="AH10" s="44"/>
      <c r="AI10" s="44"/>
      <c r="AJ10" s="44"/>
      <c r="AK10" s="44"/>
      <c r="AM10" s="55"/>
    </row>
    <row r="11" spans="1:39" ht="29.45" customHeight="1" x14ac:dyDescent="0.25">
      <c r="A11" s="440"/>
      <c r="B11" s="435"/>
      <c r="C11" s="443"/>
      <c r="D11" s="429"/>
      <c r="E11" s="336" t="s">
        <v>345</v>
      </c>
      <c r="F11" s="329">
        <v>0.05</v>
      </c>
      <c r="G11" s="329">
        <v>0.05</v>
      </c>
      <c r="H11" s="329">
        <v>0.05</v>
      </c>
      <c r="I11" s="329">
        <v>0.05</v>
      </c>
      <c r="J11" s="329">
        <v>0.05</v>
      </c>
      <c r="K11" s="329">
        <v>0.05</v>
      </c>
      <c r="L11" s="329">
        <v>0.05</v>
      </c>
      <c r="M11" s="329">
        <v>0.05</v>
      </c>
      <c r="N11" s="329">
        <v>0.15</v>
      </c>
      <c r="O11" s="329">
        <v>0.15</v>
      </c>
      <c r="P11" s="329">
        <v>0.15</v>
      </c>
      <c r="Q11" s="329">
        <v>0.15</v>
      </c>
      <c r="R11" s="329">
        <v>0.15</v>
      </c>
      <c r="S11" s="329">
        <v>0.05</v>
      </c>
      <c r="T11" s="329">
        <v>0.05</v>
      </c>
      <c r="U11" s="329">
        <v>0.05</v>
      </c>
      <c r="V11" s="329">
        <v>0.05</v>
      </c>
      <c r="W11" s="329">
        <v>0.05</v>
      </c>
      <c r="X11" s="329">
        <v>0.05</v>
      </c>
      <c r="Y11" s="329">
        <v>0.05</v>
      </c>
      <c r="Z11" s="329">
        <v>0.05</v>
      </c>
      <c r="AA11" s="329">
        <v>0.05</v>
      </c>
      <c r="AB11" s="329">
        <v>0.05</v>
      </c>
      <c r="AC11" s="330">
        <v>0.05</v>
      </c>
      <c r="AD11" s="45"/>
      <c r="AE11" s="44"/>
      <c r="AF11" s="44"/>
      <c r="AG11" s="44"/>
      <c r="AH11" s="44"/>
      <c r="AI11" s="44"/>
      <c r="AJ11" s="44"/>
      <c r="AK11" s="44"/>
      <c r="AM11" s="55"/>
    </row>
    <row r="12" spans="1:39" ht="29.45" customHeight="1" thickBot="1" x14ac:dyDescent="0.3">
      <c r="A12" s="441"/>
      <c r="B12" s="436"/>
      <c r="C12" s="444"/>
      <c r="D12" s="430"/>
      <c r="E12" s="339" t="s">
        <v>346</v>
      </c>
      <c r="F12" s="331">
        <v>0.05</v>
      </c>
      <c r="G12" s="331">
        <v>0.05</v>
      </c>
      <c r="H12" s="331">
        <v>0.05</v>
      </c>
      <c r="I12" s="331">
        <v>0.05</v>
      </c>
      <c r="J12" s="331">
        <v>0.05</v>
      </c>
      <c r="K12" s="331">
        <v>0.05</v>
      </c>
      <c r="L12" s="331">
        <v>0.05</v>
      </c>
      <c r="M12" s="331">
        <v>0.05</v>
      </c>
      <c r="N12" s="331">
        <v>0.05</v>
      </c>
      <c r="O12" s="331">
        <v>0.05</v>
      </c>
      <c r="P12" s="331">
        <v>0.05</v>
      </c>
      <c r="Q12" s="331">
        <v>0.05</v>
      </c>
      <c r="R12" s="331">
        <v>0.05</v>
      </c>
      <c r="S12" s="331">
        <v>0.05</v>
      </c>
      <c r="T12" s="331">
        <v>0.05</v>
      </c>
      <c r="U12" s="331">
        <v>0.05</v>
      </c>
      <c r="V12" s="331">
        <v>0.05</v>
      </c>
      <c r="W12" s="331">
        <v>0.05</v>
      </c>
      <c r="X12" s="331">
        <v>0.05</v>
      </c>
      <c r="Y12" s="331">
        <v>0.05</v>
      </c>
      <c r="Z12" s="331">
        <v>0.05</v>
      </c>
      <c r="AA12" s="331">
        <v>0.05</v>
      </c>
      <c r="AB12" s="331">
        <v>0.05</v>
      </c>
      <c r="AC12" s="332">
        <v>0.05</v>
      </c>
      <c r="AD12" s="45"/>
      <c r="AE12" s="44"/>
      <c r="AF12" s="44"/>
      <c r="AG12" s="44"/>
      <c r="AH12" s="44"/>
      <c r="AI12" s="44"/>
      <c r="AJ12" s="44"/>
      <c r="AK12" s="44"/>
      <c r="AM12" s="55"/>
    </row>
    <row r="13" spans="1:39" ht="29.45" customHeight="1" x14ac:dyDescent="0.25">
      <c r="A13" s="439" t="s">
        <v>371</v>
      </c>
      <c r="B13" s="434" t="str">
        <f>B4</f>
        <v>Classroom</v>
      </c>
      <c r="C13" s="442" t="s">
        <v>376</v>
      </c>
      <c r="D13" s="428" t="s">
        <v>373</v>
      </c>
      <c r="E13" s="258" t="s">
        <v>347</v>
      </c>
      <c r="F13" s="256">
        <v>0.05</v>
      </c>
      <c r="G13" s="256">
        <v>0.05</v>
      </c>
      <c r="H13" s="256">
        <v>0.05</v>
      </c>
      <c r="I13" s="256">
        <v>0.05</v>
      </c>
      <c r="J13" s="256">
        <v>0.05</v>
      </c>
      <c r="K13" s="256">
        <v>0.05</v>
      </c>
      <c r="L13" s="256">
        <v>0.05</v>
      </c>
      <c r="M13" s="256">
        <v>0.1</v>
      </c>
      <c r="N13" s="256">
        <v>0.34</v>
      </c>
      <c r="O13" s="256">
        <v>0.6</v>
      </c>
      <c r="P13" s="256">
        <v>0.63</v>
      </c>
      <c r="Q13" s="256">
        <v>0.72</v>
      </c>
      <c r="R13" s="256">
        <v>0.79</v>
      </c>
      <c r="S13" s="256">
        <v>0.83</v>
      </c>
      <c r="T13" s="256">
        <v>0.61</v>
      </c>
      <c r="U13" s="256">
        <v>0.65</v>
      </c>
      <c r="V13" s="256">
        <v>0.1</v>
      </c>
      <c r="W13" s="256">
        <v>0.1</v>
      </c>
      <c r="X13" s="256">
        <v>0.19</v>
      </c>
      <c r="Y13" s="256">
        <v>0.25</v>
      </c>
      <c r="Z13" s="256">
        <v>0.22</v>
      </c>
      <c r="AA13" s="256">
        <v>0.22</v>
      </c>
      <c r="AB13" s="256">
        <v>0.12</v>
      </c>
      <c r="AC13" s="257">
        <v>0.09</v>
      </c>
      <c r="AD13" s="44"/>
      <c r="AE13" s="44"/>
      <c r="AF13" s="44"/>
      <c r="AG13" s="44"/>
      <c r="AH13" s="44"/>
      <c r="AI13" s="44"/>
      <c r="AJ13" s="44"/>
      <c r="AK13" s="44"/>
      <c r="AM13" s="55"/>
    </row>
    <row r="14" spans="1:39" ht="29.45" customHeight="1" x14ac:dyDescent="0.25">
      <c r="A14" s="440"/>
      <c r="B14" s="435"/>
      <c r="C14" s="443"/>
      <c r="D14" s="429"/>
      <c r="E14" s="259" t="s">
        <v>345</v>
      </c>
      <c r="F14" s="329">
        <v>0.03</v>
      </c>
      <c r="G14" s="329">
        <v>0.03</v>
      </c>
      <c r="H14" s="329">
        <v>0.03</v>
      </c>
      <c r="I14" s="329">
        <v>0.03</v>
      </c>
      <c r="J14" s="329">
        <v>0.03</v>
      </c>
      <c r="K14" s="329">
        <v>0.03</v>
      </c>
      <c r="L14" s="329">
        <v>0.03</v>
      </c>
      <c r="M14" s="329">
        <v>0.03</v>
      </c>
      <c r="N14" s="329">
        <v>0.03</v>
      </c>
      <c r="O14" s="329">
        <v>0.05</v>
      </c>
      <c r="P14" s="329">
        <v>0.05</v>
      </c>
      <c r="Q14" s="329">
        <v>0.05</v>
      </c>
      <c r="R14" s="329">
        <v>0.05</v>
      </c>
      <c r="S14" s="329">
        <v>0.03</v>
      </c>
      <c r="T14" s="329">
        <v>0.03</v>
      </c>
      <c r="U14" s="329">
        <v>0.03</v>
      </c>
      <c r="V14" s="329">
        <v>0.03</v>
      </c>
      <c r="W14" s="329">
        <v>0.03</v>
      </c>
      <c r="X14" s="329">
        <v>0.03</v>
      </c>
      <c r="Y14" s="329">
        <v>0.03</v>
      </c>
      <c r="Z14" s="329">
        <v>0.03</v>
      </c>
      <c r="AA14" s="329">
        <v>0.03</v>
      </c>
      <c r="AB14" s="329">
        <v>0.03</v>
      </c>
      <c r="AC14" s="330">
        <v>0.03</v>
      </c>
      <c r="AD14" s="44"/>
      <c r="AE14" s="44"/>
      <c r="AF14" s="44"/>
      <c r="AG14" s="44"/>
      <c r="AH14" s="44"/>
      <c r="AI14" s="44"/>
      <c r="AJ14" s="44"/>
      <c r="AK14" s="44"/>
      <c r="AM14" s="55"/>
    </row>
    <row r="15" spans="1:39" ht="29.45" customHeight="1" thickBot="1" x14ac:dyDescent="0.3">
      <c r="A15" s="441"/>
      <c r="B15" s="436"/>
      <c r="C15" s="444"/>
      <c r="D15" s="430"/>
      <c r="E15" s="260" t="s">
        <v>346</v>
      </c>
      <c r="F15" s="331">
        <v>0.03</v>
      </c>
      <c r="G15" s="331">
        <v>0.03</v>
      </c>
      <c r="H15" s="331">
        <v>0.03</v>
      </c>
      <c r="I15" s="331">
        <v>0.03</v>
      </c>
      <c r="J15" s="331">
        <v>0.03</v>
      </c>
      <c r="K15" s="331">
        <v>0.03</v>
      </c>
      <c r="L15" s="331">
        <v>0.03</v>
      </c>
      <c r="M15" s="331">
        <v>0.03</v>
      </c>
      <c r="N15" s="331">
        <v>0.05</v>
      </c>
      <c r="O15" s="331">
        <v>0.05</v>
      </c>
      <c r="P15" s="331">
        <v>0.05</v>
      </c>
      <c r="Q15" s="331">
        <v>0.05</v>
      </c>
      <c r="R15" s="331">
        <v>0.05</v>
      </c>
      <c r="S15" s="331">
        <v>0.05</v>
      </c>
      <c r="T15" s="331">
        <v>0.03</v>
      </c>
      <c r="U15" s="331">
        <v>0.03</v>
      </c>
      <c r="V15" s="331">
        <v>0.03</v>
      </c>
      <c r="W15" s="331">
        <v>0.03</v>
      </c>
      <c r="X15" s="331">
        <v>0.03</v>
      </c>
      <c r="Y15" s="331">
        <v>0.03</v>
      </c>
      <c r="Z15" s="331">
        <v>0.03</v>
      </c>
      <c r="AA15" s="331">
        <v>0.03</v>
      </c>
      <c r="AB15" s="331">
        <v>0.03</v>
      </c>
      <c r="AC15" s="332">
        <v>0.03</v>
      </c>
      <c r="AD15" s="44"/>
      <c r="AE15" s="44"/>
      <c r="AF15" s="44"/>
      <c r="AG15" s="44"/>
      <c r="AH15" s="44"/>
      <c r="AI15" s="44"/>
      <c r="AJ15" s="44"/>
      <c r="AK15" s="44"/>
      <c r="AM15" s="55"/>
    </row>
    <row r="16" spans="1:39" ht="29.45" customHeight="1" x14ac:dyDescent="0.25">
      <c r="A16" s="439" t="s">
        <v>371</v>
      </c>
      <c r="B16" s="434" t="str">
        <f>B4</f>
        <v>Classroom</v>
      </c>
      <c r="C16" s="442" t="s">
        <v>377</v>
      </c>
      <c r="D16" s="428" t="s">
        <v>373</v>
      </c>
      <c r="E16" s="342" t="s">
        <v>347</v>
      </c>
      <c r="F16" s="256">
        <v>0</v>
      </c>
      <c r="G16" s="256">
        <v>0</v>
      </c>
      <c r="H16" s="256">
        <v>0</v>
      </c>
      <c r="I16" s="256">
        <v>0</v>
      </c>
      <c r="J16" s="256">
        <v>0</v>
      </c>
      <c r="K16" s="256">
        <v>0</v>
      </c>
      <c r="L16" s="256">
        <v>0</v>
      </c>
      <c r="M16" s="256">
        <v>0.5</v>
      </c>
      <c r="N16" s="256">
        <v>0.5</v>
      </c>
      <c r="O16" s="256">
        <v>0.75</v>
      </c>
      <c r="P16" s="256">
        <v>0.9</v>
      </c>
      <c r="Q16" s="256">
        <v>0.9</v>
      </c>
      <c r="R16" s="256">
        <v>0.9</v>
      </c>
      <c r="S16" s="256">
        <v>0</v>
      </c>
      <c r="T16" s="256">
        <v>0</v>
      </c>
      <c r="U16" s="256">
        <v>0</v>
      </c>
      <c r="V16" s="256">
        <v>0</v>
      </c>
      <c r="W16" s="256">
        <v>0</v>
      </c>
      <c r="X16" s="256">
        <v>0</v>
      </c>
      <c r="Y16" s="256">
        <v>0</v>
      </c>
      <c r="Z16" s="256">
        <v>0</v>
      </c>
      <c r="AA16" s="256">
        <v>0</v>
      </c>
      <c r="AB16" s="256">
        <v>0</v>
      </c>
      <c r="AC16" s="257">
        <v>0</v>
      </c>
      <c r="AD16" s="45"/>
      <c r="AE16" s="44"/>
      <c r="AF16" s="44"/>
      <c r="AG16" s="44"/>
      <c r="AH16" s="44"/>
      <c r="AI16" s="44"/>
      <c r="AJ16" s="44"/>
      <c r="AK16" s="44"/>
      <c r="AM16" s="55"/>
    </row>
    <row r="17" spans="1:39" ht="29.45" customHeight="1" x14ac:dyDescent="0.25">
      <c r="A17" s="440"/>
      <c r="B17" s="435"/>
      <c r="C17" s="443"/>
      <c r="D17" s="429"/>
      <c r="E17" s="336" t="s">
        <v>345</v>
      </c>
      <c r="F17" s="329">
        <v>0</v>
      </c>
      <c r="G17" s="329">
        <v>0</v>
      </c>
      <c r="H17" s="329">
        <v>0</v>
      </c>
      <c r="I17" s="329">
        <v>0</v>
      </c>
      <c r="J17" s="329">
        <v>0</v>
      </c>
      <c r="K17" s="329">
        <v>0</v>
      </c>
      <c r="L17" s="329">
        <v>0</v>
      </c>
      <c r="M17" s="329">
        <v>0</v>
      </c>
      <c r="N17" s="329">
        <v>0</v>
      </c>
      <c r="O17" s="329">
        <v>0</v>
      </c>
      <c r="P17" s="329">
        <v>0</v>
      </c>
      <c r="Q17" s="329">
        <v>0</v>
      </c>
      <c r="R17" s="329">
        <v>0</v>
      </c>
      <c r="S17" s="329">
        <v>0</v>
      </c>
      <c r="T17" s="329">
        <v>0</v>
      </c>
      <c r="U17" s="329">
        <v>0</v>
      </c>
      <c r="V17" s="329">
        <v>0</v>
      </c>
      <c r="W17" s="329">
        <v>0</v>
      </c>
      <c r="X17" s="329">
        <v>0</v>
      </c>
      <c r="Y17" s="329">
        <v>0</v>
      </c>
      <c r="Z17" s="329">
        <v>0</v>
      </c>
      <c r="AA17" s="329">
        <v>0</v>
      </c>
      <c r="AB17" s="329">
        <v>0</v>
      </c>
      <c r="AC17" s="330">
        <v>0</v>
      </c>
      <c r="AD17" s="45"/>
      <c r="AE17" s="44"/>
      <c r="AF17" s="44"/>
      <c r="AG17" s="44"/>
      <c r="AH17" s="44"/>
      <c r="AI17" s="44"/>
      <c r="AJ17" s="44"/>
      <c r="AK17" s="44"/>
      <c r="AM17" s="55"/>
    </row>
    <row r="18" spans="1:39" ht="29.45" customHeight="1" thickBot="1" x14ac:dyDescent="0.3">
      <c r="A18" s="441"/>
      <c r="B18" s="436"/>
      <c r="C18" s="444"/>
      <c r="D18" s="430"/>
      <c r="E18" s="339" t="s">
        <v>346</v>
      </c>
      <c r="F18" s="331">
        <v>0</v>
      </c>
      <c r="G18" s="331">
        <v>0</v>
      </c>
      <c r="H18" s="331">
        <v>0</v>
      </c>
      <c r="I18" s="331">
        <v>0</v>
      </c>
      <c r="J18" s="331">
        <v>0</v>
      </c>
      <c r="K18" s="331">
        <v>0</v>
      </c>
      <c r="L18" s="331">
        <v>0</v>
      </c>
      <c r="M18" s="331">
        <v>0</v>
      </c>
      <c r="N18" s="331">
        <v>0</v>
      </c>
      <c r="O18" s="331">
        <v>0</v>
      </c>
      <c r="P18" s="331">
        <v>0</v>
      </c>
      <c r="Q18" s="331">
        <v>0</v>
      </c>
      <c r="R18" s="331">
        <v>0</v>
      </c>
      <c r="S18" s="331">
        <v>0</v>
      </c>
      <c r="T18" s="331">
        <v>0</v>
      </c>
      <c r="U18" s="331">
        <v>0</v>
      </c>
      <c r="V18" s="331">
        <v>0</v>
      </c>
      <c r="W18" s="331">
        <v>0</v>
      </c>
      <c r="X18" s="331">
        <v>0</v>
      </c>
      <c r="Y18" s="331">
        <v>0</v>
      </c>
      <c r="Z18" s="331">
        <v>0</v>
      </c>
      <c r="AA18" s="331">
        <v>0</v>
      </c>
      <c r="AB18" s="331">
        <v>0</v>
      </c>
      <c r="AC18" s="332">
        <v>0</v>
      </c>
      <c r="AD18" s="45"/>
      <c r="AE18" s="44"/>
      <c r="AF18" s="44"/>
      <c r="AG18" s="44"/>
      <c r="AH18" s="44"/>
      <c r="AI18" s="44"/>
      <c r="AJ18" s="44"/>
      <c r="AK18" s="44"/>
      <c r="AM18" s="55"/>
    </row>
    <row r="19" spans="1:39" ht="29.45" customHeight="1" x14ac:dyDescent="0.25">
      <c r="A19" s="439" t="s">
        <v>371</v>
      </c>
      <c r="B19" s="434" t="str">
        <f>B4</f>
        <v>Classroom</v>
      </c>
      <c r="C19" s="442" t="s">
        <v>378</v>
      </c>
      <c r="D19" s="428" t="s">
        <v>373</v>
      </c>
      <c r="E19" s="342" t="s">
        <v>347</v>
      </c>
      <c r="F19" s="256">
        <v>0.9</v>
      </c>
      <c r="G19" s="256">
        <v>0.9</v>
      </c>
      <c r="H19" s="256">
        <v>0.9</v>
      </c>
      <c r="I19" s="256">
        <v>0.9</v>
      </c>
      <c r="J19" s="256">
        <v>0.9</v>
      </c>
      <c r="K19" s="256">
        <v>0.9</v>
      </c>
      <c r="L19" s="256">
        <v>0.9</v>
      </c>
      <c r="M19" s="256">
        <v>0.9</v>
      </c>
      <c r="N19" s="256">
        <v>0.9</v>
      </c>
      <c r="O19" s="256">
        <v>0.9</v>
      </c>
      <c r="P19" s="256">
        <v>0.9</v>
      </c>
      <c r="Q19" s="256">
        <v>0.9</v>
      </c>
      <c r="R19" s="256">
        <v>0.9</v>
      </c>
      <c r="S19" s="256">
        <v>0.9</v>
      </c>
      <c r="T19" s="256">
        <v>0.9</v>
      </c>
      <c r="U19" s="256">
        <v>0.9</v>
      </c>
      <c r="V19" s="256">
        <v>0.9</v>
      </c>
      <c r="W19" s="256">
        <v>0.9</v>
      </c>
      <c r="X19" s="256">
        <v>0.9</v>
      </c>
      <c r="Y19" s="256">
        <v>0.9</v>
      </c>
      <c r="Z19" s="256">
        <v>0.9</v>
      </c>
      <c r="AA19" s="256">
        <v>0.9</v>
      </c>
      <c r="AB19" s="256">
        <v>0.9</v>
      </c>
      <c r="AC19" s="257">
        <v>0.9</v>
      </c>
      <c r="AD19" s="45"/>
      <c r="AE19" s="44"/>
      <c r="AF19" s="44"/>
      <c r="AG19" s="44"/>
      <c r="AH19" s="44"/>
      <c r="AI19" s="44"/>
      <c r="AJ19" s="44"/>
      <c r="AK19" s="44"/>
      <c r="AM19" s="55"/>
    </row>
    <row r="20" spans="1:39" ht="29.45" customHeight="1" x14ac:dyDescent="0.25">
      <c r="A20" s="440"/>
      <c r="B20" s="435"/>
      <c r="C20" s="443"/>
      <c r="D20" s="429"/>
      <c r="E20" s="336" t="s">
        <v>345</v>
      </c>
      <c r="F20" s="329">
        <v>0.9</v>
      </c>
      <c r="G20" s="329">
        <v>0.9</v>
      </c>
      <c r="H20" s="329">
        <v>0.9</v>
      </c>
      <c r="I20" s="329">
        <v>0.9</v>
      </c>
      <c r="J20" s="329">
        <v>0.9</v>
      </c>
      <c r="K20" s="329">
        <v>0.9</v>
      </c>
      <c r="L20" s="329">
        <v>0.9</v>
      </c>
      <c r="M20" s="329">
        <v>0.9</v>
      </c>
      <c r="N20" s="329">
        <v>0.9</v>
      </c>
      <c r="O20" s="329">
        <v>0.9</v>
      </c>
      <c r="P20" s="329">
        <v>0.9</v>
      </c>
      <c r="Q20" s="329">
        <v>0.9</v>
      </c>
      <c r="R20" s="329">
        <v>0.9</v>
      </c>
      <c r="S20" s="329">
        <v>0.9</v>
      </c>
      <c r="T20" s="329">
        <v>0.9</v>
      </c>
      <c r="U20" s="329">
        <v>0.9</v>
      </c>
      <c r="V20" s="329">
        <v>0.9</v>
      </c>
      <c r="W20" s="329">
        <v>0.9</v>
      </c>
      <c r="X20" s="329">
        <v>0.9</v>
      </c>
      <c r="Y20" s="329">
        <v>0.9</v>
      </c>
      <c r="Z20" s="329">
        <v>0.9</v>
      </c>
      <c r="AA20" s="329">
        <v>0.9</v>
      </c>
      <c r="AB20" s="329">
        <v>0.9</v>
      </c>
      <c r="AC20" s="330">
        <v>0.9</v>
      </c>
      <c r="AD20" s="45"/>
      <c r="AE20" s="44"/>
      <c r="AF20" s="44"/>
      <c r="AG20" s="44"/>
      <c r="AH20" s="44"/>
      <c r="AI20" s="44"/>
      <c r="AJ20" s="44"/>
      <c r="AK20" s="44"/>
      <c r="AM20" s="55"/>
    </row>
    <row r="21" spans="1:39" ht="29.45" customHeight="1" thickBot="1" x14ac:dyDescent="0.3">
      <c r="A21" s="441"/>
      <c r="B21" s="436"/>
      <c r="C21" s="444"/>
      <c r="D21" s="430"/>
      <c r="E21" s="339" t="s">
        <v>346</v>
      </c>
      <c r="F21" s="331">
        <v>0.9</v>
      </c>
      <c r="G21" s="331">
        <v>0.9</v>
      </c>
      <c r="H21" s="331">
        <v>0.9</v>
      </c>
      <c r="I21" s="331">
        <v>0.9</v>
      </c>
      <c r="J21" s="331">
        <v>0.9</v>
      </c>
      <c r="K21" s="331">
        <v>0.9</v>
      </c>
      <c r="L21" s="331">
        <v>0.9</v>
      </c>
      <c r="M21" s="331">
        <v>0.9</v>
      </c>
      <c r="N21" s="331">
        <v>0.9</v>
      </c>
      <c r="O21" s="331">
        <v>0.9</v>
      </c>
      <c r="P21" s="331">
        <v>0.9</v>
      </c>
      <c r="Q21" s="331">
        <v>0.9</v>
      </c>
      <c r="R21" s="331">
        <v>0.9</v>
      </c>
      <c r="S21" s="331">
        <v>0.9</v>
      </c>
      <c r="T21" s="331">
        <v>0.9</v>
      </c>
      <c r="U21" s="331">
        <v>0.9</v>
      </c>
      <c r="V21" s="331">
        <v>0.9</v>
      </c>
      <c r="W21" s="331">
        <v>0.9</v>
      </c>
      <c r="X21" s="331">
        <v>0.9</v>
      </c>
      <c r="Y21" s="331">
        <v>0.9</v>
      </c>
      <c r="Z21" s="331">
        <v>0.9</v>
      </c>
      <c r="AA21" s="331">
        <v>0.9</v>
      </c>
      <c r="AB21" s="331">
        <v>0.9</v>
      </c>
      <c r="AC21" s="332">
        <v>0.9</v>
      </c>
      <c r="AD21" s="45"/>
      <c r="AE21" s="44"/>
      <c r="AF21" s="44"/>
      <c r="AG21" s="44"/>
      <c r="AH21" s="44"/>
      <c r="AI21" s="44"/>
      <c r="AJ21" s="44"/>
      <c r="AK21" s="44"/>
      <c r="AM21" s="55"/>
    </row>
    <row r="22" spans="1:39" ht="29.45" customHeight="1" x14ac:dyDescent="0.25">
      <c r="A22" s="439" t="s">
        <v>371</v>
      </c>
      <c r="B22" s="434" t="str">
        <f>B4</f>
        <v>Classroom</v>
      </c>
      <c r="C22" s="442" t="s">
        <v>379</v>
      </c>
      <c r="D22" s="428" t="s">
        <v>373</v>
      </c>
      <c r="E22" s="342" t="s">
        <v>347</v>
      </c>
      <c r="F22" s="256">
        <v>0</v>
      </c>
      <c r="G22" s="256">
        <v>0</v>
      </c>
      <c r="H22" s="256">
        <v>0</v>
      </c>
      <c r="I22" s="256">
        <v>0</v>
      </c>
      <c r="J22" s="256">
        <v>0</v>
      </c>
      <c r="K22" s="256">
        <v>0</v>
      </c>
      <c r="L22" s="256">
        <v>1</v>
      </c>
      <c r="M22" s="256">
        <v>1</v>
      </c>
      <c r="N22" s="256">
        <v>1</v>
      </c>
      <c r="O22" s="256">
        <v>1</v>
      </c>
      <c r="P22" s="256">
        <v>1</v>
      </c>
      <c r="Q22" s="256">
        <v>1</v>
      </c>
      <c r="R22" s="256">
        <v>1</v>
      </c>
      <c r="S22" s="256">
        <v>1</v>
      </c>
      <c r="T22" s="256">
        <v>1</v>
      </c>
      <c r="U22" s="256">
        <v>1</v>
      </c>
      <c r="V22" s="256">
        <v>1</v>
      </c>
      <c r="W22" s="256">
        <v>1</v>
      </c>
      <c r="X22" s="256">
        <v>1</v>
      </c>
      <c r="Y22" s="256">
        <v>1</v>
      </c>
      <c r="Z22" s="256">
        <v>1</v>
      </c>
      <c r="AA22" s="256">
        <v>1</v>
      </c>
      <c r="AB22" s="256">
        <v>0</v>
      </c>
      <c r="AC22" s="257">
        <v>0</v>
      </c>
      <c r="AD22" s="45"/>
      <c r="AE22" s="44"/>
      <c r="AF22" s="44"/>
      <c r="AG22" s="44"/>
      <c r="AH22" s="44"/>
      <c r="AI22" s="44"/>
      <c r="AJ22" s="44"/>
      <c r="AK22" s="44"/>
      <c r="AM22" s="55"/>
    </row>
    <row r="23" spans="1:39" ht="29.45" customHeight="1" x14ac:dyDescent="0.25">
      <c r="A23" s="440"/>
      <c r="B23" s="435"/>
      <c r="C23" s="443"/>
      <c r="D23" s="429"/>
      <c r="E23" s="336" t="s">
        <v>345</v>
      </c>
      <c r="F23" s="329">
        <v>0</v>
      </c>
      <c r="G23" s="329">
        <v>0</v>
      </c>
      <c r="H23" s="329">
        <v>0</v>
      </c>
      <c r="I23" s="329">
        <v>0</v>
      </c>
      <c r="J23" s="329">
        <v>0</v>
      </c>
      <c r="K23" s="329">
        <v>0</v>
      </c>
      <c r="L23" s="329">
        <v>0</v>
      </c>
      <c r="M23" s="329">
        <v>1</v>
      </c>
      <c r="N23" s="329">
        <v>1</v>
      </c>
      <c r="O23" s="329">
        <v>1</v>
      </c>
      <c r="P23" s="329">
        <v>1</v>
      </c>
      <c r="Q23" s="329">
        <v>1</v>
      </c>
      <c r="R23" s="329">
        <v>1</v>
      </c>
      <c r="S23" s="329">
        <v>0</v>
      </c>
      <c r="T23" s="329">
        <v>0</v>
      </c>
      <c r="U23" s="329">
        <v>0</v>
      </c>
      <c r="V23" s="329">
        <v>0</v>
      </c>
      <c r="W23" s="329">
        <v>0</v>
      </c>
      <c r="X23" s="329">
        <v>0</v>
      </c>
      <c r="Y23" s="329">
        <v>0</v>
      </c>
      <c r="Z23" s="329">
        <v>0</v>
      </c>
      <c r="AA23" s="329">
        <v>0</v>
      </c>
      <c r="AB23" s="329">
        <v>0</v>
      </c>
      <c r="AC23" s="330">
        <v>0</v>
      </c>
      <c r="AD23" s="45"/>
      <c r="AE23" s="44"/>
      <c r="AF23" s="44"/>
      <c r="AG23" s="44"/>
      <c r="AH23" s="44"/>
      <c r="AI23" s="44"/>
      <c r="AJ23" s="44"/>
      <c r="AK23" s="44"/>
      <c r="AM23" s="55"/>
    </row>
    <row r="24" spans="1:39" ht="29.45" customHeight="1" thickBot="1" x14ac:dyDescent="0.3">
      <c r="A24" s="441"/>
      <c r="B24" s="436"/>
      <c r="C24" s="444"/>
      <c r="D24" s="430"/>
      <c r="E24" s="343" t="s">
        <v>346</v>
      </c>
      <c r="F24" s="344">
        <v>0</v>
      </c>
      <c r="G24" s="344">
        <v>0</v>
      </c>
      <c r="H24" s="344">
        <v>0</v>
      </c>
      <c r="I24" s="344">
        <v>0</v>
      </c>
      <c r="J24" s="344">
        <v>0</v>
      </c>
      <c r="K24" s="344">
        <v>0</v>
      </c>
      <c r="L24" s="344">
        <v>0</v>
      </c>
      <c r="M24" s="344">
        <v>0</v>
      </c>
      <c r="N24" s="344">
        <v>0</v>
      </c>
      <c r="O24" s="344">
        <v>0</v>
      </c>
      <c r="P24" s="344">
        <v>0</v>
      </c>
      <c r="Q24" s="344">
        <v>0</v>
      </c>
      <c r="R24" s="344">
        <v>0</v>
      </c>
      <c r="S24" s="344">
        <v>0</v>
      </c>
      <c r="T24" s="344">
        <v>0</v>
      </c>
      <c r="U24" s="344">
        <v>0</v>
      </c>
      <c r="V24" s="344">
        <v>0</v>
      </c>
      <c r="W24" s="344">
        <v>0</v>
      </c>
      <c r="X24" s="344">
        <v>0</v>
      </c>
      <c r="Y24" s="344">
        <v>0</v>
      </c>
      <c r="Z24" s="344">
        <v>0</v>
      </c>
      <c r="AA24" s="344">
        <v>0</v>
      </c>
      <c r="AB24" s="344">
        <v>0</v>
      </c>
      <c r="AC24" s="345">
        <v>0</v>
      </c>
      <c r="AD24" s="45"/>
      <c r="AE24" s="44"/>
      <c r="AF24" s="44"/>
      <c r="AG24" s="44"/>
      <c r="AH24" s="44"/>
      <c r="AI24" s="44"/>
      <c r="AJ24" s="44"/>
      <c r="AK24" s="44"/>
      <c r="AM24" s="55"/>
    </row>
    <row r="25" spans="1:39" ht="29.45" customHeight="1" x14ac:dyDescent="0.25">
      <c r="A25" s="439" t="s">
        <v>371</v>
      </c>
      <c r="B25" s="434" t="str">
        <f>B4</f>
        <v>Classroom</v>
      </c>
      <c r="C25" s="442" t="s">
        <v>190</v>
      </c>
      <c r="D25" s="428" t="s">
        <v>373</v>
      </c>
      <c r="E25" s="342" t="s">
        <v>347</v>
      </c>
      <c r="F25" s="256">
        <v>0</v>
      </c>
      <c r="G25" s="256">
        <f>IF(G22=1,0.25,1)</f>
        <v>1</v>
      </c>
      <c r="H25" s="256">
        <f t="shared" ref="H25:AC25" si="0">IF(H22=1,0.25,1)</f>
        <v>1</v>
      </c>
      <c r="I25" s="256">
        <f t="shared" si="0"/>
        <v>1</v>
      </c>
      <c r="J25" s="256">
        <f t="shared" si="0"/>
        <v>1</v>
      </c>
      <c r="K25" s="256">
        <f t="shared" si="0"/>
        <v>1</v>
      </c>
      <c r="L25" s="256">
        <f t="shared" si="0"/>
        <v>0.25</v>
      </c>
      <c r="M25" s="256">
        <f t="shared" si="0"/>
        <v>0.25</v>
      </c>
      <c r="N25" s="256">
        <f t="shared" si="0"/>
        <v>0.25</v>
      </c>
      <c r="O25" s="256">
        <f t="shared" si="0"/>
        <v>0.25</v>
      </c>
      <c r="P25" s="256">
        <f t="shared" si="0"/>
        <v>0.25</v>
      </c>
      <c r="Q25" s="256">
        <f t="shared" si="0"/>
        <v>0.25</v>
      </c>
      <c r="R25" s="256">
        <f t="shared" si="0"/>
        <v>0.25</v>
      </c>
      <c r="S25" s="256">
        <f t="shared" si="0"/>
        <v>0.25</v>
      </c>
      <c r="T25" s="256">
        <f t="shared" si="0"/>
        <v>0.25</v>
      </c>
      <c r="U25" s="256">
        <f t="shared" si="0"/>
        <v>0.25</v>
      </c>
      <c r="V25" s="256">
        <f t="shared" si="0"/>
        <v>0.25</v>
      </c>
      <c r="W25" s="256">
        <f t="shared" si="0"/>
        <v>0.25</v>
      </c>
      <c r="X25" s="256">
        <f t="shared" si="0"/>
        <v>0.25</v>
      </c>
      <c r="Y25" s="256">
        <f t="shared" si="0"/>
        <v>0.25</v>
      </c>
      <c r="Z25" s="256">
        <f t="shared" si="0"/>
        <v>0.25</v>
      </c>
      <c r="AA25" s="256">
        <f t="shared" si="0"/>
        <v>0.25</v>
      </c>
      <c r="AB25" s="256">
        <f t="shared" si="0"/>
        <v>1</v>
      </c>
      <c r="AC25" s="257">
        <f t="shared" si="0"/>
        <v>1</v>
      </c>
      <c r="AD25" s="45"/>
      <c r="AE25" s="44"/>
      <c r="AF25" s="44"/>
      <c r="AG25" s="44"/>
      <c r="AH25" s="44"/>
      <c r="AI25" s="44"/>
      <c r="AJ25" s="44"/>
      <c r="AK25" s="44"/>
      <c r="AM25" s="55"/>
    </row>
    <row r="26" spans="1:39" ht="29.45" customHeight="1" x14ac:dyDescent="0.25">
      <c r="A26" s="440"/>
      <c r="B26" s="435"/>
      <c r="C26" s="443"/>
      <c r="D26" s="429"/>
      <c r="E26" s="336" t="s">
        <v>345</v>
      </c>
      <c r="F26" s="329">
        <v>0</v>
      </c>
      <c r="G26" s="329">
        <f t="shared" ref="G26:G27" si="1">IF(G23=1,0.25,1)</f>
        <v>1</v>
      </c>
      <c r="H26" s="329">
        <f t="shared" ref="H26:AC26" si="2">IF(H23=1,0.25,1)</f>
        <v>1</v>
      </c>
      <c r="I26" s="329">
        <f t="shared" si="2"/>
        <v>1</v>
      </c>
      <c r="J26" s="329">
        <f t="shared" si="2"/>
        <v>1</v>
      </c>
      <c r="K26" s="329">
        <f t="shared" si="2"/>
        <v>1</v>
      </c>
      <c r="L26" s="329">
        <f t="shared" si="2"/>
        <v>1</v>
      </c>
      <c r="M26" s="329">
        <f t="shared" si="2"/>
        <v>0.25</v>
      </c>
      <c r="N26" s="329">
        <f t="shared" si="2"/>
        <v>0.25</v>
      </c>
      <c r="O26" s="329">
        <f t="shared" si="2"/>
        <v>0.25</v>
      </c>
      <c r="P26" s="329">
        <f t="shared" si="2"/>
        <v>0.25</v>
      </c>
      <c r="Q26" s="329">
        <f t="shared" si="2"/>
        <v>0.25</v>
      </c>
      <c r="R26" s="329">
        <f t="shared" si="2"/>
        <v>0.25</v>
      </c>
      <c r="S26" s="329">
        <f t="shared" si="2"/>
        <v>1</v>
      </c>
      <c r="T26" s="329">
        <f t="shared" si="2"/>
        <v>1</v>
      </c>
      <c r="U26" s="329">
        <f t="shared" si="2"/>
        <v>1</v>
      </c>
      <c r="V26" s="329">
        <f t="shared" si="2"/>
        <v>1</v>
      </c>
      <c r="W26" s="329">
        <f t="shared" si="2"/>
        <v>1</v>
      </c>
      <c r="X26" s="329">
        <f t="shared" si="2"/>
        <v>1</v>
      </c>
      <c r="Y26" s="329">
        <f t="shared" si="2"/>
        <v>1</v>
      </c>
      <c r="Z26" s="329">
        <f t="shared" si="2"/>
        <v>1</v>
      </c>
      <c r="AA26" s="329">
        <f t="shared" si="2"/>
        <v>1</v>
      </c>
      <c r="AB26" s="329">
        <f t="shared" si="2"/>
        <v>1</v>
      </c>
      <c r="AC26" s="330">
        <f t="shared" si="2"/>
        <v>1</v>
      </c>
      <c r="AD26" s="45"/>
      <c r="AE26" s="44"/>
      <c r="AF26" s="44"/>
      <c r="AG26" s="44"/>
      <c r="AH26" s="44"/>
      <c r="AI26" s="44"/>
      <c r="AJ26" s="44"/>
      <c r="AK26" s="44"/>
      <c r="AM26" s="55"/>
    </row>
    <row r="27" spans="1:39" ht="29.45" customHeight="1" thickBot="1" x14ac:dyDescent="0.3">
      <c r="A27" s="441"/>
      <c r="B27" s="436"/>
      <c r="C27" s="444"/>
      <c r="D27" s="430"/>
      <c r="E27" s="343" t="s">
        <v>346</v>
      </c>
      <c r="F27" s="344">
        <v>0</v>
      </c>
      <c r="G27" s="344">
        <f t="shared" si="1"/>
        <v>1</v>
      </c>
      <c r="H27" s="344">
        <f t="shared" ref="H27:AC27" si="3">IF(H24=1,0.25,1)</f>
        <v>1</v>
      </c>
      <c r="I27" s="344">
        <f t="shared" si="3"/>
        <v>1</v>
      </c>
      <c r="J27" s="344">
        <f t="shared" si="3"/>
        <v>1</v>
      </c>
      <c r="K27" s="344">
        <f t="shared" si="3"/>
        <v>1</v>
      </c>
      <c r="L27" s="344">
        <f t="shared" si="3"/>
        <v>1</v>
      </c>
      <c r="M27" s="344">
        <f t="shared" si="3"/>
        <v>1</v>
      </c>
      <c r="N27" s="344">
        <f t="shared" si="3"/>
        <v>1</v>
      </c>
      <c r="O27" s="344">
        <f t="shared" si="3"/>
        <v>1</v>
      </c>
      <c r="P27" s="344">
        <f t="shared" si="3"/>
        <v>1</v>
      </c>
      <c r="Q27" s="344">
        <f t="shared" si="3"/>
        <v>1</v>
      </c>
      <c r="R27" s="344">
        <f t="shared" si="3"/>
        <v>1</v>
      </c>
      <c r="S27" s="344">
        <f t="shared" si="3"/>
        <v>1</v>
      </c>
      <c r="T27" s="344">
        <f t="shared" si="3"/>
        <v>1</v>
      </c>
      <c r="U27" s="344">
        <f t="shared" si="3"/>
        <v>1</v>
      </c>
      <c r="V27" s="344">
        <f t="shared" si="3"/>
        <v>1</v>
      </c>
      <c r="W27" s="344">
        <f t="shared" si="3"/>
        <v>1</v>
      </c>
      <c r="X27" s="344">
        <f t="shared" si="3"/>
        <v>1</v>
      </c>
      <c r="Y27" s="344">
        <f t="shared" si="3"/>
        <v>1</v>
      </c>
      <c r="Z27" s="344">
        <f t="shared" si="3"/>
        <v>1</v>
      </c>
      <c r="AA27" s="344">
        <f t="shared" si="3"/>
        <v>1</v>
      </c>
      <c r="AB27" s="344">
        <f t="shared" si="3"/>
        <v>1</v>
      </c>
      <c r="AC27" s="345">
        <f t="shared" si="3"/>
        <v>1</v>
      </c>
      <c r="AD27" s="45"/>
      <c r="AE27" s="44"/>
      <c r="AF27" s="44"/>
      <c r="AG27" s="44"/>
      <c r="AH27" s="44"/>
      <c r="AI27" s="44"/>
      <c r="AJ27" s="44"/>
      <c r="AK27" s="44"/>
      <c r="AM27" s="55"/>
    </row>
    <row r="28" spans="1:39" ht="29.45" customHeight="1" x14ac:dyDescent="0.25">
      <c r="A28" s="439" t="s">
        <v>371</v>
      </c>
      <c r="B28" s="434" t="str">
        <f>B4</f>
        <v>Classroom</v>
      </c>
      <c r="C28" s="442" t="s">
        <v>380</v>
      </c>
      <c r="D28" s="428" t="s">
        <v>373</v>
      </c>
      <c r="E28" s="252" t="s">
        <v>347</v>
      </c>
      <c r="F28" s="262">
        <f>IF(F22=0,Thermostat!$B$4,Thermostat!$B$3)</f>
        <v>60</v>
      </c>
      <c r="G28" s="262">
        <f>IF(G22=0,Thermostat!$B$4,Thermostat!$B$3)</f>
        <v>60</v>
      </c>
      <c r="H28" s="262">
        <f>IF(H22=0,Thermostat!$B$4,Thermostat!$B$3)</f>
        <v>60</v>
      </c>
      <c r="I28" s="262">
        <f>IF(I22=0,Thermostat!$B$4,Thermostat!$B$3)</f>
        <v>60</v>
      </c>
      <c r="J28" s="262">
        <f>IF(J22=0,Thermostat!$B$4,Thermostat!$B$3)</f>
        <v>60</v>
      </c>
      <c r="K28" s="262">
        <f>IF(K22=0,Thermostat!$B$4,Thermostat!$B$3)</f>
        <v>60</v>
      </c>
      <c r="L28" s="262">
        <f>IF(L22=0,Thermostat!$B$4,Thermostat!$B$3)</f>
        <v>70</v>
      </c>
      <c r="M28" s="262">
        <f>IF(M22=0,Thermostat!$B$4,Thermostat!$B$3)</f>
        <v>70</v>
      </c>
      <c r="N28" s="262">
        <f>IF(N22=0,Thermostat!$B$4,Thermostat!$B$3)</f>
        <v>70</v>
      </c>
      <c r="O28" s="262">
        <f>IF(O22=0,Thermostat!$B$4,Thermostat!$B$3)</f>
        <v>70</v>
      </c>
      <c r="P28" s="262">
        <f>IF(P22=0,Thermostat!$B$4,Thermostat!$B$3)</f>
        <v>70</v>
      </c>
      <c r="Q28" s="262">
        <f>IF(Q22=0,Thermostat!$B$4,Thermostat!$B$3)</f>
        <v>70</v>
      </c>
      <c r="R28" s="262">
        <f>IF(R22=0,Thermostat!$B$4,Thermostat!$B$3)</f>
        <v>70</v>
      </c>
      <c r="S28" s="262">
        <f>IF(S22=0,Thermostat!$B$4,Thermostat!$B$3)</f>
        <v>70</v>
      </c>
      <c r="T28" s="262">
        <f>IF(T22=0,Thermostat!$B$4,Thermostat!$B$3)</f>
        <v>70</v>
      </c>
      <c r="U28" s="262">
        <f>IF(U22=0,Thermostat!$B$4,Thermostat!$B$3)</f>
        <v>70</v>
      </c>
      <c r="V28" s="262">
        <f>IF(V22=0,Thermostat!$B$4,Thermostat!$B$3)</f>
        <v>70</v>
      </c>
      <c r="W28" s="262">
        <f>IF(W22=0,Thermostat!$B$4,Thermostat!$B$3)</f>
        <v>70</v>
      </c>
      <c r="X28" s="262">
        <f>IF(X22=0,Thermostat!$B$4,Thermostat!$B$3)</f>
        <v>70</v>
      </c>
      <c r="Y28" s="262">
        <f>IF(Y22=0,Thermostat!$B$4,Thermostat!$B$3)</f>
        <v>70</v>
      </c>
      <c r="Z28" s="262">
        <f>IF(Z22=0,Thermostat!$B$4,Thermostat!$B$3)</f>
        <v>70</v>
      </c>
      <c r="AA28" s="262">
        <f>IF(AA22=0,Thermostat!$B$4,Thermostat!$B$3)</f>
        <v>70</v>
      </c>
      <c r="AB28" s="262">
        <f>IF(AB22=0,Thermostat!$B$4,Thermostat!$B$3)</f>
        <v>60</v>
      </c>
      <c r="AC28" s="263">
        <f>IF(AC22=0,Thermostat!$B$4,Thermostat!$B$3)</f>
        <v>60</v>
      </c>
      <c r="AD28" s="45"/>
      <c r="AE28" s="44"/>
      <c r="AF28" s="44"/>
      <c r="AG28" s="44"/>
      <c r="AH28" s="44"/>
      <c r="AI28" s="44"/>
      <c r="AJ28" s="44"/>
      <c r="AL28" s="44"/>
      <c r="AM28" s="55"/>
    </row>
    <row r="29" spans="1:39" ht="29.45" customHeight="1" x14ac:dyDescent="0.25">
      <c r="A29" s="440"/>
      <c r="B29" s="435"/>
      <c r="C29" s="443"/>
      <c r="D29" s="429"/>
      <c r="E29" s="253" t="s">
        <v>345</v>
      </c>
      <c r="F29" s="264">
        <f>IF(F23=0,Thermostat!$B$4,Thermostat!$B$3)</f>
        <v>60</v>
      </c>
      <c r="G29" s="264">
        <f>IF(G23=0,Thermostat!$B$4,Thermostat!$B$3)</f>
        <v>60</v>
      </c>
      <c r="H29" s="264">
        <f>IF(H23=0,Thermostat!$B$4,Thermostat!$B$3)</f>
        <v>60</v>
      </c>
      <c r="I29" s="264">
        <f>IF(I23=0,Thermostat!$B$4,Thermostat!$B$3)</f>
        <v>60</v>
      </c>
      <c r="J29" s="264">
        <f>IF(J23=0,Thermostat!$B$4,Thermostat!$B$3)</f>
        <v>60</v>
      </c>
      <c r="K29" s="264">
        <f>IF(K23=0,Thermostat!$B$4,Thermostat!$B$3)</f>
        <v>60</v>
      </c>
      <c r="L29" s="264">
        <f>IF(L23=0,Thermostat!$B$4,Thermostat!$B$3)</f>
        <v>60</v>
      </c>
      <c r="M29" s="264">
        <f>IF(M23=0,Thermostat!$B$4,Thermostat!$B$3)</f>
        <v>70</v>
      </c>
      <c r="N29" s="264">
        <f>IF(N23=0,Thermostat!$B$4,Thermostat!$B$3)</f>
        <v>70</v>
      </c>
      <c r="O29" s="264">
        <f>IF(O23=0,Thermostat!$B$4,Thermostat!$B$3)</f>
        <v>70</v>
      </c>
      <c r="P29" s="264">
        <f>IF(P23=0,Thermostat!$B$4,Thermostat!$B$3)</f>
        <v>70</v>
      </c>
      <c r="Q29" s="264">
        <f>IF(Q23=0,Thermostat!$B$4,Thermostat!$B$3)</f>
        <v>70</v>
      </c>
      <c r="R29" s="264">
        <f>IF(R23=0,Thermostat!$B$4,Thermostat!$B$3)</f>
        <v>70</v>
      </c>
      <c r="S29" s="264">
        <f>IF(S23=0,Thermostat!$B$4,Thermostat!$B$3)</f>
        <v>60</v>
      </c>
      <c r="T29" s="264">
        <f>IF(T23=0,Thermostat!$B$4,Thermostat!$B$3)</f>
        <v>60</v>
      </c>
      <c r="U29" s="264">
        <f>IF(U23=0,Thermostat!$B$4,Thermostat!$B$3)</f>
        <v>60</v>
      </c>
      <c r="V29" s="264">
        <f>IF(V23=0,Thermostat!$B$4,Thermostat!$B$3)</f>
        <v>60</v>
      </c>
      <c r="W29" s="264">
        <f>IF(W23=0,Thermostat!$B$4,Thermostat!$B$3)</f>
        <v>60</v>
      </c>
      <c r="X29" s="264">
        <f>IF(X23=0,Thermostat!$B$4,Thermostat!$B$3)</f>
        <v>60</v>
      </c>
      <c r="Y29" s="264">
        <f>IF(Y23=0,Thermostat!$B$4,Thermostat!$B$3)</f>
        <v>60</v>
      </c>
      <c r="Z29" s="264">
        <f>IF(Z23=0,Thermostat!$B$4,Thermostat!$B$3)</f>
        <v>60</v>
      </c>
      <c r="AA29" s="264">
        <f>IF(AA23=0,Thermostat!$B$4,Thermostat!$B$3)</f>
        <v>60</v>
      </c>
      <c r="AB29" s="264">
        <f>IF(AB23=0,Thermostat!$B$4,Thermostat!$B$3)</f>
        <v>60</v>
      </c>
      <c r="AC29" s="265">
        <f>IF(AC23=0,Thermostat!$B$4,Thermostat!$B$3)</f>
        <v>60</v>
      </c>
      <c r="AD29" s="45"/>
      <c r="AE29" s="44"/>
      <c r="AF29" s="44"/>
      <c r="AG29" s="44"/>
      <c r="AH29" s="44"/>
      <c r="AI29" s="44"/>
      <c r="AJ29" s="44"/>
      <c r="AK29" s="44"/>
      <c r="AM29" s="55"/>
    </row>
    <row r="30" spans="1:39" ht="29.45" customHeight="1" thickBot="1" x14ac:dyDescent="0.3">
      <c r="A30" s="441"/>
      <c r="B30" s="436"/>
      <c r="C30" s="444"/>
      <c r="D30" s="430"/>
      <c r="E30" s="254" t="s">
        <v>346</v>
      </c>
      <c r="F30" s="266">
        <f>IF(F24=0,Thermostat!$B$4,Thermostat!$B$3)</f>
        <v>60</v>
      </c>
      <c r="G30" s="266">
        <f>IF(G24=0,Thermostat!$B$4,Thermostat!$B$3)</f>
        <v>60</v>
      </c>
      <c r="H30" s="266">
        <f>IF(H24=0,Thermostat!$B$4,Thermostat!$B$3)</f>
        <v>60</v>
      </c>
      <c r="I30" s="266">
        <f>IF(I24=0,Thermostat!$B$4,Thermostat!$B$3)</f>
        <v>60</v>
      </c>
      <c r="J30" s="266">
        <f>IF(J24=0,Thermostat!$B$4,Thermostat!$B$3)</f>
        <v>60</v>
      </c>
      <c r="K30" s="266">
        <f>IF(K24=0,Thermostat!$B$4,Thermostat!$B$3)</f>
        <v>60</v>
      </c>
      <c r="L30" s="266">
        <f>IF(L24=0,Thermostat!$B$4,Thermostat!$B$3)</f>
        <v>60</v>
      </c>
      <c r="M30" s="266">
        <f>IF(M24=0,Thermostat!$B$4,Thermostat!$B$3)</f>
        <v>60</v>
      </c>
      <c r="N30" s="266">
        <f>IF(N24=0,Thermostat!$B$4,Thermostat!$B$3)</f>
        <v>60</v>
      </c>
      <c r="O30" s="266">
        <f>IF(O24=0,Thermostat!$B$4,Thermostat!$B$3)</f>
        <v>60</v>
      </c>
      <c r="P30" s="266">
        <f>IF(P24=0,Thermostat!$B$4,Thermostat!$B$3)</f>
        <v>60</v>
      </c>
      <c r="Q30" s="266">
        <f>IF(Q24=0,Thermostat!$B$4,Thermostat!$B$3)</f>
        <v>60</v>
      </c>
      <c r="R30" s="266">
        <f>IF(R24=0,Thermostat!$B$4,Thermostat!$B$3)</f>
        <v>60</v>
      </c>
      <c r="S30" s="266">
        <f>IF(S24=0,Thermostat!$B$4,Thermostat!$B$3)</f>
        <v>60</v>
      </c>
      <c r="T30" s="266">
        <f>IF(T24=0,Thermostat!$B$4,Thermostat!$B$3)</f>
        <v>60</v>
      </c>
      <c r="U30" s="266">
        <f>IF(U24=0,Thermostat!$B$4,Thermostat!$B$3)</f>
        <v>60</v>
      </c>
      <c r="V30" s="266">
        <f>IF(V24=0,Thermostat!$B$4,Thermostat!$B$3)</f>
        <v>60</v>
      </c>
      <c r="W30" s="266">
        <f>IF(W24=0,Thermostat!$B$4,Thermostat!$B$3)</f>
        <v>60</v>
      </c>
      <c r="X30" s="266">
        <f>IF(X24=0,Thermostat!$B$4,Thermostat!$B$3)</f>
        <v>60</v>
      </c>
      <c r="Y30" s="266">
        <f>IF(Y24=0,Thermostat!$B$4,Thermostat!$B$3)</f>
        <v>60</v>
      </c>
      <c r="Z30" s="266">
        <f>IF(Z24=0,Thermostat!$B$4,Thermostat!$B$3)</f>
        <v>60</v>
      </c>
      <c r="AA30" s="266">
        <f>IF(AA24=0,Thermostat!$B$4,Thermostat!$B$3)</f>
        <v>60</v>
      </c>
      <c r="AB30" s="266">
        <f>IF(AB24=0,Thermostat!$B$4,Thermostat!$B$3)</f>
        <v>60</v>
      </c>
      <c r="AC30" s="267">
        <f>IF(AC24=0,Thermostat!$B$4,Thermostat!$B$3)</f>
        <v>60</v>
      </c>
      <c r="AD30" s="45"/>
      <c r="AE30" s="44"/>
      <c r="AF30" s="44"/>
      <c r="AG30" s="44"/>
      <c r="AH30" s="44"/>
      <c r="AI30" s="44"/>
      <c r="AJ30" s="44"/>
      <c r="AK30" s="44"/>
      <c r="AM30" s="55"/>
    </row>
    <row r="31" spans="1:39" ht="29.45" customHeight="1" x14ac:dyDescent="0.25">
      <c r="A31" s="439" t="s">
        <v>371</v>
      </c>
      <c r="B31" s="434" t="str">
        <f>B4</f>
        <v>Classroom</v>
      </c>
      <c r="C31" s="442" t="s">
        <v>381</v>
      </c>
      <c r="D31" s="428" t="s">
        <v>373</v>
      </c>
      <c r="E31" s="333" t="s">
        <v>347</v>
      </c>
      <c r="F31" s="281">
        <f>IF(F22=0,Thermostat!$B$6,Thermostat!$B$3)</f>
        <v>85</v>
      </c>
      <c r="G31" s="281">
        <f>IF(G22=0,Thermostat!$B$6,Thermostat!$B$3)</f>
        <v>85</v>
      </c>
      <c r="H31" s="281">
        <f>IF(H22=0,Thermostat!$B$6,Thermostat!$B$3)</f>
        <v>85</v>
      </c>
      <c r="I31" s="281">
        <f>IF(I22=0,Thermostat!$B$6,Thermostat!$B$3)</f>
        <v>85</v>
      </c>
      <c r="J31" s="281">
        <f>IF(J22=0,Thermostat!$B$6,Thermostat!$B$3)</f>
        <v>85</v>
      </c>
      <c r="K31" s="281">
        <f>IF(K22=0,Thermostat!$B$6,Thermostat!$B$3)</f>
        <v>85</v>
      </c>
      <c r="L31" s="281">
        <f>IF(L22=0,Thermostat!$B$6,Thermostat!$B$3)</f>
        <v>70</v>
      </c>
      <c r="M31" s="281">
        <f>IF(M22=0,Thermostat!$B$6,Thermostat!$B$3)</f>
        <v>70</v>
      </c>
      <c r="N31" s="281">
        <f>IF(N22=0,Thermostat!$B$6,Thermostat!$B$3)</f>
        <v>70</v>
      </c>
      <c r="O31" s="281">
        <f>IF(O22=0,Thermostat!$B$6,Thermostat!$B$3)</f>
        <v>70</v>
      </c>
      <c r="P31" s="281">
        <f>IF(P22=0,Thermostat!$B$6,Thermostat!$B$3)</f>
        <v>70</v>
      </c>
      <c r="Q31" s="281">
        <f>IF(Q22=0,Thermostat!$B$6,Thermostat!$B$3)</f>
        <v>70</v>
      </c>
      <c r="R31" s="281">
        <f>IF(R22=0,Thermostat!$B$6,Thermostat!$B$3)</f>
        <v>70</v>
      </c>
      <c r="S31" s="281">
        <f>IF(S22=0,Thermostat!$B$6,Thermostat!$B$3)</f>
        <v>70</v>
      </c>
      <c r="T31" s="281">
        <f>IF(T22=0,Thermostat!$B$6,Thermostat!$B$3)</f>
        <v>70</v>
      </c>
      <c r="U31" s="281">
        <f>IF(U22=0,Thermostat!$B$6,Thermostat!$B$3)</f>
        <v>70</v>
      </c>
      <c r="V31" s="281">
        <f>IF(V22=0,Thermostat!$B$6,Thermostat!$B$3)</f>
        <v>70</v>
      </c>
      <c r="W31" s="281">
        <f>IF(W22=0,Thermostat!$B$6,Thermostat!$B$3)</f>
        <v>70</v>
      </c>
      <c r="X31" s="281">
        <f>IF(X22=0,Thermostat!$B$6,Thermostat!$B$3)</f>
        <v>70</v>
      </c>
      <c r="Y31" s="281">
        <f>IF(Y22=0,Thermostat!$B$6,Thermostat!$B$3)</f>
        <v>70</v>
      </c>
      <c r="Z31" s="281">
        <f>IF(Z22=0,Thermostat!$B$6,Thermostat!$B$3)</f>
        <v>70</v>
      </c>
      <c r="AA31" s="281">
        <f>IF(AA22=0,Thermostat!$B$6,Thermostat!$B$3)</f>
        <v>70</v>
      </c>
      <c r="AB31" s="281">
        <f>IF(AB22=0,Thermostat!$B$6,Thermostat!$B$3)</f>
        <v>85</v>
      </c>
      <c r="AC31" s="282">
        <f>IF(AC22=0,Thermostat!$B$6,Thermostat!$B$3)</f>
        <v>85</v>
      </c>
      <c r="AD31" s="45"/>
      <c r="AE31" s="44"/>
      <c r="AF31" s="44"/>
      <c r="AG31" s="44"/>
      <c r="AH31" s="44"/>
      <c r="AI31" s="44"/>
      <c r="AJ31" s="44"/>
      <c r="AK31" s="44"/>
      <c r="AM31" s="55"/>
    </row>
    <row r="32" spans="1:39" ht="29.45" customHeight="1" x14ac:dyDescent="0.25">
      <c r="A32" s="440"/>
      <c r="B32" s="435"/>
      <c r="C32" s="443"/>
      <c r="D32" s="429"/>
      <c r="E32" s="336" t="s">
        <v>345</v>
      </c>
      <c r="F32" s="264">
        <f>IF(F23=0,Thermostat!$B$6,Thermostat!$B$3)</f>
        <v>85</v>
      </c>
      <c r="G32" s="264">
        <f>IF(G23=0,Thermostat!$B$6,Thermostat!$B$3)</f>
        <v>85</v>
      </c>
      <c r="H32" s="264">
        <f>IF(H23=0,Thermostat!$B$6,Thermostat!$B$3)</f>
        <v>85</v>
      </c>
      <c r="I32" s="264">
        <f>IF(I23=0,Thermostat!$B$6,Thermostat!$B$3)</f>
        <v>85</v>
      </c>
      <c r="J32" s="264">
        <f>IF(J23=0,Thermostat!$B$6,Thermostat!$B$3)</f>
        <v>85</v>
      </c>
      <c r="K32" s="264">
        <f>IF(K23=0,Thermostat!$B$6,Thermostat!$B$3)</f>
        <v>85</v>
      </c>
      <c r="L32" s="264">
        <f>IF(L23=0,Thermostat!$B$6,Thermostat!$B$3)</f>
        <v>85</v>
      </c>
      <c r="M32" s="264">
        <f>IF(M23=0,Thermostat!$B$6,Thermostat!$B$3)</f>
        <v>70</v>
      </c>
      <c r="N32" s="264">
        <f>IF(N23=0,Thermostat!$B$6,Thermostat!$B$3)</f>
        <v>70</v>
      </c>
      <c r="O32" s="264">
        <f>IF(O23=0,Thermostat!$B$6,Thermostat!$B$3)</f>
        <v>70</v>
      </c>
      <c r="P32" s="264">
        <f>IF(P23=0,Thermostat!$B$6,Thermostat!$B$3)</f>
        <v>70</v>
      </c>
      <c r="Q32" s="264">
        <f>IF(Q23=0,Thermostat!$B$6,Thermostat!$B$3)</f>
        <v>70</v>
      </c>
      <c r="R32" s="264">
        <f>IF(R23=0,Thermostat!$B$6,Thermostat!$B$3)</f>
        <v>70</v>
      </c>
      <c r="S32" s="264">
        <f>IF(S23=0,Thermostat!$B$6,Thermostat!$B$3)</f>
        <v>85</v>
      </c>
      <c r="T32" s="264">
        <f>IF(T23=0,Thermostat!$B$6,Thermostat!$B$3)</f>
        <v>85</v>
      </c>
      <c r="U32" s="264">
        <f>IF(U23=0,Thermostat!$B$6,Thermostat!$B$3)</f>
        <v>85</v>
      </c>
      <c r="V32" s="264">
        <f>IF(V23=0,Thermostat!$B$6,Thermostat!$B$3)</f>
        <v>85</v>
      </c>
      <c r="W32" s="264">
        <f>IF(W23=0,Thermostat!$B$6,Thermostat!$B$3)</f>
        <v>85</v>
      </c>
      <c r="X32" s="264">
        <f>IF(X23=0,Thermostat!$B$6,Thermostat!$B$3)</f>
        <v>85</v>
      </c>
      <c r="Y32" s="264">
        <f>IF(Y23=0,Thermostat!$B$6,Thermostat!$B$3)</f>
        <v>85</v>
      </c>
      <c r="Z32" s="264">
        <f>IF(Z23=0,Thermostat!$B$6,Thermostat!$B$3)</f>
        <v>85</v>
      </c>
      <c r="AA32" s="264">
        <f>IF(AA23=0,Thermostat!$B$6,Thermostat!$B$3)</f>
        <v>85</v>
      </c>
      <c r="AB32" s="264">
        <f>IF(AB23=0,Thermostat!$B$6,Thermostat!$B$3)</f>
        <v>85</v>
      </c>
      <c r="AC32" s="265">
        <f>IF(AC23=0,Thermostat!$B$6,Thermostat!$B$3)</f>
        <v>85</v>
      </c>
      <c r="AD32" s="45"/>
      <c r="AE32" s="44"/>
      <c r="AF32" s="44"/>
      <c r="AG32" s="44"/>
      <c r="AH32" s="44"/>
      <c r="AI32" s="44"/>
      <c r="AJ32" s="44"/>
      <c r="AK32" s="44"/>
      <c r="AM32" s="55"/>
    </row>
    <row r="33" spans="1:42" ht="29.45" customHeight="1" thickBot="1" x14ac:dyDescent="0.3">
      <c r="A33" s="441"/>
      <c r="B33" s="436"/>
      <c r="C33" s="444"/>
      <c r="D33" s="430"/>
      <c r="E33" s="339" t="s">
        <v>346</v>
      </c>
      <c r="F33" s="266">
        <f>IF(F24=0,Thermostat!$B$6,Thermostat!$B$3)</f>
        <v>85</v>
      </c>
      <c r="G33" s="266">
        <f>IF(G24=0,Thermostat!$B$6,Thermostat!$B$3)</f>
        <v>85</v>
      </c>
      <c r="H33" s="266">
        <f>IF(H24=0,Thermostat!$B$6,Thermostat!$B$3)</f>
        <v>85</v>
      </c>
      <c r="I33" s="266">
        <f>IF(I24=0,Thermostat!$B$6,Thermostat!$B$3)</f>
        <v>85</v>
      </c>
      <c r="J33" s="266">
        <f>IF(J24=0,Thermostat!$B$6,Thermostat!$B$3)</f>
        <v>85</v>
      </c>
      <c r="K33" s="266">
        <f>IF(K24=0,Thermostat!$B$6,Thermostat!$B$3)</f>
        <v>85</v>
      </c>
      <c r="L33" s="266">
        <f>IF(L24=0,Thermostat!$B$6,Thermostat!$B$3)</f>
        <v>85</v>
      </c>
      <c r="M33" s="266">
        <f>IF(M24=0,Thermostat!$B$6,Thermostat!$B$3)</f>
        <v>85</v>
      </c>
      <c r="N33" s="266">
        <f>IF(N24=0,Thermostat!$B$6,Thermostat!$B$3)</f>
        <v>85</v>
      </c>
      <c r="O33" s="266">
        <f>IF(O24=0,Thermostat!$B$6,Thermostat!$B$3)</f>
        <v>85</v>
      </c>
      <c r="P33" s="266">
        <f>IF(P24=0,Thermostat!$B$6,Thermostat!$B$3)</f>
        <v>85</v>
      </c>
      <c r="Q33" s="266">
        <f>IF(Q24=0,Thermostat!$B$6,Thermostat!$B$3)</f>
        <v>85</v>
      </c>
      <c r="R33" s="266">
        <f>IF(R24=0,Thermostat!$B$6,Thermostat!$B$3)</f>
        <v>85</v>
      </c>
      <c r="S33" s="266">
        <f>IF(S24=0,Thermostat!$B$6,Thermostat!$B$3)</f>
        <v>85</v>
      </c>
      <c r="T33" s="266">
        <f>IF(T24=0,Thermostat!$B$6,Thermostat!$B$3)</f>
        <v>85</v>
      </c>
      <c r="U33" s="266">
        <f>IF(U24=0,Thermostat!$B$6,Thermostat!$B$3)</f>
        <v>85</v>
      </c>
      <c r="V33" s="266">
        <f>IF(V24=0,Thermostat!$B$6,Thermostat!$B$3)</f>
        <v>85</v>
      </c>
      <c r="W33" s="266">
        <f>IF(W24=0,Thermostat!$B$6,Thermostat!$B$3)</f>
        <v>85</v>
      </c>
      <c r="X33" s="266">
        <f>IF(X24=0,Thermostat!$B$6,Thermostat!$B$3)</f>
        <v>85</v>
      </c>
      <c r="Y33" s="266">
        <f>IF(Y24=0,Thermostat!$B$6,Thermostat!$B$3)</f>
        <v>85</v>
      </c>
      <c r="Z33" s="266">
        <f>IF(Z24=0,Thermostat!$B$6,Thermostat!$B$3)</f>
        <v>85</v>
      </c>
      <c r="AA33" s="266">
        <f>IF(AA24=0,Thermostat!$B$6,Thermostat!$B$3)</f>
        <v>85</v>
      </c>
      <c r="AB33" s="266">
        <f>IF(AB24=0,Thermostat!$B$6,Thermostat!$B$3)</f>
        <v>85</v>
      </c>
      <c r="AC33" s="267">
        <f>IF(AC24=0,Thermostat!$B$6,Thermostat!$B$3)</f>
        <v>85</v>
      </c>
      <c r="AD33" s="45"/>
      <c r="AE33" s="44"/>
      <c r="AF33" s="44"/>
      <c r="AG33" s="44"/>
      <c r="AH33" s="44"/>
      <c r="AI33" s="44"/>
      <c r="AJ33" s="44"/>
      <c r="AK33" s="44"/>
      <c r="AM33" s="55"/>
    </row>
    <row r="34" spans="1:42" ht="29.45" customHeight="1" x14ac:dyDescent="0.25">
      <c r="A34" s="506" t="s">
        <v>371</v>
      </c>
      <c r="B34" s="507" t="s">
        <v>382</v>
      </c>
      <c r="C34" s="510" t="s">
        <v>190</v>
      </c>
      <c r="D34" s="428" t="s">
        <v>383</v>
      </c>
      <c r="E34" s="323" t="s">
        <v>347</v>
      </c>
      <c r="F34" s="309">
        <v>1</v>
      </c>
      <c r="G34" s="309">
        <v>1</v>
      </c>
      <c r="H34" s="309">
        <v>1</v>
      </c>
      <c r="I34" s="309">
        <v>1</v>
      </c>
      <c r="J34" s="309">
        <v>1</v>
      </c>
      <c r="K34" s="309">
        <v>1</v>
      </c>
      <c r="L34" s="309">
        <v>1</v>
      </c>
      <c r="M34" s="309">
        <v>0.25</v>
      </c>
      <c r="N34" s="309">
        <v>0.25</v>
      </c>
      <c r="O34" s="309">
        <v>0.25</v>
      </c>
      <c r="P34" s="309">
        <v>0.25</v>
      </c>
      <c r="Q34" s="309">
        <v>0.25</v>
      </c>
      <c r="R34" s="309">
        <v>0.25</v>
      </c>
      <c r="S34" s="309">
        <v>0.25</v>
      </c>
      <c r="T34" s="309">
        <v>0.25</v>
      </c>
      <c r="U34" s="309">
        <v>0.25</v>
      </c>
      <c r="V34" s="309">
        <v>1</v>
      </c>
      <c r="W34" s="309">
        <v>1</v>
      </c>
      <c r="X34" s="309">
        <v>1</v>
      </c>
      <c r="Y34" s="309">
        <v>1</v>
      </c>
      <c r="Z34" s="309">
        <v>1</v>
      </c>
      <c r="AA34" s="309">
        <v>1</v>
      </c>
      <c r="AB34" s="309">
        <v>1</v>
      </c>
      <c r="AC34" s="309">
        <v>1</v>
      </c>
      <c r="AD34" s="324"/>
      <c r="AE34" s="311"/>
      <c r="AF34" s="311"/>
      <c r="AG34" s="311"/>
      <c r="AH34" s="311"/>
      <c r="AI34" s="311"/>
      <c r="AJ34" s="311"/>
      <c r="AK34" s="311"/>
      <c r="AL34" s="307"/>
      <c r="AM34" s="312"/>
      <c r="AN34" s="307"/>
      <c r="AO34" s="307"/>
      <c r="AP34" s="307"/>
    </row>
    <row r="35" spans="1:42" ht="29.45" customHeight="1" x14ac:dyDescent="0.25">
      <c r="A35" s="498"/>
      <c r="B35" s="508"/>
      <c r="C35" s="511"/>
      <c r="D35" s="504"/>
      <c r="E35" s="325" t="s">
        <v>345</v>
      </c>
      <c r="F35" s="327">
        <v>1</v>
      </c>
      <c r="G35" s="327">
        <v>1</v>
      </c>
      <c r="H35" s="327">
        <v>1</v>
      </c>
      <c r="I35" s="327">
        <v>1</v>
      </c>
      <c r="J35" s="327">
        <v>1</v>
      </c>
      <c r="K35" s="327">
        <v>1</v>
      </c>
      <c r="L35" s="327">
        <v>1</v>
      </c>
      <c r="M35" s="327">
        <v>1</v>
      </c>
      <c r="N35" s="327">
        <v>1</v>
      </c>
      <c r="O35" s="327">
        <v>1</v>
      </c>
      <c r="P35" s="327">
        <v>1</v>
      </c>
      <c r="Q35" s="327">
        <v>1</v>
      </c>
      <c r="R35" s="327">
        <v>1</v>
      </c>
      <c r="S35" s="327">
        <v>1</v>
      </c>
      <c r="T35" s="327">
        <v>1</v>
      </c>
      <c r="U35" s="327">
        <v>1</v>
      </c>
      <c r="V35" s="327">
        <v>1</v>
      </c>
      <c r="W35" s="327">
        <v>1</v>
      </c>
      <c r="X35" s="327">
        <v>1</v>
      </c>
      <c r="Y35" s="327">
        <v>1</v>
      </c>
      <c r="Z35" s="327">
        <v>1</v>
      </c>
      <c r="AA35" s="327">
        <v>1</v>
      </c>
      <c r="AB35" s="327">
        <v>1</v>
      </c>
      <c r="AC35" s="327">
        <v>1</v>
      </c>
      <c r="AD35" s="324"/>
      <c r="AE35" s="311"/>
      <c r="AF35" s="311"/>
      <c r="AG35" s="311"/>
      <c r="AH35" s="311"/>
      <c r="AI35" s="311"/>
      <c r="AJ35" s="311"/>
      <c r="AK35" s="311"/>
      <c r="AL35" s="307"/>
      <c r="AM35" s="312"/>
      <c r="AN35" s="307"/>
      <c r="AO35" s="307"/>
      <c r="AP35" s="307"/>
    </row>
    <row r="36" spans="1:42" ht="29.45" customHeight="1" thickBot="1" x14ac:dyDescent="0.3">
      <c r="A36" s="499"/>
      <c r="B36" s="509"/>
      <c r="C36" s="512"/>
      <c r="D36" s="505"/>
      <c r="E36" s="326" t="s">
        <v>346</v>
      </c>
      <c r="F36" s="328">
        <v>1</v>
      </c>
      <c r="G36" s="328">
        <v>1</v>
      </c>
      <c r="H36" s="328">
        <v>1</v>
      </c>
      <c r="I36" s="328">
        <v>1</v>
      </c>
      <c r="J36" s="328">
        <v>1</v>
      </c>
      <c r="K36" s="328">
        <v>1</v>
      </c>
      <c r="L36" s="328">
        <v>1</v>
      </c>
      <c r="M36" s="328">
        <v>1</v>
      </c>
      <c r="N36" s="328">
        <v>1</v>
      </c>
      <c r="O36" s="328">
        <v>1</v>
      </c>
      <c r="P36" s="328">
        <v>1</v>
      </c>
      <c r="Q36" s="328">
        <v>1</v>
      </c>
      <c r="R36" s="328">
        <v>1</v>
      </c>
      <c r="S36" s="328">
        <v>1</v>
      </c>
      <c r="T36" s="328">
        <v>1</v>
      </c>
      <c r="U36" s="328">
        <v>1</v>
      </c>
      <c r="V36" s="328">
        <v>1</v>
      </c>
      <c r="W36" s="328">
        <v>1</v>
      </c>
      <c r="X36" s="328">
        <v>1</v>
      </c>
      <c r="Y36" s="328">
        <v>1</v>
      </c>
      <c r="Z36" s="328">
        <v>1</v>
      </c>
      <c r="AA36" s="328">
        <v>1</v>
      </c>
      <c r="AB36" s="328">
        <v>1</v>
      </c>
      <c r="AC36" s="328">
        <v>1</v>
      </c>
      <c r="AD36" s="324"/>
      <c r="AE36" s="311"/>
      <c r="AF36" s="311"/>
      <c r="AG36" s="311"/>
      <c r="AH36" s="311"/>
      <c r="AI36" s="311"/>
      <c r="AJ36" s="311"/>
      <c r="AK36" s="311"/>
      <c r="AL36" s="307"/>
      <c r="AM36" s="312"/>
      <c r="AN36" s="307"/>
      <c r="AO36" s="307"/>
      <c r="AP36" s="307"/>
    </row>
    <row r="37" spans="1:42" ht="35.25" customHeight="1" thickBot="1" x14ac:dyDescent="0.3">
      <c r="A37" s="437" t="s">
        <v>109</v>
      </c>
      <c r="B37" s="437"/>
      <c r="C37" s="437" t="s">
        <v>16</v>
      </c>
      <c r="D37" s="437"/>
      <c r="E37" s="437"/>
      <c r="F37" s="437"/>
      <c r="G37" s="437"/>
      <c r="H37" s="437"/>
      <c r="I37" s="437"/>
      <c r="J37" s="437"/>
      <c r="K37" s="437"/>
      <c r="L37" s="437"/>
      <c r="M37" s="437"/>
      <c r="N37" s="437"/>
      <c r="O37" s="437"/>
      <c r="P37" s="437"/>
      <c r="Q37" s="437"/>
      <c r="R37" s="437"/>
      <c r="S37" s="437"/>
      <c r="T37" s="437"/>
      <c r="U37" s="437"/>
      <c r="V37" s="437"/>
      <c r="W37" s="437"/>
      <c r="X37" s="437"/>
      <c r="Y37" s="437"/>
      <c r="Z37" s="437"/>
      <c r="AA37" s="437"/>
      <c r="AB37" s="437"/>
      <c r="AC37" s="438"/>
    </row>
    <row r="38" spans="1:42" s="346" customFormat="1" ht="25.15" customHeight="1" x14ac:dyDescent="0.2">
      <c r="A38" s="449" t="s">
        <v>384</v>
      </c>
      <c r="B38" s="434" t="s">
        <v>109</v>
      </c>
      <c r="C38" s="434" t="s">
        <v>372</v>
      </c>
      <c r="D38" s="431" t="s">
        <v>383</v>
      </c>
      <c r="E38" s="342" t="s">
        <v>347</v>
      </c>
      <c r="F38" s="256">
        <v>0</v>
      </c>
      <c r="G38" s="256">
        <v>0</v>
      </c>
      <c r="H38" s="256">
        <v>0</v>
      </c>
      <c r="I38" s="256">
        <v>0</v>
      </c>
      <c r="J38" s="256">
        <v>0</v>
      </c>
      <c r="K38" s="256">
        <v>0.1</v>
      </c>
      <c r="L38" s="256">
        <v>0.5</v>
      </c>
      <c r="M38" s="256">
        <v>0.95</v>
      </c>
      <c r="N38" s="256">
        <v>0.95</v>
      </c>
      <c r="O38" s="256">
        <v>0.95</v>
      </c>
      <c r="P38" s="256">
        <v>0.95</v>
      </c>
      <c r="Q38" s="256">
        <v>0.95</v>
      </c>
      <c r="R38" s="256">
        <v>0.95</v>
      </c>
      <c r="S38" s="256">
        <v>0.95</v>
      </c>
      <c r="T38" s="256">
        <v>0.5</v>
      </c>
      <c r="U38" s="256">
        <v>0</v>
      </c>
      <c r="V38" s="256">
        <v>0</v>
      </c>
      <c r="W38" s="256">
        <v>0</v>
      </c>
      <c r="X38" s="256">
        <v>0</v>
      </c>
      <c r="Y38" s="256">
        <v>0</v>
      </c>
      <c r="Z38" s="256">
        <v>0</v>
      </c>
      <c r="AA38" s="256">
        <v>0</v>
      </c>
      <c r="AB38" s="256">
        <v>0</v>
      </c>
      <c r="AC38" s="257">
        <v>0</v>
      </c>
      <c r="AD38" s="44"/>
      <c r="AE38" s="44"/>
      <c r="AF38" s="44"/>
      <c r="AG38" s="44"/>
      <c r="AH38" s="44"/>
      <c r="AI38" s="44"/>
      <c r="AJ38" s="44"/>
    </row>
    <row r="39" spans="1:42" s="346" customFormat="1" ht="25.15" customHeight="1" x14ac:dyDescent="0.2">
      <c r="A39" s="450"/>
      <c r="B39" s="435"/>
      <c r="C39" s="435"/>
      <c r="D39" s="432"/>
      <c r="E39" s="336" t="s">
        <v>345</v>
      </c>
      <c r="F39" s="273">
        <v>0</v>
      </c>
      <c r="G39" s="273">
        <v>0</v>
      </c>
      <c r="H39" s="273">
        <v>0</v>
      </c>
      <c r="I39" s="273">
        <v>0</v>
      </c>
      <c r="J39" s="273">
        <v>0</v>
      </c>
      <c r="K39" s="273">
        <v>0</v>
      </c>
      <c r="L39" s="273">
        <v>0</v>
      </c>
      <c r="M39" s="273">
        <v>0</v>
      </c>
      <c r="N39" s="273">
        <v>0</v>
      </c>
      <c r="O39" s="273">
        <v>0</v>
      </c>
      <c r="P39" s="273">
        <v>0</v>
      </c>
      <c r="Q39" s="273">
        <v>0</v>
      </c>
      <c r="R39" s="273">
        <v>0</v>
      </c>
      <c r="S39" s="273">
        <v>0</v>
      </c>
      <c r="T39" s="273">
        <v>0</v>
      </c>
      <c r="U39" s="273">
        <v>0</v>
      </c>
      <c r="V39" s="273">
        <v>0</v>
      </c>
      <c r="W39" s="273">
        <v>0</v>
      </c>
      <c r="X39" s="273">
        <v>0</v>
      </c>
      <c r="Y39" s="273">
        <v>0</v>
      </c>
      <c r="Z39" s="273">
        <v>0</v>
      </c>
      <c r="AA39" s="273">
        <v>0</v>
      </c>
      <c r="AB39" s="273">
        <v>0</v>
      </c>
      <c r="AC39" s="274">
        <v>0</v>
      </c>
      <c r="AD39" s="44"/>
      <c r="AE39" s="44"/>
      <c r="AF39" s="44"/>
      <c r="AG39" s="44"/>
      <c r="AH39" s="44"/>
      <c r="AI39" s="44"/>
      <c r="AJ39" s="44"/>
    </row>
    <row r="40" spans="1:42" s="346" customFormat="1" ht="25.15" customHeight="1" thickBot="1" x14ac:dyDescent="0.25">
      <c r="A40" s="451"/>
      <c r="B40" s="436"/>
      <c r="C40" s="436"/>
      <c r="D40" s="433"/>
      <c r="E40" s="339" t="s">
        <v>346</v>
      </c>
      <c r="F40" s="275">
        <v>0</v>
      </c>
      <c r="G40" s="275">
        <v>0</v>
      </c>
      <c r="H40" s="275">
        <v>0</v>
      </c>
      <c r="I40" s="275">
        <v>0</v>
      </c>
      <c r="J40" s="275">
        <v>0</v>
      </c>
      <c r="K40" s="275">
        <v>0</v>
      </c>
      <c r="L40" s="275">
        <v>0</v>
      </c>
      <c r="M40" s="275">
        <v>0</v>
      </c>
      <c r="N40" s="275">
        <v>0</v>
      </c>
      <c r="O40" s="275">
        <v>0</v>
      </c>
      <c r="P40" s="275">
        <v>0</v>
      </c>
      <c r="Q40" s="275">
        <v>0</v>
      </c>
      <c r="R40" s="275">
        <v>0</v>
      </c>
      <c r="S40" s="275">
        <v>0</v>
      </c>
      <c r="T40" s="275">
        <v>0</v>
      </c>
      <c r="U40" s="275">
        <v>0</v>
      </c>
      <c r="V40" s="275">
        <v>0</v>
      </c>
      <c r="W40" s="275">
        <v>0</v>
      </c>
      <c r="X40" s="275">
        <v>0</v>
      </c>
      <c r="Y40" s="275">
        <v>0</v>
      </c>
      <c r="Z40" s="275">
        <v>0</v>
      </c>
      <c r="AA40" s="275">
        <v>0</v>
      </c>
      <c r="AB40" s="275">
        <v>0</v>
      </c>
      <c r="AC40" s="276">
        <v>0</v>
      </c>
      <c r="AD40" s="44"/>
      <c r="AE40" s="44"/>
      <c r="AF40" s="44"/>
      <c r="AG40" s="44"/>
      <c r="AH40" s="44"/>
      <c r="AI40" s="44"/>
      <c r="AJ40" s="44"/>
    </row>
    <row r="41" spans="1:42" s="346" customFormat="1" ht="25.15" customHeight="1" x14ac:dyDescent="0.2">
      <c r="A41" s="449" t="s">
        <v>384</v>
      </c>
      <c r="B41" s="434" t="s">
        <v>109</v>
      </c>
      <c r="C41" s="434" t="s">
        <v>379</v>
      </c>
      <c r="D41" s="431" t="s">
        <v>383</v>
      </c>
      <c r="E41" s="342" t="s">
        <v>347</v>
      </c>
      <c r="F41" s="255">
        <v>0</v>
      </c>
      <c r="G41" s="255">
        <v>0</v>
      </c>
      <c r="H41" s="255">
        <v>0</v>
      </c>
      <c r="I41" s="255">
        <v>0</v>
      </c>
      <c r="J41" s="255">
        <v>0</v>
      </c>
      <c r="K41" s="255">
        <v>1</v>
      </c>
      <c r="L41" s="255">
        <v>1</v>
      </c>
      <c r="M41" s="255">
        <v>1</v>
      </c>
      <c r="N41" s="255">
        <v>1</v>
      </c>
      <c r="O41" s="255">
        <v>1</v>
      </c>
      <c r="P41" s="255">
        <v>1</v>
      </c>
      <c r="Q41" s="255">
        <v>1</v>
      </c>
      <c r="R41" s="255">
        <v>1</v>
      </c>
      <c r="S41" s="255">
        <v>1</v>
      </c>
      <c r="T41" s="255">
        <v>1</v>
      </c>
      <c r="U41" s="255">
        <v>0</v>
      </c>
      <c r="V41" s="255">
        <v>0</v>
      </c>
      <c r="W41" s="255">
        <v>0</v>
      </c>
      <c r="X41" s="255">
        <v>0</v>
      </c>
      <c r="Y41" s="255">
        <v>0</v>
      </c>
      <c r="Z41" s="255">
        <v>0</v>
      </c>
      <c r="AA41" s="255">
        <v>0</v>
      </c>
      <c r="AB41" s="255">
        <v>0</v>
      </c>
      <c r="AC41" s="261">
        <v>0</v>
      </c>
      <c r="AD41" s="44"/>
      <c r="AE41" s="44"/>
      <c r="AF41" s="44"/>
      <c r="AG41" s="44"/>
      <c r="AH41" s="44"/>
      <c r="AI41" s="44"/>
      <c r="AJ41" s="44"/>
    </row>
    <row r="42" spans="1:42" s="346" customFormat="1" ht="25.15" customHeight="1" x14ac:dyDescent="0.2">
      <c r="A42" s="450"/>
      <c r="B42" s="435"/>
      <c r="C42" s="435"/>
      <c r="D42" s="432"/>
      <c r="E42" s="336" t="s">
        <v>345</v>
      </c>
      <c r="F42" s="273">
        <v>0</v>
      </c>
      <c r="G42" s="273">
        <v>0</v>
      </c>
      <c r="H42" s="273">
        <v>0</v>
      </c>
      <c r="I42" s="273">
        <v>0</v>
      </c>
      <c r="J42" s="273">
        <v>0</v>
      </c>
      <c r="K42" s="273">
        <v>0</v>
      </c>
      <c r="L42" s="273">
        <v>0</v>
      </c>
      <c r="M42" s="273">
        <v>0</v>
      </c>
      <c r="N42" s="273">
        <v>0</v>
      </c>
      <c r="O42" s="273">
        <v>0</v>
      </c>
      <c r="P42" s="273">
        <v>0</v>
      </c>
      <c r="Q42" s="273">
        <v>0</v>
      </c>
      <c r="R42" s="273">
        <v>0</v>
      </c>
      <c r="S42" s="273">
        <v>0</v>
      </c>
      <c r="T42" s="273">
        <v>0</v>
      </c>
      <c r="U42" s="273">
        <v>0</v>
      </c>
      <c r="V42" s="273">
        <v>0</v>
      </c>
      <c r="W42" s="273">
        <v>0</v>
      </c>
      <c r="X42" s="273">
        <v>0</v>
      </c>
      <c r="Y42" s="273">
        <v>0</v>
      </c>
      <c r="Z42" s="273">
        <v>0</v>
      </c>
      <c r="AA42" s="273">
        <v>0</v>
      </c>
      <c r="AB42" s="273">
        <v>0</v>
      </c>
      <c r="AC42" s="274">
        <v>0</v>
      </c>
      <c r="AD42" s="44"/>
      <c r="AE42" s="44"/>
      <c r="AF42" s="44"/>
      <c r="AG42" s="44"/>
      <c r="AH42" s="44"/>
      <c r="AI42" s="44"/>
      <c r="AJ42" s="44"/>
    </row>
    <row r="43" spans="1:42" s="346" customFormat="1" ht="25.15" customHeight="1" thickBot="1" x14ac:dyDescent="0.25">
      <c r="A43" s="451"/>
      <c r="B43" s="436"/>
      <c r="C43" s="436"/>
      <c r="D43" s="433"/>
      <c r="E43" s="339" t="s">
        <v>346</v>
      </c>
      <c r="F43" s="275">
        <v>0</v>
      </c>
      <c r="G43" s="275">
        <v>0</v>
      </c>
      <c r="H43" s="275">
        <v>0</v>
      </c>
      <c r="I43" s="275">
        <v>0</v>
      </c>
      <c r="J43" s="275">
        <v>0</v>
      </c>
      <c r="K43" s="275">
        <v>0</v>
      </c>
      <c r="L43" s="275">
        <v>0</v>
      </c>
      <c r="M43" s="275">
        <v>0</v>
      </c>
      <c r="N43" s="275">
        <v>0</v>
      </c>
      <c r="O43" s="275">
        <v>0</v>
      </c>
      <c r="P43" s="275">
        <v>0</v>
      </c>
      <c r="Q43" s="275">
        <v>0</v>
      </c>
      <c r="R43" s="275">
        <v>0</v>
      </c>
      <c r="S43" s="275">
        <v>0</v>
      </c>
      <c r="T43" s="275">
        <v>0</v>
      </c>
      <c r="U43" s="275">
        <v>0</v>
      </c>
      <c r="V43" s="275">
        <v>0</v>
      </c>
      <c r="W43" s="275">
        <v>0</v>
      </c>
      <c r="X43" s="275">
        <v>0</v>
      </c>
      <c r="Y43" s="275">
        <v>0</v>
      </c>
      <c r="Z43" s="275">
        <v>0</v>
      </c>
      <c r="AA43" s="275">
        <v>0</v>
      </c>
      <c r="AB43" s="275">
        <v>0</v>
      </c>
      <c r="AC43" s="276">
        <v>0</v>
      </c>
      <c r="AD43" s="44"/>
      <c r="AE43" s="44"/>
      <c r="AF43" s="44"/>
      <c r="AG43" s="44"/>
      <c r="AH43" s="44"/>
      <c r="AI43" s="44"/>
      <c r="AJ43" s="44"/>
    </row>
    <row r="44" spans="1:42" s="346" customFormat="1" ht="25.15" customHeight="1" x14ac:dyDescent="0.2">
      <c r="A44" s="449" t="s">
        <v>384</v>
      </c>
      <c r="B44" s="434" t="s">
        <v>109</v>
      </c>
      <c r="C44" s="434" t="s">
        <v>374</v>
      </c>
      <c r="D44" s="431" t="s">
        <v>383</v>
      </c>
      <c r="E44" s="342" t="s">
        <v>347</v>
      </c>
      <c r="F44" s="256">
        <v>0</v>
      </c>
      <c r="G44" s="256">
        <v>0</v>
      </c>
      <c r="H44" s="256">
        <v>0</v>
      </c>
      <c r="I44" s="256">
        <v>0</v>
      </c>
      <c r="J44" s="256">
        <v>0</v>
      </c>
      <c r="K44" s="256">
        <v>1</v>
      </c>
      <c r="L44" s="256">
        <v>1</v>
      </c>
      <c r="M44" s="256">
        <v>1</v>
      </c>
      <c r="N44" s="256">
        <v>1</v>
      </c>
      <c r="O44" s="256">
        <v>1</v>
      </c>
      <c r="P44" s="256">
        <v>1</v>
      </c>
      <c r="Q44" s="256">
        <v>1</v>
      </c>
      <c r="R44" s="256">
        <v>1</v>
      </c>
      <c r="S44" s="256">
        <v>1</v>
      </c>
      <c r="T44" s="256">
        <v>1</v>
      </c>
      <c r="U44" s="256">
        <v>0</v>
      </c>
      <c r="V44" s="256">
        <v>0</v>
      </c>
      <c r="W44" s="256">
        <v>0</v>
      </c>
      <c r="X44" s="256">
        <v>0</v>
      </c>
      <c r="Y44" s="256">
        <v>0</v>
      </c>
      <c r="Z44" s="256">
        <v>0</v>
      </c>
      <c r="AA44" s="256">
        <v>0</v>
      </c>
      <c r="AB44" s="256">
        <v>0</v>
      </c>
      <c r="AC44" s="257">
        <v>0</v>
      </c>
      <c r="AD44" s="44"/>
      <c r="AE44" s="44"/>
      <c r="AF44" s="44"/>
      <c r="AG44" s="44"/>
      <c r="AH44" s="44"/>
      <c r="AI44" s="44"/>
      <c r="AJ44" s="44"/>
    </row>
    <row r="45" spans="1:42" s="346" customFormat="1" ht="25.15" customHeight="1" x14ac:dyDescent="0.2">
      <c r="A45" s="450"/>
      <c r="B45" s="435"/>
      <c r="C45" s="435"/>
      <c r="D45" s="432"/>
      <c r="E45" s="336" t="s">
        <v>345</v>
      </c>
      <c r="F45" s="273">
        <v>0</v>
      </c>
      <c r="G45" s="273">
        <v>0</v>
      </c>
      <c r="H45" s="273">
        <v>0</v>
      </c>
      <c r="I45" s="273">
        <v>0</v>
      </c>
      <c r="J45" s="273">
        <v>0</v>
      </c>
      <c r="K45" s="273">
        <v>0</v>
      </c>
      <c r="L45" s="273">
        <v>0</v>
      </c>
      <c r="M45" s="273">
        <v>0</v>
      </c>
      <c r="N45" s="273">
        <v>0</v>
      </c>
      <c r="O45" s="273">
        <v>0</v>
      </c>
      <c r="P45" s="273">
        <v>0</v>
      </c>
      <c r="Q45" s="273">
        <v>0</v>
      </c>
      <c r="R45" s="273">
        <v>0</v>
      </c>
      <c r="S45" s="273">
        <v>0</v>
      </c>
      <c r="T45" s="273">
        <v>0</v>
      </c>
      <c r="U45" s="273">
        <v>0</v>
      </c>
      <c r="V45" s="273">
        <v>0</v>
      </c>
      <c r="W45" s="273">
        <v>0</v>
      </c>
      <c r="X45" s="273">
        <v>0</v>
      </c>
      <c r="Y45" s="273">
        <v>0</v>
      </c>
      <c r="Z45" s="273">
        <v>0</v>
      </c>
      <c r="AA45" s="273">
        <v>0</v>
      </c>
      <c r="AB45" s="273">
        <v>0</v>
      </c>
      <c r="AC45" s="274">
        <v>0</v>
      </c>
      <c r="AD45" s="44"/>
      <c r="AE45" s="44"/>
      <c r="AF45" s="44"/>
      <c r="AG45" s="44"/>
      <c r="AH45" s="44"/>
      <c r="AI45" s="44"/>
      <c r="AJ45" s="44"/>
    </row>
    <row r="46" spans="1:42" s="346" customFormat="1" ht="25.15" customHeight="1" thickBot="1" x14ac:dyDescent="0.25">
      <c r="A46" s="451"/>
      <c r="B46" s="436"/>
      <c r="C46" s="436"/>
      <c r="D46" s="433"/>
      <c r="E46" s="339" t="s">
        <v>346</v>
      </c>
      <c r="F46" s="275">
        <v>0</v>
      </c>
      <c r="G46" s="275">
        <v>0</v>
      </c>
      <c r="H46" s="275">
        <v>0</v>
      </c>
      <c r="I46" s="275">
        <v>0</v>
      </c>
      <c r="J46" s="275">
        <v>0</v>
      </c>
      <c r="K46" s="275">
        <v>0</v>
      </c>
      <c r="L46" s="275">
        <v>0</v>
      </c>
      <c r="M46" s="275">
        <v>0</v>
      </c>
      <c r="N46" s="275">
        <v>0</v>
      </c>
      <c r="O46" s="275">
        <v>0</v>
      </c>
      <c r="P46" s="275">
        <v>0</v>
      </c>
      <c r="Q46" s="275">
        <v>0</v>
      </c>
      <c r="R46" s="275">
        <v>0</v>
      </c>
      <c r="S46" s="275">
        <v>0</v>
      </c>
      <c r="T46" s="275">
        <v>0</v>
      </c>
      <c r="U46" s="275">
        <v>0</v>
      </c>
      <c r="V46" s="275">
        <v>0</v>
      </c>
      <c r="W46" s="275">
        <v>0</v>
      </c>
      <c r="X46" s="275">
        <v>0</v>
      </c>
      <c r="Y46" s="275">
        <v>0</v>
      </c>
      <c r="Z46" s="275">
        <v>0</v>
      </c>
      <c r="AA46" s="275">
        <v>0</v>
      </c>
      <c r="AB46" s="275">
        <v>0</v>
      </c>
      <c r="AC46" s="276">
        <v>0</v>
      </c>
      <c r="AD46" s="44"/>
      <c r="AE46" s="44"/>
      <c r="AF46" s="44"/>
      <c r="AG46" s="44"/>
      <c r="AH46" s="44"/>
      <c r="AI46" s="44"/>
      <c r="AJ46" s="44"/>
    </row>
    <row r="47" spans="1:42" s="346" customFormat="1" ht="25.15" customHeight="1" x14ac:dyDescent="0.2">
      <c r="A47" s="449" t="s">
        <v>384</v>
      </c>
      <c r="B47" s="434" t="s">
        <v>109</v>
      </c>
      <c r="C47" s="434" t="s">
        <v>375</v>
      </c>
      <c r="D47" s="431" t="s">
        <v>383</v>
      </c>
      <c r="E47" s="342" t="s">
        <v>347</v>
      </c>
      <c r="F47" s="255">
        <v>0.15</v>
      </c>
      <c r="G47" s="255">
        <v>0.15</v>
      </c>
      <c r="H47" s="255">
        <v>0.15</v>
      </c>
      <c r="I47" s="255">
        <v>0.15</v>
      </c>
      <c r="J47" s="255">
        <v>0.15</v>
      </c>
      <c r="K47" s="255">
        <v>0.2</v>
      </c>
      <c r="L47" s="255">
        <v>0.3</v>
      </c>
      <c r="M47" s="255">
        <v>0.9</v>
      </c>
      <c r="N47" s="255">
        <v>0.9</v>
      </c>
      <c r="O47" s="255">
        <v>0.8</v>
      </c>
      <c r="P47" s="255">
        <v>0.8</v>
      </c>
      <c r="Q47" s="255">
        <v>0.8</v>
      </c>
      <c r="R47" s="255">
        <v>0.9</v>
      </c>
      <c r="S47" s="255">
        <v>0.9</v>
      </c>
      <c r="T47" s="255">
        <v>0.9</v>
      </c>
      <c r="U47" s="255">
        <v>0.7</v>
      </c>
      <c r="V47" s="255">
        <v>0.2</v>
      </c>
      <c r="W47" s="255">
        <v>0.15</v>
      </c>
      <c r="X47" s="255">
        <v>0.15</v>
      </c>
      <c r="Y47" s="255">
        <v>0.15</v>
      </c>
      <c r="Z47" s="255">
        <v>0.15</v>
      </c>
      <c r="AA47" s="255">
        <v>0.15</v>
      </c>
      <c r="AB47" s="255">
        <v>0.15</v>
      </c>
      <c r="AC47" s="261">
        <v>0.15</v>
      </c>
      <c r="AD47" s="44"/>
      <c r="AE47" s="44"/>
      <c r="AF47" s="44"/>
      <c r="AG47" s="44"/>
      <c r="AH47" s="44"/>
      <c r="AI47" s="44"/>
      <c r="AJ47" s="44"/>
    </row>
    <row r="48" spans="1:42" s="346" customFormat="1" ht="25.15" customHeight="1" x14ac:dyDescent="0.2">
      <c r="A48" s="450"/>
      <c r="B48" s="435"/>
      <c r="C48" s="435"/>
      <c r="D48" s="432"/>
      <c r="E48" s="336" t="s">
        <v>345</v>
      </c>
      <c r="F48" s="273">
        <v>0</v>
      </c>
      <c r="G48" s="273">
        <v>0</v>
      </c>
      <c r="H48" s="273">
        <v>0</v>
      </c>
      <c r="I48" s="273">
        <v>0</v>
      </c>
      <c r="J48" s="273">
        <v>0</v>
      </c>
      <c r="K48" s="273">
        <v>0</v>
      </c>
      <c r="L48" s="273">
        <v>0</v>
      </c>
      <c r="M48" s="273">
        <v>0</v>
      </c>
      <c r="N48" s="273">
        <v>0</v>
      </c>
      <c r="O48" s="273">
        <v>0</v>
      </c>
      <c r="P48" s="273">
        <v>0</v>
      </c>
      <c r="Q48" s="273">
        <v>0</v>
      </c>
      <c r="R48" s="273">
        <v>0</v>
      </c>
      <c r="S48" s="273">
        <v>0</v>
      </c>
      <c r="T48" s="273">
        <v>0</v>
      </c>
      <c r="U48" s="273">
        <v>0</v>
      </c>
      <c r="V48" s="273">
        <v>0</v>
      </c>
      <c r="W48" s="273">
        <v>0</v>
      </c>
      <c r="X48" s="273">
        <v>0</v>
      </c>
      <c r="Y48" s="273">
        <v>0</v>
      </c>
      <c r="Z48" s="273">
        <v>0</v>
      </c>
      <c r="AA48" s="273">
        <v>0</v>
      </c>
      <c r="AB48" s="273">
        <v>0</v>
      </c>
      <c r="AC48" s="274">
        <v>0</v>
      </c>
      <c r="AD48" s="44"/>
      <c r="AE48" s="44"/>
      <c r="AF48" s="44"/>
      <c r="AG48" s="44"/>
      <c r="AH48" s="44"/>
      <c r="AI48" s="44"/>
      <c r="AJ48" s="44"/>
    </row>
    <row r="49" spans="1:41" s="346" customFormat="1" ht="25.15" customHeight="1" thickBot="1" x14ac:dyDescent="0.25">
      <c r="A49" s="451"/>
      <c r="B49" s="436"/>
      <c r="C49" s="436"/>
      <c r="D49" s="433"/>
      <c r="E49" s="343" t="s">
        <v>346</v>
      </c>
      <c r="F49" s="275">
        <v>0</v>
      </c>
      <c r="G49" s="275">
        <v>0</v>
      </c>
      <c r="H49" s="275">
        <v>0</v>
      </c>
      <c r="I49" s="275">
        <v>0</v>
      </c>
      <c r="J49" s="275">
        <v>0</v>
      </c>
      <c r="K49" s="275">
        <v>0</v>
      </c>
      <c r="L49" s="275">
        <v>0</v>
      </c>
      <c r="M49" s="275">
        <v>0</v>
      </c>
      <c r="N49" s="275">
        <v>0</v>
      </c>
      <c r="O49" s="275">
        <v>0</v>
      </c>
      <c r="P49" s="275">
        <v>0</v>
      </c>
      <c r="Q49" s="275">
        <v>0</v>
      </c>
      <c r="R49" s="275">
        <v>0</v>
      </c>
      <c r="S49" s="275">
        <v>0</v>
      </c>
      <c r="T49" s="275">
        <v>0</v>
      </c>
      <c r="U49" s="275">
        <v>0</v>
      </c>
      <c r="V49" s="275">
        <v>0</v>
      </c>
      <c r="W49" s="275">
        <v>0</v>
      </c>
      <c r="X49" s="275">
        <v>0</v>
      </c>
      <c r="Y49" s="275">
        <v>0</v>
      </c>
      <c r="Z49" s="275">
        <v>0</v>
      </c>
      <c r="AA49" s="275">
        <v>0</v>
      </c>
      <c r="AB49" s="275">
        <v>0</v>
      </c>
      <c r="AC49" s="276">
        <v>0</v>
      </c>
      <c r="AD49" s="44"/>
      <c r="AE49" s="44"/>
      <c r="AF49" s="44"/>
      <c r="AG49" s="44"/>
      <c r="AH49" s="44"/>
      <c r="AI49" s="44"/>
      <c r="AJ49" s="44"/>
    </row>
    <row r="50" spans="1:41" s="346" customFormat="1" ht="25.15" customHeight="1" x14ac:dyDescent="0.2">
      <c r="A50" s="449" t="s">
        <v>384</v>
      </c>
      <c r="B50" s="434" t="s">
        <v>109</v>
      </c>
      <c r="C50" s="434" t="s">
        <v>380</v>
      </c>
      <c r="D50" s="431" t="s">
        <v>383</v>
      </c>
      <c r="E50" s="347" t="s">
        <v>347</v>
      </c>
      <c r="F50" s="262">
        <f>IF(F41=1,Thermostat!$B$3,Thermostat!$B$4)</f>
        <v>60</v>
      </c>
      <c r="G50" s="262">
        <f>IF(G41=1,Thermostat!$B$3,Thermostat!$B$4)</f>
        <v>60</v>
      </c>
      <c r="H50" s="262">
        <f>IF(H41=1,Thermostat!$B$3,Thermostat!$B$4)</f>
        <v>60</v>
      </c>
      <c r="I50" s="262">
        <f>IF(I41=1,Thermostat!$B$3,Thermostat!$B$4)</f>
        <v>60</v>
      </c>
      <c r="J50" s="262">
        <f>IF(J41=1,Thermostat!$B$3,Thermostat!$B$4)</f>
        <v>60</v>
      </c>
      <c r="K50" s="262">
        <f>IF(K41=1,Thermostat!$B$3,Thermostat!$B$4)</f>
        <v>70</v>
      </c>
      <c r="L50" s="262">
        <f>IF(L41=1,Thermostat!$B$3,Thermostat!$B$4)</f>
        <v>70</v>
      </c>
      <c r="M50" s="262">
        <f>IF(M41=1,Thermostat!$B$3,Thermostat!$B$4)</f>
        <v>70</v>
      </c>
      <c r="N50" s="262">
        <f>IF(N41=1,Thermostat!$B$3,Thermostat!$B$4)</f>
        <v>70</v>
      </c>
      <c r="O50" s="262">
        <f>IF(O41=1,Thermostat!$B$3,Thermostat!$B$4)</f>
        <v>70</v>
      </c>
      <c r="P50" s="262">
        <f>IF(P41=1,Thermostat!$B$3,Thermostat!$B$4)</f>
        <v>70</v>
      </c>
      <c r="Q50" s="262">
        <f>IF(Q41=1,Thermostat!$B$3,Thermostat!$B$4)</f>
        <v>70</v>
      </c>
      <c r="R50" s="262">
        <f>IF(R41=1,Thermostat!$B$3,Thermostat!$B$4)</f>
        <v>70</v>
      </c>
      <c r="S50" s="262">
        <f>IF(S41=1,Thermostat!$B$3,Thermostat!$B$4)</f>
        <v>70</v>
      </c>
      <c r="T50" s="262">
        <f>IF(T41=1,Thermostat!$B$3,Thermostat!$B$4)</f>
        <v>70</v>
      </c>
      <c r="U50" s="262">
        <f>IF(U41=1,Thermostat!$B$3,Thermostat!$B$4)</f>
        <v>60</v>
      </c>
      <c r="V50" s="262">
        <f>IF(V41=1,Thermostat!$B$3,Thermostat!$B$4)</f>
        <v>60</v>
      </c>
      <c r="W50" s="262">
        <f>IF(W41=1,Thermostat!$B$3,Thermostat!$B$4)</f>
        <v>60</v>
      </c>
      <c r="X50" s="262">
        <f>IF(X41=1,Thermostat!$B$3,Thermostat!$B$4)</f>
        <v>60</v>
      </c>
      <c r="Y50" s="262">
        <f>IF(Y41=1,Thermostat!$B$3,Thermostat!$B$4)</f>
        <v>60</v>
      </c>
      <c r="Z50" s="262">
        <f>IF(Z41=1,Thermostat!$B$3,Thermostat!$B$4)</f>
        <v>60</v>
      </c>
      <c r="AA50" s="262">
        <f>IF(AA41=1,Thermostat!$B$3,Thermostat!$B$4)</f>
        <v>60</v>
      </c>
      <c r="AB50" s="262">
        <f>IF(AB41=1,Thermostat!$B$3,Thermostat!$B$4)</f>
        <v>60</v>
      </c>
      <c r="AC50" s="263">
        <f>IF(AC41=1,Thermostat!$B$3,Thermostat!$B$4)</f>
        <v>60</v>
      </c>
      <c r="AD50" s="44"/>
      <c r="AE50" s="44"/>
      <c r="AF50" s="44"/>
      <c r="AG50" s="44"/>
      <c r="AH50" s="44"/>
      <c r="AI50" s="44"/>
      <c r="AJ50" s="44"/>
    </row>
    <row r="51" spans="1:41" s="346" customFormat="1" ht="25.15" customHeight="1" x14ac:dyDescent="0.2">
      <c r="A51" s="450"/>
      <c r="B51" s="435"/>
      <c r="C51" s="435"/>
      <c r="D51" s="432"/>
      <c r="E51" s="348" t="s">
        <v>345</v>
      </c>
      <c r="F51" s="277">
        <f>IF(F42=1,Thermostat!$B$3,Thermostat!$B$4)</f>
        <v>60</v>
      </c>
      <c r="G51" s="277">
        <f>IF(G42=1,Thermostat!$B$3,Thermostat!$B$4)</f>
        <v>60</v>
      </c>
      <c r="H51" s="277">
        <f>IF(H42=1,Thermostat!$B$3,Thermostat!$B$4)</f>
        <v>60</v>
      </c>
      <c r="I51" s="277">
        <f>IF(I42=1,Thermostat!$B$3,Thermostat!$B$4)</f>
        <v>60</v>
      </c>
      <c r="J51" s="277">
        <f>IF(J42=1,Thermostat!$B$3,Thermostat!$B$4)</f>
        <v>60</v>
      </c>
      <c r="K51" s="277">
        <f>IF(K42=1,Thermostat!$B$3,Thermostat!$B$4)</f>
        <v>60</v>
      </c>
      <c r="L51" s="277">
        <f>IF(L42=1,Thermostat!$B$3,Thermostat!$B$4)</f>
        <v>60</v>
      </c>
      <c r="M51" s="277">
        <f>IF(M42=1,Thermostat!$B$3,Thermostat!$B$4)</f>
        <v>60</v>
      </c>
      <c r="N51" s="277">
        <f>IF(N42=1,Thermostat!$B$3,Thermostat!$B$4)</f>
        <v>60</v>
      </c>
      <c r="O51" s="277">
        <f>IF(O42=1,Thermostat!$B$3,Thermostat!$B$4)</f>
        <v>60</v>
      </c>
      <c r="P51" s="277">
        <f>IF(P42=1,Thermostat!$B$3,Thermostat!$B$4)</f>
        <v>60</v>
      </c>
      <c r="Q51" s="277">
        <f>IF(Q42=1,Thermostat!$B$3,Thermostat!$B$4)</f>
        <v>60</v>
      </c>
      <c r="R51" s="277">
        <f>IF(R42=1,Thermostat!$B$3,Thermostat!$B$4)</f>
        <v>60</v>
      </c>
      <c r="S51" s="277">
        <f>IF(S42=1,Thermostat!$B$3,Thermostat!$B$4)</f>
        <v>60</v>
      </c>
      <c r="T51" s="277">
        <f>IF(T42=1,Thermostat!$B$3,Thermostat!$B$4)</f>
        <v>60</v>
      </c>
      <c r="U51" s="277">
        <f>IF(U42=1,Thermostat!$B$3,Thermostat!$B$4)</f>
        <v>60</v>
      </c>
      <c r="V51" s="277">
        <f>IF(V42=1,Thermostat!$B$3,Thermostat!$B$4)</f>
        <v>60</v>
      </c>
      <c r="W51" s="277">
        <f>IF(W42=1,Thermostat!$B$3,Thermostat!$B$4)</f>
        <v>60</v>
      </c>
      <c r="X51" s="277">
        <f>IF(X42=1,Thermostat!$B$3,Thermostat!$B$4)</f>
        <v>60</v>
      </c>
      <c r="Y51" s="277">
        <f>IF(Y42=1,Thermostat!$B$3,Thermostat!$B$4)</f>
        <v>60</v>
      </c>
      <c r="Z51" s="277">
        <f>IF(Z42=1,Thermostat!$B$3,Thermostat!$B$4)</f>
        <v>60</v>
      </c>
      <c r="AA51" s="277">
        <f>IF(AA42=1,Thermostat!$B$3,Thermostat!$B$4)</f>
        <v>60</v>
      </c>
      <c r="AB51" s="277">
        <f>IF(AB42=1,Thermostat!$B$3,Thermostat!$B$4)</f>
        <v>60</v>
      </c>
      <c r="AC51" s="278">
        <f>IF(AC42=1,Thermostat!$B$3,Thermostat!$B$4)</f>
        <v>60</v>
      </c>
      <c r="AD51" s="44"/>
      <c r="AE51" s="44"/>
      <c r="AF51" s="44"/>
      <c r="AG51" s="44"/>
      <c r="AH51" s="44"/>
      <c r="AI51" s="44"/>
      <c r="AJ51" s="44"/>
    </row>
    <row r="52" spans="1:41" ht="25.15" customHeight="1" thickBot="1" x14ac:dyDescent="0.3">
      <c r="A52" s="451"/>
      <c r="B52" s="436"/>
      <c r="C52" s="436"/>
      <c r="D52" s="433"/>
      <c r="E52" s="349" t="s">
        <v>346</v>
      </c>
      <c r="F52" s="279">
        <f>IF(F43=1,Thermostat!$B$3,Thermostat!$B$4)</f>
        <v>60</v>
      </c>
      <c r="G52" s="279">
        <f>IF(G43=1,Thermostat!$B$3,Thermostat!$B$4)</f>
        <v>60</v>
      </c>
      <c r="H52" s="279">
        <f>IF(H43=1,Thermostat!$B$3,Thermostat!$B$4)</f>
        <v>60</v>
      </c>
      <c r="I52" s="279">
        <f>IF(I43=1,Thermostat!$B$3,Thermostat!$B$4)</f>
        <v>60</v>
      </c>
      <c r="J52" s="279">
        <f>IF(J43=1,Thermostat!$B$3,Thermostat!$B$4)</f>
        <v>60</v>
      </c>
      <c r="K52" s="279">
        <f>IF(K43=1,Thermostat!$B$3,Thermostat!$B$4)</f>
        <v>60</v>
      </c>
      <c r="L52" s="279">
        <f>IF(L43=1,Thermostat!$B$3,Thermostat!$B$4)</f>
        <v>60</v>
      </c>
      <c r="M52" s="279">
        <f>IF(M43=1,Thermostat!$B$3,Thermostat!$B$4)</f>
        <v>60</v>
      </c>
      <c r="N52" s="279">
        <f>IF(N43=1,Thermostat!$B$3,Thermostat!$B$4)</f>
        <v>60</v>
      </c>
      <c r="O52" s="279">
        <f>IF(O43=1,Thermostat!$B$3,Thermostat!$B$4)</f>
        <v>60</v>
      </c>
      <c r="P52" s="279">
        <f>IF(P43=1,Thermostat!$B$3,Thermostat!$B$4)</f>
        <v>60</v>
      </c>
      <c r="Q52" s="279">
        <f>IF(Q43=1,Thermostat!$B$3,Thermostat!$B$4)</f>
        <v>60</v>
      </c>
      <c r="R52" s="279">
        <f>IF(R43=1,Thermostat!$B$3,Thermostat!$B$4)</f>
        <v>60</v>
      </c>
      <c r="S52" s="279">
        <f>IF(S43=1,Thermostat!$B$3,Thermostat!$B$4)</f>
        <v>60</v>
      </c>
      <c r="T52" s="279">
        <f>IF(T43=1,Thermostat!$B$3,Thermostat!$B$4)</f>
        <v>60</v>
      </c>
      <c r="U52" s="279">
        <f>IF(U43=1,Thermostat!$B$3,Thermostat!$B$4)</f>
        <v>60</v>
      </c>
      <c r="V52" s="279">
        <f>IF(V43=1,Thermostat!$B$3,Thermostat!$B$4)</f>
        <v>60</v>
      </c>
      <c r="W52" s="279">
        <f>IF(W43=1,Thermostat!$B$3,Thermostat!$B$4)</f>
        <v>60</v>
      </c>
      <c r="X52" s="279">
        <f>IF(X43=1,Thermostat!$B$3,Thermostat!$B$4)</f>
        <v>60</v>
      </c>
      <c r="Y52" s="279">
        <f>IF(Y43=1,Thermostat!$B$3,Thermostat!$B$4)</f>
        <v>60</v>
      </c>
      <c r="Z52" s="279">
        <f>IF(Z43=1,Thermostat!$B$3,Thermostat!$B$4)</f>
        <v>60</v>
      </c>
      <c r="AA52" s="279">
        <f>IF(AA43=1,Thermostat!$B$3,Thermostat!$B$4)</f>
        <v>60</v>
      </c>
      <c r="AB52" s="279">
        <f>IF(AB43=1,Thermostat!$B$3,Thermostat!$B$4)</f>
        <v>60</v>
      </c>
      <c r="AC52" s="280">
        <f>IF(AC43=1,Thermostat!$B$3,Thermostat!$B$4)</f>
        <v>60</v>
      </c>
    </row>
    <row r="53" spans="1:41" s="346" customFormat="1" ht="25.15" customHeight="1" x14ac:dyDescent="0.2">
      <c r="A53" s="449" t="s">
        <v>384</v>
      </c>
      <c r="B53" s="434" t="s">
        <v>109</v>
      </c>
      <c r="C53" s="434" t="s">
        <v>381</v>
      </c>
      <c r="D53" s="431" t="s">
        <v>383</v>
      </c>
      <c r="E53" s="347" t="s">
        <v>347</v>
      </c>
      <c r="F53" s="262">
        <f>IF(F41=1,Thermostat!$B$5,Thermostat!$B$6)</f>
        <v>85</v>
      </c>
      <c r="G53" s="262">
        <f>IF(G41=1,Thermostat!$B$5,Thermostat!$B$6)</f>
        <v>85</v>
      </c>
      <c r="H53" s="262">
        <f>IF(H41=1,Thermostat!$B$5,Thermostat!$B$6)</f>
        <v>85</v>
      </c>
      <c r="I53" s="262">
        <f>IF(I41=1,Thermostat!$B$5,Thermostat!$B$6)</f>
        <v>85</v>
      </c>
      <c r="J53" s="262">
        <f>IF(J41=1,Thermostat!$B$5,Thermostat!$B$6)</f>
        <v>85</v>
      </c>
      <c r="K53" s="262">
        <f>IF(K41=1,Thermostat!$B$5,Thermostat!$B$6)</f>
        <v>75</v>
      </c>
      <c r="L53" s="262">
        <f>IF(L41=1,Thermostat!$B$5,Thermostat!$B$6)</f>
        <v>75</v>
      </c>
      <c r="M53" s="262">
        <f>IF(M41=1,Thermostat!$B$5,Thermostat!$B$6)</f>
        <v>75</v>
      </c>
      <c r="N53" s="262">
        <f>IF(N41=1,Thermostat!$B$5,Thermostat!$B$6)</f>
        <v>75</v>
      </c>
      <c r="O53" s="262">
        <f>IF(O41=1,Thermostat!$B$5,Thermostat!$B$6)</f>
        <v>75</v>
      </c>
      <c r="P53" s="262">
        <f>IF(P41=1,Thermostat!$B$5,Thermostat!$B$6)</f>
        <v>75</v>
      </c>
      <c r="Q53" s="262">
        <f>IF(Q41=1,Thermostat!$B$5,Thermostat!$B$6)</f>
        <v>75</v>
      </c>
      <c r="R53" s="262">
        <f>IF(R41=1,Thermostat!$B$5,Thermostat!$B$6)</f>
        <v>75</v>
      </c>
      <c r="S53" s="262">
        <f>IF(S41=1,Thermostat!$B$5,Thermostat!$B$6)</f>
        <v>75</v>
      </c>
      <c r="T53" s="262">
        <f>IF(T41=1,Thermostat!$B$5,Thermostat!$B$6)</f>
        <v>75</v>
      </c>
      <c r="U53" s="262">
        <f>IF(U41=1,Thermostat!$B$5,Thermostat!$B$6)</f>
        <v>85</v>
      </c>
      <c r="V53" s="262">
        <f>IF(V41=1,Thermostat!$B$5,Thermostat!$B$6)</f>
        <v>85</v>
      </c>
      <c r="W53" s="262">
        <f>IF(W41=1,Thermostat!$B$5,Thermostat!$B$6)</f>
        <v>85</v>
      </c>
      <c r="X53" s="262">
        <f>IF(X41=1,Thermostat!$B$5,Thermostat!$B$6)</f>
        <v>85</v>
      </c>
      <c r="Y53" s="262">
        <f>IF(Y41=1,Thermostat!$B$5,Thermostat!$B$6)</f>
        <v>85</v>
      </c>
      <c r="Z53" s="262">
        <f>IF(Z41=1,Thermostat!$B$5,Thermostat!$B$6)</f>
        <v>85</v>
      </c>
      <c r="AA53" s="262">
        <f>IF(AA41=1,Thermostat!$B$5,Thermostat!$B$6)</f>
        <v>85</v>
      </c>
      <c r="AB53" s="262">
        <f>IF(AB41=1,Thermostat!$B$5,Thermostat!$B$6)</f>
        <v>85</v>
      </c>
      <c r="AC53" s="263">
        <f>IF(AC41=1,Thermostat!$B$5,Thermostat!$B$6)</f>
        <v>85</v>
      </c>
      <c r="AD53" s="44"/>
      <c r="AE53" s="44"/>
      <c r="AF53" s="44"/>
      <c r="AG53" s="44"/>
      <c r="AH53" s="44"/>
      <c r="AI53" s="44"/>
      <c r="AJ53" s="44"/>
    </row>
    <row r="54" spans="1:41" s="346" customFormat="1" ht="25.15" customHeight="1" x14ac:dyDescent="0.2">
      <c r="A54" s="450"/>
      <c r="B54" s="435"/>
      <c r="C54" s="435"/>
      <c r="D54" s="432"/>
      <c r="E54" s="348" t="s">
        <v>345</v>
      </c>
      <c r="F54" s="277">
        <f>IF(F42=1,Thermostat!$B$5,Thermostat!$B$6)</f>
        <v>85</v>
      </c>
      <c r="G54" s="277">
        <f>IF(G42=1,Thermostat!$B$5,Thermostat!$B$6)</f>
        <v>85</v>
      </c>
      <c r="H54" s="277">
        <f>IF(H42=1,Thermostat!$B$5,Thermostat!$B$6)</f>
        <v>85</v>
      </c>
      <c r="I54" s="277">
        <f>IF(I42=1,Thermostat!$B$5,Thermostat!$B$6)</f>
        <v>85</v>
      </c>
      <c r="J54" s="277">
        <f>IF(J42=1,Thermostat!$B$5,Thermostat!$B$6)</f>
        <v>85</v>
      </c>
      <c r="K54" s="277">
        <f>IF(K42=1,Thermostat!$B$5,Thermostat!$B$6)</f>
        <v>85</v>
      </c>
      <c r="L54" s="277">
        <f>IF(L42=1,Thermostat!$B$5,Thermostat!$B$6)</f>
        <v>85</v>
      </c>
      <c r="M54" s="277">
        <f>IF(M42=1,Thermostat!$B$5,Thermostat!$B$6)</f>
        <v>85</v>
      </c>
      <c r="N54" s="277">
        <f>IF(N42=1,Thermostat!$B$5,Thermostat!$B$6)</f>
        <v>85</v>
      </c>
      <c r="O54" s="277">
        <f>IF(O42=1,Thermostat!$B$5,Thermostat!$B$6)</f>
        <v>85</v>
      </c>
      <c r="P54" s="277">
        <f>IF(P42=1,Thermostat!$B$5,Thermostat!$B$6)</f>
        <v>85</v>
      </c>
      <c r="Q54" s="277">
        <f>IF(Q42=1,Thermostat!$B$5,Thermostat!$B$6)</f>
        <v>85</v>
      </c>
      <c r="R54" s="277">
        <f>IF(R42=1,Thermostat!$B$5,Thermostat!$B$6)</f>
        <v>85</v>
      </c>
      <c r="S54" s="277">
        <f>IF(S42=1,Thermostat!$B$5,Thermostat!$B$6)</f>
        <v>85</v>
      </c>
      <c r="T54" s="277">
        <f>IF(T42=1,Thermostat!$B$5,Thermostat!$B$6)</f>
        <v>85</v>
      </c>
      <c r="U54" s="277">
        <f>IF(U42=1,Thermostat!$B$5,Thermostat!$B$6)</f>
        <v>85</v>
      </c>
      <c r="V54" s="277">
        <f>IF(V42=1,Thermostat!$B$5,Thermostat!$B$6)</f>
        <v>85</v>
      </c>
      <c r="W54" s="277">
        <f>IF(W42=1,Thermostat!$B$5,Thermostat!$B$6)</f>
        <v>85</v>
      </c>
      <c r="X54" s="277">
        <f>IF(X42=1,Thermostat!$B$5,Thermostat!$B$6)</f>
        <v>85</v>
      </c>
      <c r="Y54" s="277">
        <f>IF(Y42=1,Thermostat!$B$5,Thermostat!$B$6)</f>
        <v>85</v>
      </c>
      <c r="Z54" s="277">
        <f>IF(Z42=1,Thermostat!$B$5,Thermostat!$B$6)</f>
        <v>85</v>
      </c>
      <c r="AA54" s="277">
        <f>IF(AA42=1,Thermostat!$B$5,Thermostat!$B$6)</f>
        <v>85</v>
      </c>
      <c r="AB54" s="277">
        <f>IF(AB42=1,Thermostat!$B$5,Thermostat!$B$6)</f>
        <v>85</v>
      </c>
      <c r="AC54" s="278">
        <f>IF(AC42=1,Thermostat!$B$5,Thermostat!$B$6)</f>
        <v>85</v>
      </c>
      <c r="AD54" s="44"/>
      <c r="AE54" s="44"/>
      <c r="AF54" s="44"/>
      <c r="AG54" s="44"/>
      <c r="AH54" s="44"/>
      <c r="AI54" s="44"/>
      <c r="AJ54" s="44"/>
    </row>
    <row r="55" spans="1:41" s="346" customFormat="1" ht="25.15" customHeight="1" thickBot="1" x14ac:dyDescent="0.25">
      <c r="A55" s="451"/>
      <c r="B55" s="436"/>
      <c r="C55" s="436"/>
      <c r="D55" s="433"/>
      <c r="E55" s="349" t="s">
        <v>346</v>
      </c>
      <c r="F55" s="279">
        <f>IF(F43=1,Thermostat!$B$5,Thermostat!$B$6)</f>
        <v>85</v>
      </c>
      <c r="G55" s="279">
        <f>IF(G43=1,Thermostat!$B$5,Thermostat!$B$6)</f>
        <v>85</v>
      </c>
      <c r="H55" s="279">
        <f>IF(H43=1,Thermostat!$B$5,Thermostat!$B$6)</f>
        <v>85</v>
      </c>
      <c r="I55" s="279">
        <f>IF(I43=1,Thermostat!$B$5,Thermostat!$B$6)</f>
        <v>85</v>
      </c>
      <c r="J55" s="279">
        <f>IF(J43=1,Thermostat!$B$5,Thermostat!$B$6)</f>
        <v>85</v>
      </c>
      <c r="K55" s="279">
        <f>IF(K43=1,Thermostat!$B$5,Thermostat!$B$6)</f>
        <v>85</v>
      </c>
      <c r="L55" s="279">
        <f>IF(L43=1,Thermostat!$B$5,Thermostat!$B$6)</f>
        <v>85</v>
      </c>
      <c r="M55" s="279">
        <f>IF(M43=1,Thermostat!$B$5,Thermostat!$B$6)</f>
        <v>85</v>
      </c>
      <c r="N55" s="279">
        <f>IF(N43=1,Thermostat!$B$5,Thermostat!$B$6)</f>
        <v>85</v>
      </c>
      <c r="O55" s="279">
        <f>IF(O43=1,Thermostat!$B$5,Thermostat!$B$6)</f>
        <v>85</v>
      </c>
      <c r="P55" s="279">
        <f>IF(P43=1,Thermostat!$B$5,Thermostat!$B$6)</f>
        <v>85</v>
      </c>
      <c r="Q55" s="279">
        <f>IF(Q43=1,Thermostat!$B$5,Thermostat!$B$6)</f>
        <v>85</v>
      </c>
      <c r="R55" s="279">
        <f>IF(R43=1,Thermostat!$B$5,Thermostat!$B$6)</f>
        <v>85</v>
      </c>
      <c r="S55" s="279">
        <f>IF(S43=1,Thermostat!$B$5,Thermostat!$B$6)</f>
        <v>85</v>
      </c>
      <c r="T55" s="279">
        <f>IF(T43=1,Thermostat!$B$5,Thermostat!$B$6)</f>
        <v>85</v>
      </c>
      <c r="U55" s="279">
        <f>IF(U43=1,Thermostat!$B$5,Thermostat!$B$6)</f>
        <v>85</v>
      </c>
      <c r="V55" s="279">
        <f>IF(V43=1,Thermostat!$B$5,Thermostat!$B$6)</f>
        <v>85</v>
      </c>
      <c r="W55" s="279">
        <f>IF(W43=1,Thermostat!$B$5,Thermostat!$B$6)</f>
        <v>85</v>
      </c>
      <c r="X55" s="279">
        <f>IF(X43=1,Thermostat!$B$5,Thermostat!$B$6)</f>
        <v>85</v>
      </c>
      <c r="Y55" s="279">
        <f>IF(Y43=1,Thermostat!$B$5,Thermostat!$B$6)</f>
        <v>85</v>
      </c>
      <c r="Z55" s="279">
        <f>IF(Z43=1,Thermostat!$B$5,Thermostat!$B$6)</f>
        <v>85</v>
      </c>
      <c r="AA55" s="279">
        <f>IF(AA43=1,Thermostat!$B$5,Thermostat!$B$6)</f>
        <v>85</v>
      </c>
      <c r="AB55" s="279">
        <f>IF(AB43=1,Thermostat!$B$5,Thermostat!$B$6)</f>
        <v>85</v>
      </c>
      <c r="AC55" s="280">
        <f>IF(AC43=1,Thermostat!$B$5,Thermostat!$B$6)</f>
        <v>85</v>
      </c>
      <c r="AD55" s="44"/>
      <c r="AE55" s="44"/>
      <c r="AF55" s="44"/>
      <c r="AG55" s="44"/>
      <c r="AH55" s="44"/>
      <c r="AI55" s="44"/>
      <c r="AJ55" s="44"/>
    </row>
    <row r="56" spans="1:41" s="346" customFormat="1" ht="25.15" customHeight="1" x14ac:dyDescent="0.2">
      <c r="A56" s="449" t="s">
        <v>384</v>
      </c>
      <c r="B56" s="434" t="s">
        <v>109</v>
      </c>
      <c r="C56" s="434" t="s">
        <v>385</v>
      </c>
      <c r="D56" s="431" t="s">
        <v>383</v>
      </c>
      <c r="E56" s="342" t="s">
        <v>347</v>
      </c>
      <c r="F56" s="256">
        <v>0</v>
      </c>
      <c r="G56" s="256">
        <v>0</v>
      </c>
      <c r="H56" s="256">
        <v>0</v>
      </c>
      <c r="I56" s="256">
        <v>0</v>
      </c>
      <c r="J56" s="256">
        <v>0</v>
      </c>
      <c r="K56" s="256">
        <v>1</v>
      </c>
      <c r="L56" s="256">
        <v>1</v>
      </c>
      <c r="M56" s="256">
        <v>1</v>
      </c>
      <c r="N56" s="256">
        <v>1</v>
      </c>
      <c r="O56" s="256">
        <v>1</v>
      </c>
      <c r="P56" s="256">
        <v>1</v>
      </c>
      <c r="Q56" s="256">
        <v>1</v>
      </c>
      <c r="R56" s="256">
        <v>1</v>
      </c>
      <c r="S56" s="256">
        <v>1</v>
      </c>
      <c r="T56" s="256">
        <v>1</v>
      </c>
      <c r="U56" s="256">
        <v>0</v>
      </c>
      <c r="V56" s="256">
        <v>0</v>
      </c>
      <c r="W56" s="256">
        <v>0</v>
      </c>
      <c r="X56" s="256">
        <v>0</v>
      </c>
      <c r="Y56" s="256">
        <v>0</v>
      </c>
      <c r="Z56" s="256">
        <v>0</v>
      </c>
      <c r="AA56" s="256">
        <v>0</v>
      </c>
      <c r="AB56" s="256">
        <v>0</v>
      </c>
      <c r="AC56" s="257">
        <v>0</v>
      </c>
      <c r="AD56" s="44"/>
      <c r="AE56" s="44"/>
      <c r="AF56" s="44"/>
      <c r="AG56" s="44"/>
      <c r="AH56" s="44"/>
      <c r="AI56" s="44"/>
      <c r="AJ56" s="44"/>
    </row>
    <row r="57" spans="1:41" s="346" customFormat="1" ht="25.15" customHeight="1" x14ac:dyDescent="0.2">
      <c r="A57" s="450"/>
      <c r="B57" s="435"/>
      <c r="C57" s="435"/>
      <c r="D57" s="432"/>
      <c r="E57" s="336" t="s">
        <v>345</v>
      </c>
      <c r="F57" s="273">
        <v>0</v>
      </c>
      <c r="G57" s="273">
        <v>0</v>
      </c>
      <c r="H57" s="273">
        <v>0</v>
      </c>
      <c r="I57" s="273">
        <v>0</v>
      </c>
      <c r="J57" s="273">
        <v>0</v>
      </c>
      <c r="K57" s="273">
        <v>0</v>
      </c>
      <c r="L57" s="273">
        <v>0</v>
      </c>
      <c r="M57" s="273">
        <v>0</v>
      </c>
      <c r="N57" s="273">
        <v>0</v>
      </c>
      <c r="O57" s="273">
        <v>0</v>
      </c>
      <c r="P57" s="273">
        <v>0</v>
      </c>
      <c r="Q57" s="273">
        <v>0</v>
      </c>
      <c r="R57" s="273">
        <v>0</v>
      </c>
      <c r="S57" s="273">
        <v>0</v>
      </c>
      <c r="T57" s="273">
        <v>0</v>
      </c>
      <c r="U57" s="273">
        <v>0</v>
      </c>
      <c r="V57" s="273">
        <v>0</v>
      </c>
      <c r="W57" s="273">
        <v>0</v>
      </c>
      <c r="X57" s="273">
        <v>0</v>
      </c>
      <c r="Y57" s="273">
        <v>0</v>
      </c>
      <c r="Z57" s="273">
        <v>0</v>
      </c>
      <c r="AA57" s="273">
        <v>0</v>
      </c>
      <c r="AB57" s="273">
        <v>0</v>
      </c>
      <c r="AC57" s="274">
        <v>0</v>
      </c>
      <c r="AD57" s="44"/>
      <c r="AE57" s="44"/>
      <c r="AF57" s="44"/>
      <c r="AG57" s="44"/>
      <c r="AH57" s="44"/>
      <c r="AI57" s="44"/>
      <c r="AJ57" s="44"/>
    </row>
    <row r="58" spans="1:41" s="346" customFormat="1" ht="25.15" customHeight="1" thickBot="1" x14ac:dyDescent="0.25">
      <c r="A58" s="451"/>
      <c r="B58" s="436"/>
      <c r="C58" s="436"/>
      <c r="D58" s="433"/>
      <c r="E58" s="339" t="s">
        <v>346</v>
      </c>
      <c r="F58" s="275">
        <v>0</v>
      </c>
      <c r="G58" s="275">
        <v>0</v>
      </c>
      <c r="H58" s="275">
        <v>0</v>
      </c>
      <c r="I58" s="275">
        <v>0</v>
      </c>
      <c r="J58" s="275">
        <v>0</v>
      </c>
      <c r="K58" s="275">
        <v>0</v>
      </c>
      <c r="L58" s="275">
        <v>0</v>
      </c>
      <c r="M58" s="275">
        <v>0</v>
      </c>
      <c r="N58" s="275">
        <v>0</v>
      </c>
      <c r="O58" s="275">
        <v>0</v>
      </c>
      <c r="P58" s="275">
        <v>0</v>
      </c>
      <c r="Q58" s="275">
        <v>0</v>
      </c>
      <c r="R58" s="275">
        <v>0</v>
      </c>
      <c r="S58" s="275">
        <v>0</v>
      </c>
      <c r="T58" s="275">
        <v>0</v>
      </c>
      <c r="U58" s="275">
        <v>0</v>
      </c>
      <c r="V58" s="275">
        <v>0</v>
      </c>
      <c r="W58" s="275">
        <v>0</v>
      </c>
      <c r="X58" s="275">
        <v>0</v>
      </c>
      <c r="Y58" s="275">
        <v>0</v>
      </c>
      <c r="Z58" s="275">
        <v>0</v>
      </c>
      <c r="AA58" s="275">
        <v>0</v>
      </c>
      <c r="AB58" s="275">
        <v>0</v>
      </c>
      <c r="AC58" s="276">
        <v>0</v>
      </c>
      <c r="AD58" s="44"/>
      <c r="AE58" s="44"/>
      <c r="AF58" s="44"/>
      <c r="AG58" s="44"/>
      <c r="AH58" s="44"/>
      <c r="AI58" s="44"/>
      <c r="AJ58" s="44"/>
    </row>
    <row r="59" spans="1:41" s="346" customFormat="1" ht="25.15" customHeight="1" x14ac:dyDescent="0.2">
      <c r="A59" s="449" t="s">
        <v>384</v>
      </c>
      <c r="B59" s="434" t="s">
        <v>109</v>
      </c>
      <c r="C59" s="434" t="s">
        <v>190</v>
      </c>
      <c r="D59" s="431" t="s">
        <v>383</v>
      </c>
      <c r="E59" s="342" t="s">
        <v>347</v>
      </c>
      <c r="F59" s="256">
        <v>1</v>
      </c>
      <c r="G59" s="256">
        <v>1</v>
      </c>
      <c r="H59" s="256">
        <v>1</v>
      </c>
      <c r="I59" s="256">
        <v>1</v>
      </c>
      <c r="J59" s="256">
        <v>1</v>
      </c>
      <c r="K59" s="256">
        <v>0.25</v>
      </c>
      <c r="L59" s="256">
        <v>0.25</v>
      </c>
      <c r="M59" s="256">
        <v>0.25</v>
      </c>
      <c r="N59" s="256">
        <v>0.25</v>
      </c>
      <c r="O59" s="256">
        <v>0.25</v>
      </c>
      <c r="P59" s="256">
        <v>0.25</v>
      </c>
      <c r="Q59" s="256">
        <v>0.25</v>
      </c>
      <c r="R59" s="256">
        <v>0.25</v>
      </c>
      <c r="S59" s="256">
        <v>0.25</v>
      </c>
      <c r="T59" s="256">
        <v>0.25</v>
      </c>
      <c r="U59" s="256">
        <v>1</v>
      </c>
      <c r="V59" s="256">
        <v>1</v>
      </c>
      <c r="W59" s="256">
        <v>1</v>
      </c>
      <c r="X59" s="256">
        <v>1</v>
      </c>
      <c r="Y59" s="256">
        <v>1</v>
      </c>
      <c r="Z59" s="256">
        <v>1</v>
      </c>
      <c r="AA59" s="256">
        <v>1</v>
      </c>
      <c r="AB59" s="256">
        <v>1</v>
      </c>
      <c r="AC59" s="257">
        <v>1</v>
      </c>
      <c r="AD59" s="44"/>
      <c r="AE59" s="44"/>
      <c r="AF59" s="44"/>
      <c r="AG59" s="44"/>
      <c r="AH59" s="44"/>
      <c r="AI59" s="44"/>
      <c r="AJ59" s="44"/>
    </row>
    <row r="60" spans="1:41" s="346" customFormat="1" ht="25.15" customHeight="1" x14ac:dyDescent="0.2">
      <c r="A60" s="450"/>
      <c r="B60" s="435"/>
      <c r="C60" s="435"/>
      <c r="D60" s="432"/>
      <c r="E60" s="336" t="s">
        <v>345</v>
      </c>
      <c r="F60" s="273">
        <v>1</v>
      </c>
      <c r="G60" s="273">
        <v>1</v>
      </c>
      <c r="H60" s="273">
        <v>1</v>
      </c>
      <c r="I60" s="273">
        <v>1</v>
      </c>
      <c r="J60" s="273">
        <v>1</v>
      </c>
      <c r="K60" s="273">
        <v>1</v>
      </c>
      <c r="L60" s="273">
        <v>1</v>
      </c>
      <c r="M60" s="273">
        <v>1</v>
      </c>
      <c r="N60" s="273">
        <v>1</v>
      </c>
      <c r="O60" s="273">
        <v>1</v>
      </c>
      <c r="P60" s="273">
        <v>1</v>
      </c>
      <c r="Q60" s="273">
        <v>1</v>
      </c>
      <c r="R60" s="273">
        <v>1</v>
      </c>
      <c r="S60" s="273">
        <v>1</v>
      </c>
      <c r="T60" s="273">
        <v>1</v>
      </c>
      <c r="U60" s="273">
        <v>1</v>
      </c>
      <c r="V60" s="273">
        <v>1</v>
      </c>
      <c r="W60" s="273">
        <v>1</v>
      </c>
      <c r="X60" s="273">
        <v>1</v>
      </c>
      <c r="Y60" s="273">
        <v>1</v>
      </c>
      <c r="Z60" s="273">
        <v>1</v>
      </c>
      <c r="AA60" s="273">
        <v>1</v>
      </c>
      <c r="AB60" s="273">
        <v>1</v>
      </c>
      <c r="AC60" s="274">
        <v>1</v>
      </c>
      <c r="AD60" s="44"/>
      <c r="AE60" s="44"/>
      <c r="AF60" s="44"/>
      <c r="AG60" s="44"/>
      <c r="AH60" s="44"/>
      <c r="AI60" s="44"/>
      <c r="AJ60" s="44"/>
    </row>
    <row r="61" spans="1:41" s="346" customFormat="1" ht="25.15" customHeight="1" thickBot="1" x14ac:dyDescent="0.25">
      <c r="A61" s="451"/>
      <c r="B61" s="436"/>
      <c r="C61" s="436"/>
      <c r="D61" s="433"/>
      <c r="E61" s="339" t="s">
        <v>346</v>
      </c>
      <c r="F61" s="275">
        <v>1</v>
      </c>
      <c r="G61" s="275">
        <v>1</v>
      </c>
      <c r="H61" s="275">
        <v>1</v>
      </c>
      <c r="I61" s="275">
        <v>1</v>
      </c>
      <c r="J61" s="275">
        <v>1</v>
      </c>
      <c r="K61" s="275">
        <v>1</v>
      </c>
      <c r="L61" s="275">
        <v>1</v>
      </c>
      <c r="M61" s="275">
        <v>1</v>
      </c>
      <c r="N61" s="275">
        <v>1</v>
      </c>
      <c r="O61" s="275">
        <v>1</v>
      </c>
      <c r="P61" s="275">
        <v>1</v>
      </c>
      <c r="Q61" s="275">
        <v>1</v>
      </c>
      <c r="R61" s="275">
        <v>1</v>
      </c>
      <c r="S61" s="275">
        <v>1</v>
      </c>
      <c r="T61" s="275">
        <v>1</v>
      </c>
      <c r="U61" s="275">
        <v>1</v>
      </c>
      <c r="V61" s="275">
        <v>1</v>
      </c>
      <c r="W61" s="275">
        <v>1</v>
      </c>
      <c r="X61" s="275">
        <v>1</v>
      </c>
      <c r="Y61" s="275">
        <v>1</v>
      </c>
      <c r="Z61" s="275">
        <v>1</v>
      </c>
      <c r="AA61" s="275">
        <v>1</v>
      </c>
      <c r="AB61" s="275">
        <v>1</v>
      </c>
      <c r="AC61" s="276">
        <v>1</v>
      </c>
      <c r="AD61" s="44"/>
      <c r="AE61" s="44"/>
      <c r="AF61" s="44"/>
      <c r="AG61" s="44"/>
      <c r="AH61" s="44"/>
      <c r="AI61" s="44"/>
      <c r="AJ61" s="44"/>
    </row>
    <row r="62" spans="1:41" s="307" customFormat="1" ht="25.15" customHeight="1" x14ac:dyDescent="0.25">
      <c r="A62" s="513" t="s">
        <v>384</v>
      </c>
      <c r="B62" s="516" t="s">
        <v>109</v>
      </c>
      <c r="C62" s="519" t="s">
        <v>378</v>
      </c>
      <c r="D62" s="520" t="s">
        <v>373</v>
      </c>
      <c r="E62" s="308" t="s">
        <v>347</v>
      </c>
      <c r="F62" s="309">
        <v>0.9</v>
      </c>
      <c r="G62" s="309">
        <v>0.9</v>
      </c>
      <c r="H62" s="309">
        <v>0.9</v>
      </c>
      <c r="I62" s="309">
        <v>0.9</v>
      </c>
      <c r="J62" s="309">
        <v>0.9</v>
      </c>
      <c r="K62" s="309">
        <v>0.9</v>
      </c>
      <c r="L62" s="309">
        <v>0.9</v>
      </c>
      <c r="M62" s="309">
        <v>0.9</v>
      </c>
      <c r="N62" s="309">
        <v>0.9</v>
      </c>
      <c r="O62" s="309">
        <v>0.9</v>
      </c>
      <c r="P62" s="309">
        <v>0.9</v>
      </c>
      <c r="Q62" s="309">
        <v>0.9</v>
      </c>
      <c r="R62" s="309">
        <v>0.9</v>
      </c>
      <c r="S62" s="309">
        <v>0.9</v>
      </c>
      <c r="T62" s="309">
        <v>0.9</v>
      </c>
      <c r="U62" s="309">
        <v>0.9</v>
      </c>
      <c r="V62" s="309">
        <v>0.9</v>
      </c>
      <c r="W62" s="309">
        <v>0.9</v>
      </c>
      <c r="X62" s="309">
        <v>0.9</v>
      </c>
      <c r="Y62" s="309">
        <v>0.9</v>
      </c>
      <c r="Z62" s="309">
        <v>0.9</v>
      </c>
      <c r="AA62" s="309">
        <v>0.9</v>
      </c>
      <c r="AB62" s="309">
        <v>0.9</v>
      </c>
      <c r="AC62" s="310">
        <v>0.9</v>
      </c>
      <c r="AD62" s="311"/>
      <c r="AE62" s="311"/>
      <c r="AF62" s="311"/>
      <c r="AG62" s="311"/>
      <c r="AH62" s="311"/>
      <c r="AI62" s="311"/>
      <c r="AJ62" s="311"/>
      <c r="AK62" s="311"/>
      <c r="AM62" s="312"/>
      <c r="AO62" s="313"/>
    </row>
    <row r="63" spans="1:41" s="307" customFormat="1" ht="25.15" customHeight="1" x14ac:dyDescent="0.25">
      <c r="A63" s="514"/>
      <c r="B63" s="517"/>
      <c r="C63" s="501"/>
      <c r="D63" s="504"/>
      <c r="E63" s="314" t="s">
        <v>345</v>
      </c>
      <c r="F63" s="315">
        <v>0.9</v>
      </c>
      <c r="G63" s="315">
        <v>0.9</v>
      </c>
      <c r="H63" s="315">
        <v>0.9</v>
      </c>
      <c r="I63" s="315">
        <v>0.9</v>
      </c>
      <c r="J63" s="315">
        <v>0.9</v>
      </c>
      <c r="K63" s="315">
        <v>0.9</v>
      </c>
      <c r="L63" s="315">
        <v>0.9</v>
      </c>
      <c r="M63" s="315">
        <v>0.9</v>
      </c>
      <c r="N63" s="315">
        <v>0.9</v>
      </c>
      <c r="O63" s="315">
        <v>0.9</v>
      </c>
      <c r="P63" s="315">
        <v>0.9</v>
      </c>
      <c r="Q63" s="315">
        <v>0.9</v>
      </c>
      <c r="R63" s="315">
        <v>0.9</v>
      </c>
      <c r="S63" s="315">
        <v>0.9</v>
      </c>
      <c r="T63" s="315">
        <v>0.9</v>
      </c>
      <c r="U63" s="315">
        <v>0.9</v>
      </c>
      <c r="V63" s="315">
        <v>0.9</v>
      </c>
      <c r="W63" s="315">
        <v>0.9</v>
      </c>
      <c r="X63" s="315">
        <v>0.9</v>
      </c>
      <c r="Y63" s="315">
        <v>0.9</v>
      </c>
      <c r="Z63" s="315">
        <v>0.9</v>
      </c>
      <c r="AA63" s="315">
        <v>0.9</v>
      </c>
      <c r="AB63" s="315">
        <v>0.9</v>
      </c>
      <c r="AC63" s="316">
        <v>0.9</v>
      </c>
      <c r="AD63" s="311"/>
      <c r="AE63" s="311"/>
      <c r="AF63" s="311"/>
      <c r="AG63" s="311"/>
      <c r="AH63" s="311"/>
      <c r="AI63" s="311"/>
      <c r="AJ63" s="311"/>
      <c r="AK63" s="311"/>
      <c r="AM63" s="312"/>
      <c r="AO63" s="313"/>
    </row>
    <row r="64" spans="1:41" s="307" customFormat="1" ht="25.15" customHeight="1" thickBot="1" x14ac:dyDescent="0.3">
      <c r="A64" s="515"/>
      <c r="B64" s="518"/>
      <c r="C64" s="502"/>
      <c r="D64" s="505"/>
      <c r="E64" s="317" t="s">
        <v>346</v>
      </c>
      <c r="F64" s="318">
        <v>0.9</v>
      </c>
      <c r="G64" s="318">
        <v>0.9</v>
      </c>
      <c r="H64" s="318">
        <v>0.9</v>
      </c>
      <c r="I64" s="318">
        <v>0.9</v>
      </c>
      <c r="J64" s="318">
        <v>0.9</v>
      </c>
      <c r="K64" s="318">
        <v>0.9</v>
      </c>
      <c r="L64" s="318">
        <v>0.9</v>
      </c>
      <c r="M64" s="318">
        <v>0.9</v>
      </c>
      <c r="N64" s="318">
        <v>0.9</v>
      </c>
      <c r="O64" s="318">
        <v>0.9</v>
      </c>
      <c r="P64" s="318">
        <v>0.9</v>
      </c>
      <c r="Q64" s="318">
        <v>0.9</v>
      </c>
      <c r="R64" s="318">
        <v>0.9</v>
      </c>
      <c r="S64" s="318">
        <v>0.9</v>
      </c>
      <c r="T64" s="318">
        <v>0.9</v>
      </c>
      <c r="U64" s="318">
        <v>0.9</v>
      </c>
      <c r="V64" s="318">
        <v>0.9</v>
      </c>
      <c r="W64" s="318">
        <v>0.9</v>
      </c>
      <c r="X64" s="318">
        <v>0.9</v>
      </c>
      <c r="Y64" s="318">
        <v>0.9</v>
      </c>
      <c r="Z64" s="318">
        <v>0.9</v>
      </c>
      <c r="AA64" s="318">
        <v>0.9</v>
      </c>
      <c r="AB64" s="318">
        <v>0.9</v>
      </c>
      <c r="AC64" s="319">
        <v>0.9</v>
      </c>
      <c r="AD64" s="311"/>
      <c r="AE64" s="311"/>
      <c r="AF64" s="311"/>
      <c r="AG64" s="311"/>
      <c r="AH64" s="311"/>
      <c r="AI64" s="311"/>
      <c r="AJ64" s="311"/>
      <c r="AK64" s="311"/>
      <c r="AM64" s="312"/>
      <c r="AO64" s="313"/>
    </row>
    <row r="65" spans="1:16384" s="307" customFormat="1" ht="25.15" customHeight="1" x14ac:dyDescent="0.25">
      <c r="A65" s="513" t="s">
        <v>384</v>
      </c>
      <c r="B65" s="516" t="s">
        <v>109</v>
      </c>
      <c r="C65" s="500" t="s">
        <v>377</v>
      </c>
      <c r="D65" s="520" t="s">
        <v>373</v>
      </c>
      <c r="E65" s="320" t="s">
        <v>347</v>
      </c>
      <c r="F65" s="321">
        <v>0</v>
      </c>
      <c r="G65" s="321">
        <v>0</v>
      </c>
      <c r="H65" s="321">
        <v>0</v>
      </c>
      <c r="I65" s="321">
        <v>0</v>
      </c>
      <c r="J65" s="321">
        <v>0</v>
      </c>
      <c r="K65" s="321">
        <v>0</v>
      </c>
      <c r="L65" s="321">
        <v>0</v>
      </c>
      <c r="M65" s="321">
        <v>0.5</v>
      </c>
      <c r="N65" s="321">
        <v>0.5</v>
      </c>
      <c r="O65" s="321">
        <v>0.75</v>
      </c>
      <c r="P65" s="321">
        <v>0.9</v>
      </c>
      <c r="Q65" s="321">
        <v>0.9</v>
      </c>
      <c r="R65" s="321">
        <v>0.9</v>
      </c>
      <c r="S65" s="321">
        <v>0</v>
      </c>
      <c r="T65" s="321">
        <v>0</v>
      </c>
      <c r="U65" s="321">
        <v>0</v>
      </c>
      <c r="V65" s="321">
        <v>0</v>
      </c>
      <c r="W65" s="321">
        <v>0</v>
      </c>
      <c r="X65" s="321">
        <v>0</v>
      </c>
      <c r="Y65" s="321">
        <v>0</v>
      </c>
      <c r="Z65" s="321">
        <v>0</v>
      </c>
      <c r="AA65" s="321">
        <v>0</v>
      </c>
      <c r="AB65" s="321">
        <v>0</v>
      </c>
      <c r="AC65" s="322">
        <v>0</v>
      </c>
      <c r="AD65" s="311"/>
      <c r="AE65" s="311"/>
      <c r="AF65" s="311"/>
      <c r="AG65" s="311"/>
      <c r="AH65" s="311"/>
      <c r="AI65" s="311"/>
      <c r="AJ65" s="311"/>
      <c r="AK65" s="311"/>
      <c r="AM65" s="312"/>
      <c r="AO65" s="313"/>
    </row>
    <row r="66" spans="1:16384" s="307" customFormat="1" ht="25.15" customHeight="1" x14ac:dyDescent="0.25">
      <c r="A66" s="514"/>
      <c r="B66" s="517"/>
      <c r="C66" s="501"/>
      <c r="D66" s="504"/>
      <c r="E66" s="314" t="s">
        <v>345</v>
      </c>
      <c r="F66" s="315">
        <v>0</v>
      </c>
      <c r="G66" s="315">
        <v>0</v>
      </c>
      <c r="H66" s="315">
        <v>0</v>
      </c>
      <c r="I66" s="315">
        <v>0</v>
      </c>
      <c r="J66" s="315">
        <v>0</v>
      </c>
      <c r="K66" s="315">
        <v>0</v>
      </c>
      <c r="L66" s="315">
        <v>0</v>
      </c>
      <c r="M66" s="315">
        <v>0</v>
      </c>
      <c r="N66" s="315">
        <v>0</v>
      </c>
      <c r="O66" s="315">
        <v>0</v>
      </c>
      <c r="P66" s="315">
        <v>0</v>
      </c>
      <c r="Q66" s="315">
        <v>0</v>
      </c>
      <c r="R66" s="315">
        <v>0</v>
      </c>
      <c r="S66" s="315">
        <v>0</v>
      </c>
      <c r="T66" s="315">
        <v>0</v>
      </c>
      <c r="U66" s="315">
        <v>0</v>
      </c>
      <c r="V66" s="315">
        <v>0</v>
      </c>
      <c r="W66" s="315">
        <v>0</v>
      </c>
      <c r="X66" s="315">
        <v>0</v>
      </c>
      <c r="Y66" s="315">
        <v>0</v>
      </c>
      <c r="Z66" s="315">
        <v>0</v>
      </c>
      <c r="AA66" s="315">
        <v>0</v>
      </c>
      <c r="AB66" s="315">
        <v>0</v>
      </c>
      <c r="AC66" s="316">
        <v>0</v>
      </c>
      <c r="AD66" s="311"/>
      <c r="AE66" s="311"/>
      <c r="AF66" s="311"/>
      <c r="AG66" s="311"/>
      <c r="AH66" s="311"/>
      <c r="AI66" s="311"/>
      <c r="AJ66" s="311"/>
      <c r="AK66" s="311"/>
      <c r="AM66" s="312"/>
      <c r="AO66" s="313"/>
    </row>
    <row r="67" spans="1:16384" s="307" customFormat="1" ht="25.15" customHeight="1" thickBot="1" x14ac:dyDescent="0.3">
      <c r="A67" s="515"/>
      <c r="B67" s="518"/>
      <c r="C67" s="502"/>
      <c r="D67" s="505"/>
      <c r="E67" s="317" t="s">
        <v>346</v>
      </c>
      <c r="F67" s="318">
        <v>0</v>
      </c>
      <c r="G67" s="318">
        <v>0</v>
      </c>
      <c r="H67" s="318">
        <v>0</v>
      </c>
      <c r="I67" s="318">
        <v>0</v>
      </c>
      <c r="J67" s="318">
        <v>0</v>
      </c>
      <c r="K67" s="318">
        <v>0</v>
      </c>
      <c r="L67" s="318">
        <v>0</v>
      </c>
      <c r="M67" s="318">
        <v>0</v>
      </c>
      <c r="N67" s="318">
        <v>0</v>
      </c>
      <c r="O67" s="318">
        <v>0</v>
      </c>
      <c r="P67" s="318">
        <v>0</v>
      </c>
      <c r="Q67" s="318">
        <v>0</v>
      </c>
      <c r="R67" s="318">
        <v>0</v>
      </c>
      <c r="S67" s="318">
        <v>0</v>
      </c>
      <c r="T67" s="318">
        <v>0</v>
      </c>
      <c r="U67" s="318">
        <v>0</v>
      </c>
      <c r="V67" s="318">
        <v>0</v>
      </c>
      <c r="W67" s="318">
        <v>0</v>
      </c>
      <c r="X67" s="318">
        <v>0</v>
      </c>
      <c r="Y67" s="318">
        <v>0</v>
      </c>
      <c r="Z67" s="318">
        <v>0</v>
      </c>
      <c r="AA67" s="318">
        <v>0</v>
      </c>
      <c r="AB67" s="318">
        <v>0</v>
      </c>
      <c r="AC67" s="319">
        <v>0</v>
      </c>
      <c r="AD67" s="311"/>
      <c r="AE67" s="311"/>
      <c r="AF67" s="311"/>
      <c r="AG67" s="311"/>
      <c r="AH67" s="311"/>
      <c r="AI67" s="311"/>
      <c r="AJ67" s="311"/>
      <c r="AK67" s="311"/>
      <c r="AM67" s="312"/>
      <c r="AO67" s="313"/>
    </row>
    <row r="68" spans="1:16384" s="307" customFormat="1" ht="25.15" customHeight="1" x14ac:dyDescent="0.25">
      <c r="A68" s="513" t="s">
        <v>384</v>
      </c>
      <c r="B68" s="521" t="s">
        <v>109</v>
      </c>
      <c r="C68" s="507" t="s">
        <v>376</v>
      </c>
      <c r="D68" s="520" t="s">
        <v>373</v>
      </c>
      <c r="E68" s="320" t="s">
        <v>347</v>
      </c>
      <c r="F68" s="321">
        <v>0.05</v>
      </c>
      <c r="G68" s="321">
        <v>0.05</v>
      </c>
      <c r="H68" s="321">
        <v>0.05</v>
      </c>
      <c r="I68" s="321">
        <v>0.05</v>
      </c>
      <c r="J68" s="321">
        <v>0.05</v>
      </c>
      <c r="K68" s="321">
        <v>0.05</v>
      </c>
      <c r="L68" s="321">
        <v>0.05</v>
      </c>
      <c r="M68" s="321">
        <v>0.1</v>
      </c>
      <c r="N68" s="321">
        <v>0.34</v>
      </c>
      <c r="O68" s="321">
        <v>0.6</v>
      </c>
      <c r="P68" s="321">
        <v>0.63</v>
      </c>
      <c r="Q68" s="321">
        <v>0.72</v>
      </c>
      <c r="R68" s="321">
        <v>0.79</v>
      </c>
      <c r="S68" s="321">
        <v>0.83</v>
      </c>
      <c r="T68" s="321">
        <v>0.61</v>
      </c>
      <c r="U68" s="321">
        <v>0.65</v>
      </c>
      <c r="V68" s="321">
        <v>0.1</v>
      </c>
      <c r="W68" s="321">
        <v>0.1</v>
      </c>
      <c r="X68" s="321">
        <v>0.19</v>
      </c>
      <c r="Y68" s="321">
        <v>0.25</v>
      </c>
      <c r="Z68" s="321">
        <v>0.22</v>
      </c>
      <c r="AA68" s="321">
        <v>0.22</v>
      </c>
      <c r="AB68" s="321">
        <v>0.12</v>
      </c>
      <c r="AC68" s="322">
        <v>0.09</v>
      </c>
      <c r="AD68" s="311"/>
      <c r="AE68" s="311"/>
      <c r="AF68" s="311"/>
      <c r="AG68" s="311"/>
      <c r="AH68" s="311"/>
      <c r="AI68" s="311"/>
      <c r="AJ68" s="311"/>
      <c r="AK68" s="311"/>
      <c r="AM68" s="312"/>
    </row>
    <row r="69" spans="1:16384" s="307" customFormat="1" ht="25.15" customHeight="1" x14ac:dyDescent="0.25">
      <c r="A69" s="514"/>
      <c r="B69" s="522"/>
      <c r="C69" s="508"/>
      <c r="D69" s="504"/>
      <c r="E69" s="314" t="s">
        <v>345</v>
      </c>
      <c r="F69" s="315">
        <v>0.03</v>
      </c>
      <c r="G69" s="315">
        <v>0.03</v>
      </c>
      <c r="H69" s="315">
        <v>0.03</v>
      </c>
      <c r="I69" s="315">
        <v>0.03</v>
      </c>
      <c r="J69" s="315">
        <v>0.03</v>
      </c>
      <c r="K69" s="315">
        <v>0.03</v>
      </c>
      <c r="L69" s="315">
        <v>0.03</v>
      </c>
      <c r="M69" s="315">
        <v>0.03</v>
      </c>
      <c r="N69" s="315">
        <v>0.03</v>
      </c>
      <c r="O69" s="315">
        <v>0.05</v>
      </c>
      <c r="P69" s="315">
        <v>0.05</v>
      </c>
      <c r="Q69" s="315">
        <v>0.05</v>
      </c>
      <c r="R69" s="315">
        <v>0.05</v>
      </c>
      <c r="S69" s="315">
        <v>0.03</v>
      </c>
      <c r="T69" s="315">
        <v>0.03</v>
      </c>
      <c r="U69" s="315">
        <v>0.03</v>
      </c>
      <c r="V69" s="315">
        <v>0.03</v>
      </c>
      <c r="W69" s="315">
        <v>0.03</v>
      </c>
      <c r="X69" s="315">
        <v>0.03</v>
      </c>
      <c r="Y69" s="315">
        <v>0.03</v>
      </c>
      <c r="Z69" s="315">
        <v>0.03</v>
      </c>
      <c r="AA69" s="315">
        <v>0.03</v>
      </c>
      <c r="AB69" s="315">
        <v>0.03</v>
      </c>
      <c r="AC69" s="316">
        <v>0.03</v>
      </c>
      <c r="AD69" s="311"/>
      <c r="AE69" s="311"/>
      <c r="AF69" s="311"/>
      <c r="AG69" s="311"/>
      <c r="AH69" s="311"/>
      <c r="AI69" s="311"/>
      <c r="AJ69" s="311"/>
      <c r="AK69" s="311"/>
      <c r="AM69" s="312"/>
    </row>
    <row r="70" spans="1:16384" s="307" customFormat="1" ht="25.15" customHeight="1" thickBot="1" x14ac:dyDescent="0.3">
      <c r="A70" s="515"/>
      <c r="B70" s="523"/>
      <c r="C70" s="509"/>
      <c r="D70" s="505"/>
      <c r="E70" s="317" t="s">
        <v>346</v>
      </c>
      <c r="F70" s="318">
        <v>0.03</v>
      </c>
      <c r="G70" s="318">
        <v>0.03</v>
      </c>
      <c r="H70" s="318">
        <v>0.03</v>
      </c>
      <c r="I70" s="318">
        <v>0.03</v>
      </c>
      <c r="J70" s="318">
        <v>0.03</v>
      </c>
      <c r="K70" s="318">
        <v>0.03</v>
      </c>
      <c r="L70" s="318">
        <v>0.03</v>
      </c>
      <c r="M70" s="318">
        <v>0.03</v>
      </c>
      <c r="N70" s="318">
        <v>0.05</v>
      </c>
      <c r="O70" s="318">
        <v>0.05</v>
      </c>
      <c r="P70" s="318">
        <v>0.05</v>
      </c>
      <c r="Q70" s="318">
        <v>0.05</v>
      </c>
      <c r="R70" s="318">
        <v>0.05</v>
      </c>
      <c r="S70" s="318">
        <v>0.05</v>
      </c>
      <c r="T70" s="318">
        <v>0.03</v>
      </c>
      <c r="U70" s="318">
        <v>0.03</v>
      </c>
      <c r="V70" s="318">
        <v>0.03</v>
      </c>
      <c r="W70" s="318">
        <v>0.03</v>
      </c>
      <c r="X70" s="318">
        <v>0.03</v>
      </c>
      <c r="Y70" s="318">
        <v>0.03</v>
      </c>
      <c r="Z70" s="318">
        <v>0.03</v>
      </c>
      <c r="AA70" s="318">
        <v>0.03</v>
      </c>
      <c r="AB70" s="318">
        <v>0.03</v>
      </c>
      <c r="AC70" s="319">
        <v>0.03</v>
      </c>
      <c r="AD70" s="311"/>
      <c r="AE70" s="311"/>
      <c r="AF70" s="311"/>
      <c r="AG70" s="311"/>
      <c r="AH70" s="311"/>
      <c r="AI70" s="311"/>
      <c r="AJ70" s="311"/>
      <c r="AK70" s="311"/>
      <c r="AM70" s="312"/>
    </row>
    <row r="71" spans="1:16384" s="42" customFormat="1" ht="35.25" customHeight="1" thickBot="1" x14ac:dyDescent="0.3">
      <c r="A71" s="486" t="s">
        <v>106</v>
      </c>
      <c r="B71" s="486"/>
      <c r="C71" s="486" t="s">
        <v>16</v>
      </c>
      <c r="D71" s="486"/>
      <c r="E71" s="486"/>
      <c r="F71" s="486"/>
      <c r="G71" s="486"/>
      <c r="H71" s="486"/>
      <c r="I71" s="486"/>
      <c r="J71" s="486"/>
      <c r="K71" s="486"/>
      <c r="L71" s="486"/>
      <c r="M71" s="486"/>
      <c r="N71" s="486"/>
      <c r="O71" s="486"/>
      <c r="P71" s="486"/>
      <c r="Q71" s="486"/>
      <c r="R71" s="486"/>
      <c r="S71" s="486"/>
      <c r="T71" s="486"/>
      <c r="U71" s="486"/>
      <c r="V71" s="486"/>
      <c r="W71" s="486"/>
      <c r="X71" s="486"/>
      <c r="Y71" s="486"/>
      <c r="Z71" s="486"/>
      <c r="AA71" s="486"/>
      <c r="AB71" s="486"/>
      <c r="AC71" s="487"/>
      <c r="AD71" s="486"/>
      <c r="AE71" s="486"/>
      <c r="AF71" s="486"/>
      <c r="AG71" s="486"/>
      <c r="AH71" s="486"/>
      <c r="AI71" s="486"/>
      <c r="AJ71" s="486"/>
      <c r="AK71" s="486"/>
      <c r="AL71" s="486"/>
      <c r="AM71" s="486"/>
      <c r="AN71" s="486"/>
      <c r="AO71" s="486"/>
      <c r="AP71" s="486"/>
      <c r="AQ71" s="486"/>
      <c r="AR71" s="486"/>
      <c r="AS71" s="486"/>
      <c r="AT71" s="486"/>
      <c r="AU71" s="486"/>
      <c r="AV71" s="486"/>
      <c r="AW71" s="486"/>
      <c r="AX71" s="486"/>
      <c r="AY71" s="486"/>
      <c r="AZ71" s="486"/>
      <c r="BA71" s="486"/>
      <c r="BB71" s="486"/>
      <c r="BC71" s="486"/>
      <c r="BD71" s="486"/>
      <c r="BE71" s="486"/>
      <c r="BF71" s="487"/>
      <c r="BG71" s="486"/>
      <c r="BH71" s="486"/>
      <c r="BI71" s="486"/>
      <c r="BJ71" s="486"/>
      <c r="BK71" s="486"/>
      <c r="BL71" s="486"/>
      <c r="BM71" s="486"/>
      <c r="BN71" s="486"/>
      <c r="BO71" s="486"/>
      <c r="BP71" s="486"/>
      <c r="BQ71" s="486"/>
      <c r="BR71" s="486"/>
      <c r="BS71" s="486"/>
      <c r="BT71" s="486"/>
      <c r="BU71" s="486"/>
      <c r="BV71" s="486"/>
      <c r="BW71" s="486"/>
      <c r="BX71" s="486"/>
      <c r="BY71" s="486"/>
      <c r="BZ71" s="486"/>
      <c r="CA71" s="486"/>
      <c r="CB71" s="486"/>
      <c r="CC71" s="486"/>
      <c r="CD71" s="486"/>
      <c r="CE71" s="486"/>
      <c r="CF71" s="486"/>
      <c r="CG71" s="486"/>
      <c r="CH71" s="486"/>
      <c r="CI71" s="487"/>
      <c r="CJ71" s="486"/>
      <c r="CK71" s="486"/>
      <c r="CL71" s="486"/>
      <c r="CM71" s="486"/>
      <c r="CN71" s="486"/>
      <c r="CO71" s="486"/>
      <c r="CP71" s="486"/>
      <c r="CQ71" s="486"/>
      <c r="CR71" s="486"/>
      <c r="CS71" s="486"/>
      <c r="CT71" s="486"/>
      <c r="CU71" s="486"/>
      <c r="CV71" s="486"/>
      <c r="CW71" s="486"/>
      <c r="CX71" s="486"/>
      <c r="CY71" s="486"/>
      <c r="CZ71" s="486"/>
      <c r="DA71" s="486"/>
      <c r="DB71" s="486"/>
      <c r="DC71" s="486"/>
      <c r="DD71" s="486"/>
      <c r="DE71" s="486"/>
      <c r="DF71" s="486"/>
      <c r="DG71" s="486"/>
      <c r="DH71" s="486"/>
      <c r="DI71" s="486"/>
      <c r="DJ71" s="486"/>
      <c r="DK71" s="486"/>
      <c r="DL71" s="487"/>
      <c r="DM71" s="486"/>
      <c r="DN71" s="486"/>
      <c r="DO71" s="486"/>
      <c r="DP71" s="486"/>
      <c r="DQ71" s="486"/>
      <c r="DR71" s="486"/>
      <c r="DS71" s="486"/>
      <c r="DT71" s="486"/>
      <c r="DU71" s="486"/>
      <c r="DV71" s="486"/>
      <c r="DW71" s="486"/>
      <c r="DX71" s="486"/>
      <c r="DY71" s="486"/>
      <c r="DZ71" s="486"/>
      <c r="EA71" s="486"/>
      <c r="EB71" s="486"/>
      <c r="EC71" s="486"/>
      <c r="ED71" s="486"/>
      <c r="EE71" s="486"/>
      <c r="EF71" s="486"/>
      <c r="EG71" s="486"/>
      <c r="EH71" s="486"/>
      <c r="EI71" s="486"/>
      <c r="EJ71" s="486"/>
      <c r="EK71" s="486"/>
      <c r="EL71" s="486"/>
      <c r="EM71" s="486"/>
      <c r="EN71" s="486"/>
      <c r="EO71" s="487"/>
      <c r="EP71" s="486"/>
      <c r="EQ71" s="486"/>
      <c r="ER71" s="486"/>
      <c r="ES71" s="486"/>
      <c r="ET71" s="486"/>
      <c r="EU71" s="486"/>
      <c r="EV71" s="486"/>
      <c r="EW71" s="486"/>
      <c r="EX71" s="486"/>
      <c r="EY71" s="486"/>
      <c r="EZ71" s="486"/>
      <c r="FA71" s="486"/>
      <c r="FB71" s="486"/>
      <c r="FC71" s="486"/>
      <c r="FD71" s="486"/>
      <c r="FE71" s="486"/>
      <c r="FF71" s="486"/>
      <c r="FG71" s="486"/>
      <c r="FH71" s="486"/>
      <c r="FI71" s="486"/>
      <c r="FJ71" s="486"/>
      <c r="FK71" s="486"/>
      <c r="FL71" s="486"/>
      <c r="FM71" s="486"/>
      <c r="FN71" s="486"/>
      <c r="FO71" s="486"/>
      <c r="FP71" s="486"/>
      <c r="FQ71" s="486"/>
      <c r="FR71" s="487"/>
      <c r="FS71" s="486"/>
      <c r="FT71" s="486"/>
      <c r="FU71" s="486"/>
      <c r="FV71" s="486"/>
      <c r="FW71" s="486"/>
      <c r="FX71" s="486"/>
      <c r="FY71" s="486"/>
      <c r="FZ71" s="486"/>
      <c r="GA71" s="486"/>
      <c r="GB71" s="486"/>
      <c r="GC71" s="486"/>
      <c r="GD71" s="486"/>
      <c r="GE71" s="486"/>
      <c r="GF71" s="486"/>
      <c r="GG71" s="486"/>
      <c r="GH71" s="486"/>
      <c r="GI71" s="486"/>
      <c r="GJ71" s="486"/>
      <c r="GK71" s="486"/>
      <c r="GL71" s="486"/>
      <c r="GM71" s="486"/>
      <c r="GN71" s="486"/>
      <c r="GO71" s="486"/>
      <c r="GP71" s="486"/>
      <c r="GQ71" s="486"/>
      <c r="GR71" s="486"/>
      <c r="GS71" s="486"/>
      <c r="GT71" s="486"/>
      <c r="GU71" s="487"/>
      <c r="GV71" s="486"/>
      <c r="GW71" s="486"/>
      <c r="GX71" s="486"/>
      <c r="GY71" s="486"/>
      <c r="GZ71" s="486"/>
      <c r="HA71" s="486"/>
      <c r="HB71" s="486"/>
      <c r="HC71" s="486"/>
      <c r="HD71" s="486"/>
      <c r="HE71" s="486"/>
      <c r="HF71" s="486"/>
      <c r="HG71" s="486"/>
      <c r="HH71" s="486"/>
      <c r="HI71" s="486"/>
      <c r="HJ71" s="486"/>
      <c r="HK71" s="486"/>
      <c r="HL71" s="486"/>
      <c r="HM71" s="486"/>
      <c r="HN71" s="486"/>
      <c r="HO71" s="486"/>
      <c r="HP71" s="486"/>
      <c r="HQ71" s="486"/>
      <c r="HR71" s="486"/>
      <c r="HS71" s="486"/>
      <c r="HT71" s="486"/>
      <c r="HU71" s="486"/>
      <c r="HV71" s="486"/>
      <c r="HW71" s="486"/>
      <c r="HX71" s="487"/>
      <c r="HY71" s="486"/>
      <c r="HZ71" s="486"/>
      <c r="IA71" s="486"/>
      <c r="IB71" s="486"/>
      <c r="IC71" s="486"/>
      <c r="ID71" s="486"/>
      <c r="IE71" s="486"/>
      <c r="IF71" s="486"/>
      <c r="IG71" s="486"/>
      <c r="IH71" s="486"/>
      <c r="II71" s="486"/>
      <c r="IJ71" s="486"/>
      <c r="IK71" s="486"/>
      <c r="IL71" s="486"/>
      <c r="IM71" s="486"/>
      <c r="IN71" s="486"/>
      <c r="IO71" s="486"/>
      <c r="IP71" s="486"/>
      <c r="IQ71" s="486"/>
      <c r="IR71" s="486"/>
      <c r="IS71" s="486"/>
      <c r="IT71" s="486"/>
      <c r="IU71" s="486"/>
      <c r="IV71" s="486"/>
      <c r="IW71" s="486"/>
      <c r="IX71" s="486"/>
      <c r="IY71" s="486"/>
      <c r="IZ71" s="486"/>
      <c r="JA71" s="487"/>
      <c r="JB71" s="486"/>
      <c r="JC71" s="486"/>
      <c r="JD71" s="486"/>
      <c r="JE71" s="486"/>
      <c r="JF71" s="486"/>
      <c r="JG71" s="486"/>
      <c r="JH71" s="486"/>
      <c r="JI71" s="486"/>
      <c r="JJ71" s="486"/>
      <c r="JK71" s="486"/>
      <c r="JL71" s="486"/>
      <c r="JM71" s="486"/>
      <c r="JN71" s="486"/>
      <c r="JO71" s="486"/>
      <c r="JP71" s="486"/>
      <c r="JQ71" s="486"/>
      <c r="JR71" s="486"/>
      <c r="JS71" s="486"/>
      <c r="JT71" s="486"/>
      <c r="JU71" s="486"/>
      <c r="JV71" s="486"/>
      <c r="JW71" s="486"/>
      <c r="JX71" s="486"/>
      <c r="JY71" s="486"/>
      <c r="JZ71" s="486"/>
      <c r="KA71" s="486"/>
      <c r="KB71" s="486"/>
      <c r="KC71" s="486"/>
      <c r="KD71" s="487"/>
      <c r="KE71" s="486"/>
      <c r="KF71" s="486"/>
      <c r="KG71" s="486"/>
      <c r="KH71" s="486"/>
      <c r="KI71" s="486"/>
      <c r="KJ71" s="486"/>
      <c r="KK71" s="486"/>
      <c r="KL71" s="486"/>
      <c r="KM71" s="486"/>
      <c r="KN71" s="486"/>
      <c r="KO71" s="486"/>
      <c r="KP71" s="486"/>
      <c r="KQ71" s="486"/>
      <c r="KR71" s="486"/>
      <c r="KS71" s="486"/>
      <c r="KT71" s="486"/>
      <c r="KU71" s="486"/>
      <c r="KV71" s="486"/>
      <c r="KW71" s="486"/>
      <c r="KX71" s="486"/>
      <c r="KY71" s="486"/>
      <c r="KZ71" s="486"/>
      <c r="LA71" s="486"/>
      <c r="LB71" s="486"/>
      <c r="LC71" s="486"/>
      <c r="LD71" s="486"/>
      <c r="LE71" s="486"/>
      <c r="LF71" s="486"/>
      <c r="LG71" s="487"/>
      <c r="LH71" s="486"/>
      <c r="LI71" s="486"/>
      <c r="LJ71" s="486"/>
      <c r="LK71" s="486"/>
      <c r="LL71" s="486"/>
      <c r="LM71" s="486"/>
      <c r="LN71" s="486"/>
      <c r="LO71" s="486"/>
      <c r="LP71" s="486"/>
      <c r="LQ71" s="486"/>
      <c r="LR71" s="486"/>
      <c r="LS71" s="486"/>
      <c r="LT71" s="486"/>
      <c r="LU71" s="486"/>
      <c r="LV71" s="486"/>
      <c r="LW71" s="486"/>
      <c r="LX71" s="486"/>
      <c r="LY71" s="486"/>
      <c r="LZ71" s="486"/>
      <c r="MA71" s="486"/>
      <c r="MB71" s="486"/>
      <c r="MC71" s="486"/>
      <c r="MD71" s="486"/>
      <c r="ME71" s="486"/>
      <c r="MF71" s="486"/>
      <c r="MG71" s="486"/>
      <c r="MH71" s="486"/>
      <c r="MI71" s="486"/>
      <c r="MJ71" s="487"/>
      <c r="MK71" s="486"/>
      <c r="ML71" s="486"/>
      <c r="MM71" s="486"/>
      <c r="MN71" s="486"/>
      <c r="MO71" s="486"/>
      <c r="MP71" s="486"/>
      <c r="MQ71" s="486"/>
      <c r="MR71" s="486"/>
      <c r="MS71" s="486"/>
      <c r="MT71" s="486"/>
      <c r="MU71" s="486"/>
      <c r="MV71" s="486"/>
      <c r="MW71" s="486"/>
      <c r="MX71" s="486"/>
      <c r="MY71" s="486"/>
      <c r="MZ71" s="486"/>
      <c r="NA71" s="486"/>
      <c r="NB71" s="486"/>
      <c r="NC71" s="486"/>
      <c r="ND71" s="486"/>
      <c r="NE71" s="486"/>
      <c r="NF71" s="486"/>
      <c r="NG71" s="486"/>
      <c r="NH71" s="486"/>
      <c r="NI71" s="486"/>
      <c r="NJ71" s="486"/>
      <c r="NK71" s="486"/>
      <c r="NL71" s="486"/>
      <c r="NM71" s="487"/>
      <c r="NN71" s="486"/>
      <c r="NO71" s="486"/>
      <c r="NP71" s="486"/>
      <c r="NQ71" s="486"/>
      <c r="NR71" s="486"/>
      <c r="NS71" s="486"/>
      <c r="NT71" s="486"/>
      <c r="NU71" s="486"/>
      <c r="NV71" s="486"/>
      <c r="NW71" s="486"/>
      <c r="NX71" s="486"/>
      <c r="NY71" s="486"/>
      <c r="NZ71" s="486"/>
      <c r="OA71" s="486"/>
      <c r="OB71" s="486"/>
      <c r="OC71" s="486"/>
      <c r="OD71" s="486"/>
      <c r="OE71" s="486"/>
      <c r="OF71" s="486"/>
      <c r="OG71" s="486"/>
      <c r="OH71" s="486"/>
      <c r="OI71" s="486"/>
      <c r="OJ71" s="486"/>
      <c r="OK71" s="486"/>
      <c r="OL71" s="486"/>
      <c r="OM71" s="486"/>
      <c r="ON71" s="486"/>
      <c r="OO71" s="486"/>
      <c r="OP71" s="487"/>
      <c r="OQ71" s="486"/>
      <c r="OR71" s="486"/>
      <c r="OS71" s="486"/>
      <c r="OT71" s="486"/>
      <c r="OU71" s="486"/>
      <c r="OV71" s="486"/>
      <c r="OW71" s="486"/>
      <c r="OX71" s="486"/>
      <c r="OY71" s="486"/>
      <c r="OZ71" s="486"/>
      <c r="PA71" s="486"/>
      <c r="PB71" s="486"/>
      <c r="PC71" s="486"/>
      <c r="PD71" s="486"/>
      <c r="PE71" s="486"/>
      <c r="PF71" s="486"/>
      <c r="PG71" s="486"/>
      <c r="PH71" s="486"/>
      <c r="PI71" s="486"/>
      <c r="PJ71" s="486"/>
      <c r="PK71" s="486"/>
      <c r="PL71" s="486"/>
      <c r="PM71" s="486"/>
      <c r="PN71" s="486"/>
      <c r="PO71" s="486"/>
      <c r="PP71" s="486"/>
      <c r="PQ71" s="486"/>
      <c r="PR71" s="486"/>
      <c r="PS71" s="487"/>
      <c r="PT71" s="486"/>
      <c r="PU71" s="486"/>
      <c r="PV71" s="486"/>
      <c r="PW71" s="486"/>
      <c r="PX71" s="486"/>
      <c r="PY71" s="486"/>
      <c r="PZ71" s="486"/>
      <c r="QA71" s="486"/>
      <c r="QB71" s="486"/>
      <c r="QC71" s="486"/>
      <c r="QD71" s="486"/>
      <c r="QE71" s="486"/>
      <c r="QF71" s="486"/>
      <c r="QG71" s="486"/>
      <c r="QH71" s="486"/>
      <c r="QI71" s="486"/>
      <c r="QJ71" s="486"/>
      <c r="QK71" s="486"/>
      <c r="QL71" s="486"/>
      <c r="QM71" s="486"/>
      <c r="QN71" s="486"/>
      <c r="QO71" s="486"/>
      <c r="QP71" s="486"/>
      <c r="QQ71" s="486"/>
      <c r="QR71" s="486"/>
      <c r="QS71" s="486"/>
      <c r="QT71" s="486"/>
      <c r="QU71" s="486"/>
      <c r="QV71" s="487"/>
      <c r="QW71" s="486"/>
      <c r="QX71" s="486"/>
      <c r="QY71" s="486"/>
      <c r="QZ71" s="486"/>
      <c r="RA71" s="486"/>
      <c r="RB71" s="486"/>
      <c r="RC71" s="486"/>
      <c r="RD71" s="486"/>
      <c r="RE71" s="486"/>
      <c r="RF71" s="486"/>
      <c r="RG71" s="486"/>
      <c r="RH71" s="486"/>
      <c r="RI71" s="486"/>
      <c r="RJ71" s="486"/>
      <c r="RK71" s="486"/>
      <c r="RL71" s="486"/>
      <c r="RM71" s="486"/>
      <c r="RN71" s="486"/>
      <c r="RO71" s="486"/>
      <c r="RP71" s="486"/>
      <c r="RQ71" s="486"/>
      <c r="RR71" s="486"/>
      <c r="RS71" s="486"/>
      <c r="RT71" s="486"/>
      <c r="RU71" s="486"/>
      <c r="RV71" s="486"/>
      <c r="RW71" s="486"/>
      <c r="RX71" s="486"/>
      <c r="RY71" s="487"/>
      <c r="RZ71" s="486"/>
      <c r="SA71" s="486"/>
      <c r="SB71" s="486"/>
      <c r="SC71" s="486"/>
      <c r="SD71" s="486"/>
      <c r="SE71" s="486"/>
      <c r="SF71" s="486"/>
      <c r="SG71" s="486"/>
      <c r="SH71" s="486"/>
      <c r="SI71" s="486"/>
      <c r="SJ71" s="486"/>
      <c r="SK71" s="486"/>
      <c r="SL71" s="486"/>
      <c r="SM71" s="486"/>
      <c r="SN71" s="486"/>
      <c r="SO71" s="486"/>
      <c r="SP71" s="486"/>
      <c r="SQ71" s="486"/>
      <c r="SR71" s="486"/>
      <c r="SS71" s="486"/>
      <c r="ST71" s="486"/>
      <c r="SU71" s="486"/>
      <c r="SV71" s="486"/>
      <c r="SW71" s="486"/>
      <c r="SX71" s="486"/>
      <c r="SY71" s="486"/>
      <c r="SZ71" s="486"/>
      <c r="TA71" s="486"/>
      <c r="TB71" s="487"/>
      <c r="TC71" s="486"/>
      <c r="TD71" s="486"/>
      <c r="TE71" s="486"/>
      <c r="TF71" s="486"/>
      <c r="TG71" s="486"/>
      <c r="TH71" s="486"/>
      <c r="TI71" s="486"/>
      <c r="TJ71" s="486"/>
      <c r="TK71" s="486"/>
      <c r="TL71" s="486"/>
      <c r="TM71" s="486"/>
      <c r="TN71" s="486"/>
      <c r="TO71" s="486"/>
      <c r="TP71" s="486"/>
      <c r="TQ71" s="486"/>
      <c r="TR71" s="486"/>
      <c r="TS71" s="486"/>
      <c r="TT71" s="486"/>
      <c r="TU71" s="486"/>
      <c r="TV71" s="486"/>
      <c r="TW71" s="486"/>
      <c r="TX71" s="486"/>
      <c r="TY71" s="486"/>
      <c r="TZ71" s="486"/>
      <c r="UA71" s="486"/>
      <c r="UB71" s="486"/>
      <c r="UC71" s="486"/>
      <c r="UD71" s="486"/>
      <c r="UE71" s="487"/>
      <c r="UF71" s="486"/>
      <c r="UG71" s="486"/>
      <c r="UH71" s="486"/>
      <c r="UI71" s="486"/>
      <c r="UJ71" s="486"/>
      <c r="UK71" s="486"/>
      <c r="UL71" s="486"/>
      <c r="UM71" s="486"/>
      <c r="UN71" s="486"/>
      <c r="UO71" s="486"/>
      <c r="UP71" s="486"/>
      <c r="UQ71" s="486"/>
      <c r="UR71" s="486"/>
      <c r="US71" s="486"/>
      <c r="UT71" s="486"/>
      <c r="UU71" s="486"/>
      <c r="UV71" s="486"/>
      <c r="UW71" s="486"/>
      <c r="UX71" s="486"/>
      <c r="UY71" s="486"/>
      <c r="UZ71" s="486"/>
      <c r="VA71" s="486"/>
      <c r="VB71" s="486"/>
      <c r="VC71" s="486"/>
      <c r="VD71" s="486"/>
      <c r="VE71" s="486"/>
      <c r="VF71" s="486"/>
      <c r="VG71" s="486"/>
      <c r="VH71" s="487"/>
      <c r="VI71" s="486"/>
      <c r="VJ71" s="486"/>
      <c r="VK71" s="486"/>
      <c r="VL71" s="486"/>
      <c r="VM71" s="486"/>
      <c r="VN71" s="486"/>
      <c r="VO71" s="486"/>
      <c r="VP71" s="486"/>
      <c r="VQ71" s="486"/>
      <c r="VR71" s="486"/>
      <c r="VS71" s="486"/>
      <c r="VT71" s="486"/>
      <c r="VU71" s="486"/>
      <c r="VV71" s="486"/>
      <c r="VW71" s="486"/>
      <c r="VX71" s="486"/>
      <c r="VY71" s="486"/>
      <c r="VZ71" s="486"/>
      <c r="WA71" s="486"/>
      <c r="WB71" s="486"/>
      <c r="WC71" s="486"/>
      <c r="WD71" s="486"/>
      <c r="WE71" s="486"/>
      <c r="WF71" s="486"/>
      <c r="WG71" s="486"/>
      <c r="WH71" s="486"/>
      <c r="WI71" s="486"/>
      <c r="WJ71" s="486"/>
      <c r="WK71" s="487"/>
      <c r="WL71" s="486"/>
      <c r="WM71" s="486"/>
      <c r="WN71" s="486"/>
      <c r="WO71" s="486"/>
      <c r="WP71" s="486"/>
      <c r="WQ71" s="486"/>
      <c r="WR71" s="486"/>
      <c r="WS71" s="486"/>
      <c r="WT71" s="486"/>
      <c r="WU71" s="486"/>
      <c r="WV71" s="486"/>
      <c r="WW71" s="486"/>
      <c r="WX71" s="486"/>
      <c r="WY71" s="486"/>
      <c r="WZ71" s="486"/>
      <c r="XA71" s="486"/>
      <c r="XB71" s="486"/>
      <c r="XC71" s="486"/>
      <c r="XD71" s="486"/>
      <c r="XE71" s="486"/>
      <c r="XF71" s="486"/>
      <c r="XG71" s="486"/>
      <c r="XH71" s="486"/>
      <c r="XI71" s="486"/>
      <c r="XJ71" s="486"/>
      <c r="XK71" s="486"/>
      <c r="XL71" s="486"/>
      <c r="XM71" s="486"/>
      <c r="XN71" s="487"/>
      <c r="XO71" s="486"/>
      <c r="XP71" s="486"/>
      <c r="XQ71" s="486"/>
      <c r="XR71" s="486"/>
      <c r="XS71" s="486"/>
      <c r="XT71" s="486"/>
      <c r="XU71" s="486"/>
      <c r="XV71" s="486"/>
      <c r="XW71" s="486"/>
      <c r="XX71" s="486"/>
      <c r="XY71" s="486"/>
      <c r="XZ71" s="486"/>
      <c r="YA71" s="486"/>
      <c r="YB71" s="486"/>
      <c r="YC71" s="486"/>
      <c r="YD71" s="486"/>
      <c r="YE71" s="486"/>
      <c r="YF71" s="486"/>
      <c r="YG71" s="486"/>
      <c r="YH71" s="486"/>
      <c r="YI71" s="486"/>
      <c r="YJ71" s="486"/>
      <c r="YK71" s="486"/>
      <c r="YL71" s="486"/>
      <c r="YM71" s="486"/>
      <c r="YN71" s="486"/>
      <c r="YO71" s="486"/>
      <c r="YP71" s="486"/>
      <c r="YQ71" s="487"/>
      <c r="YR71" s="486"/>
      <c r="YS71" s="486"/>
      <c r="YT71" s="486"/>
      <c r="YU71" s="486"/>
      <c r="YV71" s="486"/>
      <c r="YW71" s="486"/>
      <c r="YX71" s="486"/>
      <c r="YY71" s="486"/>
      <c r="YZ71" s="486"/>
      <c r="ZA71" s="486"/>
      <c r="ZB71" s="486"/>
      <c r="ZC71" s="486"/>
      <c r="ZD71" s="486"/>
      <c r="ZE71" s="486"/>
      <c r="ZF71" s="486"/>
      <c r="ZG71" s="486"/>
      <c r="ZH71" s="486"/>
      <c r="ZI71" s="486"/>
      <c r="ZJ71" s="486"/>
      <c r="ZK71" s="486"/>
      <c r="ZL71" s="486"/>
      <c r="ZM71" s="486"/>
      <c r="ZN71" s="486"/>
      <c r="ZO71" s="486"/>
      <c r="ZP71" s="486"/>
      <c r="ZQ71" s="486"/>
      <c r="ZR71" s="486"/>
      <c r="ZS71" s="486"/>
      <c r="ZT71" s="487"/>
      <c r="ZU71" s="486"/>
      <c r="ZV71" s="486"/>
      <c r="ZW71" s="486"/>
      <c r="ZX71" s="486"/>
      <c r="ZY71" s="486"/>
      <c r="ZZ71" s="486"/>
      <c r="AAA71" s="486"/>
      <c r="AAB71" s="486"/>
      <c r="AAC71" s="486"/>
      <c r="AAD71" s="486"/>
      <c r="AAE71" s="486"/>
      <c r="AAF71" s="486"/>
      <c r="AAG71" s="486"/>
      <c r="AAH71" s="486"/>
      <c r="AAI71" s="486"/>
      <c r="AAJ71" s="486"/>
      <c r="AAK71" s="486"/>
      <c r="AAL71" s="486"/>
      <c r="AAM71" s="486"/>
      <c r="AAN71" s="486"/>
      <c r="AAO71" s="486"/>
      <c r="AAP71" s="486"/>
      <c r="AAQ71" s="486"/>
      <c r="AAR71" s="486"/>
      <c r="AAS71" s="486"/>
      <c r="AAT71" s="486"/>
      <c r="AAU71" s="486"/>
      <c r="AAV71" s="486"/>
      <c r="AAW71" s="487"/>
      <c r="AAX71" s="486"/>
      <c r="AAY71" s="486"/>
      <c r="AAZ71" s="486"/>
      <c r="ABA71" s="486"/>
      <c r="ABB71" s="486"/>
      <c r="ABC71" s="486"/>
      <c r="ABD71" s="486"/>
      <c r="ABE71" s="486"/>
      <c r="ABF71" s="486"/>
      <c r="ABG71" s="486"/>
      <c r="ABH71" s="486"/>
      <c r="ABI71" s="486"/>
      <c r="ABJ71" s="486"/>
      <c r="ABK71" s="486"/>
      <c r="ABL71" s="486"/>
      <c r="ABM71" s="486"/>
      <c r="ABN71" s="486"/>
      <c r="ABO71" s="486"/>
      <c r="ABP71" s="486"/>
      <c r="ABQ71" s="486"/>
      <c r="ABR71" s="486"/>
      <c r="ABS71" s="486"/>
      <c r="ABT71" s="486"/>
      <c r="ABU71" s="486"/>
      <c r="ABV71" s="486"/>
      <c r="ABW71" s="486"/>
      <c r="ABX71" s="486"/>
      <c r="ABY71" s="486"/>
      <c r="ABZ71" s="487"/>
      <c r="ACA71" s="486"/>
      <c r="ACB71" s="486"/>
      <c r="ACC71" s="486"/>
      <c r="ACD71" s="486"/>
      <c r="ACE71" s="486"/>
      <c r="ACF71" s="486"/>
      <c r="ACG71" s="486"/>
      <c r="ACH71" s="486"/>
      <c r="ACI71" s="486"/>
      <c r="ACJ71" s="486"/>
      <c r="ACK71" s="486"/>
      <c r="ACL71" s="486"/>
      <c r="ACM71" s="486"/>
      <c r="ACN71" s="486"/>
      <c r="ACO71" s="486"/>
      <c r="ACP71" s="486"/>
      <c r="ACQ71" s="486"/>
      <c r="ACR71" s="486"/>
      <c r="ACS71" s="486"/>
      <c r="ACT71" s="486"/>
      <c r="ACU71" s="486"/>
      <c r="ACV71" s="486"/>
      <c r="ACW71" s="486"/>
      <c r="ACX71" s="486"/>
      <c r="ACY71" s="486"/>
      <c r="ACZ71" s="486"/>
      <c r="ADA71" s="486"/>
      <c r="ADB71" s="486"/>
      <c r="ADC71" s="487"/>
      <c r="ADD71" s="486"/>
      <c r="ADE71" s="486"/>
      <c r="ADF71" s="486"/>
      <c r="ADG71" s="486"/>
      <c r="ADH71" s="486"/>
      <c r="ADI71" s="486"/>
      <c r="ADJ71" s="486"/>
      <c r="ADK71" s="486"/>
      <c r="ADL71" s="486"/>
      <c r="ADM71" s="486"/>
      <c r="ADN71" s="486"/>
      <c r="ADO71" s="486"/>
      <c r="ADP71" s="486"/>
      <c r="ADQ71" s="486"/>
      <c r="ADR71" s="486"/>
      <c r="ADS71" s="486"/>
      <c r="ADT71" s="486"/>
      <c r="ADU71" s="486"/>
      <c r="ADV71" s="486"/>
      <c r="ADW71" s="486"/>
      <c r="ADX71" s="486"/>
      <c r="ADY71" s="486"/>
      <c r="ADZ71" s="486"/>
      <c r="AEA71" s="486"/>
      <c r="AEB71" s="486"/>
      <c r="AEC71" s="486"/>
      <c r="AED71" s="486"/>
      <c r="AEE71" s="486"/>
      <c r="AEF71" s="487"/>
      <c r="AEG71" s="486"/>
      <c r="AEH71" s="486"/>
      <c r="AEI71" s="486"/>
      <c r="AEJ71" s="486"/>
      <c r="AEK71" s="486"/>
      <c r="AEL71" s="486"/>
      <c r="AEM71" s="486"/>
      <c r="AEN71" s="486"/>
      <c r="AEO71" s="486"/>
      <c r="AEP71" s="486"/>
      <c r="AEQ71" s="486"/>
      <c r="AER71" s="486"/>
      <c r="AES71" s="486"/>
      <c r="AET71" s="486"/>
      <c r="AEU71" s="486"/>
      <c r="AEV71" s="486"/>
      <c r="AEW71" s="486"/>
      <c r="AEX71" s="486"/>
      <c r="AEY71" s="486"/>
      <c r="AEZ71" s="486"/>
      <c r="AFA71" s="486"/>
      <c r="AFB71" s="486"/>
      <c r="AFC71" s="486"/>
      <c r="AFD71" s="486"/>
      <c r="AFE71" s="486"/>
      <c r="AFF71" s="486"/>
      <c r="AFG71" s="486"/>
      <c r="AFH71" s="486"/>
      <c r="AFI71" s="487"/>
      <c r="AFJ71" s="486"/>
      <c r="AFK71" s="486"/>
      <c r="AFL71" s="486"/>
      <c r="AFM71" s="486"/>
      <c r="AFN71" s="486"/>
      <c r="AFO71" s="486"/>
      <c r="AFP71" s="486"/>
      <c r="AFQ71" s="486"/>
      <c r="AFR71" s="486"/>
      <c r="AFS71" s="486"/>
      <c r="AFT71" s="486"/>
      <c r="AFU71" s="486"/>
      <c r="AFV71" s="486"/>
      <c r="AFW71" s="486"/>
      <c r="AFX71" s="486"/>
      <c r="AFY71" s="486"/>
      <c r="AFZ71" s="486"/>
      <c r="AGA71" s="486"/>
      <c r="AGB71" s="486"/>
      <c r="AGC71" s="486"/>
      <c r="AGD71" s="486"/>
      <c r="AGE71" s="486"/>
      <c r="AGF71" s="486"/>
      <c r="AGG71" s="486"/>
      <c r="AGH71" s="486"/>
      <c r="AGI71" s="486"/>
      <c r="AGJ71" s="486"/>
      <c r="AGK71" s="486"/>
      <c r="AGL71" s="487"/>
      <c r="AGM71" s="486"/>
      <c r="AGN71" s="486"/>
      <c r="AGO71" s="486"/>
      <c r="AGP71" s="486"/>
      <c r="AGQ71" s="486"/>
      <c r="AGR71" s="486"/>
      <c r="AGS71" s="486"/>
      <c r="AGT71" s="486"/>
      <c r="AGU71" s="486"/>
      <c r="AGV71" s="486"/>
      <c r="AGW71" s="486"/>
      <c r="AGX71" s="486"/>
      <c r="AGY71" s="486"/>
      <c r="AGZ71" s="486"/>
      <c r="AHA71" s="486"/>
      <c r="AHB71" s="486"/>
      <c r="AHC71" s="486"/>
      <c r="AHD71" s="486"/>
      <c r="AHE71" s="486"/>
      <c r="AHF71" s="486"/>
      <c r="AHG71" s="486"/>
      <c r="AHH71" s="486"/>
      <c r="AHI71" s="486"/>
      <c r="AHJ71" s="486"/>
      <c r="AHK71" s="486"/>
      <c r="AHL71" s="486"/>
      <c r="AHM71" s="486"/>
      <c r="AHN71" s="486"/>
      <c r="AHO71" s="487"/>
      <c r="AHP71" s="486"/>
      <c r="AHQ71" s="486"/>
      <c r="AHR71" s="486"/>
      <c r="AHS71" s="486"/>
      <c r="AHT71" s="486"/>
      <c r="AHU71" s="486"/>
      <c r="AHV71" s="486"/>
      <c r="AHW71" s="486"/>
      <c r="AHX71" s="486"/>
      <c r="AHY71" s="486"/>
      <c r="AHZ71" s="486"/>
      <c r="AIA71" s="486"/>
      <c r="AIB71" s="486"/>
      <c r="AIC71" s="486"/>
      <c r="AID71" s="486"/>
      <c r="AIE71" s="486"/>
      <c r="AIF71" s="486"/>
      <c r="AIG71" s="486"/>
      <c r="AIH71" s="486"/>
      <c r="AII71" s="486"/>
      <c r="AIJ71" s="486"/>
      <c r="AIK71" s="486"/>
      <c r="AIL71" s="486"/>
      <c r="AIM71" s="486"/>
      <c r="AIN71" s="486"/>
      <c r="AIO71" s="486"/>
      <c r="AIP71" s="486"/>
      <c r="AIQ71" s="486"/>
      <c r="AIR71" s="487"/>
      <c r="AIS71" s="486"/>
      <c r="AIT71" s="486"/>
      <c r="AIU71" s="486"/>
      <c r="AIV71" s="486"/>
      <c r="AIW71" s="486"/>
      <c r="AIX71" s="486"/>
      <c r="AIY71" s="486"/>
      <c r="AIZ71" s="486"/>
      <c r="AJA71" s="486"/>
      <c r="AJB71" s="486"/>
      <c r="AJC71" s="486"/>
      <c r="AJD71" s="486"/>
      <c r="AJE71" s="486"/>
      <c r="AJF71" s="486"/>
      <c r="AJG71" s="486"/>
      <c r="AJH71" s="486"/>
      <c r="AJI71" s="486"/>
      <c r="AJJ71" s="486"/>
      <c r="AJK71" s="486"/>
      <c r="AJL71" s="486"/>
      <c r="AJM71" s="486"/>
      <c r="AJN71" s="486"/>
      <c r="AJO71" s="486"/>
      <c r="AJP71" s="486"/>
      <c r="AJQ71" s="486"/>
      <c r="AJR71" s="486"/>
      <c r="AJS71" s="486"/>
      <c r="AJT71" s="486"/>
      <c r="AJU71" s="487"/>
      <c r="AJV71" s="486"/>
      <c r="AJW71" s="486"/>
      <c r="AJX71" s="486"/>
      <c r="AJY71" s="486"/>
      <c r="AJZ71" s="486"/>
      <c r="AKA71" s="486"/>
      <c r="AKB71" s="486"/>
      <c r="AKC71" s="486"/>
      <c r="AKD71" s="486"/>
      <c r="AKE71" s="486"/>
      <c r="AKF71" s="486"/>
      <c r="AKG71" s="486"/>
      <c r="AKH71" s="486"/>
      <c r="AKI71" s="486"/>
      <c r="AKJ71" s="486"/>
      <c r="AKK71" s="486"/>
      <c r="AKL71" s="486"/>
      <c r="AKM71" s="486"/>
      <c r="AKN71" s="486"/>
      <c r="AKO71" s="486"/>
      <c r="AKP71" s="486"/>
      <c r="AKQ71" s="486"/>
      <c r="AKR71" s="486"/>
      <c r="AKS71" s="486"/>
      <c r="AKT71" s="486"/>
      <c r="AKU71" s="486"/>
      <c r="AKV71" s="486"/>
      <c r="AKW71" s="486"/>
      <c r="AKX71" s="487"/>
      <c r="AKY71" s="486"/>
      <c r="AKZ71" s="486"/>
      <c r="ALA71" s="486"/>
      <c r="ALB71" s="486"/>
      <c r="ALC71" s="486"/>
      <c r="ALD71" s="486"/>
      <c r="ALE71" s="486"/>
      <c r="ALF71" s="486"/>
      <c r="ALG71" s="486"/>
      <c r="ALH71" s="486"/>
      <c r="ALI71" s="486"/>
      <c r="ALJ71" s="486"/>
      <c r="ALK71" s="486"/>
      <c r="ALL71" s="486"/>
      <c r="ALM71" s="486"/>
      <c r="ALN71" s="486"/>
      <c r="ALO71" s="486"/>
      <c r="ALP71" s="486"/>
      <c r="ALQ71" s="486"/>
      <c r="ALR71" s="486"/>
      <c r="ALS71" s="486"/>
      <c r="ALT71" s="486"/>
      <c r="ALU71" s="486"/>
      <c r="ALV71" s="486"/>
      <c r="ALW71" s="486"/>
      <c r="ALX71" s="486"/>
      <c r="ALY71" s="486"/>
      <c r="ALZ71" s="486"/>
      <c r="AMA71" s="487"/>
      <c r="AMB71" s="486"/>
      <c r="AMC71" s="486"/>
      <c r="AMD71" s="486"/>
      <c r="AME71" s="486"/>
      <c r="AMF71" s="486"/>
      <c r="AMG71" s="486"/>
      <c r="AMH71" s="486"/>
      <c r="AMI71" s="486"/>
      <c r="AMJ71" s="486"/>
      <c r="AMK71" s="486"/>
      <c r="AML71" s="486"/>
      <c r="AMM71" s="486"/>
      <c r="AMN71" s="486"/>
      <c r="AMO71" s="486"/>
      <c r="AMP71" s="486"/>
      <c r="AMQ71" s="486"/>
      <c r="AMR71" s="486"/>
      <c r="AMS71" s="486"/>
      <c r="AMT71" s="486"/>
      <c r="AMU71" s="486"/>
      <c r="AMV71" s="486"/>
      <c r="AMW71" s="486"/>
      <c r="AMX71" s="486"/>
      <c r="AMY71" s="486"/>
      <c r="AMZ71" s="486"/>
      <c r="ANA71" s="486"/>
      <c r="ANB71" s="486"/>
      <c r="ANC71" s="486"/>
      <c r="AND71" s="487"/>
      <c r="ANE71" s="486"/>
      <c r="ANF71" s="486"/>
      <c r="ANG71" s="486"/>
      <c r="ANH71" s="486"/>
      <c r="ANI71" s="486"/>
      <c r="ANJ71" s="486"/>
      <c r="ANK71" s="486"/>
      <c r="ANL71" s="486"/>
      <c r="ANM71" s="486"/>
      <c r="ANN71" s="486"/>
      <c r="ANO71" s="486"/>
      <c r="ANP71" s="486"/>
      <c r="ANQ71" s="486"/>
      <c r="ANR71" s="486"/>
      <c r="ANS71" s="486"/>
      <c r="ANT71" s="486"/>
      <c r="ANU71" s="486"/>
      <c r="ANV71" s="486"/>
      <c r="ANW71" s="486"/>
      <c r="ANX71" s="486"/>
      <c r="ANY71" s="486"/>
      <c r="ANZ71" s="486"/>
      <c r="AOA71" s="486"/>
      <c r="AOB71" s="486"/>
      <c r="AOC71" s="486"/>
      <c r="AOD71" s="486"/>
      <c r="AOE71" s="486"/>
      <c r="AOF71" s="486"/>
      <c r="AOG71" s="487"/>
      <c r="AOH71" s="486"/>
      <c r="AOI71" s="486"/>
      <c r="AOJ71" s="486"/>
      <c r="AOK71" s="486"/>
      <c r="AOL71" s="486"/>
      <c r="AOM71" s="486"/>
      <c r="AON71" s="486"/>
      <c r="AOO71" s="486"/>
      <c r="AOP71" s="486"/>
      <c r="AOQ71" s="486"/>
      <c r="AOR71" s="486"/>
      <c r="AOS71" s="486"/>
      <c r="AOT71" s="486"/>
      <c r="AOU71" s="486"/>
      <c r="AOV71" s="486"/>
      <c r="AOW71" s="486"/>
      <c r="AOX71" s="486"/>
      <c r="AOY71" s="486"/>
      <c r="AOZ71" s="486"/>
      <c r="APA71" s="486"/>
      <c r="APB71" s="486"/>
      <c r="APC71" s="486"/>
      <c r="APD71" s="486"/>
      <c r="APE71" s="486"/>
      <c r="APF71" s="486"/>
      <c r="APG71" s="486"/>
      <c r="APH71" s="486"/>
      <c r="API71" s="486"/>
      <c r="APJ71" s="487"/>
      <c r="APK71" s="486"/>
      <c r="APL71" s="486"/>
      <c r="APM71" s="486"/>
      <c r="APN71" s="486"/>
      <c r="APO71" s="486"/>
      <c r="APP71" s="486"/>
      <c r="APQ71" s="486"/>
      <c r="APR71" s="486"/>
      <c r="APS71" s="486"/>
      <c r="APT71" s="486"/>
      <c r="APU71" s="486"/>
      <c r="APV71" s="486"/>
      <c r="APW71" s="486"/>
      <c r="APX71" s="486"/>
      <c r="APY71" s="486"/>
      <c r="APZ71" s="486"/>
      <c r="AQA71" s="486"/>
      <c r="AQB71" s="486"/>
      <c r="AQC71" s="486"/>
      <c r="AQD71" s="486"/>
      <c r="AQE71" s="486"/>
      <c r="AQF71" s="486"/>
      <c r="AQG71" s="486"/>
      <c r="AQH71" s="486"/>
      <c r="AQI71" s="486"/>
      <c r="AQJ71" s="486"/>
      <c r="AQK71" s="486"/>
      <c r="AQL71" s="486"/>
      <c r="AQM71" s="487"/>
      <c r="AQN71" s="486"/>
      <c r="AQO71" s="486"/>
      <c r="AQP71" s="486"/>
      <c r="AQQ71" s="486"/>
      <c r="AQR71" s="486"/>
      <c r="AQS71" s="486"/>
      <c r="AQT71" s="486"/>
      <c r="AQU71" s="486"/>
      <c r="AQV71" s="486"/>
      <c r="AQW71" s="486"/>
      <c r="AQX71" s="486"/>
      <c r="AQY71" s="486"/>
      <c r="AQZ71" s="486"/>
      <c r="ARA71" s="486"/>
      <c r="ARB71" s="486"/>
      <c r="ARC71" s="486"/>
      <c r="ARD71" s="486"/>
      <c r="ARE71" s="486"/>
      <c r="ARF71" s="486"/>
      <c r="ARG71" s="486"/>
      <c r="ARH71" s="486"/>
      <c r="ARI71" s="486"/>
      <c r="ARJ71" s="486"/>
      <c r="ARK71" s="486"/>
      <c r="ARL71" s="486"/>
      <c r="ARM71" s="486"/>
      <c r="ARN71" s="486"/>
      <c r="ARO71" s="486"/>
      <c r="ARP71" s="487"/>
      <c r="ARQ71" s="486"/>
      <c r="ARR71" s="486"/>
      <c r="ARS71" s="486"/>
      <c r="ART71" s="486"/>
      <c r="ARU71" s="486"/>
      <c r="ARV71" s="486"/>
      <c r="ARW71" s="486"/>
      <c r="ARX71" s="486"/>
      <c r="ARY71" s="486"/>
      <c r="ARZ71" s="486"/>
      <c r="ASA71" s="486"/>
      <c r="ASB71" s="486"/>
      <c r="ASC71" s="486"/>
      <c r="ASD71" s="486"/>
      <c r="ASE71" s="486"/>
      <c r="ASF71" s="486"/>
      <c r="ASG71" s="486"/>
      <c r="ASH71" s="486"/>
      <c r="ASI71" s="486"/>
      <c r="ASJ71" s="486"/>
      <c r="ASK71" s="486"/>
      <c r="ASL71" s="486"/>
      <c r="ASM71" s="486"/>
      <c r="ASN71" s="486"/>
      <c r="ASO71" s="486"/>
      <c r="ASP71" s="486"/>
      <c r="ASQ71" s="486"/>
      <c r="ASR71" s="486"/>
      <c r="ASS71" s="487"/>
      <c r="AST71" s="486"/>
      <c r="ASU71" s="486"/>
      <c r="ASV71" s="486"/>
      <c r="ASW71" s="486"/>
      <c r="ASX71" s="486"/>
      <c r="ASY71" s="486"/>
      <c r="ASZ71" s="486"/>
      <c r="ATA71" s="486"/>
      <c r="ATB71" s="486"/>
      <c r="ATC71" s="486"/>
      <c r="ATD71" s="486"/>
      <c r="ATE71" s="486"/>
      <c r="ATF71" s="486"/>
      <c r="ATG71" s="486"/>
      <c r="ATH71" s="486"/>
      <c r="ATI71" s="486"/>
      <c r="ATJ71" s="486"/>
      <c r="ATK71" s="486"/>
      <c r="ATL71" s="486"/>
      <c r="ATM71" s="486"/>
      <c r="ATN71" s="486"/>
      <c r="ATO71" s="486"/>
      <c r="ATP71" s="486"/>
      <c r="ATQ71" s="486"/>
      <c r="ATR71" s="486"/>
      <c r="ATS71" s="486"/>
      <c r="ATT71" s="486"/>
      <c r="ATU71" s="486"/>
      <c r="ATV71" s="487"/>
      <c r="ATW71" s="486"/>
      <c r="ATX71" s="486"/>
      <c r="ATY71" s="486"/>
      <c r="ATZ71" s="486"/>
      <c r="AUA71" s="486"/>
      <c r="AUB71" s="486"/>
      <c r="AUC71" s="486"/>
      <c r="AUD71" s="486"/>
      <c r="AUE71" s="486"/>
      <c r="AUF71" s="486"/>
      <c r="AUG71" s="486"/>
      <c r="AUH71" s="486"/>
      <c r="AUI71" s="486"/>
      <c r="AUJ71" s="486"/>
      <c r="AUK71" s="486"/>
      <c r="AUL71" s="486"/>
      <c r="AUM71" s="486"/>
      <c r="AUN71" s="486"/>
      <c r="AUO71" s="486"/>
      <c r="AUP71" s="486"/>
      <c r="AUQ71" s="486"/>
      <c r="AUR71" s="486"/>
      <c r="AUS71" s="486"/>
      <c r="AUT71" s="486"/>
      <c r="AUU71" s="486"/>
      <c r="AUV71" s="486"/>
      <c r="AUW71" s="486"/>
      <c r="AUX71" s="486"/>
      <c r="AUY71" s="487"/>
      <c r="AUZ71" s="486"/>
      <c r="AVA71" s="486"/>
      <c r="AVB71" s="486"/>
      <c r="AVC71" s="486"/>
      <c r="AVD71" s="486"/>
      <c r="AVE71" s="486"/>
      <c r="AVF71" s="486"/>
      <c r="AVG71" s="486"/>
      <c r="AVH71" s="486"/>
      <c r="AVI71" s="486"/>
      <c r="AVJ71" s="486"/>
      <c r="AVK71" s="486"/>
      <c r="AVL71" s="486"/>
      <c r="AVM71" s="486"/>
      <c r="AVN71" s="486"/>
      <c r="AVO71" s="486"/>
      <c r="AVP71" s="486"/>
      <c r="AVQ71" s="486"/>
      <c r="AVR71" s="486"/>
      <c r="AVS71" s="486"/>
      <c r="AVT71" s="486"/>
      <c r="AVU71" s="486"/>
      <c r="AVV71" s="486"/>
      <c r="AVW71" s="486"/>
      <c r="AVX71" s="486"/>
      <c r="AVY71" s="486"/>
      <c r="AVZ71" s="486"/>
      <c r="AWA71" s="486"/>
      <c r="AWB71" s="487"/>
      <c r="AWC71" s="486"/>
      <c r="AWD71" s="486"/>
      <c r="AWE71" s="486"/>
      <c r="AWF71" s="486"/>
      <c r="AWG71" s="486"/>
      <c r="AWH71" s="486"/>
      <c r="AWI71" s="486"/>
      <c r="AWJ71" s="486"/>
      <c r="AWK71" s="486"/>
      <c r="AWL71" s="486"/>
      <c r="AWM71" s="486"/>
      <c r="AWN71" s="486"/>
      <c r="AWO71" s="486"/>
      <c r="AWP71" s="486"/>
      <c r="AWQ71" s="486"/>
      <c r="AWR71" s="486"/>
      <c r="AWS71" s="486"/>
      <c r="AWT71" s="486"/>
      <c r="AWU71" s="486"/>
      <c r="AWV71" s="486"/>
      <c r="AWW71" s="486"/>
      <c r="AWX71" s="486"/>
      <c r="AWY71" s="486"/>
      <c r="AWZ71" s="486"/>
      <c r="AXA71" s="486"/>
      <c r="AXB71" s="486"/>
      <c r="AXC71" s="486"/>
      <c r="AXD71" s="486"/>
      <c r="AXE71" s="487"/>
      <c r="AXF71" s="486"/>
      <c r="AXG71" s="486"/>
      <c r="AXH71" s="486"/>
      <c r="AXI71" s="486"/>
      <c r="AXJ71" s="486"/>
      <c r="AXK71" s="486"/>
      <c r="AXL71" s="486"/>
      <c r="AXM71" s="486"/>
      <c r="AXN71" s="486"/>
      <c r="AXO71" s="486"/>
      <c r="AXP71" s="486"/>
      <c r="AXQ71" s="486"/>
      <c r="AXR71" s="486"/>
      <c r="AXS71" s="486"/>
      <c r="AXT71" s="486"/>
      <c r="AXU71" s="486"/>
      <c r="AXV71" s="486"/>
      <c r="AXW71" s="486"/>
      <c r="AXX71" s="486"/>
      <c r="AXY71" s="486"/>
      <c r="AXZ71" s="486"/>
      <c r="AYA71" s="486"/>
      <c r="AYB71" s="486"/>
      <c r="AYC71" s="486"/>
      <c r="AYD71" s="486"/>
      <c r="AYE71" s="486"/>
      <c r="AYF71" s="486"/>
      <c r="AYG71" s="486"/>
      <c r="AYH71" s="487"/>
      <c r="AYI71" s="486"/>
      <c r="AYJ71" s="486"/>
      <c r="AYK71" s="486"/>
      <c r="AYL71" s="486"/>
      <c r="AYM71" s="486"/>
      <c r="AYN71" s="486"/>
      <c r="AYO71" s="486"/>
      <c r="AYP71" s="486"/>
      <c r="AYQ71" s="486"/>
      <c r="AYR71" s="486"/>
      <c r="AYS71" s="486"/>
      <c r="AYT71" s="486"/>
      <c r="AYU71" s="486"/>
      <c r="AYV71" s="486"/>
      <c r="AYW71" s="486"/>
      <c r="AYX71" s="486"/>
      <c r="AYY71" s="486"/>
      <c r="AYZ71" s="486"/>
      <c r="AZA71" s="486"/>
      <c r="AZB71" s="486"/>
      <c r="AZC71" s="486"/>
      <c r="AZD71" s="486"/>
      <c r="AZE71" s="486"/>
      <c r="AZF71" s="486"/>
      <c r="AZG71" s="486"/>
      <c r="AZH71" s="486"/>
      <c r="AZI71" s="486"/>
      <c r="AZJ71" s="486"/>
      <c r="AZK71" s="487"/>
      <c r="AZL71" s="486"/>
      <c r="AZM71" s="486"/>
      <c r="AZN71" s="486"/>
      <c r="AZO71" s="486"/>
      <c r="AZP71" s="486"/>
      <c r="AZQ71" s="486"/>
      <c r="AZR71" s="486"/>
      <c r="AZS71" s="486"/>
      <c r="AZT71" s="486"/>
      <c r="AZU71" s="486"/>
      <c r="AZV71" s="486"/>
      <c r="AZW71" s="486"/>
      <c r="AZX71" s="486"/>
      <c r="AZY71" s="486"/>
      <c r="AZZ71" s="486"/>
      <c r="BAA71" s="486"/>
      <c r="BAB71" s="486"/>
      <c r="BAC71" s="486"/>
      <c r="BAD71" s="486"/>
      <c r="BAE71" s="486"/>
      <c r="BAF71" s="486"/>
      <c r="BAG71" s="486"/>
      <c r="BAH71" s="486"/>
      <c r="BAI71" s="486"/>
      <c r="BAJ71" s="486"/>
      <c r="BAK71" s="486"/>
      <c r="BAL71" s="486"/>
      <c r="BAM71" s="486"/>
      <c r="BAN71" s="487"/>
      <c r="BAO71" s="486"/>
      <c r="BAP71" s="486"/>
      <c r="BAQ71" s="486"/>
      <c r="BAR71" s="486"/>
      <c r="BAS71" s="486"/>
      <c r="BAT71" s="486"/>
      <c r="BAU71" s="486"/>
      <c r="BAV71" s="486"/>
      <c r="BAW71" s="486"/>
      <c r="BAX71" s="486"/>
      <c r="BAY71" s="486"/>
      <c r="BAZ71" s="486"/>
      <c r="BBA71" s="486"/>
      <c r="BBB71" s="486"/>
      <c r="BBC71" s="486"/>
      <c r="BBD71" s="486"/>
      <c r="BBE71" s="486"/>
      <c r="BBF71" s="486"/>
      <c r="BBG71" s="486"/>
      <c r="BBH71" s="486"/>
      <c r="BBI71" s="486"/>
      <c r="BBJ71" s="486"/>
      <c r="BBK71" s="486"/>
      <c r="BBL71" s="486"/>
      <c r="BBM71" s="486"/>
      <c r="BBN71" s="486"/>
      <c r="BBO71" s="486"/>
      <c r="BBP71" s="486"/>
      <c r="BBQ71" s="487"/>
      <c r="BBR71" s="486"/>
      <c r="BBS71" s="486"/>
      <c r="BBT71" s="486"/>
      <c r="BBU71" s="486"/>
      <c r="BBV71" s="486"/>
      <c r="BBW71" s="486"/>
      <c r="BBX71" s="486"/>
      <c r="BBY71" s="486"/>
      <c r="BBZ71" s="486"/>
      <c r="BCA71" s="486"/>
      <c r="BCB71" s="486"/>
      <c r="BCC71" s="486"/>
      <c r="BCD71" s="486"/>
      <c r="BCE71" s="486"/>
      <c r="BCF71" s="486"/>
      <c r="BCG71" s="486"/>
      <c r="BCH71" s="486"/>
      <c r="BCI71" s="486"/>
      <c r="BCJ71" s="486"/>
      <c r="BCK71" s="486"/>
      <c r="BCL71" s="486"/>
      <c r="BCM71" s="486"/>
      <c r="BCN71" s="486"/>
      <c r="BCO71" s="486"/>
      <c r="BCP71" s="486"/>
      <c r="BCQ71" s="486"/>
      <c r="BCR71" s="486"/>
      <c r="BCS71" s="486"/>
      <c r="BCT71" s="487"/>
      <c r="BCU71" s="486"/>
      <c r="BCV71" s="486"/>
      <c r="BCW71" s="486"/>
      <c r="BCX71" s="486"/>
      <c r="BCY71" s="486"/>
      <c r="BCZ71" s="486"/>
      <c r="BDA71" s="486"/>
      <c r="BDB71" s="486"/>
      <c r="BDC71" s="486"/>
      <c r="BDD71" s="486"/>
      <c r="BDE71" s="486"/>
      <c r="BDF71" s="486"/>
      <c r="BDG71" s="486"/>
      <c r="BDH71" s="486"/>
      <c r="BDI71" s="486"/>
      <c r="BDJ71" s="486"/>
      <c r="BDK71" s="486"/>
      <c r="BDL71" s="486"/>
      <c r="BDM71" s="486"/>
      <c r="BDN71" s="486"/>
      <c r="BDO71" s="486"/>
      <c r="BDP71" s="486"/>
      <c r="BDQ71" s="486"/>
      <c r="BDR71" s="486"/>
      <c r="BDS71" s="486"/>
      <c r="BDT71" s="486"/>
      <c r="BDU71" s="486"/>
      <c r="BDV71" s="486"/>
      <c r="BDW71" s="487"/>
      <c r="BDX71" s="486"/>
      <c r="BDY71" s="486"/>
      <c r="BDZ71" s="486"/>
      <c r="BEA71" s="486"/>
      <c r="BEB71" s="486"/>
      <c r="BEC71" s="486"/>
      <c r="BED71" s="486"/>
      <c r="BEE71" s="486"/>
      <c r="BEF71" s="486"/>
      <c r="BEG71" s="486"/>
      <c r="BEH71" s="486"/>
      <c r="BEI71" s="486"/>
      <c r="BEJ71" s="486"/>
      <c r="BEK71" s="486"/>
      <c r="BEL71" s="486"/>
      <c r="BEM71" s="486"/>
      <c r="BEN71" s="486"/>
      <c r="BEO71" s="486"/>
      <c r="BEP71" s="486"/>
      <c r="BEQ71" s="486"/>
      <c r="BER71" s="486"/>
      <c r="BES71" s="486"/>
      <c r="BET71" s="486"/>
      <c r="BEU71" s="486"/>
      <c r="BEV71" s="486"/>
      <c r="BEW71" s="486"/>
      <c r="BEX71" s="486"/>
      <c r="BEY71" s="486"/>
      <c r="BEZ71" s="487"/>
      <c r="BFA71" s="486"/>
      <c r="BFB71" s="486"/>
      <c r="BFC71" s="486"/>
      <c r="BFD71" s="486"/>
      <c r="BFE71" s="486"/>
      <c r="BFF71" s="486"/>
      <c r="BFG71" s="486"/>
      <c r="BFH71" s="486"/>
      <c r="BFI71" s="486"/>
      <c r="BFJ71" s="486"/>
      <c r="BFK71" s="486"/>
      <c r="BFL71" s="486"/>
      <c r="BFM71" s="486"/>
      <c r="BFN71" s="486"/>
      <c r="BFO71" s="486"/>
      <c r="BFP71" s="486"/>
      <c r="BFQ71" s="486"/>
      <c r="BFR71" s="486"/>
      <c r="BFS71" s="486"/>
      <c r="BFT71" s="486"/>
      <c r="BFU71" s="486"/>
      <c r="BFV71" s="486"/>
      <c r="BFW71" s="486"/>
      <c r="BFX71" s="486"/>
      <c r="BFY71" s="486"/>
      <c r="BFZ71" s="486"/>
      <c r="BGA71" s="486"/>
      <c r="BGB71" s="486"/>
      <c r="BGC71" s="487"/>
      <c r="BGD71" s="486"/>
      <c r="BGE71" s="486"/>
      <c r="BGF71" s="486"/>
      <c r="BGG71" s="486"/>
      <c r="BGH71" s="486"/>
      <c r="BGI71" s="486"/>
      <c r="BGJ71" s="486"/>
      <c r="BGK71" s="486"/>
      <c r="BGL71" s="486"/>
      <c r="BGM71" s="486"/>
      <c r="BGN71" s="486"/>
      <c r="BGO71" s="486"/>
      <c r="BGP71" s="486"/>
      <c r="BGQ71" s="486"/>
      <c r="BGR71" s="486"/>
      <c r="BGS71" s="486"/>
      <c r="BGT71" s="486"/>
      <c r="BGU71" s="486"/>
      <c r="BGV71" s="486"/>
      <c r="BGW71" s="486"/>
      <c r="BGX71" s="486"/>
      <c r="BGY71" s="486"/>
      <c r="BGZ71" s="486"/>
      <c r="BHA71" s="486"/>
      <c r="BHB71" s="486"/>
      <c r="BHC71" s="486"/>
      <c r="BHD71" s="486"/>
      <c r="BHE71" s="486"/>
      <c r="BHF71" s="487"/>
      <c r="BHG71" s="486"/>
      <c r="BHH71" s="486"/>
      <c r="BHI71" s="486"/>
      <c r="BHJ71" s="486"/>
      <c r="BHK71" s="486"/>
      <c r="BHL71" s="486"/>
      <c r="BHM71" s="486"/>
      <c r="BHN71" s="486"/>
      <c r="BHO71" s="486"/>
      <c r="BHP71" s="486"/>
      <c r="BHQ71" s="486"/>
      <c r="BHR71" s="486"/>
      <c r="BHS71" s="486"/>
      <c r="BHT71" s="486"/>
      <c r="BHU71" s="486"/>
      <c r="BHV71" s="486"/>
      <c r="BHW71" s="486"/>
      <c r="BHX71" s="486"/>
      <c r="BHY71" s="486"/>
      <c r="BHZ71" s="486"/>
      <c r="BIA71" s="486"/>
      <c r="BIB71" s="486"/>
      <c r="BIC71" s="486"/>
      <c r="BID71" s="486"/>
      <c r="BIE71" s="486"/>
      <c r="BIF71" s="486"/>
      <c r="BIG71" s="486"/>
      <c r="BIH71" s="486"/>
      <c r="BII71" s="487"/>
      <c r="BIJ71" s="486"/>
      <c r="BIK71" s="486"/>
      <c r="BIL71" s="486"/>
      <c r="BIM71" s="486"/>
      <c r="BIN71" s="486"/>
      <c r="BIO71" s="486"/>
      <c r="BIP71" s="486"/>
      <c r="BIQ71" s="486"/>
      <c r="BIR71" s="486"/>
      <c r="BIS71" s="486"/>
      <c r="BIT71" s="486"/>
      <c r="BIU71" s="486"/>
      <c r="BIV71" s="486"/>
      <c r="BIW71" s="486"/>
      <c r="BIX71" s="486"/>
      <c r="BIY71" s="486"/>
      <c r="BIZ71" s="486"/>
      <c r="BJA71" s="486"/>
      <c r="BJB71" s="486"/>
      <c r="BJC71" s="486"/>
      <c r="BJD71" s="486"/>
      <c r="BJE71" s="486"/>
      <c r="BJF71" s="486"/>
      <c r="BJG71" s="486"/>
      <c r="BJH71" s="486"/>
      <c r="BJI71" s="486"/>
      <c r="BJJ71" s="486"/>
      <c r="BJK71" s="486"/>
      <c r="BJL71" s="487"/>
      <c r="BJM71" s="486"/>
      <c r="BJN71" s="486"/>
      <c r="BJO71" s="486"/>
      <c r="BJP71" s="486"/>
      <c r="BJQ71" s="486"/>
      <c r="BJR71" s="486"/>
      <c r="BJS71" s="486"/>
      <c r="BJT71" s="486"/>
      <c r="BJU71" s="486"/>
      <c r="BJV71" s="486"/>
      <c r="BJW71" s="486"/>
      <c r="BJX71" s="486"/>
      <c r="BJY71" s="486"/>
      <c r="BJZ71" s="486"/>
      <c r="BKA71" s="486"/>
      <c r="BKB71" s="486"/>
      <c r="BKC71" s="486"/>
      <c r="BKD71" s="486"/>
      <c r="BKE71" s="486"/>
      <c r="BKF71" s="486"/>
      <c r="BKG71" s="486"/>
      <c r="BKH71" s="486"/>
      <c r="BKI71" s="486"/>
      <c r="BKJ71" s="486"/>
      <c r="BKK71" s="486"/>
      <c r="BKL71" s="486"/>
      <c r="BKM71" s="486"/>
      <c r="BKN71" s="486"/>
      <c r="BKO71" s="487"/>
      <c r="BKP71" s="486"/>
      <c r="BKQ71" s="486"/>
      <c r="BKR71" s="486"/>
      <c r="BKS71" s="486"/>
      <c r="BKT71" s="486"/>
      <c r="BKU71" s="486"/>
      <c r="BKV71" s="486"/>
      <c r="BKW71" s="486"/>
      <c r="BKX71" s="486"/>
      <c r="BKY71" s="486"/>
      <c r="BKZ71" s="486"/>
      <c r="BLA71" s="486"/>
      <c r="BLB71" s="486"/>
      <c r="BLC71" s="486"/>
      <c r="BLD71" s="486"/>
      <c r="BLE71" s="486"/>
      <c r="BLF71" s="486"/>
      <c r="BLG71" s="486"/>
      <c r="BLH71" s="486"/>
      <c r="BLI71" s="486"/>
      <c r="BLJ71" s="486"/>
      <c r="BLK71" s="486"/>
      <c r="BLL71" s="486"/>
      <c r="BLM71" s="486"/>
      <c r="BLN71" s="486"/>
      <c r="BLO71" s="486"/>
      <c r="BLP71" s="486"/>
      <c r="BLQ71" s="486"/>
      <c r="BLR71" s="487"/>
      <c r="BLS71" s="486"/>
      <c r="BLT71" s="486"/>
      <c r="BLU71" s="486"/>
      <c r="BLV71" s="486"/>
      <c r="BLW71" s="486"/>
      <c r="BLX71" s="486"/>
      <c r="BLY71" s="486"/>
      <c r="BLZ71" s="486"/>
      <c r="BMA71" s="486"/>
      <c r="BMB71" s="486"/>
      <c r="BMC71" s="486"/>
      <c r="BMD71" s="486"/>
      <c r="BME71" s="486"/>
      <c r="BMF71" s="486"/>
      <c r="BMG71" s="486"/>
      <c r="BMH71" s="486"/>
      <c r="BMI71" s="486"/>
      <c r="BMJ71" s="486"/>
      <c r="BMK71" s="486"/>
      <c r="BML71" s="486"/>
      <c r="BMM71" s="486"/>
      <c r="BMN71" s="486"/>
      <c r="BMO71" s="486"/>
      <c r="BMP71" s="486"/>
      <c r="BMQ71" s="486"/>
      <c r="BMR71" s="486"/>
      <c r="BMS71" s="486"/>
      <c r="BMT71" s="486"/>
      <c r="BMU71" s="487"/>
      <c r="BMV71" s="486"/>
      <c r="BMW71" s="486"/>
      <c r="BMX71" s="486"/>
      <c r="BMY71" s="486"/>
      <c r="BMZ71" s="486"/>
      <c r="BNA71" s="486"/>
      <c r="BNB71" s="486"/>
      <c r="BNC71" s="486"/>
      <c r="BND71" s="486"/>
      <c r="BNE71" s="486"/>
      <c r="BNF71" s="486"/>
      <c r="BNG71" s="486"/>
      <c r="BNH71" s="486"/>
      <c r="BNI71" s="486"/>
      <c r="BNJ71" s="486"/>
      <c r="BNK71" s="486"/>
      <c r="BNL71" s="486"/>
      <c r="BNM71" s="486"/>
      <c r="BNN71" s="486"/>
      <c r="BNO71" s="486"/>
      <c r="BNP71" s="486"/>
      <c r="BNQ71" s="486"/>
      <c r="BNR71" s="486"/>
      <c r="BNS71" s="486"/>
      <c r="BNT71" s="486"/>
      <c r="BNU71" s="486"/>
      <c r="BNV71" s="486"/>
      <c r="BNW71" s="486"/>
      <c r="BNX71" s="487"/>
      <c r="BNY71" s="486"/>
      <c r="BNZ71" s="486"/>
      <c r="BOA71" s="486"/>
      <c r="BOB71" s="486"/>
      <c r="BOC71" s="486"/>
      <c r="BOD71" s="486"/>
      <c r="BOE71" s="486"/>
      <c r="BOF71" s="486"/>
      <c r="BOG71" s="486"/>
      <c r="BOH71" s="486"/>
      <c r="BOI71" s="486"/>
      <c r="BOJ71" s="486"/>
      <c r="BOK71" s="486"/>
      <c r="BOL71" s="486"/>
      <c r="BOM71" s="486"/>
      <c r="BON71" s="486"/>
      <c r="BOO71" s="486"/>
      <c r="BOP71" s="486"/>
      <c r="BOQ71" s="486"/>
      <c r="BOR71" s="486"/>
      <c r="BOS71" s="486"/>
      <c r="BOT71" s="486"/>
      <c r="BOU71" s="486"/>
      <c r="BOV71" s="486"/>
      <c r="BOW71" s="486"/>
      <c r="BOX71" s="486"/>
      <c r="BOY71" s="486"/>
      <c r="BOZ71" s="486"/>
      <c r="BPA71" s="487"/>
      <c r="BPB71" s="486"/>
      <c r="BPC71" s="486"/>
      <c r="BPD71" s="486"/>
      <c r="BPE71" s="486"/>
      <c r="BPF71" s="486"/>
      <c r="BPG71" s="486"/>
      <c r="BPH71" s="486"/>
      <c r="BPI71" s="486"/>
      <c r="BPJ71" s="486"/>
      <c r="BPK71" s="486"/>
      <c r="BPL71" s="486"/>
      <c r="BPM71" s="486"/>
      <c r="BPN71" s="486"/>
      <c r="BPO71" s="486"/>
      <c r="BPP71" s="486"/>
      <c r="BPQ71" s="486"/>
      <c r="BPR71" s="486"/>
      <c r="BPS71" s="486"/>
      <c r="BPT71" s="486"/>
      <c r="BPU71" s="486"/>
      <c r="BPV71" s="486"/>
      <c r="BPW71" s="486"/>
      <c r="BPX71" s="486"/>
      <c r="BPY71" s="486"/>
      <c r="BPZ71" s="486"/>
      <c r="BQA71" s="486"/>
      <c r="BQB71" s="486"/>
      <c r="BQC71" s="486"/>
      <c r="BQD71" s="487"/>
      <c r="BQE71" s="486"/>
      <c r="BQF71" s="486"/>
      <c r="BQG71" s="486"/>
      <c r="BQH71" s="486"/>
      <c r="BQI71" s="486"/>
      <c r="BQJ71" s="486"/>
      <c r="BQK71" s="486"/>
      <c r="BQL71" s="486"/>
      <c r="BQM71" s="486"/>
      <c r="BQN71" s="486"/>
      <c r="BQO71" s="486"/>
      <c r="BQP71" s="486"/>
      <c r="BQQ71" s="486"/>
      <c r="BQR71" s="486"/>
      <c r="BQS71" s="486"/>
      <c r="BQT71" s="486"/>
      <c r="BQU71" s="486"/>
      <c r="BQV71" s="486"/>
      <c r="BQW71" s="486"/>
      <c r="BQX71" s="486"/>
      <c r="BQY71" s="486"/>
      <c r="BQZ71" s="486"/>
      <c r="BRA71" s="486"/>
      <c r="BRB71" s="486"/>
      <c r="BRC71" s="486"/>
      <c r="BRD71" s="486"/>
      <c r="BRE71" s="486"/>
      <c r="BRF71" s="486"/>
      <c r="BRG71" s="487"/>
      <c r="BRH71" s="486"/>
      <c r="BRI71" s="486"/>
      <c r="BRJ71" s="486"/>
      <c r="BRK71" s="486"/>
      <c r="BRL71" s="486"/>
      <c r="BRM71" s="486"/>
      <c r="BRN71" s="486"/>
      <c r="BRO71" s="486"/>
      <c r="BRP71" s="486"/>
      <c r="BRQ71" s="486"/>
      <c r="BRR71" s="486"/>
      <c r="BRS71" s="486"/>
      <c r="BRT71" s="486"/>
      <c r="BRU71" s="486"/>
      <c r="BRV71" s="486"/>
      <c r="BRW71" s="486"/>
      <c r="BRX71" s="486"/>
      <c r="BRY71" s="486"/>
      <c r="BRZ71" s="486"/>
      <c r="BSA71" s="486"/>
      <c r="BSB71" s="486"/>
      <c r="BSC71" s="486"/>
      <c r="BSD71" s="486"/>
      <c r="BSE71" s="486"/>
      <c r="BSF71" s="486"/>
      <c r="BSG71" s="486"/>
      <c r="BSH71" s="486"/>
      <c r="BSI71" s="486"/>
      <c r="BSJ71" s="487"/>
      <c r="BSK71" s="486"/>
      <c r="BSL71" s="486"/>
      <c r="BSM71" s="486"/>
      <c r="BSN71" s="486"/>
      <c r="BSO71" s="486"/>
      <c r="BSP71" s="486"/>
      <c r="BSQ71" s="486"/>
      <c r="BSR71" s="486"/>
      <c r="BSS71" s="486"/>
      <c r="BST71" s="486"/>
      <c r="BSU71" s="486"/>
      <c r="BSV71" s="486"/>
      <c r="BSW71" s="486"/>
      <c r="BSX71" s="486"/>
      <c r="BSY71" s="486"/>
      <c r="BSZ71" s="486"/>
      <c r="BTA71" s="486"/>
      <c r="BTB71" s="486"/>
      <c r="BTC71" s="486"/>
      <c r="BTD71" s="486"/>
      <c r="BTE71" s="486"/>
      <c r="BTF71" s="486"/>
      <c r="BTG71" s="486"/>
      <c r="BTH71" s="486"/>
      <c r="BTI71" s="486"/>
      <c r="BTJ71" s="486"/>
      <c r="BTK71" s="486"/>
      <c r="BTL71" s="486"/>
      <c r="BTM71" s="487"/>
      <c r="BTN71" s="486"/>
      <c r="BTO71" s="486"/>
      <c r="BTP71" s="486"/>
      <c r="BTQ71" s="486"/>
      <c r="BTR71" s="486"/>
      <c r="BTS71" s="486"/>
      <c r="BTT71" s="486"/>
      <c r="BTU71" s="486"/>
      <c r="BTV71" s="486"/>
      <c r="BTW71" s="486"/>
      <c r="BTX71" s="486"/>
      <c r="BTY71" s="486"/>
      <c r="BTZ71" s="486"/>
      <c r="BUA71" s="486"/>
      <c r="BUB71" s="486"/>
      <c r="BUC71" s="486"/>
      <c r="BUD71" s="486"/>
      <c r="BUE71" s="486"/>
      <c r="BUF71" s="486"/>
      <c r="BUG71" s="486"/>
      <c r="BUH71" s="486"/>
      <c r="BUI71" s="486"/>
      <c r="BUJ71" s="486"/>
      <c r="BUK71" s="486"/>
      <c r="BUL71" s="486"/>
      <c r="BUM71" s="486"/>
      <c r="BUN71" s="486"/>
      <c r="BUO71" s="486"/>
      <c r="BUP71" s="487"/>
      <c r="BUQ71" s="486"/>
      <c r="BUR71" s="486"/>
      <c r="BUS71" s="486"/>
      <c r="BUT71" s="486"/>
      <c r="BUU71" s="486"/>
      <c r="BUV71" s="486"/>
      <c r="BUW71" s="486"/>
      <c r="BUX71" s="486"/>
      <c r="BUY71" s="486"/>
      <c r="BUZ71" s="486"/>
      <c r="BVA71" s="486"/>
      <c r="BVB71" s="486"/>
      <c r="BVC71" s="486"/>
      <c r="BVD71" s="486"/>
      <c r="BVE71" s="486"/>
      <c r="BVF71" s="486"/>
      <c r="BVG71" s="486"/>
      <c r="BVH71" s="486"/>
      <c r="BVI71" s="486"/>
      <c r="BVJ71" s="486"/>
      <c r="BVK71" s="486"/>
      <c r="BVL71" s="486"/>
      <c r="BVM71" s="486"/>
      <c r="BVN71" s="486"/>
      <c r="BVO71" s="486"/>
      <c r="BVP71" s="486"/>
      <c r="BVQ71" s="486"/>
      <c r="BVR71" s="486"/>
      <c r="BVS71" s="487"/>
      <c r="BVT71" s="486"/>
      <c r="BVU71" s="486"/>
      <c r="BVV71" s="486"/>
      <c r="BVW71" s="486"/>
      <c r="BVX71" s="486"/>
      <c r="BVY71" s="486"/>
      <c r="BVZ71" s="486"/>
      <c r="BWA71" s="486"/>
      <c r="BWB71" s="486"/>
      <c r="BWC71" s="486"/>
      <c r="BWD71" s="486"/>
      <c r="BWE71" s="486"/>
      <c r="BWF71" s="486"/>
      <c r="BWG71" s="486"/>
      <c r="BWH71" s="486"/>
      <c r="BWI71" s="486"/>
      <c r="BWJ71" s="486"/>
      <c r="BWK71" s="486"/>
      <c r="BWL71" s="486"/>
      <c r="BWM71" s="486"/>
      <c r="BWN71" s="486"/>
      <c r="BWO71" s="486"/>
      <c r="BWP71" s="486"/>
      <c r="BWQ71" s="486"/>
      <c r="BWR71" s="486"/>
      <c r="BWS71" s="486"/>
      <c r="BWT71" s="486"/>
      <c r="BWU71" s="486"/>
      <c r="BWV71" s="487"/>
      <c r="BWW71" s="486"/>
      <c r="BWX71" s="486"/>
      <c r="BWY71" s="486"/>
      <c r="BWZ71" s="486"/>
      <c r="BXA71" s="486"/>
      <c r="BXB71" s="486"/>
      <c r="BXC71" s="486"/>
      <c r="BXD71" s="486"/>
      <c r="BXE71" s="486"/>
      <c r="BXF71" s="486"/>
      <c r="BXG71" s="486"/>
      <c r="BXH71" s="486"/>
      <c r="BXI71" s="486"/>
      <c r="BXJ71" s="486"/>
      <c r="BXK71" s="486"/>
      <c r="BXL71" s="486"/>
      <c r="BXM71" s="486"/>
      <c r="BXN71" s="486"/>
      <c r="BXO71" s="486"/>
      <c r="BXP71" s="486"/>
      <c r="BXQ71" s="486"/>
      <c r="BXR71" s="486"/>
      <c r="BXS71" s="486"/>
      <c r="BXT71" s="486"/>
      <c r="BXU71" s="486"/>
      <c r="BXV71" s="486"/>
      <c r="BXW71" s="486"/>
      <c r="BXX71" s="486"/>
      <c r="BXY71" s="487"/>
      <c r="BXZ71" s="486"/>
      <c r="BYA71" s="486"/>
      <c r="BYB71" s="486"/>
      <c r="BYC71" s="486"/>
      <c r="BYD71" s="486"/>
      <c r="BYE71" s="486"/>
      <c r="BYF71" s="486"/>
      <c r="BYG71" s="486"/>
      <c r="BYH71" s="486"/>
      <c r="BYI71" s="486"/>
      <c r="BYJ71" s="486"/>
      <c r="BYK71" s="486"/>
      <c r="BYL71" s="486"/>
      <c r="BYM71" s="486"/>
      <c r="BYN71" s="486"/>
      <c r="BYO71" s="486"/>
      <c r="BYP71" s="486"/>
      <c r="BYQ71" s="486"/>
      <c r="BYR71" s="486"/>
      <c r="BYS71" s="486"/>
      <c r="BYT71" s="486"/>
      <c r="BYU71" s="486"/>
      <c r="BYV71" s="486"/>
      <c r="BYW71" s="486"/>
      <c r="BYX71" s="486"/>
      <c r="BYY71" s="486"/>
      <c r="BYZ71" s="486"/>
      <c r="BZA71" s="486"/>
      <c r="BZB71" s="487"/>
      <c r="BZC71" s="486"/>
      <c r="BZD71" s="486"/>
      <c r="BZE71" s="486"/>
      <c r="BZF71" s="486"/>
      <c r="BZG71" s="486"/>
      <c r="BZH71" s="486"/>
      <c r="BZI71" s="486"/>
      <c r="BZJ71" s="486"/>
      <c r="BZK71" s="486"/>
      <c r="BZL71" s="486"/>
      <c r="BZM71" s="486"/>
      <c r="BZN71" s="486"/>
      <c r="BZO71" s="486"/>
      <c r="BZP71" s="486"/>
      <c r="BZQ71" s="486"/>
      <c r="BZR71" s="486"/>
      <c r="BZS71" s="486"/>
      <c r="BZT71" s="486"/>
      <c r="BZU71" s="486"/>
      <c r="BZV71" s="486"/>
      <c r="BZW71" s="486"/>
      <c r="BZX71" s="486"/>
      <c r="BZY71" s="486"/>
      <c r="BZZ71" s="486"/>
      <c r="CAA71" s="486"/>
      <c r="CAB71" s="486"/>
      <c r="CAC71" s="486"/>
      <c r="CAD71" s="486"/>
      <c r="CAE71" s="487"/>
      <c r="CAF71" s="486"/>
      <c r="CAG71" s="486"/>
      <c r="CAH71" s="486"/>
      <c r="CAI71" s="486"/>
      <c r="CAJ71" s="486"/>
      <c r="CAK71" s="486"/>
      <c r="CAL71" s="486"/>
      <c r="CAM71" s="486"/>
      <c r="CAN71" s="486"/>
      <c r="CAO71" s="486"/>
      <c r="CAP71" s="486"/>
      <c r="CAQ71" s="486"/>
      <c r="CAR71" s="486"/>
      <c r="CAS71" s="486"/>
      <c r="CAT71" s="486"/>
      <c r="CAU71" s="486"/>
      <c r="CAV71" s="486"/>
      <c r="CAW71" s="486"/>
      <c r="CAX71" s="486"/>
      <c r="CAY71" s="486"/>
      <c r="CAZ71" s="486"/>
      <c r="CBA71" s="486"/>
      <c r="CBB71" s="486"/>
      <c r="CBC71" s="486"/>
      <c r="CBD71" s="486"/>
      <c r="CBE71" s="486"/>
      <c r="CBF71" s="486"/>
      <c r="CBG71" s="486"/>
      <c r="CBH71" s="487"/>
      <c r="CBI71" s="486"/>
      <c r="CBJ71" s="486"/>
      <c r="CBK71" s="486"/>
      <c r="CBL71" s="486"/>
      <c r="CBM71" s="486"/>
      <c r="CBN71" s="486"/>
      <c r="CBO71" s="486"/>
      <c r="CBP71" s="486"/>
      <c r="CBQ71" s="486"/>
      <c r="CBR71" s="486"/>
      <c r="CBS71" s="486"/>
      <c r="CBT71" s="486"/>
      <c r="CBU71" s="486"/>
      <c r="CBV71" s="486"/>
      <c r="CBW71" s="486"/>
      <c r="CBX71" s="486"/>
      <c r="CBY71" s="486"/>
      <c r="CBZ71" s="486"/>
      <c r="CCA71" s="486"/>
      <c r="CCB71" s="486"/>
      <c r="CCC71" s="486"/>
      <c r="CCD71" s="486"/>
      <c r="CCE71" s="486"/>
      <c r="CCF71" s="486"/>
      <c r="CCG71" s="486"/>
      <c r="CCH71" s="486"/>
      <c r="CCI71" s="486"/>
      <c r="CCJ71" s="486"/>
      <c r="CCK71" s="487"/>
      <c r="CCL71" s="486"/>
      <c r="CCM71" s="486"/>
      <c r="CCN71" s="486"/>
      <c r="CCO71" s="486"/>
      <c r="CCP71" s="486"/>
      <c r="CCQ71" s="486"/>
      <c r="CCR71" s="486"/>
      <c r="CCS71" s="486"/>
      <c r="CCT71" s="486"/>
      <c r="CCU71" s="486"/>
      <c r="CCV71" s="486"/>
      <c r="CCW71" s="486"/>
      <c r="CCX71" s="486"/>
      <c r="CCY71" s="486"/>
      <c r="CCZ71" s="486"/>
      <c r="CDA71" s="486"/>
      <c r="CDB71" s="486"/>
      <c r="CDC71" s="486"/>
      <c r="CDD71" s="486"/>
      <c r="CDE71" s="486"/>
      <c r="CDF71" s="486"/>
      <c r="CDG71" s="486"/>
      <c r="CDH71" s="486"/>
      <c r="CDI71" s="486"/>
      <c r="CDJ71" s="486"/>
      <c r="CDK71" s="486"/>
      <c r="CDL71" s="486"/>
      <c r="CDM71" s="486"/>
      <c r="CDN71" s="487"/>
      <c r="CDO71" s="486"/>
      <c r="CDP71" s="486"/>
      <c r="CDQ71" s="486"/>
      <c r="CDR71" s="486"/>
      <c r="CDS71" s="486"/>
      <c r="CDT71" s="486"/>
      <c r="CDU71" s="486"/>
      <c r="CDV71" s="486"/>
      <c r="CDW71" s="486"/>
      <c r="CDX71" s="486"/>
      <c r="CDY71" s="486"/>
      <c r="CDZ71" s="486"/>
      <c r="CEA71" s="486"/>
      <c r="CEB71" s="486"/>
      <c r="CEC71" s="486"/>
      <c r="CED71" s="486"/>
      <c r="CEE71" s="486"/>
      <c r="CEF71" s="486"/>
      <c r="CEG71" s="486"/>
      <c r="CEH71" s="486"/>
      <c r="CEI71" s="486"/>
      <c r="CEJ71" s="486"/>
      <c r="CEK71" s="486"/>
      <c r="CEL71" s="486"/>
      <c r="CEM71" s="486"/>
      <c r="CEN71" s="486"/>
      <c r="CEO71" s="486"/>
      <c r="CEP71" s="486"/>
      <c r="CEQ71" s="487"/>
      <c r="CER71" s="486"/>
      <c r="CES71" s="486"/>
      <c r="CET71" s="486"/>
      <c r="CEU71" s="486"/>
      <c r="CEV71" s="486"/>
      <c r="CEW71" s="486"/>
      <c r="CEX71" s="486"/>
      <c r="CEY71" s="486"/>
      <c r="CEZ71" s="486"/>
      <c r="CFA71" s="486"/>
      <c r="CFB71" s="486"/>
      <c r="CFC71" s="486"/>
      <c r="CFD71" s="486"/>
      <c r="CFE71" s="486"/>
      <c r="CFF71" s="486"/>
      <c r="CFG71" s="486"/>
      <c r="CFH71" s="486"/>
      <c r="CFI71" s="486"/>
      <c r="CFJ71" s="486"/>
      <c r="CFK71" s="486"/>
      <c r="CFL71" s="486"/>
      <c r="CFM71" s="486"/>
      <c r="CFN71" s="486"/>
      <c r="CFO71" s="486"/>
      <c r="CFP71" s="486"/>
      <c r="CFQ71" s="486"/>
      <c r="CFR71" s="486"/>
      <c r="CFS71" s="486"/>
      <c r="CFT71" s="487"/>
      <c r="CFU71" s="486"/>
      <c r="CFV71" s="486"/>
      <c r="CFW71" s="486"/>
      <c r="CFX71" s="486"/>
      <c r="CFY71" s="486"/>
      <c r="CFZ71" s="486"/>
      <c r="CGA71" s="486"/>
      <c r="CGB71" s="486"/>
      <c r="CGC71" s="486"/>
      <c r="CGD71" s="486"/>
      <c r="CGE71" s="486"/>
      <c r="CGF71" s="486"/>
      <c r="CGG71" s="486"/>
      <c r="CGH71" s="486"/>
      <c r="CGI71" s="486"/>
      <c r="CGJ71" s="486"/>
      <c r="CGK71" s="486"/>
      <c r="CGL71" s="486"/>
      <c r="CGM71" s="486"/>
      <c r="CGN71" s="486"/>
      <c r="CGO71" s="486"/>
      <c r="CGP71" s="486"/>
      <c r="CGQ71" s="486"/>
      <c r="CGR71" s="486"/>
      <c r="CGS71" s="486"/>
      <c r="CGT71" s="486"/>
      <c r="CGU71" s="486"/>
      <c r="CGV71" s="486"/>
      <c r="CGW71" s="487"/>
      <c r="CGX71" s="486"/>
      <c r="CGY71" s="486"/>
      <c r="CGZ71" s="486"/>
      <c r="CHA71" s="486"/>
      <c r="CHB71" s="486"/>
      <c r="CHC71" s="486"/>
      <c r="CHD71" s="486"/>
      <c r="CHE71" s="486"/>
      <c r="CHF71" s="486"/>
      <c r="CHG71" s="486"/>
      <c r="CHH71" s="486"/>
      <c r="CHI71" s="486"/>
      <c r="CHJ71" s="486"/>
      <c r="CHK71" s="486"/>
      <c r="CHL71" s="486"/>
      <c r="CHM71" s="486"/>
      <c r="CHN71" s="486"/>
      <c r="CHO71" s="486"/>
      <c r="CHP71" s="486"/>
      <c r="CHQ71" s="486"/>
      <c r="CHR71" s="486"/>
      <c r="CHS71" s="486"/>
      <c r="CHT71" s="486"/>
      <c r="CHU71" s="486"/>
      <c r="CHV71" s="486"/>
      <c r="CHW71" s="486"/>
      <c r="CHX71" s="486"/>
      <c r="CHY71" s="486"/>
      <c r="CHZ71" s="487"/>
      <c r="CIA71" s="486"/>
      <c r="CIB71" s="486"/>
      <c r="CIC71" s="486"/>
      <c r="CID71" s="486"/>
      <c r="CIE71" s="486"/>
      <c r="CIF71" s="486"/>
      <c r="CIG71" s="486"/>
      <c r="CIH71" s="486"/>
      <c r="CII71" s="486"/>
      <c r="CIJ71" s="486"/>
      <c r="CIK71" s="486"/>
      <c r="CIL71" s="486"/>
      <c r="CIM71" s="486"/>
      <c r="CIN71" s="486"/>
      <c r="CIO71" s="486"/>
      <c r="CIP71" s="486"/>
      <c r="CIQ71" s="486"/>
      <c r="CIR71" s="486"/>
      <c r="CIS71" s="486"/>
      <c r="CIT71" s="486"/>
      <c r="CIU71" s="486"/>
      <c r="CIV71" s="486"/>
      <c r="CIW71" s="486"/>
      <c r="CIX71" s="486"/>
      <c r="CIY71" s="486"/>
      <c r="CIZ71" s="486"/>
      <c r="CJA71" s="486"/>
      <c r="CJB71" s="486"/>
      <c r="CJC71" s="487"/>
      <c r="CJD71" s="486"/>
      <c r="CJE71" s="486"/>
      <c r="CJF71" s="486"/>
      <c r="CJG71" s="486"/>
      <c r="CJH71" s="486"/>
      <c r="CJI71" s="486"/>
      <c r="CJJ71" s="486"/>
      <c r="CJK71" s="486"/>
      <c r="CJL71" s="486"/>
      <c r="CJM71" s="486"/>
      <c r="CJN71" s="486"/>
      <c r="CJO71" s="486"/>
      <c r="CJP71" s="486"/>
      <c r="CJQ71" s="486"/>
      <c r="CJR71" s="486"/>
      <c r="CJS71" s="486"/>
      <c r="CJT71" s="486"/>
      <c r="CJU71" s="486"/>
      <c r="CJV71" s="486"/>
      <c r="CJW71" s="486"/>
      <c r="CJX71" s="486"/>
      <c r="CJY71" s="486"/>
      <c r="CJZ71" s="486"/>
      <c r="CKA71" s="486"/>
      <c r="CKB71" s="486"/>
      <c r="CKC71" s="486"/>
      <c r="CKD71" s="486"/>
      <c r="CKE71" s="486"/>
      <c r="CKF71" s="487"/>
      <c r="CKG71" s="486"/>
      <c r="CKH71" s="486"/>
      <c r="CKI71" s="486"/>
      <c r="CKJ71" s="486"/>
      <c r="CKK71" s="486"/>
      <c r="CKL71" s="486"/>
      <c r="CKM71" s="486"/>
      <c r="CKN71" s="486"/>
      <c r="CKO71" s="486"/>
      <c r="CKP71" s="486"/>
      <c r="CKQ71" s="486"/>
      <c r="CKR71" s="486"/>
      <c r="CKS71" s="486"/>
      <c r="CKT71" s="486"/>
      <c r="CKU71" s="486"/>
      <c r="CKV71" s="486"/>
      <c r="CKW71" s="486"/>
      <c r="CKX71" s="486"/>
      <c r="CKY71" s="486"/>
      <c r="CKZ71" s="486"/>
      <c r="CLA71" s="486"/>
      <c r="CLB71" s="486"/>
      <c r="CLC71" s="486"/>
      <c r="CLD71" s="486"/>
      <c r="CLE71" s="486"/>
      <c r="CLF71" s="486"/>
      <c r="CLG71" s="486"/>
      <c r="CLH71" s="486"/>
      <c r="CLI71" s="487"/>
      <c r="CLJ71" s="486"/>
      <c r="CLK71" s="486"/>
      <c r="CLL71" s="486"/>
      <c r="CLM71" s="486"/>
      <c r="CLN71" s="486"/>
      <c r="CLO71" s="486"/>
      <c r="CLP71" s="486"/>
      <c r="CLQ71" s="486"/>
      <c r="CLR71" s="486"/>
      <c r="CLS71" s="486"/>
      <c r="CLT71" s="486"/>
      <c r="CLU71" s="486"/>
      <c r="CLV71" s="486"/>
      <c r="CLW71" s="486"/>
      <c r="CLX71" s="486"/>
      <c r="CLY71" s="486"/>
      <c r="CLZ71" s="486"/>
      <c r="CMA71" s="486"/>
      <c r="CMB71" s="486"/>
      <c r="CMC71" s="486"/>
      <c r="CMD71" s="486"/>
      <c r="CME71" s="486"/>
      <c r="CMF71" s="486"/>
      <c r="CMG71" s="486"/>
      <c r="CMH71" s="486"/>
      <c r="CMI71" s="486"/>
      <c r="CMJ71" s="486"/>
      <c r="CMK71" s="486"/>
      <c r="CML71" s="487"/>
      <c r="CMM71" s="486"/>
      <c r="CMN71" s="486"/>
      <c r="CMO71" s="486"/>
      <c r="CMP71" s="486"/>
      <c r="CMQ71" s="486"/>
      <c r="CMR71" s="486"/>
      <c r="CMS71" s="486"/>
      <c r="CMT71" s="486"/>
      <c r="CMU71" s="486"/>
      <c r="CMV71" s="486"/>
      <c r="CMW71" s="486"/>
      <c r="CMX71" s="486"/>
      <c r="CMY71" s="486"/>
      <c r="CMZ71" s="486"/>
      <c r="CNA71" s="486"/>
      <c r="CNB71" s="486"/>
      <c r="CNC71" s="486"/>
      <c r="CND71" s="486"/>
      <c r="CNE71" s="486"/>
      <c r="CNF71" s="486"/>
      <c r="CNG71" s="486"/>
      <c r="CNH71" s="486"/>
      <c r="CNI71" s="486"/>
      <c r="CNJ71" s="486"/>
      <c r="CNK71" s="486"/>
      <c r="CNL71" s="486"/>
      <c r="CNM71" s="486"/>
      <c r="CNN71" s="486"/>
      <c r="CNO71" s="487"/>
      <c r="CNP71" s="486"/>
      <c r="CNQ71" s="486"/>
      <c r="CNR71" s="486"/>
      <c r="CNS71" s="486"/>
      <c r="CNT71" s="486"/>
      <c r="CNU71" s="486"/>
      <c r="CNV71" s="486"/>
      <c r="CNW71" s="486"/>
      <c r="CNX71" s="486"/>
      <c r="CNY71" s="486"/>
      <c r="CNZ71" s="486"/>
      <c r="COA71" s="486"/>
      <c r="COB71" s="486"/>
      <c r="COC71" s="486"/>
      <c r="COD71" s="486"/>
      <c r="COE71" s="486"/>
      <c r="COF71" s="486"/>
      <c r="COG71" s="486"/>
      <c r="COH71" s="486"/>
      <c r="COI71" s="486"/>
      <c r="COJ71" s="486"/>
      <c r="COK71" s="486"/>
      <c r="COL71" s="486"/>
      <c r="COM71" s="486"/>
      <c r="CON71" s="486"/>
      <c r="COO71" s="486"/>
      <c r="COP71" s="486"/>
      <c r="COQ71" s="486"/>
      <c r="COR71" s="487"/>
      <c r="COS71" s="486"/>
      <c r="COT71" s="486"/>
      <c r="COU71" s="486"/>
      <c r="COV71" s="486"/>
      <c r="COW71" s="486"/>
      <c r="COX71" s="486"/>
      <c r="COY71" s="486"/>
      <c r="COZ71" s="486"/>
      <c r="CPA71" s="486"/>
      <c r="CPB71" s="486"/>
      <c r="CPC71" s="486"/>
      <c r="CPD71" s="486"/>
      <c r="CPE71" s="486"/>
      <c r="CPF71" s="486"/>
      <c r="CPG71" s="486"/>
      <c r="CPH71" s="486"/>
      <c r="CPI71" s="486"/>
      <c r="CPJ71" s="486"/>
      <c r="CPK71" s="486"/>
      <c r="CPL71" s="486"/>
      <c r="CPM71" s="486"/>
      <c r="CPN71" s="486"/>
      <c r="CPO71" s="486"/>
      <c r="CPP71" s="486"/>
      <c r="CPQ71" s="486"/>
      <c r="CPR71" s="486"/>
      <c r="CPS71" s="486"/>
      <c r="CPT71" s="486"/>
      <c r="CPU71" s="487"/>
      <c r="CPV71" s="486"/>
      <c r="CPW71" s="486"/>
      <c r="CPX71" s="486"/>
      <c r="CPY71" s="486"/>
      <c r="CPZ71" s="486"/>
      <c r="CQA71" s="486"/>
      <c r="CQB71" s="486"/>
      <c r="CQC71" s="486"/>
      <c r="CQD71" s="486"/>
      <c r="CQE71" s="486"/>
      <c r="CQF71" s="486"/>
      <c r="CQG71" s="486"/>
      <c r="CQH71" s="486"/>
      <c r="CQI71" s="486"/>
      <c r="CQJ71" s="486"/>
      <c r="CQK71" s="486"/>
      <c r="CQL71" s="486"/>
      <c r="CQM71" s="486"/>
      <c r="CQN71" s="486"/>
      <c r="CQO71" s="486"/>
      <c r="CQP71" s="486"/>
      <c r="CQQ71" s="486"/>
      <c r="CQR71" s="486"/>
      <c r="CQS71" s="486"/>
      <c r="CQT71" s="486"/>
      <c r="CQU71" s="486"/>
      <c r="CQV71" s="486"/>
      <c r="CQW71" s="486"/>
      <c r="CQX71" s="487"/>
      <c r="CQY71" s="486"/>
      <c r="CQZ71" s="486"/>
      <c r="CRA71" s="486"/>
      <c r="CRB71" s="486"/>
      <c r="CRC71" s="486"/>
      <c r="CRD71" s="486"/>
      <c r="CRE71" s="486"/>
      <c r="CRF71" s="486"/>
      <c r="CRG71" s="486"/>
      <c r="CRH71" s="486"/>
      <c r="CRI71" s="486"/>
      <c r="CRJ71" s="486"/>
      <c r="CRK71" s="486"/>
      <c r="CRL71" s="486"/>
      <c r="CRM71" s="486"/>
      <c r="CRN71" s="486"/>
      <c r="CRO71" s="486"/>
      <c r="CRP71" s="486"/>
      <c r="CRQ71" s="486"/>
      <c r="CRR71" s="486"/>
      <c r="CRS71" s="486"/>
      <c r="CRT71" s="486"/>
      <c r="CRU71" s="486"/>
      <c r="CRV71" s="486"/>
      <c r="CRW71" s="486"/>
      <c r="CRX71" s="486"/>
      <c r="CRY71" s="486"/>
      <c r="CRZ71" s="486"/>
      <c r="CSA71" s="487"/>
      <c r="CSB71" s="486"/>
      <c r="CSC71" s="486"/>
      <c r="CSD71" s="486"/>
      <c r="CSE71" s="486"/>
      <c r="CSF71" s="486"/>
      <c r="CSG71" s="486"/>
      <c r="CSH71" s="486"/>
      <c r="CSI71" s="486"/>
      <c r="CSJ71" s="486"/>
      <c r="CSK71" s="486"/>
      <c r="CSL71" s="486"/>
      <c r="CSM71" s="486"/>
      <c r="CSN71" s="486"/>
      <c r="CSO71" s="486"/>
      <c r="CSP71" s="486"/>
      <c r="CSQ71" s="486"/>
      <c r="CSR71" s="486"/>
      <c r="CSS71" s="486"/>
      <c r="CST71" s="486"/>
      <c r="CSU71" s="486"/>
      <c r="CSV71" s="486"/>
      <c r="CSW71" s="486"/>
      <c r="CSX71" s="486"/>
      <c r="CSY71" s="486"/>
      <c r="CSZ71" s="486"/>
      <c r="CTA71" s="486"/>
      <c r="CTB71" s="486"/>
      <c r="CTC71" s="486"/>
      <c r="CTD71" s="487"/>
      <c r="CTE71" s="486"/>
      <c r="CTF71" s="486"/>
      <c r="CTG71" s="486"/>
      <c r="CTH71" s="486"/>
      <c r="CTI71" s="486"/>
      <c r="CTJ71" s="486"/>
      <c r="CTK71" s="486"/>
      <c r="CTL71" s="486"/>
      <c r="CTM71" s="486"/>
      <c r="CTN71" s="486"/>
      <c r="CTO71" s="486"/>
      <c r="CTP71" s="486"/>
      <c r="CTQ71" s="486"/>
      <c r="CTR71" s="486"/>
      <c r="CTS71" s="486"/>
      <c r="CTT71" s="486"/>
      <c r="CTU71" s="486"/>
      <c r="CTV71" s="486"/>
      <c r="CTW71" s="486"/>
      <c r="CTX71" s="486"/>
      <c r="CTY71" s="486"/>
      <c r="CTZ71" s="486"/>
      <c r="CUA71" s="486"/>
      <c r="CUB71" s="486"/>
      <c r="CUC71" s="486"/>
      <c r="CUD71" s="486"/>
      <c r="CUE71" s="486"/>
      <c r="CUF71" s="486"/>
      <c r="CUG71" s="487"/>
      <c r="CUH71" s="486"/>
      <c r="CUI71" s="486"/>
      <c r="CUJ71" s="486"/>
      <c r="CUK71" s="486"/>
      <c r="CUL71" s="486"/>
      <c r="CUM71" s="486"/>
      <c r="CUN71" s="486"/>
      <c r="CUO71" s="486"/>
      <c r="CUP71" s="486"/>
      <c r="CUQ71" s="486"/>
      <c r="CUR71" s="486"/>
      <c r="CUS71" s="486"/>
      <c r="CUT71" s="486"/>
      <c r="CUU71" s="486"/>
      <c r="CUV71" s="486"/>
      <c r="CUW71" s="486"/>
      <c r="CUX71" s="486"/>
      <c r="CUY71" s="486"/>
      <c r="CUZ71" s="486"/>
      <c r="CVA71" s="486"/>
      <c r="CVB71" s="486"/>
      <c r="CVC71" s="486"/>
      <c r="CVD71" s="486"/>
      <c r="CVE71" s="486"/>
      <c r="CVF71" s="486"/>
      <c r="CVG71" s="486"/>
      <c r="CVH71" s="486"/>
      <c r="CVI71" s="486"/>
      <c r="CVJ71" s="487"/>
      <c r="CVK71" s="486"/>
      <c r="CVL71" s="486"/>
      <c r="CVM71" s="486"/>
      <c r="CVN71" s="486"/>
      <c r="CVO71" s="486"/>
      <c r="CVP71" s="486"/>
      <c r="CVQ71" s="486"/>
      <c r="CVR71" s="486"/>
      <c r="CVS71" s="486"/>
      <c r="CVT71" s="486"/>
      <c r="CVU71" s="486"/>
      <c r="CVV71" s="486"/>
      <c r="CVW71" s="486"/>
      <c r="CVX71" s="486"/>
      <c r="CVY71" s="486"/>
      <c r="CVZ71" s="486"/>
      <c r="CWA71" s="486"/>
      <c r="CWB71" s="486"/>
      <c r="CWC71" s="486"/>
      <c r="CWD71" s="486"/>
      <c r="CWE71" s="486"/>
      <c r="CWF71" s="486"/>
      <c r="CWG71" s="486"/>
      <c r="CWH71" s="486"/>
      <c r="CWI71" s="486"/>
      <c r="CWJ71" s="486"/>
      <c r="CWK71" s="486"/>
      <c r="CWL71" s="486"/>
      <c r="CWM71" s="487"/>
      <c r="CWN71" s="486"/>
      <c r="CWO71" s="486"/>
      <c r="CWP71" s="486"/>
      <c r="CWQ71" s="486"/>
      <c r="CWR71" s="486"/>
      <c r="CWS71" s="486"/>
      <c r="CWT71" s="486"/>
      <c r="CWU71" s="486"/>
      <c r="CWV71" s="486"/>
      <c r="CWW71" s="486"/>
      <c r="CWX71" s="486"/>
      <c r="CWY71" s="486"/>
      <c r="CWZ71" s="486"/>
      <c r="CXA71" s="486"/>
      <c r="CXB71" s="486"/>
      <c r="CXC71" s="486"/>
      <c r="CXD71" s="486"/>
      <c r="CXE71" s="486"/>
      <c r="CXF71" s="486"/>
      <c r="CXG71" s="486"/>
      <c r="CXH71" s="486"/>
      <c r="CXI71" s="486"/>
      <c r="CXJ71" s="486"/>
      <c r="CXK71" s="486"/>
      <c r="CXL71" s="486"/>
      <c r="CXM71" s="486"/>
      <c r="CXN71" s="486"/>
      <c r="CXO71" s="486"/>
      <c r="CXP71" s="487"/>
      <c r="CXQ71" s="486"/>
      <c r="CXR71" s="486"/>
      <c r="CXS71" s="486"/>
      <c r="CXT71" s="486"/>
      <c r="CXU71" s="486"/>
      <c r="CXV71" s="486"/>
      <c r="CXW71" s="486"/>
      <c r="CXX71" s="486"/>
      <c r="CXY71" s="486"/>
      <c r="CXZ71" s="486"/>
      <c r="CYA71" s="486"/>
      <c r="CYB71" s="486"/>
      <c r="CYC71" s="486"/>
      <c r="CYD71" s="486"/>
      <c r="CYE71" s="486"/>
      <c r="CYF71" s="486"/>
      <c r="CYG71" s="486"/>
      <c r="CYH71" s="486"/>
      <c r="CYI71" s="486"/>
      <c r="CYJ71" s="486"/>
      <c r="CYK71" s="486"/>
      <c r="CYL71" s="486"/>
      <c r="CYM71" s="486"/>
      <c r="CYN71" s="486"/>
      <c r="CYO71" s="486"/>
      <c r="CYP71" s="486"/>
      <c r="CYQ71" s="486"/>
      <c r="CYR71" s="486"/>
      <c r="CYS71" s="487"/>
      <c r="CYT71" s="486"/>
      <c r="CYU71" s="486"/>
      <c r="CYV71" s="486"/>
      <c r="CYW71" s="486"/>
      <c r="CYX71" s="486"/>
      <c r="CYY71" s="486"/>
      <c r="CYZ71" s="486"/>
      <c r="CZA71" s="486"/>
      <c r="CZB71" s="486"/>
      <c r="CZC71" s="486"/>
      <c r="CZD71" s="486"/>
      <c r="CZE71" s="486"/>
      <c r="CZF71" s="486"/>
      <c r="CZG71" s="486"/>
      <c r="CZH71" s="486"/>
      <c r="CZI71" s="486"/>
      <c r="CZJ71" s="486"/>
      <c r="CZK71" s="486"/>
      <c r="CZL71" s="486"/>
      <c r="CZM71" s="486"/>
      <c r="CZN71" s="486"/>
      <c r="CZO71" s="486"/>
      <c r="CZP71" s="486"/>
      <c r="CZQ71" s="486"/>
      <c r="CZR71" s="486"/>
      <c r="CZS71" s="486"/>
      <c r="CZT71" s="486"/>
      <c r="CZU71" s="486"/>
      <c r="CZV71" s="487"/>
      <c r="CZW71" s="486"/>
      <c r="CZX71" s="486"/>
      <c r="CZY71" s="486"/>
      <c r="CZZ71" s="486"/>
      <c r="DAA71" s="486"/>
      <c r="DAB71" s="486"/>
      <c r="DAC71" s="486"/>
      <c r="DAD71" s="486"/>
      <c r="DAE71" s="486"/>
      <c r="DAF71" s="486"/>
      <c r="DAG71" s="486"/>
      <c r="DAH71" s="486"/>
      <c r="DAI71" s="486"/>
      <c r="DAJ71" s="486"/>
      <c r="DAK71" s="486"/>
      <c r="DAL71" s="486"/>
      <c r="DAM71" s="486"/>
      <c r="DAN71" s="486"/>
      <c r="DAO71" s="486"/>
      <c r="DAP71" s="486"/>
      <c r="DAQ71" s="486"/>
      <c r="DAR71" s="486"/>
      <c r="DAS71" s="486"/>
      <c r="DAT71" s="486"/>
      <c r="DAU71" s="486"/>
      <c r="DAV71" s="486"/>
      <c r="DAW71" s="486"/>
      <c r="DAX71" s="486"/>
      <c r="DAY71" s="487"/>
      <c r="DAZ71" s="486"/>
      <c r="DBA71" s="486"/>
      <c r="DBB71" s="486"/>
      <c r="DBC71" s="486"/>
      <c r="DBD71" s="486"/>
      <c r="DBE71" s="486"/>
      <c r="DBF71" s="486"/>
      <c r="DBG71" s="486"/>
      <c r="DBH71" s="486"/>
      <c r="DBI71" s="486"/>
      <c r="DBJ71" s="486"/>
      <c r="DBK71" s="486"/>
      <c r="DBL71" s="486"/>
      <c r="DBM71" s="486"/>
      <c r="DBN71" s="486"/>
      <c r="DBO71" s="486"/>
      <c r="DBP71" s="486"/>
      <c r="DBQ71" s="486"/>
      <c r="DBR71" s="486"/>
      <c r="DBS71" s="486"/>
      <c r="DBT71" s="486"/>
      <c r="DBU71" s="486"/>
      <c r="DBV71" s="486"/>
      <c r="DBW71" s="486"/>
      <c r="DBX71" s="486"/>
      <c r="DBY71" s="486"/>
      <c r="DBZ71" s="486"/>
      <c r="DCA71" s="486"/>
      <c r="DCB71" s="487"/>
      <c r="DCC71" s="486"/>
      <c r="DCD71" s="486"/>
      <c r="DCE71" s="486"/>
      <c r="DCF71" s="486"/>
      <c r="DCG71" s="486"/>
      <c r="DCH71" s="486"/>
      <c r="DCI71" s="486"/>
      <c r="DCJ71" s="486"/>
      <c r="DCK71" s="486"/>
      <c r="DCL71" s="486"/>
      <c r="DCM71" s="486"/>
      <c r="DCN71" s="486"/>
      <c r="DCO71" s="486"/>
      <c r="DCP71" s="486"/>
      <c r="DCQ71" s="486"/>
      <c r="DCR71" s="486"/>
      <c r="DCS71" s="486"/>
      <c r="DCT71" s="486"/>
      <c r="DCU71" s="486"/>
      <c r="DCV71" s="486"/>
      <c r="DCW71" s="486"/>
      <c r="DCX71" s="486"/>
      <c r="DCY71" s="486"/>
      <c r="DCZ71" s="486"/>
      <c r="DDA71" s="486"/>
      <c r="DDB71" s="486"/>
      <c r="DDC71" s="486"/>
      <c r="DDD71" s="486"/>
      <c r="DDE71" s="487"/>
      <c r="DDF71" s="486"/>
      <c r="DDG71" s="486"/>
      <c r="DDH71" s="486"/>
      <c r="DDI71" s="486"/>
      <c r="DDJ71" s="486"/>
      <c r="DDK71" s="486"/>
      <c r="DDL71" s="486"/>
      <c r="DDM71" s="486"/>
      <c r="DDN71" s="486"/>
      <c r="DDO71" s="486"/>
      <c r="DDP71" s="486"/>
      <c r="DDQ71" s="486"/>
      <c r="DDR71" s="486"/>
      <c r="DDS71" s="486"/>
      <c r="DDT71" s="486"/>
      <c r="DDU71" s="486"/>
      <c r="DDV71" s="486"/>
      <c r="DDW71" s="486"/>
      <c r="DDX71" s="486"/>
      <c r="DDY71" s="486"/>
      <c r="DDZ71" s="486"/>
      <c r="DEA71" s="486"/>
      <c r="DEB71" s="486"/>
      <c r="DEC71" s="486"/>
      <c r="DED71" s="486"/>
      <c r="DEE71" s="486"/>
      <c r="DEF71" s="486"/>
      <c r="DEG71" s="486"/>
      <c r="DEH71" s="487"/>
      <c r="DEI71" s="486"/>
      <c r="DEJ71" s="486"/>
      <c r="DEK71" s="486"/>
      <c r="DEL71" s="486"/>
      <c r="DEM71" s="486"/>
      <c r="DEN71" s="486"/>
      <c r="DEO71" s="486"/>
      <c r="DEP71" s="486"/>
      <c r="DEQ71" s="486"/>
      <c r="DER71" s="486"/>
      <c r="DES71" s="486"/>
      <c r="DET71" s="486"/>
      <c r="DEU71" s="486"/>
      <c r="DEV71" s="486"/>
      <c r="DEW71" s="486"/>
      <c r="DEX71" s="486"/>
      <c r="DEY71" s="486"/>
      <c r="DEZ71" s="486"/>
      <c r="DFA71" s="486"/>
      <c r="DFB71" s="486"/>
      <c r="DFC71" s="486"/>
      <c r="DFD71" s="486"/>
      <c r="DFE71" s="486"/>
      <c r="DFF71" s="486"/>
      <c r="DFG71" s="486"/>
      <c r="DFH71" s="486"/>
      <c r="DFI71" s="486"/>
      <c r="DFJ71" s="486"/>
      <c r="DFK71" s="487"/>
      <c r="DFL71" s="486"/>
      <c r="DFM71" s="486"/>
      <c r="DFN71" s="486"/>
      <c r="DFO71" s="486"/>
      <c r="DFP71" s="486"/>
      <c r="DFQ71" s="486"/>
      <c r="DFR71" s="486"/>
      <c r="DFS71" s="486"/>
      <c r="DFT71" s="486"/>
      <c r="DFU71" s="486"/>
      <c r="DFV71" s="486"/>
      <c r="DFW71" s="486"/>
      <c r="DFX71" s="486"/>
      <c r="DFY71" s="486"/>
      <c r="DFZ71" s="486"/>
      <c r="DGA71" s="486"/>
      <c r="DGB71" s="486"/>
      <c r="DGC71" s="486"/>
      <c r="DGD71" s="486"/>
      <c r="DGE71" s="486"/>
      <c r="DGF71" s="486"/>
      <c r="DGG71" s="486"/>
      <c r="DGH71" s="486"/>
      <c r="DGI71" s="486"/>
      <c r="DGJ71" s="486"/>
      <c r="DGK71" s="486"/>
      <c r="DGL71" s="486"/>
      <c r="DGM71" s="486"/>
      <c r="DGN71" s="487"/>
      <c r="DGO71" s="486"/>
      <c r="DGP71" s="486"/>
      <c r="DGQ71" s="486"/>
      <c r="DGR71" s="486"/>
      <c r="DGS71" s="486"/>
      <c r="DGT71" s="486"/>
      <c r="DGU71" s="486"/>
      <c r="DGV71" s="486"/>
      <c r="DGW71" s="486"/>
      <c r="DGX71" s="486"/>
      <c r="DGY71" s="486"/>
      <c r="DGZ71" s="486"/>
      <c r="DHA71" s="486"/>
      <c r="DHB71" s="486"/>
      <c r="DHC71" s="486"/>
      <c r="DHD71" s="486"/>
      <c r="DHE71" s="486"/>
      <c r="DHF71" s="486"/>
      <c r="DHG71" s="486"/>
      <c r="DHH71" s="486"/>
      <c r="DHI71" s="486"/>
      <c r="DHJ71" s="486"/>
      <c r="DHK71" s="486"/>
      <c r="DHL71" s="486"/>
      <c r="DHM71" s="486"/>
      <c r="DHN71" s="486"/>
      <c r="DHO71" s="486"/>
      <c r="DHP71" s="486"/>
      <c r="DHQ71" s="487"/>
      <c r="DHR71" s="486"/>
      <c r="DHS71" s="486"/>
      <c r="DHT71" s="486"/>
      <c r="DHU71" s="486"/>
      <c r="DHV71" s="486"/>
      <c r="DHW71" s="486"/>
      <c r="DHX71" s="486"/>
      <c r="DHY71" s="486"/>
      <c r="DHZ71" s="486"/>
      <c r="DIA71" s="486"/>
      <c r="DIB71" s="486"/>
      <c r="DIC71" s="486"/>
      <c r="DID71" s="486"/>
      <c r="DIE71" s="486"/>
      <c r="DIF71" s="486"/>
      <c r="DIG71" s="486"/>
      <c r="DIH71" s="486"/>
      <c r="DII71" s="486"/>
      <c r="DIJ71" s="486"/>
      <c r="DIK71" s="486"/>
      <c r="DIL71" s="486"/>
      <c r="DIM71" s="486"/>
      <c r="DIN71" s="486"/>
      <c r="DIO71" s="486"/>
      <c r="DIP71" s="486"/>
      <c r="DIQ71" s="486"/>
      <c r="DIR71" s="486"/>
      <c r="DIS71" s="486"/>
      <c r="DIT71" s="487"/>
      <c r="DIU71" s="486"/>
      <c r="DIV71" s="486"/>
      <c r="DIW71" s="486"/>
      <c r="DIX71" s="486"/>
      <c r="DIY71" s="486"/>
      <c r="DIZ71" s="486"/>
      <c r="DJA71" s="486"/>
      <c r="DJB71" s="486"/>
      <c r="DJC71" s="486"/>
      <c r="DJD71" s="486"/>
      <c r="DJE71" s="486"/>
      <c r="DJF71" s="486"/>
      <c r="DJG71" s="486"/>
      <c r="DJH71" s="486"/>
      <c r="DJI71" s="486"/>
      <c r="DJJ71" s="486"/>
      <c r="DJK71" s="486"/>
      <c r="DJL71" s="486"/>
      <c r="DJM71" s="486"/>
      <c r="DJN71" s="486"/>
      <c r="DJO71" s="486"/>
      <c r="DJP71" s="486"/>
      <c r="DJQ71" s="486"/>
      <c r="DJR71" s="486"/>
      <c r="DJS71" s="486"/>
      <c r="DJT71" s="486"/>
      <c r="DJU71" s="486"/>
      <c r="DJV71" s="486"/>
      <c r="DJW71" s="487"/>
      <c r="DJX71" s="486"/>
      <c r="DJY71" s="486"/>
      <c r="DJZ71" s="486"/>
      <c r="DKA71" s="486"/>
      <c r="DKB71" s="486"/>
      <c r="DKC71" s="486"/>
      <c r="DKD71" s="486"/>
      <c r="DKE71" s="486"/>
      <c r="DKF71" s="486"/>
      <c r="DKG71" s="486"/>
      <c r="DKH71" s="486"/>
      <c r="DKI71" s="486"/>
      <c r="DKJ71" s="486"/>
      <c r="DKK71" s="486"/>
      <c r="DKL71" s="486"/>
      <c r="DKM71" s="486"/>
      <c r="DKN71" s="486"/>
      <c r="DKO71" s="486"/>
      <c r="DKP71" s="486"/>
      <c r="DKQ71" s="486"/>
      <c r="DKR71" s="486"/>
      <c r="DKS71" s="486"/>
      <c r="DKT71" s="486"/>
      <c r="DKU71" s="486"/>
      <c r="DKV71" s="486"/>
      <c r="DKW71" s="486"/>
      <c r="DKX71" s="486"/>
      <c r="DKY71" s="486"/>
      <c r="DKZ71" s="487"/>
      <c r="DLA71" s="486"/>
      <c r="DLB71" s="486"/>
      <c r="DLC71" s="486"/>
      <c r="DLD71" s="486"/>
      <c r="DLE71" s="486"/>
      <c r="DLF71" s="486"/>
      <c r="DLG71" s="486"/>
      <c r="DLH71" s="486"/>
      <c r="DLI71" s="486"/>
      <c r="DLJ71" s="486"/>
      <c r="DLK71" s="486"/>
      <c r="DLL71" s="486"/>
      <c r="DLM71" s="486"/>
      <c r="DLN71" s="486"/>
      <c r="DLO71" s="486"/>
      <c r="DLP71" s="486"/>
      <c r="DLQ71" s="486"/>
      <c r="DLR71" s="486"/>
      <c r="DLS71" s="486"/>
      <c r="DLT71" s="486"/>
      <c r="DLU71" s="486"/>
      <c r="DLV71" s="486"/>
      <c r="DLW71" s="486"/>
      <c r="DLX71" s="486"/>
      <c r="DLY71" s="486"/>
      <c r="DLZ71" s="486"/>
      <c r="DMA71" s="486"/>
      <c r="DMB71" s="486"/>
      <c r="DMC71" s="487"/>
      <c r="DMD71" s="486"/>
      <c r="DME71" s="486"/>
      <c r="DMF71" s="486"/>
      <c r="DMG71" s="486"/>
      <c r="DMH71" s="486"/>
      <c r="DMI71" s="486"/>
      <c r="DMJ71" s="486"/>
      <c r="DMK71" s="486"/>
      <c r="DML71" s="486"/>
      <c r="DMM71" s="486"/>
      <c r="DMN71" s="486"/>
      <c r="DMO71" s="486"/>
      <c r="DMP71" s="486"/>
      <c r="DMQ71" s="486"/>
      <c r="DMR71" s="486"/>
      <c r="DMS71" s="486"/>
      <c r="DMT71" s="486"/>
      <c r="DMU71" s="486"/>
      <c r="DMV71" s="486"/>
      <c r="DMW71" s="486"/>
      <c r="DMX71" s="486"/>
      <c r="DMY71" s="486"/>
      <c r="DMZ71" s="486"/>
      <c r="DNA71" s="486"/>
      <c r="DNB71" s="486"/>
      <c r="DNC71" s="486"/>
      <c r="DND71" s="486"/>
      <c r="DNE71" s="486"/>
      <c r="DNF71" s="487"/>
      <c r="DNG71" s="486"/>
      <c r="DNH71" s="486"/>
      <c r="DNI71" s="486"/>
      <c r="DNJ71" s="486"/>
      <c r="DNK71" s="486"/>
      <c r="DNL71" s="486"/>
      <c r="DNM71" s="486"/>
      <c r="DNN71" s="486"/>
      <c r="DNO71" s="486"/>
      <c r="DNP71" s="486"/>
      <c r="DNQ71" s="486"/>
      <c r="DNR71" s="486"/>
      <c r="DNS71" s="486"/>
      <c r="DNT71" s="486"/>
      <c r="DNU71" s="486"/>
      <c r="DNV71" s="486"/>
      <c r="DNW71" s="486"/>
      <c r="DNX71" s="486"/>
      <c r="DNY71" s="486"/>
      <c r="DNZ71" s="486"/>
      <c r="DOA71" s="486"/>
      <c r="DOB71" s="486"/>
      <c r="DOC71" s="486"/>
      <c r="DOD71" s="486"/>
      <c r="DOE71" s="486"/>
      <c r="DOF71" s="486"/>
      <c r="DOG71" s="486"/>
      <c r="DOH71" s="486"/>
      <c r="DOI71" s="487"/>
      <c r="DOJ71" s="486"/>
      <c r="DOK71" s="486"/>
      <c r="DOL71" s="486"/>
      <c r="DOM71" s="486"/>
      <c r="DON71" s="486"/>
      <c r="DOO71" s="486"/>
      <c r="DOP71" s="486"/>
      <c r="DOQ71" s="486"/>
      <c r="DOR71" s="486"/>
      <c r="DOS71" s="486"/>
      <c r="DOT71" s="486"/>
      <c r="DOU71" s="486"/>
      <c r="DOV71" s="486"/>
      <c r="DOW71" s="486"/>
      <c r="DOX71" s="486"/>
      <c r="DOY71" s="486"/>
      <c r="DOZ71" s="486"/>
      <c r="DPA71" s="486"/>
      <c r="DPB71" s="486"/>
      <c r="DPC71" s="486"/>
      <c r="DPD71" s="486"/>
      <c r="DPE71" s="486"/>
      <c r="DPF71" s="486"/>
      <c r="DPG71" s="486"/>
      <c r="DPH71" s="486"/>
      <c r="DPI71" s="486"/>
      <c r="DPJ71" s="486"/>
      <c r="DPK71" s="486"/>
      <c r="DPL71" s="487"/>
      <c r="DPM71" s="486"/>
      <c r="DPN71" s="486"/>
      <c r="DPO71" s="486"/>
      <c r="DPP71" s="486"/>
      <c r="DPQ71" s="486"/>
      <c r="DPR71" s="486"/>
      <c r="DPS71" s="486"/>
      <c r="DPT71" s="486"/>
      <c r="DPU71" s="486"/>
      <c r="DPV71" s="486"/>
      <c r="DPW71" s="486"/>
      <c r="DPX71" s="486"/>
      <c r="DPY71" s="486"/>
      <c r="DPZ71" s="486"/>
      <c r="DQA71" s="486"/>
      <c r="DQB71" s="486"/>
      <c r="DQC71" s="486"/>
      <c r="DQD71" s="486"/>
      <c r="DQE71" s="486"/>
      <c r="DQF71" s="486"/>
      <c r="DQG71" s="486"/>
      <c r="DQH71" s="486"/>
      <c r="DQI71" s="486"/>
      <c r="DQJ71" s="486"/>
      <c r="DQK71" s="486"/>
      <c r="DQL71" s="486"/>
      <c r="DQM71" s="486"/>
      <c r="DQN71" s="486"/>
      <c r="DQO71" s="487"/>
      <c r="DQP71" s="486"/>
      <c r="DQQ71" s="486"/>
      <c r="DQR71" s="486"/>
      <c r="DQS71" s="486"/>
      <c r="DQT71" s="486"/>
      <c r="DQU71" s="486"/>
      <c r="DQV71" s="486"/>
      <c r="DQW71" s="486"/>
      <c r="DQX71" s="486"/>
      <c r="DQY71" s="486"/>
      <c r="DQZ71" s="486"/>
      <c r="DRA71" s="486"/>
      <c r="DRB71" s="486"/>
      <c r="DRC71" s="486"/>
      <c r="DRD71" s="486"/>
      <c r="DRE71" s="486"/>
      <c r="DRF71" s="486"/>
      <c r="DRG71" s="486"/>
      <c r="DRH71" s="486"/>
      <c r="DRI71" s="486"/>
      <c r="DRJ71" s="486"/>
      <c r="DRK71" s="486"/>
      <c r="DRL71" s="486"/>
      <c r="DRM71" s="486"/>
      <c r="DRN71" s="486"/>
      <c r="DRO71" s="486"/>
      <c r="DRP71" s="486"/>
      <c r="DRQ71" s="486"/>
      <c r="DRR71" s="487"/>
      <c r="DRS71" s="486"/>
      <c r="DRT71" s="486"/>
      <c r="DRU71" s="486"/>
      <c r="DRV71" s="486"/>
      <c r="DRW71" s="486"/>
      <c r="DRX71" s="486"/>
      <c r="DRY71" s="486"/>
      <c r="DRZ71" s="486"/>
      <c r="DSA71" s="486"/>
      <c r="DSB71" s="486"/>
      <c r="DSC71" s="486"/>
      <c r="DSD71" s="486"/>
      <c r="DSE71" s="486"/>
      <c r="DSF71" s="486"/>
      <c r="DSG71" s="486"/>
      <c r="DSH71" s="486"/>
      <c r="DSI71" s="486"/>
      <c r="DSJ71" s="486"/>
      <c r="DSK71" s="486"/>
      <c r="DSL71" s="486"/>
      <c r="DSM71" s="486"/>
      <c r="DSN71" s="486"/>
      <c r="DSO71" s="486"/>
      <c r="DSP71" s="486"/>
      <c r="DSQ71" s="486"/>
      <c r="DSR71" s="486"/>
      <c r="DSS71" s="486"/>
      <c r="DST71" s="486"/>
      <c r="DSU71" s="487"/>
      <c r="DSV71" s="486"/>
      <c r="DSW71" s="486"/>
      <c r="DSX71" s="486"/>
      <c r="DSY71" s="486"/>
      <c r="DSZ71" s="486"/>
      <c r="DTA71" s="486"/>
      <c r="DTB71" s="486"/>
      <c r="DTC71" s="486"/>
      <c r="DTD71" s="486"/>
      <c r="DTE71" s="486"/>
      <c r="DTF71" s="486"/>
      <c r="DTG71" s="486"/>
      <c r="DTH71" s="486"/>
      <c r="DTI71" s="486"/>
      <c r="DTJ71" s="486"/>
      <c r="DTK71" s="486"/>
      <c r="DTL71" s="486"/>
      <c r="DTM71" s="486"/>
      <c r="DTN71" s="486"/>
      <c r="DTO71" s="486"/>
      <c r="DTP71" s="486"/>
      <c r="DTQ71" s="486"/>
      <c r="DTR71" s="486"/>
      <c r="DTS71" s="486"/>
      <c r="DTT71" s="486"/>
      <c r="DTU71" s="486"/>
      <c r="DTV71" s="486"/>
      <c r="DTW71" s="486"/>
      <c r="DTX71" s="487"/>
      <c r="DTY71" s="486"/>
      <c r="DTZ71" s="486"/>
      <c r="DUA71" s="486"/>
      <c r="DUB71" s="486"/>
      <c r="DUC71" s="486"/>
      <c r="DUD71" s="486"/>
      <c r="DUE71" s="486"/>
      <c r="DUF71" s="486"/>
      <c r="DUG71" s="486"/>
      <c r="DUH71" s="486"/>
      <c r="DUI71" s="486"/>
      <c r="DUJ71" s="486"/>
      <c r="DUK71" s="486"/>
      <c r="DUL71" s="486"/>
      <c r="DUM71" s="486"/>
      <c r="DUN71" s="486"/>
      <c r="DUO71" s="486"/>
      <c r="DUP71" s="486"/>
      <c r="DUQ71" s="486"/>
      <c r="DUR71" s="486"/>
      <c r="DUS71" s="486"/>
      <c r="DUT71" s="486"/>
      <c r="DUU71" s="486"/>
      <c r="DUV71" s="486"/>
      <c r="DUW71" s="486"/>
      <c r="DUX71" s="486"/>
      <c r="DUY71" s="486"/>
      <c r="DUZ71" s="486"/>
      <c r="DVA71" s="487"/>
      <c r="DVB71" s="486"/>
      <c r="DVC71" s="486"/>
      <c r="DVD71" s="486"/>
      <c r="DVE71" s="486"/>
      <c r="DVF71" s="486"/>
      <c r="DVG71" s="486"/>
      <c r="DVH71" s="486"/>
      <c r="DVI71" s="486"/>
      <c r="DVJ71" s="486"/>
      <c r="DVK71" s="486"/>
      <c r="DVL71" s="486"/>
      <c r="DVM71" s="486"/>
      <c r="DVN71" s="486"/>
      <c r="DVO71" s="486"/>
      <c r="DVP71" s="486"/>
      <c r="DVQ71" s="486"/>
      <c r="DVR71" s="486"/>
      <c r="DVS71" s="486"/>
      <c r="DVT71" s="486"/>
      <c r="DVU71" s="486"/>
      <c r="DVV71" s="486"/>
      <c r="DVW71" s="486"/>
      <c r="DVX71" s="486"/>
      <c r="DVY71" s="486"/>
      <c r="DVZ71" s="486"/>
      <c r="DWA71" s="486"/>
      <c r="DWB71" s="486"/>
      <c r="DWC71" s="486"/>
      <c r="DWD71" s="487"/>
      <c r="DWE71" s="486"/>
      <c r="DWF71" s="486"/>
      <c r="DWG71" s="486"/>
      <c r="DWH71" s="486"/>
      <c r="DWI71" s="486"/>
      <c r="DWJ71" s="486"/>
      <c r="DWK71" s="486"/>
      <c r="DWL71" s="486"/>
      <c r="DWM71" s="486"/>
      <c r="DWN71" s="486"/>
      <c r="DWO71" s="486"/>
      <c r="DWP71" s="486"/>
      <c r="DWQ71" s="486"/>
      <c r="DWR71" s="486"/>
      <c r="DWS71" s="486"/>
      <c r="DWT71" s="486"/>
      <c r="DWU71" s="486"/>
      <c r="DWV71" s="486"/>
      <c r="DWW71" s="486"/>
      <c r="DWX71" s="486"/>
      <c r="DWY71" s="486"/>
      <c r="DWZ71" s="486"/>
      <c r="DXA71" s="486"/>
      <c r="DXB71" s="486"/>
      <c r="DXC71" s="486"/>
      <c r="DXD71" s="486"/>
      <c r="DXE71" s="486"/>
      <c r="DXF71" s="486"/>
      <c r="DXG71" s="487"/>
      <c r="DXH71" s="486"/>
      <c r="DXI71" s="486"/>
      <c r="DXJ71" s="486"/>
      <c r="DXK71" s="486"/>
      <c r="DXL71" s="486"/>
      <c r="DXM71" s="486"/>
      <c r="DXN71" s="486"/>
      <c r="DXO71" s="486"/>
      <c r="DXP71" s="486"/>
      <c r="DXQ71" s="486"/>
      <c r="DXR71" s="486"/>
      <c r="DXS71" s="486"/>
      <c r="DXT71" s="486"/>
      <c r="DXU71" s="486"/>
      <c r="DXV71" s="486"/>
      <c r="DXW71" s="486"/>
      <c r="DXX71" s="486"/>
      <c r="DXY71" s="486"/>
      <c r="DXZ71" s="486"/>
      <c r="DYA71" s="486"/>
      <c r="DYB71" s="486"/>
      <c r="DYC71" s="486"/>
      <c r="DYD71" s="486"/>
      <c r="DYE71" s="486"/>
      <c r="DYF71" s="486"/>
      <c r="DYG71" s="486"/>
      <c r="DYH71" s="486"/>
      <c r="DYI71" s="486"/>
      <c r="DYJ71" s="487"/>
      <c r="DYK71" s="486"/>
      <c r="DYL71" s="486"/>
      <c r="DYM71" s="486"/>
      <c r="DYN71" s="486"/>
      <c r="DYO71" s="486"/>
      <c r="DYP71" s="486"/>
      <c r="DYQ71" s="486"/>
      <c r="DYR71" s="486"/>
      <c r="DYS71" s="486"/>
      <c r="DYT71" s="486"/>
      <c r="DYU71" s="486"/>
      <c r="DYV71" s="486"/>
      <c r="DYW71" s="486"/>
      <c r="DYX71" s="486"/>
      <c r="DYY71" s="486"/>
      <c r="DYZ71" s="486"/>
      <c r="DZA71" s="486"/>
      <c r="DZB71" s="486"/>
      <c r="DZC71" s="486"/>
      <c r="DZD71" s="486"/>
      <c r="DZE71" s="486"/>
      <c r="DZF71" s="486"/>
      <c r="DZG71" s="486"/>
      <c r="DZH71" s="486"/>
      <c r="DZI71" s="486"/>
      <c r="DZJ71" s="486"/>
      <c r="DZK71" s="486"/>
      <c r="DZL71" s="486"/>
      <c r="DZM71" s="487"/>
      <c r="DZN71" s="486"/>
      <c r="DZO71" s="486"/>
      <c r="DZP71" s="486"/>
      <c r="DZQ71" s="486"/>
      <c r="DZR71" s="486"/>
      <c r="DZS71" s="486"/>
      <c r="DZT71" s="486"/>
      <c r="DZU71" s="486"/>
      <c r="DZV71" s="486"/>
      <c r="DZW71" s="486"/>
      <c r="DZX71" s="486"/>
      <c r="DZY71" s="486"/>
      <c r="DZZ71" s="486"/>
      <c r="EAA71" s="486"/>
      <c r="EAB71" s="486"/>
      <c r="EAC71" s="486"/>
      <c r="EAD71" s="486"/>
      <c r="EAE71" s="486"/>
      <c r="EAF71" s="486"/>
      <c r="EAG71" s="486"/>
      <c r="EAH71" s="486"/>
      <c r="EAI71" s="486"/>
      <c r="EAJ71" s="486"/>
      <c r="EAK71" s="486"/>
      <c r="EAL71" s="486"/>
      <c r="EAM71" s="486"/>
      <c r="EAN71" s="486"/>
      <c r="EAO71" s="486"/>
      <c r="EAP71" s="487"/>
      <c r="EAQ71" s="486"/>
      <c r="EAR71" s="486"/>
      <c r="EAS71" s="486"/>
      <c r="EAT71" s="486"/>
      <c r="EAU71" s="486"/>
      <c r="EAV71" s="486"/>
      <c r="EAW71" s="486"/>
      <c r="EAX71" s="486"/>
      <c r="EAY71" s="486"/>
      <c r="EAZ71" s="486"/>
      <c r="EBA71" s="486"/>
      <c r="EBB71" s="486"/>
      <c r="EBC71" s="486"/>
      <c r="EBD71" s="486"/>
      <c r="EBE71" s="486"/>
      <c r="EBF71" s="486"/>
      <c r="EBG71" s="486"/>
      <c r="EBH71" s="486"/>
      <c r="EBI71" s="486"/>
      <c r="EBJ71" s="486"/>
      <c r="EBK71" s="486"/>
      <c r="EBL71" s="486"/>
      <c r="EBM71" s="486"/>
      <c r="EBN71" s="486"/>
      <c r="EBO71" s="486"/>
      <c r="EBP71" s="486"/>
      <c r="EBQ71" s="486"/>
      <c r="EBR71" s="486"/>
      <c r="EBS71" s="487"/>
      <c r="EBT71" s="486"/>
      <c r="EBU71" s="486"/>
      <c r="EBV71" s="486"/>
      <c r="EBW71" s="486"/>
      <c r="EBX71" s="486"/>
      <c r="EBY71" s="486"/>
      <c r="EBZ71" s="486"/>
      <c r="ECA71" s="486"/>
      <c r="ECB71" s="486"/>
      <c r="ECC71" s="486"/>
      <c r="ECD71" s="486"/>
      <c r="ECE71" s="486"/>
      <c r="ECF71" s="486"/>
      <c r="ECG71" s="486"/>
      <c r="ECH71" s="486"/>
      <c r="ECI71" s="486"/>
      <c r="ECJ71" s="486"/>
      <c r="ECK71" s="486"/>
      <c r="ECL71" s="486"/>
      <c r="ECM71" s="486"/>
      <c r="ECN71" s="486"/>
      <c r="ECO71" s="486"/>
      <c r="ECP71" s="486"/>
      <c r="ECQ71" s="486"/>
      <c r="ECR71" s="486"/>
      <c r="ECS71" s="486"/>
      <c r="ECT71" s="486"/>
      <c r="ECU71" s="486"/>
      <c r="ECV71" s="487"/>
      <c r="ECW71" s="486"/>
      <c r="ECX71" s="486"/>
      <c r="ECY71" s="486"/>
      <c r="ECZ71" s="486"/>
      <c r="EDA71" s="486"/>
      <c r="EDB71" s="486"/>
      <c r="EDC71" s="486"/>
      <c r="EDD71" s="486"/>
      <c r="EDE71" s="486"/>
      <c r="EDF71" s="486"/>
      <c r="EDG71" s="486"/>
      <c r="EDH71" s="486"/>
      <c r="EDI71" s="486"/>
      <c r="EDJ71" s="486"/>
      <c r="EDK71" s="486"/>
      <c r="EDL71" s="486"/>
      <c r="EDM71" s="486"/>
      <c r="EDN71" s="486"/>
      <c r="EDO71" s="486"/>
      <c r="EDP71" s="486"/>
      <c r="EDQ71" s="486"/>
      <c r="EDR71" s="486"/>
      <c r="EDS71" s="486"/>
      <c r="EDT71" s="486"/>
      <c r="EDU71" s="486"/>
      <c r="EDV71" s="486"/>
      <c r="EDW71" s="486"/>
      <c r="EDX71" s="486"/>
      <c r="EDY71" s="487"/>
      <c r="EDZ71" s="486"/>
      <c r="EEA71" s="486"/>
      <c r="EEB71" s="486"/>
      <c r="EEC71" s="486"/>
      <c r="EED71" s="486"/>
      <c r="EEE71" s="486"/>
      <c r="EEF71" s="486"/>
      <c r="EEG71" s="486"/>
      <c r="EEH71" s="486"/>
      <c r="EEI71" s="486"/>
      <c r="EEJ71" s="486"/>
      <c r="EEK71" s="486"/>
      <c r="EEL71" s="486"/>
      <c r="EEM71" s="486"/>
      <c r="EEN71" s="486"/>
      <c r="EEO71" s="486"/>
      <c r="EEP71" s="486"/>
      <c r="EEQ71" s="486"/>
      <c r="EER71" s="486"/>
      <c r="EES71" s="486"/>
      <c r="EET71" s="486"/>
      <c r="EEU71" s="486"/>
      <c r="EEV71" s="486"/>
      <c r="EEW71" s="486"/>
      <c r="EEX71" s="486"/>
      <c r="EEY71" s="486"/>
      <c r="EEZ71" s="486"/>
      <c r="EFA71" s="486"/>
      <c r="EFB71" s="487"/>
      <c r="EFC71" s="486"/>
      <c r="EFD71" s="486"/>
      <c r="EFE71" s="486"/>
      <c r="EFF71" s="486"/>
      <c r="EFG71" s="486"/>
      <c r="EFH71" s="486"/>
      <c r="EFI71" s="486"/>
      <c r="EFJ71" s="486"/>
      <c r="EFK71" s="486"/>
      <c r="EFL71" s="486"/>
      <c r="EFM71" s="486"/>
      <c r="EFN71" s="486"/>
      <c r="EFO71" s="486"/>
      <c r="EFP71" s="486"/>
      <c r="EFQ71" s="486"/>
      <c r="EFR71" s="486"/>
      <c r="EFS71" s="486"/>
      <c r="EFT71" s="486"/>
      <c r="EFU71" s="486"/>
      <c r="EFV71" s="486"/>
      <c r="EFW71" s="486"/>
      <c r="EFX71" s="486"/>
      <c r="EFY71" s="486"/>
      <c r="EFZ71" s="486"/>
      <c r="EGA71" s="486"/>
      <c r="EGB71" s="486"/>
      <c r="EGC71" s="486"/>
      <c r="EGD71" s="486"/>
      <c r="EGE71" s="487"/>
      <c r="EGF71" s="486"/>
      <c r="EGG71" s="486"/>
      <c r="EGH71" s="486"/>
      <c r="EGI71" s="486"/>
      <c r="EGJ71" s="486"/>
      <c r="EGK71" s="486"/>
      <c r="EGL71" s="486"/>
      <c r="EGM71" s="486"/>
      <c r="EGN71" s="486"/>
      <c r="EGO71" s="486"/>
      <c r="EGP71" s="486"/>
      <c r="EGQ71" s="486"/>
      <c r="EGR71" s="486"/>
      <c r="EGS71" s="486"/>
      <c r="EGT71" s="486"/>
      <c r="EGU71" s="486"/>
      <c r="EGV71" s="486"/>
      <c r="EGW71" s="486"/>
      <c r="EGX71" s="486"/>
      <c r="EGY71" s="486"/>
      <c r="EGZ71" s="486"/>
      <c r="EHA71" s="486"/>
      <c r="EHB71" s="486"/>
      <c r="EHC71" s="486"/>
      <c r="EHD71" s="486"/>
      <c r="EHE71" s="486"/>
      <c r="EHF71" s="486"/>
      <c r="EHG71" s="486"/>
      <c r="EHH71" s="487"/>
      <c r="EHI71" s="486"/>
      <c r="EHJ71" s="486"/>
      <c r="EHK71" s="486"/>
      <c r="EHL71" s="486"/>
      <c r="EHM71" s="486"/>
      <c r="EHN71" s="486"/>
      <c r="EHO71" s="486"/>
      <c r="EHP71" s="486"/>
      <c r="EHQ71" s="486"/>
      <c r="EHR71" s="486"/>
      <c r="EHS71" s="486"/>
      <c r="EHT71" s="486"/>
      <c r="EHU71" s="486"/>
      <c r="EHV71" s="486"/>
      <c r="EHW71" s="486"/>
      <c r="EHX71" s="486"/>
      <c r="EHY71" s="486"/>
      <c r="EHZ71" s="486"/>
      <c r="EIA71" s="486"/>
      <c r="EIB71" s="486"/>
      <c r="EIC71" s="486"/>
      <c r="EID71" s="486"/>
      <c r="EIE71" s="486"/>
      <c r="EIF71" s="486"/>
      <c r="EIG71" s="486"/>
      <c r="EIH71" s="486"/>
      <c r="EII71" s="486"/>
      <c r="EIJ71" s="486"/>
      <c r="EIK71" s="487"/>
      <c r="EIL71" s="486"/>
      <c r="EIM71" s="486"/>
      <c r="EIN71" s="486"/>
      <c r="EIO71" s="486"/>
      <c r="EIP71" s="486"/>
      <c r="EIQ71" s="486"/>
      <c r="EIR71" s="486"/>
      <c r="EIS71" s="486"/>
      <c r="EIT71" s="486"/>
      <c r="EIU71" s="486"/>
      <c r="EIV71" s="486"/>
      <c r="EIW71" s="486"/>
      <c r="EIX71" s="486"/>
      <c r="EIY71" s="486"/>
      <c r="EIZ71" s="486"/>
      <c r="EJA71" s="486"/>
      <c r="EJB71" s="486"/>
      <c r="EJC71" s="486"/>
      <c r="EJD71" s="486"/>
      <c r="EJE71" s="486"/>
      <c r="EJF71" s="486"/>
      <c r="EJG71" s="486"/>
      <c r="EJH71" s="486"/>
      <c r="EJI71" s="486"/>
      <c r="EJJ71" s="486"/>
      <c r="EJK71" s="486"/>
      <c r="EJL71" s="486"/>
      <c r="EJM71" s="486"/>
      <c r="EJN71" s="487"/>
      <c r="EJO71" s="486"/>
      <c r="EJP71" s="486"/>
      <c r="EJQ71" s="486"/>
      <c r="EJR71" s="486"/>
      <c r="EJS71" s="486"/>
      <c r="EJT71" s="486"/>
      <c r="EJU71" s="486"/>
      <c r="EJV71" s="486"/>
      <c r="EJW71" s="486"/>
      <c r="EJX71" s="486"/>
      <c r="EJY71" s="486"/>
      <c r="EJZ71" s="486"/>
      <c r="EKA71" s="486"/>
      <c r="EKB71" s="486"/>
      <c r="EKC71" s="486"/>
      <c r="EKD71" s="486"/>
      <c r="EKE71" s="486"/>
      <c r="EKF71" s="486"/>
      <c r="EKG71" s="486"/>
      <c r="EKH71" s="486"/>
      <c r="EKI71" s="486"/>
      <c r="EKJ71" s="486"/>
      <c r="EKK71" s="486"/>
      <c r="EKL71" s="486"/>
      <c r="EKM71" s="486"/>
      <c r="EKN71" s="486"/>
      <c r="EKO71" s="486"/>
      <c r="EKP71" s="486"/>
      <c r="EKQ71" s="487"/>
      <c r="EKR71" s="486"/>
      <c r="EKS71" s="486"/>
      <c r="EKT71" s="486"/>
      <c r="EKU71" s="486"/>
      <c r="EKV71" s="486"/>
      <c r="EKW71" s="486"/>
      <c r="EKX71" s="486"/>
      <c r="EKY71" s="486"/>
      <c r="EKZ71" s="486"/>
      <c r="ELA71" s="486"/>
      <c r="ELB71" s="486"/>
      <c r="ELC71" s="486"/>
      <c r="ELD71" s="486"/>
      <c r="ELE71" s="486"/>
      <c r="ELF71" s="486"/>
      <c r="ELG71" s="486"/>
      <c r="ELH71" s="486"/>
      <c r="ELI71" s="486"/>
      <c r="ELJ71" s="486"/>
      <c r="ELK71" s="486"/>
      <c r="ELL71" s="486"/>
      <c r="ELM71" s="486"/>
      <c r="ELN71" s="486"/>
      <c r="ELO71" s="486"/>
      <c r="ELP71" s="486"/>
      <c r="ELQ71" s="486"/>
      <c r="ELR71" s="486"/>
      <c r="ELS71" s="486"/>
      <c r="ELT71" s="487"/>
      <c r="ELU71" s="486"/>
      <c r="ELV71" s="486"/>
      <c r="ELW71" s="486"/>
      <c r="ELX71" s="486"/>
      <c r="ELY71" s="486"/>
      <c r="ELZ71" s="486"/>
      <c r="EMA71" s="486"/>
      <c r="EMB71" s="486"/>
      <c r="EMC71" s="486"/>
      <c r="EMD71" s="486"/>
      <c r="EME71" s="486"/>
      <c r="EMF71" s="486"/>
      <c r="EMG71" s="486"/>
      <c r="EMH71" s="486"/>
      <c r="EMI71" s="486"/>
      <c r="EMJ71" s="486"/>
      <c r="EMK71" s="486"/>
      <c r="EML71" s="486"/>
      <c r="EMM71" s="486"/>
      <c r="EMN71" s="486"/>
      <c r="EMO71" s="486"/>
      <c r="EMP71" s="486"/>
      <c r="EMQ71" s="486"/>
      <c r="EMR71" s="486"/>
      <c r="EMS71" s="486"/>
      <c r="EMT71" s="486"/>
      <c r="EMU71" s="486"/>
      <c r="EMV71" s="486"/>
      <c r="EMW71" s="487"/>
      <c r="EMX71" s="486"/>
      <c r="EMY71" s="486"/>
      <c r="EMZ71" s="486"/>
      <c r="ENA71" s="486"/>
      <c r="ENB71" s="486"/>
      <c r="ENC71" s="486"/>
      <c r="END71" s="486"/>
      <c r="ENE71" s="486"/>
      <c r="ENF71" s="486"/>
      <c r="ENG71" s="486"/>
      <c r="ENH71" s="486"/>
      <c r="ENI71" s="486"/>
      <c r="ENJ71" s="486"/>
      <c r="ENK71" s="486"/>
      <c r="ENL71" s="486"/>
      <c r="ENM71" s="486"/>
      <c r="ENN71" s="486"/>
      <c r="ENO71" s="486"/>
      <c r="ENP71" s="486"/>
      <c r="ENQ71" s="486"/>
      <c r="ENR71" s="486"/>
      <c r="ENS71" s="486"/>
      <c r="ENT71" s="486"/>
      <c r="ENU71" s="486"/>
      <c r="ENV71" s="486"/>
      <c r="ENW71" s="486"/>
      <c r="ENX71" s="486"/>
      <c r="ENY71" s="486"/>
      <c r="ENZ71" s="487"/>
      <c r="EOA71" s="486"/>
      <c r="EOB71" s="486"/>
      <c r="EOC71" s="486"/>
      <c r="EOD71" s="486"/>
      <c r="EOE71" s="486"/>
      <c r="EOF71" s="486"/>
      <c r="EOG71" s="486"/>
      <c r="EOH71" s="486"/>
      <c r="EOI71" s="486"/>
      <c r="EOJ71" s="486"/>
      <c r="EOK71" s="486"/>
      <c r="EOL71" s="486"/>
      <c r="EOM71" s="486"/>
      <c r="EON71" s="486"/>
      <c r="EOO71" s="486"/>
      <c r="EOP71" s="486"/>
      <c r="EOQ71" s="486"/>
      <c r="EOR71" s="486"/>
      <c r="EOS71" s="486"/>
      <c r="EOT71" s="486"/>
      <c r="EOU71" s="486"/>
      <c r="EOV71" s="486"/>
      <c r="EOW71" s="486"/>
      <c r="EOX71" s="486"/>
      <c r="EOY71" s="486"/>
      <c r="EOZ71" s="486"/>
      <c r="EPA71" s="486"/>
      <c r="EPB71" s="486"/>
      <c r="EPC71" s="487"/>
      <c r="EPD71" s="486"/>
      <c r="EPE71" s="486"/>
      <c r="EPF71" s="486"/>
      <c r="EPG71" s="486"/>
      <c r="EPH71" s="486"/>
      <c r="EPI71" s="486"/>
      <c r="EPJ71" s="486"/>
      <c r="EPK71" s="486"/>
      <c r="EPL71" s="486"/>
      <c r="EPM71" s="486"/>
      <c r="EPN71" s="486"/>
      <c r="EPO71" s="486"/>
      <c r="EPP71" s="486"/>
      <c r="EPQ71" s="486"/>
      <c r="EPR71" s="486"/>
      <c r="EPS71" s="486"/>
      <c r="EPT71" s="486"/>
      <c r="EPU71" s="486"/>
      <c r="EPV71" s="486"/>
      <c r="EPW71" s="486"/>
      <c r="EPX71" s="486"/>
      <c r="EPY71" s="486"/>
      <c r="EPZ71" s="486"/>
      <c r="EQA71" s="486"/>
      <c r="EQB71" s="486"/>
      <c r="EQC71" s="486"/>
      <c r="EQD71" s="486"/>
      <c r="EQE71" s="486"/>
      <c r="EQF71" s="487"/>
      <c r="EQG71" s="486"/>
      <c r="EQH71" s="486"/>
      <c r="EQI71" s="486"/>
      <c r="EQJ71" s="486"/>
      <c r="EQK71" s="486"/>
      <c r="EQL71" s="486"/>
      <c r="EQM71" s="486"/>
      <c r="EQN71" s="486"/>
      <c r="EQO71" s="486"/>
      <c r="EQP71" s="486"/>
      <c r="EQQ71" s="486"/>
      <c r="EQR71" s="486"/>
      <c r="EQS71" s="486"/>
      <c r="EQT71" s="486"/>
      <c r="EQU71" s="486"/>
      <c r="EQV71" s="486"/>
      <c r="EQW71" s="486"/>
      <c r="EQX71" s="486"/>
      <c r="EQY71" s="486"/>
      <c r="EQZ71" s="486"/>
      <c r="ERA71" s="486"/>
      <c r="ERB71" s="486"/>
      <c r="ERC71" s="486"/>
      <c r="ERD71" s="486"/>
      <c r="ERE71" s="486"/>
      <c r="ERF71" s="486"/>
      <c r="ERG71" s="486"/>
      <c r="ERH71" s="486"/>
      <c r="ERI71" s="487"/>
      <c r="ERJ71" s="486"/>
      <c r="ERK71" s="486"/>
      <c r="ERL71" s="486"/>
      <c r="ERM71" s="486"/>
      <c r="ERN71" s="486"/>
      <c r="ERO71" s="486"/>
      <c r="ERP71" s="486"/>
      <c r="ERQ71" s="486"/>
      <c r="ERR71" s="486"/>
      <c r="ERS71" s="486"/>
      <c r="ERT71" s="486"/>
      <c r="ERU71" s="486"/>
      <c r="ERV71" s="486"/>
      <c r="ERW71" s="486"/>
      <c r="ERX71" s="486"/>
      <c r="ERY71" s="486"/>
      <c r="ERZ71" s="486"/>
      <c r="ESA71" s="486"/>
      <c r="ESB71" s="486"/>
      <c r="ESC71" s="486"/>
      <c r="ESD71" s="486"/>
      <c r="ESE71" s="486"/>
      <c r="ESF71" s="486"/>
      <c r="ESG71" s="486"/>
      <c r="ESH71" s="486"/>
      <c r="ESI71" s="486"/>
      <c r="ESJ71" s="486"/>
      <c r="ESK71" s="486"/>
      <c r="ESL71" s="487"/>
      <c r="ESM71" s="486"/>
      <c r="ESN71" s="486"/>
      <c r="ESO71" s="486"/>
      <c r="ESP71" s="486"/>
      <c r="ESQ71" s="486"/>
      <c r="ESR71" s="486"/>
      <c r="ESS71" s="486"/>
      <c r="EST71" s="486"/>
      <c r="ESU71" s="486"/>
      <c r="ESV71" s="486"/>
      <c r="ESW71" s="486"/>
      <c r="ESX71" s="486"/>
      <c r="ESY71" s="486"/>
      <c r="ESZ71" s="486"/>
      <c r="ETA71" s="486"/>
      <c r="ETB71" s="486"/>
      <c r="ETC71" s="486"/>
      <c r="ETD71" s="486"/>
      <c r="ETE71" s="486"/>
      <c r="ETF71" s="486"/>
      <c r="ETG71" s="486"/>
      <c r="ETH71" s="486"/>
      <c r="ETI71" s="486"/>
      <c r="ETJ71" s="486"/>
      <c r="ETK71" s="486"/>
      <c r="ETL71" s="486"/>
      <c r="ETM71" s="486"/>
      <c r="ETN71" s="486"/>
      <c r="ETO71" s="487"/>
      <c r="ETP71" s="486"/>
      <c r="ETQ71" s="486"/>
      <c r="ETR71" s="486"/>
      <c r="ETS71" s="486"/>
      <c r="ETT71" s="486"/>
      <c r="ETU71" s="486"/>
      <c r="ETV71" s="486"/>
      <c r="ETW71" s="486"/>
      <c r="ETX71" s="486"/>
      <c r="ETY71" s="486"/>
      <c r="ETZ71" s="486"/>
      <c r="EUA71" s="486"/>
      <c r="EUB71" s="486"/>
      <c r="EUC71" s="486"/>
      <c r="EUD71" s="486"/>
      <c r="EUE71" s="486"/>
      <c r="EUF71" s="486"/>
      <c r="EUG71" s="486"/>
      <c r="EUH71" s="486"/>
      <c r="EUI71" s="486"/>
      <c r="EUJ71" s="486"/>
      <c r="EUK71" s="486"/>
      <c r="EUL71" s="486"/>
      <c r="EUM71" s="486"/>
      <c r="EUN71" s="486"/>
      <c r="EUO71" s="486"/>
      <c r="EUP71" s="486"/>
      <c r="EUQ71" s="486"/>
      <c r="EUR71" s="487"/>
      <c r="EUS71" s="486"/>
      <c r="EUT71" s="486"/>
      <c r="EUU71" s="486"/>
      <c r="EUV71" s="486"/>
      <c r="EUW71" s="486"/>
      <c r="EUX71" s="486"/>
      <c r="EUY71" s="486"/>
      <c r="EUZ71" s="486"/>
      <c r="EVA71" s="486"/>
      <c r="EVB71" s="486"/>
      <c r="EVC71" s="486"/>
      <c r="EVD71" s="486"/>
      <c r="EVE71" s="486"/>
      <c r="EVF71" s="486"/>
      <c r="EVG71" s="486"/>
      <c r="EVH71" s="486"/>
      <c r="EVI71" s="486"/>
      <c r="EVJ71" s="486"/>
      <c r="EVK71" s="486"/>
      <c r="EVL71" s="486"/>
      <c r="EVM71" s="486"/>
      <c r="EVN71" s="486"/>
      <c r="EVO71" s="486"/>
      <c r="EVP71" s="486"/>
      <c r="EVQ71" s="486"/>
      <c r="EVR71" s="486"/>
      <c r="EVS71" s="486"/>
      <c r="EVT71" s="486"/>
      <c r="EVU71" s="487"/>
      <c r="EVV71" s="486"/>
      <c r="EVW71" s="486"/>
      <c r="EVX71" s="486"/>
      <c r="EVY71" s="486"/>
      <c r="EVZ71" s="486"/>
      <c r="EWA71" s="486"/>
      <c r="EWB71" s="486"/>
      <c r="EWC71" s="486"/>
      <c r="EWD71" s="486"/>
      <c r="EWE71" s="486"/>
      <c r="EWF71" s="486"/>
      <c r="EWG71" s="486"/>
      <c r="EWH71" s="486"/>
      <c r="EWI71" s="486"/>
      <c r="EWJ71" s="486"/>
      <c r="EWK71" s="486"/>
      <c r="EWL71" s="486"/>
      <c r="EWM71" s="486"/>
      <c r="EWN71" s="486"/>
      <c r="EWO71" s="486"/>
      <c r="EWP71" s="486"/>
      <c r="EWQ71" s="486"/>
      <c r="EWR71" s="486"/>
      <c r="EWS71" s="486"/>
      <c r="EWT71" s="486"/>
      <c r="EWU71" s="486"/>
      <c r="EWV71" s="486"/>
      <c r="EWW71" s="486"/>
      <c r="EWX71" s="487"/>
      <c r="EWY71" s="486"/>
      <c r="EWZ71" s="486"/>
      <c r="EXA71" s="486"/>
      <c r="EXB71" s="486"/>
      <c r="EXC71" s="486"/>
      <c r="EXD71" s="486"/>
      <c r="EXE71" s="486"/>
      <c r="EXF71" s="486"/>
      <c r="EXG71" s="486"/>
      <c r="EXH71" s="486"/>
      <c r="EXI71" s="486"/>
      <c r="EXJ71" s="486"/>
      <c r="EXK71" s="486"/>
      <c r="EXL71" s="486"/>
      <c r="EXM71" s="486"/>
      <c r="EXN71" s="486"/>
      <c r="EXO71" s="486"/>
      <c r="EXP71" s="486"/>
      <c r="EXQ71" s="486"/>
      <c r="EXR71" s="486"/>
      <c r="EXS71" s="486"/>
      <c r="EXT71" s="486"/>
      <c r="EXU71" s="486"/>
      <c r="EXV71" s="486"/>
      <c r="EXW71" s="486"/>
      <c r="EXX71" s="486"/>
      <c r="EXY71" s="486"/>
      <c r="EXZ71" s="486"/>
      <c r="EYA71" s="487"/>
      <c r="EYB71" s="486"/>
      <c r="EYC71" s="486"/>
      <c r="EYD71" s="486"/>
      <c r="EYE71" s="486"/>
      <c r="EYF71" s="486"/>
      <c r="EYG71" s="486"/>
      <c r="EYH71" s="486"/>
      <c r="EYI71" s="486"/>
      <c r="EYJ71" s="486"/>
      <c r="EYK71" s="486"/>
      <c r="EYL71" s="486"/>
      <c r="EYM71" s="486"/>
      <c r="EYN71" s="486"/>
      <c r="EYO71" s="486"/>
      <c r="EYP71" s="486"/>
      <c r="EYQ71" s="486"/>
      <c r="EYR71" s="486"/>
      <c r="EYS71" s="486"/>
      <c r="EYT71" s="486"/>
      <c r="EYU71" s="486"/>
      <c r="EYV71" s="486"/>
      <c r="EYW71" s="486"/>
      <c r="EYX71" s="486"/>
      <c r="EYY71" s="486"/>
      <c r="EYZ71" s="486"/>
      <c r="EZA71" s="486"/>
      <c r="EZB71" s="486"/>
      <c r="EZC71" s="486"/>
      <c r="EZD71" s="487"/>
      <c r="EZE71" s="486"/>
      <c r="EZF71" s="486"/>
      <c r="EZG71" s="486"/>
      <c r="EZH71" s="486"/>
      <c r="EZI71" s="486"/>
      <c r="EZJ71" s="486"/>
      <c r="EZK71" s="486"/>
      <c r="EZL71" s="486"/>
      <c r="EZM71" s="486"/>
      <c r="EZN71" s="486"/>
      <c r="EZO71" s="486"/>
      <c r="EZP71" s="486"/>
      <c r="EZQ71" s="486"/>
      <c r="EZR71" s="486"/>
      <c r="EZS71" s="486"/>
      <c r="EZT71" s="486"/>
      <c r="EZU71" s="486"/>
      <c r="EZV71" s="486"/>
      <c r="EZW71" s="486"/>
      <c r="EZX71" s="486"/>
      <c r="EZY71" s="486"/>
      <c r="EZZ71" s="486"/>
      <c r="FAA71" s="486"/>
      <c r="FAB71" s="486"/>
      <c r="FAC71" s="486"/>
      <c r="FAD71" s="486"/>
      <c r="FAE71" s="486"/>
      <c r="FAF71" s="486"/>
      <c r="FAG71" s="487"/>
      <c r="FAH71" s="486"/>
      <c r="FAI71" s="486"/>
      <c r="FAJ71" s="486"/>
      <c r="FAK71" s="486"/>
      <c r="FAL71" s="486"/>
      <c r="FAM71" s="486"/>
      <c r="FAN71" s="486"/>
      <c r="FAO71" s="486"/>
      <c r="FAP71" s="486"/>
      <c r="FAQ71" s="486"/>
      <c r="FAR71" s="486"/>
      <c r="FAS71" s="486"/>
      <c r="FAT71" s="486"/>
      <c r="FAU71" s="486"/>
      <c r="FAV71" s="486"/>
      <c r="FAW71" s="486"/>
      <c r="FAX71" s="486"/>
      <c r="FAY71" s="486"/>
      <c r="FAZ71" s="486"/>
      <c r="FBA71" s="486"/>
      <c r="FBB71" s="486"/>
      <c r="FBC71" s="486"/>
      <c r="FBD71" s="486"/>
      <c r="FBE71" s="486"/>
      <c r="FBF71" s="486"/>
      <c r="FBG71" s="486"/>
      <c r="FBH71" s="486"/>
      <c r="FBI71" s="486"/>
      <c r="FBJ71" s="487"/>
      <c r="FBK71" s="486"/>
      <c r="FBL71" s="486"/>
      <c r="FBM71" s="486"/>
      <c r="FBN71" s="486"/>
      <c r="FBO71" s="486"/>
      <c r="FBP71" s="486"/>
      <c r="FBQ71" s="486"/>
      <c r="FBR71" s="486"/>
      <c r="FBS71" s="486"/>
      <c r="FBT71" s="486"/>
      <c r="FBU71" s="486"/>
      <c r="FBV71" s="486"/>
      <c r="FBW71" s="486"/>
      <c r="FBX71" s="486"/>
      <c r="FBY71" s="486"/>
      <c r="FBZ71" s="486"/>
      <c r="FCA71" s="486"/>
      <c r="FCB71" s="486"/>
      <c r="FCC71" s="486"/>
      <c r="FCD71" s="486"/>
      <c r="FCE71" s="486"/>
      <c r="FCF71" s="486"/>
      <c r="FCG71" s="486"/>
      <c r="FCH71" s="486"/>
      <c r="FCI71" s="486"/>
      <c r="FCJ71" s="486"/>
      <c r="FCK71" s="486"/>
      <c r="FCL71" s="486"/>
      <c r="FCM71" s="487"/>
      <c r="FCN71" s="486"/>
      <c r="FCO71" s="486"/>
      <c r="FCP71" s="486"/>
      <c r="FCQ71" s="486"/>
      <c r="FCR71" s="486"/>
      <c r="FCS71" s="486"/>
      <c r="FCT71" s="486"/>
      <c r="FCU71" s="486"/>
      <c r="FCV71" s="486"/>
      <c r="FCW71" s="486"/>
      <c r="FCX71" s="486"/>
      <c r="FCY71" s="486"/>
      <c r="FCZ71" s="486"/>
      <c r="FDA71" s="486"/>
      <c r="FDB71" s="486"/>
      <c r="FDC71" s="486"/>
      <c r="FDD71" s="486"/>
      <c r="FDE71" s="486"/>
      <c r="FDF71" s="486"/>
      <c r="FDG71" s="486"/>
      <c r="FDH71" s="486"/>
      <c r="FDI71" s="486"/>
      <c r="FDJ71" s="486"/>
      <c r="FDK71" s="486"/>
      <c r="FDL71" s="486"/>
      <c r="FDM71" s="486"/>
      <c r="FDN71" s="486"/>
      <c r="FDO71" s="486"/>
      <c r="FDP71" s="487"/>
      <c r="FDQ71" s="486"/>
      <c r="FDR71" s="486"/>
      <c r="FDS71" s="486"/>
      <c r="FDT71" s="486"/>
      <c r="FDU71" s="486"/>
      <c r="FDV71" s="486"/>
      <c r="FDW71" s="486"/>
      <c r="FDX71" s="486"/>
      <c r="FDY71" s="486"/>
      <c r="FDZ71" s="486"/>
      <c r="FEA71" s="486"/>
      <c r="FEB71" s="486"/>
      <c r="FEC71" s="486"/>
      <c r="FED71" s="486"/>
      <c r="FEE71" s="486"/>
      <c r="FEF71" s="486"/>
      <c r="FEG71" s="486"/>
      <c r="FEH71" s="486"/>
      <c r="FEI71" s="486"/>
      <c r="FEJ71" s="486"/>
      <c r="FEK71" s="486"/>
      <c r="FEL71" s="486"/>
      <c r="FEM71" s="486"/>
      <c r="FEN71" s="486"/>
      <c r="FEO71" s="486"/>
      <c r="FEP71" s="486"/>
      <c r="FEQ71" s="486"/>
      <c r="FER71" s="486"/>
      <c r="FES71" s="487"/>
      <c r="FET71" s="486"/>
      <c r="FEU71" s="486"/>
      <c r="FEV71" s="486"/>
      <c r="FEW71" s="486"/>
      <c r="FEX71" s="486"/>
      <c r="FEY71" s="486"/>
      <c r="FEZ71" s="486"/>
      <c r="FFA71" s="486"/>
      <c r="FFB71" s="486"/>
      <c r="FFC71" s="486"/>
      <c r="FFD71" s="486"/>
      <c r="FFE71" s="486"/>
      <c r="FFF71" s="486"/>
      <c r="FFG71" s="486"/>
      <c r="FFH71" s="486"/>
      <c r="FFI71" s="486"/>
      <c r="FFJ71" s="486"/>
      <c r="FFK71" s="486"/>
      <c r="FFL71" s="486"/>
      <c r="FFM71" s="486"/>
      <c r="FFN71" s="486"/>
      <c r="FFO71" s="486"/>
      <c r="FFP71" s="486"/>
      <c r="FFQ71" s="486"/>
      <c r="FFR71" s="486"/>
      <c r="FFS71" s="486"/>
      <c r="FFT71" s="486"/>
      <c r="FFU71" s="486"/>
      <c r="FFV71" s="487"/>
      <c r="FFW71" s="486"/>
      <c r="FFX71" s="486"/>
      <c r="FFY71" s="486"/>
      <c r="FFZ71" s="486"/>
      <c r="FGA71" s="486"/>
      <c r="FGB71" s="486"/>
      <c r="FGC71" s="486"/>
      <c r="FGD71" s="486"/>
      <c r="FGE71" s="486"/>
      <c r="FGF71" s="486"/>
      <c r="FGG71" s="486"/>
      <c r="FGH71" s="486"/>
      <c r="FGI71" s="486"/>
      <c r="FGJ71" s="486"/>
      <c r="FGK71" s="486"/>
      <c r="FGL71" s="486"/>
      <c r="FGM71" s="486"/>
      <c r="FGN71" s="486"/>
      <c r="FGO71" s="486"/>
      <c r="FGP71" s="486"/>
      <c r="FGQ71" s="486"/>
      <c r="FGR71" s="486"/>
      <c r="FGS71" s="486"/>
      <c r="FGT71" s="486"/>
      <c r="FGU71" s="486"/>
      <c r="FGV71" s="486"/>
      <c r="FGW71" s="486"/>
      <c r="FGX71" s="486"/>
      <c r="FGY71" s="487"/>
      <c r="FGZ71" s="486"/>
      <c r="FHA71" s="486"/>
      <c r="FHB71" s="486"/>
      <c r="FHC71" s="486"/>
      <c r="FHD71" s="486"/>
      <c r="FHE71" s="486"/>
      <c r="FHF71" s="486"/>
      <c r="FHG71" s="486"/>
      <c r="FHH71" s="486"/>
      <c r="FHI71" s="486"/>
      <c r="FHJ71" s="486"/>
      <c r="FHK71" s="486"/>
      <c r="FHL71" s="486"/>
      <c r="FHM71" s="486"/>
      <c r="FHN71" s="486"/>
      <c r="FHO71" s="486"/>
      <c r="FHP71" s="486"/>
      <c r="FHQ71" s="486"/>
      <c r="FHR71" s="486"/>
      <c r="FHS71" s="486"/>
      <c r="FHT71" s="486"/>
      <c r="FHU71" s="486"/>
      <c r="FHV71" s="486"/>
      <c r="FHW71" s="486"/>
      <c r="FHX71" s="486"/>
      <c r="FHY71" s="486"/>
      <c r="FHZ71" s="486"/>
      <c r="FIA71" s="486"/>
      <c r="FIB71" s="487"/>
      <c r="FIC71" s="486"/>
      <c r="FID71" s="486"/>
      <c r="FIE71" s="486"/>
      <c r="FIF71" s="486"/>
      <c r="FIG71" s="486"/>
      <c r="FIH71" s="486"/>
      <c r="FII71" s="486"/>
      <c r="FIJ71" s="486"/>
      <c r="FIK71" s="486"/>
      <c r="FIL71" s="486"/>
      <c r="FIM71" s="486"/>
      <c r="FIN71" s="486"/>
      <c r="FIO71" s="486"/>
      <c r="FIP71" s="486"/>
      <c r="FIQ71" s="486"/>
      <c r="FIR71" s="486"/>
      <c r="FIS71" s="486"/>
      <c r="FIT71" s="486"/>
      <c r="FIU71" s="486"/>
      <c r="FIV71" s="486"/>
      <c r="FIW71" s="486"/>
      <c r="FIX71" s="486"/>
      <c r="FIY71" s="486"/>
      <c r="FIZ71" s="486"/>
      <c r="FJA71" s="486"/>
      <c r="FJB71" s="486"/>
      <c r="FJC71" s="486"/>
      <c r="FJD71" s="486"/>
      <c r="FJE71" s="487"/>
      <c r="FJF71" s="486"/>
      <c r="FJG71" s="486"/>
      <c r="FJH71" s="486"/>
      <c r="FJI71" s="486"/>
      <c r="FJJ71" s="486"/>
      <c r="FJK71" s="486"/>
      <c r="FJL71" s="486"/>
      <c r="FJM71" s="486"/>
      <c r="FJN71" s="486"/>
      <c r="FJO71" s="486"/>
      <c r="FJP71" s="486"/>
      <c r="FJQ71" s="486"/>
      <c r="FJR71" s="486"/>
      <c r="FJS71" s="486"/>
      <c r="FJT71" s="486"/>
      <c r="FJU71" s="486"/>
      <c r="FJV71" s="486"/>
      <c r="FJW71" s="486"/>
      <c r="FJX71" s="486"/>
      <c r="FJY71" s="486"/>
      <c r="FJZ71" s="486"/>
      <c r="FKA71" s="486"/>
      <c r="FKB71" s="486"/>
      <c r="FKC71" s="486"/>
      <c r="FKD71" s="486"/>
      <c r="FKE71" s="486"/>
      <c r="FKF71" s="486"/>
      <c r="FKG71" s="486"/>
      <c r="FKH71" s="487"/>
      <c r="FKI71" s="486"/>
      <c r="FKJ71" s="486"/>
      <c r="FKK71" s="486"/>
      <c r="FKL71" s="486"/>
      <c r="FKM71" s="486"/>
      <c r="FKN71" s="486"/>
      <c r="FKO71" s="486"/>
      <c r="FKP71" s="486"/>
      <c r="FKQ71" s="486"/>
      <c r="FKR71" s="486"/>
      <c r="FKS71" s="486"/>
      <c r="FKT71" s="486"/>
      <c r="FKU71" s="486"/>
      <c r="FKV71" s="486"/>
      <c r="FKW71" s="486"/>
      <c r="FKX71" s="486"/>
      <c r="FKY71" s="486"/>
      <c r="FKZ71" s="486"/>
      <c r="FLA71" s="486"/>
      <c r="FLB71" s="486"/>
      <c r="FLC71" s="486"/>
      <c r="FLD71" s="486"/>
      <c r="FLE71" s="486"/>
      <c r="FLF71" s="486"/>
      <c r="FLG71" s="486"/>
      <c r="FLH71" s="486"/>
      <c r="FLI71" s="486"/>
      <c r="FLJ71" s="486"/>
      <c r="FLK71" s="487"/>
      <c r="FLL71" s="486"/>
      <c r="FLM71" s="486"/>
      <c r="FLN71" s="486"/>
      <c r="FLO71" s="486"/>
      <c r="FLP71" s="486"/>
      <c r="FLQ71" s="486"/>
      <c r="FLR71" s="486"/>
      <c r="FLS71" s="486"/>
      <c r="FLT71" s="486"/>
      <c r="FLU71" s="486"/>
      <c r="FLV71" s="486"/>
      <c r="FLW71" s="486"/>
      <c r="FLX71" s="486"/>
      <c r="FLY71" s="486"/>
      <c r="FLZ71" s="486"/>
      <c r="FMA71" s="486"/>
      <c r="FMB71" s="486"/>
      <c r="FMC71" s="486"/>
      <c r="FMD71" s="486"/>
      <c r="FME71" s="486"/>
      <c r="FMF71" s="486"/>
      <c r="FMG71" s="486"/>
      <c r="FMH71" s="486"/>
      <c r="FMI71" s="486"/>
      <c r="FMJ71" s="486"/>
      <c r="FMK71" s="486"/>
      <c r="FML71" s="486"/>
      <c r="FMM71" s="486"/>
      <c r="FMN71" s="487"/>
      <c r="FMO71" s="486"/>
      <c r="FMP71" s="486"/>
      <c r="FMQ71" s="486"/>
      <c r="FMR71" s="486"/>
      <c r="FMS71" s="486"/>
      <c r="FMT71" s="486"/>
      <c r="FMU71" s="486"/>
      <c r="FMV71" s="486"/>
      <c r="FMW71" s="486"/>
      <c r="FMX71" s="486"/>
      <c r="FMY71" s="486"/>
      <c r="FMZ71" s="486"/>
      <c r="FNA71" s="486"/>
      <c r="FNB71" s="486"/>
      <c r="FNC71" s="486"/>
      <c r="FND71" s="486"/>
      <c r="FNE71" s="486"/>
      <c r="FNF71" s="486"/>
      <c r="FNG71" s="486"/>
      <c r="FNH71" s="486"/>
      <c r="FNI71" s="486"/>
      <c r="FNJ71" s="486"/>
      <c r="FNK71" s="486"/>
      <c r="FNL71" s="486"/>
      <c r="FNM71" s="486"/>
      <c r="FNN71" s="486"/>
      <c r="FNO71" s="486"/>
      <c r="FNP71" s="486"/>
      <c r="FNQ71" s="487"/>
      <c r="FNR71" s="486"/>
      <c r="FNS71" s="486"/>
      <c r="FNT71" s="486"/>
      <c r="FNU71" s="486"/>
      <c r="FNV71" s="486"/>
      <c r="FNW71" s="486"/>
      <c r="FNX71" s="486"/>
      <c r="FNY71" s="486"/>
      <c r="FNZ71" s="486"/>
      <c r="FOA71" s="486"/>
      <c r="FOB71" s="486"/>
      <c r="FOC71" s="486"/>
      <c r="FOD71" s="486"/>
      <c r="FOE71" s="486"/>
      <c r="FOF71" s="486"/>
      <c r="FOG71" s="486"/>
      <c r="FOH71" s="486"/>
      <c r="FOI71" s="486"/>
      <c r="FOJ71" s="486"/>
      <c r="FOK71" s="486"/>
      <c r="FOL71" s="486"/>
      <c r="FOM71" s="486"/>
      <c r="FON71" s="486"/>
      <c r="FOO71" s="486"/>
      <c r="FOP71" s="486"/>
      <c r="FOQ71" s="486"/>
      <c r="FOR71" s="486"/>
      <c r="FOS71" s="486"/>
      <c r="FOT71" s="487"/>
      <c r="FOU71" s="486"/>
      <c r="FOV71" s="486"/>
      <c r="FOW71" s="486"/>
      <c r="FOX71" s="486"/>
      <c r="FOY71" s="486"/>
      <c r="FOZ71" s="486"/>
      <c r="FPA71" s="486"/>
      <c r="FPB71" s="486"/>
      <c r="FPC71" s="486"/>
      <c r="FPD71" s="486"/>
      <c r="FPE71" s="486"/>
      <c r="FPF71" s="486"/>
      <c r="FPG71" s="486"/>
      <c r="FPH71" s="486"/>
      <c r="FPI71" s="486"/>
      <c r="FPJ71" s="486"/>
      <c r="FPK71" s="486"/>
      <c r="FPL71" s="486"/>
      <c r="FPM71" s="486"/>
      <c r="FPN71" s="486"/>
      <c r="FPO71" s="486"/>
      <c r="FPP71" s="486"/>
      <c r="FPQ71" s="486"/>
      <c r="FPR71" s="486"/>
      <c r="FPS71" s="486"/>
      <c r="FPT71" s="486"/>
      <c r="FPU71" s="486"/>
      <c r="FPV71" s="486"/>
      <c r="FPW71" s="487"/>
      <c r="FPX71" s="486"/>
      <c r="FPY71" s="486"/>
      <c r="FPZ71" s="486"/>
      <c r="FQA71" s="486"/>
      <c r="FQB71" s="486"/>
      <c r="FQC71" s="486"/>
      <c r="FQD71" s="486"/>
      <c r="FQE71" s="486"/>
      <c r="FQF71" s="486"/>
      <c r="FQG71" s="486"/>
      <c r="FQH71" s="486"/>
      <c r="FQI71" s="486"/>
      <c r="FQJ71" s="486"/>
      <c r="FQK71" s="486"/>
      <c r="FQL71" s="486"/>
      <c r="FQM71" s="486"/>
      <c r="FQN71" s="486"/>
      <c r="FQO71" s="486"/>
      <c r="FQP71" s="486"/>
      <c r="FQQ71" s="486"/>
      <c r="FQR71" s="486"/>
      <c r="FQS71" s="486"/>
      <c r="FQT71" s="486"/>
      <c r="FQU71" s="486"/>
      <c r="FQV71" s="486"/>
      <c r="FQW71" s="486"/>
      <c r="FQX71" s="486"/>
      <c r="FQY71" s="486"/>
      <c r="FQZ71" s="487"/>
      <c r="FRA71" s="486"/>
      <c r="FRB71" s="486"/>
      <c r="FRC71" s="486"/>
      <c r="FRD71" s="486"/>
      <c r="FRE71" s="486"/>
      <c r="FRF71" s="486"/>
      <c r="FRG71" s="486"/>
      <c r="FRH71" s="486"/>
      <c r="FRI71" s="486"/>
      <c r="FRJ71" s="486"/>
      <c r="FRK71" s="486"/>
      <c r="FRL71" s="486"/>
      <c r="FRM71" s="486"/>
      <c r="FRN71" s="486"/>
      <c r="FRO71" s="486"/>
      <c r="FRP71" s="486"/>
      <c r="FRQ71" s="486"/>
      <c r="FRR71" s="486"/>
      <c r="FRS71" s="486"/>
      <c r="FRT71" s="486"/>
      <c r="FRU71" s="486"/>
      <c r="FRV71" s="486"/>
      <c r="FRW71" s="486"/>
      <c r="FRX71" s="486"/>
      <c r="FRY71" s="486"/>
      <c r="FRZ71" s="486"/>
      <c r="FSA71" s="486"/>
      <c r="FSB71" s="486"/>
      <c r="FSC71" s="487"/>
      <c r="FSD71" s="486"/>
      <c r="FSE71" s="486"/>
      <c r="FSF71" s="486"/>
      <c r="FSG71" s="486"/>
      <c r="FSH71" s="486"/>
      <c r="FSI71" s="486"/>
      <c r="FSJ71" s="486"/>
      <c r="FSK71" s="486"/>
      <c r="FSL71" s="486"/>
      <c r="FSM71" s="486"/>
      <c r="FSN71" s="486"/>
      <c r="FSO71" s="486"/>
      <c r="FSP71" s="486"/>
      <c r="FSQ71" s="486"/>
      <c r="FSR71" s="486"/>
      <c r="FSS71" s="486"/>
      <c r="FST71" s="486"/>
      <c r="FSU71" s="486"/>
      <c r="FSV71" s="486"/>
      <c r="FSW71" s="486"/>
      <c r="FSX71" s="486"/>
      <c r="FSY71" s="486"/>
      <c r="FSZ71" s="486"/>
      <c r="FTA71" s="486"/>
      <c r="FTB71" s="486"/>
      <c r="FTC71" s="486"/>
      <c r="FTD71" s="486"/>
      <c r="FTE71" s="486"/>
      <c r="FTF71" s="487"/>
      <c r="FTG71" s="486"/>
      <c r="FTH71" s="486"/>
      <c r="FTI71" s="486"/>
      <c r="FTJ71" s="486"/>
      <c r="FTK71" s="486"/>
      <c r="FTL71" s="486"/>
      <c r="FTM71" s="486"/>
      <c r="FTN71" s="486"/>
      <c r="FTO71" s="486"/>
      <c r="FTP71" s="486"/>
      <c r="FTQ71" s="486"/>
      <c r="FTR71" s="486"/>
      <c r="FTS71" s="486"/>
      <c r="FTT71" s="486"/>
      <c r="FTU71" s="486"/>
      <c r="FTV71" s="486"/>
      <c r="FTW71" s="486"/>
      <c r="FTX71" s="486"/>
      <c r="FTY71" s="486"/>
      <c r="FTZ71" s="486"/>
      <c r="FUA71" s="486"/>
      <c r="FUB71" s="486"/>
      <c r="FUC71" s="486"/>
      <c r="FUD71" s="486"/>
      <c r="FUE71" s="486"/>
      <c r="FUF71" s="486"/>
      <c r="FUG71" s="486"/>
      <c r="FUH71" s="486"/>
      <c r="FUI71" s="487"/>
      <c r="FUJ71" s="486"/>
      <c r="FUK71" s="486"/>
      <c r="FUL71" s="486"/>
      <c r="FUM71" s="486"/>
      <c r="FUN71" s="486"/>
      <c r="FUO71" s="486"/>
      <c r="FUP71" s="486"/>
      <c r="FUQ71" s="486"/>
      <c r="FUR71" s="486"/>
      <c r="FUS71" s="486"/>
      <c r="FUT71" s="486"/>
      <c r="FUU71" s="486"/>
      <c r="FUV71" s="486"/>
      <c r="FUW71" s="486"/>
      <c r="FUX71" s="486"/>
      <c r="FUY71" s="486"/>
      <c r="FUZ71" s="486"/>
      <c r="FVA71" s="486"/>
      <c r="FVB71" s="486"/>
      <c r="FVC71" s="486"/>
      <c r="FVD71" s="486"/>
      <c r="FVE71" s="486"/>
      <c r="FVF71" s="486"/>
      <c r="FVG71" s="486"/>
      <c r="FVH71" s="486"/>
      <c r="FVI71" s="486"/>
      <c r="FVJ71" s="486"/>
      <c r="FVK71" s="486"/>
      <c r="FVL71" s="487"/>
      <c r="FVM71" s="486"/>
      <c r="FVN71" s="486"/>
      <c r="FVO71" s="486"/>
      <c r="FVP71" s="486"/>
      <c r="FVQ71" s="486"/>
      <c r="FVR71" s="486"/>
      <c r="FVS71" s="486"/>
      <c r="FVT71" s="486"/>
      <c r="FVU71" s="486"/>
      <c r="FVV71" s="486"/>
      <c r="FVW71" s="486"/>
      <c r="FVX71" s="486"/>
      <c r="FVY71" s="486"/>
      <c r="FVZ71" s="486"/>
      <c r="FWA71" s="486"/>
      <c r="FWB71" s="486"/>
      <c r="FWC71" s="486"/>
      <c r="FWD71" s="486"/>
      <c r="FWE71" s="486"/>
      <c r="FWF71" s="486"/>
      <c r="FWG71" s="486"/>
      <c r="FWH71" s="486"/>
      <c r="FWI71" s="486"/>
      <c r="FWJ71" s="486"/>
      <c r="FWK71" s="486"/>
      <c r="FWL71" s="486"/>
      <c r="FWM71" s="486"/>
      <c r="FWN71" s="486"/>
      <c r="FWO71" s="487"/>
      <c r="FWP71" s="486"/>
      <c r="FWQ71" s="486"/>
      <c r="FWR71" s="486"/>
      <c r="FWS71" s="486"/>
      <c r="FWT71" s="486"/>
      <c r="FWU71" s="486"/>
      <c r="FWV71" s="486"/>
      <c r="FWW71" s="486"/>
      <c r="FWX71" s="486"/>
      <c r="FWY71" s="486"/>
      <c r="FWZ71" s="486"/>
      <c r="FXA71" s="486"/>
      <c r="FXB71" s="486"/>
      <c r="FXC71" s="486"/>
      <c r="FXD71" s="486"/>
      <c r="FXE71" s="486"/>
      <c r="FXF71" s="486"/>
      <c r="FXG71" s="486"/>
      <c r="FXH71" s="486"/>
      <c r="FXI71" s="486"/>
      <c r="FXJ71" s="486"/>
      <c r="FXK71" s="486"/>
      <c r="FXL71" s="486"/>
      <c r="FXM71" s="486"/>
      <c r="FXN71" s="486"/>
      <c r="FXO71" s="486"/>
      <c r="FXP71" s="486"/>
      <c r="FXQ71" s="486"/>
      <c r="FXR71" s="487"/>
      <c r="FXS71" s="486"/>
      <c r="FXT71" s="486"/>
      <c r="FXU71" s="486"/>
      <c r="FXV71" s="486"/>
      <c r="FXW71" s="486"/>
      <c r="FXX71" s="486"/>
      <c r="FXY71" s="486"/>
      <c r="FXZ71" s="486"/>
      <c r="FYA71" s="486"/>
      <c r="FYB71" s="486"/>
      <c r="FYC71" s="486"/>
      <c r="FYD71" s="486"/>
      <c r="FYE71" s="486"/>
      <c r="FYF71" s="486"/>
      <c r="FYG71" s="486"/>
      <c r="FYH71" s="486"/>
      <c r="FYI71" s="486"/>
      <c r="FYJ71" s="486"/>
      <c r="FYK71" s="486"/>
      <c r="FYL71" s="486"/>
      <c r="FYM71" s="486"/>
      <c r="FYN71" s="486"/>
      <c r="FYO71" s="486"/>
      <c r="FYP71" s="486"/>
      <c r="FYQ71" s="486"/>
      <c r="FYR71" s="486"/>
      <c r="FYS71" s="486"/>
      <c r="FYT71" s="486"/>
      <c r="FYU71" s="487"/>
      <c r="FYV71" s="486"/>
      <c r="FYW71" s="486"/>
      <c r="FYX71" s="486"/>
      <c r="FYY71" s="486"/>
      <c r="FYZ71" s="486"/>
      <c r="FZA71" s="486"/>
      <c r="FZB71" s="486"/>
      <c r="FZC71" s="486"/>
      <c r="FZD71" s="486"/>
      <c r="FZE71" s="486"/>
      <c r="FZF71" s="486"/>
      <c r="FZG71" s="486"/>
      <c r="FZH71" s="486"/>
      <c r="FZI71" s="486"/>
      <c r="FZJ71" s="486"/>
      <c r="FZK71" s="486"/>
      <c r="FZL71" s="486"/>
      <c r="FZM71" s="486"/>
      <c r="FZN71" s="486"/>
      <c r="FZO71" s="486"/>
      <c r="FZP71" s="486"/>
      <c r="FZQ71" s="486"/>
      <c r="FZR71" s="486"/>
      <c r="FZS71" s="486"/>
      <c r="FZT71" s="486"/>
      <c r="FZU71" s="486"/>
      <c r="FZV71" s="486"/>
      <c r="FZW71" s="486"/>
      <c r="FZX71" s="487"/>
      <c r="FZY71" s="486"/>
      <c r="FZZ71" s="486"/>
      <c r="GAA71" s="486"/>
      <c r="GAB71" s="486"/>
      <c r="GAC71" s="486"/>
      <c r="GAD71" s="486"/>
      <c r="GAE71" s="486"/>
      <c r="GAF71" s="486"/>
      <c r="GAG71" s="486"/>
      <c r="GAH71" s="486"/>
      <c r="GAI71" s="486"/>
      <c r="GAJ71" s="486"/>
      <c r="GAK71" s="486"/>
      <c r="GAL71" s="486"/>
      <c r="GAM71" s="486"/>
      <c r="GAN71" s="486"/>
      <c r="GAO71" s="486"/>
      <c r="GAP71" s="486"/>
      <c r="GAQ71" s="486"/>
      <c r="GAR71" s="486"/>
      <c r="GAS71" s="486"/>
      <c r="GAT71" s="486"/>
      <c r="GAU71" s="486"/>
      <c r="GAV71" s="486"/>
      <c r="GAW71" s="486"/>
      <c r="GAX71" s="486"/>
      <c r="GAY71" s="486"/>
      <c r="GAZ71" s="486"/>
      <c r="GBA71" s="487"/>
      <c r="GBB71" s="486"/>
      <c r="GBC71" s="486"/>
      <c r="GBD71" s="486"/>
      <c r="GBE71" s="486"/>
      <c r="GBF71" s="486"/>
      <c r="GBG71" s="486"/>
      <c r="GBH71" s="486"/>
      <c r="GBI71" s="486"/>
      <c r="GBJ71" s="486"/>
      <c r="GBK71" s="486"/>
      <c r="GBL71" s="486"/>
      <c r="GBM71" s="486"/>
      <c r="GBN71" s="486"/>
      <c r="GBO71" s="486"/>
      <c r="GBP71" s="486"/>
      <c r="GBQ71" s="486"/>
      <c r="GBR71" s="486"/>
      <c r="GBS71" s="486"/>
      <c r="GBT71" s="486"/>
      <c r="GBU71" s="486"/>
      <c r="GBV71" s="486"/>
      <c r="GBW71" s="486"/>
      <c r="GBX71" s="486"/>
      <c r="GBY71" s="486"/>
      <c r="GBZ71" s="486"/>
      <c r="GCA71" s="486"/>
      <c r="GCB71" s="486"/>
      <c r="GCC71" s="486"/>
      <c r="GCD71" s="487"/>
      <c r="GCE71" s="486"/>
      <c r="GCF71" s="486"/>
      <c r="GCG71" s="486"/>
      <c r="GCH71" s="486"/>
      <c r="GCI71" s="486"/>
      <c r="GCJ71" s="486"/>
      <c r="GCK71" s="486"/>
      <c r="GCL71" s="486"/>
      <c r="GCM71" s="486"/>
      <c r="GCN71" s="486"/>
      <c r="GCO71" s="486"/>
      <c r="GCP71" s="486"/>
      <c r="GCQ71" s="486"/>
      <c r="GCR71" s="486"/>
      <c r="GCS71" s="486"/>
      <c r="GCT71" s="486"/>
      <c r="GCU71" s="486"/>
      <c r="GCV71" s="486"/>
      <c r="GCW71" s="486"/>
      <c r="GCX71" s="486"/>
      <c r="GCY71" s="486"/>
      <c r="GCZ71" s="486"/>
      <c r="GDA71" s="486"/>
      <c r="GDB71" s="486"/>
      <c r="GDC71" s="486"/>
      <c r="GDD71" s="486"/>
      <c r="GDE71" s="486"/>
      <c r="GDF71" s="486"/>
      <c r="GDG71" s="487"/>
      <c r="GDH71" s="486"/>
      <c r="GDI71" s="486"/>
      <c r="GDJ71" s="486"/>
      <c r="GDK71" s="486"/>
      <c r="GDL71" s="486"/>
      <c r="GDM71" s="486"/>
      <c r="GDN71" s="486"/>
      <c r="GDO71" s="486"/>
      <c r="GDP71" s="486"/>
      <c r="GDQ71" s="486"/>
      <c r="GDR71" s="486"/>
      <c r="GDS71" s="486"/>
      <c r="GDT71" s="486"/>
      <c r="GDU71" s="486"/>
      <c r="GDV71" s="486"/>
      <c r="GDW71" s="486"/>
      <c r="GDX71" s="486"/>
      <c r="GDY71" s="486"/>
      <c r="GDZ71" s="486"/>
      <c r="GEA71" s="486"/>
      <c r="GEB71" s="486"/>
      <c r="GEC71" s="486"/>
      <c r="GED71" s="486"/>
      <c r="GEE71" s="486"/>
      <c r="GEF71" s="486"/>
      <c r="GEG71" s="486"/>
      <c r="GEH71" s="486"/>
      <c r="GEI71" s="486"/>
      <c r="GEJ71" s="487"/>
      <c r="GEK71" s="486"/>
      <c r="GEL71" s="486"/>
      <c r="GEM71" s="486"/>
      <c r="GEN71" s="486"/>
      <c r="GEO71" s="486"/>
      <c r="GEP71" s="486"/>
      <c r="GEQ71" s="486"/>
      <c r="GER71" s="486"/>
      <c r="GES71" s="486"/>
      <c r="GET71" s="486"/>
      <c r="GEU71" s="486"/>
      <c r="GEV71" s="486"/>
      <c r="GEW71" s="486"/>
      <c r="GEX71" s="486"/>
      <c r="GEY71" s="486"/>
      <c r="GEZ71" s="486"/>
      <c r="GFA71" s="486"/>
      <c r="GFB71" s="486"/>
      <c r="GFC71" s="486"/>
      <c r="GFD71" s="486"/>
      <c r="GFE71" s="486"/>
      <c r="GFF71" s="486"/>
      <c r="GFG71" s="486"/>
      <c r="GFH71" s="486"/>
      <c r="GFI71" s="486"/>
      <c r="GFJ71" s="486"/>
      <c r="GFK71" s="486"/>
      <c r="GFL71" s="486"/>
      <c r="GFM71" s="487"/>
      <c r="GFN71" s="486"/>
      <c r="GFO71" s="486"/>
      <c r="GFP71" s="486"/>
      <c r="GFQ71" s="486"/>
      <c r="GFR71" s="486"/>
      <c r="GFS71" s="486"/>
      <c r="GFT71" s="486"/>
      <c r="GFU71" s="486"/>
      <c r="GFV71" s="486"/>
      <c r="GFW71" s="486"/>
      <c r="GFX71" s="486"/>
      <c r="GFY71" s="486"/>
      <c r="GFZ71" s="486"/>
      <c r="GGA71" s="486"/>
      <c r="GGB71" s="486"/>
      <c r="GGC71" s="486"/>
      <c r="GGD71" s="486"/>
      <c r="GGE71" s="486"/>
      <c r="GGF71" s="486"/>
      <c r="GGG71" s="486"/>
      <c r="GGH71" s="486"/>
      <c r="GGI71" s="486"/>
      <c r="GGJ71" s="486"/>
      <c r="GGK71" s="486"/>
      <c r="GGL71" s="486"/>
      <c r="GGM71" s="486"/>
      <c r="GGN71" s="486"/>
      <c r="GGO71" s="486"/>
      <c r="GGP71" s="487"/>
      <c r="GGQ71" s="486"/>
      <c r="GGR71" s="486"/>
      <c r="GGS71" s="486"/>
      <c r="GGT71" s="486"/>
      <c r="GGU71" s="486"/>
      <c r="GGV71" s="486"/>
      <c r="GGW71" s="486"/>
      <c r="GGX71" s="486"/>
      <c r="GGY71" s="486"/>
      <c r="GGZ71" s="486"/>
      <c r="GHA71" s="486"/>
      <c r="GHB71" s="486"/>
      <c r="GHC71" s="486"/>
      <c r="GHD71" s="486"/>
      <c r="GHE71" s="486"/>
      <c r="GHF71" s="486"/>
      <c r="GHG71" s="486"/>
      <c r="GHH71" s="486"/>
      <c r="GHI71" s="486"/>
      <c r="GHJ71" s="486"/>
      <c r="GHK71" s="486"/>
      <c r="GHL71" s="486"/>
      <c r="GHM71" s="486"/>
      <c r="GHN71" s="486"/>
      <c r="GHO71" s="486"/>
      <c r="GHP71" s="486"/>
      <c r="GHQ71" s="486"/>
      <c r="GHR71" s="486"/>
      <c r="GHS71" s="487"/>
      <c r="GHT71" s="486"/>
      <c r="GHU71" s="486"/>
      <c r="GHV71" s="486"/>
      <c r="GHW71" s="486"/>
      <c r="GHX71" s="486"/>
      <c r="GHY71" s="486"/>
      <c r="GHZ71" s="486"/>
      <c r="GIA71" s="486"/>
      <c r="GIB71" s="486"/>
      <c r="GIC71" s="486"/>
      <c r="GID71" s="486"/>
      <c r="GIE71" s="486"/>
      <c r="GIF71" s="486"/>
      <c r="GIG71" s="486"/>
      <c r="GIH71" s="486"/>
      <c r="GII71" s="486"/>
      <c r="GIJ71" s="486"/>
      <c r="GIK71" s="486"/>
      <c r="GIL71" s="486"/>
      <c r="GIM71" s="486"/>
      <c r="GIN71" s="486"/>
      <c r="GIO71" s="486"/>
      <c r="GIP71" s="486"/>
      <c r="GIQ71" s="486"/>
      <c r="GIR71" s="486"/>
      <c r="GIS71" s="486"/>
      <c r="GIT71" s="486"/>
      <c r="GIU71" s="486"/>
      <c r="GIV71" s="487"/>
      <c r="GIW71" s="486"/>
      <c r="GIX71" s="486"/>
      <c r="GIY71" s="486"/>
      <c r="GIZ71" s="486"/>
      <c r="GJA71" s="486"/>
      <c r="GJB71" s="486"/>
      <c r="GJC71" s="486"/>
      <c r="GJD71" s="486"/>
      <c r="GJE71" s="486"/>
      <c r="GJF71" s="486"/>
      <c r="GJG71" s="486"/>
      <c r="GJH71" s="486"/>
      <c r="GJI71" s="486"/>
      <c r="GJJ71" s="486"/>
      <c r="GJK71" s="486"/>
      <c r="GJL71" s="486"/>
      <c r="GJM71" s="486"/>
      <c r="GJN71" s="486"/>
      <c r="GJO71" s="486"/>
      <c r="GJP71" s="486"/>
      <c r="GJQ71" s="486"/>
      <c r="GJR71" s="486"/>
      <c r="GJS71" s="486"/>
      <c r="GJT71" s="486"/>
      <c r="GJU71" s="486"/>
      <c r="GJV71" s="486"/>
      <c r="GJW71" s="486"/>
      <c r="GJX71" s="486"/>
      <c r="GJY71" s="487"/>
      <c r="GJZ71" s="486"/>
      <c r="GKA71" s="486"/>
      <c r="GKB71" s="486"/>
      <c r="GKC71" s="486"/>
      <c r="GKD71" s="486"/>
      <c r="GKE71" s="486"/>
      <c r="GKF71" s="486"/>
      <c r="GKG71" s="486"/>
      <c r="GKH71" s="486"/>
      <c r="GKI71" s="486"/>
      <c r="GKJ71" s="486"/>
      <c r="GKK71" s="486"/>
      <c r="GKL71" s="486"/>
      <c r="GKM71" s="486"/>
      <c r="GKN71" s="486"/>
      <c r="GKO71" s="486"/>
      <c r="GKP71" s="486"/>
      <c r="GKQ71" s="486"/>
      <c r="GKR71" s="486"/>
      <c r="GKS71" s="486"/>
      <c r="GKT71" s="486"/>
      <c r="GKU71" s="486"/>
      <c r="GKV71" s="486"/>
      <c r="GKW71" s="486"/>
      <c r="GKX71" s="486"/>
      <c r="GKY71" s="486"/>
      <c r="GKZ71" s="486"/>
      <c r="GLA71" s="486"/>
      <c r="GLB71" s="487"/>
      <c r="GLC71" s="486"/>
      <c r="GLD71" s="486"/>
      <c r="GLE71" s="486"/>
      <c r="GLF71" s="486"/>
      <c r="GLG71" s="486"/>
      <c r="GLH71" s="486"/>
      <c r="GLI71" s="486"/>
      <c r="GLJ71" s="486"/>
      <c r="GLK71" s="486"/>
      <c r="GLL71" s="486"/>
      <c r="GLM71" s="486"/>
      <c r="GLN71" s="486"/>
      <c r="GLO71" s="486"/>
      <c r="GLP71" s="486"/>
      <c r="GLQ71" s="486"/>
      <c r="GLR71" s="486"/>
      <c r="GLS71" s="486"/>
      <c r="GLT71" s="486"/>
      <c r="GLU71" s="486"/>
      <c r="GLV71" s="486"/>
      <c r="GLW71" s="486"/>
      <c r="GLX71" s="486"/>
      <c r="GLY71" s="486"/>
      <c r="GLZ71" s="486"/>
      <c r="GMA71" s="486"/>
      <c r="GMB71" s="486"/>
      <c r="GMC71" s="486"/>
      <c r="GMD71" s="486"/>
      <c r="GME71" s="487"/>
      <c r="GMF71" s="486"/>
      <c r="GMG71" s="486"/>
      <c r="GMH71" s="486"/>
      <c r="GMI71" s="486"/>
      <c r="GMJ71" s="486"/>
      <c r="GMK71" s="486"/>
      <c r="GML71" s="486"/>
      <c r="GMM71" s="486"/>
      <c r="GMN71" s="486"/>
      <c r="GMO71" s="486"/>
      <c r="GMP71" s="486"/>
      <c r="GMQ71" s="486"/>
      <c r="GMR71" s="486"/>
      <c r="GMS71" s="486"/>
      <c r="GMT71" s="486"/>
      <c r="GMU71" s="486"/>
      <c r="GMV71" s="486"/>
      <c r="GMW71" s="486"/>
      <c r="GMX71" s="486"/>
      <c r="GMY71" s="486"/>
      <c r="GMZ71" s="486"/>
      <c r="GNA71" s="486"/>
      <c r="GNB71" s="486"/>
      <c r="GNC71" s="486"/>
      <c r="GND71" s="486"/>
      <c r="GNE71" s="486"/>
      <c r="GNF71" s="486"/>
      <c r="GNG71" s="486"/>
      <c r="GNH71" s="487"/>
      <c r="GNI71" s="486"/>
      <c r="GNJ71" s="486"/>
      <c r="GNK71" s="486"/>
      <c r="GNL71" s="486"/>
      <c r="GNM71" s="486"/>
      <c r="GNN71" s="486"/>
      <c r="GNO71" s="486"/>
      <c r="GNP71" s="486"/>
      <c r="GNQ71" s="486"/>
      <c r="GNR71" s="486"/>
      <c r="GNS71" s="486"/>
      <c r="GNT71" s="486"/>
      <c r="GNU71" s="486"/>
      <c r="GNV71" s="486"/>
      <c r="GNW71" s="486"/>
      <c r="GNX71" s="486"/>
      <c r="GNY71" s="486"/>
      <c r="GNZ71" s="486"/>
      <c r="GOA71" s="486"/>
      <c r="GOB71" s="486"/>
      <c r="GOC71" s="486"/>
      <c r="GOD71" s="486"/>
      <c r="GOE71" s="486"/>
      <c r="GOF71" s="486"/>
      <c r="GOG71" s="486"/>
      <c r="GOH71" s="486"/>
      <c r="GOI71" s="486"/>
      <c r="GOJ71" s="486"/>
      <c r="GOK71" s="487"/>
      <c r="GOL71" s="486"/>
      <c r="GOM71" s="486"/>
      <c r="GON71" s="486"/>
      <c r="GOO71" s="486"/>
      <c r="GOP71" s="486"/>
      <c r="GOQ71" s="486"/>
      <c r="GOR71" s="486"/>
      <c r="GOS71" s="486"/>
      <c r="GOT71" s="486"/>
      <c r="GOU71" s="486"/>
      <c r="GOV71" s="486"/>
      <c r="GOW71" s="486"/>
      <c r="GOX71" s="486"/>
      <c r="GOY71" s="486"/>
      <c r="GOZ71" s="486"/>
      <c r="GPA71" s="486"/>
      <c r="GPB71" s="486"/>
      <c r="GPC71" s="486"/>
      <c r="GPD71" s="486"/>
      <c r="GPE71" s="486"/>
      <c r="GPF71" s="486"/>
      <c r="GPG71" s="486"/>
      <c r="GPH71" s="486"/>
      <c r="GPI71" s="486"/>
      <c r="GPJ71" s="486"/>
      <c r="GPK71" s="486"/>
      <c r="GPL71" s="486"/>
      <c r="GPM71" s="486"/>
      <c r="GPN71" s="487"/>
      <c r="GPO71" s="486"/>
      <c r="GPP71" s="486"/>
      <c r="GPQ71" s="486"/>
      <c r="GPR71" s="486"/>
      <c r="GPS71" s="486"/>
      <c r="GPT71" s="486"/>
      <c r="GPU71" s="486"/>
      <c r="GPV71" s="486"/>
      <c r="GPW71" s="486"/>
      <c r="GPX71" s="486"/>
      <c r="GPY71" s="486"/>
      <c r="GPZ71" s="486"/>
      <c r="GQA71" s="486"/>
      <c r="GQB71" s="486"/>
      <c r="GQC71" s="486"/>
      <c r="GQD71" s="486"/>
      <c r="GQE71" s="486"/>
      <c r="GQF71" s="486"/>
      <c r="GQG71" s="486"/>
      <c r="GQH71" s="486"/>
      <c r="GQI71" s="486"/>
      <c r="GQJ71" s="486"/>
      <c r="GQK71" s="486"/>
      <c r="GQL71" s="486"/>
      <c r="GQM71" s="486"/>
      <c r="GQN71" s="486"/>
      <c r="GQO71" s="486"/>
      <c r="GQP71" s="486"/>
      <c r="GQQ71" s="487"/>
      <c r="GQR71" s="486"/>
      <c r="GQS71" s="486"/>
      <c r="GQT71" s="486"/>
      <c r="GQU71" s="486"/>
      <c r="GQV71" s="486"/>
      <c r="GQW71" s="486"/>
      <c r="GQX71" s="486"/>
      <c r="GQY71" s="486"/>
      <c r="GQZ71" s="486"/>
      <c r="GRA71" s="486"/>
      <c r="GRB71" s="486"/>
      <c r="GRC71" s="486"/>
      <c r="GRD71" s="486"/>
      <c r="GRE71" s="486"/>
      <c r="GRF71" s="486"/>
      <c r="GRG71" s="486"/>
      <c r="GRH71" s="486"/>
      <c r="GRI71" s="486"/>
      <c r="GRJ71" s="486"/>
      <c r="GRK71" s="486"/>
      <c r="GRL71" s="486"/>
      <c r="GRM71" s="486"/>
      <c r="GRN71" s="486"/>
      <c r="GRO71" s="486"/>
      <c r="GRP71" s="486"/>
      <c r="GRQ71" s="486"/>
      <c r="GRR71" s="486"/>
      <c r="GRS71" s="486"/>
      <c r="GRT71" s="487"/>
      <c r="GRU71" s="486"/>
      <c r="GRV71" s="486"/>
      <c r="GRW71" s="486"/>
      <c r="GRX71" s="486"/>
      <c r="GRY71" s="486"/>
      <c r="GRZ71" s="486"/>
      <c r="GSA71" s="486"/>
      <c r="GSB71" s="486"/>
      <c r="GSC71" s="486"/>
      <c r="GSD71" s="486"/>
      <c r="GSE71" s="486"/>
      <c r="GSF71" s="486"/>
      <c r="GSG71" s="486"/>
      <c r="GSH71" s="486"/>
      <c r="GSI71" s="486"/>
      <c r="GSJ71" s="486"/>
      <c r="GSK71" s="486"/>
      <c r="GSL71" s="486"/>
      <c r="GSM71" s="486"/>
      <c r="GSN71" s="486"/>
      <c r="GSO71" s="486"/>
      <c r="GSP71" s="486"/>
      <c r="GSQ71" s="486"/>
      <c r="GSR71" s="486"/>
      <c r="GSS71" s="486"/>
      <c r="GST71" s="486"/>
      <c r="GSU71" s="486"/>
      <c r="GSV71" s="486"/>
      <c r="GSW71" s="487"/>
      <c r="GSX71" s="486"/>
      <c r="GSY71" s="486"/>
      <c r="GSZ71" s="486"/>
      <c r="GTA71" s="486"/>
      <c r="GTB71" s="486"/>
      <c r="GTC71" s="486"/>
      <c r="GTD71" s="486"/>
      <c r="GTE71" s="486"/>
      <c r="GTF71" s="486"/>
      <c r="GTG71" s="486"/>
      <c r="GTH71" s="486"/>
      <c r="GTI71" s="486"/>
      <c r="GTJ71" s="486"/>
      <c r="GTK71" s="486"/>
      <c r="GTL71" s="486"/>
      <c r="GTM71" s="486"/>
      <c r="GTN71" s="486"/>
      <c r="GTO71" s="486"/>
      <c r="GTP71" s="486"/>
      <c r="GTQ71" s="486"/>
      <c r="GTR71" s="486"/>
      <c r="GTS71" s="486"/>
      <c r="GTT71" s="486"/>
      <c r="GTU71" s="486"/>
      <c r="GTV71" s="486"/>
      <c r="GTW71" s="486"/>
      <c r="GTX71" s="486"/>
      <c r="GTY71" s="486"/>
      <c r="GTZ71" s="487"/>
      <c r="GUA71" s="486"/>
      <c r="GUB71" s="486"/>
      <c r="GUC71" s="486"/>
      <c r="GUD71" s="486"/>
      <c r="GUE71" s="486"/>
      <c r="GUF71" s="486"/>
      <c r="GUG71" s="486"/>
      <c r="GUH71" s="486"/>
      <c r="GUI71" s="486"/>
      <c r="GUJ71" s="486"/>
      <c r="GUK71" s="486"/>
      <c r="GUL71" s="486"/>
      <c r="GUM71" s="486"/>
      <c r="GUN71" s="486"/>
      <c r="GUO71" s="486"/>
      <c r="GUP71" s="486"/>
      <c r="GUQ71" s="486"/>
      <c r="GUR71" s="486"/>
      <c r="GUS71" s="486"/>
      <c r="GUT71" s="486"/>
      <c r="GUU71" s="486"/>
      <c r="GUV71" s="486"/>
      <c r="GUW71" s="486"/>
      <c r="GUX71" s="486"/>
      <c r="GUY71" s="486"/>
      <c r="GUZ71" s="486"/>
      <c r="GVA71" s="486"/>
      <c r="GVB71" s="486"/>
      <c r="GVC71" s="487"/>
      <c r="GVD71" s="486"/>
      <c r="GVE71" s="486"/>
      <c r="GVF71" s="486"/>
      <c r="GVG71" s="486"/>
      <c r="GVH71" s="486"/>
      <c r="GVI71" s="486"/>
      <c r="GVJ71" s="486"/>
      <c r="GVK71" s="486"/>
      <c r="GVL71" s="486"/>
      <c r="GVM71" s="486"/>
      <c r="GVN71" s="486"/>
      <c r="GVO71" s="486"/>
      <c r="GVP71" s="486"/>
      <c r="GVQ71" s="486"/>
      <c r="GVR71" s="486"/>
      <c r="GVS71" s="486"/>
      <c r="GVT71" s="486"/>
      <c r="GVU71" s="486"/>
      <c r="GVV71" s="486"/>
      <c r="GVW71" s="486"/>
      <c r="GVX71" s="486"/>
      <c r="GVY71" s="486"/>
      <c r="GVZ71" s="486"/>
      <c r="GWA71" s="486"/>
      <c r="GWB71" s="486"/>
      <c r="GWC71" s="486"/>
      <c r="GWD71" s="486"/>
      <c r="GWE71" s="486"/>
      <c r="GWF71" s="487"/>
      <c r="GWG71" s="486"/>
      <c r="GWH71" s="486"/>
      <c r="GWI71" s="486"/>
      <c r="GWJ71" s="486"/>
      <c r="GWK71" s="486"/>
      <c r="GWL71" s="486"/>
      <c r="GWM71" s="486"/>
      <c r="GWN71" s="486"/>
      <c r="GWO71" s="486"/>
      <c r="GWP71" s="486"/>
      <c r="GWQ71" s="486"/>
      <c r="GWR71" s="486"/>
      <c r="GWS71" s="486"/>
      <c r="GWT71" s="486"/>
      <c r="GWU71" s="486"/>
      <c r="GWV71" s="486"/>
      <c r="GWW71" s="486"/>
      <c r="GWX71" s="486"/>
      <c r="GWY71" s="486"/>
      <c r="GWZ71" s="486"/>
      <c r="GXA71" s="486"/>
      <c r="GXB71" s="486"/>
      <c r="GXC71" s="486"/>
      <c r="GXD71" s="486"/>
      <c r="GXE71" s="486"/>
      <c r="GXF71" s="486"/>
      <c r="GXG71" s="486"/>
      <c r="GXH71" s="486"/>
      <c r="GXI71" s="487"/>
      <c r="GXJ71" s="486"/>
      <c r="GXK71" s="486"/>
      <c r="GXL71" s="486"/>
      <c r="GXM71" s="486"/>
      <c r="GXN71" s="486"/>
      <c r="GXO71" s="486"/>
      <c r="GXP71" s="486"/>
      <c r="GXQ71" s="486"/>
      <c r="GXR71" s="486"/>
      <c r="GXS71" s="486"/>
      <c r="GXT71" s="486"/>
      <c r="GXU71" s="486"/>
      <c r="GXV71" s="486"/>
      <c r="GXW71" s="486"/>
      <c r="GXX71" s="486"/>
      <c r="GXY71" s="486"/>
      <c r="GXZ71" s="486"/>
      <c r="GYA71" s="486"/>
      <c r="GYB71" s="486"/>
      <c r="GYC71" s="486"/>
      <c r="GYD71" s="486"/>
      <c r="GYE71" s="486"/>
      <c r="GYF71" s="486"/>
      <c r="GYG71" s="486"/>
      <c r="GYH71" s="486"/>
      <c r="GYI71" s="486"/>
      <c r="GYJ71" s="486"/>
      <c r="GYK71" s="486"/>
      <c r="GYL71" s="487"/>
      <c r="GYM71" s="486"/>
      <c r="GYN71" s="486"/>
      <c r="GYO71" s="486"/>
      <c r="GYP71" s="486"/>
      <c r="GYQ71" s="486"/>
      <c r="GYR71" s="486"/>
      <c r="GYS71" s="486"/>
      <c r="GYT71" s="486"/>
      <c r="GYU71" s="486"/>
      <c r="GYV71" s="486"/>
      <c r="GYW71" s="486"/>
      <c r="GYX71" s="486"/>
      <c r="GYY71" s="486"/>
      <c r="GYZ71" s="486"/>
      <c r="GZA71" s="486"/>
      <c r="GZB71" s="486"/>
      <c r="GZC71" s="486"/>
      <c r="GZD71" s="486"/>
      <c r="GZE71" s="486"/>
      <c r="GZF71" s="486"/>
      <c r="GZG71" s="486"/>
      <c r="GZH71" s="486"/>
      <c r="GZI71" s="486"/>
      <c r="GZJ71" s="486"/>
      <c r="GZK71" s="486"/>
      <c r="GZL71" s="486"/>
      <c r="GZM71" s="486"/>
      <c r="GZN71" s="486"/>
      <c r="GZO71" s="487"/>
      <c r="GZP71" s="486"/>
      <c r="GZQ71" s="486"/>
      <c r="GZR71" s="486"/>
      <c r="GZS71" s="486"/>
      <c r="GZT71" s="486"/>
      <c r="GZU71" s="486"/>
      <c r="GZV71" s="486"/>
      <c r="GZW71" s="486"/>
      <c r="GZX71" s="486"/>
      <c r="GZY71" s="486"/>
      <c r="GZZ71" s="486"/>
      <c r="HAA71" s="486"/>
      <c r="HAB71" s="486"/>
      <c r="HAC71" s="486"/>
      <c r="HAD71" s="486"/>
      <c r="HAE71" s="486"/>
      <c r="HAF71" s="486"/>
      <c r="HAG71" s="486"/>
      <c r="HAH71" s="486"/>
      <c r="HAI71" s="486"/>
      <c r="HAJ71" s="486"/>
      <c r="HAK71" s="486"/>
      <c r="HAL71" s="486"/>
      <c r="HAM71" s="486"/>
      <c r="HAN71" s="486"/>
      <c r="HAO71" s="486"/>
      <c r="HAP71" s="486"/>
      <c r="HAQ71" s="486"/>
      <c r="HAR71" s="487"/>
      <c r="HAS71" s="486"/>
      <c r="HAT71" s="486"/>
      <c r="HAU71" s="486"/>
      <c r="HAV71" s="486"/>
      <c r="HAW71" s="486"/>
      <c r="HAX71" s="486"/>
      <c r="HAY71" s="486"/>
      <c r="HAZ71" s="486"/>
      <c r="HBA71" s="486"/>
      <c r="HBB71" s="486"/>
      <c r="HBC71" s="486"/>
      <c r="HBD71" s="486"/>
      <c r="HBE71" s="486"/>
      <c r="HBF71" s="486"/>
      <c r="HBG71" s="486"/>
      <c r="HBH71" s="486"/>
      <c r="HBI71" s="486"/>
      <c r="HBJ71" s="486"/>
      <c r="HBK71" s="486"/>
      <c r="HBL71" s="486"/>
      <c r="HBM71" s="486"/>
      <c r="HBN71" s="486"/>
      <c r="HBO71" s="486"/>
      <c r="HBP71" s="486"/>
      <c r="HBQ71" s="486"/>
      <c r="HBR71" s="486"/>
      <c r="HBS71" s="486"/>
      <c r="HBT71" s="486"/>
      <c r="HBU71" s="487"/>
      <c r="HBV71" s="486"/>
      <c r="HBW71" s="486"/>
      <c r="HBX71" s="486"/>
      <c r="HBY71" s="486"/>
      <c r="HBZ71" s="486"/>
      <c r="HCA71" s="486"/>
      <c r="HCB71" s="486"/>
      <c r="HCC71" s="486"/>
      <c r="HCD71" s="486"/>
      <c r="HCE71" s="486"/>
      <c r="HCF71" s="486"/>
      <c r="HCG71" s="486"/>
      <c r="HCH71" s="486"/>
      <c r="HCI71" s="486"/>
      <c r="HCJ71" s="486"/>
      <c r="HCK71" s="486"/>
      <c r="HCL71" s="486"/>
      <c r="HCM71" s="486"/>
      <c r="HCN71" s="486"/>
      <c r="HCO71" s="486"/>
      <c r="HCP71" s="486"/>
      <c r="HCQ71" s="486"/>
      <c r="HCR71" s="486"/>
      <c r="HCS71" s="486"/>
      <c r="HCT71" s="486"/>
      <c r="HCU71" s="486"/>
      <c r="HCV71" s="486"/>
      <c r="HCW71" s="486"/>
      <c r="HCX71" s="487"/>
      <c r="HCY71" s="486"/>
      <c r="HCZ71" s="486"/>
      <c r="HDA71" s="486"/>
      <c r="HDB71" s="486"/>
      <c r="HDC71" s="486"/>
      <c r="HDD71" s="486"/>
      <c r="HDE71" s="486"/>
      <c r="HDF71" s="486"/>
      <c r="HDG71" s="486"/>
      <c r="HDH71" s="486"/>
      <c r="HDI71" s="486"/>
      <c r="HDJ71" s="486"/>
      <c r="HDK71" s="486"/>
      <c r="HDL71" s="486"/>
      <c r="HDM71" s="486"/>
      <c r="HDN71" s="486"/>
      <c r="HDO71" s="486"/>
      <c r="HDP71" s="486"/>
      <c r="HDQ71" s="486"/>
      <c r="HDR71" s="486"/>
      <c r="HDS71" s="486"/>
      <c r="HDT71" s="486"/>
      <c r="HDU71" s="486"/>
      <c r="HDV71" s="486"/>
      <c r="HDW71" s="486"/>
      <c r="HDX71" s="486"/>
      <c r="HDY71" s="486"/>
      <c r="HDZ71" s="486"/>
      <c r="HEA71" s="487"/>
      <c r="HEB71" s="486"/>
      <c r="HEC71" s="486"/>
      <c r="HED71" s="486"/>
      <c r="HEE71" s="486"/>
      <c r="HEF71" s="486"/>
      <c r="HEG71" s="486"/>
      <c r="HEH71" s="486"/>
      <c r="HEI71" s="486"/>
      <c r="HEJ71" s="486"/>
      <c r="HEK71" s="486"/>
      <c r="HEL71" s="486"/>
      <c r="HEM71" s="486"/>
      <c r="HEN71" s="486"/>
      <c r="HEO71" s="486"/>
      <c r="HEP71" s="486"/>
      <c r="HEQ71" s="486"/>
      <c r="HER71" s="486"/>
      <c r="HES71" s="486"/>
      <c r="HET71" s="486"/>
      <c r="HEU71" s="486"/>
      <c r="HEV71" s="486"/>
      <c r="HEW71" s="486"/>
      <c r="HEX71" s="486"/>
      <c r="HEY71" s="486"/>
      <c r="HEZ71" s="486"/>
      <c r="HFA71" s="486"/>
      <c r="HFB71" s="486"/>
      <c r="HFC71" s="486"/>
      <c r="HFD71" s="487"/>
      <c r="HFE71" s="486"/>
      <c r="HFF71" s="486"/>
      <c r="HFG71" s="486"/>
      <c r="HFH71" s="486"/>
      <c r="HFI71" s="486"/>
      <c r="HFJ71" s="486"/>
      <c r="HFK71" s="486"/>
      <c r="HFL71" s="486"/>
      <c r="HFM71" s="486"/>
      <c r="HFN71" s="486"/>
      <c r="HFO71" s="486"/>
      <c r="HFP71" s="486"/>
      <c r="HFQ71" s="486"/>
      <c r="HFR71" s="486"/>
      <c r="HFS71" s="486"/>
      <c r="HFT71" s="486"/>
      <c r="HFU71" s="486"/>
      <c r="HFV71" s="486"/>
      <c r="HFW71" s="486"/>
      <c r="HFX71" s="486"/>
      <c r="HFY71" s="486"/>
      <c r="HFZ71" s="486"/>
      <c r="HGA71" s="486"/>
      <c r="HGB71" s="486"/>
      <c r="HGC71" s="486"/>
      <c r="HGD71" s="486"/>
      <c r="HGE71" s="486"/>
      <c r="HGF71" s="486"/>
      <c r="HGG71" s="487"/>
      <c r="HGH71" s="486"/>
      <c r="HGI71" s="486"/>
      <c r="HGJ71" s="486"/>
      <c r="HGK71" s="486"/>
      <c r="HGL71" s="486"/>
      <c r="HGM71" s="486"/>
      <c r="HGN71" s="486"/>
      <c r="HGO71" s="486"/>
      <c r="HGP71" s="486"/>
      <c r="HGQ71" s="486"/>
      <c r="HGR71" s="486"/>
      <c r="HGS71" s="486"/>
      <c r="HGT71" s="486"/>
      <c r="HGU71" s="486"/>
      <c r="HGV71" s="486"/>
      <c r="HGW71" s="486"/>
      <c r="HGX71" s="486"/>
      <c r="HGY71" s="486"/>
      <c r="HGZ71" s="486"/>
      <c r="HHA71" s="486"/>
      <c r="HHB71" s="486"/>
      <c r="HHC71" s="486"/>
      <c r="HHD71" s="486"/>
      <c r="HHE71" s="486"/>
      <c r="HHF71" s="486"/>
      <c r="HHG71" s="486"/>
      <c r="HHH71" s="486"/>
      <c r="HHI71" s="486"/>
      <c r="HHJ71" s="487"/>
      <c r="HHK71" s="486"/>
      <c r="HHL71" s="486"/>
      <c r="HHM71" s="486"/>
      <c r="HHN71" s="486"/>
      <c r="HHO71" s="486"/>
      <c r="HHP71" s="486"/>
      <c r="HHQ71" s="486"/>
      <c r="HHR71" s="486"/>
      <c r="HHS71" s="486"/>
      <c r="HHT71" s="486"/>
      <c r="HHU71" s="486"/>
      <c r="HHV71" s="486"/>
      <c r="HHW71" s="486"/>
      <c r="HHX71" s="486"/>
      <c r="HHY71" s="486"/>
      <c r="HHZ71" s="486"/>
      <c r="HIA71" s="486"/>
      <c r="HIB71" s="486"/>
      <c r="HIC71" s="486"/>
      <c r="HID71" s="486"/>
      <c r="HIE71" s="486"/>
      <c r="HIF71" s="486"/>
      <c r="HIG71" s="486"/>
      <c r="HIH71" s="486"/>
      <c r="HII71" s="486"/>
      <c r="HIJ71" s="486"/>
      <c r="HIK71" s="486"/>
      <c r="HIL71" s="486"/>
      <c r="HIM71" s="487"/>
      <c r="HIN71" s="486"/>
      <c r="HIO71" s="486"/>
      <c r="HIP71" s="486"/>
      <c r="HIQ71" s="486"/>
      <c r="HIR71" s="486"/>
      <c r="HIS71" s="486"/>
      <c r="HIT71" s="486"/>
      <c r="HIU71" s="486"/>
      <c r="HIV71" s="486"/>
      <c r="HIW71" s="486"/>
      <c r="HIX71" s="486"/>
      <c r="HIY71" s="486"/>
      <c r="HIZ71" s="486"/>
      <c r="HJA71" s="486"/>
      <c r="HJB71" s="486"/>
      <c r="HJC71" s="486"/>
      <c r="HJD71" s="486"/>
      <c r="HJE71" s="486"/>
      <c r="HJF71" s="486"/>
      <c r="HJG71" s="486"/>
      <c r="HJH71" s="486"/>
      <c r="HJI71" s="486"/>
      <c r="HJJ71" s="486"/>
      <c r="HJK71" s="486"/>
      <c r="HJL71" s="486"/>
      <c r="HJM71" s="486"/>
      <c r="HJN71" s="486"/>
      <c r="HJO71" s="486"/>
      <c r="HJP71" s="487"/>
      <c r="HJQ71" s="486"/>
      <c r="HJR71" s="486"/>
      <c r="HJS71" s="486"/>
      <c r="HJT71" s="486"/>
      <c r="HJU71" s="486"/>
      <c r="HJV71" s="486"/>
      <c r="HJW71" s="486"/>
      <c r="HJX71" s="486"/>
      <c r="HJY71" s="486"/>
      <c r="HJZ71" s="486"/>
      <c r="HKA71" s="486"/>
      <c r="HKB71" s="486"/>
      <c r="HKC71" s="486"/>
      <c r="HKD71" s="486"/>
      <c r="HKE71" s="486"/>
      <c r="HKF71" s="486"/>
      <c r="HKG71" s="486"/>
      <c r="HKH71" s="486"/>
      <c r="HKI71" s="486"/>
      <c r="HKJ71" s="486"/>
      <c r="HKK71" s="486"/>
      <c r="HKL71" s="486"/>
      <c r="HKM71" s="486"/>
      <c r="HKN71" s="486"/>
      <c r="HKO71" s="486"/>
      <c r="HKP71" s="486"/>
      <c r="HKQ71" s="486"/>
      <c r="HKR71" s="486"/>
      <c r="HKS71" s="487"/>
      <c r="HKT71" s="486"/>
      <c r="HKU71" s="486"/>
      <c r="HKV71" s="486"/>
      <c r="HKW71" s="486"/>
      <c r="HKX71" s="486"/>
      <c r="HKY71" s="486"/>
      <c r="HKZ71" s="486"/>
      <c r="HLA71" s="486"/>
      <c r="HLB71" s="486"/>
      <c r="HLC71" s="486"/>
      <c r="HLD71" s="486"/>
      <c r="HLE71" s="486"/>
      <c r="HLF71" s="486"/>
      <c r="HLG71" s="486"/>
      <c r="HLH71" s="486"/>
      <c r="HLI71" s="486"/>
      <c r="HLJ71" s="486"/>
      <c r="HLK71" s="486"/>
      <c r="HLL71" s="486"/>
      <c r="HLM71" s="486"/>
      <c r="HLN71" s="486"/>
      <c r="HLO71" s="486"/>
      <c r="HLP71" s="486"/>
      <c r="HLQ71" s="486"/>
      <c r="HLR71" s="486"/>
      <c r="HLS71" s="486"/>
      <c r="HLT71" s="486"/>
      <c r="HLU71" s="486"/>
      <c r="HLV71" s="487"/>
      <c r="HLW71" s="486"/>
      <c r="HLX71" s="486"/>
      <c r="HLY71" s="486"/>
      <c r="HLZ71" s="486"/>
      <c r="HMA71" s="486"/>
      <c r="HMB71" s="486"/>
      <c r="HMC71" s="486"/>
      <c r="HMD71" s="486"/>
      <c r="HME71" s="486"/>
      <c r="HMF71" s="486"/>
      <c r="HMG71" s="486"/>
      <c r="HMH71" s="486"/>
      <c r="HMI71" s="486"/>
      <c r="HMJ71" s="486"/>
      <c r="HMK71" s="486"/>
      <c r="HML71" s="486"/>
      <c r="HMM71" s="486"/>
      <c r="HMN71" s="486"/>
      <c r="HMO71" s="486"/>
      <c r="HMP71" s="486"/>
      <c r="HMQ71" s="486"/>
      <c r="HMR71" s="486"/>
      <c r="HMS71" s="486"/>
      <c r="HMT71" s="486"/>
      <c r="HMU71" s="486"/>
      <c r="HMV71" s="486"/>
      <c r="HMW71" s="486"/>
      <c r="HMX71" s="486"/>
      <c r="HMY71" s="487"/>
      <c r="HMZ71" s="486"/>
      <c r="HNA71" s="486"/>
      <c r="HNB71" s="486"/>
      <c r="HNC71" s="486"/>
      <c r="HND71" s="486"/>
      <c r="HNE71" s="486"/>
      <c r="HNF71" s="486"/>
      <c r="HNG71" s="486"/>
      <c r="HNH71" s="486"/>
      <c r="HNI71" s="486"/>
      <c r="HNJ71" s="486"/>
      <c r="HNK71" s="486"/>
      <c r="HNL71" s="486"/>
      <c r="HNM71" s="486"/>
      <c r="HNN71" s="486"/>
      <c r="HNO71" s="486"/>
      <c r="HNP71" s="486"/>
      <c r="HNQ71" s="486"/>
      <c r="HNR71" s="486"/>
      <c r="HNS71" s="486"/>
      <c r="HNT71" s="486"/>
      <c r="HNU71" s="486"/>
      <c r="HNV71" s="486"/>
      <c r="HNW71" s="486"/>
      <c r="HNX71" s="486"/>
      <c r="HNY71" s="486"/>
      <c r="HNZ71" s="486"/>
      <c r="HOA71" s="486"/>
      <c r="HOB71" s="487"/>
      <c r="HOC71" s="486"/>
      <c r="HOD71" s="486"/>
      <c r="HOE71" s="486"/>
      <c r="HOF71" s="486"/>
      <c r="HOG71" s="486"/>
      <c r="HOH71" s="486"/>
      <c r="HOI71" s="486"/>
      <c r="HOJ71" s="486"/>
      <c r="HOK71" s="486"/>
      <c r="HOL71" s="486"/>
      <c r="HOM71" s="486"/>
      <c r="HON71" s="486"/>
      <c r="HOO71" s="486"/>
      <c r="HOP71" s="486"/>
      <c r="HOQ71" s="486"/>
      <c r="HOR71" s="486"/>
      <c r="HOS71" s="486"/>
      <c r="HOT71" s="486"/>
      <c r="HOU71" s="486"/>
      <c r="HOV71" s="486"/>
      <c r="HOW71" s="486"/>
      <c r="HOX71" s="486"/>
      <c r="HOY71" s="486"/>
      <c r="HOZ71" s="486"/>
      <c r="HPA71" s="486"/>
      <c r="HPB71" s="486"/>
      <c r="HPC71" s="486"/>
      <c r="HPD71" s="486"/>
      <c r="HPE71" s="487"/>
      <c r="HPF71" s="486"/>
      <c r="HPG71" s="486"/>
      <c r="HPH71" s="486"/>
      <c r="HPI71" s="486"/>
      <c r="HPJ71" s="486"/>
      <c r="HPK71" s="486"/>
      <c r="HPL71" s="486"/>
      <c r="HPM71" s="486"/>
      <c r="HPN71" s="486"/>
      <c r="HPO71" s="486"/>
      <c r="HPP71" s="486"/>
      <c r="HPQ71" s="486"/>
      <c r="HPR71" s="486"/>
      <c r="HPS71" s="486"/>
      <c r="HPT71" s="486"/>
      <c r="HPU71" s="486"/>
      <c r="HPV71" s="486"/>
      <c r="HPW71" s="486"/>
      <c r="HPX71" s="486"/>
      <c r="HPY71" s="486"/>
      <c r="HPZ71" s="486"/>
      <c r="HQA71" s="486"/>
      <c r="HQB71" s="486"/>
      <c r="HQC71" s="486"/>
      <c r="HQD71" s="486"/>
      <c r="HQE71" s="486"/>
      <c r="HQF71" s="486"/>
      <c r="HQG71" s="486"/>
      <c r="HQH71" s="487"/>
      <c r="HQI71" s="486"/>
      <c r="HQJ71" s="486"/>
      <c r="HQK71" s="486"/>
      <c r="HQL71" s="486"/>
      <c r="HQM71" s="486"/>
      <c r="HQN71" s="486"/>
      <c r="HQO71" s="486"/>
      <c r="HQP71" s="486"/>
      <c r="HQQ71" s="486"/>
      <c r="HQR71" s="486"/>
      <c r="HQS71" s="486"/>
      <c r="HQT71" s="486"/>
      <c r="HQU71" s="486"/>
      <c r="HQV71" s="486"/>
      <c r="HQW71" s="486"/>
      <c r="HQX71" s="486"/>
      <c r="HQY71" s="486"/>
      <c r="HQZ71" s="486"/>
      <c r="HRA71" s="486"/>
      <c r="HRB71" s="486"/>
      <c r="HRC71" s="486"/>
      <c r="HRD71" s="486"/>
      <c r="HRE71" s="486"/>
      <c r="HRF71" s="486"/>
      <c r="HRG71" s="486"/>
      <c r="HRH71" s="486"/>
      <c r="HRI71" s="486"/>
      <c r="HRJ71" s="486"/>
      <c r="HRK71" s="487"/>
      <c r="HRL71" s="486"/>
      <c r="HRM71" s="486"/>
      <c r="HRN71" s="486"/>
      <c r="HRO71" s="486"/>
      <c r="HRP71" s="486"/>
      <c r="HRQ71" s="486"/>
      <c r="HRR71" s="486"/>
      <c r="HRS71" s="486"/>
      <c r="HRT71" s="486"/>
      <c r="HRU71" s="486"/>
      <c r="HRV71" s="486"/>
      <c r="HRW71" s="486"/>
      <c r="HRX71" s="486"/>
      <c r="HRY71" s="486"/>
      <c r="HRZ71" s="486"/>
      <c r="HSA71" s="486"/>
      <c r="HSB71" s="486"/>
      <c r="HSC71" s="486"/>
      <c r="HSD71" s="486"/>
      <c r="HSE71" s="486"/>
      <c r="HSF71" s="486"/>
      <c r="HSG71" s="486"/>
      <c r="HSH71" s="486"/>
      <c r="HSI71" s="486"/>
      <c r="HSJ71" s="486"/>
      <c r="HSK71" s="486"/>
      <c r="HSL71" s="486"/>
      <c r="HSM71" s="486"/>
      <c r="HSN71" s="487"/>
      <c r="HSO71" s="486"/>
      <c r="HSP71" s="486"/>
      <c r="HSQ71" s="486"/>
      <c r="HSR71" s="486"/>
      <c r="HSS71" s="486"/>
      <c r="HST71" s="486"/>
      <c r="HSU71" s="486"/>
      <c r="HSV71" s="486"/>
      <c r="HSW71" s="486"/>
      <c r="HSX71" s="486"/>
      <c r="HSY71" s="486"/>
      <c r="HSZ71" s="486"/>
      <c r="HTA71" s="486"/>
      <c r="HTB71" s="486"/>
      <c r="HTC71" s="486"/>
      <c r="HTD71" s="486"/>
      <c r="HTE71" s="486"/>
      <c r="HTF71" s="486"/>
      <c r="HTG71" s="486"/>
      <c r="HTH71" s="486"/>
      <c r="HTI71" s="486"/>
      <c r="HTJ71" s="486"/>
      <c r="HTK71" s="486"/>
      <c r="HTL71" s="486"/>
      <c r="HTM71" s="486"/>
      <c r="HTN71" s="486"/>
      <c r="HTO71" s="486"/>
      <c r="HTP71" s="486"/>
      <c r="HTQ71" s="487"/>
      <c r="HTR71" s="486"/>
      <c r="HTS71" s="486"/>
      <c r="HTT71" s="486"/>
      <c r="HTU71" s="486"/>
      <c r="HTV71" s="486"/>
      <c r="HTW71" s="486"/>
      <c r="HTX71" s="486"/>
      <c r="HTY71" s="486"/>
      <c r="HTZ71" s="486"/>
      <c r="HUA71" s="486"/>
      <c r="HUB71" s="486"/>
      <c r="HUC71" s="486"/>
      <c r="HUD71" s="486"/>
      <c r="HUE71" s="486"/>
      <c r="HUF71" s="486"/>
      <c r="HUG71" s="486"/>
      <c r="HUH71" s="486"/>
      <c r="HUI71" s="486"/>
      <c r="HUJ71" s="486"/>
      <c r="HUK71" s="486"/>
      <c r="HUL71" s="486"/>
      <c r="HUM71" s="486"/>
      <c r="HUN71" s="486"/>
      <c r="HUO71" s="486"/>
      <c r="HUP71" s="486"/>
      <c r="HUQ71" s="486"/>
      <c r="HUR71" s="486"/>
      <c r="HUS71" s="486"/>
      <c r="HUT71" s="487"/>
      <c r="HUU71" s="486"/>
      <c r="HUV71" s="486"/>
      <c r="HUW71" s="486"/>
      <c r="HUX71" s="486"/>
      <c r="HUY71" s="486"/>
      <c r="HUZ71" s="486"/>
      <c r="HVA71" s="486"/>
      <c r="HVB71" s="486"/>
      <c r="HVC71" s="486"/>
      <c r="HVD71" s="486"/>
      <c r="HVE71" s="486"/>
      <c r="HVF71" s="486"/>
      <c r="HVG71" s="486"/>
      <c r="HVH71" s="486"/>
      <c r="HVI71" s="486"/>
      <c r="HVJ71" s="486"/>
      <c r="HVK71" s="486"/>
      <c r="HVL71" s="486"/>
      <c r="HVM71" s="486"/>
      <c r="HVN71" s="486"/>
      <c r="HVO71" s="486"/>
      <c r="HVP71" s="486"/>
      <c r="HVQ71" s="486"/>
      <c r="HVR71" s="486"/>
      <c r="HVS71" s="486"/>
      <c r="HVT71" s="486"/>
      <c r="HVU71" s="486"/>
      <c r="HVV71" s="486"/>
      <c r="HVW71" s="487"/>
      <c r="HVX71" s="486"/>
      <c r="HVY71" s="486"/>
      <c r="HVZ71" s="486"/>
      <c r="HWA71" s="486"/>
      <c r="HWB71" s="486"/>
      <c r="HWC71" s="486"/>
      <c r="HWD71" s="486"/>
      <c r="HWE71" s="486"/>
      <c r="HWF71" s="486"/>
      <c r="HWG71" s="486"/>
      <c r="HWH71" s="486"/>
      <c r="HWI71" s="486"/>
      <c r="HWJ71" s="486"/>
      <c r="HWK71" s="486"/>
      <c r="HWL71" s="486"/>
      <c r="HWM71" s="486"/>
      <c r="HWN71" s="486"/>
      <c r="HWO71" s="486"/>
      <c r="HWP71" s="486"/>
      <c r="HWQ71" s="486"/>
      <c r="HWR71" s="486"/>
      <c r="HWS71" s="486"/>
      <c r="HWT71" s="486"/>
      <c r="HWU71" s="486"/>
      <c r="HWV71" s="486"/>
      <c r="HWW71" s="486"/>
      <c r="HWX71" s="486"/>
      <c r="HWY71" s="486"/>
      <c r="HWZ71" s="487"/>
      <c r="HXA71" s="486"/>
      <c r="HXB71" s="486"/>
      <c r="HXC71" s="486"/>
      <c r="HXD71" s="486"/>
      <c r="HXE71" s="486"/>
      <c r="HXF71" s="486"/>
      <c r="HXG71" s="486"/>
      <c r="HXH71" s="486"/>
      <c r="HXI71" s="486"/>
      <c r="HXJ71" s="486"/>
      <c r="HXK71" s="486"/>
      <c r="HXL71" s="486"/>
      <c r="HXM71" s="486"/>
      <c r="HXN71" s="486"/>
      <c r="HXO71" s="486"/>
      <c r="HXP71" s="486"/>
      <c r="HXQ71" s="486"/>
      <c r="HXR71" s="486"/>
      <c r="HXS71" s="486"/>
      <c r="HXT71" s="486"/>
      <c r="HXU71" s="486"/>
      <c r="HXV71" s="486"/>
      <c r="HXW71" s="486"/>
      <c r="HXX71" s="486"/>
      <c r="HXY71" s="486"/>
      <c r="HXZ71" s="486"/>
      <c r="HYA71" s="486"/>
      <c r="HYB71" s="486"/>
      <c r="HYC71" s="487"/>
      <c r="HYD71" s="486"/>
      <c r="HYE71" s="486"/>
      <c r="HYF71" s="486"/>
      <c r="HYG71" s="486"/>
      <c r="HYH71" s="486"/>
      <c r="HYI71" s="486"/>
      <c r="HYJ71" s="486"/>
      <c r="HYK71" s="486"/>
      <c r="HYL71" s="486"/>
      <c r="HYM71" s="486"/>
      <c r="HYN71" s="486"/>
      <c r="HYO71" s="486"/>
      <c r="HYP71" s="486"/>
      <c r="HYQ71" s="486"/>
      <c r="HYR71" s="486"/>
      <c r="HYS71" s="486"/>
      <c r="HYT71" s="486"/>
      <c r="HYU71" s="486"/>
      <c r="HYV71" s="486"/>
      <c r="HYW71" s="486"/>
      <c r="HYX71" s="486"/>
      <c r="HYY71" s="486"/>
      <c r="HYZ71" s="486"/>
      <c r="HZA71" s="486"/>
      <c r="HZB71" s="486"/>
      <c r="HZC71" s="486"/>
      <c r="HZD71" s="486"/>
      <c r="HZE71" s="486"/>
      <c r="HZF71" s="487"/>
      <c r="HZG71" s="486"/>
      <c r="HZH71" s="486"/>
      <c r="HZI71" s="486"/>
      <c r="HZJ71" s="486"/>
      <c r="HZK71" s="486"/>
      <c r="HZL71" s="486"/>
      <c r="HZM71" s="486"/>
      <c r="HZN71" s="486"/>
      <c r="HZO71" s="486"/>
      <c r="HZP71" s="486"/>
      <c r="HZQ71" s="486"/>
      <c r="HZR71" s="486"/>
      <c r="HZS71" s="486"/>
      <c r="HZT71" s="486"/>
      <c r="HZU71" s="486"/>
      <c r="HZV71" s="486"/>
      <c r="HZW71" s="486"/>
      <c r="HZX71" s="486"/>
      <c r="HZY71" s="486"/>
      <c r="HZZ71" s="486"/>
      <c r="IAA71" s="486"/>
      <c r="IAB71" s="486"/>
      <c r="IAC71" s="486"/>
      <c r="IAD71" s="486"/>
      <c r="IAE71" s="486"/>
      <c r="IAF71" s="486"/>
      <c r="IAG71" s="486"/>
      <c r="IAH71" s="486"/>
      <c r="IAI71" s="487"/>
      <c r="IAJ71" s="486"/>
      <c r="IAK71" s="486"/>
      <c r="IAL71" s="486"/>
      <c r="IAM71" s="486"/>
      <c r="IAN71" s="486"/>
      <c r="IAO71" s="486"/>
      <c r="IAP71" s="486"/>
      <c r="IAQ71" s="486"/>
      <c r="IAR71" s="486"/>
      <c r="IAS71" s="486"/>
      <c r="IAT71" s="486"/>
      <c r="IAU71" s="486"/>
      <c r="IAV71" s="486"/>
      <c r="IAW71" s="486"/>
      <c r="IAX71" s="486"/>
      <c r="IAY71" s="486"/>
      <c r="IAZ71" s="486"/>
      <c r="IBA71" s="486"/>
      <c r="IBB71" s="486"/>
      <c r="IBC71" s="486"/>
      <c r="IBD71" s="486"/>
      <c r="IBE71" s="486"/>
      <c r="IBF71" s="486"/>
      <c r="IBG71" s="486"/>
      <c r="IBH71" s="486"/>
      <c r="IBI71" s="486"/>
      <c r="IBJ71" s="486"/>
      <c r="IBK71" s="486"/>
      <c r="IBL71" s="487"/>
      <c r="IBM71" s="486"/>
      <c r="IBN71" s="486"/>
      <c r="IBO71" s="486"/>
      <c r="IBP71" s="486"/>
      <c r="IBQ71" s="486"/>
      <c r="IBR71" s="486"/>
      <c r="IBS71" s="486"/>
      <c r="IBT71" s="486"/>
      <c r="IBU71" s="486"/>
      <c r="IBV71" s="486"/>
      <c r="IBW71" s="486"/>
      <c r="IBX71" s="486"/>
      <c r="IBY71" s="486"/>
      <c r="IBZ71" s="486"/>
      <c r="ICA71" s="486"/>
      <c r="ICB71" s="486"/>
      <c r="ICC71" s="486"/>
      <c r="ICD71" s="486"/>
      <c r="ICE71" s="486"/>
      <c r="ICF71" s="486"/>
      <c r="ICG71" s="486"/>
      <c r="ICH71" s="486"/>
      <c r="ICI71" s="486"/>
      <c r="ICJ71" s="486"/>
      <c r="ICK71" s="486"/>
      <c r="ICL71" s="486"/>
      <c r="ICM71" s="486"/>
      <c r="ICN71" s="486"/>
      <c r="ICO71" s="487"/>
      <c r="ICP71" s="486"/>
      <c r="ICQ71" s="486"/>
      <c r="ICR71" s="486"/>
      <c r="ICS71" s="486"/>
      <c r="ICT71" s="486"/>
      <c r="ICU71" s="486"/>
      <c r="ICV71" s="486"/>
      <c r="ICW71" s="486"/>
      <c r="ICX71" s="486"/>
      <c r="ICY71" s="486"/>
      <c r="ICZ71" s="486"/>
      <c r="IDA71" s="486"/>
      <c r="IDB71" s="486"/>
      <c r="IDC71" s="486"/>
      <c r="IDD71" s="486"/>
      <c r="IDE71" s="486"/>
      <c r="IDF71" s="486"/>
      <c r="IDG71" s="486"/>
      <c r="IDH71" s="486"/>
      <c r="IDI71" s="486"/>
      <c r="IDJ71" s="486"/>
      <c r="IDK71" s="486"/>
      <c r="IDL71" s="486"/>
      <c r="IDM71" s="486"/>
      <c r="IDN71" s="486"/>
      <c r="IDO71" s="486"/>
      <c r="IDP71" s="486"/>
      <c r="IDQ71" s="486"/>
      <c r="IDR71" s="487"/>
      <c r="IDS71" s="486"/>
      <c r="IDT71" s="486"/>
      <c r="IDU71" s="486"/>
      <c r="IDV71" s="486"/>
      <c r="IDW71" s="486"/>
      <c r="IDX71" s="486"/>
      <c r="IDY71" s="486"/>
      <c r="IDZ71" s="486"/>
      <c r="IEA71" s="486"/>
      <c r="IEB71" s="486"/>
      <c r="IEC71" s="486"/>
      <c r="IED71" s="486"/>
      <c r="IEE71" s="486"/>
      <c r="IEF71" s="486"/>
      <c r="IEG71" s="486"/>
      <c r="IEH71" s="486"/>
      <c r="IEI71" s="486"/>
      <c r="IEJ71" s="486"/>
      <c r="IEK71" s="486"/>
      <c r="IEL71" s="486"/>
      <c r="IEM71" s="486"/>
      <c r="IEN71" s="486"/>
      <c r="IEO71" s="486"/>
      <c r="IEP71" s="486"/>
      <c r="IEQ71" s="486"/>
      <c r="IER71" s="486"/>
      <c r="IES71" s="486"/>
      <c r="IET71" s="486"/>
      <c r="IEU71" s="487"/>
      <c r="IEV71" s="486"/>
      <c r="IEW71" s="486"/>
      <c r="IEX71" s="486"/>
      <c r="IEY71" s="486"/>
      <c r="IEZ71" s="486"/>
      <c r="IFA71" s="486"/>
      <c r="IFB71" s="486"/>
      <c r="IFC71" s="486"/>
      <c r="IFD71" s="486"/>
      <c r="IFE71" s="486"/>
      <c r="IFF71" s="486"/>
      <c r="IFG71" s="486"/>
      <c r="IFH71" s="486"/>
      <c r="IFI71" s="486"/>
      <c r="IFJ71" s="486"/>
      <c r="IFK71" s="486"/>
      <c r="IFL71" s="486"/>
      <c r="IFM71" s="486"/>
      <c r="IFN71" s="486"/>
      <c r="IFO71" s="486"/>
      <c r="IFP71" s="486"/>
      <c r="IFQ71" s="486"/>
      <c r="IFR71" s="486"/>
      <c r="IFS71" s="486"/>
      <c r="IFT71" s="486"/>
      <c r="IFU71" s="486"/>
      <c r="IFV71" s="486"/>
      <c r="IFW71" s="486"/>
      <c r="IFX71" s="487"/>
      <c r="IFY71" s="486"/>
      <c r="IFZ71" s="486"/>
      <c r="IGA71" s="486"/>
      <c r="IGB71" s="486"/>
      <c r="IGC71" s="486"/>
      <c r="IGD71" s="486"/>
      <c r="IGE71" s="486"/>
      <c r="IGF71" s="486"/>
      <c r="IGG71" s="486"/>
      <c r="IGH71" s="486"/>
      <c r="IGI71" s="486"/>
      <c r="IGJ71" s="486"/>
      <c r="IGK71" s="486"/>
      <c r="IGL71" s="486"/>
      <c r="IGM71" s="486"/>
      <c r="IGN71" s="486"/>
      <c r="IGO71" s="486"/>
      <c r="IGP71" s="486"/>
      <c r="IGQ71" s="486"/>
      <c r="IGR71" s="486"/>
      <c r="IGS71" s="486"/>
      <c r="IGT71" s="486"/>
      <c r="IGU71" s="486"/>
      <c r="IGV71" s="486"/>
      <c r="IGW71" s="486"/>
      <c r="IGX71" s="486"/>
      <c r="IGY71" s="486"/>
      <c r="IGZ71" s="486"/>
      <c r="IHA71" s="487"/>
      <c r="IHB71" s="486"/>
      <c r="IHC71" s="486"/>
      <c r="IHD71" s="486"/>
      <c r="IHE71" s="486"/>
      <c r="IHF71" s="486"/>
      <c r="IHG71" s="486"/>
      <c r="IHH71" s="486"/>
      <c r="IHI71" s="486"/>
      <c r="IHJ71" s="486"/>
      <c r="IHK71" s="486"/>
      <c r="IHL71" s="486"/>
      <c r="IHM71" s="486"/>
      <c r="IHN71" s="486"/>
      <c r="IHO71" s="486"/>
      <c r="IHP71" s="486"/>
      <c r="IHQ71" s="486"/>
      <c r="IHR71" s="486"/>
      <c r="IHS71" s="486"/>
      <c r="IHT71" s="486"/>
      <c r="IHU71" s="486"/>
      <c r="IHV71" s="486"/>
      <c r="IHW71" s="486"/>
      <c r="IHX71" s="486"/>
      <c r="IHY71" s="486"/>
      <c r="IHZ71" s="486"/>
      <c r="IIA71" s="486"/>
      <c r="IIB71" s="486"/>
      <c r="IIC71" s="486"/>
      <c r="IID71" s="487"/>
      <c r="IIE71" s="486"/>
      <c r="IIF71" s="486"/>
      <c r="IIG71" s="486"/>
      <c r="IIH71" s="486"/>
      <c r="III71" s="486"/>
      <c r="IIJ71" s="486"/>
      <c r="IIK71" s="486"/>
      <c r="IIL71" s="486"/>
      <c r="IIM71" s="486"/>
      <c r="IIN71" s="486"/>
      <c r="IIO71" s="486"/>
      <c r="IIP71" s="486"/>
      <c r="IIQ71" s="486"/>
      <c r="IIR71" s="486"/>
      <c r="IIS71" s="486"/>
      <c r="IIT71" s="486"/>
      <c r="IIU71" s="486"/>
      <c r="IIV71" s="486"/>
      <c r="IIW71" s="486"/>
      <c r="IIX71" s="486"/>
      <c r="IIY71" s="486"/>
      <c r="IIZ71" s="486"/>
      <c r="IJA71" s="486"/>
      <c r="IJB71" s="486"/>
      <c r="IJC71" s="486"/>
      <c r="IJD71" s="486"/>
      <c r="IJE71" s="486"/>
      <c r="IJF71" s="486"/>
      <c r="IJG71" s="487"/>
      <c r="IJH71" s="486"/>
      <c r="IJI71" s="486"/>
      <c r="IJJ71" s="486"/>
      <c r="IJK71" s="486"/>
      <c r="IJL71" s="486"/>
      <c r="IJM71" s="486"/>
      <c r="IJN71" s="486"/>
      <c r="IJO71" s="486"/>
      <c r="IJP71" s="486"/>
      <c r="IJQ71" s="486"/>
      <c r="IJR71" s="486"/>
      <c r="IJS71" s="486"/>
      <c r="IJT71" s="486"/>
      <c r="IJU71" s="486"/>
      <c r="IJV71" s="486"/>
      <c r="IJW71" s="486"/>
      <c r="IJX71" s="486"/>
      <c r="IJY71" s="486"/>
      <c r="IJZ71" s="486"/>
      <c r="IKA71" s="486"/>
      <c r="IKB71" s="486"/>
      <c r="IKC71" s="486"/>
      <c r="IKD71" s="486"/>
      <c r="IKE71" s="486"/>
      <c r="IKF71" s="486"/>
      <c r="IKG71" s="486"/>
      <c r="IKH71" s="486"/>
      <c r="IKI71" s="486"/>
      <c r="IKJ71" s="487"/>
      <c r="IKK71" s="486"/>
      <c r="IKL71" s="486"/>
      <c r="IKM71" s="486"/>
      <c r="IKN71" s="486"/>
      <c r="IKO71" s="486"/>
      <c r="IKP71" s="486"/>
      <c r="IKQ71" s="486"/>
      <c r="IKR71" s="486"/>
      <c r="IKS71" s="486"/>
      <c r="IKT71" s="486"/>
      <c r="IKU71" s="486"/>
      <c r="IKV71" s="486"/>
      <c r="IKW71" s="486"/>
      <c r="IKX71" s="486"/>
      <c r="IKY71" s="486"/>
      <c r="IKZ71" s="486"/>
      <c r="ILA71" s="486"/>
      <c r="ILB71" s="486"/>
      <c r="ILC71" s="486"/>
      <c r="ILD71" s="486"/>
      <c r="ILE71" s="486"/>
      <c r="ILF71" s="486"/>
      <c r="ILG71" s="486"/>
      <c r="ILH71" s="486"/>
      <c r="ILI71" s="486"/>
      <c r="ILJ71" s="486"/>
      <c r="ILK71" s="486"/>
      <c r="ILL71" s="486"/>
      <c r="ILM71" s="487"/>
      <c r="ILN71" s="486"/>
      <c r="ILO71" s="486"/>
      <c r="ILP71" s="486"/>
      <c r="ILQ71" s="486"/>
      <c r="ILR71" s="486"/>
      <c r="ILS71" s="486"/>
      <c r="ILT71" s="486"/>
      <c r="ILU71" s="486"/>
      <c r="ILV71" s="486"/>
      <c r="ILW71" s="486"/>
      <c r="ILX71" s="486"/>
      <c r="ILY71" s="486"/>
      <c r="ILZ71" s="486"/>
      <c r="IMA71" s="486"/>
      <c r="IMB71" s="486"/>
      <c r="IMC71" s="486"/>
      <c r="IMD71" s="486"/>
      <c r="IME71" s="486"/>
      <c r="IMF71" s="486"/>
      <c r="IMG71" s="486"/>
      <c r="IMH71" s="486"/>
      <c r="IMI71" s="486"/>
      <c r="IMJ71" s="486"/>
      <c r="IMK71" s="486"/>
      <c r="IML71" s="486"/>
      <c r="IMM71" s="486"/>
      <c r="IMN71" s="486"/>
      <c r="IMO71" s="486"/>
      <c r="IMP71" s="487"/>
      <c r="IMQ71" s="486"/>
      <c r="IMR71" s="486"/>
      <c r="IMS71" s="486"/>
      <c r="IMT71" s="486"/>
      <c r="IMU71" s="486"/>
      <c r="IMV71" s="486"/>
      <c r="IMW71" s="486"/>
      <c r="IMX71" s="486"/>
      <c r="IMY71" s="486"/>
      <c r="IMZ71" s="486"/>
      <c r="INA71" s="486"/>
      <c r="INB71" s="486"/>
      <c r="INC71" s="486"/>
      <c r="IND71" s="486"/>
      <c r="INE71" s="486"/>
      <c r="INF71" s="486"/>
      <c r="ING71" s="486"/>
      <c r="INH71" s="486"/>
      <c r="INI71" s="486"/>
      <c r="INJ71" s="486"/>
      <c r="INK71" s="486"/>
      <c r="INL71" s="486"/>
      <c r="INM71" s="486"/>
      <c r="INN71" s="486"/>
      <c r="INO71" s="486"/>
      <c r="INP71" s="486"/>
      <c r="INQ71" s="486"/>
      <c r="INR71" s="486"/>
      <c r="INS71" s="487"/>
      <c r="INT71" s="486"/>
      <c r="INU71" s="486"/>
      <c r="INV71" s="486"/>
      <c r="INW71" s="486"/>
      <c r="INX71" s="486"/>
      <c r="INY71" s="486"/>
      <c r="INZ71" s="486"/>
      <c r="IOA71" s="486"/>
      <c r="IOB71" s="486"/>
      <c r="IOC71" s="486"/>
      <c r="IOD71" s="486"/>
      <c r="IOE71" s="486"/>
      <c r="IOF71" s="486"/>
      <c r="IOG71" s="486"/>
      <c r="IOH71" s="486"/>
      <c r="IOI71" s="486"/>
      <c r="IOJ71" s="486"/>
      <c r="IOK71" s="486"/>
      <c r="IOL71" s="486"/>
      <c r="IOM71" s="486"/>
      <c r="ION71" s="486"/>
      <c r="IOO71" s="486"/>
      <c r="IOP71" s="486"/>
      <c r="IOQ71" s="486"/>
      <c r="IOR71" s="486"/>
      <c r="IOS71" s="486"/>
      <c r="IOT71" s="486"/>
      <c r="IOU71" s="486"/>
      <c r="IOV71" s="487"/>
      <c r="IOW71" s="486"/>
      <c r="IOX71" s="486"/>
      <c r="IOY71" s="486"/>
      <c r="IOZ71" s="486"/>
      <c r="IPA71" s="486"/>
      <c r="IPB71" s="486"/>
      <c r="IPC71" s="486"/>
      <c r="IPD71" s="486"/>
      <c r="IPE71" s="486"/>
      <c r="IPF71" s="486"/>
      <c r="IPG71" s="486"/>
      <c r="IPH71" s="486"/>
      <c r="IPI71" s="486"/>
      <c r="IPJ71" s="486"/>
      <c r="IPK71" s="486"/>
      <c r="IPL71" s="486"/>
      <c r="IPM71" s="486"/>
      <c r="IPN71" s="486"/>
      <c r="IPO71" s="486"/>
      <c r="IPP71" s="486"/>
      <c r="IPQ71" s="486"/>
      <c r="IPR71" s="486"/>
      <c r="IPS71" s="486"/>
      <c r="IPT71" s="486"/>
      <c r="IPU71" s="486"/>
      <c r="IPV71" s="486"/>
      <c r="IPW71" s="486"/>
      <c r="IPX71" s="486"/>
      <c r="IPY71" s="487"/>
      <c r="IPZ71" s="486"/>
      <c r="IQA71" s="486"/>
      <c r="IQB71" s="486"/>
      <c r="IQC71" s="486"/>
      <c r="IQD71" s="486"/>
      <c r="IQE71" s="486"/>
      <c r="IQF71" s="486"/>
      <c r="IQG71" s="486"/>
      <c r="IQH71" s="486"/>
      <c r="IQI71" s="486"/>
      <c r="IQJ71" s="486"/>
      <c r="IQK71" s="486"/>
      <c r="IQL71" s="486"/>
      <c r="IQM71" s="486"/>
      <c r="IQN71" s="486"/>
      <c r="IQO71" s="486"/>
      <c r="IQP71" s="486"/>
      <c r="IQQ71" s="486"/>
      <c r="IQR71" s="486"/>
      <c r="IQS71" s="486"/>
      <c r="IQT71" s="486"/>
      <c r="IQU71" s="486"/>
      <c r="IQV71" s="486"/>
      <c r="IQW71" s="486"/>
      <c r="IQX71" s="486"/>
      <c r="IQY71" s="486"/>
      <c r="IQZ71" s="486"/>
      <c r="IRA71" s="486"/>
      <c r="IRB71" s="487"/>
      <c r="IRC71" s="486"/>
      <c r="IRD71" s="486"/>
      <c r="IRE71" s="486"/>
      <c r="IRF71" s="486"/>
      <c r="IRG71" s="486"/>
      <c r="IRH71" s="486"/>
      <c r="IRI71" s="486"/>
      <c r="IRJ71" s="486"/>
      <c r="IRK71" s="486"/>
      <c r="IRL71" s="486"/>
      <c r="IRM71" s="486"/>
      <c r="IRN71" s="486"/>
      <c r="IRO71" s="486"/>
      <c r="IRP71" s="486"/>
      <c r="IRQ71" s="486"/>
      <c r="IRR71" s="486"/>
      <c r="IRS71" s="486"/>
      <c r="IRT71" s="486"/>
      <c r="IRU71" s="486"/>
      <c r="IRV71" s="486"/>
      <c r="IRW71" s="486"/>
      <c r="IRX71" s="486"/>
      <c r="IRY71" s="486"/>
      <c r="IRZ71" s="486"/>
      <c r="ISA71" s="486"/>
      <c r="ISB71" s="486"/>
      <c r="ISC71" s="486"/>
      <c r="ISD71" s="486"/>
      <c r="ISE71" s="487"/>
      <c r="ISF71" s="486"/>
      <c r="ISG71" s="486"/>
      <c r="ISH71" s="486"/>
      <c r="ISI71" s="486"/>
      <c r="ISJ71" s="486"/>
      <c r="ISK71" s="486"/>
      <c r="ISL71" s="486"/>
      <c r="ISM71" s="486"/>
      <c r="ISN71" s="486"/>
      <c r="ISO71" s="486"/>
      <c r="ISP71" s="486"/>
      <c r="ISQ71" s="486"/>
      <c r="ISR71" s="486"/>
      <c r="ISS71" s="486"/>
      <c r="IST71" s="486"/>
      <c r="ISU71" s="486"/>
      <c r="ISV71" s="486"/>
      <c r="ISW71" s="486"/>
      <c r="ISX71" s="486"/>
      <c r="ISY71" s="486"/>
      <c r="ISZ71" s="486"/>
      <c r="ITA71" s="486"/>
      <c r="ITB71" s="486"/>
      <c r="ITC71" s="486"/>
      <c r="ITD71" s="486"/>
      <c r="ITE71" s="486"/>
      <c r="ITF71" s="486"/>
      <c r="ITG71" s="486"/>
      <c r="ITH71" s="487"/>
      <c r="ITI71" s="486"/>
      <c r="ITJ71" s="486"/>
      <c r="ITK71" s="486"/>
      <c r="ITL71" s="486"/>
      <c r="ITM71" s="486"/>
      <c r="ITN71" s="486"/>
      <c r="ITO71" s="486"/>
      <c r="ITP71" s="486"/>
      <c r="ITQ71" s="486"/>
      <c r="ITR71" s="486"/>
      <c r="ITS71" s="486"/>
      <c r="ITT71" s="486"/>
      <c r="ITU71" s="486"/>
      <c r="ITV71" s="486"/>
      <c r="ITW71" s="486"/>
      <c r="ITX71" s="486"/>
      <c r="ITY71" s="486"/>
      <c r="ITZ71" s="486"/>
      <c r="IUA71" s="486"/>
      <c r="IUB71" s="486"/>
      <c r="IUC71" s="486"/>
      <c r="IUD71" s="486"/>
      <c r="IUE71" s="486"/>
      <c r="IUF71" s="486"/>
      <c r="IUG71" s="486"/>
      <c r="IUH71" s="486"/>
      <c r="IUI71" s="486"/>
      <c r="IUJ71" s="486"/>
      <c r="IUK71" s="487"/>
      <c r="IUL71" s="486"/>
      <c r="IUM71" s="486"/>
      <c r="IUN71" s="486"/>
      <c r="IUO71" s="486"/>
      <c r="IUP71" s="486"/>
      <c r="IUQ71" s="486"/>
      <c r="IUR71" s="486"/>
      <c r="IUS71" s="486"/>
      <c r="IUT71" s="486"/>
      <c r="IUU71" s="486"/>
      <c r="IUV71" s="486"/>
      <c r="IUW71" s="486"/>
      <c r="IUX71" s="486"/>
      <c r="IUY71" s="486"/>
      <c r="IUZ71" s="486"/>
      <c r="IVA71" s="486"/>
      <c r="IVB71" s="486"/>
      <c r="IVC71" s="486"/>
      <c r="IVD71" s="486"/>
      <c r="IVE71" s="486"/>
      <c r="IVF71" s="486"/>
      <c r="IVG71" s="486"/>
      <c r="IVH71" s="486"/>
      <c r="IVI71" s="486"/>
      <c r="IVJ71" s="486"/>
      <c r="IVK71" s="486"/>
      <c r="IVL71" s="486"/>
      <c r="IVM71" s="486"/>
      <c r="IVN71" s="487"/>
      <c r="IVO71" s="486"/>
      <c r="IVP71" s="486"/>
      <c r="IVQ71" s="486"/>
      <c r="IVR71" s="486"/>
      <c r="IVS71" s="486"/>
      <c r="IVT71" s="486"/>
      <c r="IVU71" s="486"/>
      <c r="IVV71" s="486"/>
      <c r="IVW71" s="486"/>
      <c r="IVX71" s="486"/>
      <c r="IVY71" s="486"/>
      <c r="IVZ71" s="486"/>
      <c r="IWA71" s="486"/>
      <c r="IWB71" s="486"/>
      <c r="IWC71" s="486"/>
      <c r="IWD71" s="486"/>
      <c r="IWE71" s="486"/>
      <c r="IWF71" s="486"/>
      <c r="IWG71" s="486"/>
      <c r="IWH71" s="486"/>
      <c r="IWI71" s="486"/>
      <c r="IWJ71" s="486"/>
      <c r="IWK71" s="486"/>
      <c r="IWL71" s="486"/>
      <c r="IWM71" s="486"/>
      <c r="IWN71" s="486"/>
      <c r="IWO71" s="486"/>
      <c r="IWP71" s="486"/>
      <c r="IWQ71" s="487"/>
      <c r="IWR71" s="486"/>
      <c r="IWS71" s="486"/>
      <c r="IWT71" s="486"/>
      <c r="IWU71" s="486"/>
      <c r="IWV71" s="486"/>
      <c r="IWW71" s="486"/>
      <c r="IWX71" s="486"/>
      <c r="IWY71" s="486"/>
      <c r="IWZ71" s="486"/>
      <c r="IXA71" s="486"/>
      <c r="IXB71" s="486"/>
      <c r="IXC71" s="486"/>
      <c r="IXD71" s="486"/>
      <c r="IXE71" s="486"/>
      <c r="IXF71" s="486"/>
      <c r="IXG71" s="486"/>
      <c r="IXH71" s="486"/>
      <c r="IXI71" s="486"/>
      <c r="IXJ71" s="486"/>
      <c r="IXK71" s="486"/>
      <c r="IXL71" s="486"/>
      <c r="IXM71" s="486"/>
      <c r="IXN71" s="486"/>
      <c r="IXO71" s="486"/>
      <c r="IXP71" s="486"/>
      <c r="IXQ71" s="486"/>
      <c r="IXR71" s="486"/>
      <c r="IXS71" s="486"/>
      <c r="IXT71" s="487"/>
      <c r="IXU71" s="486"/>
      <c r="IXV71" s="486"/>
      <c r="IXW71" s="486"/>
      <c r="IXX71" s="486"/>
      <c r="IXY71" s="486"/>
      <c r="IXZ71" s="486"/>
      <c r="IYA71" s="486"/>
      <c r="IYB71" s="486"/>
      <c r="IYC71" s="486"/>
      <c r="IYD71" s="486"/>
      <c r="IYE71" s="486"/>
      <c r="IYF71" s="486"/>
      <c r="IYG71" s="486"/>
      <c r="IYH71" s="486"/>
      <c r="IYI71" s="486"/>
      <c r="IYJ71" s="486"/>
      <c r="IYK71" s="486"/>
      <c r="IYL71" s="486"/>
      <c r="IYM71" s="486"/>
      <c r="IYN71" s="486"/>
      <c r="IYO71" s="486"/>
      <c r="IYP71" s="486"/>
      <c r="IYQ71" s="486"/>
      <c r="IYR71" s="486"/>
      <c r="IYS71" s="486"/>
      <c r="IYT71" s="486"/>
      <c r="IYU71" s="486"/>
      <c r="IYV71" s="486"/>
      <c r="IYW71" s="487"/>
      <c r="IYX71" s="486"/>
      <c r="IYY71" s="486"/>
      <c r="IYZ71" s="486"/>
      <c r="IZA71" s="486"/>
      <c r="IZB71" s="486"/>
      <c r="IZC71" s="486"/>
      <c r="IZD71" s="486"/>
      <c r="IZE71" s="486"/>
      <c r="IZF71" s="486"/>
      <c r="IZG71" s="486"/>
      <c r="IZH71" s="486"/>
      <c r="IZI71" s="486"/>
      <c r="IZJ71" s="486"/>
      <c r="IZK71" s="486"/>
      <c r="IZL71" s="486"/>
      <c r="IZM71" s="486"/>
      <c r="IZN71" s="486"/>
      <c r="IZO71" s="486"/>
      <c r="IZP71" s="486"/>
      <c r="IZQ71" s="486"/>
      <c r="IZR71" s="486"/>
      <c r="IZS71" s="486"/>
      <c r="IZT71" s="486"/>
      <c r="IZU71" s="486"/>
      <c r="IZV71" s="486"/>
      <c r="IZW71" s="486"/>
      <c r="IZX71" s="486"/>
      <c r="IZY71" s="486"/>
      <c r="IZZ71" s="487"/>
      <c r="JAA71" s="486"/>
      <c r="JAB71" s="486"/>
      <c r="JAC71" s="486"/>
      <c r="JAD71" s="486"/>
      <c r="JAE71" s="486"/>
      <c r="JAF71" s="486"/>
      <c r="JAG71" s="486"/>
      <c r="JAH71" s="486"/>
      <c r="JAI71" s="486"/>
      <c r="JAJ71" s="486"/>
      <c r="JAK71" s="486"/>
      <c r="JAL71" s="486"/>
      <c r="JAM71" s="486"/>
      <c r="JAN71" s="486"/>
      <c r="JAO71" s="486"/>
      <c r="JAP71" s="486"/>
      <c r="JAQ71" s="486"/>
      <c r="JAR71" s="486"/>
      <c r="JAS71" s="486"/>
      <c r="JAT71" s="486"/>
      <c r="JAU71" s="486"/>
      <c r="JAV71" s="486"/>
      <c r="JAW71" s="486"/>
      <c r="JAX71" s="486"/>
      <c r="JAY71" s="486"/>
      <c r="JAZ71" s="486"/>
      <c r="JBA71" s="486"/>
      <c r="JBB71" s="486"/>
      <c r="JBC71" s="487"/>
      <c r="JBD71" s="486"/>
      <c r="JBE71" s="486"/>
      <c r="JBF71" s="486"/>
      <c r="JBG71" s="486"/>
      <c r="JBH71" s="486"/>
      <c r="JBI71" s="486"/>
      <c r="JBJ71" s="486"/>
      <c r="JBK71" s="486"/>
      <c r="JBL71" s="486"/>
      <c r="JBM71" s="486"/>
      <c r="JBN71" s="486"/>
      <c r="JBO71" s="486"/>
      <c r="JBP71" s="486"/>
      <c r="JBQ71" s="486"/>
      <c r="JBR71" s="486"/>
      <c r="JBS71" s="486"/>
      <c r="JBT71" s="486"/>
      <c r="JBU71" s="486"/>
      <c r="JBV71" s="486"/>
      <c r="JBW71" s="486"/>
      <c r="JBX71" s="486"/>
      <c r="JBY71" s="486"/>
      <c r="JBZ71" s="486"/>
      <c r="JCA71" s="486"/>
      <c r="JCB71" s="486"/>
      <c r="JCC71" s="486"/>
      <c r="JCD71" s="486"/>
      <c r="JCE71" s="486"/>
      <c r="JCF71" s="487"/>
      <c r="JCG71" s="486"/>
      <c r="JCH71" s="486"/>
      <c r="JCI71" s="486"/>
      <c r="JCJ71" s="486"/>
      <c r="JCK71" s="486"/>
      <c r="JCL71" s="486"/>
      <c r="JCM71" s="486"/>
      <c r="JCN71" s="486"/>
      <c r="JCO71" s="486"/>
      <c r="JCP71" s="486"/>
      <c r="JCQ71" s="486"/>
      <c r="JCR71" s="486"/>
      <c r="JCS71" s="486"/>
      <c r="JCT71" s="486"/>
      <c r="JCU71" s="486"/>
      <c r="JCV71" s="486"/>
      <c r="JCW71" s="486"/>
      <c r="JCX71" s="486"/>
      <c r="JCY71" s="486"/>
      <c r="JCZ71" s="486"/>
      <c r="JDA71" s="486"/>
      <c r="JDB71" s="486"/>
      <c r="JDC71" s="486"/>
      <c r="JDD71" s="486"/>
      <c r="JDE71" s="486"/>
      <c r="JDF71" s="486"/>
      <c r="JDG71" s="486"/>
      <c r="JDH71" s="486"/>
      <c r="JDI71" s="487"/>
      <c r="JDJ71" s="486"/>
      <c r="JDK71" s="486"/>
      <c r="JDL71" s="486"/>
      <c r="JDM71" s="486"/>
      <c r="JDN71" s="486"/>
      <c r="JDO71" s="486"/>
      <c r="JDP71" s="486"/>
      <c r="JDQ71" s="486"/>
      <c r="JDR71" s="486"/>
      <c r="JDS71" s="486"/>
      <c r="JDT71" s="486"/>
      <c r="JDU71" s="486"/>
      <c r="JDV71" s="486"/>
      <c r="JDW71" s="486"/>
      <c r="JDX71" s="486"/>
      <c r="JDY71" s="486"/>
      <c r="JDZ71" s="486"/>
      <c r="JEA71" s="486"/>
      <c r="JEB71" s="486"/>
      <c r="JEC71" s="486"/>
      <c r="JED71" s="486"/>
      <c r="JEE71" s="486"/>
      <c r="JEF71" s="486"/>
      <c r="JEG71" s="486"/>
      <c r="JEH71" s="486"/>
      <c r="JEI71" s="486"/>
      <c r="JEJ71" s="486"/>
      <c r="JEK71" s="486"/>
      <c r="JEL71" s="487"/>
      <c r="JEM71" s="486"/>
      <c r="JEN71" s="486"/>
      <c r="JEO71" s="486"/>
      <c r="JEP71" s="486"/>
      <c r="JEQ71" s="486"/>
      <c r="JER71" s="486"/>
      <c r="JES71" s="486"/>
      <c r="JET71" s="486"/>
      <c r="JEU71" s="486"/>
      <c r="JEV71" s="486"/>
      <c r="JEW71" s="486"/>
      <c r="JEX71" s="486"/>
      <c r="JEY71" s="486"/>
      <c r="JEZ71" s="486"/>
      <c r="JFA71" s="486"/>
      <c r="JFB71" s="486"/>
      <c r="JFC71" s="486"/>
      <c r="JFD71" s="486"/>
      <c r="JFE71" s="486"/>
      <c r="JFF71" s="486"/>
      <c r="JFG71" s="486"/>
      <c r="JFH71" s="486"/>
      <c r="JFI71" s="486"/>
      <c r="JFJ71" s="486"/>
      <c r="JFK71" s="486"/>
      <c r="JFL71" s="486"/>
      <c r="JFM71" s="486"/>
      <c r="JFN71" s="486"/>
      <c r="JFO71" s="487"/>
      <c r="JFP71" s="486"/>
      <c r="JFQ71" s="486"/>
      <c r="JFR71" s="486"/>
      <c r="JFS71" s="486"/>
      <c r="JFT71" s="486"/>
      <c r="JFU71" s="486"/>
      <c r="JFV71" s="486"/>
      <c r="JFW71" s="486"/>
      <c r="JFX71" s="486"/>
      <c r="JFY71" s="486"/>
      <c r="JFZ71" s="486"/>
      <c r="JGA71" s="486"/>
      <c r="JGB71" s="486"/>
      <c r="JGC71" s="486"/>
      <c r="JGD71" s="486"/>
      <c r="JGE71" s="486"/>
      <c r="JGF71" s="486"/>
      <c r="JGG71" s="486"/>
      <c r="JGH71" s="486"/>
      <c r="JGI71" s="486"/>
      <c r="JGJ71" s="486"/>
      <c r="JGK71" s="486"/>
      <c r="JGL71" s="486"/>
      <c r="JGM71" s="486"/>
      <c r="JGN71" s="486"/>
      <c r="JGO71" s="486"/>
      <c r="JGP71" s="486"/>
      <c r="JGQ71" s="486"/>
      <c r="JGR71" s="487"/>
      <c r="JGS71" s="486"/>
      <c r="JGT71" s="486"/>
      <c r="JGU71" s="486"/>
      <c r="JGV71" s="486"/>
      <c r="JGW71" s="486"/>
      <c r="JGX71" s="486"/>
      <c r="JGY71" s="486"/>
      <c r="JGZ71" s="486"/>
      <c r="JHA71" s="486"/>
      <c r="JHB71" s="486"/>
      <c r="JHC71" s="486"/>
      <c r="JHD71" s="486"/>
      <c r="JHE71" s="486"/>
      <c r="JHF71" s="486"/>
      <c r="JHG71" s="486"/>
      <c r="JHH71" s="486"/>
      <c r="JHI71" s="486"/>
      <c r="JHJ71" s="486"/>
      <c r="JHK71" s="486"/>
      <c r="JHL71" s="486"/>
      <c r="JHM71" s="486"/>
      <c r="JHN71" s="486"/>
      <c r="JHO71" s="486"/>
      <c r="JHP71" s="486"/>
      <c r="JHQ71" s="486"/>
      <c r="JHR71" s="486"/>
      <c r="JHS71" s="486"/>
      <c r="JHT71" s="486"/>
      <c r="JHU71" s="487"/>
      <c r="JHV71" s="486"/>
      <c r="JHW71" s="486"/>
      <c r="JHX71" s="486"/>
      <c r="JHY71" s="486"/>
      <c r="JHZ71" s="486"/>
      <c r="JIA71" s="486"/>
      <c r="JIB71" s="486"/>
      <c r="JIC71" s="486"/>
      <c r="JID71" s="486"/>
      <c r="JIE71" s="486"/>
      <c r="JIF71" s="486"/>
      <c r="JIG71" s="486"/>
      <c r="JIH71" s="486"/>
      <c r="JII71" s="486"/>
      <c r="JIJ71" s="486"/>
      <c r="JIK71" s="486"/>
      <c r="JIL71" s="486"/>
      <c r="JIM71" s="486"/>
      <c r="JIN71" s="486"/>
      <c r="JIO71" s="486"/>
      <c r="JIP71" s="486"/>
      <c r="JIQ71" s="486"/>
      <c r="JIR71" s="486"/>
      <c r="JIS71" s="486"/>
      <c r="JIT71" s="486"/>
      <c r="JIU71" s="486"/>
      <c r="JIV71" s="486"/>
      <c r="JIW71" s="486"/>
      <c r="JIX71" s="487"/>
      <c r="JIY71" s="486"/>
      <c r="JIZ71" s="486"/>
      <c r="JJA71" s="486"/>
      <c r="JJB71" s="486"/>
      <c r="JJC71" s="486"/>
      <c r="JJD71" s="486"/>
      <c r="JJE71" s="486"/>
      <c r="JJF71" s="486"/>
      <c r="JJG71" s="486"/>
      <c r="JJH71" s="486"/>
      <c r="JJI71" s="486"/>
      <c r="JJJ71" s="486"/>
      <c r="JJK71" s="486"/>
      <c r="JJL71" s="486"/>
      <c r="JJM71" s="486"/>
      <c r="JJN71" s="486"/>
      <c r="JJO71" s="486"/>
      <c r="JJP71" s="486"/>
      <c r="JJQ71" s="486"/>
      <c r="JJR71" s="486"/>
      <c r="JJS71" s="486"/>
      <c r="JJT71" s="486"/>
      <c r="JJU71" s="486"/>
      <c r="JJV71" s="486"/>
      <c r="JJW71" s="486"/>
      <c r="JJX71" s="486"/>
      <c r="JJY71" s="486"/>
      <c r="JJZ71" s="486"/>
      <c r="JKA71" s="487"/>
      <c r="JKB71" s="486"/>
      <c r="JKC71" s="486"/>
      <c r="JKD71" s="486"/>
      <c r="JKE71" s="486"/>
      <c r="JKF71" s="486"/>
      <c r="JKG71" s="486"/>
      <c r="JKH71" s="486"/>
      <c r="JKI71" s="486"/>
      <c r="JKJ71" s="486"/>
      <c r="JKK71" s="486"/>
      <c r="JKL71" s="486"/>
      <c r="JKM71" s="486"/>
      <c r="JKN71" s="486"/>
      <c r="JKO71" s="486"/>
      <c r="JKP71" s="486"/>
      <c r="JKQ71" s="486"/>
      <c r="JKR71" s="486"/>
      <c r="JKS71" s="486"/>
      <c r="JKT71" s="486"/>
      <c r="JKU71" s="486"/>
      <c r="JKV71" s="486"/>
      <c r="JKW71" s="486"/>
      <c r="JKX71" s="486"/>
      <c r="JKY71" s="486"/>
      <c r="JKZ71" s="486"/>
      <c r="JLA71" s="486"/>
      <c r="JLB71" s="486"/>
      <c r="JLC71" s="486"/>
      <c r="JLD71" s="487"/>
      <c r="JLE71" s="486"/>
      <c r="JLF71" s="486"/>
      <c r="JLG71" s="486"/>
      <c r="JLH71" s="486"/>
      <c r="JLI71" s="486"/>
      <c r="JLJ71" s="486"/>
      <c r="JLK71" s="486"/>
      <c r="JLL71" s="486"/>
      <c r="JLM71" s="486"/>
      <c r="JLN71" s="486"/>
      <c r="JLO71" s="486"/>
      <c r="JLP71" s="486"/>
      <c r="JLQ71" s="486"/>
      <c r="JLR71" s="486"/>
      <c r="JLS71" s="486"/>
      <c r="JLT71" s="486"/>
      <c r="JLU71" s="486"/>
      <c r="JLV71" s="486"/>
      <c r="JLW71" s="486"/>
      <c r="JLX71" s="486"/>
      <c r="JLY71" s="486"/>
      <c r="JLZ71" s="486"/>
      <c r="JMA71" s="486"/>
      <c r="JMB71" s="486"/>
      <c r="JMC71" s="486"/>
      <c r="JMD71" s="486"/>
      <c r="JME71" s="486"/>
      <c r="JMF71" s="486"/>
      <c r="JMG71" s="487"/>
      <c r="JMH71" s="486"/>
      <c r="JMI71" s="486"/>
      <c r="JMJ71" s="486"/>
      <c r="JMK71" s="486"/>
      <c r="JML71" s="486"/>
      <c r="JMM71" s="486"/>
      <c r="JMN71" s="486"/>
      <c r="JMO71" s="486"/>
      <c r="JMP71" s="486"/>
      <c r="JMQ71" s="486"/>
      <c r="JMR71" s="486"/>
      <c r="JMS71" s="486"/>
      <c r="JMT71" s="486"/>
      <c r="JMU71" s="486"/>
      <c r="JMV71" s="486"/>
      <c r="JMW71" s="486"/>
      <c r="JMX71" s="486"/>
      <c r="JMY71" s="486"/>
      <c r="JMZ71" s="486"/>
      <c r="JNA71" s="486"/>
      <c r="JNB71" s="486"/>
      <c r="JNC71" s="486"/>
      <c r="JND71" s="486"/>
      <c r="JNE71" s="486"/>
      <c r="JNF71" s="486"/>
      <c r="JNG71" s="486"/>
      <c r="JNH71" s="486"/>
      <c r="JNI71" s="486"/>
      <c r="JNJ71" s="487"/>
      <c r="JNK71" s="486"/>
      <c r="JNL71" s="486"/>
      <c r="JNM71" s="486"/>
      <c r="JNN71" s="486"/>
      <c r="JNO71" s="486"/>
      <c r="JNP71" s="486"/>
      <c r="JNQ71" s="486"/>
      <c r="JNR71" s="486"/>
      <c r="JNS71" s="486"/>
      <c r="JNT71" s="486"/>
      <c r="JNU71" s="486"/>
      <c r="JNV71" s="486"/>
      <c r="JNW71" s="486"/>
      <c r="JNX71" s="486"/>
      <c r="JNY71" s="486"/>
      <c r="JNZ71" s="486"/>
      <c r="JOA71" s="486"/>
      <c r="JOB71" s="486"/>
      <c r="JOC71" s="486"/>
      <c r="JOD71" s="486"/>
      <c r="JOE71" s="486"/>
      <c r="JOF71" s="486"/>
      <c r="JOG71" s="486"/>
      <c r="JOH71" s="486"/>
      <c r="JOI71" s="486"/>
      <c r="JOJ71" s="486"/>
      <c r="JOK71" s="486"/>
      <c r="JOL71" s="486"/>
      <c r="JOM71" s="487"/>
      <c r="JON71" s="486"/>
      <c r="JOO71" s="486"/>
      <c r="JOP71" s="486"/>
      <c r="JOQ71" s="486"/>
      <c r="JOR71" s="486"/>
      <c r="JOS71" s="486"/>
      <c r="JOT71" s="486"/>
      <c r="JOU71" s="486"/>
      <c r="JOV71" s="486"/>
      <c r="JOW71" s="486"/>
      <c r="JOX71" s="486"/>
      <c r="JOY71" s="486"/>
      <c r="JOZ71" s="486"/>
      <c r="JPA71" s="486"/>
      <c r="JPB71" s="486"/>
      <c r="JPC71" s="486"/>
      <c r="JPD71" s="486"/>
      <c r="JPE71" s="486"/>
      <c r="JPF71" s="486"/>
      <c r="JPG71" s="486"/>
      <c r="JPH71" s="486"/>
      <c r="JPI71" s="486"/>
      <c r="JPJ71" s="486"/>
      <c r="JPK71" s="486"/>
      <c r="JPL71" s="486"/>
      <c r="JPM71" s="486"/>
      <c r="JPN71" s="486"/>
      <c r="JPO71" s="486"/>
      <c r="JPP71" s="487"/>
      <c r="JPQ71" s="486"/>
      <c r="JPR71" s="486"/>
      <c r="JPS71" s="486"/>
      <c r="JPT71" s="486"/>
      <c r="JPU71" s="486"/>
      <c r="JPV71" s="486"/>
      <c r="JPW71" s="486"/>
      <c r="JPX71" s="486"/>
      <c r="JPY71" s="486"/>
      <c r="JPZ71" s="486"/>
      <c r="JQA71" s="486"/>
      <c r="JQB71" s="486"/>
      <c r="JQC71" s="486"/>
      <c r="JQD71" s="486"/>
      <c r="JQE71" s="486"/>
      <c r="JQF71" s="486"/>
      <c r="JQG71" s="486"/>
      <c r="JQH71" s="486"/>
      <c r="JQI71" s="486"/>
      <c r="JQJ71" s="486"/>
      <c r="JQK71" s="486"/>
      <c r="JQL71" s="486"/>
      <c r="JQM71" s="486"/>
      <c r="JQN71" s="486"/>
      <c r="JQO71" s="486"/>
      <c r="JQP71" s="486"/>
      <c r="JQQ71" s="486"/>
      <c r="JQR71" s="486"/>
      <c r="JQS71" s="487"/>
      <c r="JQT71" s="486"/>
      <c r="JQU71" s="486"/>
      <c r="JQV71" s="486"/>
      <c r="JQW71" s="486"/>
      <c r="JQX71" s="486"/>
      <c r="JQY71" s="486"/>
      <c r="JQZ71" s="486"/>
      <c r="JRA71" s="486"/>
      <c r="JRB71" s="486"/>
      <c r="JRC71" s="486"/>
      <c r="JRD71" s="486"/>
      <c r="JRE71" s="486"/>
      <c r="JRF71" s="486"/>
      <c r="JRG71" s="486"/>
      <c r="JRH71" s="486"/>
      <c r="JRI71" s="486"/>
      <c r="JRJ71" s="486"/>
      <c r="JRK71" s="486"/>
      <c r="JRL71" s="486"/>
      <c r="JRM71" s="486"/>
      <c r="JRN71" s="486"/>
      <c r="JRO71" s="486"/>
      <c r="JRP71" s="486"/>
      <c r="JRQ71" s="486"/>
      <c r="JRR71" s="486"/>
      <c r="JRS71" s="486"/>
      <c r="JRT71" s="486"/>
      <c r="JRU71" s="486"/>
      <c r="JRV71" s="487"/>
      <c r="JRW71" s="486"/>
      <c r="JRX71" s="486"/>
      <c r="JRY71" s="486"/>
      <c r="JRZ71" s="486"/>
      <c r="JSA71" s="486"/>
      <c r="JSB71" s="486"/>
      <c r="JSC71" s="486"/>
      <c r="JSD71" s="486"/>
      <c r="JSE71" s="486"/>
      <c r="JSF71" s="486"/>
      <c r="JSG71" s="486"/>
      <c r="JSH71" s="486"/>
      <c r="JSI71" s="486"/>
      <c r="JSJ71" s="486"/>
      <c r="JSK71" s="486"/>
      <c r="JSL71" s="486"/>
      <c r="JSM71" s="486"/>
      <c r="JSN71" s="486"/>
      <c r="JSO71" s="486"/>
      <c r="JSP71" s="486"/>
      <c r="JSQ71" s="486"/>
      <c r="JSR71" s="486"/>
      <c r="JSS71" s="486"/>
      <c r="JST71" s="486"/>
      <c r="JSU71" s="486"/>
      <c r="JSV71" s="486"/>
      <c r="JSW71" s="486"/>
      <c r="JSX71" s="486"/>
      <c r="JSY71" s="487"/>
      <c r="JSZ71" s="486"/>
      <c r="JTA71" s="486"/>
      <c r="JTB71" s="486"/>
      <c r="JTC71" s="486"/>
      <c r="JTD71" s="486"/>
      <c r="JTE71" s="486"/>
      <c r="JTF71" s="486"/>
      <c r="JTG71" s="486"/>
      <c r="JTH71" s="486"/>
      <c r="JTI71" s="486"/>
      <c r="JTJ71" s="486"/>
      <c r="JTK71" s="486"/>
      <c r="JTL71" s="486"/>
      <c r="JTM71" s="486"/>
      <c r="JTN71" s="486"/>
      <c r="JTO71" s="486"/>
      <c r="JTP71" s="486"/>
      <c r="JTQ71" s="486"/>
      <c r="JTR71" s="486"/>
      <c r="JTS71" s="486"/>
      <c r="JTT71" s="486"/>
      <c r="JTU71" s="486"/>
      <c r="JTV71" s="486"/>
      <c r="JTW71" s="486"/>
      <c r="JTX71" s="486"/>
      <c r="JTY71" s="486"/>
      <c r="JTZ71" s="486"/>
      <c r="JUA71" s="486"/>
      <c r="JUB71" s="487"/>
      <c r="JUC71" s="486"/>
      <c r="JUD71" s="486"/>
      <c r="JUE71" s="486"/>
      <c r="JUF71" s="486"/>
      <c r="JUG71" s="486"/>
      <c r="JUH71" s="486"/>
      <c r="JUI71" s="486"/>
      <c r="JUJ71" s="486"/>
      <c r="JUK71" s="486"/>
      <c r="JUL71" s="486"/>
      <c r="JUM71" s="486"/>
      <c r="JUN71" s="486"/>
      <c r="JUO71" s="486"/>
      <c r="JUP71" s="486"/>
      <c r="JUQ71" s="486"/>
      <c r="JUR71" s="486"/>
      <c r="JUS71" s="486"/>
      <c r="JUT71" s="486"/>
      <c r="JUU71" s="486"/>
      <c r="JUV71" s="486"/>
      <c r="JUW71" s="486"/>
      <c r="JUX71" s="486"/>
      <c r="JUY71" s="486"/>
      <c r="JUZ71" s="486"/>
      <c r="JVA71" s="486"/>
      <c r="JVB71" s="486"/>
      <c r="JVC71" s="486"/>
      <c r="JVD71" s="486"/>
      <c r="JVE71" s="487"/>
      <c r="JVF71" s="486"/>
      <c r="JVG71" s="486"/>
      <c r="JVH71" s="486"/>
      <c r="JVI71" s="486"/>
      <c r="JVJ71" s="486"/>
      <c r="JVK71" s="486"/>
      <c r="JVL71" s="486"/>
      <c r="JVM71" s="486"/>
      <c r="JVN71" s="486"/>
      <c r="JVO71" s="486"/>
      <c r="JVP71" s="486"/>
      <c r="JVQ71" s="486"/>
      <c r="JVR71" s="486"/>
      <c r="JVS71" s="486"/>
      <c r="JVT71" s="486"/>
      <c r="JVU71" s="486"/>
      <c r="JVV71" s="486"/>
      <c r="JVW71" s="486"/>
      <c r="JVX71" s="486"/>
      <c r="JVY71" s="486"/>
      <c r="JVZ71" s="486"/>
      <c r="JWA71" s="486"/>
      <c r="JWB71" s="486"/>
      <c r="JWC71" s="486"/>
      <c r="JWD71" s="486"/>
      <c r="JWE71" s="486"/>
      <c r="JWF71" s="486"/>
      <c r="JWG71" s="486"/>
      <c r="JWH71" s="487"/>
      <c r="JWI71" s="486"/>
      <c r="JWJ71" s="486"/>
      <c r="JWK71" s="486"/>
      <c r="JWL71" s="486"/>
      <c r="JWM71" s="486"/>
      <c r="JWN71" s="486"/>
      <c r="JWO71" s="486"/>
      <c r="JWP71" s="486"/>
      <c r="JWQ71" s="486"/>
      <c r="JWR71" s="486"/>
      <c r="JWS71" s="486"/>
      <c r="JWT71" s="486"/>
      <c r="JWU71" s="486"/>
      <c r="JWV71" s="486"/>
      <c r="JWW71" s="486"/>
      <c r="JWX71" s="486"/>
      <c r="JWY71" s="486"/>
      <c r="JWZ71" s="486"/>
      <c r="JXA71" s="486"/>
      <c r="JXB71" s="486"/>
      <c r="JXC71" s="486"/>
      <c r="JXD71" s="486"/>
      <c r="JXE71" s="486"/>
      <c r="JXF71" s="486"/>
      <c r="JXG71" s="486"/>
      <c r="JXH71" s="486"/>
      <c r="JXI71" s="486"/>
      <c r="JXJ71" s="486"/>
      <c r="JXK71" s="487"/>
      <c r="JXL71" s="486"/>
      <c r="JXM71" s="486"/>
      <c r="JXN71" s="486"/>
      <c r="JXO71" s="486"/>
      <c r="JXP71" s="486"/>
      <c r="JXQ71" s="486"/>
      <c r="JXR71" s="486"/>
      <c r="JXS71" s="486"/>
      <c r="JXT71" s="486"/>
      <c r="JXU71" s="486"/>
      <c r="JXV71" s="486"/>
      <c r="JXW71" s="486"/>
      <c r="JXX71" s="486"/>
      <c r="JXY71" s="486"/>
      <c r="JXZ71" s="486"/>
      <c r="JYA71" s="486"/>
      <c r="JYB71" s="486"/>
      <c r="JYC71" s="486"/>
      <c r="JYD71" s="486"/>
      <c r="JYE71" s="486"/>
      <c r="JYF71" s="486"/>
      <c r="JYG71" s="486"/>
      <c r="JYH71" s="486"/>
      <c r="JYI71" s="486"/>
      <c r="JYJ71" s="486"/>
      <c r="JYK71" s="486"/>
      <c r="JYL71" s="486"/>
      <c r="JYM71" s="486"/>
      <c r="JYN71" s="487"/>
      <c r="JYO71" s="486"/>
      <c r="JYP71" s="486"/>
      <c r="JYQ71" s="486"/>
      <c r="JYR71" s="486"/>
      <c r="JYS71" s="486"/>
      <c r="JYT71" s="486"/>
      <c r="JYU71" s="486"/>
      <c r="JYV71" s="486"/>
      <c r="JYW71" s="486"/>
      <c r="JYX71" s="486"/>
      <c r="JYY71" s="486"/>
      <c r="JYZ71" s="486"/>
      <c r="JZA71" s="486"/>
      <c r="JZB71" s="486"/>
      <c r="JZC71" s="486"/>
      <c r="JZD71" s="486"/>
      <c r="JZE71" s="486"/>
      <c r="JZF71" s="486"/>
      <c r="JZG71" s="486"/>
      <c r="JZH71" s="486"/>
      <c r="JZI71" s="486"/>
      <c r="JZJ71" s="486"/>
      <c r="JZK71" s="486"/>
      <c r="JZL71" s="486"/>
      <c r="JZM71" s="486"/>
      <c r="JZN71" s="486"/>
      <c r="JZO71" s="486"/>
      <c r="JZP71" s="486"/>
      <c r="JZQ71" s="487"/>
      <c r="JZR71" s="486"/>
      <c r="JZS71" s="486"/>
      <c r="JZT71" s="486"/>
      <c r="JZU71" s="486"/>
      <c r="JZV71" s="486"/>
      <c r="JZW71" s="486"/>
      <c r="JZX71" s="486"/>
      <c r="JZY71" s="486"/>
      <c r="JZZ71" s="486"/>
      <c r="KAA71" s="486"/>
      <c r="KAB71" s="486"/>
      <c r="KAC71" s="486"/>
      <c r="KAD71" s="486"/>
      <c r="KAE71" s="486"/>
      <c r="KAF71" s="486"/>
      <c r="KAG71" s="486"/>
      <c r="KAH71" s="486"/>
      <c r="KAI71" s="486"/>
      <c r="KAJ71" s="486"/>
      <c r="KAK71" s="486"/>
      <c r="KAL71" s="486"/>
      <c r="KAM71" s="486"/>
      <c r="KAN71" s="486"/>
      <c r="KAO71" s="486"/>
      <c r="KAP71" s="486"/>
      <c r="KAQ71" s="486"/>
      <c r="KAR71" s="486"/>
      <c r="KAS71" s="486"/>
      <c r="KAT71" s="487"/>
      <c r="KAU71" s="486"/>
      <c r="KAV71" s="486"/>
      <c r="KAW71" s="486"/>
      <c r="KAX71" s="486"/>
      <c r="KAY71" s="486"/>
      <c r="KAZ71" s="486"/>
      <c r="KBA71" s="486"/>
      <c r="KBB71" s="486"/>
      <c r="KBC71" s="486"/>
      <c r="KBD71" s="486"/>
      <c r="KBE71" s="486"/>
      <c r="KBF71" s="486"/>
      <c r="KBG71" s="486"/>
      <c r="KBH71" s="486"/>
      <c r="KBI71" s="486"/>
      <c r="KBJ71" s="486"/>
      <c r="KBK71" s="486"/>
      <c r="KBL71" s="486"/>
      <c r="KBM71" s="486"/>
      <c r="KBN71" s="486"/>
      <c r="KBO71" s="486"/>
      <c r="KBP71" s="486"/>
      <c r="KBQ71" s="486"/>
      <c r="KBR71" s="486"/>
      <c r="KBS71" s="486"/>
      <c r="KBT71" s="486"/>
      <c r="KBU71" s="486"/>
      <c r="KBV71" s="486"/>
      <c r="KBW71" s="487"/>
      <c r="KBX71" s="486"/>
      <c r="KBY71" s="486"/>
      <c r="KBZ71" s="486"/>
      <c r="KCA71" s="486"/>
      <c r="KCB71" s="486"/>
      <c r="KCC71" s="486"/>
      <c r="KCD71" s="486"/>
      <c r="KCE71" s="486"/>
      <c r="KCF71" s="486"/>
      <c r="KCG71" s="486"/>
      <c r="KCH71" s="486"/>
      <c r="KCI71" s="486"/>
      <c r="KCJ71" s="486"/>
      <c r="KCK71" s="486"/>
      <c r="KCL71" s="486"/>
      <c r="KCM71" s="486"/>
      <c r="KCN71" s="486"/>
      <c r="KCO71" s="486"/>
      <c r="KCP71" s="486"/>
      <c r="KCQ71" s="486"/>
      <c r="KCR71" s="486"/>
      <c r="KCS71" s="486"/>
      <c r="KCT71" s="486"/>
      <c r="KCU71" s="486"/>
      <c r="KCV71" s="486"/>
      <c r="KCW71" s="486"/>
      <c r="KCX71" s="486"/>
      <c r="KCY71" s="486"/>
      <c r="KCZ71" s="487"/>
      <c r="KDA71" s="486"/>
      <c r="KDB71" s="486"/>
      <c r="KDC71" s="486"/>
      <c r="KDD71" s="486"/>
      <c r="KDE71" s="486"/>
      <c r="KDF71" s="486"/>
      <c r="KDG71" s="486"/>
      <c r="KDH71" s="486"/>
      <c r="KDI71" s="486"/>
      <c r="KDJ71" s="486"/>
      <c r="KDK71" s="486"/>
      <c r="KDL71" s="486"/>
      <c r="KDM71" s="486"/>
      <c r="KDN71" s="486"/>
      <c r="KDO71" s="486"/>
      <c r="KDP71" s="486"/>
      <c r="KDQ71" s="486"/>
      <c r="KDR71" s="486"/>
      <c r="KDS71" s="486"/>
      <c r="KDT71" s="486"/>
      <c r="KDU71" s="486"/>
      <c r="KDV71" s="486"/>
      <c r="KDW71" s="486"/>
      <c r="KDX71" s="486"/>
      <c r="KDY71" s="486"/>
      <c r="KDZ71" s="486"/>
      <c r="KEA71" s="486"/>
      <c r="KEB71" s="486"/>
      <c r="KEC71" s="487"/>
      <c r="KED71" s="486"/>
      <c r="KEE71" s="486"/>
      <c r="KEF71" s="486"/>
      <c r="KEG71" s="486"/>
      <c r="KEH71" s="486"/>
      <c r="KEI71" s="486"/>
      <c r="KEJ71" s="486"/>
      <c r="KEK71" s="486"/>
      <c r="KEL71" s="486"/>
      <c r="KEM71" s="486"/>
      <c r="KEN71" s="486"/>
      <c r="KEO71" s="486"/>
      <c r="KEP71" s="486"/>
      <c r="KEQ71" s="486"/>
      <c r="KER71" s="486"/>
      <c r="KES71" s="486"/>
      <c r="KET71" s="486"/>
      <c r="KEU71" s="486"/>
      <c r="KEV71" s="486"/>
      <c r="KEW71" s="486"/>
      <c r="KEX71" s="486"/>
      <c r="KEY71" s="486"/>
      <c r="KEZ71" s="486"/>
      <c r="KFA71" s="486"/>
      <c r="KFB71" s="486"/>
      <c r="KFC71" s="486"/>
      <c r="KFD71" s="486"/>
      <c r="KFE71" s="486"/>
      <c r="KFF71" s="487"/>
      <c r="KFG71" s="486"/>
      <c r="KFH71" s="486"/>
      <c r="KFI71" s="486"/>
      <c r="KFJ71" s="486"/>
      <c r="KFK71" s="486"/>
      <c r="KFL71" s="486"/>
      <c r="KFM71" s="486"/>
      <c r="KFN71" s="486"/>
      <c r="KFO71" s="486"/>
      <c r="KFP71" s="486"/>
      <c r="KFQ71" s="486"/>
      <c r="KFR71" s="486"/>
      <c r="KFS71" s="486"/>
      <c r="KFT71" s="486"/>
      <c r="KFU71" s="486"/>
      <c r="KFV71" s="486"/>
      <c r="KFW71" s="486"/>
      <c r="KFX71" s="486"/>
      <c r="KFY71" s="486"/>
      <c r="KFZ71" s="486"/>
      <c r="KGA71" s="486"/>
      <c r="KGB71" s="486"/>
      <c r="KGC71" s="486"/>
      <c r="KGD71" s="486"/>
      <c r="KGE71" s="486"/>
      <c r="KGF71" s="486"/>
      <c r="KGG71" s="486"/>
      <c r="KGH71" s="486"/>
      <c r="KGI71" s="487"/>
      <c r="KGJ71" s="486"/>
      <c r="KGK71" s="486"/>
      <c r="KGL71" s="486"/>
      <c r="KGM71" s="486"/>
      <c r="KGN71" s="486"/>
      <c r="KGO71" s="486"/>
      <c r="KGP71" s="486"/>
      <c r="KGQ71" s="486"/>
      <c r="KGR71" s="486"/>
      <c r="KGS71" s="486"/>
      <c r="KGT71" s="486"/>
      <c r="KGU71" s="486"/>
      <c r="KGV71" s="486"/>
      <c r="KGW71" s="486"/>
      <c r="KGX71" s="486"/>
      <c r="KGY71" s="486"/>
      <c r="KGZ71" s="486"/>
      <c r="KHA71" s="486"/>
      <c r="KHB71" s="486"/>
      <c r="KHC71" s="486"/>
      <c r="KHD71" s="486"/>
      <c r="KHE71" s="486"/>
      <c r="KHF71" s="486"/>
      <c r="KHG71" s="486"/>
      <c r="KHH71" s="486"/>
      <c r="KHI71" s="486"/>
      <c r="KHJ71" s="486"/>
      <c r="KHK71" s="486"/>
      <c r="KHL71" s="487"/>
      <c r="KHM71" s="486"/>
      <c r="KHN71" s="486"/>
      <c r="KHO71" s="486"/>
      <c r="KHP71" s="486"/>
      <c r="KHQ71" s="486"/>
      <c r="KHR71" s="486"/>
      <c r="KHS71" s="486"/>
      <c r="KHT71" s="486"/>
      <c r="KHU71" s="486"/>
      <c r="KHV71" s="486"/>
      <c r="KHW71" s="486"/>
      <c r="KHX71" s="486"/>
      <c r="KHY71" s="486"/>
      <c r="KHZ71" s="486"/>
      <c r="KIA71" s="486"/>
      <c r="KIB71" s="486"/>
      <c r="KIC71" s="486"/>
      <c r="KID71" s="486"/>
      <c r="KIE71" s="486"/>
      <c r="KIF71" s="486"/>
      <c r="KIG71" s="486"/>
      <c r="KIH71" s="486"/>
      <c r="KII71" s="486"/>
      <c r="KIJ71" s="486"/>
      <c r="KIK71" s="486"/>
      <c r="KIL71" s="486"/>
      <c r="KIM71" s="486"/>
      <c r="KIN71" s="486"/>
      <c r="KIO71" s="487"/>
      <c r="KIP71" s="486"/>
      <c r="KIQ71" s="486"/>
      <c r="KIR71" s="486"/>
      <c r="KIS71" s="486"/>
      <c r="KIT71" s="486"/>
      <c r="KIU71" s="486"/>
      <c r="KIV71" s="486"/>
      <c r="KIW71" s="486"/>
      <c r="KIX71" s="486"/>
      <c r="KIY71" s="486"/>
      <c r="KIZ71" s="486"/>
      <c r="KJA71" s="486"/>
      <c r="KJB71" s="486"/>
      <c r="KJC71" s="486"/>
      <c r="KJD71" s="486"/>
      <c r="KJE71" s="486"/>
      <c r="KJF71" s="486"/>
      <c r="KJG71" s="486"/>
      <c r="KJH71" s="486"/>
      <c r="KJI71" s="486"/>
      <c r="KJJ71" s="486"/>
      <c r="KJK71" s="486"/>
      <c r="KJL71" s="486"/>
      <c r="KJM71" s="486"/>
      <c r="KJN71" s="486"/>
      <c r="KJO71" s="486"/>
      <c r="KJP71" s="486"/>
      <c r="KJQ71" s="486"/>
      <c r="KJR71" s="487"/>
      <c r="KJS71" s="486"/>
      <c r="KJT71" s="486"/>
      <c r="KJU71" s="486"/>
      <c r="KJV71" s="486"/>
      <c r="KJW71" s="486"/>
      <c r="KJX71" s="486"/>
      <c r="KJY71" s="486"/>
      <c r="KJZ71" s="486"/>
      <c r="KKA71" s="486"/>
      <c r="KKB71" s="486"/>
      <c r="KKC71" s="486"/>
      <c r="KKD71" s="486"/>
      <c r="KKE71" s="486"/>
      <c r="KKF71" s="486"/>
      <c r="KKG71" s="486"/>
      <c r="KKH71" s="486"/>
      <c r="KKI71" s="486"/>
      <c r="KKJ71" s="486"/>
      <c r="KKK71" s="486"/>
      <c r="KKL71" s="486"/>
      <c r="KKM71" s="486"/>
      <c r="KKN71" s="486"/>
      <c r="KKO71" s="486"/>
      <c r="KKP71" s="486"/>
      <c r="KKQ71" s="486"/>
      <c r="KKR71" s="486"/>
      <c r="KKS71" s="486"/>
      <c r="KKT71" s="486"/>
      <c r="KKU71" s="487"/>
      <c r="KKV71" s="486"/>
      <c r="KKW71" s="486"/>
      <c r="KKX71" s="486"/>
      <c r="KKY71" s="486"/>
      <c r="KKZ71" s="486"/>
      <c r="KLA71" s="486"/>
      <c r="KLB71" s="486"/>
      <c r="KLC71" s="486"/>
      <c r="KLD71" s="486"/>
      <c r="KLE71" s="486"/>
      <c r="KLF71" s="486"/>
      <c r="KLG71" s="486"/>
      <c r="KLH71" s="486"/>
      <c r="KLI71" s="486"/>
      <c r="KLJ71" s="486"/>
      <c r="KLK71" s="486"/>
      <c r="KLL71" s="486"/>
      <c r="KLM71" s="486"/>
      <c r="KLN71" s="486"/>
      <c r="KLO71" s="486"/>
      <c r="KLP71" s="486"/>
      <c r="KLQ71" s="486"/>
      <c r="KLR71" s="486"/>
      <c r="KLS71" s="486"/>
      <c r="KLT71" s="486"/>
      <c r="KLU71" s="486"/>
      <c r="KLV71" s="486"/>
      <c r="KLW71" s="486"/>
      <c r="KLX71" s="487"/>
      <c r="KLY71" s="486"/>
      <c r="KLZ71" s="486"/>
      <c r="KMA71" s="486"/>
      <c r="KMB71" s="486"/>
      <c r="KMC71" s="486"/>
      <c r="KMD71" s="486"/>
      <c r="KME71" s="486"/>
      <c r="KMF71" s="486"/>
      <c r="KMG71" s="486"/>
      <c r="KMH71" s="486"/>
      <c r="KMI71" s="486"/>
      <c r="KMJ71" s="486"/>
      <c r="KMK71" s="486"/>
      <c r="KML71" s="486"/>
      <c r="KMM71" s="486"/>
      <c r="KMN71" s="486"/>
      <c r="KMO71" s="486"/>
      <c r="KMP71" s="486"/>
      <c r="KMQ71" s="486"/>
      <c r="KMR71" s="486"/>
      <c r="KMS71" s="486"/>
      <c r="KMT71" s="486"/>
      <c r="KMU71" s="486"/>
      <c r="KMV71" s="486"/>
      <c r="KMW71" s="486"/>
      <c r="KMX71" s="486"/>
      <c r="KMY71" s="486"/>
      <c r="KMZ71" s="486"/>
      <c r="KNA71" s="487"/>
      <c r="KNB71" s="486"/>
      <c r="KNC71" s="486"/>
      <c r="KND71" s="486"/>
      <c r="KNE71" s="486"/>
      <c r="KNF71" s="486"/>
      <c r="KNG71" s="486"/>
      <c r="KNH71" s="486"/>
      <c r="KNI71" s="486"/>
      <c r="KNJ71" s="486"/>
      <c r="KNK71" s="486"/>
      <c r="KNL71" s="486"/>
      <c r="KNM71" s="486"/>
      <c r="KNN71" s="486"/>
      <c r="KNO71" s="486"/>
      <c r="KNP71" s="486"/>
      <c r="KNQ71" s="486"/>
      <c r="KNR71" s="486"/>
      <c r="KNS71" s="486"/>
      <c r="KNT71" s="486"/>
      <c r="KNU71" s="486"/>
      <c r="KNV71" s="486"/>
      <c r="KNW71" s="486"/>
      <c r="KNX71" s="486"/>
      <c r="KNY71" s="486"/>
      <c r="KNZ71" s="486"/>
      <c r="KOA71" s="486"/>
      <c r="KOB71" s="486"/>
      <c r="KOC71" s="486"/>
      <c r="KOD71" s="487"/>
      <c r="KOE71" s="486"/>
      <c r="KOF71" s="486"/>
      <c r="KOG71" s="486"/>
      <c r="KOH71" s="486"/>
      <c r="KOI71" s="486"/>
      <c r="KOJ71" s="486"/>
      <c r="KOK71" s="486"/>
      <c r="KOL71" s="486"/>
      <c r="KOM71" s="486"/>
      <c r="KON71" s="486"/>
      <c r="KOO71" s="486"/>
      <c r="KOP71" s="486"/>
      <c r="KOQ71" s="486"/>
      <c r="KOR71" s="486"/>
      <c r="KOS71" s="486"/>
      <c r="KOT71" s="486"/>
      <c r="KOU71" s="486"/>
      <c r="KOV71" s="486"/>
      <c r="KOW71" s="486"/>
      <c r="KOX71" s="486"/>
      <c r="KOY71" s="486"/>
      <c r="KOZ71" s="486"/>
      <c r="KPA71" s="486"/>
      <c r="KPB71" s="486"/>
      <c r="KPC71" s="486"/>
      <c r="KPD71" s="486"/>
      <c r="KPE71" s="486"/>
      <c r="KPF71" s="486"/>
      <c r="KPG71" s="487"/>
      <c r="KPH71" s="486"/>
      <c r="KPI71" s="486"/>
      <c r="KPJ71" s="486"/>
      <c r="KPK71" s="486"/>
      <c r="KPL71" s="486"/>
      <c r="KPM71" s="486"/>
      <c r="KPN71" s="486"/>
      <c r="KPO71" s="486"/>
      <c r="KPP71" s="486"/>
      <c r="KPQ71" s="486"/>
      <c r="KPR71" s="486"/>
      <c r="KPS71" s="486"/>
      <c r="KPT71" s="486"/>
      <c r="KPU71" s="486"/>
      <c r="KPV71" s="486"/>
      <c r="KPW71" s="486"/>
      <c r="KPX71" s="486"/>
      <c r="KPY71" s="486"/>
      <c r="KPZ71" s="486"/>
      <c r="KQA71" s="486"/>
      <c r="KQB71" s="486"/>
      <c r="KQC71" s="486"/>
      <c r="KQD71" s="486"/>
      <c r="KQE71" s="486"/>
      <c r="KQF71" s="486"/>
      <c r="KQG71" s="486"/>
      <c r="KQH71" s="486"/>
      <c r="KQI71" s="486"/>
      <c r="KQJ71" s="487"/>
      <c r="KQK71" s="486"/>
      <c r="KQL71" s="486"/>
      <c r="KQM71" s="486"/>
      <c r="KQN71" s="486"/>
      <c r="KQO71" s="486"/>
      <c r="KQP71" s="486"/>
      <c r="KQQ71" s="486"/>
      <c r="KQR71" s="486"/>
      <c r="KQS71" s="486"/>
      <c r="KQT71" s="486"/>
      <c r="KQU71" s="486"/>
      <c r="KQV71" s="486"/>
      <c r="KQW71" s="486"/>
      <c r="KQX71" s="486"/>
      <c r="KQY71" s="486"/>
      <c r="KQZ71" s="486"/>
      <c r="KRA71" s="486"/>
      <c r="KRB71" s="486"/>
      <c r="KRC71" s="486"/>
      <c r="KRD71" s="486"/>
      <c r="KRE71" s="486"/>
      <c r="KRF71" s="486"/>
      <c r="KRG71" s="486"/>
      <c r="KRH71" s="486"/>
      <c r="KRI71" s="486"/>
      <c r="KRJ71" s="486"/>
      <c r="KRK71" s="486"/>
      <c r="KRL71" s="486"/>
      <c r="KRM71" s="487"/>
      <c r="KRN71" s="486"/>
      <c r="KRO71" s="486"/>
      <c r="KRP71" s="486"/>
      <c r="KRQ71" s="486"/>
      <c r="KRR71" s="486"/>
      <c r="KRS71" s="486"/>
      <c r="KRT71" s="486"/>
      <c r="KRU71" s="486"/>
      <c r="KRV71" s="486"/>
      <c r="KRW71" s="486"/>
      <c r="KRX71" s="486"/>
      <c r="KRY71" s="486"/>
      <c r="KRZ71" s="486"/>
      <c r="KSA71" s="486"/>
      <c r="KSB71" s="486"/>
      <c r="KSC71" s="486"/>
      <c r="KSD71" s="486"/>
      <c r="KSE71" s="486"/>
      <c r="KSF71" s="486"/>
      <c r="KSG71" s="486"/>
      <c r="KSH71" s="486"/>
      <c r="KSI71" s="486"/>
      <c r="KSJ71" s="486"/>
      <c r="KSK71" s="486"/>
      <c r="KSL71" s="486"/>
      <c r="KSM71" s="486"/>
      <c r="KSN71" s="486"/>
      <c r="KSO71" s="486"/>
      <c r="KSP71" s="487"/>
      <c r="KSQ71" s="486"/>
      <c r="KSR71" s="486"/>
      <c r="KSS71" s="486"/>
      <c r="KST71" s="486"/>
      <c r="KSU71" s="486"/>
      <c r="KSV71" s="486"/>
      <c r="KSW71" s="486"/>
      <c r="KSX71" s="486"/>
      <c r="KSY71" s="486"/>
      <c r="KSZ71" s="486"/>
      <c r="KTA71" s="486"/>
      <c r="KTB71" s="486"/>
      <c r="KTC71" s="486"/>
      <c r="KTD71" s="486"/>
      <c r="KTE71" s="486"/>
      <c r="KTF71" s="486"/>
      <c r="KTG71" s="486"/>
      <c r="KTH71" s="486"/>
      <c r="KTI71" s="486"/>
      <c r="KTJ71" s="486"/>
      <c r="KTK71" s="486"/>
      <c r="KTL71" s="486"/>
      <c r="KTM71" s="486"/>
      <c r="KTN71" s="486"/>
      <c r="KTO71" s="486"/>
      <c r="KTP71" s="486"/>
      <c r="KTQ71" s="486"/>
      <c r="KTR71" s="486"/>
      <c r="KTS71" s="487"/>
      <c r="KTT71" s="486"/>
      <c r="KTU71" s="486"/>
      <c r="KTV71" s="486"/>
      <c r="KTW71" s="486"/>
      <c r="KTX71" s="486"/>
      <c r="KTY71" s="486"/>
      <c r="KTZ71" s="486"/>
      <c r="KUA71" s="486"/>
      <c r="KUB71" s="486"/>
      <c r="KUC71" s="486"/>
      <c r="KUD71" s="486"/>
      <c r="KUE71" s="486"/>
      <c r="KUF71" s="486"/>
      <c r="KUG71" s="486"/>
      <c r="KUH71" s="486"/>
      <c r="KUI71" s="486"/>
      <c r="KUJ71" s="486"/>
      <c r="KUK71" s="486"/>
      <c r="KUL71" s="486"/>
      <c r="KUM71" s="486"/>
      <c r="KUN71" s="486"/>
      <c r="KUO71" s="486"/>
      <c r="KUP71" s="486"/>
      <c r="KUQ71" s="486"/>
      <c r="KUR71" s="486"/>
      <c r="KUS71" s="486"/>
      <c r="KUT71" s="486"/>
      <c r="KUU71" s="486"/>
      <c r="KUV71" s="487"/>
      <c r="KUW71" s="486"/>
      <c r="KUX71" s="486"/>
      <c r="KUY71" s="486"/>
      <c r="KUZ71" s="486"/>
      <c r="KVA71" s="486"/>
      <c r="KVB71" s="486"/>
      <c r="KVC71" s="486"/>
      <c r="KVD71" s="486"/>
      <c r="KVE71" s="486"/>
      <c r="KVF71" s="486"/>
      <c r="KVG71" s="486"/>
      <c r="KVH71" s="486"/>
      <c r="KVI71" s="486"/>
      <c r="KVJ71" s="486"/>
      <c r="KVK71" s="486"/>
      <c r="KVL71" s="486"/>
      <c r="KVM71" s="486"/>
      <c r="KVN71" s="486"/>
      <c r="KVO71" s="486"/>
      <c r="KVP71" s="486"/>
      <c r="KVQ71" s="486"/>
      <c r="KVR71" s="486"/>
      <c r="KVS71" s="486"/>
      <c r="KVT71" s="486"/>
      <c r="KVU71" s="486"/>
      <c r="KVV71" s="486"/>
      <c r="KVW71" s="486"/>
      <c r="KVX71" s="486"/>
      <c r="KVY71" s="487"/>
      <c r="KVZ71" s="486"/>
      <c r="KWA71" s="486"/>
      <c r="KWB71" s="486"/>
      <c r="KWC71" s="486"/>
      <c r="KWD71" s="486"/>
      <c r="KWE71" s="486"/>
      <c r="KWF71" s="486"/>
      <c r="KWG71" s="486"/>
      <c r="KWH71" s="486"/>
      <c r="KWI71" s="486"/>
      <c r="KWJ71" s="486"/>
      <c r="KWK71" s="486"/>
      <c r="KWL71" s="486"/>
      <c r="KWM71" s="486"/>
      <c r="KWN71" s="486"/>
      <c r="KWO71" s="486"/>
      <c r="KWP71" s="486"/>
      <c r="KWQ71" s="486"/>
      <c r="KWR71" s="486"/>
      <c r="KWS71" s="486"/>
      <c r="KWT71" s="486"/>
      <c r="KWU71" s="486"/>
      <c r="KWV71" s="486"/>
      <c r="KWW71" s="486"/>
      <c r="KWX71" s="486"/>
      <c r="KWY71" s="486"/>
      <c r="KWZ71" s="486"/>
      <c r="KXA71" s="486"/>
      <c r="KXB71" s="487"/>
      <c r="KXC71" s="486"/>
      <c r="KXD71" s="486"/>
      <c r="KXE71" s="486"/>
      <c r="KXF71" s="486"/>
      <c r="KXG71" s="486"/>
      <c r="KXH71" s="486"/>
      <c r="KXI71" s="486"/>
      <c r="KXJ71" s="486"/>
      <c r="KXK71" s="486"/>
      <c r="KXL71" s="486"/>
      <c r="KXM71" s="486"/>
      <c r="KXN71" s="486"/>
      <c r="KXO71" s="486"/>
      <c r="KXP71" s="486"/>
      <c r="KXQ71" s="486"/>
      <c r="KXR71" s="486"/>
      <c r="KXS71" s="486"/>
      <c r="KXT71" s="486"/>
      <c r="KXU71" s="486"/>
      <c r="KXV71" s="486"/>
      <c r="KXW71" s="486"/>
      <c r="KXX71" s="486"/>
      <c r="KXY71" s="486"/>
      <c r="KXZ71" s="486"/>
      <c r="KYA71" s="486"/>
      <c r="KYB71" s="486"/>
      <c r="KYC71" s="486"/>
      <c r="KYD71" s="486"/>
      <c r="KYE71" s="487"/>
      <c r="KYF71" s="486"/>
      <c r="KYG71" s="486"/>
      <c r="KYH71" s="486"/>
      <c r="KYI71" s="486"/>
      <c r="KYJ71" s="486"/>
      <c r="KYK71" s="486"/>
      <c r="KYL71" s="486"/>
      <c r="KYM71" s="486"/>
      <c r="KYN71" s="486"/>
      <c r="KYO71" s="486"/>
      <c r="KYP71" s="486"/>
      <c r="KYQ71" s="486"/>
      <c r="KYR71" s="486"/>
      <c r="KYS71" s="486"/>
      <c r="KYT71" s="486"/>
      <c r="KYU71" s="486"/>
      <c r="KYV71" s="486"/>
      <c r="KYW71" s="486"/>
      <c r="KYX71" s="486"/>
      <c r="KYY71" s="486"/>
      <c r="KYZ71" s="486"/>
      <c r="KZA71" s="486"/>
      <c r="KZB71" s="486"/>
      <c r="KZC71" s="486"/>
      <c r="KZD71" s="486"/>
      <c r="KZE71" s="486"/>
      <c r="KZF71" s="486"/>
      <c r="KZG71" s="486"/>
      <c r="KZH71" s="487"/>
      <c r="KZI71" s="486"/>
      <c r="KZJ71" s="486"/>
      <c r="KZK71" s="486"/>
      <c r="KZL71" s="486"/>
      <c r="KZM71" s="486"/>
      <c r="KZN71" s="486"/>
      <c r="KZO71" s="486"/>
      <c r="KZP71" s="486"/>
      <c r="KZQ71" s="486"/>
      <c r="KZR71" s="486"/>
      <c r="KZS71" s="486"/>
      <c r="KZT71" s="486"/>
      <c r="KZU71" s="486"/>
      <c r="KZV71" s="486"/>
      <c r="KZW71" s="486"/>
      <c r="KZX71" s="486"/>
      <c r="KZY71" s="486"/>
      <c r="KZZ71" s="486"/>
      <c r="LAA71" s="486"/>
      <c r="LAB71" s="486"/>
      <c r="LAC71" s="486"/>
      <c r="LAD71" s="486"/>
      <c r="LAE71" s="486"/>
      <c r="LAF71" s="486"/>
      <c r="LAG71" s="486"/>
      <c r="LAH71" s="486"/>
      <c r="LAI71" s="486"/>
      <c r="LAJ71" s="486"/>
      <c r="LAK71" s="487"/>
      <c r="LAL71" s="486"/>
      <c r="LAM71" s="486"/>
      <c r="LAN71" s="486"/>
      <c r="LAO71" s="486"/>
      <c r="LAP71" s="486"/>
      <c r="LAQ71" s="486"/>
      <c r="LAR71" s="486"/>
      <c r="LAS71" s="486"/>
      <c r="LAT71" s="486"/>
      <c r="LAU71" s="486"/>
      <c r="LAV71" s="486"/>
      <c r="LAW71" s="486"/>
      <c r="LAX71" s="486"/>
      <c r="LAY71" s="486"/>
      <c r="LAZ71" s="486"/>
      <c r="LBA71" s="486"/>
      <c r="LBB71" s="486"/>
      <c r="LBC71" s="486"/>
      <c r="LBD71" s="486"/>
      <c r="LBE71" s="486"/>
      <c r="LBF71" s="486"/>
      <c r="LBG71" s="486"/>
      <c r="LBH71" s="486"/>
      <c r="LBI71" s="486"/>
      <c r="LBJ71" s="486"/>
      <c r="LBK71" s="486"/>
      <c r="LBL71" s="486"/>
      <c r="LBM71" s="486"/>
      <c r="LBN71" s="487"/>
      <c r="LBO71" s="486"/>
      <c r="LBP71" s="486"/>
      <c r="LBQ71" s="486"/>
      <c r="LBR71" s="486"/>
      <c r="LBS71" s="486"/>
      <c r="LBT71" s="486"/>
      <c r="LBU71" s="486"/>
      <c r="LBV71" s="486"/>
      <c r="LBW71" s="486"/>
      <c r="LBX71" s="486"/>
      <c r="LBY71" s="486"/>
      <c r="LBZ71" s="486"/>
      <c r="LCA71" s="486"/>
      <c r="LCB71" s="486"/>
      <c r="LCC71" s="486"/>
      <c r="LCD71" s="486"/>
      <c r="LCE71" s="486"/>
      <c r="LCF71" s="486"/>
      <c r="LCG71" s="486"/>
      <c r="LCH71" s="486"/>
      <c r="LCI71" s="486"/>
      <c r="LCJ71" s="486"/>
      <c r="LCK71" s="486"/>
      <c r="LCL71" s="486"/>
      <c r="LCM71" s="486"/>
      <c r="LCN71" s="486"/>
      <c r="LCO71" s="486"/>
      <c r="LCP71" s="486"/>
      <c r="LCQ71" s="487"/>
      <c r="LCR71" s="486"/>
      <c r="LCS71" s="486"/>
      <c r="LCT71" s="486"/>
      <c r="LCU71" s="486"/>
      <c r="LCV71" s="486"/>
      <c r="LCW71" s="486"/>
      <c r="LCX71" s="486"/>
      <c r="LCY71" s="486"/>
      <c r="LCZ71" s="486"/>
      <c r="LDA71" s="486"/>
      <c r="LDB71" s="486"/>
      <c r="LDC71" s="486"/>
      <c r="LDD71" s="486"/>
      <c r="LDE71" s="486"/>
      <c r="LDF71" s="486"/>
      <c r="LDG71" s="486"/>
      <c r="LDH71" s="486"/>
      <c r="LDI71" s="486"/>
      <c r="LDJ71" s="486"/>
      <c r="LDK71" s="486"/>
      <c r="LDL71" s="486"/>
      <c r="LDM71" s="486"/>
      <c r="LDN71" s="486"/>
      <c r="LDO71" s="486"/>
      <c r="LDP71" s="486"/>
      <c r="LDQ71" s="486"/>
      <c r="LDR71" s="486"/>
      <c r="LDS71" s="486"/>
      <c r="LDT71" s="487"/>
      <c r="LDU71" s="486"/>
      <c r="LDV71" s="486"/>
      <c r="LDW71" s="486"/>
      <c r="LDX71" s="486"/>
      <c r="LDY71" s="486"/>
      <c r="LDZ71" s="486"/>
      <c r="LEA71" s="486"/>
      <c r="LEB71" s="486"/>
      <c r="LEC71" s="486"/>
      <c r="LED71" s="486"/>
      <c r="LEE71" s="486"/>
      <c r="LEF71" s="486"/>
      <c r="LEG71" s="486"/>
      <c r="LEH71" s="486"/>
      <c r="LEI71" s="486"/>
      <c r="LEJ71" s="486"/>
      <c r="LEK71" s="486"/>
      <c r="LEL71" s="486"/>
      <c r="LEM71" s="486"/>
      <c r="LEN71" s="486"/>
      <c r="LEO71" s="486"/>
      <c r="LEP71" s="486"/>
      <c r="LEQ71" s="486"/>
      <c r="LER71" s="486"/>
      <c r="LES71" s="486"/>
      <c r="LET71" s="486"/>
      <c r="LEU71" s="486"/>
      <c r="LEV71" s="486"/>
      <c r="LEW71" s="487"/>
      <c r="LEX71" s="486"/>
      <c r="LEY71" s="486"/>
      <c r="LEZ71" s="486"/>
      <c r="LFA71" s="486"/>
      <c r="LFB71" s="486"/>
      <c r="LFC71" s="486"/>
      <c r="LFD71" s="486"/>
      <c r="LFE71" s="486"/>
      <c r="LFF71" s="486"/>
      <c r="LFG71" s="486"/>
      <c r="LFH71" s="486"/>
      <c r="LFI71" s="486"/>
      <c r="LFJ71" s="486"/>
      <c r="LFK71" s="486"/>
      <c r="LFL71" s="486"/>
      <c r="LFM71" s="486"/>
      <c r="LFN71" s="486"/>
      <c r="LFO71" s="486"/>
      <c r="LFP71" s="486"/>
      <c r="LFQ71" s="486"/>
      <c r="LFR71" s="486"/>
      <c r="LFS71" s="486"/>
      <c r="LFT71" s="486"/>
      <c r="LFU71" s="486"/>
      <c r="LFV71" s="486"/>
      <c r="LFW71" s="486"/>
      <c r="LFX71" s="486"/>
      <c r="LFY71" s="486"/>
      <c r="LFZ71" s="487"/>
      <c r="LGA71" s="486"/>
      <c r="LGB71" s="486"/>
      <c r="LGC71" s="486"/>
      <c r="LGD71" s="486"/>
      <c r="LGE71" s="486"/>
      <c r="LGF71" s="486"/>
      <c r="LGG71" s="486"/>
      <c r="LGH71" s="486"/>
      <c r="LGI71" s="486"/>
      <c r="LGJ71" s="486"/>
      <c r="LGK71" s="486"/>
      <c r="LGL71" s="486"/>
      <c r="LGM71" s="486"/>
      <c r="LGN71" s="486"/>
      <c r="LGO71" s="486"/>
      <c r="LGP71" s="486"/>
      <c r="LGQ71" s="486"/>
      <c r="LGR71" s="486"/>
      <c r="LGS71" s="486"/>
      <c r="LGT71" s="486"/>
      <c r="LGU71" s="486"/>
      <c r="LGV71" s="486"/>
      <c r="LGW71" s="486"/>
      <c r="LGX71" s="486"/>
      <c r="LGY71" s="486"/>
      <c r="LGZ71" s="486"/>
      <c r="LHA71" s="486"/>
      <c r="LHB71" s="486"/>
      <c r="LHC71" s="487"/>
      <c r="LHD71" s="486"/>
      <c r="LHE71" s="486"/>
      <c r="LHF71" s="486"/>
      <c r="LHG71" s="486"/>
      <c r="LHH71" s="486"/>
      <c r="LHI71" s="486"/>
      <c r="LHJ71" s="486"/>
      <c r="LHK71" s="486"/>
      <c r="LHL71" s="486"/>
      <c r="LHM71" s="486"/>
      <c r="LHN71" s="486"/>
      <c r="LHO71" s="486"/>
      <c r="LHP71" s="486"/>
      <c r="LHQ71" s="486"/>
      <c r="LHR71" s="486"/>
      <c r="LHS71" s="486"/>
      <c r="LHT71" s="486"/>
      <c r="LHU71" s="486"/>
      <c r="LHV71" s="486"/>
      <c r="LHW71" s="486"/>
      <c r="LHX71" s="486"/>
      <c r="LHY71" s="486"/>
      <c r="LHZ71" s="486"/>
      <c r="LIA71" s="486"/>
      <c r="LIB71" s="486"/>
      <c r="LIC71" s="486"/>
      <c r="LID71" s="486"/>
      <c r="LIE71" s="486"/>
      <c r="LIF71" s="487"/>
      <c r="LIG71" s="486"/>
      <c r="LIH71" s="486"/>
      <c r="LII71" s="486"/>
      <c r="LIJ71" s="486"/>
      <c r="LIK71" s="486"/>
      <c r="LIL71" s="486"/>
      <c r="LIM71" s="486"/>
      <c r="LIN71" s="486"/>
      <c r="LIO71" s="486"/>
      <c r="LIP71" s="486"/>
      <c r="LIQ71" s="486"/>
      <c r="LIR71" s="486"/>
      <c r="LIS71" s="486"/>
      <c r="LIT71" s="486"/>
      <c r="LIU71" s="486"/>
      <c r="LIV71" s="486"/>
      <c r="LIW71" s="486"/>
      <c r="LIX71" s="486"/>
      <c r="LIY71" s="486"/>
      <c r="LIZ71" s="486"/>
      <c r="LJA71" s="486"/>
      <c r="LJB71" s="486"/>
      <c r="LJC71" s="486"/>
      <c r="LJD71" s="486"/>
      <c r="LJE71" s="486"/>
      <c r="LJF71" s="486"/>
      <c r="LJG71" s="486"/>
      <c r="LJH71" s="486"/>
      <c r="LJI71" s="487"/>
      <c r="LJJ71" s="486"/>
      <c r="LJK71" s="486"/>
      <c r="LJL71" s="486"/>
      <c r="LJM71" s="486"/>
      <c r="LJN71" s="486"/>
      <c r="LJO71" s="486"/>
      <c r="LJP71" s="486"/>
      <c r="LJQ71" s="486"/>
      <c r="LJR71" s="486"/>
      <c r="LJS71" s="486"/>
      <c r="LJT71" s="486"/>
      <c r="LJU71" s="486"/>
      <c r="LJV71" s="486"/>
      <c r="LJW71" s="486"/>
      <c r="LJX71" s="486"/>
      <c r="LJY71" s="486"/>
      <c r="LJZ71" s="486"/>
      <c r="LKA71" s="486"/>
      <c r="LKB71" s="486"/>
      <c r="LKC71" s="486"/>
      <c r="LKD71" s="486"/>
      <c r="LKE71" s="486"/>
      <c r="LKF71" s="486"/>
      <c r="LKG71" s="486"/>
      <c r="LKH71" s="486"/>
      <c r="LKI71" s="486"/>
      <c r="LKJ71" s="486"/>
      <c r="LKK71" s="486"/>
      <c r="LKL71" s="487"/>
      <c r="LKM71" s="486"/>
      <c r="LKN71" s="486"/>
      <c r="LKO71" s="486"/>
      <c r="LKP71" s="486"/>
      <c r="LKQ71" s="486"/>
      <c r="LKR71" s="486"/>
      <c r="LKS71" s="486"/>
      <c r="LKT71" s="486"/>
      <c r="LKU71" s="486"/>
      <c r="LKV71" s="486"/>
      <c r="LKW71" s="486"/>
      <c r="LKX71" s="486"/>
      <c r="LKY71" s="486"/>
      <c r="LKZ71" s="486"/>
      <c r="LLA71" s="486"/>
      <c r="LLB71" s="486"/>
      <c r="LLC71" s="486"/>
      <c r="LLD71" s="486"/>
      <c r="LLE71" s="486"/>
      <c r="LLF71" s="486"/>
      <c r="LLG71" s="486"/>
      <c r="LLH71" s="486"/>
      <c r="LLI71" s="486"/>
      <c r="LLJ71" s="486"/>
      <c r="LLK71" s="486"/>
      <c r="LLL71" s="486"/>
      <c r="LLM71" s="486"/>
      <c r="LLN71" s="486"/>
      <c r="LLO71" s="487"/>
      <c r="LLP71" s="486"/>
      <c r="LLQ71" s="486"/>
      <c r="LLR71" s="486"/>
      <c r="LLS71" s="486"/>
      <c r="LLT71" s="486"/>
      <c r="LLU71" s="486"/>
      <c r="LLV71" s="486"/>
      <c r="LLW71" s="486"/>
      <c r="LLX71" s="486"/>
      <c r="LLY71" s="486"/>
      <c r="LLZ71" s="486"/>
      <c r="LMA71" s="486"/>
      <c r="LMB71" s="486"/>
      <c r="LMC71" s="486"/>
      <c r="LMD71" s="486"/>
      <c r="LME71" s="486"/>
      <c r="LMF71" s="486"/>
      <c r="LMG71" s="486"/>
      <c r="LMH71" s="486"/>
      <c r="LMI71" s="486"/>
      <c r="LMJ71" s="486"/>
      <c r="LMK71" s="486"/>
      <c r="LML71" s="486"/>
      <c r="LMM71" s="486"/>
      <c r="LMN71" s="486"/>
      <c r="LMO71" s="486"/>
      <c r="LMP71" s="486"/>
      <c r="LMQ71" s="486"/>
      <c r="LMR71" s="487"/>
      <c r="LMS71" s="486"/>
      <c r="LMT71" s="486"/>
      <c r="LMU71" s="486"/>
      <c r="LMV71" s="486"/>
      <c r="LMW71" s="486"/>
      <c r="LMX71" s="486"/>
      <c r="LMY71" s="486"/>
      <c r="LMZ71" s="486"/>
      <c r="LNA71" s="486"/>
      <c r="LNB71" s="486"/>
      <c r="LNC71" s="486"/>
      <c r="LND71" s="486"/>
      <c r="LNE71" s="486"/>
      <c r="LNF71" s="486"/>
      <c r="LNG71" s="486"/>
      <c r="LNH71" s="486"/>
      <c r="LNI71" s="486"/>
      <c r="LNJ71" s="486"/>
      <c r="LNK71" s="486"/>
      <c r="LNL71" s="486"/>
      <c r="LNM71" s="486"/>
      <c r="LNN71" s="486"/>
      <c r="LNO71" s="486"/>
      <c r="LNP71" s="486"/>
      <c r="LNQ71" s="486"/>
      <c r="LNR71" s="486"/>
      <c r="LNS71" s="486"/>
      <c r="LNT71" s="486"/>
      <c r="LNU71" s="487"/>
      <c r="LNV71" s="486"/>
      <c r="LNW71" s="486"/>
      <c r="LNX71" s="486"/>
      <c r="LNY71" s="486"/>
      <c r="LNZ71" s="486"/>
      <c r="LOA71" s="486"/>
      <c r="LOB71" s="486"/>
      <c r="LOC71" s="486"/>
      <c r="LOD71" s="486"/>
      <c r="LOE71" s="486"/>
      <c r="LOF71" s="486"/>
      <c r="LOG71" s="486"/>
      <c r="LOH71" s="486"/>
      <c r="LOI71" s="486"/>
      <c r="LOJ71" s="486"/>
      <c r="LOK71" s="486"/>
      <c r="LOL71" s="486"/>
      <c r="LOM71" s="486"/>
      <c r="LON71" s="486"/>
      <c r="LOO71" s="486"/>
      <c r="LOP71" s="486"/>
      <c r="LOQ71" s="486"/>
      <c r="LOR71" s="486"/>
      <c r="LOS71" s="486"/>
      <c r="LOT71" s="486"/>
      <c r="LOU71" s="486"/>
      <c r="LOV71" s="486"/>
      <c r="LOW71" s="486"/>
      <c r="LOX71" s="487"/>
      <c r="LOY71" s="486"/>
      <c r="LOZ71" s="486"/>
      <c r="LPA71" s="486"/>
      <c r="LPB71" s="486"/>
      <c r="LPC71" s="486"/>
      <c r="LPD71" s="486"/>
      <c r="LPE71" s="486"/>
      <c r="LPF71" s="486"/>
      <c r="LPG71" s="486"/>
      <c r="LPH71" s="486"/>
      <c r="LPI71" s="486"/>
      <c r="LPJ71" s="486"/>
      <c r="LPK71" s="486"/>
      <c r="LPL71" s="486"/>
      <c r="LPM71" s="486"/>
      <c r="LPN71" s="486"/>
      <c r="LPO71" s="486"/>
      <c r="LPP71" s="486"/>
      <c r="LPQ71" s="486"/>
      <c r="LPR71" s="486"/>
      <c r="LPS71" s="486"/>
      <c r="LPT71" s="486"/>
      <c r="LPU71" s="486"/>
      <c r="LPV71" s="486"/>
      <c r="LPW71" s="486"/>
      <c r="LPX71" s="486"/>
      <c r="LPY71" s="486"/>
      <c r="LPZ71" s="486"/>
      <c r="LQA71" s="487"/>
      <c r="LQB71" s="486"/>
      <c r="LQC71" s="486"/>
      <c r="LQD71" s="486"/>
      <c r="LQE71" s="486"/>
      <c r="LQF71" s="486"/>
      <c r="LQG71" s="486"/>
      <c r="LQH71" s="486"/>
      <c r="LQI71" s="486"/>
      <c r="LQJ71" s="486"/>
      <c r="LQK71" s="486"/>
      <c r="LQL71" s="486"/>
      <c r="LQM71" s="486"/>
      <c r="LQN71" s="486"/>
      <c r="LQO71" s="486"/>
      <c r="LQP71" s="486"/>
      <c r="LQQ71" s="486"/>
      <c r="LQR71" s="486"/>
      <c r="LQS71" s="486"/>
      <c r="LQT71" s="486"/>
      <c r="LQU71" s="486"/>
      <c r="LQV71" s="486"/>
      <c r="LQW71" s="486"/>
      <c r="LQX71" s="486"/>
      <c r="LQY71" s="486"/>
      <c r="LQZ71" s="486"/>
      <c r="LRA71" s="486"/>
      <c r="LRB71" s="486"/>
      <c r="LRC71" s="486"/>
      <c r="LRD71" s="487"/>
      <c r="LRE71" s="486"/>
      <c r="LRF71" s="486"/>
      <c r="LRG71" s="486"/>
      <c r="LRH71" s="486"/>
      <c r="LRI71" s="486"/>
      <c r="LRJ71" s="486"/>
      <c r="LRK71" s="486"/>
      <c r="LRL71" s="486"/>
      <c r="LRM71" s="486"/>
      <c r="LRN71" s="486"/>
      <c r="LRO71" s="486"/>
      <c r="LRP71" s="486"/>
      <c r="LRQ71" s="486"/>
      <c r="LRR71" s="486"/>
      <c r="LRS71" s="486"/>
      <c r="LRT71" s="486"/>
      <c r="LRU71" s="486"/>
      <c r="LRV71" s="486"/>
      <c r="LRW71" s="486"/>
      <c r="LRX71" s="486"/>
      <c r="LRY71" s="486"/>
      <c r="LRZ71" s="486"/>
      <c r="LSA71" s="486"/>
      <c r="LSB71" s="486"/>
      <c r="LSC71" s="486"/>
      <c r="LSD71" s="486"/>
      <c r="LSE71" s="486"/>
      <c r="LSF71" s="486"/>
      <c r="LSG71" s="487"/>
      <c r="LSH71" s="486"/>
      <c r="LSI71" s="486"/>
      <c r="LSJ71" s="486"/>
      <c r="LSK71" s="486"/>
      <c r="LSL71" s="486"/>
      <c r="LSM71" s="486"/>
      <c r="LSN71" s="486"/>
      <c r="LSO71" s="486"/>
      <c r="LSP71" s="486"/>
      <c r="LSQ71" s="486"/>
      <c r="LSR71" s="486"/>
      <c r="LSS71" s="486"/>
      <c r="LST71" s="486"/>
      <c r="LSU71" s="486"/>
      <c r="LSV71" s="486"/>
      <c r="LSW71" s="486"/>
      <c r="LSX71" s="486"/>
      <c r="LSY71" s="486"/>
      <c r="LSZ71" s="486"/>
      <c r="LTA71" s="486"/>
      <c r="LTB71" s="486"/>
      <c r="LTC71" s="486"/>
      <c r="LTD71" s="486"/>
      <c r="LTE71" s="486"/>
      <c r="LTF71" s="486"/>
      <c r="LTG71" s="486"/>
      <c r="LTH71" s="486"/>
      <c r="LTI71" s="486"/>
      <c r="LTJ71" s="487"/>
      <c r="LTK71" s="486"/>
      <c r="LTL71" s="486"/>
      <c r="LTM71" s="486"/>
      <c r="LTN71" s="486"/>
      <c r="LTO71" s="486"/>
      <c r="LTP71" s="486"/>
      <c r="LTQ71" s="486"/>
      <c r="LTR71" s="486"/>
      <c r="LTS71" s="486"/>
      <c r="LTT71" s="486"/>
      <c r="LTU71" s="486"/>
      <c r="LTV71" s="486"/>
      <c r="LTW71" s="486"/>
      <c r="LTX71" s="486"/>
      <c r="LTY71" s="486"/>
      <c r="LTZ71" s="486"/>
      <c r="LUA71" s="486"/>
      <c r="LUB71" s="486"/>
      <c r="LUC71" s="486"/>
      <c r="LUD71" s="486"/>
      <c r="LUE71" s="486"/>
      <c r="LUF71" s="486"/>
      <c r="LUG71" s="486"/>
      <c r="LUH71" s="486"/>
      <c r="LUI71" s="486"/>
      <c r="LUJ71" s="486"/>
      <c r="LUK71" s="486"/>
      <c r="LUL71" s="486"/>
      <c r="LUM71" s="487"/>
      <c r="LUN71" s="486"/>
      <c r="LUO71" s="486"/>
      <c r="LUP71" s="486"/>
      <c r="LUQ71" s="486"/>
      <c r="LUR71" s="486"/>
      <c r="LUS71" s="486"/>
      <c r="LUT71" s="486"/>
      <c r="LUU71" s="486"/>
      <c r="LUV71" s="486"/>
      <c r="LUW71" s="486"/>
      <c r="LUX71" s="486"/>
      <c r="LUY71" s="486"/>
      <c r="LUZ71" s="486"/>
      <c r="LVA71" s="486"/>
      <c r="LVB71" s="486"/>
      <c r="LVC71" s="486"/>
      <c r="LVD71" s="486"/>
      <c r="LVE71" s="486"/>
      <c r="LVF71" s="486"/>
      <c r="LVG71" s="486"/>
      <c r="LVH71" s="486"/>
      <c r="LVI71" s="486"/>
      <c r="LVJ71" s="486"/>
      <c r="LVK71" s="486"/>
      <c r="LVL71" s="486"/>
      <c r="LVM71" s="486"/>
      <c r="LVN71" s="486"/>
      <c r="LVO71" s="486"/>
      <c r="LVP71" s="487"/>
      <c r="LVQ71" s="486"/>
      <c r="LVR71" s="486"/>
      <c r="LVS71" s="486"/>
      <c r="LVT71" s="486"/>
      <c r="LVU71" s="486"/>
      <c r="LVV71" s="486"/>
      <c r="LVW71" s="486"/>
      <c r="LVX71" s="486"/>
      <c r="LVY71" s="486"/>
      <c r="LVZ71" s="486"/>
      <c r="LWA71" s="486"/>
      <c r="LWB71" s="486"/>
      <c r="LWC71" s="486"/>
      <c r="LWD71" s="486"/>
      <c r="LWE71" s="486"/>
      <c r="LWF71" s="486"/>
      <c r="LWG71" s="486"/>
      <c r="LWH71" s="486"/>
      <c r="LWI71" s="486"/>
      <c r="LWJ71" s="486"/>
      <c r="LWK71" s="486"/>
      <c r="LWL71" s="486"/>
      <c r="LWM71" s="486"/>
      <c r="LWN71" s="486"/>
      <c r="LWO71" s="486"/>
      <c r="LWP71" s="486"/>
      <c r="LWQ71" s="486"/>
      <c r="LWR71" s="486"/>
      <c r="LWS71" s="487"/>
      <c r="LWT71" s="486"/>
      <c r="LWU71" s="486"/>
      <c r="LWV71" s="486"/>
      <c r="LWW71" s="486"/>
      <c r="LWX71" s="486"/>
      <c r="LWY71" s="486"/>
      <c r="LWZ71" s="486"/>
      <c r="LXA71" s="486"/>
      <c r="LXB71" s="486"/>
      <c r="LXC71" s="486"/>
      <c r="LXD71" s="486"/>
      <c r="LXE71" s="486"/>
      <c r="LXF71" s="486"/>
      <c r="LXG71" s="486"/>
      <c r="LXH71" s="486"/>
      <c r="LXI71" s="486"/>
      <c r="LXJ71" s="486"/>
      <c r="LXK71" s="486"/>
      <c r="LXL71" s="486"/>
      <c r="LXM71" s="486"/>
      <c r="LXN71" s="486"/>
      <c r="LXO71" s="486"/>
      <c r="LXP71" s="486"/>
      <c r="LXQ71" s="486"/>
      <c r="LXR71" s="486"/>
      <c r="LXS71" s="486"/>
      <c r="LXT71" s="486"/>
      <c r="LXU71" s="486"/>
      <c r="LXV71" s="487"/>
      <c r="LXW71" s="486"/>
      <c r="LXX71" s="486"/>
      <c r="LXY71" s="486"/>
      <c r="LXZ71" s="486"/>
      <c r="LYA71" s="486"/>
      <c r="LYB71" s="486"/>
      <c r="LYC71" s="486"/>
      <c r="LYD71" s="486"/>
      <c r="LYE71" s="486"/>
      <c r="LYF71" s="486"/>
      <c r="LYG71" s="486"/>
      <c r="LYH71" s="486"/>
      <c r="LYI71" s="486"/>
      <c r="LYJ71" s="486"/>
      <c r="LYK71" s="486"/>
      <c r="LYL71" s="486"/>
      <c r="LYM71" s="486"/>
      <c r="LYN71" s="486"/>
      <c r="LYO71" s="486"/>
      <c r="LYP71" s="486"/>
      <c r="LYQ71" s="486"/>
      <c r="LYR71" s="486"/>
      <c r="LYS71" s="486"/>
      <c r="LYT71" s="486"/>
      <c r="LYU71" s="486"/>
      <c r="LYV71" s="486"/>
      <c r="LYW71" s="486"/>
      <c r="LYX71" s="486"/>
      <c r="LYY71" s="487"/>
      <c r="LYZ71" s="486"/>
      <c r="LZA71" s="486"/>
      <c r="LZB71" s="486"/>
      <c r="LZC71" s="486"/>
      <c r="LZD71" s="486"/>
      <c r="LZE71" s="486"/>
      <c r="LZF71" s="486"/>
      <c r="LZG71" s="486"/>
      <c r="LZH71" s="486"/>
      <c r="LZI71" s="486"/>
      <c r="LZJ71" s="486"/>
      <c r="LZK71" s="486"/>
      <c r="LZL71" s="486"/>
      <c r="LZM71" s="486"/>
      <c r="LZN71" s="486"/>
      <c r="LZO71" s="486"/>
      <c r="LZP71" s="486"/>
      <c r="LZQ71" s="486"/>
      <c r="LZR71" s="486"/>
      <c r="LZS71" s="486"/>
      <c r="LZT71" s="486"/>
      <c r="LZU71" s="486"/>
      <c r="LZV71" s="486"/>
      <c r="LZW71" s="486"/>
      <c r="LZX71" s="486"/>
      <c r="LZY71" s="486"/>
      <c r="LZZ71" s="486"/>
      <c r="MAA71" s="486"/>
      <c r="MAB71" s="487"/>
      <c r="MAC71" s="486"/>
      <c r="MAD71" s="486"/>
      <c r="MAE71" s="486"/>
      <c r="MAF71" s="486"/>
      <c r="MAG71" s="486"/>
      <c r="MAH71" s="486"/>
      <c r="MAI71" s="486"/>
      <c r="MAJ71" s="486"/>
      <c r="MAK71" s="486"/>
      <c r="MAL71" s="486"/>
      <c r="MAM71" s="486"/>
      <c r="MAN71" s="486"/>
      <c r="MAO71" s="486"/>
      <c r="MAP71" s="486"/>
      <c r="MAQ71" s="486"/>
      <c r="MAR71" s="486"/>
      <c r="MAS71" s="486"/>
      <c r="MAT71" s="486"/>
      <c r="MAU71" s="486"/>
      <c r="MAV71" s="486"/>
      <c r="MAW71" s="486"/>
      <c r="MAX71" s="486"/>
      <c r="MAY71" s="486"/>
      <c r="MAZ71" s="486"/>
      <c r="MBA71" s="486"/>
      <c r="MBB71" s="486"/>
      <c r="MBC71" s="486"/>
      <c r="MBD71" s="486"/>
      <c r="MBE71" s="487"/>
      <c r="MBF71" s="486"/>
      <c r="MBG71" s="486"/>
      <c r="MBH71" s="486"/>
      <c r="MBI71" s="486"/>
      <c r="MBJ71" s="486"/>
      <c r="MBK71" s="486"/>
      <c r="MBL71" s="486"/>
      <c r="MBM71" s="486"/>
      <c r="MBN71" s="486"/>
      <c r="MBO71" s="486"/>
      <c r="MBP71" s="486"/>
      <c r="MBQ71" s="486"/>
      <c r="MBR71" s="486"/>
      <c r="MBS71" s="486"/>
      <c r="MBT71" s="486"/>
      <c r="MBU71" s="486"/>
      <c r="MBV71" s="486"/>
      <c r="MBW71" s="486"/>
      <c r="MBX71" s="486"/>
      <c r="MBY71" s="486"/>
      <c r="MBZ71" s="486"/>
      <c r="MCA71" s="486"/>
      <c r="MCB71" s="486"/>
      <c r="MCC71" s="486"/>
      <c r="MCD71" s="486"/>
      <c r="MCE71" s="486"/>
      <c r="MCF71" s="486"/>
      <c r="MCG71" s="486"/>
      <c r="MCH71" s="487"/>
      <c r="MCI71" s="486"/>
      <c r="MCJ71" s="486"/>
      <c r="MCK71" s="486"/>
      <c r="MCL71" s="486"/>
      <c r="MCM71" s="486"/>
      <c r="MCN71" s="486"/>
      <c r="MCO71" s="486"/>
      <c r="MCP71" s="486"/>
      <c r="MCQ71" s="486"/>
      <c r="MCR71" s="486"/>
      <c r="MCS71" s="486"/>
      <c r="MCT71" s="486"/>
      <c r="MCU71" s="486"/>
      <c r="MCV71" s="486"/>
      <c r="MCW71" s="486"/>
      <c r="MCX71" s="486"/>
      <c r="MCY71" s="486"/>
      <c r="MCZ71" s="486"/>
      <c r="MDA71" s="486"/>
      <c r="MDB71" s="486"/>
      <c r="MDC71" s="486"/>
      <c r="MDD71" s="486"/>
      <c r="MDE71" s="486"/>
      <c r="MDF71" s="486"/>
      <c r="MDG71" s="486"/>
      <c r="MDH71" s="486"/>
      <c r="MDI71" s="486"/>
      <c r="MDJ71" s="486"/>
      <c r="MDK71" s="487"/>
      <c r="MDL71" s="486"/>
      <c r="MDM71" s="486"/>
      <c r="MDN71" s="486"/>
      <c r="MDO71" s="486"/>
      <c r="MDP71" s="486"/>
      <c r="MDQ71" s="486"/>
      <c r="MDR71" s="486"/>
      <c r="MDS71" s="486"/>
      <c r="MDT71" s="486"/>
      <c r="MDU71" s="486"/>
      <c r="MDV71" s="486"/>
      <c r="MDW71" s="486"/>
      <c r="MDX71" s="486"/>
      <c r="MDY71" s="486"/>
      <c r="MDZ71" s="486"/>
      <c r="MEA71" s="486"/>
      <c r="MEB71" s="486"/>
      <c r="MEC71" s="486"/>
      <c r="MED71" s="486"/>
      <c r="MEE71" s="486"/>
      <c r="MEF71" s="486"/>
      <c r="MEG71" s="486"/>
      <c r="MEH71" s="486"/>
      <c r="MEI71" s="486"/>
      <c r="MEJ71" s="486"/>
      <c r="MEK71" s="486"/>
      <c r="MEL71" s="486"/>
      <c r="MEM71" s="486"/>
      <c r="MEN71" s="487"/>
      <c r="MEO71" s="486"/>
      <c r="MEP71" s="486"/>
      <c r="MEQ71" s="486"/>
      <c r="MER71" s="486"/>
      <c r="MES71" s="486"/>
      <c r="MET71" s="486"/>
      <c r="MEU71" s="486"/>
      <c r="MEV71" s="486"/>
      <c r="MEW71" s="486"/>
      <c r="MEX71" s="486"/>
      <c r="MEY71" s="486"/>
      <c r="MEZ71" s="486"/>
      <c r="MFA71" s="486"/>
      <c r="MFB71" s="486"/>
      <c r="MFC71" s="486"/>
      <c r="MFD71" s="486"/>
      <c r="MFE71" s="486"/>
      <c r="MFF71" s="486"/>
      <c r="MFG71" s="486"/>
      <c r="MFH71" s="486"/>
      <c r="MFI71" s="486"/>
      <c r="MFJ71" s="486"/>
      <c r="MFK71" s="486"/>
      <c r="MFL71" s="486"/>
      <c r="MFM71" s="486"/>
      <c r="MFN71" s="486"/>
      <c r="MFO71" s="486"/>
      <c r="MFP71" s="486"/>
      <c r="MFQ71" s="487"/>
      <c r="MFR71" s="486"/>
      <c r="MFS71" s="486"/>
      <c r="MFT71" s="486"/>
      <c r="MFU71" s="486"/>
      <c r="MFV71" s="486"/>
      <c r="MFW71" s="486"/>
      <c r="MFX71" s="486"/>
      <c r="MFY71" s="486"/>
      <c r="MFZ71" s="486"/>
      <c r="MGA71" s="486"/>
      <c r="MGB71" s="486"/>
      <c r="MGC71" s="486"/>
      <c r="MGD71" s="486"/>
      <c r="MGE71" s="486"/>
      <c r="MGF71" s="486"/>
      <c r="MGG71" s="486"/>
      <c r="MGH71" s="486"/>
      <c r="MGI71" s="486"/>
      <c r="MGJ71" s="486"/>
      <c r="MGK71" s="486"/>
      <c r="MGL71" s="486"/>
      <c r="MGM71" s="486"/>
      <c r="MGN71" s="486"/>
      <c r="MGO71" s="486"/>
      <c r="MGP71" s="486"/>
      <c r="MGQ71" s="486"/>
      <c r="MGR71" s="486"/>
      <c r="MGS71" s="486"/>
      <c r="MGT71" s="487"/>
      <c r="MGU71" s="486"/>
      <c r="MGV71" s="486"/>
      <c r="MGW71" s="486"/>
      <c r="MGX71" s="486"/>
      <c r="MGY71" s="486"/>
      <c r="MGZ71" s="486"/>
      <c r="MHA71" s="486"/>
      <c r="MHB71" s="486"/>
      <c r="MHC71" s="486"/>
      <c r="MHD71" s="486"/>
      <c r="MHE71" s="486"/>
      <c r="MHF71" s="486"/>
      <c r="MHG71" s="486"/>
      <c r="MHH71" s="486"/>
      <c r="MHI71" s="486"/>
      <c r="MHJ71" s="486"/>
      <c r="MHK71" s="486"/>
      <c r="MHL71" s="486"/>
      <c r="MHM71" s="486"/>
      <c r="MHN71" s="486"/>
      <c r="MHO71" s="486"/>
      <c r="MHP71" s="486"/>
      <c r="MHQ71" s="486"/>
      <c r="MHR71" s="486"/>
      <c r="MHS71" s="486"/>
      <c r="MHT71" s="486"/>
      <c r="MHU71" s="486"/>
      <c r="MHV71" s="486"/>
      <c r="MHW71" s="487"/>
      <c r="MHX71" s="486"/>
      <c r="MHY71" s="486"/>
      <c r="MHZ71" s="486"/>
      <c r="MIA71" s="486"/>
      <c r="MIB71" s="486"/>
      <c r="MIC71" s="486"/>
      <c r="MID71" s="486"/>
      <c r="MIE71" s="486"/>
      <c r="MIF71" s="486"/>
      <c r="MIG71" s="486"/>
      <c r="MIH71" s="486"/>
      <c r="MII71" s="486"/>
      <c r="MIJ71" s="486"/>
      <c r="MIK71" s="486"/>
      <c r="MIL71" s="486"/>
      <c r="MIM71" s="486"/>
      <c r="MIN71" s="486"/>
      <c r="MIO71" s="486"/>
      <c r="MIP71" s="486"/>
      <c r="MIQ71" s="486"/>
      <c r="MIR71" s="486"/>
      <c r="MIS71" s="486"/>
      <c r="MIT71" s="486"/>
      <c r="MIU71" s="486"/>
      <c r="MIV71" s="486"/>
      <c r="MIW71" s="486"/>
      <c r="MIX71" s="486"/>
      <c r="MIY71" s="486"/>
      <c r="MIZ71" s="487"/>
      <c r="MJA71" s="486"/>
      <c r="MJB71" s="486"/>
      <c r="MJC71" s="486"/>
      <c r="MJD71" s="486"/>
      <c r="MJE71" s="486"/>
      <c r="MJF71" s="486"/>
      <c r="MJG71" s="486"/>
      <c r="MJH71" s="486"/>
      <c r="MJI71" s="486"/>
      <c r="MJJ71" s="486"/>
      <c r="MJK71" s="486"/>
      <c r="MJL71" s="486"/>
      <c r="MJM71" s="486"/>
      <c r="MJN71" s="486"/>
      <c r="MJO71" s="486"/>
      <c r="MJP71" s="486"/>
      <c r="MJQ71" s="486"/>
      <c r="MJR71" s="486"/>
      <c r="MJS71" s="486"/>
      <c r="MJT71" s="486"/>
      <c r="MJU71" s="486"/>
      <c r="MJV71" s="486"/>
      <c r="MJW71" s="486"/>
      <c r="MJX71" s="486"/>
      <c r="MJY71" s="486"/>
      <c r="MJZ71" s="486"/>
      <c r="MKA71" s="486"/>
      <c r="MKB71" s="486"/>
      <c r="MKC71" s="487"/>
      <c r="MKD71" s="486"/>
      <c r="MKE71" s="486"/>
      <c r="MKF71" s="486"/>
      <c r="MKG71" s="486"/>
      <c r="MKH71" s="486"/>
      <c r="MKI71" s="486"/>
      <c r="MKJ71" s="486"/>
      <c r="MKK71" s="486"/>
      <c r="MKL71" s="486"/>
      <c r="MKM71" s="486"/>
      <c r="MKN71" s="486"/>
      <c r="MKO71" s="486"/>
      <c r="MKP71" s="486"/>
      <c r="MKQ71" s="486"/>
      <c r="MKR71" s="486"/>
      <c r="MKS71" s="486"/>
      <c r="MKT71" s="486"/>
      <c r="MKU71" s="486"/>
      <c r="MKV71" s="486"/>
      <c r="MKW71" s="486"/>
      <c r="MKX71" s="486"/>
      <c r="MKY71" s="486"/>
      <c r="MKZ71" s="486"/>
      <c r="MLA71" s="486"/>
      <c r="MLB71" s="486"/>
      <c r="MLC71" s="486"/>
      <c r="MLD71" s="486"/>
      <c r="MLE71" s="486"/>
      <c r="MLF71" s="487"/>
      <c r="MLG71" s="486"/>
      <c r="MLH71" s="486"/>
      <c r="MLI71" s="486"/>
      <c r="MLJ71" s="486"/>
      <c r="MLK71" s="486"/>
      <c r="MLL71" s="486"/>
      <c r="MLM71" s="486"/>
      <c r="MLN71" s="486"/>
      <c r="MLO71" s="486"/>
      <c r="MLP71" s="486"/>
      <c r="MLQ71" s="486"/>
      <c r="MLR71" s="486"/>
      <c r="MLS71" s="486"/>
      <c r="MLT71" s="486"/>
      <c r="MLU71" s="486"/>
      <c r="MLV71" s="486"/>
      <c r="MLW71" s="486"/>
      <c r="MLX71" s="486"/>
      <c r="MLY71" s="486"/>
      <c r="MLZ71" s="486"/>
      <c r="MMA71" s="486"/>
      <c r="MMB71" s="486"/>
      <c r="MMC71" s="486"/>
      <c r="MMD71" s="486"/>
      <c r="MME71" s="486"/>
      <c r="MMF71" s="486"/>
      <c r="MMG71" s="486"/>
      <c r="MMH71" s="486"/>
      <c r="MMI71" s="487"/>
      <c r="MMJ71" s="486"/>
      <c r="MMK71" s="486"/>
      <c r="MML71" s="486"/>
      <c r="MMM71" s="486"/>
      <c r="MMN71" s="486"/>
      <c r="MMO71" s="486"/>
      <c r="MMP71" s="486"/>
      <c r="MMQ71" s="486"/>
      <c r="MMR71" s="486"/>
      <c r="MMS71" s="486"/>
      <c r="MMT71" s="486"/>
      <c r="MMU71" s="486"/>
      <c r="MMV71" s="486"/>
      <c r="MMW71" s="486"/>
      <c r="MMX71" s="486"/>
      <c r="MMY71" s="486"/>
      <c r="MMZ71" s="486"/>
      <c r="MNA71" s="486"/>
      <c r="MNB71" s="486"/>
      <c r="MNC71" s="486"/>
      <c r="MND71" s="486"/>
      <c r="MNE71" s="486"/>
      <c r="MNF71" s="486"/>
      <c r="MNG71" s="486"/>
      <c r="MNH71" s="486"/>
      <c r="MNI71" s="486"/>
      <c r="MNJ71" s="486"/>
      <c r="MNK71" s="486"/>
      <c r="MNL71" s="487"/>
      <c r="MNM71" s="486"/>
      <c r="MNN71" s="486"/>
      <c r="MNO71" s="486"/>
      <c r="MNP71" s="486"/>
      <c r="MNQ71" s="486"/>
      <c r="MNR71" s="486"/>
      <c r="MNS71" s="486"/>
      <c r="MNT71" s="486"/>
      <c r="MNU71" s="486"/>
      <c r="MNV71" s="486"/>
      <c r="MNW71" s="486"/>
      <c r="MNX71" s="486"/>
      <c r="MNY71" s="486"/>
      <c r="MNZ71" s="486"/>
      <c r="MOA71" s="486"/>
      <c r="MOB71" s="486"/>
      <c r="MOC71" s="486"/>
      <c r="MOD71" s="486"/>
      <c r="MOE71" s="486"/>
      <c r="MOF71" s="486"/>
      <c r="MOG71" s="486"/>
      <c r="MOH71" s="486"/>
      <c r="MOI71" s="486"/>
      <c r="MOJ71" s="486"/>
      <c r="MOK71" s="486"/>
      <c r="MOL71" s="486"/>
      <c r="MOM71" s="486"/>
      <c r="MON71" s="486"/>
      <c r="MOO71" s="487"/>
      <c r="MOP71" s="486"/>
      <c r="MOQ71" s="486"/>
      <c r="MOR71" s="486"/>
      <c r="MOS71" s="486"/>
      <c r="MOT71" s="486"/>
      <c r="MOU71" s="486"/>
      <c r="MOV71" s="486"/>
      <c r="MOW71" s="486"/>
      <c r="MOX71" s="486"/>
      <c r="MOY71" s="486"/>
      <c r="MOZ71" s="486"/>
      <c r="MPA71" s="486"/>
      <c r="MPB71" s="486"/>
      <c r="MPC71" s="486"/>
      <c r="MPD71" s="486"/>
      <c r="MPE71" s="486"/>
      <c r="MPF71" s="486"/>
      <c r="MPG71" s="486"/>
      <c r="MPH71" s="486"/>
      <c r="MPI71" s="486"/>
      <c r="MPJ71" s="486"/>
      <c r="MPK71" s="486"/>
      <c r="MPL71" s="486"/>
      <c r="MPM71" s="486"/>
      <c r="MPN71" s="486"/>
      <c r="MPO71" s="486"/>
      <c r="MPP71" s="486"/>
      <c r="MPQ71" s="486"/>
      <c r="MPR71" s="487"/>
      <c r="MPS71" s="486"/>
      <c r="MPT71" s="486"/>
      <c r="MPU71" s="486"/>
      <c r="MPV71" s="486"/>
      <c r="MPW71" s="486"/>
      <c r="MPX71" s="486"/>
      <c r="MPY71" s="486"/>
      <c r="MPZ71" s="486"/>
      <c r="MQA71" s="486"/>
      <c r="MQB71" s="486"/>
      <c r="MQC71" s="486"/>
      <c r="MQD71" s="486"/>
      <c r="MQE71" s="486"/>
      <c r="MQF71" s="486"/>
      <c r="MQG71" s="486"/>
      <c r="MQH71" s="486"/>
      <c r="MQI71" s="486"/>
      <c r="MQJ71" s="486"/>
      <c r="MQK71" s="486"/>
      <c r="MQL71" s="486"/>
      <c r="MQM71" s="486"/>
      <c r="MQN71" s="486"/>
      <c r="MQO71" s="486"/>
      <c r="MQP71" s="486"/>
      <c r="MQQ71" s="486"/>
      <c r="MQR71" s="486"/>
      <c r="MQS71" s="486"/>
      <c r="MQT71" s="486"/>
      <c r="MQU71" s="487"/>
      <c r="MQV71" s="486"/>
      <c r="MQW71" s="486"/>
      <c r="MQX71" s="486"/>
      <c r="MQY71" s="486"/>
      <c r="MQZ71" s="486"/>
      <c r="MRA71" s="486"/>
      <c r="MRB71" s="486"/>
      <c r="MRC71" s="486"/>
      <c r="MRD71" s="486"/>
      <c r="MRE71" s="486"/>
      <c r="MRF71" s="486"/>
      <c r="MRG71" s="486"/>
      <c r="MRH71" s="486"/>
      <c r="MRI71" s="486"/>
      <c r="MRJ71" s="486"/>
      <c r="MRK71" s="486"/>
      <c r="MRL71" s="486"/>
      <c r="MRM71" s="486"/>
      <c r="MRN71" s="486"/>
      <c r="MRO71" s="486"/>
      <c r="MRP71" s="486"/>
      <c r="MRQ71" s="486"/>
      <c r="MRR71" s="486"/>
      <c r="MRS71" s="486"/>
      <c r="MRT71" s="486"/>
      <c r="MRU71" s="486"/>
      <c r="MRV71" s="486"/>
      <c r="MRW71" s="486"/>
      <c r="MRX71" s="487"/>
      <c r="MRY71" s="486"/>
      <c r="MRZ71" s="486"/>
      <c r="MSA71" s="486"/>
      <c r="MSB71" s="486"/>
      <c r="MSC71" s="486"/>
      <c r="MSD71" s="486"/>
      <c r="MSE71" s="486"/>
      <c r="MSF71" s="486"/>
      <c r="MSG71" s="486"/>
      <c r="MSH71" s="486"/>
      <c r="MSI71" s="486"/>
      <c r="MSJ71" s="486"/>
      <c r="MSK71" s="486"/>
      <c r="MSL71" s="486"/>
      <c r="MSM71" s="486"/>
      <c r="MSN71" s="486"/>
      <c r="MSO71" s="486"/>
      <c r="MSP71" s="486"/>
      <c r="MSQ71" s="486"/>
      <c r="MSR71" s="486"/>
      <c r="MSS71" s="486"/>
      <c r="MST71" s="486"/>
      <c r="MSU71" s="486"/>
      <c r="MSV71" s="486"/>
      <c r="MSW71" s="486"/>
      <c r="MSX71" s="486"/>
      <c r="MSY71" s="486"/>
      <c r="MSZ71" s="486"/>
      <c r="MTA71" s="487"/>
      <c r="MTB71" s="486"/>
      <c r="MTC71" s="486"/>
      <c r="MTD71" s="486"/>
      <c r="MTE71" s="486"/>
      <c r="MTF71" s="486"/>
      <c r="MTG71" s="486"/>
      <c r="MTH71" s="486"/>
      <c r="MTI71" s="486"/>
      <c r="MTJ71" s="486"/>
      <c r="MTK71" s="486"/>
      <c r="MTL71" s="486"/>
      <c r="MTM71" s="486"/>
      <c r="MTN71" s="486"/>
      <c r="MTO71" s="486"/>
      <c r="MTP71" s="486"/>
      <c r="MTQ71" s="486"/>
      <c r="MTR71" s="486"/>
      <c r="MTS71" s="486"/>
      <c r="MTT71" s="486"/>
      <c r="MTU71" s="486"/>
      <c r="MTV71" s="486"/>
      <c r="MTW71" s="486"/>
      <c r="MTX71" s="486"/>
      <c r="MTY71" s="486"/>
      <c r="MTZ71" s="486"/>
      <c r="MUA71" s="486"/>
      <c r="MUB71" s="486"/>
      <c r="MUC71" s="486"/>
      <c r="MUD71" s="487"/>
      <c r="MUE71" s="486"/>
      <c r="MUF71" s="486"/>
      <c r="MUG71" s="486"/>
      <c r="MUH71" s="486"/>
      <c r="MUI71" s="486"/>
      <c r="MUJ71" s="486"/>
      <c r="MUK71" s="486"/>
      <c r="MUL71" s="486"/>
      <c r="MUM71" s="486"/>
      <c r="MUN71" s="486"/>
      <c r="MUO71" s="486"/>
      <c r="MUP71" s="486"/>
      <c r="MUQ71" s="486"/>
      <c r="MUR71" s="486"/>
      <c r="MUS71" s="486"/>
      <c r="MUT71" s="486"/>
      <c r="MUU71" s="486"/>
      <c r="MUV71" s="486"/>
      <c r="MUW71" s="486"/>
      <c r="MUX71" s="486"/>
      <c r="MUY71" s="486"/>
      <c r="MUZ71" s="486"/>
      <c r="MVA71" s="486"/>
      <c r="MVB71" s="486"/>
      <c r="MVC71" s="486"/>
      <c r="MVD71" s="486"/>
      <c r="MVE71" s="486"/>
      <c r="MVF71" s="486"/>
      <c r="MVG71" s="487"/>
      <c r="MVH71" s="486"/>
      <c r="MVI71" s="486"/>
      <c r="MVJ71" s="486"/>
      <c r="MVK71" s="486"/>
      <c r="MVL71" s="486"/>
      <c r="MVM71" s="486"/>
      <c r="MVN71" s="486"/>
      <c r="MVO71" s="486"/>
      <c r="MVP71" s="486"/>
      <c r="MVQ71" s="486"/>
      <c r="MVR71" s="486"/>
      <c r="MVS71" s="486"/>
      <c r="MVT71" s="486"/>
      <c r="MVU71" s="486"/>
      <c r="MVV71" s="486"/>
      <c r="MVW71" s="486"/>
      <c r="MVX71" s="486"/>
      <c r="MVY71" s="486"/>
      <c r="MVZ71" s="486"/>
      <c r="MWA71" s="486"/>
      <c r="MWB71" s="486"/>
      <c r="MWC71" s="486"/>
      <c r="MWD71" s="486"/>
      <c r="MWE71" s="486"/>
      <c r="MWF71" s="486"/>
      <c r="MWG71" s="486"/>
      <c r="MWH71" s="486"/>
      <c r="MWI71" s="486"/>
      <c r="MWJ71" s="487"/>
      <c r="MWK71" s="486"/>
      <c r="MWL71" s="486"/>
      <c r="MWM71" s="486"/>
      <c r="MWN71" s="486"/>
      <c r="MWO71" s="486"/>
      <c r="MWP71" s="486"/>
      <c r="MWQ71" s="486"/>
      <c r="MWR71" s="486"/>
      <c r="MWS71" s="486"/>
      <c r="MWT71" s="486"/>
      <c r="MWU71" s="486"/>
      <c r="MWV71" s="486"/>
      <c r="MWW71" s="486"/>
      <c r="MWX71" s="486"/>
      <c r="MWY71" s="486"/>
      <c r="MWZ71" s="486"/>
      <c r="MXA71" s="486"/>
      <c r="MXB71" s="486"/>
      <c r="MXC71" s="486"/>
      <c r="MXD71" s="486"/>
      <c r="MXE71" s="486"/>
      <c r="MXF71" s="486"/>
      <c r="MXG71" s="486"/>
      <c r="MXH71" s="486"/>
      <c r="MXI71" s="486"/>
      <c r="MXJ71" s="486"/>
      <c r="MXK71" s="486"/>
      <c r="MXL71" s="486"/>
      <c r="MXM71" s="487"/>
      <c r="MXN71" s="486"/>
      <c r="MXO71" s="486"/>
      <c r="MXP71" s="486"/>
      <c r="MXQ71" s="486"/>
      <c r="MXR71" s="486"/>
      <c r="MXS71" s="486"/>
      <c r="MXT71" s="486"/>
      <c r="MXU71" s="486"/>
      <c r="MXV71" s="486"/>
      <c r="MXW71" s="486"/>
      <c r="MXX71" s="486"/>
      <c r="MXY71" s="486"/>
      <c r="MXZ71" s="486"/>
      <c r="MYA71" s="486"/>
      <c r="MYB71" s="486"/>
      <c r="MYC71" s="486"/>
      <c r="MYD71" s="486"/>
      <c r="MYE71" s="486"/>
      <c r="MYF71" s="486"/>
      <c r="MYG71" s="486"/>
      <c r="MYH71" s="486"/>
      <c r="MYI71" s="486"/>
      <c r="MYJ71" s="486"/>
      <c r="MYK71" s="486"/>
      <c r="MYL71" s="486"/>
      <c r="MYM71" s="486"/>
      <c r="MYN71" s="486"/>
      <c r="MYO71" s="486"/>
      <c r="MYP71" s="487"/>
      <c r="MYQ71" s="486"/>
      <c r="MYR71" s="486"/>
      <c r="MYS71" s="486"/>
      <c r="MYT71" s="486"/>
      <c r="MYU71" s="486"/>
      <c r="MYV71" s="486"/>
      <c r="MYW71" s="486"/>
      <c r="MYX71" s="486"/>
      <c r="MYY71" s="486"/>
      <c r="MYZ71" s="486"/>
      <c r="MZA71" s="486"/>
      <c r="MZB71" s="486"/>
      <c r="MZC71" s="486"/>
      <c r="MZD71" s="486"/>
      <c r="MZE71" s="486"/>
      <c r="MZF71" s="486"/>
      <c r="MZG71" s="486"/>
      <c r="MZH71" s="486"/>
      <c r="MZI71" s="486"/>
      <c r="MZJ71" s="486"/>
      <c r="MZK71" s="486"/>
      <c r="MZL71" s="486"/>
      <c r="MZM71" s="486"/>
      <c r="MZN71" s="486"/>
      <c r="MZO71" s="486"/>
      <c r="MZP71" s="486"/>
      <c r="MZQ71" s="486"/>
      <c r="MZR71" s="486"/>
      <c r="MZS71" s="487"/>
      <c r="MZT71" s="486"/>
      <c r="MZU71" s="486"/>
      <c r="MZV71" s="486"/>
      <c r="MZW71" s="486"/>
      <c r="MZX71" s="486"/>
      <c r="MZY71" s="486"/>
      <c r="MZZ71" s="486"/>
      <c r="NAA71" s="486"/>
      <c r="NAB71" s="486"/>
      <c r="NAC71" s="486"/>
      <c r="NAD71" s="486"/>
      <c r="NAE71" s="486"/>
      <c r="NAF71" s="486"/>
      <c r="NAG71" s="486"/>
      <c r="NAH71" s="486"/>
      <c r="NAI71" s="486"/>
      <c r="NAJ71" s="486"/>
      <c r="NAK71" s="486"/>
      <c r="NAL71" s="486"/>
      <c r="NAM71" s="486"/>
      <c r="NAN71" s="486"/>
      <c r="NAO71" s="486"/>
      <c r="NAP71" s="486"/>
      <c r="NAQ71" s="486"/>
      <c r="NAR71" s="486"/>
      <c r="NAS71" s="486"/>
      <c r="NAT71" s="486"/>
      <c r="NAU71" s="486"/>
      <c r="NAV71" s="487"/>
      <c r="NAW71" s="486"/>
      <c r="NAX71" s="486"/>
      <c r="NAY71" s="486"/>
      <c r="NAZ71" s="486"/>
      <c r="NBA71" s="486"/>
      <c r="NBB71" s="486"/>
      <c r="NBC71" s="486"/>
      <c r="NBD71" s="486"/>
      <c r="NBE71" s="486"/>
      <c r="NBF71" s="486"/>
      <c r="NBG71" s="486"/>
      <c r="NBH71" s="486"/>
      <c r="NBI71" s="486"/>
      <c r="NBJ71" s="486"/>
      <c r="NBK71" s="486"/>
      <c r="NBL71" s="486"/>
      <c r="NBM71" s="486"/>
      <c r="NBN71" s="486"/>
      <c r="NBO71" s="486"/>
      <c r="NBP71" s="486"/>
      <c r="NBQ71" s="486"/>
      <c r="NBR71" s="486"/>
      <c r="NBS71" s="486"/>
      <c r="NBT71" s="486"/>
      <c r="NBU71" s="486"/>
      <c r="NBV71" s="486"/>
      <c r="NBW71" s="486"/>
      <c r="NBX71" s="486"/>
      <c r="NBY71" s="487"/>
      <c r="NBZ71" s="486"/>
      <c r="NCA71" s="486"/>
      <c r="NCB71" s="486"/>
      <c r="NCC71" s="486"/>
      <c r="NCD71" s="486"/>
      <c r="NCE71" s="486"/>
      <c r="NCF71" s="486"/>
      <c r="NCG71" s="486"/>
      <c r="NCH71" s="486"/>
      <c r="NCI71" s="486"/>
      <c r="NCJ71" s="486"/>
      <c r="NCK71" s="486"/>
      <c r="NCL71" s="486"/>
      <c r="NCM71" s="486"/>
      <c r="NCN71" s="486"/>
      <c r="NCO71" s="486"/>
      <c r="NCP71" s="486"/>
      <c r="NCQ71" s="486"/>
      <c r="NCR71" s="486"/>
      <c r="NCS71" s="486"/>
      <c r="NCT71" s="486"/>
      <c r="NCU71" s="486"/>
      <c r="NCV71" s="486"/>
      <c r="NCW71" s="486"/>
      <c r="NCX71" s="486"/>
      <c r="NCY71" s="486"/>
      <c r="NCZ71" s="486"/>
      <c r="NDA71" s="486"/>
      <c r="NDB71" s="487"/>
      <c r="NDC71" s="486"/>
      <c r="NDD71" s="486"/>
      <c r="NDE71" s="486"/>
      <c r="NDF71" s="486"/>
      <c r="NDG71" s="486"/>
      <c r="NDH71" s="486"/>
      <c r="NDI71" s="486"/>
      <c r="NDJ71" s="486"/>
      <c r="NDK71" s="486"/>
      <c r="NDL71" s="486"/>
      <c r="NDM71" s="486"/>
      <c r="NDN71" s="486"/>
      <c r="NDO71" s="486"/>
      <c r="NDP71" s="486"/>
      <c r="NDQ71" s="486"/>
      <c r="NDR71" s="486"/>
      <c r="NDS71" s="486"/>
      <c r="NDT71" s="486"/>
      <c r="NDU71" s="486"/>
      <c r="NDV71" s="486"/>
      <c r="NDW71" s="486"/>
      <c r="NDX71" s="486"/>
      <c r="NDY71" s="486"/>
      <c r="NDZ71" s="486"/>
      <c r="NEA71" s="486"/>
      <c r="NEB71" s="486"/>
      <c r="NEC71" s="486"/>
      <c r="NED71" s="486"/>
      <c r="NEE71" s="487"/>
      <c r="NEF71" s="486"/>
      <c r="NEG71" s="486"/>
      <c r="NEH71" s="486"/>
      <c r="NEI71" s="486"/>
      <c r="NEJ71" s="486"/>
      <c r="NEK71" s="486"/>
      <c r="NEL71" s="486"/>
      <c r="NEM71" s="486"/>
      <c r="NEN71" s="486"/>
      <c r="NEO71" s="486"/>
      <c r="NEP71" s="486"/>
      <c r="NEQ71" s="486"/>
      <c r="NER71" s="486"/>
      <c r="NES71" s="486"/>
      <c r="NET71" s="486"/>
      <c r="NEU71" s="486"/>
      <c r="NEV71" s="486"/>
      <c r="NEW71" s="486"/>
      <c r="NEX71" s="486"/>
      <c r="NEY71" s="486"/>
      <c r="NEZ71" s="486"/>
      <c r="NFA71" s="486"/>
      <c r="NFB71" s="486"/>
      <c r="NFC71" s="486"/>
      <c r="NFD71" s="486"/>
      <c r="NFE71" s="486"/>
      <c r="NFF71" s="486"/>
      <c r="NFG71" s="486"/>
      <c r="NFH71" s="487"/>
      <c r="NFI71" s="486"/>
      <c r="NFJ71" s="486"/>
      <c r="NFK71" s="486"/>
      <c r="NFL71" s="486"/>
      <c r="NFM71" s="486"/>
      <c r="NFN71" s="486"/>
      <c r="NFO71" s="486"/>
      <c r="NFP71" s="486"/>
      <c r="NFQ71" s="486"/>
      <c r="NFR71" s="486"/>
      <c r="NFS71" s="486"/>
      <c r="NFT71" s="486"/>
      <c r="NFU71" s="486"/>
      <c r="NFV71" s="486"/>
      <c r="NFW71" s="486"/>
      <c r="NFX71" s="486"/>
      <c r="NFY71" s="486"/>
      <c r="NFZ71" s="486"/>
      <c r="NGA71" s="486"/>
      <c r="NGB71" s="486"/>
      <c r="NGC71" s="486"/>
      <c r="NGD71" s="486"/>
      <c r="NGE71" s="486"/>
      <c r="NGF71" s="486"/>
      <c r="NGG71" s="486"/>
      <c r="NGH71" s="486"/>
      <c r="NGI71" s="486"/>
      <c r="NGJ71" s="486"/>
      <c r="NGK71" s="487"/>
      <c r="NGL71" s="486"/>
      <c r="NGM71" s="486"/>
      <c r="NGN71" s="486"/>
      <c r="NGO71" s="486"/>
      <c r="NGP71" s="486"/>
      <c r="NGQ71" s="486"/>
      <c r="NGR71" s="486"/>
      <c r="NGS71" s="486"/>
      <c r="NGT71" s="486"/>
      <c r="NGU71" s="486"/>
      <c r="NGV71" s="486"/>
      <c r="NGW71" s="486"/>
      <c r="NGX71" s="486"/>
      <c r="NGY71" s="486"/>
      <c r="NGZ71" s="486"/>
      <c r="NHA71" s="486"/>
      <c r="NHB71" s="486"/>
      <c r="NHC71" s="486"/>
      <c r="NHD71" s="486"/>
      <c r="NHE71" s="486"/>
      <c r="NHF71" s="486"/>
      <c r="NHG71" s="486"/>
      <c r="NHH71" s="486"/>
      <c r="NHI71" s="486"/>
      <c r="NHJ71" s="486"/>
      <c r="NHK71" s="486"/>
      <c r="NHL71" s="486"/>
      <c r="NHM71" s="486"/>
      <c r="NHN71" s="487"/>
      <c r="NHO71" s="486"/>
      <c r="NHP71" s="486"/>
      <c r="NHQ71" s="486"/>
      <c r="NHR71" s="486"/>
      <c r="NHS71" s="486"/>
      <c r="NHT71" s="486"/>
      <c r="NHU71" s="486"/>
      <c r="NHV71" s="486"/>
      <c r="NHW71" s="486"/>
      <c r="NHX71" s="486"/>
      <c r="NHY71" s="486"/>
      <c r="NHZ71" s="486"/>
      <c r="NIA71" s="486"/>
      <c r="NIB71" s="486"/>
      <c r="NIC71" s="486"/>
      <c r="NID71" s="486"/>
      <c r="NIE71" s="486"/>
      <c r="NIF71" s="486"/>
      <c r="NIG71" s="486"/>
      <c r="NIH71" s="486"/>
      <c r="NII71" s="486"/>
      <c r="NIJ71" s="486"/>
      <c r="NIK71" s="486"/>
      <c r="NIL71" s="486"/>
      <c r="NIM71" s="486"/>
      <c r="NIN71" s="486"/>
      <c r="NIO71" s="486"/>
      <c r="NIP71" s="486"/>
      <c r="NIQ71" s="487"/>
      <c r="NIR71" s="486"/>
      <c r="NIS71" s="486"/>
      <c r="NIT71" s="486"/>
      <c r="NIU71" s="486"/>
      <c r="NIV71" s="486"/>
      <c r="NIW71" s="486"/>
      <c r="NIX71" s="486"/>
      <c r="NIY71" s="486"/>
      <c r="NIZ71" s="486"/>
      <c r="NJA71" s="486"/>
      <c r="NJB71" s="486"/>
      <c r="NJC71" s="486"/>
      <c r="NJD71" s="486"/>
      <c r="NJE71" s="486"/>
      <c r="NJF71" s="486"/>
      <c r="NJG71" s="486"/>
      <c r="NJH71" s="486"/>
      <c r="NJI71" s="486"/>
      <c r="NJJ71" s="486"/>
      <c r="NJK71" s="486"/>
      <c r="NJL71" s="486"/>
      <c r="NJM71" s="486"/>
      <c r="NJN71" s="486"/>
      <c r="NJO71" s="486"/>
      <c r="NJP71" s="486"/>
      <c r="NJQ71" s="486"/>
      <c r="NJR71" s="486"/>
      <c r="NJS71" s="486"/>
      <c r="NJT71" s="487"/>
      <c r="NJU71" s="486"/>
      <c r="NJV71" s="486"/>
      <c r="NJW71" s="486"/>
      <c r="NJX71" s="486"/>
      <c r="NJY71" s="486"/>
      <c r="NJZ71" s="486"/>
      <c r="NKA71" s="486"/>
      <c r="NKB71" s="486"/>
      <c r="NKC71" s="486"/>
      <c r="NKD71" s="486"/>
      <c r="NKE71" s="486"/>
      <c r="NKF71" s="486"/>
      <c r="NKG71" s="486"/>
      <c r="NKH71" s="486"/>
      <c r="NKI71" s="486"/>
      <c r="NKJ71" s="486"/>
      <c r="NKK71" s="486"/>
      <c r="NKL71" s="486"/>
      <c r="NKM71" s="486"/>
      <c r="NKN71" s="486"/>
      <c r="NKO71" s="486"/>
      <c r="NKP71" s="486"/>
      <c r="NKQ71" s="486"/>
      <c r="NKR71" s="486"/>
      <c r="NKS71" s="486"/>
      <c r="NKT71" s="486"/>
      <c r="NKU71" s="486"/>
      <c r="NKV71" s="486"/>
      <c r="NKW71" s="487"/>
      <c r="NKX71" s="486"/>
      <c r="NKY71" s="486"/>
      <c r="NKZ71" s="486"/>
      <c r="NLA71" s="486"/>
      <c r="NLB71" s="486"/>
      <c r="NLC71" s="486"/>
      <c r="NLD71" s="486"/>
      <c r="NLE71" s="486"/>
      <c r="NLF71" s="486"/>
      <c r="NLG71" s="486"/>
      <c r="NLH71" s="486"/>
      <c r="NLI71" s="486"/>
      <c r="NLJ71" s="486"/>
      <c r="NLK71" s="486"/>
      <c r="NLL71" s="486"/>
      <c r="NLM71" s="486"/>
      <c r="NLN71" s="486"/>
      <c r="NLO71" s="486"/>
      <c r="NLP71" s="486"/>
      <c r="NLQ71" s="486"/>
      <c r="NLR71" s="486"/>
      <c r="NLS71" s="486"/>
      <c r="NLT71" s="486"/>
      <c r="NLU71" s="486"/>
      <c r="NLV71" s="486"/>
      <c r="NLW71" s="486"/>
      <c r="NLX71" s="486"/>
      <c r="NLY71" s="486"/>
      <c r="NLZ71" s="487"/>
      <c r="NMA71" s="486"/>
      <c r="NMB71" s="486"/>
      <c r="NMC71" s="486"/>
      <c r="NMD71" s="486"/>
      <c r="NME71" s="486"/>
      <c r="NMF71" s="486"/>
      <c r="NMG71" s="486"/>
      <c r="NMH71" s="486"/>
      <c r="NMI71" s="486"/>
      <c r="NMJ71" s="486"/>
      <c r="NMK71" s="486"/>
      <c r="NML71" s="486"/>
      <c r="NMM71" s="486"/>
      <c r="NMN71" s="486"/>
      <c r="NMO71" s="486"/>
      <c r="NMP71" s="486"/>
      <c r="NMQ71" s="486"/>
      <c r="NMR71" s="486"/>
      <c r="NMS71" s="486"/>
      <c r="NMT71" s="486"/>
      <c r="NMU71" s="486"/>
      <c r="NMV71" s="486"/>
      <c r="NMW71" s="486"/>
      <c r="NMX71" s="486"/>
      <c r="NMY71" s="486"/>
      <c r="NMZ71" s="486"/>
      <c r="NNA71" s="486"/>
      <c r="NNB71" s="486"/>
      <c r="NNC71" s="487"/>
      <c r="NND71" s="486"/>
      <c r="NNE71" s="486"/>
      <c r="NNF71" s="486"/>
      <c r="NNG71" s="486"/>
      <c r="NNH71" s="486"/>
      <c r="NNI71" s="486"/>
      <c r="NNJ71" s="486"/>
      <c r="NNK71" s="486"/>
      <c r="NNL71" s="486"/>
      <c r="NNM71" s="486"/>
      <c r="NNN71" s="486"/>
      <c r="NNO71" s="486"/>
      <c r="NNP71" s="486"/>
      <c r="NNQ71" s="486"/>
      <c r="NNR71" s="486"/>
      <c r="NNS71" s="486"/>
      <c r="NNT71" s="486"/>
      <c r="NNU71" s="486"/>
      <c r="NNV71" s="486"/>
      <c r="NNW71" s="486"/>
      <c r="NNX71" s="486"/>
      <c r="NNY71" s="486"/>
      <c r="NNZ71" s="486"/>
      <c r="NOA71" s="486"/>
      <c r="NOB71" s="486"/>
      <c r="NOC71" s="486"/>
      <c r="NOD71" s="486"/>
      <c r="NOE71" s="486"/>
      <c r="NOF71" s="487"/>
      <c r="NOG71" s="486"/>
      <c r="NOH71" s="486"/>
      <c r="NOI71" s="486"/>
      <c r="NOJ71" s="486"/>
      <c r="NOK71" s="486"/>
      <c r="NOL71" s="486"/>
      <c r="NOM71" s="486"/>
      <c r="NON71" s="486"/>
      <c r="NOO71" s="486"/>
      <c r="NOP71" s="486"/>
      <c r="NOQ71" s="486"/>
      <c r="NOR71" s="486"/>
      <c r="NOS71" s="486"/>
      <c r="NOT71" s="486"/>
      <c r="NOU71" s="486"/>
      <c r="NOV71" s="486"/>
      <c r="NOW71" s="486"/>
      <c r="NOX71" s="486"/>
      <c r="NOY71" s="486"/>
      <c r="NOZ71" s="486"/>
      <c r="NPA71" s="486"/>
      <c r="NPB71" s="486"/>
      <c r="NPC71" s="486"/>
      <c r="NPD71" s="486"/>
      <c r="NPE71" s="486"/>
      <c r="NPF71" s="486"/>
      <c r="NPG71" s="486"/>
      <c r="NPH71" s="486"/>
      <c r="NPI71" s="487"/>
      <c r="NPJ71" s="486"/>
      <c r="NPK71" s="486"/>
      <c r="NPL71" s="486"/>
      <c r="NPM71" s="486"/>
      <c r="NPN71" s="486"/>
      <c r="NPO71" s="486"/>
      <c r="NPP71" s="486"/>
      <c r="NPQ71" s="486"/>
      <c r="NPR71" s="486"/>
      <c r="NPS71" s="486"/>
      <c r="NPT71" s="486"/>
      <c r="NPU71" s="486"/>
      <c r="NPV71" s="486"/>
      <c r="NPW71" s="486"/>
      <c r="NPX71" s="486"/>
      <c r="NPY71" s="486"/>
      <c r="NPZ71" s="486"/>
      <c r="NQA71" s="486"/>
      <c r="NQB71" s="486"/>
      <c r="NQC71" s="486"/>
      <c r="NQD71" s="486"/>
      <c r="NQE71" s="486"/>
      <c r="NQF71" s="486"/>
      <c r="NQG71" s="486"/>
      <c r="NQH71" s="486"/>
      <c r="NQI71" s="486"/>
      <c r="NQJ71" s="486"/>
      <c r="NQK71" s="486"/>
      <c r="NQL71" s="487"/>
      <c r="NQM71" s="486"/>
      <c r="NQN71" s="486"/>
      <c r="NQO71" s="486"/>
      <c r="NQP71" s="486"/>
      <c r="NQQ71" s="486"/>
      <c r="NQR71" s="486"/>
      <c r="NQS71" s="486"/>
      <c r="NQT71" s="486"/>
      <c r="NQU71" s="486"/>
      <c r="NQV71" s="486"/>
      <c r="NQW71" s="486"/>
      <c r="NQX71" s="486"/>
      <c r="NQY71" s="486"/>
      <c r="NQZ71" s="486"/>
      <c r="NRA71" s="486"/>
      <c r="NRB71" s="486"/>
      <c r="NRC71" s="486"/>
      <c r="NRD71" s="486"/>
      <c r="NRE71" s="486"/>
      <c r="NRF71" s="486"/>
      <c r="NRG71" s="486"/>
      <c r="NRH71" s="486"/>
      <c r="NRI71" s="486"/>
      <c r="NRJ71" s="486"/>
      <c r="NRK71" s="486"/>
      <c r="NRL71" s="486"/>
      <c r="NRM71" s="486"/>
      <c r="NRN71" s="486"/>
      <c r="NRO71" s="487"/>
      <c r="NRP71" s="486"/>
      <c r="NRQ71" s="486"/>
      <c r="NRR71" s="486"/>
      <c r="NRS71" s="486"/>
      <c r="NRT71" s="486"/>
      <c r="NRU71" s="486"/>
      <c r="NRV71" s="486"/>
      <c r="NRW71" s="486"/>
      <c r="NRX71" s="486"/>
      <c r="NRY71" s="486"/>
      <c r="NRZ71" s="486"/>
      <c r="NSA71" s="486"/>
      <c r="NSB71" s="486"/>
      <c r="NSC71" s="486"/>
      <c r="NSD71" s="486"/>
      <c r="NSE71" s="486"/>
      <c r="NSF71" s="486"/>
      <c r="NSG71" s="486"/>
      <c r="NSH71" s="486"/>
      <c r="NSI71" s="486"/>
      <c r="NSJ71" s="486"/>
      <c r="NSK71" s="486"/>
      <c r="NSL71" s="486"/>
      <c r="NSM71" s="486"/>
      <c r="NSN71" s="486"/>
      <c r="NSO71" s="486"/>
      <c r="NSP71" s="486"/>
      <c r="NSQ71" s="486"/>
      <c r="NSR71" s="487"/>
      <c r="NSS71" s="486"/>
      <c r="NST71" s="486"/>
      <c r="NSU71" s="486"/>
      <c r="NSV71" s="486"/>
      <c r="NSW71" s="486"/>
      <c r="NSX71" s="486"/>
      <c r="NSY71" s="486"/>
      <c r="NSZ71" s="486"/>
      <c r="NTA71" s="486"/>
      <c r="NTB71" s="486"/>
      <c r="NTC71" s="486"/>
      <c r="NTD71" s="486"/>
      <c r="NTE71" s="486"/>
      <c r="NTF71" s="486"/>
      <c r="NTG71" s="486"/>
      <c r="NTH71" s="486"/>
      <c r="NTI71" s="486"/>
      <c r="NTJ71" s="486"/>
      <c r="NTK71" s="486"/>
      <c r="NTL71" s="486"/>
      <c r="NTM71" s="486"/>
      <c r="NTN71" s="486"/>
      <c r="NTO71" s="486"/>
      <c r="NTP71" s="486"/>
      <c r="NTQ71" s="486"/>
      <c r="NTR71" s="486"/>
      <c r="NTS71" s="486"/>
      <c r="NTT71" s="486"/>
      <c r="NTU71" s="487"/>
      <c r="NTV71" s="486"/>
      <c r="NTW71" s="486"/>
      <c r="NTX71" s="486"/>
      <c r="NTY71" s="486"/>
      <c r="NTZ71" s="486"/>
      <c r="NUA71" s="486"/>
      <c r="NUB71" s="486"/>
      <c r="NUC71" s="486"/>
      <c r="NUD71" s="486"/>
      <c r="NUE71" s="486"/>
      <c r="NUF71" s="486"/>
      <c r="NUG71" s="486"/>
      <c r="NUH71" s="486"/>
      <c r="NUI71" s="486"/>
      <c r="NUJ71" s="486"/>
      <c r="NUK71" s="486"/>
      <c r="NUL71" s="486"/>
      <c r="NUM71" s="486"/>
      <c r="NUN71" s="486"/>
      <c r="NUO71" s="486"/>
      <c r="NUP71" s="486"/>
      <c r="NUQ71" s="486"/>
      <c r="NUR71" s="486"/>
      <c r="NUS71" s="486"/>
      <c r="NUT71" s="486"/>
      <c r="NUU71" s="486"/>
      <c r="NUV71" s="486"/>
      <c r="NUW71" s="486"/>
      <c r="NUX71" s="487"/>
      <c r="NUY71" s="486"/>
      <c r="NUZ71" s="486"/>
      <c r="NVA71" s="486"/>
      <c r="NVB71" s="486"/>
      <c r="NVC71" s="486"/>
      <c r="NVD71" s="486"/>
      <c r="NVE71" s="486"/>
      <c r="NVF71" s="486"/>
      <c r="NVG71" s="486"/>
      <c r="NVH71" s="486"/>
      <c r="NVI71" s="486"/>
      <c r="NVJ71" s="486"/>
      <c r="NVK71" s="486"/>
      <c r="NVL71" s="486"/>
      <c r="NVM71" s="486"/>
      <c r="NVN71" s="486"/>
      <c r="NVO71" s="486"/>
      <c r="NVP71" s="486"/>
      <c r="NVQ71" s="486"/>
      <c r="NVR71" s="486"/>
      <c r="NVS71" s="486"/>
      <c r="NVT71" s="486"/>
      <c r="NVU71" s="486"/>
      <c r="NVV71" s="486"/>
      <c r="NVW71" s="486"/>
      <c r="NVX71" s="486"/>
      <c r="NVY71" s="486"/>
      <c r="NVZ71" s="486"/>
      <c r="NWA71" s="487"/>
      <c r="NWB71" s="486"/>
      <c r="NWC71" s="486"/>
      <c r="NWD71" s="486"/>
      <c r="NWE71" s="486"/>
      <c r="NWF71" s="486"/>
      <c r="NWG71" s="486"/>
      <c r="NWH71" s="486"/>
      <c r="NWI71" s="486"/>
      <c r="NWJ71" s="486"/>
      <c r="NWK71" s="486"/>
      <c r="NWL71" s="486"/>
      <c r="NWM71" s="486"/>
      <c r="NWN71" s="486"/>
      <c r="NWO71" s="486"/>
      <c r="NWP71" s="486"/>
      <c r="NWQ71" s="486"/>
      <c r="NWR71" s="486"/>
      <c r="NWS71" s="486"/>
      <c r="NWT71" s="486"/>
      <c r="NWU71" s="486"/>
      <c r="NWV71" s="486"/>
      <c r="NWW71" s="486"/>
      <c r="NWX71" s="486"/>
      <c r="NWY71" s="486"/>
      <c r="NWZ71" s="486"/>
      <c r="NXA71" s="486"/>
      <c r="NXB71" s="486"/>
      <c r="NXC71" s="486"/>
      <c r="NXD71" s="487"/>
      <c r="NXE71" s="486"/>
      <c r="NXF71" s="486"/>
      <c r="NXG71" s="486"/>
      <c r="NXH71" s="486"/>
      <c r="NXI71" s="486"/>
      <c r="NXJ71" s="486"/>
      <c r="NXK71" s="486"/>
      <c r="NXL71" s="486"/>
      <c r="NXM71" s="486"/>
      <c r="NXN71" s="486"/>
      <c r="NXO71" s="486"/>
      <c r="NXP71" s="486"/>
      <c r="NXQ71" s="486"/>
      <c r="NXR71" s="486"/>
      <c r="NXS71" s="486"/>
      <c r="NXT71" s="486"/>
      <c r="NXU71" s="486"/>
      <c r="NXV71" s="486"/>
      <c r="NXW71" s="486"/>
      <c r="NXX71" s="486"/>
      <c r="NXY71" s="486"/>
      <c r="NXZ71" s="486"/>
      <c r="NYA71" s="486"/>
      <c r="NYB71" s="486"/>
      <c r="NYC71" s="486"/>
      <c r="NYD71" s="486"/>
      <c r="NYE71" s="486"/>
      <c r="NYF71" s="486"/>
      <c r="NYG71" s="487"/>
      <c r="NYH71" s="486"/>
      <c r="NYI71" s="486"/>
      <c r="NYJ71" s="486"/>
      <c r="NYK71" s="486"/>
      <c r="NYL71" s="486"/>
      <c r="NYM71" s="486"/>
      <c r="NYN71" s="486"/>
      <c r="NYO71" s="486"/>
      <c r="NYP71" s="486"/>
      <c r="NYQ71" s="486"/>
      <c r="NYR71" s="486"/>
      <c r="NYS71" s="486"/>
      <c r="NYT71" s="486"/>
      <c r="NYU71" s="486"/>
      <c r="NYV71" s="486"/>
      <c r="NYW71" s="486"/>
      <c r="NYX71" s="486"/>
      <c r="NYY71" s="486"/>
      <c r="NYZ71" s="486"/>
      <c r="NZA71" s="486"/>
      <c r="NZB71" s="486"/>
      <c r="NZC71" s="486"/>
      <c r="NZD71" s="486"/>
      <c r="NZE71" s="486"/>
      <c r="NZF71" s="486"/>
      <c r="NZG71" s="486"/>
      <c r="NZH71" s="486"/>
      <c r="NZI71" s="486"/>
      <c r="NZJ71" s="487"/>
      <c r="NZK71" s="486"/>
      <c r="NZL71" s="486"/>
      <c r="NZM71" s="486"/>
      <c r="NZN71" s="486"/>
      <c r="NZO71" s="486"/>
      <c r="NZP71" s="486"/>
      <c r="NZQ71" s="486"/>
      <c r="NZR71" s="486"/>
      <c r="NZS71" s="486"/>
      <c r="NZT71" s="486"/>
      <c r="NZU71" s="486"/>
      <c r="NZV71" s="486"/>
      <c r="NZW71" s="486"/>
      <c r="NZX71" s="486"/>
      <c r="NZY71" s="486"/>
      <c r="NZZ71" s="486"/>
      <c r="OAA71" s="486"/>
      <c r="OAB71" s="486"/>
      <c r="OAC71" s="486"/>
      <c r="OAD71" s="486"/>
      <c r="OAE71" s="486"/>
      <c r="OAF71" s="486"/>
      <c r="OAG71" s="486"/>
      <c r="OAH71" s="486"/>
      <c r="OAI71" s="486"/>
      <c r="OAJ71" s="486"/>
      <c r="OAK71" s="486"/>
      <c r="OAL71" s="486"/>
      <c r="OAM71" s="487"/>
      <c r="OAN71" s="486"/>
      <c r="OAO71" s="486"/>
      <c r="OAP71" s="486"/>
      <c r="OAQ71" s="486"/>
      <c r="OAR71" s="486"/>
      <c r="OAS71" s="486"/>
      <c r="OAT71" s="486"/>
      <c r="OAU71" s="486"/>
      <c r="OAV71" s="486"/>
      <c r="OAW71" s="486"/>
      <c r="OAX71" s="486"/>
      <c r="OAY71" s="486"/>
      <c r="OAZ71" s="486"/>
      <c r="OBA71" s="486"/>
      <c r="OBB71" s="486"/>
      <c r="OBC71" s="486"/>
      <c r="OBD71" s="486"/>
      <c r="OBE71" s="486"/>
      <c r="OBF71" s="486"/>
      <c r="OBG71" s="486"/>
      <c r="OBH71" s="486"/>
      <c r="OBI71" s="486"/>
      <c r="OBJ71" s="486"/>
      <c r="OBK71" s="486"/>
      <c r="OBL71" s="486"/>
      <c r="OBM71" s="486"/>
      <c r="OBN71" s="486"/>
      <c r="OBO71" s="486"/>
      <c r="OBP71" s="487"/>
      <c r="OBQ71" s="486"/>
      <c r="OBR71" s="486"/>
      <c r="OBS71" s="486"/>
      <c r="OBT71" s="486"/>
      <c r="OBU71" s="486"/>
      <c r="OBV71" s="486"/>
      <c r="OBW71" s="486"/>
      <c r="OBX71" s="486"/>
      <c r="OBY71" s="486"/>
      <c r="OBZ71" s="486"/>
      <c r="OCA71" s="486"/>
      <c r="OCB71" s="486"/>
      <c r="OCC71" s="486"/>
      <c r="OCD71" s="486"/>
      <c r="OCE71" s="486"/>
      <c r="OCF71" s="486"/>
      <c r="OCG71" s="486"/>
      <c r="OCH71" s="486"/>
      <c r="OCI71" s="486"/>
      <c r="OCJ71" s="486"/>
      <c r="OCK71" s="486"/>
      <c r="OCL71" s="486"/>
      <c r="OCM71" s="486"/>
      <c r="OCN71" s="486"/>
      <c r="OCO71" s="486"/>
      <c r="OCP71" s="486"/>
      <c r="OCQ71" s="486"/>
      <c r="OCR71" s="486"/>
      <c r="OCS71" s="487"/>
      <c r="OCT71" s="486"/>
      <c r="OCU71" s="486"/>
      <c r="OCV71" s="486"/>
      <c r="OCW71" s="486"/>
      <c r="OCX71" s="486"/>
      <c r="OCY71" s="486"/>
      <c r="OCZ71" s="486"/>
      <c r="ODA71" s="486"/>
      <c r="ODB71" s="486"/>
      <c r="ODC71" s="486"/>
      <c r="ODD71" s="486"/>
      <c r="ODE71" s="486"/>
      <c r="ODF71" s="486"/>
      <c r="ODG71" s="486"/>
      <c r="ODH71" s="486"/>
      <c r="ODI71" s="486"/>
      <c r="ODJ71" s="486"/>
      <c r="ODK71" s="486"/>
      <c r="ODL71" s="486"/>
      <c r="ODM71" s="486"/>
      <c r="ODN71" s="486"/>
      <c r="ODO71" s="486"/>
      <c r="ODP71" s="486"/>
      <c r="ODQ71" s="486"/>
      <c r="ODR71" s="486"/>
      <c r="ODS71" s="486"/>
      <c r="ODT71" s="486"/>
      <c r="ODU71" s="486"/>
      <c r="ODV71" s="487"/>
      <c r="ODW71" s="486"/>
      <c r="ODX71" s="486"/>
      <c r="ODY71" s="486"/>
      <c r="ODZ71" s="486"/>
      <c r="OEA71" s="486"/>
      <c r="OEB71" s="486"/>
      <c r="OEC71" s="486"/>
      <c r="OED71" s="486"/>
      <c r="OEE71" s="486"/>
      <c r="OEF71" s="486"/>
      <c r="OEG71" s="486"/>
      <c r="OEH71" s="486"/>
      <c r="OEI71" s="486"/>
      <c r="OEJ71" s="486"/>
      <c r="OEK71" s="486"/>
      <c r="OEL71" s="486"/>
      <c r="OEM71" s="486"/>
      <c r="OEN71" s="486"/>
      <c r="OEO71" s="486"/>
      <c r="OEP71" s="486"/>
      <c r="OEQ71" s="486"/>
      <c r="OER71" s="486"/>
      <c r="OES71" s="486"/>
      <c r="OET71" s="486"/>
      <c r="OEU71" s="486"/>
      <c r="OEV71" s="486"/>
      <c r="OEW71" s="486"/>
      <c r="OEX71" s="486"/>
      <c r="OEY71" s="487"/>
      <c r="OEZ71" s="486"/>
      <c r="OFA71" s="486"/>
      <c r="OFB71" s="486"/>
      <c r="OFC71" s="486"/>
      <c r="OFD71" s="486"/>
      <c r="OFE71" s="486"/>
      <c r="OFF71" s="486"/>
      <c r="OFG71" s="486"/>
      <c r="OFH71" s="486"/>
      <c r="OFI71" s="486"/>
      <c r="OFJ71" s="486"/>
      <c r="OFK71" s="486"/>
      <c r="OFL71" s="486"/>
      <c r="OFM71" s="486"/>
      <c r="OFN71" s="486"/>
      <c r="OFO71" s="486"/>
      <c r="OFP71" s="486"/>
      <c r="OFQ71" s="486"/>
      <c r="OFR71" s="486"/>
      <c r="OFS71" s="486"/>
      <c r="OFT71" s="486"/>
      <c r="OFU71" s="486"/>
      <c r="OFV71" s="486"/>
      <c r="OFW71" s="486"/>
      <c r="OFX71" s="486"/>
      <c r="OFY71" s="486"/>
      <c r="OFZ71" s="486"/>
      <c r="OGA71" s="486"/>
      <c r="OGB71" s="487"/>
      <c r="OGC71" s="486"/>
      <c r="OGD71" s="486"/>
      <c r="OGE71" s="486"/>
      <c r="OGF71" s="486"/>
      <c r="OGG71" s="486"/>
      <c r="OGH71" s="486"/>
      <c r="OGI71" s="486"/>
      <c r="OGJ71" s="486"/>
      <c r="OGK71" s="486"/>
      <c r="OGL71" s="486"/>
      <c r="OGM71" s="486"/>
      <c r="OGN71" s="486"/>
      <c r="OGO71" s="486"/>
      <c r="OGP71" s="486"/>
      <c r="OGQ71" s="486"/>
      <c r="OGR71" s="486"/>
      <c r="OGS71" s="486"/>
      <c r="OGT71" s="486"/>
      <c r="OGU71" s="486"/>
      <c r="OGV71" s="486"/>
      <c r="OGW71" s="486"/>
      <c r="OGX71" s="486"/>
      <c r="OGY71" s="486"/>
      <c r="OGZ71" s="486"/>
      <c r="OHA71" s="486"/>
      <c r="OHB71" s="486"/>
      <c r="OHC71" s="486"/>
      <c r="OHD71" s="486"/>
      <c r="OHE71" s="487"/>
      <c r="OHF71" s="486"/>
      <c r="OHG71" s="486"/>
      <c r="OHH71" s="486"/>
      <c r="OHI71" s="486"/>
      <c r="OHJ71" s="486"/>
      <c r="OHK71" s="486"/>
      <c r="OHL71" s="486"/>
      <c r="OHM71" s="486"/>
      <c r="OHN71" s="486"/>
      <c r="OHO71" s="486"/>
      <c r="OHP71" s="486"/>
      <c r="OHQ71" s="486"/>
      <c r="OHR71" s="486"/>
      <c r="OHS71" s="486"/>
      <c r="OHT71" s="486"/>
      <c r="OHU71" s="486"/>
      <c r="OHV71" s="486"/>
      <c r="OHW71" s="486"/>
      <c r="OHX71" s="486"/>
      <c r="OHY71" s="486"/>
      <c r="OHZ71" s="486"/>
      <c r="OIA71" s="486"/>
      <c r="OIB71" s="486"/>
      <c r="OIC71" s="486"/>
      <c r="OID71" s="486"/>
      <c r="OIE71" s="486"/>
      <c r="OIF71" s="486"/>
      <c r="OIG71" s="486"/>
      <c r="OIH71" s="487"/>
      <c r="OII71" s="486"/>
      <c r="OIJ71" s="486"/>
      <c r="OIK71" s="486"/>
      <c r="OIL71" s="486"/>
      <c r="OIM71" s="486"/>
      <c r="OIN71" s="486"/>
      <c r="OIO71" s="486"/>
      <c r="OIP71" s="486"/>
      <c r="OIQ71" s="486"/>
      <c r="OIR71" s="486"/>
      <c r="OIS71" s="486"/>
      <c r="OIT71" s="486"/>
      <c r="OIU71" s="486"/>
      <c r="OIV71" s="486"/>
      <c r="OIW71" s="486"/>
      <c r="OIX71" s="486"/>
      <c r="OIY71" s="486"/>
      <c r="OIZ71" s="486"/>
      <c r="OJA71" s="486"/>
      <c r="OJB71" s="486"/>
      <c r="OJC71" s="486"/>
      <c r="OJD71" s="486"/>
      <c r="OJE71" s="486"/>
      <c r="OJF71" s="486"/>
      <c r="OJG71" s="486"/>
      <c r="OJH71" s="486"/>
      <c r="OJI71" s="486"/>
      <c r="OJJ71" s="486"/>
      <c r="OJK71" s="487"/>
      <c r="OJL71" s="486"/>
      <c r="OJM71" s="486"/>
      <c r="OJN71" s="486"/>
      <c r="OJO71" s="486"/>
      <c r="OJP71" s="486"/>
      <c r="OJQ71" s="486"/>
      <c r="OJR71" s="486"/>
      <c r="OJS71" s="486"/>
      <c r="OJT71" s="486"/>
      <c r="OJU71" s="486"/>
      <c r="OJV71" s="486"/>
      <c r="OJW71" s="486"/>
      <c r="OJX71" s="486"/>
      <c r="OJY71" s="486"/>
      <c r="OJZ71" s="486"/>
      <c r="OKA71" s="486"/>
      <c r="OKB71" s="486"/>
      <c r="OKC71" s="486"/>
      <c r="OKD71" s="486"/>
      <c r="OKE71" s="486"/>
      <c r="OKF71" s="486"/>
      <c r="OKG71" s="486"/>
      <c r="OKH71" s="486"/>
      <c r="OKI71" s="486"/>
      <c r="OKJ71" s="486"/>
      <c r="OKK71" s="486"/>
      <c r="OKL71" s="486"/>
      <c r="OKM71" s="486"/>
      <c r="OKN71" s="487"/>
      <c r="OKO71" s="486"/>
      <c r="OKP71" s="486"/>
      <c r="OKQ71" s="486"/>
      <c r="OKR71" s="486"/>
      <c r="OKS71" s="486"/>
      <c r="OKT71" s="486"/>
      <c r="OKU71" s="486"/>
      <c r="OKV71" s="486"/>
      <c r="OKW71" s="486"/>
      <c r="OKX71" s="486"/>
      <c r="OKY71" s="486"/>
      <c r="OKZ71" s="486"/>
      <c r="OLA71" s="486"/>
      <c r="OLB71" s="486"/>
      <c r="OLC71" s="486"/>
      <c r="OLD71" s="486"/>
      <c r="OLE71" s="486"/>
      <c r="OLF71" s="486"/>
      <c r="OLG71" s="486"/>
      <c r="OLH71" s="486"/>
      <c r="OLI71" s="486"/>
      <c r="OLJ71" s="486"/>
      <c r="OLK71" s="486"/>
      <c r="OLL71" s="486"/>
      <c r="OLM71" s="486"/>
      <c r="OLN71" s="486"/>
      <c r="OLO71" s="486"/>
      <c r="OLP71" s="486"/>
      <c r="OLQ71" s="487"/>
      <c r="OLR71" s="486"/>
      <c r="OLS71" s="486"/>
      <c r="OLT71" s="486"/>
      <c r="OLU71" s="486"/>
      <c r="OLV71" s="486"/>
      <c r="OLW71" s="486"/>
      <c r="OLX71" s="486"/>
      <c r="OLY71" s="486"/>
      <c r="OLZ71" s="486"/>
      <c r="OMA71" s="486"/>
      <c r="OMB71" s="486"/>
      <c r="OMC71" s="486"/>
      <c r="OMD71" s="486"/>
      <c r="OME71" s="486"/>
      <c r="OMF71" s="486"/>
      <c r="OMG71" s="486"/>
      <c r="OMH71" s="486"/>
      <c r="OMI71" s="486"/>
      <c r="OMJ71" s="486"/>
      <c r="OMK71" s="486"/>
      <c r="OML71" s="486"/>
      <c r="OMM71" s="486"/>
      <c r="OMN71" s="486"/>
      <c r="OMO71" s="486"/>
      <c r="OMP71" s="486"/>
      <c r="OMQ71" s="486"/>
      <c r="OMR71" s="486"/>
      <c r="OMS71" s="486"/>
      <c r="OMT71" s="487"/>
      <c r="OMU71" s="486"/>
      <c r="OMV71" s="486"/>
      <c r="OMW71" s="486"/>
      <c r="OMX71" s="486"/>
      <c r="OMY71" s="486"/>
      <c r="OMZ71" s="486"/>
      <c r="ONA71" s="486"/>
      <c r="ONB71" s="486"/>
      <c r="ONC71" s="486"/>
      <c r="OND71" s="486"/>
      <c r="ONE71" s="486"/>
      <c r="ONF71" s="486"/>
      <c r="ONG71" s="486"/>
      <c r="ONH71" s="486"/>
      <c r="ONI71" s="486"/>
      <c r="ONJ71" s="486"/>
      <c r="ONK71" s="486"/>
      <c r="ONL71" s="486"/>
      <c r="ONM71" s="486"/>
      <c r="ONN71" s="486"/>
      <c r="ONO71" s="486"/>
      <c r="ONP71" s="486"/>
      <c r="ONQ71" s="486"/>
      <c r="ONR71" s="486"/>
      <c r="ONS71" s="486"/>
      <c r="ONT71" s="486"/>
      <c r="ONU71" s="486"/>
      <c r="ONV71" s="486"/>
      <c r="ONW71" s="487"/>
      <c r="ONX71" s="486"/>
      <c r="ONY71" s="486"/>
      <c r="ONZ71" s="486"/>
      <c r="OOA71" s="486"/>
      <c r="OOB71" s="486"/>
      <c r="OOC71" s="486"/>
      <c r="OOD71" s="486"/>
      <c r="OOE71" s="486"/>
      <c r="OOF71" s="486"/>
      <c r="OOG71" s="486"/>
      <c r="OOH71" s="486"/>
      <c r="OOI71" s="486"/>
      <c r="OOJ71" s="486"/>
      <c r="OOK71" s="486"/>
      <c r="OOL71" s="486"/>
      <c r="OOM71" s="486"/>
      <c r="OON71" s="486"/>
      <c r="OOO71" s="486"/>
      <c r="OOP71" s="486"/>
      <c r="OOQ71" s="486"/>
      <c r="OOR71" s="486"/>
      <c r="OOS71" s="486"/>
      <c r="OOT71" s="486"/>
      <c r="OOU71" s="486"/>
      <c r="OOV71" s="486"/>
      <c r="OOW71" s="486"/>
      <c r="OOX71" s="486"/>
      <c r="OOY71" s="486"/>
      <c r="OOZ71" s="487"/>
      <c r="OPA71" s="486"/>
      <c r="OPB71" s="486"/>
      <c r="OPC71" s="486"/>
      <c r="OPD71" s="486"/>
      <c r="OPE71" s="486"/>
      <c r="OPF71" s="486"/>
      <c r="OPG71" s="486"/>
      <c r="OPH71" s="486"/>
      <c r="OPI71" s="486"/>
      <c r="OPJ71" s="486"/>
      <c r="OPK71" s="486"/>
      <c r="OPL71" s="486"/>
      <c r="OPM71" s="486"/>
      <c r="OPN71" s="486"/>
      <c r="OPO71" s="486"/>
      <c r="OPP71" s="486"/>
      <c r="OPQ71" s="486"/>
      <c r="OPR71" s="486"/>
      <c r="OPS71" s="486"/>
      <c r="OPT71" s="486"/>
      <c r="OPU71" s="486"/>
      <c r="OPV71" s="486"/>
      <c r="OPW71" s="486"/>
      <c r="OPX71" s="486"/>
      <c r="OPY71" s="486"/>
      <c r="OPZ71" s="486"/>
      <c r="OQA71" s="486"/>
      <c r="OQB71" s="486"/>
      <c r="OQC71" s="487"/>
      <c r="OQD71" s="486"/>
      <c r="OQE71" s="486"/>
      <c r="OQF71" s="486"/>
      <c r="OQG71" s="486"/>
      <c r="OQH71" s="486"/>
      <c r="OQI71" s="486"/>
      <c r="OQJ71" s="486"/>
      <c r="OQK71" s="486"/>
      <c r="OQL71" s="486"/>
      <c r="OQM71" s="486"/>
      <c r="OQN71" s="486"/>
      <c r="OQO71" s="486"/>
      <c r="OQP71" s="486"/>
      <c r="OQQ71" s="486"/>
      <c r="OQR71" s="486"/>
      <c r="OQS71" s="486"/>
      <c r="OQT71" s="486"/>
      <c r="OQU71" s="486"/>
      <c r="OQV71" s="486"/>
      <c r="OQW71" s="486"/>
      <c r="OQX71" s="486"/>
      <c r="OQY71" s="486"/>
      <c r="OQZ71" s="486"/>
      <c r="ORA71" s="486"/>
      <c r="ORB71" s="486"/>
      <c r="ORC71" s="486"/>
      <c r="ORD71" s="486"/>
      <c r="ORE71" s="486"/>
      <c r="ORF71" s="487"/>
      <c r="ORG71" s="486"/>
      <c r="ORH71" s="486"/>
      <c r="ORI71" s="486"/>
      <c r="ORJ71" s="486"/>
      <c r="ORK71" s="486"/>
      <c r="ORL71" s="486"/>
      <c r="ORM71" s="486"/>
      <c r="ORN71" s="486"/>
      <c r="ORO71" s="486"/>
      <c r="ORP71" s="486"/>
      <c r="ORQ71" s="486"/>
      <c r="ORR71" s="486"/>
      <c r="ORS71" s="486"/>
      <c r="ORT71" s="486"/>
      <c r="ORU71" s="486"/>
      <c r="ORV71" s="486"/>
      <c r="ORW71" s="486"/>
      <c r="ORX71" s="486"/>
      <c r="ORY71" s="486"/>
      <c r="ORZ71" s="486"/>
      <c r="OSA71" s="486"/>
      <c r="OSB71" s="486"/>
      <c r="OSC71" s="486"/>
      <c r="OSD71" s="486"/>
      <c r="OSE71" s="486"/>
      <c r="OSF71" s="486"/>
      <c r="OSG71" s="486"/>
      <c r="OSH71" s="486"/>
      <c r="OSI71" s="487"/>
      <c r="OSJ71" s="486"/>
      <c r="OSK71" s="486"/>
      <c r="OSL71" s="486"/>
      <c r="OSM71" s="486"/>
      <c r="OSN71" s="486"/>
      <c r="OSO71" s="486"/>
      <c r="OSP71" s="486"/>
      <c r="OSQ71" s="486"/>
      <c r="OSR71" s="486"/>
      <c r="OSS71" s="486"/>
      <c r="OST71" s="486"/>
      <c r="OSU71" s="486"/>
      <c r="OSV71" s="486"/>
      <c r="OSW71" s="486"/>
      <c r="OSX71" s="486"/>
      <c r="OSY71" s="486"/>
      <c r="OSZ71" s="486"/>
      <c r="OTA71" s="486"/>
      <c r="OTB71" s="486"/>
      <c r="OTC71" s="486"/>
      <c r="OTD71" s="486"/>
      <c r="OTE71" s="486"/>
      <c r="OTF71" s="486"/>
      <c r="OTG71" s="486"/>
      <c r="OTH71" s="486"/>
      <c r="OTI71" s="486"/>
      <c r="OTJ71" s="486"/>
      <c r="OTK71" s="486"/>
      <c r="OTL71" s="487"/>
      <c r="OTM71" s="486"/>
      <c r="OTN71" s="486"/>
      <c r="OTO71" s="486"/>
      <c r="OTP71" s="486"/>
      <c r="OTQ71" s="486"/>
      <c r="OTR71" s="486"/>
      <c r="OTS71" s="486"/>
      <c r="OTT71" s="486"/>
      <c r="OTU71" s="486"/>
      <c r="OTV71" s="486"/>
      <c r="OTW71" s="486"/>
      <c r="OTX71" s="486"/>
      <c r="OTY71" s="486"/>
      <c r="OTZ71" s="486"/>
      <c r="OUA71" s="486"/>
      <c r="OUB71" s="486"/>
      <c r="OUC71" s="486"/>
      <c r="OUD71" s="486"/>
      <c r="OUE71" s="486"/>
      <c r="OUF71" s="486"/>
      <c r="OUG71" s="486"/>
      <c r="OUH71" s="486"/>
      <c r="OUI71" s="486"/>
      <c r="OUJ71" s="486"/>
      <c r="OUK71" s="486"/>
      <c r="OUL71" s="486"/>
      <c r="OUM71" s="486"/>
      <c r="OUN71" s="486"/>
      <c r="OUO71" s="487"/>
      <c r="OUP71" s="486"/>
      <c r="OUQ71" s="486"/>
      <c r="OUR71" s="486"/>
      <c r="OUS71" s="486"/>
      <c r="OUT71" s="486"/>
      <c r="OUU71" s="486"/>
      <c r="OUV71" s="486"/>
      <c r="OUW71" s="486"/>
      <c r="OUX71" s="486"/>
      <c r="OUY71" s="486"/>
      <c r="OUZ71" s="486"/>
      <c r="OVA71" s="486"/>
      <c r="OVB71" s="486"/>
      <c r="OVC71" s="486"/>
      <c r="OVD71" s="486"/>
      <c r="OVE71" s="486"/>
      <c r="OVF71" s="486"/>
      <c r="OVG71" s="486"/>
      <c r="OVH71" s="486"/>
      <c r="OVI71" s="486"/>
      <c r="OVJ71" s="486"/>
      <c r="OVK71" s="486"/>
      <c r="OVL71" s="486"/>
      <c r="OVM71" s="486"/>
      <c r="OVN71" s="486"/>
      <c r="OVO71" s="486"/>
      <c r="OVP71" s="486"/>
      <c r="OVQ71" s="486"/>
      <c r="OVR71" s="487"/>
      <c r="OVS71" s="486"/>
      <c r="OVT71" s="486"/>
      <c r="OVU71" s="486"/>
      <c r="OVV71" s="486"/>
      <c r="OVW71" s="486"/>
      <c r="OVX71" s="486"/>
      <c r="OVY71" s="486"/>
      <c r="OVZ71" s="486"/>
      <c r="OWA71" s="486"/>
      <c r="OWB71" s="486"/>
      <c r="OWC71" s="486"/>
      <c r="OWD71" s="486"/>
      <c r="OWE71" s="486"/>
      <c r="OWF71" s="486"/>
      <c r="OWG71" s="486"/>
      <c r="OWH71" s="486"/>
      <c r="OWI71" s="486"/>
      <c r="OWJ71" s="486"/>
      <c r="OWK71" s="486"/>
      <c r="OWL71" s="486"/>
      <c r="OWM71" s="486"/>
      <c r="OWN71" s="486"/>
      <c r="OWO71" s="486"/>
      <c r="OWP71" s="486"/>
      <c r="OWQ71" s="486"/>
      <c r="OWR71" s="486"/>
      <c r="OWS71" s="486"/>
      <c r="OWT71" s="486"/>
      <c r="OWU71" s="487"/>
      <c r="OWV71" s="486"/>
      <c r="OWW71" s="486"/>
      <c r="OWX71" s="486"/>
      <c r="OWY71" s="486"/>
      <c r="OWZ71" s="486"/>
      <c r="OXA71" s="486"/>
      <c r="OXB71" s="486"/>
      <c r="OXC71" s="486"/>
      <c r="OXD71" s="486"/>
      <c r="OXE71" s="486"/>
      <c r="OXF71" s="486"/>
      <c r="OXG71" s="486"/>
      <c r="OXH71" s="486"/>
      <c r="OXI71" s="486"/>
      <c r="OXJ71" s="486"/>
      <c r="OXK71" s="486"/>
      <c r="OXL71" s="486"/>
      <c r="OXM71" s="486"/>
      <c r="OXN71" s="486"/>
      <c r="OXO71" s="486"/>
      <c r="OXP71" s="486"/>
      <c r="OXQ71" s="486"/>
      <c r="OXR71" s="486"/>
      <c r="OXS71" s="486"/>
      <c r="OXT71" s="486"/>
      <c r="OXU71" s="486"/>
      <c r="OXV71" s="486"/>
      <c r="OXW71" s="486"/>
      <c r="OXX71" s="487"/>
      <c r="OXY71" s="486"/>
      <c r="OXZ71" s="486"/>
      <c r="OYA71" s="486"/>
      <c r="OYB71" s="486"/>
      <c r="OYC71" s="486"/>
      <c r="OYD71" s="486"/>
      <c r="OYE71" s="486"/>
      <c r="OYF71" s="486"/>
      <c r="OYG71" s="486"/>
      <c r="OYH71" s="486"/>
      <c r="OYI71" s="486"/>
      <c r="OYJ71" s="486"/>
      <c r="OYK71" s="486"/>
      <c r="OYL71" s="486"/>
      <c r="OYM71" s="486"/>
      <c r="OYN71" s="486"/>
      <c r="OYO71" s="486"/>
      <c r="OYP71" s="486"/>
      <c r="OYQ71" s="486"/>
      <c r="OYR71" s="486"/>
      <c r="OYS71" s="486"/>
      <c r="OYT71" s="486"/>
      <c r="OYU71" s="486"/>
      <c r="OYV71" s="486"/>
      <c r="OYW71" s="486"/>
      <c r="OYX71" s="486"/>
      <c r="OYY71" s="486"/>
      <c r="OYZ71" s="486"/>
      <c r="OZA71" s="487"/>
      <c r="OZB71" s="486"/>
      <c r="OZC71" s="486"/>
      <c r="OZD71" s="486"/>
      <c r="OZE71" s="486"/>
      <c r="OZF71" s="486"/>
      <c r="OZG71" s="486"/>
      <c r="OZH71" s="486"/>
      <c r="OZI71" s="486"/>
      <c r="OZJ71" s="486"/>
      <c r="OZK71" s="486"/>
      <c r="OZL71" s="486"/>
      <c r="OZM71" s="486"/>
      <c r="OZN71" s="486"/>
      <c r="OZO71" s="486"/>
      <c r="OZP71" s="486"/>
      <c r="OZQ71" s="486"/>
      <c r="OZR71" s="486"/>
      <c r="OZS71" s="486"/>
      <c r="OZT71" s="486"/>
      <c r="OZU71" s="486"/>
      <c r="OZV71" s="486"/>
      <c r="OZW71" s="486"/>
      <c r="OZX71" s="486"/>
      <c r="OZY71" s="486"/>
      <c r="OZZ71" s="486"/>
      <c r="PAA71" s="486"/>
      <c r="PAB71" s="486"/>
      <c r="PAC71" s="486"/>
      <c r="PAD71" s="487"/>
      <c r="PAE71" s="486"/>
      <c r="PAF71" s="486"/>
      <c r="PAG71" s="486"/>
      <c r="PAH71" s="486"/>
      <c r="PAI71" s="486"/>
      <c r="PAJ71" s="486"/>
      <c r="PAK71" s="486"/>
      <c r="PAL71" s="486"/>
      <c r="PAM71" s="486"/>
      <c r="PAN71" s="486"/>
      <c r="PAO71" s="486"/>
      <c r="PAP71" s="486"/>
      <c r="PAQ71" s="486"/>
      <c r="PAR71" s="486"/>
      <c r="PAS71" s="486"/>
      <c r="PAT71" s="486"/>
      <c r="PAU71" s="486"/>
      <c r="PAV71" s="486"/>
      <c r="PAW71" s="486"/>
      <c r="PAX71" s="486"/>
      <c r="PAY71" s="486"/>
      <c r="PAZ71" s="486"/>
      <c r="PBA71" s="486"/>
      <c r="PBB71" s="486"/>
      <c r="PBC71" s="486"/>
      <c r="PBD71" s="486"/>
      <c r="PBE71" s="486"/>
      <c r="PBF71" s="486"/>
      <c r="PBG71" s="487"/>
      <c r="PBH71" s="486"/>
      <c r="PBI71" s="486"/>
      <c r="PBJ71" s="486"/>
      <c r="PBK71" s="486"/>
      <c r="PBL71" s="486"/>
      <c r="PBM71" s="486"/>
      <c r="PBN71" s="486"/>
      <c r="PBO71" s="486"/>
      <c r="PBP71" s="486"/>
      <c r="PBQ71" s="486"/>
      <c r="PBR71" s="486"/>
      <c r="PBS71" s="486"/>
      <c r="PBT71" s="486"/>
      <c r="PBU71" s="486"/>
      <c r="PBV71" s="486"/>
      <c r="PBW71" s="486"/>
      <c r="PBX71" s="486"/>
      <c r="PBY71" s="486"/>
      <c r="PBZ71" s="486"/>
      <c r="PCA71" s="486"/>
      <c r="PCB71" s="486"/>
      <c r="PCC71" s="486"/>
      <c r="PCD71" s="486"/>
      <c r="PCE71" s="486"/>
      <c r="PCF71" s="486"/>
      <c r="PCG71" s="486"/>
      <c r="PCH71" s="486"/>
      <c r="PCI71" s="486"/>
      <c r="PCJ71" s="487"/>
      <c r="PCK71" s="486"/>
      <c r="PCL71" s="486"/>
      <c r="PCM71" s="486"/>
      <c r="PCN71" s="486"/>
      <c r="PCO71" s="486"/>
      <c r="PCP71" s="486"/>
      <c r="PCQ71" s="486"/>
      <c r="PCR71" s="486"/>
      <c r="PCS71" s="486"/>
      <c r="PCT71" s="486"/>
      <c r="PCU71" s="486"/>
      <c r="PCV71" s="486"/>
      <c r="PCW71" s="486"/>
      <c r="PCX71" s="486"/>
      <c r="PCY71" s="486"/>
      <c r="PCZ71" s="486"/>
      <c r="PDA71" s="486"/>
      <c r="PDB71" s="486"/>
      <c r="PDC71" s="486"/>
      <c r="PDD71" s="486"/>
      <c r="PDE71" s="486"/>
      <c r="PDF71" s="486"/>
      <c r="PDG71" s="486"/>
      <c r="PDH71" s="486"/>
      <c r="PDI71" s="486"/>
      <c r="PDJ71" s="486"/>
      <c r="PDK71" s="486"/>
      <c r="PDL71" s="486"/>
      <c r="PDM71" s="487"/>
      <c r="PDN71" s="486"/>
      <c r="PDO71" s="486"/>
      <c r="PDP71" s="486"/>
      <c r="PDQ71" s="486"/>
      <c r="PDR71" s="486"/>
      <c r="PDS71" s="486"/>
      <c r="PDT71" s="486"/>
      <c r="PDU71" s="486"/>
      <c r="PDV71" s="486"/>
      <c r="PDW71" s="486"/>
      <c r="PDX71" s="486"/>
      <c r="PDY71" s="486"/>
      <c r="PDZ71" s="486"/>
      <c r="PEA71" s="486"/>
      <c r="PEB71" s="486"/>
      <c r="PEC71" s="486"/>
      <c r="PED71" s="486"/>
      <c r="PEE71" s="486"/>
      <c r="PEF71" s="486"/>
      <c r="PEG71" s="486"/>
      <c r="PEH71" s="486"/>
      <c r="PEI71" s="486"/>
      <c r="PEJ71" s="486"/>
      <c r="PEK71" s="486"/>
      <c r="PEL71" s="486"/>
      <c r="PEM71" s="486"/>
      <c r="PEN71" s="486"/>
      <c r="PEO71" s="486"/>
      <c r="PEP71" s="487"/>
      <c r="PEQ71" s="486"/>
      <c r="PER71" s="486"/>
      <c r="PES71" s="486"/>
      <c r="PET71" s="486"/>
      <c r="PEU71" s="486"/>
      <c r="PEV71" s="486"/>
      <c r="PEW71" s="486"/>
      <c r="PEX71" s="486"/>
      <c r="PEY71" s="486"/>
      <c r="PEZ71" s="486"/>
      <c r="PFA71" s="486"/>
      <c r="PFB71" s="486"/>
      <c r="PFC71" s="486"/>
      <c r="PFD71" s="486"/>
      <c r="PFE71" s="486"/>
      <c r="PFF71" s="486"/>
      <c r="PFG71" s="486"/>
      <c r="PFH71" s="486"/>
      <c r="PFI71" s="486"/>
      <c r="PFJ71" s="486"/>
      <c r="PFK71" s="486"/>
      <c r="PFL71" s="486"/>
      <c r="PFM71" s="486"/>
      <c r="PFN71" s="486"/>
      <c r="PFO71" s="486"/>
      <c r="PFP71" s="486"/>
      <c r="PFQ71" s="486"/>
      <c r="PFR71" s="486"/>
      <c r="PFS71" s="487"/>
      <c r="PFT71" s="486"/>
      <c r="PFU71" s="486"/>
      <c r="PFV71" s="486"/>
      <c r="PFW71" s="486"/>
      <c r="PFX71" s="486"/>
      <c r="PFY71" s="486"/>
      <c r="PFZ71" s="486"/>
      <c r="PGA71" s="486"/>
      <c r="PGB71" s="486"/>
      <c r="PGC71" s="486"/>
      <c r="PGD71" s="486"/>
      <c r="PGE71" s="486"/>
      <c r="PGF71" s="486"/>
      <c r="PGG71" s="486"/>
      <c r="PGH71" s="486"/>
      <c r="PGI71" s="486"/>
      <c r="PGJ71" s="486"/>
      <c r="PGK71" s="486"/>
      <c r="PGL71" s="486"/>
      <c r="PGM71" s="486"/>
      <c r="PGN71" s="486"/>
      <c r="PGO71" s="486"/>
      <c r="PGP71" s="486"/>
      <c r="PGQ71" s="486"/>
      <c r="PGR71" s="486"/>
      <c r="PGS71" s="486"/>
      <c r="PGT71" s="486"/>
      <c r="PGU71" s="486"/>
      <c r="PGV71" s="487"/>
      <c r="PGW71" s="486"/>
      <c r="PGX71" s="486"/>
      <c r="PGY71" s="486"/>
      <c r="PGZ71" s="486"/>
      <c r="PHA71" s="486"/>
      <c r="PHB71" s="486"/>
      <c r="PHC71" s="486"/>
      <c r="PHD71" s="486"/>
      <c r="PHE71" s="486"/>
      <c r="PHF71" s="486"/>
      <c r="PHG71" s="486"/>
      <c r="PHH71" s="486"/>
      <c r="PHI71" s="486"/>
      <c r="PHJ71" s="486"/>
      <c r="PHK71" s="486"/>
      <c r="PHL71" s="486"/>
      <c r="PHM71" s="486"/>
      <c r="PHN71" s="486"/>
      <c r="PHO71" s="486"/>
      <c r="PHP71" s="486"/>
      <c r="PHQ71" s="486"/>
      <c r="PHR71" s="486"/>
      <c r="PHS71" s="486"/>
      <c r="PHT71" s="486"/>
      <c r="PHU71" s="486"/>
      <c r="PHV71" s="486"/>
      <c r="PHW71" s="486"/>
      <c r="PHX71" s="486"/>
      <c r="PHY71" s="487"/>
      <c r="PHZ71" s="486"/>
      <c r="PIA71" s="486"/>
      <c r="PIB71" s="486"/>
      <c r="PIC71" s="486"/>
      <c r="PID71" s="486"/>
      <c r="PIE71" s="486"/>
      <c r="PIF71" s="486"/>
      <c r="PIG71" s="486"/>
      <c r="PIH71" s="486"/>
      <c r="PII71" s="486"/>
      <c r="PIJ71" s="486"/>
      <c r="PIK71" s="486"/>
      <c r="PIL71" s="486"/>
      <c r="PIM71" s="486"/>
      <c r="PIN71" s="486"/>
      <c r="PIO71" s="486"/>
      <c r="PIP71" s="486"/>
      <c r="PIQ71" s="486"/>
      <c r="PIR71" s="486"/>
      <c r="PIS71" s="486"/>
      <c r="PIT71" s="486"/>
      <c r="PIU71" s="486"/>
      <c r="PIV71" s="486"/>
      <c r="PIW71" s="486"/>
      <c r="PIX71" s="486"/>
      <c r="PIY71" s="486"/>
      <c r="PIZ71" s="486"/>
      <c r="PJA71" s="486"/>
      <c r="PJB71" s="487"/>
      <c r="PJC71" s="486"/>
      <c r="PJD71" s="486"/>
      <c r="PJE71" s="486"/>
      <c r="PJF71" s="486"/>
      <c r="PJG71" s="486"/>
      <c r="PJH71" s="486"/>
      <c r="PJI71" s="486"/>
      <c r="PJJ71" s="486"/>
      <c r="PJK71" s="486"/>
      <c r="PJL71" s="486"/>
      <c r="PJM71" s="486"/>
      <c r="PJN71" s="486"/>
      <c r="PJO71" s="486"/>
      <c r="PJP71" s="486"/>
      <c r="PJQ71" s="486"/>
      <c r="PJR71" s="486"/>
      <c r="PJS71" s="486"/>
      <c r="PJT71" s="486"/>
      <c r="PJU71" s="486"/>
      <c r="PJV71" s="486"/>
      <c r="PJW71" s="486"/>
      <c r="PJX71" s="486"/>
      <c r="PJY71" s="486"/>
      <c r="PJZ71" s="486"/>
      <c r="PKA71" s="486"/>
      <c r="PKB71" s="486"/>
      <c r="PKC71" s="486"/>
      <c r="PKD71" s="486"/>
      <c r="PKE71" s="487"/>
      <c r="PKF71" s="486"/>
      <c r="PKG71" s="486"/>
      <c r="PKH71" s="486"/>
      <c r="PKI71" s="486"/>
      <c r="PKJ71" s="486"/>
      <c r="PKK71" s="486"/>
      <c r="PKL71" s="486"/>
      <c r="PKM71" s="486"/>
      <c r="PKN71" s="486"/>
      <c r="PKO71" s="486"/>
      <c r="PKP71" s="486"/>
      <c r="PKQ71" s="486"/>
      <c r="PKR71" s="486"/>
      <c r="PKS71" s="486"/>
      <c r="PKT71" s="486"/>
      <c r="PKU71" s="486"/>
      <c r="PKV71" s="486"/>
      <c r="PKW71" s="486"/>
      <c r="PKX71" s="486"/>
      <c r="PKY71" s="486"/>
      <c r="PKZ71" s="486"/>
      <c r="PLA71" s="486"/>
      <c r="PLB71" s="486"/>
      <c r="PLC71" s="486"/>
      <c r="PLD71" s="486"/>
      <c r="PLE71" s="486"/>
      <c r="PLF71" s="486"/>
      <c r="PLG71" s="486"/>
      <c r="PLH71" s="487"/>
      <c r="PLI71" s="486"/>
      <c r="PLJ71" s="486"/>
      <c r="PLK71" s="486"/>
      <c r="PLL71" s="486"/>
      <c r="PLM71" s="486"/>
      <c r="PLN71" s="486"/>
      <c r="PLO71" s="486"/>
      <c r="PLP71" s="486"/>
      <c r="PLQ71" s="486"/>
      <c r="PLR71" s="486"/>
      <c r="PLS71" s="486"/>
      <c r="PLT71" s="486"/>
      <c r="PLU71" s="486"/>
      <c r="PLV71" s="486"/>
      <c r="PLW71" s="486"/>
      <c r="PLX71" s="486"/>
      <c r="PLY71" s="486"/>
      <c r="PLZ71" s="486"/>
      <c r="PMA71" s="486"/>
      <c r="PMB71" s="486"/>
      <c r="PMC71" s="486"/>
      <c r="PMD71" s="486"/>
      <c r="PME71" s="486"/>
      <c r="PMF71" s="486"/>
      <c r="PMG71" s="486"/>
      <c r="PMH71" s="486"/>
      <c r="PMI71" s="486"/>
      <c r="PMJ71" s="486"/>
      <c r="PMK71" s="487"/>
      <c r="PML71" s="486"/>
      <c r="PMM71" s="486"/>
      <c r="PMN71" s="486"/>
      <c r="PMO71" s="486"/>
      <c r="PMP71" s="486"/>
      <c r="PMQ71" s="486"/>
      <c r="PMR71" s="486"/>
      <c r="PMS71" s="486"/>
      <c r="PMT71" s="486"/>
      <c r="PMU71" s="486"/>
      <c r="PMV71" s="486"/>
      <c r="PMW71" s="486"/>
      <c r="PMX71" s="486"/>
      <c r="PMY71" s="486"/>
      <c r="PMZ71" s="486"/>
      <c r="PNA71" s="486"/>
      <c r="PNB71" s="486"/>
      <c r="PNC71" s="486"/>
      <c r="PND71" s="486"/>
      <c r="PNE71" s="486"/>
      <c r="PNF71" s="486"/>
      <c r="PNG71" s="486"/>
      <c r="PNH71" s="486"/>
      <c r="PNI71" s="486"/>
      <c r="PNJ71" s="486"/>
      <c r="PNK71" s="486"/>
      <c r="PNL71" s="486"/>
      <c r="PNM71" s="486"/>
      <c r="PNN71" s="487"/>
      <c r="PNO71" s="486"/>
      <c r="PNP71" s="486"/>
      <c r="PNQ71" s="486"/>
      <c r="PNR71" s="486"/>
      <c r="PNS71" s="486"/>
      <c r="PNT71" s="486"/>
      <c r="PNU71" s="486"/>
      <c r="PNV71" s="486"/>
      <c r="PNW71" s="486"/>
      <c r="PNX71" s="486"/>
      <c r="PNY71" s="486"/>
      <c r="PNZ71" s="486"/>
      <c r="POA71" s="486"/>
      <c r="POB71" s="486"/>
      <c r="POC71" s="486"/>
      <c r="POD71" s="486"/>
      <c r="POE71" s="486"/>
      <c r="POF71" s="486"/>
      <c r="POG71" s="486"/>
      <c r="POH71" s="486"/>
      <c r="POI71" s="486"/>
      <c r="POJ71" s="486"/>
      <c r="POK71" s="486"/>
      <c r="POL71" s="486"/>
      <c r="POM71" s="486"/>
      <c r="PON71" s="486"/>
      <c r="POO71" s="486"/>
      <c r="POP71" s="486"/>
      <c r="POQ71" s="487"/>
      <c r="POR71" s="486"/>
      <c r="POS71" s="486"/>
      <c r="POT71" s="486"/>
      <c r="POU71" s="486"/>
      <c r="POV71" s="486"/>
      <c r="POW71" s="486"/>
      <c r="POX71" s="486"/>
      <c r="POY71" s="486"/>
      <c r="POZ71" s="486"/>
      <c r="PPA71" s="486"/>
      <c r="PPB71" s="486"/>
      <c r="PPC71" s="486"/>
      <c r="PPD71" s="486"/>
      <c r="PPE71" s="486"/>
      <c r="PPF71" s="486"/>
      <c r="PPG71" s="486"/>
      <c r="PPH71" s="486"/>
      <c r="PPI71" s="486"/>
      <c r="PPJ71" s="486"/>
      <c r="PPK71" s="486"/>
      <c r="PPL71" s="486"/>
      <c r="PPM71" s="486"/>
      <c r="PPN71" s="486"/>
      <c r="PPO71" s="486"/>
      <c r="PPP71" s="486"/>
      <c r="PPQ71" s="486"/>
      <c r="PPR71" s="486"/>
      <c r="PPS71" s="486"/>
      <c r="PPT71" s="487"/>
      <c r="PPU71" s="486"/>
      <c r="PPV71" s="486"/>
      <c r="PPW71" s="486"/>
      <c r="PPX71" s="486"/>
      <c r="PPY71" s="486"/>
      <c r="PPZ71" s="486"/>
      <c r="PQA71" s="486"/>
      <c r="PQB71" s="486"/>
      <c r="PQC71" s="486"/>
      <c r="PQD71" s="486"/>
      <c r="PQE71" s="486"/>
      <c r="PQF71" s="486"/>
      <c r="PQG71" s="486"/>
      <c r="PQH71" s="486"/>
      <c r="PQI71" s="486"/>
      <c r="PQJ71" s="486"/>
      <c r="PQK71" s="486"/>
      <c r="PQL71" s="486"/>
      <c r="PQM71" s="486"/>
      <c r="PQN71" s="486"/>
      <c r="PQO71" s="486"/>
      <c r="PQP71" s="486"/>
      <c r="PQQ71" s="486"/>
      <c r="PQR71" s="486"/>
      <c r="PQS71" s="486"/>
      <c r="PQT71" s="486"/>
      <c r="PQU71" s="486"/>
      <c r="PQV71" s="486"/>
      <c r="PQW71" s="487"/>
      <c r="PQX71" s="486"/>
      <c r="PQY71" s="486"/>
      <c r="PQZ71" s="486"/>
      <c r="PRA71" s="486"/>
      <c r="PRB71" s="486"/>
      <c r="PRC71" s="486"/>
      <c r="PRD71" s="486"/>
      <c r="PRE71" s="486"/>
      <c r="PRF71" s="486"/>
      <c r="PRG71" s="486"/>
      <c r="PRH71" s="486"/>
      <c r="PRI71" s="486"/>
      <c r="PRJ71" s="486"/>
      <c r="PRK71" s="486"/>
      <c r="PRL71" s="486"/>
      <c r="PRM71" s="486"/>
      <c r="PRN71" s="486"/>
      <c r="PRO71" s="486"/>
      <c r="PRP71" s="486"/>
      <c r="PRQ71" s="486"/>
      <c r="PRR71" s="486"/>
      <c r="PRS71" s="486"/>
      <c r="PRT71" s="486"/>
      <c r="PRU71" s="486"/>
      <c r="PRV71" s="486"/>
      <c r="PRW71" s="486"/>
      <c r="PRX71" s="486"/>
      <c r="PRY71" s="486"/>
      <c r="PRZ71" s="487"/>
      <c r="PSA71" s="486"/>
      <c r="PSB71" s="486"/>
      <c r="PSC71" s="486"/>
      <c r="PSD71" s="486"/>
      <c r="PSE71" s="486"/>
      <c r="PSF71" s="486"/>
      <c r="PSG71" s="486"/>
      <c r="PSH71" s="486"/>
      <c r="PSI71" s="486"/>
      <c r="PSJ71" s="486"/>
      <c r="PSK71" s="486"/>
      <c r="PSL71" s="486"/>
      <c r="PSM71" s="486"/>
      <c r="PSN71" s="486"/>
      <c r="PSO71" s="486"/>
      <c r="PSP71" s="486"/>
      <c r="PSQ71" s="486"/>
      <c r="PSR71" s="486"/>
      <c r="PSS71" s="486"/>
      <c r="PST71" s="486"/>
      <c r="PSU71" s="486"/>
      <c r="PSV71" s="486"/>
      <c r="PSW71" s="486"/>
      <c r="PSX71" s="486"/>
      <c r="PSY71" s="486"/>
      <c r="PSZ71" s="486"/>
      <c r="PTA71" s="486"/>
      <c r="PTB71" s="486"/>
      <c r="PTC71" s="487"/>
      <c r="PTD71" s="486"/>
      <c r="PTE71" s="486"/>
      <c r="PTF71" s="486"/>
      <c r="PTG71" s="486"/>
      <c r="PTH71" s="486"/>
      <c r="PTI71" s="486"/>
      <c r="PTJ71" s="486"/>
      <c r="PTK71" s="486"/>
      <c r="PTL71" s="486"/>
      <c r="PTM71" s="486"/>
      <c r="PTN71" s="486"/>
      <c r="PTO71" s="486"/>
      <c r="PTP71" s="486"/>
      <c r="PTQ71" s="486"/>
      <c r="PTR71" s="486"/>
      <c r="PTS71" s="486"/>
      <c r="PTT71" s="486"/>
      <c r="PTU71" s="486"/>
      <c r="PTV71" s="486"/>
      <c r="PTW71" s="486"/>
      <c r="PTX71" s="486"/>
      <c r="PTY71" s="486"/>
      <c r="PTZ71" s="486"/>
      <c r="PUA71" s="486"/>
      <c r="PUB71" s="486"/>
      <c r="PUC71" s="486"/>
      <c r="PUD71" s="486"/>
      <c r="PUE71" s="486"/>
      <c r="PUF71" s="487"/>
      <c r="PUG71" s="486"/>
      <c r="PUH71" s="486"/>
      <c r="PUI71" s="486"/>
      <c r="PUJ71" s="486"/>
      <c r="PUK71" s="486"/>
      <c r="PUL71" s="486"/>
      <c r="PUM71" s="486"/>
      <c r="PUN71" s="486"/>
      <c r="PUO71" s="486"/>
      <c r="PUP71" s="486"/>
      <c r="PUQ71" s="486"/>
      <c r="PUR71" s="486"/>
      <c r="PUS71" s="486"/>
      <c r="PUT71" s="486"/>
      <c r="PUU71" s="486"/>
      <c r="PUV71" s="486"/>
      <c r="PUW71" s="486"/>
      <c r="PUX71" s="486"/>
      <c r="PUY71" s="486"/>
      <c r="PUZ71" s="486"/>
      <c r="PVA71" s="486"/>
      <c r="PVB71" s="486"/>
      <c r="PVC71" s="486"/>
      <c r="PVD71" s="486"/>
      <c r="PVE71" s="486"/>
      <c r="PVF71" s="486"/>
      <c r="PVG71" s="486"/>
      <c r="PVH71" s="486"/>
      <c r="PVI71" s="487"/>
      <c r="PVJ71" s="486"/>
      <c r="PVK71" s="486"/>
      <c r="PVL71" s="486"/>
      <c r="PVM71" s="486"/>
      <c r="PVN71" s="486"/>
      <c r="PVO71" s="486"/>
      <c r="PVP71" s="486"/>
      <c r="PVQ71" s="486"/>
      <c r="PVR71" s="486"/>
      <c r="PVS71" s="486"/>
      <c r="PVT71" s="486"/>
      <c r="PVU71" s="486"/>
      <c r="PVV71" s="486"/>
      <c r="PVW71" s="486"/>
      <c r="PVX71" s="486"/>
      <c r="PVY71" s="486"/>
      <c r="PVZ71" s="486"/>
      <c r="PWA71" s="486"/>
      <c r="PWB71" s="486"/>
      <c r="PWC71" s="486"/>
      <c r="PWD71" s="486"/>
      <c r="PWE71" s="486"/>
      <c r="PWF71" s="486"/>
      <c r="PWG71" s="486"/>
      <c r="PWH71" s="486"/>
      <c r="PWI71" s="486"/>
      <c r="PWJ71" s="486"/>
      <c r="PWK71" s="486"/>
      <c r="PWL71" s="487"/>
      <c r="PWM71" s="486"/>
      <c r="PWN71" s="486"/>
      <c r="PWO71" s="486"/>
      <c r="PWP71" s="486"/>
      <c r="PWQ71" s="486"/>
      <c r="PWR71" s="486"/>
      <c r="PWS71" s="486"/>
      <c r="PWT71" s="486"/>
      <c r="PWU71" s="486"/>
      <c r="PWV71" s="486"/>
      <c r="PWW71" s="486"/>
      <c r="PWX71" s="486"/>
      <c r="PWY71" s="486"/>
      <c r="PWZ71" s="486"/>
      <c r="PXA71" s="486"/>
      <c r="PXB71" s="486"/>
      <c r="PXC71" s="486"/>
      <c r="PXD71" s="486"/>
      <c r="PXE71" s="486"/>
      <c r="PXF71" s="486"/>
      <c r="PXG71" s="486"/>
      <c r="PXH71" s="486"/>
      <c r="PXI71" s="486"/>
      <c r="PXJ71" s="486"/>
      <c r="PXK71" s="486"/>
      <c r="PXL71" s="486"/>
      <c r="PXM71" s="486"/>
      <c r="PXN71" s="486"/>
      <c r="PXO71" s="487"/>
      <c r="PXP71" s="486"/>
      <c r="PXQ71" s="486"/>
      <c r="PXR71" s="486"/>
      <c r="PXS71" s="486"/>
      <c r="PXT71" s="486"/>
      <c r="PXU71" s="486"/>
      <c r="PXV71" s="486"/>
      <c r="PXW71" s="486"/>
      <c r="PXX71" s="486"/>
      <c r="PXY71" s="486"/>
      <c r="PXZ71" s="486"/>
      <c r="PYA71" s="486"/>
      <c r="PYB71" s="486"/>
      <c r="PYC71" s="486"/>
      <c r="PYD71" s="486"/>
      <c r="PYE71" s="486"/>
      <c r="PYF71" s="486"/>
      <c r="PYG71" s="486"/>
      <c r="PYH71" s="486"/>
      <c r="PYI71" s="486"/>
      <c r="PYJ71" s="486"/>
      <c r="PYK71" s="486"/>
      <c r="PYL71" s="486"/>
      <c r="PYM71" s="486"/>
      <c r="PYN71" s="486"/>
      <c r="PYO71" s="486"/>
      <c r="PYP71" s="486"/>
      <c r="PYQ71" s="486"/>
      <c r="PYR71" s="487"/>
      <c r="PYS71" s="486"/>
      <c r="PYT71" s="486"/>
      <c r="PYU71" s="486"/>
      <c r="PYV71" s="486"/>
      <c r="PYW71" s="486"/>
      <c r="PYX71" s="486"/>
      <c r="PYY71" s="486"/>
      <c r="PYZ71" s="486"/>
      <c r="PZA71" s="486"/>
      <c r="PZB71" s="486"/>
      <c r="PZC71" s="486"/>
      <c r="PZD71" s="486"/>
      <c r="PZE71" s="486"/>
      <c r="PZF71" s="486"/>
      <c r="PZG71" s="486"/>
      <c r="PZH71" s="486"/>
      <c r="PZI71" s="486"/>
      <c r="PZJ71" s="486"/>
      <c r="PZK71" s="486"/>
      <c r="PZL71" s="486"/>
      <c r="PZM71" s="486"/>
      <c r="PZN71" s="486"/>
      <c r="PZO71" s="486"/>
      <c r="PZP71" s="486"/>
      <c r="PZQ71" s="486"/>
      <c r="PZR71" s="486"/>
      <c r="PZS71" s="486"/>
      <c r="PZT71" s="486"/>
      <c r="PZU71" s="487"/>
      <c r="PZV71" s="486"/>
      <c r="PZW71" s="486"/>
      <c r="PZX71" s="486"/>
      <c r="PZY71" s="486"/>
      <c r="PZZ71" s="486"/>
      <c r="QAA71" s="486"/>
      <c r="QAB71" s="486"/>
      <c r="QAC71" s="486"/>
      <c r="QAD71" s="486"/>
      <c r="QAE71" s="486"/>
      <c r="QAF71" s="486"/>
      <c r="QAG71" s="486"/>
      <c r="QAH71" s="486"/>
      <c r="QAI71" s="486"/>
      <c r="QAJ71" s="486"/>
      <c r="QAK71" s="486"/>
      <c r="QAL71" s="486"/>
      <c r="QAM71" s="486"/>
      <c r="QAN71" s="486"/>
      <c r="QAO71" s="486"/>
      <c r="QAP71" s="486"/>
      <c r="QAQ71" s="486"/>
      <c r="QAR71" s="486"/>
      <c r="QAS71" s="486"/>
      <c r="QAT71" s="486"/>
      <c r="QAU71" s="486"/>
      <c r="QAV71" s="486"/>
      <c r="QAW71" s="486"/>
      <c r="QAX71" s="487"/>
      <c r="QAY71" s="486"/>
      <c r="QAZ71" s="486"/>
      <c r="QBA71" s="486"/>
      <c r="QBB71" s="486"/>
      <c r="QBC71" s="486"/>
      <c r="QBD71" s="486"/>
      <c r="QBE71" s="486"/>
      <c r="QBF71" s="486"/>
      <c r="QBG71" s="486"/>
      <c r="QBH71" s="486"/>
      <c r="QBI71" s="486"/>
      <c r="QBJ71" s="486"/>
      <c r="QBK71" s="486"/>
      <c r="QBL71" s="486"/>
      <c r="QBM71" s="486"/>
      <c r="QBN71" s="486"/>
      <c r="QBO71" s="486"/>
      <c r="QBP71" s="486"/>
      <c r="QBQ71" s="486"/>
      <c r="QBR71" s="486"/>
      <c r="QBS71" s="486"/>
      <c r="QBT71" s="486"/>
      <c r="QBU71" s="486"/>
      <c r="QBV71" s="486"/>
      <c r="QBW71" s="486"/>
      <c r="QBX71" s="486"/>
      <c r="QBY71" s="486"/>
      <c r="QBZ71" s="486"/>
      <c r="QCA71" s="487"/>
      <c r="QCB71" s="486"/>
      <c r="QCC71" s="486"/>
      <c r="QCD71" s="486"/>
      <c r="QCE71" s="486"/>
      <c r="QCF71" s="486"/>
      <c r="QCG71" s="486"/>
      <c r="QCH71" s="486"/>
      <c r="QCI71" s="486"/>
      <c r="QCJ71" s="486"/>
      <c r="QCK71" s="486"/>
      <c r="QCL71" s="486"/>
      <c r="QCM71" s="486"/>
      <c r="QCN71" s="486"/>
      <c r="QCO71" s="486"/>
      <c r="QCP71" s="486"/>
      <c r="QCQ71" s="486"/>
      <c r="QCR71" s="486"/>
      <c r="QCS71" s="486"/>
      <c r="QCT71" s="486"/>
      <c r="QCU71" s="486"/>
      <c r="QCV71" s="486"/>
      <c r="QCW71" s="486"/>
      <c r="QCX71" s="486"/>
      <c r="QCY71" s="486"/>
      <c r="QCZ71" s="486"/>
      <c r="QDA71" s="486"/>
      <c r="QDB71" s="486"/>
      <c r="QDC71" s="486"/>
      <c r="QDD71" s="487"/>
      <c r="QDE71" s="486"/>
      <c r="QDF71" s="486"/>
      <c r="QDG71" s="486"/>
      <c r="QDH71" s="486"/>
      <c r="QDI71" s="486"/>
      <c r="QDJ71" s="486"/>
      <c r="QDK71" s="486"/>
      <c r="QDL71" s="486"/>
      <c r="QDM71" s="486"/>
      <c r="QDN71" s="486"/>
      <c r="QDO71" s="486"/>
      <c r="QDP71" s="486"/>
      <c r="QDQ71" s="486"/>
      <c r="QDR71" s="486"/>
      <c r="QDS71" s="486"/>
      <c r="QDT71" s="486"/>
      <c r="QDU71" s="486"/>
      <c r="QDV71" s="486"/>
      <c r="QDW71" s="486"/>
      <c r="QDX71" s="486"/>
      <c r="QDY71" s="486"/>
      <c r="QDZ71" s="486"/>
      <c r="QEA71" s="486"/>
      <c r="QEB71" s="486"/>
      <c r="QEC71" s="486"/>
      <c r="QED71" s="486"/>
      <c r="QEE71" s="486"/>
      <c r="QEF71" s="486"/>
      <c r="QEG71" s="487"/>
      <c r="QEH71" s="486"/>
      <c r="QEI71" s="486"/>
      <c r="QEJ71" s="486"/>
      <c r="QEK71" s="486"/>
      <c r="QEL71" s="486"/>
      <c r="QEM71" s="486"/>
      <c r="QEN71" s="486"/>
      <c r="QEO71" s="486"/>
      <c r="QEP71" s="486"/>
      <c r="QEQ71" s="486"/>
      <c r="QER71" s="486"/>
      <c r="QES71" s="486"/>
      <c r="QET71" s="486"/>
      <c r="QEU71" s="486"/>
      <c r="QEV71" s="486"/>
      <c r="QEW71" s="486"/>
      <c r="QEX71" s="486"/>
      <c r="QEY71" s="486"/>
      <c r="QEZ71" s="486"/>
      <c r="QFA71" s="486"/>
      <c r="QFB71" s="486"/>
      <c r="QFC71" s="486"/>
      <c r="QFD71" s="486"/>
      <c r="QFE71" s="486"/>
      <c r="QFF71" s="486"/>
      <c r="QFG71" s="486"/>
      <c r="QFH71" s="486"/>
      <c r="QFI71" s="486"/>
      <c r="QFJ71" s="487"/>
      <c r="QFK71" s="486"/>
      <c r="QFL71" s="486"/>
      <c r="QFM71" s="486"/>
      <c r="QFN71" s="486"/>
      <c r="QFO71" s="486"/>
      <c r="QFP71" s="486"/>
      <c r="QFQ71" s="486"/>
      <c r="QFR71" s="486"/>
      <c r="QFS71" s="486"/>
      <c r="QFT71" s="486"/>
      <c r="QFU71" s="486"/>
      <c r="QFV71" s="486"/>
      <c r="QFW71" s="486"/>
      <c r="QFX71" s="486"/>
      <c r="QFY71" s="486"/>
      <c r="QFZ71" s="486"/>
      <c r="QGA71" s="486"/>
      <c r="QGB71" s="486"/>
      <c r="QGC71" s="486"/>
      <c r="QGD71" s="486"/>
      <c r="QGE71" s="486"/>
      <c r="QGF71" s="486"/>
      <c r="QGG71" s="486"/>
      <c r="QGH71" s="486"/>
      <c r="QGI71" s="486"/>
      <c r="QGJ71" s="486"/>
      <c r="QGK71" s="486"/>
      <c r="QGL71" s="486"/>
      <c r="QGM71" s="487"/>
      <c r="QGN71" s="486"/>
      <c r="QGO71" s="486"/>
      <c r="QGP71" s="486"/>
      <c r="QGQ71" s="486"/>
      <c r="QGR71" s="486"/>
      <c r="QGS71" s="486"/>
      <c r="QGT71" s="486"/>
      <c r="QGU71" s="486"/>
      <c r="QGV71" s="486"/>
      <c r="QGW71" s="486"/>
      <c r="QGX71" s="486"/>
      <c r="QGY71" s="486"/>
      <c r="QGZ71" s="486"/>
      <c r="QHA71" s="486"/>
      <c r="QHB71" s="486"/>
      <c r="QHC71" s="486"/>
      <c r="QHD71" s="486"/>
      <c r="QHE71" s="486"/>
      <c r="QHF71" s="486"/>
      <c r="QHG71" s="486"/>
      <c r="QHH71" s="486"/>
      <c r="QHI71" s="486"/>
      <c r="QHJ71" s="486"/>
      <c r="QHK71" s="486"/>
      <c r="QHL71" s="486"/>
      <c r="QHM71" s="486"/>
      <c r="QHN71" s="486"/>
      <c r="QHO71" s="486"/>
      <c r="QHP71" s="487"/>
      <c r="QHQ71" s="486"/>
      <c r="QHR71" s="486"/>
      <c r="QHS71" s="486"/>
      <c r="QHT71" s="486"/>
      <c r="QHU71" s="486"/>
      <c r="QHV71" s="486"/>
      <c r="QHW71" s="486"/>
      <c r="QHX71" s="486"/>
      <c r="QHY71" s="486"/>
      <c r="QHZ71" s="486"/>
      <c r="QIA71" s="486"/>
      <c r="QIB71" s="486"/>
      <c r="QIC71" s="486"/>
      <c r="QID71" s="486"/>
      <c r="QIE71" s="486"/>
      <c r="QIF71" s="486"/>
      <c r="QIG71" s="486"/>
      <c r="QIH71" s="486"/>
      <c r="QII71" s="486"/>
      <c r="QIJ71" s="486"/>
      <c r="QIK71" s="486"/>
      <c r="QIL71" s="486"/>
      <c r="QIM71" s="486"/>
      <c r="QIN71" s="486"/>
      <c r="QIO71" s="486"/>
      <c r="QIP71" s="486"/>
      <c r="QIQ71" s="486"/>
      <c r="QIR71" s="486"/>
      <c r="QIS71" s="487"/>
      <c r="QIT71" s="486"/>
      <c r="QIU71" s="486"/>
      <c r="QIV71" s="486"/>
      <c r="QIW71" s="486"/>
      <c r="QIX71" s="486"/>
      <c r="QIY71" s="486"/>
      <c r="QIZ71" s="486"/>
      <c r="QJA71" s="486"/>
      <c r="QJB71" s="486"/>
      <c r="QJC71" s="486"/>
      <c r="QJD71" s="486"/>
      <c r="QJE71" s="486"/>
      <c r="QJF71" s="486"/>
      <c r="QJG71" s="486"/>
      <c r="QJH71" s="486"/>
      <c r="QJI71" s="486"/>
      <c r="QJJ71" s="486"/>
      <c r="QJK71" s="486"/>
      <c r="QJL71" s="486"/>
      <c r="QJM71" s="486"/>
      <c r="QJN71" s="486"/>
      <c r="QJO71" s="486"/>
      <c r="QJP71" s="486"/>
      <c r="QJQ71" s="486"/>
      <c r="QJR71" s="486"/>
      <c r="QJS71" s="486"/>
      <c r="QJT71" s="486"/>
      <c r="QJU71" s="486"/>
      <c r="QJV71" s="487"/>
      <c r="QJW71" s="486"/>
      <c r="QJX71" s="486"/>
      <c r="QJY71" s="486"/>
      <c r="QJZ71" s="486"/>
      <c r="QKA71" s="486"/>
      <c r="QKB71" s="486"/>
      <c r="QKC71" s="486"/>
      <c r="QKD71" s="486"/>
      <c r="QKE71" s="486"/>
      <c r="QKF71" s="486"/>
      <c r="QKG71" s="486"/>
      <c r="QKH71" s="486"/>
      <c r="QKI71" s="486"/>
      <c r="QKJ71" s="486"/>
      <c r="QKK71" s="486"/>
      <c r="QKL71" s="486"/>
      <c r="QKM71" s="486"/>
      <c r="QKN71" s="486"/>
      <c r="QKO71" s="486"/>
      <c r="QKP71" s="486"/>
      <c r="QKQ71" s="486"/>
      <c r="QKR71" s="486"/>
      <c r="QKS71" s="486"/>
      <c r="QKT71" s="486"/>
      <c r="QKU71" s="486"/>
      <c r="QKV71" s="486"/>
      <c r="QKW71" s="486"/>
      <c r="QKX71" s="486"/>
      <c r="QKY71" s="487"/>
      <c r="QKZ71" s="486"/>
      <c r="QLA71" s="486"/>
      <c r="QLB71" s="486"/>
      <c r="QLC71" s="486"/>
      <c r="QLD71" s="486"/>
      <c r="QLE71" s="486"/>
      <c r="QLF71" s="486"/>
      <c r="QLG71" s="486"/>
      <c r="QLH71" s="486"/>
      <c r="QLI71" s="486"/>
      <c r="QLJ71" s="486"/>
      <c r="QLK71" s="486"/>
      <c r="QLL71" s="486"/>
      <c r="QLM71" s="486"/>
      <c r="QLN71" s="486"/>
      <c r="QLO71" s="486"/>
      <c r="QLP71" s="486"/>
      <c r="QLQ71" s="486"/>
      <c r="QLR71" s="486"/>
      <c r="QLS71" s="486"/>
      <c r="QLT71" s="486"/>
      <c r="QLU71" s="486"/>
      <c r="QLV71" s="486"/>
      <c r="QLW71" s="486"/>
      <c r="QLX71" s="486"/>
      <c r="QLY71" s="486"/>
      <c r="QLZ71" s="486"/>
      <c r="QMA71" s="486"/>
      <c r="QMB71" s="487"/>
      <c r="QMC71" s="486"/>
      <c r="QMD71" s="486"/>
      <c r="QME71" s="486"/>
      <c r="QMF71" s="486"/>
      <c r="QMG71" s="486"/>
      <c r="QMH71" s="486"/>
      <c r="QMI71" s="486"/>
      <c r="QMJ71" s="486"/>
      <c r="QMK71" s="486"/>
      <c r="QML71" s="486"/>
      <c r="QMM71" s="486"/>
      <c r="QMN71" s="486"/>
      <c r="QMO71" s="486"/>
      <c r="QMP71" s="486"/>
      <c r="QMQ71" s="486"/>
      <c r="QMR71" s="486"/>
      <c r="QMS71" s="486"/>
      <c r="QMT71" s="486"/>
      <c r="QMU71" s="486"/>
      <c r="QMV71" s="486"/>
      <c r="QMW71" s="486"/>
      <c r="QMX71" s="486"/>
      <c r="QMY71" s="486"/>
      <c r="QMZ71" s="486"/>
      <c r="QNA71" s="486"/>
      <c r="QNB71" s="486"/>
      <c r="QNC71" s="486"/>
      <c r="QND71" s="486"/>
      <c r="QNE71" s="487"/>
      <c r="QNF71" s="486"/>
      <c r="QNG71" s="486"/>
      <c r="QNH71" s="486"/>
      <c r="QNI71" s="486"/>
      <c r="QNJ71" s="486"/>
      <c r="QNK71" s="486"/>
      <c r="QNL71" s="486"/>
      <c r="QNM71" s="486"/>
      <c r="QNN71" s="486"/>
      <c r="QNO71" s="486"/>
      <c r="QNP71" s="486"/>
      <c r="QNQ71" s="486"/>
      <c r="QNR71" s="486"/>
      <c r="QNS71" s="486"/>
      <c r="QNT71" s="486"/>
      <c r="QNU71" s="486"/>
      <c r="QNV71" s="486"/>
      <c r="QNW71" s="486"/>
      <c r="QNX71" s="486"/>
      <c r="QNY71" s="486"/>
      <c r="QNZ71" s="486"/>
      <c r="QOA71" s="486"/>
      <c r="QOB71" s="486"/>
      <c r="QOC71" s="486"/>
      <c r="QOD71" s="486"/>
      <c r="QOE71" s="486"/>
      <c r="QOF71" s="486"/>
      <c r="QOG71" s="486"/>
      <c r="QOH71" s="487"/>
      <c r="QOI71" s="486"/>
      <c r="QOJ71" s="486"/>
      <c r="QOK71" s="486"/>
      <c r="QOL71" s="486"/>
      <c r="QOM71" s="486"/>
      <c r="QON71" s="486"/>
      <c r="QOO71" s="486"/>
      <c r="QOP71" s="486"/>
      <c r="QOQ71" s="486"/>
      <c r="QOR71" s="486"/>
      <c r="QOS71" s="486"/>
      <c r="QOT71" s="486"/>
      <c r="QOU71" s="486"/>
      <c r="QOV71" s="486"/>
      <c r="QOW71" s="486"/>
      <c r="QOX71" s="486"/>
      <c r="QOY71" s="486"/>
      <c r="QOZ71" s="486"/>
      <c r="QPA71" s="486"/>
      <c r="QPB71" s="486"/>
      <c r="QPC71" s="486"/>
      <c r="QPD71" s="486"/>
      <c r="QPE71" s="486"/>
      <c r="QPF71" s="486"/>
      <c r="QPG71" s="486"/>
      <c r="QPH71" s="486"/>
      <c r="QPI71" s="486"/>
      <c r="QPJ71" s="486"/>
      <c r="QPK71" s="487"/>
      <c r="QPL71" s="486"/>
      <c r="QPM71" s="486"/>
      <c r="QPN71" s="486"/>
      <c r="QPO71" s="486"/>
      <c r="QPP71" s="486"/>
      <c r="QPQ71" s="486"/>
      <c r="QPR71" s="486"/>
      <c r="QPS71" s="486"/>
      <c r="QPT71" s="486"/>
      <c r="QPU71" s="486"/>
      <c r="QPV71" s="486"/>
      <c r="QPW71" s="486"/>
      <c r="QPX71" s="486"/>
      <c r="QPY71" s="486"/>
      <c r="QPZ71" s="486"/>
      <c r="QQA71" s="486"/>
      <c r="QQB71" s="486"/>
      <c r="QQC71" s="486"/>
      <c r="QQD71" s="486"/>
      <c r="QQE71" s="486"/>
      <c r="QQF71" s="486"/>
      <c r="QQG71" s="486"/>
      <c r="QQH71" s="486"/>
      <c r="QQI71" s="486"/>
      <c r="QQJ71" s="486"/>
      <c r="QQK71" s="486"/>
      <c r="QQL71" s="486"/>
      <c r="QQM71" s="486"/>
      <c r="QQN71" s="487"/>
      <c r="QQO71" s="486"/>
      <c r="QQP71" s="486"/>
      <c r="QQQ71" s="486"/>
      <c r="QQR71" s="486"/>
      <c r="QQS71" s="486"/>
      <c r="QQT71" s="486"/>
      <c r="QQU71" s="486"/>
      <c r="QQV71" s="486"/>
      <c r="QQW71" s="486"/>
      <c r="QQX71" s="486"/>
      <c r="QQY71" s="486"/>
      <c r="QQZ71" s="486"/>
      <c r="QRA71" s="486"/>
      <c r="QRB71" s="486"/>
      <c r="QRC71" s="486"/>
      <c r="QRD71" s="486"/>
      <c r="QRE71" s="486"/>
      <c r="QRF71" s="486"/>
      <c r="QRG71" s="486"/>
      <c r="QRH71" s="486"/>
      <c r="QRI71" s="486"/>
      <c r="QRJ71" s="486"/>
      <c r="QRK71" s="486"/>
      <c r="QRL71" s="486"/>
      <c r="QRM71" s="486"/>
      <c r="QRN71" s="486"/>
      <c r="QRO71" s="486"/>
      <c r="QRP71" s="486"/>
      <c r="QRQ71" s="487"/>
      <c r="QRR71" s="486"/>
      <c r="QRS71" s="486"/>
      <c r="QRT71" s="486"/>
      <c r="QRU71" s="486"/>
      <c r="QRV71" s="486"/>
      <c r="QRW71" s="486"/>
      <c r="QRX71" s="486"/>
      <c r="QRY71" s="486"/>
      <c r="QRZ71" s="486"/>
      <c r="QSA71" s="486"/>
      <c r="QSB71" s="486"/>
      <c r="QSC71" s="486"/>
      <c r="QSD71" s="486"/>
      <c r="QSE71" s="486"/>
      <c r="QSF71" s="486"/>
      <c r="QSG71" s="486"/>
      <c r="QSH71" s="486"/>
      <c r="QSI71" s="486"/>
      <c r="QSJ71" s="486"/>
      <c r="QSK71" s="486"/>
      <c r="QSL71" s="486"/>
      <c r="QSM71" s="486"/>
      <c r="QSN71" s="486"/>
      <c r="QSO71" s="486"/>
      <c r="QSP71" s="486"/>
      <c r="QSQ71" s="486"/>
      <c r="QSR71" s="486"/>
      <c r="QSS71" s="486"/>
      <c r="QST71" s="487"/>
      <c r="QSU71" s="486"/>
      <c r="QSV71" s="486"/>
      <c r="QSW71" s="486"/>
      <c r="QSX71" s="486"/>
      <c r="QSY71" s="486"/>
      <c r="QSZ71" s="486"/>
      <c r="QTA71" s="486"/>
      <c r="QTB71" s="486"/>
      <c r="QTC71" s="486"/>
      <c r="QTD71" s="486"/>
      <c r="QTE71" s="486"/>
      <c r="QTF71" s="486"/>
      <c r="QTG71" s="486"/>
      <c r="QTH71" s="486"/>
      <c r="QTI71" s="486"/>
      <c r="QTJ71" s="486"/>
      <c r="QTK71" s="486"/>
      <c r="QTL71" s="486"/>
      <c r="QTM71" s="486"/>
      <c r="QTN71" s="486"/>
      <c r="QTO71" s="486"/>
      <c r="QTP71" s="486"/>
      <c r="QTQ71" s="486"/>
      <c r="QTR71" s="486"/>
      <c r="QTS71" s="486"/>
      <c r="QTT71" s="486"/>
      <c r="QTU71" s="486"/>
      <c r="QTV71" s="486"/>
      <c r="QTW71" s="487"/>
      <c r="QTX71" s="486"/>
      <c r="QTY71" s="486"/>
      <c r="QTZ71" s="486"/>
      <c r="QUA71" s="486"/>
      <c r="QUB71" s="486"/>
      <c r="QUC71" s="486"/>
      <c r="QUD71" s="486"/>
      <c r="QUE71" s="486"/>
      <c r="QUF71" s="486"/>
      <c r="QUG71" s="486"/>
      <c r="QUH71" s="486"/>
      <c r="QUI71" s="486"/>
      <c r="QUJ71" s="486"/>
      <c r="QUK71" s="486"/>
      <c r="QUL71" s="486"/>
      <c r="QUM71" s="486"/>
      <c r="QUN71" s="486"/>
      <c r="QUO71" s="486"/>
      <c r="QUP71" s="486"/>
      <c r="QUQ71" s="486"/>
      <c r="QUR71" s="486"/>
      <c r="QUS71" s="486"/>
      <c r="QUT71" s="486"/>
      <c r="QUU71" s="486"/>
      <c r="QUV71" s="486"/>
      <c r="QUW71" s="486"/>
      <c r="QUX71" s="486"/>
      <c r="QUY71" s="486"/>
      <c r="QUZ71" s="487"/>
      <c r="QVA71" s="486"/>
      <c r="QVB71" s="486"/>
      <c r="QVC71" s="486"/>
      <c r="QVD71" s="486"/>
      <c r="QVE71" s="486"/>
      <c r="QVF71" s="486"/>
      <c r="QVG71" s="486"/>
      <c r="QVH71" s="486"/>
      <c r="QVI71" s="486"/>
      <c r="QVJ71" s="486"/>
      <c r="QVK71" s="486"/>
      <c r="QVL71" s="486"/>
      <c r="QVM71" s="486"/>
      <c r="QVN71" s="486"/>
      <c r="QVO71" s="486"/>
      <c r="QVP71" s="486"/>
      <c r="QVQ71" s="486"/>
      <c r="QVR71" s="486"/>
      <c r="QVS71" s="486"/>
      <c r="QVT71" s="486"/>
      <c r="QVU71" s="486"/>
      <c r="QVV71" s="486"/>
      <c r="QVW71" s="486"/>
      <c r="QVX71" s="486"/>
      <c r="QVY71" s="486"/>
      <c r="QVZ71" s="486"/>
      <c r="QWA71" s="486"/>
      <c r="QWB71" s="486"/>
      <c r="QWC71" s="487"/>
      <c r="QWD71" s="486"/>
      <c r="QWE71" s="486"/>
      <c r="QWF71" s="486"/>
      <c r="QWG71" s="486"/>
      <c r="QWH71" s="486"/>
      <c r="QWI71" s="486"/>
      <c r="QWJ71" s="486"/>
      <c r="QWK71" s="486"/>
      <c r="QWL71" s="486"/>
      <c r="QWM71" s="486"/>
      <c r="QWN71" s="486"/>
      <c r="QWO71" s="486"/>
      <c r="QWP71" s="486"/>
      <c r="QWQ71" s="486"/>
      <c r="QWR71" s="486"/>
      <c r="QWS71" s="486"/>
      <c r="QWT71" s="486"/>
      <c r="QWU71" s="486"/>
      <c r="QWV71" s="486"/>
      <c r="QWW71" s="486"/>
      <c r="QWX71" s="486"/>
      <c r="QWY71" s="486"/>
      <c r="QWZ71" s="486"/>
      <c r="QXA71" s="486"/>
      <c r="QXB71" s="486"/>
      <c r="QXC71" s="486"/>
      <c r="QXD71" s="486"/>
      <c r="QXE71" s="486"/>
      <c r="QXF71" s="487"/>
      <c r="QXG71" s="486"/>
      <c r="QXH71" s="486"/>
      <c r="QXI71" s="486"/>
      <c r="QXJ71" s="486"/>
      <c r="QXK71" s="486"/>
      <c r="QXL71" s="486"/>
      <c r="QXM71" s="486"/>
      <c r="QXN71" s="486"/>
      <c r="QXO71" s="486"/>
      <c r="QXP71" s="486"/>
      <c r="QXQ71" s="486"/>
      <c r="QXR71" s="486"/>
      <c r="QXS71" s="486"/>
      <c r="QXT71" s="486"/>
      <c r="QXU71" s="486"/>
      <c r="QXV71" s="486"/>
      <c r="QXW71" s="486"/>
      <c r="QXX71" s="486"/>
      <c r="QXY71" s="486"/>
      <c r="QXZ71" s="486"/>
      <c r="QYA71" s="486"/>
      <c r="QYB71" s="486"/>
      <c r="QYC71" s="486"/>
      <c r="QYD71" s="486"/>
      <c r="QYE71" s="486"/>
      <c r="QYF71" s="486"/>
      <c r="QYG71" s="486"/>
      <c r="QYH71" s="486"/>
      <c r="QYI71" s="487"/>
      <c r="QYJ71" s="486"/>
      <c r="QYK71" s="486"/>
      <c r="QYL71" s="486"/>
      <c r="QYM71" s="486"/>
      <c r="QYN71" s="486"/>
      <c r="QYO71" s="486"/>
      <c r="QYP71" s="486"/>
      <c r="QYQ71" s="486"/>
      <c r="QYR71" s="486"/>
      <c r="QYS71" s="486"/>
      <c r="QYT71" s="486"/>
      <c r="QYU71" s="486"/>
      <c r="QYV71" s="486"/>
      <c r="QYW71" s="486"/>
      <c r="QYX71" s="486"/>
      <c r="QYY71" s="486"/>
      <c r="QYZ71" s="486"/>
      <c r="QZA71" s="486"/>
      <c r="QZB71" s="486"/>
      <c r="QZC71" s="486"/>
      <c r="QZD71" s="486"/>
      <c r="QZE71" s="486"/>
      <c r="QZF71" s="486"/>
      <c r="QZG71" s="486"/>
      <c r="QZH71" s="486"/>
      <c r="QZI71" s="486"/>
      <c r="QZJ71" s="486"/>
      <c r="QZK71" s="486"/>
      <c r="QZL71" s="487"/>
      <c r="QZM71" s="486"/>
      <c r="QZN71" s="486"/>
      <c r="QZO71" s="486"/>
      <c r="QZP71" s="486"/>
      <c r="QZQ71" s="486"/>
      <c r="QZR71" s="486"/>
      <c r="QZS71" s="486"/>
      <c r="QZT71" s="486"/>
      <c r="QZU71" s="486"/>
      <c r="QZV71" s="486"/>
      <c r="QZW71" s="486"/>
      <c r="QZX71" s="486"/>
      <c r="QZY71" s="486"/>
      <c r="QZZ71" s="486"/>
      <c r="RAA71" s="486"/>
      <c r="RAB71" s="486"/>
      <c r="RAC71" s="486"/>
      <c r="RAD71" s="486"/>
      <c r="RAE71" s="486"/>
      <c r="RAF71" s="486"/>
      <c r="RAG71" s="486"/>
      <c r="RAH71" s="486"/>
      <c r="RAI71" s="486"/>
      <c r="RAJ71" s="486"/>
      <c r="RAK71" s="486"/>
      <c r="RAL71" s="486"/>
      <c r="RAM71" s="486"/>
      <c r="RAN71" s="486"/>
      <c r="RAO71" s="487"/>
      <c r="RAP71" s="486"/>
      <c r="RAQ71" s="486"/>
      <c r="RAR71" s="486"/>
      <c r="RAS71" s="486"/>
      <c r="RAT71" s="486"/>
      <c r="RAU71" s="486"/>
      <c r="RAV71" s="486"/>
      <c r="RAW71" s="486"/>
      <c r="RAX71" s="486"/>
      <c r="RAY71" s="486"/>
      <c r="RAZ71" s="486"/>
      <c r="RBA71" s="486"/>
      <c r="RBB71" s="486"/>
      <c r="RBC71" s="486"/>
      <c r="RBD71" s="486"/>
      <c r="RBE71" s="486"/>
      <c r="RBF71" s="486"/>
      <c r="RBG71" s="486"/>
      <c r="RBH71" s="486"/>
      <c r="RBI71" s="486"/>
      <c r="RBJ71" s="486"/>
      <c r="RBK71" s="486"/>
      <c r="RBL71" s="486"/>
      <c r="RBM71" s="486"/>
      <c r="RBN71" s="486"/>
      <c r="RBO71" s="486"/>
      <c r="RBP71" s="486"/>
      <c r="RBQ71" s="486"/>
      <c r="RBR71" s="487"/>
      <c r="RBS71" s="486"/>
      <c r="RBT71" s="486"/>
      <c r="RBU71" s="486"/>
      <c r="RBV71" s="486"/>
      <c r="RBW71" s="486"/>
      <c r="RBX71" s="486"/>
      <c r="RBY71" s="486"/>
      <c r="RBZ71" s="486"/>
      <c r="RCA71" s="486"/>
      <c r="RCB71" s="486"/>
      <c r="RCC71" s="486"/>
      <c r="RCD71" s="486"/>
      <c r="RCE71" s="486"/>
      <c r="RCF71" s="486"/>
      <c r="RCG71" s="486"/>
      <c r="RCH71" s="486"/>
      <c r="RCI71" s="486"/>
      <c r="RCJ71" s="486"/>
      <c r="RCK71" s="486"/>
      <c r="RCL71" s="486"/>
      <c r="RCM71" s="486"/>
      <c r="RCN71" s="486"/>
      <c r="RCO71" s="486"/>
      <c r="RCP71" s="486"/>
      <c r="RCQ71" s="486"/>
      <c r="RCR71" s="486"/>
      <c r="RCS71" s="486"/>
      <c r="RCT71" s="486"/>
      <c r="RCU71" s="487"/>
      <c r="RCV71" s="486"/>
      <c r="RCW71" s="486"/>
      <c r="RCX71" s="486"/>
      <c r="RCY71" s="486"/>
      <c r="RCZ71" s="486"/>
      <c r="RDA71" s="486"/>
      <c r="RDB71" s="486"/>
      <c r="RDC71" s="486"/>
      <c r="RDD71" s="486"/>
      <c r="RDE71" s="486"/>
      <c r="RDF71" s="486"/>
      <c r="RDG71" s="486"/>
      <c r="RDH71" s="486"/>
      <c r="RDI71" s="486"/>
      <c r="RDJ71" s="486"/>
      <c r="RDK71" s="486"/>
      <c r="RDL71" s="486"/>
      <c r="RDM71" s="486"/>
      <c r="RDN71" s="486"/>
      <c r="RDO71" s="486"/>
      <c r="RDP71" s="486"/>
      <c r="RDQ71" s="486"/>
      <c r="RDR71" s="486"/>
      <c r="RDS71" s="486"/>
      <c r="RDT71" s="486"/>
      <c r="RDU71" s="486"/>
      <c r="RDV71" s="486"/>
      <c r="RDW71" s="486"/>
      <c r="RDX71" s="487"/>
      <c r="RDY71" s="486"/>
      <c r="RDZ71" s="486"/>
      <c r="REA71" s="486"/>
      <c r="REB71" s="486"/>
      <c r="REC71" s="486"/>
      <c r="RED71" s="486"/>
      <c r="REE71" s="486"/>
      <c r="REF71" s="486"/>
      <c r="REG71" s="486"/>
      <c r="REH71" s="486"/>
      <c r="REI71" s="486"/>
      <c r="REJ71" s="486"/>
      <c r="REK71" s="486"/>
      <c r="REL71" s="486"/>
      <c r="REM71" s="486"/>
      <c r="REN71" s="486"/>
      <c r="REO71" s="486"/>
      <c r="REP71" s="486"/>
      <c r="REQ71" s="486"/>
      <c r="RER71" s="486"/>
      <c r="RES71" s="486"/>
      <c r="RET71" s="486"/>
      <c r="REU71" s="486"/>
      <c r="REV71" s="486"/>
      <c r="REW71" s="486"/>
      <c r="REX71" s="486"/>
      <c r="REY71" s="486"/>
      <c r="REZ71" s="486"/>
      <c r="RFA71" s="487"/>
      <c r="RFB71" s="486"/>
      <c r="RFC71" s="486"/>
      <c r="RFD71" s="486"/>
      <c r="RFE71" s="486"/>
      <c r="RFF71" s="486"/>
      <c r="RFG71" s="486"/>
      <c r="RFH71" s="486"/>
      <c r="RFI71" s="486"/>
      <c r="RFJ71" s="486"/>
      <c r="RFK71" s="486"/>
      <c r="RFL71" s="486"/>
      <c r="RFM71" s="486"/>
      <c r="RFN71" s="486"/>
      <c r="RFO71" s="486"/>
      <c r="RFP71" s="486"/>
      <c r="RFQ71" s="486"/>
      <c r="RFR71" s="486"/>
      <c r="RFS71" s="486"/>
      <c r="RFT71" s="486"/>
      <c r="RFU71" s="486"/>
      <c r="RFV71" s="486"/>
      <c r="RFW71" s="486"/>
      <c r="RFX71" s="486"/>
      <c r="RFY71" s="486"/>
      <c r="RFZ71" s="486"/>
      <c r="RGA71" s="486"/>
      <c r="RGB71" s="486"/>
      <c r="RGC71" s="486"/>
      <c r="RGD71" s="487"/>
      <c r="RGE71" s="486"/>
      <c r="RGF71" s="486"/>
      <c r="RGG71" s="486"/>
      <c r="RGH71" s="486"/>
      <c r="RGI71" s="486"/>
      <c r="RGJ71" s="486"/>
      <c r="RGK71" s="486"/>
      <c r="RGL71" s="486"/>
      <c r="RGM71" s="486"/>
      <c r="RGN71" s="486"/>
      <c r="RGO71" s="486"/>
      <c r="RGP71" s="486"/>
      <c r="RGQ71" s="486"/>
      <c r="RGR71" s="486"/>
      <c r="RGS71" s="486"/>
      <c r="RGT71" s="486"/>
      <c r="RGU71" s="486"/>
      <c r="RGV71" s="486"/>
      <c r="RGW71" s="486"/>
      <c r="RGX71" s="486"/>
      <c r="RGY71" s="486"/>
      <c r="RGZ71" s="486"/>
      <c r="RHA71" s="486"/>
      <c r="RHB71" s="486"/>
      <c r="RHC71" s="486"/>
      <c r="RHD71" s="486"/>
      <c r="RHE71" s="486"/>
      <c r="RHF71" s="486"/>
      <c r="RHG71" s="487"/>
      <c r="RHH71" s="486"/>
      <c r="RHI71" s="486"/>
      <c r="RHJ71" s="486"/>
      <c r="RHK71" s="486"/>
      <c r="RHL71" s="486"/>
      <c r="RHM71" s="486"/>
      <c r="RHN71" s="486"/>
      <c r="RHO71" s="486"/>
      <c r="RHP71" s="486"/>
      <c r="RHQ71" s="486"/>
      <c r="RHR71" s="486"/>
      <c r="RHS71" s="486"/>
      <c r="RHT71" s="486"/>
      <c r="RHU71" s="486"/>
      <c r="RHV71" s="486"/>
      <c r="RHW71" s="486"/>
      <c r="RHX71" s="486"/>
      <c r="RHY71" s="486"/>
      <c r="RHZ71" s="486"/>
      <c r="RIA71" s="486"/>
      <c r="RIB71" s="486"/>
      <c r="RIC71" s="486"/>
      <c r="RID71" s="486"/>
      <c r="RIE71" s="486"/>
      <c r="RIF71" s="486"/>
      <c r="RIG71" s="486"/>
      <c r="RIH71" s="486"/>
      <c r="RII71" s="486"/>
      <c r="RIJ71" s="487"/>
      <c r="RIK71" s="486"/>
      <c r="RIL71" s="486"/>
      <c r="RIM71" s="486"/>
      <c r="RIN71" s="486"/>
      <c r="RIO71" s="486"/>
      <c r="RIP71" s="486"/>
      <c r="RIQ71" s="486"/>
      <c r="RIR71" s="486"/>
      <c r="RIS71" s="486"/>
      <c r="RIT71" s="486"/>
      <c r="RIU71" s="486"/>
      <c r="RIV71" s="486"/>
      <c r="RIW71" s="486"/>
      <c r="RIX71" s="486"/>
      <c r="RIY71" s="486"/>
      <c r="RIZ71" s="486"/>
      <c r="RJA71" s="486"/>
      <c r="RJB71" s="486"/>
      <c r="RJC71" s="486"/>
      <c r="RJD71" s="486"/>
      <c r="RJE71" s="486"/>
      <c r="RJF71" s="486"/>
      <c r="RJG71" s="486"/>
      <c r="RJH71" s="486"/>
      <c r="RJI71" s="486"/>
      <c r="RJJ71" s="486"/>
      <c r="RJK71" s="486"/>
      <c r="RJL71" s="486"/>
      <c r="RJM71" s="487"/>
      <c r="RJN71" s="486"/>
      <c r="RJO71" s="486"/>
      <c r="RJP71" s="486"/>
      <c r="RJQ71" s="486"/>
      <c r="RJR71" s="486"/>
      <c r="RJS71" s="486"/>
      <c r="RJT71" s="486"/>
      <c r="RJU71" s="486"/>
      <c r="RJV71" s="486"/>
      <c r="RJW71" s="486"/>
      <c r="RJX71" s="486"/>
      <c r="RJY71" s="486"/>
      <c r="RJZ71" s="486"/>
      <c r="RKA71" s="486"/>
      <c r="RKB71" s="486"/>
      <c r="RKC71" s="486"/>
      <c r="RKD71" s="486"/>
      <c r="RKE71" s="486"/>
      <c r="RKF71" s="486"/>
      <c r="RKG71" s="486"/>
      <c r="RKH71" s="486"/>
      <c r="RKI71" s="486"/>
      <c r="RKJ71" s="486"/>
      <c r="RKK71" s="486"/>
      <c r="RKL71" s="486"/>
      <c r="RKM71" s="486"/>
      <c r="RKN71" s="486"/>
      <c r="RKO71" s="486"/>
      <c r="RKP71" s="487"/>
      <c r="RKQ71" s="486"/>
      <c r="RKR71" s="486"/>
      <c r="RKS71" s="486"/>
      <c r="RKT71" s="486"/>
      <c r="RKU71" s="486"/>
      <c r="RKV71" s="486"/>
      <c r="RKW71" s="486"/>
      <c r="RKX71" s="486"/>
      <c r="RKY71" s="486"/>
      <c r="RKZ71" s="486"/>
      <c r="RLA71" s="486"/>
      <c r="RLB71" s="486"/>
      <c r="RLC71" s="486"/>
      <c r="RLD71" s="486"/>
      <c r="RLE71" s="486"/>
      <c r="RLF71" s="486"/>
      <c r="RLG71" s="486"/>
      <c r="RLH71" s="486"/>
      <c r="RLI71" s="486"/>
      <c r="RLJ71" s="486"/>
      <c r="RLK71" s="486"/>
      <c r="RLL71" s="486"/>
      <c r="RLM71" s="486"/>
      <c r="RLN71" s="486"/>
      <c r="RLO71" s="486"/>
      <c r="RLP71" s="486"/>
      <c r="RLQ71" s="486"/>
      <c r="RLR71" s="486"/>
      <c r="RLS71" s="487"/>
      <c r="RLT71" s="486"/>
      <c r="RLU71" s="486"/>
      <c r="RLV71" s="486"/>
      <c r="RLW71" s="486"/>
      <c r="RLX71" s="486"/>
      <c r="RLY71" s="486"/>
      <c r="RLZ71" s="486"/>
      <c r="RMA71" s="486"/>
      <c r="RMB71" s="486"/>
      <c r="RMC71" s="486"/>
      <c r="RMD71" s="486"/>
      <c r="RME71" s="486"/>
      <c r="RMF71" s="486"/>
      <c r="RMG71" s="486"/>
      <c r="RMH71" s="486"/>
      <c r="RMI71" s="486"/>
      <c r="RMJ71" s="486"/>
      <c r="RMK71" s="486"/>
      <c r="RML71" s="486"/>
      <c r="RMM71" s="486"/>
      <c r="RMN71" s="486"/>
      <c r="RMO71" s="486"/>
      <c r="RMP71" s="486"/>
      <c r="RMQ71" s="486"/>
      <c r="RMR71" s="486"/>
      <c r="RMS71" s="486"/>
      <c r="RMT71" s="486"/>
      <c r="RMU71" s="486"/>
      <c r="RMV71" s="487"/>
      <c r="RMW71" s="486"/>
      <c r="RMX71" s="486"/>
      <c r="RMY71" s="486"/>
      <c r="RMZ71" s="486"/>
      <c r="RNA71" s="486"/>
      <c r="RNB71" s="486"/>
      <c r="RNC71" s="486"/>
      <c r="RND71" s="486"/>
      <c r="RNE71" s="486"/>
      <c r="RNF71" s="486"/>
      <c r="RNG71" s="486"/>
      <c r="RNH71" s="486"/>
      <c r="RNI71" s="486"/>
      <c r="RNJ71" s="486"/>
      <c r="RNK71" s="486"/>
      <c r="RNL71" s="486"/>
      <c r="RNM71" s="486"/>
      <c r="RNN71" s="486"/>
      <c r="RNO71" s="486"/>
      <c r="RNP71" s="486"/>
      <c r="RNQ71" s="486"/>
      <c r="RNR71" s="486"/>
      <c r="RNS71" s="486"/>
      <c r="RNT71" s="486"/>
      <c r="RNU71" s="486"/>
      <c r="RNV71" s="486"/>
      <c r="RNW71" s="486"/>
      <c r="RNX71" s="486"/>
      <c r="RNY71" s="487"/>
      <c r="RNZ71" s="486"/>
      <c r="ROA71" s="486"/>
      <c r="ROB71" s="486"/>
      <c r="ROC71" s="486"/>
      <c r="ROD71" s="486"/>
      <c r="ROE71" s="486"/>
      <c r="ROF71" s="486"/>
      <c r="ROG71" s="486"/>
      <c r="ROH71" s="486"/>
      <c r="ROI71" s="486"/>
      <c r="ROJ71" s="486"/>
      <c r="ROK71" s="486"/>
      <c r="ROL71" s="486"/>
      <c r="ROM71" s="486"/>
      <c r="RON71" s="486"/>
      <c r="ROO71" s="486"/>
      <c r="ROP71" s="486"/>
      <c r="ROQ71" s="486"/>
      <c r="ROR71" s="486"/>
      <c r="ROS71" s="486"/>
      <c r="ROT71" s="486"/>
      <c r="ROU71" s="486"/>
      <c r="ROV71" s="486"/>
      <c r="ROW71" s="486"/>
      <c r="ROX71" s="486"/>
      <c r="ROY71" s="486"/>
      <c r="ROZ71" s="486"/>
      <c r="RPA71" s="486"/>
      <c r="RPB71" s="487"/>
      <c r="RPC71" s="486"/>
      <c r="RPD71" s="486"/>
      <c r="RPE71" s="486"/>
      <c r="RPF71" s="486"/>
      <c r="RPG71" s="486"/>
      <c r="RPH71" s="486"/>
      <c r="RPI71" s="486"/>
      <c r="RPJ71" s="486"/>
      <c r="RPK71" s="486"/>
      <c r="RPL71" s="486"/>
      <c r="RPM71" s="486"/>
      <c r="RPN71" s="486"/>
      <c r="RPO71" s="486"/>
      <c r="RPP71" s="486"/>
      <c r="RPQ71" s="486"/>
      <c r="RPR71" s="486"/>
      <c r="RPS71" s="486"/>
      <c r="RPT71" s="486"/>
      <c r="RPU71" s="486"/>
      <c r="RPV71" s="486"/>
      <c r="RPW71" s="486"/>
      <c r="RPX71" s="486"/>
      <c r="RPY71" s="486"/>
      <c r="RPZ71" s="486"/>
      <c r="RQA71" s="486"/>
      <c r="RQB71" s="486"/>
      <c r="RQC71" s="486"/>
      <c r="RQD71" s="486"/>
      <c r="RQE71" s="487"/>
      <c r="RQF71" s="486"/>
      <c r="RQG71" s="486"/>
      <c r="RQH71" s="486"/>
      <c r="RQI71" s="486"/>
      <c r="RQJ71" s="486"/>
      <c r="RQK71" s="486"/>
      <c r="RQL71" s="486"/>
      <c r="RQM71" s="486"/>
      <c r="RQN71" s="486"/>
      <c r="RQO71" s="486"/>
      <c r="RQP71" s="486"/>
      <c r="RQQ71" s="486"/>
      <c r="RQR71" s="486"/>
      <c r="RQS71" s="486"/>
      <c r="RQT71" s="486"/>
      <c r="RQU71" s="486"/>
      <c r="RQV71" s="486"/>
      <c r="RQW71" s="486"/>
      <c r="RQX71" s="486"/>
      <c r="RQY71" s="486"/>
      <c r="RQZ71" s="486"/>
      <c r="RRA71" s="486"/>
      <c r="RRB71" s="486"/>
      <c r="RRC71" s="486"/>
      <c r="RRD71" s="486"/>
      <c r="RRE71" s="486"/>
      <c r="RRF71" s="486"/>
      <c r="RRG71" s="486"/>
      <c r="RRH71" s="487"/>
      <c r="RRI71" s="486"/>
      <c r="RRJ71" s="486"/>
      <c r="RRK71" s="486"/>
      <c r="RRL71" s="486"/>
      <c r="RRM71" s="486"/>
      <c r="RRN71" s="486"/>
      <c r="RRO71" s="486"/>
      <c r="RRP71" s="486"/>
      <c r="RRQ71" s="486"/>
      <c r="RRR71" s="486"/>
      <c r="RRS71" s="486"/>
      <c r="RRT71" s="486"/>
      <c r="RRU71" s="486"/>
      <c r="RRV71" s="486"/>
      <c r="RRW71" s="486"/>
      <c r="RRX71" s="486"/>
      <c r="RRY71" s="486"/>
      <c r="RRZ71" s="486"/>
      <c r="RSA71" s="486"/>
      <c r="RSB71" s="486"/>
      <c r="RSC71" s="486"/>
      <c r="RSD71" s="486"/>
      <c r="RSE71" s="486"/>
      <c r="RSF71" s="486"/>
      <c r="RSG71" s="486"/>
      <c r="RSH71" s="486"/>
      <c r="RSI71" s="486"/>
      <c r="RSJ71" s="486"/>
      <c r="RSK71" s="487"/>
      <c r="RSL71" s="486"/>
      <c r="RSM71" s="486"/>
      <c r="RSN71" s="486"/>
      <c r="RSO71" s="486"/>
      <c r="RSP71" s="486"/>
      <c r="RSQ71" s="486"/>
      <c r="RSR71" s="486"/>
      <c r="RSS71" s="486"/>
      <c r="RST71" s="486"/>
      <c r="RSU71" s="486"/>
      <c r="RSV71" s="486"/>
      <c r="RSW71" s="486"/>
      <c r="RSX71" s="486"/>
      <c r="RSY71" s="486"/>
      <c r="RSZ71" s="486"/>
      <c r="RTA71" s="486"/>
      <c r="RTB71" s="486"/>
      <c r="RTC71" s="486"/>
      <c r="RTD71" s="486"/>
      <c r="RTE71" s="486"/>
      <c r="RTF71" s="486"/>
      <c r="RTG71" s="486"/>
      <c r="RTH71" s="486"/>
      <c r="RTI71" s="486"/>
      <c r="RTJ71" s="486"/>
      <c r="RTK71" s="486"/>
      <c r="RTL71" s="486"/>
      <c r="RTM71" s="486"/>
      <c r="RTN71" s="487"/>
      <c r="RTO71" s="486"/>
      <c r="RTP71" s="486"/>
      <c r="RTQ71" s="486"/>
      <c r="RTR71" s="486"/>
      <c r="RTS71" s="486"/>
      <c r="RTT71" s="486"/>
      <c r="RTU71" s="486"/>
      <c r="RTV71" s="486"/>
      <c r="RTW71" s="486"/>
      <c r="RTX71" s="486"/>
      <c r="RTY71" s="486"/>
      <c r="RTZ71" s="486"/>
      <c r="RUA71" s="486"/>
      <c r="RUB71" s="486"/>
      <c r="RUC71" s="486"/>
      <c r="RUD71" s="486"/>
      <c r="RUE71" s="486"/>
      <c r="RUF71" s="486"/>
      <c r="RUG71" s="486"/>
      <c r="RUH71" s="486"/>
      <c r="RUI71" s="486"/>
      <c r="RUJ71" s="486"/>
      <c r="RUK71" s="486"/>
      <c r="RUL71" s="486"/>
      <c r="RUM71" s="486"/>
      <c r="RUN71" s="486"/>
      <c r="RUO71" s="486"/>
      <c r="RUP71" s="486"/>
      <c r="RUQ71" s="487"/>
      <c r="RUR71" s="486"/>
      <c r="RUS71" s="486"/>
      <c r="RUT71" s="486"/>
      <c r="RUU71" s="486"/>
      <c r="RUV71" s="486"/>
      <c r="RUW71" s="486"/>
      <c r="RUX71" s="486"/>
      <c r="RUY71" s="486"/>
      <c r="RUZ71" s="486"/>
      <c r="RVA71" s="486"/>
      <c r="RVB71" s="486"/>
      <c r="RVC71" s="486"/>
      <c r="RVD71" s="486"/>
      <c r="RVE71" s="486"/>
      <c r="RVF71" s="486"/>
      <c r="RVG71" s="486"/>
      <c r="RVH71" s="486"/>
      <c r="RVI71" s="486"/>
      <c r="RVJ71" s="486"/>
      <c r="RVK71" s="486"/>
      <c r="RVL71" s="486"/>
      <c r="RVM71" s="486"/>
      <c r="RVN71" s="486"/>
      <c r="RVO71" s="486"/>
      <c r="RVP71" s="486"/>
      <c r="RVQ71" s="486"/>
      <c r="RVR71" s="486"/>
      <c r="RVS71" s="486"/>
      <c r="RVT71" s="487"/>
      <c r="RVU71" s="486"/>
      <c r="RVV71" s="486"/>
      <c r="RVW71" s="486"/>
      <c r="RVX71" s="486"/>
      <c r="RVY71" s="486"/>
      <c r="RVZ71" s="486"/>
      <c r="RWA71" s="486"/>
      <c r="RWB71" s="486"/>
      <c r="RWC71" s="486"/>
      <c r="RWD71" s="486"/>
      <c r="RWE71" s="486"/>
      <c r="RWF71" s="486"/>
      <c r="RWG71" s="486"/>
      <c r="RWH71" s="486"/>
      <c r="RWI71" s="486"/>
      <c r="RWJ71" s="486"/>
      <c r="RWK71" s="486"/>
      <c r="RWL71" s="486"/>
      <c r="RWM71" s="486"/>
      <c r="RWN71" s="486"/>
      <c r="RWO71" s="486"/>
      <c r="RWP71" s="486"/>
      <c r="RWQ71" s="486"/>
      <c r="RWR71" s="486"/>
      <c r="RWS71" s="486"/>
      <c r="RWT71" s="486"/>
      <c r="RWU71" s="486"/>
      <c r="RWV71" s="486"/>
      <c r="RWW71" s="487"/>
      <c r="RWX71" s="486"/>
      <c r="RWY71" s="486"/>
      <c r="RWZ71" s="486"/>
      <c r="RXA71" s="486"/>
      <c r="RXB71" s="486"/>
      <c r="RXC71" s="486"/>
      <c r="RXD71" s="486"/>
      <c r="RXE71" s="486"/>
      <c r="RXF71" s="486"/>
      <c r="RXG71" s="486"/>
      <c r="RXH71" s="486"/>
      <c r="RXI71" s="486"/>
      <c r="RXJ71" s="486"/>
      <c r="RXK71" s="486"/>
      <c r="RXL71" s="486"/>
      <c r="RXM71" s="486"/>
      <c r="RXN71" s="486"/>
      <c r="RXO71" s="486"/>
      <c r="RXP71" s="486"/>
      <c r="RXQ71" s="486"/>
      <c r="RXR71" s="486"/>
      <c r="RXS71" s="486"/>
      <c r="RXT71" s="486"/>
      <c r="RXU71" s="486"/>
      <c r="RXV71" s="486"/>
      <c r="RXW71" s="486"/>
      <c r="RXX71" s="486"/>
      <c r="RXY71" s="486"/>
      <c r="RXZ71" s="487"/>
      <c r="RYA71" s="486"/>
      <c r="RYB71" s="486"/>
      <c r="RYC71" s="486"/>
      <c r="RYD71" s="486"/>
      <c r="RYE71" s="486"/>
      <c r="RYF71" s="486"/>
      <c r="RYG71" s="486"/>
      <c r="RYH71" s="486"/>
      <c r="RYI71" s="486"/>
      <c r="RYJ71" s="486"/>
      <c r="RYK71" s="486"/>
      <c r="RYL71" s="486"/>
      <c r="RYM71" s="486"/>
      <c r="RYN71" s="486"/>
      <c r="RYO71" s="486"/>
      <c r="RYP71" s="486"/>
      <c r="RYQ71" s="486"/>
      <c r="RYR71" s="486"/>
      <c r="RYS71" s="486"/>
      <c r="RYT71" s="486"/>
      <c r="RYU71" s="486"/>
      <c r="RYV71" s="486"/>
      <c r="RYW71" s="486"/>
      <c r="RYX71" s="486"/>
      <c r="RYY71" s="486"/>
      <c r="RYZ71" s="486"/>
      <c r="RZA71" s="486"/>
      <c r="RZB71" s="486"/>
      <c r="RZC71" s="487"/>
      <c r="RZD71" s="486"/>
      <c r="RZE71" s="486"/>
      <c r="RZF71" s="486"/>
      <c r="RZG71" s="486"/>
      <c r="RZH71" s="486"/>
      <c r="RZI71" s="486"/>
      <c r="RZJ71" s="486"/>
      <c r="RZK71" s="486"/>
      <c r="RZL71" s="486"/>
      <c r="RZM71" s="486"/>
      <c r="RZN71" s="486"/>
      <c r="RZO71" s="486"/>
      <c r="RZP71" s="486"/>
      <c r="RZQ71" s="486"/>
      <c r="RZR71" s="486"/>
      <c r="RZS71" s="486"/>
      <c r="RZT71" s="486"/>
      <c r="RZU71" s="486"/>
      <c r="RZV71" s="486"/>
      <c r="RZW71" s="486"/>
      <c r="RZX71" s="486"/>
      <c r="RZY71" s="486"/>
      <c r="RZZ71" s="486"/>
      <c r="SAA71" s="486"/>
      <c r="SAB71" s="486"/>
      <c r="SAC71" s="486"/>
      <c r="SAD71" s="486"/>
      <c r="SAE71" s="486"/>
      <c r="SAF71" s="487"/>
      <c r="SAG71" s="486"/>
      <c r="SAH71" s="486"/>
      <c r="SAI71" s="486"/>
      <c r="SAJ71" s="486"/>
      <c r="SAK71" s="486"/>
      <c r="SAL71" s="486"/>
      <c r="SAM71" s="486"/>
      <c r="SAN71" s="486"/>
      <c r="SAO71" s="486"/>
      <c r="SAP71" s="486"/>
      <c r="SAQ71" s="486"/>
      <c r="SAR71" s="486"/>
      <c r="SAS71" s="486"/>
      <c r="SAT71" s="486"/>
      <c r="SAU71" s="486"/>
      <c r="SAV71" s="486"/>
      <c r="SAW71" s="486"/>
      <c r="SAX71" s="486"/>
      <c r="SAY71" s="486"/>
      <c r="SAZ71" s="486"/>
      <c r="SBA71" s="486"/>
      <c r="SBB71" s="486"/>
      <c r="SBC71" s="486"/>
      <c r="SBD71" s="486"/>
      <c r="SBE71" s="486"/>
      <c r="SBF71" s="486"/>
      <c r="SBG71" s="486"/>
      <c r="SBH71" s="486"/>
      <c r="SBI71" s="487"/>
      <c r="SBJ71" s="486"/>
      <c r="SBK71" s="486"/>
      <c r="SBL71" s="486"/>
      <c r="SBM71" s="486"/>
      <c r="SBN71" s="486"/>
      <c r="SBO71" s="486"/>
      <c r="SBP71" s="486"/>
      <c r="SBQ71" s="486"/>
      <c r="SBR71" s="486"/>
      <c r="SBS71" s="486"/>
      <c r="SBT71" s="486"/>
      <c r="SBU71" s="486"/>
      <c r="SBV71" s="486"/>
      <c r="SBW71" s="486"/>
      <c r="SBX71" s="486"/>
      <c r="SBY71" s="486"/>
      <c r="SBZ71" s="486"/>
      <c r="SCA71" s="486"/>
      <c r="SCB71" s="486"/>
      <c r="SCC71" s="486"/>
      <c r="SCD71" s="486"/>
      <c r="SCE71" s="486"/>
      <c r="SCF71" s="486"/>
      <c r="SCG71" s="486"/>
      <c r="SCH71" s="486"/>
      <c r="SCI71" s="486"/>
      <c r="SCJ71" s="486"/>
      <c r="SCK71" s="486"/>
      <c r="SCL71" s="487"/>
      <c r="SCM71" s="486"/>
      <c r="SCN71" s="486"/>
      <c r="SCO71" s="486"/>
      <c r="SCP71" s="486"/>
      <c r="SCQ71" s="486"/>
      <c r="SCR71" s="486"/>
      <c r="SCS71" s="486"/>
      <c r="SCT71" s="486"/>
      <c r="SCU71" s="486"/>
      <c r="SCV71" s="486"/>
      <c r="SCW71" s="486"/>
      <c r="SCX71" s="486"/>
      <c r="SCY71" s="486"/>
      <c r="SCZ71" s="486"/>
      <c r="SDA71" s="486"/>
      <c r="SDB71" s="486"/>
      <c r="SDC71" s="486"/>
      <c r="SDD71" s="486"/>
      <c r="SDE71" s="486"/>
      <c r="SDF71" s="486"/>
      <c r="SDG71" s="486"/>
      <c r="SDH71" s="486"/>
      <c r="SDI71" s="486"/>
      <c r="SDJ71" s="486"/>
      <c r="SDK71" s="486"/>
      <c r="SDL71" s="486"/>
      <c r="SDM71" s="486"/>
      <c r="SDN71" s="486"/>
      <c r="SDO71" s="487"/>
      <c r="SDP71" s="486"/>
      <c r="SDQ71" s="486"/>
      <c r="SDR71" s="486"/>
      <c r="SDS71" s="486"/>
      <c r="SDT71" s="486"/>
      <c r="SDU71" s="486"/>
      <c r="SDV71" s="486"/>
      <c r="SDW71" s="486"/>
      <c r="SDX71" s="486"/>
      <c r="SDY71" s="486"/>
      <c r="SDZ71" s="486"/>
      <c r="SEA71" s="486"/>
      <c r="SEB71" s="486"/>
      <c r="SEC71" s="486"/>
      <c r="SED71" s="486"/>
      <c r="SEE71" s="486"/>
      <c r="SEF71" s="486"/>
      <c r="SEG71" s="486"/>
      <c r="SEH71" s="486"/>
      <c r="SEI71" s="486"/>
      <c r="SEJ71" s="486"/>
      <c r="SEK71" s="486"/>
      <c r="SEL71" s="486"/>
      <c r="SEM71" s="486"/>
      <c r="SEN71" s="486"/>
      <c r="SEO71" s="486"/>
      <c r="SEP71" s="486"/>
      <c r="SEQ71" s="486"/>
      <c r="SER71" s="487"/>
      <c r="SES71" s="486"/>
      <c r="SET71" s="486"/>
      <c r="SEU71" s="486"/>
      <c r="SEV71" s="486"/>
      <c r="SEW71" s="486"/>
      <c r="SEX71" s="486"/>
      <c r="SEY71" s="486"/>
      <c r="SEZ71" s="486"/>
      <c r="SFA71" s="486"/>
      <c r="SFB71" s="486"/>
      <c r="SFC71" s="486"/>
      <c r="SFD71" s="486"/>
      <c r="SFE71" s="486"/>
      <c r="SFF71" s="486"/>
      <c r="SFG71" s="486"/>
      <c r="SFH71" s="486"/>
      <c r="SFI71" s="486"/>
      <c r="SFJ71" s="486"/>
      <c r="SFK71" s="486"/>
      <c r="SFL71" s="486"/>
      <c r="SFM71" s="486"/>
      <c r="SFN71" s="486"/>
      <c r="SFO71" s="486"/>
      <c r="SFP71" s="486"/>
      <c r="SFQ71" s="486"/>
      <c r="SFR71" s="486"/>
      <c r="SFS71" s="486"/>
      <c r="SFT71" s="486"/>
      <c r="SFU71" s="487"/>
      <c r="SFV71" s="486"/>
      <c r="SFW71" s="486"/>
      <c r="SFX71" s="486"/>
      <c r="SFY71" s="486"/>
      <c r="SFZ71" s="486"/>
      <c r="SGA71" s="486"/>
      <c r="SGB71" s="486"/>
      <c r="SGC71" s="486"/>
      <c r="SGD71" s="486"/>
      <c r="SGE71" s="486"/>
      <c r="SGF71" s="486"/>
      <c r="SGG71" s="486"/>
      <c r="SGH71" s="486"/>
      <c r="SGI71" s="486"/>
      <c r="SGJ71" s="486"/>
      <c r="SGK71" s="486"/>
      <c r="SGL71" s="486"/>
      <c r="SGM71" s="486"/>
      <c r="SGN71" s="486"/>
      <c r="SGO71" s="486"/>
      <c r="SGP71" s="486"/>
      <c r="SGQ71" s="486"/>
      <c r="SGR71" s="486"/>
      <c r="SGS71" s="486"/>
      <c r="SGT71" s="486"/>
      <c r="SGU71" s="486"/>
      <c r="SGV71" s="486"/>
      <c r="SGW71" s="486"/>
      <c r="SGX71" s="487"/>
      <c r="SGY71" s="486"/>
      <c r="SGZ71" s="486"/>
      <c r="SHA71" s="486"/>
      <c r="SHB71" s="486"/>
      <c r="SHC71" s="486"/>
      <c r="SHD71" s="486"/>
      <c r="SHE71" s="486"/>
      <c r="SHF71" s="486"/>
      <c r="SHG71" s="486"/>
      <c r="SHH71" s="486"/>
      <c r="SHI71" s="486"/>
      <c r="SHJ71" s="486"/>
      <c r="SHK71" s="486"/>
      <c r="SHL71" s="486"/>
      <c r="SHM71" s="486"/>
      <c r="SHN71" s="486"/>
      <c r="SHO71" s="486"/>
      <c r="SHP71" s="486"/>
      <c r="SHQ71" s="486"/>
      <c r="SHR71" s="486"/>
      <c r="SHS71" s="486"/>
      <c r="SHT71" s="486"/>
      <c r="SHU71" s="486"/>
      <c r="SHV71" s="486"/>
      <c r="SHW71" s="486"/>
      <c r="SHX71" s="486"/>
      <c r="SHY71" s="486"/>
      <c r="SHZ71" s="486"/>
      <c r="SIA71" s="487"/>
      <c r="SIB71" s="486"/>
      <c r="SIC71" s="486"/>
      <c r="SID71" s="486"/>
      <c r="SIE71" s="486"/>
      <c r="SIF71" s="486"/>
      <c r="SIG71" s="486"/>
      <c r="SIH71" s="486"/>
      <c r="SII71" s="486"/>
      <c r="SIJ71" s="486"/>
      <c r="SIK71" s="486"/>
      <c r="SIL71" s="486"/>
      <c r="SIM71" s="486"/>
      <c r="SIN71" s="486"/>
      <c r="SIO71" s="486"/>
      <c r="SIP71" s="486"/>
      <c r="SIQ71" s="486"/>
      <c r="SIR71" s="486"/>
      <c r="SIS71" s="486"/>
      <c r="SIT71" s="486"/>
      <c r="SIU71" s="486"/>
      <c r="SIV71" s="486"/>
      <c r="SIW71" s="486"/>
      <c r="SIX71" s="486"/>
      <c r="SIY71" s="486"/>
      <c r="SIZ71" s="486"/>
      <c r="SJA71" s="486"/>
      <c r="SJB71" s="486"/>
      <c r="SJC71" s="486"/>
      <c r="SJD71" s="487"/>
      <c r="SJE71" s="486"/>
      <c r="SJF71" s="486"/>
      <c r="SJG71" s="486"/>
      <c r="SJH71" s="486"/>
      <c r="SJI71" s="486"/>
      <c r="SJJ71" s="486"/>
      <c r="SJK71" s="486"/>
      <c r="SJL71" s="486"/>
      <c r="SJM71" s="486"/>
      <c r="SJN71" s="486"/>
      <c r="SJO71" s="486"/>
      <c r="SJP71" s="486"/>
      <c r="SJQ71" s="486"/>
      <c r="SJR71" s="486"/>
      <c r="SJS71" s="486"/>
      <c r="SJT71" s="486"/>
      <c r="SJU71" s="486"/>
      <c r="SJV71" s="486"/>
      <c r="SJW71" s="486"/>
      <c r="SJX71" s="486"/>
      <c r="SJY71" s="486"/>
      <c r="SJZ71" s="486"/>
      <c r="SKA71" s="486"/>
      <c r="SKB71" s="486"/>
      <c r="SKC71" s="486"/>
      <c r="SKD71" s="486"/>
      <c r="SKE71" s="486"/>
      <c r="SKF71" s="486"/>
      <c r="SKG71" s="487"/>
      <c r="SKH71" s="486"/>
      <c r="SKI71" s="486"/>
      <c r="SKJ71" s="486"/>
      <c r="SKK71" s="486"/>
      <c r="SKL71" s="486"/>
      <c r="SKM71" s="486"/>
      <c r="SKN71" s="486"/>
      <c r="SKO71" s="486"/>
      <c r="SKP71" s="486"/>
      <c r="SKQ71" s="486"/>
      <c r="SKR71" s="486"/>
      <c r="SKS71" s="486"/>
      <c r="SKT71" s="486"/>
      <c r="SKU71" s="486"/>
      <c r="SKV71" s="486"/>
      <c r="SKW71" s="486"/>
      <c r="SKX71" s="486"/>
      <c r="SKY71" s="486"/>
      <c r="SKZ71" s="486"/>
      <c r="SLA71" s="486"/>
      <c r="SLB71" s="486"/>
      <c r="SLC71" s="486"/>
      <c r="SLD71" s="486"/>
      <c r="SLE71" s="486"/>
      <c r="SLF71" s="486"/>
      <c r="SLG71" s="486"/>
      <c r="SLH71" s="486"/>
      <c r="SLI71" s="486"/>
      <c r="SLJ71" s="487"/>
      <c r="SLK71" s="486"/>
      <c r="SLL71" s="486"/>
      <c r="SLM71" s="486"/>
      <c r="SLN71" s="486"/>
      <c r="SLO71" s="486"/>
      <c r="SLP71" s="486"/>
      <c r="SLQ71" s="486"/>
      <c r="SLR71" s="486"/>
      <c r="SLS71" s="486"/>
      <c r="SLT71" s="486"/>
      <c r="SLU71" s="486"/>
      <c r="SLV71" s="486"/>
      <c r="SLW71" s="486"/>
      <c r="SLX71" s="486"/>
      <c r="SLY71" s="486"/>
      <c r="SLZ71" s="486"/>
      <c r="SMA71" s="486"/>
      <c r="SMB71" s="486"/>
      <c r="SMC71" s="486"/>
      <c r="SMD71" s="486"/>
      <c r="SME71" s="486"/>
      <c r="SMF71" s="486"/>
      <c r="SMG71" s="486"/>
      <c r="SMH71" s="486"/>
      <c r="SMI71" s="486"/>
      <c r="SMJ71" s="486"/>
      <c r="SMK71" s="486"/>
      <c r="SML71" s="486"/>
      <c r="SMM71" s="487"/>
      <c r="SMN71" s="486"/>
      <c r="SMO71" s="486"/>
      <c r="SMP71" s="486"/>
      <c r="SMQ71" s="486"/>
      <c r="SMR71" s="486"/>
      <c r="SMS71" s="486"/>
      <c r="SMT71" s="486"/>
      <c r="SMU71" s="486"/>
      <c r="SMV71" s="486"/>
      <c r="SMW71" s="486"/>
      <c r="SMX71" s="486"/>
      <c r="SMY71" s="486"/>
      <c r="SMZ71" s="486"/>
      <c r="SNA71" s="486"/>
      <c r="SNB71" s="486"/>
      <c r="SNC71" s="486"/>
      <c r="SND71" s="486"/>
      <c r="SNE71" s="486"/>
      <c r="SNF71" s="486"/>
      <c r="SNG71" s="486"/>
      <c r="SNH71" s="486"/>
      <c r="SNI71" s="486"/>
      <c r="SNJ71" s="486"/>
      <c r="SNK71" s="486"/>
      <c r="SNL71" s="486"/>
      <c r="SNM71" s="486"/>
      <c r="SNN71" s="486"/>
      <c r="SNO71" s="486"/>
      <c r="SNP71" s="487"/>
      <c r="SNQ71" s="486"/>
      <c r="SNR71" s="486"/>
      <c r="SNS71" s="486"/>
      <c r="SNT71" s="486"/>
      <c r="SNU71" s="486"/>
      <c r="SNV71" s="486"/>
      <c r="SNW71" s="486"/>
      <c r="SNX71" s="486"/>
      <c r="SNY71" s="486"/>
      <c r="SNZ71" s="486"/>
      <c r="SOA71" s="486"/>
      <c r="SOB71" s="486"/>
      <c r="SOC71" s="486"/>
      <c r="SOD71" s="486"/>
      <c r="SOE71" s="486"/>
      <c r="SOF71" s="486"/>
      <c r="SOG71" s="486"/>
      <c r="SOH71" s="486"/>
      <c r="SOI71" s="486"/>
      <c r="SOJ71" s="486"/>
      <c r="SOK71" s="486"/>
      <c r="SOL71" s="486"/>
      <c r="SOM71" s="486"/>
      <c r="SON71" s="486"/>
      <c r="SOO71" s="486"/>
      <c r="SOP71" s="486"/>
      <c r="SOQ71" s="486"/>
      <c r="SOR71" s="486"/>
      <c r="SOS71" s="487"/>
      <c r="SOT71" s="486"/>
      <c r="SOU71" s="486"/>
      <c r="SOV71" s="486"/>
      <c r="SOW71" s="486"/>
      <c r="SOX71" s="486"/>
      <c r="SOY71" s="486"/>
      <c r="SOZ71" s="486"/>
      <c r="SPA71" s="486"/>
      <c r="SPB71" s="486"/>
      <c r="SPC71" s="486"/>
      <c r="SPD71" s="486"/>
      <c r="SPE71" s="486"/>
      <c r="SPF71" s="486"/>
      <c r="SPG71" s="486"/>
      <c r="SPH71" s="486"/>
      <c r="SPI71" s="486"/>
      <c r="SPJ71" s="486"/>
      <c r="SPK71" s="486"/>
      <c r="SPL71" s="486"/>
      <c r="SPM71" s="486"/>
      <c r="SPN71" s="486"/>
      <c r="SPO71" s="486"/>
      <c r="SPP71" s="486"/>
      <c r="SPQ71" s="486"/>
      <c r="SPR71" s="486"/>
      <c r="SPS71" s="486"/>
      <c r="SPT71" s="486"/>
      <c r="SPU71" s="486"/>
      <c r="SPV71" s="487"/>
      <c r="SPW71" s="486"/>
      <c r="SPX71" s="486"/>
      <c r="SPY71" s="486"/>
      <c r="SPZ71" s="486"/>
      <c r="SQA71" s="486"/>
      <c r="SQB71" s="486"/>
      <c r="SQC71" s="486"/>
      <c r="SQD71" s="486"/>
      <c r="SQE71" s="486"/>
      <c r="SQF71" s="486"/>
      <c r="SQG71" s="486"/>
      <c r="SQH71" s="486"/>
      <c r="SQI71" s="486"/>
      <c r="SQJ71" s="486"/>
      <c r="SQK71" s="486"/>
      <c r="SQL71" s="486"/>
      <c r="SQM71" s="486"/>
      <c r="SQN71" s="486"/>
      <c r="SQO71" s="486"/>
      <c r="SQP71" s="486"/>
      <c r="SQQ71" s="486"/>
      <c r="SQR71" s="486"/>
      <c r="SQS71" s="486"/>
      <c r="SQT71" s="486"/>
      <c r="SQU71" s="486"/>
      <c r="SQV71" s="486"/>
      <c r="SQW71" s="486"/>
      <c r="SQX71" s="486"/>
      <c r="SQY71" s="487"/>
      <c r="SQZ71" s="486"/>
      <c r="SRA71" s="486"/>
      <c r="SRB71" s="486"/>
      <c r="SRC71" s="486"/>
      <c r="SRD71" s="486"/>
      <c r="SRE71" s="486"/>
      <c r="SRF71" s="486"/>
      <c r="SRG71" s="486"/>
      <c r="SRH71" s="486"/>
      <c r="SRI71" s="486"/>
      <c r="SRJ71" s="486"/>
      <c r="SRK71" s="486"/>
      <c r="SRL71" s="486"/>
      <c r="SRM71" s="486"/>
      <c r="SRN71" s="486"/>
      <c r="SRO71" s="486"/>
      <c r="SRP71" s="486"/>
      <c r="SRQ71" s="486"/>
      <c r="SRR71" s="486"/>
      <c r="SRS71" s="486"/>
      <c r="SRT71" s="486"/>
      <c r="SRU71" s="486"/>
      <c r="SRV71" s="486"/>
      <c r="SRW71" s="486"/>
      <c r="SRX71" s="486"/>
      <c r="SRY71" s="486"/>
      <c r="SRZ71" s="486"/>
      <c r="SSA71" s="486"/>
      <c r="SSB71" s="487"/>
      <c r="SSC71" s="486"/>
      <c r="SSD71" s="486"/>
      <c r="SSE71" s="486"/>
      <c r="SSF71" s="486"/>
      <c r="SSG71" s="486"/>
      <c r="SSH71" s="486"/>
      <c r="SSI71" s="486"/>
      <c r="SSJ71" s="486"/>
      <c r="SSK71" s="486"/>
      <c r="SSL71" s="486"/>
      <c r="SSM71" s="486"/>
      <c r="SSN71" s="486"/>
      <c r="SSO71" s="486"/>
      <c r="SSP71" s="486"/>
      <c r="SSQ71" s="486"/>
      <c r="SSR71" s="486"/>
      <c r="SSS71" s="486"/>
      <c r="SST71" s="486"/>
      <c r="SSU71" s="486"/>
      <c r="SSV71" s="486"/>
      <c r="SSW71" s="486"/>
      <c r="SSX71" s="486"/>
      <c r="SSY71" s="486"/>
      <c r="SSZ71" s="486"/>
      <c r="STA71" s="486"/>
      <c r="STB71" s="486"/>
      <c r="STC71" s="486"/>
      <c r="STD71" s="486"/>
      <c r="STE71" s="487"/>
      <c r="STF71" s="486"/>
      <c r="STG71" s="486"/>
      <c r="STH71" s="486"/>
      <c r="STI71" s="486"/>
      <c r="STJ71" s="486"/>
      <c r="STK71" s="486"/>
      <c r="STL71" s="486"/>
      <c r="STM71" s="486"/>
      <c r="STN71" s="486"/>
      <c r="STO71" s="486"/>
      <c r="STP71" s="486"/>
      <c r="STQ71" s="486"/>
      <c r="STR71" s="486"/>
      <c r="STS71" s="486"/>
      <c r="STT71" s="486"/>
      <c r="STU71" s="486"/>
      <c r="STV71" s="486"/>
      <c r="STW71" s="486"/>
      <c r="STX71" s="486"/>
      <c r="STY71" s="486"/>
      <c r="STZ71" s="486"/>
      <c r="SUA71" s="486"/>
      <c r="SUB71" s="486"/>
      <c r="SUC71" s="486"/>
      <c r="SUD71" s="486"/>
      <c r="SUE71" s="486"/>
      <c r="SUF71" s="486"/>
      <c r="SUG71" s="486"/>
      <c r="SUH71" s="487"/>
      <c r="SUI71" s="486"/>
      <c r="SUJ71" s="486"/>
      <c r="SUK71" s="486"/>
      <c r="SUL71" s="486"/>
      <c r="SUM71" s="486"/>
      <c r="SUN71" s="486"/>
      <c r="SUO71" s="486"/>
      <c r="SUP71" s="486"/>
      <c r="SUQ71" s="486"/>
      <c r="SUR71" s="486"/>
      <c r="SUS71" s="486"/>
      <c r="SUT71" s="486"/>
      <c r="SUU71" s="486"/>
      <c r="SUV71" s="486"/>
      <c r="SUW71" s="486"/>
      <c r="SUX71" s="486"/>
      <c r="SUY71" s="486"/>
      <c r="SUZ71" s="486"/>
      <c r="SVA71" s="486"/>
      <c r="SVB71" s="486"/>
      <c r="SVC71" s="486"/>
      <c r="SVD71" s="486"/>
      <c r="SVE71" s="486"/>
      <c r="SVF71" s="486"/>
      <c r="SVG71" s="486"/>
      <c r="SVH71" s="486"/>
      <c r="SVI71" s="486"/>
      <c r="SVJ71" s="486"/>
      <c r="SVK71" s="487"/>
      <c r="SVL71" s="486"/>
      <c r="SVM71" s="486"/>
      <c r="SVN71" s="486"/>
      <c r="SVO71" s="486"/>
      <c r="SVP71" s="486"/>
      <c r="SVQ71" s="486"/>
      <c r="SVR71" s="486"/>
      <c r="SVS71" s="486"/>
      <c r="SVT71" s="486"/>
      <c r="SVU71" s="486"/>
      <c r="SVV71" s="486"/>
      <c r="SVW71" s="486"/>
      <c r="SVX71" s="486"/>
      <c r="SVY71" s="486"/>
      <c r="SVZ71" s="486"/>
      <c r="SWA71" s="486"/>
      <c r="SWB71" s="486"/>
      <c r="SWC71" s="486"/>
      <c r="SWD71" s="486"/>
      <c r="SWE71" s="486"/>
      <c r="SWF71" s="486"/>
      <c r="SWG71" s="486"/>
      <c r="SWH71" s="486"/>
      <c r="SWI71" s="486"/>
      <c r="SWJ71" s="486"/>
      <c r="SWK71" s="486"/>
      <c r="SWL71" s="486"/>
      <c r="SWM71" s="486"/>
      <c r="SWN71" s="487"/>
      <c r="SWO71" s="486"/>
      <c r="SWP71" s="486"/>
      <c r="SWQ71" s="486"/>
      <c r="SWR71" s="486"/>
      <c r="SWS71" s="486"/>
      <c r="SWT71" s="486"/>
      <c r="SWU71" s="486"/>
      <c r="SWV71" s="486"/>
      <c r="SWW71" s="486"/>
      <c r="SWX71" s="486"/>
      <c r="SWY71" s="486"/>
      <c r="SWZ71" s="486"/>
      <c r="SXA71" s="486"/>
      <c r="SXB71" s="486"/>
      <c r="SXC71" s="486"/>
      <c r="SXD71" s="486"/>
      <c r="SXE71" s="486"/>
      <c r="SXF71" s="486"/>
      <c r="SXG71" s="486"/>
      <c r="SXH71" s="486"/>
      <c r="SXI71" s="486"/>
      <c r="SXJ71" s="486"/>
      <c r="SXK71" s="486"/>
      <c r="SXL71" s="486"/>
      <c r="SXM71" s="486"/>
      <c r="SXN71" s="486"/>
      <c r="SXO71" s="486"/>
      <c r="SXP71" s="486"/>
      <c r="SXQ71" s="487"/>
      <c r="SXR71" s="486"/>
      <c r="SXS71" s="486"/>
      <c r="SXT71" s="486"/>
      <c r="SXU71" s="486"/>
      <c r="SXV71" s="486"/>
      <c r="SXW71" s="486"/>
      <c r="SXX71" s="486"/>
      <c r="SXY71" s="486"/>
      <c r="SXZ71" s="486"/>
      <c r="SYA71" s="486"/>
      <c r="SYB71" s="486"/>
      <c r="SYC71" s="486"/>
      <c r="SYD71" s="486"/>
      <c r="SYE71" s="486"/>
      <c r="SYF71" s="486"/>
      <c r="SYG71" s="486"/>
      <c r="SYH71" s="486"/>
      <c r="SYI71" s="486"/>
      <c r="SYJ71" s="486"/>
      <c r="SYK71" s="486"/>
      <c r="SYL71" s="486"/>
      <c r="SYM71" s="486"/>
      <c r="SYN71" s="486"/>
      <c r="SYO71" s="486"/>
      <c r="SYP71" s="486"/>
      <c r="SYQ71" s="486"/>
      <c r="SYR71" s="486"/>
      <c r="SYS71" s="486"/>
      <c r="SYT71" s="487"/>
      <c r="SYU71" s="486"/>
      <c r="SYV71" s="486"/>
      <c r="SYW71" s="486"/>
      <c r="SYX71" s="486"/>
      <c r="SYY71" s="486"/>
      <c r="SYZ71" s="486"/>
      <c r="SZA71" s="486"/>
      <c r="SZB71" s="486"/>
      <c r="SZC71" s="486"/>
      <c r="SZD71" s="486"/>
      <c r="SZE71" s="486"/>
      <c r="SZF71" s="486"/>
      <c r="SZG71" s="486"/>
      <c r="SZH71" s="486"/>
      <c r="SZI71" s="486"/>
      <c r="SZJ71" s="486"/>
      <c r="SZK71" s="486"/>
      <c r="SZL71" s="486"/>
      <c r="SZM71" s="486"/>
      <c r="SZN71" s="486"/>
      <c r="SZO71" s="486"/>
      <c r="SZP71" s="486"/>
      <c r="SZQ71" s="486"/>
      <c r="SZR71" s="486"/>
      <c r="SZS71" s="486"/>
      <c r="SZT71" s="486"/>
      <c r="SZU71" s="486"/>
      <c r="SZV71" s="486"/>
      <c r="SZW71" s="487"/>
      <c r="SZX71" s="486"/>
      <c r="SZY71" s="486"/>
      <c r="SZZ71" s="486"/>
      <c r="TAA71" s="486"/>
      <c r="TAB71" s="486"/>
      <c r="TAC71" s="486"/>
      <c r="TAD71" s="486"/>
      <c r="TAE71" s="486"/>
      <c r="TAF71" s="486"/>
      <c r="TAG71" s="486"/>
      <c r="TAH71" s="486"/>
      <c r="TAI71" s="486"/>
      <c r="TAJ71" s="486"/>
      <c r="TAK71" s="486"/>
      <c r="TAL71" s="486"/>
      <c r="TAM71" s="486"/>
      <c r="TAN71" s="486"/>
      <c r="TAO71" s="486"/>
      <c r="TAP71" s="486"/>
      <c r="TAQ71" s="486"/>
      <c r="TAR71" s="486"/>
      <c r="TAS71" s="486"/>
      <c r="TAT71" s="486"/>
      <c r="TAU71" s="486"/>
      <c r="TAV71" s="486"/>
      <c r="TAW71" s="486"/>
      <c r="TAX71" s="486"/>
      <c r="TAY71" s="486"/>
      <c r="TAZ71" s="487"/>
      <c r="TBA71" s="486"/>
      <c r="TBB71" s="486"/>
      <c r="TBC71" s="486"/>
      <c r="TBD71" s="486"/>
      <c r="TBE71" s="486"/>
      <c r="TBF71" s="486"/>
      <c r="TBG71" s="486"/>
      <c r="TBH71" s="486"/>
      <c r="TBI71" s="486"/>
      <c r="TBJ71" s="486"/>
      <c r="TBK71" s="486"/>
      <c r="TBL71" s="486"/>
      <c r="TBM71" s="486"/>
      <c r="TBN71" s="486"/>
      <c r="TBO71" s="486"/>
      <c r="TBP71" s="486"/>
      <c r="TBQ71" s="486"/>
      <c r="TBR71" s="486"/>
      <c r="TBS71" s="486"/>
      <c r="TBT71" s="486"/>
      <c r="TBU71" s="486"/>
      <c r="TBV71" s="486"/>
      <c r="TBW71" s="486"/>
      <c r="TBX71" s="486"/>
      <c r="TBY71" s="486"/>
      <c r="TBZ71" s="486"/>
      <c r="TCA71" s="486"/>
      <c r="TCB71" s="486"/>
      <c r="TCC71" s="487"/>
      <c r="TCD71" s="486"/>
      <c r="TCE71" s="486"/>
      <c r="TCF71" s="486"/>
      <c r="TCG71" s="486"/>
      <c r="TCH71" s="486"/>
      <c r="TCI71" s="486"/>
      <c r="TCJ71" s="486"/>
      <c r="TCK71" s="486"/>
      <c r="TCL71" s="486"/>
      <c r="TCM71" s="486"/>
      <c r="TCN71" s="486"/>
      <c r="TCO71" s="486"/>
      <c r="TCP71" s="486"/>
      <c r="TCQ71" s="486"/>
      <c r="TCR71" s="486"/>
      <c r="TCS71" s="486"/>
      <c r="TCT71" s="486"/>
      <c r="TCU71" s="486"/>
      <c r="TCV71" s="486"/>
      <c r="TCW71" s="486"/>
      <c r="TCX71" s="486"/>
      <c r="TCY71" s="486"/>
      <c r="TCZ71" s="486"/>
      <c r="TDA71" s="486"/>
      <c r="TDB71" s="486"/>
      <c r="TDC71" s="486"/>
      <c r="TDD71" s="486"/>
      <c r="TDE71" s="486"/>
      <c r="TDF71" s="487"/>
      <c r="TDG71" s="486"/>
      <c r="TDH71" s="486"/>
      <c r="TDI71" s="486"/>
      <c r="TDJ71" s="486"/>
      <c r="TDK71" s="486"/>
      <c r="TDL71" s="486"/>
      <c r="TDM71" s="486"/>
      <c r="TDN71" s="486"/>
      <c r="TDO71" s="486"/>
      <c r="TDP71" s="486"/>
      <c r="TDQ71" s="486"/>
      <c r="TDR71" s="486"/>
      <c r="TDS71" s="486"/>
      <c r="TDT71" s="486"/>
      <c r="TDU71" s="486"/>
      <c r="TDV71" s="486"/>
      <c r="TDW71" s="486"/>
      <c r="TDX71" s="486"/>
      <c r="TDY71" s="486"/>
      <c r="TDZ71" s="486"/>
      <c r="TEA71" s="486"/>
      <c r="TEB71" s="486"/>
      <c r="TEC71" s="486"/>
      <c r="TED71" s="486"/>
      <c r="TEE71" s="486"/>
      <c r="TEF71" s="486"/>
      <c r="TEG71" s="486"/>
      <c r="TEH71" s="486"/>
      <c r="TEI71" s="487"/>
      <c r="TEJ71" s="486"/>
      <c r="TEK71" s="486"/>
      <c r="TEL71" s="486"/>
      <c r="TEM71" s="486"/>
      <c r="TEN71" s="486"/>
      <c r="TEO71" s="486"/>
      <c r="TEP71" s="486"/>
      <c r="TEQ71" s="486"/>
      <c r="TER71" s="486"/>
      <c r="TES71" s="486"/>
      <c r="TET71" s="486"/>
      <c r="TEU71" s="486"/>
      <c r="TEV71" s="486"/>
      <c r="TEW71" s="486"/>
      <c r="TEX71" s="486"/>
      <c r="TEY71" s="486"/>
      <c r="TEZ71" s="486"/>
      <c r="TFA71" s="486"/>
      <c r="TFB71" s="486"/>
      <c r="TFC71" s="486"/>
      <c r="TFD71" s="486"/>
      <c r="TFE71" s="486"/>
      <c r="TFF71" s="486"/>
      <c r="TFG71" s="486"/>
      <c r="TFH71" s="486"/>
      <c r="TFI71" s="486"/>
      <c r="TFJ71" s="486"/>
      <c r="TFK71" s="486"/>
      <c r="TFL71" s="487"/>
      <c r="TFM71" s="486"/>
      <c r="TFN71" s="486"/>
      <c r="TFO71" s="486"/>
      <c r="TFP71" s="486"/>
      <c r="TFQ71" s="486"/>
      <c r="TFR71" s="486"/>
      <c r="TFS71" s="486"/>
      <c r="TFT71" s="486"/>
      <c r="TFU71" s="486"/>
      <c r="TFV71" s="486"/>
      <c r="TFW71" s="486"/>
      <c r="TFX71" s="486"/>
      <c r="TFY71" s="486"/>
      <c r="TFZ71" s="486"/>
      <c r="TGA71" s="486"/>
      <c r="TGB71" s="486"/>
      <c r="TGC71" s="486"/>
      <c r="TGD71" s="486"/>
      <c r="TGE71" s="486"/>
      <c r="TGF71" s="486"/>
      <c r="TGG71" s="486"/>
      <c r="TGH71" s="486"/>
      <c r="TGI71" s="486"/>
      <c r="TGJ71" s="486"/>
      <c r="TGK71" s="486"/>
      <c r="TGL71" s="486"/>
      <c r="TGM71" s="486"/>
      <c r="TGN71" s="486"/>
      <c r="TGO71" s="487"/>
      <c r="TGP71" s="486"/>
      <c r="TGQ71" s="486"/>
      <c r="TGR71" s="486"/>
      <c r="TGS71" s="486"/>
      <c r="TGT71" s="486"/>
      <c r="TGU71" s="486"/>
      <c r="TGV71" s="486"/>
      <c r="TGW71" s="486"/>
      <c r="TGX71" s="486"/>
      <c r="TGY71" s="486"/>
      <c r="TGZ71" s="486"/>
      <c r="THA71" s="486"/>
      <c r="THB71" s="486"/>
      <c r="THC71" s="486"/>
      <c r="THD71" s="486"/>
      <c r="THE71" s="486"/>
      <c r="THF71" s="486"/>
      <c r="THG71" s="486"/>
      <c r="THH71" s="486"/>
      <c r="THI71" s="486"/>
      <c r="THJ71" s="486"/>
      <c r="THK71" s="486"/>
      <c r="THL71" s="486"/>
      <c r="THM71" s="486"/>
      <c r="THN71" s="486"/>
      <c r="THO71" s="486"/>
      <c r="THP71" s="486"/>
      <c r="THQ71" s="486"/>
      <c r="THR71" s="487"/>
      <c r="THS71" s="486"/>
      <c r="THT71" s="486"/>
      <c r="THU71" s="486"/>
      <c r="THV71" s="486"/>
      <c r="THW71" s="486"/>
      <c r="THX71" s="486"/>
      <c r="THY71" s="486"/>
      <c r="THZ71" s="486"/>
      <c r="TIA71" s="486"/>
      <c r="TIB71" s="486"/>
      <c r="TIC71" s="486"/>
      <c r="TID71" s="486"/>
      <c r="TIE71" s="486"/>
      <c r="TIF71" s="486"/>
      <c r="TIG71" s="486"/>
      <c r="TIH71" s="486"/>
      <c r="TII71" s="486"/>
      <c r="TIJ71" s="486"/>
      <c r="TIK71" s="486"/>
      <c r="TIL71" s="486"/>
      <c r="TIM71" s="486"/>
      <c r="TIN71" s="486"/>
      <c r="TIO71" s="486"/>
      <c r="TIP71" s="486"/>
      <c r="TIQ71" s="486"/>
      <c r="TIR71" s="486"/>
      <c r="TIS71" s="486"/>
      <c r="TIT71" s="486"/>
      <c r="TIU71" s="487"/>
      <c r="TIV71" s="486"/>
      <c r="TIW71" s="486"/>
      <c r="TIX71" s="486"/>
      <c r="TIY71" s="486"/>
      <c r="TIZ71" s="486"/>
      <c r="TJA71" s="486"/>
      <c r="TJB71" s="486"/>
      <c r="TJC71" s="486"/>
      <c r="TJD71" s="486"/>
      <c r="TJE71" s="486"/>
      <c r="TJF71" s="486"/>
      <c r="TJG71" s="486"/>
      <c r="TJH71" s="486"/>
      <c r="TJI71" s="486"/>
      <c r="TJJ71" s="486"/>
      <c r="TJK71" s="486"/>
      <c r="TJL71" s="486"/>
      <c r="TJM71" s="486"/>
      <c r="TJN71" s="486"/>
      <c r="TJO71" s="486"/>
      <c r="TJP71" s="486"/>
      <c r="TJQ71" s="486"/>
      <c r="TJR71" s="486"/>
      <c r="TJS71" s="486"/>
      <c r="TJT71" s="486"/>
      <c r="TJU71" s="486"/>
      <c r="TJV71" s="486"/>
      <c r="TJW71" s="486"/>
      <c r="TJX71" s="487"/>
      <c r="TJY71" s="486"/>
      <c r="TJZ71" s="486"/>
      <c r="TKA71" s="486"/>
      <c r="TKB71" s="486"/>
      <c r="TKC71" s="486"/>
      <c r="TKD71" s="486"/>
      <c r="TKE71" s="486"/>
      <c r="TKF71" s="486"/>
      <c r="TKG71" s="486"/>
      <c r="TKH71" s="486"/>
      <c r="TKI71" s="486"/>
      <c r="TKJ71" s="486"/>
      <c r="TKK71" s="486"/>
      <c r="TKL71" s="486"/>
      <c r="TKM71" s="486"/>
      <c r="TKN71" s="486"/>
      <c r="TKO71" s="486"/>
      <c r="TKP71" s="486"/>
      <c r="TKQ71" s="486"/>
      <c r="TKR71" s="486"/>
      <c r="TKS71" s="486"/>
      <c r="TKT71" s="486"/>
      <c r="TKU71" s="486"/>
      <c r="TKV71" s="486"/>
      <c r="TKW71" s="486"/>
      <c r="TKX71" s="486"/>
      <c r="TKY71" s="486"/>
      <c r="TKZ71" s="486"/>
      <c r="TLA71" s="487"/>
      <c r="TLB71" s="486"/>
      <c r="TLC71" s="486"/>
      <c r="TLD71" s="486"/>
      <c r="TLE71" s="486"/>
      <c r="TLF71" s="486"/>
      <c r="TLG71" s="486"/>
      <c r="TLH71" s="486"/>
      <c r="TLI71" s="486"/>
      <c r="TLJ71" s="486"/>
      <c r="TLK71" s="486"/>
      <c r="TLL71" s="486"/>
      <c r="TLM71" s="486"/>
      <c r="TLN71" s="486"/>
      <c r="TLO71" s="486"/>
      <c r="TLP71" s="486"/>
      <c r="TLQ71" s="486"/>
      <c r="TLR71" s="486"/>
      <c r="TLS71" s="486"/>
      <c r="TLT71" s="486"/>
      <c r="TLU71" s="486"/>
      <c r="TLV71" s="486"/>
      <c r="TLW71" s="486"/>
      <c r="TLX71" s="486"/>
      <c r="TLY71" s="486"/>
      <c r="TLZ71" s="486"/>
      <c r="TMA71" s="486"/>
      <c r="TMB71" s="486"/>
      <c r="TMC71" s="486"/>
      <c r="TMD71" s="487"/>
      <c r="TME71" s="486"/>
      <c r="TMF71" s="486"/>
      <c r="TMG71" s="486"/>
      <c r="TMH71" s="486"/>
      <c r="TMI71" s="486"/>
      <c r="TMJ71" s="486"/>
      <c r="TMK71" s="486"/>
      <c r="TML71" s="486"/>
      <c r="TMM71" s="486"/>
      <c r="TMN71" s="486"/>
      <c r="TMO71" s="486"/>
      <c r="TMP71" s="486"/>
      <c r="TMQ71" s="486"/>
      <c r="TMR71" s="486"/>
      <c r="TMS71" s="486"/>
      <c r="TMT71" s="486"/>
      <c r="TMU71" s="486"/>
      <c r="TMV71" s="486"/>
      <c r="TMW71" s="486"/>
      <c r="TMX71" s="486"/>
      <c r="TMY71" s="486"/>
      <c r="TMZ71" s="486"/>
      <c r="TNA71" s="486"/>
      <c r="TNB71" s="486"/>
      <c r="TNC71" s="486"/>
      <c r="TND71" s="486"/>
      <c r="TNE71" s="486"/>
      <c r="TNF71" s="486"/>
      <c r="TNG71" s="487"/>
      <c r="TNH71" s="486"/>
      <c r="TNI71" s="486"/>
      <c r="TNJ71" s="486"/>
      <c r="TNK71" s="486"/>
      <c r="TNL71" s="486"/>
      <c r="TNM71" s="486"/>
      <c r="TNN71" s="486"/>
      <c r="TNO71" s="486"/>
      <c r="TNP71" s="486"/>
      <c r="TNQ71" s="486"/>
      <c r="TNR71" s="486"/>
      <c r="TNS71" s="486"/>
      <c r="TNT71" s="486"/>
      <c r="TNU71" s="486"/>
      <c r="TNV71" s="486"/>
      <c r="TNW71" s="486"/>
      <c r="TNX71" s="486"/>
      <c r="TNY71" s="486"/>
      <c r="TNZ71" s="486"/>
      <c r="TOA71" s="486"/>
      <c r="TOB71" s="486"/>
      <c r="TOC71" s="486"/>
      <c r="TOD71" s="486"/>
      <c r="TOE71" s="486"/>
      <c r="TOF71" s="486"/>
      <c r="TOG71" s="486"/>
      <c r="TOH71" s="486"/>
      <c r="TOI71" s="486"/>
      <c r="TOJ71" s="487"/>
      <c r="TOK71" s="486"/>
      <c r="TOL71" s="486"/>
      <c r="TOM71" s="486"/>
      <c r="TON71" s="486"/>
      <c r="TOO71" s="486"/>
      <c r="TOP71" s="486"/>
      <c r="TOQ71" s="486"/>
      <c r="TOR71" s="486"/>
      <c r="TOS71" s="486"/>
      <c r="TOT71" s="486"/>
      <c r="TOU71" s="486"/>
      <c r="TOV71" s="486"/>
      <c r="TOW71" s="486"/>
      <c r="TOX71" s="486"/>
      <c r="TOY71" s="486"/>
      <c r="TOZ71" s="486"/>
      <c r="TPA71" s="486"/>
      <c r="TPB71" s="486"/>
      <c r="TPC71" s="486"/>
      <c r="TPD71" s="486"/>
      <c r="TPE71" s="486"/>
      <c r="TPF71" s="486"/>
      <c r="TPG71" s="486"/>
      <c r="TPH71" s="486"/>
      <c r="TPI71" s="486"/>
      <c r="TPJ71" s="486"/>
      <c r="TPK71" s="486"/>
      <c r="TPL71" s="486"/>
      <c r="TPM71" s="487"/>
      <c r="TPN71" s="486"/>
      <c r="TPO71" s="486"/>
      <c r="TPP71" s="486"/>
      <c r="TPQ71" s="486"/>
      <c r="TPR71" s="486"/>
      <c r="TPS71" s="486"/>
      <c r="TPT71" s="486"/>
      <c r="TPU71" s="486"/>
      <c r="TPV71" s="486"/>
      <c r="TPW71" s="486"/>
      <c r="TPX71" s="486"/>
      <c r="TPY71" s="486"/>
      <c r="TPZ71" s="486"/>
      <c r="TQA71" s="486"/>
      <c r="TQB71" s="486"/>
      <c r="TQC71" s="486"/>
      <c r="TQD71" s="486"/>
      <c r="TQE71" s="486"/>
      <c r="TQF71" s="486"/>
      <c r="TQG71" s="486"/>
      <c r="TQH71" s="486"/>
      <c r="TQI71" s="486"/>
      <c r="TQJ71" s="486"/>
      <c r="TQK71" s="486"/>
      <c r="TQL71" s="486"/>
      <c r="TQM71" s="486"/>
      <c r="TQN71" s="486"/>
      <c r="TQO71" s="486"/>
      <c r="TQP71" s="487"/>
      <c r="TQQ71" s="486"/>
      <c r="TQR71" s="486"/>
      <c r="TQS71" s="486"/>
      <c r="TQT71" s="486"/>
      <c r="TQU71" s="486"/>
      <c r="TQV71" s="486"/>
      <c r="TQW71" s="486"/>
      <c r="TQX71" s="486"/>
      <c r="TQY71" s="486"/>
      <c r="TQZ71" s="486"/>
      <c r="TRA71" s="486"/>
      <c r="TRB71" s="486"/>
      <c r="TRC71" s="486"/>
      <c r="TRD71" s="486"/>
      <c r="TRE71" s="486"/>
      <c r="TRF71" s="486"/>
      <c r="TRG71" s="486"/>
      <c r="TRH71" s="486"/>
      <c r="TRI71" s="486"/>
      <c r="TRJ71" s="486"/>
      <c r="TRK71" s="486"/>
      <c r="TRL71" s="486"/>
      <c r="TRM71" s="486"/>
      <c r="TRN71" s="486"/>
      <c r="TRO71" s="486"/>
      <c r="TRP71" s="486"/>
      <c r="TRQ71" s="486"/>
      <c r="TRR71" s="486"/>
      <c r="TRS71" s="487"/>
      <c r="TRT71" s="486"/>
      <c r="TRU71" s="486"/>
      <c r="TRV71" s="486"/>
      <c r="TRW71" s="486"/>
      <c r="TRX71" s="486"/>
      <c r="TRY71" s="486"/>
      <c r="TRZ71" s="486"/>
      <c r="TSA71" s="486"/>
      <c r="TSB71" s="486"/>
      <c r="TSC71" s="486"/>
      <c r="TSD71" s="486"/>
      <c r="TSE71" s="486"/>
      <c r="TSF71" s="486"/>
      <c r="TSG71" s="486"/>
      <c r="TSH71" s="486"/>
      <c r="TSI71" s="486"/>
      <c r="TSJ71" s="486"/>
      <c r="TSK71" s="486"/>
      <c r="TSL71" s="486"/>
      <c r="TSM71" s="486"/>
      <c r="TSN71" s="486"/>
      <c r="TSO71" s="486"/>
      <c r="TSP71" s="486"/>
      <c r="TSQ71" s="486"/>
      <c r="TSR71" s="486"/>
      <c r="TSS71" s="486"/>
      <c r="TST71" s="486"/>
      <c r="TSU71" s="486"/>
      <c r="TSV71" s="487"/>
      <c r="TSW71" s="486"/>
      <c r="TSX71" s="486"/>
      <c r="TSY71" s="486"/>
      <c r="TSZ71" s="486"/>
      <c r="TTA71" s="486"/>
      <c r="TTB71" s="486"/>
      <c r="TTC71" s="486"/>
      <c r="TTD71" s="486"/>
      <c r="TTE71" s="486"/>
      <c r="TTF71" s="486"/>
      <c r="TTG71" s="486"/>
      <c r="TTH71" s="486"/>
      <c r="TTI71" s="486"/>
      <c r="TTJ71" s="486"/>
      <c r="TTK71" s="486"/>
      <c r="TTL71" s="486"/>
      <c r="TTM71" s="486"/>
      <c r="TTN71" s="486"/>
      <c r="TTO71" s="486"/>
      <c r="TTP71" s="486"/>
      <c r="TTQ71" s="486"/>
      <c r="TTR71" s="486"/>
      <c r="TTS71" s="486"/>
      <c r="TTT71" s="486"/>
      <c r="TTU71" s="486"/>
      <c r="TTV71" s="486"/>
      <c r="TTW71" s="486"/>
      <c r="TTX71" s="486"/>
      <c r="TTY71" s="487"/>
      <c r="TTZ71" s="486"/>
      <c r="TUA71" s="486"/>
      <c r="TUB71" s="486"/>
      <c r="TUC71" s="486"/>
      <c r="TUD71" s="486"/>
      <c r="TUE71" s="486"/>
      <c r="TUF71" s="486"/>
      <c r="TUG71" s="486"/>
      <c r="TUH71" s="486"/>
      <c r="TUI71" s="486"/>
      <c r="TUJ71" s="486"/>
      <c r="TUK71" s="486"/>
      <c r="TUL71" s="486"/>
      <c r="TUM71" s="486"/>
      <c r="TUN71" s="486"/>
      <c r="TUO71" s="486"/>
      <c r="TUP71" s="486"/>
      <c r="TUQ71" s="486"/>
      <c r="TUR71" s="486"/>
      <c r="TUS71" s="486"/>
      <c r="TUT71" s="486"/>
      <c r="TUU71" s="486"/>
      <c r="TUV71" s="486"/>
      <c r="TUW71" s="486"/>
      <c r="TUX71" s="486"/>
      <c r="TUY71" s="486"/>
      <c r="TUZ71" s="486"/>
      <c r="TVA71" s="486"/>
      <c r="TVB71" s="487"/>
      <c r="TVC71" s="486"/>
      <c r="TVD71" s="486"/>
      <c r="TVE71" s="486"/>
      <c r="TVF71" s="486"/>
      <c r="TVG71" s="486"/>
      <c r="TVH71" s="486"/>
      <c r="TVI71" s="486"/>
      <c r="TVJ71" s="486"/>
      <c r="TVK71" s="486"/>
      <c r="TVL71" s="486"/>
      <c r="TVM71" s="486"/>
      <c r="TVN71" s="486"/>
      <c r="TVO71" s="486"/>
      <c r="TVP71" s="486"/>
      <c r="TVQ71" s="486"/>
      <c r="TVR71" s="486"/>
      <c r="TVS71" s="486"/>
      <c r="TVT71" s="486"/>
      <c r="TVU71" s="486"/>
      <c r="TVV71" s="486"/>
      <c r="TVW71" s="486"/>
      <c r="TVX71" s="486"/>
      <c r="TVY71" s="486"/>
      <c r="TVZ71" s="486"/>
      <c r="TWA71" s="486"/>
      <c r="TWB71" s="486"/>
      <c r="TWC71" s="486"/>
      <c r="TWD71" s="486"/>
      <c r="TWE71" s="487"/>
      <c r="TWF71" s="486"/>
      <c r="TWG71" s="486"/>
      <c r="TWH71" s="486"/>
      <c r="TWI71" s="486"/>
      <c r="TWJ71" s="486"/>
      <c r="TWK71" s="486"/>
      <c r="TWL71" s="486"/>
      <c r="TWM71" s="486"/>
      <c r="TWN71" s="486"/>
      <c r="TWO71" s="486"/>
      <c r="TWP71" s="486"/>
      <c r="TWQ71" s="486"/>
      <c r="TWR71" s="486"/>
      <c r="TWS71" s="486"/>
      <c r="TWT71" s="486"/>
      <c r="TWU71" s="486"/>
      <c r="TWV71" s="486"/>
      <c r="TWW71" s="486"/>
      <c r="TWX71" s="486"/>
      <c r="TWY71" s="486"/>
      <c r="TWZ71" s="486"/>
      <c r="TXA71" s="486"/>
      <c r="TXB71" s="486"/>
      <c r="TXC71" s="486"/>
      <c r="TXD71" s="486"/>
      <c r="TXE71" s="486"/>
      <c r="TXF71" s="486"/>
      <c r="TXG71" s="486"/>
      <c r="TXH71" s="487"/>
      <c r="TXI71" s="486"/>
      <c r="TXJ71" s="486"/>
      <c r="TXK71" s="486"/>
      <c r="TXL71" s="486"/>
      <c r="TXM71" s="486"/>
      <c r="TXN71" s="486"/>
      <c r="TXO71" s="486"/>
      <c r="TXP71" s="486"/>
      <c r="TXQ71" s="486"/>
      <c r="TXR71" s="486"/>
      <c r="TXS71" s="486"/>
      <c r="TXT71" s="486"/>
      <c r="TXU71" s="486"/>
      <c r="TXV71" s="486"/>
      <c r="TXW71" s="486"/>
      <c r="TXX71" s="486"/>
      <c r="TXY71" s="486"/>
      <c r="TXZ71" s="486"/>
      <c r="TYA71" s="486"/>
      <c r="TYB71" s="486"/>
      <c r="TYC71" s="486"/>
      <c r="TYD71" s="486"/>
      <c r="TYE71" s="486"/>
      <c r="TYF71" s="486"/>
      <c r="TYG71" s="486"/>
      <c r="TYH71" s="486"/>
      <c r="TYI71" s="486"/>
      <c r="TYJ71" s="486"/>
      <c r="TYK71" s="487"/>
      <c r="TYL71" s="486"/>
      <c r="TYM71" s="486"/>
      <c r="TYN71" s="486"/>
      <c r="TYO71" s="486"/>
      <c r="TYP71" s="486"/>
      <c r="TYQ71" s="486"/>
      <c r="TYR71" s="486"/>
      <c r="TYS71" s="486"/>
      <c r="TYT71" s="486"/>
      <c r="TYU71" s="486"/>
      <c r="TYV71" s="486"/>
      <c r="TYW71" s="486"/>
      <c r="TYX71" s="486"/>
      <c r="TYY71" s="486"/>
      <c r="TYZ71" s="486"/>
      <c r="TZA71" s="486"/>
      <c r="TZB71" s="486"/>
      <c r="TZC71" s="486"/>
      <c r="TZD71" s="486"/>
      <c r="TZE71" s="486"/>
      <c r="TZF71" s="486"/>
      <c r="TZG71" s="486"/>
      <c r="TZH71" s="486"/>
      <c r="TZI71" s="486"/>
      <c r="TZJ71" s="486"/>
      <c r="TZK71" s="486"/>
      <c r="TZL71" s="486"/>
      <c r="TZM71" s="486"/>
      <c r="TZN71" s="487"/>
      <c r="TZO71" s="486"/>
      <c r="TZP71" s="486"/>
      <c r="TZQ71" s="486"/>
      <c r="TZR71" s="486"/>
      <c r="TZS71" s="486"/>
      <c r="TZT71" s="486"/>
      <c r="TZU71" s="486"/>
      <c r="TZV71" s="486"/>
      <c r="TZW71" s="486"/>
      <c r="TZX71" s="486"/>
      <c r="TZY71" s="486"/>
      <c r="TZZ71" s="486"/>
      <c r="UAA71" s="486"/>
      <c r="UAB71" s="486"/>
      <c r="UAC71" s="486"/>
      <c r="UAD71" s="486"/>
      <c r="UAE71" s="486"/>
      <c r="UAF71" s="486"/>
      <c r="UAG71" s="486"/>
      <c r="UAH71" s="486"/>
      <c r="UAI71" s="486"/>
      <c r="UAJ71" s="486"/>
      <c r="UAK71" s="486"/>
      <c r="UAL71" s="486"/>
      <c r="UAM71" s="486"/>
      <c r="UAN71" s="486"/>
      <c r="UAO71" s="486"/>
      <c r="UAP71" s="486"/>
      <c r="UAQ71" s="487"/>
      <c r="UAR71" s="486"/>
      <c r="UAS71" s="486"/>
      <c r="UAT71" s="486"/>
      <c r="UAU71" s="486"/>
      <c r="UAV71" s="486"/>
      <c r="UAW71" s="486"/>
      <c r="UAX71" s="486"/>
      <c r="UAY71" s="486"/>
      <c r="UAZ71" s="486"/>
      <c r="UBA71" s="486"/>
      <c r="UBB71" s="486"/>
      <c r="UBC71" s="486"/>
      <c r="UBD71" s="486"/>
      <c r="UBE71" s="486"/>
      <c r="UBF71" s="486"/>
      <c r="UBG71" s="486"/>
      <c r="UBH71" s="486"/>
      <c r="UBI71" s="486"/>
      <c r="UBJ71" s="486"/>
      <c r="UBK71" s="486"/>
      <c r="UBL71" s="486"/>
      <c r="UBM71" s="486"/>
      <c r="UBN71" s="486"/>
      <c r="UBO71" s="486"/>
      <c r="UBP71" s="486"/>
      <c r="UBQ71" s="486"/>
      <c r="UBR71" s="486"/>
      <c r="UBS71" s="486"/>
      <c r="UBT71" s="487"/>
      <c r="UBU71" s="486"/>
      <c r="UBV71" s="486"/>
      <c r="UBW71" s="486"/>
      <c r="UBX71" s="486"/>
      <c r="UBY71" s="486"/>
      <c r="UBZ71" s="486"/>
      <c r="UCA71" s="486"/>
      <c r="UCB71" s="486"/>
      <c r="UCC71" s="486"/>
      <c r="UCD71" s="486"/>
      <c r="UCE71" s="486"/>
      <c r="UCF71" s="486"/>
      <c r="UCG71" s="486"/>
      <c r="UCH71" s="486"/>
      <c r="UCI71" s="486"/>
      <c r="UCJ71" s="486"/>
      <c r="UCK71" s="486"/>
      <c r="UCL71" s="486"/>
      <c r="UCM71" s="486"/>
      <c r="UCN71" s="486"/>
      <c r="UCO71" s="486"/>
      <c r="UCP71" s="486"/>
      <c r="UCQ71" s="486"/>
      <c r="UCR71" s="486"/>
      <c r="UCS71" s="486"/>
      <c r="UCT71" s="486"/>
      <c r="UCU71" s="486"/>
      <c r="UCV71" s="486"/>
      <c r="UCW71" s="487"/>
      <c r="UCX71" s="486"/>
      <c r="UCY71" s="486"/>
      <c r="UCZ71" s="486"/>
      <c r="UDA71" s="486"/>
      <c r="UDB71" s="486"/>
      <c r="UDC71" s="486"/>
      <c r="UDD71" s="486"/>
      <c r="UDE71" s="486"/>
      <c r="UDF71" s="486"/>
      <c r="UDG71" s="486"/>
      <c r="UDH71" s="486"/>
      <c r="UDI71" s="486"/>
      <c r="UDJ71" s="486"/>
      <c r="UDK71" s="486"/>
      <c r="UDL71" s="486"/>
      <c r="UDM71" s="486"/>
      <c r="UDN71" s="486"/>
      <c r="UDO71" s="486"/>
      <c r="UDP71" s="486"/>
      <c r="UDQ71" s="486"/>
      <c r="UDR71" s="486"/>
      <c r="UDS71" s="486"/>
      <c r="UDT71" s="486"/>
      <c r="UDU71" s="486"/>
      <c r="UDV71" s="486"/>
      <c r="UDW71" s="486"/>
      <c r="UDX71" s="486"/>
      <c r="UDY71" s="486"/>
      <c r="UDZ71" s="487"/>
      <c r="UEA71" s="486"/>
      <c r="UEB71" s="486"/>
      <c r="UEC71" s="486"/>
      <c r="UED71" s="486"/>
      <c r="UEE71" s="486"/>
      <c r="UEF71" s="486"/>
      <c r="UEG71" s="486"/>
      <c r="UEH71" s="486"/>
      <c r="UEI71" s="486"/>
      <c r="UEJ71" s="486"/>
      <c r="UEK71" s="486"/>
      <c r="UEL71" s="486"/>
      <c r="UEM71" s="486"/>
      <c r="UEN71" s="486"/>
      <c r="UEO71" s="486"/>
      <c r="UEP71" s="486"/>
      <c r="UEQ71" s="486"/>
      <c r="UER71" s="486"/>
      <c r="UES71" s="486"/>
      <c r="UET71" s="486"/>
      <c r="UEU71" s="486"/>
      <c r="UEV71" s="486"/>
      <c r="UEW71" s="486"/>
      <c r="UEX71" s="486"/>
      <c r="UEY71" s="486"/>
      <c r="UEZ71" s="486"/>
      <c r="UFA71" s="486"/>
      <c r="UFB71" s="486"/>
      <c r="UFC71" s="487"/>
      <c r="UFD71" s="486"/>
      <c r="UFE71" s="486"/>
      <c r="UFF71" s="486"/>
      <c r="UFG71" s="486"/>
      <c r="UFH71" s="486"/>
      <c r="UFI71" s="486"/>
      <c r="UFJ71" s="486"/>
      <c r="UFK71" s="486"/>
      <c r="UFL71" s="486"/>
      <c r="UFM71" s="486"/>
      <c r="UFN71" s="486"/>
      <c r="UFO71" s="486"/>
      <c r="UFP71" s="486"/>
      <c r="UFQ71" s="486"/>
      <c r="UFR71" s="486"/>
      <c r="UFS71" s="486"/>
      <c r="UFT71" s="486"/>
      <c r="UFU71" s="486"/>
      <c r="UFV71" s="486"/>
      <c r="UFW71" s="486"/>
      <c r="UFX71" s="486"/>
      <c r="UFY71" s="486"/>
      <c r="UFZ71" s="486"/>
      <c r="UGA71" s="486"/>
      <c r="UGB71" s="486"/>
      <c r="UGC71" s="486"/>
      <c r="UGD71" s="486"/>
      <c r="UGE71" s="486"/>
      <c r="UGF71" s="487"/>
      <c r="UGG71" s="486"/>
      <c r="UGH71" s="486"/>
      <c r="UGI71" s="486"/>
      <c r="UGJ71" s="486"/>
      <c r="UGK71" s="486"/>
      <c r="UGL71" s="486"/>
      <c r="UGM71" s="486"/>
      <c r="UGN71" s="486"/>
      <c r="UGO71" s="486"/>
      <c r="UGP71" s="486"/>
      <c r="UGQ71" s="486"/>
      <c r="UGR71" s="486"/>
      <c r="UGS71" s="486"/>
      <c r="UGT71" s="486"/>
      <c r="UGU71" s="486"/>
      <c r="UGV71" s="486"/>
      <c r="UGW71" s="486"/>
      <c r="UGX71" s="486"/>
      <c r="UGY71" s="486"/>
      <c r="UGZ71" s="486"/>
      <c r="UHA71" s="486"/>
      <c r="UHB71" s="486"/>
      <c r="UHC71" s="486"/>
      <c r="UHD71" s="486"/>
      <c r="UHE71" s="486"/>
      <c r="UHF71" s="486"/>
      <c r="UHG71" s="486"/>
      <c r="UHH71" s="486"/>
      <c r="UHI71" s="487"/>
      <c r="UHJ71" s="486"/>
      <c r="UHK71" s="486"/>
      <c r="UHL71" s="486"/>
      <c r="UHM71" s="486"/>
      <c r="UHN71" s="486"/>
      <c r="UHO71" s="486"/>
      <c r="UHP71" s="486"/>
      <c r="UHQ71" s="486"/>
      <c r="UHR71" s="486"/>
      <c r="UHS71" s="486"/>
      <c r="UHT71" s="486"/>
      <c r="UHU71" s="486"/>
      <c r="UHV71" s="486"/>
      <c r="UHW71" s="486"/>
      <c r="UHX71" s="486"/>
      <c r="UHY71" s="486"/>
      <c r="UHZ71" s="486"/>
      <c r="UIA71" s="486"/>
      <c r="UIB71" s="486"/>
      <c r="UIC71" s="486"/>
      <c r="UID71" s="486"/>
      <c r="UIE71" s="486"/>
      <c r="UIF71" s="486"/>
      <c r="UIG71" s="486"/>
      <c r="UIH71" s="486"/>
      <c r="UII71" s="486"/>
      <c r="UIJ71" s="486"/>
      <c r="UIK71" s="486"/>
      <c r="UIL71" s="487"/>
      <c r="UIM71" s="486"/>
      <c r="UIN71" s="486"/>
      <c r="UIO71" s="486"/>
      <c r="UIP71" s="486"/>
      <c r="UIQ71" s="486"/>
      <c r="UIR71" s="486"/>
      <c r="UIS71" s="486"/>
      <c r="UIT71" s="486"/>
      <c r="UIU71" s="486"/>
      <c r="UIV71" s="486"/>
      <c r="UIW71" s="486"/>
      <c r="UIX71" s="486"/>
      <c r="UIY71" s="486"/>
      <c r="UIZ71" s="486"/>
      <c r="UJA71" s="486"/>
      <c r="UJB71" s="486"/>
      <c r="UJC71" s="486"/>
      <c r="UJD71" s="486"/>
      <c r="UJE71" s="486"/>
      <c r="UJF71" s="486"/>
      <c r="UJG71" s="486"/>
      <c r="UJH71" s="486"/>
      <c r="UJI71" s="486"/>
      <c r="UJJ71" s="486"/>
      <c r="UJK71" s="486"/>
      <c r="UJL71" s="486"/>
      <c r="UJM71" s="486"/>
      <c r="UJN71" s="486"/>
      <c r="UJO71" s="487"/>
      <c r="UJP71" s="486"/>
      <c r="UJQ71" s="486"/>
      <c r="UJR71" s="486"/>
      <c r="UJS71" s="486"/>
      <c r="UJT71" s="486"/>
      <c r="UJU71" s="486"/>
      <c r="UJV71" s="486"/>
      <c r="UJW71" s="486"/>
      <c r="UJX71" s="486"/>
      <c r="UJY71" s="486"/>
      <c r="UJZ71" s="486"/>
      <c r="UKA71" s="486"/>
      <c r="UKB71" s="486"/>
      <c r="UKC71" s="486"/>
      <c r="UKD71" s="486"/>
      <c r="UKE71" s="486"/>
      <c r="UKF71" s="486"/>
      <c r="UKG71" s="486"/>
      <c r="UKH71" s="486"/>
      <c r="UKI71" s="486"/>
      <c r="UKJ71" s="486"/>
      <c r="UKK71" s="486"/>
      <c r="UKL71" s="486"/>
      <c r="UKM71" s="486"/>
      <c r="UKN71" s="486"/>
      <c r="UKO71" s="486"/>
      <c r="UKP71" s="486"/>
      <c r="UKQ71" s="486"/>
      <c r="UKR71" s="487"/>
      <c r="UKS71" s="486"/>
      <c r="UKT71" s="486"/>
      <c r="UKU71" s="486"/>
      <c r="UKV71" s="486"/>
      <c r="UKW71" s="486"/>
      <c r="UKX71" s="486"/>
      <c r="UKY71" s="486"/>
      <c r="UKZ71" s="486"/>
      <c r="ULA71" s="486"/>
      <c r="ULB71" s="486"/>
      <c r="ULC71" s="486"/>
      <c r="ULD71" s="486"/>
      <c r="ULE71" s="486"/>
      <c r="ULF71" s="486"/>
      <c r="ULG71" s="486"/>
      <c r="ULH71" s="486"/>
      <c r="ULI71" s="486"/>
      <c r="ULJ71" s="486"/>
      <c r="ULK71" s="486"/>
      <c r="ULL71" s="486"/>
      <c r="ULM71" s="486"/>
      <c r="ULN71" s="486"/>
      <c r="ULO71" s="486"/>
      <c r="ULP71" s="486"/>
      <c r="ULQ71" s="486"/>
      <c r="ULR71" s="486"/>
      <c r="ULS71" s="486"/>
      <c r="ULT71" s="486"/>
      <c r="ULU71" s="487"/>
      <c r="ULV71" s="486"/>
      <c r="ULW71" s="486"/>
      <c r="ULX71" s="486"/>
      <c r="ULY71" s="486"/>
      <c r="ULZ71" s="486"/>
      <c r="UMA71" s="486"/>
      <c r="UMB71" s="486"/>
      <c r="UMC71" s="486"/>
      <c r="UMD71" s="486"/>
      <c r="UME71" s="486"/>
      <c r="UMF71" s="486"/>
      <c r="UMG71" s="486"/>
      <c r="UMH71" s="486"/>
      <c r="UMI71" s="486"/>
      <c r="UMJ71" s="486"/>
      <c r="UMK71" s="486"/>
      <c r="UML71" s="486"/>
      <c r="UMM71" s="486"/>
      <c r="UMN71" s="486"/>
      <c r="UMO71" s="486"/>
      <c r="UMP71" s="486"/>
      <c r="UMQ71" s="486"/>
      <c r="UMR71" s="486"/>
      <c r="UMS71" s="486"/>
      <c r="UMT71" s="486"/>
      <c r="UMU71" s="486"/>
      <c r="UMV71" s="486"/>
      <c r="UMW71" s="486"/>
      <c r="UMX71" s="487"/>
      <c r="UMY71" s="486"/>
      <c r="UMZ71" s="486"/>
      <c r="UNA71" s="486"/>
      <c r="UNB71" s="486"/>
      <c r="UNC71" s="486"/>
      <c r="UND71" s="486"/>
      <c r="UNE71" s="486"/>
      <c r="UNF71" s="486"/>
      <c r="UNG71" s="486"/>
      <c r="UNH71" s="486"/>
      <c r="UNI71" s="486"/>
      <c r="UNJ71" s="486"/>
      <c r="UNK71" s="486"/>
      <c r="UNL71" s="486"/>
      <c r="UNM71" s="486"/>
      <c r="UNN71" s="486"/>
      <c r="UNO71" s="486"/>
      <c r="UNP71" s="486"/>
      <c r="UNQ71" s="486"/>
      <c r="UNR71" s="486"/>
      <c r="UNS71" s="486"/>
      <c r="UNT71" s="486"/>
      <c r="UNU71" s="486"/>
      <c r="UNV71" s="486"/>
      <c r="UNW71" s="486"/>
      <c r="UNX71" s="486"/>
      <c r="UNY71" s="486"/>
      <c r="UNZ71" s="486"/>
      <c r="UOA71" s="487"/>
      <c r="UOB71" s="486"/>
      <c r="UOC71" s="486"/>
      <c r="UOD71" s="486"/>
      <c r="UOE71" s="486"/>
      <c r="UOF71" s="486"/>
      <c r="UOG71" s="486"/>
      <c r="UOH71" s="486"/>
      <c r="UOI71" s="486"/>
      <c r="UOJ71" s="486"/>
      <c r="UOK71" s="486"/>
      <c r="UOL71" s="486"/>
      <c r="UOM71" s="486"/>
      <c r="UON71" s="486"/>
      <c r="UOO71" s="486"/>
      <c r="UOP71" s="486"/>
      <c r="UOQ71" s="486"/>
      <c r="UOR71" s="486"/>
      <c r="UOS71" s="486"/>
      <c r="UOT71" s="486"/>
      <c r="UOU71" s="486"/>
      <c r="UOV71" s="486"/>
      <c r="UOW71" s="486"/>
      <c r="UOX71" s="486"/>
      <c r="UOY71" s="486"/>
      <c r="UOZ71" s="486"/>
      <c r="UPA71" s="486"/>
      <c r="UPB71" s="486"/>
      <c r="UPC71" s="486"/>
      <c r="UPD71" s="487"/>
      <c r="UPE71" s="486"/>
      <c r="UPF71" s="486"/>
      <c r="UPG71" s="486"/>
      <c r="UPH71" s="486"/>
      <c r="UPI71" s="486"/>
      <c r="UPJ71" s="486"/>
      <c r="UPK71" s="486"/>
      <c r="UPL71" s="486"/>
      <c r="UPM71" s="486"/>
      <c r="UPN71" s="486"/>
      <c r="UPO71" s="486"/>
      <c r="UPP71" s="486"/>
      <c r="UPQ71" s="486"/>
      <c r="UPR71" s="486"/>
      <c r="UPS71" s="486"/>
      <c r="UPT71" s="486"/>
      <c r="UPU71" s="486"/>
      <c r="UPV71" s="486"/>
      <c r="UPW71" s="486"/>
      <c r="UPX71" s="486"/>
      <c r="UPY71" s="486"/>
      <c r="UPZ71" s="486"/>
      <c r="UQA71" s="486"/>
      <c r="UQB71" s="486"/>
      <c r="UQC71" s="486"/>
      <c r="UQD71" s="486"/>
      <c r="UQE71" s="486"/>
      <c r="UQF71" s="486"/>
      <c r="UQG71" s="487"/>
      <c r="UQH71" s="486"/>
      <c r="UQI71" s="486"/>
      <c r="UQJ71" s="486"/>
      <c r="UQK71" s="486"/>
      <c r="UQL71" s="486"/>
      <c r="UQM71" s="486"/>
      <c r="UQN71" s="486"/>
      <c r="UQO71" s="486"/>
      <c r="UQP71" s="486"/>
      <c r="UQQ71" s="486"/>
      <c r="UQR71" s="486"/>
      <c r="UQS71" s="486"/>
      <c r="UQT71" s="486"/>
      <c r="UQU71" s="486"/>
      <c r="UQV71" s="486"/>
      <c r="UQW71" s="486"/>
      <c r="UQX71" s="486"/>
      <c r="UQY71" s="486"/>
      <c r="UQZ71" s="486"/>
      <c r="URA71" s="486"/>
      <c r="URB71" s="486"/>
      <c r="URC71" s="486"/>
      <c r="URD71" s="486"/>
      <c r="URE71" s="486"/>
      <c r="URF71" s="486"/>
      <c r="URG71" s="486"/>
      <c r="URH71" s="486"/>
      <c r="URI71" s="486"/>
      <c r="URJ71" s="487"/>
      <c r="URK71" s="486"/>
      <c r="URL71" s="486"/>
      <c r="URM71" s="486"/>
      <c r="URN71" s="486"/>
      <c r="URO71" s="486"/>
      <c r="URP71" s="486"/>
      <c r="URQ71" s="486"/>
      <c r="URR71" s="486"/>
      <c r="URS71" s="486"/>
      <c r="URT71" s="486"/>
      <c r="URU71" s="486"/>
      <c r="URV71" s="486"/>
      <c r="URW71" s="486"/>
      <c r="URX71" s="486"/>
      <c r="URY71" s="486"/>
      <c r="URZ71" s="486"/>
      <c r="USA71" s="486"/>
      <c r="USB71" s="486"/>
      <c r="USC71" s="486"/>
      <c r="USD71" s="486"/>
      <c r="USE71" s="486"/>
      <c r="USF71" s="486"/>
      <c r="USG71" s="486"/>
      <c r="USH71" s="486"/>
      <c r="USI71" s="486"/>
      <c r="USJ71" s="486"/>
      <c r="USK71" s="486"/>
      <c r="USL71" s="486"/>
      <c r="USM71" s="487"/>
      <c r="USN71" s="486"/>
      <c r="USO71" s="486"/>
      <c r="USP71" s="486"/>
      <c r="USQ71" s="486"/>
      <c r="USR71" s="486"/>
      <c r="USS71" s="486"/>
      <c r="UST71" s="486"/>
      <c r="USU71" s="486"/>
      <c r="USV71" s="486"/>
      <c r="USW71" s="486"/>
      <c r="USX71" s="486"/>
      <c r="USY71" s="486"/>
      <c r="USZ71" s="486"/>
      <c r="UTA71" s="486"/>
      <c r="UTB71" s="486"/>
      <c r="UTC71" s="486"/>
      <c r="UTD71" s="486"/>
      <c r="UTE71" s="486"/>
      <c r="UTF71" s="486"/>
      <c r="UTG71" s="486"/>
      <c r="UTH71" s="486"/>
      <c r="UTI71" s="486"/>
      <c r="UTJ71" s="486"/>
      <c r="UTK71" s="486"/>
      <c r="UTL71" s="486"/>
      <c r="UTM71" s="486"/>
      <c r="UTN71" s="486"/>
      <c r="UTO71" s="486"/>
      <c r="UTP71" s="487"/>
      <c r="UTQ71" s="486"/>
      <c r="UTR71" s="486"/>
      <c r="UTS71" s="486"/>
      <c r="UTT71" s="486"/>
      <c r="UTU71" s="486"/>
      <c r="UTV71" s="486"/>
      <c r="UTW71" s="486"/>
      <c r="UTX71" s="486"/>
      <c r="UTY71" s="486"/>
      <c r="UTZ71" s="486"/>
      <c r="UUA71" s="486"/>
      <c r="UUB71" s="486"/>
      <c r="UUC71" s="486"/>
      <c r="UUD71" s="486"/>
      <c r="UUE71" s="486"/>
      <c r="UUF71" s="486"/>
      <c r="UUG71" s="486"/>
      <c r="UUH71" s="486"/>
      <c r="UUI71" s="486"/>
      <c r="UUJ71" s="486"/>
      <c r="UUK71" s="486"/>
      <c r="UUL71" s="486"/>
      <c r="UUM71" s="486"/>
      <c r="UUN71" s="486"/>
      <c r="UUO71" s="486"/>
      <c r="UUP71" s="486"/>
      <c r="UUQ71" s="486"/>
      <c r="UUR71" s="486"/>
      <c r="UUS71" s="487"/>
      <c r="UUT71" s="486"/>
      <c r="UUU71" s="486"/>
      <c r="UUV71" s="486"/>
      <c r="UUW71" s="486"/>
      <c r="UUX71" s="486"/>
      <c r="UUY71" s="486"/>
      <c r="UUZ71" s="486"/>
      <c r="UVA71" s="486"/>
      <c r="UVB71" s="486"/>
      <c r="UVC71" s="486"/>
      <c r="UVD71" s="486"/>
      <c r="UVE71" s="486"/>
      <c r="UVF71" s="486"/>
      <c r="UVG71" s="486"/>
      <c r="UVH71" s="486"/>
      <c r="UVI71" s="486"/>
      <c r="UVJ71" s="486"/>
      <c r="UVK71" s="486"/>
      <c r="UVL71" s="486"/>
      <c r="UVM71" s="486"/>
      <c r="UVN71" s="486"/>
      <c r="UVO71" s="486"/>
      <c r="UVP71" s="486"/>
      <c r="UVQ71" s="486"/>
      <c r="UVR71" s="486"/>
      <c r="UVS71" s="486"/>
      <c r="UVT71" s="486"/>
      <c r="UVU71" s="486"/>
      <c r="UVV71" s="487"/>
      <c r="UVW71" s="486"/>
      <c r="UVX71" s="486"/>
      <c r="UVY71" s="486"/>
      <c r="UVZ71" s="486"/>
      <c r="UWA71" s="486"/>
      <c r="UWB71" s="486"/>
      <c r="UWC71" s="486"/>
      <c r="UWD71" s="486"/>
      <c r="UWE71" s="486"/>
      <c r="UWF71" s="486"/>
      <c r="UWG71" s="486"/>
      <c r="UWH71" s="486"/>
      <c r="UWI71" s="486"/>
      <c r="UWJ71" s="486"/>
      <c r="UWK71" s="486"/>
      <c r="UWL71" s="486"/>
      <c r="UWM71" s="486"/>
      <c r="UWN71" s="486"/>
      <c r="UWO71" s="486"/>
      <c r="UWP71" s="486"/>
      <c r="UWQ71" s="486"/>
      <c r="UWR71" s="486"/>
      <c r="UWS71" s="486"/>
      <c r="UWT71" s="486"/>
      <c r="UWU71" s="486"/>
      <c r="UWV71" s="486"/>
      <c r="UWW71" s="486"/>
      <c r="UWX71" s="486"/>
      <c r="UWY71" s="487"/>
      <c r="UWZ71" s="486"/>
      <c r="UXA71" s="486"/>
      <c r="UXB71" s="486"/>
      <c r="UXC71" s="486"/>
      <c r="UXD71" s="486"/>
      <c r="UXE71" s="486"/>
      <c r="UXF71" s="486"/>
      <c r="UXG71" s="486"/>
      <c r="UXH71" s="486"/>
      <c r="UXI71" s="486"/>
      <c r="UXJ71" s="486"/>
      <c r="UXK71" s="486"/>
      <c r="UXL71" s="486"/>
      <c r="UXM71" s="486"/>
      <c r="UXN71" s="486"/>
      <c r="UXO71" s="486"/>
      <c r="UXP71" s="486"/>
      <c r="UXQ71" s="486"/>
      <c r="UXR71" s="486"/>
      <c r="UXS71" s="486"/>
      <c r="UXT71" s="486"/>
      <c r="UXU71" s="486"/>
      <c r="UXV71" s="486"/>
      <c r="UXW71" s="486"/>
      <c r="UXX71" s="486"/>
      <c r="UXY71" s="486"/>
      <c r="UXZ71" s="486"/>
      <c r="UYA71" s="486"/>
      <c r="UYB71" s="487"/>
      <c r="UYC71" s="486"/>
      <c r="UYD71" s="486"/>
      <c r="UYE71" s="486"/>
      <c r="UYF71" s="486"/>
      <c r="UYG71" s="486"/>
      <c r="UYH71" s="486"/>
      <c r="UYI71" s="486"/>
      <c r="UYJ71" s="486"/>
      <c r="UYK71" s="486"/>
      <c r="UYL71" s="486"/>
      <c r="UYM71" s="486"/>
      <c r="UYN71" s="486"/>
      <c r="UYO71" s="486"/>
      <c r="UYP71" s="486"/>
      <c r="UYQ71" s="486"/>
      <c r="UYR71" s="486"/>
      <c r="UYS71" s="486"/>
      <c r="UYT71" s="486"/>
      <c r="UYU71" s="486"/>
      <c r="UYV71" s="486"/>
      <c r="UYW71" s="486"/>
      <c r="UYX71" s="486"/>
      <c r="UYY71" s="486"/>
      <c r="UYZ71" s="486"/>
      <c r="UZA71" s="486"/>
      <c r="UZB71" s="486"/>
      <c r="UZC71" s="486"/>
      <c r="UZD71" s="486"/>
      <c r="UZE71" s="487"/>
      <c r="UZF71" s="486"/>
      <c r="UZG71" s="486"/>
      <c r="UZH71" s="486"/>
      <c r="UZI71" s="486"/>
      <c r="UZJ71" s="486"/>
      <c r="UZK71" s="486"/>
      <c r="UZL71" s="486"/>
      <c r="UZM71" s="486"/>
      <c r="UZN71" s="486"/>
      <c r="UZO71" s="486"/>
      <c r="UZP71" s="486"/>
      <c r="UZQ71" s="486"/>
      <c r="UZR71" s="486"/>
      <c r="UZS71" s="486"/>
      <c r="UZT71" s="486"/>
      <c r="UZU71" s="486"/>
      <c r="UZV71" s="486"/>
      <c r="UZW71" s="486"/>
      <c r="UZX71" s="486"/>
      <c r="UZY71" s="486"/>
      <c r="UZZ71" s="486"/>
      <c r="VAA71" s="486"/>
      <c r="VAB71" s="486"/>
      <c r="VAC71" s="486"/>
      <c r="VAD71" s="486"/>
      <c r="VAE71" s="486"/>
      <c r="VAF71" s="486"/>
      <c r="VAG71" s="486"/>
      <c r="VAH71" s="487"/>
      <c r="VAI71" s="486"/>
      <c r="VAJ71" s="486"/>
      <c r="VAK71" s="486"/>
      <c r="VAL71" s="486"/>
      <c r="VAM71" s="486"/>
      <c r="VAN71" s="486"/>
      <c r="VAO71" s="486"/>
      <c r="VAP71" s="486"/>
      <c r="VAQ71" s="486"/>
      <c r="VAR71" s="486"/>
      <c r="VAS71" s="486"/>
      <c r="VAT71" s="486"/>
      <c r="VAU71" s="486"/>
      <c r="VAV71" s="486"/>
      <c r="VAW71" s="486"/>
      <c r="VAX71" s="486"/>
      <c r="VAY71" s="486"/>
      <c r="VAZ71" s="486"/>
      <c r="VBA71" s="486"/>
      <c r="VBB71" s="486"/>
      <c r="VBC71" s="486"/>
      <c r="VBD71" s="486"/>
      <c r="VBE71" s="486"/>
      <c r="VBF71" s="486"/>
      <c r="VBG71" s="486"/>
      <c r="VBH71" s="486"/>
      <c r="VBI71" s="486"/>
      <c r="VBJ71" s="486"/>
      <c r="VBK71" s="487"/>
      <c r="VBL71" s="486"/>
      <c r="VBM71" s="486"/>
      <c r="VBN71" s="486"/>
      <c r="VBO71" s="486"/>
      <c r="VBP71" s="486"/>
      <c r="VBQ71" s="486"/>
      <c r="VBR71" s="486"/>
      <c r="VBS71" s="486"/>
      <c r="VBT71" s="486"/>
      <c r="VBU71" s="486"/>
      <c r="VBV71" s="486"/>
      <c r="VBW71" s="486"/>
      <c r="VBX71" s="486"/>
      <c r="VBY71" s="486"/>
      <c r="VBZ71" s="486"/>
      <c r="VCA71" s="486"/>
      <c r="VCB71" s="486"/>
      <c r="VCC71" s="486"/>
      <c r="VCD71" s="486"/>
      <c r="VCE71" s="486"/>
      <c r="VCF71" s="486"/>
      <c r="VCG71" s="486"/>
      <c r="VCH71" s="486"/>
      <c r="VCI71" s="486"/>
      <c r="VCJ71" s="486"/>
      <c r="VCK71" s="486"/>
      <c r="VCL71" s="486"/>
      <c r="VCM71" s="486"/>
      <c r="VCN71" s="487"/>
      <c r="VCO71" s="486"/>
      <c r="VCP71" s="486"/>
      <c r="VCQ71" s="486"/>
      <c r="VCR71" s="486"/>
      <c r="VCS71" s="486"/>
      <c r="VCT71" s="486"/>
      <c r="VCU71" s="486"/>
      <c r="VCV71" s="486"/>
      <c r="VCW71" s="486"/>
      <c r="VCX71" s="486"/>
      <c r="VCY71" s="486"/>
      <c r="VCZ71" s="486"/>
      <c r="VDA71" s="486"/>
      <c r="VDB71" s="486"/>
      <c r="VDC71" s="486"/>
      <c r="VDD71" s="486"/>
      <c r="VDE71" s="486"/>
      <c r="VDF71" s="486"/>
      <c r="VDG71" s="486"/>
      <c r="VDH71" s="486"/>
      <c r="VDI71" s="486"/>
      <c r="VDJ71" s="486"/>
      <c r="VDK71" s="486"/>
      <c r="VDL71" s="486"/>
      <c r="VDM71" s="486"/>
      <c r="VDN71" s="486"/>
      <c r="VDO71" s="486"/>
      <c r="VDP71" s="486"/>
      <c r="VDQ71" s="487"/>
      <c r="VDR71" s="486"/>
      <c r="VDS71" s="486"/>
      <c r="VDT71" s="486"/>
      <c r="VDU71" s="486"/>
      <c r="VDV71" s="486"/>
      <c r="VDW71" s="486"/>
      <c r="VDX71" s="486"/>
      <c r="VDY71" s="486"/>
      <c r="VDZ71" s="486"/>
      <c r="VEA71" s="486"/>
      <c r="VEB71" s="486"/>
      <c r="VEC71" s="486"/>
      <c r="VED71" s="486"/>
      <c r="VEE71" s="486"/>
      <c r="VEF71" s="486"/>
      <c r="VEG71" s="486"/>
      <c r="VEH71" s="486"/>
      <c r="VEI71" s="486"/>
      <c r="VEJ71" s="486"/>
      <c r="VEK71" s="486"/>
      <c r="VEL71" s="486"/>
      <c r="VEM71" s="486"/>
      <c r="VEN71" s="486"/>
      <c r="VEO71" s="486"/>
      <c r="VEP71" s="486"/>
      <c r="VEQ71" s="486"/>
      <c r="VER71" s="486"/>
      <c r="VES71" s="486"/>
      <c r="VET71" s="487"/>
      <c r="VEU71" s="486"/>
      <c r="VEV71" s="486"/>
      <c r="VEW71" s="486"/>
      <c r="VEX71" s="486"/>
      <c r="VEY71" s="486"/>
      <c r="VEZ71" s="486"/>
      <c r="VFA71" s="486"/>
      <c r="VFB71" s="486"/>
      <c r="VFC71" s="486"/>
      <c r="VFD71" s="486"/>
      <c r="VFE71" s="486"/>
      <c r="VFF71" s="486"/>
      <c r="VFG71" s="486"/>
      <c r="VFH71" s="486"/>
      <c r="VFI71" s="486"/>
      <c r="VFJ71" s="486"/>
      <c r="VFK71" s="486"/>
      <c r="VFL71" s="486"/>
      <c r="VFM71" s="486"/>
      <c r="VFN71" s="486"/>
      <c r="VFO71" s="486"/>
      <c r="VFP71" s="486"/>
      <c r="VFQ71" s="486"/>
      <c r="VFR71" s="486"/>
      <c r="VFS71" s="486"/>
      <c r="VFT71" s="486"/>
      <c r="VFU71" s="486"/>
      <c r="VFV71" s="486"/>
      <c r="VFW71" s="487"/>
      <c r="VFX71" s="486"/>
      <c r="VFY71" s="486"/>
      <c r="VFZ71" s="486"/>
      <c r="VGA71" s="486"/>
      <c r="VGB71" s="486"/>
      <c r="VGC71" s="486"/>
      <c r="VGD71" s="486"/>
      <c r="VGE71" s="486"/>
      <c r="VGF71" s="486"/>
      <c r="VGG71" s="486"/>
      <c r="VGH71" s="486"/>
      <c r="VGI71" s="486"/>
      <c r="VGJ71" s="486"/>
      <c r="VGK71" s="486"/>
      <c r="VGL71" s="486"/>
      <c r="VGM71" s="486"/>
      <c r="VGN71" s="486"/>
      <c r="VGO71" s="486"/>
      <c r="VGP71" s="486"/>
      <c r="VGQ71" s="486"/>
      <c r="VGR71" s="486"/>
      <c r="VGS71" s="486"/>
      <c r="VGT71" s="486"/>
      <c r="VGU71" s="486"/>
      <c r="VGV71" s="486"/>
      <c r="VGW71" s="486"/>
      <c r="VGX71" s="486"/>
      <c r="VGY71" s="486"/>
      <c r="VGZ71" s="487"/>
      <c r="VHA71" s="486"/>
      <c r="VHB71" s="486"/>
      <c r="VHC71" s="486"/>
      <c r="VHD71" s="486"/>
      <c r="VHE71" s="486"/>
      <c r="VHF71" s="486"/>
      <c r="VHG71" s="486"/>
      <c r="VHH71" s="486"/>
      <c r="VHI71" s="486"/>
      <c r="VHJ71" s="486"/>
      <c r="VHK71" s="486"/>
      <c r="VHL71" s="486"/>
      <c r="VHM71" s="486"/>
      <c r="VHN71" s="486"/>
      <c r="VHO71" s="486"/>
      <c r="VHP71" s="486"/>
      <c r="VHQ71" s="486"/>
      <c r="VHR71" s="486"/>
      <c r="VHS71" s="486"/>
      <c r="VHT71" s="486"/>
      <c r="VHU71" s="486"/>
      <c r="VHV71" s="486"/>
      <c r="VHW71" s="486"/>
      <c r="VHX71" s="486"/>
      <c r="VHY71" s="486"/>
      <c r="VHZ71" s="486"/>
      <c r="VIA71" s="486"/>
      <c r="VIB71" s="486"/>
      <c r="VIC71" s="487"/>
      <c r="VID71" s="486"/>
      <c r="VIE71" s="486"/>
      <c r="VIF71" s="486"/>
      <c r="VIG71" s="486"/>
      <c r="VIH71" s="486"/>
      <c r="VII71" s="486"/>
      <c r="VIJ71" s="486"/>
      <c r="VIK71" s="486"/>
      <c r="VIL71" s="486"/>
      <c r="VIM71" s="486"/>
      <c r="VIN71" s="486"/>
      <c r="VIO71" s="486"/>
      <c r="VIP71" s="486"/>
      <c r="VIQ71" s="486"/>
      <c r="VIR71" s="486"/>
      <c r="VIS71" s="486"/>
      <c r="VIT71" s="486"/>
      <c r="VIU71" s="486"/>
      <c r="VIV71" s="486"/>
      <c r="VIW71" s="486"/>
      <c r="VIX71" s="486"/>
      <c r="VIY71" s="486"/>
      <c r="VIZ71" s="486"/>
      <c r="VJA71" s="486"/>
      <c r="VJB71" s="486"/>
      <c r="VJC71" s="486"/>
      <c r="VJD71" s="486"/>
      <c r="VJE71" s="486"/>
      <c r="VJF71" s="487"/>
      <c r="VJG71" s="486"/>
      <c r="VJH71" s="486"/>
      <c r="VJI71" s="486"/>
      <c r="VJJ71" s="486"/>
      <c r="VJK71" s="486"/>
      <c r="VJL71" s="486"/>
      <c r="VJM71" s="486"/>
      <c r="VJN71" s="486"/>
      <c r="VJO71" s="486"/>
      <c r="VJP71" s="486"/>
      <c r="VJQ71" s="486"/>
      <c r="VJR71" s="486"/>
      <c r="VJS71" s="486"/>
      <c r="VJT71" s="486"/>
      <c r="VJU71" s="486"/>
      <c r="VJV71" s="486"/>
      <c r="VJW71" s="486"/>
      <c r="VJX71" s="486"/>
      <c r="VJY71" s="486"/>
      <c r="VJZ71" s="486"/>
      <c r="VKA71" s="486"/>
      <c r="VKB71" s="486"/>
      <c r="VKC71" s="486"/>
      <c r="VKD71" s="486"/>
      <c r="VKE71" s="486"/>
      <c r="VKF71" s="486"/>
      <c r="VKG71" s="486"/>
      <c r="VKH71" s="486"/>
      <c r="VKI71" s="487"/>
      <c r="VKJ71" s="486"/>
      <c r="VKK71" s="486"/>
      <c r="VKL71" s="486"/>
      <c r="VKM71" s="486"/>
      <c r="VKN71" s="486"/>
      <c r="VKO71" s="486"/>
      <c r="VKP71" s="486"/>
      <c r="VKQ71" s="486"/>
      <c r="VKR71" s="486"/>
      <c r="VKS71" s="486"/>
      <c r="VKT71" s="486"/>
      <c r="VKU71" s="486"/>
      <c r="VKV71" s="486"/>
      <c r="VKW71" s="486"/>
      <c r="VKX71" s="486"/>
      <c r="VKY71" s="486"/>
      <c r="VKZ71" s="486"/>
      <c r="VLA71" s="486"/>
      <c r="VLB71" s="486"/>
      <c r="VLC71" s="486"/>
      <c r="VLD71" s="486"/>
      <c r="VLE71" s="486"/>
      <c r="VLF71" s="486"/>
      <c r="VLG71" s="486"/>
      <c r="VLH71" s="486"/>
      <c r="VLI71" s="486"/>
      <c r="VLJ71" s="486"/>
      <c r="VLK71" s="486"/>
      <c r="VLL71" s="487"/>
      <c r="VLM71" s="486"/>
      <c r="VLN71" s="486"/>
      <c r="VLO71" s="486"/>
      <c r="VLP71" s="486"/>
      <c r="VLQ71" s="486"/>
      <c r="VLR71" s="486"/>
      <c r="VLS71" s="486"/>
      <c r="VLT71" s="486"/>
      <c r="VLU71" s="486"/>
      <c r="VLV71" s="486"/>
      <c r="VLW71" s="486"/>
      <c r="VLX71" s="486"/>
      <c r="VLY71" s="486"/>
      <c r="VLZ71" s="486"/>
      <c r="VMA71" s="486"/>
      <c r="VMB71" s="486"/>
      <c r="VMC71" s="486"/>
      <c r="VMD71" s="486"/>
      <c r="VME71" s="486"/>
      <c r="VMF71" s="486"/>
      <c r="VMG71" s="486"/>
      <c r="VMH71" s="486"/>
      <c r="VMI71" s="486"/>
      <c r="VMJ71" s="486"/>
      <c r="VMK71" s="486"/>
      <c r="VML71" s="486"/>
      <c r="VMM71" s="486"/>
      <c r="VMN71" s="486"/>
      <c r="VMO71" s="487"/>
      <c r="VMP71" s="486"/>
      <c r="VMQ71" s="486"/>
      <c r="VMR71" s="486"/>
      <c r="VMS71" s="486"/>
      <c r="VMT71" s="486"/>
      <c r="VMU71" s="486"/>
      <c r="VMV71" s="486"/>
      <c r="VMW71" s="486"/>
      <c r="VMX71" s="486"/>
      <c r="VMY71" s="486"/>
      <c r="VMZ71" s="486"/>
      <c r="VNA71" s="486"/>
      <c r="VNB71" s="486"/>
      <c r="VNC71" s="486"/>
      <c r="VND71" s="486"/>
      <c r="VNE71" s="486"/>
      <c r="VNF71" s="486"/>
      <c r="VNG71" s="486"/>
      <c r="VNH71" s="486"/>
      <c r="VNI71" s="486"/>
      <c r="VNJ71" s="486"/>
      <c r="VNK71" s="486"/>
      <c r="VNL71" s="486"/>
      <c r="VNM71" s="486"/>
      <c r="VNN71" s="486"/>
      <c r="VNO71" s="486"/>
      <c r="VNP71" s="486"/>
      <c r="VNQ71" s="486"/>
      <c r="VNR71" s="487"/>
      <c r="VNS71" s="486"/>
      <c r="VNT71" s="486"/>
      <c r="VNU71" s="486"/>
      <c r="VNV71" s="486"/>
      <c r="VNW71" s="486"/>
      <c r="VNX71" s="486"/>
      <c r="VNY71" s="486"/>
      <c r="VNZ71" s="486"/>
      <c r="VOA71" s="486"/>
      <c r="VOB71" s="486"/>
      <c r="VOC71" s="486"/>
      <c r="VOD71" s="486"/>
      <c r="VOE71" s="486"/>
      <c r="VOF71" s="486"/>
      <c r="VOG71" s="486"/>
      <c r="VOH71" s="486"/>
      <c r="VOI71" s="486"/>
      <c r="VOJ71" s="486"/>
      <c r="VOK71" s="486"/>
      <c r="VOL71" s="486"/>
      <c r="VOM71" s="486"/>
      <c r="VON71" s="486"/>
      <c r="VOO71" s="486"/>
      <c r="VOP71" s="486"/>
      <c r="VOQ71" s="486"/>
      <c r="VOR71" s="486"/>
      <c r="VOS71" s="486"/>
      <c r="VOT71" s="486"/>
      <c r="VOU71" s="487"/>
      <c r="VOV71" s="486"/>
      <c r="VOW71" s="486"/>
      <c r="VOX71" s="486"/>
      <c r="VOY71" s="486"/>
      <c r="VOZ71" s="486"/>
      <c r="VPA71" s="486"/>
      <c r="VPB71" s="486"/>
      <c r="VPC71" s="486"/>
      <c r="VPD71" s="486"/>
      <c r="VPE71" s="486"/>
      <c r="VPF71" s="486"/>
      <c r="VPG71" s="486"/>
      <c r="VPH71" s="486"/>
      <c r="VPI71" s="486"/>
      <c r="VPJ71" s="486"/>
      <c r="VPK71" s="486"/>
      <c r="VPL71" s="486"/>
      <c r="VPM71" s="486"/>
      <c r="VPN71" s="486"/>
      <c r="VPO71" s="486"/>
      <c r="VPP71" s="486"/>
      <c r="VPQ71" s="486"/>
      <c r="VPR71" s="486"/>
      <c r="VPS71" s="486"/>
      <c r="VPT71" s="486"/>
      <c r="VPU71" s="486"/>
      <c r="VPV71" s="486"/>
      <c r="VPW71" s="486"/>
      <c r="VPX71" s="487"/>
      <c r="VPY71" s="486"/>
      <c r="VPZ71" s="486"/>
      <c r="VQA71" s="486"/>
      <c r="VQB71" s="486"/>
      <c r="VQC71" s="486"/>
      <c r="VQD71" s="486"/>
      <c r="VQE71" s="486"/>
      <c r="VQF71" s="486"/>
      <c r="VQG71" s="486"/>
      <c r="VQH71" s="486"/>
      <c r="VQI71" s="486"/>
      <c r="VQJ71" s="486"/>
      <c r="VQK71" s="486"/>
      <c r="VQL71" s="486"/>
      <c r="VQM71" s="486"/>
      <c r="VQN71" s="486"/>
      <c r="VQO71" s="486"/>
      <c r="VQP71" s="486"/>
      <c r="VQQ71" s="486"/>
      <c r="VQR71" s="486"/>
      <c r="VQS71" s="486"/>
      <c r="VQT71" s="486"/>
      <c r="VQU71" s="486"/>
      <c r="VQV71" s="486"/>
      <c r="VQW71" s="486"/>
      <c r="VQX71" s="486"/>
      <c r="VQY71" s="486"/>
      <c r="VQZ71" s="486"/>
      <c r="VRA71" s="487"/>
      <c r="VRB71" s="486"/>
      <c r="VRC71" s="486"/>
      <c r="VRD71" s="486"/>
      <c r="VRE71" s="486"/>
      <c r="VRF71" s="486"/>
      <c r="VRG71" s="486"/>
      <c r="VRH71" s="486"/>
      <c r="VRI71" s="486"/>
      <c r="VRJ71" s="486"/>
      <c r="VRK71" s="486"/>
      <c r="VRL71" s="486"/>
      <c r="VRM71" s="486"/>
      <c r="VRN71" s="486"/>
      <c r="VRO71" s="486"/>
      <c r="VRP71" s="486"/>
      <c r="VRQ71" s="486"/>
      <c r="VRR71" s="486"/>
      <c r="VRS71" s="486"/>
      <c r="VRT71" s="486"/>
      <c r="VRU71" s="486"/>
      <c r="VRV71" s="486"/>
      <c r="VRW71" s="486"/>
      <c r="VRX71" s="486"/>
      <c r="VRY71" s="486"/>
      <c r="VRZ71" s="486"/>
      <c r="VSA71" s="486"/>
      <c r="VSB71" s="486"/>
      <c r="VSC71" s="486"/>
      <c r="VSD71" s="487"/>
      <c r="VSE71" s="486"/>
      <c r="VSF71" s="486"/>
      <c r="VSG71" s="486"/>
      <c r="VSH71" s="486"/>
      <c r="VSI71" s="486"/>
      <c r="VSJ71" s="486"/>
      <c r="VSK71" s="486"/>
      <c r="VSL71" s="486"/>
      <c r="VSM71" s="486"/>
      <c r="VSN71" s="486"/>
      <c r="VSO71" s="486"/>
      <c r="VSP71" s="486"/>
      <c r="VSQ71" s="486"/>
      <c r="VSR71" s="486"/>
      <c r="VSS71" s="486"/>
      <c r="VST71" s="486"/>
      <c r="VSU71" s="486"/>
      <c r="VSV71" s="486"/>
      <c r="VSW71" s="486"/>
      <c r="VSX71" s="486"/>
      <c r="VSY71" s="486"/>
      <c r="VSZ71" s="486"/>
      <c r="VTA71" s="486"/>
      <c r="VTB71" s="486"/>
      <c r="VTC71" s="486"/>
      <c r="VTD71" s="486"/>
      <c r="VTE71" s="486"/>
      <c r="VTF71" s="486"/>
      <c r="VTG71" s="487"/>
      <c r="VTH71" s="486"/>
      <c r="VTI71" s="486"/>
      <c r="VTJ71" s="486"/>
      <c r="VTK71" s="486"/>
      <c r="VTL71" s="486"/>
      <c r="VTM71" s="486"/>
      <c r="VTN71" s="486"/>
      <c r="VTO71" s="486"/>
      <c r="VTP71" s="486"/>
      <c r="VTQ71" s="486"/>
      <c r="VTR71" s="486"/>
      <c r="VTS71" s="486"/>
      <c r="VTT71" s="486"/>
      <c r="VTU71" s="486"/>
      <c r="VTV71" s="486"/>
      <c r="VTW71" s="486"/>
      <c r="VTX71" s="486"/>
      <c r="VTY71" s="486"/>
      <c r="VTZ71" s="486"/>
      <c r="VUA71" s="486"/>
      <c r="VUB71" s="486"/>
      <c r="VUC71" s="486"/>
      <c r="VUD71" s="486"/>
      <c r="VUE71" s="486"/>
      <c r="VUF71" s="486"/>
      <c r="VUG71" s="486"/>
      <c r="VUH71" s="486"/>
      <c r="VUI71" s="486"/>
      <c r="VUJ71" s="487"/>
      <c r="VUK71" s="486"/>
      <c r="VUL71" s="486"/>
      <c r="VUM71" s="486"/>
      <c r="VUN71" s="486"/>
      <c r="VUO71" s="486"/>
      <c r="VUP71" s="486"/>
      <c r="VUQ71" s="486"/>
      <c r="VUR71" s="486"/>
      <c r="VUS71" s="486"/>
      <c r="VUT71" s="486"/>
      <c r="VUU71" s="486"/>
      <c r="VUV71" s="486"/>
      <c r="VUW71" s="486"/>
      <c r="VUX71" s="486"/>
      <c r="VUY71" s="486"/>
      <c r="VUZ71" s="486"/>
      <c r="VVA71" s="486"/>
      <c r="VVB71" s="486"/>
      <c r="VVC71" s="486"/>
      <c r="VVD71" s="486"/>
      <c r="VVE71" s="486"/>
      <c r="VVF71" s="486"/>
      <c r="VVG71" s="486"/>
      <c r="VVH71" s="486"/>
      <c r="VVI71" s="486"/>
      <c r="VVJ71" s="486"/>
      <c r="VVK71" s="486"/>
      <c r="VVL71" s="486"/>
      <c r="VVM71" s="487"/>
      <c r="VVN71" s="486"/>
      <c r="VVO71" s="486"/>
      <c r="VVP71" s="486"/>
      <c r="VVQ71" s="486"/>
      <c r="VVR71" s="486"/>
      <c r="VVS71" s="486"/>
      <c r="VVT71" s="486"/>
      <c r="VVU71" s="486"/>
      <c r="VVV71" s="486"/>
      <c r="VVW71" s="486"/>
      <c r="VVX71" s="486"/>
      <c r="VVY71" s="486"/>
      <c r="VVZ71" s="486"/>
      <c r="VWA71" s="486"/>
      <c r="VWB71" s="486"/>
      <c r="VWC71" s="486"/>
      <c r="VWD71" s="486"/>
      <c r="VWE71" s="486"/>
      <c r="VWF71" s="486"/>
      <c r="VWG71" s="486"/>
      <c r="VWH71" s="486"/>
      <c r="VWI71" s="486"/>
      <c r="VWJ71" s="486"/>
      <c r="VWK71" s="486"/>
      <c r="VWL71" s="486"/>
      <c r="VWM71" s="486"/>
      <c r="VWN71" s="486"/>
      <c r="VWO71" s="486"/>
      <c r="VWP71" s="487"/>
      <c r="VWQ71" s="486"/>
      <c r="VWR71" s="486"/>
      <c r="VWS71" s="486"/>
      <c r="VWT71" s="486"/>
      <c r="VWU71" s="486"/>
      <c r="VWV71" s="486"/>
      <c r="VWW71" s="486"/>
      <c r="VWX71" s="486"/>
      <c r="VWY71" s="486"/>
      <c r="VWZ71" s="486"/>
      <c r="VXA71" s="486"/>
      <c r="VXB71" s="486"/>
      <c r="VXC71" s="486"/>
      <c r="VXD71" s="486"/>
      <c r="VXE71" s="486"/>
      <c r="VXF71" s="486"/>
      <c r="VXG71" s="486"/>
      <c r="VXH71" s="486"/>
      <c r="VXI71" s="486"/>
      <c r="VXJ71" s="486"/>
      <c r="VXK71" s="486"/>
      <c r="VXL71" s="486"/>
      <c r="VXM71" s="486"/>
      <c r="VXN71" s="486"/>
      <c r="VXO71" s="486"/>
      <c r="VXP71" s="486"/>
      <c r="VXQ71" s="486"/>
      <c r="VXR71" s="486"/>
      <c r="VXS71" s="487"/>
      <c r="VXT71" s="486"/>
      <c r="VXU71" s="486"/>
      <c r="VXV71" s="486"/>
      <c r="VXW71" s="486"/>
      <c r="VXX71" s="486"/>
      <c r="VXY71" s="486"/>
      <c r="VXZ71" s="486"/>
      <c r="VYA71" s="486"/>
      <c r="VYB71" s="486"/>
      <c r="VYC71" s="486"/>
      <c r="VYD71" s="486"/>
      <c r="VYE71" s="486"/>
      <c r="VYF71" s="486"/>
      <c r="VYG71" s="486"/>
      <c r="VYH71" s="486"/>
      <c r="VYI71" s="486"/>
      <c r="VYJ71" s="486"/>
      <c r="VYK71" s="486"/>
      <c r="VYL71" s="486"/>
      <c r="VYM71" s="486"/>
      <c r="VYN71" s="486"/>
      <c r="VYO71" s="486"/>
      <c r="VYP71" s="486"/>
      <c r="VYQ71" s="486"/>
      <c r="VYR71" s="486"/>
      <c r="VYS71" s="486"/>
      <c r="VYT71" s="486"/>
      <c r="VYU71" s="486"/>
      <c r="VYV71" s="487"/>
      <c r="VYW71" s="486"/>
      <c r="VYX71" s="486"/>
      <c r="VYY71" s="486"/>
      <c r="VYZ71" s="486"/>
      <c r="VZA71" s="486"/>
      <c r="VZB71" s="486"/>
      <c r="VZC71" s="486"/>
      <c r="VZD71" s="486"/>
      <c r="VZE71" s="486"/>
      <c r="VZF71" s="486"/>
      <c r="VZG71" s="486"/>
      <c r="VZH71" s="486"/>
      <c r="VZI71" s="486"/>
      <c r="VZJ71" s="486"/>
      <c r="VZK71" s="486"/>
      <c r="VZL71" s="486"/>
      <c r="VZM71" s="486"/>
      <c r="VZN71" s="486"/>
      <c r="VZO71" s="486"/>
      <c r="VZP71" s="486"/>
      <c r="VZQ71" s="486"/>
      <c r="VZR71" s="486"/>
      <c r="VZS71" s="486"/>
      <c r="VZT71" s="486"/>
      <c r="VZU71" s="486"/>
      <c r="VZV71" s="486"/>
      <c r="VZW71" s="486"/>
      <c r="VZX71" s="486"/>
      <c r="VZY71" s="487"/>
      <c r="VZZ71" s="486"/>
      <c r="WAA71" s="486"/>
      <c r="WAB71" s="486"/>
      <c r="WAC71" s="486"/>
      <c r="WAD71" s="486"/>
      <c r="WAE71" s="486"/>
      <c r="WAF71" s="486"/>
      <c r="WAG71" s="486"/>
      <c r="WAH71" s="486"/>
      <c r="WAI71" s="486"/>
      <c r="WAJ71" s="486"/>
      <c r="WAK71" s="486"/>
      <c r="WAL71" s="486"/>
      <c r="WAM71" s="486"/>
      <c r="WAN71" s="486"/>
      <c r="WAO71" s="486"/>
      <c r="WAP71" s="486"/>
      <c r="WAQ71" s="486"/>
      <c r="WAR71" s="486"/>
      <c r="WAS71" s="486"/>
      <c r="WAT71" s="486"/>
      <c r="WAU71" s="486"/>
      <c r="WAV71" s="486"/>
      <c r="WAW71" s="486"/>
      <c r="WAX71" s="486"/>
      <c r="WAY71" s="486"/>
      <c r="WAZ71" s="486"/>
      <c r="WBA71" s="486"/>
      <c r="WBB71" s="487"/>
      <c r="WBC71" s="486"/>
      <c r="WBD71" s="486"/>
      <c r="WBE71" s="486"/>
      <c r="WBF71" s="486"/>
      <c r="WBG71" s="486"/>
      <c r="WBH71" s="486"/>
      <c r="WBI71" s="486"/>
      <c r="WBJ71" s="486"/>
      <c r="WBK71" s="486"/>
      <c r="WBL71" s="486"/>
      <c r="WBM71" s="486"/>
      <c r="WBN71" s="486"/>
      <c r="WBO71" s="486"/>
      <c r="WBP71" s="486"/>
      <c r="WBQ71" s="486"/>
      <c r="WBR71" s="486"/>
      <c r="WBS71" s="486"/>
      <c r="WBT71" s="486"/>
      <c r="WBU71" s="486"/>
      <c r="WBV71" s="486"/>
      <c r="WBW71" s="486"/>
      <c r="WBX71" s="486"/>
      <c r="WBY71" s="486"/>
      <c r="WBZ71" s="486"/>
      <c r="WCA71" s="486"/>
      <c r="WCB71" s="486"/>
      <c r="WCC71" s="486"/>
      <c r="WCD71" s="486"/>
      <c r="WCE71" s="487"/>
      <c r="WCF71" s="486"/>
      <c r="WCG71" s="486"/>
      <c r="WCH71" s="486"/>
      <c r="WCI71" s="486"/>
      <c r="WCJ71" s="486"/>
      <c r="WCK71" s="486"/>
      <c r="WCL71" s="486"/>
      <c r="WCM71" s="486"/>
      <c r="WCN71" s="486"/>
      <c r="WCO71" s="486"/>
      <c r="WCP71" s="486"/>
      <c r="WCQ71" s="486"/>
      <c r="WCR71" s="486"/>
      <c r="WCS71" s="486"/>
      <c r="WCT71" s="486"/>
      <c r="WCU71" s="486"/>
      <c r="WCV71" s="486"/>
      <c r="WCW71" s="486"/>
      <c r="WCX71" s="486"/>
      <c r="WCY71" s="486"/>
      <c r="WCZ71" s="486"/>
      <c r="WDA71" s="486"/>
      <c r="WDB71" s="486"/>
      <c r="WDC71" s="486"/>
      <c r="WDD71" s="486"/>
      <c r="WDE71" s="486"/>
      <c r="WDF71" s="486"/>
      <c r="WDG71" s="486"/>
      <c r="WDH71" s="487"/>
      <c r="WDI71" s="486"/>
      <c r="WDJ71" s="486"/>
      <c r="WDK71" s="486"/>
      <c r="WDL71" s="486"/>
      <c r="WDM71" s="486"/>
      <c r="WDN71" s="486"/>
      <c r="WDO71" s="486"/>
      <c r="WDP71" s="486"/>
      <c r="WDQ71" s="486"/>
      <c r="WDR71" s="486"/>
      <c r="WDS71" s="486"/>
      <c r="WDT71" s="486"/>
      <c r="WDU71" s="486"/>
      <c r="WDV71" s="486"/>
      <c r="WDW71" s="486"/>
      <c r="WDX71" s="486"/>
      <c r="WDY71" s="486"/>
      <c r="WDZ71" s="486"/>
      <c r="WEA71" s="486"/>
      <c r="WEB71" s="486"/>
      <c r="WEC71" s="486"/>
      <c r="WED71" s="486"/>
      <c r="WEE71" s="486"/>
      <c r="WEF71" s="486"/>
      <c r="WEG71" s="486"/>
      <c r="WEH71" s="486"/>
      <c r="WEI71" s="486"/>
      <c r="WEJ71" s="486"/>
      <c r="WEK71" s="487"/>
      <c r="WEL71" s="486"/>
      <c r="WEM71" s="486"/>
      <c r="WEN71" s="486"/>
      <c r="WEO71" s="486"/>
      <c r="WEP71" s="486"/>
      <c r="WEQ71" s="486"/>
      <c r="WER71" s="486"/>
      <c r="WES71" s="486"/>
      <c r="WET71" s="486"/>
      <c r="WEU71" s="486"/>
      <c r="WEV71" s="486"/>
      <c r="WEW71" s="486"/>
      <c r="WEX71" s="486"/>
      <c r="WEY71" s="486"/>
      <c r="WEZ71" s="486"/>
      <c r="WFA71" s="486"/>
      <c r="WFB71" s="486"/>
      <c r="WFC71" s="486"/>
      <c r="WFD71" s="486"/>
      <c r="WFE71" s="486"/>
      <c r="WFF71" s="486"/>
      <c r="WFG71" s="486"/>
      <c r="WFH71" s="486"/>
      <c r="WFI71" s="486"/>
      <c r="WFJ71" s="486"/>
      <c r="WFK71" s="486"/>
      <c r="WFL71" s="486"/>
      <c r="WFM71" s="486"/>
      <c r="WFN71" s="487"/>
      <c r="WFO71" s="486"/>
      <c r="WFP71" s="486"/>
      <c r="WFQ71" s="486"/>
      <c r="WFR71" s="486"/>
      <c r="WFS71" s="486"/>
      <c r="WFT71" s="486"/>
      <c r="WFU71" s="486"/>
      <c r="WFV71" s="486"/>
      <c r="WFW71" s="486"/>
      <c r="WFX71" s="486"/>
      <c r="WFY71" s="486"/>
      <c r="WFZ71" s="486"/>
      <c r="WGA71" s="486"/>
      <c r="WGB71" s="486"/>
      <c r="WGC71" s="486"/>
      <c r="WGD71" s="486"/>
      <c r="WGE71" s="486"/>
      <c r="WGF71" s="486"/>
      <c r="WGG71" s="486"/>
      <c r="WGH71" s="486"/>
      <c r="WGI71" s="486"/>
      <c r="WGJ71" s="486"/>
      <c r="WGK71" s="486"/>
      <c r="WGL71" s="486"/>
      <c r="WGM71" s="486"/>
      <c r="WGN71" s="486"/>
      <c r="WGO71" s="486"/>
      <c r="WGP71" s="486"/>
      <c r="WGQ71" s="487"/>
      <c r="WGR71" s="486"/>
      <c r="WGS71" s="486"/>
      <c r="WGT71" s="486"/>
      <c r="WGU71" s="486"/>
      <c r="WGV71" s="486"/>
      <c r="WGW71" s="486"/>
      <c r="WGX71" s="486"/>
      <c r="WGY71" s="486"/>
      <c r="WGZ71" s="486"/>
      <c r="WHA71" s="486"/>
      <c r="WHB71" s="486"/>
      <c r="WHC71" s="486"/>
      <c r="WHD71" s="486"/>
      <c r="WHE71" s="486"/>
      <c r="WHF71" s="486"/>
      <c r="WHG71" s="486"/>
      <c r="WHH71" s="486"/>
      <c r="WHI71" s="486"/>
      <c r="WHJ71" s="486"/>
      <c r="WHK71" s="486"/>
      <c r="WHL71" s="486"/>
      <c r="WHM71" s="486"/>
      <c r="WHN71" s="486"/>
      <c r="WHO71" s="486"/>
      <c r="WHP71" s="486"/>
      <c r="WHQ71" s="486"/>
      <c r="WHR71" s="486"/>
      <c r="WHS71" s="486"/>
      <c r="WHT71" s="487"/>
      <c r="WHU71" s="486"/>
      <c r="WHV71" s="486"/>
      <c r="WHW71" s="486"/>
      <c r="WHX71" s="486"/>
      <c r="WHY71" s="486"/>
      <c r="WHZ71" s="486"/>
      <c r="WIA71" s="486"/>
      <c r="WIB71" s="486"/>
      <c r="WIC71" s="486"/>
      <c r="WID71" s="486"/>
      <c r="WIE71" s="486"/>
      <c r="WIF71" s="486"/>
      <c r="WIG71" s="486"/>
      <c r="WIH71" s="486"/>
      <c r="WII71" s="486"/>
      <c r="WIJ71" s="486"/>
      <c r="WIK71" s="486"/>
      <c r="WIL71" s="486"/>
      <c r="WIM71" s="486"/>
      <c r="WIN71" s="486"/>
      <c r="WIO71" s="486"/>
      <c r="WIP71" s="486"/>
      <c r="WIQ71" s="486"/>
      <c r="WIR71" s="486"/>
      <c r="WIS71" s="486"/>
      <c r="WIT71" s="486"/>
      <c r="WIU71" s="486"/>
      <c r="WIV71" s="486"/>
      <c r="WIW71" s="487"/>
      <c r="WIX71" s="486"/>
      <c r="WIY71" s="486"/>
      <c r="WIZ71" s="486"/>
      <c r="WJA71" s="486"/>
      <c r="WJB71" s="486"/>
      <c r="WJC71" s="486"/>
      <c r="WJD71" s="486"/>
      <c r="WJE71" s="486"/>
      <c r="WJF71" s="486"/>
      <c r="WJG71" s="486"/>
      <c r="WJH71" s="486"/>
      <c r="WJI71" s="486"/>
      <c r="WJJ71" s="486"/>
      <c r="WJK71" s="486"/>
      <c r="WJL71" s="486"/>
      <c r="WJM71" s="486"/>
      <c r="WJN71" s="486"/>
      <c r="WJO71" s="486"/>
      <c r="WJP71" s="486"/>
      <c r="WJQ71" s="486"/>
      <c r="WJR71" s="486"/>
      <c r="WJS71" s="486"/>
      <c r="WJT71" s="486"/>
      <c r="WJU71" s="486"/>
      <c r="WJV71" s="486"/>
      <c r="WJW71" s="486"/>
      <c r="WJX71" s="486"/>
      <c r="WJY71" s="486"/>
      <c r="WJZ71" s="487"/>
      <c r="WKA71" s="486"/>
      <c r="WKB71" s="486"/>
      <c r="WKC71" s="486"/>
      <c r="WKD71" s="486"/>
      <c r="WKE71" s="486"/>
      <c r="WKF71" s="486"/>
      <c r="WKG71" s="486"/>
      <c r="WKH71" s="486"/>
      <c r="WKI71" s="486"/>
      <c r="WKJ71" s="486"/>
      <c r="WKK71" s="486"/>
      <c r="WKL71" s="486"/>
      <c r="WKM71" s="486"/>
      <c r="WKN71" s="486"/>
      <c r="WKO71" s="486"/>
      <c r="WKP71" s="486"/>
      <c r="WKQ71" s="486"/>
      <c r="WKR71" s="486"/>
      <c r="WKS71" s="486"/>
      <c r="WKT71" s="486"/>
      <c r="WKU71" s="486"/>
      <c r="WKV71" s="486"/>
      <c r="WKW71" s="486"/>
      <c r="WKX71" s="486"/>
      <c r="WKY71" s="486"/>
      <c r="WKZ71" s="486"/>
      <c r="WLA71" s="486"/>
      <c r="WLB71" s="486"/>
      <c r="WLC71" s="487"/>
      <c r="WLD71" s="486"/>
      <c r="WLE71" s="486"/>
      <c r="WLF71" s="486"/>
      <c r="WLG71" s="486"/>
      <c r="WLH71" s="486"/>
      <c r="WLI71" s="486"/>
      <c r="WLJ71" s="486"/>
      <c r="WLK71" s="486"/>
      <c r="WLL71" s="486"/>
      <c r="WLM71" s="486"/>
      <c r="WLN71" s="486"/>
      <c r="WLO71" s="486"/>
      <c r="WLP71" s="486"/>
      <c r="WLQ71" s="486"/>
      <c r="WLR71" s="486"/>
      <c r="WLS71" s="486"/>
      <c r="WLT71" s="486"/>
      <c r="WLU71" s="486"/>
      <c r="WLV71" s="486"/>
      <c r="WLW71" s="486"/>
      <c r="WLX71" s="486"/>
      <c r="WLY71" s="486"/>
      <c r="WLZ71" s="486"/>
      <c r="WMA71" s="486"/>
      <c r="WMB71" s="486"/>
      <c r="WMC71" s="486"/>
      <c r="WMD71" s="486"/>
      <c r="WME71" s="486"/>
      <c r="WMF71" s="487"/>
      <c r="WMG71" s="486"/>
      <c r="WMH71" s="486"/>
      <c r="WMI71" s="486"/>
      <c r="WMJ71" s="486"/>
      <c r="WMK71" s="486"/>
      <c r="WML71" s="486"/>
      <c r="WMM71" s="486"/>
      <c r="WMN71" s="486"/>
      <c r="WMO71" s="486"/>
      <c r="WMP71" s="486"/>
      <c r="WMQ71" s="486"/>
      <c r="WMR71" s="486"/>
      <c r="WMS71" s="486"/>
      <c r="WMT71" s="486"/>
      <c r="WMU71" s="486"/>
      <c r="WMV71" s="486"/>
      <c r="WMW71" s="486"/>
      <c r="WMX71" s="486"/>
      <c r="WMY71" s="486"/>
      <c r="WMZ71" s="486"/>
      <c r="WNA71" s="486"/>
      <c r="WNB71" s="486"/>
      <c r="WNC71" s="486"/>
      <c r="WND71" s="486"/>
      <c r="WNE71" s="486"/>
      <c r="WNF71" s="486"/>
      <c r="WNG71" s="486"/>
      <c r="WNH71" s="486"/>
      <c r="WNI71" s="487"/>
      <c r="WNJ71" s="486"/>
      <c r="WNK71" s="486"/>
      <c r="WNL71" s="486"/>
      <c r="WNM71" s="486"/>
      <c r="WNN71" s="486"/>
      <c r="WNO71" s="486"/>
      <c r="WNP71" s="486"/>
      <c r="WNQ71" s="486"/>
      <c r="WNR71" s="486"/>
      <c r="WNS71" s="486"/>
      <c r="WNT71" s="486"/>
      <c r="WNU71" s="486"/>
      <c r="WNV71" s="486"/>
      <c r="WNW71" s="486"/>
      <c r="WNX71" s="486"/>
      <c r="WNY71" s="486"/>
      <c r="WNZ71" s="486"/>
      <c r="WOA71" s="486"/>
      <c r="WOB71" s="486"/>
      <c r="WOC71" s="486"/>
      <c r="WOD71" s="486"/>
      <c r="WOE71" s="486"/>
      <c r="WOF71" s="486"/>
      <c r="WOG71" s="486"/>
      <c r="WOH71" s="486"/>
      <c r="WOI71" s="486"/>
      <c r="WOJ71" s="486"/>
      <c r="WOK71" s="486"/>
      <c r="WOL71" s="487"/>
      <c r="WOM71" s="486"/>
      <c r="WON71" s="486"/>
      <c r="WOO71" s="486"/>
      <c r="WOP71" s="486"/>
      <c r="WOQ71" s="486"/>
      <c r="WOR71" s="486"/>
      <c r="WOS71" s="486"/>
      <c r="WOT71" s="486"/>
      <c r="WOU71" s="486"/>
      <c r="WOV71" s="486"/>
      <c r="WOW71" s="486"/>
      <c r="WOX71" s="486"/>
      <c r="WOY71" s="486"/>
      <c r="WOZ71" s="486"/>
      <c r="WPA71" s="486"/>
      <c r="WPB71" s="486"/>
      <c r="WPC71" s="486"/>
      <c r="WPD71" s="486"/>
      <c r="WPE71" s="486"/>
      <c r="WPF71" s="486"/>
      <c r="WPG71" s="486"/>
      <c r="WPH71" s="486"/>
      <c r="WPI71" s="486"/>
      <c r="WPJ71" s="486"/>
      <c r="WPK71" s="486"/>
      <c r="WPL71" s="486"/>
      <c r="WPM71" s="486"/>
      <c r="WPN71" s="486"/>
      <c r="WPO71" s="487"/>
      <c r="WPP71" s="486"/>
      <c r="WPQ71" s="486"/>
      <c r="WPR71" s="486"/>
      <c r="WPS71" s="486"/>
      <c r="WPT71" s="486"/>
      <c r="WPU71" s="486"/>
      <c r="WPV71" s="486"/>
      <c r="WPW71" s="486"/>
      <c r="WPX71" s="486"/>
      <c r="WPY71" s="486"/>
      <c r="WPZ71" s="486"/>
      <c r="WQA71" s="486"/>
      <c r="WQB71" s="486"/>
      <c r="WQC71" s="486"/>
      <c r="WQD71" s="486"/>
      <c r="WQE71" s="486"/>
      <c r="WQF71" s="486"/>
      <c r="WQG71" s="486"/>
      <c r="WQH71" s="486"/>
      <c r="WQI71" s="486"/>
      <c r="WQJ71" s="486"/>
      <c r="WQK71" s="486"/>
      <c r="WQL71" s="486"/>
      <c r="WQM71" s="486"/>
      <c r="WQN71" s="486"/>
      <c r="WQO71" s="486"/>
      <c r="WQP71" s="486"/>
      <c r="WQQ71" s="486"/>
      <c r="WQR71" s="487"/>
      <c r="WQS71" s="486"/>
      <c r="WQT71" s="486"/>
      <c r="WQU71" s="486"/>
      <c r="WQV71" s="486"/>
      <c r="WQW71" s="486"/>
      <c r="WQX71" s="486"/>
      <c r="WQY71" s="486"/>
      <c r="WQZ71" s="486"/>
      <c r="WRA71" s="486"/>
      <c r="WRB71" s="486"/>
      <c r="WRC71" s="486"/>
      <c r="WRD71" s="486"/>
      <c r="WRE71" s="486"/>
      <c r="WRF71" s="486"/>
      <c r="WRG71" s="486"/>
      <c r="WRH71" s="486"/>
      <c r="WRI71" s="486"/>
      <c r="WRJ71" s="486"/>
      <c r="WRK71" s="486"/>
      <c r="WRL71" s="486"/>
      <c r="WRM71" s="486"/>
      <c r="WRN71" s="486"/>
      <c r="WRO71" s="486"/>
      <c r="WRP71" s="486"/>
      <c r="WRQ71" s="486"/>
      <c r="WRR71" s="486"/>
      <c r="WRS71" s="486"/>
      <c r="WRT71" s="486"/>
      <c r="WRU71" s="487"/>
      <c r="WRV71" s="486"/>
      <c r="WRW71" s="486"/>
      <c r="WRX71" s="486"/>
      <c r="WRY71" s="486"/>
      <c r="WRZ71" s="486"/>
      <c r="WSA71" s="486"/>
      <c r="WSB71" s="486"/>
      <c r="WSC71" s="486"/>
      <c r="WSD71" s="486"/>
      <c r="WSE71" s="486"/>
      <c r="WSF71" s="486"/>
      <c r="WSG71" s="486"/>
      <c r="WSH71" s="486"/>
      <c r="WSI71" s="486"/>
      <c r="WSJ71" s="486"/>
      <c r="WSK71" s="486"/>
      <c r="WSL71" s="486"/>
      <c r="WSM71" s="486"/>
      <c r="WSN71" s="486"/>
      <c r="WSO71" s="486"/>
      <c r="WSP71" s="486"/>
      <c r="WSQ71" s="486"/>
      <c r="WSR71" s="486"/>
      <c r="WSS71" s="486"/>
      <c r="WST71" s="486"/>
      <c r="WSU71" s="486"/>
      <c r="WSV71" s="486"/>
      <c r="WSW71" s="486"/>
      <c r="WSX71" s="487"/>
      <c r="WSY71" s="486"/>
      <c r="WSZ71" s="486"/>
      <c r="WTA71" s="486"/>
      <c r="WTB71" s="486"/>
      <c r="WTC71" s="486"/>
      <c r="WTD71" s="486"/>
      <c r="WTE71" s="486"/>
      <c r="WTF71" s="486"/>
      <c r="WTG71" s="486"/>
      <c r="WTH71" s="486"/>
      <c r="WTI71" s="486"/>
      <c r="WTJ71" s="486"/>
      <c r="WTK71" s="486"/>
      <c r="WTL71" s="486"/>
      <c r="WTM71" s="486"/>
      <c r="WTN71" s="486"/>
      <c r="WTO71" s="486"/>
      <c r="WTP71" s="486"/>
      <c r="WTQ71" s="486"/>
      <c r="WTR71" s="486"/>
      <c r="WTS71" s="486"/>
      <c r="WTT71" s="486"/>
      <c r="WTU71" s="486"/>
      <c r="WTV71" s="486"/>
      <c r="WTW71" s="486"/>
      <c r="WTX71" s="486"/>
      <c r="WTY71" s="486"/>
      <c r="WTZ71" s="486"/>
      <c r="WUA71" s="487"/>
      <c r="WUB71" s="486"/>
      <c r="WUC71" s="486"/>
      <c r="WUD71" s="486"/>
      <c r="WUE71" s="486"/>
      <c r="WUF71" s="486"/>
      <c r="WUG71" s="486"/>
      <c r="WUH71" s="486"/>
      <c r="WUI71" s="486"/>
      <c r="WUJ71" s="486"/>
      <c r="WUK71" s="486"/>
      <c r="WUL71" s="486"/>
      <c r="WUM71" s="486"/>
      <c r="WUN71" s="486"/>
      <c r="WUO71" s="486"/>
      <c r="WUP71" s="486"/>
      <c r="WUQ71" s="486"/>
      <c r="WUR71" s="486"/>
      <c r="WUS71" s="486"/>
      <c r="WUT71" s="486"/>
      <c r="WUU71" s="486"/>
      <c r="WUV71" s="486"/>
      <c r="WUW71" s="486"/>
      <c r="WUX71" s="486"/>
      <c r="WUY71" s="486"/>
      <c r="WUZ71" s="486"/>
      <c r="WVA71" s="486"/>
      <c r="WVB71" s="486"/>
      <c r="WVC71" s="486"/>
      <c r="WVD71" s="487"/>
      <c r="WVE71" s="486"/>
      <c r="WVF71" s="486"/>
      <c r="WVG71" s="486"/>
      <c r="WVH71" s="486"/>
      <c r="WVI71" s="486"/>
      <c r="WVJ71" s="486"/>
      <c r="WVK71" s="486"/>
      <c r="WVL71" s="486"/>
      <c r="WVM71" s="486"/>
      <c r="WVN71" s="486"/>
      <c r="WVO71" s="486"/>
      <c r="WVP71" s="486"/>
      <c r="WVQ71" s="486"/>
      <c r="WVR71" s="486"/>
      <c r="WVS71" s="486"/>
      <c r="WVT71" s="486"/>
      <c r="WVU71" s="486"/>
      <c r="WVV71" s="486"/>
      <c r="WVW71" s="486"/>
      <c r="WVX71" s="486"/>
      <c r="WVY71" s="486"/>
      <c r="WVZ71" s="486"/>
      <c r="WWA71" s="486"/>
      <c r="WWB71" s="486"/>
      <c r="WWC71" s="486"/>
      <c r="WWD71" s="486"/>
      <c r="WWE71" s="486"/>
      <c r="WWF71" s="486"/>
      <c r="WWG71" s="487"/>
      <c r="WWH71" s="486"/>
      <c r="WWI71" s="486"/>
      <c r="WWJ71" s="486"/>
      <c r="WWK71" s="486"/>
      <c r="WWL71" s="486"/>
      <c r="WWM71" s="486"/>
      <c r="WWN71" s="486"/>
      <c r="WWO71" s="486"/>
      <c r="WWP71" s="486"/>
      <c r="WWQ71" s="486"/>
      <c r="WWR71" s="486"/>
      <c r="WWS71" s="486"/>
      <c r="WWT71" s="486"/>
      <c r="WWU71" s="486"/>
      <c r="WWV71" s="486"/>
      <c r="WWW71" s="486"/>
      <c r="WWX71" s="486"/>
      <c r="WWY71" s="486"/>
      <c r="WWZ71" s="486"/>
      <c r="WXA71" s="486"/>
      <c r="WXB71" s="486"/>
      <c r="WXC71" s="486"/>
      <c r="WXD71" s="486"/>
      <c r="WXE71" s="486"/>
      <c r="WXF71" s="486"/>
      <c r="WXG71" s="486"/>
      <c r="WXH71" s="486"/>
      <c r="WXI71" s="486"/>
      <c r="WXJ71" s="487"/>
      <c r="WXK71" s="486"/>
      <c r="WXL71" s="486"/>
      <c r="WXM71" s="486"/>
      <c r="WXN71" s="486"/>
      <c r="WXO71" s="486"/>
      <c r="WXP71" s="486"/>
      <c r="WXQ71" s="486"/>
      <c r="WXR71" s="486"/>
      <c r="WXS71" s="486"/>
      <c r="WXT71" s="486"/>
      <c r="WXU71" s="486"/>
      <c r="WXV71" s="486"/>
      <c r="WXW71" s="486"/>
      <c r="WXX71" s="486"/>
      <c r="WXY71" s="486"/>
      <c r="WXZ71" s="486"/>
      <c r="WYA71" s="486"/>
      <c r="WYB71" s="486"/>
      <c r="WYC71" s="486"/>
      <c r="WYD71" s="486"/>
      <c r="WYE71" s="486"/>
      <c r="WYF71" s="486"/>
      <c r="WYG71" s="486"/>
      <c r="WYH71" s="486"/>
      <c r="WYI71" s="486"/>
      <c r="WYJ71" s="486"/>
      <c r="WYK71" s="486"/>
      <c r="WYL71" s="486"/>
      <c r="WYM71" s="487"/>
      <c r="WYN71" s="486"/>
      <c r="WYO71" s="486"/>
      <c r="WYP71" s="486"/>
      <c r="WYQ71" s="486"/>
      <c r="WYR71" s="486"/>
      <c r="WYS71" s="486"/>
      <c r="WYT71" s="486"/>
      <c r="WYU71" s="486"/>
      <c r="WYV71" s="486"/>
      <c r="WYW71" s="486"/>
      <c r="WYX71" s="486"/>
      <c r="WYY71" s="486"/>
      <c r="WYZ71" s="486"/>
      <c r="WZA71" s="486"/>
      <c r="WZB71" s="486"/>
      <c r="WZC71" s="486"/>
      <c r="WZD71" s="486"/>
      <c r="WZE71" s="486"/>
      <c r="WZF71" s="486"/>
      <c r="WZG71" s="486"/>
      <c r="WZH71" s="486"/>
      <c r="WZI71" s="486"/>
      <c r="WZJ71" s="486"/>
      <c r="WZK71" s="486"/>
      <c r="WZL71" s="486"/>
      <c r="WZM71" s="486"/>
      <c r="WZN71" s="486"/>
      <c r="WZO71" s="486"/>
      <c r="WZP71" s="487"/>
      <c r="WZQ71" s="486"/>
      <c r="WZR71" s="486"/>
      <c r="WZS71" s="486"/>
      <c r="WZT71" s="486"/>
      <c r="WZU71" s="486"/>
      <c r="WZV71" s="486"/>
      <c r="WZW71" s="486"/>
      <c r="WZX71" s="486"/>
      <c r="WZY71" s="486"/>
      <c r="WZZ71" s="486"/>
      <c r="XAA71" s="486"/>
      <c r="XAB71" s="486"/>
      <c r="XAC71" s="486"/>
      <c r="XAD71" s="486"/>
      <c r="XAE71" s="486"/>
      <c r="XAF71" s="486"/>
      <c r="XAG71" s="486"/>
      <c r="XAH71" s="486"/>
      <c r="XAI71" s="486"/>
      <c r="XAJ71" s="486"/>
      <c r="XAK71" s="486"/>
      <c r="XAL71" s="486"/>
      <c r="XAM71" s="486"/>
      <c r="XAN71" s="486"/>
      <c r="XAO71" s="486"/>
      <c r="XAP71" s="486"/>
      <c r="XAQ71" s="486"/>
      <c r="XAR71" s="486"/>
      <c r="XAS71" s="487"/>
      <c r="XAT71" s="486"/>
      <c r="XAU71" s="486"/>
      <c r="XAV71" s="486"/>
      <c r="XAW71" s="486"/>
      <c r="XAX71" s="486"/>
      <c r="XAY71" s="486"/>
      <c r="XAZ71" s="486"/>
      <c r="XBA71" s="486"/>
      <c r="XBB71" s="486"/>
      <c r="XBC71" s="486"/>
      <c r="XBD71" s="486"/>
      <c r="XBE71" s="486"/>
      <c r="XBF71" s="486"/>
      <c r="XBG71" s="486"/>
      <c r="XBH71" s="486"/>
      <c r="XBI71" s="486"/>
      <c r="XBJ71" s="486"/>
      <c r="XBK71" s="486"/>
      <c r="XBL71" s="486"/>
      <c r="XBM71" s="486"/>
      <c r="XBN71" s="486"/>
      <c r="XBO71" s="486"/>
      <c r="XBP71" s="486"/>
      <c r="XBQ71" s="486"/>
      <c r="XBR71" s="486"/>
      <c r="XBS71" s="486"/>
      <c r="XBT71" s="486"/>
      <c r="XBU71" s="486"/>
      <c r="XBV71" s="487"/>
      <c r="XBW71" s="486"/>
      <c r="XBX71" s="486"/>
      <c r="XBY71" s="486"/>
      <c r="XBZ71" s="486"/>
      <c r="XCA71" s="486"/>
      <c r="XCB71" s="486"/>
      <c r="XCC71" s="486"/>
      <c r="XCD71" s="486"/>
      <c r="XCE71" s="486"/>
      <c r="XCF71" s="486"/>
      <c r="XCG71" s="486"/>
      <c r="XCH71" s="486"/>
      <c r="XCI71" s="486"/>
      <c r="XCJ71" s="486"/>
      <c r="XCK71" s="486"/>
      <c r="XCL71" s="486"/>
      <c r="XCM71" s="486"/>
      <c r="XCN71" s="486"/>
      <c r="XCO71" s="486"/>
      <c r="XCP71" s="486"/>
      <c r="XCQ71" s="486"/>
      <c r="XCR71" s="486"/>
      <c r="XCS71" s="486"/>
      <c r="XCT71" s="486"/>
      <c r="XCU71" s="486"/>
      <c r="XCV71" s="486"/>
      <c r="XCW71" s="486"/>
      <c r="XCX71" s="486"/>
      <c r="XCY71" s="487"/>
      <c r="XCZ71" s="486"/>
      <c r="XDA71" s="486"/>
      <c r="XDB71" s="486"/>
      <c r="XDC71" s="486"/>
      <c r="XDD71" s="486"/>
      <c r="XDE71" s="486"/>
      <c r="XDF71" s="486"/>
      <c r="XDG71" s="486"/>
      <c r="XDH71" s="486"/>
      <c r="XDI71" s="486"/>
      <c r="XDJ71" s="486"/>
      <c r="XDK71" s="486"/>
      <c r="XDL71" s="486"/>
      <c r="XDM71" s="486"/>
      <c r="XDN71" s="486"/>
      <c r="XDO71" s="486"/>
      <c r="XDP71" s="486"/>
      <c r="XDQ71" s="486"/>
      <c r="XDR71" s="486"/>
      <c r="XDS71" s="486"/>
      <c r="XDT71" s="486"/>
      <c r="XDU71" s="486"/>
      <c r="XDV71" s="486"/>
      <c r="XDW71" s="486"/>
      <c r="XDX71" s="486"/>
      <c r="XDY71" s="486"/>
      <c r="XDZ71" s="486"/>
      <c r="XEA71" s="486"/>
      <c r="XEB71" s="487"/>
      <c r="XEC71" s="486"/>
      <c r="XED71" s="486"/>
      <c r="XEE71" s="486"/>
      <c r="XEF71" s="486"/>
      <c r="XEG71" s="486"/>
      <c r="XEH71" s="486"/>
      <c r="XEI71" s="486"/>
      <c r="XEJ71" s="486"/>
      <c r="XEK71" s="486"/>
      <c r="XEL71" s="486"/>
      <c r="XEM71" s="486"/>
      <c r="XEN71" s="486"/>
      <c r="XEO71" s="486"/>
      <c r="XEP71" s="486"/>
      <c r="XEQ71" s="486"/>
      <c r="XER71" s="486"/>
      <c r="XES71" s="486"/>
      <c r="XET71" s="486"/>
      <c r="XEU71" s="486"/>
      <c r="XEV71" s="486"/>
      <c r="XEW71" s="486"/>
      <c r="XEX71" s="486"/>
      <c r="XEY71" s="486"/>
      <c r="XEZ71" s="486"/>
      <c r="XFA71" s="486"/>
      <c r="XFB71" s="486"/>
      <c r="XFC71" s="486"/>
      <c r="XFD71" s="486"/>
    </row>
    <row r="72" spans="1:16384" s="346" customFormat="1" ht="26.45" customHeight="1" x14ac:dyDescent="0.2">
      <c r="A72" s="439" t="s">
        <v>386</v>
      </c>
      <c r="B72" s="445" t="s">
        <v>106</v>
      </c>
      <c r="C72" s="445" t="s">
        <v>372</v>
      </c>
      <c r="D72" s="428" t="s">
        <v>383</v>
      </c>
      <c r="E72" s="342" t="s">
        <v>347</v>
      </c>
      <c r="F72" s="256">
        <v>0</v>
      </c>
      <c r="G72" s="256">
        <v>0</v>
      </c>
      <c r="H72" s="256">
        <v>0</v>
      </c>
      <c r="I72" s="256">
        <v>0</v>
      </c>
      <c r="J72" s="256">
        <v>0</v>
      </c>
      <c r="K72" s="256">
        <v>0</v>
      </c>
      <c r="L72" s="256">
        <v>0.1</v>
      </c>
      <c r="M72" s="256">
        <v>0.5</v>
      </c>
      <c r="N72" s="256">
        <v>0.25</v>
      </c>
      <c r="O72" s="256">
        <v>0.25</v>
      </c>
      <c r="P72" s="256">
        <v>0.05</v>
      </c>
      <c r="Q72" s="256">
        <v>0.25</v>
      </c>
      <c r="R72" s="256">
        <v>0.95</v>
      </c>
      <c r="S72" s="256">
        <v>0.95</v>
      </c>
      <c r="T72" s="256">
        <v>0.25</v>
      </c>
      <c r="U72" s="256">
        <v>0.2</v>
      </c>
      <c r="V72" s="256">
        <v>0.2</v>
      </c>
      <c r="W72" s="256">
        <v>0.2</v>
      </c>
      <c r="X72" s="256">
        <v>0.15</v>
      </c>
      <c r="Y72" s="256">
        <v>0.15</v>
      </c>
      <c r="Z72" s="256">
        <v>0</v>
      </c>
      <c r="AA72" s="256">
        <v>0</v>
      </c>
      <c r="AB72" s="256">
        <v>0</v>
      </c>
      <c r="AC72" s="257">
        <v>0</v>
      </c>
      <c r="AD72" s="44"/>
      <c r="AE72" s="44"/>
      <c r="AF72" s="44"/>
      <c r="AG72" s="44"/>
      <c r="AH72" s="44"/>
      <c r="AI72" s="44"/>
      <c r="AJ72" s="44"/>
    </row>
    <row r="73" spans="1:16384" s="346" customFormat="1" ht="26.45" customHeight="1" x14ac:dyDescent="0.2">
      <c r="A73" s="440"/>
      <c r="B73" s="446"/>
      <c r="C73" s="446"/>
      <c r="D73" s="429"/>
      <c r="E73" s="336" t="s">
        <v>345</v>
      </c>
      <c r="F73" s="273">
        <v>0</v>
      </c>
      <c r="G73" s="273">
        <v>0</v>
      </c>
      <c r="H73" s="273">
        <v>0</v>
      </c>
      <c r="I73" s="273">
        <v>0</v>
      </c>
      <c r="J73" s="273">
        <v>0</v>
      </c>
      <c r="K73" s="273">
        <v>0</v>
      </c>
      <c r="L73" s="273">
        <v>0</v>
      </c>
      <c r="M73" s="273">
        <v>0</v>
      </c>
      <c r="N73" s="273">
        <v>0</v>
      </c>
      <c r="O73" s="273">
        <v>0</v>
      </c>
      <c r="P73" s="273">
        <v>0</v>
      </c>
      <c r="Q73" s="273">
        <v>0</v>
      </c>
      <c r="R73" s="273">
        <v>0</v>
      </c>
      <c r="S73" s="273">
        <v>0</v>
      </c>
      <c r="T73" s="273">
        <v>0</v>
      </c>
      <c r="U73" s="273">
        <v>0</v>
      </c>
      <c r="V73" s="273">
        <v>0</v>
      </c>
      <c r="W73" s="273">
        <v>0</v>
      </c>
      <c r="X73" s="273">
        <v>0</v>
      </c>
      <c r="Y73" s="273">
        <v>0</v>
      </c>
      <c r="Z73" s="273">
        <v>0</v>
      </c>
      <c r="AA73" s="273">
        <v>0</v>
      </c>
      <c r="AB73" s="273">
        <v>0</v>
      </c>
      <c r="AC73" s="274">
        <v>0</v>
      </c>
      <c r="AD73" s="44"/>
      <c r="AE73" s="44"/>
      <c r="AF73" s="44"/>
      <c r="AG73" s="44"/>
      <c r="AH73" s="44"/>
      <c r="AI73" s="44"/>
      <c r="AJ73" s="44"/>
    </row>
    <row r="74" spans="1:16384" s="346" customFormat="1" ht="26.45" customHeight="1" thickBot="1" x14ac:dyDescent="0.25">
      <c r="A74" s="441"/>
      <c r="B74" s="459"/>
      <c r="C74" s="459"/>
      <c r="D74" s="430"/>
      <c r="E74" s="339" t="s">
        <v>346</v>
      </c>
      <c r="F74" s="275">
        <v>0</v>
      </c>
      <c r="G74" s="275">
        <v>0</v>
      </c>
      <c r="H74" s="275">
        <v>0</v>
      </c>
      <c r="I74" s="275">
        <v>0</v>
      </c>
      <c r="J74" s="275">
        <v>0</v>
      </c>
      <c r="K74" s="275">
        <v>0</v>
      </c>
      <c r="L74" s="275">
        <v>0</v>
      </c>
      <c r="M74" s="275">
        <v>0</v>
      </c>
      <c r="N74" s="275">
        <v>0</v>
      </c>
      <c r="O74" s="275">
        <v>0</v>
      </c>
      <c r="P74" s="275">
        <v>0</v>
      </c>
      <c r="Q74" s="275">
        <v>0</v>
      </c>
      <c r="R74" s="275">
        <v>0</v>
      </c>
      <c r="S74" s="275">
        <v>0</v>
      </c>
      <c r="T74" s="275">
        <v>0</v>
      </c>
      <c r="U74" s="275">
        <v>0</v>
      </c>
      <c r="V74" s="275">
        <v>0</v>
      </c>
      <c r="W74" s="275">
        <v>0</v>
      </c>
      <c r="X74" s="275">
        <v>0</v>
      </c>
      <c r="Y74" s="275">
        <v>0</v>
      </c>
      <c r="Z74" s="275">
        <v>0</v>
      </c>
      <c r="AA74" s="275">
        <v>0</v>
      </c>
      <c r="AB74" s="275">
        <v>0</v>
      </c>
      <c r="AC74" s="276">
        <v>0</v>
      </c>
      <c r="AD74" s="44"/>
      <c r="AE74" s="44"/>
      <c r="AF74" s="44"/>
      <c r="AG74" s="44"/>
      <c r="AH74" s="44"/>
      <c r="AI74" s="44"/>
      <c r="AJ74" s="44"/>
    </row>
    <row r="75" spans="1:16384" s="346" customFormat="1" ht="26.45" customHeight="1" x14ac:dyDescent="0.2">
      <c r="A75" s="439" t="s">
        <v>386</v>
      </c>
      <c r="B75" s="445" t="s">
        <v>106</v>
      </c>
      <c r="C75" s="445" t="s">
        <v>379</v>
      </c>
      <c r="D75" s="428" t="s">
        <v>383</v>
      </c>
      <c r="E75" s="258" t="s">
        <v>347</v>
      </c>
      <c r="F75" s="256">
        <v>0</v>
      </c>
      <c r="G75" s="256">
        <v>0</v>
      </c>
      <c r="H75" s="256">
        <v>0</v>
      </c>
      <c r="I75" s="256">
        <v>0</v>
      </c>
      <c r="J75" s="256">
        <v>0</v>
      </c>
      <c r="K75" s="256">
        <v>0</v>
      </c>
      <c r="L75" s="256">
        <v>1</v>
      </c>
      <c r="M75" s="256">
        <v>1</v>
      </c>
      <c r="N75" s="256">
        <v>1</v>
      </c>
      <c r="O75" s="256">
        <v>1</v>
      </c>
      <c r="P75" s="256">
        <v>1</v>
      </c>
      <c r="Q75" s="256">
        <v>1</v>
      </c>
      <c r="R75" s="256">
        <v>1</v>
      </c>
      <c r="S75" s="256">
        <v>1</v>
      </c>
      <c r="T75" s="256">
        <v>1</v>
      </c>
      <c r="U75" s="256">
        <v>1</v>
      </c>
      <c r="V75" s="256">
        <v>1</v>
      </c>
      <c r="W75" s="256">
        <v>1</v>
      </c>
      <c r="X75" s="256">
        <v>1</v>
      </c>
      <c r="Y75" s="256">
        <v>1</v>
      </c>
      <c r="Z75" s="256">
        <v>0</v>
      </c>
      <c r="AA75" s="256">
        <v>0</v>
      </c>
      <c r="AB75" s="256">
        <v>0</v>
      </c>
      <c r="AC75" s="257">
        <v>0</v>
      </c>
      <c r="AD75" s="44"/>
      <c r="AE75" s="44"/>
      <c r="AF75" s="44"/>
      <c r="AG75" s="44"/>
      <c r="AH75" s="44"/>
      <c r="AI75" s="44"/>
      <c r="AJ75" s="44"/>
    </row>
    <row r="76" spans="1:16384" s="346" customFormat="1" ht="26.45" customHeight="1" x14ac:dyDescent="0.2">
      <c r="A76" s="440"/>
      <c r="B76" s="446"/>
      <c r="C76" s="446"/>
      <c r="D76" s="429"/>
      <c r="E76" s="259" t="s">
        <v>345</v>
      </c>
      <c r="F76" s="273">
        <v>0</v>
      </c>
      <c r="G76" s="273">
        <v>0</v>
      </c>
      <c r="H76" s="273">
        <v>0</v>
      </c>
      <c r="I76" s="273">
        <v>0</v>
      </c>
      <c r="J76" s="273">
        <v>0</v>
      </c>
      <c r="K76" s="273">
        <v>0</v>
      </c>
      <c r="L76" s="273">
        <v>0</v>
      </c>
      <c r="M76" s="273">
        <v>0</v>
      </c>
      <c r="N76" s="273">
        <v>0</v>
      </c>
      <c r="O76" s="273">
        <v>0</v>
      </c>
      <c r="P76" s="273">
        <v>0</v>
      </c>
      <c r="Q76" s="273">
        <v>0</v>
      </c>
      <c r="R76" s="273">
        <v>0</v>
      </c>
      <c r="S76" s="273">
        <v>0</v>
      </c>
      <c r="T76" s="273">
        <v>0</v>
      </c>
      <c r="U76" s="273">
        <v>0</v>
      </c>
      <c r="V76" s="273">
        <v>0</v>
      </c>
      <c r="W76" s="273">
        <v>0</v>
      </c>
      <c r="X76" s="273">
        <v>0</v>
      </c>
      <c r="Y76" s="273">
        <v>0</v>
      </c>
      <c r="Z76" s="273">
        <v>0</v>
      </c>
      <c r="AA76" s="273">
        <v>0</v>
      </c>
      <c r="AB76" s="273">
        <v>0</v>
      </c>
      <c r="AC76" s="274">
        <v>0</v>
      </c>
      <c r="AD76" s="44"/>
      <c r="AE76" s="44"/>
      <c r="AF76" s="44"/>
      <c r="AG76" s="44"/>
      <c r="AH76" s="44"/>
      <c r="AI76" s="44"/>
      <c r="AJ76" s="44"/>
    </row>
    <row r="77" spans="1:16384" s="346" customFormat="1" ht="26.45" customHeight="1" thickBot="1" x14ac:dyDescent="0.25">
      <c r="A77" s="441"/>
      <c r="B77" s="459"/>
      <c r="C77" s="459"/>
      <c r="D77" s="430"/>
      <c r="E77" s="260" t="s">
        <v>346</v>
      </c>
      <c r="F77" s="275">
        <v>0</v>
      </c>
      <c r="G77" s="275">
        <v>0</v>
      </c>
      <c r="H77" s="275">
        <v>0</v>
      </c>
      <c r="I77" s="275">
        <v>0</v>
      </c>
      <c r="J77" s="275">
        <v>0</v>
      </c>
      <c r="K77" s="275">
        <v>0</v>
      </c>
      <c r="L77" s="275">
        <v>0</v>
      </c>
      <c r="M77" s="275">
        <v>0</v>
      </c>
      <c r="N77" s="275">
        <v>0</v>
      </c>
      <c r="O77" s="275">
        <v>0</v>
      </c>
      <c r="P77" s="275">
        <v>0</v>
      </c>
      <c r="Q77" s="275">
        <v>0</v>
      </c>
      <c r="R77" s="275">
        <v>0</v>
      </c>
      <c r="S77" s="275">
        <v>0</v>
      </c>
      <c r="T77" s="275">
        <v>0</v>
      </c>
      <c r="U77" s="275">
        <v>0</v>
      </c>
      <c r="V77" s="275">
        <v>0</v>
      </c>
      <c r="W77" s="275">
        <v>0</v>
      </c>
      <c r="X77" s="275">
        <v>0</v>
      </c>
      <c r="Y77" s="275">
        <v>0</v>
      </c>
      <c r="Z77" s="275">
        <v>0</v>
      </c>
      <c r="AA77" s="275">
        <v>0</v>
      </c>
      <c r="AB77" s="275">
        <v>0</v>
      </c>
      <c r="AC77" s="276">
        <v>0</v>
      </c>
      <c r="AD77" s="44"/>
      <c r="AE77" s="44"/>
      <c r="AF77" s="44"/>
      <c r="AG77" s="44"/>
      <c r="AH77" s="44"/>
      <c r="AI77" s="44"/>
      <c r="AJ77" s="44"/>
    </row>
    <row r="78" spans="1:16384" s="346" customFormat="1" ht="26.45" customHeight="1" x14ac:dyDescent="0.2">
      <c r="A78" s="439" t="s">
        <v>386</v>
      </c>
      <c r="B78" s="445" t="s">
        <v>106</v>
      </c>
      <c r="C78" s="445" t="s">
        <v>374</v>
      </c>
      <c r="D78" s="428" t="s">
        <v>383</v>
      </c>
      <c r="E78" s="258" t="s">
        <v>347</v>
      </c>
      <c r="F78" s="256">
        <v>0</v>
      </c>
      <c r="G78" s="256">
        <v>0</v>
      </c>
      <c r="H78" s="256">
        <v>0</v>
      </c>
      <c r="I78" s="256">
        <v>0</v>
      </c>
      <c r="J78" s="256">
        <v>0</v>
      </c>
      <c r="K78" s="256">
        <v>0</v>
      </c>
      <c r="L78" s="256">
        <v>1</v>
      </c>
      <c r="M78" s="256">
        <v>1</v>
      </c>
      <c r="N78" s="256">
        <v>1</v>
      </c>
      <c r="O78" s="256">
        <v>1</v>
      </c>
      <c r="P78" s="256">
        <v>1</v>
      </c>
      <c r="Q78" s="256">
        <v>1</v>
      </c>
      <c r="R78" s="256">
        <v>1</v>
      </c>
      <c r="S78" s="256">
        <v>1</v>
      </c>
      <c r="T78" s="256">
        <v>1</v>
      </c>
      <c r="U78" s="256">
        <v>1</v>
      </c>
      <c r="V78" s="256">
        <v>1</v>
      </c>
      <c r="W78" s="256">
        <v>1</v>
      </c>
      <c r="X78" s="256">
        <v>1</v>
      </c>
      <c r="Y78" s="256">
        <v>1</v>
      </c>
      <c r="Z78" s="256">
        <v>0</v>
      </c>
      <c r="AA78" s="256">
        <v>0</v>
      </c>
      <c r="AB78" s="256">
        <v>0</v>
      </c>
      <c r="AC78" s="257">
        <v>0</v>
      </c>
      <c r="AD78" s="44"/>
      <c r="AE78" s="44"/>
      <c r="AF78" s="44"/>
      <c r="AG78" s="44"/>
      <c r="AH78" s="44"/>
      <c r="AI78" s="44"/>
      <c r="AJ78" s="44"/>
    </row>
    <row r="79" spans="1:16384" s="346" customFormat="1" ht="26.45" customHeight="1" x14ac:dyDescent="0.2">
      <c r="A79" s="440"/>
      <c r="B79" s="446"/>
      <c r="C79" s="446"/>
      <c r="D79" s="429"/>
      <c r="E79" s="259" t="s">
        <v>345</v>
      </c>
      <c r="F79" s="273">
        <v>0</v>
      </c>
      <c r="G79" s="273">
        <v>0</v>
      </c>
      <c r="H79" s="273">
        <v>0</v>
      </c>
      <c r="I79" s="273">
        <v>0</v>
      </c>
      <c r="J79" s="273">
        <v>0</v>
      </c>
      <c r="K79" s="273">
        <v>0</v>
      </c>
      <c r="L79" s="273">
        <v>0</v>
      </c>
      <c r="M79" s="273">
        <v>0</v>
      </c>
      <c r="N79" s="273">
        <v>0</v>
      </c>
      <c r="O79" s="273">
        <v>0</v>
      </c>
      <c r="P79" s="273">
        <v>0</v>
      </c>
      <c r="Q79" s="273">
        <v>0</v>
      </c>
      <c r="R79" s="273">
        <v>0</v>
      </c>
      <c r="S79" s="273">
        <v>0</v>
      </c>
      <c r="T79" s="273">
        <v>0</v>
      </c>
      <c r="U79" s="273">
        <v>0</v>
      </c>
      <c r="V79" s="273">
        <v>0</v>
      </c>
      <c r="W79" s="273">
        <v>0</v>
      </c>
      <c r="X79" s="273">
        <v>0</v>
      </c>
      <c r="Y79" s="273">
        <v>0</v>
      </c>
      <c r="Z79" s="273">
        <v>0</v>
      </c>
      <c r="AA79" s="273">
        <v>0</v>
      </c>
      <c r="AB79" s="273">
        <v>0</v>
      </c>
      <c r="AC79" s="274">
        <v>0</v>
      </c>
      <c r="AD79" s="44"/>
      <c r="AE79" s="44"/>
      <c r="AF79" s="44"/>
      <c r="AG79" s="44"/>
      <c r="AH79" s="44"/>
      <c r="AI79" s="44"/>
      <c r="AJ79" s="44"/>
    </row>
    <row r="80" spans="1:16384" s="346" customFormat="1" ht="26.45" customHeight="1" thickBot="1" x14ac:dyDescent="0.25">
      <c r="A80" s="485"/>
      <c r="B80" s="447"/>
      <c r="C80" s="447"/>
      <c r="D80" s="448"/>
      <c r="E80" s="260" t="s">
        <v>346</v>
      </c>
      <c r="F80" s="275">
        <v>0</v>
      </c>
      <c r="G80" s="275">
        <v>0</v>
      </c>
      <c r="H80" s="275">
        <v>0</v>
      </c>
      <c r="I80" s="275">
        <v>0</v>
      </c>
      <c r="J80" s="275">
        <v>0</v>
      </c>
      <c r="K80" s="275">
        <v>0</v>
      </c>
      <c r="L80" s="275">
        <v>0</v>
      </c>
      <c r="M80" s="275">
        <v>0</v>
      </c>
      <c r="N80" s="275">
        <v>0</v>
      </c>
      <c r="O80" s="275">
        <v>0</v>
      </c>
      <c r="P80" s="275">
        <v>0</v>
      </c>
      <c r="Q80" s="275">
        <v>0</v>
      </c>
      <c r="R80" s="275">
        <v>0</v>
      </c>
      <c r="S80" s="275">
        <v>0</v>
      </c>
      <c r="T80" s="275">
        <v>0</v>
      </c>
      <c r="U80" s="275">
        <v>0</v>
      </c>
      <c r="V80" s="275">
        <v>0</v>
      </c>
      <c r="W80" s="275">
        <v>0</v>
      </c>
      <c r="X80" s="275">
        <v>0</v>
      </c>
      <c r="Y80" s="275">
        <v>0</v>
      </c>
      <c r="Z80" s="275">
        <v>0</v>
      </c>
      <c r="AA80" s="275">
        <v>0</v>
      </c>
      <c r="AB80" s="275">
        <v>0</v>
      </c>
      <c r="AC80" s="276">
        <v>0</v>
      </c>
      <c r="AD80" s="44"/>
      <c r="AE80" s="44"/>
      <c r="AF80" s="44"/>
      <c r="AG80" s="44"/>
      <c r="AH80" s="44"/>
      <c r="AI80" s="44"/>
      <c r="AJ80" s="44"/>
    </row>
    <row r="81" spans="1:36" s="346" customFormat="1" ht="26.45" customHeight="1" x14ac:dyDescent="0.2">
      <c r="A81" s="439" t="s">
        <v>386</v>
      </c>
      <c r="B81" s="445" t="s">
        <v>106</v>
      </c>
      <c r="C81" s="445" t="s">
        <v>375</v>
      </c>
      <c r="D81" s="428" t="s">
        <v>383</v>
      </c>
      <c r="E81" s="258" t="s">
        <v>347</v>
      </c>
      <c r="F81" s="256">
        <v>0.15</v>
      </c>
      <c r="G81" s="256">
        <v>0.15</v>
      </c>
      <c r="H81" s="256">
        <v>0.15</v>
      </c>
      <c r="I81" s="256">
        <v>0.15</v>
      </c>
      <c r="J81" s="256">
        <v>0.15</v>
      </c>
      <c r="K81" s="256">
        <v>0.2</v>
      </c>
      <c r="L81" s="256">
        <v>0.3</v>
      </c>
      <c r="M81" s="256">
        <v>0.9</v>
      </c>
      <c r="N81" s="256">
        <v>0.9</v>
      </c>
      <c r="O81" s="256">
        <v>0.8</v>
      </c>
      <c r="P81" s="256">
        <v>0.8</v>
      </c>
      <c r="Q81" s="256">
        <v>0.8</v>
      </c>
      <c r="R81" s="256">
        <v>0.9</v>
      </c>
      <c r="S81" s="256">
        <v>0.9</v>
      </c>
      <c r="T81" s="256">
        <v>0.9</v>
      </c>
      <c r="U81" s="256">
        <v>0.7</v>
      </c>
      <c r="V81" s="256">
        <v>0.2</v>
      </c>
      <c r="W81" s="256">
        <v>0.15</v>
      </c>
      <c r="X81" s="256">
        <v>0.15</v>
      </c>
      <c r="Y81" s="256">
        <v>0.15</v>
      </c>
      <c r="Z81" s="256">
        <v>0.15</v>
      </c>
      <c r="AA81" s="256">
        <v>0.15</v>
      </c>
      <c r="AB81" s="256">
        <v>0.15</v>
      </c>
      <c r="AC81" s="257">
        <v>0.15</v>
      </c>
      <c r="AD81" s="44"/>
      <c r="AE81" s="44"/>
      <c r="AF81" s="44"/>
      <c r="AG81" s="44"/>
      <c r="AH81" s="44"/>
      <c r="AI81" s="44"/>
      <c r="AJ81" s="44"/>
    </row>
    <row r="82" spans="1:36" s="346" customFormat="1" ht="26.45" customHeight="1" x14ac:dyDescent="0.2">
      <c r="A82" s="440"/>
      <c r="B82" s="446"/>
      <c r="C82" s="446"/>
      <c r="D82" s="429"/>
      <c r="E82" s="259" t="s">
        <v>345</v>
      </c>
      <c r="F82" s="273">
        <v>0</v>
      </c>
      <c r="G82" s="273">
        <v>0</v>
      </c>
      <c r="H82" s="273">
        <v>0</v>
      </c>
      <c r="I82" s="273">
        <v>0</v>
      </c>
      <c r="J82" s="273">
        <v>0</v>
      </c>
      <c r="K82" s="273">
        <v>0</v>
      </c>
      <c r="L82" s="273">
        <v>0</v>
      </c>
      <c r="M82" s="273">
        <v>0</v>
      </c>
      <c r="N82" s="273">
        <v>0</v>
      </c>
      <c r="O82" s="273">
        <v>0</v>
      </c>
      <c r="P82" s="273">
        <v>0</v>
      </c>
      <c r="Q82" s="273">
        <v>0</v>
      </c>
      <c r="R82" s="273">
        <v>0</v>
      </c>
      <c r="S82" s="273">
        <v>0</v>
      </c>
      <c r="T82" s="273">
        <v>0</v>
      </c>
      <c r="U82" s="273">
        <v>0</v>
      </c>
      <c r="V82" s="273">
        <v>0</v>
      </c>
      <c r="W82" s="273">
        <v>0</v>
      </c>
      <c r="X82" s="273">
        <v>0</v>
      </c>
      <c r="Y82" s="273">
        <v>0</v>
      </c>
      <c r="Z82" s="273">
        <v>0</v>
      </c>
      <c r="AA82" s="273">
        <v>0</v>
      </c>
      <c r="AB82" s="273">
        <v>0</v>
      </c>
      <c r="AC82" s="274">
        <v>0</v>
      </c>
      <c r="AD82" s="44"/>
      <c r="AE82" s="44"/>
      <c r="AF82" s="44"/>
      <c r="AG82" s="44"/>
      <c r="AH82" s="44"/>
      <c r="AI82" s="44"/>
      <c r="AJ82" s="44"/>
    </row>
    <row r="83" spans="1:36" s="346" customFormat="1" ht="26.45" customHeight="1" thickBot="1" x14ac:dyDescent="0.25">
      <c r="A83" s="441"/>
      <c r="B83" s="459"/>
      <c r="C83" s="459"/>
      <c r="D83" s="430"/>
      <c r="E83" s="260" t="s">
        <v>346</v>
      </c>
      <c r="F83" s="275">
        <v>0</v>
      </c>
      <c r="G83" s="275">
        <v>0</v>
      </c>
      <c r="H83" s="275">
        <v>0</v>
      </c>
      <c r="I83" s="275">
        <v>0</v>
      </c>
      <c r="J83" s="275">
        <v>0</v>
      </c>
      <c r="K83" s="275">
        <v>0</v>
      </c>
      <c r="L83" s="275">
        <v>0</v>
      </c>
      <c r="M83" s="275">
        <v>0</v>
      </c>
      <c r="N83" s="275">
        <v>0</v>
      </c>
      <c r="O83" s="275">
        <v>0</v>
      </c>
      <c r="P83" s="275">
        <v>0</v>
      </c>
      <c r="Q83" s="275">
        <v>0</v>
      </c>
      <c r="R83" s="275">
        <v>0</v>
      </c>
      <c r="S83" s="275">
        <v>0</v>
      </c>
      <c r="T83" s="275">
        <v>0</v>
      </c>
      <c r="U83" s="275">
        <v>0</v>
      </c>
      <c r="V83" s="275">
        <v>0</v>
      </c>
      <c r="W83" s="275">
        <v>0</v>
      </c>
      <c r="X83" s="275">
        <v>0</v>
      </c>
      <c r="Y83" s="275">
        <v>0</v>
      </c>
      <c r="Z83" s="275">
        <v>0</v>
      </c>
      <c r="AA83" s="275">
        <v>0</v>
      </c>
      <c r="AB83" s="275">
        <v>0</v>
      </c>
      <c r="AC83" s="276">
        <v>0</v>
      </c>
      <c r="AD83" s="44"/>
      <c r="AE83" s="44"/>
      <c r="AF83" s="44"/>
      <c r="AG83" s="44"/>
      <c r="AH83" s="44"/>
      <c r="AI83" s="44"/>
      <c r="AJ83" s="44"/>
    </row>
    <row r="84" spans="1:36" s="346" customFormat="1" ht="23.45" customHeight="1" x14ac:dyDescent="0.2">
      <c r="A84" s="439" t="s">
        <v>386</v>
      </c>
      <c r="B84" s="445" t="s">
        <v>106</v>
      </c>
      <c r="C84" s="434" t="s">
        <v>380</v>
      </c>
      <c r="D84" s="428" t="s">
        <v>383</v>
      </c>
      <c r="E84" s="258" t="s">
        <v>347</v>
      </c>
      <c r="F84" s="281">
        <f>IF(F75=1,Thermostat!$B$3,Thermostat!$B$4)</f>
        <v>60</v>
      </c>
      <c r="G84" s="281">
        <f>IF(G75=1,Thermostat!$B$3,Thermostat!$B$4)</f>
        <v>60</v>
      </c>
      <c r="H84" s="281">
        <f>IF(H75=1,Thermostat!$B$3,Thermostat!$B$4)</f>
        <v>60</v>
      </c>
      <c r="I84" s="281">
        <f>IF(I75=1,Thermostat!$B$3,Thermostat!$B$4)</f>
        <v>60</v>
      </c>
      <c r="J84" s="281">
        <f>IF(J75=1,Thermostat!$B$3,Thermostat!$B$4)</f>
        <v>60</v>
      </c>
      <c r="K84" s="281">
        <f>IF(K75=1,Thermostat!$B$3,Thermostat!$B$4)</f>
        <v>60</v>
      </c>
      <c r="L84" s="281">
        <f>IF(L75=1,Thermostat!$B$3,Thermostat!$B$4)</f>
        <v>70</v>
      </c>
      <c r="M84" s="281">
        <f>IF(M75=1,Thermostat!$B$3,Thermostat!$B$4)</f>
        <v>70</v>
      </c>
      <c r="N84" s="281">
        <f>IF(N75=1,Thermostat!$B$3,Thermostat!$B$4)</f>
        <v>70</v>
      </c>
      <c r="O84" s="281">
        <f>IF(O75=1,Thermostat!$B$3,Thermostat!$B$4)</f>
        <v>70</v>
      </c>
      <c r="P84" s="281">
        <f>IF(P75=1,Thermostat!$B$3,Thermostat!$B$4)</f>
        <v>70</v>
      </c>
      <c r="Q84" s="281">
        <f>IF(Q75=1,Thermostat!$B$3,Thermostat!$B$4)</f>
        <v>70</v>
      </c>
      <c r="R84" s="281">
        <f>IF(R75=1,Thermostat!$B$3,Thermostat!$B$4)</f>
        <v>70</v>
      </c>
      <c r="S84" s="281">
        <f>IF(S75=1,Thermostat!$B$3,Thermostat!$B$4)</f>
        <v>70</v>
      </c>
      <c r="T84" s="281">
        <f>IF(T75=1,Thermostat!$B$3,Thermostat!$B$4)</f>
        <v>70</v>
      </c>
      <c r="U84" s="281">
        <f>IF(U75=1,Thermostat!$B$3,Thermostat!$B$4)</f>
        <v>70</v>
      </c>
      <c r="V84" s="281">
        <f>IF(V75=1,Thermostat!$B$3,Thermostat!$B$4)</f>
        <v>70</v>
      </c>
      <c r="W84" s="281">
        <f>IF(W75=1,Thermostat!$B$3,Thermostat!$B$4)</f>
        <v>70</v>
      </c>
      <c r="X84" s="281">
        <f>IF(X75=1,Thermostat!$B$3,Thermostat!$B$4)</f>
        <v>70</v>
      </c>
      <c r="Y84" s="281">
        <f>IF(Y75=1,Thermostat!$B$3,Thermostat!$B$4)</f>
        <v>70</v>
      </c>
      <c r="Z84" s="281">
        <f>IF(Z75=1,Thermostat!$B$3,Thermostat!$B$4)</f>
        <v>60</v>
      </c>
      <c r="AA84" s="281">
        <f>IF(AA75=1,Thermostat!$B$3,Thermostat!$B$4)</f>
        <v>60</v>
      </c>
      <c r="AB84" s="281">
        <f>IF(AB75=1,Thermostat!$B$3,Thermostat!$B$4)</f>
        <v>60</v>
      </c>
      <c r="AC84" s="282">
        <f>IF(AC75=1,Thermostat!$B$3,Thermostat!$B$4)</f>
        <v>60</v>
      </c>
      <c r="AD84" s="44"/>
      <c r="AE84" s="44"/>
      <c r="AF84" s="44"/>
      <c r="AG84" s="44"/>
      <c r="AH84" s="44"/>
      <c r="AI84" s="44"/>
      <c r="AJ84" s="44"/>
    </row>
    <row r="85" spans="1:36" s="346" customFormat="1" ht="23.45" customHeight="1" x14ac:dyDescent="0.2">
      <c r="A85" s="440"/>
      <c r="B85" s="446"/>
      <c r="C85" s="435"/>
      <c r="D85" s="429"/>
      <c r="E85" s="259" t="s">
        <v>345</v>
      </c>
      <c r="F85" s="277">
        <f>IF(F76=1,Thermostat!$B$3,Thermostat!$B$4)</f>
        <v>60</v>
      </c>
      <c r="G85" s="277">
        <f>IF(G76=1,Thermostat!$B$3,Thermostat!$B$4)</f>
        <v>60</v>
      </c>
      <c r="H85" s="277">
        <f>IF(H76=1,Thermostat!$B$3,Thermostat!$B$4)</f>
        <v>60</v>
      </c>
      <c r="I85" s="277">
        <f>IF(I76=1,Thermostat!$B$3,Thermostat!$B$4)</f>
        <v>60</v>
      </c>
      <c r="J85" s="277">
        <f>IF(J76=1,Thermostat!$B$3,Thermostat!$B$4)</f>
        <v>60</v>
      </c>
      <c r="K85" s="277">
        <f>IF(K76=1,Thermostat!$B$3,Thermostat!$B$4)</f>
        <v>60</v>
      </c>
      <c r="L85" s="277">
        <f>IF(L76=1,Thermostat!$B$3,Thermostat!$B$4)</f>
        <v>60</v>
      </c>
      <c r="M85" s="277">
        <f>IF(M76=1,Thermostat!$B$3,Thermostat!$B$4)</f>
        <v>60</v>
      </c>
      <c r="N85" s="277">
        <f>IF(N76=1,Thermostat!$B$3,Thermostat!$B$4)</f>
        <v>60</v>
      </c>
      <c r="O85" s="277">
        <f>IF(O76=1,Thermostat!$B$3,Thermostat!$B$4)</f>
        <v>60</v>
      </c>
      <c r="P85" s="277">
        <f>IF(P76=1,Thermostat!$B$3,Thermostat!$B$4)</f>
        <v>60</v>
      </c>
      <c r="Q85" s="277">
        <f>IF(Q76=1,Thermostat!$B$3,Thermostat!$B$4)</f>
        <v>60</v>
      </c>
      <c r="R85" s="277">
        <f>IF(R76=1,Thermostat!$B$3,Thermostat!$B$4)</f>
        <v>60</v>
      </c>
      <c r="S85" s="277">
        <f>IF(S76=1,Thermostat!$B$3,Thermostat!$B$4)</f>
        <v>60</v>
      </c>
      <c r="T85" s="277">
        <f>IF(T76=1,Thermostat!$B$3,Thermostat!$B$4)</f>
        <v>60</v>
      </c>
      <c r="U85" s="277">
        <f>IF(U76=1,Thermostat!$B$3,Thermostat!$B$4)</f>
        <v>60</v>
      </c>
      <c r="V85" s="277">
        <f>IF(V76=1,Thermostat!$B$3,Thermostat!$B$4)</f>
        <v>60</v>
      </c>
      <c r="W85" s="277">
        <f>IF(W76=1,Thermostat!$B$3,Thermostat!$B$4)</f>
        <v>60</v>
      </c>
      <c r="X85" s="277">
        <f>IF(X76=1,Thermostat!$B$3,Thermostat!$B$4)</f>
        <v>60</v>
      </c>
      <c r="Y85" s="277">
        <f>IF(Y76=1,Thermostat!$B$3,Thermostat!$B$4)</f>
        <v>60</v>
      </c>
      <c r="Z85" s="277">
        <f>IF(Z76=1,Thermostat!$B$3,Thermostat!$B$4)</f>
        <v>60</v>
      </c>
      <c r="AA85" s="277">
        <f>IF(AA76=1,Thermostat!$B$3,Thermostat!$B$4)</f>
        <v>60</v>
      </c>
      <c r="AB85" s="277">
        <f>IF(AB76=1,Thermostat!$B$3,Thermostat!$B$4)</f>
        <v>60</v>
      </c>
      <c r="AC85" s="278">
        <f>IF(AC76=1,Thermostat!$B$3,Thermostat!$B$4)</f>
        <v>60</v>
      </c>
      <c r="AD85" s="44"/>
      <c r="AE85" s="44"/>
      <c r="AF85" s="44"/>
      <c r="AG85" s="44"/>
      <c r="AH85" s="44"/>
      <c r="AI85" s="44"/>
      <c r="AJ85" s="44"/>
    </row>
    <row r="86" spans="1:36" s="346" customFormat="1" ht="23.45" customHeight="1" thickBot="1" x14ac:dyDescent="0.25">
      <c r="A86" s="441"/>
      <c r="B86" s="459"/>
      <c r="C86" s="436"/>
      <c r="D86" s="430"/>
      <c r="E86" s="260" t="s">
        <v>346</v>
      </c>
      <c r="F86" s="279">
        <f>IF(F77=1,Thermostat!$B$3,Thermostat!$B$4)</f>
        <v>60</v>
      </c>
      <c r="G86" s="279">
        <f>IF(G77=1,Thermostat!$B$3,Thermostat!$B$4)</f>
        <v>60</v>
      </c>
      <c r="H86" s="279">
        <f>IF(H77=1,Thermostat!$B$3,Thermostat!$B$4)</f>
        <v>60</v>
      </c>
      <c r="I86" s="279">
        <f>IF(I77=1,Thermostat!$B$3,Thermostat!$B$4)</f>
        <v>60</v>
      </c>
      <c r="J86" s="279">
        <f>IF(J77=1,Thermostat!$B$3,Thermostat!$B$4)</f>
        <v>60</v>
      </c>
      <c r="K86" s="279">
        <f>IF(K77=1,Thermostat!$B$3,Thermostat!$B$4)</f>
        <v>60</v>
      </c>
      <c r="L86" s="279">
        <f>IF(L77=1,Thermostat!$B$3,Thermostat!$B$4)</f>
        <v>60</v>
      </c>
      <c r="M86" s="279">
        <f>IF(M77=1,Thermostat!$B$3,Thermostat!$B$4)</f>
        <v>60</v>
      </c>
      <c r="N86" s="279">
        <f>IF(N77=1,Thermostat!$B$3,Thermostat!$B$4)</f>
        <v>60</v>
      </c>
      <c r="O86" s="279">
        <f>IF(O77=1,Thermostat!$B$3,Thermostat!$B$4)</f>
        <v>60</v>
      </c>
      <c r="P86" s="279">
        <f>IF(P77=1,Thermostat!$B$3,Thermostat!$B$4)</f>
        <v>60</v>
      </c>
      <c r="Q86" s="279">
        <f>IF(Q77=1,Thermostat!$B$3,Thermostat!$B$4)</f>
        <v>60</v>
      </c>
      <c r="R86" s="279">
        <f>IF(R77=1,Thermostat!$B$3,Thermostat!$B$4)</f>
        <v>60</v>
      </c>
      <c r="S86" s="279">
        <f>IF(S77=1,Thermostat!$B$3,Thermostat!$B$4)</f>
        <v>60</v>
      </c>
      <c r="T86" s="279">
        <f>IF(T77=1,Thermostat!$B$3,Thermostat!$B$4)</f>
        <v>60</v>
      </c>
      <c r="U86" s="279">
        <f>IF(U77=1,Thermostat!$B$3,Thermostat!$B$4)</f>
        <v>60</v>
      </c>
      <c r="V86" s="279">
        <f>IF(V77=1,Thermostat!$B$3,Thermostat!$B$4)</f>
        <v>60</v>
      </c>
      <c r="W86" s="279">
        <f>IF(W77=1,Thermostat!$B$3,Thermostat!$B$4)</f>
        <v>60</v>
      </c>
      <c r="X86" s="279">
        <f>IF(X77=1,Thermostat!$B$3,Thermostat!$B$4)</f>
        <v>60</v>
      </c>
      <c r="Y86" s="279">
        <f>IF(Y77=1,Thermostat!$B$3,Thermostat!$B$4)</f>
        <v>60</v>
      </c>
      <c r="Z86" s="279">
        <f>IF(Z77=1,Thermostat!$B$3,Thermostat!$B$4)</f>
        <v>60</v>
      </c>
      <c r="AA86" s="279">
        <f>IF(AA77=1,Thermostat!$B$3,Thermostat!$B$4)</f>
        <v>60</v>
      </c>
      <c r="AB86" s="279">
        <f>IF(AB77=1,Thermostat!$B$3,Thermostat!$B$4)</f>
        <v>60</v>
      </c>
      <c r="AC86" s="280">
        <f>IF(AC77=1,Thermostat!$B$3,Thermostat!$B$4)</f>
        <v>60</v>
      </c>
      <c r="AD86" s="44"/>
      <c r="AE86" s="44"/>
      <c r="AF86" s="44"/>
      <c r="AG86" s="44"/>
      <c r="AH86" s="44"/>
      <c r="AI86" s="44"/>
      <c r="AJ86" s="44"/>
    </row>
    <row r="87" spans="1:36" s="346" customFormat="1" ht="24.6" customHeight="1" x14ac:dyDescent="0.2">
      <c r="A87" s="461" t="s">
        <v>386</v>
      </c>
      <c r="B87" s="458" t="s">
        <v>106</v>
      </c>
      <c r="C87" s="435" t="s">
        <v>381</v>
      </c>
      <c r="D87" s="460" t="s">
        <v>383</v>
      </c>
      <c r="E87" s="258" t="s">
        <v>347</v>
      </c>
      <c r="F87" s="262">
        <f>IF(F75=1,Thermostat!$B$5,Thermostat!$B$6)</f>
        <v>85</v>
      </c>
      <c r="G87" s="262">
        <f>IF(G75=1,Thermostat!$B$5,Thermostat!$B$6)</f>
        <v>85</v>
      </c>
      <c r="H87" s="262">
        <f>IF(H75=1,Thermostat!$B$5,Thermostat!$B$6)</f>
        <v>85</v>
      </c>
      <c r="I87" s="262">
        <f>IF(I75=1,Thermostat!$B$5,Thermostat!$B$6)</f>
        <v>85</v>
      </c>
      <c r="J87" s="262">
        <f>IF(J75=1,Thermostat!$B$5,Thermostat!$B$6)</f>
        <v>85</v>
      </c>
      <c r="K87" s="262">
        <f>IF(K75=1,Thermostat!$B$5,Thermostat!$B$6)</f>
        <v>85</v>
      </c>
      <c r="L87" s="262">
        <f>IF(L75=1,Thermostat!$B$5,Thermostat!$B$6)</f>
        <v>75</v>
      </c>
      <c r="M87" s="262">
        <f>IF(M75=1,Thermostat!$B$5,Thermostat!$B$6)</f>
        <v>75</v>
      </c>
      <c r="N87" s="262">
        <f>IF(N75=1,Thermostat!$B$5,Thermostat!$B$6)</f>
        <v>75</v>
      </c>
      <c r="O87" s="262">
        <f>IF(O75=1,Thermostat!$B$5,Thermostat!$B$6)</f>
        <v>75</v>
      </c>
      <c r="P87" s="262">
        <f>IF(P75=1,Thermostat!$B$5,Thermostat!$B$6)</f>
        <v>75</v>
      </c>
      <c r="Q87" s="262">
        <f>IF(Q75=1,Thermostat!$B$5,Thermostat!$B$6)</f>
        <v>75</v>
      </c>
      <c r="R87" s="262">
        <f>IF(R75=1,Thermostat!$B$5,Thermostat!$B$6)</f>
        <v>75</v>
      </c>
      <c r="S87" s="262">
        <f>IF(S75=1,Thermostat!$B$5,Thermostat!$B$6)</f>
        <v>75</v>
      </c>
      <c r="T87" s="262">
        <f>IF(T75=1,Thermostat!$B$5,Thermostat!$B$6)</f>
        <v>75</v>
      </c>
      <c r="U87" s="262">
        <f>IF(U75=1,Thermostat!$B$5,Thermostat!$B$6)</f>
        <v>75</v>
      </c>
      <c r="V87" s="262">
        <f>IF(V75=1,Thermostat!$B$5,Thermostat!$B$6)</f>
        <v>75</v>
      </c>
      <c r="W87" s="262">
        <f>IF(W75=1,Thermostat!$B$5,Thermostat!$B$6)</f>
        <v>75</v>
      </c>
      <c r="X87" s="262">
        <f>IF(X75=1,Thermostat!$B$5,Thermostat!$B$6)</f>
        <v>75</v>
      </c>
      <c r="Y87" s="262">
        <f>IF(Y75=1,Thermostat!$B$5,Thermostat!$B$6)</f>
        <v>75</v>
      </c>
      <c r="Z87" s="262">
        <f>IF(Z75=1,Thermostat!$B$5,Thermostat!$B$6)</f>
        <v>85</v>
      </c>
      <c r="AA87" s="262">
        <f>IF(AA75=1,Thermostat!$B$5,Thermostat!$B$6)</f>
        <v>85</v>
      </c>
      <c r="AB87" s="262">
        <f>IF(AB75=1,Thermostat!$B$5,Thermostat!$B$6)</f>
        <v>85</v>
      </c>
      <c r="AC87" s="263">
        <f>IF(AC75=1,Thermostat!$B$5,Thermostat!$B$6)</f>
        <v>85</v>
      </c>
      <c r="AD87" s="44"/>
      <c r="AE87" s="44"/>
      <c r="AF87" s="44"/>
      <c r="AG87" s="44"/>
      <c r="AH87" s="44"/>
      <c r="AI87" s="44"/>
      <c r="AJ87" s="44"/>
    </row>
    <row r="88" spans="1:36" s="346" customFormat="1" ht="25.15" customHeight="1" x14ac:dyDescent="0.2">
      <c r="A88" s="440"/>
      <c r="B88" s="446"/>
      <c r="C88" s="435"/>
      <c r="D88" s="429"/>
      <c r="E88" s="259" t="s">
        <v>345</v>
      </c>
      <c r="F88" s="277">
        <f>IF(F76=1,Thermostat!$B$5,Thermostat!$B$6)</f>
        <v>85</v>
      </c>
      <c r="G88" s="277">
        <f>IF(G76=1,Thermostat!$B$5,Thermostat!$B$6)</f>
        <v>85</v>
      </c>
      <c r="H88" s="277">
        <f>IF(H76=1,Thermostat!$B$5,Thermostat!$B$6)</f>
        <v>85</v>
      </c>
      <c r="I88" s="277">
        <f>IF(I76=1,Thermostat!$B$5,Thermostat!$B$6)</f>
        <v>85</v>
      </c>
      <c r="J88" s="277">
        <f>IF(J76=1,Thermostat!$B$5,Thermostat!$B$6)</f>
        <v>85</v>
      </c>
      <c r="K88" s="277">
        <f>IF(K76=1,Thermostat!$B$5,Thermostat!$B$6)</f>
        <v>85</v>
      </c>
      <c r="L88" s="277">
        <f>IF(L76=1,Thermostat!$B$5,Thermostat!$B$6)</f>
        <v>85</v>
      </c>
      <c r="M88" s="277">
        <f>IF(M76=1,Thermostat!$B$5,Thermostat!$B$6)</f>
        <v>85</v>
      </c>
      <c r="N88" s="277">
        <f>IF(N76=1,Thermostat!$B$5,Thermostat!$B$6)</f>
        <v>85</v>
      </c>
      <c r="O88" s="277">
        <f>IF(O76=1,Thermostat!$B$5,Thermostat!$B$6)</f>
        <v>85</v>
      </c>
      <c r="P88" s="277">
        <f>IF(P76=1,Thermostat!$B$5,Thermostat!$B$6)</f>
        <v>85</v>
      </c>
      <c r="Q88" s="277">
        <f>IF(Q76=1,Thermostat!$B$5,Thermostat!$B$6)</f>
        <v>85</v>
      </c>
      <c r="R88" s="277">
        <f>IF(R76=1,Thermostat!$B$5,Thermostat!$B$6)</f>
        <v>85</v>
      </c>
      <c r="S88" s="277">
        <f>IF(S76=1,Thermostat!$B$5,Thermostat!$B$6)</f>
        <v>85</v>
      </c>
      <c r="T88" s="277">
        <f>IF(T76=1,Thermostat!$B$5,Thermostat!$B$6)</f>
        <v>85</v>
      </c>
      <c r="U88" s="277">
        <f>IF(U76=1,Thermostat!$B$5,Thermostat!$B$6)</f>
        <v>85</v>
      </c>
      <c r="V88" s="277">
        <f>IF(V76=1,Thermostat!$B$5,Thermostat!$B$6)</f>
        <v>85</v>
      </c>
      <c r="W88" s="277">
        <f>IF(W76=1,Thermostat!$B$5,Thermostat!$B$6)</f>
        <v>85</v>
      </c>
      <c r="X88" s="277">
        <f>IF(X76=1,Thermostat!$B$5,Thermostat!$B$6)</f>
        <v>85</v>
      </c>
      <c r="Y88" s="277">
        <f>IF(Y76=1,Thermostat!$B$5,Thermostat!$B$6)</f>
        <v>85</v>
      </c>
      <c r="Z88" s="277">
        <f>IF(Z76=1,Thermostat!$B$5,Thermostat!$B$6)</f>
        <v>85</v>
      </c>
      <c r="AA88" s="277">
        <f>IF(AA76=1,Thermostat!$B$5,Thermostat!$B$6)</f>
        <v>85</v>
      </c>
      <c r="AB88" s="277">
        <f>IF(AB76=1,Thermostat!$B$5,Thermostat!$B$6)</f>
        <v>85</v>
      </c>
      <c r="AC88" s="278">
        <f>IF(AC76=1,Thermostat!$B$5,Thermostat!$B$6)</f>
        <v>85</v>
      </c>
      <c r="AD88" s="44"/>
      <c r="AE88" s="44"/>
      <c r="AF88" s="44"/>
      <c r="AG88" s="44"/>
      <c r="AH88" s="44"/>
      <c r="AI88" s="44"/>
      <c r="AJ88" s="44"/>
    </row>
    <row r="89" spans="1:36" s="346" customFormat="1" ht="25.15" customHeight="1" thickBot="1" x14ac:dyDescent="0.25">
      <c r="A89" s="441"/>
      <c r="B89" s="459"/>
      <c r="C89" s="436"/>
      <c r="D89" s="430"/>
      <c r="E89" s="260" t="s">
        <v>346</v>
      </c>
      <c r="F89" s="279">
        <f>IF(F77=1,Thermostat!$B$5,Thermostat!$B$6)</f>
        <v>85</v>
      </c>
      <c r="G89" s="279">
        <f>IF(G77=1,Thermostat!$B$5,Thermostat!$B$6)</f>
        <v>85</v>
      </c>
      <c r="H89" s="279">
        <f>IF(H77=1,Thermostat!$B$5,Thermostat!$B$6)</f>
        <v>85</v>
      </c>
      <c r="I89" s="279">
        <f>IF(I77=1,Thermostat!$B$5,Thermostat!$B$6)</f>
        <v>85</v>
      </c>
      <c r="J89" s="279">
        <f>IF(J77=1,Thermostat!$B$5,Thermostat!$B$6)</f>
        <v>85</v>
      </c>
      <c r="K89" s="279">
        <f>IF(K77=1,Thermostat!$B$5,Thermostat!$B$6)</f>
        <v>85</v>
      </c>
      <c r="L89" s="279">
        <f>IF(L77=1,Thermostat!$B$5,Thermostat!$B$6)</f>
        <v>85</v>
      </c>
      <c r="M89" s="279">
        <f>IF(M77=1,Thermostat!$B$5,Thermostat!$B$6)</f>
        <v>85</v>
      </c>
      <c r="N89" s="279">
        <f>IF(N77=1,Thermostat!$B$5,Thermostat!$B$6)</f>
        <v>85</v>
      </c>
      <c r="O89" s="279">
        <f>IF(O77=1,Thermostat!$B$5,Thermostat!$B$6)</f>
        <v>85</v>
      </c>
      <c r="P89" s="279">
        <f>IF(P77=1,Thermostat!$B$5,Thermostat!$B$6)</f>
        <v>85</v>
      </c>
      <c r="Q89" s="279">
        <f>IF(Q77=1,Thermostat!$B$5,Thermostat!$B$6)</f>
        <v>85</v>
      </c>
      <c r="R89" s="279">
        <f>IF(R77=1,Thermostat!$B$5,Thermostat!$B$6)</f>
        <v>85</v>
      </c>
      <c r="S89" s="279">
        <f>IF(S77=1,Thermostat!$B$5,Thermostat!$B$6)</f>
        <v>85</v>
      </c>
      <c r="T89" s="279">
        <f>IF(T77=1,Thermostat!$B$5,Thermostat!$B$6)</f>
        <v>85</v>
      </c>
      <c r="U89" s="279">
        <f>IF(U77=1,Thermostat!$B$5,Thermostat!$B$6)</f>
        <v>85</v>
      </c>
      <c r="V89" s="279">
        <f>IF(V77=1,Thermostat!$B$5,Thermostat!$B$6)</f>
        <v>85</v>
      </c>
      <c r="W89" s="279">
        <f>IF(W77=1,Thermostat!$B$5,Thermostat!$B$6)</f>
        <v>85</v>
      </c>
      <c r="X89" s="279">
        <f>IF(X77=1,Thermostat!$B$5,Thermostat!$B$6)</f>
        <v>85</v>
      </c>
      <c r="Y89" s="279">
        <f>IF(Y77=1,Thermostat!$B$5,Thermostat!$B$6)</f>
        <v>85</v>
      </c>
      <c r="Z89" s="279">
        <f>IF(Z77=1,Thermostat!$B$5,Thermostat!$B$6)</f>
        <v>85</v>
      </c>
      <c r="AA89" s="279">
        <f>IF(AA77=1,Thermostat!$B$5,Thermostat!$B$6)</f>
        <v>85</v>
      </c>
      <c r="AB89" s="279">
        <f>IF(AB77=1,Thermostat!$B$5,Thermostat!$B$6)</f>
        <v>85</v>
      </c>
      <c r="AC89" s="280">
        <f>IF(AC77=1,Thermostat!$B$5,Thermostat!$B$6)</f>
        <v>85</v>
      </c>
      <c r="AD89" s="44"/>
      <c r="AE89" s="44"/>
      <c r="AF89" s="44"/>
      <c r="AG89" s="44"/>
      <c r="AH89" s="44"/>
      <c r="AI89" s="44"/>
      <c r="AJ89" s="44"/>
    </row>
    <row r="90" spans="1:36" s="346" customFormat="1" ht="30" customHeight="1" x14ac:dyDescent="0.2">
      <c r="A90" s="439" t="s">
        <v>386</v>
      </c>
      <c r="B90" s="445" t="s">
        <v>106</v>
      </c>
      <c r="C90" s="445" t="s">
        <v>385</v>
      </c>
      <c r="D90" s="428" t="s">
        <v>383</v>
      </c>
      <c r="E90" s="258" t="s">
        <v>347</v>
      </c>
      <c r="F90" s="256">
        <v>0</v>
      </c>
      <c r="G90" s="256">
        <v>0</v>
      </c>
      <c r="H90" s="256">
        <v>0</v>
      </c>
      <c r="I90" s="256">
        <v>0</v>
      </c>
      <c r="J90" s="256">
        <v>0</v>
      </c>
      <c r="K90" s="256">
        <v>0</v>
      </c>
      <c r="L90" s="256">
        <v>1</v>
      </c>
      <c r="M90" s="256">
        <v>1</v>
      </c>
      <c r="N90" s="256">
        <v>1</v>
      </c>
      <c r="O90" s="256">
        <v>1</v>
      </c>
      <c r="P90" s="256">
        <v>1</v>
      </c>
      <c r="Q90" s="256">
        <v>1</v>
      </c>
      <c r="R90" s="256">
        <v>1</v>
      </c>
      <c r="S90" s="256">
        <v>1</v>
      </c>
      <c r="T90" s="256">
        <v>1</v>
      </c>
      <c r="U90" s="256">
        <v>1</v>
      </c>
      <c r="V90" s="256">
        <v>1</v>
      </c>
      <c r="W90" s="256">
        <v>1</v>
      </c>
      <c r="X90" s="256">
        <v>1</v>
      </c>
      <c r="Y90" s="256">
        <v>1</v>
      </c>
      <c r="Z90" s="256">
        <v>0</v>
      </c>
      <c r="AA90" s="256">
        <v>0</v>
      </c>
      <c r="AB90" s="256">
        <v>0</v>
      </c>
      <c r="AC90" s="257">
        <v>0</v>
      </c>
      <c r="AD90" s="44"/>
      <c r="AE90" s="44"/>
      <c r="AF90" s="44"/>
      <c r="AG90" s="44"/>
      <c r="AH90" s="44"/>
      <c r="AI90" s="44"/>
      <c r="AJ90" s="44"/>
    </row>
    <row r="91" spans="1:36" s="346" customFormat="1" ht="30" customHeight="1" x14ac:dyDescent="0.2">
      <c r="A91" s="440"/>
      <c r="B91" s="446"/>
      <c r="C91" s="446"/>
      <c r="D91" s="429"/>
      <c r="E91" s="259" t="s">
        <v>345</v>
      </c>
      <c r="F91" s="273">
        <v>0</v>
      </c>
      <c r="G91" s="273">
        <v>0</v>
      </c>
      <c r="H91" s="273">
        <v>0</v>
      </c>
      <c r="I91" s="273">
        <v>0</v>
      </c>
      <c r="J91" s="273">
        <v>0</v>
      </c>
      <c r="K91" s="273">
        <v>0</v>
      </c>
      <c r="L91" s="273">
        <v>0</v>
      </c>
      <c r="M91" s="273">
        <v>0</v>
      </c>
      <c r="N91" s="273">
        <v>0</v>
      </c>
      <c r="O91" s="273">
        <v>0</v>
      </c>
      <c r="P91" s="273">
        <v>0</v>
      </c>
      <c r="Q91" s="273">
        <v>0</v>
      </c>
      <c r="R91" s="273">
        <v>0</v>
      </c>
      <c r="S91" s="273">
        <v>0</v>
      </c>
      <c r="T91" s="273">
        <v>0</v>
      </c>
      <c r="U91" s="273">
        <v>0</v>
      </c>
      <c r="V91" s="273">
        <v>0</v>
      </c>
      <c r="W91" s="273">
        <v>0</v>
      </c>
      <c r="X91" s="273">
        <v>0</v>
      </c>
      <c r="Y91" s="273">
        <v>0</v>
      </c>
      <c r="Z91" s="273">
        <v>0</v>
      </c>
      <c r="AA91" s="273">
        <v>0</v>
      </c>
      <c r="AB91" s="273">
        <v>0</v>
      </c>
      <c r="AC91" s="274">
        <v>0</v>
      </c>
      <c r="AD91" s="44"/>
      <c r="AE91" s="44"/>
      <c r="AF91" s="44"/>
      <c r="AG91" s="44"/>
      <c r="AH91" s="44"/>
      <c r="AI91" s="44"/>
      <c r="AJ91" s="44"/>
    </row>
    <row r="92" spans="1:36" s="346" customFormat="1" ht="30" customHeight="1" thickBot="1" x14ac:dyDescent="0.25">
      <c r="A92" s="441"/>
      <c r="B92" s="459"/>
      <c r="C92" s="459"/>
      <c r="D92" s="430"/>
      <c r="E92" s="260" t="s">
        <v>346</v>
      </c>
      <c r="F92" s="275">
        <v>0</v>
      </c>
      <c r="G92" s="275">
        <v>0</v>
      </c>
      <c r="H92" s="275">
        <v>0</v>
      </c>
      <c r="I92" s="275">
        <v>0</v>
      </c>
      <c r="J92" s="275">
        <v>0</v>
      </c>
      <c r="K92" s="275">
        <v>0</v>
      </c>
      <c r="L92" s="275">
        <v>0</v>
      </c>
      <c r="M92" s="275">
        <v>0</v>
      </c>
      <c r="N92" s="275">
        <v>0</v>
      </c>
      <c r="O92" s="275">
        <v>0</v>
      </c>
      <c r="P92" s="275">
        <v>0</v>
      </c>
      <c r="Q92" s="275">
        <v>0</v>
      </c>
      <c r="R92" s="275">
        <v>0</v>
      </c>
      <c r="S92" s="275">
        <v>0</v>
      </c>
      <c r="T92" s="275">
        <v>0</v>
      </c>
      <c r="U92" s="275">
        <v>0</v>
      </c>
      <c r="V92" s="275">
        <v>0</v>
      </c>
      <c r="W92" s="275">
        <v>0</v>
      </c>
      <c r="X92" s="275">
        <v>0</v>
      </c>
      <c r="Y92" s="275">
        <v>0</v>
      </c>
      <c r="Z92" s="275">
        <v>0</v>
      </c>
      <c r="AA92" s="275">
        <v>0</v>
      </c>
      <c r="AB92" s="275">
        <v>0</v>
      </c>
      <c r="AC92" s="276">
        <v>0</v>
      </c>
      <c r="AD92" s="44"/>
      <c r="AE92" s="44"/>
      <c r="AF92" s="44"/>
      <c r="AG92" s="44"/>
      <c r="AH92" s="44"/>
      <c r="AI92" s="44"/>
      <c r="AJ92" s="44"/>
    </row>
    <row r="93" spans="1:36" s="346" customFormat="1" ht="26.45" customHeight="1" x14ac:dyDescent="0.2">
      <c r="A93" s="461" t="s">
        <v>386</v>
      </c>
      <c r="B93" s="458" t="s">
        <v>106</v>
      </c>
      <c r="C93" s="458" t="s">
        <v>190</v>
      </c>
      <c r="D93" s="460" t="s">
        <v>383</v>
      </c>
      <c r="E93" s="258" t="s">
        <v>347</v>
      </c>
      <c r="F93" s="256">
        <v>1</v>
      </c>
      <c r="G93" s="256">
        <v>1</v>
      </c>
      <c r="H93" s="256">
        <v>1</v>
      </c>
      <c r="I93" s="256">
        <v>1</v>
      </c>
      <c r="J93" s="256">
        <v>1</v>
      </c>
      <c r="K93" s="256">
        <v>1</v>
      </c>
      <c r="L93" s="256">
        <v>0.25</v>
      </c>
      <c r="M93" s="256">
        <v>0.25</v>
      </c>
      <c r="N93" s="256">
        <v>0.25</v>
      </c>
      <c r="O93" s="256">
        <v>0.25</v>
      </c>
      <c r="P93" s="256">
        <v>0.25</v>
      </c>
      <c r="Q93" s="256">
        <v>0.25</v>
      </c>
      <c r="R93" s="256">
        <v>0.25</v>
      </c>
      <c r="S93" s="256">
        <v>0.25</v>
      </c>
      <c r="T93" s="256">
        <v>0.25</v>
      </c>
      <c r="U93" s="256">
        <v>0.25</v>
      </c>
      <c r="V93" s="256">
        <v>0.25</v>
      </c>
      <c r="W93" s="256">
        <v>0.25</v>
      </c>
      <c r="X93" s="256">
        <v>1</v>
      </c>
      <c r="Y93" s="256">
        <v>1</v>
      </c>
      <c r="Z93" s="256">
        <v>1</v>
      </c>
      <c r="AA93" s="256">
        <v>1</v>
      </c>
      <c r="AB93" s="256">
        <v>1</v>
      </c>
      <c r="AC93" s="257">
        <v>1</v>
      </c>
      <c r="AD93" s="44"/>
      <c r="AE93" s="44"/>
      <c r="AF93" s="44"/>
      <c r="AG93" s="44"/>
      <c r="AH93" s="44"/>
      <c r="AI93" s="44"/>
      <c r="AJ93" s="44"/>
    </row>
    <row r="94" spans="1:36" s="346" customFormat="1" ht="26.45" customHeight="1" x14ac:dyDescent="0.2">
      <c r="A94" s="440"/>
      <c r="B94" s="446"/>
      <c r="C94" s="446"/>
      <c r="D94" s="429"/>
      <c r="E94" s="259" t="s">
        <v>345</v>
      </c>
      <c r="F94" s="273">
        <v>1</v>
      </c>
      <c r="G94" s="273">
        <v>1</v>
      </c>
      <c r="H94" s="273">
        <v>1</v>
      </c>
      <c r="I94" s="273">
        <v>1</v>
      </c>
      <c r="J94" s="273">
        <v>1</v>
      </c>
      <c r="K94" s="273">
        <v>1</v>
      </c>
      <c r="L94" s="273">
        <v>1</v>
      </c>
      <c r="M94" s="273">
        <v>1</v>
      </c>
      <c r="N94" s="273">
        <v>1</v>
      </c>
      <c r="O94" s="273">
        <v>1</v>
      </c>
      <c r="P94" s="273">
        <v>1</v>
      </c>
      <c r="Q94" s="273">
        <v>1</v>
      </c>
      <c r="R94" s="273">
        <v>1</v>
      </c>
      <c r="S94" s="273">
        <v>1</v>
      </c>
      <c r="T94" s="273">
        <v>1</v>
      </c>
      <c r="U94" s="273">
        <v>1</v>
      </c>
      <c r="V94" s="273">
        <v>1</v>
      </c>
      <c r="W94" s="273">
        <v>1</v>
      </c>
      <c r="X94" s="273">
        <v>1</v>
      </c>
      <c r="Y94" s="273">
        <v>1</v>
      </c>
      <c r="Z94" s="273">
        <v>1</v>
      </c>
      <c r="AA94" s="273">
        <v>1</v>
      </c>
      <c r="AB94" s="273">
        <v>1</v>
      </c>
      <c r="AC94" s="274">
        <v>1</v>
      </c>
      <c r="AD94" s="44"/>
      <c r="AE94" s="44"/>
      <c r="AF94" s="44"/>
      <c r="AG94" s="44"/>
      <c r="AH94" s="44"/>
      <c r="AI94" s="44"/>
      <c r="AJ94" s="44"/>
    </row>
    <row r="95" spans="1:36" s="346" customFormat="1" ht="26.45" customHeight="1" thickBot="1" x14ac:dyDescent="0.25">
      <c r="A95" s="441"/>
      <c r="B95" s="459"/>
      <c r="C95" s="459"/>
      <c r="D95" s="430"/>
      <c r="E95" s="260" t="s">
        <v>346</v>
      </c>
      <c r="F95" s="275">
        <v>1</v>
      </c>
      <c r="G95" s="275">
        <v>1</v>
      </c>
      <c r="H95" s="275">
        <v>1</v>
      </c>
      <c r="I95" s="275">
        <v>1</v>
      </c>
      <c r="J95" s="275">
        <v>1</v>
      </c>
      <c r="K95" s="275">
        <v>1</v>
      </c>
      <c r="L95" s="275">
        <v>1</v>
      </c>
      <c r="M95" s="275">
        <v>1</v>
      </c>
      <c r="N95" s="275">
        <v>1</v>
      </c>
      <c r="O95" s="275">
        <v>1</v>
      </c>
      <c r="P95" s="275">
        <v>1</v>
      </c>
      <c r="Q95" s="275">
        <v>1</v>
      </c>
      <c r="R95" s="275">
        <v>1</v>
      </c>
      <c r="S95" s="275">
        <v>1</v>
      </c>
      <c r="T95" s="275">
        <v>1</v>
      </c>
      <c r="U95" s="275">
        <v>1</v>
      </c>
      <c r="V95" s="275">
        <v>1</v>
      </c>
      <c r="W95" s="275">
        <v>1</v>
      </c>
      <c r="X95" s="275">
        <v>1</v>
      </c>
      <c r="Y95" s="275">
        <v>1</v>
      </c>
      <c r="Z95" s="275">
        <v>1</v>
      </c>
      <c r="AA95" s="275">
        <v>1</v>
      </c>
      <c r="AB95" s="275">
        <v>1</v>
      </c>
      <c r="AC95" s="276">
        <v>1</v>
      </c>
      <c r="AD95" s="44"/>
      <c r="AE95" s="44"/>
      <c r="AF95" s="44"/>
      <c r="AG95" s="44"/>
      <c r="AH95" s="44"/>
      <c r="AI95" s="44"/>
      <c r="AJ95" s="44"/>
    </row>
    <row r="96" spans="1:36" s="346" customFormat="1" ht="26.45" customHeight="1" x14ac:dyDescent="0.2">
      <c r="A96" s="497" t="s">
        <v>386</v>
      </c>
      <c r="B96" s="500" t="s">
        <v>106</v>
      </c>
      <c r="C96" s="500" t="s">
        <v>376</v>
      </c>
      <c r="D96" s="503" t="s">
        <v>373</v>
      </c>
      <c r="E96" s="308" t="s">
        <v>347</v>
      </c>
      <c r="F96" s="309">
        <v>0.05</v>
      </c>
      <c r="G96" s="309">
        <v>0.05</v>
      </c>
      <c r="H96" s="309">
        <v>0.05</v>
      </c>
      <c r="I96" s="309">
        <v>0.05</v>
      </c>
      <c r="J96" s="309">
        <v>0.05</v>
      </c>
      <c r="K96" s="309">
        <v>0.05</v>
      </c>
      <c r="L96" s="309">
        <v>0.05</v>
      </c>
      <c r="M96" s="309">
        <v>0.1</v>
      </c>
      <c r="N96" s="309">
        <v>0.34</v>
      </c>
      <c r="O96" s="309">
        <v>0.6</v>
      </c>
      <c r="P96" s="309">
        <v>0.63</v>
      </c>
      <c r="Q96" s="309">
        <v>0.72</v>
      </c>
      <c r="R96" s="309">
        <v>0.79</v>
      </c>
      <c r="S96" s="309">
        <v>0.83</v>
      </c>
      <c r="T96" s="309">
        <v>0.61</v>
      </c>
      <c r="U96" s="309">
        <v>0.65</v>
      </c>
      <c r="V96" s="309">
        <v>0.1</v>
      </c>
      <c r="W96" s="309">
        <v>0.1</v>
      </c>
      <c r="X96" s="309">
        <v>0.19</v>
      </c>
      <c r="Y96" s="309">
        <v>0.25</v>
      </c>
      <c r="Z96" s="309">
        <v>0.22</v>
      </c>
      <c r="AA96" s="309">
        <v>0.22</v>
      </c>
      <c r="AB96" s="309">
        <v>0.12</v>
      </c>
      <c r="AC96" s="310">
        <v>0.09</v>
      </c>
      <c r="AD96" s="311"/>
      <c r="AE96" s="311"/>
      <c r="AF96" s="311"/>
      <c r="AG96" s="311"/>
      <c r="AH96" s="311"/>
      <c r="AI96" s="311"/>
      <c r="AJ96" s="311"/>
    </row>
    <row r="97" spans="1:36" s="346" customFormat="1" ht="26.45" customHeight="1" x14ac:dyDescent="0.2">
      <c r="A97" s="498"/>
      <c r="B97" s="501"/>
      <c r="C97" s="501"/>
      <c r="D97" s="504"/>
      <c r="E97" s="314" t="s">
        <v>345</v>
      </c>
      <c r="F97" s="315">
        <v>0.03</v>
      </c>
      <c r="G97" s="315">
        <v>0.03</v>
      </c>
      <c r="H97" s="315">
        <v>0.03</v>
      </c>
      <c r="I97" s="315">
        <v>0.03</v>
      </c>
      <c r="J97" s="315">
        <v>0.03</v>
      </c>
      <c r="K97" s="315">
        <v>0.03</v>
      </c>
      <c r="L97" s="315">
        <v>0.03</v>
      </c>
      <c r="M97" s="315">
        <v>0.03</v>
      </c>
      <c r="N97" s="315">
        <v>0.03</v>
      </c>
      <c r="O97" s="315">
        <v>0.05</v>
      </c>
      <c r="P97" s="315">
        <v>0.05</v>
      </c>
      <c r="Q97" s="315">
        <v>0.05</v>
      </c>
      <c r="R97" s="315">
        <v>0.05</v>
      </c>
      <c r="S97" s="315">
        <v>0.03</v>
      </c>
      <c r="T97" s="315">
        <v>0.03</v>
      </c>
      <c r="U97" s="315">
        <v>0.03</v>
      </c>
      <c r="V97" s="315">
        <v>0.03</v>
      </c>
      <c r="W97" s="315">
        <v>0.03</v>
      </c>
      <c r="X97" s="315">
        <v>0.03</v>
      </c>
      <c r="Y97" s="315">
        <v>0.03</v>
      </c>
      <c r="Z97" s="315">
        <v>0.03</v>
      </c>
      <c r="AA97" s="315">
        <v>0.03</v>
      </c>
      <c r="AB97" s="315">
        <v>0.03</v>
      </c>
      <c r="AC97" s="316">
        <v>0.03</v>
      </c>
      <c r="AD97" s="311"/>
      <c r="AE97" s="311"/>
      <c r="AF97" s="311"/>
      <c r="AG97" s="311"/>
      <c r="AH97" s="311"/>
      <c r="AI97" s="311"/>
      <c r="AJ97" s="311"/>
    </row>
    <row r="98" spans="1:36" s="346" customFormat="1" ht="26.45" customHeight="1" thickBot="1" x14ac:dyDescent="0.25">
      <c r="A98" s="499"/>
      <c r="B98" s="502"/>
      <c r="C98" s="502"/>
      <c r="D98" s="505"/>
      <c r="E98" s="317" t="s">
        <v>346</v>
      </c>
      <c r="F98" s="318">
        <v>0.03</v>
      </c>
      <c r="G98" s="318">
        <v>0.03</v>
      </c>
      <c r="H98" s="318">
        <v>0.03</v>
      </c>
      <c r="I98" s="318">
        <v>0.03</v>
      </c>
      <c r="J98" s="318">
        <v>0.03</v>
      </c>
      <c r="K98" s="318">
        <v>0.03</v>
      </c>
      <c r="L98" s="318">
        <v>0.03</v>
      </c>
      <c r="M98" s="318">
        <v>0.03</v>
      </c>
      <c r="N98" s="318">
        <v>0.05</v>
      </c>
      <c r="O98" s="318">
        <v>0.05</v>
      </c>
      <c r="P98" s="318">
        <v>0.05</v>
      </c>
      <c r="Q98" s="318">
        <v>0.05</v>
      </c>
      <c r="R98" s="318">
        <v>0.05</v>
      </c>
      <c r="S98" s="318">
        <v>0.05</v>
      </c>
      <c r="T98" s="318">
        <v>0.03</v>
      </c>
      <c r="U98" s="318">
        <v>0.03</v>
      </c>
      <c r="V98" s="318">
        <v>0.03</v>
      </c>
      <c r="W98" s="318">
        <v>0.03</v>
      </c>
      <c r="X98" s="318">
        <v>0.03</v>
      </c>
      <c r="Y98" s="318">
        <v>0.03</v>
      </c>
      <c r="Z98" s="318">
        <v>0.03</v>
      </c>
      <c r="AA98" s="318">
        <v>0.03</v>
      </c>
      <c r="AB98" s="318">
        <v>0.03</v>
      </c>
      <c r="AC98" s="319">
        <v>0.03</v>
      </c>
      <c r="AD98" s="311"/>
      <c r="AE98" s="311"/>
      <c r="AF98" s="311"/>
      <c r="AG98" s="311"/>
      <c r="AH98" s="311"/>
      <c r="AI98" s="311"/>
      <c r="AJ98" s="311"/>
    </row>
    <row r="99" spans="1:36" ht="19.899999999999999" customHeight="1" thickBot="1" x14ac:dyDescent="0.3">
      <c r="A99" s="437" t="s">
        <v>16</v>
      </c>
      <c r="B99" s="437"/>
      <c r="C99" s="437" t="s">
        <v>16</v>
      </c>
      <c r="D99" s="437"/>
      <c r="E99" s="437"/>
      <c r="F99" s="437"/>
      <c r="G99" s="437"/>
      <c r="H99" s="437"/>
      <c r="I99" s="437"/>
      <c r="J99" s="437"/>
      <c r="K99" s="437"/>
      <c r="L99" s="437"/>
      <c r="M99" s="437"/>
      <c r="N99" s="437"/>
      <c r="O99" s="437"/>
      <c r="P99" s="437"/>
      <c r="Q99" s="437"/>
      <c r="R99" s="437"/>
      <c r="S99" s="437"/>
      <c r="T99" s="437"/>
      <c r="U99" s="437"/>
      <c r="V99" s="437"/>
      <c r="W99" s="437"/>
      <c r="X99" s="437"/>
      <c r="Y99" s="437"/>
      <c r="Z99" s="437"/>
      <c r="AA99" s="437"/>
      <c r="AB99" s="437"/>
      <c r="AC99" s="438"/>
    </row>
    <row r="100" spans="1:36" ht="27" customHeight="1" x14ac:dyDescent="0.25">
      <c r="A100" s="488"/>
      <c r="B100" s="491" t="s">
        <v>387</v>
      </c>
      <c r="C100" s="493" t="s">
        <v>353</v>
      </c>
      <c r="D100" s="495" t="s">
        <v>388</v>
      </c>
      <c r="E100" s="250" t="s">
        <v>347</v>
      </c>
      <c r="F100" s="268">
        <v>0</v>
      </c>
      <c r="G100" s="268">
        <v>0</v>
      </c>
      <c r="H100" s="268">
        <v>0</v>
      </c>
      <c r="I100" s="268">
        <v>0</v>
      </c>
      <c r="J100" s="268">
        <v>0</v>
      </c>
      <c r="K100" s="268">
        <v>0</v>
      </c>
      <c r="L100" s="268">
        <v>0</v>
      </c>
      <c r="M100" s="268">
        <v>0</v>
      </c>
      <c r="N100" s="268">
        <v>0.3</v>
      </c>
      <c r="O100" s="268">
        <v>0.3</v>
      </c>
      <c r="P100" s="268">
        <v>0.3</v>
      </c>
      <c r="Q100" s="268">
        <v>0.3</v>
      </c>
      <c r="R100" s="268">
        <v>0.3</v>
      </c>
      <c r="S100" s="268">
        <v>0.3</v>
      </c>
      <c r="T100" s="268">
        <v>0.3</v>
      </c>
      <c r="U100" s="268">
        <v>0.15</v>
      </c>
      <c r="V100" s="268">
        <v>0</v>
      </c>
      <c r="W100" s="268">
        <v>0</v>
      </c>
      <c r="X100" s="268">
        <v>0</v>
      </c>
      <c r="Y100" s="268">
        <v>0</v>
      </c>
      <c r="Z100" s="268">
        <v>0</v>
      </c>
      <c r="AA100" s="268">
        <v>0</v>
      </c>
      <c r="AB100" s="268">
        <v>0</v>
      </c>
      <c r="AC100" s="269">
        <v>0</v>
      </c>
    </row>
    <row r="101" spans="1:36" ht="27" customHeight="1" x14ac:dyDescent="0.25">
      <c r="A101" s="489"/>
      <c r="B101" s="466"/>
      <c r="C101" s="469"/>
      <c r="D101" s="429"/>
      <c r="E101" s="237" t="s">
        <v>345</v>
      </c>
      <c r="F101" s="248">
        <v>0</v>
      </c>
      <c r="G101" s="248">
        <v>0</v>
      </c>
      <c r="H101" s="248">
        <v>0</v>
      </c>
      <c r="I101" s="248">
        <v>0</v>
      </c>
      <c r="J101" s="248">
        <v>0</v>
      </c>
      <c r="K101" s="248">
        <v>0</v>
      </c>
      <c r="L101" s="248">
        <v>0</v>
      </c>
      <c r="M101" s="248">
        <v>0</v>
      </c>
      <c r="N101" s="248">
        <v>0</v>
      </c>
      <c r="O101" s="248">
        <v>0</v>
      </c>
      <c r="P101" s="248">
        <v>0</v>
      </c>
      <c r="Q101" s="248">
        <v>0</v>
      </c>
      <c r="R101" s="248">
        <v>0</v>
      </c>
      <c r="S101" s="248">
        <v>0</v>
      </c>
      <c r="T101" s="248">
        <v>0</v>
      </c>
      <c r="U101" s="248">
        <v>0</v>
      </c>
      <c r="V101" s="248">
        <v>0</v>
      </c>
      <c r="W101" s="248">
        <v>0</v>
      </c>
      <c r="X101" s="248">
        <v>0</v>
      </c>
      <c r="Y101" s="248">
        <v>0</v>
      </c>
      <c r="Z101" s="248">
        <v>0</v>
      </c>
      <c r="AA101" s="248">
        <v>0</v>
      </c>
      <c r="AB101" s="248">
        <v>0</v>
      </c>
      <c r="AC101" s="270">
        <v>0</v>
      </c>
    </row>
    <row r="102" spans="1:36" ht="27" customHeight="1" x14ac:dyDescent="0.25">
      <c r="A102" s="490"/>
      <c r="B102" s="492"/>
      <c r="C102" s="494"/>
      <c r="D102" s="496"/>
      <c r="E102" s="251" t="s">
        <v>346</v>
      </c>
      <c r="F102" s="271">
        <v>0</v>
      </c>
      <c r="G102" s="271">
        <v>0</v>
      </c>
      <c r="H102" s="271">
        <v>0</v>
      </c>
      <c r="I102" s="271">
        <v>0</v>
      </c>
      <c r="J102" s="271">
        <v>0</v>
      </c>
      <c r="K102" s="271">
        <v>0</v>
      </c>
      <c r="L102" s="271">
        <v>0</v>
      </c>
      <c r="M102" s="271">
        <v>0</v>
      </c>
      <c r="N102" s="271">
        <v>0</v>
      </c>
      <c r="O102" s="271">
        <v>0</v>
      </c>
      <c r="P102" s="271">
        <v>0</v>
      </c>
      <c r="Q102" s="271">
        <v>0</v>
      </c>
      <c r="R102" s="271">
        <v>0</v>
      </c>
      <c r="S102" s="271">
        <v>0</v>
      </c>
      <c r="T102" s="271">
        <v>0</v>
      </c>
      <c r="U102" s="271">
        <v>0</v>
      </c>
      <c r="V102" s="271">
        <v>0</v>
      </c>
      <c r="W102" s="271">
        <v>0</v>
      </c>
      <c r="X102" s="271">
        <v>0</v>
      </c>
      <c r="Y102" s="271">
        <v>0</v>
      </c>
      <c r="Z102" s="271">
        <v>0</v>
      </c>
      <c r="AA102" s="271">
        <v>0</v>
      </c>
      <c r="AB102" s="271">
        <v>0</v>
      </c>
      <c r="AC102" s="272">
        <v>0</v>
      </c>
    </row>
    <row r="103" spans="1:36" ht="27" customHeight="1" x14ac:dyDescent="0.25">
      <c r="A103" s="462"/>
      <c r="B103" s="465" t="s">
        <v>387</v>
      </c>
      <c r="C103" s="468" t="s">
        <v>389</v>
      </c>
      <c r="D103" s="471"/>
      <c r="E103" s="236" t="s">
        <v>347</v>
      </c>
      <c r="F103" s="246">
        <v>1</v>
      </c>
      <c r="G103" s="246">
        <v>1</v>
      </c>
      <c r="H103" s="246">
        <v>1</v>
      </c>
      <c r="I103" s="246">
        <v>1</v>
      </c>
      <c r="J103" s="246">
        <v>1</v>
      </c>
      <c r="K103" s="246">
        <v>1</v>
      </c>
      <c r="L103" s="246">
        <v>1</v>
      </c>
      <c r="M103" s="246">
        <v>1</v>
      </c>
      <c r="N103" s="246">
        <v>1</v>
      </c>
      <c r="O103" s="246">
        <v>1</v>
      </c>
      <c r="P103" s="246">
        <v>1</v>
      </c>
      <c r="Q103" s="246">
        <v>1</v>
      </c>
      <c r="R103" s="246">
        <v>1</v>
      </c>
      <c r="S103" s="246">
        <v>1</v>
      </c>
      <c r="T103" s="246">
        <v>1</v>
      </c>
      <c r="U103" s="246">
        <v>1</v>
      </c>
      <c r="V103" s="246">
        <v>1</v>
      </c>
      <c r="W103" s="246">
        <v>1</v>
      </c>
      <c r="X103" s="246">
        <v>1</v>
      </c>
      <c r="Y103" s="246">
        <v>1</v>
      </c>
      <c r="Z103" s="246">
        <v>1</v>
      </c>
      <c r="AA103" s="246">
        <v>1</v>
      </c>
      <c r="AB103" s="246">
        <v>1</v>
      </c>
      <c r="AC103" s="247">
        <v>1</v>
      </c>
    </row>
    <row r="104" spans="1:36" ht="27" customHeight="1" x14ac:dyDescent="0.25">
      <c r="A104" s="463"/>
      <c r="B104" s="466"/>
      <c r="C104" s="469"/>
      <c r="D104" s="471"/>
      <c r="E104" s="237" t="s">
        <v>345</v>
      </c>
      <c r="F104" s="242">
        <v>1</v>
      </c>
      <c r="G104" s="242">
        <v>1</v>
      </c>
      <c r="H104" s="242">
        <v>1</v>
      </c>
      <c r="I104" s="242">
        <v>1</v>
      </c>
      <c r="J104" s="242">
        <v>1</v>
      </c>
      <c r="K104" s="242">
        <v>1</v>
      </c>
      <c r="L104" s="242">
        <v>1</v>
      </c>
      <c r="M104" s="242">
        <v>1</v>
      </c>
      <c r="N104" s="242">
        <v>1</v>
      </c>
      <c r="O104" s="242">
        <v>1</v>
      </c>
      <c r="P104" s="242">
        <v>1</v>
      </c>
      <c r="Q104" s="242">
        <v>1</v>
      </c>
      <c r="R104" s="242">
        <v>1</v>
      </c>
      <c r="S104" s="242">
        <v>1</v>
      </c>
      <c r="T104" s="242">
        <v>1</v>
      </c>
      <c r="U104" s="242">
        <v>1</v>
      </c>
      <c r="V104" s="242">
        <v>1</v>
      </c>
      <c r="W104" s="242">
        <v>1</v>
      </c>
      <c r="X104" s="242">
        <v>1</v>
      </c>
      <c r="Y104" s="242">
        <v>1</v>
      </c>
      <c r="Z104" s="242">
        <v>1</v>
      </c>
      <c r="AA104" s="242">
        <v>1</v>
      </c>
      <c r="AB104" s="242">
        <v>1</v>
      </c>
      <c r="AC104" s="243">
        <v>1</v>
      </c>
    </row>
    <row r="105" spans="1:36" ht="27" customHeight="1" thickBot="1" x14ac:dyDescent="0.3">
      <c r="A105" s="464"/>
      <c r="B105" s="467"/>
      <c r="C105" s="470"/>
      <c r="D105" s="472"/>
      <c r="E105" s="238" t="s">
        <v>346</v>
      </c>
      <c r="F105" s="244">
        <v>1</v>
      </c>
      <c r="G105" s="244">
        <v>1</v>
      </c>
      <c r="H105" s="244">
        <v>1</v>
      </c>
      <c r="I105" s="244">
        <v>1</v>
      </c>
      <c r="J105" s="244">
        <v>1</v>
      </c>
      <c r="K105" s="244">
        <v>1</v>
      </c>
      <c r="L105" s="244">
        <v>1</v>
      </c>
      <c r="M105" s="244">
        <v>1</v>
      </c>
      <c r="N105" s="244">
        <v>1</v>
      </c>
      <c r="O105" s="244">
        <v>1</v>
      </c>
      <c r="P105" s="244">
        <v>1</v>
      </c>
      <c r="Q105" s="244">
        <v>1</v>
      </c>
      <c r="R105" s="244">
        <v>1</v>
      </c>
      <c r="S105" s="244">
        <v>1</v>
      </c>
      <c r="T105" s="244">
        <v>1</v>
      </c>
      <c r="U105" s="244">
        <v>1</v>
      </c>
      <c r="V105" s="244">
        <v>1</v>
      </c>
      <c r="W105" s="244">
        <v>1</v>
      </c>
      <c r="X105" s="244">
        <v>1</v>
      </c>
      <c r="Y105" s="244">
        <v>1</v>
      </c>
      <c r="Z105" s="244">
        <v>1</v>
      </c>
      <c r="AA105" s="244">
        <v>1</v>
      </c>
      <c r="AB105" s="244">
        <v>1</v>
      </c>
      <c r="AC105" s="245">
        <v>1</v>
      </c>
    </row>
    <row r="106" spans="1:36" ht="27" customHeight="1" x14ac:dyDescent="0.25">
      <c r="A106" s="473"/>
      <c r="B106" s="474" t="s">
        <v>387</v>
      </c>
      <c r="C106" s="475" t="s">
        <v>390</v>
      </c>
      <c r="D106" s="476"/>
      <c r="E106" s="239" t="s">
        <v>347</v>
      </c>
      <c r="F106" s="240">
        <v>0</v>
      </c>
      <c r="G106" s="240">
        <v>0</v>
      </c>
      <c r="H106" s="240">
        <v>0</v>
      </c>
      <c r="I106" s="240">
        <v>0</v>
      </c>
      <c r="J106" s="240">
        <v>0</v>
      </c>
      <c r="K106" s="240">
        <v>1</v>
      </c>
      <c r="L106" s="240">
        <v>1</v>
      </c>
      <c r="M106" s="240">
        <v>1</v>
      </c>
      <c r="N106" s="240">
        <v>1</v>
      </c>
      <c r="O106" s="240">
        <v>1</v>
      </c>
      <c r="P106" s="240">
        <v>1</v>
      </c>
      <c r="Q106" s="240">
        <v>1</v>
      </c>
      <c r="R106" s="240">
        <v>1</v>
      </c>
      <c r="S106" s="240">
        <v>1</v>
      </c>
      <c r="T106" s="240">
        <v>1</v>
      </c>
      <c r="U106" s="240">
        <v>1</v>
      </c>
      <c r="V106" s="240">
        <v>1</v>
      </c>
      <c r="W106" s="240">
        <v>1</v>
      </c>
      <c r="X106" s="240">
        <v>1</v>
      </c>
      <c r="Y106" s="240">
        <v>1</v>
      </c>
      <c r="Z106" s="240">
        <v>1</v>
      </c>
      <c r="AA106" s="240">
        <v>1</v>
      </c>
      <c r="AB106" s="240">
        <v>0</v>
      </c>
      <c r="AC106" s="241">
        <v>0</v>
      </c>
    </row>
    <row r="107" spans="1:36" ht="27" customHeight="1" x14ac:dyDescent="0.25">
      <c r="A107" s="463"/>
      <c r="B107" s="466"/>
      <c r="C107" s="469"/>
      <c r="D107" s="471"/>
      <c r="E107" s="237" t="s">
        <v>345</v>
      </c>
      <c r="F107" s="242">
        <v>0</v>
      </c>
      <c r="G107" s="242">
        <v>0</v>
      </c>
      <c r="H107" s="242">
        <v>0</v>
      </c>
      <c r="I107" s="242">
        <v>0</v>
      </c>
      <c r="J107" s="242">
        <v>0</v>
      </c>
      <c r="K107" s="242">
        <v>1</v>
      </c>
      <c r="L107" s="242">
        <v>1</v>
      </c>
      <c r="M107" s="242">
        <v>1</v>
      </c>
      <c r="N107" s="242">
        <v>1</v>
      </c>
      <c r="O107" s="242">
        <v>1</v>
      </c>
      <c r="P107" s="242">
        <v>1</v>
      </c>
      <c r="Q107" s="242">
        <v>1</v>
      </c>
      <c r="R107" s="242">
        <v>1</v>
      </c>
      <c r="S107" s="242">
        <v>1</v>
      </c>
      <c r="T107" s="242">
        <v>1</v>
      </c>
      <c r="U107" s="242">
        <v>1</v>
      </c>
      <c r="V107" s="242">
        <v>1</v>
      </c>
      <c r="W107" s="242">
        <v>1</v>
      </c>
      <c r="X107" s="242">
        <v>1</v>
      </c>
      <c r="Y107" s="242">
        <v>1</v>
      </c>
      <c r="Z107" s="242">
        <v>1</v>
      </c>
      <c r="AA107" s="242">
        <v>1</v>
      </c>
      <c r="AB107" s="242">
        <v>1</v>
      </c>
      <c r="AC107" s="243">
        <v>1</v>
      </c>
    </row>
    <row r="108" spans="1:36" ht="27" customHeight="1" thickBot="1" x14ac:dyDescent="0.3">
      <c r="A108" s="464"/>
      <c r="B108" s="467"/>
      <c r="C108" s="470"/>
      <c r="D108" s="472"/>
      <c r="E108" s="238" t="s">
        <v>346</v>
      </c>
      <c r="F108" s="244">
        <v>0</v>
      </c>
      <c r="G108" s="244">
        <v>0</v>
      </c>
      <c r="H108" s="244">
        <v>0</v>
      </c>
      <c r="I108" s="244">
        <v>0</v>
      </c>
      <c r="J108" s="244">
        <v>0</v>
      </c>
      <c r="K108" s="244">
        <v>1</v>
      </c>
      <c r="L108" s="244">
        <v>1</v>
      </c>
      <c r="M108" s="244">
        <v>1</v>
      </c>
      <c r="N108" s="244">
        <v>1</v>
      </c>
      <c r="O108" s="244">
        <v>1</v>
      </c>
      <c r="P108" s="244">
        <v>1</v>
      </c>
      <c r="Q108" s="244">
        <v>1</v>
      </c>
      <c r="R108" s="244">
        <v>1</v>
      </c>
      <c r="S108" s="244">
        <v>1</v>
      </c>
      <c r="T108" s="244">
        <v>1</v>
      </c>
      <c r="U108" s="244">
        <v>1</v>
      </c>
      <c r="V108" s="244">
        <v>1</v>
      </c>
      <c r="W108" s="244">
        <v>1</v>
      </c>
      <c r="X108" s="244">
        <v>1</v>
      </c>
      <c r="Y108" s="244">
        <v>1</v>
      </c>
      <c r="Z108" s="244">
        <v>1</v>
      </c>
      <c r="AA108" s="244">
        <v>1</v>
      </c>
      <c r="AB108" s="244">
        <v>1</v>
      </c>
      <c r="AC108" s="245">
        <v>1</v>
      </c>
    </row>
    <row r="109" spans="1:36" ht="27" customHeight="1" x14ac:dyDescent="0.25">
      <c r="A109" s="473" t="s">
        <v>391</v>
      </c>
      <c r="B109" s="474" t="s">
        <v>387</v>
      </c>
      <c r="C109" s="475" t="s">
        <v>392</v>
      </c>
      <c r="D109" s="476" t="s">
        <v>393</v>
      </c>
      <c r="E109" s="239" t="s">
        <v>347</v>
      </c>
      <c r="F109" s="240">
        <v>102.6</v>
      </c>
      <c r="G109" s="240">
        <v>102.6</v>
      </c>
      <c r="H109" s="240">
        <v>102.6</v>
      </c>
      <c r="I109" s="240">
        <v>102.6</v>
      </c>
      <c r="J109" s="240">
        <v>102.6</v>
      </c>
      <c r="K109" s="240">
        <v>102.6</v>
      </c>
      <c r="L109" s="240">
        <v>102.6</v>
      </c>
      <c r="M109" s="240">
        <v>102.6</v>
      </c>
      <c r="N109" s="240">
        <v>102.6</v>
      </c>
      <c r="O109" s="240">
        <v>102.6</v>
      </c>
      <c r="P109" s="240">
        <v>102.6</v>
      </c>
      <c r="Q109" s="240">
        <v>102.6</v>
      </c>
      <c r="R109" s="240">
        <v>102.6</v>
      </c>
      <c r="S109" s="240">
        <v>102.6</v>
      </c>
      <c r="T109" s="240">
        <v>102.6</v>
      </c>
      <c r="U109" s="240">
        <v>102.6</v>
      </c>
      <c r="V109" s="240">
        <v>102.6</v>
      </c>
      <c r="W109" s="240">
        <v>102.6</v>
      </c>
      <c r="X109" s="240">
        <v>102.6</v>
      </c>
      <c r="Y109" s="240">
        <v>102.6</v>
      </c>
      <c r="Z109" s="240">
        <v>102.6</v>
      </c>
      <c r="AA109" s="240">
        <v>102.6</v>
      </c>
      <c r="AB109" s="240">
        <v>102.6</v>
      </c>
      <c r="AC109" s="241">
        <v>102.6</v>
      </c>
    </row>
    <row r="110" spans="1:36" ht="27" customHeight="1" x14ac:dyDescent="0.25">
      <c r="A110" s="463"/>
      <c r="B110" s="466"/>
      <c r="C110" s="469"/>
      <c r="D110" s="471"/>
      <c r="E110" s="237" t="s">
        <v>345</v>
      </c>
      <c r="F110" s="242">
        <v>102.6</v>
      </c>
      <c r="G110" s="242">
        <v>102.6</v>
      </c>
      <c r="H110" s="242">
        <v>102.6</v>
      </c>
      <c r="I110" s="242">
        <v>102.6</v>
      </c>
      <c r="J110" s="242">
        <v>102.6</v>
      </c>
      <c r="K110" s="242">
        <v>102.6</v>
      </c>
      <c r="L110" s="242">
        <v>102.6</v>
      </c>
      <c r="M110" s="242">
        <v>102.6</v>
      </c>
      <c r="N110" s="242">
        <v>102.6</v>
      </c>
      <c r="O110" s="242">
        <v>102.6</v>
      </c>
      <c r="P110" s="242">
        <v>102.6</v>
      </c>
      <c r="Q110" s="242">
        <v>102.6</v>
      </c>
      <c r="R110" s="242">
        <v>102.6</v>
      </c>
      <c r="S110" s="242">
        <v>102.6</v>
      </c>
      <c r="T110" s="242">
        <v>102.6</v>
      </c>
      <c r="U110" s="242">
        <v>102.6</v>
      </c>
      <c r="V110" s="242">
        <v>102.6</v>
      </c>
      <c r="W110" s="242">
        <v>102.6</v>
      </c>
      <c r="X110" s="242">
        <v>102.6</v>
      </c>
      <c r="Y110" s="242">
        <v>102.6</v>
      </c>
      <c r="Z110" s="242">
        <v>102.6</v>
      </c>
      <c r="AA110" s="242">
        <v>102.6</v>
      </c>
      <c r="AB110" s="242">
        <v>102.6</v>
      </c>
      <c r="AC110" s="243">
        <v>102.6</v>
      </c>
    </row>
    <row r="111" spans="1:36" ht="27" customHeight="1" thickBot="1" x14ac:dyDescent="0.3">
      <c r="A111" s="464"/>
      <c r="B111" s="467"/>
      <c r="C111" s="470"/>
      <c r="D111" s="472"/>
      <c r="E111" s="238" t="s">
        <v>346</v>
      </c>
      <c r="F111" s="244">
        <v>102.6</v>
      </c>
      <c r="G111" s="244">
        <v>102.6</v>
      </c>
      <c r="H111" s="244">
        <v>102.6</v>
      </c>
      <c r="I111" s="244">
        <v>102.6</v>
      </c>
      <c r="J111" s="244">
        <v>102.6</v>
      </c>
      <c r="K111" s="244">
        <v>102.6</v>
      </c>
      <c r="L111" s="244">
        <v>102.6</v>
      </c>
      <c r="M111" s="244">
        <v>102.6</v>
      </c>
      <c r="N111" s="244">
        <v>102.6</v>
      </c>
      <c r="O111" s="244">
        <v>102.6</v>
      </c>
      <c r="P111" s="244">
        <v>102.6</v>
      </c>
      <c r="Q111" s="244">
        <v>102.6</v>
      </c>
      <c r="R111" s="244">
        <v>102.6</v>
      </c>
      <c r="S111" s="244">
        <v>102.6</v>
      </c>
      <c r="T111" s="244">
        <v>102.6</v>
      </c>
      <c r="U111" s="244">
        <v>102.6</v>
      </c>
      <c r="V111" s="244">
        <v>102.6</v>
      </c>
      <c r="W111" s="244">
        <v>102.6</v>
      </c>
      <c r="X111" s="244">
        <v>102.6</v>
      </c>
      <c r="Y111" s="244">
        <v>102.6</v>
      </c>
      <c r="Z111" s="244">
        <v>102.6</v>
      </c>
      <c r="AA111" s="244">
        <v>102.6</v>
      </c>
      <c r="AB111" s="244">
        <v>102.6</v>
      </c>
      <c r="AC111" s="245">
        <v>102.6</v>
      </c>
    </row>
    <row r="112" spans="1:36" ht="27" customHeight="1" x14ac:dyDescent="0.25">
      <c r="A112" s="477" t="s">
        <v>106</v>
      </c>
      <c r="B112" s="452" t="s">
        <v>387</v>
      </c>
      <c r="C112" s="480" t="s">
        <v>394</v>
      </c>
      <c r="D112" s="476" t="s">
        <v>393</v>
      </c>
      <c r="E112" s="239" t="s">
        <v>347</v>
      </c>
      <c r="F112" s="240">
        <v>331.2</v>
      </c>
      <c r="G112" s="240">
        <v>331.2</v>
      </c>
      <c r="H112" s="240">
        <v>331.2</v>
      </c>
      <c r="I112" s="240">
        <v>331.2</v>
      </c>
      <c r="J112" s="240">
        <v>331.2</v>
      </c>
      <c r="K112" s="240">
        <v>331.2</v>
      </c>
      <c r="L112" s="240">
        <v>331.2</v>
      </c>
      <c r="M112" s="240">
        <v>331.2</v>
      </c>
      <c r="N112" s="240">
        <v>331.2</v>
      </c>
      <c r="O112" s="240">
        <v>331.2</v>
      </c>
      <c r="P112" s="240">
        <v>331.2</v>
      </c>
      <c r="Q112" s="240">
        <v>331.2</v>
      </c>
      <c r="R112" s="240">
        <v>331.2</v>
      </c>
      <c r="S112" s="240">
        <v>331.2</v>
      </c>
      <c r="T112" s="240">
        <v>331.2</v>
      </c>
      <c r="U112" s="240">
        <v>331.2</v>
      </c>
      <c r="V112" s="240">
        <v>331.2</v>
      </c>
      <c r="W112" s="240">
        <v>331.2</v>
      </c>
      <c r="X112" s="240">
        <v>331.2</v>
      </c>
      <c r="Y112" s="240">
        <v>331.2</v>
      </c>
      <c r="Z112" s="240">
        <v>331.2</v>
      </c>
      <c r="AA112" s="240">
        <v>331.2</v>
      </c>
      <c r="AB112" s="240">
        <v>331.2</v>
      </c>
      <c r="AC112" s="241">
        <v>331.2</v>
      </c>
    </row>
    <row r="113" spans="1:36" ht="27" customHeight="1" x14ac:dyDescent="0.25">
      <c r="A113" s="478"/>
      <c r="B113" s="453"/>
      <c r="C113" s="469"/>
      <c r="D113" s="471"/>
      <c r="E113" s="237" t="s">
        <v>345</v>
      </c>
      <c r="F113" s="242">
        <v>331.2</v>
      </c>
      <c r="G113" s="242">
        <v>331.2</v>
      </c>
      <c r="H113" s="242">
        <v>331.2</v>
      </c>
      <c r="I113" s="242">
        <v>331.2</v>
      </c>
      <c r="J113" s="242">
        <v>331.2</v>
      </c>
      <c r="K113" s="242">
        <v>331.2</v>
      </c>
      <c r="L113" s="242">
        <v>331.2</v>
      </c>
      <c r="M113" s="242">
        <v>331.2</v>
      </c>
      <c r="N113" s="242">
        <v>331.2</v>
      </c>
      <c r="O113" s="242">
        <v>331.2</v>
      </c>
      <c r="P113" s="242">
        <v>331.2</v>
      </c>
      <c r="Q113" s="242">
        <v>331.2</v>
      </c>
      <c r="R113" s="242">
        <v>331.2</v>
      </c>
      <c r="S113" s="242">
        <v>331.2</v>
      </c>
      <c r="T113" s="242">
        <v>331.2</v>
      </c>
      <c r="U113" s="242">
        <v>331.2</v>
      </c>
      <c r="V113" s="242">
        <v>331.2</v>
      </c>
      <c r="W113" s="242">
        <v>331.2</v>
      </c>
      <c r="X113" s="242">
        <v>331.2</v>
      </c>
      <c r="Y113" s="242">
        <v>331.2</v>
      </c>
      <c r="Z113" s="242">
        <v>331.2</v>
      </c>
      <c r="AA113" s="242">
        <v>331.2</v>
      </c>
      <c r="AB113" s="242">
        <v>331.2</v>
      </c>
      <c r="AC113" s="243">
        <v>331.2</v>
      </c>
    </row>
    <row r="114" spans="1:36" ht="27" customHeight="1" thickBot="1" x14ac:dyDescent="0.3">
      <c r="A114" s="479"/>
      <c r="B114" s="454"/>
      <c r="C114" s="470"/>
      <c r="D114" s="472"/>
      <c r="E114" s="238" t="s">
        <v>346</v>
      </c>
      <c r="F114" s="244">
        <v>331.2</v>
      </c>
      <c r="G114" s="244">
        <v>331.2</v>
      </c>
      <c r="H114" s="244">
        <v>331.2</v>
      </c>
      <c r="I114" s="244">
        <v>331.2</v>
      </c>
      <c r="J114" s="244">
        <v>331.2</v>
      </c>
      <c r="K114" s="244">
        <v>331.2</v>
      </c>
      <c r="L114" s="244">
        <v>331.2</v>
      </c>
      <c r="M114" s="244">
        <v>331.2</v>
      </c>
      <c r="N114" s="244">
        <v>331.2</v>
      </c>
      <c r="O114" s="244">
        <v>331.2</v>
      </c>
      <c r="P114" s="244">
        <v>331.2</v>
      </c>
      <c r="Q114" s="244">
        <v>331.2</v>
      </c>
      <c r="R114" s="244">
        <v>331.2</v>
      </c>
      <c r="S114" s="244">
        <v>331.2</v>
      </c>
      <c r="T114" s="244">
        <v>331.2</v>
      </c>
      <c r="U114" s="244">
        <v>331.2</v>
      </c>
      <c r="V114" s="244">
        <v>331.2</v>
      </c>
      <c r="W114" s="244">
        <v>331.2</v>
      </c>
      <c r="X114" s="244">
        <v>331.2</v>
      </c>
      <c r="Y114" s="244">
        <v>331.2</v>
      </c>
      <c r="Z114" s="244">
        <v>331.2</v>
      </c>
      <c r="AA114" s="244">
        <v>331.2</v>
      </c>
      <c r="AB114" s="244">
        <v>331.2</v>
      </c>
      <c r="AC114" s="245">
        <v>331.2</v>
      </c>
    </row>
    <row r="115" spans="1:36" ht="27" customHeight="1" x14ac:dyDescent="0.25">
      <c r="A115" s="473" t="s">
        <v>75</v>
      </c>
      <c r="B115" s="474" t="s">
        <v>387</v>
      </c>
      <c r="C115" s="475" t="s">
        <v>396</v>
      </c>
      <c r="D115" s="476" t="s">
        <v>393</v>
      </c>
      <c r="E115" s="239" t="s">
        <v>347</v>
      </c>
      <c r="F115" s="240">
        <v>117.2</v>
      </c>
      <c r="G115" s="240">
        <v>117.2</v>
      </c>
      <c r="H115" s="240">
        <v>117.2</v>
      </c>
      <c r="I115" s="240">
        <v>117.2</v>
      </c>
      <c r="J115" s="240">
        <v>117.2</v>
      </c>
      <c r="K115" s="240">
        <v>117.2</v>
      </c>
      <c r="L115" s="240">
        <v>117.2</v>
      </c>
      <c r="M115" s="240">
        <v>117.2</v>
      </c>
      <c r="N115" s="240">
        <v>117.2</v>
      </c>
      <c r="O115" s="240">
        <v>117.2</v>
      </c>
      <c r="P115" s="240">
        <v>117.2</v>
      </c>
      <c r="Q115" s="240">
        <v>117.2</v>
      </c>
      <c r="R115" s="240">
        <v>117.2</v>
      </c>
      <c r="S115" s="240">
        <v>117.2</v>
      </c>
      <c r="T115" s="240">
        <v>117.2</v>
      </c>
      <c r="U115" s="240">
        <v>117.2</v>
      </c>
      <c r="V115" s="240">
        <v>117.2</v>
      </c>
      <c r="W115" s="240">
        <v>117.2</v>
      </c>
      <c r="X115" s="240">
        <v>117.2</v>
      </c>
      <c r="Y115" s="240">
        <v>117.2</v>
      </c>
      <c r="Z115" s="240">
        <v>117.2</v>
      </c>
      <c r="AA115" s="240">
        <v>117.2</v>
      </c>
      <c r="AB115" s="240">
        <v>117.2</v>
      </c>
      <c r="AC115" s="241">
        <v>117.2</v>
      </c>
    </row>
    <row r="116" spans="1:36" ht="27" customHeight="1" x14ac:dyDescent="0.25">
      <c r="A116" s="463"/>
      <c r="B116" s="466"/>
      <c r="C116" s="469"/>
      <c r="D116" s="471"/>
      <c r="E116" s="237" t="s">
        <v>345</v>
      </c>
      <c r="F116" s="242">
        <v>117.2</v>
      </c>
      <c r="G116" s="242">
        <v>117.2</v>
      </c>
      <c r="H116" s="242">
        <v>117.2</v>
      </c>
      <c r="I116" s="242">
        <v>117.2</v>
      </c>
      <c r="J116" s="242">
        <v>117.2</v>
      </c>
      <c r="K116" s="242">
        <v>117.2</v>
      </c>
      <c r="L116" s="242">
        <v>117.2</v>
      </c>
      <c r="M116" s="242">
        <v>117.2</v>
      </c>
      <c r="N116" s="242">
        <v>117.2</v>
      </c>
      <c r="O116" s="242">
        <v>117.2</v>
      </c>
      <c r="P116" s="242">
        <v>117.2</v>
      </c>
      <c r="Q116" s="242">
        <v>117.2</v>
      </c>
      <c r="R116" s="242">
        <v>117.2</v>
      </c>
      <c r="S116" s="242">
        <v>117.2</v>
      </c>
      <c r="T116" s="242">
        <v>117.2</v>
      </c>
      <c r="U116" s="242">
        <v>117.2</v>
      </c>
      <c r="V116" s="242">
        <v>117.2</v>
      </c>
      <c r="W116" s="242">
        <v>117.2</v>
      </c>
      <c r="X116" s="242">
        <v>117.2</v>
      </c>
      <c r="Y116" s="242">
        <v>117.2</v>
      </c>
      <c r="Z116" s="242">
        <v>117.2</v>
      </c>
      <c r="AA116" s="242">
        <v>117.2</v>
      </c>
      <c r="AB116" s="242">
        <v>117.2</v>
      </c>
      <c r="AC116" s="243">
        <v>117.2</v>
      </c>
    </row>
    <row r="117" spans="1:36" ht="27" customHeight="1" thickBot="1" x14ac:dyDescent="0.3">
      <c r="A117" s="464"/>
      <c r="B117" s="467"/>
      <c r="C117" s="470"/>
      <c r="D117" s="472"/>
      <c r="E117" s="238" t="s">
        <v>346</v>
      </c>
      <c r="F117" s="244">
        <v>117.2</v>
      </c>
      <c r="G117" s="244">
        <v>117.2</v>
      </c>
      <c r="H117" s="244">
        <v>117.2</v>
      </c>
      <c r="I117" s="244">
        <v>117.2</v>
      </c>
      <c r="J117" s="244">
        <v>117.2</v>
      </c>
      <c r="K117" s="244">
        <v>117.2</v>
      </c>
      <c r="L117" s="244">
        <v>117.2</v>
      </c>
      <c r="M117" s="244">
        <v>117.2</v>
      </c>
      <c r="N117" s="244">
        <v>117.2</v>
      </c>
      <c r="O117" s="244">
        <v>117.2</v>
      </c>
      <c r="P117" s="244">
        <v>117.2</v>
      </c>
      <c r="Q117" s="244">
        <v>117.2</v>
      </c>
      <c r="R117" s="244">
        <v>117.2</v>
      </c>
      <c r="S117" s="244">
        <v>117.2</v>
      </c>
      <c r="T117" s="244">
        <v>117.2</v>
      </c>
      <c r="U117" s="244">
        <v>117.2</v>
      </c>
      <c r="V117" s="244">
        <v>117.2</v>
      </c>
      <c r="W117" s="244">
        <v>117.2</v>
      </c>
      <c r="X117" s="244">
        <v>117.2</v>
      </c>
      <c r="Y117" s="244">
        <v>117.2</v>
      </c>
      <c r="Z117" s="244">
        <v>117.2</v>
      </c>
      <c r="AA117" s="244">
        <v>117.2</v>
      </c>
      <c r="AB117" s="244">
        <v>117.2</v>
      </c>
      <c r="AC117" s="245">
        <v>117.2</v>
      </c>
    </row>
    <row r="118" spans="1:36" ht="27" customHeight="1" x14ac:dyDescent="0.25">
      <c r="A118" s="477" t="s">
        <v>397</v>
      </c>
      <c r="B118" s="452" t="s">
        <v>387</v>
      </c>
      <c r="C118" s="480" t="s">
        <v>398</v>
      </c>
      <c r="D118" s="476" t="s">
        <v>393</v>
      </c>
      <c r="E118" s="239" t="s">
        <v>347</v>
      </c>
      <c r="F118" s="240">
        <v>161.19999999999999</v>
      </c>
      <c r="G118" s="240">
        <v>161.19999999999999</v>
      </c>
      <c r="H118" s="240">
        <v>161.19999999999999</v>
      </c>
      <c r="I118" s="240">
        <v>161.19999999999999</v>
      </c>
      <c r="J118" s="240">
        <v>161.19999999999999</v>
      </c>
      <c r="K118" s="240">
        <v>161.19999999999999</v>
      </c>
      <c r="L118" s="240">
        <v>161.19999999999999</v>
      </c>
      <c r="M118" s="240">
        <v>161.19999999999999</v>
      </c>
      <c r="N118" s="240">
        <v>161.19999999999999</v>
      </c>
      <c r="O118" s="240">
        <v>161.19999999999999</v>
      </c>
      <c r="P118" s="240">
        <v>161.19999999999999</v>
      </c>
      <c r="Q118" s="240">
        <v>161.19999999999999</v>
      </c>
      <c r="R118" s="240">
        <v>161.19999999999999</v>
      </c>
      <c r="S118" s="240">
        <v>161.19999999999999</v>
      </c>
      <c r="T118" s="240">
        <v>161.19999999999999</v>
      </c>
      <c r="U118" s="240">
        <v>161.19999999999999</v>
      </c>
      <c r="V118" s="240">
        <v>161.19999999999999</v>
      </c>
      <c r="W118" s="240">
        <v>161.19999999999999</v>
      </c>
      <c r="X118" s="240">
        <v>161.19999999999999</v>
      </c>
      <c r="Y118" s="240">
        <v>161.19999999999999</v>
      </c>
      <c r="Z118" s="240">
        <v>161.19999999999999</v>
      </c>
      <c r="AA118" s="240">
        <v>161.19999999999999</v>
      </c>
      <c r="AB118" s="240">
        <v>161.19999999999999</v>
      </c>
      <c r="AC118" s="241">
        <v>161.19999999999999</v>
      </c>
    </row>
    <row r="119" spans="1:36" ht="27" customHeight="1" x14ac:dyDescent="0.25">
      <c r="A119" s="478"/>
      <c r="B119" s="453"/>
      <c r="C119" s="469"/>
      <c r="D119" s="471"/>
      <c r="E119" s="237" t="s">
        <v>345</v>
      </c>
      <c r="F119" s="242">
        <v>161.19999999999999</v>
      </c>
      <c r="G119" s="242">
        <v>161.19999999999999</v>
      </c>
      <c r="H119" s="242">
        <v>161.19999999999999</v>
      </c>
      <c r="I119" s="242">
        <v>161.19999999999999</v>
      </c>
      <c r="J119" s="242">
        <v>161.19999999999999</v>
      </c>
      <c r="K119" s="242">
        <v>161.19999999999999</v>
      </c>
      <c r="L119" s="242">
        <v>161.19999999999999</v>
      </c>
      <c r="M119" s="242">
        <v>161.19999999999999</v>
      </c>
      <c r="N119" s="242">
        <v>161.19999999999999</v>
      </c>
      <c r="O119" s="242">
        <v>161.19999999999999</v>
      </c>
      <c r="P119" s="242">
        <v>161.19999999999999</v>
      </c>
      <c r="Q119" s="242">
        <v>161.19999999999999</v>
      </c>
      <c r="R119" s="242">
        <v>161.19999999999999</v>
      </c>
      <c r="S119" s="242">
        <v>161.19999999999999</v>
      </c>
      <c r="T119" s="242">
        <v>161.19999999999999</v>
      </c>
      <c r="U119" s="242">
        <v>161.19999999999999</v>
      </c>
      <c r="V119" s="242">
        <v>161.19999999999999</v>
      </c>
      <c r="W119" s="242">
        <v>161.19999999999999</v>
      </c>
      <c r="X119" s="242">
        <v>161.19999999999999</v>
      </c>
      <c r="Y119" s="242">
        <v>161.19999999999999</v>
      </c>
      <c r="Z119" s="242">
        <v>161.19999999999999</v>
      </c>
      <c r="AA119" s="242">
        <v>161.19999999999999</v>
      </c>
      <c r="AB119" s="242">
        <v>161.19999999999999</v>
      </c>
      <c r="AC119" s="243">
        <v>161.19999999999999</v>
      </c>
    </row>
    <row r="120" spans="1:36" ht="27" customHeight="1" thickBot="1" x14ac:dyDescent="0.3">
      <c r="A120" s="479"/>
      <c r="B120" s="454"/>
      <c r="C120" s="470"/>
      <c r="D120" s="472"/>
      <c r="E120" s="238" t="s">
        <v>346</v>
      </c>
      <c r="F120" s="244">
        <v>161.19999999999999</v>
      </c>
      <c r="G120" s="244">
        <v>161.19999999999999</v>
      </c>
      <c r="H120" s="244">
        <v>161.19999999999999</v>
      </c>
      <c r="I120" s="244">
        <v>161.19999999999999</v>
      </c>
      <c r="J120" s="244">
        <v>161.19999999999999</v>
      </c>
      <c r="K120" s="244">
        <v>161.19999999999999</v>
      </c>
      <c r="L120" s="244">
        <v>161.19999999999999</v>
      </c>
      <c r="M120" s="244">
        <v>161.19999999999999</v>
      </c>
      <c r="N120" s="244">
        <v>161.19999999999999</v>
      </c>
      <c r="O120" s="244">
        <v>161.19999999999999</v>
      </c>
      <c r="P120" s="244">
        <v>161.19999999999999</v>
      </c>
      <c r="Q120" s="244">
        <v>161.19999999999999</v>
      </c>
      <c r="R120" s="244">
        <v>161.19999999999999</v>
      </c>
      <c r="S120" s="244">
        <v>161.19999999999999</v>
      </c>
      <c r="T120" s="244">
        <v>161.19999999999999</v>
      </c>
      <c r="U120" s="244">
        <v>161.19999999999999</v>
      </c>
      <c r="V120" s="244">
        <v>161.19999999999999</v>
      </c>
      <c r="W120" s="244">
        <v>161.19999999999999</v>
      </c>
      <c r="X120" s="244">
        <v>161.19999999999999</v>
      </c>
      <c r="Y120" s="244">
        <v>161.19999999999999</v>
      </c>
      <c r="Z120" s="244">
        <v>161.19999999999999</v>
      </c>
      <c r="AA120" s="244">
        <v>161.19999999999999</v>
      </c>
      <c r="AB120" s="244">
        <v>161.19999999999999</v>
      </c>
      <c r="AC120" s="245">
        <v>161.19999999999999</v>
      </c>
    </row>
    <row r="121" spans="1:36" ht="27" customHeight="1" x14ac:dyDescent="0.25">
      <c r="A121" s="477" t="s">
        <v>477</v>
      </c>
      <c r="B121" s="452" t="s">
        <v>387</v>
      </c>
      <c r="C121" s="480" t="s">
        <v>399</v>
      </c>
      <c r="D121" s="476" t="s">
        <v>393</v>
      </c>
      <c r="E121" s="239" t="s">
        <v>347</v>
      </c>
      <c r="F121" s="240">
        <v>131.9</v>
      </c>
      <c r="G121" s="240">
        <v>131.9</v>
      </c>
      <c r="H121" s="240">
        <v>131.9</v>
      </c>
      <c r="I121" s="240">
        <v>131.9</v>
      </c>
      <c r="J121" s="240">
        <v>131.9</v>
      </c>
      <c r="K121" s="240">
        <v>131.9</v>
      </c>
      <c r="L121" s="240">
        <v>131.9</v>
      </c>
      <c r="M121" s="240">
        <v>131.9</v>
      </c>
      <c r="N121" s="240">
        <v>131.9</v>
      </c>
      <c r="O121" s="240">
        <v>131.9</v>
      </c>
      <c r="P121" s="240">
        <v>131.9</v>
      </c>
      <c r="Q121" s="240">
        <v>131.9</v>
      </c>
      <c r="R121" s="240">
        <v>131.9</v>
      </c>
      <c r="S121" s="240">
        <v>131.9</v>
      </c>
      <c r="T121" s="240">
        <v>131.9</v>
      </c>
      <c r="U121" s="240">
        <v>131.9</v>
      </c>
      <c r="V121" s="240">
        <v>131.9</v>
      </c>
      <c r="W121" s="240">
        <v>131.9</v>
      </c>
      <c r="X121" s="240">
        <v>131.9</v>
      </c>
      <c r="Y121" s="240">
        <v>131.9</v>
      </c>
      <c r="Z121" s="240">
        <v>131.9</v>
      </c>
      <c r="AA121" s="240">
        <v>131.9</v>
      </c>
      <c r="AB121" s="240">
        <v>131.9</v>
      </c>
      <c r="AC121" s="241">
        <v>131.9</v>
      </c>
    </row>
    <row r="122" spans="1:36" ht="27" customHeight="1" x14ac:dyDescent="0.25">
      <c r="A122" s="478"/>
      <c r="B122" s="453"/>
      <c r="C122" s="469"/>
      <c r="D122" s="471"/>
      <c r="E122" s="237" t="s">
        <v>345</v>
      </c>
      <c r="F122" s="242">
        <v>131.9</v>
      </c>
      <c r="G122" s="242">
        <v>131.9</v>
      </c>
      <c r="H122" s="242">
        <v>131.9</v>
      </c>
      <c r="I122" s="242">
        <v>131.9</v>
      </c>
      <c r="J122" s="242">
        <v>131.9</v>
      </c>
      <c r="K122" s="242">
        <v>131.9</v>
      </c>
      <c r="L122" s="242">
        <v>131.9</v>
      </c>
      <c r="M122" s="242">
        <v>131.9</v>
      </c>
      <c r="N122" s="242">
        <v>131.9</v>
      </c>
      <c r="O122" s="242">
        <v>131.9</v>
      </c>
      <c r="P122" s="242">
        <v>131.9</v>
      </c>
      <c r="Q122" s="242">
        <v>131.9</v>
      </c>
      <c r="R122" s="242">
        <v>131.9</v>
      </c>
      <c r="S122" s="242">
        <v>131.9</v>
      </c>
      <c r="T122" s="242">
        <v>131.9</v>
      </c>
      <c r="U122" s="242">
        <v>131.9</v>
      </c>
      <c r="V122" s="242">
        <v>131.9</v>
      </c>
      <c r="W122" s="242">
        <v>131.9</v>
      </c>
      <c r="X122" s="242">
        <v>131.9</v>
      </c>
      <c r="Y122" s="242">
        <v>131.9</v>
      </c>
      <c r="Z122" s="242">
        <v>131.9</v>
      </c>
      <c r="AA122" s="242">
        <v>131.9</v>
      </c>
      <c r="AB122" s="242">
        <v>131.9</v>
      </c>
      <c r="AC122" s="243">
        <v>131.9</v>
      </c>
    </row>
    <row r="123" spans="1:36" ht="27" customHeight="1" thickBot="1" x14ac:dyDescent="0.3">
      <c r="A123" s="479"/>
      <c r="B123" s="454"/>
      <c r="C123" s="470"/>
      <c r="D123" s="472"/>
      <c r="E123" s="238" t="s">
        <v>346</v>
      </c>
      <c r="F123" s="244">
        <v>131.9</v>
      </c>
      <c r="G123" s="244">
        <v>131.9</v>
      </c>
      <c r="H123" s="244">
        <v>131.9</v>
      </c>
      <c r="I123" s="244">
        <v>131.9</v>
      </c>
      <c r="J123" s="244">
        <v>131.9</v>
      </c>
      <c r="K123" s="244">
        <v>131.9</v>
      </c>
      <c r="L123" s="244">
        <v>131.9</v>
      </c>
      <c r="M123" s="244">
        <v>131.9</v>
      </c>
      <c r="N123" s="244">
        <v>131.9</v>
      </c>
      <c r="O123" s="244">
        <v>131.9</v>
      </c>
      <c r="P123" s="244">
        <v>131.9</v>
      </c>
      <c r="Q123" s="244">
        <v>131.9</v>
      </c>
      <c r="R123" s="244">
        <v>131.9</v>
      </c>
      <c r="S123" s="244">
        <v>131.9</v>
      </c>
      <c r="T123" s="244">
        <v>131.9</v>
      </c>
      <c r="U123" s="244">
        <v>131.9</v>
      </c>
      <c r="V123" s="244">
        <v>131.9</v>
      </c>
      <c r="W123" s="244">
        <v>131.9</v>
      </c>
      <c r="X123" s="244">
        <v>131.9</v>
      </c>
      <c r="Y123" s="244">
        <v>131.9</v>
      </c>
      <c r="Z123" s="244">
        <v>131.9</v>
      </c>
      <c r="AA123" s="244">
        <v>131.9</v>
      </c>
      <c r="AB123" s="244">
        <v>131.9</v>
      </c>
      <c r="AC123" s="245">
        <v>131.9</v>
      </c>
    </row>
    <row r="124" spans="1:36" ht="27" customHeight="1" x14ac:dyDescent="0.25">
      <c r="A124" s="477" t="s">
        <v>478</v>
      </c>
      <c r="B124" s="452" t="s">
        <v>387</v>
      </c>
      <c r="C124" s="480" t="s">
        <v>395</v>
      </c>
      <c r="D124" s="476" t="s">
        <v>400</v>
      </c>
      <c r="E124" s="239" t="s">
        <v>347</v>
      </c>
      <c r="F124" s="240">
        <v>146.5</v>
      </c>
      <c r="G124" s="240">
        <v>146.5</v>
      </c>
      <c r="H124" s="240">
        <v>146.5</v>
      </c>
      <c r="I124" s="240">
        <v>146.5</v>
      </c>
      <c r="J124" s="240">
        <v>146.5</v>
      </c>
      <c r="K124" s="240">
        <v>146.5</v>
      </c>
      <c r="L124" s="240">
        <v>146.5</v>
      </c>
      <c r="M124" s="240">
        <v>146.5</v>
      </c>
      <c r="N124" s="240">
        <v>146.5</v>
      </c>
      <c r="O124" s="240">
        <v>146.5</v>
      </c>
      <c r="P124" s="240">
        <v>146.5</v>
      </c>
      <c r="Q124" s="240">
        <v>146.5</v>
      </c>
      <c r="R124" s="240">
        <v>146.5</v>
      </c>
      <c r="S124" s="240">
        <v>146.5</v>
      </c>
      <c r="T124" s="240">
        <v>146.5</v>
      </c>
      <c r="U124" s="240">
        <v>146.5</v>
      </c>
      <c r="V124" s="240">
        <v>146.5</v>
      </c>
      <c r="W124" s="240">
        <v>146.5</v>
      </c>
      <c r="X124" s="240">
        <v>146.5</v>
      </c>
      <c r="Y124" s="240">
        <v>146.5</v>
      </c>
      <c r="Z124" s="240">
        <v>146.5</v>
      </c>
      <c r="AA124" s="240">
        <v>146.5</v>
      </c>
      <c r="AB124" s="240">
        <v>146.5</v>
      </c>
      <c r="AC124" s="241">
        <v>146.5</v>
      </c>
    </row>
    <row r="125" spans="1:36" ht="27" customHeight="1" x14ac:dyDescent="0.25">
      <c r="A125" s="478"/>
      <c r="B125" s="453"/>
      <c r="C125" s="469"/>
      <c r="D125" s="471"/>
      <c r="E125" s="237" t="s">
        <v>345</v>
      </c>
      <c r="F125" s="242">
        <v>146.5</v>
      </c>
      <c r="G125" s="242">
        <v>146.5</v>
      </c>
      <c r="H125" s="242">
        <v>146.5</v>
      </c>
      <c r="I125" s="242">
        <v>146.5</v>
      </c>
      <c r="J125" s="242">
        <v>146.5</v>
      </c>
      <c r="K125" s="242">
        <v>146.5</v>
      </c>
      <c r="L125" s="242">
        <v>146.5</v>
      </c>
      <c r="M125" s="242">
        <v>146.5</v>
      </c>
      <c r="N125" s="242">
        <v>146.5</v>
      </c>
      <c r="O125" s="242">
        <v>146.5</v>
      </c>
      <c r="P125" s="242">
        <v>146.5</v>
      </c>
      <c r="Q125" s="242">
        <v>146.5</v>
      </c>
      <c r="R125" s="242">
        <v>146.5</v>
      </c>
      <c r="S125" s="242">
        <v>146.5</v>
      </c>
      <c r="T125" s="242">
        <v>146.5</v>
      </c>
      <c r="U125" s="242">
        <v>146.5</v>
      </c>
      <c r="V125" s="242">
        <v>146.5</v>
      </c>
      <c r="W125" s="242">
        <v>146.5</v>
      </c>
      <c r="X125" s="242">
        <v>146.5</v>
      </c>
      <c r="Y125" s="242">
        <v>146.5</v>
      </c>
      <c r="Z125" s="242">
        <v>146.5</v>
      </c>
      <c r="AA125" s="242">
        <v>146.5</v>
      </c>
      <c r="AB125" s="242">
        <v>146.5</v>
      </c>
      <c r="AC125" s="243">
        <v>146.5</v>
      </c>
    </row>
    <row r="126" spans="1:36" ht="27" customHeight="1" thickBot="1" x14ac:dyDescent="0.3">
      <c r="A126" s="479"/>
      <c r="B126" s="454"/>
      <c r="C126" s="470"/>
      <c r="D126" s="472"/>
      <c r="E126" s="238" t="s">
        <v>346</v>
      </c>
      <c r="F126" s="244">
        <v>146.5</v>
      </c>
      <c r="G126" s="244">
        <v>146.5</v>
      </c>
      <c r="H126" s="244">
        <v>146.5</v>
      </c>
      <c r="I126" s="244">
        <v>146.5</v>
      </c>
      <c r="J126" s="244">
        <v>146.5</v>
      </c>
      <c r="K126" s="244">
        <v>146.5</v>
      </c>
      <c r="L126" s="244">
        <v>146.5</v>
      </c>
      <c r="M126" s="244">
        <v>146.5</v>
      </c>
      <c r="N126" s="244">
        <v>146.5</v>
      </c>
      <c r="O126" s="244">
        <v>146.5</v>
      </c>
      <c r="P126" s="244">
        <v>146.5</v>
      </c>
      <c r="Q126" s="244">
        <v>146.5</v>
      </c>
      <c r="R126" s="244">
        <v>146.5</v>
      </c>
      <c r="S126" s="244">
        <v>146.5</v>
      </c>
      <c r="T126" s="244">
        <v>146.5</v>
      </c>
      <c r="U126" s="244">
        <v>146.5</v>
      </c>
      <c r="V126" s="244">
        <v>146.5</v>
      </c>
      <c r="W126" s="244">
        <v>146.5</v>
      </c>
      <c r="X126" s="244">
        <v>146.5</v>
      </c>
      <c r="Y126" s="244">
        <v>146.5</v>
      </c>
      <c r="Z126" s="244">
        <v>146.5</v>
      </c>
      <c r="AA126" s="244">
        <v>146.5</v>
      </c>
      <c r="AB126" s="244">
        <v>146.5</v>
      </c>
      <c r="AC126" s="245">
        <v>146.5</v>
      </c>
    </row>
    <row r="127" spans="1:36" s="346" customFormat="1" ht="25.9" customHeight="1" x14ac:dyDescent="0.2">
      <c r="A127" s="449" t="s">
        <v>109</v>
      </c>
      <c r="B127" s="452" t="s">
        <v>387</v>
      </c>
      <c r="C127" s="434" t="s">
        <v>401</v>
      </c>
      <c r="D127" s="455" t="s">
        <v>393</v>
      </c>
      <c r="E127" s="252" t="s">
        <v>347</v>
      </c>
      <c r="F127" s="262">
        <v>219.80330262916601</v>
      </c>
      <c r="G127" s="262">
        <v>219.80330262916601</v>
      </c>
      <c r="H127" s="262">
        <v>219.80330262916601</v>
      </c>
      <c r="I127" s="262">
        <v>219.80330262916601</v>
      </c>
      <c r="J127" s="262">
        <v>219.80330262916601</v>
      </c>
      <c r="K127" s="262">
        <v>219.80330262916601</v>
      </c>
      <c r="L127" s="262">
        <v>219.80330262916601</v>
      </c>
      <c r="M127" s="262">
        <v>219.80330262916601</v>
      </c>
      <c r="N127" s="262">
        <v>219.80330262916601</v>
      </c>
      <c r="O127" s="262">
        <v>219.80330262916601</v>
      </c>
      <c r="P127" s="262">
        <v>219.80330262916601</v>
      </c>
      <c r="Q127" s="262">
        <v>219.80330262916601</v>
      </c>
      <c r="R127" s="262">
        <v>219.80330262916601</v>
      </c>
      <c r="S127" s="262">
        <v>219.80330262916601</v>
      </c>
      <c r="T127" s="262">
        <v>219.80330262916601</v>
      </c>
      <c r="U127" s="262">
        <v>219.80330262916601</v>
      </c>
      <c r="V127" s="262">
        <v>219.80330262916601</v>
      </c>
      <c r="W127" s="262">
        <v>219.80330262916601</v>
      </c>
      <c r="X127" s="262">
        <v>219.80330262916601</v>
      </c>
      <c r="Y127" s="262">
        <v>219.80330262916601</v>
      </c>
      <c r="Z127" s="262">
        <v>219.80330262916601</v>
      </c>
      <c r="AA127" s="262">
        <v>219.80330262916601</v>
      </c>
      <c r="AB127" s="262">
        <v>219.80330262916601</v>
      </c>
      <c r="AC127" s="263">
        <v>219.80330262916601</v>
      </c>
      <c r="AD127" s="44"/>
      <c r="AE127" s="44"/>
      <c r="AF127" s="44"/>
      <c r="AG127" s="44"/>
      <c r="AH127" s="44"/>
      <c r="AI127" s="44"/>
      <c r="AJ127" s="44"/>
    </row>
    <row r="128" spans="1:36" s="346" customFormat="1" ht="25.9" customHeight="1" x14ac:dyDescent="0.2">
      <c r="A128" s="450"/>
      <c r="B128" s="453"/>
      <c r="C128" s="435"/>
      <c r="D128" s="456"/>
      <c r="E128" s="253" t="s">
        <v>345</v>
      </c>
      <c r="F128" s="264">
        <v>219.80330262916601</v>
      </c>
      <c r="G128" s="264">
        <v>219.80330262916601</v>
      </c>
      <c r="H128" s="264">
        <v>219.80330262916601</v>
      </c>
      <c r="I128" s="264">
        <v>219.80330262916601</v>
      </c>
      <c r="J128" s="264">
        <v>219.80330262916601</v>
      </c>
      <c r="K128" s="264">
        <v>219.80330262916601</v>
      </c>
      <c r="L128" s="264">
        <v>219.80330262916601</v>
      </c>
      <c r="M128" s="264">
        <v>219.80330262916601</v>
      </c>
      <c r="N128" s="264">
        <v>219.80330262916601</v>
      </c>
      <c r="O128" s="264">
        <v>219.80330262916601</v>
      </c>
      <c r="P128" s="264">
        <v>219.80330262916601</v>
      </c>
      <c r="Q128" s="264">
        <v>219.80330262916601</v>
      </c>
      <c r="R128" s="264">
        <v>219.80330262916601</v>
      </c>
      <c r="S128" s="264">
        <v>219.80330262916601</v>
      </c>
      <c r="T128" s="264">
        <v>219.80330262916601</v>
      </c>
      <c r="U128" s="264">
        <v>219.80330262916601</v>
      </c>
      <c r="V128" s="264">
        <v>219.80330262916601</v>
      </c>
      <c r="W128" s="264">
        <v>219.80330262916601</v>
      </c>
      <c r="X128" s="264">
        <v>219.80330262916601</v>
      </c>
      <c r="Y128" s="264">
        <v>219.80330262916601</v>
      </c>
      <c r="Z128" s="264">
        <v>219.80330262916601</v>
      </c>
      <c r="AA128" s="264">
        <v>219.80330262916601</v>
      </c>
      <c r="AB128" s="264">
        <v>219.80330262916601</v>
      </c>
      <c r="AC128" s="265">
        <v>219.80330262916601</v>
      </c>
    </row>
    <row r="129" spans="1:42" s="346" customFormat="1" ht="25.9" customHeight="1" x14ac:dyDescent="0.2">
      <c r="A129" s="451"/>
      <c r="B129" s="454"/>
      <c r="C129" s="436"/>
      <c r="D129" s="457"/>
      <c r="E129" s="254" t="s">
        <v>346</v>
      </c>
      <c r="F129" s="266">
        <v>219.80330262916601</v>
      </c>
      <c r="G129" s="266">
        <v>219.80330262916601</v>
      </c>
      <c r="H129" s="266">
        <v>219.80330262916601</v>
      </c>
      <c r="I129" s="266">
        <v>219.80330262916601</v>
      </c>
      <c r="J129" s="266">
        <v>219.80330262916601</v>
      </c>
      <c r="K129" s="266">
        <v>219.80330262916601</v>
      </c>
      <c r="L129" s="266">
        <v>219.80330262916601</v>
      </c>
      <c r="M129" s="266">
        <v>219.80330262916601</v>
      </c>
      <c r="N129" s="266">
        <v>219.80330262916601</v>
      </c>
      <c r="O129" s="266">
        <v>219.80330262916601</v>
      </c>
      <c r="P129" s="266">
        <v>219.80330262916601</v>
      </c>
      <c r="Q129" s="266">
        <v>219.80330262916601</v>
      </c>
      <c r="R129" s="266">
        <v>219.80330262916601</v>
      </c>
      <c r="S129" s="266">
        <v>219.80330262916601</v>
      </c>
      <c r="T129" s="266">
        <v>219.80330262916601</v>
      </c>
      <c r="U129" s="266">
        <v>219.80330262916601</v>
      </c>
      <c r="V129" s="266">
        <v>219.80330262916601</v>
      </c>
      <c r="W129" s="266">
        <v>219.80330262916601</v>
      </c>
      <c r="X129" s="266">
        <v>219.80330262916601</v>
      </c>
      <c r="Y129" s="266">
        <v>219.80330262916601</v>
      </c>
      <c r="Z129" s="266">
        <v>219.80330262916601</v>
      </c>
      <c r="AA129" s="266">
        <v>219.80330262916601</v>
      </c>
      <c r="AB129" s="266">
        <v>219.80330262916601</v>
      </c>
      <c r="AC129" s="267">
        <v>219.80330262916601</v>
      </c>
    </row>
    <row r="130" spans="1:42" s="346" customFormat="1" x14ac:dyDescent="0.2"/>
    <row r="131" spans="1:42" s="346" customFormat="1" x14ac:dyDescent="0.2"/>
    <row r="132" spans="1:42" s="346" customFormat="1" x14ac:dyDescent="0.2">
      <c r="A132" s="350" t="s">
        <v>140</v>
      </c>
      <c r="B132" s="351"/>
      <c r="C132" s="352"/>
      <c r="D132" s="352"/>
      <c r="E132" s="352"/>
      <c r="F132" s="352"/>
      <c r="G132" s="352"/>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c r="AH132" s="351"/>
      <c r="AI132" s="351"/>
      <c r="AJ132" s="351"/>
      <c r="AK132" s="351"/>
      <c r="AL132" s="351"/>
      <c r="AM132" s="351"/>
      <c r="AN132" s="351"/>
      <c r="AO132" s="351"/>
      <c r="AP132" s="351"/>
    </row>
    <row r="133" spans="1:42" s="346" customFormat="1" x14ac:dyDescent="0.2"/>
    <row r="134" spans="1:42" customFormat="1" ht="15" x14ac:dyDescent="0.25"/>
    <row r="135" spans="1:42" customFormat="1" ht="15" x14ac:dyDescent="0.25"/>
    <row r="136" spans="1:42" customFormat="1" ht="15" x14ac:dyDescent="0.25"/>
    <row r="137" spans="1:42" customFormat="1" ht="15" x14ac:dyDescent="0.25"/>
    <row r="138" spans="1:42" customFormat="1" ht="15" x14ac:dyDescent="0.25"/>
    <row r="139" spans="1:42" customFormat="1" ht="15" x14ac:dyDescent="0.25"/>
    <row r="140" spans="1:42" customFormat="1" ht="15" x14ac:dyDescent="0.25"/>
    <row r="141" spans="1:42" customFormat="1" ht="15" x14ac:dyDescent="0.25"/>
    <row r="142" spans="1:42" customFormat="1" ht="15" x14ac:dyDescent="0.25"/>
    <row r="143" spans="1:42" customFormat="1" ht="15" x14ac:dyDescent="0.25"/>
    <row r="144" spans="1:42" customFormat="1" ht="15" x14ac:dyDescent="0.25"/>
    <row r="145" customFormat="1" ht="15" x14ac:dyDescent="0.25"/>
    <row r="146" customFormat="1" ht="15" x14ac:dyDescent="0.25"/>
    <row r="147" customFormat="1" ht="15" x14ac:dyDescent="0.25"/>
    <row r="148" customFormat="1" ht="15" x14ac:dyDescent="0.25"/>
    <row r="149" customFormat="1" ht="15" x14ac:dyDescent="0.25"/>
    <row r="150" customFormat="1" ht="15" x14ac:dyDescent="0.25"/>
    <row r="151" customFormat="1" ht="15" x14ac:dyDescent="0.25"/>
    <row r="152" s="42" customFormat="1" x14ac:dyDescent="0.25"/>
    <row r="153" s="42" customFormat="1" x14ac:dyDescent="0.25"/>
    <row r="154" s="42" customFormat="1" x14ac:dyDescent="0.25"/>
    <row r="155" s="42" customFormat="1" x14ac:dyDescent="0.25"/>
    <row r="156" s="42" customFormat="1" x14ac:dyDescent="0.25"/>
    <row r="157" s="42" customFormat="1" x14ac:dyDescent="0.25"/>
    <row r="158" s="42" customFormat="1" x14ac:dyDescent="0.25"/>
    <row r="159" s="42" customFormat="1" x14ac:dyDescent="0.25"/>
    <row r="160" s="42" customFormat="1" x14ac:dyDescent="0.25"/>
    <row r="161" s="42" customFormat="1" x14ac:dyDescent="0.25"/>
    <row r="162" s="42" customFormat="1" x14ac:dyDescent="0.25"/>
    <row r="163" s="42" customFormat="1" x14ac:dyDescent="0.25"/>
    <row r="164" s="42" customFormat="1" x14ac:dyDescent="0.25"/>
    <row r="165" s="42" customFormat="1" x14ac:dyDescent="0.25"/>
    <row r="166" s="42" customFormat="1" x14ac:dyDescent="0.25"/>
  </sheetData>
  <mergeCells count="738">
    <mergeCell ref="WZQ71:XAS71"/>
    <mergeCell ref="XAT71:XBV71"/>
    <mergeCell ref="XBW71:XCY71"/>
    <mergeCell ref="XCZ71:XEB71"/>
    <mergeCell ref="XEC71:XFD71"/>
    <mergeCell ref="WPP71:WQR71"/>
    <mergeCell ref="WQS71:WRU71"/>
    <mergeCell ref="WRV71:WSX71"/>
    <mergeCell ref="WSY71:WUA71"/>
    <mergeCell ref="WUB71:WVD71"/>
    <mergeCell ref="WVE71:WWG71"/>
    <mergeCell ref="WWH71:WXJ71"/>
    <mergeCell ref="WXK71:WYM71"/>
    <mergeCell ref="WYN71:WZP71"/>
    <mergeCell ref="WFO71:WGQ71"/>
    <mergeCell ref="WGR71:WHT71"/>
    <mergeCell ref="WHU71:WIW71"/>
    <mergeCell ref="WIX71:WJZ71"/>
    <mergeCell ref="WKA71:WLC71"/>
    <mergeCell ref="WLD71:WMF71"/>
    <mergeCell ref="WMG71:WNI71"/>
    <mergeCell ref="WNJ71:WOL71"/>
    <mergeCell ref="WOM71:WPO71"/>
    <mergeCell ref="VVN71:VWP71"/>
    <mergeCell ref="VWQ71:VXS71"/>
    <mergeCell ref="VXT71:VYV71"/>
    <mergeCell ref="VYW71:VZY71"/>
    <mergeCell ref="VZZ71:WBB71"/>
    <mergeCell ref="WBC71:WCE71"/>
    <mergeCell ref="WCF71:WDH71"/>
    <mergeCell ref="WDI71:WEK71"/>
    <mergeCell ref="WEL71:WFN71"/>
    <mergeCell ref="VLM71:VMO71"/>
    <mergeCell ref="VMP71:VNR71"/>
    <mergeCell ref="VNS71:VOU71"/>
    <mergeCell ref="VOV71:VPX71"/>
    <mergeCell ref="VPY71:VRA71"/>
    <mergeCell ref="VRB71:VSD71"/>
    <mergeCell ref="VSE71:VTG71"/>
    <mergeCell ref="VTH71:VUJ71"/>
    <mergeCell ref="VUK71:VVM71"/>
    <mergeCell ref="VBL71:VCN71"/>
    <mergeCell ref="VCO71:VDQ71"/>
    <mergeCell ref="VDR71:VET71"/>
    <mergeCell ref="VEU71:VFW71"/>
    <mergeCell ref="VFX71:VGZ71"/>
    <mergeCell ref="VHA71:VIC71"/>
    <mergeCell ref="VID71:VJF71"/>
    <mergeCell ref="VJG71:VKI71"/>
    <mergeCell ref="VKJ71:VLL71"/>
    <mergeCell ref="URK71:USM71"/>
    <mergeCell ref="USN71:UTP71"/>
    <mergeCell ref="UTQ71:UUS71"/>
    <mergeCell ref="UUT71:UVV71"/>
    <mergeCell ref="UVW71:UWY71"/>
    <mergeCell ref="UWZ71:UYB71"/>
    <mergeCell ref="UYC71:UZE71"/>
    <mergeCell ref="UZF71:VAH71"/>
    <mergeCell ref="VAI71:VBK71"/>
    <mergeCell ref="UHJ71:UIL71"/>
    <mergeCell ref="UIM71:UJO71"/>
    <mergeCell ref="UJP71:UKR71"/>
    <mergeCell ref="UKS71:ULU71"/>
    <mergeCell ref="ULV71:UMX71"/>
    <mergeCell ref="UMY71:UOA71"/>
    <mergeCell ref="UOB71:UPD71"/>
    <mergeCell ref="UPE71:UQG71"/>
    <mergeCell ref="UQH71:URJ71"/>
    <mergeCell ref="TXI71:TYK71"/>
    <mergeCell ref="TYL71:TZN71"/>
    <mergeCell ref="TZO71:UAQ71"/>
    <mergeCell ref="UAR71:UBT71"/>
    <mergeCell ref="UBU71:UCW71"/>
    <mergeCell ref="UCX71:UDZ71"/>
    <mergeCell ref="UEA71:UFC71"/>
    <mergeCell ref="UFD71:UGF71"/>
    <mergeCell ref="UGG71:UHI71"/>
    <mergeCell ref="TNH71:TOJ71"/>
    <mergeCell ref="TOK71:TPM71"/>
    <mergeCell ref="TPN71:TQP71"/>
    <mergeCell ref="TQQ71:TRS71"/>
    <mergeCell ref="TRT71:TSV71"/>
    <mergeCell ref="TSW71:TTY71"/>
    <mergeCell ref="TTZ71:TVB71"/>
    <mergeCell ref="TVC71:TWE71"/>
    <mergeCell ref="TWF71:TXH71"/>
    <mergeCell ref="TDG71:TEI71"/>
    <mergeCell ref="TEJ71:TFL71"/>
    <mergeCell ref="TFM71:TGO71"/>
    <mergeCell ref="TGP71:THR71"/>
    <mergeCell ref="THS71:TIU71"/>
    <mergeCell ref="TIV71:TJX71"/>
    <mergeCell ref="TJY71:TLA71"/>
    <mergeCell ref="TLB71:TMD71"/>
    <mergeCell ref="TME71:TNG71"/>
    <mergeCell ref="STF71:SUH71"/>
    <mergeCell ref="SUI71:SVK71"/>
    <mergeCell ref="SVL71:SWN71"/>
    <mergeCell ref="SWO71:SXQ71"/>
    <mergeCell ref="SXR71:SYT71"/>
    <mergeCell ref="SYU71:SZW71"/>
    <mergeCell ref="SZX71:TAZ71"/>
    <mergeCell ref="TBA71:TCC71"/>
    <mergeCell ref="TCD71:TDF71"/>
    <mergeCell ref="SJE71:SKG71"/>
    <mergeCell ref="SKH71:SLJ71"/>
    <mergeCell ref="SLK71:SMM71"/>
    <mergeCell ref="SMN71:SNP71"/>
    <mergeCell ref="SNQ71:SOS71"/>
    <mergeCell ref="SOT71:SPV71"/>
    <mergeCell ref="SPW71:SQY71"/>
    <mergeCell ref="SQZ71:SSB71"/>
    <mergeCell ref="SSC71:STE71"/>
    <mergeCell ref="RZD71:SAF71"/>
    <mergeCell ref="SAG71:SBI71"/>
    <mergeCell ref="SBJ71:SCL71"/>
    <mergeCell ref="SCM71:SDO71"/>
    <mergeCell ref="SDP71:SER71"/>
    <mergeCell ref="SES71:SFU71"/>
    <mergeCell ref="SFV71:SGX71"/>
    <mergeCell ref="SGY71:SIA71"/>
    <mergeCell ref="SIB71:SJD71"/>
    <mergeCell ref="RPC71:RQE71"/>
    <mergeCell ref="RQF71:RRH71"/>
    <mergeCell ref="RRI71:RSK71"/>
    <mergeCell ref="RSL71:RTN71"/>
    <mergeCell ref="RTO71:RUQ71"/>
    <mergeCell ref="RUR71:RVT71"/>
    <mergeCell ref="RVU71:RWW71"/>
    <mergeCell ref="RWX71:RXZ71"/>
    <mergeCell ref="RYA71:RZC71"/>
    <mergeCell ref="RFB71:RGD71"/>
    <mergeCell ref="RGE71:RHG71"/>
    <mergeCell ref="RHH71:RIJ71"/>
    <mergeCell ref="RIK71:RJM71"/>
    <mergeCell ref="RJN71:RKP71"/>
    <mergeCell ref="RKQ71:RLS71"/>
    <mergeCell ref="RLT71:RMV71"/>
    <mergeCell ref="RMW71:RNY71"/>
    <mergeCell ref="RNZ71:RPB71"/>
    <mergeCell ref="QVA71:QWC71"/>
    <mergeCell ref="QWD71:QXF71"/>
    <mergeCell ref="QXG71:QYI71"/>
    <mergeCell ref="QYJ71:QZL71"/>
    <mergeCell ref="QZM71:RAO71"/>
    <mergeCell ref="RAP71:RBR71"/>
    <mergeCell ref="RBS71:RCU71"/>
    <mergeCell ref="RCV71:RDX71"/>
    <mergeCell ref="RDY71:RFA71"/>
    <mergeCell ref="QKZ71:QMB71"/>
    <mergeCell ref="QMC71:QNE71"/>
    <mergeCell ref="QNF71:QOH71"/>
    <mergeCell ref="QOI71:QPK71"/>
    <mergeCell ref="QPL71:QQN71"/>
    <mergeCell ref="QQO71:QRQ71"/>
    <mergeCell ref="QRR71:QST71"/>
    <mergeCell ref="QSU71:QTW71"/>
    <mergeCell ref="QTX71:QUZ71"/>
    <mergeCell ref="QAY71:QCA71"/>
    <mergeCell ref="QCB71:QDD71"/>
    <mergeCell ref="QDE71:QEG71"/>
    <mergeCell ref="QEH71:QFJ71"/>
    <mergeCell ref="QFK71:QGM71"/>
    <mergeCell ref="QGN71:QHP71"/>
    <mergeCell ref="QHQ71:QIS71"/>
    <mergeCell ref="QIT71:QJV71"/>
    <mergeCell ref="QJW71:QKY71"/>
    <mergeCell ref="PQX71:PRZ71"/>
    <mergeCell ref="PSA71:PTC71"/>
    <mergeCell ref="PTD71:PUF71"/>
    <mergeCell ref="PUG71:PVI71"/>
    <mergeCell ref="PVJ71:PWL71"/>
    <mergeCell ref="PWM71:PXO71"/>
    <mergeCell ref="PXP71:PYR71"/>
    <mergeCell ref="PYS71:PZU71"/>
    <mergeCell ref="PZV71:QAX71"/>
    <mergeCell ref="PGW71:PHY71"/>
    <mergeCell ref="PHZ71:PJB71"/>
    <mergeCell ref="PJC71:PKE71"/>
    <mergeCell ref="PKF71:PLH71"/>
    <mergeCell ref="PLI71:PMK71"/>
    <mergeCell ref="PML71:PNN71"/>
    <mergeCell ref="PNO71:POQ71"/>
    <mergeCell ref="POR71:PPT71"/>
    <mergeCell ref="PPU71:PQW71"/>
    <mergeCell ref="OWV71:OXX71"/>
    <mergeCell ref="OXY71:OZA71"/>
    <mergeCell ref="OZB71:PAD71"/>
    <mergeCell ref="PAE71:PBG71"/>
    <mergeCell ref="PBH71:PCJ71"/>
    <mergeCell ref="PCK71:PDM71"/>
    <mergeCell ref="PDN71:PEP71"/>
    <mergeCell ref="PEQ71:PFS71"/>
    <mergeCell ref="PFT71:PGV71"/>
    <mergeCell ref="OMU71:ONW71"/>
    <mergeCell ref="ONX71:OOZ71"/>
    <mergeCell ref="OPA71:OQC71"/>
    <mergeCell ref="OQD71:ORF71"/>
    <mergeCell ref="ORG71:OSI71"/>
    <mergeCell ref="OSJ71:OTL71"/>
    <mergeCell ref="OTM71:OUO71"/>
    <mergeCell ref="OUP71:OVR71"/>
    <mergeCell ref="OVS71:OWU71"/>
    <mergeCell ref="OCT71:ODV71"/>
    <mergeCell ref="ODW71:OEY71"/>
    <mergeCell ref="OEZ71:OGB71"/>
    <mergeCell ref="OGC71:OHE71"/>
    <mergeCell ref="OHF71:OIH71"/>
    <mergeCell ref="OII71:OJK71"/>
    <mergeCell ref="OJL71:OKN71"/>
    <mergeCell ref="OKO71:OLQ71"/>
    <mergeCell ref="OLR71:OMT71"/>
    <mergeCell ref="NSS71:NTU71"/>
    <mergeCell ref="NTV71:NUX71"/>
    <mergeCell ref="NUY71:NWA71"/>
    <mergeCell ref="NWB71:NXD71"/>
    <mergeCell ref="NXE71:NYG71"/>
    <mergeCell ref="NYH71:NZJ71"/>
    <mergeCell ref="NZK71:OAM71"/>
    <mergeCell ref="OAN71:OBP71"/>
    <mergeCell ref="OBQ71:OCS71"/>
    <mergeCell ref="NIR71:NJT71"/>
    <mergeCell ref="NJU71:NKW71"/>
    <mergeCell ref="NKX71:NLZ71"/>
    <mergeCell ref="NMA71:NNC71"/>
    <mergeCell ref="NND71:NOF71"/>
    <mergeCell ref="NOG71:NPI71"/>
    <mergeCell ref="NPJ71:NQL71"/>
    <mergeCell ref="NQM71:NRO71"/>
    <mergeCell ref="NRP71:NSR71"/>
    <mergeCell ref="MYQ71:MZS71"/>
    <mergeCell ref="MZT71:NAV71"/>
    <mergeCell ref="NAW71:NBY71"/>
    <mergeCell ref="NBZ71:NDB71"/>
    <mergeCell ref="NDC71:NEE71"/>
    <mergeCell ref="NEF71:NFH71"/>
    <mergeCell ref="NFI71:NGK71"/>
    <mergeCell ref="NGL71:NHN71"/>
    <mergeCell ref="NHO71:NIQ71"/>
    <mergeCell ref="MOP71:MPR71"/>
    <mergeCell ref="MPS71:MQU71"/>
    <mergeCell ref="MQV71:MRX71"/>
    <mergeCell ref="MRY71:MTA71"/>
    <mergeCell ref="MTB71:MUD71"/>
    <mergeCell ref="MUE71:MVG71"/>
    <mergeCell ref="MVH71:MWJ71"/>
    <mergeCell ref="MWK71:MXM71"/>
    <mergeCell ref="MXN71:MYP71"/>
    <mergeCell ref="MEO71:MFQ71"/>
    <mergeCell ref="MFR71:MGT71"/>
    <mergeCell ref="MGU71:MHW71"/>
    <mergeCell ref="MHX71:MIZ71"/>
    <mergeCell ref="MJA71:MKC71"/>
    <mergeCell ref="MKD71:MLF71"/>
    <mergeCell ref="MLG71:MMI71"/>
    <mergeCell ref="MMJ71:MNL71"/>
    <mergeCell ref="MNM71:MOO71"/>
    <mergeCell ref="LUN71:LVP71"/>
    <mergeCell ref="LVQ71:LWS71"/>
    <mergeCell ref="LWT71:LXV71"/>
    <mergeCell ref="LXW71:LYY71"/>
    <mergeCell ref="LYZ71:MAB71"/>
    <mergeCell ref="MAC71:MBE71"/>
    <mergeCell ref="MBF71:MCH71"/>
    <mergeCell ref="MCI71:MDK71"/>
    <mergeCell ref="MDL71:MEN71"/>
    <mergeCell ref="LKM71:LLO71"/>
    <mergeCell ref="LLP71:LMR71"/>
    <mergeCell ref="LMS71:LNU71"/>
    <mergeCell ref="LNV71:LOX71"/>
    <mergeCell ref="LOY71:LQA71"/>
    <mergeCell ref="LQB71:LRD71"/>
    <mergeCell ref="LRE71:LSG71"/>
    <mergeCell ref="LSH71:LTJ71"/>
    <mergeCell ref="LTK71:LUM71"/>
    <mergeCell ref="LAL71:LBN71"/>
    <mergeCell ref="LBO71:LCQ71"/>
    <mergeCell ref="LCR71:LDT71"/>
    <mergeCell ref="LDU71:LEW71"/>
    <mergeCell ref="LEX71:LFZ71"/>
    <mergeCell ref="LGA71:LHC71"/>
    <mergeCell ref="LHD71:LIF71"/>
    <mergeCell ref="LIG71:LJI71"/>
    <mergeCell ref="LJJ71:LKL71"/>
    <mergeCell ref="KQK71:KRM71"/>
    <mergeCell ref="KRN71:KSP71"/>
    <mergeCell ref="KSQ71:KTS71"/>
    <mergeCell ref="KTT71:KUV71"/>
    <mergeCell ref="KUW71:KVY71"/>
    <mergeCell ref="KVZ71:KXB71"/>
    <mergeCell ref="KXC71:KYE71"/>
    <mergeCell ref="KYF71:KZH71"/>
    <mergeCell ref="KZI71:LAK71"/>
    <mergeCell ref="KGJ71:KHL71"/>
    <mergeCell ref="KHM71:KIO71"/>
    <mergeCell ref="KIP71:KJR71"/>
    <mergeCell ref="KJS71:KKU71"/>
    <mergeCell ref="KKV71:KLX71"/>
    <mergeCell ref="KLY71:KNA71"/>
    <mergeCell ref="KNB71:KOD71"/>
    <mergeCell ref="KOE71:KPG71"/>
    <mergeCell ref="KPH71:KQJ71"/>
    <mergeCell ref="JWI71:JXK71"/>
    <mergeCell ref="JXL71:JYN71"/>
    <mergeCell ref="JYO71:JZQ71"/>
    <mergeCell ref="JZR71:KAT71"/>
    <mergeCell ref="KAU71:KBW71"/>
    <mergeCell ref="KBX71:KCZ71"/>
    <mergeCell ref="KDA71:KEC71"/>
    <mergeCell ref="KED71:KFF71"/>
    <mergeCell ref="KFG71:KGI71"/>
    <mergeCell ref="JMH71:JNJ71"/>
    <mergeCell ref="JNK71:JOM71"/>
    <mergeCell ref="JON71:JPP71"/>
    <mergeCell ref="JPQ71:JQS71"/>
    <mergeCell ref="JQT71:JRV71"/>
    <mergeCell ref="JRW71:JSY71"/>
    <mergeCell ref="JSZ71:JUB71"/>
    <mergeCell ref="JUC71:JVE71"/>
    <mergeCell ref="JVF71:JWH71"/>
    <mergeCell ref="JCG71:JDI71"/>
    <mergeCell ref="JDJ71:JEL71"/>
    <mergeCell ref="JEM71:JFO71"/>
    <mergeCell ref="JFP71:JGR71"/>
    <mergeCell ref="JGS71:JHU71"/>
    <mergeCell ref="JHV71:JIX71"/>
    <mergeCell ref="JIY71:JKA71"/>
    <mergeCell ref="JKB71:JLD71"/>
    <mergeCell ref="JLE71:JMG71"/>
    <mergeCell ref="ISF71:ITH71"/>
    <mergeCell ref="ITI71:IUK71"/>
    <mergeCell ref="IUL71:IVN71"/>
    <mergeCell ref="IVO71:IWQ71"/>
    <mergeCell ref="IWR71:IXT71"/>
    <mergeCell ref="IXU71:IYW71"/>
    <mergeCell ref="IYX71:IZZ71"/>
    <mergeCell ref="JAA71:JBC71"/>
    <mergeCell ref="JBD71:JCF71"/>
    <mergeCell ref="IIE71:IJG71"/>
    <mergeCell ref="IJH71:IKJ71"/>
    <mergeCell ref="IKK71:ILM71"/>
    <mergeCell ref="ILN71:IMP71"/>
    <mergeCell ref="IMQ71:INS71"/>
    <mergeCell ref="INT71:IOV71"/>
    <mergeCell ref="IOW71:IPY71"/>
    <mergeCell ref="IPZ71:IRB71"/>
    <mergeCell ref="IRC71:ISE71"/>
    <mergeCell ref="HYD71:HZF71"/>
    <mergeCell ref="HZG71:IAI71"/>
    <mergeCell ref="IAJ71:IBL71"/>
    <mergeCell ref="IBM71:ICO71"/>
    <mergeCell ref="ICP71:IDR71"/>
    <mergeCell ref="IDS71:IEU71"/>
    <mergeCell ref="IEV71:IFX71"/>
    <mergeCell ref="IFY71:IHA71"/>
    <mergeCell ref="IHB71:IID71"/>
    <mergeCell ref="HOC71:HPE71"/>
    <mergeCell ref="HPF71:HQH71"/>
    <mergeCell ref="HQI71:HRK71"/>
    <mergeCell ref="HRL71:HSN71"/>
    <mergeCell ref="HSO71:HTQ71"/>
    <mergeCell ref="HTR71:HUT71"/>
    <mergeCell ref="HUU71:HVW71"/>
    <mergeCell ref="HVX71:HWZ71"/>
    <mergeCell ref="HXA71:HYC71"/>
    <mergeCell ref="HEB71:HFD71"/>
    <mergeCell ref="HFE71:HGG71"/>
    <mergeCell ref="HGH71:HHJ71"/>
    <mergeCell ref="HHK71:HIM71"/>
    <mergeCell ref="HIN71:HJP71"/>
    <mergeCell ref="HJQ71:HKS71"/>
    <mergeCell ref="HKT71:HLV71"/>
    <mergeCell ref="HLW71:HMY71"/>
    <mergeCell ref="HMZ71:HOB71"/>
    <mergeCell ref="GUA71:GVC71"/>
    <mergeCell ref="GVD71:GWF71"/>
    <mergeCell ref="GWG71:GXI71"/>
    <mergeCell ref="GXJ71:GYL71"/>
    <mergeCell ref="GYM71:GZO71"/>
    <mergeCell ref="GZP71:HAR71"/>
    <mergeCell ref="HAS71:HBU71"/>
    <mergeCell ref="HBV71:HCX71"/>
    <mergeCell ref="HCY71:HEA71"/>
    <mergeCell ref="GJZ71:GLB71"/>
    <mergeCell ref="GLC71:GME71"/>
    <mergeCell ref="GMF71:GNH71"/>
    <mergeCell ref="GNI71:GOK71"/>
    <mergeCell ref="GOL71:GPN71"/>
    <mergeCell ref="GPO71:GQQ71"/>
    <mergeCell ref="GQR71:GRT71"/>
    <mergeCell ref="GRU71:GSW71"/>
    <mergeCell ref="GSX71:GTZ71"/>
    <mergeCell ref="FZY71:GBA71"/>
    <mergeCell ref="GBB71:GCD71"/>
    <mergeCell ref="GCE71:GDG71"/>
    <mergeCell ref="GDH71:GEJ71"/>
    <mergeCell ref="GEK71:GFM71"/>
    <mergeCell ref="GFN71:GGP71"/>
    <mergeCell ref="GGQ71:GHS71"/>
    <mergeCell ref="GHT71:GIV71"/>
    <mergeCell ref="GIW71:GJY71"/>
    <mergeCell ref="FPX71:FQZ71"/>
    <mergeCell ref="FRA71:FSC71"/>
    <mergeCell ref="FSD71:FTF71"/>
    <mergeCell ref="FTG71:FUI71"/>
    <mergeCell ref="FUJ71:FVL71"/>
    <mergeCell ref="FVM71:FWO71"/>
    <mergeCell ref="FWP71:FXR71"/>
    <mergeCell ref="FXS71:FYU71"/>
    <mergeCell ref="FYV71:FZX71"/>
    <mergeCell ref="FFW71:FGY71"/>
    <mergeCell ref="FGZ71:FIB71"/>
    <mergeCell ref="FIC71:FJE71"/>
    <mergeCell ref="FJF71:FKH71"/>
    <mergeCell ref="FKI71:FLK71"/>
    <mergeCell ref="FLL71:FMN71"/>
    <mergeCell ref="FMO71:FNQ71"/>
    <mergeCell ref="FNR71:FOT71"/>
    <mergeCell ref="FOU71:FPW71"/>
    <mergeCell ref="EVV71:EWX71"/>
    <mergeCell ref="EWY71:EYA71"/>
    <mergeCell ref="EYB71:EZD71"/>
    <mergeCell ref="EZE71:FAG71"/>
    <mergeCell ref="FAH71:FBJ71"/>
    <mergeCell ref="FBK71:FCM71"/>
    <mergeCell ref="FCN71:FDP71"/>
    <mergeCell ref="FDQ71:FES71"/>
    <mergeCell ref="FET71:FFV71"/>
    <mergeCell ref="ELU71:EMW71"/>
    <mergeCell ref="EMX71:ENZ71"/>
    <mergeCell ref="EOA71:EPC71"/>
    <mergeCell ref="EPD71:EQF71"/>
    <mergeCell ref="EQG71:ERI71"/>
    <mergeCell ref="ERJ71:ESL71"/>
    <mergeCell ref="ESM71:ETO71"/>
    <mergeCell ref="ETP71:EUR71"/>
    <mergeCell ref="EUS71:EVU71"/>
    <mergeCell ref="EBT71:ECV71"/>
    <mergeCell ref="ECW71:EDY71"/>
    <mergeCell ref="EDZ71:EFB71"/>
    <mergeCell ref="EFC71:EGE71"/>
    <mergeCell ref="EGF71:EHH71"/>
    <mergeCell ref="EHI71:EIK71"/>
    <mergeCell ref="EIL71:EJN71"/>
    <mergeCell ref="EJO71:EKQ71"/>
    <mergeCell ref="EKR71:ELT71"/>
    <mergeCell ref="DRS71:DSU71"/>
    <mergeCell ref="DSV71:DTX71"/>
    <mergeCell ref="DTY71:DVA71"/>
    <mergeCell ref="DVB71:DWD71"/>
    <mergeCell ref="DWE71:DXG71"/>
    <mergeCell ref="DXH71:DYJ71"/>
    <mergeCell ref="DYK71:DZM71"/>
    <mergeCell ref="DZN71:EAP71"/>
    <mergeCell ref="EAQ71:EBS71"/>
    <mergeCell ref="DHR71:DIT71"/>
    <mergeCell ref="DIU71:DJW71"/>
    <mergeCell ref="DJX71:DKZ71"/>
    <mergeCell ref="DLA71:DMC71"/>
    <mergeCell ref="DMD71:DNF71"/>
    <mergeCell ref="DNG71:DOI71"/>
    <mergeCell ref="DOJ71:DPL71"/>
    <mergeCell ref="DPM71:DQO71"/>
    <mergeCell ref="DQP71:DRR71"/>
    <mergeCell ref="CXQ71:CYS71"/>
    <mergeCell ref="CYT71:CZV71"/>
    <mergeCell ref="CZW71:DAY71"/>
    <mergeCell ref="DAZ71:DCB71"/>
    <mergeCell ref="DCC71:DDE71"/>
    <mergeCell ref="DDF71:DEH71"/>
    <mergeCell ref="DEI71:DFK71"/>
    <mergeCell ref="DFL71:DGN71"/>
    <mergeCell ref="DGO71:DHQ71"/>
    <mergeCell ref="CNP71:COR71"/>
    <mergeCell ref="COS71:CPU71"/>
    <mergeCell ref="CPV71:CQX71"/>
    <mergeCell ref="CQY71:CSA71"/>
    <mergeCell ref="CSB71:CTD71"/>
    <mergeCell ref="CTE71:CUG71"/>
    <mergeCell ref="CUH71:CVJ71"/>
    <mergeCell ref="CVK71:CWM71"/>
    <mergeCell ref="CWN71:CXP71"/>
    <mergeCell ref="CDO71:CEQ71"/>
    <mergeCell ref="CER71:CFT71"/>
    <mergeCell ref="CFU71:CGW71"/>
    <mergeCell ref="CGX71:CHZ71"/>
    <mergeCell ref="CIA71:CJC71"/>
    <mergeCell ref="CJD71:CKF71"/>
    <mergeCell ref="CKG71:CLI71"/>
    <mergeCell ref="CLJ71:CML71"/>
    <mergeCell ref="CMM71:CNO71"/>
    <mergeCell ref="BTN71:BUP71"/>
    <mergeCell ref="BUQ71:BVS71"/>
    <mergeCell ref="BVT71:BWV71"/>
    <mergeCell ref="BWW71:BXY71"/>
    <mergeCell ref="BXZ71:BZB71"/>
    <mergeCell ref="BZC71:CAE71"/>
    <mergeCell ref="CAF71:CBH71"/>
    <mergeCell ref="CBI71:CCK71"/>
    <mergeCell ref="CCL71:CDN71"/>
    <mergeCell ref="BJM71:BKO71"/>
    <mergeCell ref="BKP71:BLR71"/>
    <mergeCell ref="BLS71:BMU71"/>
    <mergeCell ref="BMV71:BNX71"/>
    <mergeCell ref="BNY71:BPA71"/>
    <mergeCell ref="BPB71:BQD71"/>
    <mergeCell ref="BQE71:BRG71"/>
    <mergeCell ref="BRH71:BSJ71"/>
    <mergeCell ref="BSK71:BTM71"/>
    <mergeCell ref="AZL71:BAN71"/>
    <mergeCell ref="BAO71:BBQ71"/>
    <mergeCell ref="BBR71:BCT71"/>
    <mergeCell ref="BCU71:BDW71"/>
    <mergeCell ref="BDX71:BEZ71"/>
    <mergeCell ref="BFA71:BGC71"/>
    <mergeCell ref="BGD71:BHF71"/>
    <mergeCell ref="BHG71:BII71"/>
    <mergeCell ref="BIJ71:BJL71"/>
    <mergeCell ref="APK71:AQM71"/>
    <mergeCell ref="AQN71:ARP71"/>
    <mergeCell ref="ARQ71:ASS71"/>
    <mergeCell ref="AST71:ATV71"/>
    <mergeCell ref="ATW71:AUY71"/>
    <mergeCell ref="AUZ71:AWB71"/>
    <mergeCell ref="AWC71:AXE71"/>
    <mergeCell ref="AXF71:AYH71"/>
    <mergeCell ref="AYI71:AZK71"/>
    <mergeCell ref="AFJ71:AGL71"/>
    <mergeCell ref="AGM71:AHO71"/>
    <mergeCell ref="AHP71:AIR71"/>
    <mergeCell ref="AIS71:AJU71"/>
    <mergeCell ref="AJV71:AKX71"/>
    <mergeCell ref="AKY71:AMA71"/>
    <mergeCell ref="AMB71:AND71"/>
    <mergeCell ref="ANE71:AOG71"/>
    <mergeCell ref="AOH71:APJ71"/>
    <mergeCell ref="VI71:WK71"/>
    <mergeCell ref="WL71:XN71"/>
    <mergeCell ref="XO71:YQ71"/>
    <mergeCell ref="YR71:ZT71"/>
    <mergeCell ref="ZU71:AAW71"/>
    <mergeCell ref="AAX71:ABZ71"/>
    <mergeCell ref="ACA71:ADC71"/>
    <mergeCell ref="ADD71:AEF71"/>
    <mergeCell ref="AEG71:AFI71"/>
    <mergeCell ref="LH71:MJ71"/>
    <mergeCell ref="MK71:NM71"/>
    <mergeCell ref="NN71:OP71"/>
    <mergeCell ref="OQ71:PS71"/>
    <mergeCell ref="PT71:QV71"/>
    <mergeCell ref="QW71:RY71"/>
    <mergeCell ref="RZ71:TB71"/>
    <mergeCell ref="TC71:UE71"/>
    <mergeCell ref="UF71:VH71"/>
    <mergeCell ref="BG71:CI71"/>
    <mergeCell ref="CJ71:DL71"/>
    <mergeCell ref="DM71:EO71"/>
    <mergeCell ref="EP71:FR71"/>
    <mergeCell ref="FS71:GU71"/>
    <mergeCell ref="GV71:HX71"/>
    <mergeCell ref="HY71:JA71"/>
    <mergeCell ref="JB71:KD71"/>
    <mergeCell ref="KE71:LG71"/>
    <mergeCell ref="AD71:BF71"/>
    <mergeCell ref="A62:A64"/>
    <mergeCell ref="B62:B64"/>
    <mergeCell ref="C62:C64"/>
    <mergeCell ref="D62:D64"/>
    <mergeCell ref="A65:A67"/>
    <mergeCell ref="B65:B67"/>
    <mergeCell ref="C65:C67"/>
    <mergeCell ref="D65:D67"/>
    <mergeCell ref="A68:A70"/>
    <mergeCell ref="B68:B70"/>
    <mergeCell ref="C68:C70"/>
    <mergeCell ref="D68:D70"/>
    <mergeCell ref="A124:A126"/>
    <mergeCell ref="B124:B126"/>
    <mergeCell ref="C124:C126"/>
    <mergeCell ref="D124:D126"/>
    <mergeCell ref="A96:A98"/>
    <mergeCell ref="B96:B98"/>
    <mergeCell ref="C96:C98"/>
    <mergeCell ref="D96:D98"/>
    <mergeCell ref="A34:A36"/>
    <mergeCell ref="B34:B36"/>
    <mergeCell ref="C34:C36"/>
    <mergeCell ref="D34:D36"/>
    <mergeCell ref="B87:B89"/>
    <mergeCell ref="C87:C89"/>
    <mergeCell ref="D87:D89"/>
    <mergeCell ref="A115:A117"/>
    <mergeCell ref="B115:B117"/>
    <mergeCell ref="C115:C117"/>
    <mergeCell ref="D115:D117"/>
    <mergeCell ref="A118:A120"/>
    <mergeCell ref="B118:B120"/>
    <mergeCell ref="C118:C120"/>
    <mergeCell ref="D118:D120"/>
    <mergeCell ref="A121:A123"/>
    <mergeCell ref="B121:B123"/>
    <mergeCell ref="C121:C123"/>
    <mergeCell ref="D121:D123"/>
    <mergeCell ref="C31:C33"/>
    <mergeCell ref="D31:D33"/>
    <mergeCell ref="A25:A27"/>
    <mergeCell ref="B25:B27"/>
    <mergeCell ref="C25:C27"/>
    <mergeCell ref="A71:AC71"/>
    <mergeCell ref="A99:AC99"/>
    <mergeCell ref="A100:A102"/>
    <mergeCell ref="B100:B102"/>
    <mergeCell ref="C100:C102"/>
    <mergeCell ref="D100:D102"/>
    <mergeCell ref="A84:A86"/>
    <mergeCell ref="B84:B86"/>
    <mergeCell ref="C84:C86"/>
    <mergeCell ref="D84:D86"/>
    <mergeCell ref="D90:D92"/>
    <mergeCell ref="C90:C92"/>
    <mergeCell ref="B90:B92"/>
    <mergeCell ref="A90:A92"/>
    <mergeCell ref="D81:D83"/>
    <mergeCell ref="C81:C83"/>
    <mergeCell ref="B81:B83"/>
    <mergeCell ref="A81:A83"/>
    <mergeCell ref="A87:A89"/>
    <mergeCell ref="A16:A18"/>
    <mergeCell ref="B16:B18"/>
    <mergeCell ref="C16:C18"/>
    <mergeCell ref="D16:D18"/>
    <mergeCell ref="A19:A21"/>
    <mergeCell ref="B19:B21"/>
    <mergeCell ref="C19:C21"/>
    <mergeCell ref="D19:D21"/>
    <mergeCell ref="A22:A24"/>
    <mergeCell ref="B22:B24"/>
    <mergeCell ref="C22:C24"/>
    <mergeCell ref="D22:D24"/>
    <mergeCell ref="A72:A74"/>
    <mergeCell ref="B72:B74"/>
    <mergeCell ref="C72:C74"/>
    <mergeCell ref="D72:D74"/>
    <mergeCell ref="D75:D77"/>
    <mergeCell ref="C75:C77"/>
    <mergeCell ref="B75:B77"/>
    <mergeCell ref="A75:A77"/>
    <mergeCell ref="A78:A80"/>
    <mergeCell ref="A7:A9"/>
    <mergeCell ref="B7:B9"/>
    <mergeCell ref="C7:C9"/>
    <mergeCell ref="D7:D9"/>
    <mergeCell ref="A10:A12"/>
    <mergeCell ref="B10:B12"/>
    <mergeCell ref="C10:C12"/>
    <mergeCell ref="D10:D12"/>
    <mergeCell ref="A13:A15"/>
    <mergeCell ref="B13:B15"/>
    <mergeCell ref="C13:C15"/>
    <mergeCell ref="D13:D15"/>
    <mergeCell ref="F2:AC2"/>
    <mergeCell ref="A1:AD1"/>
    <mergeCell ref="A2:A3"/>
    <mergeCell ref="B2:B3"/>
    <mergeCell ref="C2:C3"/>
    <mergeCell ref="D2:D3"/>
    <mergeCell ref="E2:E3"/>
    <mergeCell ref="A4:A6"/>
    <mergeCell ref="B4:B6"/>
    <mergeCell ref="C4:C6"/>
    <mergeCell ref="D4:D6"/>
    <mergeCell ref="C127:C129"/>
    <mergeCell ref="A127:A129"/>
    <mergeCell ref="B127:B129"/>
    <mergeCell ref="D127:D129"/>
    <mergeCell ref="B93:B95"/>
    <mergeCell ref="C93:C95"/>
    <mergeCell ref="D93:D95"/>
    <mergeCell ref="A93:A95"/>
    <mergeCell ref="A103:A105"/>
    <mergeCell ref="B103:B105"/>
    <mergeCell ref="C103:C105"/>
    <mergeCell ref="D103:D105"/>
    <mergeCell ref="A106:A108"/>
    <mergeCell ref="B106:B108"/>
    <mergeCell ref="C106:C108"/>
    <mergeCell ref="D106:D108"/>
    <mergeCell ref="A109:A111"/>
    <mergeCell ref="B109:B111"/>
    <mergeCell ref="C109:C111"/>
    <mergeCell ref="D109:D111"/>
    <mergeCell ref="A112:A114"/>
    <mergeCell ref="B112:B114"/>
    <mergeCell ref="C112:C114"/>
    <mergeCell ref="D112:D114"/>
    <mergeCell ref="B78:B80"/>
    <mergeCell ref="C78:C80"/>
    <mergeCell ref="D78:D80"/>
    <mergeCell ref="A50:A52"/>
    <mergeCell ref="A56:A58"/>
    <mergeCell ref="A59:A61"/>
    <mergeCell ref="B38:B40"/>
    <mergeCell ref="B41:B43"/>
    <mergeCell ref="B44:B46"/>
    <mergeCell ref="B47:B49"/>
    <mergeCell ref="B53:B55"/>
    <mergeCell ref="B50:B52"/>
    <mergeCell ref="B56:B58"/>
    <mergeCell ref="B59:B61"/>
    <mergeCell ref="A38:A40"/>
    <mergeCell ref="A41:A43"/>
    <mergeCell ref="A44:A46"/>
    <mergeCell ref="A47:A49"/>
    <mergeCell ref="A53:A55"/>
    <mergeCell ref="D25:D27"/>
    <mergeCell ref="D47:D49"/>
    <mergeCell ref="D53:D55"/>
    <mergeCell ref="D50:D52"/>
    <mergeCell ref="D56:D58"/>
    <mergeCell ref="D59:D61"/>
    <mergeCell ref="C44:C46"/>
    <mergeCell ref="C41:C43"/>
    <mergeCell ref="C38:C40"/>
    <mergeCell ref="D38:D40"/>
    <mergeCell ref="D41:D43"/>
    <mergeCell ref="D44:D46"/>
    <mergeCell ref="C56:C58"/>
    <mergeCell ref="C59:C61"/>
    <mergeCell ref="C50:C52"/>
    <mergeCell ref="C53:C55"/>
    <mergeCell ref="C47:C49"/>
    <mergeCell ref="A37:AC37"/>
    <mergeCell ref="A28:A30"/>
    <mergeCell ref="B28:B30"/>
    <mergeCell ref="C28:C30"/>
    <mergeCell ref="D28:D30"/>
    <mergeCell ref="A31:A33"/>
    <mergeCell ref="B31:B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80" zoomScaleNormal="80" workbookViewId="0">
      <selection sqref="A1:L1"/>
    </sheetView>
  </sheetViews>
  <sheetFormatPr defaultColWidth="8.7109375" defaultRowHeight="12.75" x14ac:dyDescent="0.2"/>
  <cols>
    <col min="1" max="1" width="17.28515625" style="6" bestFit="1" customWidth="1"/>
    <col min="2" max="2" width="15.42578125" style="6" customWidth="1"/>
    <col min="3" max="3" width="19.28515625" style="6" customWidth="1"/>
    <col min="4" max="5" width="18.28515625" style="6" customWidth="1"/>
    <col min="6" max="8" width="13.7109375" style="6" customWidth="1"/>
    <col min="9" max="9" width="10.7109375" style="6" customWidth="1"/>
    <col min="10" max="10" width="12.7109375" style="6" customWidth="1"/>
    <col min="11" max="11" width="13.42578125" style="6" customWidth="1"/>
    <col min="12" max="12" width="13.7109375" style="6" customWidth="1"/>
    <col min="13" max="13" width="8.7109375" style="6"/>
    <col min="14" max="14" width="17.28515625" style="6" bestFit="1" customWidth="1"/>
    <col min="15" max="15" width="10.5703125" style="6" customWidth="1"/>
    <col min="16" max="16" width="11" style="6" customWidth="1"/>
    <col min="17" max="17" width="17.85546875" style="6" customWidth="1"/>
    <col min="18" max="18" width="10.5703125" style="6" bestFit="1" customWidth="1"/>
    <col min="19" max="19" width="11.7109375" style="6" customWidth="1"/>
    <col min="20" max="20" width="12.5703125" style="6" customWidth="1"/>
    <col min="21" max="21" width="12.140625" style="6" customWidth="1"/>
    <col min="22" max="22" width="14.85546875" style="6" bestFit="1" customWidth="1"/>
    <col min="23" max="16384" width="8.7109375" style="6"/>
  </cols>
  <sheetData>
    <row r="1" spans="1:24" ht="33" customHeight="1" x14ac:dyDescent="0.25">
      <c r="A1" s="525" t="str">
        <f>"CalBEM Energy Consumption - "&amp;Prototype!B4</f>
        <v>CalBEM Energy Consumption - Large School</v>
      </c>
      <c r="B1" s="526"/>
      <c r="C1" s="526"/>
      <c r="D1" s="526"/>
      <c r="E1" s="526"/>
      <c r="F1" s="526"/>
      <c r="G1" s="526"/>
      <c r="H1" s="526"/>
      <c r="I1" s="526"/>
      <c r="J1" s="526"/>
      <c r="K1" s="526"/>
      <c r="L1" s="526"/>
      <c r="M1"/>
      <c r="N1" s="527" t="str">
        <f>"Energy Consumption - "&amp;Prototype!A2</f>
        <v>Energy Consumption - SchoolLarge</v>
      </c>
      <c r="O1" s="394"/>
      <c r="P1" s="394"/>
      <c r="Q1" s="394"/>
      <c r="R1" s="394"/>
      <c r="S1" s="394"/>
      <c r="T1" s="394"/>
      <c r="U1" s="394"/>
      <c r="V1" s="394"/>
      <c r="W1"/>
      <c r="X1"/>
    </row>
    <row r="2" spans="1:24" ht="62.25" customHeight="1" x14ac:dyDescent="0.25">
      <c r="A2" s="305" t="s">
        <v>5</v>
      </c>
      <c r="B2" s="305" t="s">
        <v>402</v>
      </c>
      <c r="C2" s="305" t="s">
        <v>479</v>
      </c>
      <c r="D2" s="305" t="s">
        <v>480</v>
      </c>
      <c r="E2" s="305" t="s">
        <v>481</v>
      </c>
      <c r="F2" s="305" t="s">
        <v>482</v>
      </c>
      <c r="G2" s="305" t="s">
        <v>483</v>
      </c>
      <c r="H2" s="305" t="s">
        <v>484</v>
      </c>
      <c r="I2" s="359" t="s">
        <v>485</v>
      </c>
      <c r="J2" s="359" t="s">
        <v>495</v>
      </c>
      <c r="K2" s="359" t="s">
        <v>494</v>
      </c>
      <c r="L2" s="359" t="s">
        <v>486</v>
      </c>
      <c r="N2" s="304" t="s">
        <v>5</v>
      </c>
      <c r="O2" s="305" t="s">
        <v>402</v>
      </c>
      <c r="P2" s="305" t="s">
        <v>403</v>
      </c>
      <c r="Q2" s="305" t="s">
        <v>487</v>
      </c>
      <c r="R2" s="305" t="s">
        <v>488</v>
      </c>
      <c r="S2" s="232" t="s">
        <v>489</v>
      </c>
      <c r="T2" s="232" t="s">
        <v>490</v>
      </c>
      <c r="U2" s="232" t="s">
        <v>491</v>
      </c>
      <c r="V2" s="232" t="s">
        <v>492</v>
      </c>
      <c r="W2"/>
      <c r="X2"/>
    </row>
    <row r="3" spans="1:24" ht="19.149999999999999" customHeight="1" x14ac:dyDescent="0.25">
      <c r="A3" s="524" t="str">
        <f>Prototype!B4</f>
        <v>Large School</v>
      </c>
      <c r="B3" s="194">
        <v>1</v>
      </c>
      <c r="C3" s="360">
        <v>17.463958333333331</v>
      </c>
      <c r="D3" s="360">
        <v>51.379837962962966</v>
      </c>
      <c r="E3" s="360">
        <v>68.84379629629629</v>
      </c>
      <c r="F3" s="194">
        <v>14.68</v>
      </c>
      <c r="G3" s="194">
        <v>42.85</v>
      </c>
      <c r="H3" s="194">
        <v>57.53</v>
      </c>
      <c r="I3" s="194">
        <v>84</v>
      </c>
      <c r="J3" s="360">
        <f>I3*1.25</f>
        <v>105</v>
      </c>
      <c r="K3" s="360">
        <f>I3*0.75</f>
        <v>63</v>
      </c>
      <c r="L3" s="360">
        <f>J3-K3</f>
        <v>42</v>
      </c>
      <c r="N3" s="380" t="str">
        <f>Prototype!B4</f>
        <v>Large School</v>
      </c>
      <c r="O3" s="361">
        <v>1</v>
      </c>
      <c r="P3" s="157">
        <v>7618.5336979987769</v>
      </c>
      <c r="Q3" s="362">
        <v>32.349175832782279</v>
      </c>
      <c r="R3" s="362">
        <v>12.848136512515758</v>
      </c>
      <c r="S3" s="363">
        <v>55.364803618873651</v>
      </c>
      <c r="T3" s="364">
        <f>S3*1.25</f>
        <v>69.206004523592071</v>
      </c>
      <c r="U3" s="364">
        <f>S3*0.75</f>
        <v>41.523602714155238</v>
      </c>
      <c r="V3" s="365">
        <f>T3-U3</f>
        <v>27.682401809436833</v>
      </c>
      <c r="W3"/>
      <c r="X3"/>
    </row>
    <row r="4" spans="1:24" ht="19.149999999999999" customHeight="1" x14ac:dyDescent="0.25">
      <c r="A4" s="524"/>
      <c r="B4" s="194">
        <v>2</v>
      </c>
      <c r="C4" s="360">
        <v>22.985306122448979</v>
      </c>
      <c r="D4" s="360">
        <v>40.368285714285719</v>
      </c>
      <c r="E4" s="360">
        <v>63.353591836734694</v>
      </c>
      <c r="F4" s="194">
        <v>19.5</v>
      </c>
      <c r="G4" s="194">
        <v>33.43</v>
      </c>
      <c r="H4" s="194">
        <v>52.93</v>
      </c>
      <c r="I4" s="194">
        <v>84</v>
      </c>
      <c r="J4" s="360">
        <f t="shared" ref="J4:J18" si="0">I4*1.25</f>
        <v>105</v>
      </c>
      <c r="K4" s="360">
        <f t="shared" ref="K4:K18" si="1">I4*0.75</f>
        <v>63</v>
      </c>
      <c r="L4" s="360">
        <f t="shared" ref="L4:L18" si="2">J4-K4</f>
        <v>42</v>
      </c>
      <c r="N4" s="380"/>
      <c r="O4" s="361">
        <v>2</v>
      </c>
      <c r="P4" s="157">
        <v>11477.670560957027</v>
      </c>
      <c r="Q4" s="362">
        <v>15.421598301121483</v>
      </c>
      <c r="R4" s="362">
        <v>12.913999186871132</v>
      </c>
      <c r="S4" s="363">
        <v>47.89328303362015</v>
      </c>
      <c r="T4" s="364">
        <f t="shared" ref="T4:T18" si="3">S4*1.25</f>
        <v>59.866603792025188</v>
      </c>
      <c r="U4" s="364">
        <f t="shared" ref="U4:U18" si="4">S4*0.75</f>
        <v>35.919962275215113</v>
      </c>
      <c r="V4" s="365">
        <f t="shared" ref="V4:V18" si="5">T4-U4</f>
        <v>23.946641516810075</v>
      </c>
      <c r="W4"/>
      <c r="X4"/>
    </row>
    <row r="5" spans="1:24" ht="19.149999999999999" customHeight="1" x14ac:dyDescent="0.25">
      <c r="A5" s="524"/>
      <c r="B5" s="194">
        <v>3</v>
      </c>
      <c r="C5" s="360">
        <v>19.637407407407409</v>
      </c>
      <c r="D5" s="360">
        <v>32.777901234567906</v>
      </c>
      <c r="E5" s="360">
        <v>52.415308641975315</v>
      </c>
      <c r="F5" s="194">
        <v>16.64</v>
      </c>
      <c r="G5" s="194">
        <v>27.84</v>
      </c>
      <c r="H5" s="194">
        <v>44.480000000000004</v>
      </c>
      <c r="I5" s="194">
        <v>84</v>
      </c>
      <c r="J5" s="360">
        <f t="shared" si="0"/>
        <v>105</v>
      </c>
      <c r="K5" s="360">
        <f t="shared" si="1"/>
        <v>63</v>
      </c>
      <c r="L5" s="360">
        <f t="shared" si="2"/>
        <v>42</v>
      </c>
      <c r="N5" s="380"/>
      <c r="O5" s="361">
        <v>3</v>
      </c>
      <c r="P5" s="157">
        <v>46411.860464613921</v>
      </c>
      <c r="Q5" s="362">
        <v>20.479594859366287</v>
      </c>
      <c r="R5" s="362">
        <v>12.79924807855271</v>
      </c>
      <c r="S5" s="363">
        <v>100.09497401574612</v>
      </c>
      <c r="T5" s="364">
        <f t="shared" si="3"/>
        <v>125.11871751968265</v>
      </c>
      <c r="U5" s="364">
        <f t="shared" si="4"/>
        <v>75.071230511809588</v>
      </c>
      <c r="V5" s="365">
        <f t="shared" si="5"/>
        <v>50.047487007873059</v>
      </c>
      <c r="W5"/>
      <c r="X5"/>
    </row>
    <row r="6" spans="1:24" ht="19.149999999999999" customHeight="1" x14ac:dyDescent="0.25">
      <c r="A6" s="524"/>
      <c r="B6" s="194">
        <v>4</v>
      </c>
      <c r="C6" s="360">
        <v>25.462716894977177</v>
      </c>
      <c r="D6" s="360">
        <v>34.981757990867585</v>
      </c>
      <c r="E6" s="360">
        <v>60.444474885844762</v>
      </c>
      <c r="F6" s="194">
        <v>21.37</v>
      </c>
      <c r="G6" s="194">
        <v>28.59</v>
      </c>
      <c r="H6" s="194">
        <v>49.96</v>
      </c>
      <c r="I6" s="194">
        <v>84</v>
      </c>
      <c r="J6" s="360">
        <f t="shared" si="0"/>
        <v>105</v>
      </c>
      <c r="K6" s="360">
        <f t="shared" si="1"/>
        <v>63</v>
      </c>
      <c r="L6" s="360">
        <f t="shared" si="2"/>
        <v>42</v>
      </c>
      <c r="N6" s="380"/>
      <c r="O6" s="361">
        <v>4</v>
      </c>
      <c r="P6" s="157">
        <v>23032.968012628033</v>
      </c>
      <c r="Q6" s="362">
        <v>21.493730276699399</v>
      </c>
      <c r="R6" s="362">
        <v>13.019766805689686</v>
      </c>
      <c r="S6" s="363">
        <v>106.62132635774194</v>
      </c>
      <c r="T6" s="364">
        <f t="shared" si="3"/>
        <v>133.27665794717743</v>
      </c>
      <c r="U6" s="364">
        <f t="shared" si="4"/>
        <v>79.965994768306444</v>
      </c>
      <c r="V6" s="365">
        <f t="shared" si="5"/>
        <v>53.310663178870982</v>
      </c>
      <c r="W6"/>
      <c r="X6"/>
    </row>
    <row r="7" spans="1:24" ht="19.149999999999999" customHeight="1" x14ac:dyDescent="0.25">
      <c r="A7" s="524"/>
      <c r="B7" s="194">
        <v>5</v>
      </c>
      <c r="C7" s="360">
        <v>20.925495085945396</v>
      </c>
      <c r="D7" s="360">
        <v>27.15500451971689</v>
      </c>
      <c r="E7" s="360">
        <v>48.080499605662283</v>
      </c>
      <c r="F7" s="194">
        <v>18.02</v>
      </c>
      <c r="G7" s="194">
        <v>22.83</v>
      </c>
      <c r="H7" s="194">
        <v>40.849999999999994</v>
      </c>
      <c r="I7" s="194">
        <v>84</v>
      </c>
      <c r="J7" s="360">
        <f t="shared" si="0"/>
        <v>105</v>
      </c>
      <c r="K7" s="360">
        <f t="shared" si="1"/>
        <v>63</v>
      </c>
      <c r="L7" s="360">
        <f t="shared" si="2"/>
        <v>42</v>
      </c>
      <c r="N7" s="380"/>
      <c r="O7" s="361">
        <v>5</v>
      </c>
      <c r="P7" s="157">
        <v>5978.4428422392912</v>
      </c>
      <c r="Q7" s="362">
        <v>11.998072326077015</v>
      </c>
      <c r="R7" s="362">
        <v>11.585185132606563</v>
      </c>
      <c r="S7" s="363">
        <v>59.149270516191649</v>
      </c>
      <c r="T7" s="364">
        <f t="shared" si="3"/>
        <v>73.936588145239568</v>
      </c>
      <c r="U7" s="364">
        <f t="shared" si="4"/>
        <v>44.361952887143737</v>
      </c>
      <c r="V7" s="365">
        <f t="shared" si="5"/>
        <v>29.574635258095832</v>
      </c>
      <c r="W7"/>
      <c r="X7"/>
    </row>
    <row r="8" spans="1:24" ht="19.149999999999999" customHeight="1" x14ac:dyDescent="0.25">
      <c r="A8" s="524"/>
      <c r="B8" s="194">
        <v>6</v>
      </c>
      <c r="C8" s="360">
        <v>25.237555927889712</v>
      </c>
      <c r="D8" s="360">
        <v>17.50038852598091</v>
      </c>
      <c r="E8" s="360">
        <v>42.737944453870625</v>
      </c>
      <c r="F8" s="194">
        <v>22.12</v>
      </c>
      <c r="G8" s="194">
        <v>15.7</v>
      </c>
      <c r="H8" s="194">
        <v>37.82</v>
      </c>
      <c r="I8" s="194">
        <v>84</v>
      </c>
      <c r="J8" s="360">
        <f t="shared" si="0"/>
        <v>105</v>
      </c>
      <c r="K8" s="360">
        <f t="shared" si="1"/>
        <v>63</v>
      </c>
      <c r="L8" s="360">
        <f t="shared" si="2"/>
        <v>42</v>
      </c>
      <c r="N8" s="380"/>
      <c r="O8" s="361">
        <v>6</v>
      </c>
      <c r="P8" s="157">
        <v>57755.958884938154</v>
      </c>
      <c r="Q8" s="362">
        <v>22.607348922099643</v>
      </c>
      <c r="R8" s="362">
        <v>9.9467421462334809</v>
      </c>
      <c r="S8" s="363">
        <v>82.347487870533669</v>
      </c>
      <c r="T8" s="364">
        <f t="shared" si="3"/>
        <v>102.93435983816708</v>
      </c>
      <c r="U8" s="364">
        <f t="shared" si="4"/>
        <v>61.760615902900255</v>
      </c>
      <c r="V8" s="365">
        <f t="shared" si="5"/>
        <v>41.173743935266828</v>
      </c>
      <c r="W8"/>
      <c r="X8"/>
    </row>
    <row r="9" spans="1:24" ht="19.149999999999999" customHeight="1" x14ac:dyDescent="0.25">
      <c r="A9" s="524"/>
      <c r="B9" s="194">
        <v>7</v>
      </c>
      <c r="C9" s="360">
        <v>25.464979123173276</v>
      </c>
      <c r="D9" s="360">
        <v>16.134091858037579</v>
      </c>
      <c r="E9" s="360">
        <v>41.599070981210858</v>
      </c>
      <c r="F9" s="194">
        <v>22.03</v>
      </c>
      <c r="G9" s="194">
        <v>14.8</v>
      </c>
      <c r="H9" s="194">
        <v>36.83</v>
      </c>
      <c r="I9" s="194">
        <v>84</v>
      </c>
      <c r="J9" s="360">
        <f t="shared" si="0"/>
        <v>105</v>
      </c>
      <c r="K9" s="360">
        <f t="shared" si="1"/>
        <v>63</v>
      </c>
      <c r="L9" s="360">
        <f t="shared" si="2"/>
        <v>42</v>
      </c>
      <c r="N9" s="380"/>
      <c r="O9" s="361">
        <v>7</v>
      </c>
      <c r="P9" s="157">
        <v>35149.992570854702</v>
      </c>
      <c r="Q9" s="362">
        <v>24.848388187104383</v>
      </c>
      <c r="R9" s="362">
        <v>6.9700357314851695</v>
      </c>
      <c r="S9" s="363">
        <v>88.553475966326303</v>
      </c>
      <c r="T9" s="364">
        <f t="shared" si="3"/>
        <v>110.69184495790788</v>
      </c>
      <c r="U9" s="364">
        <f t="shared" si="4"/>
        <v>66.415106974744731</v>
      </c>
      <c r="V9" s="365">
        <f t="shared" si="5"/>
        <v>44.276737983163144</v>
      </c>
      <c r="W9"/>
      <c r="X9"/>
    </row>
    <row r="10" spans="1:24" ht="19.149999999999999" customHeight="1" x14ac:dyDescent="0.25">
      <c r="A10" s="524"/>
      <c r="B10" s="194">
        <v>8</v>
      </c>
      <c r="C10" s="360">
        <v>30.166440860215051</v>
      </c>
      <c r="D10" s="360">
        <v>20.453698924731182</v>
      </c>
      <c r="E10" s="360">
        <v>50.620139784946232</v>
      </c>
      <c r="F10" s="194">
        <v>26.09</v>
      </c>
      <c r="G10" s="194">
        <v>18.260000000000002</v>
      </c>
      <c r="H10" s="194">
        <v>44.35</v>
      </c>
      <c r="I10" s="194">
        <v>84</v>
      </c>
      <c r="J10" s="360">
        <f t="shared" si="0"/>
        <v>105</v>
      </c>
      <c r="K10" s="360">
        <f t="shared" si="1"/>
        <v>63</v>
      </c>
      <c r="L10" s="360">
        <f t="shared" si="2"/>
        <v>42</v>
      </c>
      <c r="N10" s="380"/>
      <c r="O10" s="361">
        <v>8</v>
      </c>
      <c r="P10" s="157">
        <v>92353.411344595792</v>
      </c>
      <c r="Q10" s="362">
        <v>22.935329040550439</v>
      </c>
      <c r="R10" s="362">
        <v>8.842202966161631</v>
      </c>
      <c r="S10" s="363">
        <v>103.44180549732351</v>
      </c>
      <c r="T10" s="364">
        <f t="shared" si="3"/>
        <v>129.30225687165438</v>
      </c>
      <c r="U10" s="364">
        <f t="shared" si="4"/>
        <v>77.581354122992636</v>
      </c>
      <c r="V10" s="365">
        <f t="shared" si="5"/>
        <v>51.720902748661743</v>
      </c>
      <c r="W10"/>
      <c r="X10"/>
    </row>
    <row r="11" spans="1:24" ht="19.149999999999999" customHeight="1" x14ac:dyDescent="0.25">
      <c r="A11" s="524"/>
      <c r="B11" s="194">
        <v>9</v>
      </c>
      <c r="C11" s="360">
        <v>29.241155660377355</v>
      </c>
      <c r="D11" s="360">
        <v>23.194009433962265</v>
      </c>
      <c r="E11" s="360">
        <v>52.435165094339624</v>
      </c>
      <c r="F11" s="194">
        <v>25.33</v>
      </c>
      <c r="G11" s="194">
        <v>20.09</v>
      </c>
      <c r="H11" s="194">
        <v>45.42</v>
      </c>
      <c r="I11" s="194">
        <v>84</v>
      </c>
      <c r="J11" s="360">
        <f t="shared" si="0"/>
        <v>105</v>
      </c>
      <c r="K11" s="360">
        <f t="shared" si="1"/>
        <v>63</v>
      </c>
      <c r="L11" s="360">
        <f t="shared" si="2"/>
        <v>42</v>
      </c>
      <c r="N11" s="380"/>
      <c r="O11" s="361">
        <v>9</v>
      </c>
      <c r="P11" s="157">
        <v>141795.4505918849</v>
      </c>
      <c r="Q11" s="362">
        <v>26.79734320498693</v>
      </c>
      <c r="R11" s="362">
        <v>10.089066914098808</v>
      </c>
      <c r="S11" s="363">
        <v>119.15131578438451</v>
      </c>
      <c r="T11" s="364">
        <f t="shared" si="3"/>
        <v>148.93914473048062</v>
      </c>
      <c r="U11" s="364">
        <f t="shared" si="4"/>
        <v>89.363486838288381</v>
      </c>
      <c r="V11" s="365">
        <f t="shared" si="5"/>
        <v>59.57565789219224</v>
      </c>
      <c r="W11"/>
      <c r="X11"/>
    </row>
    <row r="12" spans="1:24" ht="19.149999999999999" customHeight="1" x14ac:dyDescent="0.25">
      <c r="A12" s="524"/>
      <c r="B12" s="194">
        <v>10</v>
      </c>
      <c r="C12" s="360">
        <v>30.351286610878663</v>
      </c>
      <c r="D12" s="360">
        <v>22.234581589958157</v>
      </c>
      <c r="E12" s="360">
        <v>52.585868200836821</v>
      </c>
      <c r="F12" s="194">
        <v>26.84</v>
      </c>
      <c r="G12" s="194">
        <v>19.77</v>
      </c>
      <c r="H12" s="194">
        <v>46.61</v>
      </c>
      <c r="I12" s="194">
        <v>84</v>
      </c>
      <c r="J12" s="360">
        <f t="shared" si="0"/>
        <v>105</v>
      </c>
      <c r="K12" s="360">
        <f t="shared" si="1"/>
        <v>63</v>
      </c>
      <c r="L12" s="360">
        <f t="shared" si="2"/>
        <v>42</v>
      </c>
      <c r="N12" s="380"/>
      <c r="O12" s="361">
        <v>10</v>
      </c>
      <c r="P12" s="157">
        <v>92589.866923099296</v>
      </c>
      <c r="Q12" s="362">
        <v>22.490400741547862</v>
      </c>
      <c r="R12" s="362">
        <v>10.108975274600024</v>
      </c>
      <c r="S12" s="363">
        <v>67.419104208774073</v>
      </c>
      <c r="T12" s="364">
        <f t="shared" si="3"/>
        <v>84.273880260967587</v>
      </c>
      <c r="U12" s="364">
        <f t="shared" si="4"/>
        <v>50.564328156580558</v>
      </c>
      <c r="V12" s="365">
        <f t="shared" si="5"/>
        <v>33.709552104387029</v>
      </c>
      <c r="W12"/>
      <c r="X12"/>
    </row>
    <row r="13" spans="1:24" ht="19.149999999999999" customHeight="1" x14ac:dyDescent="0.25">
      <c r="A13" s="524"/>
      <c r="B13" s="194">
        <v>11</v>
      </c>
      <c r="C13" s="360">
        <v>29.677993172413792</v>
      </c>
      <c r="D13" s="360">
        <v>45.706568954022991</v>
      </c>
      <c r="E13" s="360">
        <v>75.384562126436776</v>
      </c>
      <c r="F13" s="194">
        <v>25.19</v>
      </c>
      <c r="G13" s="194">
        <v>37.89</v>
      </c>
      <c r="H13" s="194">
        <v>63.08</v>
      </c>
      <c r="I13" s="194">
        <v>84</v>
      </c>
      <c r="J13" s="360">
        <f t="shared" si="0"/>
        <v>105</v>
      </c>
      <c r="K13" s="360">
        <f t="shared" si="1"/>
        <v>63</v>
      </c>
      <c r="L13" s="360">
        <f t="shared" si="2"/>
        <v>42</v>
      </c>
      <c r="N13" s="380"/>
      <c r="O13" s="361">
        <v>11</v>
      </c>
      <c r="P13" s="157">
        <v>33810.488428667806</v>
      </c>
      <c r="Q13" s="362">
        <v>26.928661316570114</v>
      </c>
      <c r="R13" s="362">
        <v>8.7604369989222359</v>
      </c>
      <c r="S13" s="363">
        <v>68.839252987034271</v>
      </c>
      <c r="T13" s="364">
        <f t="shared" si="3"/>
        <v>86.049066233792843</v>
      </c>
      <c r="U13" s="364">
        <f t="shared" si="4"/>
        <v>51.6294397402757</v>
      </c>
      <c r="V13" s="365">
        <f t="shared" si="5"/>
        <v>34.419626493517143</v>
      </c>
      <c r="W13"/>
      <c r="X13"/>
    </row>
    <row r="14" spans="1:24" ht="19.149999999999999" customHeight="1" x14ac:dyDescent="0.25">
      <c r="A14" s="524"/>
      <c r="B14" s="194">
        <v>12</v>
      </c>
      <c r="C14" s="360">
        <v>26.297172531214532</v>
      </c>
      <c r="D14" s="360">
        <v>37.924511986379109</v>
      </c>
      <c r="E14" s="360">
        <v>64.221684517593644</v>
      </c>
      <c r="F14" s="194">
        <v>22.48</v>
      </c>
      <c r="G14" s="194">
        <v>32.29</v>
      </c>
      <c r="H14" s="194">
        <v>54.769999999999996</v>
      </c>
      <c r="I14" s="194">
        <v>84</v>
      </c>
      <c r="J14" s="360">
        <f t="shared" si="0"/>
        <v>105</v>
      </c>
      <c r="K14" s="360">
        <f t="shared" si="1"/>
        <v>63</v>
      </c>
      <c r="L14" s="360">
        <f t="shared" si="2"/>
        <v>42</v>
      </c>
      <c r="N14" s="380"/>
      <c r="O14" s="361">
        <v>12</v>
      </c>
      <c r="P14" s="157">
        <v>108342.43412674296</v>
      </c>
      <c r="Q14" s="362">
        <v>31.799593721150607</v>
      </c>
      <c r="R14" s="362">
        <v>12.230299256797961</v>
      </c>
      <c r="S14" s="363">
        <v>85.58737128246608</v>
      </c>
      <c r="T14" s="364">
        <f t="shared" si="3"/>
        <v>106.98421410308259</v>
      </c>
      <c r="U14" s="364">
        <f t="shared" si="4"/>
        <v>64.190528461849567</v>
      </c>
      <c r="V14" s="365">
        <f t="shared" si="5"/>
        <v>42.793685641233026</v>
      </c>
      <c r="W14"/>
      <c r="X14"/>
    </row>
    <row r="15" spans="1:24" ht="19.149999999999999" customHeight="1" x14ac:dyDescent="0.25">
      <c r="A15" s="524"/>
      <c r="B15" s="194">
        <v>13</v>
      </c>
      <c r="C15" s="360">
        <v>31.243721198156681</v>
      </c>
      <c r="D15" s="360">
        <v>33.280610599078344</v>
      </c>
      <c r="E15" s="360">
        <v>64.524331797235021</v>
      </c>
      <c r="F15" s="194">
        <v>26.74</v>
      </c>
      <c r="G15" s="194">
        <v>28.36</v>
      </c>
      <c r="H15" s="194">
        <v>55.099999999999994</v>
      </c>
      <c r="I15" s="194">
        <v>84</v>
      </c>
      <c r="J15" s="360">
        <f t="shared" si="0"/>
        <v>105</v>
      </c>
      <c r="K15" s="360">
        <f t="shared" si="1"/>
        <v>63</v>
      </c>
      <c r="L15" s="360">
        <f t="shared" si="2"/>
        <v>42</v>
      </c>
      <c r="N15" s="380"/>
      <c r="O15" s="361">
        <v>13</v>
      </c>
      <c r="P15" s="157">
        <v>46676.807804914482</v>
      </c>
      <c r="Q15" s="362">
        <v>32.656044140076112</v>
      </c>
      <c r="R15" s="362">
        <v>15.473533802907214</v>
      </c>
      <c r="S15" s="363">
        <v>57.735690126779041</v>
      </c>
      <c r="T15" s="364">
        <f t="shared" si="3"/>
        <v>72.169612658473795</v>
      </c>
      <c r="U15" s="364">
        <f t="shared" si="4"/>
        <v>43.301767595084279</v>
      </c>
      <c r="V15" s="365">
        <f t="shared" si="5"/>
        <v>28.867845063389517</v>
      </c>
      <c r="W15"/>
      <c r="X15"/>
    </row>
    <row r="16" spans="1:24" ht="19.149999999999999" customHeight="1" x14ac:dyDescent="0.25">
      <c r="A16" s="524"/>
      <c r="B16" s="194">
        <v>14</v>
      </c>
      <c r="C16" s="360">
        <v>30.242948038176035</v>
      </c>
      <c r="D16" s="360">
        <v>38.9002545068929</v>
      </c>
      <c r="E16" s="360">
        <v>69.143202545068931</v>
      </c>
      <c r="F16" s="194">
        <v>25.64</v>
      </c>
      <c r="G16" s="194">
        <v>32.35</v>
      </c>
      <c r="H16" s="194">
        <v>57.99</v>
      </c>
      <c r="I16" s="194">
        <v>84</v>
      </c>
      <c r="J16" s="360">
        <f t="shared" si="0"/>
        <v>105</v>
      </c>
      <c r="K16" s="360">
        <f t="shared" si="1"/>
        <v>63</v>
      </c>
      <c r="L16" s="360">
        <f t="shared" si="2"/>
        <v>42</v>
      </c>
      <c r="N16" s="380"/>
      <c r="O16" s="361">
        <v>14</v>
      </c>
      <c r="P16" s="157">
        <v>22787.738910986311</v>
      </c>
      <c r="Q16" s="362">
        <v>21.807169831743543</v>
      </c>
      <c r="R16" s="362">
        <v>11.433166078385915</v>
      </c>
      <c r="S16" s="363">
        <v>68.502534470485045</v>
      </c>
      <c r="T16" s="364">
        <f t="shared" si="3"/>
        <v>85.628168088106307</v>
      </c>
      <c r="U16" s="364">
        <f t="shared" si="4"/>
        <v>51.376900852863784</v>
      </c>
      <c r="V16" s="365">
        <f t="shared" si="5"/>
        <v>34.251267235242523</v>
      </c>
      <c r="W16"/>
      <c r="X16"/>
    </row>
    <row r="17" spans="1:24" ht="19.149999999999999" customHeight="1" x14ac:dyDescent="0.25">
      <c r="A17" s="524"/>
      <c r="B17" s="194">
        <v>15</v>
      </c>
      <c r="C17" s="360">
        <v>40.425021055900629</v>
      </c>
      <c r="D17" s="360">
        <v>23.254165621118013</v>
      </c>
      <c r="E17" s="360">
        <v>63.679186677018642</v>
      </c>
      <c r="F17" s="194">
        <v>34.619999999999997</v>
      </c>
      <c r="G17" s="194">
        <v>20.72</v>
      </c>
      <c r="H17" s="194">
        <v>55.339999999999996</v>
      </c>
      <c r="I17" s="194">
        <v>84</v>
      </c>
      <c r="J17" s="360">
        <f t="shared" si="0"/>
        <v>105</v>
      </c>
      <c r="K17" s="360">
        <f t="shared" si="1"/>
        <v>63</v>
      </c>
      <c r="L17" s="360">
        <f t="shared" si="2"/>
        <v>42</v>
      </c>
      <c r="N17" s="380"/>
      <c r="O17" s="361">
        <v>15</v>
      </c>
      <c r="P17" s="157">
        <v>54746.00286987007</v>
      </c>
      <c r="Q17" s="362">
        <v>21.954275213561427</v>
      </c>
      <c r="R17" s="362">
        <v>10.439126469769764</v>
      </c>
      <c r="S17" s="363">
        <v>47.715256155256746</v>
      </c>
      <c r="T17" s="364">
        <f t="shared" si="3"/>
        <v>59.644070194070935</v>
      </c>
      <c r="U17" s="364">
        <f t="shared" si="4"/>
        <v>35.786442116442558</v>
      </c>
      <c r="V17" s="365">
        <f t="shared" si="5"/>
        <v>23.857628077628377</v>
      </c>
      <c r="W17"/>
      <c r="X17"/>
    </row>
    <row r="18" spans="1:24" ht="19.149999999999999" customHeight="1" x14ac:dyDescent="0.25">
      <c r="A18" s="524"/>
      <c r="B18" s="194">
        <v>16</v>
      </c>
      <c r="C18" s="360">
        <v>22.379322635658916</v>
      </c>
      <c r="D18" s="360">
        <v>68.098872480620159</v>
      </c>
      <c r="E18" s="360">
        <v>90.478195116279068</v>
      </c>
      <c r="F18" s="194">
        <v>18.98</v>
      </c>
      <c r="G18" s="194">
        <v>57.3</v>
      </c>
      <c r="H18" s="194">
        <v>76.28</v>
      </c>
      <c r="I18" s="194">
        <v>84</v>
      </c>
      <c r="J18" s="360">
        <f t="shared" si="0"/>
        <v>105</v>
      </c>
      <c r="K18" s="360">
        <f t="shared" si="1"/>
        <v>63</v>
      </c>
      <c r="L18" s="360">
        <f t="shared" si="2"/>
        <v>42</v>
      </c>
      <c r="N18" s="380"/>
      <c r="O18" s="361">
        <v>16</v>
      </c>
      <c r="P18" s="157">
        <v>85267.890424747078</v>
      </c>
      <c r="Q18" s="362">
        <v>27.026910677602114</v>
      </c>
      <c r="R18" s="362">
        <v>11.652926502476937</v>
      </c>
      <c r="S18" s="363">
        <v>67.576478394300892</v>
      </c>
      <c r="T18" s="364">
        <f t="shared" si="3"/>
        <v>84.470597992876122</v>
      </c>
      <c r="U18" s="364">
        <f t="shared" si="4"/>
        <v>50.682358795725669</v>
      </c>
      <c r="V18" s="365">
        <f t="shared" si="5"/>
        <v>33.788239197150453</v>
      </c>
      <c r="W18"/>
      <c r="X18"/>
    </row>
    <row r="19" spans="1:24" ht="12.75" customHeight="1" x14ac:dyDescent="0.2"/>
    <row r="20" spans="1:24" x14ac:dyDescent="0.2">
      <c r="Q20" s="6" t="s">
        <v>404</v>
      </c>
    </row>
    <row r="21" spans="1:24" ht="15" x14ac:dyDescent="0.25">
      <c r="A21"/>
      <c r="B21"/>
      <c r="Q21" s="6" t="s">
        <v>493</v>
      </c>
    </row>
    <row r="22" spans="1:24" ht="15" x14ac:dyDescent="0.25">
      <c r="A22"/>
      <c r="B22"/>
    </row>
    <row r="23" spans="1:24" ht="15" x14ac:dyDescent="0.25">
      <c r="A23"/>
      <c r="B23"/>
    </row>
    <row r="24" spans="1:24" ht="15" x14ac:dyDescent="0.25">
      <c r="A24"/>
      <c r="B24"/>
      <c r="O24"/>
      <c r="P24"/>
      <c r="Q24"/>
      <c r="R24"/>
      <c r="S24"/>
      <c r="T24"/>
      <c r="U24"/>
    </row>
    <row r="25" spans="1:24" customFormat="1" ht="15" x14ac:dyDescent="0.25"/>
    <row r="26" spans="1:24" ht="15" x14ac:dyDescent="0.25">
      <c r="A26"/>
      <c r="B26"/>
      <c r="O26"/>
      <c r="P26"/>
      <c r="Q26"/>
      <c r="R26"/>
      <c r="S26"/>
      <c r="T26"/>
      <c r="U26"/>
    </row>
    <row r="27" spans="1:24" ht="15" x14ac:dyDescent="0.25">
      <c r="A27"/>
      <c r="B27"/>
      <c r="O27"/>
      <c r="P27"/>
      <c r="Q27"/>
      <c r="R27"/>
      <c r="S27"/>
      <c r="T27"/>
      <c r="U27"/>
    </row>
    <row r="28" spans="1:24" ht="15" x14ac:dyDescent="0.25">
      <c r="A28"/>
      <c r="B28"/>
      <c r="O28"/>
      <c r="P28"/>
      <c r="Q28"/>
      <c r="R28"/>
      <c r="S28"/>
      <c r="T28"/>
      <c r="U28"/>
    </row>
    <row r="29" spans="1:24" ht="15" x14ac:dyDescent="0.25">
      <c r="A29"/>
      <c r="B29"/>
      <c r="O29"/>
      <c r="P29"/>
      <c r="Q29"/>
      <c r="R29"/>
      <c r="S29"/>
      <c r="T29"/>
      <c r="U29"/>
    </row>
    <row r="30" spans="1:24" ht="15" x14ac:dyDescent="0.25">
      <c r="A30"/>
      <c r="B30"/>
      <c r="O30"/>
      <c r="P30"/>
      <c r="Q30"/>
      <c r="R30"/>
      <c r="S30"/>
      <c r="T30"/>
      <c r="U30"/>
    </row>
    <row r="31" spans="1:24" ht="15" x14ac:dyDescent="0.25">
      <c r="A31"/>
      <c r="B31"/>
      <c r="O31"/>
      <c r="P31"/>
      <c r="Q31"/>
      <c r="R31"/>
      <c r="S31"/>
      <c r="T31"/>
      <c r="U31"/>
    </row>
    <row r="32" spans="1:24" ht="15" x14ac:dyDescent="0.25">
      <c r="A32"/>
      <c r="B32"/>
      <c r="O32"/>
      <c r="P32"/>
      <c r="Q32"/>
      <c r="R32"/>
      <c r="S32"/>
      <c r="T32"/>
      <c r="U32"/>
    </row>
    <row r="33" spans="1:21" ht="15" x14ac:dyDescent="0.25">
      <c r="A33"/>
      <c r="B33"/>
      <c r="O33"/>
      <c r="P33"/>
      <c r="Q33"/>
      <c r="R33"/>
      <c r="S33"/>
      <c r="T33"/>
      <c r="U33"/>
    </row>
    <row r="34" spans="1:21" ht="15" x14ac:dyDescent="0.25">
      <c r="A34"/>
      <c r="B34"/>
      <c r="O34"/>
      <c r="P34"/>
      <c r="Q34"/>
      <c r="R34"/>
      <c r="S34"/>
      <c r="T34"/>
      <c r="U34"/>
    </row>
    <row r="35" spans="1:21" ht="15" x14ac:dyDescent="0.25">
      <c r="A35"/>
      <c r="B35"/>
      <c r="O35"/>
      <c r="P35"/>
      <c r="Q35"/>
      <c r="R35"/>
      <c r="S35"/>
      <c r="T35"/>
      <c r="U35"/>
    </row>
    <row r="36" spans="1:21" ht="15" x14ac:dyDescent="0.25">
      <c r="A36"/>
      <c r="B36"/>
      <c r="O36"/>
      <c r="P36"/>
      <c r="Q36"/>
      <c r="R36"/>
      <c r="S36"/>
      <c r="T36"/>
      <c r="U36"/>
    </row>
    <row r="37" spans="1:21" ht="15" x14ac:dyDescent="0.25">
      <c r="A37"/>
      <c r="B37"/>
      <c r="O37"/>
      <c r="P37"/>
      <c r="Q37"/>
      <c r="R37"/>
      <c r="S37"/>
      <c r="T37"/>
      <c r="U37"/>
    </row>
    <row r="38" spans="1:21" ht="15" x14ac:dyDescent="0.25">
      <c r="O38"/>
      <c r="P38"/>
      <c r="Q38"/>
      <c r="R38"/>
      <c r="S38"/>
      <c r="T38"/>
      <c r="U38"/>
    </row>
    <row r="39" spans="1:21" ht="15" x14ac:dyDescent="0.25">
      <c r="O39"/>
      <c r="P39"/>
      <c r="Q39"/>
      <c r="R39"/>
      <c r="S39"/>
      <c r="T39"/>
      <c r="U39"/>
    </row>
    <row r="40" spans="1:21" ht="15" x14ac:dyDescent="0.25">
      <c r="O40"/>
      <c r="P40"/>
      <c r="Q40"/>
      <c r="R40"/>
      <c r="S40"/>
      <c r="T40"/>
      <c r="U40"/>
    </row>
    <row r="41" spans="1:21" ht="15" x14ac:dyDescent="0.25">
      <c r="O41"/>
      <c r="P41"/>
      <c r="Q41"/>
      <c r="R41"/>
      <c r="S41"/>
      <c r="T41"/>
      <c r="U41"/>
    </row>
    <row r="42" spans="1:21" ht="15" x14ac:dyDescent="0.25">
      <c r="O42"/>
      <c r="P42"/>
      <c r="Q42"/>
      <c r="R42"/>
      <c r="S42"/>
      <c r="T42"/>
      <c r="U42"/>
    </row>
    <row r="43" spans="1:21" ht="15" x14ac:dyDescent="0.25">
      <c r="O43"/>
      <c r="P43"/>
      <c r="Q43"/>
      <c r="R43"/>
      <c r="S43"/>
      <c r="T43"/>
      <c r="U43"/>
    </row>
    <row r="44" spans="1:21" ht="15" x14ac:dyDescent="0.25">
      <c r="O44"/>
      <c r="P44"/>
      <c r="Q44"/>
      <c r="R44"/>
      <c r="S44"/>
      <c r="T44"/>
      <c r="U44"/>
    </row>
    <row r="45" spans="1:21" ht="15" x14ac:dyDescent="0.25">
      <c r="O45"/>
      <c r="P45"/>
      <c r="Q45"/>
      <c r="R45"/>
      <c r="S45"/>
      <c r="T45"/>
      <c r="U45"/>
    </row>
    <row r="46" spans="1:21" ht="15" x14ac:dyDescent="0.25">
      <c r="O46"/>
      <c r="P46"/>
      <c r="Q46"/>
      <c r="R46"/>
      <c r="S46"/>
      <c r="T46"/>
      <c r="U46"/>
    </row>
    <row r="47" spans="1:21" ht="15" x14ac:dyDescent="0.25">
      <c r="O47"/>
      <c r="P47"/>
      <c r="Q47"/>
      <c r="R47"/>
      <c r="S47"/>
      <c r="T47"/>
      <c r="U47"/>
    </row>
    <row r="48" spans="1:21" ht="15" x14ac:dyDescent="0.25">
      <c r="O48"/>
      <c r="P48"/>
      <c r="Q48"/>
      <c r="R48"/>
      <c r="S48"/>
      <c r="T48"/>
      <c r="U48"/>
    </row>
    <row r="49" spans="15:21" ht="15" x14ac:dyDescent="0.25">
      <c r="O49"/>
      <c r="P49"/>
      <c r="Q49"/>
      <c r="R49"/>
      <c r="S49"/>
      <c r="T49"/>
      <c r="U49"/>
    </row>
    <row r="50" spans="15:21" ht="15" x14ac:dyDescent="0.25">
      <c r="O50"/>
      <c r="P50"/>
      <c r="Q50"/>
      <c r="R50"/>
      <c r="S50"/>
      <c r="T50"/>
      <c r="U50"/>
    </row>
    <row r="51" spans="15:21" ht="15" x14ac:dyDescent="0.25">
      <c r="O51"/>
      <c r="P51"/>
      <c r="Q51"/>
      <c r="R51"/>
      <c r="S51"/>
      <c r="T51"/>
      <c r="U51"/>
    </row>
    <row r="52" spans="15:21" ht="15" x14ac:dyDescent="0.25">
      <c r="O52"/>
      <c r="P52"/>
      <c r="Q52"/>
      <c r="R52"/>
      <c r="S52"/>
      <c r="T52"/>
      <c r="U52"/>
    </row>
    <row r="53" spans="15:21" ht="15" x14ac:dyDescent="0.25">
      <c r="O53"/>
      <c r="P53"/>
      <c r="Q53"/>
      <c r="R53"/>
      <c r="S53"/>
      <c r="T53"/>
      <c r="U53"/>
    </row>
    <row r="54" spans="15:21" ht="15" x14ac:dyDescent="0.25">
      <c r="O54"/>
      <c r="P54"/>
      <c r="Q54"/>
      <c r="R54"/>
      <c r="S54"/>
      <c r="T54"/>
      <c r="U54"/>
    </row>
    <row r="55" spans="15:21" ht="15" x14ac:dyDescent="0.25">
      <c r="O55"/>
      <c r="P55"/>
      <c r="Q55"/>
      <c r="R55"/>
      <c r="S55"/>
      <c r="T55"/>
      <c r="U55"/>
    </row>
    <row r="56" spans="15:21" ht="15" x14ac:dyDescent="0.25">
      <c r="O56"/>
      <c r="P56"/>
      <c r="Q56"/>
      <c r="R56"/>
      <c r="S56"/>
      <c r="T56"/>
      <c r="U56"/>
    </row>
    <row r="57" spans="15:21" ht="15" x14ac:dyDescent="0.25">
      <c r="O57"/>
      <c r="P57"/>
      <c r="Q57"/>
      <c r="R57"/>
      <c r="S57"/>
      <c r="T57"/>
      <c r="U57"/>
    </row>
    <row r="58" spans="15:21" ht="15" x14ac:dyDescent="0.25">
      <c r="O58"/>
      <c r="P58"/>
      <c r="Q58"/>
      <c r="R58"/>
      <c r="S58"/>
      <c r="T58"/>
      <c r="U58"/>
    </row>
    <row r="59" spans="15:21" ht="15" x14ac:dyDescent="0.25">
      <c r="O59"/>
      <c r="P59"/>
      <c r="Q59"/>
      <c r="R59"/>
      <c r="S59"/>
      <c r="T59"/>
      <c r="U59"/>
    </row>
    <row r="60" spans="15:21" ht="15" x14ac:dyDescent="0.25">
      <c r="O60"/>
      <c r="P60"/>
      <c r="Q60"/>
      <c r="R60"/>
      <c r="S60"/>
      <c r="T60"/>
      <c r="U60"/>
    </row>
    <row r="61" spans="15:21" ht="15" x14ac:dyDescent="0.25">
      <c r="O61"/>
      <c r="P61"/>
      <c r="Q61"/>
      <c r="R61"/>
      <c r="S61"/>
      <c r="T61"/>
      <c r="U61"/>
    </row>
    <row r="62" spans="15:21" ht="15" x14ac:dyDescent="0.25">
      <c r="O62"/>
      <c r="P62"/>
      <c r="Q62"/>
      <c r="R62"/>
      <c r="S62"/>
      <c r="T62"/>
      <c r="U62"/>
    </row>
    <row r="63" spans="15:21" ht="15" x14ac:dyDescent="0.25">
      <c r="O63"/>
      <c r="P63"/>
      <c r="Q63"/>
      <c r="R63"/>
      <c r="S63"/>
      <c r="T63"/>
      <c r="U63"/>
    </row>
    <row r="64" spans="15:21" ht="15" x14ac:dyDescent="0.25">
      <c r="O64"/>
      <c r="P64"/>
      <c r="Q64"/>
      <c r="R64"/>
      <c r="S64"/>
      <c r="T64"/>
      <c r="U64"/>
    </row>
    <row r="65" spans="15:21" ht="15" x14ac:dyDescent="0.25">
      <c r="O65"/>
      <c r="P65"/>
      <c r="Q65"/>
      <c r="R65"/>
      <c r="S65"/>
      <c r="T65"/>
      <c r="U65"/>
    </row>
    <row r="66" spans="15:21" ht="15" x14ac:dyDescent="0.25">
      <c r="O66"/>
      <c r="P66"/>
      <c r="Q66"/>
      <c r="R66"/>
      <c r="S66"/>
      <c r="T66"/>
      <c r="U66"/>
    </row>
    <row r="67" spans="15:21" ht="15" x14ac:dyDescent="0.25">
      <c r="O67"/>
      <c r="P67"/>
      <c r="Q67"/>
      <c r="R67"/>
      <c r="S67"/>
      <c r="T67"/>
      <c r="U67"/>
    </row>
    <row r="68" spans="15:21" ht="15" x14ac:dyDescent="0.25">
      <c r="O68"/>
      <c r="P68"/>
      <c r="Q68"/>
      <c r="R68"/>
      <c r="S68"/>
      <c r="T68"/>
      <c r="U68"/>
    </row>
    <row r="69" spans="15:21" ht="15" x14ac:dyDescent="0.25">
      <c r="O69"/>
      <c r="P69"/>
      <c r="Q69"/>
      <c r="R69"/>
      <c r="S69"/>
      <c r="T69"/>
      <c r="U69"/>
    </row>
    <row r="70" spans="15:21" ht="15" x14ac:dyDescent="0.25">
      <c r="O70"/>
      <c r="P70"/>
      <c r="Q70"/>
      <c r="R70"/>
      <c r="S70"/>
      <c r="T70"/>
      <c r="U70"/>
    </row>
    <row r="71" spans="15:21" ht="15" x14ac:dyDescent="0.25">
      <c r="O71"/>
      <c r="P71"/>
      <c r="Q71"/>
      <c r="R71"/>
      <c r="S71"/>
      <c r="T71"/>
      <c r="U71"/>
    </row>
    <row r="72" spans="15:21" ht="15" x14ac:dyDescent="0.25">
      <c r="O72"/>
      <c r="P72"/>
      <c r="Q72"/>
      <c r="R72"/>
      <c r="S72"/>
      <c r="T72"/>
      <c r="U72"/>
    </row>
    <row r="73" spans="15:21" ht="15" x14ac:dyDescent="0.25">
      <c r="O73"/>
      <c r="P73"/>
      <c r="Q73"/>
      <c r="R73"/>
      <c r="S73"/>
      <c r="T73"/>
      <c r="U73"/>
    </row>
    <row r="74" spans="15:21" ht="15" x14ac:dyDescent="0.25">
      <c r="O74"/>
      <c r="P74"/>
      <c r="Q74"/>
      <c r="R74"/>
      <c r="S74"/>
      <c r="T74"/>
      <c r="U74"/>
    </row>
    <row r="75" spans="15:21" ht="15" x14ac:dyDescent="0.25">
      <c r="O75"/>
      <c r="P75"/>
      <c r="Q75"/>
      <c r="R75"/>
      <c r="S75"/>
      <c r="T75"/>
      <c r="U75"/>
    </row>
    <row r="76" spans="15:21" ht="15" x14ac:dyDescent="0.25">
      <c r="O76"/>
      <c r="P76"/>
      <c r="Q76"/>
      <c r="R76"/>
      <c r="S76"/>
      <c r="T76"/>
      <c r="U76"/>
    </row>
    <row r="77" spans="15:21" ht="15" x14ac:dyDescent="0.25">
      <c r="O77"/>
      <c r="P77"/>
      <c r="Q77"/>
      <c r="R77"/>
      <c r="S77"/>
      <c r="T77"/>
      <c r="U77"/>
    </row>
    <row r="78" spans="15:21" ht="15" x14ac:dyDescent="0.25">
      <c r="O78"/>
      <c r="P78"/>
      <c r="Q78"/>
      <c r="R78"/>
      <c r="S78"/>
      <c r="T78"/>
      <c r="U78"/>
    </row>
    <row r="79" spans="15:21" ht="15" x14ac:dyDescent="0.25">
      <c r="O79"/>
      <c r="P79"/>
      <c r="Q79"/>
      <c r="R79"/>
      <c r="S79"/>
      <c r="T79"/>
      <c r="U79"/>
    </row>
    <row r="80" spans="15:21" ht="15" x14ac:dyDescent="0.25">
      <c r="O80"/>
      <c r="P80"/>
      <c r="Q80"/>
      <c r="R80"/>
      <c r="S80"/>
      <c r="T80"/>
      <c r="U80"/>
    </row>
    <row r="81" spans="15:21" ht="15" x14ac:dyDescent="0.25">
      <c r="O81"/>
      <c r="P81"/>
      <c r="Q81"/>
      <c r="R81"/>
      <c r="S81"/>
      <c r="T81"/>
      <c r="U81"/>
    </row>
    <row r="82" spans="15:21" ht="15" x14ac:dyDescent="0.25">
      <c r="O82"/>
      <c r="P82"/>
      <c r="Q82"/>
      <c r="R82"/>
      <c r="S82"/>
      <c r="T82"/>
      <c r="U82"/>
    </row>
    <row r="83" spans="15:21" ht="15" x14ac:dyDescent="0.25">
      <c r="O83"/>
      <c r="P83"/>
      <c r="Q83"/>
      <c r="R83"/>
      <c r="S83"/>
      <c r="T83"/>
      <c r="U83"/>
    </row>
    <row r="84" spans="15:21" ht="15" x14ac:dyDescent="0.25">
      <c r="O84"/>
      <c r="P84"/>
      <c r="Q84"/>
      <c r="R84"/>
      <c r="S84"/>
      <c r="T84"/>
      <c r="U84"/>
    </row>
    <row r="85" spans="15:21" ht="15" x14ac:dyDescent="0.25">
      <c r="O85"/>
      <c r="P85"/>
      <c r="Q85"/>
      <c r="R85"/>
      <c r="S85"/>
      <c r="T85"/>
      <c r="U85"/>
    </row>
    <row r="86" spans="15:21" ht="15" x14ac:dyDescent="0.25">
      <c r="O86"/>
      <c r="P86"/>
      <c r="Q86"/>
      <c r="R86"/>
      <c r="S86"/>
      <c r="T86"/>
      <c r="U86"/>
    </row>
    <row r="87" spans="15:21" ht="15" x14ac:dyDescent="0.25">
      <c r="O87"/>
      <c r="P87"/>
      <c r="Q87"/>
      <c r="R87"/>
      <c r="S87"/>
      <c r="T87"/>
      <c r="U87"/>
    </row>
    <row r="88" spans="15:21" ht="15" x14ac:dyDescent="0.25">
      <c r="O88"/>
      <c r="P88"/>
      <c r="Q88"/>
      <c r="R88"/>
      <c r="S88"/>
      <c r="T88"/>
      <c r="U88"/>
    </row>
    <row r="89" spans="15:21" ht="15" x14ac:dyDescent="0.25">
      <c r="O89"/>
      <c r="P89"/>
      <c r="Q89"/>
      <c r="R89"/>
      <c r="S89"/>
      <c r="T89"/>
      <c r="U89"/>
    </row>
    <row r="90" spans="15:21" ht="15" x14ac:dyDescent="0.25">
      <c r="O90"/>
      <c r="P90"/>
      <c r="Q90"/>
      <c r="R90"/>
      <c r="S90"/>
      <c r="T90"/>
      <c r="U90"/>
    </row>
    <row r="91" spans="15:21" ht="15" x14ac:dyDescent="0.25">
      <c r="O91"/>
      <c r="P91"/>
      <c r="Q91"/>
      <c r="R91"/>
      <c r="S91"/>
      <c r="T91"/>
      <c r="U91"/>
    </row>
    <row r="92" spans="15:21" ht="15" x14ac:dyDescent="0.25">
      <c r="O92"/>
      <c r="P92"/>
      <c r="Q92"/>
      <c r="R92"/>
      <c r="S92"/>
      <c r="T92"/>
      <c r="U92"/>
    </row>
    <row r="93" spans="15:21" ht="15" x14ac:dyDescent="0.25">
      <c r="O93"/>
      <c r="P93"/>
      <c r="Q93"/>
      <c r="R93"/>
      <c r="S93"/>
      <c r="T93"/>
      <c r="U93"/>
    </row>
    <row r="94" spans="15:21" ht="15" x14ac:dyDescent="0.25">
      <c r="O94"/>
      <c r="P94"/>
      <c r="Q94"/>
      <c r="R94"/>
      <c r="S94"/>
      <c r="T94"/>
      <c r="U94"/>
    </row>
    <row r="95" spans="15:21" ht="15" x14ac:dyDescent="0.25">
      <c r="O95"/>
      <c r="P95"/>
      <c r="Q95"/>
      <c r="R95"/>
      <c r="S95"/>
      <c r="T95"/>
      <c r="U95"/>
    </row>
    <row r="96" spans="15:21" ht="15" x14ac:dyDescent="0.25">
      <c r="O96"/>
      <c r="P96"/>
      <c r="Q96"/>
      <c r="R96"/>
      <c r="S96"/>
      <c r="T96"/>
      <c r="U96"/>
    </row>
    <row r="97" spans="15:21" ht="15" x14ac:dyDescent="0.25">
      <c r="O97"/>
      <c r="P97"/>
      <c r="Q97"/>
      <c r="R97"/>
      <c r="S97"/>
      <c r="T97"/>
      <c r="U97"/>
    </row>
    <row r="98" spans="15:21" ht="15" x14ac:dyDescent="0.25">
      <c r="O98"/>
      <c r="P98"/>
      <c r="Q98"/>
      <c r="R98"/>
      <c r="S98"/>
      <c r="T98"/>
      <c r="U98"/>
    </row>
    <row r="99" spans="15:21" ht="15" x14ac:dyDescent="0.25">
      <c r="O99"/>
      <c r="P99"/>
      <c r="Q99"/>
      <c r="R99"/>
      <c r="S99"/>
      <c r="T99"/>
      <c r="U99"/>
    </row>
    <row r="100" spans="15:21" ht="15" x14ac:dyDescent="0.25">
      <c r="O100"/>
      <c r="P100"/>
      <c r="Q100"/>
      <c r="R100"/>
      <c r="S100"/>
      <c r="T100"/>
      <c r="U100"/>
    </row>
    <row r="101" spans="15:21" ht="15" x14ac:dyDescent="0.25">
      <c r="O101"/>
      <c r="P101"/>
      <c r="Q101"/>
      <c r="R101"/>
      <c r="S101"/>
      <c r="T101"/>
      <c r="U101"/>
    </row>
    <row r="102" spans="15:21" ht="15" x14ac:dyDescent="0.25">
      <c r="O102"/>
      <c r="P102"/>
      <c r="Q102"/>
      <c r="R102"/>
      <c r="S102"/>
      <c r="T102"/>
      <c r="U102"/>
    </row>
    <row r="103" spans="15:21" ht="15" x14ac:dyDescent="0.25">
      <c r="O103"/>
      <c r="P103"/>
      <c r="Q103"/>
      <c r="R103"/>
      <c r="S103"/>
      <c r="T103"/>
      <c r="U103"/>
    </row>
    <row r="104" spans="15:21" ht="15" x14ac:dyDescent="0.25">
      <c r="O104"/>
      <c r="P104"/>
      <c r="Q104"/>
      <c r="R104"/>
      <c r="S104"/>
      <c r="T104"/>
      <c r="U104"/>
    </row>
    <row r="105" spans="15:21" ht="15" x14ac:dyDescent="0.25">
      <c r="O105"/>
      <c r="P105"/>
      <c r="Q105"/>
      <c r="R105"/>
      <c r="S105"/>
      <c r="T105"/>
      <c r="U105"/>
    </row>
    <row r="106" spans="15:21" ht="15" x14ac:dyDescent="0.25">
      <c r="O106"/>
      <c r="P106"/>
      <c r="Q106"/>
      <c r="R106"/>
      <c r="S106"/>
      <c r="T106"/>
      <c r="U106"/>
    </row>
    <row r="107" spans="15:21" ht="15" x14ac:dyDescent="0.25">
      <c r="O107"/>
      <c r="P107"/>
      <c r="Q107"/>
      <c r="R107"/>
      <c r="S107"/>
      <c r="T107"/>
      <c r="U107"/>
    </row>
    <row r="108" spans="15:21" ht="15" x14ac:dyDescent="0.25">
      <c r="O108"/>
      <c r="P108"/>
      <c r="Q108"/>
      <c r="R108"/>
      <c r="S108"/>
      <c r="T108"/>
      <c r="U108"/>
    </row>
    <row r="109" spans="15:21" ht="15" x14ac:dyDescent="0.25">
      <c r="O109"/>
      <c r="P109"/>
      <c r="Q109"/>
      <c r="R109"/>
      <c r="S109"/>
      <c r="T109"/>
      <c r="U109"/>
    </row>
    <row r="110" spans="15:21" ht="15" x14ac:dyDescent="0.25">
      <c r="O110"/>
      <c r="P110"/>
      <c r="Q110"/>
      <c r="R110"/>
      <c r="S110"/>
      <c r="T110"/>
      <c r="U110"/>
    </row>
    <row r="111" spans="15:21" ht="15" x14ac:dyDescent="0.25">
      <c r="O111"/>
      <c r="P111"/>
      <c r="Q111"/>
      <c r="R111"/>
      <c r="S111"/>
      <c r="T111"/>
      <c r="U111"/>
    </row>
    <row r="112" spans="15:21" ht="15" x14ac:dyDescent="0.25">
      <c r="O112"/>
      <c r="P112"/>
      <c r="Q112"/>
      <c r="R112"/>
      <c r="S112"/>
      <c r="T112"/>
      <c r="U112"/>
    </row>
    <row r="113" spans="15:21" ht="15" x14ac:dyDescent="0.25">
      <c r="O113"/>
      <c r="P113"/>
      <c r="Q113"/>
      <c r="R113"/>
      <c r="S113"/>
      <c r="T113"/>
      <c r="U113"/>
    </row>
    <row r="114" spans="15:21" ht="15" x14ac:dyDescent="0.25">
      <c r="O114"/>
      <c r="P114"/>
      <c r="Q114"/>
      <c r="R114"/>
      <c r="S114"/>
      <c r="T114"/>
      <c r="U114"/>
    </row>
    <row r="115" spans="15:21" ht="15" x14ac:dyDescent="0.25">
      <c r="O115"/>
      <c r="P115"/>
      <c r="Q115"/>
      <c r="R115"/>
      <c r="S115"/>
      <c r="T115"/>
      <c r="U115"/>
    </row>
    <row r="116" spans="15:21" ht="15" x14ac:dyDescent="0.25">
      <c r="O116"/>
      <c r="P116"/>
      <c r="Q116"/>
      <c r="R116"/>
      <c r="S116"/>
      <c r="T116"/>
      <c r="U116"/>
    </row>
    <row r="117" spans="15:21" ht="15" x14ac:dyDescent="0.25">
      <c r="O117"/>
      <c r="P117"/>
      <c r="Q117"/>
      <c r="R117"/>
      <c r="S117"/>
      <c r="T117"/>
      <c r="U117"/>
    </row>
    <row r="118" spans="15:21" ht="15" x14ac:dyDescent="0.25">
      <c r="O118"/>
      <c r="P118"/>
      <c r="Q118"/>
      <c r="R118"/>
      <c r="S118"/>
      <c r="T118"/>
      <c r="U118"/>
    </row>
    <row r="119" spans="15:21" ht="15" x14ac:dyDescent="0.25">
      <c r="O119"/>
      <c r="P119"/>
      <c r="Q119"/>
      <c r="R119"/>
      <c r="S119"/>
      <c r="T119"/>
      <c r="U119"/>
    </row>
    <row r="120" spans="15:21" ht="15" x14ac:dyDescent="0.25">
      <c r="O120"/>
      <c r="P120"/>
      <c r="Q120"/>
      <c r="R120"/>
      <c r="S120"/>
      <c r="T120"/>
      <c r="U120"/>
    </row>
    <row r="121" spans="15:21" ht="15" x14ac:dyDescent="0.25">
      <c r="O121"/>
      <c r="P121"/>
      <c r="Q121"/>
      <c r="R121"/>
      <c r="S121"/>
      <c r="T121"/>
      <c r="U121"/>
    </row>
    <row r="122" spans="15:21" ht="15" x14ac:dyDescent="0.25">
      <c r="O122"/>
      <c r="P122"/>
      <c r="Q122"/>
      <c r="R122"/>
      <c r="S122"/>
      <c r="T122"/>
      <c r="U122"/>
    </row>
    <row r="123" spans="15:21" ht="15" x14ac:dyDescent="0.25">
      <c r="O123"/>
      <c r="P123"/>
      <c r="Q123"/>
      <c r="R123"/>
      <c r="S123"/>
      <c r="T123"/>
      <c r="U123"/>
    </row>
    <row r="124" spans="15:21" ht="15" x14ac:dyDescent="0.25">
      <c r="O124"/>
      <c r="P124"/>
      <c r="Q124"/>
      <c r="R124"/>
      <c r="S124"/>
      <c r="T124"/>
      <c r="U124"/>
    </row>
    <row r="125" spans="15:21" ht="15" x14ac:dyDescent="0.25">
      <c r="O125"/>
      <c r="P125"/>
      <c r="Q125"/>
      <c r="R125"/>
      <c r="S125"/>
      <c r="T125"/>
      <c r="U125"/>
    </row>
    <row r="126" spans="15:21" ht="15" x14ac:dyDescent="0.25">
      <c r="O126"/>
      <c r="P126"/>
      <c r="Q126"/>
      <c r="R126"/>
      <c r="S126"/>
      <c r="T126"/>
      <c r="U126"/>
    </row>
    <row r="127" spans="15:21" ht="15" x14ac:dyDescent="0.25">
      <c r="O127"/>
      <c r="P127"/>
      <c r="Q127"/>
      <c r="R127"/>
      <c r="S127"/>
      <c r="T127"/>
      <c r="U127"/>
    </row>
    <row r="128" spans="15:21" ht="15" x14ac:dyDescent="0.25">
      <c r="O128"/>
      <c r="P128"/>
      <c r="Q128"/>
      <c r="R128"/>
      <c r="S128"/>
      <c r="T128"/>
      <c r="U128"/>
    </row>
    <row r="129" spans="15:21" ht="15" x14ac:dyDescent="0.25">
      <c r="O129"/>
      <c r="P129"/>
      <c r="Q129"/>
      <c r="R129"/>
      <c r="S129"/>
      <c r="T129"/>
      <c r="U129"/>
    </row>
    <row r="130" spans="15:21" ht="15" x14ac:dyDescent="0.25">
      <c r="O130"/>
      <c r="P130"/>
      <c r="Q130"/>
      <c r="R130"/>
      <c r="S130"/>
      <c r="T130"/>
      <c r="U130"/>
    </row>
    <row r="131" spans="15:21" ht="15" x14ac:dyDescent="0.25">
      <c r="O131"/>
      <c r="P131"/>
      <c r="Q131"/>
      <c r="R131"/>
      <c r="S131"/>
      <c r="T131"/>
      <c r="U131"/>
    </row>
    <row r="132" spans="15:21" ht="15" x14ac:dyDescent="0.25">
      <c r="O132"/>
      <c r="P132"/>
      <c r="Q132"/>
      <c r="R132"/>
      <c r="S132"/>
      <c r="T132"/>
      <c r="U132"/>
    </row>
    <row r="133" spans="15:21" ht="15" x14ac:dyDescent="0.25">
      <c r="O133"/>
      <c r="P133"/>
      <c r="Q133"/>
      <c r="R133"/>
      <c r="S133"/>
      <c r="T133"/>
      <c r="U133"/>
    </row>
    <row r="134" spans="15:21" ht="15" x14ac:dyDescent="0.25">
      <c r="O134"/>
      <c r="P134"/>
      <c r="Q134"/>
      <c r="R134"/>
      <c r="S134"/>
      <c r="T134"/>
      <c r="U134"/>
    </row>
    <row r="135" spans="15:21" ht="15" x14ac:dyDescent="0.25">
      <c r="O135"/>
      <c r="P135"/>
      <c r="Q135"/>
      <c r="R135"/>
      <c r="S135"/>
      <c r="T135"/>
      <c r="U135"/>
    </row>
    <row r="136" spans="15:21" ht="15" x14ac:dyDescent="0.25">
      <c r="O136"/>
      <c r="P136"/>
      <c r="Q136"/>
      <c r="R136"/>
      <c r="S136"/>
      <c r="T136"/>
      <c r="U136"/>
    </row>
    <row r="137" spans="15:21" ht="15" x14ac:dyDescent="0.25">
      <c r="O137"/>
      <c r="P137"/>
      <c r="Q137"/>
      <c r="R137"/>
      <c r="S137"/>
      <c r="T137"/>
      <c r="U137"/>
    </row>
    <row r="138" spans="15:21" ht="15" x14ac:dyDescent="0.25">
      <c r="O138"/>
      <c r="P138"/>
      <c r="Q138"/>
      <c r="R138"/>
      <c r="S138"/>
      <c r="T138"/>
      <c r="U138"/>
    </row>
    <row r="139" spans="15:21" ht="15" x14ac:dyDescent="0.25">
      <c r="O139"/>
      <c r="P139"/>
      <c r="Q139"/>
      <c r="R139"/>
      <c r="S139"/>
      <c r="T139"/>
      <c r="U139"/>
    </row>
    <row r="140" spans="15:21" ht="15" x14ac:dyDescent="0.25">
      <c r="O140"/>
      <c r="P140"/>
      <c r="Q140"/>
      <c r="R140"/>
      <c r="S140"/>
      <c r="T140"/>
      <c r="U140"/>
    </row>
    <row r="141" spans="15:21" ht="15" x14ac:dyDescent="0.25">
      <c r="O141"/>
      <c r="P141"/>
      <c r="Q141"/>
      <c r="R141"/>
      <c r="S141"/>
      <c r="T141"/>
      <c r="U141"/>
    </row>
    <row r="142" spans="15:21" ht="15" x14ac:dyDescent="0.25">
      <c r="O142"/>
      <c r="P142"/>
      <c r="Q142"/>
      <c r="R142"/>
      <c r="S142"/>
      <c r="T142"/>
      <c r="U142"/>
    </row>
    <row r="143" spans="15:21" ht="15" x14ac:dyDescent="0.25">
      <c r="O143"/>
      <c r="P143"/>
      <c r="Q143"/>
      <c r="R143"/>
      <c r="S143"/>
      <c r="T143"/>
      <c r="U143"/>
    </row>
    <row r="144" spans="15:21" ht="15" x14ac:dyDescent="0.25">
      <c r="O144"/>
      <c r="P144"/>
      <c r="Q144"/>
      <c r="R144"/>
      <c r="S144"/>
      <c r="T144"/>
      <c r="U144"/>
    </row>
    <row r="145" spans="15:21" ht="15" x14ac:dyDescent="0.25">
      <c r="O145"/>
      <c r="P145"/>
      <c r="Q145"/>
      <c r="R145"/>
      <c r="S145"/>
      <c r="T145"/>
      <c r="U145"/>
    </row>
    <row r="146" spans="15:21" ht="15" x14ac:dyDescent="0.25">
      <c r="O146"/>
      <c r="P146"/>
      <c r="Q146"/>
      <c r="R146"/>
      <c r="S146"/>
      <c r="T146"/>
      <c r="U146"/>
    </row>
    <row r="147" spans="15:21" ht="15" x14ac:dyDescent="0.25">
      <c r="O147"/>
      <c r="P147"/>
      <c r="Q147"/>
      <c r="R147"/>
      <c r="S147"/>
      <c r="T147"/>
      <c r="U147"/>
    </row>
    <row r="148" spans="15:21" ht="15" x14ac:dyDescent="0.25">
      <c r="O148"/>
      <c r="P148"/>
      <c r="Q148"/>
      <c r="R148"/>
      <c r="S148"/>
      <c r="T148"/>
      <c r="U148"/>
    </row>
    <row r="149" spans="15:21" ht="15" x14ac:dyDescent="0.25">
      <c r="O149"/>
      <c r="P149"/>
      <c r="Q149"/>
      <c r="R149"/>
      <c r="S149"/>
      <c r="T149"/>
      <c r="U149"/>
    </row>
    <row r="150" spans="15:21" ht="15" x14ac:dyDescent="0.25">
      <c r="O150"/>
      <c r="P150"/>
      <c r="Q150"/>
      <c r="R150"/>
      <c r="S150"/>
      <c r="T150"/>
      <c r="U150"/>
    </row>
    <row r="151" spans="15:21" ht="15" x14ac:dyDescent="0.25">
      <c r="O151"/>
      <c r="P151"/>
      <c r="Q151"/>
      <c r="R151"/>
      <c r="S151"/>
      <c r="T151"/>
      <c r="U151"/>
    </row>
    <row r="152" spans="15:21" ht="15" x14ac:dyDescent="0.25">
      <c r="O152"/>
      <c r="P152"/>
      <c r="Q152"/>
      <c r="R152"/>
      <c r="S152"/>
      <c r="T152"/>
      <c r="U152"/>
    </row>
    <row r="153" spans="15:21" ht="15" x14ac:dyDescent="0.25">
      <c r="O153"/>
      <c r="P153"/>
      <c r="Q153"/>
      <c r="R153"/>
      <c r="S153"/>
      <c r="T153"/>
      <c r="U153"/>
    </row>
    <row r="154" spans="15:21" ht="15" x14ac:dyDescent="0.25">
      <c r="O154"/>
      <c r="P154"/>
      <c r="Q154"/>
      <c r="R154"/>
      <c r="S154"/>
      <c r="T154"/>
      <c r="U154"/>
    </row>
    <row r="155" spans="15:21" ht="15" x14ac:dyDescent="0.25">
      <c r="O155"/>
      <c r="P155"/>
      <c r="Q155"/>
      <c r="R155"/>
      <c r="S155"/>
      <c r="T155"/>
      <c r="U155"/>
    </row>
    <row r="156" spans="15:21" ht="15" x14ac:dyDescent="0.25">
      <c r="O156"/>
      <c r="P156"/>
      <c r="Q156"/>
      <c r="R156"/>
      <c r="S156"/>
      <c r="T156"/>
      <c r="U156"/>
    </row>
    <row r="157" spans="15:21" ht="15" x14ac:dyDescent="0.25">
      <c r="O157"/>
      <c r="P157"/>
      <c r="Q157"/>
      <c r="R157"/>
      <c r="S157"/>
      <c r="T157"/>
      <c r="U157"/>
    </row>
    <row r="158" spans="15:21" ht="15" x14ac:dyDescent="0.25">
      <c r="O158"/>
      <c r="P158"/>
      <c r="Q158"/>
      <c r="R158"/>
      <c r="S158"/>
      <c r="T158"/>
      <c r="U158"/>
    </row>
    <row r="159" spans="15:21" ht="15" x14ac:dyDescent="0.25">
      <c r="O159"/>
      <c r="P159"/>
      <c r="Q159"/>
      <c r="R159"/>
      <c r="S159"/>
      <c r="T159"/>
      <c r="U159"/>
    </row>
    <row r="160" spans="15:21" ht="15" x14ac:dyDescent="0.25">
      <c r="O160"/>
      <c r="P160"/>
      <c r="Q160"/>
      <c r="R160"/>
      <c r="S160"/>
      <c r="T160"/>
      <c r="U160"/>
    </row>
    <row r="161" spans="15:21" ht="15" x14ac:dyDescent="0.25">
      <c r="O161"/>
      <c r="P161"/>
      <c r="Q161"/>
      <c r="R161"/>
      <c r="S161"/>
      <c r="T161"/>
      <c r="U161"/>
    </row>
    <row r="162" spans="15:21" ht="15" x14ac:dyDescent="0.25">
      <c r="O162"/>
      <c r="P162"/>
      <c r="Q162"/>
      <c r="R162"/>
      <c r="S162"/>
      <c r="T162"/>
      <c r="U162"/>
    </row>
    <row r="163" spans="15:21" ht="15" x14ac:dyDescent="0.25">
      <c r="O163"/>
      <c r="P163"/>
      <c r="Q163"/>
      <c r="R163"/>
      <c r="S163"/>
      <c r="T163"/>
      <c r="U163"/>
    </row>
    <row r="164" spans="15:21" ht="15" x14ac:dyDescent="0.25">
      <c r="O164"/>
      <c r="P164"/>
      <c r="Q164"/>
      <c r="R164"/>
      <c r="S164"/>
      <c r="T164"/>
      <c r="U164"/>
    </row>
    <row r="165" spans="15:21" ht="15" x14ac:dyDescent="0.25">
      <c r="O165"/>
      <c r="P165"/>
      <c r="Q165"/>
      <c r="R165"/>
      <c r="S165"/>
      <c r="T165"/>
      <c r="U165"/>
    </row>
    <row r="166" spans="15:21" ht="15" x14ac:dyDescent="0.25">
      <c r="O166"/>
      <c r="P166"/>
      <c r="Q166"/>
      <c r="R166"/>
      <c r="S166"/>
      <c r="T166"/>
      <c r="U166"/>
    </row>
    <row r="167" spans="15:21" ht="15" x14ac:dyDescent="0.25">
      <c r="O167"/>
      <c r="P167"/>
      <c r="Q167"/>
      <c r="R167"/>
      <c r="S167"/>
      <c r="T167"/>
      <c r="U167"/>
    </row>
    <row r="168" spans="15:21" ht="15" x14ac:dyDescent="0.25">
      <c r="O168"/>
      <c r="P168"/>
      <c r="Q168"/>
      <c r="R168"/>
      <c r="S168"/>
      <c r="T168"/>
      <c r="U168"/>
    </row>
    <row r="169" spans="15:21" ht="15" x14ac:dyDescent="0.25">
      <c r="O169"/>
      <c r="P169"/>
      <c r="Q169"/>
      <c r="R169"/>
      <c r="S169"/>
      <c r="T169"/>
      <c r="U169"/>
    </row>
    <row r="170" spans="15:21" ht="15" x14ac:dyDescent="0.25">
      <c r="O170"/>
      <c r="P170"/>
      <c r="Q170"/>
      <c r="R170"/>
      <c r="S170"/>
      <c r="T170"/>
      <c r="U170"/>
    </row>
    <row r="171" spans="15:21" ht="15" x14ac:dyDescent="0.25">
      <c r="O171"/>
      <c r="P171"/>
      <c r="Q171"/>
      <c r="R171"/>
      <c r="S171"/>
      <c r="T171"/>
      <c r="U171"/>
    </row>
    <row r="172" spans="15:21" ht="15" x14ac:dyDescent="0.25">
      <c r="O172"/>
      <c r="P172"/>
      <c r="Q172"/>
      <c r="R172"/>
      <c r="S172"/>
      <c r="T172"/>
      <c r="U172"/>
    </row>
    <row r="173" spans="15:21" ht="15" x14ac:dyDescent="0.25">
      <c r="O173"/>
      <c r="P173"/>
      <c r="Q173"/>
      <c r="R173"/>
      <c r="S173"/>
      <c r="T173"/>
      <c r="U173"/>
    </row>
    <row r="174" spans="15:21" ht="15" x14ac:dyDescent="0.25">
      <c r="O174"/>
      <c r="P174"/>
      <c r="Q174"/>
      <c r="R174"/>
      <c r="S174"/>
      <c r="T174"/>
      <c r="U174"/>
    </row>
    <row r="175" spans="15:21" ht="15" x14ac:dyDescent="0.25">
      <c r="O175"/>
      <c r="P175"/>
      <c r="Q175"/>
      <c r="R175"/>
      <c r="S175"/>
      <c r="T175"/>
      <c r="U175"/>
    </row>
    <row r="176" spans="15:21" ht="15" x14ac:dyDescent="0.25">
      <c r="O176"/>
      <c r="P176"/>
      <c r="Q176"/>
      <c r="R176"/>
      <c r="S176"/>
      <c r="T176"/>
      <c r="U176"/>
    </row>
    <row r="177" spans="15:21" ht="15" x14ac:dyDescent="0.25">
      <c r="O177"/>
      <c r="P177"/>
      <c r="Q177"/>
      <c r="R177"/>
      <c r="S177"/>
      <c r="T177"/>
      <c r="U177"/>
    </row>
    <row r="178" spans="15:21" ht="15" x14ac:dyDescent="0.25">
      <c r="O178"/>
      <c r="P178"/>
      <c r="Q178"/>
      <c r="R178"/>
      <c r="S178"/>
      <c r="T178"/>
      <c r="U178"/>
    </row>
    <row r="179" spans="15:21" ht="15" x14ac:dyDescent="0.25">
      <c r="O179"/>
      <c r="P179"/>
      <c r="Q179"/>
      <c r="R179"/>
      <c r="S179"/>
      <c r="T179"/>
      <c r="U179"/>
    </row>
    <row r="180" spans="15:21" ht="15" x14ac:dyDescent="0.25">
      <c r="O180"/>
      <c r="P180"/>
      <c r="Q180"/>
      <c r="R180"/>
      <c r="S180"/>
      <c r="T180"/>
      <c r="U180"/>
    </row>
    <row r="181" spans="15:21" ht="15" x14ac:dyDescent="0.25">
      <c r="O181"/>
      <c r="P181"/>
      <c r="Q181"/>
      <c r="R181"/>
      <c r="S181"/>
      <c r="T181"/>
      <c r="U181"/>
    </row>
    <row r="182" spans="15:21" ht="15" x14ac:dyDescent="0.25">
      <c r="O182"/>
      <c r="P182"/>
      <c r="Q182"/>
      <c r="R182"/>
      <c r="S182"/>
      <c r="T182"/>
      <c r="U182"/>
    </row>
    <row r="183" spans="15:21" ht="15" x14ac:dyDescent="0.25">
      <c r="O183"/>
      <c r="P183"/>
      <c r="Q183"/>
      <c r="R183"/>
      <c r="S183"/>
      <c r="T183"/>
      <c r="U183"/>
    </row>
    <row r="184" spans="15:21" ht="15" x14ac:dyDescent="0.25">
      <c r="O184"/>
      <c r="P184"/>
      <c r="Q184"/>
      <c r="R184"/>
      <c r="S184"/>
      <c r="T184"/>
      <c r="U184"/>
    </row>
    <row r="185" spans="15:21" ht="15" x14ac:dyDescent="0.25">
      <c r="O185"/>
      <c r="P185"/>
      <c r="Q185"/>
      <c r="R185"/>
      <c r="S185"/>
      <c r="T185"/>
      <c r="U185"/>
    </row>
    <row r="186" spans="15:21" ht="15" x14ac:dyDescent="0.25">
      <c r="O186"/>
      <c r="P186"/>
      <c r="Q186"/>
      <c r="R186"/>
      <c r="S186"/>
      <c r="T186"/>
      <c r="U186"/>
    </row>
    <row r="187" spans="15:21" ht="15" x14ac:dyDescent="0.25">
      <c r="O187"/>
      <c r="P187"/>
      <c r="Q187"/>
      <c r="R187"/>
      <c r="S187"/>
      <c r="T187"/>
      <c r="U187"/>
    </row>
    <row r="188" spans="15:21" ht="15" x14ac:dyDescent="0.25">
      <c r="O188"/>
      <c r="P188"/>
      <c r="Q188"/>
      <c r="R188"/>
      <c r="S188"/>
      <c r="T188"/>
      <c r="U188"/>
    </row>
    <row r="189" spans="15:21" ht="15" x14ac:dyDescent="0.25">
      <c r="O189"/>
      <c r="P189"/>
      <c r="Q189"/>
      <c r="R189"/>
      <c r="S189"/>
      <c r="T189"/>
      <c r="U189"/>
    </row>
    <row r="190" spans="15:21" ht="15" x14ac:dyDescent="0.25">
      <c r="O190"/>
      <c r="P190"/>
      <c r="Q190"/>
      <c r="R190"/>
      <c r="S190"/>
      <c r="T190"/>
      <c r="U190"/>
    </row>
    <row r="191" spans="15:21" ht="15" x14ac:dyDescent="0.25">
      <c r="O191"/>
      <c r="P191"/>
      <c r="Q191"/>
      <c r="R191"/>
      <c r="S191"/>
      <c r="T191"/>
      <c r="U191"/>
    </row>
    <row r="192" spans="15:21" ht="15" x14ac:dyDescent="0.25">
      <c r="O192"/>
      <c r="P192"/>
      <c r="Q192"/>
      <c r="R192"/>
      <c r="S192"/>
      <c r="T192"/>
      <c r="U192"/>
    </row>
    <row r="193" spans="15:21" ht="15" x14ac:dyDescent="0.25">
      <c r="O193"/>
      <c r="P193"/>
      <c r="Q193"/>
      <c r="R193"/>
      <c r="S193"/>
      <c r="T193"/>
      <c r="U193"/>
    </row>
    <row r="194" spans="15:21" ht="15" x14ac:dyDescent="0.25">
      <c r="O194"/>
      <c r="P194"/>
      <c r="Q194"/>
      <c r="R194"/>
      <c r="S194"/>
      <c r="T194"/>
      <c r="U194"/>
    </row>
    <row r="195" spans="15:21" ht="15" x14ac:dyDescent="0.25">
      <c r="O195"/>
      <c r="P195"/>
      <c r="Q195"/>
      <c r="R195"/>
      <c r="S195"/>
      <c r="T195"/>
      <c r="U195"/>
    </row>
    <row r="196" spans="15:21" ht="15" x14ac:dyDescent="0.25">
      <c r="O196"/>
      <c r="P196"/>
      <c r="Q196"/>
      <c r="R196"/>
      <c r="S196"/>
      <c r="T196"/>
      <c r="U196"/>
    </row>
    <row r="197" spans="15:21" ht="15" x14ac:dyDescent="0.25">
      <c r="O197"/>
      <c r="P197"/>
      <c r="Q197"/>
      <c r="R197"/>
      <c r="S197"/>
      <c r="T197"/>
      <c r="U197"/>
    </row>
    <row r="198" spans="15:21" ht="15" x14ac:dyDescent="0.25">
      <c r="O198"/>
      <c r="P198"/>
      <c r="Q198"/>
      <c r="R198"/>
      <c r="S198"/>
      <c r="T198"/>
      <c r="U198"/>
    </row>
    <row r="199" spans="15:21" ht="15" x14ac:dyDescent="0.25">
      <c r="O199"/>
      <c r="P199"/>
      <c r="Q199"/>
      <c r="R199"/>
      <c r="S199"/>
      <c r="T199"/>
      <c r="U199"/>
    </row>
    <row r="200" spans="15:21" ht="15" x14ac:dyDescent="0.25">
      <c r="O200"/>
      <c r="P200"/>
      <c r="Q200"/>
      <c r="R200"/>
      <c r="S200"/>
      <c r="T200"/>
      <c r="U200"/>
    </row>
    <row r="201" spans="15:21" ht="15" x14ac:dyDescent="0.25">
      <c r="O201"/>
      <c r="P201"/>
      <c r="Q201"/>
      <c r="R201"/>
      <c r="S201"/>
      <c r="T201"/>
      <c r="U201"/>
    </row>
    <row r="202" spans="15:21" ht="15" x14ac:dyDescent="0.25">
      <c r="O202"/>
      <c r="P202"/>
      <c r="Q202"/>
      <c r="R202"/>
      <c r="S202"/>
      <c r="T202"/>
      <c r="U202"/>
    </row>
    <row r="203" spans="15:21" ht="15" x14ac:dyDescent="0.25">
      <c r="O203"/>
      <c r="P203"/>
      <c r="Q203"/>
      <c r="R203"/>
      <c r="S203"/>
      <c r="T203"/>
      <c r="U203"/>
    </row>
    <row r="204" spans="15:21" ht="15" x14ac:dyDescent="0.25">
      <c r="O204"/>
      <c r="P204"/>
      <c r="Q204"/>
      <c r="R204"/>
      <c r="S204"/>
      <c r="T204"/>
      <c r="U204"/>
    </row>
    <row r="205" spans="15:21" ht="15" x14ac:dyDescent="0.25">
      <c r="O205"/>
      <c r="P205"/>
      <c r="Q205"/>
      <c r="R205"/>
      <c r="S205"/>
      <c r="T205"/>
      <c r="U205"/>
    </row>
    <row r="206" spans="15:21" ht="15" x14ac:dyDescent="0.25">
      <c r="O206"/>
      <c r="P206"/>
      <c r="Q206"/>
      <c r="R206"/>
      <c r="S206"/>
      <c r="T206"/>
      <c r="U206"/>
    </row>
    <row r="207" spans="15:21" ht="15" x14ac:dyDescent="0.25">
      <c r="O207"/>
      <c r="P207"/>
      <c r="Q207"/>
      <c r="R207"/>
      <c r="S207"/>
      <c r="T207"/>
      <c r="U207"/>
    </row>
    <row r="208" spans="15:21" ht="15" x14ac:dyDescent="0.25">
      <c r="O208"/>
      <c r="P208"/>
      <c r="Q208"/>
      <c r="R208"/>
      <c r="S208"/>
      <c r="T208"/>
      <c r="U208"/>
    </row>
    <row r="209" spans="15:21" ht="15" x14ac:dyDescent="0.25">
      <c r="O209"/>
      <c r="P209"/>
      <c r="Q209"/>
      <c r="R209"/>
      <c r="S209"/>
      <c r="T209"/>
      <c r="U209"/>
    </row>
    <row r="210" spans="15:21" ht="15" x14ac:dyDescent="0.25">
      <c r="O210"/>
      <c r="P210"/>
      <c r="Q210"/>
      <c r="R210"/>
      <c r="S210"/>
      <c r="T210"/>
      <c r="U210"/>
    </row>
    <row r="211" spans="15:21" ht="15" x14ac:dyDescent="0.25">
      <c r="O211"/>
      <c r="P211"/>
      <c r="Q211"/>
      <c r="R211"/>
      <c r="S211"/>
      <c r="T211"/>
      <c r="U211"/>
    </row>
    <row r="212" spans="15:21" ht="15" x14ac:dyDescent="0.25">
      <c r="O212"/>
      <c r="P212"/>
      <c r="Q212"/>
      <c r="R212"/>
      <c r="S212"/>
      <c r="T212"/>
      <c r="U212"/>
    </row>
    <row r="213" spans="15:21" ht="15" x14ac:dyDescent="0.25">
      <c r="O213"/>
      <c r="P213"/>
      <c r="Q213"/>
      <c r="R213"/>
      <c r="S213"/>
      <c r="T213"/>
      <c r="U213"/>
    </row>
    <row r="214" spans="15:21" ht="15" x14ac:dyDescent="0.25">
      <c r="O214"/>
      <c r="P214"/>
      <c r="Q214"/>
      <c r="R214"/>
      <c r="S214"/>
      <c r="T214"/>
      <c r="U214"/>
    </row>
    <row r="215" spans="15:21" ht="15" x14ac:dyDescent="0.25">
      <c r="O215"/>
      <c r="P215"/>
      <c r="Q215"/>
      <c r="R215"/>
      <c r="S215"/>
      <c r="T215"/>
      <c r="U215"/>
    </row>
    <row r="216" spans="15:21" ht="15" x14ac:dyDescent="0.25">
      <c r="O216"/>
      <c r="P216"/>
      <c r="Q216"/>
      <c r="R216"/>
      <c r="S216"/>
      <c r="T216"/>
      <c r="U216"/>
    </row>
    <row r="217" spans="15:21" ht="15" x14ac:dyDescent="0.25">
      <c r="O217"/>
      <c r="P217"/>
      <c r="Q217"/>
      <c r="R217"/>
      <c r="S217"/>
      <c r="T217"/>
      <c r="U217"/>
    </row>
    <row r="218" spans="15:21" ht="15" x14ac:dyDescent="0.25">
      <c r="O218"/>
      <c r="P218"/>
      <c r="Q218"/>
      <c r="R218"/>
      <c r="S218"/>
      <c r="T218"/>
      <c r="U218"/>
    </row>
    <row r="219" spans="15:21" ht="15" x14ac:dyDescent="0.25">
      <c r="O219"/>
      <c r="P219"/>
      <c r="Q219"/>
      <c r="R219"/>
      <c r="S219"/>
      <c r="T219"/>
      <c r="U219"/>
    </row>
    <row r="220" spans="15:21" ht="15" x14ac:dyDescent="0.25">
      <c r="O220"/>
      <c r="P220"/>
      <c r="Q220"/>
      <c r="R220"/>
      <c r="S220"/>
      <c r="T220"/>
      <c r="U220"/>
    </row>
    <row r="221" spans="15:21" ht="15" x14ac:dyDescent="0.25">
      <c r="O221"/>
      <c r="P221"/>
      <c r="Q221"/>
      <c r="R221"/>
      <c r="S221"/>
      <c r="T221"/>
      <c r="U221"/>
    </row>
    <row r="222" spans="15:21" ht="15" x14ac:dyDescent="0.25">
      <c r="O222"/>
      <c r="P222"/>
      <c r="Q222"/>
      <c r="R222"/>
      <c r="S222"/>
      <c r="T222"/>
      <c r="U222"/>
    </row>
    <row r="223" spans="15:21" ht="15" x14ac:dyDescent="0.25">
      <c r="O223"/>
      <c r="P223"/>
      <c r="Q223"/>
      <c r="R223"/>
      <c r="S223"/>
      <c r="T223"/>
      <c r="U223"/>
    </row>
    <row r="224" spans="15:21" ht="15" x14ac:dyDescent="0.25">
      <c r="O224"/>
      <c r="P224"/>
      <c r="Q224"/>
      <c r="R224"/>
      <c r="S224"/>
      <c r="T224"/>
      <c r="U224"/>
    </row>
    <row r="225" spans="15:21" ht="15" x14ac:dyDescent="0.25">
      <c r="O225"/>
      <c r="P225"/>
      <c r="Q225"/>
      <c r="R225"/>
      <c r="S225"/>
      <c r="T225"/>
      <c r="U225"/>
    </row>
    <row r="226" spans="15:21" ht="15" x14ac:dyDescent="0.25">
      <c r="O226"/>
      <c r="P226"/>
      <c r="Q226"/>
      <c r="R226"/>
      <c r="S226"/>
      <c r="T226"/>
      <c r="U226"/>
    </row>
    <row r="227" spans="15:21" ht="15" x14ac:dyDescent="0.25">
      <c r="O227"/>
      <c r="P227"/>
      <c r="Q227"/>
      <c r="R227"/>
      <c r="S227"/>
      <c r="T227"/>
      <c r="U227"/>
    </row>
    <row r="228" spans="15:21" ht="15" x14ac:dyDescent="0.25">
      <c r="O228"/>
      <c r="P228"/>
      <c r="Q228"/>
      <c r="R228"/>
      <c r="S228"/>
      <c r="T228"/>
      <c r="U228"/>
    </row>
    <row r="229" spans="15:21" ht="15" x14ac:dyDescent="0.25">
      <c r="O229"/>
      <c r="P229"/>
      <c r="Q229"/>
      <c r="R229"/>
      <c r="S229"/>
      <c r="T229"/>
      <c r="U229"/>
    </row>
    <row r="230" spans="15:21" ht="15" x14ac:dyDescent="0.25">
      <c r="O230"/>
      <c r="P230"/>
      <c r="Q230"/>
      <c r="R230"/>
      <c r="S230"/>
      <c r="T230"/>
      <c r="U230"/>
    </row>
    <row r="231" spans="15:21" ht="15" x14ac:dyDescent="0.25">
      <c r="O231"/>
      <c r="P231"/>
      <c r="Q231"/>
      <c r="R231"/>
      <c r="S231"/>
      <c r="T231"/>
      <c r="U231"/>
    </row>
    <row r="232" spans="15:21" ht="15" x14ac:dyDescent="0.25">
      <c r="O232"/>
      <c r="P232"/>
      <c r="Q232"/>
      <c r="R232"/>
      <c r="S232"/>
      <c r="T232"/>
      <c r="U232"/>
    </row>
    <row r="233" spans="15:21" ht="15" x14ac:dyDescent="0.25">
      <c r="O233"/>
      <c r="P233"/>
      <c r="Q233"/>
      <c r="R233"/>
      <c r="S233"/>
      <c r="T233"/>
      <c r="U233"/>
    </row>
    <row r="234" spans="15:21" ht="15" x14ac:dyDescent="0.25">
      <c r="O234"/>
      <c r="P234"/>
      <c r="Q234"/>
      <c r="R234"/>
      <c r="S234"/>
      <c r="T234"/>
      <c r="U234"/>
    </row>
    <row r="235" spans="15:21" ht="15" x14ac:dyDescent="0.25">
      <c r="O235"/>
      <c r="P235"/>
      <c r="Q235"/>
      <c r="R235"/>
      <c r="S235"/>
      <c r="T235"/>
      <c r="U235"/>
    </row>
    <row r="236" spans="15:21" ht="15" x14ac:dyDescent="0.25">
      <c r="O236"/>
      <c r="P236"/>
      <c r="Q236"/>
      <c r="R236"/>
      <c r="S236"/>
      <c r="T236"/>
      <c r="U236"/>
    </row>
    <row r="237" spans="15:21" ht="15" x14ac:dyDescent="0.25">
      <c r="O237"/>
      <c r="P237"/>
      <c r="Q237"/>
      <c r="R237"/>
      <c r="S237"/>
      <c r="T237"/>
      <c r="U237"/>
    </row>
    <row r="238" spans="15:21" ht="15" x14ac:dyDescent="0.25">
      <c r="O238"/>
      <c r="P238"/>
      <c r="Q238"/>
      <c r="R238"/>
      <c r="S238"/>
      <c r="T238"/>
      <c r="U238"/>
    </row>
    <row r="239" spans="15:21" ht="15" x14ac:dyDescent="0.25">
      <c r="O239"/>
      <c r="P239"/>
      <c r="Q239"/>
      <c r="R239"/>
      <c r="S239"/>
      <c r="T239"/>
      <c r="U239"/>
    </row>
    <row r="240" spans="15:21" ht="15" x14ac:dyDescent="0.25">
      <c r="O240"/>
      <c r="P240"/>
      <c r="Q240"/>
      <c r="R240"/>
      <c r="S240"/>
      <c r="T240"/>
      <c r="U240"/>
    </row>
    <row r="241" spans="15:21" ht="15" x14ac:dyDescent="0.25">
      <c r="O241"/>
      <c r="P241"/>
      <c r="Q241"/>
      <c r="R241"/>
      <c r="S241"/>
      <c r="T241"/>
      <c r="U241"/>
    </row>
    <row r="242" spans="15:21" ht="15" x14ac:dyDescent="0.25">
      <c r="O242"/>
      <c r="P242"/>
      <c r="Q242"/>
      <c r="R242"/>
      <c r="S242"/>
      <c r="T242"/>
      <c r="U242"/>
    </row>
    <row r="243" spans="15:21" ht="15" x14ac:dyDescent="0.25">
      <c r="O243"/>
      <c r="P243"/>
      <c r="Q243"/>
      <c r="R243"/>
      <c r="S243"/>
      <c r="T243"/>
      <c r="U243"/>
    </row>
    <row r="244" spans="15:21" ht="15" x14ac:dyDescent="0.25">
      <c r="O244"/>
      <c r="P244"/>
      <c r="Q244"/>
      <c r="R244"/>
      <c r="S244"/>
      <c r="T244"/>
      <c r="U244"/>
    </row>
    <row r="245" spans="15:21" ht="15" x14ac:dyDescent="0.25">
      <c r="O245"/>
      <c r="P245"/>
      <c r="Q245"/>
      <c r="R245"/>
      <c r="S245"/>
      <c r="T245"/>
      <c r="U245"/>
    </row>
    <row r="246" spans="15:21" ht="15" x14ac:dyDescent="0.25">
      <c r="O246"/>
      <c r="P246"/>
      <c r="Q246"/>
      <c r="R246"/>
      <c r="S246"/>
      <c r="T246"/>
      <c r="U246"/>
    </row>
    <row r="247" spans="15:21" ht="15" x14ac:dyDescent="0.25">
      <c r="O247"/>
      <c r="P247"/>
      <c r="Q247"/>
      <c r="R247"/>
      <c r="S247"/>
      <c r="T247"/>
      <c r="U247"/>
    </row>
    <row r="248" spans="15:21" ht="15" x14ac:dyDescent="0.25">
      <c r="O248"/>
      <c r="P248"/>
      <c r="Q248"/>
      <c r="R248"/>
      <c r="S248"/>
      <c r="T248"/>
      <c r="U248"/>
    </row>
    <row r="249" spans="15:21" ht="15" x14ac:dyDescent="0.25">
      <c r="O249"/>
      <c r="P249"/>
      <c r="Q249"/>
      <c r="R249"/>
      <c r="S249"/>
      <c r="T249"/>
      <c r="U249"/>
    </row>
    <row r="250" spans="15:21" ht="15" x14ac:dyDescent="0.25">
      <c r="O250"/>
      <c r="P250"/>
      <c r="Q250"/>
      <c r="R250"/>
      <c r="S250"/>
      <c r="T250"/>
      <c r="U250"/>
    </row>
    <row r="251" spans="15:21" ht="15" x14ac:dyDescent="0.25">
      <c r="O251"/>
      <c r="P251"/>
      <c r="Q251"/>
      <c r="R251"/>
      <c r="S251"/>
      <c r="T251"/>
      <c r="U251"/>
    </row>
    <row r="252" spans="15:21" ht="15" x14ac:dyDescent="0.25">
      <c r="O252"/>
      <c r="P252"/>
      <c r="Q252"/>
      <c r="R252"/>
      <c r="S252"/>
      <c r="T252"/>
      <c r="U252"/>
    </row>
    <row r="253" spans="15:21" ht="15" x14ac:dyDescent="0.25">
      <c r="O253"/>
      <c r="P253"/>
      <c r="Q253"/>
      <c r="R253"/>
      <c r="S253"/>
      <c r="T253"/>
      <c r="U253"/>
    </row>
    <row r="254" spans="15:21" ht="15" x14ac:dyDescent="0.25">
      <c r="O254"/>
      <c r="P254"/>
      <c r="Q254"/>
      <c r="R254"/>
      <c r="S254"/>
      <c r="T254"/>
      <c r="U254"/>
    </row>
    <row r="255" spans="15:21" ht="15" x14ac:dyDescent="0.25">
      <c r="O255"/>
      <c r="P255"/>
      <c r="Q255"/>
      <c r="R255"/>
      <c r="S255"/>
      <c r="T255"/>
      <c r="U255"/>
    </row>
    <row r="256" spans="15:21" ht="15" x14ac:dyDescent="0.25">
      <c r="O256"/>
      <c r="P256"/>
      <c r="Q256"/>
      <c r="R256"/>
      <c r="S256"/>
      <c r="T256"/>
      <c r="U256"/>
    </row>
    <row r="257" spans="15:21" ht="15" x14ac:dyDescent="0.25">
      <c r="O257"/>
      <c r="P257"/>
      <c r="Q257"/>
      <c r="R257"/>
      <c r="S257"/>
      <c r="T257"/>
      <c r="U257"/>
    </row>
    <row r="258" spans="15:21" ht="15" x14ac:dyDescent="0.25">
      <c r="O258"/>
      <c r="P258"/>
      <c r="Q258"/>
      <c r="R258"/>
      <c r="S258"/>
      <c r="T258"/>
      <c r="U258"/>
    </row>
    <row r="259" spans="15:21" ht="15" x14ac:dyDescent="0.25">
      <c r="O259"/>
      <c r="P259"/>
      <c r="Q259"/>
      <c r="R259"/>
      <c r="S259"/>
      <c r="T259"/>
      <c r="U259"/>
    </row>
    <row r="260" spans="15:21" ht="15" x14ac:dyDescent="0.25">
      <c r="O260"/>
      <c r="P260"/>
      <c r="Q260"/>
      <c r="R260"/>
      <c r="S260"/>
      <c r="T260"/>
      <c r="U260"/>
    </row>
    <row r="261" spans="15:21" ht="15" x14ac:dyDescent="0.25">
      <c r="O261"/>
      <c r="P261"/>
      <c r="Q261"/>
      <c r="R261"/>
      <c r="S261"/>
      <c r="T261"/>
      <c r="U261"/>
    </row>
    <row r="262" spans="15:21" ht="15" x14ac:dyDescent="0.25">
      <c r="O262"/>
      <c r="P262"/>
      <c r="Q262"/>
      <c r="R262"/>
      <c r="S262"/>
      <c r="T262"/>
      <c r="U262"/>
    </row>
    <row r="263" spans="15:21" ht="15" x14ac:dyDescent="0.25">
      <c r="O263"/>
      <c r="P263"/>
      <c r="Q263"/>
      <c r="R263"/>
      <c r="S263"/>
      <c r="T263"/>
      <c r="U263"/>
    </row>
    <row r="264" spans="15:21" ht="15" x14ac:dyDescent="0.25">
      <c r="O264"/>
      <c r="P264"/>
      <c r="Q264"/>
      <c r="R264"/>
      <c r="S264"/>
      <c r="T264"/>
      <c r="U264"/>
    </row>
    <row r="265" spans="15:21" ht="15" x14ac:dyDescent="0.25">
      <c r="O265"/>
      <c r="P265"/>
      <c r="Q265"/>
      <c r="R265"/>
      <c r="S265"/>
      <c r="T265"/>
      <c r="U265"/>
    </row>
    <row r="266" spans="15:21" ht="15" x14ac:dyDescent="0.25">
      <c r="O266"/>
      <c r="P266"/>
      <c r="Q266"/>
      <c r="R266"/>
      <c r="S266"/>
      <c r="T266"/>
      <c r="U266"/>
    </row>
    <row r="267" spans="15:21" ht="15" x14ac:dyDescent="0.25">
      <c r="O267"/>
      <c r="P267"/>
      <c r="Q267"/>
      <c r="R267"/>
      <c r="S267"/>
      <c r="T267"/>
      <c r="U267"/>
    </row>
    <row r="268" spans="15:21" ht="15" x14ac:dyDescent="0.25">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sqref="A1:G1"/>
    </sheetView>
  </sheetViews>
  <sheetFormatPr defaultColWidth="8.7109375" defaultRowHeight="12.75" x14ac:dyDescent="0.2"/>
  <cols>
    <col min="1" max="2" width="12" style="6" customWidth="1"/>
    <col min="3" max="6" width="13.7109375" style="6" customWidth="1"/>
    <col min="7" max="7" width="13.28515625" style="6" customWidth="1"/>
    <col min="8" max="8" width="12.7109375" style="6" bestFit="1" customWidth="1"/>
    <col min="9" max="9" width="8.7109375" style="6"/>
    <col min="10" max="10" width="12" style="6" customWidth="1"/>
    <col min="11" max="11" width="14.140625" style="6" customWidth="1"/>
    <col min="12" max="12" width="10.28515625" style="6" customWidth="1"/>
    <col min="13" max="27" width="5.7109375" style="6" customWidth="1"/>
    <col min="28" max="16384" width="8.7109375" style="6"/>
  </cols>
  <sheetData>
    <row r="1" spans="1:28" ht="28.9" customHeight="1" x14ac:dyDescent="0.25">
      <c r="A1" s="419" t="str">
        <f>"% of Floor Area per CZ and Vintage Bin - Schools"</f>
        <v>% of Floor Area per CZ and Vintage Bin - Schools</v>
      </c>
      <c r="B1" s="419"/>
      <c r="C1" s="419"/>
      <c r="D1" s="419"/>
      <c r="E1" s="419"/>
      <c r="F1" s="419"/>
      <c r="G1" s="419"/>
      <c r="J1"/>
      <c r="K1"/>
      <c r="L1"/>
      <c r="M1"/>
      <c r="N1"/>
      <c r="O1"/>
      <c r="P1"/>
      <c r="Q1"/>
      <c r="R1"/>
      <c r="S1"/>
      <c r="T1"/>
      <c r="U1"/>
      <c r="V1"/>
      <c r="W1"/>
      <c r="X1"/>
      <c r="Y1"/>
      <c r="Z1"/>
      <c r="AA1"/>
      <c r="AB1"/>
    </row>
    <row r="2" spans="1:28" ht="21" customHeight="1" x14ac:dyDescent="0.25">
      <c r="A2" s="533" t="s">
        <v>5</v>
      </c>
      <c r="B2" s="533" t="s">
        <v>402</v>
      </c>
      <c r="C2" s="530" t="s">
        <v>405</v>
      </c>
      <c r="D2" s="531"/>
      <c r="E2" s="531"/>
      <c r="F2" s="531"/>
      <c r="G2" s="532"/>
      <c r="J2"/>
      <c r="K2"/>
      <c r="L2"/>
      <c r="M2"/>
      <c r="N2"/>
      <c r="O2"/>
      <c r="P2"/>
      <c r="Q2"/>
      <c r="R2"/>
      <c r="S2"/>
      <c r="T2"/>
      <c r="U2"/>
      <c r="V2"/>
      <c r="W2"/>
      <c r="X2"/>
      <c r="Y2"/>
      <c r="Z2"/>
      <c r="AA2"/>
      <c r="AB2"/>
    </row>
    <row r="3" spans="1:28" ht="21" customHeight="1" x14ac:dyDescent="0.25">
      <c r="A3" s="534"/>
      <c r="B3" s="534"/>
      <c r="C3" s="304" t="s">
        <v>406</v>
      </c>
      <c r="D3" s="304" t="s">
        <v>171</v>
      </c>
      <c r="E3" s="304" t="s">
        <v>173</v>
      </c>
      <c r="F3" s="304" t="s">
        <v>175</v>
      </c>
      <c r="G3" s="304" t="s">
        <v>407</v>
      </c>
      <c r="J3"/>
      <c r="K3"/>
      <c r="L3"/>
      <c r="M3"/>
      <c r="N3"/>
      <c r="O3"/>
      <c r="P3"/>
      <c r="Q3"/>
      <c r="R3"/>
      <c r="S3"/>
      <c r="T3"/>
      <c r="U3"/>
      <c r="V3"/>
      <c r="W3"/>
      <c r="X3"/>
      <c r="Y3"/>
      <c r="Z3"/>
      <c r="AA3"/>
      <c r="AB3"/>
    </row>
    <row r="4" spans="1:28" ht="16.899999999999999" customHeight="1" x14ac:dyDescent="0.25">
      <c r="A4" s="528" t="str">
        <f>Prototype!B4</f>
        <v>Large School</v>
      </c>
      <c r="B4" s="117">
        <v>1</v>
      </c>
      <c r="C4" s="303">
        <v>0.48499999999999999</v>
      </c>
      <c r="D4" s="303">
        <v>0.27400000000000002</v>
      </c>
      <c r="E4" s="303">
        <v>7.5999999999999998E-2</v>
      </c>
      <c r="F4" s="303">
        <v>2.9000000000000001E-2</v>
      </c>
      <c r="G4" s="57">
        <v>0.13600000000000001</v>
      </c>
      <c r="H4" s="65">
        <f>SUM(C4:G4)</f>
        <v>1</v>
      </c>
      <c r="J4"/>
      <c r="K4"/>
      <c r="L4"/>
      <c r="M4"/>
      <c r="N4"/>
      <c r="O4"/>
      <c r="P4"/>
      <c r="Q4"/>
      <c r="R4"/>
      <c r="S4"/>
      <c r="T4"/>
      <c r="U4"/>
      <c r="V4"/>
      <c r="W4"/>
      <c r="X4"/>
      <c r="Y4"/>
      <c r="Z4"/>
      <c r="AA4"/>
      <c r="AB4"/>
    </row>
    <row r="5" spans="1:28" ht="16.899999999999999" customHeight="1" x14ac:dyDescent="0.25">
      <c r="A5" s="529"/>
      <c r="B5" s="39">
        <v>2</v>
      </c>
      <c r="C5" s="40">
        <v>0.85799999999999998</v>
      </c>
      <c r="D5" s="40">
        <v>7.0000000000000007E-2</v>
      </c>
      <c r="E5" s="40">
        <v>3.7999999999999999E-2</v>
      </c>
      <c r="F5" s="40">
        <v>1.4E-2</v>
      </c>
      <c r="G5" s="50">
        <v>0.02</v>
      </c>
      <c r="H5" s="65">
        <f t="shared" ref="H5:H19" si="0">SUM(C5:G5)</f>
        <v>1</v>
      </c>
      <c r="J5"/>
      <c r="K5"/>
      <c r="L5"/>
      <c r="M5"/>
      <c r="N5"/>
      <c r="O5"/>
      <c r="P5"/>
      <c r="Q5"/>
      <c r="R5"/>
      <c r="S5"/>
      <c r="T5"/>
      <c r="U5"/>
      <c r="V5"/>
      <c r="W5"/>
      <c r="X5"/>
      <c r="Y5"/>
      <c r="Z5"/>
      <c r="AA5"/>
      <c r="AB5"/>
    </row>
    <row r="6" spans="1:28" ht="16.899999999999999" customHeight="1" x14ac:dyDescent="0.25">
      <c r="A6" s="529"/>
      <c r="B6" s="39">
        <v>3</v>
      </c>
      <c r="C6" s="40">
        <v>0.66100000000000003</v>
      </c>
      <c r="D6" s="40">
        <v>0.20899999999999999</v>
      </c>
      <c r="E6" s="40">
        <v>1.4999999999999999E-2</v>
      </c>
      <c r="F6" s="40">
        <v>6.0000000000000001E-3</v>
      </c>
      <c r="G6" s="50">
        <v>0.109</v>
      </c>
      <c r="H6" s="65">
        <f t="shared" si="0"/>
        <v>1</v>
      </c>
      <c r="J6"/>
      <c r="K6"/>
      <c r="L6"/>
      <c r="M6"/>
      <c r="N6"/>
      <c r="O6"/>
      <c r="P6"/>
      <c r="Q6"/>
      <c r="R6"/>
      <c r="S6"/>
      <c r="T6"/>
      <c r="U6"/>
      <c r="V6"/>
      <c r="W6"/>
      <c r="X6"/>
      <c r="Y6"/>
      <c r="Z6"/>
      <c r="AA6"/>
      <c r="AB6"/>
    </row>
    <row r="7" spans="1:28" ht="16.899999999999999" customHeight="1" x14ac:dyDescent="0.25">
      <c r="A7" s="529"/>
      <c r="B7" s="39">
        <v>4</v>
      </c>
      <c r="C7" s="40">
        <v>0.68200000000000005</v>
      </c>
      <c r="D7" s="40">
        <v>0.17899999999999999</v>
      </c>
      <c r="E7" s="40">
        <v>8.9999999999999993E-3</v>
      </c>
      <c r="F7" s="40">
        <v>6.0000000000000001E-3</v>
      </c>
      <c r="G7" s="50">
        <v>0.124</v>
      </c>
      <c r="H7" s="65">
        <f t="shared" si="0"/>
        <v>1</v>
      </c>
      <c r="J7"/>
      <c r="K7"/>
      <c r="L7"/>
      <c r="M7"/>
      <c r="N7"/>
      <c r="O7"/>
      <c r="P7"/>
      <c r="Q7"/>
      <c r="R7"/>
      <c r="S7"/>
      <c r="T7"/>
      <c r="U7"/>
      <c r="V7"/>
      <c r="W7"/>
      <c r="X7"/>
      <c r="Y7"/>
      <c r="Z7"/>
      <c r="AA7"/>
      <c r="AB7"/>
    </row>
    <row r="8" spans="1:28" ht="16.899999999999999" customHeight="1" x14ac:dyDescent="0.25">
      <c r="A8" s="529"/>
      <c r="B8" s="39">
        <v>5</v>
      </c>
      <c r="C8" s="40">
        <v>0.53600000000000003</v>
      </c>
      <c r="D8" s="40">
        <v>0.42099999999999999</v>
      </c>
      <c r="E8" s="40">
        <v>2.4E-2</v>
      </c>
      <c r="F8" s="40">
        <v>8.0000000000000002E-3</v>
      </c>
      <c r="G8" s="50">
        <v>1.2E-2</v>
      </c>
      <c r="H8" s="65">
        <f t="shared" si="0"/>
        <v>1.0010000000000001</v>
      </c>
      <c r="J8"/>
      <c r="K8"/>
      <c r="L8"/>
      <c r="M8"/>
      <c r="N8"/>
      <c r="O8"/>
      <c r="P8"/>
      <c r="Q8"/>
      <c r="R8"/>
      <c r="S8"/>
      <c r="T8"/>
      <c r="U8"/>
      <c r="V8"/>
      <c r="W8"/>
      <c r="X8"/>
      <c r="Y8"/>
      <c r="Z8"/>
      <c r="AA8"/>
      <c r="AB8"/>
    </row>
    <row r="9" spans="1:28" ht="16.899999999999999" customHeight="1" x14ac:dyDescent="0.25">
      <c r="A9" s="529"/>
      <c r="B9" s="39">
        <v>6</v>
      </c>
      <c r="C9" s="40">
        <v>0.65700000000000003</v>
      </c>
      <c r="D9" s="40">
        <v>0.13900000000000001</v>
      </c>
      <c r="E9" s="40">
        <v>0.10299999999999999</v>
      </c>
      <c r="F9" s="40">
        <v>4.3999999999999997E-2</v>
      </c>
      <c r="G9" s="50">
        <v>5.8000000000000003E-2</v>
      </c>
      <c r="H9" s="65">
        <f t="shared" si="0"/>
        <v>1.0010000000000001</v>
      </c>
      <c r="J9"/>
      <c r="K9"/>
      <c r="L9"/>
      <c r="M9"/>
      <c r="N9"/>
      <c r="O9"/>
      <c r="P9"/>
      <c r="Q9"/>
      <c r="R9"/>
      <c r="S9"/>
      <c r="T9"/>
      <c r="U9"/>
      <c r="V9"/>
      <c r="W9"/>
      <c r="X9"/>
      <c r="Y9"/>
      <c r="Z9"/>
      <c r="AA9"/>
      <c r="AB9"/>
    </row>
    <row r="10" spans="1:28" ht="16.899999999999999" customHeight="1" x14ac:dyDescent="0.25">
      <c r="A10" s="529"/>
      <c r="B10" s="39">
        <v>7</v>
      </c>
      <c r="C10" s="40">
        <v>0.28799999999999998</v>
      </c>
      <c r="D10" s="40">
        <v>0.247</v>
      </c>
      <c r="E10" s="40">
        <v>0.188</v>
      </c>
      <c r="F10" s="40">
        <v>0.23499999999999999</v>
      </c>
      <c r="G10" s="50">
        <v>4.2000000000000003E-2</v>
      </c>
      <c r="H10" s="65">
        <f t="shared" si="0"/>
        <v>0.99999999999999989</v>
      </c>
      <c r="J10"/>
      <c r="K10"/>
      <c r="L10"/>
      <c r="M10"/>
      <c r="N10"/>
      <c r="O10"/>
      <c r="P10"/>
      <c r="Q10"/>
      <c r="R10"/>
      <c r="S10"/>
      <c r="T10"/>
      <c r="U10"/>
      <c r="V10"/>
      <c r="W10"/>
      <c r="X10"/>
      <c r="Y10"/>
      <c r="Z10"/>
      <c r="AA10"/>
      <c r="AB10"/>
    </row>
    <row r="11" spans="1:28" ht="16.899999999999999" customHeight="1" x14ac:dyDescent="0.25">
      <c r="A11" s="529"/>
      <c r="B11" s="39">
        <v>8</v>
      </c>
      <c r="C11" s="40">
        <v>0.66600000000000004</v>
      </c>
      <c r="D11" s="40">
        <v>0.125</v>
      </c>
      <c r="E11" s="40">
        <v>0.10299999999999999</v>
      </c>
      <c r="F11" s="40">
        <v>3.5999999999999997E-2</v>
      </c>
      <c r="G11" s="50">
        <v>7.0000000000000007E-2</v>
      </c>
      <c r="H11" s="65">
        <f t="shared" si="0"/>
        <v>1</v>
      </c>
      <c r="J11"/>
      <c r="K11"/>
      <c r="L11"/>
      <c r="M11"/>
      <c r="N11"/>
      <c r="O11"/>
      <c r="P11"/>
      <c r="Q11"/>
      <c r="R11"/>
      <c r="S11"/>
      <c r="T11"/>
      <c r="U11"/>
      <c r="V11"/>
      <c r="W11"/>
      <c r="X11"/>
      <c r="Y11"/>
      <c r="Z11"/>
      <c r="AA11"/>
      <c r="AB11"/>
    </row>
    <row r="12" spans="1:28" ht="16.899999999999999" customHeight="1" x14ac:dyDescent="0.2">
      <c r="A12" s="529"/>
      <c r="B12" s="39">
        <v>9</v>
      </c>
      <c r="C12" s="40">
        <v>0.60199999999999998</v>
      </c>
      <c r="D12" s="40">
        <v>0.152</v>
      </c>
      <c r="E12" s="40">
        <v>7.3999999999999996E-2</v>
      </c>
      <c r="F12" s="40">
        <v>0.02</v>
      </c>
      <c r="G12" s="50">
        <v>0.152</v>
      </c>
      <c r="H12" s="65">
        <f t="shared" si="0"/>
        <v>1</v>
      </c>
      <c r="J12" s="8"/>
      <c r="K12" s="63"/>
      <c r="L12" s="30"/>
      <c r="M12" s="30"/>
      <c r="N12" s="30"/>
      <c r="O12" s="30"/>
      <c r="P12" s="64"/>
    </row>
    <row r="13" spans="1:28" ht="16.899999999999999" customHeight="1" x14ac:dyDescent="0.2">
      <c r="A13" s="529"/>
      <c r="B13" s="39">
        <v>10</v>
      </c>
      <c r="C13" s="40">
        <v>0.32700000000000001</v>
      </c>
      <c r="D13" s="40">
        <v>0.20100000000000001</v>
      </c>
      <c r="E13" s="40">
        <v>0.317</v>
      </c>
      <c r="F13" s="40">
        <v>0.111</v>
      </c>
      <c r="G13" s="50">
        <v>4.3999999999999997E-2</v>
      </c>
      <c r="H13" s="65">
        <f t="shared" si="0"/>
        <v>1</v>
      </c>
      <c r="J13" s="8"/>
      <c r="K13" s="63"/>
      <c r="L13" s="30"/>
      <c r="M13" s="30"/>
      <c r="N13" s="30"/>
      <c r="O13" s="30"/>
      <c r="P13" s="64"/>
    </row>
    <row r="14" spans="1:28" ht="16.899999999999999" customHeight="1" x14ac:dyDescent="0.2">
      <c r="A14" s="529"/>
      <c r="B14" s="39">
        <v>11</v>
      </c>
      <c r="C14" s="40">
        <v>0.47499999999999998</v>
      </c>
      <c r="D14" s="40">
        <v>0.30499999999999999</v>
      </c>
      <c r="E14" s="40">
        <v>7.2999999999999995E-2</v>
      </c>
      <c r="F14" s="40">
        <v>1.7000000000000001E-2</v>
      </c>
      <c r="G14" s="50">
        <v>0.13100000000000001</v>
      </c>
      <c r="H14" s="65">
        <f t="shared" si="0"/>
        <v>1.0009999999999999</v>
      </c>
      <c r="J14" s="8"/>
      <c r="K14" s="63"/>
      <c r="L14" s="30"/>
      <c r="M14" s="30"/>
      <c r="N14" s="30"/>
      <c r="O14" s="30"/>
      <c r="P14" s="64"/>
    </row>
    <row r="15" spans="1:28" ht="16.899999999999999" customHeight="1" x14ac:dyDescent="0.2">
      <c r="A15" s="529"/>
      <c r="B15" s="39">
        <v>12</v>
      </c>
      <c r="C15" s="40">
        <v>0.44700000000000001</v>
      </c>
      <c r="D15" s="40">
        <v>0.31</v>
      </c>
      <c r="E15" s="40">
        <v>9.6000000000000002E-2</v>
      </c>
      <c r="F15" s="40">
        <v>2.8000000000000001E-2</v>
      </c>
      <c r="G15" s="50">
        <v>0.11799999999999999</v>
      </c>
      <c r="H15" s="65">
        <f t="shared" si="0"/>
        <v>0.999</v>
      </c>
      <c r="J15" s="8"/>
      <c r="K15" s="63"/>
      <c r="L15" s="30"/>
      <c r="M15" s="30"/>
      <c r="N15" s="30"/>
      <c r="O15" s="30"/>
      <c r="P15" s="64"/>
    </row>
    <row r="16" spans="1:28" ht="16.899999999999999" customHeight="1" x14ac:dyDescent="0.2">
      <c r="A16" s="529"/>
      <c r="B16" s="39">
        <v>13</v>
      </c>
      <c r="C16" s="40">
        <v>0.32300000000000001</v>
      </c>
      <c r="D16" s="40">
        <v>0.34699999999999998</v>
      </c>
      <c r="E16" s="40">
        <v>0.13700000000000001</v>
      </c>
      <c r="F16" s="40">
        <v>6.0999999999999999E-2</v>
      </c>
      <c r="G16" s="50">
        <v>0.13200000000000001</v>
      </c>
      <c r="H16" s="65">
        <f t="shared" si="0"/>
        <v>0.99999999999999989</v>
      </c>
      <c r="J16" s="8"/>
      <c r="K16" s="63"/>
      <c r="L16" s="30"/>
      <c r="M16" s="30"/>
      <c r="N16" s="30"/>
      <c r="O16" s="30"/>
      <c r="P16" s="64"/>
    </row>
    <row r="17" spans="1:16" ht="16.899999999999999" customHeight="1" x14ac:dyDescent="0.2">
      <c r="A17" s="529"/>
      <c r="B17" s="39">
        <v>14</v>
      </c>
      <c r="C17" s="40">
        <v>0.52300000000000002</v>
      </c>
      <c r="D17" s="40">
        <v>0.17899999999999999</v>
      </c>
      <c r="E17" s="40">
        <v>0.14299999999999999</v>
      </c>
      <c r="F17" s="40">
        <v>9.8000000000000004E-2</v>
      </c>
      <c r="G17" s="50">
        <v>5.7000000000000002E-2</v>
      </c>
      <c r="H17" s="65">
        <f t="shared" si="0"/>
        <v>1</v>
      </c>
      <c r="J17" s="8"/>
      <c r="K17" s="63"/>
      <c r="L17" s="30"/>
      <c r="M17" s="30"/>
      <c r="N17" s="30"/>
      <c r="O17" s="30"/>
      <c r="P17" s="64"/>
    </row>
    <row r="18" spans="1:16" ht="16.899999999999999" customHeight="1" x14ac:dyDescent="0.2">
      <c r="A18" s="529"/>
      <c r="B18" s="39">
        <v>15</v>
      </c>
      <c r="C18" s="40">
        <v>0.20499999999999999</v>
      </c>
      <c r="D18" s="40">
        <v>0.20399999999999999</v>
      </c>
      <c r="E18" s="40">
        <v>0.51</v>
      </c>
      <c r="F18" s="40">
        <v>4.7E-2</v>
      </c>
      <c r="G18" s="50">
        <v>3.3000000000000002E-2</v>
      </c>
      <c r="H18" s="65">
        <f t="shared" si="0"/>
        <v>0.99900000000000011</v>
      </c>
      <c r="J18" s="8"/>
      <c r="K18" s="63"/>
      <c r="L18" s="30"/>
      <c r="M18" s="30"/>
      <c r="N18" s="30"/>
      <c r="O18" s="30"/>
      <c r="P18" s="64"/>
    </row>
    <row r="19" spans="1:16" ht="16.899999999999999" customHeight="1" x14ac:dyDescent="0.2">
      <c r="A19" s="529"/>
      <c r="B19" s="39">
        <v>16</v>
      </c>
      <c r="C19" s="50">
        <v>0.44700000000000001</v>
      </c>
      <c r="D19" s="50">
        <v>0.23499999999999999</v>
      </c>
      <c r="E19" s="50">
        <v>0.127</v>
      </c>
      <c r="F19" s="50">
        <v>9.4E-2</v>
      </c>
      <c r="G19" s="50">
        <v>9.8000000000000004E-2</v>
      </c>
      <c r="H19" s="65">
        <f t="shared" si="0"/>
        <v>1.0009999999999999</v>
      </c>
      <c r="J19" s="8"/>
      <c r="K19" s="63"/>
      <c r="L19" s="30"/>
      <c r="M19" s="30"/>
      <c r="N19" s="30"/>
      <c r="O19" s="30"/>
      <c r="P19" s="64"/>
    </row>
    <row r="20" spans="1:16" x14ac:dyDescent="0.2">
      <c r="A20" s="529"/>
      <c r="B20" s="50" t="s">
        <v>253</v>
      </c>
      <c r="C20" s="50"/>
      <c r="D20" s="50"/>
      <c r="E20" s="50"/>
      <c r="F20" s="50"/>
      <c r="G20" s="50"/>
    </row>
    <row r="22" spans="1:16" x14ac:dyDescent="0.2">
      <c r="A22" s="6" t="s">
        <v>408</v>
      </c>
    </row>
    <row r="29" spans="1:16" s="24" customFormat="1" x14ac:dyDescent="0.2">
      <c r="A29" s="24" t="s">
        <v>140</v>
      </c>
      <c r="E29" s="25"/>
      <c r="F29" s="26"/>
      <c r="G29" s="27"/>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5" x14ac:dyDescent="0.25"/>
  <sheetData>
    <row r="1" spans="1:10" ht="21.6" customHeight="1" x14ac:dyDescent="0.25">
      <c r="A1" s="424" t="str">
        <f>"PV - "&amp;Prototype!A2</f>
        <v>PV - SchoolLarge</v>
      </c>
      <c r="B1" s="424"/>
      <c r="C1" s="424"/>
      <c r="D1" s="424"/>
      <c r="E1" s="424"/>
      <c r="F1" s="424"/>
      <c r="G1" s="424"/>
      <c r="H1" s="424"/>
      <c r="I1" s="424"/>
      <c r="J1" s="424"/>
    </row>
    <row r="2" spans="1:10" x14ac:dyDescent="0.25">
      <c r="A2" t="s">
        <v>409</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7109375" defaultRowHeight="12.75" x14ac:dyDescent="0.2"/>
  <cols>
    <col min="1" max="1" width="21" style="6" customWidth="1"/>
    <col min="2" max="2" width="14.28515625" style="6" customWidth="1"/>
    <col min="3" max="3" width="14.5703125" style="6" customWidth="1"/>
    <col min="4" max="8" width="8.7109375" style="6"/>
    <col min="9" max="9" width="13.7109375" style="6" customWidth="1"/>
    <col min="10" max="10" width="14.42578125" style="6" customWidth="1"/>
    <col min="11" max="16384" width="8.7109375" style="6"/>
  </cols>
  <sheetData>
    <row r="1" spans="1:8" ht="20.45" customHeight="1" x14ac:dyDescent="0.2">
      <c r="A1" s="535" t="str">
        <f>"EV Charger - "&amp;Prototype!A2</f>
        <v>EV Charger - SchoolLarge</v>
      </c>
      <c r="B1" s="535"/>
      <c r="C1" s="535"/>
      <c r="D1" s="535"/>
      <c r="E1" s="535"/>
      <c r="F1" s="535"/>
      <c r="G1" s="535"/>
      <c r="H1" s="535"/>
    </row>
    <row r="2" spans="1:8" ht="15" x14ac:dyDescent="0.25">
      <c r="A2" t="s">
        <v>409</v>
      </c>
      <c r="B2" s="46"/>
      <c r="C2" s="47"/>
      <c r="D2" s="48"/>
      <c r="E2" s="48"/>
    </row>
    <row r="3" spans="1:8" x14ac:dyDescent="0.2">
      <c r="A3" s="283"/>
      <c r="B3" s="299"/>
      <c r="C3" s="287"/>
      <c r="D3" s="49"/>
      <c r="E3" s="49"/>
    </row>
    <row r="11" spans="1:8" s="24" customFormat="1" hidden="1" x14ac:dyDescent="0.2">
      <c r="A11" s="24" t="s">
        <v>140</v>
      </c>
      <c r="E11" s="25"/>
      <c r="F11" s="26"/>
      <c r="G11" s="27"/>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79"/>
  <sheetViews>
    <sheetView workbookViewId="0"/>
  </sheetViews>
  <sheetFormatPr defaultRowHeight="15" x14ac:dyDescent="0.25"/>
  <cols>
    <col min="1" max="1" width="55.7109375" bestFit="1" customWidth="1"/>
  </cols>
  <sheetData>
    <row r="1" spans="1:1" x14ac:dyDescent="0.25">
      <c r="A1" t="s">
        <v>410</v>
      </c>
    </row>
    <row r="2" spans="1:1" x14ac:dyDescent="0.25">
      <c r="A2" s="207" t="s">
        <v>411</v>
      </c>
    </row>
    <row r="3" spans="1:1" x14ac:dyDescent="0.25">
      <c r="A3" s="207" t="s">
        <v>412</v>
      </c>
    </row>
    <row r="4" spans="1:1" x14ac:dyDescent="0.25">
      <c r="A4" s="208" t="s">
        <v>413</v>
      </c>
    </row>
    <row r="5" spans="1:1" x14ac:dyDescent="0.25">
      <c r="A5" s="208" t="s">
        <v>414</v>
      </c>
    </row>
    <row r="6" spans="1:1" x14ac:dyDescent="0.25">
      <c r="A6" s="208" t="s">
        <v>415</v>
      </c>
    </row>
    <row r="7" spans="1:1" x14ac:dyDescent="0.25">
      <c r="A7" s="208" t="s">
        <v>416</v>
      </c>
    </row>
    <row r="8" spans="1:1" x14ac:dyDescent="0.25">
      <c r="A8" s="208" t="s">
        <v>417</v>
      </c>
    </row>
    <row r="9" spans="1:1" x14ac:dyDescent="0.25">
      <c r="A9" s="208" t="s">
        <v>418</v>
      </c>
    </row>
    <row r="10" spans="1:1" x14ac:dyDescent="0.25">
      <c r="A10" s="208" t="s">
        <v>419</v>
      </c>
    </row>
    <row r="11" spans="1:1" x14ac:dyDescent="0.25">
      <c r="A11" s="208" t="s">
        <v>72</v>
      </c>
    </row>
    <row r="12" spans="1:1" x14ac:dyDescent="0.25">
      <c r="A12" s="208" t="s">
        <v>420</v>
      </c>
    </row>
    <row r="13" spans="1:1" x14ac:dyDescent="0.25">
      <c r="A13" s="208" t="s">
        <v>421</v>
      </c>
    </row>
    <row r="14" spans="1:1" x14ac:dyDescent="0.25">
      <c r="A14" s="207" t="s">
        <v>422</v>
      </c>
    </row>
    <row r="15" spans="1:1" x14ac:dyDescent="0.25">
      <c r="A15" s="207" t="s">
        <v>85</v>
      </c>
    </row>
    <row r="16" spans="1:1" x14ac:dyDescent="0.25">
      <c r="A16" s="207" t="s">
        <v>423</v>
      </c>
    </row>
    <row r="17" spans="1:1" x14ac:dyDescent="0.25">
      <c r="A17" s="207" t="s">
        <v>424</v>
      </c>
    </row>
    <row r="18" spans="1:1" x14ac:dyDescent="0.25">
      <c r="A18" s="207" t="s">
        <v>425</v>
      </c>
    </row>
    <row r="19" spans="1:1" x14ac:dyDescent="0.25">
      <c r="A19" s="207" t="s">
        <v>98</v>
      </c>
    </row>
    <row r="20" spans="1:1" x14ac:dyDescent="0.25">
      <c r="A20" s="207" t="s">
        <v>426</v>
      </c>
    </row>
    <row r="21" spans="1:1" x14ac:dyDescent="0.25">
      <c r="A21" s="207" t="s">
        <v>83</v>
      </c>
    </row>
    <row r="22" spans="1:1" x14ac:dyDescent="0.25">
      <c r="A22" s="207" t="s">
        <v>427</v>
      </c>
    </row>
    <row r="23" spans="1:1" x14ac:dyDescent="0.25">
      <c r="A23" s="207" t="s">
        <v>117</v>
      </c>
    </row>
    <row r="24" spans="1:1" x14ac:dyDescent="0.25">
      <c r="A24" s="207" t="s">
        <v>77</v>
      </c>
    </row>
    <row r="25" spans="1:1" x14ac:dyDescent="0.25">
      <c r="A25" s="207" t="s">
        <v>428</v>
      </c>
    </row>
    <row r="26" spans="1:1" x14ac:dyDescent="0.25">
      <c r="A26" s="207" t="s">
        <v>429</v>
      </c>
    </row>
    <row r="27" spans="1:1" x14ac:dyDescent="0.25">
      <c r="A27" s="207" t="s">
        <v>430</v>
      </c>
    </row>
    <row r="28" spans="1:1" x14ac:dyDescent="0.25">
      <c r="A28" s="207" t="s">
        <v>431</v>
      </c>
    </row>
    <row r="29" spans="1:1" x14ac:dyDescent="0.25">
      <c r="A29" s="207" t="s">
        <v>432</v>
      </c>
    </row>
    <row r="30" spans="1:1" x14ac:dyDescent="0.25">
      <c r="A30" s="207" t="s">
        <v>433</v>
      </c>
    </row>
    <row r="31" spans="1:1" x14ac:dyDescent="0.25">
      <c r="A31" s="207" t="s">
        <v>434</v>
      </c>
    </row>
    <row r="32" spans="1:1" x14ac:dyDescent="0.25">
      <c r="A32" s="207" t="s">
        <v>435</v>
      </c>
    </row>
    <row r="33" spans="1:1" x14ac:dyDescent="0.25">
      <c r="A33" s="208" t="s">
        <v>436</v>
      </c>
    </row>
    <row r="34" spans="1:1" x14ac:dyDescent="0.25">
      <c r="A34" s="208" t="s">
        <v>437</v>
      </c>
    </row>
    <row r="35" spans="1:1" x14ac:dyDescent="0.25">
      <c r="A35" s="208" t="s">
        <v>438</v>
      </c>
    </row>
    <row r="36" spans="1:1" x14ac:dyDescent="0.25">
      <c r="A36" s="208" t="s">
        <v>107</v>
      </c>
    </row>
    <row r="37" spans="1:1" x14ac:dyDescent="0.25">
      <c r="A37" s="208" t="s">
        <v>439</v>
      </c>
    </row>
    <row r="38" spans="1:1" x14ac:dyDescent="0.25">
      <c r="A38" s="208" t="s">
        <v>440</v>
      </c>
    </row>
    <row r="39" spans="1:1" x14ac:dyDescent="0.25">
      <c r="A39" s="208" t="s">
        <v>441</v>
      </c>
    </row>
    <row r="40" spans="1:1" x14ac:dyDescent="0.25">
      <c r="A40" s="208" t="s">
        <v>110</v>
      </c>
    </row>
    <row r="41" spans="1:1" x14ac:dyDescent="0.25">
      <c r="A41" s="208" t="s">
        <v>442</v>
      </c>
    </row>
    <row r="42" spans="1:1" x14ac:dyDescent="0.25">
      <c r="A42" s="208" t="s">
        <v>112</v>
      </c>
    </row>
    <row r="43" spans="1:1" x14ac:dyDescent="0.25">
      <c r="A43" s="208" t="s">
        <v>443</v>
      </c>
    </row>
    <row r="44" spans="1:1" x14ac:dyDescent="0.25">
      <c r="A44" s="208" t="s">
        <v>444</v>
      </c>
    </row>
    <row r="45" spans="1:1" x14ac:dyDescent="0.25">
      <c r="A45" s="208" t="s">
        <v>445</v>
      </c>
    </row>
    <row r="46" spans="1:1" x14ac:dyDescent="0.25">
      <c r="A46" s="208" t="s">
        <v>446</v>
      </c>
    </row>
    <row r="47" spans="1:1" x14ac:dyDescent="0.25">
      <c r="A47" s="208" t="s">
        <v>447</v>
      </c>
    </row>
    <row r="48" spans="1:1" x14ac:dyDescent="0.25">
      <c r="A48" s="208" t="s">
        <v>448</v>
      </c>
    </row>
    <row r="49" spans="1:1" x14ac:dyDescent="0.25">
      <c r="A49" s="208" t="s">
        <v>449</v>
      </c>
    </row>
    <row r="50" spans="1:1" x14ac:dyDescent="0.25">
      <c r="A50" s="208" t="s">
        <v>132</v>
      </c>
    </row>
    <row r="51" spans="1:1" x14ac:dyDescent="0.25">
      <c r="A51" s="208" t="s">
        <v>450</v>
      </c>
    </row>
    <row r="52" spans="1:1" x14ac:dyDescent="0.25">
      <c r="A52" s="208" t="s">
        <v>451</v>
      </c>
    </row>
    <row r="53" spans="1:1" x14ac:dyDescent="0.25">
      <c r="A53" s="208" t="s">
        <v>452</v>
      </c>
    </row>
    <row r="54" spans="1:1" x14ac:dyDescent="0.25">
      <c r="A54" s="208" t="s">
        <v>453</v>
      </c>
    </row>
    <row r="55" spans="1:1" x14ac:dyDescent="0.25">
      <c r="A55" s="208" t="s">
        <v>454</v>
      </c>
    </row>
    <row r="56" spans="1:1" x14ac:dyDescent="0.25">
      <c r="A56" s="208" t="s">
        <v>455</v>
      </c>
    </row>
    <row r="57" spans="1:1" x14ac:dyDescent="0.25">
      <c r="A57" s="207" t="s">
        <v>456</v>
      </c>
    </row>
    <row r="58" spans="1:1" x14ac:dyDescent="0.25">
      <c r="A58" s="208" t="s">
        <v>457</v>
      </c>
    </row>
    <row r="59" spans="1:1" x14ac:dyDescent="0.25">
      <c r="A59" s="208" t="s">
        <v>79</v>
      </c>
    </row>
    <row r="60" spans="1:1" x14ac:dyDescent="0.25">
      <c r="A60" s="208" t="s">
        <v>458</v>
      </c>
    </row>
    <row r="61" spans="1:1" x14ac:dyDescent="0.25">
      <c r="A61" s="208" t="s">
        <v>459</v>
      </c>
    </row>
    <row r="62" spans="1:1" x14ac:dyDescent="0.25">
      <c r="A62" s="208" t="s">
        <v>460</v>
      </c>
    </row>
    <row r="63" spans="1:1" x14ac:dyDescent="0.25">
      <c r="A63" s="207" t="s">
        <v>461</v>
      </c>
    </row>
    <row r="64" spans="1:1" x14ac:dyDescent="0.25">
      <c r="A64" s="207" t="s">
        <v>462</v>
      </c>
    </row>
    <row r="65" spans="1:1" x14ac:dyDescent="0.25">
      <c r="A65" s="207" t="s">
        <v>463</v>
      </c>
    </row>
    <row r="66" spans="1:1" x14ac:dyDescent="0.25">
      <c r="A66" s="207" t="s">
        <v>464</v>
      </c>
    </row>
    <row r="67" spans="1:1" x14ac:dyDescent="0.25">
      <c r="A67" s="207" t="s">
        <v>465</v>
      </c>
    </row>
    <row r="68" spans="1:1" x14ac:dyDescent="0.25">
      <c r="A68" s="207" t="s">
        <v>466</v>
      </c>
    </row>
    <row r="69" spans="1:1" x14ac:dyDescent="0.25">
      <c r="A69" s="207" t="s">
        <v>467</v>
      </c>
    </row>
    <row r="70" spans="1:1" x14ac:dyDescent="0.25">
      <c r="A70" s="207" t="s">
        <v>468</v>
      </c>
    </row>
    <row r="71" spans="1:1" x14ac:dyDescent="0.25">
      <c r="A71" s="208" t="s">
        <v>469</v>
      </c>
    </row>
    <row r="72" spans="1:1" x14ac:dyDescent="0.25">
      <c r="A72" s="208" t="s">
        <v>470</v>
      </c>
    </row>
    <row r="73" spans="1:1" x14ac:dyDescent="0.25">
      <c r="A73" s="208" t="s">
        <v>471</v>
      </c>
    </row>
    <row r="74" spans="1:1" x14ac:dyDescent="0.25">
      <c r="A74" s="208" t="s">
        <v>472</v>
      </c>
    </row>
    <row r="75" spans="1:1" x14ac:dyDescent="0.25">
      <c r="A75" s="208" t="s">
        <v>473</v>
      </c>
    </row>
    <row r="76" spans="1:1" x14ac:dyDescent="0.25">
      <c r="A76" s="208" t="s">
        <v>474</v>
      </c>
    </row>
    <row r="77" spans="1:1" x14ac:dyDescent="0.25">
      <c r="A77" s="208" t="s">
        <v>475</v>
      </c>
    </row>
    <row r="78" spans="1:1" x14ac:dyDescent="0.25">
      <c r="A78" t="s">
        <v>476</v>
      </c>
    </row>
    <row r="79" spans="1:1" x14ac:dyDescent="0.25">
      <c r="A79" t="s">
        <v>353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B422B7-56B4-42EA-BD0D-16788E4895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www.w3.org/XML/1998/namespace"/>
    <ds:schemaRef ds:uri="http://purl.org/dc/terms/"/>
    <ds:schemaRef ds:uri="http://purl.org/dc/elements/1.1/"/>
    <ds:schemaRef ds:uri="f3a47e91-274c-46a0-ba98-7b939b571e5b"/>
    <ds:schemaRef ds:uri="ea1b199f-450f-4d51-8ad4-88f218385cd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