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C:\Cursor\Scorecards cleanup- dictation and Spelling\V2.0-10272026\"/>
    </mc:Choice>
  </mc:AlternateContent>
  <xr:revisionPtr revIDLastSave="0" documentId="13_ncr:1_{789F1F1D-F42A-4479-966C-B36C8F0AFE1F}" xr6:coauthVersionLast="47" xr6:coauthVersionMax="47" xr10:uidLastSave="{00000000-0000-0000-0000-000000000000}"/>
  <bookViews>
    <workbookView xWindow="-120" yWindow="-16320" windowWidth="29040" windowHeight="15720" tabRatio="890" activeTab="1" xr2:uid="{EAC23EE3-0CA0-4FF8-990D-9B21A59FA3E0}"/>
  </bookViews>
  <sheets>
    <sheet name="Notes" sheetId="23" r:id="rId1"/>
    <sheet name="Prototype" sheetId="2" r:id="rId2"/>
    <sheet name="Zones" sheetId="13" r:id="rId3"/>
    <sheet name="Envelope" sheetId="1" r:id="rId4"/>
    <sheet name="HVAC System" sheetId="14" r:id="rId5"/>
    <sheet name="Thermostat" sheetId="31" r:id="rId6"/>
    <sheet name="Ventilation" sheetId="18" r:id="rId7"/>
    <sheet name="Water Heater" sheetId="33" r:id="rId8"/>
    <sheet name="Interior Lights" sheetId="25" r:id="rId9"/>
    <sheet name="Ext Lighting" sheetId="9" r:id="rId10"/>
    <sheet name="Equipment" sheetId="29" r:id="rId11"/>
    <sheet name="Schedules" sheetId="28" r:id="rId12"/>
    <sheet name="Weights" sheetId="21" r:id="rId13"/>
    <sheet name="Energy Usage" sheetId="20" r:id="rId14"/>
    <sheet name="PV" sheetId="27" state="hidden" r:id="rId15"/>
    <sheet name="EV Charger" sheetId="22" state="hidden" r:id="rId16"/>
    <sheet name="Data" sheetId="32" state="hidden" r:id="rId17"/>
  </sheets>
  <definedNames>
    <definedName name="_xlnm._FilterDatabase" localSheetId="2" hidden="1">Zones!$A$2:$AD$2</definedName>
    <definedName name="nonparticipating_forecastzone_scale_factor" localSheetId="7">#REF!</definedName>
    <definedName name="nonparticipating_forecastzone_scale_factor">'Energy Usage'!#REF!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25" l="1"/>
  <c r="C4" i="25"/>
  <c r="F10" i="25"/>
  <c r="C10" i="25"/>
  <c r="G35" i="1"/>
  <c r="G59" i="1"/>
  <c r="G53" i="1"/>
  <c r="G47" i="1"/>
  <c r="G41" i="1"/>
  <c r="AA56" i="1"/>
  <c r="AA57" i="1"/>
  <c r="AA58" i="1"/>
  <c r="AA50" i="1"/>
  <c r="AA51" i="1"/>
  <c r="AA52" i="1"/>
  <c r="AA44" i="1"/>
  <c r="AA45" i="1"/>
  <c r="AA38" i="1"/>
  <c r="AA39" i="1" s="1"/>
  <c r="AA32" i="1"/>
  <c r="AA33" i="1" s="1"/>
  <c r="J4" i="1"/>
  <c r="K4" i="1"/>
  <c r="L4" i="1"/>
  <c r="M4" i="1"/>
  <c r="N4" i="1"/>
  <c r="O4" i="1"/>
  <c r="P4" i="1"/>
  <c r="Q4" i="1"/>
  <c r="R4" i="1"/>
  <c r="S4" i="1"/>
  <c r="T4" i="1"/>
  <c r="U4" i="1"/>
  <c r="V4" i="1"/>
  <c r="W4" i="1"/>
  <c r="X4" i="1"/>
  <c r="I4" i="1"/>
  <c r="X75" i="1"/>
  <c r="W75" i="1"/>
  <c r="V75" i="1"/>
  <c r="U75" i="1"/>
  <c r="T75" i="1"/>
  <c r="S75" i="1"/>
  <c r="R75" i="1"/>
  <c r="Q75" i="1"/>
  <c r="P75" i="1"/>
  <c r="O75" i="1"/>
  <c r="N75" i="1"/>
  <c r="M75" i="1"/>
  <c r="L75" i="1"/>
  <c r="K75" i="1"/>
  <c r="J75" i="1"/>
  <c r="I75" i="1"/>
  <c r="H20" i="21"/>
  <c r="AB9" i="21"/>
  <c r="I3" i="1"/>
  <c r="AA60" i="1" l="1"/>
  <c r="I57" i="1" s="1"/>
  <c r="I55" i="1"/>
  <c r="I58" i="1"/>
  <c r="I59" i="1"/>
  <c r="I60" i="1"/>
  <c r="I56" i="1"/>
  <c r="AA54" i="1"/>
  <c r="I49" i="1" s="1"/>
  <c r="I53" i="1"/>
  <c r="I51" i="1"/>
  <c r="I52" i="1"/>
  <c r="I54" i="1"/>
  <c r="AA46" i="1"/>
  <c r="AA48" i="1" s="1"/>
  <c r="AA40" i="1"/>
  <c r="AA42" i="1" s="1"/>
  <c r="AA34" i="1"/>
  <c r="AA36" i="1" s="1"/>
  <c r="J3" i="1"/>
  <c r="K3" i="1"/>
  <c r="L3" i="1"/>
  <c r="M3" i="1"/>
  <c r="N3" i="1"/>
  <c r="O3" i="1"/>
  <c r="P3" i="1"/>
  <c r="Q3" i="1"/>
  <c r="R3" i="1"/>
  <c r="S3" i="1"/>
  <c r="T3" i="1"/>
  <c r="U3" i="1"/>
  <c r="V3" i="1"/>
  <c r="W3" i="1"/>
  <c r="X3" i="1"/>
  <c r="B73" i="1"/>
  <c r="I31" i="1" l="1"/>
  <c r="I32" i="1"/>
  <c r="I33" i="1"/>
  <c r="I36" i="1"/>
  <c r="I34" i="1"/>
  <c r="I39" i="1"/>
  <c r="I37" i="1"/>
  <c r="I41" i="1"/>
  <c r="I38" i="1"/>
  <c r="I40" i="1"/>
  <c r="I42" i="1"/>
  <c r="I35" i="1"/>
  <c r="I50" i="1"/>
  <c r="I47" i="1"/>
  <c r="I48" i="1"/>
  <c r="I46" i="1"/>
  <c r="I45" i="1"/>
  <c r="I43" i="1"/>
  <c r="I44" i="1"/>
  <c r="J16" i="18"/>
  <c r="I16" i="18"/>
  <c r="A108" i="33"/>
  <c r="A109" i="33"/>
  <c r="A110" i="33"/>
  <c r="A111" i="33"/>
  <c r="A112" i="33"/>
  <c r="A113" i="33"/>
  <c r="A114" i="33"/>
  <c r="A115" i="33"/>
  <c r="A116" i="33"/>
  <c r="A117" i="33"/>
  <c r="A118" i="33"/>
  <c r="A119" i="33"/>
  <c r="A120" i="33"/>
  <c r="A121" i="33"/>
  <c r="A122" i="33"/>
  <c r="A107" i="33"/>
  <c r="A92" i="33"/>
  <c r="A93" i="33"/>
  <c r="A94" i="33"/>
  <c r="A95" i="33"/>
  <c r="A96" i="33"/>
  <c r="A97" i="33"/>
  <c r="A98" i="33"/>
  <c r="A99" i="33"/>
  <c r="A100" i="33"/>
  <c r="A101" i="33"/>
  <c r="A102" i="33"/>
  <c r="A103" i="33"/>
  <c r="A104" i="33"/>
  <c r="A105" i="33"/>
  <c r="A106" i="33"/>
  <c r="A91" i="33"/>
  <c r="A76" i="33"/>
  <c r="A77" i="33"/>
  <c r="A78" i="33"/>
  <c r="A79" i="33"/>
  <c r="A80" i="33"/>
  <c r="A81" i="33"/>
  <c r="A82" i="33"/>
  <c r="A83" i="33"/>
  <c r="A84" i="33"/>
  <c r="A85" i="33"/>
  <c r="A86" i="33"/>
  <c r="A87" i="33"/>
  <c r="A88" i="33"/>
  <c r="A89" i="33"/>
  <c r="A90" i="33"/>
  <c r="A75" i="33"/>
  <c r="A60" i="33"/>
  <c r="A61" i="33"/>
  <c r="A62" i="33"/>
  <c r="A63" i="33"/>
  <c r="A64" i="33"/>
  <c r="A65" i="33"/>
  <c r="A66" i="33"/>
  <c r="A67" i="33"/>
  <c r="A68" i="33"/>
  <c r="A69" i="33"/>
  <c r="A70" i="33"/>
  <c r="A71" i="33"/>
  <c r="A72" i="33"/>
  <c r="A73" i="33"/>
  <c r="A74" i="33"/>
  <c r="A59" i="33"/>
  <c r="A44" i="33"/>
  <c r="A45" i="33"/>
  <c r="A46" i="33"/>
  <c r="A47" i="33"/>
  <c r="A48" i="33"/>
  <c r="A49" i="33"/>
  <c r="A50" i="33"/>
  <c r="A51" i="33"/>
  <c r="A52" i="33"/>
  <c r="A53" i="33"/>
  <c r="A54" i="33"/>
  <c r="A55" i="33"/>
  <c r="A56" i="33"/>
  <c r="A57" i="33"/>
  <c r="A58" i="33"/>
  <c r="A43" i="33"/>
  <c r="D74" i="33"/>
  <c r="I15" i="18"/>
  <c r="I15" i="13"/>
  <c r="H15" i="13"/>
  <c r="C15" i="18"/>
  <c r="G4" i="33"/>
  <c r="F4" i="33"/>
  <c r="E4" i="33"/>
  <c r="I13" i="1" a="1"/>
  <c r="I13" i="1" s="1"/>
  <c r="I7" i="1" a="1"/>
  <c r="I7" i="1" s="1"/>
  <c r="A24" i="33" l="1"/>
  <c r="A23" i="33"/>
  <c r="A22" i="33"/>
  <c r="A21" i="33"/>
  <c r="A20" i="33"/>
  <c r="A19" i="33"/>
  <c r="A18" i="33"/>
  <c r="A17" i="33"/>
  <c r="A16" i="33"/>
  <c r="A15" i="33"/>
  <c r="A14" i="33"/>
  <c r="A13" i="33"/>
  <c r="A12" i="33"/>
  <c r="A11" i="33"/>
  <c r="A10" i="33"/>
  <c r="A9" i="33"/>
  <c r="A8" i="33"/>
  <c r="I127" i="33"/>
  <c r="C25" i="23"/>
  <c r="C24" i="23"/>
  <c r="C23" i="23"/>
  <c r="C22" i="23"/>
  <c r="C21" i="23"/>
  <c r="C20" i="23"/>
  <c r="P17" i="13" l="1"/>
  <c r="N1" i="20"/>
  <c r="K18" i="20"/>
  <c r="J18" i="20"/>
  <c r="L18" i="20" s="1"/>
  <c r="K17" i="20"/>
  <c r="J17" i="20"/>
  <c r="K16" i="20"/>
  <c r="J16" i="20"/>
  <c r="L16" i="20" s="1"/>
  <c r="K15" i="20"/>
  <c r="J15" i="20"/>
  <c r="K14" i="20"/>
  <c r="J14" i="20"/>
  <c r="L14" i="20" s="1"/>
  <c r="K13" i="20"/>
  <c r="J13" i="20"/>
  <c r="L13" i="20" s="1"/>
  <c r="K12" i="20"/>
  <c r="J12" i="20"/>
  <c r="L12" i="20" s="1"/>
  <c r="K11" i="20"/>
  <c r="J11" i="20"/>
  <c r="L11" i="20" s="1"/>
  <c r="K10" i="20"/>
  <c r="J10" i="20"/>
  <c r="K9" i="20"/>
  <c r="J9" i="20"/>
  <c r="L9" i="20" s="1"/>
  <c r="K8" i="20"/>
  <c r="J8" i="20"/>
  <c r="K7" i="20"/>
  <c r="J7" i="20"/>
  <c r="L7" i="20" s="1"/>
  <c r="K6" i="20"/>
  <c r="J6" i="20"/>
  <c r="K5" i="20"/>
  <c r="J5" i="20"/>
  <c r="L5" i="20" s="1"/>
  <c r="K4" i="20"/>
  <c r="J4" i="20"/>
  <c r="L4" i="20" s="1"/>
  <c r="K3" i="20"/>
  <c r="J3" i="20"/>
  <c r="L3" i="20" s="1"/>
  <c r="L10" i="20" l="1"/>
  <c r="L8" i="20"/>
  <c r="L6" i="20"/>
  <c r="L15" i="20"/>
  <c r="L17" i="20"/>
  <c r="P4" i="13" l="1"/>
  <c r="P5" i="13"/>
  <c r="P6" i="13"/>
  <c r="P7" i="13"/>
  <c r="P8" i="13"/>
  <c r="P9" i="13"/>
  <c r="P10" i="13"/>
  <c r="P11" i="13"/>
  <c r="P12" i="13"/>
  <c r="P13" i="13"/>
  <c r="P14" i="13"/>
  <c r="P15" i="13"/>
  <c r="P16" i="13"/>
  <c r="P18" i="13"/>
  <c r="P19" i="13"/>
  <c r="P3" i="13"/>
  <c r="G31" i="28"/>
  <c r="H31" i="28"/>
  <c r="I31" i="28"/>
  <c r="J31" i="28"/>
  <c r="K31" i="28"/>
  <c r="L31" i="28"/>
  <c r="M31" i="28"/>
  <c r="N31" i="28"/>
  <c r="O31" i="28"/>
  <c r="P31" i="28"/>
  <c r="Q31" i="28"/>
  <c r="R31" i="28"/>
  <c r="S31" i="28"/>
  <c r="T31" i="28"/>
  <c r="U31" i="28"/>
  <c r="V31" i="28"/>
  <c r="W31" i="28"/>
  <c r="X31" i="28"/>
  <c r="Y31" i="28"/>
  <c r="Z31" i="28"/>
  <c r="AA31" i="28"/>
  <c r="AB31" i="28"/>
  <c r="AC31" i="28"/>
  <c r="G32" i="28"/>
  <c r="H32" i="28"/>
  <c r="I32" i="28"/>
  <c r="J32" i="28"/>
  <c r="K32" i="28"/>
  <c r="L32" i="28"/>
  <c r="M32" i="28"/>
  <c r="N32" i="28"/>
  <c r="O32" i="28"/>
  <c r="P32" i="28"/>
  <c r="Q32" i="28"/>
  <c r="R32" i="28"/>
  <c r="S32" i="28"/>
  <c r="T32" i="28"/>
  <c r="U32" i="28"/>
  <c r="V32" i="28"/>
  <c r="W32" i="28"/>
  <c r="X32" i="28"/>
  <c r="Y32" i="28"/>
  <c r="Z32" i="28"/>
  <c r="AA32" i="28"/>
  <c r="AB32" i="28"/>
  <c r="AC32" i="28"/>
  <c r="G33" i="28"/>
  <c r="H33" i="28"/>
  <c r="I33" i="28"/>
  <c r="J33" i="28"/>
  <c r="K33" i="28"/>
  <c r="L33" i="28"/>
  <c r="M33" i="28"/>
  <c r="N33" i="28"/>
  <c r="O33" i="28"/>
  <c r="P33" i="28"/>
  <c r="Q33" i="28"/>
  <c r="R33" i="28"/>
  <c r="S33" i="28"/>
  <c r="T33" i="28"/>
  <c r="U33" i="28"/>
  <c r="V33" i="28"/>
  <c r="W33" i="28"/>
  <c r="X33" i="28"/>
  <c r="Y33" i="28"/>
  <c r="Z33" i="28"/>
  <c r="AA33" i="28"/>
  <c r="AB33" i="28"/>
  <c r="AC33" i="28"/>
  <c r="F32" i="28"/>
  <c r="F33" i="28"/>
  <c r="F31" i="28"/>
  <c r="F30" i="28"/>
  <c r="P28" i="28"/>
  <c r="Q28" i="28"/>
  <c r="R28" i="28"/>
  <c r="S28" i="28"/>
  <c r="T28" i="28"/>
  <c r="U28" i="28"/>
  <c r="V28" i="28"/>
  <c r="W28" i="28"/>
  <c r="X28" i="28"/>
  <c r="Y28" i="28"/>
  <c r="Z28" i="28"/>
  <c r="AA28" i="28"/>
  <c r="AB28" i="28"/>
  <c r="AC28" i="28"/>
  <c r="P29" i="28"/>
  <c r="Q29" i="28"/>
  <c r="R29" i="28"/>
  <c r="S29" i="28"/>
  <c r="T29" i="28"/>
  <c r="U29" i="28"/>
  <c r="V29" i="28"/>
  <c r="W29" i="28"/>
  <c r="X29" i="28"/>
  <c r="Y29" i="28"/>
  <c r="Z29" i="28"/>
  <c r="AA29" i="28"/>
  <c r="AB29" i="28"/>
  <c r="AC29" i="28"/>
  <c r="P30" i="28"/>
  <c r="Q30" i="28"/>
  <c r="R30" i="28"/>
  <c r="S30" i="28"/>
  <c r="T30" i="28"/>
  <c r="U30" i="28"/>
  <c r="V30" i="28"/>
  <c r="W30" i="28"/>
  <c r="X30" i="28"/>
  <c r="Y30" i="28"/>
  <c r="Z30" i="28"/>
  <c r="AA30" i="28"/>
  <c r="AB30" i="28"/>
  <c r="AC30" i="28"/>
  <c r="G28" i="28"/>
  <c r="H28" i="28"/>
  <c r="I28" i="28"/>
  <c r="J28" i="28"/>
  <c r="K28" i="28"/>
  <c r="L28" i="28"/>
  <c r="M28" i="28"/>
  <c r="N28" i="28"/>
  <c r="O28" i="28"/>
  <c r="G29" i="28"/>
  <c r="H29" i="28"/>
  <c r="I29" i="28"/>
  <c r="J29" i="28"/>
  <c r="K29" i="28"/>
  <c r="L29" i="28"/>
  <c r="M29" i="28"/>
  <c r="N29" i="28"/>
  <c r="O29" i="28"/>
  <c r="G30" i="28"/>
  <c r="H30" i="28"/>
  <c r="I30" i="28"/>
  <c r="J30" i="28"/>
  <c r="K30" i="28"/>
  <c r="L30" i="28"/>
  <c r="M30" i="28"/>
  <c r="N30" i="28"/>
  <c r="O30" i="28"/>
  <c r="F29" i="28"/>
  <c r="F28" i="28"/>
  <c r="G25" i="28"/>
  <c r="H25" i="28"/>
  <c r="I25" i="28"/>
  <c r="J25" i="28"/>
  <c r="K25" i="28"/>
  <c r="L25" i="28"/>
  <c r="M25" i="28"/>
  <c r="N25" i="28"/>
  <c r="O25" i="28"/>
  <c r="P25" i="28"/>
  <c r="Q25" i="28"/>
  <c r="R25" i="28"/>
  <c r="S25" i="28"/>
  <c r="T25" i="28"/>
  <c r="U25" i="28"/>
  <c r="V25" i="28"/>
  <c r="W25" i="28"/>
  <c r="X25" i="28"/>
  <c r="Y25" i="28"/>
  <c r="Z25" i="28"/>
  <c r="AA25" i="28"/>
  <c r="AB25" i="28"/>
  <c r="AC25" i="28"/>
  <c r="G26" i="28"/>
  <c r="H26" i="28"/>
  <c r="I26" i="28"/>
  <c r="J26" i="28"/>
  <c r="K26" i="28"/>
  <c r="L26" i="28"/>
  <c r="M26" i="28"/>
  <c r="N26" i="28"/>
  <c r="O26" i="28"/>
  <c r="P26" i="28"/>
  <c r="Q26" i="28"/>
  <c r="R26" i="28"/>
  <c r="S26" i="28"/>
  <c r="T26" i="28"/>
  <c r="U26" i="28"/>
  <c r="V26" i="28"/>
  <c r="W26" i="28"/>
  <c r="X26" i="28"/>
  <c r="Y26" i="28"/>
  <c r="Z26" i="28"/>
  <c r="AA26" i="28"/>
  <c r="AB26" i="28"/>
  <c r="AC26" i="28"/>
  <c r="G27" i="28"/>
  <c r="H27" i="28"/>
  <c r="I27" i="28"/>
  <c r="J27" i="28"/>
  <c r="K27" i="28"/>
  <c r="L27" i="28"/>
  <c r="M27" i="28"/>
  <c r="N27" i="28"/>
  <c r="O27" i="28"/>
  <c r="P27" i="28"/>
  <c r="Q27" i="28"/>
  <c r="R27" i="28"/>
  <c r="S27" i="28"/>
  <c r="T27" i="28"/>
  <c r="U27" i="28"/>
  <c r="V27" i="28"/>
  <c r="W27" i="28"/>
  <c r="X27" i="28"/>
  <c r="Y27" i="28"/>
  <c r="Z27" i="28"/>
  <c r="AA27" i="28"/>
  <c r="AB27" i="28"/>
  <c r="AC27" i="28"/>
  <c r="F26" i="28"/>
  <c r="F27" i="28"/>
  <c r="F25" i="28"/>
  <c r="G53" i="28"/>
  <c r="H53" i="28"/>
  <c r="I53" i="28"/>
  <c r="J53" i="28"/>
  <c r="K53" i="28"/>
  <c r="L53" i="28"/>
  <c r="M53" i="28"/>
  <c r="N53" i="28"/>
  <c r="O53" i="28"/>
  <c r="P53" i="28"/>
  <c r="Q53" i="28"/>
  <c r="R53" i="28"/>
  <c r="S53" i="28"/>
  <c r="T53" i="28"/>
  <c r="U53" i="28"/>
  <c r="V53" i="28"/>
  <c r="W53" i="28"/>
  <c r="X53" i="28"/>
  <c r="Y53" i="28"/>
  <c r="Z53" i="28"/>
  <c r="AA53" i="28"/>
  <c r="AB53" i="28"/>
  <c r="AC53" i="28"/>
  <c r="G54" i="28"/>
  <c r="H54" i="28"/>
  <c r="I54" i="28"/>
  <c r="J54" i="28"/>
  <c r="K54" i="28"/>
  <c r="L54" i="28"/>
  <c r="M54" i="28"/>
  <c r="N54" i="28"/>
  <c r="O54" i="28"/>
  <c r="P54" i="28"/>
  <c r="Q54" i="28"/>
  <c r="R54" i="28"/>
  <c r="S54" i="28"/>
  <c r="T54" i="28"/>
  <c r="U54" i="28"/>
  <c r="V54" i="28"/>
  <c r="W54" i="28"/>
  <c r="X54" i="28"/>
  <c r="Y54" i="28"/>
  <c r="Z54" i="28"/>
  <c r="AA54" i="28"/>
  <c r="AB54" i="28"/>
  <c r="AC54" i="28"/>
  <c r="G55" i="28"/>
  <c r="H55" i="28"/>
  <c r="I55" i="28"/>
  <c r="J55" i="28"/>
  <c r="K55" i="28"/>
  <c r="L55" i="28"/>
  <c r="M55" i="28"/>
  <c r="N55" i="28"/>
  <c r="O55" i="28"/>
  <c r="P55" i="28"/>
  <c r="Q55" i="28"/>
  <c r="R55" i="28"/>
  <c r="S55" i="28"/>
  <c r="T55" i="28"/>
  <c r="U55" i="28"/>
  <c r="V55" i="28"/>
  <c r="W55" i="28"/>
  <c r="X55" i="28"/>
  <c r="Y55" i="28"/>
  <c r="Z55" i="28"/>
  <c r="AA55" i="28"/>
  <c r="AB55" i="28"/>
  <c r="AC55" i="28"/>
  <c r="G56" i="28"/>
  <c r="H56" i="28"/>
  <c r="I56" i="28"/>
  <c r="J56" i="28"/>
  <c r="K56" i="28"/>
  <c r="L56" i="28"/>
  <c r="M56" i="28"/>
  <c r="N56" i="28"/>
  <c r="O56" i="28"/>
  <c r="P56" i="28"/>
  <c r="Q56" i="28"/>
  <c r="R56" i="28"/>
  <c r="S56" i="28"/>
  <c r="T56" i="28"/>
  <c r="U56" i="28"/>
  <c r="V56" i="28"/>
  <c r="W56" i="28"/>
  <c r="X56" i="28"/>
  <c r="Y56" i="28"/>
  <c r="Z56" i="28"/>
  <c r="AA56" i="28"/>
  <c r="AB56" i="28"/>
  <c r="AC56" i="28"/>
  <c r="G57" i="28"/>
  <c r="H57" i="28"/>
  <c r="I57" i="28"/>
  <c r="J57" i="28"/>
  <c r="K57" i="28"/>
  <c r="L57" i="28"/>
  <c r="M57" i="28"/>
  <c r="N57" i="28"/>
  <c r="O57" i="28"/>
  <c r="P57" i="28"/>
  <c r="Q57" i="28"/>
  <c r="R57" i="28"/>
  <c r="S57" i="28"/>
  <c r="T57" i="28"/>
  <c r="U57" i="28"/>
  <c r="V57" i="28"/>
  <c r="W57" i="28"/>
  <c r="X57" i="28"/>
  <c r="Y57" i="28"/>
  <c r="Z57" i="28"/>
  <c r="AA57" i="28"/>
  <c r="AB57" i="28"/>
  <c r="AC57" i="28"/>
  <c r="G58" i="28"/>
  <c r="H58" i="28"/>
  <c r="I58" i="28"/>
  <c r="J58" i="28"/>
  <c r="K58" i="28"/>
  <c r="L58" i="28"/>
  <c r="M58" i="28"/>
  <c r="N58" i="28"/>
  <c r="O58" i="28"/>
  <c r="P58" i="28"/>
  <c r="Q58" i="28"/>
  <c r="R58" i="28"/>
  <c r="S58" i="28"/>
  <c r="T58" i="28"/>
  <c r="U58" i="28"/>
  <c r="V58" i="28"/>
  <c r="W58" i="28"/>
  <c r="X58" i="28"/>
  <c r="Y58" i="28"/>
  <c r="Z58" i="28"/>
  <c r="AA58" i="28"/>
  <c r="AB58" i="28"/>
  <c r="AC58" i="28"/>
  <c r="F58" i="28"/>
  <c r="F57" i="28"/>
  <c r="F56" i="28"/>
  <c r="F55" i="28"/>
  <c r="F54" i="28"/>
  <c r="F53" i="28"/>
  <c r="C13" i="9" l="1"/>
  <c r="G13" i="9" s="1"/>
  <c r="B19" i="9"/>
  <c r="H19" i="13" l="1"/>
  <c r="H18" i="13"/>
  <c r="H17" i="13"/>
  <c r="H16" i="13"/>
  <c r="H14" i="13"/>
  <c r="H13" i="13"/>
  <c r="H12" i="13"/>
  <c r="H11" i="13"/>
  <c r="H10" i="13"/>
  <c r="H9" i="13"/>
  <c r="H8" i="13"/>
  <c r="H7" i="13"/>
  <c r="H6" i="13"/>
  <c r="H5" i="13"/>
  <c r="H4" i="13"/>
  <c r="H3" i="13"/>
  <c r="L3" i="13" s="1"/>
  <c r="J3" i="13"/>
  <c r="I3" i="13"/>
  <c r="M3" i="13" l="1"/>
  <c r="D8" i="33" s="1"/>
  <c r="F8" i="33" s="1"/>
  <c r="C8" i="33"/>
  <c r="C3" i="18"/>
  <c r="H20" i="13"/>
  <c r="L19" i="13"/>
  <c r="L18" i="13"/>
  <c r="L17" i="13"/>
  <c r="L8" i="13"/>
  <c r="L7" i="13"/>
  <c r="L16" i="13"/>
  <c r="L11" i="13"/>
  <c r="L12" i="13"/>
  <c r="L10" i="13"/>
  <c r="L15" i="13"/>
  <c r="L14" i="13"/>
  <c r="L13" i="13"/>
  <c r="L9" i="13"/>
  <c r="L6" i="13"/>
  <c r="L5" i="13"/>
  <c r="L4" i="13"/>
  <c r="G8" i="33" l="1"/>
  <c r="L20" i="13"/>
  <c r="B3" i="18"/>
  <c r="I21" i="1"/>
  <c r="I15" i="1"/>
  <c r="G11" i="9" l="1"/>
  <c r="G10" i="9"/>
  <c r="I19" i="13" l="1"/>
  <c r="C24" i="33" s="1"/>
  <c r="I18" i="13"/>
  <c r="C23" i="33" s="1"/>
  <c r="I17" i="13"/>
  <c r="C22" i="33" s="1"/>
  <c r="C17" i="18" l="1"/>
  <c r="I17" i="18" s="1"/>
  <c r="C18" i="18"/>
  <c r="H18" i="18" s="1"/>
  <c r="C19" i="18"/>
  <c r="H19" i="18" s="1"/>
  <c r="A16" i="18"/>
  <c r="A17" i="18"/>
  <c r="A18" i="18"/>
  <c r="A19" i="18"/>
  <c r="A12" i="18"/>
  <c r="A13" i="18"/>
  <c r="A14" i="18"/>
  <c r="A15" i="18"/>
  <c r="A4" i="18"/>
  <c r="A5" i="18"/>
  <c r="A6" i="18"/>
  <c r="A7" i="18"/>
  <c r="A8" i="18"/>
  <c r="A9" i="18"/>
  <c r="A10" i="18"/>
  <c r="A11" i="18"/>
  <c r="A3" i="18"/>
  <c r="J19" i="13"/>
  <c r="J18" i="13"/>
  <c r="J17" i="13"/>
  <c r="J16" i="13"/>
  <c r="J15" i="13"/>
  <c r="J14" i="13"/>
  <c r="J13" i="13"/>
  <c r="J12" i="13"/>
  <c r="J11" i="13"/>
  <c r="J6" i="13"/>
  <c r="J5" i="13"/>
  <c r="J4" i="13"/>
  <c r="J10" i="13"/>
  <c r="J9" i="13"/>
  <c r="J8" i="13"/>
  <c r="J7" i="13"/>
  <c r="M17" i="13"/>
  <c r="D22" i="33" s="1"/>
  <c r="F22" i="33" s="1"/>
  <c r="M18" i="13"/>
  <c r="D23" i="33" s="1"/>
  <c r="F23" i="33" s="1"/>
  <c r="G23" i="33" s="1"/>
  <c r="M19" i="13"/>
  <c r="D24" i="33" s="1"/>
  <c r="F24" i="33" s="1"/>
  <c r="G24" i="33" s="1"/>
  <c r="G22" i="33" l="1"/>
  <c r="C34" i="33"/>
  <c r="B19" i="18"/>
  <c r="G19" i="18" s="1"/>
  <c r="I19" i="18"/>
  <c r="J19" i="18" s="1"/>
  <c r="I18" i="18"/>
  <c r="H17" i="18"/>
  <c r="B18" i="18"/>
  <c r="G18" i="18" s="1"/>
  <c r="B17" i="18"/>
  <c r="G17" i="18" s="1"/>
  <c r="J17" i="18" s="1"/>
  <c r="D118" i="33" l="1"/>
  <c r="E118" i="33" s="1"/>
  <c r="F118" i="33" s="1"/>
  <c r="D107" i="33"/>
  <c r="E107" i="33" s="1"/>
  <c r="F107" i="33" s="1"/>
  <c r="G108" i="33"/>
  <c r="G109" i="33"/>
  <c r="D119" i="33"/>
  <c r="E119" i="33" s="1"/>
  <c r="F119" i="33" s="1"/>
  <c r="D120" i="33"/>
  <c r="E120" i="33" s="1"/>
  <c r="F120" i="33" s="1"/>
  <c r="D121" i="33"/>
  <c r="E121" i="33" s="1"/>
  <c r="F121" i="33" s="1"/>
  <c r="D122" i="33"/>
  <c r="E122" i="33" s="1"/>
  <c r="F122" i="33" s="1"/>
  <c r="D109" i="33"/>
  <c r="E109" i="33" s="1"/>
  <c r="F109" i="33" s="1"/>
  <c r="D110" i="33"/>
  <c r="E110" i="33" s="1"/>
  <c r="F110" i="33" s="1"/>
  <c r="D111" i="33"/>
  <c r="E111" i="33" s="1"/>
  <c r="F111" i="33" s="1"/>
  <c r="D112" i="33"/>
  <c r="E112" i="33" s="1"/>
  <c r="F112" i="33" s="1"/>
  <c r="G110" i="33"/>
  <c r="G111" i="33"/>
  <c r="D115" i="33"/>
  <c r="E115" i="33" s="1"/>
  <c r="F115" i="33" s="1"/>
  <c r="G112" i="33"/>
  <c r="D116" i="33"/>
  <c r="E116" i="33" s="1"/>
  <c r="F116" i="33" s="1"/>
  <c r="G113" i="33"/>
  <c r="G114" i="33"/>
  <c r="G115" i="33"/>
  <c r="G120" i="33"/>
  <c r="G121" i="33"/>
  <c r="G122" i="33"/>
  <c r="D114" i="33"/>
  <c r="E114" i="33" s="1"/>
  <c r="F114" i="33" s="1"/>
  <c r="G118" i="33"/>
  <c r="D113" i="33"/>
  <c r="E113" i="33" s="1"/>
  <c r="F113" i="33" s="1"/>
  <c r="D117" i="33"/>
  <c r="E117" i="33" s="1"/>
  <c r="F117" i="33" s="1"/>
  <c r="G116" i="33"/>
  <c r="G117" i="33"/>
  <c r="D108" i="33"/>
  <c r="E108" i="33" s="1"/>
  <c r="F108" i="33" s="1"/>
  <c r="G119" i="33"/>
  <c r="G107" i="33"/>
  <c r="J18" i="18"/>
  <c r="I12" i="13"/>
  <c r="C17" i="33" s="1"/>
  <c r="H122" i="33" l="1"/>
  <c r="J122" i="33" s="1"/>
  <c r="H116" i="33"/>
  <c r="J116" i="33" s="1"/>
  <c r="H109" i="33"/>
  <c r="J109" i="33" s="1"/>
  <c r="H108" i="33"/>
  <c r="J108" i="33" s="1"/>
  <c r="H117" i="33"/>
  <c r="J117" i="33" s="1"/>
  <c r="H115" i="33"/>
  <c r="J115" i="33" s="1"/>
  <c r="H110" i="33"/>
  <c r="J110" i="33" s="1"/>
  <c r="H120" i="33"/>
  <c r="J120" i="33" s="1"/>
  <c r="H112" i="33"/>
  <c r="J112" i="33" s="1"/>
  <c r="H113" i="33"/>
  <c r="J113" i="33" s="1"/>
  <c r="H114" i="33"/>
  <c r="J114" i="33" s="1"/>
  <c r="H107" i="33"/>
  <c r="J107" i="33" s="1"/>
  <c r="H111" i="33"/>
  <c r="J111" i="33" s="1"/>
  <c r="H121" i="33"/>
  <c r="J121" i="33" s="1"/>
  <c r="H119" i="33"/>
  <c r="J119" i="33" s="1"/>
  <c r="H118" i="33"/>
  <c r="J118" i="33" s="1"/>
  <c r="M12" i="13"/>
  <c r="D17" i="33" s="1"/>
  <c r="F17" i="33" s="1"/>
  <c r="G17" i="33" s="1"/>
  <c r="C12" i="18"/>
  <c r="I6" i="13"/>
  <c r="C11" i="33" s="1"/>
  <c r="I5" i="13"/>
  <c r="C10" i="33" s="1"/>
  <c r="I4" i="13"/>
  <c r="C9" i="33" s="1"/>
  <c r="I10" i="13"/>
  <c r="C15" i="33" s="1"/>
  <c r="I9" i="13"/>
  <c r="C14" i="33" s="1"/>
  <c r="I8" i="13"/>
  <c r="C13" i="33" s="1"/>
  <c r="I7" i="13"/>
  <c r="C12" i="33" s="1"/>
  <c r="I16" i="13"/>
  <c r="C21" i="33" s="1"/>
  <c r="C20" i="33"/>
  <c r="I14" i="13"/>
  <c r="C19" i="33" s="1"/>
  <c r="I13" i="13"/>
  <c r="C18" i="33" s="1"/>
  <c r="I11" i="13"/>
  <c r="C16" i="33" s="1"/>
  <c r="I20" i="13" l="1"/>
  <c r="G4" i="13" s="1"/>
  <c r="M6" i="13"/>
  <c r="D11" i="33" s="1"/>
  <c r="F11" i="33" s="1"/>
  <c r="G11" i="33" s="1"/>
  <c r="C6" i="18"/>
  <c r="C5" i="18"/>
  <c r="M5" i="13"/>
  <c r="D10" i="33" s="1"/>
  <c r="F10" i="33" s="1"/>
  <c r="G10" i="33" s="1"/>
  <c r="C14" i="18"/>
  <c r="M14" i="13"/>
  <c r="D19" i="33" s="1"/>
  <c r="F19" i="33" s="1"/>
  <c r="H12" i="18"/>
  <c r="I12" i="18"/>
  <c r="C11" i="18"/>
  <c r="M11" i="13"/>
  <c r="D16" i="33" s="1"/>
  <c r="F16" i="33" s="1"/>
  <c r="M13" i="13"/>
  <c r="D18" i="33" s="1"/>
  <c r="F18" i="33" s="1"/>
  <c r="G18" i="33" s="1"/>
  <c r="C13" i="18"/>
  <c r="M8" i="13"/>
  <c r="D13" i="33" s="1"/>
  <c r="F13" i="33" s="1"/>
  <c r="G13" i="33" s="1"/>
  <c r="C8" i="18"/>
  <c r="B12" i="18"/>
  <c r="G12" i="18" s="1"/>
  <c r="M15" i="13"/>
  <c r="D20" i="33" s="1"/>
  <c r="F20" i="33" s="1"/>
  <c r="G20" i="33" s="1"/>
  <c r="C16" i="18"/>
  <c r="H16" i="18" s="1"/>
  <c r="M16" i="13"/>
  <c r="D21" i="33" s="1"/>
  <c r="F21" i="33" s="1"/>
  <c r="G21" i="33" s="1"/>
  <c r="M7" i="13"/>
  <c r="D12" i="33" s="1"/>
  <c r="F12" i="33" s="1"/>
  <c r="C7" i="18"/>
  <c r="M9" i="13"/>
  <c r="D14" i="33" s="1"/>
  <c r="F14" i="33" s="1"/>
  <c r="G14" i="33" s="1"/>
  <c r="C9" i="18"/>
  <c r="C10" i="18"/>
  <c r="M10" i="13"/>
  <c r="D15" i="33" s="1"/>
  <c r="F15" i="33" s="1"/>
  <c r="G15" i="33" s="1"/>
  <c r="M4" i="13"/>
  <c r="D9" i="33" s="1"/>
  <c r="F9" i="33" s="1"/>
  <c r="F25" i="33" s="1" a="1"/>
  <c r="F25" i="33" s="1"/>
  <c r="C4" i="18"/>
  <c r="C30" i="33" l="1"/>
  <c r="G19" i="33"/>
  <c r="C33" i="33"/>
  <c r="G16" i="33"/>
  <c r="C32" i="33"/>
  <c r="G12" i="33"/>
  <c r="C31" i="33"/>
  <c r="G9" i="33"/>
  <c r="F26" i="33"/>
  <c r="J12" i="18"/>
  <c r="G13" i="13"/>
  <c r="G18" i="13"/>
  <c r="G5" i="13"/>
  <c r="G11" i="13"/>
  <c r="G12" i="13"/>
  <c r="G14" i="13"/>
  <c r="G19" i="13"/>
  <c r="G16" i="13"/>
  <c r="G10" i="13"/>
  <c r="G8" i="13"/>
  <c r="G7" i="13"/>
  <c r="G17" i="13"/>
  <c r="G6" i="13"/>
  <c r="G15" i="13"/>
  <c r="G9" i="13"/>
  <c r="G3" i="13"/>
  <c r="B15" i="18"/>
  <c r="G15" i="18" s="1"/>
  <c r="H15" i="18"/>
  <c r="B6" i="18"/>
  <c r="G6" i="18" s="1"/>
  <c r="I5" i="18"/>
  <c r="H5" i="18"/>
  <c r="H13" i="18"/>
  <c r="I13" i="18"/>
  <c r="I11" i="18"/>
  <c r="H11" i="18"/>
  <c r="B9" i="18"/>
  <c r="G9" i="18" s="1"/>
  <c r="H6" i="18"/>
  <c r="I6" i="18"/>
  <c r="H4" i="18"/>
  <c r="I4" i="18"/>
  <c r="B8" i="18"/>
  <c r="G8" i="18" s="1"/>
  <c r="B5" i="18"/>
  <c r="G5" i="18" s="1"/>
  <c r="I8" i="18"/>
  <c r="H8" i="18"/>
  <c r="B4" i="18"/>
  <c r="G4" i="18" s="1"/>
  <c r="M20" i="13"/>
  <c r="B13" i="18"/>
  <c r="G13" i="18" s="1"/>
  <c r="B14" i="18"/>
  <c r="G14" i="18" s="1"/>
  <c r="H10" i="18"/>
  <c r="I10" i="18"/>
  <c r="B11" i="18"/>
  <c r="G11" i="18" s="1"/>
  <c r="H7" i="18"/>
  <c r="I7" i="18"/>
  <c r="B10" i="18"/>
  <c r="G10" i="18" s="1"/>
  <c r="H9" i="18"/>
  <c r="I9" i="18"/>
  <c r="B7" i="18"/>
  <c r="G7" i="18" s="1"/>
  <c r="B16" i="18"/>
  <c r="G16" i="18" s="1"/>
  <c r="I14" i="18"/>
  <c r="H14" i="18"/>
  <c r="G82" i="33" l="1"/>
  <c r="D76" i="33"/>
  <c r="E76" i="33" s="1"/>
  <c r="F76" i="33" s="1"/>
  <c r="D78" i="33"/>
  <c r="E78" i="33" s="1"/>
  <c r="F78" i="33" s="1"/>
  <c r="G85" i="33"/>
  <c r="D79" i="33"/>
  <c r="E79" i="33" s="1"/>
  <c r="F79" i="33" s="1"/>
  <c r="G86" i="33"/>
  <c r="D80" i="33"/>
  <c r="E80" i="33" s="1"/>
  <c r="F80" i="33" s="1"/>
  <c r="D82" i="33"/>
  <c r="E82" i="33" s="1"/>
  <c r="F82" i="33" s="1"/>
  <c r="H82" i="33" s="1"/>
  <c r="J82" i="33" s="1"/>
  <c r="G89" i="33"/>
  <c r="G83" i="33"/>
  <c r="D77" i="33"/>
  <c r="E77" i="33" s="1"/>
  <c r="F77" i="33" s="1"/>
  <c r="G84" i="33"/>
  <c r="G87" i="33"/>
  <c r="D81" i="33"/>
  <c r="E81" i="33" s="1"/>
  <c r="F81" i="33" s="1"/>
  <c r="G88" i="33"/>
  <c r="D84" i="33"/>
  <c r="E84" i="33" s="1"/>
  <c r="F84" i="33" s="1"/>
  <c r="H84" i="33" s="1"/>
  <c r="J84" i="33" s="1"/>
  <c r="D85" i="33"/>
  <c r="E85" i="33" s="1"/>
  <c r="F85" i="33" s="1"/>
  <c r="H85" i="33" s="1"/>
  <c r="J85" i="33" s="1"/>
  <c r="G76" i="33"/>
  <c r="D86" i="33"/>
  <c r="E86" i="33" s="1"/>
  <c r="F86" i="33" s="1"/>
  <c r="H86" i="33" s="1"/>
  <c r="J86" i="33" s="1"/>
  <c r="G77" i="33"/>
  <c r="D87" i="33"/>
  <c r="E87" i="33" s="1"/>
  <c r="F87" i="33" s="1"/>
  <c r="H87" i="33" s="1"/>
  <c r="J87" i="33" s="1"/>
  <c r="G78" i="33"/>
  <c r="D88" i="33"/>
  <c r="E88" i="33" s="1"/>
  <c r="F88" i="33" s="1"/>
  <c r="G79" i="33"/>
  <c r="D89" i="33"/>
  <c r="E89" i="33" s="1"/>
  <c r="F89" i="33" s="1"/>
  <c r="G80" i="33"/>
  <c r="D90" i="33"/>
  <c r="E90" i="33" s="1"/>
  <c r="F90" i="33" s="1"/>
  <c r="D83" i="33"/>
  <c r="E83" i="33" s="1"/>
  <c r="F83" i="33" s="1"/>
  <c r="G81" i="33"/>
  <c r="D75" i="33"/>
  <c r="E75" i="33" s="1"/>
  <c r="F75" i="33" s="1"/>
  <c r="G90" i="33"/>
  <c r="G75" i="33"/>
  <c r="G72" i="33"/>
  <c r="D66" i="33"/>
  <c r="E66" i="33" s="1"/>
  <c r="F66" i="33" s="1"/>
  <c r="D67" i="33"/>
  <c r="E67" i="33" s="1"/>
  <c r="F67" i="33" s="1"/>
  <c r="G74" i="33"/>
  <c r="G59" i="33"/>
  <c r="D70" i="33"/>
  <c r="E70" i="33" s="1"/>
  <c r="F70" i="33" s="1"/>
  <c r="D71" i="33"/>
  <c r="E71" i="33" s="1"/>
  <c r="F71" i="33" s="1"/>
  <c r="D72" i="33"/>
  <c r="E72" i="33" s="1"/>
  <c r="F72" i="33" s="1"/>
  <c r="H72" i="33" s="1"/>
  <c r="J72" i="33" s="1"/>
  <c r="G73" i="33"/>
  <c r="D68" i="33"/>
  <c r="E68" i="33" s="1"/>
  <c r="F68" i="33" s="1"/>
  <c r="D69" i="33"/>
  <c r="E69" i="33" s="1"/>
  <c r="F69" i="33" s="1"/>
  <c r="G69" i="33"/>
  <c r="G70" i="33"/>
  <c r="G60" i="33"/>
  <c r="D63" i="33"/>
  <c r="E63" i="33" s="1"/>
  <c r="F63" i="33" s="1"/>
  <c r="G65" i="33"/>
  <c r="G67" i="33"/>
  <c r="D61" i="33"/>
  <c r="E61" i="33" s="1"/>
  <c r="F61" i="33" s="1"/>
  <c r="G71" i="33"/>
  <c r="D62" i="33"/>
  <c r="E62" i="33" s="1"/>
  <c r="F62" i="33" s="1"/>
  <c r="D59" i="33"/>
  <c r="E59" i="33" s="1"/>
  <c r="F59" i="33" s="1"/>
  <c r="G64" i="33"/>
  <c r="D73" i="33"/>
  <c r="E73" i="33" s="1"/>
  <c r="F73" i="33" s="1"/>
  <c r="E74" i="33"/>
  <c r="F74" i="33" s="1"/>
  <c r="G66" i="33"/>
  <c r="G68" i="33"/>
  <c r="D60" i="33"/>
  <c r="E60" i="33" s="1"/>
  <c r="F60" i="33" s="1"/>
  <c r="G61" i="33"/>
  <c r="D64" i="33"/>
  <c r="E64" i="33" s="1"/>
  <c r="F64" i="33" s="1"/>
  <c r="G63" i="33"/>
  <c r="G62" i="33"/>
  <c r="D65" i="33"/>
  <c r="E65" i="33" s="1"/>
  <c r="F65" i="33" s="1"/>
  <c r="H65" i="33" s="1"/>
  <c r="J65" i="33" s="1"/>
  <c r="G92" i="33"/>
  <c r="G95" i="33"/>
  <c r="G97" i="33"/>
  <c r="G98" i="33"/>
  <c r="D92" i="33"/>
  <c r="E92" i="33" s="1"/>
  <c r="F92" i="33" s="1"/>
  <c r="G99" i="33"/>
  <c r="G93" i="33"/>
  <c r="G94" i="33"/>
  <c r="G96" i="33"/>
  <c r="G103" i="33"/>
  <c r="D106" i="33"/>
  <c r="E106" i="33" s="1"/>
  <c r="F106" i="33" s="1"/>
  <c r="G104" i="33"/>
  <c r="D91" i="33"/>
  <c r="E91" i="33" s="1"/>
  <c r="F91" i="33" s="1"/>
  <c r="G106" i="33"/>
  <c r="G91" i="33"/>
  <c r="D94" i="33"/>
  <c r="E94" i="33" s="1"/>
  <c r="F94" i="33" s="1"/>
  <c r="H94" i="33" s="1"/>
  <c r="J94" i="33" s="1"/>
  <c r="D95" i="33"/>
  <c r="E95" i="33" s="1"/>
  <c r="F95" i="33" s="1"/>
  <c r="D99" i="33"/>
  <c r="E99" i="33" s="1"/>
  <c r="F99" i="33" s="1"/>
  <c r="H99" i="33" s="1"/>
  <c r="J99" i="33" s="1"/>
  <c r="D100" i="33"/>
  <c r="E100" i="33" s="1"/>
  <c r="F100" i="33" s="1"/>
  <c r="D101" i="33"/>
  <c r="E101" i="33" s="1"/>
  <c r="F101" i="33" s="1"/>
  <c r="D102" i="33"/>
  <c r="E102" i="33" s="1"/>
  <c r="F102" i="33" s="1"/>
  <c r="G105" i="33"/>
  <c r="D93" i="33"/>
  <c r="E93" i="33" s="1"/>
  <c r="F93" i="33" s="1"/>
  <c r="H93" i="33" s="1"/>
  <c r="J93" i="33" s="1"/>
  <c r="D96" i="33"/>
  <c r="E96" i="33" s="1"/>
  <c r="F96" i="33" s="1"/>
  <c r="H96" i="33" s="1"/>
  <c r="J96" i="33" s="1"/>
  <c r="G100" i="33"/>
  <c r="D98" i="33"/>
  <c r="E98" i="33" s="1"/>
  <c r="F98" i="33" s="1"/>
  <c r="G101" i="33"/>
  <c r="D97" i="33"/>
  <c r="E97" i="33" s="1"/>
  <c r="F97" i="33" s="1"/>
  <c r="H97" i="33" s="1"/>
  <c r="J97" i="33" s="1"/>
  <c r="D103" i="33"/>
  <c r="E103" i="33" s="1"/>
  <c r="F103" i="33" s="1"/>
  <c r="G102" i="33"/>
  <c r="D105" i="33"/>
  <c r="E105" i="33" s="1"/>
  <c r="F105" i="33" s="1"/>
  <c r="D104" i="33"/>
  <c r="E104" i="33" s="1"/>
  <c r="F104" i="33" s="1"/>
  <c r="D56" i="33"/>
  <c r="D57" i="33"/>
  <c r="D58" i="33"/>
  <c r="G44" i="33"/>
  <c r="G45" i="33"/>
  <c r="G46" i="33"/>
  <c r="D43" i="33"/>
  <c r="G47" i="33"/>
  <c r="D46" i="33"/>
  <c r="D47" i="33"/>
  <c r="D48" i="33"/>
  <c r="G48" i="33"/>
  <c r="D50" i="33"/>
  <c r="G50" i="33"/>
  <c r="D51" i="33"/>
  <c r="D52" i="33"/>
  <c r="G52" i="33"/>
  <c r="D53" i="33"/>
  <c r="D54" i="33"/>
  <c r="G54" i="33"/>
  <c r="D55" i="33"/>
  <c r="G55" i="33"/>
  <c r="G56" i="33"/>
  <c r="G57" i="33"/>
  <c r="G51" i="33"/>
  <c r="D44" i="33"/>
  <c r="D49" i="33"/>
  <c r="G49" i="33"/>
  <c r="G53" i="33"/>
  <c r="G58" i="33"/>
  <c r="G43" i="33"/>
  <c r="D45" i="33"/>
  <c r="J7" i="18"/>
  <c r="J15" i="18"/>
  <c r="J9" i="18"/>
  <c r="J14" i="18"/>
  <c r="J11" i="18"/>
  <c r="J13" i="18"/>
  <c r="J5" i="18"/>
  <c r="J10" i="18"/>
  <c r="J4" i="18"/>
  <c r="J6" i="18"/>
  <c r="J8" i="18"/>
  <c r="J1" i="21"/>
  <c r="A1" i="21"/>
  <c r="A7" i="9"/>
  <c r="H102" i="33" l="1"/>
  <c r="J102" i="33" s="1"/>
  <c r="H100" i="33"/>
  <c r="J100" i="33" s="1"/>
  <c r="H68" i="33"/>
  <c r="J68" i="33" s="1"/>
  <c r="H70" i="33"/>
  <c r="J70" i="33" s="1"/>
  <c r="H67" i="33"/>
  <c r="J67" i="33" s="1"/>
  <c r="H80" i="33"/>
  <c r="J80" i="33" s="1"/>
  <c r="H64" i="33"/>
  <c r="J64" i="33" s="1"/>
  <c r="H71" i="33"/>
  <c r="J71" i="33" s="1"/>
  <c r="H81" i="33"/>
  <c r="J81" i="33" s="1"/>
  <c r="H92" i="33"/>
  <c r="J92" i="33" s="1"/>
  <c r="H63" i="33"/>
  <c r="J63" i="33" s="1"/>
  <c r="H89" i="33"/>
  <c r="J89" i="33" s="1"/>
  <c r="H78" i="33"/>
  <c r="J78" i="33" s="1"/>
  <c r="H101" i="33"/>
  <c r="J101" i="33" s="1"/>
  <c r="H95" i="33"/>
  <c r="J95" i="33" s="1"/>
  <c r="H60" i="33"/>
  <c r="J60" i="33" s="1"/>
  <c r="H74" i="33"/>
  <c r="J74" i="33" s="1"/>
  <c r="H91" i="33"/>
  <c r="J91" i="33" s="1"/>
  <c r="H73" i="33"/>
  <c r="J73" i="33" s="1"/>
  <c r="H77" i="33"/>
  <c r="J77" i="33" s="1"/>
  <c r="H106" i="33"/>
  <c r="J106" i="33" s="1"/>
  <c r="H59" i="33"/>
  <c r="J59" i="33" s="1"/>
  <c r="H98" i="33"/>
  <c r="J98" i="33" s="1"/>
  <c r="H69" i="33"/>
  <c r="J69" i="33" s="1"/>
  <c r="H104" i="33"/>
  <c r="J104" i="33" s="1"/>
  <c r="H75" i="33"/>
  <c r="J75" i="33" s="1"/>
  <c r="H105" i="33"/>
  <c r="J105" i="33" s="1"/>
  <c r="H61" i="33"/>
  <c r="J61" i="33" s="1"/>
  <c r="H83" i="33"/>
  <c r="J83" i="33" s="1"/>
  <c r="H103" i="33"/>
  <c r="J103" i="33" s="1"/>
  <c r="H90" i="33"/>
  <c r="J90" i="33" s="1"/>
  <c r="H79" i="33"/>
  <c r="J79" i="33" s="1"/>
  <c r="H66" i="33"/>
  <c r="J66" i="33" s="1"/>
  <c r="H62" i="33"/>
  <c r="J62" i="33" s="1"/>
  <c r="H76" i="33"/>
  <c r="J76" i="33" s="1"/>
  <c r="H88" i="33"/>
  <c r="J88" i="33" s="1"/>
  <c r="E44" i="33"/>
  <c r="E45" i="33"/>
  <c r="F45" i="33" s="1"/>
  <c r="E46" i="33"/>
  <c r="F46" i="33" s="1"/>
  <c r="E47" i="33"/>
  <c r="F47" i="33" s="1"/>
  <c r="E48" i="33"/>
  <c r="F48" i="33" s="1"/>
  <c r="E49" i="33"/>
  <c r="F49" i="33" s="1"/>
  <c r="E50" i="33"/>
  <c r="F50" i="33" s="1"/>
  <c r="E51" i="33"/>
  <c r="F51" i="33" s="1"/>
  <c r="E52" i="33"/>
  <c r="F52" i="33" s="1"/>
  <c r="E53" i="33"/>
  <c r="F53" i="33" s="1"/>
  <c r="E54" i="33"/>
  <c r="F54" i="33" s="1"/>
  <c r="E55" i="33"/>
  <c r="F55" i="33" s="1"/>
  <c r="E56" i="33"/>
  <c r="F56" i="33" s="1"/>
  <c r="E57" i="33"/>
  <c r="F57" i="33" s="1"/>
  <c r="E58" i="33"/>
  <c r="F58" i="33" s="1"/>
  <c r="E43" i="33"/>
  <c r="F43" i="33" s="1"/>
  <c r="J4" i="21"/>
  <c r="A4" i="21"/>
  <c r="G12" i="9"/>
  <c r="G15" i="9" s="1"/>
  <c r="F44" i="33" l="1"/>
  <c r="H44" i="33" s="1"/>
  <c r="J44" i="33" s="1"/>
  <c r="H47" i="33"/>
  <c r="J47" i="33" s="1"/>
  <c r="H46" i="33"/>
  <c r="J46" i="33" s="1"/>
  <c r="H45" i="33"/>
  <c r="J45" i="33" s="1"/>
  <c r="H50" i="33"/>
  <c r="J50" i="33" s="1"/>
  <c r="H48" i="33"/>
  <c r="J48" i="33" s="1"/>
  <c r="H57" i="33"/>
  <c r="J57" i="33" s="1"/>
  <c r="H49" i="33"/>
  <c r="J49" i="33" s="1"/>
  <c r="H58" i="33"/>
  <c r="J58" i="33" s="1"/>
  <c r="H55" i="33"/>
  <c r="J55" i="33" s="1"/>
  <c r="H53" i="33"/>
  <c r="J53" i="33" s="1"/>
  <c r="H54" i="33"/>
  <c r="J54" i="33" s="1"/>
  <c r="H52" i="33"/>
  <c r="J52" i="33" s="1"/>
  <c r="H56" i="33"/>
  <c r="J56" i="33" s="1"/>
  <c r="H51" i="33"/>
  <c r="J51" i="33" s="1"/>
  <c r="H43" i="33"/>
  <c r="J43" i="33" s="1"/>
  <c r="G9" i="9"/>
  <c r="A1" i="25"/>
  <c r="A1" i="31"/>
  <c r="G14" i="9" l="1"/>
  <c r="A3" i="9" s="1"/>
  <c r="J16" i="1"/>
  <c r="K16" i="1"/>
  <c r="L16" i="1"/>
  <c r="M16" i="1"/>
  <c r="N16" i="1"/>
  <c r="O16" i="1"/>
  <c r="P16" i="1"/>
  <c r="Q16" i="1"/>
  <c r="R16" i="1"/>
  <c r="S16" i="1"/>
  <c r="T16" i="1"/>
  <c r="U16" i="1"/>
  <c r="V16" i="1"/>
  <c r="W16" i="1"/>
  <c r="X16" i="1"/>
  <c r="I16" i="1"/>
  <c r="G16" i="9" l="1"/>
  <c r="B3" i="9"/>
  <c r="J22" i="1"/>
  <c r="K22" i="1"/>
  <c r="L22" i="1"/>
  <c r="M22" i="1"/>
  <c r="N22" i="1"/>
  <c r="O22" i="1"/>
  <c r="P22" i="1"/>
  <c r="Q22" i="1"/>
  <c r="R22" i="1"/>
  <c r="S22" i="1"/>
  <c r="T22" i="1"/>
  <c r="U22" i="1"/>
  <c r="V22" i="1"/>
  <c r="W22" i="1"/>
  <c r="X22" i="1"/>
  <c r="I22" i="1"/>
  <c r="J21" i="1"/>
  <c r="K21" i="1"/>
  <c r="L21" i="1"/>
  <c r="M21" i="1"/>
  <c r="N21" i="1"/>
  <c r="O21" i="1"/>
  <c r="P21" i="1"/>
  <c r="Q21" i="1"/>
  <c r="R21" i="1"/>
  <c r="S21" i="1"/>
  <c r="T21" i="1"/>
  <c r="U21" i="1"/>
  <c r="V21" i="1"/>
  <c r="W21" i="1"/>
  <c r="X21" i="1"/>
  <c r="J15" i="1"/>
  <c r="K15" i="1"/>
  <c r="L15" i="1"/>
  <c r="M15" i="1"/>
  <c r="N15" i="1"/>
  <c r="O15" i="1"/>
  <c r="P15" i="1"/>
  <c r="Q15" i="1"/>
  <c r="R15" i="1"/>
  <c r="S15" i="1"/>
  <c r="T15" i="1"/>
  <c r="U15" i="1"/>
  <c r="V15" i="1"/>
  <c r="W15" i="1"/>
  <c r="X15" i="1"/>
  <c r="I19" i="1" l="1" a="1"/>
  <c r="I19" i="1" s="1"/>
  <c r="I25" i="1" a="1"/>
  <c r="I25" i="1" s="1"/>
  <c r="C3" i="9"/>
  <c r="I3" i="18"/>
  <c r="H3" i="18" l="1"/>
  <c r="G3" i="18"/>
  <c r="J3" i="18" l="1"/>
  <c r="B3" i="1" l="1"/>
  <c r="B21" i="1" s="1"/>
  <c r="B9" i="1" l="1"/>
  <c r="B15" i="1"/>
  <c r="A1" i="13" l="1"/>
  <c r="A1" i="27" l="1"/>
  <c r="A1" i="22"/>
  <c r="A1" i="28"/>
  <c r="A1" i="29"/>
  <c r="A1" i="9"/>
  <c r="A1" i="1"/>
  <c r="A1" i="14"/>
  <c r="AB4" i="21" l="1"/>
  <c r="AB5" i="21"/>
  <c r="AB6" i="21"/>
  <c r="AB7" i="21"/>
  <c r="H5" i="21"/>
  <c r="H6" i="21"/>
  <c r="H7" i="21"/>
  <c r="H8" i="21"/>
  <c r="H9" i="21"/>
  <c r="H10" i="21"/>
  <c r="H11" i="21"/>
  <c r="H12" i="21"/>
  <c r="H13" i="21"/>
  <c r="H14" i="21"/>
  <c r="H15" i="21"/>
  <c r="H16" i="21"/>
  <c r="H17" i="21"/>
  <c r="H18" i="21"/>
  <c r="H19" i="21"/>
  <c r="H4" i="2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<sst xmlns="http://schemas.openxmlformats.org/spreadsheetml/2006/main" count="1352" uniqueCount="539">
  <si>
    <t>Data Sources</t>
  </si>
  <si>
    <t>Dataset</t>
  </si>
  <si>
    <t>Dodge 2023</t>
  </si>
  <si>
    <t>CEUS 2022</t>
  </si>
  <si>
    <t>ComStock 2023</t>
  </si>
  <si>
    <t>Prototype</t>
  </si>
  <si>
    <r>
      <t>CEC Assembly prototype</t>
    </r>
    <r>
      <rPr>
        <sz val="10"/>
        <rFont val="Arial"/>
        <family val="2"/>
      </rPr>
      <t xml:space="preserve"> (CBECC 2022.3.1)</t>
    </r>
  </si>
  <si>
    <t>https://bees.noresco.com/software2022.html</t>
  </si>
  <si>
    <t>Codes</t>
  </si>
  <si>
    <t xml:space="preserve">Title 24, part 6, referred to as T24 (1984, 2001, 2007, 2013, 2016, 2022, 2025) </t>
  </si>
  <si>
    <t>ASHRAE 90.1 (2022)</t>
  </si>
  <si>
    <t>CFR Title 10 (2008, 2010, 2025)</t>
  </si>
  <si>
    <t>ACM 2022</t>
  </si>
  <si>
    <t>T24 2022 - Appendix 5.4A and Appendix 5.4B</t>
  </si>
  <si>
    <t>https://www.energy.ca.gov/publications/2022/2022-nonresidential-and-multifamily-alternative-calculation-method-reference</t>
  </si>
  <si>
    <t xml:space="preserve"> </t>
  </si>
  <si>
    <t>Other</t>
  </si>
  <si>
    <t xml:space="preserve">2022 Reduced infiltration CASE report </t>
  </si>
  <si>
    <t>https://title24stakeholders.com/wp-content/uploads/2020/10/2022-T24-Final-CASE-Report_Reduce-Infiltration.pdf</t>
  </si>
  <si>
    <t>2019 Outdoor Lighting CASE Report</t>
  </si>
  <si>
    <t>https://title24stakeholders.com/wp-content/uploads/2016/10/T24-2019-CASE-Study-Results-Report-Outdoor-Sources_Final_with-Attachments.pdf</t>
  </si>
  <si>
    <t>2019 High Efficiency Fume Hoods in Laboratory Spaces CASE Report</t>
  </si>
  <si>
    <t>https://title24stakeholders.com/wp-content/uploads/2017/09/2019-T24-CASE-Report_Fume-Hoods_Final_September-2017.pdf?</t>
  </si>
  <si>
    <t>PNNL 20405, 2011</t>
  </si>
  <si>
    <t>file:///N:/Prj_SUS/2023/S23668%20SCE%20CA%20Prototypes%20Development/Technical/NR/0_Input%20data/Lighting/PNNL-20405.pdf</t>
  </si>
  <si>
    <t>Air leakage Memo, NORESCO, 2025</t>
  </si>
  <si>
    <t>Infiltration_rate_report_14May2025-Short-Version.docx</t>
  </si>
  <si>
    <t>Water Heater</t>
  </si>
  <si>
    <t>ENERGY STAR certified commercial water heaters (gas storage input ≥76 kBtu/h; ES tank sizes)</t>
  </si>
  <si>
    <t>ENERGY STAR commercial WH dataset (download)</t>
  </si>
  <si>
    <t>ENERGY STAR commercial WH eligibility (gas storage &gt;75 kBtu/h)</t>
  </si>
  <si>
    <t>Grainger gas tank water heaters (sizes below ES commercial, e.g. 30–75 kBtu/h)</t>
  </si>
  <si>
    <t>Grainger electric tank water heaters (kW ladder, tank gallons)</t>
  </si>
  <si>
    <t>ES commercial electric = heat pumps only; not used for resistance tank list</t>
  </si>
  <si>
    <t>Construction Rate</t>
  </si>
  <si>
    <t>Notes</t>
  </si>
  <si>
    <t>2025 T24</t>
  </si>
  <si>
    <t xml:space="preserve">Assembly Building is a building with meeting halls in which people gather for civic, social, or 
recreational activities. These include civic centers, convention centers and auditoriums. </t>
  </si>
  <si>
    <t>Assembly</t>
  </si>
  <si>
    <t>Characteristic</t>
  </si>
  <si>
    <t>Value</t>
  </si>
  <si>
    <t>Building Type</t>
  </si>
  <si>
    <t>Building Category</t>
  </si>
  <si>
    <t>Nonresidential</t>
  </si>
  <si>
    <t>Version</t>
  </si>
  <si>
    <t>v2-0</t>
  </si>
  <si>
    <t>Vintages</t>
  </si>
  <si>
    <t>4 Vintages: Pre-1978, 1978-1997,1998-2007, 2008-2018
New Construction (2019+)</t>
  </si>
  <si>
    <r>
      <rPr>
        <sz val="10"/>
        <color rgb="FF000000"/>
        <rFont val="Arial"/>
        <family val="2"/>
      </rPr>
      <t xml:space="preserve">Based on the vintage bin analysis. 
</t>
    </r>
    <r>
      <rPr>
        <sz val="10"/>
        <color rgb="FF000000"/>
        <rFont val="Arial"/>
        <family val="2"/>
      </rPr>
      <t>A summary of the findings is presented in the following paper, with a link provided in the Notes tab:
Yousefi, F., Athalye, R. (2025). “Determining Vintage Bins for Prototype Development: An Analysis of California Commercial Buildings.” ASHRAE Annual Conference.</t>
    </r>
  </si>
  <si>
    <t>Shape</t>
  </si>
  <si>
    <t xml:space="preserve">The analysis uses prototype geometry originally developed by CEC. </t>
  </si>
  <si>
    <t>Total Floor Area (ft²)</t>
  </si>
  <si>
    <t>Same as CEC</t>
  </si>
  <si>
    <t>Aspect Ratio</t>
  </si>
  <si>
    <t>It varies for different buildings.</t>
  </si>
  <si>
    <t>Number of Floors</t>
  </si>
  <si>
    <t>Roof type</t>
  </si>
  <si>
    <t>Flat</t>
  </si>
  <si>
    <t>WWR</t>
  </si>
  <si>
    <t>Shading Geometry</t>
  </si>
  <si>
    <t xml:space="preserve">No Shades </t>
  </si>
  <si>
    <t>Floor to floor height (feet)</t>
  </si>
  <si>
    <t>Library and Exhibit &amp; Events=13 ft, Religious=50 ft, Sports &amp; Rec and Terminal=25 ft</t>
  </si>
  <si>
    <t>Floor to ceiling height (feet)</t>
  </si>
  <si>
    <t>Glazing sill height (feet)</t>
  </si>
  <si>
    <t>Above grade wall area (ft²)</t>
  </si>
  <si>
    <t>Gross wall area  (ft²)</t>
  </si>
  <si>
    <t>Roof area  (ft²)</t>
  </si>
  <si>
    <t>Underground Gross Wall Area  (ft²)</t>
  </si>
  <si>
    <t>Building</t>
  </si>
  <si>
    <t>Space/Thermal Zone</t>
  </si>
  <si>
    <r>
      <rPr>
        <b/>
        <sz val="10"/>
        <color rgb="FF000000"/>
        <rFont val="Arial"/>
        <family val="2"/>
      </rPr>
      <t xml:space="preserve">Space Type
</t>
    </r>
    <r>
      <rPr>
        <b/>
        <sz val="10"/>
        <color rgb="FF000000"/>
        <rFont val="Arial"/>
        <family val="2"/>
      </rPr>
      <t>[Primarily from: T24, 2022 Appendix 5.4A] - See Notes column</t>
    </r>
  </si>
  <si>
    <t>HVAC System Name/AHU Name</t>
  </si>
  <si>
    <t>Schedule Category</t>
  </si>
  <si>
    <t>Conditioned (Y/N)</t>
  </si>
  <si>
    <t>Area Fraction</t>
  </si>
  <si>
    <t>Area (ft²) W/O Multiplier</t>
  </si>
  <si>
    <t>Area (ft²)</t>
  </si>
  <si>
    <t>Volume (ft³)</t>
  </si>
  <si>
    <t>Multipliers</t>
  </si>
  <si>
    <t>Number of People W/O Multiplier</t>
  </si>
  <si>
    <t>Number of People</t>
  </si>
  <si>
    <t xml:space="preserve">People 
(Persons/1,000 ft²)
[T24, 2025,Table 120.1-A] </t>
  </si>
  <si>
    <t>Exhibits and events</t>
  </si>
  <si>
    <t>Exhibits and events_Conference Room</t>
  </si>
  <si>
    <t>Convention, Conference, Multipurpose and Meeting Area</t>
  </si>
  <si>
    <t>AHU-1</t>
  </si>
  <si>
    <t>Yes</t>
  </si>
  <si>
    <t>Exhibits and events_Theater Area</t>
  </si>
  <si>
    <t>Theater Area (Motion Picture)</t>
  </si>
  <si>
    <t>Exhibits and events_Auditorium Area</t>
  </si>
  <si>
    <t>Auditorium Area</t>
  </si>
  <si>
    <t>Exhibits and events_Museum Area Exhibition Display</t>
  </si>
  <si>
    <t>Museum Area (Exhibition/Display)</t>
  </si>
  <si>
    <t>Library</t>
  </si>
  <si>
    <t>Library_Conference Room</t>
  </si>
  <si>
    <t>AHU-2</t>
  </si>
  <si>
    <t>Library_Reading Area</t>
  </si>
  <si>
    <t>Library (Reading Area)</t>
  </si>
  <si>
    <t>Library_Stacks Area</t>
  </si>
  <si>
    <t>Library (Stacks Area)</t>
  </si>
  <si>
    <t>Library_Lobby Main Entry</t>
  </si>
  <si>
    <t>Lobby, Main Entry</t>
  </si>
  <si>
    <t>Religious</t>
  </si>
  <si>
    <t>Religious_Conference Room</t>
  </si>
  <si>
    <t>AHU-3</t>
  </si>
  <si>
    <t>Religious_General Office</t>
  </si>
  <si>
    <t>Office Area (&gt;250 square feet)</t>
  </si>
  <si>
    <t>Office</t>
  </si>
  <si>
    <t>Religious_Worship Area</t>
  </si>
  <si>
    <t>Religious Worship Area</t>
  </si>
  <si>
    <t>Sports</t>
  </si>
  <si>
    <t>Sports and recreation_GYM</t>
  </si>
  <si>
    <t>Exercise/Fitness Center and Gymnasium Areas</t>
  </si>
  <si>
    <t>AHU-4</t>
  </si>
  <si>
    <t>Sports and recreation_Locker Room</t>
  </si>
  <si>
    <t>Locker Room</t>
  </si>
  <si>
    <t>Sports and recreation_Restroom</t>
  </si>
  <si>
    <t>Restrooms</t>
  </si>
  <si>
    <t>Indirectly conditioned</t>
  </si>
  <si>
    <t>Terminal</t>
  </si>
  <si>
    <t>Terminals_Concourse</t>
  </si>
  <si>
    <t>Concourse and Atria Area</t>
  </si>
  <si>
    <t>AHU-5</t>
  </si>
  <si>
    <t>Occupancy load is based on T24, 2025, Appendix 5.4A, [For CSV - 2022 SpcFuncData] tab</t>
  </si>
  <si>
    <t>Terminals_Baggage</t>
  </si>
  <si>
    <t>Transportation Function (Baggage Area)</t>
  </si>
  <si>
    <t>Terminals_Ticket</t>
  </si>
  <si>
    <t>Transportation Function (Ticketing Area)</t>
  </si>
  <si>
    <t>Total (5 Building)</t>
  </si>
  <si>
    <t>Total (17 spaces)</t>
  </si>
  <si>
    <t>Total (15 Space types)</t>
  </si>
  <si>
    <t>Total ( 5 HVAC Zones)</t>
  </si>
  <si>
    <t xml:space="preserve"> Total (17 Conditioned zones)</t>
  </si>
  <si>
    <t>Background Data [To be deleted prior to publication]</t>
  </si>
  <si>
    <t>Element</t>
  </si>
  <si>
    <t xml:space="preserve"> Assembly Type</t>
  </si>
  <si>
    <t>Construction</t>
  </si>
  <si>
    <t>Thermal properties</t>
  </si>
  <si>
    <t>Vintage</t>
  </si>
  <si>
    <t>Selected T24</t>
  </si>
  <si>
    <t>CZ1</t>
  </si>
  <si>
    <t>CZ2</t>
  </si>
  <si>
    <t>CZ3</t>
  </si>
  <si>
    <t>CZ4</t>
  </si>
  <si>
    <t>CZ5</t>
  </si>
  <si>
    <t>CZ6</t>
  </si>
  <si>
    <t>CZ7</t>
  </si>
  <si>
    <t>CZ8</t>
  </si>
  <si>
    <t>CZ9</t>
  </si>
  <si>
    <t>CZ10</t>
  </si>
  <si>
    <t>CZ11</t>
  </si>
  <si>
    <t>CZ12</t>
  </si>
  <si>
    <t>CZ13</t>
  </si>
  <si>
    <t>CZ14</t>
  </si>
  <si>
    <t>CZ15</t>
  </si>
  <si>
    <t>CZ16</t>
  </si>
  <si>
    <t xml:space="preserve">External Wall </t>
  </si>
  <si>
    <t>ExtWall_MetalFramed_NonRes</t>
  </si>
  <si>
    <t>Metal framed wall:
Metal frame + insulation + Gypsum board</t>
  </si>
  <si>
    <t>U-value IP</t>
  </si>
  <si>
    <t>Pre 1978</t>
  </si>
  <si>
    <t>N/A</t>
  </si>
  <si>
    <t>Using DOE pre-1980 U-values and a 6.1% cumulative wall renovation rate through 2028, based on the average annual rate from CBECS 2003 and 2012 projected over 48 years.</t>
  </si>
  <si>
    <t>1978-1997</t>
  </si>
  <si>
    <r>
      <rPr>
        <sz val="10"/>
        <color rgb="FF000000"/>
        <rFont val="Arial"/>
        <family val="2"/>
      </rPr>
      <t xml:space="preserve">Similar to </t>
    </r>
    <r>
      <rPr>
        <sz val="10"/>
        <color rgb="FF000000"/>
        <rFont val="Arial"/>
        <family val="2"/>
      </rPr>
      <t>Low-rise office:</t>
    </r>
    <r>
      <rPr>
        <sz val="10"/>
        <color rgb="FF000000"/>
        <rFont val="Arial"/>
        <family val="2"/>
      </rPr>
      <t xml:space="preserve"> 
Package A/ Heat Capacity was considered </t>
    </r>
    <r>
      <rPr>
        <sz val="10"/>
        <color rgb="FF000000"/>
        <rFont val="Arial"/>
        <family val="2"/>
      </rPr>
      <t>0-3.99</t>
    </r>
    <r>
      <rPr>
        <sz val="10"/>
        <color rgb="FF000000"/>
        <rFont val="Arial"/>
        <family val="2"/>
      </rPr>
      <t xml:space="preserve"> (BTU/F/ft²)</t>
    </r>
  </si>
  <si>
    <t>These values have better performance than the next vintage</t>
  </si>
  <si>
    <t>1998-2007</t>
  </si>
  <si>
    <t>Table 1-H</t>
  </si>
  <si>
    <t>2008-2018</t>
  </si>
  <si>
    <t>Table 140.3-B</t>
  </si>
  <si>
    <t>Existing</t>
  </si>
  <si>
    <t>Weighted average of all 4 vintages</t>
  </si>
  <si>
    <t>2019+</t>
  </si>
  <si>
    <t>Roof</t>
  </si>
  <si>
    <t>FlatRoof_WoodFramedAndOther_NonRes</t>
  </si>
  <si>
    <r>
      <rPr>
        <sz val="10"/>
        <color rgb="FF000000"/>
        <rFont val="Arial"/>
        <family val="2"/>
      </rPr>
      <t xml:space="preserve">Metal deck roof:
</t>
    </r>
    <r>
      <rPr>
        <sz val="10"/>
        <color rgb="FF000000"/>
        <rFont val="Arial"/>
        <family val="2"/>
      </rPr>
      <t>roof membrane+roof insulation+metal decking</t>
    </r>
  </si>
  <si>
    <t>Considering 30 years for roof/ insulation replacement.</t>
  </si>
  <si>
    <t>Windows</t>
  </si>
  <si>
    <t>FixedWindow_NonRes</t>
  </si>
  <si>
    <t xml:space="preserve">Single pane </t>
  </si>
  <si>
    <t>ASHRAE Handbook of Fundamentals (Table 4-Ch15) for single pane &amp; T24, 2013  for double pane (33%-67%)*</t>
  </si>
  <si>
    <t>Double pane</t>
  </si>
  <si>
    <t>SHGC</t>
  </si>
  <si>
    <t>ASHRAE Handbook of Fundamentals (Table 10-Ch15) for single pane &amp; T24, 2013  for double pane (33%-67%)*</t>
  </si>
  <si>
    <t>Table 1-H - WWR:31-40% / SHGC non-north</t>
  </si>
  <si>
    <t>Infiltration</t>
  </si>
  <si>
    <t>Zones</t>
  </si>
  <si>
    <t>I_75
6-sdied Infiltration rate 
@ 75 pa</t>
  </si>
  <si>
    <t>Note</t>
  </si>
  <si>
    <t xml:space="preserve"> I-design (cfm/ft²) 
(4-sided Infiltration rate at normal pressure) 
(Design flow rate approach and Flow/Exterior Wall Area calculation method) </t>
  </si>
  <si>
    <t>2022 CASE report (Table 38)</t>
  </si>
  <si>
    <t>Floor or roof area (ft2)</t>
  </si>
  <si>
    <t>Walls area (ft2)</t>
  </si>
  <si>
    <t>Building 4 sided area (ft2)=</t>
  </si>
  <si>
    <t>2022 CASE report (Table 38) &amp;
T24, 2008-2016 (Table 140.3-B)--Air barrier is required in CZ 10-16</t>
  </si>
  <si>
    <t>Building 6 sided area (ft2)=</t>
  </si>
  <si>
    <t>Same as Pre 2008 because of their higher weights</t>
  </si>
  <si>
    <t>2022 CASE report (Table 38) &amp;  
T24, 2025 (Table 140.3-B)--Air barrier is required in all CZs</t>
  </si>
  <si>
    <t>6 sided /4 sided factor=</t>
  </si>
  <si>
    <t xml:space="preserve">Air Leakage Memo: </t>
  </si>
  <si>
    <t>-</t>
  </si>
  <si>
    <t>Pre-1978 exterior wall U value calculation</t>
  </si>
  <si>
    <t>Metal frame + insulation + Gypsum board</t>
  </si>
  <si>
    <t>ASHRAE 90.1, 2022 Table A3.1-2, 4", R-0, 135 lb/ft3 Density</t>
  </si>
  <si>
    <t>T24  (2008 U value)</t>
  </si>
  <si>
    <t>DOE pre 1980 prototype LA (U value)</t>
  </si>
  <si>
    <t xml:space="preserve">Renovation rate since 1980  (yearly renovation rate was calculated from CBECS 2003 and 2012 and then projected over 48 years) </t>
  </si>
  <si>
    <t>Similar to High-rise office: 
Package A/ Heat Capacity was considered ~10 (BTU/F/ft²)</t>
  </si>
  <si>
    <r>
      <rPr>
        <sz val="10"/>
        <color rgb="FF000000"/>
        <rFont val="Arial"/>
        <family val="2"/>
      </rPr>
      <t xml:space="preserve">Similar to High-rise office: 
Package A/ Heat Capacity was considered </t>
    </r>
    <r>
      <rPr>
        <sz val="10"/>
        <color rgb="FF000000"/>
        <rFont val="Arial"/>
        <family val="2"/>
      </rPr>
      <t>4-10</t>
    </r>
    <r>
      <rPr>
        <sz val="10"/>
        <color rgb="FF000000"/>
        <rFont val="Arial"/>
        <family val="2"/>
      </rPr>
      <t xml:space="preserve"> (BTU/F/ft²)</t>
    </r>
  </si>
  <si>
    <t xml:space="preserve">Heating </t>
  </si>
  <si>
    <t>Cooling</t>
  </si>
  <si>
    <t>Air Distribution</t>
  </si>
  <si>
    <t>Source</t>
  </si>
  <si>
    <t>All Space Types</t>
  </si>
  <si>
    <t>Hot water heating (Central Gas Boiler)</t>
  </si>
  <si>
    <t>Chilled water cooling (central Water-Cooled Chiller)</t>
  </si>
  <si>
    <t>MZ VAV+Hydronic Reheat</t>
  </si>
  <si>
    <t>Engineering Judgement</t>
  </si>
  <si>
    <t>System 6 – VAV</t>
  </si>
  <si>
    <t>New Construction</t>
  </si>
  <si>
    <t>Hot water heating (AWHP)</t>
  </si>
  <si>
    <t xml:space="preserve">T24 2025 ACM 2025, Table 2 and 3 
</t>
  </si>
  <si>
    <t>System 15 – VAVAWHP</t>
  </si>
  <si>
    <t>Exhibit/Sport Arena/Religious building/Terminal</t>
  </si>
  <si>
    <r>
      <rPr>
        <b/>
        <sz val="12"/>
        <color rgb="FFFFFFFF"/>
        <rFont val="Arial"/>
        <family val="2"/>
      </rPr>
      <t xml:space="preserve">Efficiency of HVAC system 
</t>
    </r>
    <r>
      <rPr>
        <sz val="10"/>
        <color rgb="FFFFFFFF"/>
        <rFont val="Arial"/>
        <family val="2"/>
      </rPr>
      <t xml:space="preserve"> (Efficiency is capacity-dependent. The following table provides a general estimate of system efficiency based on preliminary simulations in one climate zone, or assuming cooling load based on rule of thumb)</t>
    </r>
  </si>
  <si>
    <t>Upgrade/Installed year</t>
  </si>
  <si>
    <t>Water Cooled Chiller</t>
  </si>
  <si>
    <t>Gas Boiler</t>
  </si>
  <si>
    <t>Heat Rejection (Cooling Tower)</t>
  </si>
  <si>
    <t xml:space="preserve">Sources </t>
  </si>
  <si>
    <t xml:space="preserve">Water Cooled, 
Electrically Operated, 
Centrifugal--≥ 300 tons  - 6.10 COP
6.40 IPLV </t>
  </si>
  <si>
    <t xml:space="preserve">80% Ec </t>
  </si>
  <si>
    <t xml:space="preserve"> Axial fan 
Open-circuit cooling 
tower--95°F entering water 
85°F leaving water 
75°F entering air wb--≥ 38.2 gpm/hp </t>
  </si>
  <si>
    <t>2008 Title 20 Appliance Efficiency Regulations, 2005 T24 Standards, Tables 112-A, 112-B</t>
  </si>
  <si>
    <t>Water Cooled, 
Electrically Operated, 
Centrifugal--≥ 600 tons --≤ 0.570 kW/ton (6.2 COP) 
≤ 0.539 IPLV (Path A)</t>
  </si>
  <si>
    <t xml:space="preserve">82% Ec </t>
  </si>
  <si>
    <t xml:space="preserve"> Axial fan 
Open-circuit cooling 
tower--95°F entering water 
85°F leaving water 
75°F entering air wb--≥ 42.1 gpm/hp </t>
  </si>
  <si>
    <t>2013 Title 20 Appliance Efficiency Regulations, 2013 T24 Tables 112-A, 112-B</t>
  </si>
  <si>
    <t>Water Cooled, 
Electrically Operated, 
Centrifugal--≥ 600 tons  ≤ 0.560  kW/ton (6.28 COP) 
≤ 0.500 IPLV (Path A)</t>
  </si>
  <si>
    <t>Gas-Fired Boiler &gt; 10,000,000 Btu/h-- 82% Ec</t>
  </si>
  <si>
    <t>Title 20 Appliance Efficiency Regulations, T24, 2025, Tables 110.2-A, 110.2-B</t>
  </si>
  <si>
    <t>* Et = Combustion efficiency</t>
  </si>
  <si>
    <t>* Et = Thermal efficiency</t>
  </si>
  <si>
    <t>Fan power</t>
  </si>
  <si>
    <t>Approach</t>
  </si>
  <si>
    <t>System</t>
  </si>
  <si>
    <t>Total Static Pressure (TSP)
(in w.c.)</t>
  </si>
  <si>
    <t>Fan Efficiency
[ACM 2025]</t>
  </si>
  <si>
    <t xml:space="preserve">Motor Efficiency </t>
  </si>
  <si>
    <t xml:space="preserve"> Fan Power Index 
(W/cfm)</t>
  </si>
  <si>
    <t>Data Source</t>
  </si>
  <si>
    <t>PNNL 90.1-2011, TSP</t>
  </si>
  <si>
    <t>VAV (System 6), &gt; 4,648 cfm</t>
  </si>
  <si>
    <t>ASHRAE 90.1, 2004, Table 10.8 *</t>
  </si>
  <si>
    <t>Fan power formula: PNNL 20405, 2010, section 5.2.2.5
TSP and fan efficiency: PNNL 20405, 2010, Table 5.11, 90.1-04ac values
Motor efficiency: ASHRAE 90.1, 2004, Table 10.8</t>
  </si>
  <si>
    <t>Brake horsepower (bhp) = (Supply cfm × TSP in w.c.) / (6356 × fan efficiency)</t>
  </si>
  <si>
    <t>Fan power (w/cfm) = (bhp ×  746) / ( supply cfm × motor efficiency )</t>
  </si>
  <si>
    <t>ACM 2025</t>
  </si>
  <si>
    <t>PVAVAWHP (System 15), library, &gt;10,000 cfm</t>
  </si>
  <si>
    <t>TSP = fan power × motor efficiency × fan efficiency × 6356 / 746</t>
  </si>
  <si>
    <t>2025 ACM Table 12 **</t>
  </si>
  <si>
    <t>Fan power index: [ACM 2025, Table 13]
Motor efficiency: [ACM 2025, Table 12]</t>
  </si>
  <si>
    <t>VAV (System 6), all other zones, &gt;10,000 cfm</t>
  </si>
  <si>
    <t>*    According to PNNL 20405 section 5.2.2.5, the full-load efficiency of the motor serving the fan is taken from  ASHRAE 90.1, 2004, Table 10.8, based on motor nameplate and assuming enclosed motors operating at 1,800 rotations per minute (rpm)
      Motor nameplate size (bhp) = brake horsepower (bhp) × 1.1 ( using a 10% oversizing factor)</t>
  </si>
  <si>
    <t>**   The full‑load efficiency of the motor serving the fan is taken from ACM 2025 Table 12 based on the cfm of the fan.
     Brake horsepower  (bhp) = (Supply cfm from sizing run × fan power in W/cfm) / 746.
     Note: Library is System 15 PVAVAWHP (ACM Table 13 &gt;10,000 cfm = 0.964; 5,000–10,000 cfm = 1.022). Parallel fan-powered box fans, where used, are a separate 0.3 W/cfm. All other zones are System 6 (0.946, same as Hospital).</t>
  </si>
  <si>
    <t>Setpoint</t>
  </si>
  <si>
    <t>Assembly Heating Setpoint (F)</t>
  </si>
  <si>
    <t>T24 2022 - Appendix 5.4B</t>
  </si>
  <si>
    <t>Assembly Heating Setback (F)</t>
  </si>
  <si>
    <t>Assembly Cooling Setpoint (F)</t>
  </si>
  <si>
    <t>Assembly Cooling Setback (F)</t>
  </si>
  <si>
    <t>Outdoor Airflow Rate</t>
  </si>
  <si>
    <t>Space</t>
  </si>
  <si>
    <t>Floor Area (ft²)</t>
  </si>
  <si>
    <t>cfm/person [T24, 2025, Equation 120.1-F and Table 120.1-A]</t>
  </si>
  <si>
    <t>cfm/ft² [T24, 2025, Equation 120.1-F and Table 120.1-A]</t>
  </si>
  <si>
    <t>Required exhaust rate-CFM/ft²- [T24, 2025, Table 120.1-B – minimum exhaust rates]</t>
  </si>
  <si>
    <t>Total cfm driven by people</t>
  </si>
  <si>
    <t>Total cfm driven by area</t>
  </si>
  <si>
    <t>Total cfm driven by exhaust</t>
  </si>
  <si>
    <t>Total cfm</t>
  </si>
  <si>
    <t>50 Per Unit or ~0.5 cfm/ft2</t>
  </si>
  <si>
    <t>Restrooms in California per 2025 T24 require mechanical exhaust ventilation, but they do not require additional dedicated outdoor air (OA) beyond that local exhaust. Bathroom exhaust and exhaust fan energy will be captured in the models. We will assume make-up air is drawn from adjacent spaces.</t>
  </si>
  <si>
    <t>Water Heater - Laboratory</t>
  </si>
  <si>
    <t>WH Type</t>
  </si>
  <si>
    <t>Efficiency</t>
  </si>
  <si>
    <t>Number of WH</t>
  </si>
  <si>
    <t>Tank Volume (gal)</t>
  </si>
  <si>
    <t>Tank Loss</t>
  </si>
  <si>
    <t xml:space="preserve">Existing  </t>
  </si>
  <si>
    <t>Gas</t>
  </si>
  <si>
    <t>See table below for CZ-specific values: Climate Zone Water Heater Sizing and Loss Coefficients, Storage Volume column (col F)</t>
  </si>
  <si>
    <t>See table below: Climate Zone Water Heater Sizing and Loss Coefficients, Standby Loss column (col G)</t>
  </si>
  <si>
    <t>See table below for sources: Climate Zone Water Heater Sizing and Loss Coefficients</t>
  </si>
  <si>
    <t>Peak Hot Water Consumption</t>
  </si>
  <si>
    <t>Space Name</t>
  </si>
  <si>
    <t>Baseline WH Type 
[CEUS 2022]</t>
  </si>
  <si>
    <t>Total Area (ft²)</t>
  </si>
  <si>
    <t>Hot Water Usage Specification
(gal/hr per person)  
[T24, 2022, Appendix 5.4A , sheet: "2022 SpaceFuncData-Input"]</t>
  </si>
  <si>
    <t>Peak Hot Water Usage
(gal/hr)</t>
  </si>
  <si>
    <t>Peak Hot Water Usage
(gal/min)</t>
  </si>
  <si>
    <t>For space types marked with an asterisk (the ‘*’ symbol), the water‑heater type is listed as electric in Appendix 5.4A, sheet ‘2022 SpaceFuncData‑Input.’ However, we modified the value based on CEUS data, which indicates that gas is the primary fuel type.</t>
  </si>
  <si>
    <t>Total</t>
  </si>
  <si>
    <t>Gas storage</t>
  </si>
  <si>
    <t>Minimum peak hot water usage is 75 gal according to ACM 2025</t>
  </si>
  <si>
    <t xml:space="preserve">Total </t>
  </si>
  <si>
    <t>Electric resistance</t>
  </si>
  <si>
    <t xml:space="preserve">Plant peak hot water per building (gal/hr) </t>
  </si>
  <si>
    <t>Water Heater Name</t>
  </si>
  <si>
    <t>WH type</t>
  </si>
  <si>
    <t>ExhibitBldg_WH</t>
  </si>
  <si>
    <t>Minimum peak hot water usage is 75 gal/hr according to ACM 2025, §5.9.2</t>
  </si>
  <si>
    <t>LibraryBldg_WH</t>
  </si>
  <si>
    <t>ReligiousBldg_WH</t>
  </si>
  <si>
    <t>SportsBldg_WH</t>
  </si>
  <si>
    <t>TerminalsBldg_WH</t>
  </si>
  <si>
    <t>Design supply temperature (°F)</t>
  </si>
  <si>
    <t>CEC-400-2022-009-CMF-REV2-AP5.4B</t>
  </si>
  <si>
    <t>WH system factor</t>
  </si>
  <si>
    <t>2025 ACM §5.9.2 Rated Capacity</t>
  </si>
  <si>
    <t>Water mass conversion (lb/gal)</t>
  </si>
  <si>
    <t>Reheat multiplier</t>
  </si>
  <si>
    <t>2025 ACM §5.9.2 Storage Volume</t>
  </si>
  <si>
    <t>Climate Zone Water Heater Sizing and Loss Coefficients</t>
  </si>
  <si>
    <t>Water Heater name</t>
  </si>
  <si>
    <t>Climate Zone</t>
  </si>
  <si>
    <t>Minimum Monthly Mains Temp (°F)
[T24 2022 - Appendix 5.4B]</t>
  </si>
  <si>
    <t>Heat Output (Btu/hr)
[ACM, 2025, 5.9.2: Rated capacity section]</t>
  </si>
  <si>
    <t>WH Capacity (Btu/hr)
[ACM, 2025, 5.9.2: Rated capacity section]</t>
  </si>
  <si>
    <t>Required Energy Input (Btu/hr)</t>
  </si>
  <si>
    <t>Storage Volume (gal)</t>
  </si>
  <si>
    <t>Standby Loss
 [Title 20, §1605.1 Table F-4; Appendix B: Water Heating Calculation Method]</t>
  </si>
  <si>
    <t xml:space="preserve">Off/On Cycle Loss Coefficient to Ambient Temp </t>
  </si>
  <si>
    <t>Source/Note</t>
  </si>
  <si>
    <t>CZ01</t>
  </si>
  <si>
    <t>Btu/hr</t>
  </si>
  <si>
    <t>Btu/h·°F</t>
  </si>
  <si>
    <t>Required Energy Input: vendor/available catalog size (Market data table).
Storage Volume: standard/available catalog tank size (Market data table).</t>
  </si>
  <si>
    <t>CZ02</t>
  </si>
  <si>
    <t>CZ03</t>
  </si>
  <si>
    <t>CZ04</t>
  </si>
  <si>
    <t>CZ05</t>
  </si>
  <si>
    <t>CZ06</t>
  </si>
  <si>
    <t>CZ07</t>
  </si>
  <si>
    <t>CZ08</t>
  </si>
  <si>
    <t>CZ09</t>
  </si>
  <si>
    <t xml:space="preserve">Market data </t>
  </si>
  <si>
    <t>Catalog gas input (Btu/h)</t>
  </si>
  <si>
    <t>Input source</t>
  </si>
  <si>
    <t>Elec resistance tank (kW)</t>
  </si>
  <si>
    <t>Elec resistance (Btu/h)</t>
  </si>
  <si>
    <t>Catalog gas tank (gal)</t>
  </si>
  <si>
    <t>Tank source</t>
  </si>
  <si>
    <t>Elec tank (gal)</t>
  </si>
  <si>
    <t>Elec tank source</t>
  </si>
  <si>
    <t>Grainger</t>
  </si>
  <si>
    <t>ENERGY STAR</t>
  </si>
  <si>
    <t>Both</t>
  </si>
  <si>
    <t>Space Type</t>
  </si>
  <si>
    <t xml:space="preserve">New Construction </t>
  </si>
  <si>
    <t>Lighting density 
(W/ft²)</t>
  </si>
  <si>
    <t>Additional lighting power for portable lighting (W/ft²)</t>
  </si>
  <si>
    <t xml:space="preserve">LPD (W/ft²) </t>
  </si>
  <si>
    <t>Additional LPD for Portable Lighting (W/ft²)</t>
  </si>
  <si>
    <t xml:space="preserve">T24, 2025, Table 140.6 C  (Area category method) </t>
  </si>
  <si>
    <t xml:space="preserve">T24, 2016, Table 140.6 C   (Area category method) </t>
  </si>
  <si>
    <t>It is assumed that 50% of the additional allowance lighting is in use.</t>
  </si>
  <si>
    <t>Motion Controlled Luminaires (W)</t>
  </si>
  <si>
    <t>Non-motion Controlled Luminaires (W)</t>
  </si>
  <si>
    <t>Total (W)</t>
  </si>
  <si>
    <t>T24, 2022 &amp; 2025
2019 Outdoor Lighting CASE report 
 PNNL 90.1-2010 TSD</t>
  </si>
  <si>
    <t>Items (Assume LZ2)</t>
  </si>
  <si>
    <t>Assumptions
[2019 Outdoor Lighting CASE Report &amp; PNNL 90.1-2010 TS]</t>
  </si>
  <si>
    <t>Unit</t>
  </si>
  <si>
    <t>Lighting Power Allowance 
[T24, 2025, Table 140.7-A &amp; 140.7-B]</t>
  </si>
  <si>
    <t>Exterior Lighting Power (W)</t>
  </si>
  <si>
    <t>IWA (Initial Wattage Allowance)</t>
  </si>
  <si>
    <t>(W)</t>
  </si>
  <si>
    <t>Parking area</t>
  </si>
  <si>
    <t xml:space="preserve"> 400 ft² for every parking space 
1 parking space per 830 ft² of gross building area </t>
  </si>
  <si>
    <t>(ft²)</t>
  </si>
  <si>
    <t>(W/ft²)</t>
  </si>
  <si>
    <t>Building Entrance</t>
  </si>
  <si>
    <t>5 building entrance per PNNL Model</t>
  </si>
  <si>
    <t>(count)</t>
  </si>
  <si>
    <t>(W/ea)</t>
  </si>
  <si>
    <t>Hardscape Ornamental Light</t>
  </si>
  <si>
    <t>0.1 ft² per 1 ft² of gross building area for hardscape ornamental light</t>
  </si>
  <si>
    <t>Building façade</t>
  </si>
  <si>
    <t>0.1 W per 1 ft² of facade area 
Façade Area = Perimeter × 0.5 × max ( height and 30) (30 ft is the max height that is lit) * 
The 0.5 factor assumes that only half of the perimeter walls are lit.
-Formula is developed based on the 2019 Outdoor Lighting CASE report</t>
  </si>
  <si>
    <t>Non-motion-controlled Luminaires</t>
  </si>
  <si>
    <t>Total floor area</t>
  </si>
  <si>
    <t>side each buildings (ft)</t>
  </si>
  <si>
    <t>max Height that is lit for each buildings (ft)</t>
  </si>
  <si>
    <t>Floors</t>
  </si>
  <si>
    <t>Plug load Power Density (W/ft²)</t>
  </si>
  <si>
    <t>Gas Power Density (Btu/hr-ft²)</t>
  </si>
  <si>
    <t>Refrigeration Power Density (W/ft²)</t>
  </si>
  <si>
    <t xml:space="preserve">T24 2022 - Appendix 5.4A
</t>
  </si>
  <si>
    <t>Plug load and schedules project with CEC, 2025</t>
  </si>
  <si>
    <t>T24 2022 - Appendix 5.4A</t>
  </si>
  <si>
    <t>CalBEM Energy Consumption - Assembly</t>
  </si>
  <si>
    <t>CZ</t>
  </si>
  <si>
    <t>CalBEM Electricity EUI (KBTU/ft²)</t>
  </si>
  <si>
    <t>CalBEM Gas EUI (KBTU/ft²)</t>
  </si>
  <si>
    <t>CalBEM Total  EUI (KBTU/ft²)</t>
  </si>
  <si>
    <t>New Construction  Electricity EUI (KBTU/ft²)</t>
  </si>
  <si>
    <t>New Construction  Gas EUI (KBTU/ft²)</t>
  </si>
  <si>
    <t>New Construction  Total EUI (KBTU/ft²)</t>
  </si>
  <si>
    <t>National Average</t>
  </si>
  <si>
    <t>Acceptable Range (25% Higher)</t>
  </si>
  <si>
    <t>Acceptable Range (25% Lower)</t>
  </si>
  <si>
    <t>National Average Acceptable EUI Range</t>
  </si>
  <si>
    <t>Total Floorspace (Thousand of ft²)</t>
  </si>
  <si>
    <t>CEUS 2023 Electricity EUI (kBtu/ft²)</t>
  </si>
  <si>
    <t>CEUS 2023 Gas EUI  (kBtu/ft²)</t>
  </si>
  <si>
    <t>CEUS 2023 Total EUI (kBtu/ft²)</t>
  </si>
  <si>
    <t xml:space="preserve">CEUS 2022 Acceptable EUI Range </t>
  </si>
  <si>
    <r>
      <rPr>
        <b/>
        <sz val="10"/>
        <color theme="1"/>
        <rFont val="Arial"/>
        <family val="2"/>
      </rPr>
      <t xml:space="preserve">Ref: </t>
    </r>
    <r>
      <rPr>
        <sz val="10"/>
        <color theme="1"/>
        <rFont val="Arial"/>
        <family val="2"/>
      </rPr>
      <t xml:space="preserve">CEUS 2022 Report </t>
    </r>
  </si>
  <si>
    <t xml:space="preserve">And converted FZ level data to CZ level </t>
  </si>
  <si>
    <t>Vintage Bin</t>
  </si>
  <si>
    <t>Pre-1978</t>
  </si>
  <si>
    <t>Not available</t>
  </si>
  <si>
    <t>Statewide</t>
  </si>
  <si>
    <t>Ref: CEUS 2022 dataset: Miscellaneous group</t>
  </si>
  <si>
    <t xml:space="preserve">CEUS doesn't have Assembly weight data. </t>
  </si>
  <si>
    <t>TBD</t>
  </si>
  <si>
    <t>Space Function</t>
  </si>
  <si>
    <t>Electric Equipment Load Intensity</t>
  </si>
  <si>
    <t>LPD</t>
  </si>
  <si>
    <t>Aging Eye/Low-vision (Corridor Area)</t>
  </si>
  <si>
    <t>Aging Eye/Low-vision (Dining)</t>
  </si>
  <si>
    <t>Aging Eye/Low-vision (Lobby, Main Entry)</t>
  </si>
  <si>
    <t>Aging Eye/Low-vision (Lounge/Waiting Area)</t>
  </si>
  <si>
    <t>Aging Eye/Low-vision (Multipurpose Room)</t>
  </si>
  <si>
    <t>Aging Eye/Low-vision (Religious Worship Area)</t>
  </si>
  <si>
    <t>Aging Eye/Low-vision (Restroom)</t>
  </si>
  <si>
    <t>Aging Eye/Low-vision (Stairwell)</t>
  </si>
  <si>
    <t>Audience Seating Area</t>
  </si>
  <si>
    <t>Auto Repair / Maintenance Area</t>
  </si>
  <si>
    <t>Barber, Beauty Salon, Spa Area</t>
  </si>
  <si>
    <t>Civic Meeting Place Area</t>
  </si>
  <si>
    <t>Classroom, Lecture, Training, Vocational Areas</t>
  </si>
  <si>
    <t>Copy Room</t>
  </si>
  <si>
    <t>Corridor Area</t>
  </si>
  <si>
    <t>Dining Area (Bar/Lounge and Fine Dining)</t>
  </si>
  <si>
    <t>Dining Area (Cafeteria/Fast Food)</t>
  </si>
  <si>
    <t>Dining Area (Family and Leisure)</t>
  </si>
  <si>
    <t>Electrical, Mechanical, Telephone Rooms</t>
  </si>
  <si>
    <t>Financial Transaction Area</t>
  </si>
  <si>
    <t>Healthcare Facility and Hospitals (Exam/Treatment Room)</t>
  </si>
  <si>
    <t>Healthcare Facility and Hospitals (Imaging Room)</t>
  </si>
  <si>
    <t>Healthcare Facility and Hospitals (Medical Supply Room)</t>
  </si>
  <si>
    <t>Healthcare Facility and Hospitals (Nursery)</t>
  </si>
  <si>
    <t>Healthcare Facility and Hospitals (Nurse's Station)</t>
  </si>
  <si>
    <t>Healthcare Facility and Hospitals (Operating Room)</t>
  </si>
  <si>
    <t>Healthcare Facility and Hospitals (Patient Room)</t>
  </si>
  <si>
    <t>Healthcare Facility and Hospitals (Physical Therapy Room)</t>
  </si>
  <si>
    <t>Healthcare Facility and Hospitals (Recovery Room)</t>
  </si>
  <si>
    <t>Hotel Function Area</t>
  </si>
  <si>
    <t>Kitchen/Food Preparation Area</t>
  </si>
  <si>
    <t>Kitchenette or Residential Kitchen</t>
  </si>
  <si>
    <t>Laboratory, Scientific</t>
  </si>
  <si>
    <t xml:space="preserve">Laundry Area </t>
  </si>
  <si>
    <t>Lounge, Breakroom, or Waiting Area</t>
  </si>
  <si>
    <t>Manufacturing, Commercial &amp; Industrial Work Area (Low Bay)</t>
  </si>
  <si>
    <t>Manufacturing, Commercial &amp; Industrial Work Area (High Bay)</t>
  </si>
  <si>
    <t>Manufacturing, Commercial &amp; Industrial Work Area (Precision)</t>
  </si>
  <si>
    <t>Museum Area (Restoration Room)</t>
  </si>
  <si>
    <t>Office Area (&lt;250 square feet)</t>
  </si>
  <si>
    <t>Parking Garage Area (Parking Zone and Ramps)</t>
  </si>
  <si>
    <t>Parking Garage Area (Daylight Adaptation Zones)</t>
  </si>
  <si>
    <t>Pharmacy Area</t>
  </si>
  <si>
    <t>Retail Sales Area (Grocery Sales)</t>
  </si>
  <si>
    <t>Retail Sales Area (Retail Merchandise Sales)</t>
  </si>
  <si>
    <t>Retail Sales Area (Fitting Room)</t>
  </si>
  <si>
    <t>Stairwell</t>
  </si>
  <si>
    <t>Storage, Commercial/Industrial (Warehouse)</t>
  </si>
  <si>
    <t>Storage, Commercial/Industrial (Refrigerated)</t>
  </si>
  <si>
    <t>Storage, Commercial/Industrial (Shipping &amp; Handling)</t>
  </si>
  <si>
    <t>Storage (General)</t>
  </si>
  <si>
    <t>Sports Arena - Playing Area (&gt; 5,000 Spectators)</t>
  </si>
  <si>
    <t>Sports Arena - Playing Area (2,000 - 5,000 Spectators)</t>
  </si>
  <si>
    <t>Sports Arena - Playing Area (&lt; 2,000 Spectators)</t>
  </si>
  <si>
    <t>Sports Arena - Playing Area (Recreational)</t>
  </si>
  <si>
    <t>Theater Area (Performance)</t>
  </si>
  <si>
    <t>Videoconferencing Studio</t>
  </si>
  <si>
    <t>High-Rise Residential Living Spaces</t>
  </si>
  <si>
    <t>Hotel/Motel Guest Room</t>
  </si>
  <si>
    <t>All other</t>
  </si>
  <si>
    <t>Attic</t>
  </si>
  <si>
    <t>Reception Area</t>
  </si>
  <si>
    <t>Elevator</t>
  </si>
  <si>
    <t>Plenum</t>
  </si>
  <si>
    <t>IT Room (EPD 12)</t>
  </si>
  <si>
    <t>Computer Room (EPD 20)</t>
  </si>
  <si>
    <t>Server Room (EPD 45)</t>
  </si>
  <si>
    <t>Zone</t>
  </si>
  <si>
    <t>Schedule</t>
  </si>
  <si>
    <t>Type</t>
  </si>
  <si>
    <t>Hour</t>
  </si>
  <si>
    <t>All the Zones except Office</t>
  </si>
  <si>
    <t>Occupancy</t>
  </si>
  <si>
    <t>T24 2022 - Appendix 5.4B, [Assembly]</t>
  </si>
  <si>
    <t>Weekday</t>
  </si>
  <si>
    <t>Saturday</t>
  </si>
  <si>
    <t>Sunday</t>
  </si>
  <si>
    <t>All the Zones except Office and Storage</t>
  </si>
  <si>
    <t>Lights</t>
  </si>
  <si>
    <t>ElecEquipment</t>
  </si>
  <si>
    <t>ServiceHotWater</t>
  </si>
  <si>
    <t>GasEquipment</t>
  </si>
  <si>
    <t>Refrigeration</t>
  </si>
  <si>
    <t>HVACAvail</t>
  </si>
  <si>
    <t>HtgSetpt</t>
  </si>
  <si>
    <t>ClgSetpt</t>
  </si>
  <si>
    <r>
      <t xml:space="preserve">T24 2022 - Appendix 5.4B, [Office]
</t>
    </r>
    <r>
      <rPr>
        <sz val="9"/>
        <color rgb="FF0070C0"/>
        <rFont val="Arial"/>
        <family val="2"/>
      </rPr>
      <t xml:space="preserve">
Updated based on Plug load and schedules project with CEC, 2025</t>
    </r>
  </si>
  <si>
    <t>T24 2022 - Appendix 5.4B, [Office]</t>
  </si>
  <si>
    <t xml:space="preserve">ElecEquipment </t>
  </si>
  <si>
    <t xml:space="preserve">Plug load and schedules project with CEC, 2025 </t>
  </si>
  <si>
    <r>
      <t xml:space="preserve">T24 2022 - Appendix 5.4B, [Office]
</t>
    </r>
    <r>
      <rPr>
        <sz val="9"/>
        <color rgb="FF0070C0"/>
        <rFont val="Arial"/>
        <family val="2"/>
      </rPr>
      <t>Updated based on Plug load and schedules project with CEC, 202</t>
    </r>
  </si>
  <si>
    <t>Honeywell-INNCOM e7 Thermostat User Guide 
&amp; Engineering Judgement</t>
  </si>
  <si>
    <t> </t>
  </si>
  <si>
    <t>ExtLightingNonMotionCtrl</t>
  </si>
  <si>
    <t>ExtLightingMotionCtrl</t>
  </si>
  <si>
    <t>Restroom, Museum, and Terminals</t>
  </si>
  <si>
    <t>CommonAreaPeopleActivityLevel</t>
  </si>
  <si>
    <t>CEC Assembly Prototype</t>
  </si>
  <si>
    <t>LockerRoomPeopleActivityLevel</t>
  </si>
  <si>
    <t>Gym</t>
  </si>
  <si>
    <t>GymPeopleActivityLevel</t>
  </si>
  <si>
    <t>Library, Office</t>
  </si>
  <si>
    <t>FunctionalAreaPeopleActivityLevel</t>
  </si>
  <si>
    <t>Conference</t>
  </si>
  <si>
    <t>MeetingAreaPeopleActivityLevel</t>
  </si>
  <si>
    <t>Theater, Worship, Auditorium</t>
  </si>
  <si>
    <t>PerformanceSpcPeopleActivityLevel</t>
  </si>
  <si>
    <t>NORESCO, Updated September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</si>
</sst>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_(* \(#,##0.00\);_(* &quot;-&quot;??_);_(@_)"/>
    <numFmt numFmtId="164" formatCode="0.0%"/>
    <numFmt numFmtId="165" formatCode="0.0"/>
    <numFmt numFmtId="166" formatCode="#,##0.0"/>
    <numFmt numFmtId="167" formatCode="0.000"/>
    <numFmt numFmtId="168" formatCode="_(* #,##0_);_(* \(#,##0\);_(* &quot;-&quot;??_);_(@_)"/>
    <numFmt numFmtId="169" formatCode="#,##0;\-0;[Color15]0"/>
    <numFmt numFmtId="170" formatCode="_(* #,##0.0_);_(* \(#,##0.0\);_(* &quot;-&quot;??_);_(@_)"/>
    <numFmt numFmtId="171" formatCode="0.0000"/>
  </numFmts>
  <fonts count="70">
    <font>
      <sz val="11"/>
      <color theme="1"/>
      <name val="Calibri"/>
      <family val="2"/>
      <scheme val="minor"/>
    </font>
    <font>
      <sz val="10"/>
      <name val="Arial"/>
      <family val="2"/>
    </font>
    <font>
      <sz val="11"/>
      <color theme="1"/>
      <name val="Calibri"/>
      <family val="2"/>
      <scheme val="minor"/>
    </font>
    <font>
      <b/>
      <sz val="11"/>
      <color theme="1"/>
      <name val="Calibri"/>
      <family val="2"/>
      <scheme val="minor"/>
    </font>
    <font>
      <sz val="8"/>
      <color indexed="8"/>
      <name val="MS Sans Serif"/>
      <family val="2"/>
    </font>
    <font>
      <sz val="8"/>
      <name val="Calibri"/>
      <family val="2"/>
      <scheme val="minor"/>
    </font>
    <font>
      <sz val="12"/>
      <color theme="1"/>
      <name val="Calibri"/>
      <family val="2"/>
      <scheme val="minor"/>
    </font>
    <font>
      <sz val="10"/>
      <color theme="1"/>
      <name val="Arial"/>
      <family val="2"/>
    </font>
    <font>
      <b/>
      <sz val="10"/>
      <color theme="1"/>
      <name val="Arial"/>
      <family val="2"/>
    </font>
    <font>
      <u/>
      <sz val="11"/>
      <color theme="10"/>
      <name val="Calibri"/>
      <family val="2"/>
      <scheme val="minor"/>
    </font>
    <font>
      <b/>
      <sz val="11"/>
      <color theme="0"/>
      <name val="Calibri"/>
      <family val="2"/>
      <scheme val="minor"/>
    </font>
    <font>
      <sz val="10"/>
      <color indexed="8"/>
      <name val="Arial"/>
      <family val="2"/>
    </font>
    <font>
      <sz val="11"/>
      <color theme="0"/>
      <name val="Calibri"/>
      <family val="2"/>
      <scheme val="minor"/>
    </font>
    <font>
      <sz val="11"/>
      <color theme="1"/>
      <name val="Arial"/>
      <family val="2"/>
    </font>
    <font>
      <b/>
      <sz val="12"/>
      <color theme="0"/>
      <name val="Arial"/>
      <family val="2"/>
    </font>
    <font>
      <sz val="11"/>
      <color rgb="FF000000"/>
      <name val="Calibri"/>
      <family val="2"/>
      <scheme val="minor"/>
    </font>
    <font>
      <b/>
      <sz val="14"/>
      <color theme="1"/>
      <name val="Arial"/>
      <family val="2"/>
    </font>
    <font>
      <u/>
      <sz val="10"/>
      <color theme="10"/>
      <name val="Arial"/>
      <family val="2"/>
    </font>
    <font>
      <sz val="10"/>
      <color theme="1"/>
      <name val="Calibri"/>
      <family val="2"/>
      <scheme val="minor"/>
    </font>
    <font>
      <sz val="11"/>
      <color rgb="FF0070C0"/>
      <name val="Arial"/>
      <family val="2"/>
    </font>
    <font>
      <b/>
      <sz val="10"/>
      <name val="Arial"/>
      <family val="2"/>
    </font>
    <font>
      <b/>
      <sz val="10"/>
      <color indexed="8"/>
      <name val="Arial"/>
      <family val="2"/>
    </font>
    <font>
      <sz val="10"/>
      <color rgb="FF000000"/>
      <name val="Arial"/>
      <family val="2"/>
    </font>
    <font>
      <sz val="10"/>
      <color rgb="FF000000"/>
      <name val="Arial"/>
      <family val="2"/>
    </font>
    <font>
      <sz val="9"/>
      <color theme="1"/>
      <name val="Arial"/>
      <family val="2"/>
    </font>
    <font>
      <sz val="10"/>
      <color rgb="FF000000"/>
      <name val="Arial"/>
      <family val="2"/>
    </font>
    <font>
      <b/>
      <sz val="10"/>
      <color rgb="FF000000"/>
      <name val="Arial"/>
      <family val="2"/>
    </font>
    <font>
      <b/>
      <sz val="9"/>
      <color theme="0"/>
      <name val="Arial"/>
      <family val="2"/>
    </font>
    <font>
      <sz val="11"/>
      <color theme="1"/>
      <name val="Arial"/>
      <family val="2"/>
    </font>
    <font>
      <b/>
      <sz val="10"/>
      <color rgb="FF002F8E"/>
      <name val="Arial"/>
      <family val="2"/>
    </font>
    <font>
      <sz val="10"/>
      <color theme="0"/>
      <name val="Arial"/>
      <family val="2"/>
    </font>
    <font>
      <b/>
      <sz val="12"/>
      <color rgb="FFFFFFFF"/>
      <name val="Arial"/>
      <family val="2"/>
    </font>
    <font>
      <u/>
      <sz val="10"/>
      <color rgb="FF0563C1"/>
      <name val="Arial"/>
      <family val="2"/>
    </font>
    <font>
      <sz val="11"/>
      <name val="Calibri"/>
      <family val="2"/>
      <scheme val="minor"/>
    </font>
    <font>
      <sz val="10"/>
      <color rgb="FFA6A6A6"/>
      <name val="Arial"/>
      <family val="2"/>
    </font>
    <font>
      <sz val="10"/>
      <color rgb="FF0070C0"/>
      <name val="Arial"/>
      <family val="2"/>
    </font>
    <font>
      <u/>
      <sz val="10"/>
      <name val="Arial"/>
      <family val="2"/>
    </font>
    <font>
      <sz val="14"/>
      <color rgb="FF000000"/>
      <name val="Times New Roman"/>
      <family val="1"/>
    </font>
    <font>
      <sz val="9"/>
      <color rgb="FF000000"/>
      <name val="Arial"/>
      <family val="2"/>
    </font>
    <font>
      <sz val="9"/>
      <color rgb="FF000000"/>
      <name val="Arial"/>
      <family val="2"/>
    </font>
    <font>
      <sz val="9"/>
      <color rgb="FF0070C0"/>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000000"/>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000000"/>
      <name val="Calibri"/>
      <family val="2"/>
      <scheme val="minor"/>
    </font>
    <font>
      <i/>
      <sz val="11"/>
      <color rgb="FF7F7F7F"/>
      <name val="Calibri"/>
      <family val="2"/>
      <scheme val="minor"/>
    </font>
    <font>
      <sz val="8"/>
      <color indexed="8"/>
      <name val="MS Sans Serif"/>
      <charset val="1"/>
    </font>
    <font>
      <sz val="11"/>
      <color rgb="FF9C6500"/>
      <name val="Calibri"/>
      <family val="2"/>
      <scheme val="minor"/>
    </font>
    <font>
      <sz val="11"/>
      <color theme="1"/>
      <name val="Calibri"/>
      <family val="2"/>
      <charset val="134"/>
      <scheme val="minor"/>
    </font>
    <font>
      <b/>
      <sz val="18"/>
      <color theme="3"/>
      <name val="Calibri Light"/>
      <family val="2"/>
      <scheme val="major"/>
    </font>
    <font>
      <u/>
      <sz val="10"/>
      <color theme="10"/>
      <name val="Arial Narrow"/>
      <family val="2"/>
    </font>
    <font>
      <b/>
      <sz val="11"/>
      <name val="Calibri"/>
      <family val="2"/>
    </font>
    <font>
      <sz val="11"/>
      <color rgb="FF000000"/>
      <name val="Calibri"/>
      <family val="2"/>
    </font>
    <font>
      <sz val="11"/>
      <color theme="1"/>
      <name val="Calibri"/>
      <family val="2"/>
    </font>
    <font>
      <u/>
      <sz val="10"/>
      <color theme="10"/>
      <name val="Calibri"/>
      <family val="2"/>
      <scheme val="minor"/>
    </font>
    <font>
      <b/>
      <sz val="10"/>
      <color rgb="FF000000"/>
      <name val="Arial"/>
      <family val="2"/>
    </font>
    <font>
      <sz val="10"/>
      <color rgb="FFFFFFFF"/>
      <name val="Arial"/>
      <family val="2"/>
    </font>
    <font>
      <sz val="11"/>
      <color rgb="FF000000"/>
      <name val="Arial"/>
      <family val="2"/>
    </font>
    <font>
      <b/>
      <sz val="11"/>
      <color rgb="FF000000"/>
      <name val="Arial"/>
      <family val="2"/>
    </font>
    <font>
      <sz val="10"/>
      <color rgb="FF000000"/>
      <name val="Calibri"/>
      <family val="2"/>
      <scheme val="minor"/>
    </font>
    <font>
      <u/>
      <sz val="11"/>
      <color rgb="FF000000"/>
      <name val="Calibri"/>
      <family val="2"/>
      <scheme val="minor"/>
    </font>
    <font>
      <b/>
      <sz val="12"/>
      <color rgb="FFFFFFFF"/>
      <name val="Calibri"/>
      <family val="2"/>
      <scheme val="minor"/>
    </font>
  </fonts>
  <fills count="58">
    <fill>
      <patternFill patternType="none"/>
    </fill>
    <fill>
      <patternFill patternType="gray125"/>
    </fill>
    <fill>
      <patternFill patternType="solid">
        <fgColor rgb="FF92D050"/>
        <bgColor indexed="64"/>
      </patternFill>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4" tint="-0.499984740745262"/>
        <bgColor indexed="64"/>
      </patternFill>
    </fill>
    <fill>
      <patternFill patternType="solid">
        <fgColor rgb="FFD9E1F2"/>
        <bgColor rgb="FF000000"/>
      </patternFill>
    </fill>
    <fill>
      <patternFill patternType="solid">
        <fgColor theme="0" tint="-0.34998626667073579"/>
        <bgColor indexed="64"/>
      </patternFill>
    </fill>
    <fill>
      <patternFill patternType="solid">
        <fgColor rgb="FF203764"/>
        <bgColor rgb="FF000000"/>
      </patternFill>
    </fill>
    <fill>
      <patternFill patternType="solid">
        <fgColor rgb="FFFFFFFF"/>
        <bgColor rgb="FF000000"/>
      </patternFill>
    </fill>
    <fill>
      <patternFill patternType="solid">
        <fgColor rgb="FFF2F2F2"/>
        <bgColor rgb="FF000000"/>
      </patternFill>
    </fill>
    <fill>
      <patternFill patternType="solid">
        <fgColor rgb="FFD9D9D9"/>
        <bgColor rgb="FF000000"/>
      </patternFill>
    </fill>
    <fill>
      <patternFill patternType="solid">
        <fgColor rgb="FFBFBFBF"/>
        <bgColor rgb="FF000000"/>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203764"/>
        <bgColor indexed="64"/>
      </patternFill>
    </fill>
    <fill>
      <patternFill patternType="solid">
        <fgColor rgb="FF203864"/>
      </patternFill>
    </fill>
    <fill>
      <patternFill patternType="solid">
        <fgColor rgb="FFD9E1F2"/>
      </patternFill>
    </fill>
    <fill>
      <patternFill patternType="solid">
        <fgColor rgb="FFEAF1F8"/>
      </patternFill>
    </fill>
    <fill>
      <patternFill patternType="solid">
        <fgColor theme="5" tint="0.79998168889431442"/>
        <bgColor indexed="64"/>
      </patternFill>
    </fill>
    <fill>
      <patternFill patternType="solid">
        <fgColor theme="8" tint="0.79998168889431442"/>
        <bgColor indexed="64"/>
      </patternFill>
    </fill>
    <fill>
      <patternFill patternType="solid">
        <fgColor rgb="FFF5F8FA"/>
        <bgColor indexed="64"/>
      </patternFill>
    </fill>
    <fill>
      <patternFill patternType="solid">
        <fgColor rgb="FFC2BCBC"/>
        <bgColor indexed="64"/>
      </patternFill>
    </fill>
    <fill>
      <patternFill patternType="solid">
        <fgColor rgb="FF878686"/>
        <bgColor indexed="64"/>
      </patternFill>
    </fill>
    <fill>
      <patternFill patternType="solid">
        <fgColor rgb="FFA6A6A6"/>
        <bgColor indexed="64"/>
      </patternFill>
    </fill>
    <fill>
      <patternFill patternType="solid">
        <fgColor rgb="FFF2F2F2"/>
        <bgColor indexed="64"/>
      </patternFill>
    </fill>
  </fills>
  <borders count="207">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rgb="FF000000"/>
      </left>
      <right style="medium">
        <color indexed="64"/>
      </right>
      <top/>
      <bottom style="thin">
        <color rgb="FF000000"/>
      </bottom>
      <diagonal/>
    </border>
    <border>
      <left style="thin">
        <color indexed="64"/>
      </left>
      <right style="thin">
        <color indexed="64"/>
      </right>
      <top style="thin">
        <color indexed="64"/>
      </top>
      <bottom style="medium">
        <color indexed="64"/>
      </bottom>
      <diagonal/>
    </border>
    <border>
      <left style="thin">
        <color theme="0" tint="-0.499984740745262"/>
      </left>
      <right style="thin">
        <color theme="0" tint="-0.499984740745262"/>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style="medium">
        <color indexed="64"/>
      </top>
      <bottom/>
      <diagonal/>
    </border>
    <border>
      <left style="thin">
        <color theme="0" tint="-0.499984740745262"/>
      </left>
      <right style="thin">
        <color rgb="FF808080"/>
      </right>
      <top style="thin">
        <color theme="0" tint="-0.499984740745262"/>
      </top>
      <bottom/>
      <diagonal/>
    </border>
    <border>
      <left style="thin">
        <color rgb="FF808080"/>
      </left>
      <right style="thin">
        <color rgb="FF808080"/>
      </right>
      <top style="thin">
        <color rgb="FF808080"/>
      </top>
      <bottom/>
      <diagonal/>
    </border>
    <border>
      <left style="thin">
        <color theme="0" tint="-0.499984740745262"/>
      </left>
      <right style="thin">
        <color rgb="FF808080"/>
      </right>
      <top/>
      <bottom/>
      <diagonal/>
    </border>
    <border>
      <left style="thin">
        <color rgb="FF808080"/>
      </left>
      <right style="thin">
        <color rgb="FF808080"/>
      </right>
      <top/>
      <bottom/>
      <diagonal/>
    </border>
    <border>
      <left style="thin">
        <color theme="0" tint="-0.499984740745262"/>
      </left>
      <right style="thin">
        <color rgb="FF808080"/>
      </right>
      <top/>
      <bottom style="thin">
        <color theme="0" tint="-0.499984740745262"/>
      </bottom>
      <diagonal/>
    </border>
    <border>
      <left style="thin">
        <color rgb="FF808080"/>
      </left>
      <right style="thin">
        <color rgb="FF808080"/>
      </right>
      <top/>
      <bottom style="thin">
        <color rgb="FF808080"/>
      </bottom>
      <diagonal/>
    </border>
    <border>
      <left style="thin">
        <color rgb="FF808080"/>
      </left>
      <right style="thin">
        <color rgb="FF808080"/>
      </right>
      <top style="thin">
        <color rgb="FF808080"/>
      </top>
      <bottom style="thin">
        <color rgb="FF808080"/>
      </bottom>
      <diagonal/>
    </border>
    <border>
      <left style="thin">
        <color rgb="FF595959"/>
      </left>
      <right style="thin">
        <color rgb="FF595959"/>
      </right>
      <top style="thin">
        <color indexed="64"/>
      </top>
      <bottom style="thin">
        <color rgb="FF595959"/>
      </bottom>
      <diagonal/>
    </border>
    <border>
      <left style="thin">
        <color indexed="64"/>
      </left>
      <right style="thin">
        <color theme="0" tint="-0.499984740745262"/>
      </right>
      <top style="thin">
        <color indexed="64"/>
      </top>
      <bottom style="thin">
        <color theme="0" tint="-0.499984740745262"/>
      </bottom>
      <diagonal/>
    </border>
    <border>
      <left style="thin">
        <color theme="0" tint="-0.499984740745262"/>
      </left>
      <right style="thin">
        <color theme="0" tint="-0.499984740745262"/>
      </right>
      <top style="thin">
        <color indexed="64"/>
      </top>
      <bottom style="thin">
        <color theme="0" tint="-0.499984740745262"/>
      </bottom>
      <diagonal/>
    </border>
    <border>
      <left style="thin">
        <color theme="0" tint="-0.499984740745262"/>
      </left>
      <right style="thin">
        <color indexed="64"/>
      </right>
      <top style="thin">
        <color indexed="64"/>
      </top>
      <bottom style="thin">
        <color theme="0" tint="-0.499984740745262"/>
      </bottom>
      <diagonal/>
    </border>
    <border>
      <left style="thin">
        <color indexed="64"/>
      </left>
      <right style="thin">
        <color theme="0" tint="-0.499984740745262"/>
      </right>
      <top style="thin">
        <color theme="0" tint="-0.499984740745262"/>
      </top>
      <bottom style="thin">
        <color theme="0" tint="-0.499984740745262"/>
      </bottom>
      <diagonal/>
    </border>
    <border>
      <left style="thin">
        <color rgb="FF808080"/>
      </left>
      <right style="thin">
        <color indexed="64"/>
      </right>
      <top style="thin">
        <color theme="0" tint="-0.499984740745262"/>
      </top>
      <bottom/>
      <diagonal/>
    </border>
    <border>
      <left style="thin">
        <color rgb="FF808080"/>
      </left>
      <right style="thin">
        <color indexed="64"/>
      </right>
      <top/>
      <bottom/>
      <diagonal/>
    </border>
    <border>
      <left style="thin">
        <color rgb="FF808080"/>
      </left>
      <right style="thin">
        <color indexed="64"/>
      </right>
      <top/>
      <bottom style="thin">
        <color rgb="FF808080"/>
      </bottom>
      <diagonal/>
    </border>
    <border>
      <left style="thin">
        <color rgb="FF808080"/>
      </left>
      <right style="thin">
        <color indexed="64"/>
      </right>
      <top style="thin">
        <color rgb="FF808080"/>
      </top>
      <bottom style="thin">
        <color rgb="FF808080"/>
      </bottom>
      <diagonal/>
    </border>
    <border>
      <left style="thin">
        <color indexed="64"/>
      </left>
      <right style="thin">
        <color theme="0" tint="-0.499984740745262"/>
      </right>
      <top/>
      <bottom style="thin">
        <color indexed="64"/>
      </bottom>
      <diagonal/>
    </border>
    <border>
      <left style="thin">
        <color theme="0" tint="-0.499984740745262"/>
      </left>
      <right style="thin">
        <color theme="0" tint="-0.499984740745262"/>
      </right>
      <top style="thin">
        <color theme="0" tint="-0.499984740745262"/>
      </top>
      <bottom style="thin">
        <color indexed="64"/>
      </bottom>
      <diagonal/>
    </border>
    <border>
      <left style="thin">
        <color rgb="FF808080"/>
      </left>
      <right style="thin">
        <color rgb="FF808080"/>
      </right>
      <top style="thin">
        <color rgb="FF808080"/>
      </top>
      <bottom style="thin">
        <color indexed="64"/>
      </bottom>
      <diagonal/>
    </border>
    <border>
      <left style="thin">
        <color rgb="FF808080"/>
      </left>
      <right style="thin">
        <color indexed="64"/>
      </right>
      <top style="thin">
        <color rgb="FF808080"/>
      </top>
      <bottom style="thin">
        <color indexed="64"/>
      </bottom>
      <diagonal/>
    </border>
    <border>
      <left style="thin">
        <color indexed="64"/>
      </left>
      <right style="thin">
        <color theme="0" tint="-0.499984740745262"/>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bottom style="thin">
        <color rgb="FF000000"/>
      </bottom>
      <diagonal/>
    </border>
    <border>
      <left style="thin">
        <color indexed="64"/>
      </left>
      <right style="thin">
        <color indexed="64"/>
      </right>
      <top style="medium">
        <color indexed="64"/>
      </top>
      <bottom/>
      <diagonal/>
    </border>
    <border>
      <left style="thin">
        <color rgb="FF000000"/>
      </left>
      <right style="thin">
        <color rgb="FF000000"/>
      </right>
      <top style="thin">
        <color rgb="FF000000"/>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medium">
        <color theme="1" tint="0.34998626667073579"/>
      </left>
      <right/>
      <top style="medium">
        <color theme="1" tint="0.34998626667073579"/>
      </top>
      <bottom/>
      <diagonal/>
    </border>
    <border>
      <left/>
      <right/>
      <top style="medium">
        <color theme="1" tint="0.34998626667073579"/>
      </top>
      <bottom/>
      <diagonal/>
    </border>
    <border>
      <left/>
      <right style="medium">
        <color theme="1" tint="0.34998626667073579"/>
      </right>
      <top style="medium">
        <color theme="1" tint="0.34998626667073579"/>
      </top>
      <bottom/>
      <diagonal/>
    </border>
    <border>
      <left style="medium">
        <color theme="1" tint="0.34998626667073579"/>
      </left>
      <right/>
      <top/>
      <bottom/>
      <diagonal/>
    </border>
    <border>
      <left/>
      <right style="medium">
        <color theme="1" tint="0.34998626667073579"/>
      </right>
      <top/>
      <bottom/>
      <diagonal/>
    </border>
    <border>
      <left style="medium">
        <color theme="1" tint="0.34998626667073579"/>
      </left>
      <right/>
      <top/>
      <bottom style="medium">
        <color theme="1" tint="0.34998626667073579"/>
      </bottom>
      <diagonal/>
    </border>
    <border>
      <left/>
      <right/>
      <top/>
      <bottom style="medium">
        <color theme="1" tint="0.34998626667073579"/>
      </bottom>
      <diagonal/>
    </border>
    <border>
      <left/>
      <right style="medium">
        <color theme="1" tint="0.34998626667073579"/>
      </right>
      <top/>
      <bottom style="medium">
        <color theme="1" tint="0.34998626667073579"/>
      </bottom>
      <diagonal/>
    </border>
    <border>
      <left style="thin">
        <color theme="1" tint="0.34998626667073579"/>
      </left>
      <right style="thin">
        <color theme="1" tint="0.34998626667073579"/>
      </right>
      <top style="thin">
        <color theme="1" tint="0.34998626667073579"/>
      </top>
      <bottom/>
      <diagonal/>
    </border>
    <border>
      <left style="thin">
        <color theme="1" tint="0.34998626667073579"/>
      </left>
      <right style="thin">
        <color theme="1" tint="0.34998626667073579"/>
      </right>
      <top/>
      <bottom/>
      <diagonal/>
    </border>
    <border>
      <left style="thin">
        <color rgb="FF595959"/>
      </left>
      <right style="thin">
        <color rgb="FF595959"/>
      </right>
      <top style="medium">
        <color rgb="FF595959"/>
      </top>
      <bottom/>
      <diagonal/>
    </border>
    <border>
      <left style="thin">
        <color rgb="FF595959"/>
      </left>
      <right style="thin">
        <color rgb="FF595959"/>
      </right>
      <top/>
      <bottom/>
      <diagonal/>
    </border>
    <border>
      <left style="thin">
        <color rgb="FF595959"/>
      </left>
      <right style="thin">
        <color rgb="FF595959"/>
      </right>
      <top/>
      <bottom style="medium">
        <color rgb="FF595959"/>
      </bottom>
      <diagonal/>
    </border>
    <border>
      <left/>
      <right style="thin">
        <color rgb="FF595959"/>
      </right>
      <top/>
      <bottom style="thin">
        <color rgb="FF595959"/>
      </bottom>
      <diagonal/>
    </border>
    <border>
      <left/>
      <right style="medium">
        <color rgb="FF595959"/>
      </right>
      <top/>
      <bottom style="thin">
        <color rgb="FF595959"/>
      </bottom>
      <diagonal/>
    </border>
    <border>
      <left/>
      <right style="thin">
        <color rgb="FF595959"/>
      </right>
      <top style="medium">
        <color rgb="FF000000"/>
      </top>
      <bottom style="thin">
        <color rgb="FF595959"/>
      </bottom>
      <diagonal/>
    </border>
    <border>
      <left/>
      <right style="medium">
        <color rgb="FF000000"/>
      </right>
      <top style="medium">
        <color rgb="FF000000"/>
      </top>
      <bottom style="thin">
        <color rgb="FF595959"/>
      </bottom>
      <diagonal/>
    </border>
    <border>
      <left/>
      <right style="medium">
        <color rgb="FF000000"/>
      </right>
      <top/>
      <bottom style="thin">
        <color rgb="FF595959"/>
      </bottom>
      <diagonal/>
    </border>
    <border>
      <left/>
      <right style="thin">
        <color rgb="FF595959"/>
      </right>
      <top/>
      <bottom style="medium">
        <color rgb="FF000000"/>
      </bottom>
      <diagonal/>
    </border>
    <border>
      <left/>
      <right style="medium">
        <color rgb="FF000000"/>
      </right>
      <top/>
      <bottom style="medium">
        <color rgb="FF000000"/>
      </bottom>
      <diagonal/>
    </border>
    <border>
      <left/>
      <right style="thin">
        <color rgb="FF595959"/>
      </right>
      <top/>
      <bottom/>
      <diagonal/>
    </border>
    <border>
      <left/>
      <right style="medium">
        <color rgb="FF595959"/>
      </right>
      <top/>
      <bottom/>
      <diagonal/>
    </border>
    <border>
      <left/>
      <right style="thin">
        <color theme="1" tint="0.34998626667073579"/>
      </right>
      <top/>
      <bottom/>
      <diagonal/>
    </border>
    <border>
      <left style="medium">
        <color indexed="64"/>
      </left>
      <right style="thin">
        <color theme="1" tint="0.34998626667073579"/>
      </right>
      <top style="medium">
        <color indexed="64"/>
      </top>
      <bottom style="thin">
        <color theme="1" tint="0.34998626667073579"/>
      </bottom>
      <diagonal/>
    </border>
    <border>
      <left style="thin">
        <color theme="1" tint="0.34998626667073579"/>
      </left>
      <right style="thin">
        <color theme="1" tint="0.34998626667073579"/>
      </right>
      <top style="medium">
        <color indexed="64"/>
      </top>
      <bottom/>
      <diagonal/>
    </border>
    <border>
      <left style="thin">
        <color theme="1" tint="0.34998626667073579"/>
      </left>
      <right style="thin">
        <color theme="1" tint="0.34998626667073579"/>
      </right>
      <top style="medium">
        <color indexed="64"/>
      </top>
      <bottom style="thin">
        <color theme="1" tint="0.34998626667073579"/>
      </bottom>
      <diagonal/>
    </border>
    <border>
      <left style="thin">
        <color theme="1" tint="0.34998626667073579"/>
      </left>
      <right style="medium">
        <color indexed="64"/>
      </right>
      <top style="medium">
        <color indexed="64"/>
      </top>
      <bottom style="thin">
        <color theme="1" tint="0.34998626667073579"/>
      </bottom>
      <diagonal/>
    </border>
    <border>
      <left style="medium">
        <color indexed="64"/>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indexed="64"/>
      </right>
      <top style="thin">
        <color theme="1" tint="0.34998626667073579"/>
      </top>
      <bottom style="thin">
        <color theme="1" tint="0.34998626667073579"/>
      </bottom>
      <diagonal/>
    </border>
    <border>
      <left style="medium">
        <color indexed="64"/>
      </left>
      <right style="thin">
        <color theme="1" tint="0.34998626667073579"/>
      </right>
      <top style="thin">
        <color theme="1" tint="0.34998626667073579"/>
      </top>
      <bottom/>
      <diagonal/>
    </border>
    <border>
      <left style="thin">
        <color theme="1" tint="0.34998626667073579"/>
      </left>
      <right style="thin">
        <color theme="1" tint="0.34998626667073579"/>
      </right>
      <top/>
      <bottom style="medium">
        <color theme="1" tint="0.34998626667073579"/>
      </bottom>
      <diagonal/>
    </border>
    <border>
      <left style="thin">
        <color theme="1" tint="0.34998626667073579"/>
      </left>
      <right style="medium">
        <color indexed="64"/>
      </right>
      <top style="thin">
        <color theme="1" tint="0.34998626667073579"/>
      </top>
      <bottom/>
      <diagonal/>
    </border>
    <border>
      <left style="thin">
        <color indexed="64"/>
      </left>
      <right style="medium">
        <color indexed="64"/>
      </right>
      <top style="thin">
        <color indexed="64"/>
      </top>
      <bottom/>
      <diagonal/>
    </border>
    <border>
      <left style="thin">
        <color theme="1" tint="0.34998626667073579"/>
      </left>
      <right style="thin">
        <color theme="1" tint="0.34998626667073579"/>
      </right>
      <top style="medium">
        <color theme="1" tint="0.34998626667073579"/>
      </top>
      <bottom style="thin">
        <color theme="1" tint="0.34998626667073579"/>
      </bottom>
      <diagonal/>
    </border>
    <border>
      <left style="thin">
        <color theme="1" tint="0.499984740745262"/>
      </left>
      <right style="thin">
        <color theme="1" tint="0.499984740745262"/>
      </right>
      <top style="medium">
        <color indexed="64"/>
      </top>
      <bottom style="thin">
        <color theme="1" tint="0.499984740745262"/>
      </bottom>
      <diagonal/>
    </border>
    <border>
      <left style="thin">
        <color theme="1" tint="0.499984740745262"/>
      </left>
      <right style="medium">
        <color indexed="64"/>
      </right>
      <top style="medium">
        <color indexed="64"/>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medium">
        <color indexed="64"/>
      </right>
      <top style="thin">
        <color theme="1" tint="0.499984740745262"/>
      </top>
      <bottom style="thin">
        <color theme="1" tint="0.499984740745262"/>
      </bottom>
      <diagonal/>
    </border>
    <border>
      <left style="thin">
        <color theme="1" tint="0.34998626667073579"/>
      </left>
      <right style="thin">
        <color theme="1" tint="0.34998626667073579"/>
      </right>
      <top style="thin">
        <color theme="1" tint="0.34998626667073579"/>
      </top>
      <bottom style="medium">
        <color theme="1" tint="0.34998626667073579"/>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medium">
        <color indexed="64"/>
      </right>
      <top style="thin">
        <color theme="1" tint="0.499984740745262"/>
      </top>
      <bottom style="medium">
        <color indexed="64"/>
      </bottom>
      <diagonal/>
    </border>
    <border>
      <left style="thin">
        <color theme="1" tint="0.34998626667073579"/>
      </left>
      <right style="thin">
        <color theme="1" tint="0.34998626667073579"/>
      </right>
      <top/>
      <bottom style="thin">
        <color theme="1" tint="0.34998626667073579"/>
      </bottom>
      <diagonal/>
    </border>
    <border>
      <left style="thin">
        <color indexed="64"/>
      </left>
      <right style="medium">
        <color indexed="64"/>
      </right>
      <top/>
      <bottom style="thin">
        <color indexed="64"/>
      </bottom>
      <diagonal/>
    </border>
    <border>
      <left style="thin">
        <color theme="1" tint="0.34998626667073579"/>
      </left>
      <right style="medium">
        <color theme="1" tint="0.34998626667073579"/>
      </right>
      <top/>
      <bottom style="thin">
        <color theme="1" tint="0.34998626667073579"/>
      </bottom>
      <diagonal/>
    </border>
    <border>
      <left style="thin">
        <color theme="1" tint="0.34998626667073579"/>
      </left>
      <right style="medium">
        <color theme="1" tint="0.34998626667073579"/>
      </right>
      <top style="thin">
        <color theme="1" tint="0.34998626667073579"/>
      </top>
      <bottom style="thin">
        <color theme="1" tint="0.34998626667073579"/>
      </bottom>
      <diagonal/>
    </border>
    <border>
      <left style="thin">
        <color theme="1" tint="0.34998626667073579"/>
      </left>
      <right style="medium">
        <color theme="1" tint="0.34998626667073579"/>
      </right>
      <top style="thin">
        <color theme="1" tint="0.34998626667073579"/>
      </top>
      <bottom style="medium">
        <color theme="1" tint="0.34998626667073579"/>
      </bottom>
      <diagonal/>
    </border>
    <border>
      <left style="thin">
        <color theme="1" tint="0.34998626667073579"/>
      </left>
      <right style="thin">
        <color theme="1" tint="0.34998626667073579"/>
      </right>
      <top style="medium">
        <color indexed="64"/>
      </top>
      <bottom style="thin">
        <color indexed="64"/>
      </bottom>
      <diagonal/>
    </border>
    <border>
      <left style="thin">
        <color theme="1" tint="0.34998626667073579"/>
      </left>
      <right style="medium">
        <color indexed="64"/>
      </right>
      <top style="medium">
        <color indexed="64"/>
      </top>
      <bottom style="thin">
        <color indexed="64"/>
      </bottom>
      <diagonal/>
    </border>
    <border>
      <left style="thin">
        <color theme="1" tint="0.34998626667073579"/>
      </left>
      <right style="thin">
        <color theme="1" tint="0.34998626667073579"/>
      </right>
      <top style="thin">
        <color indexed="64"/>
      </top>
      <bottom style="thin">
        <color indexed="64"/>
      </bottom>
      <diagonal/>
    </border>
    <border>
      <left style="thin">
        <color theme="1" tint="0.34998626667073579"/>
      </left>
      <right style="medium">
        <color indexed="64"/>
      </right>
      <top style="thin">
        <color indexed="64"/>
      </top>
      <bottom style="thin">
        <color indexed="64"/>
      </bottom>
      <diagonal/>
    </border>
    <border>
      <left style="medium">
        <color indexed="64"/>
      </left>
      <right style="thin">
        <color theme="1" tint="0.34998626667073579"/>
      </right>
      <top style="thin">
        <color theme="1" tint="0.34998626667073579"/>
      </top>
      <bottom style="medium">
        <color indexed="64"/>
      </bottom>
      <diagonal/>
    </border>
    <border>
      <left style="thin">
        <color theme="1" tint="0.34998626667073579"/>
      </left>
      <right style="thin">
        <color theme="1" tint="0.34998626667073579"/>
      </right>
      <top style="thin">
        <color indexed="64"/>
      </top>
      <bottom style="medium">
        <color indexed="64"/>
      </bottom>
      <diagonal/>
    </border>
    <border>
      <left style="thin">
        <color theme="1" tint="0.34998626667073579"/>
      </left>
      <right style="medium">
        <color indexed="64"/>
      </right>
      <top style="thin">
        <color indexed="64"/>
      </top>
      <bottom style="medium">
        <color indexed="64"/>
      </bottom>
      <diagonal/>
    </border>
    <border>
      <left style="thin">
        <color theme="1" tint="0.34998626667073579"/>
      </left>
      <right style="thin">
        <color theme="1" tint="0.34998626667073579"/>
      </right>
      <top style="thin">
        <color theme="1" tint="0.34998626667073579"/>
      </top>
      <bottom style="medium">
        <color indexed="64"/>
      </bottom>
      <diagonal/>
    </border>
    <border>
      <left style="thin">
        <color theme="1" tint="0.34998626667073579"/>
      </left>
      <right style="medium">
        <color indexed="64"/>
      </right>
      <top style="thin">
        <color theme="1" tint="0.34998626667073579"/>
      </top>
      <bottom style="medium">
        <color indexed="64"/>
      </bottom>
      <diagonal/>
    </border>
    <border>
      <left style="medium">
        <color indexed="64"/>
      </left>
      <right style="thin">
        <color theme="1" tint="0.34998626667073579"/>
      </right>
      <top/>
      <bottom style="thin">
        <color theme="1" tint="0.34998626667073579"/>
      </bottom>
      <diagonal/>
    </border>
    <border>
      <left style="thin">
        <color theme="1" tint="0.34998626667073579"/>
      </left>
      <right style="thin">
        <color theme="1" tint="0.34998626667073579"/>
      </right>
      <top/>
      <bottom style="thin">
        <color indexed="64"/>
      </bottom>
      <diagonal/>
    </border>
    <border>
      <left style="thin">
        <color theme="1" tint="0.34998626667073579"/>
      </left>
      <right style="medium">
        <color indexed="64"/>
      </right>
      <top/>
      <bottom style="thin">
        <color indexed="64"/>
      </bottom>
      <diagonal/>
    </border>
    <border>
      <left style="thin">
        <color theme="1" tint="0.34998626667073579"/>
      </left>
      <right style="medium">
        <color indexed="64"/>
      </right>
      <top/>
      <bottom style="thin">
        <color theme="1" tint="0.34998626667073579"/>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indexed="64"/>
      </bottom>
      <diagonal/>
    </border>
    <border>
      <left style="medium">
        <color indexed="64"/>
      </left>
      <right style="thin">
        <color rgb="FF595959"/>
      </right>
      <top style="medium">
        <color indexed="64"/>
      </top>
      <bottom/>
      <diagonal/>
    </border>
    <border>
      <left style="thin">
        <color rgb="FF595959"/>
      </left>
      <right style="thin">
        <color rgb="FF595959"/>
      </right>
      <top style="medium">
        <color indexed="64"/>
      </top>
      <bottom/>
      <diagonal/>
    </border>
    <border>
      <left style="thin">
        <color rgb="FF595959"/>
      </left>
      <right style="medium">
        <color indexed="64"/>
      </right>
      <top style="medium">
        <color indexed="64"/>
      </top>
      <bottom/>
      <diagonal/>
    </border>
    <border>
      <left style="medium">
        <color indexed="64"/>
      </left>
      <right style="thin">
        <color rgb="FF595959"/>
      </right>
      <top/>
      <bottom/>
      <diagonal/>
    </border>
    <border>
      <left style="thin">
        <color rgb="FF595959"/>
      </left>
      <right style="medium">
        <color indexed="64"/>
      </right>
      <top/>
      <bottom/>
      <diagonal/>
    </border>
    <border>
      <left style="medium">
        <color indexed="64"/>
      </left>
      <right style="thin">
        <color rgb="FF595959"/>
      </right>
      <top/>
      <bottom style="medium">
        <color rgb="FF595959"/>
      </bottom>
      <diagonal/>
    </border>
    <border>
      <left style="thin">
        <color rgb="FF595959"/>
      </left>
      <right style="medium">
        <color indexed="64"/>
      </right>
      <top/>
      <bottom style="medium">
        <color rgb="FF595959"/>
      </bottom>
      <diagonal/>
    </border>
    <border>
      <left style="medium">
        <color indexed="64"/>
      </left>
      <right style="thin">
        <color rgb="FF595959"/>
      </right>
      <top/>
      <bottom style="medium">
        <color indexed="64"/>
      </bottom>
      <diagonal/>
    </border>
    <border>
      <left style="thin">
        <color theme="1" tint="0.34998626667073579"/>
      </left>
      <right style="thin">
        <color theme="1" tint="0.34998626667073579"/>
      </right>
      <top/>
      <bottom style="medium">
        <color indexed="64"/>
      </bottom>
      <diagonal/>
    </border>
    <border>
      <left style="thin">
        <color rgb="FF595959"/>
      </left>
      <right style="thin">
        <color rgb="FF595959"/>
      </right>
      <top/>
      <bottom style="medium">
        <color indexed="64"/>
      </bottom>
      <diagonal/>
    </border>
    <border>
      <left style="thin">
        <color rgb="FF595959"/>
      </left>
      <right style="medium">
        <color indexed="64"/>
      </right>
      <top/>
      <bottom style="medium">
        <color indexed="64"/>
      </bottom>
      <diagonal/>
    </border>
    <border>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thin">
        <color indexed="64"/>
      </left>
      <right style="thin">
        <color indexed="64"/>
      </right>
      <top/>
      <bottom style="medium">
        <color indexed="64"/>
      </bottom>
      <diagonal/>
    </border>
    <border>
      <left style="thin">
        <color indexed="64"/>
      </left>
      <right style="thin">
        <color indexed="64"/>
      </right>
      <top style="thin">
        <color rgb="FF000000"/>
      </top>
      <bottom style="thin">
        <color rgb="FF000000"/>
      </bottom>
      <diagonal/>
    </border>
    <border>
      <left style="thin">
        <color indexed="64"/>
      </left>
      <right style="thin">
        <color indexed="64"/>
      </right>
      <top style="thin">
        <color rgb="FF000000"/>
      </top>
      <bottom style="medium">
        <color indexed="64"/>
      </bottom>
      <diagonal/>
    </border>
    <border>
      <left style="thin">
        <color theme="1" tint="0.34998626667073579"/>
      </left>
      <right style="medium">
        <color indexed="64"/>
      </right>
      <top style="medium">
        <color indexed="64"/>
      </top>
      <bottom/>
      <diagonal/>
    </border>
    <border>
      <left style="thin">
        <color theme="1" tint="0.34998626667073579"/>
      </left>
      <right style="medium">
        <color indexed="64"/>
      </right>
      <top/>
      <bottom/>
      <diagonal/>
    </border>
    <border>
      <left style="thin">
        <color theme="1" tint="0.34998626667073579"/>
      </left>
      <right style="medium">
        <color indexed="64"/>
      </right>
      <top/>
      <bottom style="medium">
        <color indexed="64"/>
      </bottom>
      <diagonal/>
    </border>
    <border>
      <left/>
      <right style="thin">
        <color theme="1" tint="0.34998626667073579"/>
      </right>
      <top style="medium">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indexed="64"/>
      </right>
      <top/>
      <bottom style="medium">
        <color theme="1" tint="0.34998626667073579"/>
      </bottom>
      <diagonal/>
    </border>
    <border>
      <left/>
      <right style="thin">
        <color theme="1" tint="0.34998626667073579"/>
      </right>
      <top style="thin">
        <color theme="1" tint="0.34998626667073579"/>
      </top>
      <bottom/>
      <diagonal/>
    </border>
    <border>
      <left style="thin">
        <color theme="1" tint="0.34998626667073579"/>
      </left>
      <right style="medium">
        <color indexed="64"/>
      </right>
      <top style="medium">
        <color theme="1" tint="0.34998626667073579"/>
      </top>
      <bottom/>
      <diagonal/>
    </border>
    <border>
      <left/>
      <right style="thin">
        <color theme="1" tint="0.34998626667073579"/>
      </right>
      <top style="thin">
        <color theme="1" tint="0.34998626667073579"/>
      </top>
      <bottom style="medium">
        <color theme="1" tint="0.34998626667073579"/>
      </bottom>
      <diagonal/>
    </border>
    <border>
      <left/>
      <right style="thin">
        <color theme="1" tint="0.34998626667073579"/>
      </right>
      <top/>
      <bottom style="thin">
        <color theme="1" tint="0.34998626667073579"/>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medium">
        <color indexed="64"/>
      </right>
      <top/>
      <bottom style="medium">
        <color indexed="64"/>
      </bottom>
      <diagonal/>
    </border>
    <border>
      <left style="thin">
        <color indexed="64"/>
      </left>
      <right/>
      <top/>
      <bottom/>
      <diagonal/>
    </border>
    <border>
      <left style="thin">
        <color rgb="FF000000"/>
      </left>
      <right/>
      <top/>
      <bottom/>
      <diagonal/>
    </border>
    <border>
      <left style="thin">
        <color rgb="FF808080"/>
      </left>
      <right style="thin">
        <color rgb="FF000000"/>
      </right>
      <top style="thin">
        <color rgb="FF000000"/>
      </top>
      <bottom/>
      <diagonal/>
    </border>
    <border>
      <left style="thin">
        <color rgb="FF808080"/>
      </left>
      <right style="thin">
        <color rgb="FF000000"/>
      </right>
      <top/>
      <bottom/>
      <diagonal/>
    </border>
    <border>
      <left style="thin">
        <color rgb="FF808080"/>
      </left>
      <right style="thin">
        <color rgb="FF000000"/>
      </right>
      <top/>
      <bottom style="thin">
        <color rgb="FF808080"/>
      </bottom>
      <diagonal/>
    </border>
    <border>
      <left style="thin">
        <color rgb="FF808080"/>
      </left>
      <right/>
      <top/>
      <bottom style="thin">
        <color rgb="FF808080"/>
      </bottom>
      <diagonal/>
    </border>
    <border>
      <left style="thin">
        <color indexed="64"/>
      </left>
      <right/>
      <top/>
      <bottom style="thin">
        <color rgb="FF000000"/>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indexed="64"/>
      </right>
      <top/>
      <bottom/>
      <diagonal/>
    </border>
    <border>
      <left style="thin">
        <color theme="0" tint="-0.499984740745262"/>
      </left>
      <right style="thin">
        <color theme="0" tint="-0.499984740745262"/>
      </right>
      <top style="thin">
        <color theme="0" tint="-0.499984740745262"/>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theme="1" tint="0.249977111117893"/>
      </left>
      <right style="thin">
        <color theme="1" tint="0.249977111117893"/>
      </right>
      <top style="thin">
        <color theme="1" tint="0.249977111117893"/>
      </top>
      <bottom style="thin">
        <color theme="1" tint="0.249977111117893"/>
      </bottom>
      <diagonal/>
    </border>
    <border>
      <left style="thin">
        <color theme="1" tint="0.249977111117893"/>
      </left>
      <right style="thin">
        <color theme="1" tint="0.249977111117893"/>
      </right>
      <top style="thin">
        <color theme="1" tint="0.249977111117893"/>
      </top>
      <bottom/>
      <diagonal/>
    </border>
    <border>
      <left style="thin">
        <color rgb="FF000000"/>
      </left>
      <right style="thin">
        <color rgb="FF000000"/>
      </right>
      <top/>
      <bottom/>
      <diagonal/>
    </border>
    <border>
      <left style="thin">
        <color rgb="FF808080"/>
      </left>
      <right style="thin">
        <color rgb="FF808080"/>
      </right>
      <top style="thin">
        <color rgb="FF808080"/>
      </top>
      <bottom style="thin">
        <color theme="1" tint="0.249977111117893"/>
      </bottom>
      <diagonal/>
    </border>
    <border>
      <left style="thin">
        <color rgb="FF000000"/>
      </left>
      <right style="thin">
        <color rgb="FF000000"/>
      </right>
      <top style="thin">
        <color rgb="FF000000"/>
      </top>
      <bottom style="thin">
        <color indexed="64"/>
      </bottom>
      <diagonal/>
    </border>
    <border>
      <left style="thin">
        <color theme="1" tint="0.249977111117893"/>
      </left>
      <right style="thin">
        <color rgb="FF000000"/>
      </right>
      <top style="thin">
        <color theme="1" tint="0.249977111117893"/>
      </top>
      <bottom style="thin">
        <color indexed="64"/>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thin">
        <color theme="1" tint="0.499984740745262"/>
      </bottom>
      <diagonal/>
    </border>
    <border>
      <left/>
      <right/>
      <top/>
      <bottom style="thin">
        <color theme="1" tint="0.499984740745262"/>
      </bottom>
      <diagonal/>
    </border>
    <border>
      <left/>
      <right style="thin">
        <color theme="1" tint="0.499984740745262"/>
      </right>
      <top/>
      <bottom style="thin">
        <color theme="1" tint="0.499984740745262"/>
      </bottom>
      <diagonal/>
    </border>
    <border>
      <left style="thin">
        <color rgb="FF000000"/>
      </left>
      <right style="thin">
        <color indexed="64"/>
      </right>
      <top style="thin">
        <color rgb="FF000000"/>
      </top>
      <bottom style="thin">
        <color rgb="FF000000"/>
      </bottom>
      <diagonal/>
    </border>
    <border>
      <left style="thin">
        <color indexed="64"/>
      </left>
      <right style="thin">
        <color rgb="FF000000"/>
      </right>
      <top style="thin">
        <color rgb="FF000000"/>
      </top>
      <bottom style="thin">
        <color rgb="FF000000"/>
      </bottom>
      <diagonal/>
    </border>
    <border>
      <left style="thin">
        <color theme="1" tint="0.34998626667073579"/>
      </left>
      <right/>
      <top style="thin">
        <color theme="1" tint="0.34998626667073579"/>
      </top>
      <bottom/>
      <diagonal/>
    </border>
    <border>
      <left style="thin">
        <color theme="1" tint="0.34998626667073579"/>
      </left>
      <right/>
      <top/>
      <bottom/>
      <diagonal/>
    </border>
    <border>
      <left style="thin">
        <color theme="1" tint="0.34998626667073579"/>
      </left>
      <right style="thin">
        <color theme="1" tint="0.34998626667073579"/>
      </right>
      <top/>
      <bottom style="thin">
        <color rgb="FF000000"/>
      </bottom>
      <diagonal/>
    </border>
    <border>
      <left style="thin">
        <color theme="1" tint="0.34998626667073579"/>
      </left>
      <right/>
      <top/>
      <bottom style="thin">
        <color rgb="FF000000"/>
      </bottom>
      <diagonal/>
    </border>
    <border>
      <left style="thin">
        <color theme="1" tint="0.34998626667073579"/>
      </left>
      <right style="thin">
        <color theme="1" tint="0.34998626667073579"/>
      </right>
      <top style="thin">
        <color theme="1" tint="0.34998626667073579"/>
      </top>
      <bottom style="thin">
        <color rgb="FF000000"/>
      </bottom>
      <diagonal/>
    </border>
    <border>
      <left/>
      <right style="thin">
        <color rgb="FF000000"/>
      </right>
      <top style="thin">
        <color rgb="FF000000"/>
      </top>
      <bottom/>
      <diagonal/>
    </border>
    <border>
      <left/>
      <right style="thin">
        <color rgb="FF595959"/>
      </right>
      <top style="medium">
        <color indexed="64"/>
      </top>
      <bottom style="thin">
        <color rgb="FF595959"/>
      </bottom>
      <diagonal/>
    </border>
    <border>
      <left/>
      <right style="medium">
        <color indexed="64"/>
      </right>
      <top style="medium">
        <color indexed="64"/>
      </top>
      <bottom style="thin">
        <color rgb="FF595959"/>
      </bottom>
      <diagonal/>
    </border>
    <border>
      <left/>
      <right style="medium">
        <color indexed="64"/>
      </right>
      <top/>
      <bottom style="thin">
        <color rgb="FF595959"/>
      </bottom>
      <diagonal/>
    </border>
    <border>
      <left/>
      <right style="thin">
        <color rgb="FF595959"/>
      </right>
      <top/>
      <bottom style="medium">
        <color indexed="64"/>
      </bottom>
      <diagonal/>
    </border>
    <border>
      <left style="medium">
        <color indexed="64"/>
      </left>
      <right style="thin">
        <color rgb="FF595959"/>
      </right>
      <top style="medium">
        <color rgb="FF595959"/>
      </top>
      <bottom/>
      <diagonal/>
    </border>
  </borders>
  <cellStyleXfs count="428">
    <xf numFmtId="0" fontId="0" fillId="0" borderId="0"/>
    <xf numFmtId="0" fontId="1" fillId="0" borderId="0"/>
    <xf numFmtId="9" fontId="2" fillId="0" borderId="0" applyFont="0" applyFill="0" applyBorder="0" applyAlignment="0" applyProtection="0"/>
    <xf numFmtId="0" fontId="4" fillId="0" borderId="0" applyNumberFormat="0" applyFill="0" applyBorder="0" applyAlignment="0" applyProtection="0"/>
    <xf numFmtId="0" fontId="7" fillId="0" borderId="0"/>
    <xf numFmtId="0" fontId="9" fillId="0" borderId="0" applyNumberFormat="0" applyFill="0" applyBorder="0" applyAlignment="0" applyProtection="0"/>
    <xf numFmtId="43" fontId="2" fillId="0" borderId="0" applyFont="0" applyFill="0" applyBorder="0" applyAlignment="0" applyProtection="0"/>
    <xf numFmtId="0" fontId="2" fillId="0" borderId="0"/>
    <xf numFmtId="9" fontId="7" fillId="0" borderId="0" applyFont="0" applyFill="0" applyBorder="0" applyAlignment="0" applyProtection="0"/>
    <xf numFmtId="0" fontId="15" fillId="0" borderId="0"/>
    <xf numFmtId="0" fontId="17" fillId="0" borderId="0" applyNumberFormat="0" applyFill="0" applyBorder="0" applyAlignment="0" applyProtection="0"/>
    <xf numFmtId="0" fontId="7" fillId="0" borderId="0"/>
    <xf numFmtId="0" fontId="7" fillId="0" borderId="0"/>
    <xf numFmtId="0" fontId="41" fillId="0" borderId="0" applyNumberFormat="0" applyFill="0" applyBorder="0" applyAlignment="0" applyProtection="0"/>
    <xf numFmtId="0" fontId="42" fillId="0" borderId="153" applyNumberFormat="0" applyFill="0" applyAlignment="0" applyProtection="0"/>
    <xf numFmtId="0" fontId="43" fillId="0" borderId="154" applyNumberFormat="0" applyFill="0" applyAlignment="0" applyProtection="0"/>
    <xf numFmtId="0" fontId="44" fillId="0" borderId="155" applyNumberFormat="0" applyFill="0" applyAlignment="0" applyProtection="0"/>
    <xf numFmtId="0" fontId="44" fillId="0" borderId="0" applyNumberFormat="0" applyFill="0" applyBorder="0" applyAlignment="0" applyProtection="0"/>
    <xf numFmtId="0" fontId="45" fillId="16" borderId="0" applyNumberFormat="0" applyBorder="0" applyAlignment="0" applyProtection="0"/>
    <xf numFmtId="0" fontId="46" fillId="17" borderId="0" applyNumberFormat="0" applyBorder="0" applyAlignment="0" applyProtection="0"/>
    <xf numFmtId="0" fontId="47" fillId="18" borderId="0" applyNumberFormat="0" applyBorder="0" applyAlignment="0" applyProtection="0"/>
    <xf numFmtId="0" fontId="48" fillId="19" borderId="156" applyNumberFormat="0" applyAlignment="0" applyProtection="0"/>
    <xf numFmtId="0" fontId="49" fillId="20" borderId="157" applyNumberFormat="0" applyAlignment="0" applyProtection="0"/>
    <xf numFmtId="0" fontId="50" fillId="20" borderId="156" applyNumberFormat="0" applyAlignment="0" applyProtection="0"/>
    <xf numFmtId="0" fontId="51" fillId="0" borderId="158" applyNumberFormat="0" applyFill="0" applyAlignment="0" applyProtection="0"/>
    <xf numFmtId="0" fontId="10" fillId="21" borderId="159" applyNumberFormat="0" applyAlignment="0" applyProtection="0"/>
    <xf numFmtId="0" fontId="52" fillId="0" borderId="0" applyNumberFormat="0" applyFill="0" applyBorder="0" applyAlignment="0" applyProtection="0"/>
    <xf numFmtId="0" fontId="2" fillId="22" borderId="160" applyNumberFormat="0" applyFont="0" applyAlignment="0" applyProtection="0"/>
    <xf numFmtId="0" fontId="53" fillId="0" borderId="0" applyNumberFormat="0" applyFill="0" applyBorder="0" applyAlignment="0" applyProtection="0"/>
    <xf numFmtId="0" fontId="3" fillId="0" borderId="161" applyNumberFormat="0" applyFill="0" applyAlignment="0" applyProtection="0"/>
    <xf numFmtId="0" fontId="1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12" fillId="27"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12" fillId="31"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12" fillId="35"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12" fillId="39"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12" fillId="43"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1" fillId="0" borderId="0"/>
    <xf numFmtId="0" fontId="2" fillId="0" borderId="0"/>
    <xf numFmtId="0" fontId="2" fillId="0" borderId="0"/>
    <xf numFmtId="9" fontId="1" fillId="0" borderId="0" applyFont="0" applyFill="0" applyBorder="0" applyAlignment="0" applyProtection="0"/>
    <xf numFmtId="0" fontId="2" fillId="0" borderId="0"/>
    <xf numFmtId="0" fontId="54" fillId="0" borderId="0" applyNumberFormat="0" applyFill="0" applyBorder="0" applyAlignment="0" applyProtection="0"/>
    <xf numFmtId="0" fontId="12" fillId="26" borderId="0" applyNumberFormat="0" applyBorder="0" applyAlignment="0" applyProtection="0"/>
    <xf numFmtId="0" fontId="12" fillId="30" borderId="0" applyNumberFormat="0" applyBorder="0" applyAlignment="0" applyProtection="0"/>
    <xf numFmtId="0" fontId="12" fillId="34" borderId="0" applyNumberFormat="0" applyBorder="0" applyAlignment="0" applyProtection="0"/>
    <xf numFmtId="0" fontId="12" fillId="38" borderId="0" applyNumberFormat="0" applyBorder="0" applyAlignment="0" applyProtection="0"/>
    <xf numFmtId="0" fontId="12" fillId="42" borderId="0" applyNumberFormat="0" applyBorder="0" applyAlignment="0" applyProtection="0"/>
    <xf numFmtId="0" fontId="12" fillId="46"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0" fontId="55" fillId="18"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1" fillId="0" borderId="0"/>
    <xf numFmtId="0" fontId="1" fillId="0" borderId="0"/>
    <xf numFmtId="0" fontId="4" fillId="0" borderId="0" applyNumberFormat="0" applyFill="0" applyBorder="0" applyAlignment="0" applyProtection="0"/>
    <xf numFmtId="0" fontId="56"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2" fillId="0" borderId="0"/>
    <xf numFmtId="0" fontId="2" fillId="0" borderId="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1" fillId="0" borderId="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22" borderId="160"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57" fillId="0" borderId="0" applyNumberFormat="0" applyFill="0" applyBorder="0" applyAlignment="0" applyProtection="0"/>
    <xf numFmtId="0" fontId="58" fillId="0" borderId="0" applyNumberFormat="0" applyFill="0" applyBorder="0" applyAlignment="0" applyProtection="0"/>
    <xf numFmtId="0" fontId="6" fillId="0" borderId="0"/>
    <xf numFmtId="9" fontId="6" fillId="0" borderId="0" applyFont="0" applyFill="0" applyBorder="0" applyAlignment="0" applyProtection="0"/>
    <xf numFmtId="0" fontId="6" fillId="0" borderId="0"/>
    <xf numFmtId="0" fontId="2" fillId="0" borderId="0"/>
    <xf numFmtId="43" fontId="6" fillId="0" borderId="0" applyFont="0" applyFill="0" applyBorder="0" applyAlignment="0" applyProtection="0"/>
    <xf numFmtId="9" fontId="6" fillId="0" borderId="0" applyFont="0" applyFill="0" applyBorder="0" applyAlignment="0" applyProtection="0"/>
    <xf numFmtId="0" fontId="61" fillId="0" borderId="0"/>
  </cellStyleXfs>
  <cellXfs count="649">
    <xf numFmtId="0" fontId="0" fillId="0" borderId="0" xfId="0"/>
    <xf numFmtId="0" fontId="0" fillId="0" borderId="0" xfId="0" applyAlignment="1">
      <alignment vertical="center"/>
    </xf>
    <xf numFmtId="0" fontId="0" fillId="0" borderId="2" xfId="0" applyBorder="1"/>
    <xf numFmtId="0" fontId="9" fillId="0" borderId="0" xfId="5"/>
    <xf numFmtId="0" fontId="13" fillId="0" borderId="0" xfId="0" applyFont="1"/>
    <xf numFmtId="0" fontId="13" fillId="0" borderId="0" xfId="0" applyFont="1" applyAlignment="1">
      <alignment horizontal="center" vertical="center"/>
    </xf>
    <xf numFmtId="0" fontId="7" fillId="0" borderId="0" xfId="0" applyFont="1"/>
    <xf numFmtId="0" fontId="8" fillId="0" borderId="0" xfId="0" applyFont="1"/>
    <xf numFmtId="0" fontId="7" fillId="0" borderId="0" xfId="0" applyFont="1" applyAlignment="1">
      <alignment vertical="center"/>
    </xf>
    <xf numFmtId="0" fontId="7" fillId="0" borderId="0" xfId="0" applyFont="1" applyAlignment="1">
      <alignment horizontal="center" vertical="center" wrapText="1"/>
    </xf>
    <xf numFmtId="0" fontId="7" fillId="0" borderId="0" xfId="0" applyFont="1" applyAlignment="1">
      <alignment vertical="center" wrapText="1"/>
    </xf>
    <xf numFmtId="0" fontId="17" fillId="0" borderId="0" xfId="5" applyFont="1"/>
    <xf numFmtId="0" fontId="7" fillId="0" borderId="0" xfId="0" applyFont="1" applyAlignment="1">
      <alignment wrapText="1"/>
    </xf>
    <xf numFmtId="0" fontId="16" fillId="0" borderId="0" xfId="0" applyFont="1" applyAlignment="1">
      <alignment vertical="center"/>
    </xf>
    <xf numFmtId="3" fontId="1" fillId="0" borderId="2" xfId="1" applyNumberFormat="1" applyBorder="1" applyAlignment="1">
      <alignment horizontal="center" vertical="center" wrapText="1"/>
    </xf>
    <xf numFmtId="0" fontId="1" fillId="0" borderId="2" xfId="1" applyBorder="1" applyAlignment="1">
      <alignment horizontal="center" vertical="center" wrapText="1"/>
    </xf>
    <xf numFmtId="0" fontId="7" fillId="0" borderId="2" xfId="0" applyFont="1" applyBorder="1" applyAlignment="1">
      <alignment vertical="center"/>
    </xf>
    <xf numFmtId="0" fontId="7" fillId="0" borderId="2" xfId="0" applyFont="1" applyBorder="1" applyAlignment="1">
      <alignment vertical="center" wrapText="1"/>
    </xf>
    <xf numFmtId="3" fontId="7" fillId="0" borderId="2" xfId="7" applyNumberFormat="1" applyFont="1" applyBorder="1" applyAlignment="1">
      <alignment horizontal="center" vertical="center"/>
    </xf>
    <xf numFmtId="0" fontId="1" fillId="0" borderId="0" xfId="0" applyFont="1" applyAlignment="1">
      <alignment vertical="top"/>
    </xf>
    <xf numFmtId="0" fontId="7" fillId="0" borderId="0" xfId="0" applyFont="1" applyAlignment="1">
      <alignment horizontal="center" vertical="top" wrapText="1"/>
    </xf>
    <xf numFmtId="0" fontId="7" fillId="0" borderId="0" xfId="0" applyFont="1" applyAlignment="1">
      <alignment horizontal="left" vertical="top" wrapText="1"/>
    </xf>
    <xf numFmtId="0" fontId="8" fillId="0" borderId="0" xfId="0" applyFont="1" applyAlignment="1">
      <alignment horizontal="center" vertical="top" wrapText="1"/>
    </xf>
    <xf numFmtId="167" fontId="17" fillId="0" borderId="0" xfId="5" applyNumberFormat="1" applyFont="1" applyAlignment="1">
      <alignment horizontal="left" vertical="top"/>
    </xf>
    <xf numFmtId="0" fontId="8" fillId="2" borderId="0" xfId="0" applyFont="1" applyFill="1"/>
    <xf numFmtId="0" fontId="8" fillId="2" borderId="0" xfId="0" applyFont="1" applyFill="1" applyAlignment="1">
      <alignment wrapText="1"/>
    </xf>
    <xf numFmtId="0" fontId="8" fillId="2" borderId="0" xfId="0" applyFont="1" applyFill="1" applyAlignment="1">
      <alignment horizontal="left"/>
    </xf>
    <xf numFmtId="0" fontId="8" fillId="2" borderId="0" xfId="0" applyFont="1" applyFill="1" applyAlignment="1">
      <alignment horizontal="center"/>
    </xf>
    <xf numFmtId="0" fontId="21" fillId="6" borderId="2" xfId="0" applyFont="1" applyFill="1" applyBorder="1" applyAlignment="1">
      <alignment horizontal="center" vertical="center" wrapText="1"/>
    </xf>
    <xf numFmtId="0" fontId="20" fillId="6" borderId="2" xfId="0" applyFont="1" applyFill="1" applyBorder="1" applyAlignment="1">
      <alignment horizontal="center" vertical="center"/>
    </xf>
    <xf numFmtId="9" fontId="7" fillId="0" borderId="0" xfId="2" applyFont="1" applyFill="1" applyBorder="1" applyAlignment="1">
      <alignment horizontal="center" vertical="center"/>
    </xf>
    <xf numFmtId="0" fontId="8" fillId="0" borderId="0" xfId="0" applyFont="1" applyAlignment="1">
      <alignment horizontal="left" vertical="center" wrapText="1"/>
    </xf>
    <xf numFmtId="1" fontId="7" fillId="0" borderId="0" xfId="0" applyNumberFormat="1" applyFont="1"/>
    <xf numFmtId="9" fontId="7" fillId="0" borderId="0" xfId="2" applyFont="1" applyFill="1" applyBorder="1"/>
    <xf numFmtId="9" fontId="7" fillId="0" borderId="0" xfId="0" applyNumberFormat="1" applyFont="1"/>
    <xf numFmtId="9" fontId="8" fillId="0" borderId="0" xfId="2" applyFont="1" applyFill="1" applyBorder="1"/>
    <xf numFmtId="164" fontId="7" fillId="0" borderId="0" xfId="0" applyNumberFormat="1" applyFont="1"/>
    <xf numFmtId="0" fontId="8" fillId="0" borderId="0" xfId="0" applyFont="1" applyAlignment="1">
      <alignment vertical="center"/>
    </xf>
    <xf numFmtId="0" fontId="7" fillId="0" borderId="22" xfId="4" applyBorder="1" applyAlignment="1">
      <alignment horizontal="center" vertical="center"/>
    </xf>
    <xf numFmtId="9" fontId="7" fillId="0" borderId="22" xfId="2" applyFont="1" applyFill="1" applyBorder="1" applyAlignment="1">
      <alignment horizontal="center" vertical="center"/>
    </xf>
    <xf numFmtId="3" fontId="7" fillId="0" borderId="2" xfId="0" applyNumberFormat="1" applyFont="1" applyBorder="1" applyAlignment="1">
      <alignment horizontal="center" vertical="center"/>
    </xf>
    <xf numFmtId="0" fontId="24" fillId="0" borderId="0" xfId="0" applyFont="1" applyAlignment="1">
      <alignment horizontal="center" vertical="center"/>
    </xf>
    <xf numFmtId="0" fontId="27" fillId="4" borderId="0" xfId="0" applyFont="1" applyFill="1" applyAlignment="1">
      <alignment vertical="center" wrapText="1"/>
    </xf>
    <xf numFmtId="0" fontId="24" fillId="4" borderId="0" xfId="0" applyFont="1" applyFill="1" applyAlignment="1">
      <alignment horizontal="center" vertical="center"/>
    </xf>
    <xf numFmtId="165" fontId="24" fillId="4" borderId="0" xfId="0" applyNumberFormat="1" applyFont="1" applyFill="1" applyAlignment="1">
      <alignment horizontal="center" vertical="center"/>
    </xf>
    <xf numFmtId="0" fontId="26" fillId="0" borderId="0" xfId="0" applyFont="1" applyAlignment="1">
      <alignment horizontal="left" vertical="center" wrapText="1"/>
    </xf>
    <xf numFmtId="0" fontId="26" fillId="0" borderId="0" xfId="0" applyFont="1" applyAlignment="1">
      <alignment horizontal="left" vertical="center"/>
    </xf>
    <xf numFmtId="0" fontId="26" fillId="0" borderId="0" xfId="0" applyFont="1" applyAlignment="1">
      <alignment horizontal="center" vertical="center" wrapText="1"/>
    </xf>
    <xf numFmtId="10" fontId="7" fillId="0" borderId="0" xfId="8" applyNumberFormat="1" applyFont="1" applyFill="1" applyBorder="1" applyAlignment="1">
      <alignment horizontal="center"/>
    </xf>
    <xf numFmtId="9" fontId="7" fillId="0" borderId="22" xfId="0" applyNumberFormat="1" applyFont="1" applyBorder="1" applyAlignment="1">
      <alignment horizontal="center"/>
    </xf>
    <xf numFmtId="0" fontId="8" fillId="0" borderId="0" xfId="4" applyFont="1" applyAlignment="1">
      <alignment horizontal="center"/>
    </xf>
    <xf numFmtId="9" fontId="7" fillId="0" borderId="0" xfId="2" applyFont="1" applyFill="1" applyBorder="1" applyAlignment="1">
      <alignment horizontal="left"/>
    </xf>
    <xf numFmtId="1" fontId="7" fillId="0" borderId="0" xfId="2" applyNumberFormat="1" applyFont="1" applyFill="1" applyBorder="1"/>
    <xf numFmtId="3" fontId="7" fillId="0" borderId="0" xfId="0" applyNumberFormat="1" applyFont="1" applyAlignment="1">
      <alignment horizontal="center" vertical="center"/>
    </xf>
    <xf numFmtId="167" fontId="24" fillId="0" borderId="0" xfId="0" applyNumberFormat="1" applyFont="1" applyAlignment="1">
      <alignment horizontal="center" vertical="center"/>
    </xf>
    <xf numFmtId="3" fontId="7" fillId="0" borderId="0" xfId="7" applyNumberFormat="1" applyFont="1" applyAlignment="1">
      <alignment horizontal="center" vertical="center"/>
    </xf>
    <xf numFmtId="9" fontId="7" fillId="0" borderId="24" xfId="0" applyNumberFormat="1" applyFont="1" applyBorder="1" applyAlignment="1">
      <alignment horizontal="center"/>
    </xf>
    <xf numFmtId="0" fontId="28" fillId="0" borderId="0" xfId="0" applyFont="1"/>
    <xf numFmtId="0" fontId="28" fillId="0" borderId="0" xfId="0" applyFont="1" applyAlignment="1">
      <alignment wrapText="1"/>
    </xf>
    <xf numFmtId="0" fontId="28" fillId="0" borderId="0" xfId="0" applyFont="1" applyAlignment="1">
      <alignment horizontal="center"/>
    </xf>
    <xf numFmtId="166" fontId="1" fillId="0" borderId="2" xfId="1" applyNumberFormat="1" applyBorder="1" applyAlignment="1">
      <alignment horizontal="center" vertical="center" wrapText="1"/>
    </xf>
    <xf numFmtId="0" fontId="9" fillId="0" borderId="0" xfId="5" applyAlignment="1">
      <alignment vertical="center"/>
    </xf>
    <xf numFmtId="0" fontId="7" fillId="0" borderId="0" xfId="4" applyAlignment="1">
      <alignment horizontal="center" vertical="center"/>
    </xf>
    <xf numFmtId="9" fontId="7" fillId="0" borderId="0" xfId="0" applyNumberFormat="1" applyFont="1" applyAlignment="1">
      <alignment horizontal="center"/>
    </xf>
    <xf numFmtId="9" fontId="7" fillId="0" borderId="0" xfId="0" applyNumberFormat="1" applyFont="1" applyAlignment="1">
      <alignment horizontal="left"/>
    </xf>
    <xf numFmtId="0" fontId="23" fillId="0" borderId="0" xfId="0" applyFont="1" applyAlignment="1">
      <alignment horizontal="left" vertical="center" wrapText="1"/>
    </xf>
    <xf numFmtId="168" fontId="11" fillId="0" borderId="2" xfId="6" applyNumberFormat="1" applyFont="1" applyFill="1" applyBorder="1" applyAlignment="1">
      <alignment horizontal="left" vertical="top" wrapText="1"/>
    </xf>
    <xf numFmtId="0" fontId="1" fillId="0" borderId="2" xfId="0" applyFont="1" applyBorder="1" applyAlignment="1">
      <alignment horizontal="center" vertical="center" wrapText="1"/>
    </xf>
    <xf numFmtId="0" fontId="20" fillId="6" borderId="12" xfId="0" applyFont="1" applyFill="1" applyBorder="1" applyAlignment="1">
      <alignment horizontal="center" vertical="center" wrapText="1"/>
    </xf>
    <xf numFmtId="0" fontId="1" fillId="0" borderId="22" xfId="0" applyFont="1" applyBorder="1" applyAlignment="1">
      <alignment horizontal="center" vertical="center"/>
    </xf>
    <xf numFmtId="0" fontId="1" fillId="0" borderId="44" xfId="0" applyFont="1" applyBorder="1" applyAlignment="1">
      <alignment horizontal="center" vertical="center" wrapText="1"/>
    </xf>
    <xf numFmtId="0" fontId="14" fillId="0" borderId="0" xfId="0" applyFont="1" applyAlignment="1">
      <alignment vertical="center"/>
    </xf>
    <xf numFmtId="0" fontId="30" fillId="0" borderId="0" xfId="0" applyFont="1"/>
    <xf numFmtId="168" fontId="7" fillId="0" borderId="2" xfId="6" applyNumberFormat="1" applyFont="1" applyBorder="1" applyAlignment="1">
      <alignment horizontal="left" vertical="center" wrapText="1"/>
    </xf>
    <xf numFmtId="0" fontId="0" fillId="0" borderId="0" xfId="0" applyAlignment="1">
      <alignment horizontal="left" vertical="center" indent="1"/>
    </xf>
    <xf numFmtId="0" fontId="3" fillId="0" borderId="0" xfId="0" applyFont="1" applyAlignment="1">
      <alignment horizontal="left" vertical="center" indent="1"/>
    </xf>
    <xf numFmtId="43" fontId="7" fillId="0" borderId="2" xfId="6" applyFont="1" applyBorder="1" applyAlignment="1">
      <alignment horizontal="left" vertical="center"/>
    </xf>
    <xf numFmtId="164" fontId="7" fillId="0" borderId="2" xfId="2" applyNumberFormat="1" applyFont="1" applyBorder="1" applyAlignment="1">
      <alignment horizontal="center"/>
    </xf>
    <xf numFmtId="0" fontId="22" fillId="0" borderId="0" xfId="0" applyFont="1"/>
    <xf numFmtId="16" fontId="0" fillId="0" borderId="0" xfId="0" applyNumberFormat="1" applyAlignment="1">
      <alignment horizontal="left"/>
    </xf>
    <xf numFmtId="0" fontId="25" fillId="0" borderId="0" xfId="0" applyFont="1" applyAlignment="1">
      <alignment vertical="center"/>
    </xf>
    <xf numFmtId="0" fontId="20" fillId="9" borderId="2" xfId="0" applyFont="1" applyFill="1" applyBorder="1" applyAlignment="1">
      <alignment horizontal="center" vertical="center"/>
    </xf>
    <xf numFmtId="168" fontId="25" fillId="0" borderId="2" xfId="6" applyNumberFormat="1" applyFont="1" applyBorder="1" applyAlignment="1">
      <alignment horizontal="center" vertical="center"/>
    </xf>
    <xf numFmtId="168" fontId="25" fillId="0" borderId="2" xfId="6" applyNumberFormat="1" applyFont="1" applyBorder="1" applyAlignment="1">
      <alignment horizontal="center" vertical="center" wrapText="1"/>
    </xf>
    <xf numFmtId="0" fontId="26" fillId="9" borderId="2" xfId="0" applyFont="1" applyFill="1" applyBorder="1" applyAlignment="1">
      <alignment horizontal="center" vertical="center"/>
    </xf>
    <xf numFmtId="0" fontId="7" fillId="0" borderId="2" xfId="0" applyFont="1" applyBorder="1"/>
    <xf numFmtId="2" fontId="7" fillId="0" borderId="2" xfId="0" applyNumberFormat="1" applyFont="1" applyBorder="1" applyAlignment="1">
      <alignment horizontal="center" vertical="center" wrapText="1"/>
    </xf>
    <xf numFmtId="0" fontId="1" fillId="0" borderId="0" xfId="1" applyAlignment="1">
      <alignment vertical="center" wrapText="1"/>
    </xf>
    <xf numFmtId="0" fontId="0" fillId="2" borderId="0" xfId="0" applyFill="1"/>
    <xf numFmtId="0" fontId="14" fillId="0" borderId="0" xfId="0" applyFont="1" applyAlignment="1">
      <alignment vertical="center" wrapText="1"/>
    </xf>
    <xf numFmtId="0" fontId="31" fillId="11" borderId="0" xfId="0" applyFont="1" applyFill="1" applyAlignment="1">
      <alignment horizontal="center" vertical="center"/>
    </xf>
    <xf numFmtId="0" fontId="18" fillId="0" borderId="0" xfId="0" applyFont="1"/>
    <xf numFmtId="169" fontId="33" fillId="0" borderId="0" xfId="0" applyNumberFormat="1" applyFont="1"/>
    <xf numFmtId="0" fontId="7" fillId="0" borderId="2" xfId="0" applyFont="1" applyBorder="1" applyAlignment="1">
      <alignment horizontal="right" vertical="center"/>
    </xf>
    <xf numFmtId="168" fontId="7" fillId="0" borderId="2" xfId="6" applyNumberFormat="1" applyFont="1" applyBorder="1" applyAlignment="1">
      <alignment horizontal="right" vertical="center" wrapText="1"/>
    </xf>
    <xf numFmtId="168" fontId="7" fillId="0" borderId="2" xfId="0" applyNumberFormat="1" applyFont="1" applyBorder="1" applyAlignment="1">
      <alignment horizontal="right" vertical="center"/>
    </xf>
    <xf numFmtId="3" fontId="7" fillId="0" borderId="0" xfId="0" applyNumberFormat="1" applyFont="1"/>
    <xf numFmtId="168" fontId="7" fillId="0" borderId="2" xfId="6" applyNumberFormat="1" applyFont="1" applyBorder="1" applyAlignment="1">
      <alignment horizontal="right" vertical="center"/>
    </xf>
    <xf numFmtId="0" fontId="13" fillId="0" borderId="0" xfId="0" applyFont="1" applyAlignment="1">
      <alignment vertical="center"/>
    </xf>
    <xf numFmtId="0" fontId="7" fillId="4" borderId="0" xfId="0" applyFont="1" applyFill="1"/>
    <xf numFmtId="0" fontId="7" fillId="4" borderId="0" xfId="0" applyFont="1" applyFill="1" applyAlignment="1">
      <alignment horizontal="center"/>
    </xf>
    <xf numFmtId="165" fontId="13" fillId="0" borderId="0" xfId="2" applyNumberFormat="1" applyFont="1"/>
    <xf numFmtId="0" fontId="0" fillId="0" borderId="0" xfId="0" applyAlignment="1">
      <alignment horizontal="left"/>
    </xf>
    <xf numFmtId="0" fontId="7" fillId="0" borderId="24" xfId="4" applyBorder="1" applyAlignment="1">
      <alignment horizontal="center" vertical="center"/>
    </xf>
    <xf numFmtId="0" fontId="26" fillId="9" borderId="45" xfId="0" applyFont="1" applyFill="1" applyBorder="1" applyAlignment="1">
      <alignment horizontal="center" vertical="center" wrapText="1"/>
    </xf>
    <xf numFmtId="0" fontId="11" fillId="0" borderId="2" xfId="3" applyFont="1" applyFill="1" applyBorder="1" applyAlignment="1">
      <alignment horizontal="center" vertical="center" wrapText="1"/>
    </xf>
    <xf numFmtId="3" fontId="11" fillId="0" borderId="2" xfId="3" applyNumberFormat="1" applyFont="1" applyFill="1" applyBorder="1" applyAlignment="1">
      <alignment horizontal="center" vertical="center" wrapText="1"/>
    </xf>
    <xf numFmtId="0" fontId="11" fillId="0" borderId="2" xfId="3" applyFont="1" applyBorder="1" applyAlignment="1">
      <alignment horizontal="center" vertical="top" wrapText="1"/>
    </xf>
    <xf numFmtId="3" fontId="11" fillId="0" borderId="2" xfId="3" applyNumberFormat="1" applyFont="1" applyBorder="1" applyAlignment="1">
      <alignment horizontal="center" vertical="center" wrapText="1"/>
    </xf>
    <xf numFmtId="0" fontId="8" fillId="6" borderId="46" xfId="0" applyFont="1" applyFill="1" applyBorder="1" applyAlignment="1">
      <alignment horizontal="center" vertical="center"/>
    </xf>
    <xf numFmtId="0" fontId="8" fillId="6" borderId="47" xfId="0" applyFont="1" applyFill="1" applyBorder="1" applyAlignment="1">
      <alignment horizontal="center" vertical="center"/>
    </xf>
    <xf numFmtId="0" fontId="8" fillId="6" borderId="48" xfId="0" applyFont="1" applyFill="1" applyBorder="1" applyAlignment="1">
      <alignment horizontal="center" vertical="center"/>
    </xf>
    <xf numFmtId="0" fontId="7" fillId="0" borderId="49" xfId="0" applyFont="1" applyBorder="1" applyAlignment="1">
      <alignment horizontal="center" vertical="center"/>
    </xf>
    <xf numFmtId="0" fontId="25" fillId="0" borderId="53" xfId="0" applyFont="1" applyBorder="1" applyAlignment="1">
      <alignment horizontal="center" vertical="center" wrapText="1"/>
    </xf>
    <xf numFmtId="0" fontId="7" fillId="0" borderId="54" xfId="0" applyFont="1" applyBorder="1" applyAlignment="1">
      <alignment horizontal="center" vertical="center"/>
    </xf>
    <xf numFmtId="0" fontId="1" fillId="0" borderId="55" xfId="0" applyFont="1" applyBorder="1" applyAlignment="1">
      <alignment horizontal="center" vertical="center"/>
    </xf>
    <xf numFmtId="0" fontId="1" fillId="0" borderId="56" xfId="0" applyFont="1" applyBorder="1" applyAlignment="1">
      <alignment horizontal="center" vertical="center" wrapText="1"/>
    </xf>
    <xf numFmtId="0" fontId="25" fillId="0" borderId="57" xfId="0" applyFont="1" applyBorder="1" applyAlignment="1">
      <alignment horizontal="center" vertical="center" wrapText="1"/>
    </xf>
    <xf numFmtId="0" fontId="7" fillId="0" borderId="12" xfId="0" applyFont="1" applyBorder="1"/>
    <xf numFmtId="0" fontId="25" fillId="12" borderId="0" xfId="0" applyFont="1" applyFill="1" applyAlignment="1">
      <alignment vertical="center"/>
    </xf>
    <xf numFmtId="0" fontId="25" fillId="12" borderId="15" xfId="0" applyFont="1" applyFill="1" applyBorder="1" applyAlignment="1">
      <alignment vertical="center"/>
    </xf>
    <xf numFmtId="0" fontId="8" fillId="6" borderId="58" xfId="0" applyFont="1" applyFill="1" applyBorder="1" applyAlignment="1">
      <alignment horizontal="center" vertical="center"/>
    </xf>
    <xf numFmtId="1" fontId="11" fillId="0" borderId="2" xfId="3" applyNumberFormat="1" applyFont="1" applyBorder="1" applyAlignment="1">
      <alignment horizontal="left" vertical="center" wrapText="1"/>
    </xf>
    <xf numFmtId="0" fontId="9" fillId="0" borderId="0" xfId="5" applyBorder="1"/>
    <xf numFmtId="0" fontId="25" fillId="0" borderId="0" xfId="0" applyFont="1" applyAlignment="1">
      <alignment wrapText="1"/>
    </xf>
    <xf numFmtId="0" fontId="1" fillId="0" borderId="2" xfId="1" applyBorder="1" applyAlignment="1">
      <alignment vertical="center" wrapText="1"/>
    </xf>
    <xf numFmtId="2" fontId="7" fillId="0" borderId="2" xfId="0" applyNumberFormat="1" applyFont="1" applyBorder="1" applyAlignment="1">
      <alignment horizontal="center" vertical="center"/>
    </xf>
    <xf numFmtId="0" fontId="8" fillId="0" borderId="0" xfId="0" applyFont="1" applyAlignment="1">
      <alignment vertical="center" wrapText="1"/>
    </xf>
    <xf numFmtId="0" fontId="26" fillId="6" borderId="2" xfId="0" applyFont="1" applyFill="1" applyBorder="1" applyAlignment="1">
      <alignment horizontal="left" vertical="center" wrapText="1"/>
    </xf>
    <xf numFmtId="169" fontId="7" fillId="0" borderId="2" xfId="0" applyNumberFormat="1" applyFont="1" applyBorder="1" applyAlignment="1">
      <alignment vertical="center"/>
    </xf>
    <xf numFmtId="169" fontId="1" fillId="0" borderId="2" xfId="0" applyNumberFormat="1" applyFont="1" applyBorder="1" applyAlignment="1">
      <alignment vertical="center"/>
    </xf>
    <xf numFmtId="0" fontId="20" fillId="6" borderId="2" xfId="0" applyFont="1" applyFill="1" applyBorder="1" applyAlignment="1">
      <alignment vertical="center"/>
    </xf>
    <xf numFmtId="0" fontId="1" fillId="0" borderId="2" xfId="1" applyBorder="1" applyAlignment="1">
      <alignment vertical="center"/>
    </xf>
    <xf numFmtId="9" fontId="7" fillId="0" borderId="2" xfId="0" applyNumberFormat="1" applyFont="1" applyBorder="1" applyAlignment="1">
      <alignment horizontal="center"/>
    </xf>
    <xf numFmtId="0" fontId="34" fillId="0" borderId="2" xfId="0" applyFont="1" applyBorder="1" applyAlignment="1">
      <alignment horizontal="left" vertical="top" wrapText="1"/>
    </xf>
    <xf numFmtId="0" fontId="36" fillId="0" borderId="2" xfId="0" applyFont="1" applyBorder="1" applyAlignment="1">
      <alignment horizontal="center" vertical="center" wrapText="1"/>
    </xf>
    <xf numFmtId="0" fontId="23" fillId="0" borderId="2" xfId="0" applyFont="1" applyBorder="1" applyAlignment="1">
      <alignment wrapText="1"/>
    </xf>
    <xf numFmtId="168" fontId="7" fillId="0" borderId="2" xfId="6" applyNumberFormat="1" applyFont="1" applyBorder="1" applyAlignment="1">
      <alignment horizontal="center" vertical="center"/>
    </xf>
    <xf numFmtId="43" fontId="7" fillId="0" borderId="0" xfId="0" applyNumberFormat="1" applyFont="1" applyAlignment="1">
      <alignment horizontal="center" vertical="top" wrapText="1"/>
    </xf>
    <xf numFmtId="2" fontId="7" fillId="0" borderId="1" xfId="0" applyNumberFormat="1" applyFont="1" applyBorder="1" applyAlignment="1">
      <alignment horizontal="center" vertical="center"/>
    </xf>
    <xf numFmtId="2" fontId="7" fillId="0" borderId="5" xfId="0" applyNumberFormat="1" applyFont="1" applyBorder="1" applyAlignment="1">
      <alignment horizontal="center" vertical="center"/>
    </xf>
    <xf numFmtId="2" fontId="7" fillId="0" borderId="7" xfId="0" applyNumberFormat="1" applyFont="1" applyBorder="1" applyAlignment="1">
      <alignment horizontal="center" vertical="center"/>
    </xf>
    <xf numFmtId="2" fontId="7" fillId="0" borderId="32" xfId="0" applyNumberFormat="1" applyFont="1" applyBorder="1" applyAlignment="1">
      <alignment horizontal="center" vertical="center"/>
    </xf>
    <xf numFmtId="2" fontId="7" fillId="0" borderId="9" xfId="0" applyNumberFormat="1" applyFont="1" applyBorder="1" applyAlignment="1">
      <alignment horizontal="center" vertical="center"/>
    </xf>
    <xf numFmtId="2" fontId="7" fillId="0" borderId="26" xfId="0" applyNumberFormat="1" applyFont="1" applyBorder="1" applyAlignment="1">
      <alignment horizontal="center" vertical="center"/>
    </xf>
    <xf numFmtId="2" fontId="7" fillId="0" borderId="31" xfId="0" applyNumberFormat="1" applyFont="1" applyBorder="1" applyAlignment="1">
      <alignment horizontal="center" vertical="center"/>
    </xf>
    <xf numFmtId="2" fontId="7" fillId="0" borderId="25" xfId="0" applyNumberFormat="1" applyFont="1" applyBorder="1" applyAlignment="1">
      <alignment horizontal="center" vertical="center"/>
    </xf>
    <xf numFmtId="2" fontId="7" fillId="0" borderId="28"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168" fontId="34" fillId="0" borderId="2" xfId="6" applyNumberFormat="1" applyFont="1" applyBorder="1" applyAlignment="1">
      <alignment horizontal="center" vertical="center" wrapText="1"/>
    </xf>
    <xf numFmtId="0" fontId="37" fillId="0" borderId="0" xfId="0" applyFont="1" applyAlignment="1">
      <alignment horizontal="right" vertical="center" wrapText="1"/>
    </xf>
    <xf numFmtId="0" fontId="20" fillId="9" borderId="62" xfId="0" applyFont="1" applyFill="1" applyBorder="1" applyAlignment="1">
      <alignment horizontal="center" vertical="center"/>
    </xf>
    <xf numFmtId="0" fontId="20" fillId="9" borderId="63" xfId="0" applyFont="1" applyFill="1" applyBorder="1" applyAlignment="1">
      <alignment horizontal="center" vertical="center" wrapText="1"/>
    </xf>
    <xf numFmtId="0" fontId="26" fillId="9" borderId="62" xfId="0" applyFont="1" applyFill="1" applyBorder="1" applyAlignment="1">
      <alignment horizontal="center" vertical="center" wrapText="1"/>
    </xf>
    <xf numFmtId="0" fontId="26" fillId="9" borderId="62" xfId="0" applyFont="1" applyFill="1" applyBorder="1" applyAlignment="1">
      <alignment horizontal="center" vertical="center"/>
    </xf>
    <xf numFmtId="0" fontId="26" fillId="9" borderId="37" xfId="0" applyFont="1" applyFill="1" applyBorder="1" applyAlignment="1">
      <alignment horizontal="center" vertical="center"/>
    </xf>
    <xf numFmtId="0" fontId="7" fillId="0" borderId="2" xfId="0" applyFont="1" applyBorder="1" applyAlignment="1">
      <alignment horizontal="left" vertical="center" wrapText="1"/>
    </xf>
    <xf numFmtId="1" fontId="7" fillId="0" borderId="0" xfId="0" applyNumberFormat="1" applyFont="1" applyAlignment="1">
      <alignment horizontal="left" vertical="center" wrapText="1"/>
    </xf>
    <xf numFmtId="0" fontId="7" fillId="0" borderId="17" xfId="0" applyFont="1" applyBorder="1"/>
    <xf numFmtId="1" fontId="7" fillId="0" borderId="0" xfId="0" applyNumberFormat="1" applyFont="1" applyAlignment="1">
      <alignment horizontal="left" vertical="center"/>
    </xf>
    <xf numFmtId="0" fontId="13" fillId="0" borderId="0" xfId="0" applyFont="1" applyAlignment="1">
      <alignment wrapText="1"/>
    </xf>
    <xf numFmtId="3" fontId="0" fillId="0" borderId="0" xfId="0" applyNumberFormat="1"/>
    <xf numFmtId="0" fontId="11" fillId="0" borderId="2" xfId="3" applyFont="1" applyFill="1" applyBorder="1" applyAlignment="1">
      <alignment horizontal="center" vertical="top" wrapText="1"/>
    </xf>
    <xf numFmtId="0" fontId="29" fillId="0" borderId="0" xfId="0" applyFont="1" applyAlignment="1">
      <alignment vertical="center" wrapText="1"/>
    </xf>
    <xf numFmtId="1" fontId="7" fillId="0" borderId="2" xfId="0" applyNumberFormat="1" applyFont="1" applyBorder="1" applyAlignment="1">
      <alignment vertical="center"/>
    </xf>
    <xf numFmtId="0" fontId="7" fillId="0" borderId="3" xfId="0" applyFont="1" applyBorder="1" applyAlignment="1">
      <alignment horizontal="center" vertical="center"/>
    </xf>
    <xf numFmtId="0" fontId="21" fillId="6" borderId="14" xfId="0" applyFont="1" applyFill="1" applyBorder="1" applyAlignment="1">
      <alignment horizontal="center" vertical="center" wrapText="1"/>
    </xf>
    <xf numFmtId="0" fontId="0" fillId="0" borderId="2" xfId="0" applyBorder="1" applyAlignment="1">
      <alignment vertical="top"/>
    </xf>
    <xf numFmtId="0" fontId="8" fillId="6" borderId="25" xfId="0" applyFont="1" applyFill="1" applyBorder="1" applyAlignment="1">
      <alignment horizontal="center" vertical="center" wrapText="1"/>
    </xf>
    <xf numFmtId="9" fontId="7" fillId="0" borderId="0" xfId="0" applyNumberFormat="1" applyFont="1" applyAlignment="1">
      <alignment vertical="center"/>
    </xf>
    <xf numFmtId="0" fontId="8" fillId="6" borderId="73" xfId="0" applyFont="1" applyFill="1" applyBorder="1" applyAlignment="1">
      <alignment horizontal="center" vertical="center"/>
    </xf>
    <xf numFmtId="0" fontId="39" fillId="0" borderId="78" xfId="0" applyFont="1" applyBorder="1" applyAlignment="1">
      <alignment horizontal="center" vertical="center"/>
    </xf>
    <xf numFmtId="0" fontId="39" fillId="0" borderId="80" xfId="0" applyFont="1" applyBorder="1" applyAlignment="1">
      <alignment horizontal="center" vertical="center"/>
    </xf>
    <xf numFmtId="0" fontId="39" fillId="0" borderId="81" xfId="0" applyFont="1" applyBorder="1" applyAlignment="1">
      <alignment horizontal="center" vertical="center"/>
    </xf>
    <xf numFmtId="0" fontId="39" fillId="0" borderId="82" xfId="0" applyFont="1" applyBorder="1" applyAlignment="1">
      <alignment horizontal="center" vertical="center"/>
    </xf>
    <xf numFmtId="0" fontId="39" fillId="0" borderId="83" xfId="0" applyFont="1" applyBorder="1" applyAlignment="1">
      <alignment horizontal="center" vertical="center"/>
    </xf>
    <xf numFmtId="0" fontId="39" fillId="0" borderId="84" xfId="0" applyFont="1" applyBorder="1" applyAlignment="1">
      <alignment horizontal="center" vertical="center"/>
    </xf>
    <xf numFmtId="0" fontId="38" fillId="0" borderId="78" xfId="0" applyFont="1" applyBorder="1" applyAlignment="1">
      <alignment horizontal="center" vertical="center"/>
    </xf>
    <xf numFmtId="0" fontId="38" fillId="0" borderId="79" xfId="0" applyFont="1" applyBorder="1" applyAlignment="1">
      <alignment horizontal="center" vertical="center"/>
    </xf>
    <xf numFmtId="0" fontId="38" fillId="0" borderId="85" xfId="0" applyFont="1" applyBorder="1" applyAlignment="1">
      <alignment horizontal="center" vertical="center"/>
    </xf>
    <xf numFmtId="0" fontId="38" fillId="0" borderId="86" xfId="0" applyFont="1" applyBorder="1" applyAlignment="1">
      <alignment horizontal="center" vertical="center"/>
    </xf>
    <xf numFmtId="2" fontId="24" fillId="0" borderId="1" xfId="0" applyNumberFormat="1" applyFont="1" applyBorder="1" applyAlignment="1">
      <alignment horizontal="center" vertical="center"/>
    </xf>
    <xf numFmtId="2" fontId="24" fillId="0" borderId="5" xfId="0" applyNumberFormat="1" applyFont="1" applyBorder="1" applyAlignment="1">
      <alignment horizontal="center" vertical="center"/>
    </xf>
    <xf numFmtId="2" fontId="24" fillId="0" borderId="2" xfId="0" applyNumberFormat="1" applyFont="1" applyBorder="1" applyAlignment="1">
      <alignment horizontal="center" vertical="center"/>
    </xf>
    <xf numFmtId="2" fontId="40" fillId="0" borderId="12" xfId="0" applyNumberFormat="1" applyFont="1" applyBorder="1" applyAlignment="1">
      <alignment horizontal="center" vertical="center"/>
    </xf>
    <xf numFmtId="2" fontId="40" fillId="0" borderId="2" xfId="0" applyNumberFormat="1" applyFont="1" applyBorder="1" applyAlignment="1">
      <alignment horizontal="center" vertical="center"/>
    </xf>
    <xf numFmtId="2" fontId="24" fillId="0" borderId="7" xfId="0" applyNumberFormat="1" applyFont="1" applyBorder="1" applyAlignment="1">
      <alignment horizontal="center" vertical="center"/>
    </xf>
    <xf numFmtId="2" fontId="24" fillId="0" borderId="12" xfId="0" applyNumberFormat="1" applyFont="1" applyBorder="1" applyAlignment="1">
      <alignment horizontal="center" vertical="center"/>
    </xf>
    <xf numFmtId="2" fontId="24" fillId="0" borderId="97" xfId="0" applyNumberFormat="1" applyFont="1" applyBorder="1" applyAlignment="1">
      <alignment horizontal="center" vertical="center"/>
    </xf>
    <xf numFmtId="2" fontId="24" fillId="0" borderId="32" xfId="0" applyNumberFormat="1" applyFont="1" applyBorder="1" applyAlignment="1">
      <alignment horizontal="center" vertical="center"/>
    </xf>
    <xf numFmtId="2" fontId="24" fillId="0" borderId="9" xfId="0" applyNumberFormat="1" applyFont="1" applyBorder="1" applyAlignment="1">
      <alignment horizontal="center" vertical="center"/>
    </xf>
    <xf numFmtId="2" fontId="40" fillId="0" borderId="99" xfId="0" applyNumberFormat="1" applyFont="1" applyBorder="1" applyAlignment="1">
      <alignment horizontal="center" vertical="center"/>
    </xf>
    <xf numFmtId="2" fontId="40" fillId="0" borderId="100" xfId="0" applyNumberFormat="1" applyFont="1" applyBorder="1" applyAlignment="1">
      <alignment horizontal="center" vertical="center"/>
    </xf>
    <xf numFmtId="2" fontId="40" fillId="0" borderId="101" xfId="0" applyNumberFormat="1" applyFont="1" applyBorder="1" applyAlignment="1">
      <alignment horizontal="center" vertical="center"/>
    </xf>
    <xf numFmtId="2" fontId="40" fillId="0" borderId="102" xfId="0" applyNumberFormat="1" applyFont="1" applyBorder="1" applyAlignment="1">
      <alignment horizontal="center" vertical="center"/>
    </xf>
    <xf numFmtId="2" fontId="40" fillId="0" borderId="104" xfId="0" applyNumberFormat="1" applyFont="1" applyBorder="1" applyAlignment="1">
      <alignment horizontal="center" vertical="center"/>
    </xf>
    <xf numFmtId="2" fontId="40" fillId="0" borderId="105" xfId="0" applyNumberFormat="1" applyFont="1" applyBorder="1" applyAlignment="1">
      <alignment horizontal="center" vertical="center"/>
    </xf>
    <xf numFmtId="2" fontId="24" fillId="0" borderId="17" xfId="0" applyNumberFormat="1" applyFont="1" applyBorder="1" applyAlignment="1">
      <alignment horizontal="center" vertical="center"/>
    </xf>
    <xf numFmtId="2" fontId="24" fillId="0" borderId="107" xfId="0" applyNumberFormat="1" applyFont="1" applyBorder="1" applyAlignment="1">
      <alignment horizontal="center" vertical="center"/>
    </xf>
    <xf numFmtId="2" fontId="24" fillId="0" borderId="106" xfId="0" applyNumberFormat="1" applyFont="1" applyBorder="1" applyAlignment="1">
      <alignment horizontal="center" vertical="center"/>
    </xf>
    <xf numFmtId="2" fontId="24" fillId="0" borderId="108" xfId="0" applyNumberFormat="1" applyFont="1" applyBorder="1" applyAlignment="1">
      <alignment horizontal="center" vertical="center"/>
    </xf>
    <xf numFmtId="2" fontId="24" fillId="0" borderId="64" xfId="0" applyNumberFormat="1" applyFont="1" applyBorder="1" applyAlignment="1">
      <alignment horizontal="center" vertical="center"/>
    </xf>
    <xf numFmtId="2" fontId="24" fillId="0" borderId="109" xfId="0" applyNumberFormat="1" applyFont="1" applyBorder="1" applyAlignment="1">
      <alignment horizontal="center" vertical="center"/>
    </xf>
    <xf numFmtId="2" fontId="24" fillId="0" borderId="103" xfId="0" applyNumberFormat="1" applyFont="1" applyBorder="1" applyAlignment="1">
      <alignment horizontal="center" vertical="center"/>
    </xf>
    <xf numFmtId="2" fontId="24" fillId="0" borderId="110" xfId="0" applyNumberFormat="1" applyFont="1" applyBorder="1" applyAlignment="1">
      <alignment horizontal="center" vertical="center"/>
    </xf>
    <xf numFmtId="1" fontId="24" fillId="0" borderId="90" xfId="0" applyNumberFormat="1" applyFont="1" applyBorder="1" applyAlignment="1">
      <alignment horizontal="center" vertical="center"/>
    </xf>
    <xf numFmtId="1" fontId="24" fillId="0" borderId="91" xfId="0" applyNumberFormat="1" applyFont="1" applyBorder="1" applyAlignment="1">
      <alignment horizontal="center" vertical="center"/>
    </xf>
    <xf numFmtId="1" fontId="24" fillId="0" borderId="64" xfId="0" applyNumberFormat="1" applyFont="1" applyBorder="1" applyAlignment="1">
      <alignment horizontal="center" vertical="center"/>
    </xf>
    <xf numFmtId="1" fontId="24" fillId="0" borderId="93" xfId="0" applyNumberFormat="1" applyFont="1" applyBorder="1" applyAlignment="1">
      <alignment horizontal="center" vertical="center"/>
    </xf>
    <xf numFmtId="1" fontId="24" fillId="0" borderId="118" xfId="0" applyNumberFormat="1" applyFont="1" applyBorder="1" applyAlignment="1">
      <alignment horizontal="center" vertical="center"/>
    </xf>
    <xf numFmtId="1" fontId="24" fillId="0" borderId="119" xfId="0" applyNumberFormat="1" applyFont="1" applyBorder="1" applyAlignment="1">
      <alignment horizontal="center" vertical="center"/>
    </xf>
    <xf numFmtId="1" fontId="24" fillId="0" borderId="106" xfId="0" applyNumberFormat="1" applyFont="1" applyBorder="1" applyAlignment="1">
      <alignment horizontal="center" vertical="center"/>
    </xf>
    <xf numFmtId="1" fontId="24" fillId="0" borderId="123" xfId="0" applyNumberFormat="1" applyFont="1" applyBorder="1" applyAlignment="1">
      <alignment horizontal="center" vertical="center"/>
    </xf>
    <xf numFmtId="0" fontId="7" fillId="0" borderId="124" xfId="0" applyFont="1" applyBorder="1" applyAlignment="1">
      <alignment horizontal="center" vertical="center"/>
    </xf>
    <xf numFmtId="0" fontId="7" fillId="0" borderId="125" xfId="0" applyFont="1" applyBorder="1" applyAlignment="1">
      <alignment horizontal="center" vertical="center"/>
    </xf>
    <xf numFmtId="0" fontId="7" fillId="0" borderId="126" xfId="0" applyFont="1" applyBorder="1" applyAlignment="1">
      <alignment horizontal="center" vertical="center"/>
    </xf>
    <xf numFmtId="0" fontId="7" fillId="0" borderId="138" xfId="0" applyFont="1" applyBorder="1" applyAlignment="1">
      <alignment horizontal="center" vertical="center"/>
    </xf>
    <xf numFmtId="2" fontId="7" fillId="0" borderId="27" xfId="0" applyNumberFormat="1" applyFont="1" applyBorder="1" applyAlignment="1">
      <alignment horizontal="center" vertical="center"/>
    </xf>
    <xf numFmtId="2" fontId="7" fillId="0" borderId="139" xfId="0" applyNumberFormat="1" applyFont="1" applyBorder="1" applyAlignment="1">
      <alignment horizontal="center" vertical="center"/>
    </xf>
    <xf numFmtId="0" fontId="7" fillId="0" borderId="59" xfId="0" applyFont="1" applyBorder="1" applyAlignment="1">
      <alignment horizontal="center" vertical="center"/>
    </xf>
    <xf numFmtId="0" fontId="7" fillId="0" borderId="11" xfId="0" applyFont="1" applyBorder="1" applyAlignment="1">
      <alignment horizontal="center" vertical="center"/>
    </xf>
    <xf numFmtId="0" fontId="7" fillId="0" borderId="60" xfId="0" applyFont="1" applyBorder="1" applyAlignment="1">
      <alignment horizontal="center" vertical="center"/>
    </xf>
    <xf numFmtId="0" fontId="24" fillId="0" borderId="59" xfId="0" applyFont="1" applyBorder="1" applyAlignment="1">
      <alignment horizontal="center" vertical="center"/>
    </xf>
    <xf numFmtId="0" fontId="24" fillId="0" borderId="11" xfId="0" applyFont="1" applyBorder="1" applyAlignment="1">
      <alignment horizontal="center" vertical="center"/>
    </xf>
    <xf numFmtId="0" fontId="24" fillId="0" borderId="15" xfId="0" applyFont="1" applyBorder="1" applyAlignment="1">
      <alignment horizontal="center" vertical="center"/>
    </xf>
    <xf numFmtId="0" fontId="24" fillId="0" borderId="146" xfId="0" applyFont="1" applyBorder="1" applyAlignment="1">
      <alignment horizontal="center" vertical="center"/>
    </xf>
    <xf numFmtId="2" fontId="24" fillId="0" borderId="62" xfId="0" applyNumberFormat="1" applyFont="1" applyBorder="1" applyAlignment="1">
      <alignment horizontal="center" vertical="center"/>
    </xf>
    <xf numFmtId="0" fontId="24" fillId="0" borderId="147" xfId="0" applyFont="1" applyBorder="1" applyAlignment="1">
      <alignment horizontal="center" vertical="center"/>
    </xf>
    <xf numFmtId="0" fontId="24" fillId="0" borderId="149" xfId="0" applyFont="1" applyBorder="1" applyAlignment="1">
      <alignment horizontal="center" vertical="center"/>
    </xf>
    <xf numFmtId="0" fontId="24" fillId="0" borderId="151" xfId="0" applyFont="1" applyBorder="1" applyAlignment="1">
      <alignment horizontal="center" vertical="center"/>
    </xf>
    <xf numFmtId="0" fontId="24" fillId="0" borderId="152" xfId="0" applyFont="1" applyBorder="1" applyAlignment="1">
      <alignment horizontal="center" vertical="center"/>
    </xf>
    <xf numFmtId="1" fontId="7" fillId="0" borderId="1" xfId="0" applyNumberFormat="1" applyFont="1" applyBorder="1" applyAlignment="1">
      <alignment horizontal="center" vertical="center"/>
    </xf>
    <xf numFmtId="1" fontId="7" fillId="0" borderId="5" xfId="0" applyNumberFormat="1" applyFont="1" applyBorder="1" applyAlignment="1">
      <alignment horizontal="center" vertical="center"/>
    </xf>
    <xf numFmtId="1" fontId="7" fillId="0" borderId="2" xfId="0" applyNumberFormat="1" applyFont="1" applyBorder="1" applyAlignment="1">
      <alignment horizontal="center" vertical="center"/>
    </xf>
    <xf numFmtId="1" fontId="7" fillId="0" borderId="7" xfId="0" applyNumberFormat="1" applyFont="1" applyBorder="1" applyAlignment="1">
      <alignment horizontal="center" vertical="center"/>
    </xf>
    <xf numFmtId="1" fontId="7" fillId="0" borderId="32" xfId="0" applyNumberFormat="1" applyFont="1" applyBorder="1" applyAlignment="1">
      <alignment horizontal="center" vertical="center"/>
    </xf>
    <xf numFmtId="1" fontId="7" fillId="0" borderId="9" xfId="0" applyNumberFormat="1" applyFont="1" applyBorder="1" applyAlignment="1">
      <alignment horizontal="center" vertical="center"/>
    </xf>
    <xf numFmtId="0" fontId="20" fillId="0" borderId="2" xfId="0" applyFont="1" applyBorder="1" applyAlignment="1">
      <alignment horizontal="center" vertical="center" wrapText="1"/>
    </xf>
    <xf numFmtId="0" fontId="20" fillId="9" borderId="2" xfId="0" applyFont="1" applyFill="1" applyBorder="1" applyAlignment="1">
      <alignment horizontal="center" vertical="center" wrapText="1"/>
    </xf>
    <xf numFmtId="165" fontId="25" fillId="0" borderId="2" xfId="0" applyNumberFormat="1" applyFont="1" applyBorder="1" applyAlignment="1">
      <alignment horizontal="center" vertical="center"/>
    </xf>
    <xf numFmtId="0" fontId="7" fillId="0" borderId="2" xfId="4" applyBorder="1" applyAlignment="1">
      <alignment horizontal="center" vertical="center"/>
    </xf>
    <xf numFmtId="170" fontId="7" fillId="0" borderId="2" xfId="6" applyNumberFormat="1" applyFont="1" applyBorder="1" applyAlignment="1">
      <alignment horizontal="center" vertical="center"/>
    </xf>
    <xf numFmtId="170" fontId="7" fillId="0" borderId="2" xfId="0" applyNumberFormat="1" applyFont="1" applyBorder="1"/>
    <xf numFmtId="170" fontId="25" fillId="0" borderId="2" xfId="0" applyNumberFormat="1" applyFont="1" applyBorder="1" applyAlignment="1">
      <alignment horizontal="center" vertical="center"/>
    </xf>
    <xf numFmtId="0" fontId="60" fillId="0" borderId="0" xfId="0" applyFont="1" applyAlignment="1">
      <alignment horizontal="center" vertical="center" wrapText="1"/>
    </xf>
    <xf numFmtId="0" fontId="59" fillId="0" borderId="0" xfId="0" applyFont="1" applyAlignment="1">
      <alignment horizontal="center" vertical="center" wrapText="1"/>
    </xf>
    <xf numFmtId="0" fontId="25" fillId="0" borderId="0" xfId="0" applyFont="1" applyAlignment="1">
      <alignment horizontal="left"/>
    </xf>
    <xf numFmtId="0" fontId="62" fillId="0" borderId="0" xfId="5" applyFont="1" applyAlignment="1">
      <alignment horizontal="left"/>
    </xf>
    <xf numFmtId="0" fontId="8" fillId="9" borderId="2" xfId="0" applyFont="1" applyFill="1" applyBorder="1" applyAlignment="1">
      <alignment horizontal="center" vertical="center" wrapText="1"/>
    </xf>
    <xf numFmtId="0" fontId="20" fillId="0" borderId="0" xfId="0" applyFont="1" applyAlignment="1">
      <alignment horizontal="center" vertical="center" wrapText="1"/>
    </xf>
    <xf numFmtId="0" fontId="7" fillId="0" borderId="164" xfId="0" applyFont="1" applyBorder="1" applyAlignment="1">
      <alignment vertical="center"/>
    </xf>
    <xf numFmtId="43" fontId="7" fillId="0" borderId="3" xfId="0" applyNumberFormat="1" applyFont="1" applyBorder="1" applyAlignment="1">
      <alignment vertical="center"/>
    </xf>
    <xf numFmtId="43" fontId="8" fillId="0" borderId="2" xfId="6" applyFont="1" applyBorder="1" applyAlignment="1">
      <alignment horizontal="center" vertical="center"/>
    </xf>
    <xf numFmtId="43" fontId="7" fillId="0" borderId="2" xfId="6" applyFont="1" applyBorder="1" applyAlignment="1">
      <alignment horizontal="center" vertical="center"/>
    </xf>
    <xf numFmtId="0" fontId="7" fillId="0" borderId="0" xfId="427" applyFont="1"/>
    <xf numFmtId="0" fontId="25" fillId="0" borderId="0" xfId="427" applyFont="1" applyAlignment="1">
      <alignment vertical="center" wrapText="1"/>
    </xf>
    <xf numFmtId="165" fontId="25" fillId="0" borderId="0" xfId="427" applyNumberFormat="1" applyFont="1" applyAlignment="1">
      <alignment horizontal="left" vertical="center" wrapText="1"/>
    </xf>
    <xf numFmtId="0" fontId="25" fillId="0" borderId="0" xfId="427" applyFont="1" applyAlignment="1">
      <alignment vertical="center"/>
    </xf>
    <xf numFmtId="0" fontId="60" fillId="0" borderId="0" xfId="427" applyFont="1" applyAlignment="1">
      <alignment vertical="center" wrapText="1"/>
    </xf>
    <xf numFmtId="167" fontId="25" fillId="0" borderId="0" xfId="427" applyNumberFormat="1" applyFont="1" applyAlignment="1">
      <alignment horizontal="left" vertical="center" wrapText="1"/>
    </xf>
    <xf numFmtId="0" fontId="60" fillId="0" borderId="0" xfId="427" applyFont="1" applyAlignment="1">
      <alignment vertical="center"/>
    </xf>
    <xf numFmtId="0" fontId="25" fillId="0" borderId="0" xfId="427" applyFont="1" applyAlignment="1">
      <alignment horizontal="left" vertical="center" wrapText="1"/>
    </xf>
    <xf numFmtId="171" fontId="25" fillId="0" borderId="0" xfId="427" applyNumberFormat="1" applyFont="1" applyAlignment="1">
      <alignment horizontal="left" vertical="center" wrapText="1"/>
    </xf>
    <xf numFmtId="0" fontId="7" fillId="0" borderId="0" xfId="427" applyFont="1" applyAlignment="1">
      <alignment horizontal="left"/>
    </xf>
    <xf numFmtId="0" fontId="61" fillId="0" borderId="0" xfId="427"/>
    <xf numFmtId="0" fontId="9" fillId="0" borderId="0" xfId="5" applyAlignment="1">
      <alignment horizontal="left" vertical="top"/>
    </xf>
    <xf numFmtId="0" fontId="7" fillId="0" borderId="0" xfId="427" applyFont="1" applyAlignment="1">
      <alignment wrapText="1"/>
    </xf>
    <xf numFmtId="0" fontId="7" fillId="7" borderId="173" xfId="427" applyFont="1" applyFill="1" applyBorder="1" applyAlignment="1">
      <alignment horizontal="left" vertical="center"/>
    </xf>
    <xf numFmtId="0" fontId="61" fillId="0" borderId="0" xfId="427" applyAlignment="1">
      <alignment horizontal="left" vertical="center"/>
    </xf>
    <xf numFmtId="0" fontId="7" fillId="0" borderId="0" xfId="427" applyFont="1" applyAlignment="1">
      <alignment horizontal="left" vertical="center"/>
    </xf>
    <xf numFmtId="0" fontId="7" fillId="7" borderId="20" xfId="427" applyFont="1" applyFill="1" applyBorder="1" applyAlignment="1">
      <alignment horizontal="left" vertical="center"/>
    </xf>
    <xf numFmtId="0" fontId="63" fillId="5" borderId="171" xfId="427" applyFont="1" applyFill="1" applyBorder="1" applyAlignment="1">
      <alignment vertical="center" wrapText="1"/>
    </xf>
    <xf numFmtId="0" fontId="65" fillId="7" borderId="14" xfId="427" applyFont="1" applyFill="1" applyBorder="1" applyAlignment="1">
      <alignment horizontal="left" vertical="center"/>
    </xf>
    <xf numFmtId="0" fontId="65" fillId="7" borderId="0" xfId="427" applyFont="1" applyFill="1" applyAlignment="1">
      <alignment horizontal="left" vertical="center"/>
    </xf>
    <xf numFmtId="0" fontId="22" fillId="7" borderId="0" xfId="427" applyFont="1" applyFill="1" applyAlignment="1">
      <alignment horizontal="left" vertical="center"/>
    </xf>
    <xf numFmtId="0" fontId="22" fillId="7" borderId="173" xfId="427" applyFont="1" applyFill="1" applyBorder="1" applyAlignment="1">
      <alignment horizontal="left" vertical="center"/>
    </xf>
    <xf numFmtId="3" fontId="22" fillId="53" borderId="0" xfId="6" applyNumberFormat="1" applyFont="1" applyFill="1" applyBorder="1" applyAlignment="1">
      <alignment horizontal="left" vertical="center"/>
    </xf>
    <xf numFmtId="3" fontId="22" fillId="0" borderId="44" xfId="427" applyNumberFormat="1" applyFont="1" applyBorder="1" applyAlignment="1">
      <alignment horizontal="center" vertical="center" wrapText="1"/>
    </xf>
    <xf numFmtId="0" fontId="22" fillId="0" borderId="2" xfId="0" applyFont="1" applyBorder="1" applyAlignment="1">
      <alignment vertical="center"/>
    </xf>
    <xf numFmtId="0" fontId="52" fillId="0" borderId="0" xfId="0" applyFont="1"/>
    <xf numFmtId="2" fontId="22" fillId="51" borderId="43" xfId="427" applyNumberFormat="1" applyFont="1" applyFill="1" applyBorder="1" applyAlignment="1">
      <alignment horizontal="center" vertical="center" wrapText="1"/>
    </xf>
    <xf numFmtId="0" fontId="8" fillId="9" borderId="73" xfId="0" applyFont="1" applyFill="1" applyBorder="1" applyAlignment="1">
      <alignment horizontal="center" vertical="center" wrapText="1"/>
    </xf>
    <xf numFmtId="0" fontId="35" fillId="12" borderId="164" xfId="0" applyFont="1" applyFill="1" applyBorder="1" applyAlignment="1">
      <alignment horizontal="left" vertical="center"/>
    </xf>
    <xf numFmtId="0" fontId="11" fillId="0" borderId="11" xfId="3" applyFont="1" applyFill="1" applyBorder="1" applyAlignment="1">
      <alignment horizontal="center" vertical="center" wrapText="1"/>
    </xf>
    <xf numFmtId="0" fontId="7" fillId="0" borderId="10" xfId="0" applyFont="1" applyBorder="1" applyAlignment="1">
      <alignment horizontal="center"/>
    </xf>
    <xf numFmtId="0" fontId="63" fillId="9" borderId="12" xfId="0" applyFont="1" applyFill="1" applyBorder="1" applyAlignment="1">
      <alignment horizontal="center" vertical="center"/>
    </xf>
    <xf numFmtId="0" fontId="22" fillId="0" borderId="25" xfId="0" applyFont="1" applyBorder="1" applyAlignment="1">
      <alignment horizontal="center" vertical="center"/>
    </xf>
    <xf numFmtId="0" fontId="31" fillId="8" borderId="25" xfId="0" applyFont="1" applyFill="1" applyBorder="1" applyAlignment="1">
      <alignment horizontal="center" vertical="center"/>
    </xf>
    <xf numFmtId="0" fontId="21" fillId="6" borderId="25" xfId="0" applyFont="1" applyFill="1" applyBorder="1" applyAlignment="1">
      <alignment horizontal="center" vertical="center" wrapText="1"/>
    </xf>
    <xf numFmtId="1" fontId="1" fillId="0" borderId="25" xfId="7" applyNumberFormat="1" applyFont="1" applyBorder="1" applyAlignment="1">
      <alignment horizontal="center" vertical="center"/>
    </xf>
    <xf numFmtId="0" fontId="21" fillId="6" borderId="3" xfId="0" applyFont="1" applyFill="1" applyBorder="1" applyAlignment="1">
      <alignment horizontal="center" vertical="center" wrapText="1"/>
    </xf>
    <xf numFmtId="1" fontId="1" fillId="0" borderId="3" xfId="7" applyNumberFormat="1" applyFont="1" applyBorder="1" applyAlignment="1">
      <alignment horizontal="center" vertical="center"/>
    </xf>
    <xf numFmtId="0" fontId="7" fillId="0" borderId="15" xfId="0" applyFont="1" applyBorder="1"/>
    <xf numFmtId="0" fontId="26" fillId="9" borderId="12" xfId="0" applyFont="1" applyFill="1" applyBorder="1" applyAlignment="1">
      <alignment horizontal="center" vertical="center"/>
    </xf>
    <xf numFmtId="0" fontId="25" fillId="0" borderId="25" xfId="0" applyFont="1" applyBorder="1" applyAlignment="1">
      <alignment horizontal="center" vertical="center"/>
    </xf>
    <xf numFmtId="0" fontId="22" fillId="0" borderId="25" xfId="0" applyFont="1" applyBorder="1" applyAlignment="1">
      <alignment horizontal="center" vertical="center" wrapText="1"/>
    </xf>
    <xf numFmtId="0" fontId="7" fillId="54" borderId="25" xfId="0" applyFont="1" applyFill="1" applyBorder="1" applyAlignment="1">
      <alignment horizontal="center" vertical="center" wrapText="1"/>
    </xf>
    <xf numFmtId="0" fontId="22" fillId="0" borderId="25" xfId="0" applyFont="1" applyBorder="1" applyAlignment="1">
      <alignment horizontal="center" vertical="top" wrapText="1"/>
    </xf>
    <xf numFmtId="0" fontId="25" fillId="0" borderId="0" xfId="0" applyFont="1" applyAlignment="1">
      <alignment horizontal="center" vertical="center" wrapText="1"/>
    </xf>
    <xf numFmtId="0" fontId="25" fillId="0" borderId="0" xfId="0" applyFont="1" applyAlignment="1">
      <alignment horizontal="center" vertical="center"/>
    </xf>
    <xf numFmtId="0" fontId="32" fillId="0" borderId="0" xfId="0" applyFont="1"/>
    <xf numFmtId="0" fontId="25" fillId="12" borderId="173" xfId="0" applyFont="1" applyFill="1" applyBorder="1" applyAlignment="1">
      <alignment vertical="center"/>
    </xf>
    <xf numFmtId="0" fontId="22" fillId="12" borderId="2" xfId="0" applyFont="1" applyFill="1" applyBorder="1" applyAlignment="1">
      <alignment horizontal="center" vertical="center" wrapText="1"/>
    </xf>
    <xf numFmtId="2" fontId="22" fillId="0" borderId="2" xfId="0" applyNumberFormat="1" applyFont="1" applyBorder="1" applyAlignment="1">
      <alignment horizontal="center" vertical="center" wrapText="1"/>
    </xf>
    <xf numFmtId="0" fontId="1" fillId="0" borderId="12" xfId="0" applyFont="1" applyBorder="1" applyAlignment="1">
      <alignment horizontal="center" vertical="center" wrapText="1"/>
    </xf>
    <xf numFmtId="0" fontId="7" fillId="0" borderId="2" xfId="0" applyFont="1" applyBorder="1" applyAlignment="1">
      <alignment horizontal="left" vertical="center"/>
    </xf>
    <xf numFmtId="0" fontId="8" fillId="6" borderId="64" xfId="0" applyFont="1" applyFill="1" applyBorder="1" applyAlignment="1">
      <alignment horizontal="center" vertical="center"/>
    </xf>
    <xf numFmtId="0" fontId="8" fillId="6" borderId="64" xfId="0" applyFont="1" applyFill="1" applyBorder="1" applyAlignment="1">
      <alignment horizontal="center" vertical="center" wrapText="1"/>
    </xf>
    <xf numFmtId="167" fontId="7" fillId="0" borderId="64" xfId="0" applyNumberFormat="1" applyFont="1" applyBorder="1" applyAlignment="1">
      <alignment horizontal="center" vertical="center"/>
    </xf>
    <xf numFmtId="0" fontId="25" fillId="0" borderId="64" xfId="0" applyFont="1" applyBorder="1" applyAlignment="1">
      <alignment horizontal="center" vertical="center"/>
    </xf>
    <xf numFmtId="0" fontId="7" fillId="7" borderId="64" xfId="0" applyFont="1" applyFill="1" applyBorder="1" applyAlignment="1">
      <alignment horizontal="center" vertical="center"/>
    </xf>
    <xf numFmtId="167" fontId="7" fillId="7" borderId="64" xfId="0" applyNumberFormat="1" applyFont="1" applyFill="1" applyBorder="1" applyAlignment="1">
      <alignment horizontal="center" vertical="center" wrapText="1"/>
    </xf>
    <xf numFmtId="0" fontId="25" fillId="13" borderId="64" xfId="0" applyFont="1" applyFill="1" applyBorder="1" applyAlignment="1">
      <alignment horizontal="center" vertical="center"/>
    </xf>
    <xf numFmtId="0" fontId="7" fillId="5" borderId="64" xfId="0" applyFont="1" applyFill="1" applyBorder="1" applyAlignment="1">
      <alignment horizontal="center" vertical="center"/>
    </xf>
    <xf numFmtId="0" fontId="25" fillId="14" borderId="64" xfId="0" applyFont="1" applyFill="1" applyBorder="1" applyAlignment="1">
      <alignment horizontal="center" vertical="center"/>
    </xf>
    <xf numFmtId="0" fontId="7" fillId="3" borderId="64" xfId="0" applyFont="1" applyFill="1" applyBorder="1" applyAlignment="1">
      <alignment horizontal="center" vertical="center"/>
    </xf>
    <xf numFmtId="0" fontId="25" fillId="15" borderId="64" xfId="0" applyFont="1" applyFill="1" applyBorder="1" applyAlignment="1">
      <alignment horizontal="center" vertical="center"/>
    </xf>
    <xf numFmtId="0" fontId="22" fillId="10" borderId="64" xfId="0" applyFont="1" applyFill="1" applyBorder="1" applyAlignment="1">
      <alignment horizontal="center" vertical="center"/>
    </xf>
    <xf numFmtId="0" fontId="22" fillId="56" borderId="64" xfId="0" applyFont="1" applyFill="1" applyBorder="1" applyAlignment="1">
      <alignment horizontal="center" vertical="center"/>
    </xf>
    <xf numFmtId="0" fontId="7" fillId="55" borderId="64" xfId="0" applyFont="1" applyFill="1" applyBorder="1" applyAlignment="1">
      <alignment horizontal="center" vertical="center"/>
    </xf>
    <xf numFmtId="0" fontId="1" fillId="55" borderId="64" xfId="0" applyFont="1" applyFill="1" applyBorder="1" applyAlignment="1">
      <alignment horizontal="center" vertical="center"/>
    </xf>
    <xf numFmtId="0" fontId="25" fillId="55" borderId="64" xfId="0" applyFont="1" applyFill="1" applyBorder="1" applyAlignment="1">
      <alignment horizontal="center" vertical="center"/>
    </xf>
    <xf numFmtId="2" fontId="7" fillId="0" borderId="64" xfId="0" applyNumberFormat="1" applyFont="1" applyBorder="1" applyAlignment="1">
      <alignment horizontal="center" vertical="center"/>
    </xf>
    <xf numFmtId="2" fontId="7" fillId="7" borderId="64" xfId="0" applyNumberFormat="1" applyFont="1" applyFill="1" applyBorder="1" applyAlignment="1">
      <alignment horizontal="center" vertical="center"/>
    </xf>
    <xf numFmtId="0" fontId="7" fillId="5" borderId="64" xfId="0" applyFont="1" applyFill="1" applyBorder="1" applyAlignment="1">
      <alignment horizontal="center" vertical="center" wrapText="1"/>
    </xf>
    <xf numFmtId="0" fontId="63" fillId="6" borderId="22" xfId="0" applyFont="1" applyFill="1" applyBorder="1" applyAlignment="1">
      <alignment horizontal="center" vertical="center" wrapText="1"/>
    </xf>
    <xf numFmtId="0" fontId="22" fillId="0" borderId="22" xfId="0" applyFont="1" applyBorder="1" applyAlignment="1">
      <alignment horizontal="center" vertical="center" wrapText="1"/>
    </xf>
    <xf numFmtId="167" fontId="22" fillId="56" borderId="64" xfId="0" applyNumberFormat="1" applyFont="1" applyFill="1" applyBorder="1" applyAlignment="1">
      <alignment horizontal="center" vertical="center"/>
    </xf>
    <xf numFmtId="2" fontId="22" fillId="56" borderId="64" xfId="0" applyNumberFormat="1" applyFont="1" applyFill="1" applyBorder="1" applyAlignment="1">
      <alignment horizontal="center" vertical="center"/>
    </xf>
    <xf numFmtId="3" fontId="22" fillId="0" borderId="2" xfId="0" applyNumberFormat="1" applyFont="1" applyBorder="1" applyAlignment="1">
      <alignment horizontal="center" vertical="center" wrapText="1"/>
    </xf>
    <xf numFmtId="168" fontId="22" fillId="0" borderId="2" xfId="0" applyNumberFormat="1" applyFont="1" applyBorder="1" applyAlignment="1">
      <alignment horizontal="center" vertical="center" wrapText="1"/>
    </xf>
    <xf numFmtId="0" fontId="63" fillId="9" borderId="2" xfId="0" applyFont="1" applyFill="1" applyBorder="1" applyAlignment="1">
      <alignment horizontal="center" vertical="center" wrapText="1"/>
    </xf>
    <xf numFmtId="1" fontId="22" fillId="0" borderId="2" xfId="0" applyNumberFormat="1" applyFont="1" applyBorder="1" applyAlignment="1">
      <alignment horizontal="center" vertical="center" wrapText="1"/>
    </xf>
    <xf numFmtId="0" fontId="25" fillId="0" borderId="0" xfId="427" applyFont="1" applyAlignment="1">
      <alignment horizontal="center" vertical="center" wrapText="1"/>
    </xf>
    <xf numFmtId="3" fontId="22" fillId="0" borderId="0" xfId="427" applyNumberFormat="1" applyFont="1" applyAlignment="1">
      <alignment horizontal="center" vertical="center" wrapText="1"/>
    </xf>
    <xf numFmtId="3" fontId="25" fillId="0" borderId="0" xfId="427" applyNumberFormat="1" applyFont="1" applyAlignment="1">
      <alignment horizontal="center" vertical="center" wrapText="1"/>
    </xf>
    <xf numFmtId="2" fontId="20" fillId="0" borderId="2" xfId="0" applyNumberFormat="1" applyFont="1" applyBorder="1" applyAlignment="1">
      <alignment horizontal="center" vertical="center" wrapText="1"/>
    </xf>
    <xf numFmtId="43" fontId="25" fillId="0" borderId="0" xfId="67" applyFont="1" applyBorder="1" applyAlignment="1">
      <alignment horizontal="center" vertical="center"/>
    </xf>
    <xf numFmtId="2" fontId="25" fillId="0" borderId="0" xfId="0" applyNumberFormat="1" applyFont="1" applyAlignment="1">
      <alignment horizontal="center" vertical="center" wrapText="1"/>
    </xf>
    <xf numFmtId="43" fontId="25" fillId="0" borderId="0" xfId="0" applyNumberFormat="1" applyFont="1" applyAlignment="1">
      <alignment horizontal="center" vertical="center" wrapText="1"/>
    </xf>
    <xf numFmtId="0" fontId="63" fillId="49" borderId="44" xfId="427" applyFont="1" applyFill="1" applyBorder="1" applyAlignment="1">
      <alignment horizontal="center" vertical="center" wrapText="1"/>
    </xf>
    <xf numFmtId="0" fontId="63" fillId="49" borderId="12" xfId="427" applyFont="1" applyFill="1" applyBorder="1" applyAlignment="1">
      <alignment vertical="center" wrapText="1"/>
    </xf>
    <xf numFmtId="43" fontId="22" fillId="0" borderId="177" xfId="67" applyFont="1" applyBorder="1" applyAlignment="1">
      <alignment horizontal="center" vertical="center"/>
    </xf>
    <xf numFmtId="0" fontId="22" fillId="0" borderId="44" xfId="427" applyFont="1" applyBorder="1" applyAlignment="1">
      <alignment horizontal="center" vertical="center" wrapText="1"/>
    </xf>
    <xf numFmtId="165" fontId="22" fillId="50" borderId="44" xfId="427" applyNumberFormat="1" applyFont="1" applyFill="1" applyBorder="1" applyAlignment="1">
      <alignment horizontal="center" vertical="center" wrapText="1"/>
    </xf>
    <xf numFmtId="3" fontId="22" fillId="0" borderId="168" xfId="427" applyNumberFormat="1" applyFont="1" applyBorder="1" applyAlignment="1">
      <alignment horizontal="center" vertical="center" wrapText="1"/>
    </xf>
    <xf numFmtId="43" fontId="22" fillId="0" borderId="178" xfId="67" applyFont="1" applyBorder="1" applyAlignment="1">
      <alignment horizontal="center" vertical="center"/>
    </xf>
    <xf numFmtId="43" fontId="22" fillId="0" borderId="25" xfId="67" applyFont="1" applyBorder="1" applyAlignment="1">
      <alignment horizontal="center" vertical="center"/>
    </xf>
    <xf numFmtId="0" fontId="63" fillId="49" borderId="180" xfId="427" applyFont="1" applyFill="1" applyBorder="1" applyAlignment="1">
      <alignment horizontal="center" vertical="center" wrapText="1"/>
    </xf>
    <xf numFmtId="0" fontId="63" fillId="49" borderId="39" xfId="427" applyFont="1" applyFill="1" applyBorder="1" applyAlignment="1">
      <alignment horizontal="center" vertical="center" wrapText="1"/>
    </xf>
    <xf numFmtId="2" fontId="22" fillId="0" borderId="177" xfId="0" applyNumberFormat="1" applyFont="1" applyBorder="1" applyAlignment="1">
      <alignment horizontal="center" vertical="center" wrapText="1"/>
    </xf>
    <xf numFmtId="2" fontId="22" fillId="0" borderId="178" xfId="0" applyNumberFormat="1" applyFont="1" applyBorder="1" applyAlignment="1">
      <alignment horizontal="center" vertical="center" wrapText="1"/>
    </xf>
    <xf numFmtId="43" fontId="22" fillId="0" borderId="181" xfId="67" applyFont="1" applyBorder="1" applyAlignment="1">
      <alignment horizontal="center" vertical="center"/>
    </xf>
    <xf numFmtId="43" fontId="22" fillId="0" borderId="182" xfId="67" applyFont="1" applyBorder="1" applyAlignment="1">
      <alignment horizontal="center" vertical="center"/>
    </xf>
    <xf numFmtId="2" fontId="22" fillId="0" borderId="25" xfId="0" applyNumberFormat="1" applyFont="1" applyBorder="1" applyAlignment="1">
      <alignment horizontal="center" vertical="center" wrapText="1"/>
    </xf>
    <xf numFmtId="0" fontId="66" fillId="5" borderId="172" xfId="427" applyFont="1" applyFill="1" applyBorder="1" applyAlignment="1">
      <alignment vertical="center" wrapText="1"/>
    </xf>
    <xf numFmtId="0" fontId="66" fillId="52" borderId="13" xfId="427" applyFont="1" applyFill="1" applyBorder="1" applyAlignment="1">
      <alignment vertical="center" wrapText="1"/>
    </xf>
    <xf numFmtId="0" fontId="66" fillId="52" borderId="14" xfId="427" applyFont="1" applyFill="1" applyBorder="1" applyAlignment="1">
      <alignment vertical="center" wrapText="1"/>
    </xf>
    <xf numFmtId="0" fontId="63" fillId="52" borderId="14" xfId="427" applyFont="1" applyFill="1" applyBorder="1" applyAlignment="1">
      <alignment vertical="center" wrapText="1"/>
    </xf>
    <xf numFmtId="0" fontId="66" fillId="52" borderId="14" xfId="427" applyFont="1" applyFill="1" applyBorder="1" applyAlignment="1">
      <alignment horizontal="left" vertical="center" wrapText="1"/>
    </xf>
    <xf numFmtId="0" fontId="66" fillId="52" borderId="15" xfId="427" applyFont="1" applyFill="1" applyBorder="1" applyAlignment="1">
      <alignment vertical="center" wrapText="1"/>
    </xf>
    <xf numFmtId="0" fontId="22" fillId="53" borderId="0" xfId="427" applyFont="1" applyFill="1" applyAlignment="1">
      <alignment horizontal="left" vertical="center"/>
    </xf>
    <xf numFmtId="0" fontId="22" fillId="53" borderId="186" xfId="427" applyFont="1" applyFill="1" applyBorder="1" applyAlignment="1">
      <alignment horizontal="left" vertical="center"/>
    </xf>
    <xf numFmtId="3" fontId="22" fillId="53" borderId="187" xfId="6" applyNumberFormat="1" applyFont="1" applyFill="1" applyBorder="1" applyAlignment="1">
      <alignment horizontal="left" vertical="center"/>
    </xf>
    <xf numFmtId="0" fontId="22" fillId="53" borderId="187" xfId="427" applyFont="1" applyFill="1" applyBorder="1" applyAlignment="1">
      <alignment horizontal="left" vertical="center"/>
    </xf>
    <xf numFmtId="0" fontId="22" fillId="53" borderId="188" xfId="427" applyFont="1" applyFill="1" applyBorder="1" applyAlignment="1">
      <alignment horizontal="left" vertical="center"/>
    </xf>
    <xf numFmtId="0" fontId="22" fillId="53" borderId="189" xfId="427" applyFont="1" applyFill="1" applyBorder="1" applyAlignment="1">
      <alignment horizontal="left" vertical="center"/>
    </xf>
    <xf numFmtId="0" fontId="22" fillId="53" borderId="190" xfId="427" applyFont="1" applyFill="1" applyBorder="1" applyAlignment="1">
      <alignment horizontal="left" vertical="center"/>
    </xf>
    <xf numFmtId="0" fontId="22" fillId="53" borderId="191" xfId="427" applyFont="1" applyFill="1" applyBorder="1" applyAlignment="1">
      <alignment horizontal="left" vertical="center"/>
    </xf>
    <xf numFmtId="0" fontId="22" fillId="53" borderId="192" xfId="427" applyFont="1" applyFill="1" applyBorder="1" applyAlignment="1">
      <alignment horizontal="left" vertical="center"/>
    </xf>
    <xf numFmtId="0" fontId="22" fillId="53" borderId="193" xfId="427" applyFont="1" applyFill="1" applyBorder="1" applyAlignment="1">
      <alignment horizontal="left" vertical="center"/>
    </xf>
    <xf numFmtId="0" fontId="65" fillId="57" borderId="0" xfId="427" applyFont="1" applyFill="1" applyAlignment="1">
      <alignment horizontal="left" vertical="center"/>
    </xf>
    <xf numFmtId="37" fontId="22" fillId="57" borderId="13" xfId="6" applyNumberFormat="1" applyFont="1" applyFill="1" applyBorder="1" applyAlignment="1">
      <alignment horizontal="left" vertical="center"/>
    </xf>
    <xf numFmtId="37" fontId="22" fillId="57" borderId="163" xfId="6" applyNumberFormat="1" applyFont="1" applyFill="1" applyBorder="1" applyAlignment="1">
      <alignment horizontal="left" vertical="center"/>
    </xf>
    <xf numFmtId="37" fontId="7" fillId="57" borderId="163" xfId="6" applyNumberFormat="1" applyFont="1" applyFill="1" applyBorder="1" applyAlignment="1">
      <alignment horizontal="left" vertical="center"/>
    </xf>
    <xf numFmtId="37" fontId="7" fillId="57" borderId="18" xfId="6" applyNumberFormat="1" applyFont="1" applyFill="1" applyBorder="1" applyAlignment="1">
      <alignment horizontal="left" vertical="center"/>
    </xf>
    <xf numFmtId="1" fontId="22" fillId="0" borderId="25" xfId="7" applyNumberFormat="1" applyFont="1" applyBorder="1" applyAlignment="1">
      <alignment horizontal="center" vertical="center"/>
    </xf>
    <xf numFmtId="0" fontId="22" fillId="0" borderId="17" xfId="0" applyFont="1" applyBorder="1" applyAlignment="1">
      <alignment horizontal="center" vertical="center"/>
    </xf>
    <xf numFmtId="0" fontId="22" fillId="0" borderId="26" xfId="0" applyFont="1" applyBorder="1" applyAlignment="1">
      <alignment horizontal="center" vertical="center" wrapText="1"/>
    </xf>
    <xf numFmtId="0" fontId="8" fillId="6" borderId="17" xfId="0" applyFont="1" applyFill="1" applyBorder="1" applyAlignment="1">
      <alignment horizontal="center" vertical="center" wrapText="1"/>
    </xf>
    <xf numFmtId="0" fontId="8" fillId="6" borderId="18" xfId="0" applyFont="1" applyFill="1" applyBorder="1" applyAlignment="1">
      <alignment horizontal="center" vertical="center" wrapText="1"/>
    </xf>
    <xf numFmtId="0" fontId="22" fillId="0" borderId="0" xfId="0" applyFont="1" applyAlignment="1">
      <alignment wrapText="1"/>
    </xf>
    <xf numFmtId="0" fontId="22" fillId="0" borderId="0" xfId="0" applyFont="1" applyAlignment="1">
      <alignment horizontal="right"/>
    </xf>
    <xf numFmtId="0" fontId="22" fillId="0" borderId="0" xfId="0" applyFont="1" applyAlignment="1">
      <alignment horizontal="center"/>
    </xf>
    <xf numFmtId="0" fontId="22" fillId="0" borderId="25" xfId="0" applyFont="1" applyBorder="1" applyAlignment="1">
      <alignment horizontal="left" vertical="center" wrapText="1"/>
    </xf>
    <xf numFmtId="167" fontId="22" fillId="0" borderId="25" xfId="0" applyNumberFormat="1" applyFont="1" applyBorder="1" applyAlignment="1">
      <alignment horizontal="center" vertical="center"/>
    </xf>
    <xf numFmtId="0" fontId="7" fillId="2" borderId="0" xfId="0" applyFont="1" applyFill="1"/>
    <xf numFmtId="0" fontId="7" fillId="2" borderId="0" xfId="0" applyFont="1" applyFill="1" applyAlignment="1">
      <alignment wrapText="1"/>
    </xf>
    <xf numFmtId="0" fontId="7" fillId="2" borderId="0" xfId="0" applyFont="1" applyFill="1" applyAlignment="1">
      <alignment horizontal="left"/>
    </xf>
    <xf numFmtId="0" fontId="7" fillId="2" borderId="0" xfId="0" applyFont="1" applyFill="1" applyAlignment="1">
      <alignment horizontal="center"/>
    </xf>
    <xf numFmtId="0" fontId="16" fillId="2" borderId="0" xfId="0" applyFont="1" applyFill="1"/>
    <xf numFmtId="0" fontId="22" fillId="0" borderId="0" xfId="0" applyFont="1" applyAlignment="1">
      <alignment horizontal="center" vertical="center"/>
    </xf>
    <xf numFmtId="0" fontId="22" fillId="0" borderId="0" xfId="0" applyFont="1" applyAlignment="1">
      <alignment horizontal="left" vertical="center" wrapText="1"/>
    </xf>
    <xf numFmtId="167" fontId="22" fillId="0" borderId="0" xfId="0" applyNumberFormat="1" applyFont="1" applyAlignment="1">
      <alignment horizontal="center" vertical="center"/>
    </xf>
    <xf numFmtId="167" fontId="22" fillId="0" borderId="64" xfId="0" applyNumberFormat="1" applyFont="1" applyBorder="1" applyAlignment="1">
      <alignment horizontal="center" vertical="center"/>
    </xf>
    <xf numFmtId="0" fontId="22" fillId="0" borderId="0" xfId="0" applyFont="1" applyAlignment="1">
      <alignment vertical="center"/>
    </xf>
    <xf numFmtId="167" fontId="7" fillId="0" borderId="64" xfId="0" applyNumberFormat="1" applyFont="1" applyBorder="1" applyAlignment="1">
      <alignment horizontal="center" vertical="center" wrapText="1"/>
    </xf>
    <xf numFmtId="10" fontId="7" fillId="0" borderId="0" xfId="4" applyNumberFormat="1" applyAlignment="1">
      <alignment horizontal="center" vertical="center"/>
    </xf>
    <xf numFmtId="10" fontId="7" fillId="0" borderId="0" xfId="0" applyNumberFormat="1" applyFont="1"/>
    <xf numFmtId="0" fontId="25" fillId="0" borderId="0" xfId="0" applyFont="1"/>
    <xf numFmtId="0" fontId="22" fillId="0" borderId="172" xfId="0" applyFont="1" applyBorder="1" applyAlignment="1">
      <alignment wrapText="1"/>
    </xf>
    <xf numFmtId="0" fontId="67" fillId="0" borderId="172" xfId="0" applyFont="1" applyBorder="1"/>
    <xf numFmtId="0" fontId="67" fillId="0" borderId="0" xfId="0" applyFont="1"/>
    <xf numFmtId="3" fontId="67" fillId="0" borderId="0" xfId="0" applyNumberFormat="1" applyFont="1"/>
    <xf numFmtId="0" fontId="22" fillId="0" borderId="170" xfId="0" applyFont="1" applyBorder="1" applyAlignment="1">
      <alignment wrapText="1"/>
    </xf>
    <xf numFmtId="2" fontId="67" fillId="0" borderId="170" xfId="0" applyNumberFormat="1" applyFont="1" applyBorder="1"/>
    <xf numFmtId="0" fontId="68" fillId="0" borderId="2" xfId="5" applyFont="1" applyBorder="1" applyAlignment="1">
      <alignment horizontal="center" vertical="center"/>
    </xf>
    <xf numFmtId="0" fontId="13" fillId="0" borderId="0" xfId="0" applyFont="1" applyAlignment="1">
      <alignment horizontal="center"/>
    </xf>
    <xf numFmtId="0" fontId="7" fillId="0" borderId="0" xfId="0" quotePrefix="1" applyFont="1"/>
    <xf numFmtId="0" fontId="22" fillId="0" borderId="64" xfId="0" applyFont="1" applyBorder="1" applyAlignment="1">
      <alignment horizontal="center" vertical="center" wrapText="1"/>
    </xf>
    <xf numFmtId="0" fontId="7" fillId="0" borderId="64" xfId="0" applyFont="1" applyBorder="1" applyAlignment="1">
      <alignment horizontal="center" vertical="center"/>
    </xf>
    <xf numFmtId="0" fontId="7" fillId="0" borderId="64" xfId="0" applyFont="1" applyBorder="1" applyAlignment="1">
      <alignment horizontal="center" vertical="center" wrapText="1"/>
    </xf>
    <xf numFmtId="0" fontId="7" fillId="0" borderId="0" xfId="0" applyFont="1" applyAlignment="1">
      <alignment horizontal="center"/>
    </xf>
    <xf numFmtId="0" fontId="8" fillId="6" borderId="2" xfId="0" applyFont="1" applyFill="1" applyBorder="1" applyAlignment="1">
      <alignment horizontal="center" vertical="center" wrapText="1"/>
    </xf>
    <xf numFmtId="0" fontId="9" fillId="0" borderId="0" xfId="5" applyBorder="1" applyAlignment="1">
      <alignment horizontal="left"/>
    </xf>
    <xf numFmtId="0" fontId="7" fillId="0" borderId="0" xfId="0" applyFont="1" applyAlignment="1">
      <alignment horizontal="left"/>
    </xf>
    <xf numFmtId="0" fontId="7" fillId="0" borderId="0" xfId="0" applyFont="1" applyAlignment="1">
      <alignment horizontal="left" vertical="center"/>
    </xf>
    <xf numFmtId="0" fontId="25" fillId="0" borderId="0" xfId="0" applyFont="1" applyAlignment="1">
      <alignment horizontal="left" vertical="center"/>
    </xf>
    <xf numFmtId="0" fontId="25" fillId="0" borderId="0" xfId="0" applyFont="1" applyAlignment="1">
      <alignment horizontal="center"/>
    </xf>
    <xf numFmtId="0" fontId="25" fillId="0" borderId="2" xfId="0" applyFont="1" applyBorder="1" applyAlignment="1">
      <alignment horizontal="center" vertical="center" wrapText="1"/>
    </xf>
    <xf numFmtId="0" fontId="22" fillId="0" borderId="2" xfId="0" applyFont="1" applyBorder="1" applyAlignment="1">
      <alignment horizontal="center" vertical="center"/>
    </xf>
    <xf numFmtId="0" fontId="7" fillId="0" borderId="2" xfId="0" applyFont="1" applyBorder="1" applyAlignment="1">
      <alignment horizontal="center" vertical="center"/>
    </xf>
    <xf numFmtId="0" fontId="22" fillId="0" borderId="2" xfId="0" applyFont="1" applyBorder="1" applyAlignment="1">
      <alignment horizontal="center" vertical="center" wrapText="1"/>
    </xf>
    <xf numFmtId="0" fontId="31" fillId="8" borderId="0" xfId="0" applyFont="1" applyFill="1" applyAlignment="1">
      <alignment horizontal="center" vertical="center" wrapText="1"/>
    </xf>
    <xf numFmtId="0" fontId="7" fillId="0" borderId="25" xfId="0" applyFont="1" applyBorder="1" applyAlignment="1">
      <alignment horizontal="center" vertical="center" wrapText="1"/>
    </xf>
    <xf numFmtId="0" fontId="7" fillId="0" borderId="25" xfId="0" applyFont="1" applyBorder="1" applyAlignment="1">
      <alignment horizontal="center" vertical="center"/>
    </xf>
    <xf numFmtId="0" fontId="8" fillId="6" borderId="2" xfId="0" applyFont="1" applyFill="1" applyBorder="1" applyAlignment="1">
      <alignment horizontal="center" vertical="center"/>
    </xf>
    <xf numFmtId="0" fontId="26" fillId="6" borderId="2" xfId="0" applyFont="1" applyFill="1" applyBorder="1" applyAlignment="1">
      <alignment horizontal="center" vertical="center" wrapText="1"/>
    </xf>
    <xf numFmtId="0" fontId="25" fillId="0" borderId="2" xfId="0" applyFont="1" applyBorder="1" applyAlignment="1">
      <alignment horizontal="center" vertical="center"/>
    </xf>
    <xf numFmtId="9" fontId="7" fillId="0" borderId="24" xfId="2" applyFont="1" applyFill="1" applyBorder="1" applyAlignment="1">
      <alignment horizontal="center" vertical="center"/>
    </xf>
    <xf numFmtId="0" fontId="7" fillId="0" borderId="0" xfId="0" applyFont="1" applyAlignment="1">
      <alignment horizontal="center" vertical="center"/>
    </xf>
    <xf numFmtId="0" fontId="26" fillId="6" borderId="2" xfId="0" applyFont="1" applyFill="1" applyBorder="1" applyAlignment="1">
      <alignment horizontal="center" vertical="center"/>
    </xf>
    <xf numFmtId="0" fontId="7" fillId="0" borderId="2" xfId="0" applyFont="1" applyBorder="1" applyAlignment="1">
      <alignment horizontal="center" vertical="center" wrapText="1"/>
    </xf>
    <xf numFmtId="0" fontId="20" fillId="6" borderId="87" xfId="0" applyFont="1" applyFill="1" applyBorder="1" applyAlignment="1">
      <alignment horizontal="center" vertical="center" wrapText="1"/>
    </xf>
    <xf numFmtId="0" fontId="8" fillId="6" borderId="12" xfId="0" applyFont="1" applyFill="1" applyBorder="1" applyAlignment="1">
      <alignment horizontal="center" vertical="center"/>
    </xf>
    <xf numFmtId="0" fontId="20" fillId="6" borderId="2" xfId="0" applyFont="1" applyFill="1" applyBorder="1" applyAlignment="1">
      <alignment horizontal="center" vertical="center" wrapText="1"/>
    </xf>
    <xf numFmtId="0" fontId="7" fillId="0" borderId="12" xfId="0" applyFont="1" applyBorder="1" applyAlignment="1">
      <alignment horizontal="center" vertical="center" wrapText="1"/>
    </xf>
    <xf numFmtId="0" fontId="7" fillId="0" borderId="16"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13" xfId="0" applyFont="1" applyBorder="1" applyAlignment="1">
      <alignment horizontal="center" vertical="center" wrapText="1"/>
    </xf>
    <xf numFmtId="0" fontId="7" fillId="0" borderId="163" xfId="0" applyFont="1" applyBorder="1" applyAlignment="1">
      <alignment horizontal="center" vertical="center" wrapText="1"/>
    </xf>
    <xf numFmtId="0" fontId="7" fillId="0" borderId="18" xfId="0" applyFont="1" applyBorder="1" applyAlignment="1">
      <alignment horizontal="center" vertical="center" wrapText="1"/>
    </xf>
    <xf numFmtId="0" fontId="63" fillId="6" borderId="125" xfId="0" applyFont="1" applyFill="1" applyBorder="1" applyAlignment="1">
      <alignment horizontal="center" vertical="center" wrapText="1"/>
    </xf>
    <xf numFmtId="0" fontId="63" fillId="6" borderId="25" xfId="0" applyFont="1" applyFill="1" applyBorder="1" applyAlignment="1">
      <alignment horizontal="center" vertical="center" wrapText="1"/>
    </xf>
    <xf numFmtId="0" fontId="31" fillId="8" borderId="2" xfId="0" applyFont="1" applyFill="1" applyBorder="1" applyAlignment="1">
      <alignment horizontal="center" vertical="center" wrapText="1"/>
    </xf>
    <xf numFmtId="0" fontId="31" fillId="8" borderId="12" xfId="0" applyFont="1" applyFill="1" applyBorder="1" applyAlignment="1">
      <alignment horizontal="center" vertical="center" wrapText="1"/>
    </xf>
    <xf numFmtId="0" fontId="8" fillId="6" borderId="2" xfId="0" applyFont="1" applyFill="1" applyBorder="1" applyAlignment="1">
      <alignment horizontal="center" vertical="center"/>
    </xf>
    <xf numFmtId="0" fontId="8" fillId="6" borderId="2" xfId="0" applyFont="1" applyFill="1" applyBorder="1" applyAlignment="1">
      <alignment horizontal="center" vertical="center" wrapText="1"/>
    </xf>
    <xf numFmtId="0" fontId="8" fillId="6" borderId="3" xfId="0" applyFont="1" applyFill="1" applyBorder="1" applyAlignment="1">
      <alignment horizontal="center" vertical="center" wrapText="1"/>
    </xf>
    <xf numFmtId="0" fontId="8" fillId="6" borderId="194" xfId="0" applyFont="1" applyFill="1" applyBorder="1" applyAlignment="1">
      <alignment horizontal="center" vertical="center" wrapText="1"/>
    </xf>
    <xf numFmtId="0" fontId="8" fillId="6" borderId="141" xfId="0" applyFont="1" applyFill="1" applyBorder="1" applyAlignment="1">
      <alignment horizontal="center" vertical="center" wrapText="1"/>
    </xf>
    <xf numFmtId="0" fontId="8" fillId="6" borderId="195" xfId="0" applyFont="1" applyFill="1" applyBorder="1" applyAlignment="1">
      <alignment horizontal="center" vertical="center" wrapText="1"/>
    </xf>
    <xf numFmtId="0" fontId="9" fillId="0" borderId="0" xfId="5" applyBorder="1" applyAlignment="1">
      <alignment horizontal="left"/>
    </xf>
    <xf numFmtId="0" fontId="31" fillId="8" borderId="0" xfId="0" applyFont="1" applyFill="1" applyAlignment="1">
      <alignment horizontal="center" vertical="center"/>
    </xf>
    <xf numFmtId="0" fontId="7" fillId="0" borderId="0" xfId="0" applyFont="1" applyAlignment="1">
      <alignment horizontal="center"/>
    </xf>
    <xf numFmtId="0" fontId="7" fillId="0" borderId="0" xfId="0" applyFont="1" applyAlignment="1">
      <alignment horizontal="left"/>
    </xf>
    <xf numFmtId="0" fontId="7" fillId="0" borderId="0" xfId="0" applyFont="1" applyAlignment="1">
      <alignment horizontal="left" vertical="center"/>
    </xf>
    <xf numFmtId="0" fontId="25" fillId="0" borderId="0" xfId="0" applyFont="1" applyAlignment="1">
      <alignment horizontal="left" vertical="center"/>
    </xf>
    <xf numFmtId="0" fontId="7" fillId="0" borderId="0" xfId="0" applyFont="1" applyAlignment="1">
      <alignment horizontal="left" vertical="center" wrapText="1"/>
    </xf>
    <xf numFmtId="0" fontId="9" fillId="0" borderId="0" xfId="5" applyAlignment="1">
      <alignment horizontal="center"/>
    </xf>
    <xf numFmtId="0" fontId="25" fillId="0" borderId="0" xfId="0" applyFont="1" applyAlignment="1">
      <alignment horizontal="center"/>
    </xf>
    <xf numFmtId="0" fontId="19" fillId="0" borderId="19" xfId="0" applyFont="1" applyBorder="1" applyAlignment="1">
      <alignment horizontal="left" vertical="center"/>
    </xf>
    <xf numFmtId="0" fontId="31" fillId="47" borderId="2" xfId="1" applyFont="1" applyFill="1" applyBorder="1" applyAlignment="1">
      <alignment horizontal="center" vertical="center" wrapText="1"/>
    </xf>
    <xf numFmtId="0" fontId="8" fillId="0" borderId="65" xfId="0" applyFont="1" applyBorder="1" applyAlignment="1">
      <alignment horizontal="center" vertical="center"/>
    </xf>
    <xf numFmtId="0" fontId="8" fillId="0" borderId="66" xfId="0" applyFont="1" applyBorder="1" applyAlignment="1">
      <alignment horizontal="center" vertical="center"/>
    </xf>
    <xf numFmtId="0" fontId="8" fillId="0" borderId="67" xfId="0" applyFont="1" applyBorder="1" applyAlignment="1">
      <alignment horizontal="center" vertical="center"/>
    </xf>
    <xf numFmtId="0" fontId="8" fillId="0" borderId="68" xfId="0" applyFont="1" applyBorder="1" applyAlignment="1">
      <alignment horizontal="center" vertical="center"/>
    </xf>
    <xf numFmtId="0" fontId="8" fillId="0" borderId="0" xfId="0" applyFont="1" applyAlignment="1">
      <alignment horizontal="center" vertical="center"/>
    </xf>
    <xf numFmtId="0" fontId="8" fillId="0" borderId="69" xfId="0" applyFont="1" applyBorder="1" applyAlignment="1">
      <alignment horizontal="center" vertical="center"/>
    </xf>
    <xf numFmtId="0" fontId="8" fillId="0" borderId="70" xfId="0" applyFont="1" applyBorder="1" applyAlignment="1">
      <alignment horizontal="center" vertical="center"/>
    </xf>
    <xf numFmtId="0" fontId="8" fillId="0" borderId="71" xfId="0" applyFont="1" applyBorder="1" applyAlignment="1">
      <alignment horizontal="center" vertical="center"/>
    </xf>
    <xf numFmtId="0" fontId="8" fillId="0" borderId="72" xfId="0" applyFont="1" applyBorder="1" applyAlignment="1">
      <alignment horizontal="center" vertical="center"/>
    </xf>
    <xf numFmtId="1" fontId="1" fillId="0" borderId="25" xfId="7" applyNumberFormat="1" applyFont="1" applyBorder="1" applyAlignment="1">
      <alignment horizontal="center" vertical="center" wrapText="1"/>
    </xf>
    <xf numFmtId="0" fontId="31" fillId="8" borderId="19" xfId="0" applyFont="1" applyFill="1" applyBorder="1" applyAlignment="1">
      <alignment horizontal="center" vertical="center"/>
    </xf>
    <xf numFmtId="0" fontId="22" fillId="0" borderId="174" xfId="0" applyFont="1" applyBorder="1" applyAlignment="1">
      <alignment horizontal="center" vertical="center"/>
    </xf>
    <xf numFmtId="0" fontId="22" fillId="0" borderId="23" xfId="0" applyFont="1" applyBorder="1" applyAlignment="1">
      <alignment horizontal="center" vertical="center"/>
    </xf>
    <xf numFmtId="0" fontId="22" fillId="0" borderId="24" xfId="0" applyFont="1" applyBorder="1" applyAlignment="1">
      <alignment horizontal="center" vertical="center"/>
    </xf>
    <xf numFmtId="171" fontId="22" fillId="0" borderId="2" xfId="0" applyNumberFormat="1" applyFont="1" applyBorder="1" applyAlignment="1">
      <alignment horizontal="center" vertical="center" wrapText="1"/>
    </xf>
    <xf numFmtId="0" fontId="22" fillId="0" borderId="73" xfId="0" applyFont="1" applyBorder="1" applyAlignment="1">
      <alignment horizontal="center" vertical="center"/>
    </xf>
    <xf numFmtId="0" fontId="22" fillId="0" borderId="74" xfId="0" applyFont="1" applyBorder="1" applyAlignment="1">
      <alignment horizontal="center" vertical="center"/>
    </xf>
    <xf numFmtId="0" fontId="22" fillId="0" borderId="198" xfId="0" applyFont="1" applyBorder="1" applyAlignment="1">
      <alignment horizontal="center" vertical="center"/>
    </xf>
    <xf numFmtId="0" fontId="22" fillId="0" borderId="196" xfId="0" applyFont="1" applyBorder="1" applyAlignment="1">
      <alignment horizontal="center" vertical="center"/>
    </xf>
    <xf numFmtId="0" fontId="22" fillId="0" borderId="197" xfId="0" applyFont="1" applyBorder="1" applyAlignment="1">
      <alignment horizontal="center" vertical="center"/>
    </xf>
    <xf numFmtId="0" fontId="22" fillId="0" borderId="199" xfId="0" applyFont="1" applyBorder="1" applyAlignment="1">
      <alignment horizontal="center" vertical="center"/>
    </xf>
    <xf numFmtId="164" fontId="22" fillId="0" borderId="175" xfId="0" applyNumberFormat="1" applyFont="1" applyBorder="1" applyAlignment="1">
      <alignment horizontal="left" vertical="center"/>
    </xf>
    <xf numFmtId="164" fontId="22" fillId="0" borderId="176" xfId="0" applyNumberFormat="1" applyFont="1" applyBorder="1" applyAlignment="1">
      <alignment horizontal="left" vertical="center"/>
    </xf>
    <xf numFmtId="164" fontId="22" fillId="0" borderId="125" xfId="0" applyNumberFormat="1" applyFont="1" applyBorder="1" applyAlignment="1">
      <alignment horizontal="left" vertical="center"/>
    </xf>
    <xf numFmtId="0" fontId="22" fillId="0" borderId="64" xfId="0" applyFont="1" applyBorder="1" applyAlignment="1">
      <alignment horizontal="center" vertical="center" wrapText="1"/>
    </xf>
    <xf numFmtId="0" fontId="22" fillId="0" borderId="200" xfId="0" applyFont="1" applyBorder="1" applyAlignment="1">
      <alignment horizontal="center" vertical="center" wrapText="1"/>
    </xf>
    <xf numFmtId="0" fontId="22" fillId="0" borderId="64" xfId="0" applyFont="1" applyBorder="1" applyAlignment="1">
      <alignment horizontal="center" vertical="center"/>
    </xf>
    <xf numFmtId="0" fontId="22" fillId="0" borderId="200" xfId="0" applyFont="1" applyBorder="1" applyAlignment="1">
      <alignment horizontal="center" vertical="center"/>
    </xf>
    <xf numFmtId="0" fontId="7" fillId="0" borderId="64" xfId="0" applyFont="1" applyBorder="1" applyAlignment="1">
      <alignment horizontal="center" vertical="center"/>
    </xf>
    <xf numFmtId="0" fontId="7" fillId="0" borderId="64" xfId="0" applyFont="1" applyBorder="1" applyAlignment="1">
      <alignment horizontal="center" vertical="center" wrapText="1"/>
    </xf>
    <xf numFmtId="0" fontId="25" fillId="0" borderId="64" xfId="0" applyFont="1" applyBorder="1" applyAlignment="1">
      <alignment horizontal="center" vertical="center" wrapText="1"/>
    </xf>
    <xf numFmtId="0" fontId="1" fillId="0" borderId="64" xfId="0" applyFont="1" applyBorder="1" applyAlignment="1">
      <alignment horizontal="center" vertical="center" wrapText="1"/>
    </xf>
    <xf numFmtId="0" fontId="22" fillId="0" borderId="0" xfId="0" applyFont="1" applyAlignment="1">
      <alignment horizontal="left" vertical="top" wrapText="1"/>
    </xf>
    <xf numFmtId="0" fontId="25" fillId="0" borderId="0" xfId="0" applyFont="1" applyAlignment="1">
      <alignment horizontal="left" vertical="top" wrapText="1"/>
    </xf>
    <xf numFmtId="0" fontId="25" fillId="0" borderId="0" xfId="0" applyFont="1"/>
    <xf numFmtId="0" fontId="31" fillId="11" borderId="2" xfId="0" applyFont="1" applyFill="1" applyBorder="1" applyAlignment="1">
      <alignment horizontal="center" vertical="center"/>
    </xf>
    <xf numFmtId="0" fontId="31" fillId="11" borderId="36" xfId="0" applyFont="1" applyFill="1" applyBorder="1" applyAlignment="1">
      <alignment horizontal="center" vertical="center"/>
    </xf>
    <xf numFmtId="0" fontId="1" fillId="0" borderId="39"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43" xfId="0" applyFont="1" applyBorder="1" applyAlignment="1">
      <alignment horizontal="center" vertical="center" wrapText="1"/>
    </xf>
    <xf numFmtId="0" fontId="25" fillId="0" borderId="50" xfId="0" applyFont="1" applyBorder="1" applyAlignment="1">
      <alignment horizontal="center" vertical="center" wrapText="1"/>
    </xf>
    <xf numFmtId="0" fontId="25" fillId="0" borderId="51" xfId="0" applyFont="1" applyBorder="1" applyAlignment="1">
      <alignment horizontal="center" vertical="center" wrapText="1"/>
    </xf>
    <xf numFmtId="0" fontId="25" fillId="0" borderId="52" xfId="0" applyFont="1" applyBorder="1" applyAlignment="1">
      <alignment horizontal="center" vertical="center" wrapText="1"/>
    </xf>
    <xf numFmtId="0" fontId="25" fillId="12" borderId="2" xfId="0" applyFont="1" applyFill="1" applyBorder="1" applyAlignment="1">
      <alignment horizontal="center" vertical="center"/>
    </xf>
    <xf numFmtId="0" fontId="25" fillId="0" borderId="2" xfId="0" applyFont="1" applyBorder="1" applyAlignment="1">
      <alignment horizontal="center" vertical="center" wrapText="1"/>
    </xf>
    <xf numFmtId="0" fontId="22" fillId="0" borderId="2" xfId="0" applyFont="1" applyBorder="1" applyAlignment="1">
      <alignment horizontal="center" vertical="center"/>
    </xf>
    <xf numFmtId="0" fontId="7" fillId="0" borderId="2" xfId="0" applyFont="1" applyBorder="1" applyAlignment="1">
      <alignment horizontal="center" vertical="center"/>
    </xf>
    <xf numFmtId="0" fontId="22" fillId="0" borderId="2" xfId="0" applyFont="1" applyBorder="1" applyAlignment="1">
      <alignment horizontal="center" vertical="center" wrapText="1"/>
    </xf>
    <xf numFmtId="0" fontId="31" fillId="8" borderId="34" xfId="0" applyFont="1" applyFill="1" applyBorder="1" applyAlignment="1">
      <alignment horizontal="center" vertical="center" wrapText="1"/>
    </xf>
    <xf numFmtId="0" fontId="31" fillId="8" borderId="35" xfId="0" applyFont="1" applyFill="1" applyBorder="1" applyAlignment="1">
      <alignment horizontal="center" vertical="center" wrapText="1"/>
    </xf>
    <xf numFmtId="0" fontId="31" fillId="8" borderId="36" xfId="0" applyFont="1" applyFill="1" applyBorder="1" applyAlignment="1">
      <alignment horizontal="center" vertical="center" wrapText="1"/>
    </xf>
    <xf numFmtId="0" fontId="31" fillId="8" borderId="21" xfId="0" applyFont="1" applyFill="1" applyBorder="1" applyAlignment="1">
      <alignment horizontal="center" vertical="center" wrapText="1"/>
    </xf>
    <xf numFmtId="0" fontId="31" fillId="8" borderId="0" xfId="0" applyFont="1" applyFill="1" applyAlignment="1">
      <alignment horizontal="center" vertical="center" wrapText="1"/>
    </xf>
    <xf numFmtId="0" fontId="7" fillId="0" borderId="25" xfId="0" applyFont="1" applyBorder="1" applyAlignment="1">
      <alignment horizontal="center" vertical="center" wrapText="1"/>
    </xf>
    <xf numFmtId="0" fontId="7" fillId="0" borderId="38" xfId="0" applyFont="1" applyBorder="1" applyAlignment="1">
      <alignment horizontal="center" vertical="center"/>
    </xf>
    <xf numFmtId="0" fontId="7" fillId="0" borderId="40" xfId="0" applyFont="1" applyBorder="1" applyAlignment="1">
      <alignment horizontal="center" vertical="center"/>
    </xf>
    <xf numFmtId="0" fontId="7" fillId="0" borderId="42" xfId="0" applyFont="1" applyBorder="1" applyAlignment="1">
      <alignment horizontal="center" vertical="center"/>
    </xf>
    <xf numFmtId="0" fontId="7" fillId="0" borderId="25" xfId="0" applyFont="1" applyBorder="1" applyAlignment="1">
      <alignment horizontal="center" vertical="center"/>
    </xf>
    <xf numFmtId="0" fontId="7" fillId="0" borderId="12" xfId="0" applyFont="1" applyBorder="1" applyAlignment="1">
      <alignment horizontal="center" vertical="center"/>
    </xf>
    <xf numFmtId="0" fontId="7" fillId="0" borderId="17" xfId="0" applyFont="1" applyBorder="1" applyAlignment="1">
      <alignment horizontal="center" vertical="center"/>
    </xf>
    <xf numFmtId="0" fontId="0" fillId="0" borderId="2" xfId="0" applyBorder="1" applyAlignment="1">
      <alignment horizontal="center" vertical="center" wrapText="1"/>
    </xf>
    <xf numFmtId="0" fontId="31" fillId="11" borderId="35" xfId="0" applyFont="1" applyFill="1" applyBorder="1" applyAlignment="1">
      <alignment horizontal="center" vertical="center"/>
    </xf>
    <xf numFmtId="0" fontId="31" fillId="8" borderId="18" xfId="0" applyFont="1" applyFill="1" applyBorder="1" applyAlignment="1">
      <alignment horizontal="center" vertical="center" wrapText="1"/>
    </xf>
    <xf numFmtId="0" fontId="31" fillId="8" borderId="19" xfId="0" applyFont="1" applyFill="1" applyBorder="1" applyAlignment="1">
      <alignment horizontal="center" vertical="center" wrapText="1"/>
    </xf>
    <xf numFmtId="0" fontId="63" fillId="49" borderId="2" xfId="427" applyFont="1" applyFill="1" applyBorder="1" applyAlignment="1">
      <alignment horizontal="center" vertical="center" wrapText="1"/>
    </xf>
    <xf numFmtId="0" fontId="31" fillId="8" borderId="169" xfId="0" applyFont="1" applyFill="1" applyBorder="1" applyAlignment="1">
      <alignment horizontal="center" vertical="center" wrapText="1"/>
    </xf>
    <xf numFmtId="0" fontId="31" fillId="8" borderId="170" xfId="0" applyFont="1" applyFill="1" applyBorder="1" applyAlignment="1">
      <alignment horizontal="center" vertical="center" wrapText="1"/>
    </xf>
    <xf numFmtId="0" fontId="7" fillId="0" borderId="165" xfId="0" applyFont="1" applyBorder="1" applyAlignment="1">
      <alignment horizontal="center" vertical="center" wrapText="1"/>
    </xf>
    <xf numFmtId="0" fontId="7" fillId="0" borderId="166" xfId="0" applyFont="1" applyBorder="1" applyAlignment="1">
      <alignment horizontal="center" vertical="center" wrapText="1"/>
    </xf>
    <xf numFmtId="0" fontId="7" fillId="0" borderId="167" xfId="0" applyFont="1" applyBorder="1" applyAlignment="1">
      <alignment horizontal="center" vertical="center" wrapText="1"/>
    </xf>
    <xf numFmtId="43" fontId="8" fillId="0" borderId="3" xfId="6" applyFont="1" applyBorder="1" applyAlignment="1">
      <alignment horizontal="left" vertical="center"/>
    </xf>
    <xf numFmtId="43" fontId="8" fillId="0" borderId="10" xfId="6" applyFont="1" applyBorder="1" applyAlignment="1">
      <alignment horizontal="left" vertical="center"/>
    </xf>
    <xf numFmtId="43" fontId="8" fillId="0" borderId="11" xfId="6" applyFont="1" applyBorder="1" applyAlignment="1">
      <alignment horizontal="left" vertical="center"/>
    </xf>
    <xf numFmtId="43" fontId="22" fillId="0" borderId="16" xfId="6" applyFont="1" applyBorder="1" applyAlignment="1">
      <alignment horizontal="center" vertical="center" wrapText="1"/>
    </xf>
    <xf numFmtId="43" fontId="22" fillId="0" borderId="17" xfId="6" applyFont="1" applyBorder="1" applyAlignment="1">
      <alignment horizontal="center" vertical="center" wrapText="1"/>
    </xf>
    <xf numFmtId="0" fontId="31" fillId="8" borderId="163" xfId="0" applyFont="1" applyFill="1" applyBorder="1" applyAlignment="1">
      <alignment horizontal="center" vertical="center" wrapText="1"/>
    </xf>
    <xf numFmtId="43" fontId="22" fillId="0" borderId="63" xfId="0" applyNumberFormat="1" applyFont="1" applyBorder="1" applyAlignment="1">
      <alignment horizontal="center" vertical="center" wrapText="1"/>
    </xf>
    <xf numFmtId="43" fontId="22" fillId="0" borderId="179" xfId="0" applyNumberFormat="1" applyFont="1" applyBorder="1" applyAlignment="1">
      <alignment horizontal="center" vertical="center" wrapText="1"/>
    </xf>
    <xf numFmtId="43" fontId="22" fillId="0" borderId="26" xfId="0" applyNumberFormat="1" applyFont="1" applyBorder="1" applyAlignment="1">
      <alignment horizontal="center" vertical="center" wrapText="1"/>
    </xf>
    <xf numFmtId="0" fontId="31" fillId="48" borderId="0" xfId="427" applyFont="1" applyFill="1" applyAlignment="1">
      <alignment horizontal="center" vertical="center" wrapText="1"/>
    </xf>
    <xf numFmtId="0" fontId="22" fillId="0" borderId="183" xfId="0" applyFont="1" applyBorder="1" applyAlignment="1">
      <alignment horizontal="center" vertical="top" wrapText="1"/>
    </xf>
    <xf numFmtId="0" fontId="22" fillId="0" borderId="184" xfId="0" applyFont="1" applyBorder="1" applyAlignment="1">
      <alignment horizontal="center" vertical="top" wrapText="1"/>
    </xf>
    <xf numFmtId="0" fontId="22" fillId="0" borderId="185" xfId="0" applyFont="1" applyBorder="1" applyAlignment="1">
      <alignment horizontal="center" vertical="top" wrapText="1"/>
    </xf>
    <xf numFmtId="0" fontId="31" fillId="8" borderId="2" xfId="0" applyFont="1" applyFill="1" applyBorder="1" applyAlignment="1">
      <alignment horizontal="center" vertical="center"/>
    </xf>
    <xf numFmtId="0" fontId="26" fillId="6" borderId="2" xfId="0" applyFont="1" applyFill="1" applyBorder="1" applyAlignment="1">
      <alignment horizontal="center" vertical="center" wrapText="1"/>
    </xf>
    <xf numFmtId="0" fontId="31" fillId="8" borderId="13" xfId="0" applyFont="1" applyFill="1" applyBorder="1" applyAlignment="1">
      <alignment horizontal="center" vertical="center"/>
    </xf>
    <xf numFmtId="0" fontId="31" fillId="8" borderId="14" xfId="0" applyFont="1" applyFill="1" applyBorder="1" applyAlignment="1">
      <alignment horizontal="center" vertical="center"/>
    </xf>
    <xf numFmtId="0" fontId="7" fillId="0" borderId="73" xfId="0" applyFont="1" applyBorder="1" applyAlignment="1">
      <alignment horizontal="center" vertical="center" wrapText="1"/>
    </xf>
    <xf numFmtId="0" fontId="7" fillId="0" borderId="74" xfId="0" applyFont="1" applyBorder="1" applyAlignment="1">
      <alignment horizontal="center" vertical="center" wrapText="1"/>
    </xf>
    <xf numFmtId="0" fontId="25" fillId="0" borderId="2" xfId="0" applyFont="1" applyBorder="1" applyAlignment="1">
      <alignment horizontal="center" vertical="center"/>
    </xf>
    <xf numFmtId="0" fontId="31" fillId="11" borderId="18" xfId="0" applyFont="1" applyFill="1" applyBorder="1" applyAlignment="1">
      <alignment horizontal="center" vertical="center"/>
    </xf>
    <xf numFmtId="0" fontId="31" fillId="11" borderId="19" xfId="0" applyFont="1" applyFill="1" applyBorder="1" applyAlignment="1">
      <alignment horizontal="center" vertical="center"/>
    </xf>
    <xf numFmtId="0" fontId="31" fillId="8" borderId="18" xfId="0" applyFont="1" applyFill="1" applyBorder="1" applyAlignment="1">
      <alignment horizontal="center" vertical="center"/>
    </xf>
    <xf numFmtId="9" fontId="7" fillId="0" borderId="33" xfId="2" applyFont="1" applyFill="1" applyBorder="1" applyAlignment="1">
      <alignment horizontal="center" vertical="center"/>
    </xf>
    <xf numFmtId="9" fontId="7" fillId="0" borderId="23" xfId="2" applyFont="1" applyFill="1" applyBorder="1" applyAlignment="1">
      <alignment horizontal="center" vertical="center"/>
    </xf>
    <xf numFmtId="9" fontId="7" fillId="0" borderId="24" xfId="2" applyFont="1" applyFill="1" applyBorder="1" applyAlignment="1">
      <alignment horizontal="center" vertical="center"/>
    </xf>
    <xf numFmtId="0" fontId="7" fillId="0" borderId="14" xfId="0" applyFont="1" applyBorder="1" applyAlignment="1">
      <alignment horizontal="center" vertical="center"/>
    </xf>
    <xf numFmtId="0" fontId="7" fillId="0" borderId="0" xfId="0" applyFont="1" applyAlignment="1">
      <alignment horizontal="center" vertical="center"/>
    </xf>
    <xf numFmtId="0" fontId="26" fillId="6" borderId="3" xfId="0" applyFont="1" applyFill="1" applyBorder="1" applyAlignment="1">
      <alignment horizontal="center" vertical="center"/>
    </xf>
    <xf numFmtId="0" fontId="26" fillId="6" borderId="10" xfId="0" applyFont="1" applyFill="1" applyBorder="1" applyAlignment="1">
      <alignment horizontal="center" vertical="center"/>
    </xf>
    <xf numFmtId="0" fontId="26" fillId="6" borderId="11" xfId="0" applyFont="1" applyFill="1" applyBorder="1" applyAlignment="1">
      <alignment horizontal="center" vertical="center"/>
    </xf>
    <xf numFmtId="0" fontId="26" fillId="6" borderId="2" xfId="0" applyFont="1" applyFill="1" applyBorder="1" applyAlignment="1">
      <alignment horizontal="center" vertical="center"/>
    </xf>
    <xf numFmtId="0" fontId="26" fillId="6" borderId="12" xfId="0" applyFont="1" applyFill="1" applyBorder="1" applyAlignment="1">
      <alignment horizontal="center" vertical="center"/>
    </xf>
    <xf numFmtId="0" fontId="26" fillId="6" borderId="17" xfId="0" applyFont="1" applyFill="1" applyBorder="1" applyAlignment="1">
      <alignment horizontal="center" vertical="center"/>
    </xf>
    <xf numFmtId="0" fontId="69" fillId="8" borderId="0" xfId="0" applyFont="1" applyFill="1" applyAlignment="1">
      <alignment horizontal="center" vertical="center" wrapText="1"/>
    </xf>
    <xf numFmtId="0" fontId="0" fillId="0" borderId="0" xfId="0" applyAlignment="1">
      <alignment horizontal="center"/>
    </xf>
    <xf numFmtId="0" fontId="8" fillId="6" borderId="12" xfId="0" applyFont="1" applyFill="1" applyBorder="1" applyAlignment="1">
      <alignment horizontal="center" vertical="center" wrapText="1"/>
    </xf>
    <xf numFmtId="0" fontId="31" fillId="8" borderId="20" xfId="0" applyFont="1" applyFill="1" applyBorder="1" applyAlignment="1">
      <alignment horizontal="center" vertical="center" wrapText="1"/>
    </xf>
    <xf numFmtId="0" fontId="7" fillId="0" borderId="62" xfId="0" applyFont="1" applyBorder="1" applyAlignment="1">
      <alignment horizontal="center" vertical="center" wrapText="1"/>
    </xf>
    <xf numFmtId="0" fontId="7" fillId="0" borderId="140" xfId="0" applyFont="1" applyBorder="1" applyAlignment="1">
      <alignment horizontal="center" vertical="center" wrapText="1"/>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7" fillId="0" borderId="32" xfId="0" applyFont="1" applyBorder="1" applyAlignment="1">
      <alignment horizontal="center" vertical="center" wrapText="1"/>
    </xf>
    <xf numFmtId="0" fontId="24" fillId="0" borderId="89" xfId="0" applyFont="1" applyBorder="1" applyAlignment="1">
      <alignment horizontal="center" vertical="center"/>
    </xf>
    <xf numFmtId="0" fontId="24" fillId="0" borderId="74" xfId="0" applyFont="1" applyBorder="1" applyAlignment="1">
      <alignment horizontal="center" vertical="center"/>
    </xf>
    <xf numFmtId="0" fontId="24" fillId="0" borderId="95" xfId="0" applyFont="1" applyBorder="1" applyAlignment="1">
      <alignment horizontal="center" vertical="center"/>
    </xf>
    <xf numFmtId="0" fontId="24" fillId="0" borderId="111" xfId="0" applyFont="1" applyBorder="1" applyAlignment="1">
      <alignment horizontal="center" vertical="center" wrapText="1"/>
    </xf>
    <xf numFmtId="0" fontId="24" fillId="0" borderId="113" xfId="0" applyFont="1" applyBorder="1" applyAlignment="1">
      <alignment horizontal="center" vertical="center" wrapText="1"/>
    </xf>
    <xf numFmtId="0" fontId="24" fillId="0" borderId="116" xfId="0" applyFont="1" applyBorder="1" applyAlignment="1">
      <alignment horizontal="center" vertical="center" wrapText="1"/>
    </xf>
    <xf numFmtId="0" fontId="24" fillId="0" borderId="112" xfId="0" applyFont="1" applyBorder="1" applyAlignment="1">
      <alignment horizontal="center" vertical="center" wrapText="1"/>
    </xf>
    <xf numFmtId="0" fontId="24" fillId="0" borderId="114" xfId="0" applyFont="1" applyBorder="1" applyAlignment="1">
      <alignment horizontal="center" vertical="center" wrapText="1"/>
    </xf>
    <xf numFmtId="0" fontId="24" fillId="0" borderId="117" xfId="0" applyFont="1" applyBorder="1" applyAlignment="1">
      <alignment horizontal="center" vertical="center" wrapText="1"/>
    </xf>
    <xf numFmtId="0" fontId="24" fillId="0" borderId="120" xfId="0" applyFont="1" applyBorder="1" applyAlignment="1">
      <alignment horizontal="center" vertical="center" wrapText="1"/>
    </xf>
    <xf numFmtId="0" fontId="24" fillId="0" borderId="92" xfId="0" applyFont="1" applyBorder="1" applyAlignment="1">
      <alignment horizontal="center" vertical="center" wrapText="1"/>
    </xf>
    <xf numFmtId="0" fontId="24" fillId="0" borderId="115" xfId="0" applyFont="1" applyBorder="1" applyAlignment="1">
      <alignment horizontal="center" vertical="center" wrapText="1"/>
    </xf>
    <xf numFmtId="0" fontId="24" fillId="0" borderId="121" xfId="0" applyFont="1" applyBorder="1" applyAlignment="1">
      <alignment horizontal="center" vertical="center" wrapText="1"/>
    </xf>
    <xf numFmtId="0" fontId="24" fillId="0" borderId="122" xfId="0" applyFont="1" applyBorder="1" applyAlignment="1">
      <alignment horizontal="center" vertical="center" wrapText="1"/>
    </xf>
    <xf numFmtId="0" fontId="20" fillId="6" borderId="0" xfId="0" applyFont="1" applyFill="1" applyAlignment="1">
      <alignment horizontal="center" vertical="center" wrapText="1"/>
    </xf>
    <xf numFmtId="0" fontId="20" fillId="6" borderId="87" xfId="0" applyFont="1" applyFill="1" applyBorder="1" applyAlignment="1">
      <alignment horizontal="center" vertical="center" wrapText="1"/>
    </xf>
    <xf numFmtId="0" fontId="24" fillId="0" borderId="88" xfId="0" applyFont="1" applyBorder="1" applyAlignment="1">
      <alignment horizontal="center" vertical="center" wrapText="1"/>
    </xf>
    <xf numFmtId="0" fontId="24" fillId="0" borderId="94" xfId="0" applyFont="1" applyBorder="1" applyAlignment="1">
      <alignment horizontal="center" vertical="center" wrapText="1"/>
    </xf>
    <xf numFmtId="0" fontId="24" fillId="0" borderId="90" xfId="0" applyFont="1" applyBorder="1" applyAlignment="1">
      <alignment horizontal="center" vertical="center" wrapText="1"/>
    </xf>
    <xf numFmtId="0" fontId="24" fillId="0" borderId="64" xfId="0" applyFont="1" applyBorder="1" applyAlignment="1">
      <alignment horizontal="center" vertical="center" wrapText="1"/>
    </xf>
    <xf numFmtId="0" fontId="24" fillId="0" borderId="73" xfId="0" applyFont="1" applyBorder="1" applyAlignment="1">
      <alignment horizontal="center" vertical="center" wrapText="1"/>
    </xf>
    <xf numFmtId="0" fontId="24" fillId="0" borderId="98" xfId="0" applyFont="1" applyBorder="1" applyAlignment="1">
      <alignment horizontal="center" vertical="center" wrapText="1"/>
    </xf>
    <xf numFmtId="0" fontId="24" fillId="0" borderId="143" xfId="0" applyFont="1" applyBorder="1" applyAlignment="1">
      <alignment horizontal="center" vertical="center" wrapText="1"/>
    </xf>
    <xf numFmtId="0" fontId="24" fillId="0" borderId="144" xfId="0" applyFont="1" applyBorder="1" applyAlignment="1">
      <alignment horizontal="center" vertical="center" wrapText="1"/>
    </xf>
    <xf numFmtId="0" fontId="24" fillId="0" borderId="148" xfId="0" applyFont="1" applyBorder="1" applyAlignment="1">
      <alignment horizontal="center" vertical="center" wrapText="1"/>
    </xf>
    <xf numFmtId="0" fontId="39" fillId="0" borderId="75" xfId="0" applyFont="1" applyBorder="1" applyAlignment="1">
      <alignment horizontal="center" vertical="center" wrapText="1"/>
    </xf>
    <xf numFmtId="0" fontId="39" fillId="0" borderId="76" xfId="0" applyFont="1" applyBorder="1" applyAlignment="1">
      <alignment horizontal="center" vertical="center" wrapText="1"/>
    </xf>
    <xf numFmtId="0" fontId="39" fillId="0" borderId="127" xfId="0" applyFont="1" applyBorder="1" applyAlignment="1">
      <alignment horizontal="center" vertical="center" wrapText="1"/>
    </xf>
    <xf numFmtId="0" fontId="39" fillId="0" borderId="130" xfId="0" applyFont="1" applyBorder="1" applyAlignment="1">
      <alignment horizontal="center" vertical="center" wrapText="1"/>
    </xf>
    <xf numFmtId="0" fontId="39" fillId="0" borderId="132" xfId="0" applyFont="1" applyBorder="1" applyAlignment="1">
      <alignment horizontal="center" vertical="center" wrapText="1"/>
    </xf>
    <xf numFmtId="0" fontId="39" fillId="0" borderId="134" xfId="0" applyFont="1" applyBorder="1" applyAlignment="1">
      <alignment horizontal="center" vertical="center" wrapText="1"/>
    </xf>
    <xf numFmtId="0" fontId="39" fillId="0" borderId="77" xfId="0" applyFont="1" applyBorder="1" applyAlignment="1">
      <alignment horizontal="center" vertical="center" wrapText="1"/>
    </xf>
    <xf numFmtId="0" fontId="24" fillId="0" borderId="135" xfId="0" applyFont="1" applyBorder="1" applyAlignment="1">
      <alignment horizontal="center" vertical="center"/>
    </xf>
    <xf numFmtId="0" fontId="8" fillId="6" borderId="12" xfId="0" applyFont="1" applyFill="1" applyBorder="1" applyAlignment="1">
      <alignment horizontal="center" vertical="center"/>
    </xf>
    <xf numFmtId="0" fontId="7" fillId="0" borderId="4" xfId="0" applyFont="1" applyBorder="1" applyAlignment="1">
      <alignment horizontal="center" vertical="center" wrapText="1"/>
    </xf>
    <xf numFmtId="0" fontId="7" fillId="0" borderId="6" xfId="0" applyFont="1" applyBorder="1" applyAlignment="1">
      <alignment horizontal="center" vertical="center" wrapText="1"/>
    </xf>
    <xf numFmtId="0" fontId="7" fillId="0" borderId="8" xfId="0" applyFont="1" applyBorder="1" applyAlignment="1">
      <alignment horizontal="center" vertical="center" wrapText="1"/>
    </xf>
    <xf numFmtId="0" fontId="24" fillId="0" borderId="106" xfId="0" applyFont="1" applyBorder="1" applyAlignment="1">
      <alignment horizontal="center" vertical="center" wrapText="1"/>
    </xf>
    <xf numFmtId="0" fontId="24" fillId="0" borderId="103" xfId="0" applyFont="1" applyBorder="1" applyAlignment="1">
      <alignment horizontal="center" vertical="center" wrapText="1"/>
    </xf>
    <xf numFmtId="0" fontId="24" fillId="0" borderId="91" xfId="0" applyFont="1" applyBorder="1" applyAlignment="1">
      <alignment horizontal="center" vertical="center" wrapText="1"/>
    </xf>
    <xf numFmtId="0" fontId="24" fillId="0" borderId="93" xfId="0" applyFont="1" applyBorder="1" applyAlignment="1">
      <alignment horizontal="center" vertical="center" wrapText="1"/>
    </xf>
    <xf numFmtId="0" fontId="24" fillId="0" borderId="96" xfId="0" applyFont="1" applyBorder="1" applyAlignment="1">
      <alignment horizontal="center" vertical="center" wrapText="1"/>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9" xfId="0" applyFont="1" applyBorder="1" applyAlignment="1">
      <alignment horizontal="center" vertical="center" wrapText="1"/>
    </xf>
    <xf numFmtId="0" fontId="24" fillId="0" borderId="145" xfId="0" applyFont="1" applyBorder="1" applyAlignment="1">
      <alignment horizontal="center" vertical="center" wrapText="1"/>
    </xf>
    <xf numFmtId="0" fontId="7" fillId="0" borderId="62" xfId="0" applyFont="1" applyBorder="1" applyAlignment="1">
      <alignment horizontal="center" vertical="center"/>
    </xf>
    <xf numFmtId="0" fontId="7" fillId="0" borderId="16" xfId="0" applyFont="1" applyBorder="1" applyAlignment="1">
      <alignment horizontal="center" vertical="center"/>
    </xf>
    <xf numFmtId="0" fontId="7" fillId="0" borderId="140" xfId="0" applyFont="1" applyBorder="1" applyAlignment="1">
      <alignment horizontal="center" vertical="center"/>
    </xf>
    <xf numFmtId="0" fontId="7" fillId="0" borderId="61" xfId="0" applyFont="1" applyBorder="1" applyAlignment="1">
      <alignment horizontal="center" vertical="center"/>
    </xf>
    <xf numFmtId="0" fontId="7" fillId="0" borderId="141" xfId="0" applyFont="1" applyBorder="1" applyAlignment="1">
      <alignment horizontal="center" vertical="center"/>
    </xf>
    <xf numFmtId="0" fontId="7" fillId="0" borderId="142" xfId="0" applyFont="1" applyBorder="1" applyAlignment="1">
      <alignment horizontal="center" vertical="center"/>
    </xf>
    <xf numFmtId="0" fontId="38" fillId="0" borderId="128" xfId="0" applyFont="1" applyBorder="1" applyAlignment="1">
      <alignment horizontal="center" vertical="center" wrapText="1"/>
    </xf>
    <xf numFmtId="0" fontId="38" fillId="0" borderId="76" xfId="0" applyFont="1" applyBorder="1" applyAlignment="1">
      <alignment horizontal="center" vertical="center" wrapText="1"/>
    </xf>
    <xf numFmtId="0" fontId="39" fillId="0" borderId="129" xfId="0" applyFont="1" applyBorder="1" applyAlignment="1">
      <alignment horizontal="center" vertical="center" wrapText="1"/>
    </xf>
    <xf numFmtId="0" fontId="39" fillId="0" borderId="131" xfId="0" applyFont="1" applyBorder="1" applyAlignment="1">
      <alignment horizontal="center" vertical="center" wrapText="1"/>
    </xf>
    <xf numFmtId="0" fontId="39" fillId="0" borderId="133" xfId="0" applyFont="1" applyBorder="1" applyAlignment="1">
      <alignment horizontal="center" vertical="center" wrapText="1"/>
    </xf>
    <xf numFmtId="0" fontId="38" fillId="0" borderId="136" xfId="0" applyFont="1" applyBorder="1" applyAlignment="1">
      <alignment horizontal="center" vertical="center" wrapText="1"/>
    </xf>
    <xf numFmtId="0" fontId="39" fillId="0" borderId="137" xfId="0" applyFont="1" applyBorder="1" applyAlignment="1">
      <alignment horizontal="center" vertical="center" wrapText="1"/>
    </xf>
    <xf numFmtId="0" fontId="40" fillId="0" borderId="150" xfId="0" applyFont="1" applyBorder="1" applyAlignment="1">
      <alignment horizontal="center" vertical="center" wrapText="1"/>
    </xf>
    <xf numFmtId="0" fontId="40" fillId="0" borderId="144" xfId="0" applyFont="1" applyBorder="1" applyAlignment="1">
      <alignment horizontal="center" vertical="center" wrapText="1"/>
    </xf>
    <xf numFmtId="0" fontId="40" fillId="0" borderId="145" xfId="0" applyFont="1" applyBorder="1" applyAlignment="1">
      <alignment horizontal="center" vertical="center" wrapText="1"/>
    </xf>
    <xf numFmtId="0" fontId="20" fillId="6" borderId="2" xfId="0" applyFont="1" applyFill="1" applyBorder="1" applyAlignment="1">
      <alignment horizontal="center" vertical="center" wrapText="1"/>
    </xf>
    <xf numFmtId="0" fontId="7" fillId="0" borderId="201" xfId="0" applyFont="1" applyBorder="1" applyAlignment="1">
      <alignment horizontal="center" vertical="center"/>
    </xf>
    <xf numFmtId="0" fontId="39" fillId="0" borderId="128" xfId="0" applyFont="1" applyBorder="1" applyAlignment="1">
      <alignment horizontal="center" vertical="center" wrapText="1"/>
    </xf>
    <xf numFmtId="0" fontId="39" fillId="0" borderId="202" xfId="0" applyFont="1" applyBorder="1" applyAlignment="1">
      <alignment horizontal="center" vertical="center"/>
    </xf>
    <xf numFmtId="0" fontId="39" fillId="0" borderId="203" xfId="0" applyFont="1" applyBorder="1" applyAlignment="1">
      <alignment horizontal="center" vertical="center"/>
    </xf>
    <xf numFmtId="0" fontId="39" fillId="0" borderId="204" xfId="0" applyFont="1" applyBorder="1" applyAlignment="1">
      <alignment horizontal="center" vertical="center"/>
    </xf>
    <xf numFmtId="0" fontId="39" fillId="0" borderId="136" xfId="0" applyFont="1" applyBorder="1" applyAlignment="1">
      <alignment horizontal="center" vertical="center" wrapText="1"/>
    </xf>
    <xf numFmtId="0" fontId="39" fillId="0" borderId="205" xfId="0" applyFont="1" applyBorder="1" applyAlignment="1">
      <alignment horizontal="center" vertical="center"/>
    </xf>
    <xf numFmtId="0" fontId="39" fillId="0" borderId="162" xfId="0" applyFont="1" applyBorder="1" applyAlignment="1">
      <alignment horizontal="center" vertical="center"/>
    </xf>
    <xf numFmtId="0" fontId="39" fillId="0" borderId="206" xfId="0" applyFont="1" applyBorder="1" applyAlignment="1">
      <alignment horizontal="center" vertical="center" wrapText="1"/>
    </xf>
  </cellXfs>
  <cellStyles count="428">
    <cellStyle name="20% - Accent1" xfId="31" builtinId="30" customBuiltin="1"/>
    <cellStyle name="20% - Accent2" xfId="35" builtinId="34" customBuiltin="1"/>
    <cellStyle name="20% - Accent3" xfId="39" builtinId="38" customBuiltin="1"/>
    <cellStyle name="20% - Accent4" xfId="43" builtinId="42" customBuiltin="1"/>
    <cellStyle name="20% - Accent5" xfId="47" builtinId="46" customBuiltin="1"/>
    <cellStyle name="20% - Accent6" xfId="51" builtinId="50" customBuiltin="1"/>
    <cellStyle name="40% - Accent1" xfId="32" builtinId="31" customBuiltin="1"/>
    <cellStyle name="40% - Accent2" xfId="36" builtinId="35" customBuiltin="1"/>
    <cellStyle name="40% - Accent3" xfId="40" builtinId="39" customBuiltin="1"/>
    <cellStyle name="40% - Accent4" xfId="44" builtinId="43" customBuiltin="1"/>
    <cellStyle name="40% - Accent5" xfId="48" builtinId="47" customBuiltin="1"/>
    <cellStyle name="40% - Accent6" xfId="52" builtinId="51" customBuiltin="1"/>
    <cellStyle name="60% - Accent1" xfId="33" builtinId="32" customBuiltin="1"/>
    <cellStyle name="60% - Accent1 2" xfId="60" xr:uid="{AA63BAF6-9FC2-48C3-A778-7D51DF086144}"/>
    <cellStyle name="60% - Accent2" xfId="37" builtinId="36" customBuiltin="1"/>
    <cellStyle name="60% - Accent2 2" xfId="61" xr:uid="{D69D31FC-7116-40AA-A234-C2FACE3ACB63}"/>
    <cellStyle name="60% - Accent3" xfId="41" builtinId="40" customBuiltin="1"/>
    <cellStyle name="60% - Accent3 2" xfId="62" xr:uid="{E7CB2A3A-1C84-4FEE-A2DE-B72738E0F630}"/>
    <cellStyle name="60% - Accent4" xfId="45" builtinId="44" customBuiltin="1"/>
    <cellStyle name="60% - Accent4 2" xfId="63" xr:uid="{217CB9A4-99B2-4EE4-9D42-484899090772}"/>
    <cellStyle name="60% - Accent5" xfId="49" builtinId="48" customBuiltin="1"/>
    <cellStyle name="60% - Accent5 2" xfId="64" xr:uid="{1D26A8D6-39E6-4CF5-BE21-132529BD4FC2}"/>
    <cellStyle name="60% - Accent6" xfId="53" builtinId="52" customBuiltin="1"/>
    <cellStyle name="60% - Accent6 2" xfId="65" xr:uid="{04503C60-009B-4761-89DC-F6C4CA8F6A08}"/>
    <cellStyle name="Accent1" xfId="30" builtinId="29" customBuiltin="1"/>
    <cellStyle name="Accent2" xfId="34" builtinId="33" customBuiltin="1"/>
    <cellStyle name="Accent3" xfId="38" builtinId="37" customBuiltin="1"/>
    <cellStyle name="Accent4" xfId="42" builtinId="41" customBuiltin="1"/>
    <cellStyle name="Accent5" xfId="46" builtinId="45" customBuiltin="1"/>
    <cellStyle name="Accent6" xfId="50" builtinId="49" customBuiltin="1"/>
    <cellStyle name="Bad" xfId="19" builtinId="27" customBuiltin="1"/>
    <cellStyle name="Calculation" xfId="23" builtinId="22" customBuiltin="1"/>
    <cellStyle name="Check Cell" xfId="25" builtinId="23" customBuiltin="1"/>
    <cellStyle name="Comma" xfId="6" builtinId="3"/>
    <cellStyle name="Comma 2" xfId="67" xr:uid="{E5299242-56E9-4824-AC36-65852811FD35}"/>
    <cellStyle name="Comma 2 10" xfId="425" xr:uid="{9CCE5EEA-F437-433F-A1CE-FE08A533D50A}"/>
    <cellStyle name="Comma 2 2" xfId="68" xr:uid="{603C9628-1CA3-4C53-A7FC-ABE6C0871E8A}"/>
    <cellStyle name="Comma 2 2 2" xfId="69" xr:uid="{6EEC97A2-127F-4966-B07C-FB5069683F4A}"/>
    <cellStyle name="Comma 2 2 3" xfId="70" xr:uid="{99EB52B6-B32C-4807-A8C3-BE99087F217A}"/>
    <cellStyle name="Comma 2 3" xfId="71" xr:uid="{D9BEF30A-B756-4F25-959F-F06832E47C2A}"/>
    <cellStyle name="Comma 2 4" xfId="72" xr:uid="{130E70E7-B2BB-4A16-AECC-DD5344420580}"/>
    <cellStyle name="Comma 2 5" xfId="73" xr:uid="{DFF859C2-9EF2-48EC-BF8B-5AAB1F1F6623}"/>
    <cellStyle name="Comma 2 6" xfId="74" xr:uid="{023A865B-AB11-4B36-B71A-BCD039B0A351}"/>
    <cellStyle name="Comma 2 7" xfId="75" xr:uid="{172F72E0-C8AD-414F-8DC9-91A4D181F041}"/>
    <cellStyle name="Comma 2 8" xfId="76" xr:uid="{B7D423FE-B06D-4166-8D5C-AA33F1DC5C6B}"/>
    <cellStyle name="Comma 2 9" xfId="77" xr:uid="{48A8BDED-3EC9-4D17-B164-BFA1374EF697}"/>
    <cellStyle name="Comma 3" xfId="78" xr:uid="{5572982D-8C41-430D-ACEC-3D0F0F4AA1C4}"/>
    <cellStyle name="Comma 3 2" xfId="79" xr:uid="{01F861B8-520F-4168-8B0B-6114FEC37A99}"/>
    <cellStyle name="Comma 4" xfId="80" xr:uid="{67DECE78-4AEC-4372-B1FF-035103F5FB88}"/>
    <cellStyle name="Comma 4 2" xfId="81" xr:uid="{B950D5D9-5CCB-4531-8C4F-A1D8DE8C5433}"/>
    <cellStyle name="Comma 4 2 2" xfId="82" xr:uid="{E1D2990F-3A41-4EF0-88B5-40641519DEAC}"/>
    <cellStyle name="Comma 5" xfId="83" xr:uid="{B65EE3E6-1C8A-41F7-9727-E467EDAAD23B}"/>
    <cellStyle name="Comma 5 2" xfId="84" xr:uid="{BADC6ED2-E31F-4242-A623-F6F978DBEF31}"/>
    <cellStyle name="Comma 5 3" xfId="85" xr:uid="{D5414BB7-CD44-42F8-B3B8-436FF35716DC}"/>
    <cellStyle name="Comma 6" xfId="66" xr:uid="{AD5E7AAB-ABCB-4109-B641-DE0E87E8A696}"/>
    <cellStyle name="Explanatory Text" xfId="28" builtinId="53" customBuiltin="1"/>
    <cellStyle name="Good" xfId="18" builtinId="26" customBuiltin="1"/>
    <cellStyle name="Heading 1" xfId="14" builtinId="16" customBuiltin="1"/>
    <cellStyle name="Heading 2" xfId="15" builtinId="17" customBuiltin="1"/>
    <cellStyle name="Heading 3" xfId="16" builtinId="18" customBuiltin="1"/>
    <cellStyle name="Heading 4" xfId="17" builtinId="19" customBuiltin="1"/>
    <cellStyle name="Hyperlink" xfId="5" builtinId="8"/>
    <cellStyle name="Hyperlink 2" xfId="10" xr:uid="{10C1E3C0-F46B-4E25-BD9A-EE5D62F88FF2}"/>
    <cellStyle name="Hyperlink 2 2" xfId="420" xr:uid="{83B9421C-B80D-4BD3-B5FD-87DDF48C9F37}"/>
    <cellStyle name="Input" xfId="21" builtinId="20" customBuiltin="1"/>
    <cellStyle name="Linked Cell" xfId="24" builtinId="24" customBuiltin="1"/>
    <cellStyle name="Neutral" xfId="20" builtinId="28" customBuiltin="1"/>
    <cellStyle name="Neutral 2" xfId="86" xr:uid="{A1897D29-61C5-4E01-9886-F96FD2FECE01}"/>
    <cellStyle name="Normal" xfId="0" builtinId="0" customBuiltin="1"/>
    <cellStyle name="Normal 10" xfId="87" xr:uid="{ED0463BB-040E-47DB-A6CA-8B704E3A8044}"/>
    <cellStyle name="Normal 10 2" xfId="88" xr:uid="{EBF11DA2-AEA6-4137-847D-895A7C431239}"/>
    <cellStyle name="Normal 100" xfId="89" xr:uid="{8D746BFE-424B-4874-BF03-ACB6A9BF2508}"/>
    <cellStyle name="Normal 101" xfId="90" xr:uid="{64D22296-E74C-47AA-B17D-9D3DCAFFF839}"/>
    <cellStyle name="Normal 102" xfId="91" xr:uid="{980DE39E-DEFF-4296-BE80-6C5E624AA599}"/>
    <cellStyle name="Normal 103" xfId="92" xr:uid="{40111496-5DEE-4217-8918-8B546F238062}"/>
    <cellStyle name="Normal 104" xfId="93" xr:uid="{6BB7F6C3-EE46-44B5-854C-4F97AAAEDDC2}"/>
    <cellStyle name="Normal 105" xfId="94" xr:uid="{0FE7A9B2-D44B-44F7-8010-1528E0D4AF0B}"/>
    <cellStyle name="Normal 106" xfId="95" xr:uid="{489C2CB2-11B0-4524-9FB0-D6EB3F69F34F}"/>
    <cellStyle name="Normal 107" xfId="96" xr:uid="{14405B63-B8D1-4737-A30A-112C93E5E280}"/>
    <cellStyle name="Normal 108" xfId="97" xr:uid="{F357C884-7CA0-43E4-ABE7-6166222D13AB}"/>
    <cellStyle name="Normal 109" xfId="98" xr:uid="{85C4E9C9-7FDF-4B1E-A41D-7B61CE4BA68A}"/>
    <cellStyle name="Normal 11" xfId="99" xr:uid="{2A123749-CD56-4265-BB68-2AF269F5182A}"/>
    <cellStyle name="Normal 11 2 2 2" xfId="55" xr:uid="{7C50C1D3-ADF5-48CB-A8A1-4E32D51D9FBB}"/>
    <cellStyle name="Normal 110" xfId="100" xr:uid="{CC3D9095-E13A-48A1-9518-EA44F95F0373}"/>
    <cellStyle name="Normal 111" xfId="101" xr:uid="{8F0C626A-B9E9-4F58-8206-58555D4CE570}"/>
    <cellStyle name="Normal 112" xfId="102" xr:uid="{A13C924F-C6CB-4509-83D7-CE6EF5AD43AD}"/>
    <cellStyle name="Normal 113" xfId="103" xr:uid="{1661CA6B-376A-420D-AC8F-BF8DBE66B1A0}"/>
    <cellStyle name="Normal 114" xfId="104" xr:uid="{35CC7844-58B2-4D02-B25D-9DC6A98B2274}"/>
    <cellStyle name="Normal 115" xfId="105" xr:uid="{C95BF9CC-34D0-4782-9D06-A0DDAA44E24F}"/>
    <cellStyle name="Normal 116" xfId="106" xr:uid="{E84A1D36-54B2-46B3-9314-692A19A2922A}"/>
    <cellStyle name="Normal 117" xfId="107" xr:uid="{AA481524-9A8B-4645-ABC0-C879BA6401D6}"/>
    <cellStyle name="Normal 118" xfId="108" xr:uid="{F77962B3-686A-4B71-BA65-AB8CACCED9A1}"/>
    <cellStyle name="Normal 119" xfId="109" xr:uid="{E751AF2C-2E88-4FB1-A8D7-33CD20959EFA}"/>
    <cellStyle name="Normal 12" xfId="110" xr:uid="{CA757291-9463-403A-920B-183DE8844CFD}"/>
    <cellStyle name="Normal 120" xfId="111" xr:uid="{907DD9BA-7B1C-4775-BF4B-C3A813108B13}"/>
    <cellStyle name="Normal 121" xfId="112" xr:uid="{789E5AE2-FC7B-4114-81B5-A5D481F7164B}"/>
    <cellStyle name="Normal 122" xfId="113" xr:uid="{D03F61E7-FE47-44DB-86FB-453058257A4E}"/>
    <cellStyle name="Normal 123" xfId="114" xr:uid="{E3679CB9-1ADC-4001-982F-4F06AF835C84}"/>
    <cellStyle name="Normal 124" xfId="115" xr:uid="{084B9B53-DF06-40E7-B779-06CB4E3C7476}"/>
    <cellStyle name="Normal 125" xfId="116" xr:uid="{D3ED090E-5B8D-4DEC-9C7C-057C90F610F7}"/>
    <cellStyle name="Normal 126" xfId="117" xr:uid="{69E3234C-F9F3-4084-A892-89D756A00201}"/>
    <cellStyle name="Normal 127" xfId="118" xr:uid="{67C00D11-6B36-440F-AFFA-3E49456E934D}"/>
    <cellStyle name="Normal 128" xfId="119" xr:uid="{C6018823-A0B7-4385-9EAD-C91EE8E8B120}"/>
    <cellStyle name="Normal 129" xfId="120" xr:uid="{4F43D10E-5A49-4D74-9F96-0F376F46B4D2}"/>
    <cellStyle name="Normal 13" xfId="121" xr:uid="{FB96719A-EC18-4712-BDB7-50355ED41D1B}"/>
    <cellStyle name="Normal 130" xfId="122" xr:uid="{D82218B6-F2D5-4F99-9D93-0DC9639D9AA7}"/>
    <cellStyle name="Normal 131" xfId="123" xr:uid="{293235FE-BF55-459F-BF29-0FD94CABE186}"/>
    <cellStyle name="Normal 132" xfId="124" xr:uid="{EE81DAED-2E4A-4745-9882-E11D1F22665A}"/>
    <cellStyle name="Normal 133" xfId="125" xr:uid="{1A2AA6EE-FB25-40B9-8A79-9F74776E6D09}"/>
    <cellStyle name="Normal 134" xfId="126" xr:uid="{37A5DB8B-DBA7-4CA7-A969-ED339A5D1A05}"/>
    <cellStyle name="Normal 135" xfId="127" xr:uid="{C6504084-132E-4961-AEA9-DBFF566E9792}"/>
    <cellStyle name="Normal 136" xfId="128" xr:uid="{6529FE7E-8935-4700-99B9-5F87565F58BB}"/>
    <cellStyle name="Normal 137" xfId="129" xr:uid="{0003C2D2-8C12-40AB-A268-BF2C18180962}"/>
    <cellStyle name="Normal 138" xfId="130" xr:uid="{B6042A3D-DDE2-4AB5-8C73-0D79EF3276B4}"/>
    <cellStyle name="Normal 139" xfId="131" xr:uid="{C28F438A-43AE-4685-B2B7-A7A2FA4F568D}"/>
    <cellStyle name="Normal 14" xfId="56" xr:uid="{7FC88FDD-1E0F-4A36-A314-14A0510AB2BF}"/>
    <cellStyle name="Normal 14 2" xfId="132" xr:uid="{21C8527C-42BD-4926-B7DC-9A9BCECF3505}"/>
    <cellStyle name="Normal 140" xfId="133" xr:uid="{72F442C8-317E-478F-99AF-474AE3CBC8EF}"/>
    <cellStyle name="Normal 141" xfId="134" xr:uid="{9DC15F10-3896-448B-A247-4ABFF231F691}"/>
    <cellStyle name="Normal 142" xfId="135" xr:uid="{603EB0C3-1B92-40C5-9E6B-1FF3D50F5FC1}"/>
    <cellStyle name="Normal 143" xfId="136" xr:uid="{45973D7E-F11B-4B5A-B9DD-75A012EFF817}"/>
    <cellStyle name="Normal 144" xfId="137" xr:uid="{95427852-9B9C-4DA0-90F4-422372E46E2C}"/>
    <cellStyle name="Normal 145" xfId="138" xr:uid="{DFB43339-4233-4085-9A05-129E43B28A26}"/>
    <cellStyle name="Normal 146" xfId="139" xr:uid="{85A90211-BF3D-4776-AF97-DA87475FEE0B}"/>
    <cellStyle name="Normal 147" xfId="140" xr:uid="{7B35ECDE-7419-470C-8138-DF04BC89BC92}"/>
    <cellStyle name="Normal 148" xfId="141" xr:uid="{65DC0A42-C22C-4292-8E0A-92EBCD02DDA0}"/>
    <cellStyle name="Normal 149" xfId="142" xr:uid="{AEF798ED-32A3-46F8-A15B-892F7304F132}"/>
    <cellStyle name="Normal 15" xfId="143" xr:uid="{CC56BB7D-516E-4F6C-8EE4-0BBC22BBB753}"/>
    <cellStyle name="Normal 150" xfId="144" xr:uid="{D0149B52-38F4-4749-B458-0AA1FDE1DA66}"/>
    <cellStyle name="Normal 151" xfId="145" xr:uid="{A7D9853D-00D1-4445-96EA-8F44085B74B9}"/>
    <cellStyle name="Normal 152" xfId="146" xr:uid="{D5119C07-DFED-4B94-89E9-8C57EDF9DFD8}"/>
    <cellStyle name="Normal 153" xfId="147" xr:uid="{B38573D3-D882-4D4B-A997-15638EC701C3}"/>
    <cellStyle name="Normal 154" xfId="148" xr:uid="{572E4383-5781-42F6-B880-689CDDC7368D}"/>
    <cellStyle name="Normal 155" xfId="149" xr:uid="{38BE3E85-FBE1-43A3-A7E1-972AF97F0A52}"/>
    <cellStyle name="Normal 156" xfId="150" xr:uid="{5732FA65-7A4B-49A5-9A5B-409FAB9CCF76}"/>
    <cellStyle name="Normal 157" xfId="151" xr:uid="{8C5CD6FD-7636-419E-9547-9ABF1577C6BA}"/>
    <cellStyle name="Normal 158" xfId="152" xr:uid="{03C54D47-88E6-47CE-94A7-0E7E485662C4}"/>
    <cellStyle name="Normal 159" xfId="153" xr:uid="{A1DD70B3-DA10-40AF-8754-3FDCF50B74C1}"/>
    <cellStyle name="Normal 16" xfId="154" xr:uid="{CFE26381-B890-4BC1-AE8A-164E31965E9E}"/>
    <cellStyle name="Normal 160" xfId="155" xr:uid="{5291294C-753E-4D5C-874C-9C70670568DD}"/>
    <cellStyle name="Normal 161" xfId="156" xr:uid="{BDB3B2EB-6722-487C-82B6-3E14FC210A3A}"/>
    <cellStyle name="Normal 162" xfId="157" xr:uid="{67116450-A86A-438C-8C2D-0F3658961D8E}"/>
    <cellStyle name="Normal 163" xfId="158" xr:uid="{3B51A7E0-919C-4B29-81ED-F7E4D63A0625}"/>
    <cellStyle name="Normal 164" xfId="159" xr:uid="{F8B366FB-BB20-46A3-918F-2973641D7753}"/>
    <cellStyle name="Normal 165" xfId="160" xr:uid="{5065B7EA-88C2-4F48-BEF0-E5247B688C14}"/>
    <cellStyle name="Normal 166" xfId="161" xr:uid="{E27B32E9-FB2D-4DC1-BD88-83EED36496E7}"/>
    <cellStyle name="Normal 167" xfId="162" xr:uid="{E39DBD0C-8CAA-4766-9319-AA9561307C97}"/>
    <cellStyle name="Normal 168" xfId="163" xr:uid="{A5D5FFD5-DCA2-46A7-AED9-36983C81E607}"/>
    <cellStyle name="Normal 169" xfId="164" xr:uid="{8CFC3D9A-6626-47D4-B6C6-713B69D91515}"/>
    <cellStyle name="Normal 17" xfId="165" xr:uid="{36C8929E-DF49-4BE6-9370-398BBC2DA0B0}"/>
    <cellStyle name="Normal 170" xfId="166" xr:uid="{C486493B-4CB2-437D-99DC-C0406E19DD18}"/>
    <cellStyle name="Normal 171" xfId="167" xr:uid="{5811ACE0-3CDC-47EF-8218-6BD1C3E6CF34}"/>
    <cellStyle name="Normal 172" xfId="168" xr:uid="{0BBAE2F0-C916-4B87-A9D8-316C45028B80}"/>
    <cellStyle name="Normal 173" xfId="169" xr:uid="{10650785-5DFE-43BC-87B4-90296F84FCFC}"/>
    <cellStyle name="Normal 174" xfId="170" xr:uid="{3573FCA1-5F01-468E-BF23-C1164DF905B3}"/>
    <cellStyle name="Normal 175" xfId="171" xr:uid="{93D819CC-E1D0-4270-8F02-5CD8B62E3EED}"/>
    <cellStyle name="Normal 176" xfId="172" xr:uid="{C2D43BE7-0EB8-4913-8352-E184BB5E3D8E}"/>
    <cellStyle name="Normal 177" xfId="173" xr:uid="{100E6D3D-4E76-49C6-99C2-C6B3BF783C8E}"/>
    <cellStyle name="Normal 178" xfId="174" xr:uid="{3E0162E3-EDF8-462A-9BDC-3D322340952F}"/>
    <cellStyle name="Normal 179" xfId="175" xr:uid="{47926F73-51E6-4EA8-8161-42B73986269C}"/>
    <cellStyle name="Normal 18" xfId="176" xr:uid="{816C4401-75EC-4250-87A3-9A8A620F4750}"/>
    <cellStyle name="Normal 180" xfId="177" xr:uid="{F2AEAA7F-A1AE-4ED5-BB61-3FAD6BE2B217}"/>
    <cellStyle name="Normal 181" xfId="178" xr:uid="{6E397E36-04CC-4C5D-90CA-3CD574EF880A}"/>
    <cellStyle name="Normal 182" xfId="179" xr:uid="{71883B54-80D4-4E42-B78C-438BF72C41F8}"/>
    <cellStyle name="Normal 183" xfId="180" xr:uid="{3E52A5B5-97D1-4DC5-93DE-DF07D0D58EA3}"/>
    <cellStyle name="Normal 184" xfId="181" xr:uid="{C055BBBA-D5E5-4AFC-B1C4-B8017484A04F}"/>
    <cellStyle name="Normal 185" xfId="182" xr:uid="{637AE1D6-1210-40F5-BBA4-C4FF63AE9855}"/>
    <cellStyle name="Normal 186" xfId="183" xr:uid="{8F4808B5-0B78-4F53-9B2E-7C8F8EE43D69}"/>
    <cellStyle name="Normal 187" xfId="184" xr:uid="{9BEA7F49-7AF5-42FC-88D8-D7D9EEDCF94C}"/>
    <cellStyle name="Normal 188" xfId="185" xr:uid="{75DA12DB-D0D6-439A-BB50-11596E16D507}"/>
    <cellStyle name="Normal 189" xfId="186" xr:uid="{A736C369-610A-4E43-BD79-BE0A71A31A11}"/>
    <cellStyle name="Normal 19" xfId="187" xr:uid="{63F7279F-CA17-4FFB-B232-BE006BEDACF1}"/>
    <cellStyle name="Normal 190" xfId="188" xr:uid="{56A30D42-7130-465F-BDAE-383D5C392055}"/>
    <cellStyle name="Normal 191" xfId="189" xr:uid="{D4DCA886-CDB4-4ADD-8232-D32870AF75A9}"/>
    <cellStyle name="Normal 192" xfId="190" xr:uid="{C5D6781B-EA72-4761-A03D-E582BBF83509}"/>
    <cellStyle name="Normal 193" xfId="191" xr:uid="{3083335F-A502-490B-B0BA-90D2BD2A19F5}"/>
    <cellStyle name="Normal 194" xfId="192" xr:uid="{7230118E-7ABE-45D4-8211-F3910C5DB2C5}"/>
    <cellStyle name="Normal 195" xfId="193" xr:uid="{863DE1D4-8C1E-445E-81A1-1858C366DE0A}"/>
    <cellStyle name="Normal 196" xfId="194" xr:uid="{60555A46-BC41-4AFE-95D5-5455BBD16FEF}"/>
    <cellStyle name="Normal 197" xfId="195" xr:uid="{BE68651D-3514-4631-BD59-B63D2D3D8DAC}"/>
    <cellStyle name="Normal 198" xfId="196" xr:uid="{A98293BB-CF4C-45CE-A593-6B0E713C7929}"/>
    <cellStyle name="Normal 199" xfId="197" xr:uid="{6AE7CA74-8E17-43BC-A489-81511AA4F476}"/>
    <cellStyle name="Normal 2" xfId="3" xr:uid="{E38C2638-0821-4BB2-9C33-A89D3950ADA6}"/>
    <cellStyle name="Normal 2 2" xfId="4" xr:uid="{7604919E-E68F-4366-A693-6A7B8B8DA661}"/>
    <cellStyle name="Normal 2 2 2" xfId="200" xr:uid="{5C17D59F-092F-4986-B36B-493EB3211812}"/>
    <cellStyle name="Normal 2 2 3" xfId="201" xr:uid="{89779703-A98D-481A-A126-905904026B02}"/>
    <cellStyle name="Normal 2 2 4" xfId="202" xr:uid="{8E088786-B031-4AA8-B287-007B90D0EFC3}"/>
    <cellStyle name="Normal 2 2 5" xfId="199" xr:uid="{CF75510F-91C7-43C0-B8A9-90B720297614}"/>
    <cellStyle name="Normal 2 2 6" xfId="54" xr:uid="{8A4CE9E5-926A-46AF-B9E8-10483AC3CB4E}"/>
    <cellStyle name="Normal 2 3" xfId="9" xr:uid="{8A1E39CD-7ABA-4D79-A464-67010D1209C1}"/>
    <cellStyle name="Normal 2 3 2" xfId="204" xr:uid="{0E8B9A87-23EB-419E-AD90-672C57FA0BB7}"/>
    <cellStyle name="Normal 2 3 3" xfId="205" xr:uid="{065AA8E8-9E77-4B1C-AC89-B4A64016062C}"/>
    <cellStyle name="Normal 2 3 4" xfId="203" xr:uid="{555FE82F-2BCE-43AF-B51A-776BAAB33DEF}"/>
    <cellStyle name="Normal 2 4" xfId="206" xr:uid="{A7F5C5DE-AE18-454A-BDA0-1679F1A72378}"/>
    <cellStyle name="Normal 2 4 2" xfId="207" xr:uid="{B8056318-40FD-4AA1-96B8-6B6A8E3E16CF}"/>
    <cellStyle name="Normal 2 4 3" xfId="208" xr:uid="{65AE053D-6C1D-4D68-9D5B-11C3FBEB0BE7}"/>
    <cellStyle name="Normal 2 5" xfId="209" xr:uid="{2BDE1294-A280-47A0-BB99-DF51587C4B26}"/>
    <cellStyle name="Normal 2 6" xfId="421" xr:uid="{D2152CCF-1AF4-4577-A50C-81260288D3EB}"/>
    <cellStyle name="Normal 2 7" xfId="198" xr:uid="{E2540B81-4511-46C5-BDB7-A9A16FAA8C27}"/>
    <cellStyle name="Normal 2_AEDG50_HotelSmall_Inputs" xfId="210" xr:uid="{D394658F-752C-41A7-959C-7B1AF2815059}"/>
    <cellStyle name="Normal 20" xfId="211" xr:uid="{F9F2B2CB-68F6-449A-B8A5-5E473AD41D0A}"/>
    <cellStyle name="Normal 200" xfId="212" xr:uid="{C2763FE4-A49B-4A1D-9B88-3C9BDF3B9431}"/>
    <cellStyle name="Normal 201" xfId="213" xr:uid="{E77593CE-3954-4F80-89A7-1196D0FC9917}"/>
    <cellStyle name="Normal 202" xfId="214" xr:uid="{74B93B20-EB77-468D-AEE6-F8010154F429}"/>
    <cellStyle name="Normal 203" xfId="215" xr:uid="{B3000F5F-1C0F-498A-81DC-64E0BAF59F58}"/>
    <cellStyle name="Normal 204" xfId="216" xr:uid="{69D02BCE-2C30-472F-9D49-54023FFD1136}"/>
    <cellStyle name="Normal 205" xfId="217" xr:uid="{9BF1BD0D-432B-448D-817E-65708E3AB8EB}"/>
    <cellStyle name="Normal 206" xfId="218" xr:uid="{26A655AD-44F6-4337-9772-75A29A308A67}"/>
    <cellStyle name="Normal 207" xfId="219" xr:uid="{392BEAA4-C156-47F6-9DB0-D5B2F333357E}"/>
    <cellStyle name="Normal 208" xfId="220" xr:uid="{E5BD5EC6-B7B6-4C52-B24B-377B17979988}"/>
    <cellStyle name="Normal 209" xfId="221" xr:uid="{C5C8B4BC-8479-4235-BFCE-ECA6589966B4}"/>
    <cellStyle name="Normal 21" xfId="222" xr:uid="{B4F2925F-B0AD-46B4-B1FC-B5855DD35795}"/>
    <cellStyle name="Normal 210" xfId="223" xr:uid="{02C19085-8210-4040-9578-0BA85C38DE94}"/>
    <cellStyle name="Normal 211" xfId="224" xr:uid="{87E5A58D-468F-486F-96AA-2DE6D6190AF2}"/>
    <cellStyle name="Normal 212" xfId="225" xr:uid="{13F3133E-5AFC-4B3F-9319-F95D7FF96E42}"/>
    <cellStyle name="Normal 213" xfId="226" xr:uid="{9A1A84D0-5F89-40BF-9B00-57CBDCB47C96}"/>
    <cellStyle name="Normal 214" xfId="227" xr:uid="{4566A44E-19DA-4356-A624-05990D1EFC0B}"/>
    <cellStyle name="Normal 215" xfId="228" xr:uid="{E39A73E1-182C-416D-9072-1C74CD5DBC6C}"/>
    <cellStyle name="Normal 216" xfId="229" xr:uid="{C785683A-0C4C-4AFC-9339-C559D1ED2AF9}"/>
    <cellStyle name="Normal 217" xfId="230" xr:uid="{1AC80983-8148-4437-BBB3-98584EC46A1D}"/>
    <cellStyle name="Normal 218" xfId="231" xr:uid="{483F3526-4E4A-44B6-9F08-4810700F0CA9}"/>
    <cellStyle name="Normal 219" xfId="232" xr:uid="{539C2CDA-87BC-485E-92A9-913DFFD83687}"/>
    <cellStyle name="Normal 22" xfId="233" xr:uid="{364B2A54-F946-42C7-8CD2-9D0C29AF86BA}"/>
    <cellStyle name="Normal 220" xfId="234" xr:uid="{98F8222E-6CFF-4619-939F-41A416333523}"/>
    <cellStyle name="Normal 221" xfId="235" xr:uid="{D7B7217F-E4A5-408B-B2B1-E077A9C80915}"/>
    <cellStyle name="Normal 222" xfId="236" xr:uid="{71AFD3DF-A631-4DDC-BB8B-EB990F8D671B}"/>
    <cellStyle name="Normal 223" xfId="237" xr:uid="{CF1E9111-A6AF-40D9-8414-8276B6789767}"/>
    <cellStyle name="Normal 224" xfId="238" xr:uid="{A5FED52D-525F-4BEE-8A9E-6E4CCAA4A8FE}"/>
    <cellStyle name="Normal 225" xfId="239" xr:uid="{68941D8A-EA72-473E-A26E-7CF4B8440854}"/>
    <cellStyle name="Normal 226" xfId="240" xr:uid="{3527A556-BD80-43CB-84BB-BC8E275F4CE3}"/>
    <cellStyle name="Normal 227" xfId="241" xr:uid="{E59DB0CD-0A28-44CC-923F-5A4B5D606BE0}"/>
    <cellStyle name="Normal 228" xfId="242" xr:uid="{12DA6185-A595-43E8-B4AC-581167383E21}"/>
    <cellStyle name="Normal 229" xfId="243" xr:uid="{0CF1F3B6-D745-4D7A-9996-CED7CDC59242}"/>
    <cellStyle name="Normal 23" xfId="244" xr:uid="{C4D75CCE-B720-4B88-AF1B-4F8882F689F4}"/>
    <cellStyle name="Normal 230" xfId="245" xr:uid="{345F14BC-FC41-4FBB-A899-2CA1AA06AA41}"/>
    <cellStyle name="Normal 231" xfId="246" xr:uid="{CEC94A9E-BAB0-417D-92B1-55E7762F2E71}"/>
    <cellStyle name="Normal 232" xfId="247" xr:uid="{7BAC4937-E39D-42F8-BD70-CC21829EA3DD}"/>
    <cellStyle name="Normal 233" xfId="248" xr:uid="{8614D0BF-B702-4595-9AAC-28B2F6A2A336}"/>
    <cellStyle name="Normal 234" xfId="249" xr:uid="{9D04F931-23A9-4C72-8D69-819A8E35AF9F}"/>
    <cellStyle name="Normal 235" xfId="250" xr:uid="{04D5DD75-034E-48A1-9558-CEE7162F5FAD}"/>
    <cellStyle name="Normal 236" xfId="251" xr:uid="{B8F8A9A3-9E73-49D1-8559-00E5966B3FB6}"/>
    <cellStyle name="Normal 237" xfId="252" xr:uid="{195E5BA2-15EB-4AFD-A747-4BA782A33C00}"/>
    <cellStyle name="Normal 238" xfId="253" xr:uid="{9C2A4331-E3C9-4254-BBD6-1352915FC4A2}"/>
    <cellStyle name="Normal 239" xfId="254" xr:uid="{EFF8F820-C601-4530-9BD9-AD12663DB6D0}"/>
    <cellStyle name="Normal 24" xfId="255" xr:uid="{6970B655-688A-440E-9465-BCB01318B1F6}"/>
    <cellStyle name="Normal 240" xfId="256" xr:uid="{54CC6034-8573-4860-8BA3-9A27819BCD68}"/>
    <cellStyle name="Normal 241" xfId="257" xr:uid="{7A9E32D4-C561-45E1-8855-D364677DF82F}"/>
    <cellStyle name="Normal 242" xfId="258" xr:uid="{08973D1E-28FE-41F0-8C32-BE02C6AAA32F}"/>
    <cellStyle name="Normal 243" xfId="259" xr:uid="{B54FEC1C-E3F2-4AA2-AD29-ECA47E7468AC}"/>
    <cellStyle name="Normal 244" xfId="260" xr:uid="{204F0F16-B96D-4AA6-81A6-098AA16E67BB}"/>
    <cellStyle name="Normal 245" xfId="261" xr:uid="{8808C593-6A35-4745-9E0E-E3E4E839FE3E}"/>
    <cellStyle name="Normal 246" xfId="262" xr:uid="{F44E6A74-4A33-43EB-A539-E3CD63570C36}"/>
    <cellStyle name="Normal 247" xfId="263" xr:uid="{B2ED9146-E519-4C53-8C71-9B87929EBB56}"/>
    <cellStyle name="Normal 248" xfId="264" xr:uid="{0DA230CE-8D0C-4445-9724-B76DB9420DD3}"/>
    <cellStyle name="Normal 249" xfId="265" xr:uid="{2B385218-E308-4FF6-A434-AC5177E1198C}"/>
    <cellStyle name="Normal 25" xfId="266" xr:uid="{773E85EA-E5C9-454F-825D-E14FCBAA8951}"/>
    <cellStyle name="Normal 250" xfId="267" xr:uid="{45114215-7B02-47B7-9DCD-DAA42C880BB6}"/>
    <cellStyle name="Normal 251" xfId="268" xr:uid="{ECEA2C70-5BEE-486E-81A2-163290C685B5}"/>
    <cellStyle name="Normal 252" xfId="269" xr:uid="{3FE4A758-96EF-4595-A298-5032B00128A2}"/>
    <cellStyle name="Normal 253" xfId="270" xr:uid="{DFDB7498-EC92-4B16-8739-AE0AC9313364}"/>
    <cellStyle name="Normal 254" xfId="271" xr:uid="{03B72245-62B7-4331-84E0-6961D1DE1D42}"/>
    <cellStyle name="Normal 255" xfId="272" xr:uid="{00C9DC87-AEA0-4812-8B83-6E82E52F20F9}"/>
    <cellStyle name="Normal 256" xfId="273" xr:uid="{1C08169E-4D12-44F4-99B0-D3EF673B6B83}"/>
    <cellStyle name="Normal 256 2" xfId="274" xr:uid="{DD1DEF78-D62C-4883-AA89-EDD48EDC4E1B}"/>
    <cellStyle name="Normal 257" xfId="275" xr:uid="{9521952A-D897-4BDA-A2AA-F13007029C60}"/>
    <cellStyle name="Normal 257 2" xfId="276" xr:uid="{252B2ECC-0EEA-4D2D-BB1C-F3C7B7D8970C}"/>
    <cellStyle name="Normal 258" xfId="277" xr:uid="{5B7E9565-8961-4ADB-9716-54CF3C6465F5}"/>
    <cellStyle name="Normal 258 2" xfId="278" xr:uid="{FD8B7167-9462-4C84-A3ED-F8C09387E76B}"/>
    <cellStyle name="Normal 259" xfId="279" xr:uid="{48C906D9-3035-42A3-89C2-ED413CB9990C}"/>
    <cellStyle name="Normal 259 2" xfId="280" xr:uid="{6DB9434D-4D5D-4E20-8342-EFF118273164}"/>
    <cellStyle name="Normal 26" xfId="281" xr:uid="{10303899-1DBE-46A4-9656-F17D6C8BA5DD}"/>
    <cellStyle name="Normal 260" xfId="282" xr:uid="{367DE9C1-C4DF-4A55-B7C8-39922C2F80AE}"/>
    <cellStyle name="Normal 260 2" xfId="283" xr:uid="{6DC06F61-0A7A-46F1-BAEE-4E61D38CB7D1}"/>
    <cellStyle name="Normal 261" xfId="284" xr:uid="{682A9D58-A3E5-4B35-AF05-D40A56B4E858}"/>
    <cellStyle name="Normal 262" xfId="285" xr:uid="{0F63BA51-E8A6-4CD5-A353-446CCFD78724}"/>
    <cellStyle name="Normal 263" xfId="286" xr:uid="{4E2B4A92-86D0-48A4-8CC2-6A5D8AAC7AFC}"/>
    <cellStyle name="Normal 264" xfId="287" xr:uid="{51C0681C-A730-48CE-8EA8-D4159909A244}"/>
    <cellStyle name="Normal 265" xfId="288" xr:uid="{6913B442-F8CA-4AA9-ADFA-A6995AA374D6}"/>
    <cellStyle name="Normal 265 2" xfId="289" xr:uid="{9094FE79-437B-44B0-BD3F-E693EB1BFD6F}"/>
    <cellStyle name="Normal 265 3" xfId="290" xr:uid="{E6CD1951-8345-4509-A4C8-18CCBC0ABDD0}"/>
    <cellStyle name="Normal 266" xfId="291" xr:uid="{94E0E32E-F402-408E-8E73-235E0826B49A}"/>
    <cellStyle name="Normal 266 2" xfId="292" xr:uid="{8F55BE43-A449-42FE-AEB1-D69233034A1A}"/>
    <cellStyle name="Normal 266 3" xfId="293" xr:uid="{DF0A3E20-BBC3-495A-A836-B9B2D0D2B549}"/>
    <cellStyle name="Normal 267" xfId="294" xr:uid="{A7055123-47E7-49E3-B947-912FEE05A238}"/>
    <cellStyle name="Normal 267 2" xfId="295" xr:uid="{D8E1FD1A-8DAD-45F8-B0E1-DD4E93E8EBAA}"/>
    <cellStyle name="Normal 268" xfId="296" xr:uid="{19A557C3-13BA-49C3-9E58-A02BAE2DF3D8}"/>
    <cellStyle name="Normal 268 2" xfId="297" xr:uid="{60A1E638-2A52-43D7-B05A-4BF7E1B14360}"/>
    <cellStyle name="Normal 269" xfId="298" xr:uid="{DA4A9174-1670-4AF2-8D8C-D445FB4A313E}"/>
    <cellStyle name="Normal 269 2" xfId="299" xr:uid="{E5F9B91B-1F74-4AB7-BA67-903106395A23}"/>
    <cellStyle name="Normal 27" xfId="300" xr:uid="{73BDE781-B95C-4408-A4EE-A2D51D5FF64E}"/>
    <cellStyle name="Normal 270" xfId="301" xr:uid="{DD7FF40D-A37B-4E23-ACAC-7EF49782B880}"/>
    <cellStyle name="Normal 270 2" xfId="302" xr:uid="{EC621B19-CB53-4CCA-986B-67393F73CFF1}"/>
    <cellStyle name="Normal 271" xfId="303" xr:uid="{11EB8487-29ED-41BD-95F1-B6F8BB06698D}"/>
    <cellStyle name="Normal 272" xfId="304" xr:uid="{2B72B42F-75C9-497B-A3DE-AE79784149BC}"/>
    <cellStyle name="Normal 273" xfId="305" xr:uid="{F72B6584-0B38-419E-AAD3-E49CF2A0B305}"/>
    <cellStyle name="Normal 274" xfId="306" xr:uid="{9EA882E3-08A7-4AD1-8821-4F2D6B309E12}"/>
    <cellStyle name="Normal 275" xfId="307" xr:uid="{E0F3DA4D-7D94-4612-B561-580D1CC86259}"/>
    <cellStyle name="Normal 276" xfId="308" xr:uid="{5D566F8F-AB87-43B2-B389-D43ACBD0D81B}"/>
    <cellStyle name="Normal 277" xfId="309" xr:uid="{D5E4180D-549E-4CA4-859B-FB75E2186C53}"/>
    <cellStyle name="Normal 278" xfId="310" xr:uid="{694939A8-47D1-4EFC-BB57-EB4BA4A94E41}"/>
    <cellStyle name="Normal 279" xfId="311" xr:uid="{64E15D09-F62C-4077-8563-A77C01F137C8}"/>
    <cellStyle name="Normal 28" xfId="312" xr:uid="{F007DB11-7827-4FAB-8B9F-3F0ADC57EB1B}"/>
    <cellStyle name="Normal 280" xfId="313" xr:uid="{2A906A98-D0AB-49F2-92C8-4E2AC3AD7B7F}"/>
    <cellStyle name="Normal 281" xfId="314" xr:uid="{A181FDB3-D125-47BA-A6A0-903F447BED9C}"/>
    <cellStyle name="Normal 282" xfId="59" xr:uid="{EE79E31F-A06E-4EB1-B307-561CF1068FED}"/>
    <cellStyle name="Normal 29" xfId="315" xr:uid="{82BAAB75-1CE3-4251-920E-FD32C91515F6}"/>
    <cellStyle name="Normal 3" xfId="7" xr:uid="{1C10DAE4-4F9C-4E19-81E4-5574511A6741}"/>
    <cellStyle name="Normal 3 2" xfId="317" xr:uid="{61370834-A734-48B2-833C-2924E55AF406}"/>
    <cellStyle name="Normal 3 2 2" xfId="318" xr:uid="{1E5D4B6B-8C59-4F59-B048-60A37334C088}"/>
    <cellStyle name="Normal 3 2 2 2" xfId="319" xr:uid="{11AC7F54-13E7-4E53-9373-E6F05C171849}"/>
    <cellStyle name="Normal 3 2 3" xfId="320" xr:uid="{3046703E-15BF-4661-8569-41DA30430B45}"/>
    <cellStyle name="Normal 3 2 4" xfId="424" xr:uid="{4E109080-8C65-4F86-A66B-4FDDB0F06C54}"/>
    <cellStyle name="Normal 3 3" xfId="321" xr:uid="{0CEED06D-BAC2-45C5-A4A0-DA4E1EF61E8D}"/>
    <cellStyle name="Normal 3 3 2" xfId="322" xr:uid="{E398452A-6D64-414A-BA0C-EDDB41394529}"/>
    <cellStyle name="Normal 3 3 3" xfId="323" xr:uid="{31B606AA-4D54-48DE-B26F-A95C91670328}"/>
    <cellStyle name="Normal 3 4" xfId="324" xr:uid="{62999BAE-7D5C-485E-903A-C0098133754C}"/>
    <cellStyle name="Normal 3 5" xfId="423" xr:uid="{DE096763-E290-4FE4-B212-B7EFCCBB09FC}"/>
    <cellStyle name="Normal 3 6" xfId="316" xr:uid="{2E613B6C-EC92-4740-9064-DAA1F48613CD}"/>
    <cellStyle name="Normal 30" xfId="325" xr:uid="{A5546318-EA54-4E73-A48E-0EF9C9F90D96}"/>
    <cellStyle name="Normal 31" xfId="326" xr:uid="{0383A86D-8200-4023-9754-8678741F5E19}"/>
    <cellStyle name="Normal 32" xfId="327" xr:uid="{D4A63DAF-730F-4DF5-9AE1-8F0E1787D660}"/>
    <cellStyle name="Normal 33" xfId="328" xr:uid="{4F1A2585-4CA3-4F7C-9C54-BFADFBA42A39}"/>
    <cellStyle name="Normal 34" xfId="329" xr:uid="{F7471E59-0ACA-46B6-A173-9FF5FD80BD83}"/>
    <cellStyle name="Normal 35" xfId="330" xr:uid="{76A55373-F90A-49DD-B155-001BFCA0CF0A}"/>
    <cellStyle name="Normal 36" xfId="331" xr:uid="{B061001E-6CF2-4073-9CC4-AA8D9A497D05}"/>
    <cellStyle name="Normal 37" xfId="332" xr:uid="{D8FA8DAE-8BB0-464C-9482-4256EFF6C31B}"/>
    <cellStyle name="Normal 38" xfId="333" xr:uid="{59D5ECA7-B87D-4321-9340-60BDDC18294B}"/>
    <cellStyle name="Normal 39" xfId="334" xr:uid="{18730104-F17E-4D01-BF96-5D5199D1F149}"/>
    <cellStyle name="Normal 4" xfId="11" xr:uid="{43272557-B37F-4996-BC18-AA3EDEAFA379}"/>
    <cellStyle name="Normal 4 2" xfId="336" xr:uid="{A95380DD-C644-4EB7-A1DD-7D88DA7B2A0F}"/>
    <cellStyle name="Normal 4 3" xfId="337" xr:uid="{92F87497-1D5A-4C2E-A847-F83C3B05B37D}"/>
    <cellStyle name="Normal 4 4" xfId="338" xr:uid="{AE45FD61-3494-423F-AFB2-EDFE8D5AA336}"/>
    <cellStyle name="Normal 4 5" xfId="335" xr:uid="{201DB2CF-C23E-4456-8732-FE6E500F7D4E}"/>
    <cellStyle name="Normal 40" xfId="339" xr:uid="{93FB35B3-A1E1-4827-AF6F-06A36B70E840}"/>
    <cellStyle name="Normal 41" xfId="340" xr:uid="{AB054E55-3174-4EAA-B9C1-6C383FDEE519}"/>
    <cellStyle name="Normal 42" xfId="341" xr:uid="{AEAF74C1-591A-4507-84CB-84A5328EEBFB}"/>
    <cellStyle name="Normal 43" xfId="342" xr:uid="{2C12D969-A550-4582-8BB6-C71988F89263}"/>
    <cellStyle name="Normal 44" xfId="343" xr:uid="{6C81B467-1249-4107-9729-530C5D720245}"/>
    <cellStyle name="Normal 45" xfId="344" xr:uid="{0CC4CB25-B137-47F7-8C9C-B293B80C07E1}"/>
    <cellStyle name="Normal 46" xfId="345" xr:uid="{D88904DF-CE67-4F22-A128-BF90507E07C4}"/>
    <cellStyle name="Normal 47" xfId="346" xr:uid="{3C5B26EA-734E-4AAE-AF8C-AD9823CAE10E}"/>
    <cellStyle name="Normal 48" xfId="347" xr:uid="{04916BDC-86DD-4808-BD71-F04AC91BCC7F}"/>
    <cellStyle name="Normal 49" xfId="348" xr:uid="{770C8298-94A3-4828-8E8F-D94E60677690}"/>
    <cellStyle name="Normal 5" xfId="12" xr:uid="{642BE191-BE2F-4847-8420-1C59B95E270E}"/>
    <cellStyle name="Normal 5 2" xfId="349" xr:uid="{08A08D44-4443-4339-9B12-8626D08F02FF}"/>
    <cellStyle name="Normal 50" xfId="350" xr:uid="{5028D188-CE3C-4117-AE63-62B3BC44E730}"/>
    <cellStyle name="Normal 51" xfId="351" xr:uid="{7CE77370-70CA-4AAB-B2C8-78CAAF0C82AA}"/>
    <cellStyle name="Normal 52" xfId="352" xr:uid="{98981C3F-8754-46A5-A353-88BE4745A2D8}"/>
    <cellStyle name="Normal 53" xfId="353" xr:uid="{1B950DEE-271D-4D38-AAD5-123518AD7B37}"/>
    <cellStyle name="Normal 54" xfId="354" xr:uid="{EE2BFEF2-2C6A-42A4-AB84-7CC670AD66B2}"/>
    <cellStyle name="Normal 55" xfId="355" xr:uid="{6B9B3DCC-33C6-4F3E-8E64-0155159448CF}"/>
    <cellStyle name="Normal 56" xfId="356" xr:uid="{6CD3112C-0824-4989-9FC5-C22DE615D04B}"/>
    <cellStyle name="Normal 57" xfId="357" xr:uid="{DA8CACF2-1B65-4A13-95B6-EE905FEF0A4F}"/>
    <cellStyle name="Normal 58" xfId="358" xr:uid="{620A80B5-8C45-45B5-A3A7-EEF3DF69C0F3}"/>
    <cellStyle name="Normal 59" xfId="359" xr:uid="{2739592D-D763-46D0-8667-DCDB64574730}"/>
    <cellStyle name="Normal 6" xfId="360" xr:uid="{B69CB2ED-179E-4632-9773-FDF967BA738C}"/>
    <cellStyle name="Normal 6 2" xfId="58" xr:uid="{81714051-991B-4CDC-ABC3-79E3072D1154}"/>
    <cellStyle name="Normal 60" xfId="361" xr:uid="{4702C0C9-939D-4086-B621-4D788D24732D}"/>
    <cellStyle name="Normal 61" xfId="362" xr:uid="{F664EC09-61DA-4184-B40A-BFEFC4B6A0CB}"/>
    <cellStyle name="Normal 62" xfId="363" xr:uid="{227B08FA-9717-482D-86CE-D0855F6DD6AE}"/>
    <cellStyle name="Normal 63" xfId="364" xr:uid="{6EE9F537-EEA0-40A6-95FB-9B4E3F0B9DDA}"/>
    <cellStyle name="Normal 64" xfId="365" xr:uid="{FFAEDF3F-EA7E-483F-A4CE-E714C0FE34E8}"/>
    <cellStyle name="Normal 65" xfId="366" xr:uid="{E02FFA71-4006-43F6-A51C-8721D3A314D5}"/>
    <cellStyle name="Normal 66" xfId="367" xr:uid="{8E3B46CC-D68E-43B4-95CE-FE6950BA9B2B}"/>
    <cellStyle name="Normal 67" xfId="368" xr:uid="{2F3E9A5A-29DB-4FD9-B370-7C4C77D34746}"/>
    <cellStyle name="Normal 68" xfId="369" xr:uid="{B34AB304-4CFC-444A-8836-AC91179A7004}"/>
    <cellStyle name="Normal 69" xfId="370" xr:uid="{E0FBE10E-F61C-442E-82F3-FB699D9C6C20}"/>
    <cellStyle name="Normal 7" xfId="371" xr:uid="{D55A13AE-010B-4D21-B3F2-A27E8C366CBD}"/>
    <cellStyle name="Normal 7 2" xfId="427" xr:uid="{679A2D73-A587-421C-BEDA-311CFC5FF280}"/>
    <cellStyle name="Normal 70" xfId="372" xr:uid="{45B7618A-4ECE-4CE6-92F3-83643854B9DB}"/>
    <cellStyle name="Normal 71" xfId="373" xr:uid="{E6DDFB1A-D53E-4BA6-95D6-2490E7A83453}"/>
    <cellStyle name="Normal 72" xfId="374" xr:uid="{3C537F24-E001-4F06-BB7B-735541806232}"/>
    <cellStyle name="Normal 73" xfId="375" xr:uid="{242255D0-1863-4F1B-9EA6-A6B6F6DBEFCB}"/>
    <cellStyle name="Normal 74" xfId="376" xr:uid="{383FDDFF-7610-44CF-8C45-94DB271BAA3F}"/>
    <cellStyle name="Normal 75" xfId="377" xr:uid="{B8EDC23C-2B43-47B8-A8ED-B59FEB9E3C77}"/>
    <cellStyle name="Normal 76" xfId="378" xr:uid="{398464A0-A1EC-4450-93BC-6EA2D8933CBD}"/>
    <cellStyle name="Normal 77" xfId="379" xr:uid="{F42A2EC6-615C-4D2A-8814-0FA8EA38CFE3}"/>
    <cellStyle name="Normal 78" xfId="380" xr:uid="{3C53EA45-7924-4B53-BE63-A839D34D7539}"/>
    <cellStyle name="Normal 79" xfId="381" xr:uid="{B39B0D85-8BD4-4F13-A9CC-C18334F90B96}"/>
    <cellStyle name="Normal 8" xfId="382" xr:uid="{7E81A5B4-1C17-442D-859E-C04287971CF5}"/>
    <cellStyle name="Normal 80" xfId="383" xr:uid="{80BCE255-5BED-4667-AC41-172078EA6BCF}"/>
    <cellStyle name="Normal 81" xfId="384" xr:uid="{80AC455C-AFD3-4758-9E79-E4F560D5D4BE}"/>
    <cellStyle name="Normal 82" xfId="385" xr:uid="{64E893F1-CBB5-4099-9F67-EDE2BD6FE130}"/>
    <cellStyle name="Normal 83" xfId="386" xr:uid="{09B0142F-C9F9-4CB8-980A-1E1B29B11F88}"/>
    <cellStyle name="Normal 84" xfId="387" xr:uid="{F96F9D1D-B9D6-42BD-A46F-6184011B3B2E}"/>
    <cellStyle name="Normal 85" xfId="388" xr:uid="{7EF48E81-7F20-441C-8D04-0269A6E2B722}"/>
    <cellStyle name="Normal 86" xfId="389" xr:uid="{83435930-9B85-496C-B74B-0780B7678651}"/>
    <cellStyle name="Normal 87" xfId="390" xr:uid="{FABA39D5-BA2A-4502-83F8-F984309A04A1}"/>
    <cellStyle name="Normal 88" xfId="391" xr:uid="{D12EF9B3-E571-42AC-A959-96BD61E8A36F}"/>
    <cellStyle name="Normal 89" xfId="392" xr:uid="{D6D1CC6E-4627-4CA6-816D-99453597CDF0}"/>
    <cellStyle name="Normal 9" xfId="393" xr:uid="{D1002278-A8D9-4890-871A-56AF90463FE7}"/>
    <cellStyle name="Normal 9 3" xfId="394" xr:uid="{7B47222D-84B0-4ACE-ACB8-7F7B8FDAE818}"/>
    <cellStyle name="Normal 9 3 2" xfId="395" xr:uid="{C757C817-19AF-4109-9091-462AF12EC677}"/>
    <cellStyle name="Normal 90" xfId="396" xr:uid="{4F2A710A-FF9A-42C7-BA86-3C5721983629}"/>
    <cellStyle name="Normal 91" xfId="397" xr:uid="{D6CD5B0A-C81D-4E11-B317-AA794A5EF8C9}"/>
    <cellStyle name="Normal 92" xfId="398" xr:uid="{FE829816-0BD0-48EB-8505-8DFD01283485}"/>
    <cellStyle name="Normal 93" xfId="399" xr:uid="{FD77A2A8-2157-4BD6-9B56-EA72B8D49395}"/>
    <cellStyle name="Normal 94" xfId="400" xr:uid="{BC27FCEC-A2C0-4EBB-BF37-6A5322BBA825}"/>
    <cellStyle name="Normal 95" xfId="401" xr:uid="{5AB6617A-2305-4F05-97B8-AABD768542ED}"/>
    <cellStyle name="Normal 96" xfId="402" xr:uid="{1CD55C0C-E780-4F1B-B562-CDC4227C0D47}"/>
    <cellStyle name="Normal 97" xfId="403" xr:uid="{7BC00621-94D9-462C-A3A7-16649F6AD67B}"/>
    <cellStyle name="Normal 98" xfId="404" xr:uid="{96ABEAB1-A526-4A39-90D0-6AE31D4E832E}"/>
    <cellStyle name="Normal 99" xfId="405" xr:uid="{A9DE2017-6926-40C6-B932-0205A43553AD}"/>
    <cellStyle name="Normal_Prototype_Scorecard-LgOffice-2008-03-13" xfId="1" xr:uid="{F839F8A1-86E5-4008-9801-0F032E8A3317}"/>
    <cellStyle name="Note" xfId="27" builtinId="10" customBuiltin="1"/>
    <cellStyle name="Note 2" xfId="406" xr:uid="{B5CB7F59-3313-47B8-AA2F-BF9BECBF1AA4}"/>
    <cellStyle name="Output" xfId="22" builtinId="21" customBuiltin="1"/>
    <cellStyle name="Percent" xfId="2" builtinId="5"/>
    <cellStyle name="Percent 2" xfId="8" xr:uid="{CB789C3E-741F-4464-8065-385A956411E6}"/>
    <cellStyle name="Percent 2 10" xfId="407" xr:uid="{67BF6394-5E89-44C7-A6EC-656B358FD6A1}"/>
    <cellStyle name="Percent 2 2" xfId="57" xr:uid="{B364ED4F-B775-4E78-B9C8-C73076263F02}"/>
    <cellStyle name="Percent 2 3" xfId="408" xr:uid="{4F5C1B2E-3AD1-4649-B474-56ED3EDEFFF9}"/>
    <cellStyle name="Percent 2 4" xfId="409" xr:uid="{3FDC25CA-BD00-484B-9729-F78FFE58ACE6}"/>
    <cellStyle name="Percent 2 5" xfId="410" xr:uid="{37900943-49BC-4D71-8A57-41911D70217F}"/>
    <cellStyle name="Percent 2 6" xfId="411" xr:uid="{88257F6E-0EC7-4BB7-8B3D-F57C744AC0AB}"/>
    <cellStyle name="Percent 2 7" xfId="412" xr:uid="{A7389F8B-964B-44F9-A10B-5A9441ACE23B}"/>
    <cellStyle name="Percent 2 8" xfId="413" xr:uid="{7330A401-8368-4AE8-8F39-D87E1B3A0521}"/>
    <cellStyle name="Percent 2 9" xfId="422" xr:uid="{6D481F77-F938-4FB2-B706-EC69A5A21842}"/>
    <cellStyle name="Percent 3" xfId="414" xr:uid="{9573284A-8DEA-4A3F-8A25-ACCB41E1BE30}"/>
    <cellStyle name="Percent 3 2" xfId="426" xr:uid="{95CF3BE6-9292-485A-96D0-E1CB7F5037B3}"/>
    <cellStyle name="Percent 4" xfId="415" xr:uid="{FF54B7F1-8D80-4E2B-8E2A-5E955D3F317A}"/>
    <cellStyle name="Percent 5" xfId="416" xr:uid="{08A7E1F5-E888-41E1-8794-60415219F572}"/>
    <cellStyle name="Percent 6" xfId="417" xr:uid="{1D70CF57-8801-4410-B2B8-CC2993FC3D26}"/>
    <cellStyle name="Percent 7" xfId="418" xr:uid="{25A4305E-3B4F-4D81-869C-E61D9B97F20D}"/>
    <cellStyle name="Title" xfId="13" builtinId="15" customBuiltin="1"/>
    <cellStyle name="Title 2" xfId="419" xr:uid="{B2249A1D-C723-4FF9-9D6C-F1111CE90277}"/>
    <cellStyle name="Total" xfId="29" builtinId="25" customBuiltin="1"/>
    <cellStyle name="Warning Text" xfId="26" builtinId="11" customBuiltin="1"/>
  </cellStyles>
  <dxfs count="7">
    <dxf>
      <font>
        <b/>
        <i val="0"/>
      </font>
      <fill>
        <patternFill>
          <bgColor theme="0" tint="-0.14996795556505021"/>
        </patternFill>
      </fill>
      <border>
        <left style="thin">
          <color auto="1"/>
        </left>
        <right style="thin">
          <color auto="1"/>
        </right>
        <top style="thin">
          <color auto="1"/>
        </top>
        <bottom style="thin">
          <color auto="1"/>
        </bottom>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ont>
        <b/>
        <i val="0"/>
      </font>
    </dxf>
    <dxf>
      <font>
        <b/>
        <i val="0"/>
      </font>
    </dxf>
    <dxf>
      <font>
        <b/>
        <i val="0"/>
      </font>
      <border diagonalDown="1">
        <left style="thin">
          <color auto="1"/>
        </left>
        <right style="thin">
          <color auto="1"/>
        </right>
        <top style="thin">
          <color auto="1"/>
        </top>
        <bottom style="thin">
          <color auto="1"/>
        </bottom>
        <diagonal style="thin">
          <color auto="1"/>
        </diagonal>
        <vertical style="thin">
          <color auto="1"/>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border>
    </dxf>
  </dxfs>
  <tableStyles count="1" defaultTableStyle="TableStyleMedium2" defaultPivotStyle="PivotStyleLight16">
    <tableStyle name="PivotTable Style_MFA1" table="0" count="7" xr9:uid="{14E84246-083A-4927-8273-A88944943105}">
      <tableStyleElement type="wholeTable" dxfId="6"/>
      <tableStyleElement type="headerRow" dxfId="5"/>
      <tableStyleElement type="totalRow" dxfId="4"/>
      <tableStyleElement type="firstColumn" dxfId="3"/>
      <tableStyleElement type="lastColumn" dxfId="2"/>
      <tableStyleElement type="pageFieldLabels" dxfId="1"/>
      <tableStyleElement type="pageFieldValues" dxfId="0"/>
    </tableStyle>
  </tableStyles>
  <colors>
    <mruColors>
      <color rgb="FFF2F2F2"/>
      <color rgb="FFA6A6A6"/>
      <color rgb="FF878686"/>
      <color rgb="FF203764"/>
      <color rgb="FFFF9900"/>
      <color rgb="FFCCCCFF"/>
      <color rgb="FF8238BA"/>
      <color rgb="FFFFEBCD"/>
      <color rgb="FF002F8E"/>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 Target="richData/rdrichvalue.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22/10/relationships/richValueRel" Target="richData/richValueRel.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Occupancy </a:t>
            </a:r>
            <a:r>
              <a:rPr lang="en-US" sz="1000" b="0" i="0" u="none" strike="noStrike" kern="1200" spc="0" baseline="0">
                <a:solidFill>
                  <a:sysClr val="windowText" lastClr="000000"/>
                </a:solidFill>
                <a:latin typeface="Arial" panose="020B0604020202020204" pitchFamily="34" charset="0"/>
                <a:cs typeface="Arial" panose="020B0604020202020204" pitchFamily="34" charset="0"/>
              </a:rPr>
              <a:t>(*overall)</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c:f>
              <c:strCache>
                <c:ptCount val="1"/>
                <c:pt idx="0">
                  <c:v>Weekday</c:v>
                </c:pt>
              </c:strCache>
            </c:strRef>
          </c:tx>
          <c:spPr>
            <a:ln w="28575" cap="rnd">
              <a:solidFill>
                <a:schemeClr val="accent1"/>
              </a:solidFill>
              <a:round/>
            </a:ln>
            <a:effectLst/>
          </c:spPr>
          <c:marker>
            <c:symbol val="none"/>
          </c:marker>
          <c:val>
            <c:numRef>
              <c:f>Schedules!$F$4:$AC$4</c:f>
              <c:numCache>
                <c:formatCode>0.00</c:formatCode>
                <c:ptCount val="24"/>
                <c:pt idx="0">
                  <c:v>0</c:v>
                </c:pt>
                <c:pt idx="1">
                  <c:v>0</c:v>
                </c:pt>
                <c:pt idx="2">
                  <c:v>0</c:v>
                </c:pt>
                <c:pt idx="3">
                  <c:v>0</c:v>
                </c:pt>
                <c:pt idx="4">
                  <c:v>0</c:v>
                </c:pt>
                <c:pt idx="5">
                  <c:v>0</c:v>
                </c:pt>
                <c:pt idx="6">
                  <c:v>0</c:v>
                </c:pt>
                <c:pt idx="7">
                  <c:v>0</c:v>
                </c:pt>
                <c:pt idx="8">
                  <c:v>0.2</c:v>
                </c:pt>
                <c:pt idx="9">
                  <c:v>0.2</c:v>
                </c:pt>
                <c:pt idx="10">
                  <c:v>0.2</c:v>
                </c:pt>
                <c:pt idx="11">
                  <c:v>0.8</c:v>
                </c:pt>
                <c:pt idx="12">
                  <c:v>0.8</c:v>
                </c:pt>
                <c:pt idx="13">
                  <c:v>0.8</c:v>
                </c:pt>
                <c:pt idx="14">
                  <c:v>0.8</c:v>
                </c:pt>
                <c:pt idx="15">
                  <c:v>0.8</c:v>
                </c:pt>
                <c:pt idx="16">
                  <c:v>0.8</c:v>
                </c:pt>
                <c:pt idx="17">
                  <c:v>0.8</c:v>
                </c:pt>
                <c:pt idx="18">
                  <c:v>0.2</c:v>
                </c:pt>
                <c:pt idx="19">
                  <c:v>0.2</c:v>
                </c:pt>
                <c:pt idx="20">
                  <c:v>0.2</c:v>
                </c:pt>
                <c:pt idx="21">
                  <c:v>0.2</c:v>
                </c:pt>
                <c:pt idx="22">
                  <c:v>0.1</c:v>
                </c:pt>
                <c:pt idx="23">
                  <c:v>0</c:v>
                </c:pt>
              </c:numCache>
            </c:numRef>
          </c:val>
          <c:smooth val="0"/>
          <c:extLst>
            <c:ext xmlns:c16="http://schemas.microsoft.com/office/drawing/2014/chart" uri="{C3380CC4-5D6E-409C-BE32-E72D297353CC}">
              <c16:uniqueId val="{00000000-06BB-4405-BC60-B55164A79AEF}"/>
            </c:ext>
          </c:extLst>
        </c:ser>
        <c:ser>
          <c:idx val="1"/>
          <c:order val="1"/>
          <c:tx>
            <c:strRef>
              <c:f>Schedules!$E$5</c:f>
              <c:strCache>
                <c:ptCount val="1"/>
                <c:pt idx="0">
                  <c:v>Saturday</c:v>
                </c:pt>
              </c:strCache>
            </c:strRef>
          </c:tx>
          <c:spPr>
            <a:ln w="28575" cap="rnd">
              <a:solidFill>
                <a:schemeClr val="accent2"/>
              </a:solidFill>
              <a:round/>
            </a:ln>
            <a:effectLst/>
          </c:spPr>
          <c:marker>
            <c:symbol val="none"/>
          </c:marker>
          <c:val>
            <c:numRef>
              <c:f>Schedules!$F$5:$AC$5</c:f>
              <c:numCache>
                <c:formatCode>0.00</c:formatCode>
                <c:ptCount val="24"/>
                <c:pt idx="0">
                  <c:v>0</c:v>
                </c:pt>
                <c:pt idx="1">
                  <c:v>0</c:v>
                </c:pt>
                <c:pt idx="2">
                  <c:v>0</c:v>
                </c:pt>
                <c:pt idx="3">
                  <c:v>0</c:v>
                </c:pt>
                <c:pt idx="4">
                  <c:v>0</c:v>
                </c:pt>
                <c:pt idx="5">
                  <c:v>0</c:v>
                </c:pt>
                <c:pt idx="6">
                  <c:v>0</c:v>
                </c:pt>
                <c:pt idx="7">
                  <c:v>0</c:v>
                </c:pt>
                <c:pt idx="8">
                  <c:v>0.2</c:v>
                </c:pt>
                <c:pt idx="9">
                  <c:v>0.2</c:v>
                </c:pt>
                <c:pt idx="10">
                  <c:v>0.2</c:v>
                </c:pt>
                <c:pt idx="11">
                  <c:v>0.6</c:v>
                </c:pt>
                <c:pt idx="12">
                  <c:v>0.6</c:v>
                </c:pt>
                <c:pt idx="13">
                  <c:v>0.6</c:v>
                </c:pt>
                <c:pt idx="14">
                  <c:v>0.6</c:v>
                </c:pt>
                <c:pt idx="15">
                  <c:v>0.6</c:v>
                </c:pt>
                <c:pt idx="16">
                  <c:v>0.6</c:v>
                </c:pt>
                <c:pt idx="17">
                  <c:v>0.6</c:v>
                </c:pt>
                <c:pt idx="18">
                  <c:v>0.6</c:v>
                </c:pt>
                <c:pt idx="19">
                  <c:v>0.6</c:v>
                </c:pt>
                <c:pt idx="20">
                  <c:v>0.6</c:v>
                </c:pt>
                <c:pt idx="21">
                  <c:v>0.8</c:v>
                </c:pt>
                <c:pt idx="22">
                  <c:v>0.1</c:v>
                </c:pt>
                <c:pt idx="23">
                  <c:v>0</c:v>
                </c:pt>
              </c:numCache>
            </c:numRef>
          </c:val>
          <c:smooth val="0"/>
          <c:extLst>
            <c:ext xmlns:c16="http://schemas.microsoft.com/office/drawing/2014/chart" uri="{C3380CC4-5D6E-409C-BE32-E72D297353CC}">
              <c16:uniqueId val="{00000001-06BB-4405-BC60-B55164A79AEF}"/>
            </c:ext>
          </c:extLst>
        </c:ser>
        <c:ser>
          <c:idx val="2"/>
          <c:order val="2"/>
          <c:tx>
            <c:strRef>
              <c:f>Schedules!$E$6</c:f>
              <c:strCache>
                <c:ptCount val="1"/>
                <c:pt idx="0">
                  <c:v>Sunday</c:v>
                </c:pt>
              </c:strCache>
            </c:strRef>
          </c:tx>
          <c:spPr>
            <a:ln w="28575" cap="rnd">
              <a:solidFill>
                <a:schemeClr val="accent3"/>
              </a:solidFill>
              <a:round/>
            </a:ln>
            <a:effectLst/>
          </c:spPr>
          <c:marker>
            <c:symbol val="none"/>
          </c:marker>
          <c:val>
            <c:numRef>
              <c:f>Schedules!$F$6:$AC$6</c:f>
              <c:numCache>
                <c:formatCode>0.00</c:formatCode>
                <c:ptCount val="24"/>
                <c:pt idx="0">
                  <c:v>0</c:v>
                </c:pt>
                <c:pt idx="1">
                  <c:v>0</c:v>
                </c:pt>
                <c:pt idx="2">
                  <c:v>0</c:v>
                </c:pt>
                <c:pt idx="3">
                  <c:v>0</c:v>
                </c:pt>
                <c:pt idx="4">
                  <c:v>0</c:v>
                </c:pt>
                <c:pt idx="5">
                  <c:v>0</c:v>
                </c:pt>
                <c:pt idx="6">
                  <c:v>0</c:v>
                </c:pt>
                <c:pt idx="7">
                  <c:v>0</c:v>
                </c:pt>
                <c:pt idx="8">
                  <c:v>0.1</c:v>
                </c:pt>
                <c:pt idx="9">
                  <c:v>0.1</c:v>
                </c:pt>
                <c:pt idx="10">
                  <c:v>0.1</c:v>
                </c:pt>
                <c:pt idx="11">
                  <c:v>0.1</c:v>
                </c:pt>
                <c:pt idx="12">
                  <c:v>0.1</c:v>
                </c:pt>
                <c:pt idx="13">
                  <c:v>0.7</c:v>
                </c:pt>
                <c:pt idx="14">
                  <c:v>0.7</c:v>
                </c:pt>
                <c:pt idx="15">
                  <c:v>0.7</c:v>
                </c:pt>
                <c:pt idx="16">
                  <c:v>0.7</c:v>
                </c:pt>
                <c:pt idx="17">
                  <c:v>0.7</c:v>
                </c:pt>
                <c:pt idx="18">
                  <c:v>0.7</c:v>
                </c:pt>
                <c:pt idx="19">
                  <c:v>0.7</c:v>
                </c:pt>
                <c:pt idx="20">
                  <c:v>0.7</c:v>
                </c:pt>
                <c:pt idx="21">
                  <c:v>0.7</c:v>
                </c:pt>
                <c:pt idx="22">
                  <c:v>0.2</c:v>
                </c:pt>
                <c:pt idx="23">
                  <c:v>0</c:v>
                </c:pt>
              </c:numCache>
            </c:numRef>
          </c:val>
          <c:smooth val="0"/>
          <c:extLst>
            <c:ext xmlns:c16="http://schemas.microsoft.com/office/drawing/2014/chart" uri="{C3380CC4-5D6E-409C-BE32-E72D297353CC}">
              <c16:uniqueId val="{00000002-06BB-4405-BC60-B55164A79AE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Lighting</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Schedules!$F$7:$AC$7</c:f>
              <c:numCache>
                <c:formatCode>0.00</c:formatCode>
                <c:ptCount val="24"/>
                <c:pt idx="0">
                  <c:v>0.05</c:v>
                </c:pt>
                <c:pt idx="1">
                  <c:v>0.05</c:v>
                </c:pt>
                <c:pt idx="2">
                  <c:v>0.05</c:v>
                </c:pt>
                <c:pt idx="3">
                  <c:v>0.05</c:v>
                </c:pt>
                <c:pt idx="4">
                  <c:v>0.05</c:v>
                </c:pt>
                <c:pt idx="5">
                  <c:v>0.05</c:v>
                </c:pt>
                <c:pt idx="6">
                  <c:v>0.35</c:v>
                </c:pt>
                <c:pt idx="7">
                  <c:v>0.35</c:v>
                </c:pt>
                <c:pt idx="8">
                  <c:v>0.35</c:v>
                </c:pt>
                <c:pt idx="9">
                  <c:v>0.65</c:v>
                </c:pt>
                <c:pt idx="10">
                  <c:v>0.65</c:v>
                </c:pt>
                <c:pt idx="11">
                  <c:v>0.65</c:v>
                </c:pt>
                <c:pt idx="12">
                  <c:v>0.65</c:v>
                </c:pt>
                <c:pt idx="13">
                  <c:v>0.65</c:v>
                </c:pt>
                <c:pt idx="14">
                  <c:v>0.65</c:v>
                </c:pt>
                <c:pt idx="15">
                  <c:v>0.65</c:v>
                </c:pt>
                <c:pt idx="16">
                  <c:v>0.65</c:v>
                </c:pt>
                <c:pt idx="17">
                  <c:v>0.65</c:v>
                </c:pt>
                <c:pt idx="18">
                  <c:v>0.65</c:v>
                </c:pt>
                <c:pt idx="19">
                  <c:v>0.65</c:v>
                </c:pt>
                <c:pt idx="20">
                  <c:v>0.65</c:v>
                </c:pt>
                <c:pt idx="21">
                  <c:v>0.65</c:v>
                </c:pt>
                <c:pt idx="22">
                  <c:v>0.25</c:v>
                </c:pt>
                <c:pt idx="23">
                  <c:v>0.05</c:v>
                </c:pt>
              </c:numCache>
            </c:numRef>
          </c:val>
          <c:smooth val="0"/>
          <c:extLst>
            <c:ext xmlns:c16="http://schemas.microsoft.com/office/drawing/2014/chart" uri="{C3380CC4-5D6E-409C-BE32-E72D297353CC}">
              <c16:uniqueId val="{00000000-5ED3-4941-8080-3783F3668DDA}"/>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Schedules!$F$8:$AC$8</c:f>
              <c:numCache>
                <c:formatCode>0.00</c:formatCode>
                <c:ptCount val="24"/>
                <c:pt idx="0">
                  <c:v>0.05</c:v>
                </c:pt>
                <c:pt idx="1">
                  <c:v>0.05</c:v>
                </c:pt>
                <c:pt idx="2">
                  <c:v>0.05</c:v>
                </c:pt>
                <c:pt idx="3">
                  <c:v>0.05</c:v>
                </c:pt>
                <c:pt idx="4">
                  <c:v>0.05</c:v>
                </c:pt>
                <c:pt idx="5">
                  <c:v>0.05</c:v>
                </c:pt>
                <c:pt idx="6">
                  <c:v>0.05</c:v>
                </c:pt>
                <c:pt idx="7">
                  <c:v>0.3</c:v>
                </c:pt>
                <c:pt idx="8">
                  <c:v>0.3</c:v>
                </c:pt>
                <c:pt idx="9">
                  <c:v>0.4</c:v>
                </c:pt>
                <c:pt idx="10">
                  <c:v>0.4</c:v>
                </c:pt>
                <c:pt idx="11">
                  <c:v>0.4</c:v>
                </c:pt>
                <c:pt idx="12">
                  <c:v>0.4</c:v>
                </c:pt>
                <c:pt idx="13">
                  <c:v>0.4</c:v>
                </c:pt>
                <c:pt idx="14">
                  <c:v>0.4</c:v>
                </c:pt>
                <c:pt idx="15">
                  <c:v>0.4</c:v>
                </c:pt>
                <c:pt idx="16">
                  <c:v>0.4</c:v>
                </c:pt>
                <c:pt idx="17">
                  <c:v>0.4</c:v>
                </c:pt>
                <c:pt idx="18">
                  <c:v>0.4</c:v>
                </c:pt>
                <c:pt idx="19">
                  <c:v>0.4</c:v>
                </c:pt>
                <c:pt idx="20">
                  <c:v>0.4</c:v>
                </c:pt>
                <c:pt idx="21">
                  <c:v>0.4</c:v>
                </c:pt>
                <c:pt idx="22">
                  <c:v>0.4</c:v>
                </c:pt>
                <c:pt idx="23">
                  <c:v>0.05</c:v>
                </c:pt>
              </c:numCache>
            </c:numRef>
          </c:val>
          <c:smooth val="0"/>
          <c:extLst>
            <c:ext xmlns:c16="http://schemas.microsoft.com/office/drawing/2014/chart" uri="{C3380CC4-5D6E-409C-BE32-E72D297353CC}">
              <c16:uniqueId val="{00000001-5ED3-4941-8080-3783F3668DDA}"/>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Schedules!$F$9:$AC$9</c:f>
              <c:numCache>
                <c:formatCode>0.00</c:formatCode>
                <c:ptCount val="24"/>
                <c:pt idx="0">
                  <c:v>0.05</c:v>
                </c:pt>
                <c:pt idx="1">
                  <c:v>0.05</c:v>
                </c:pt>
                <c:pt idx="2">
                  <c:v>0.05</c:v>
                </c:pt>
                <c:pt idx="3">
                  <c:v>0.05</c:v>
                </c:pt>
                <c:pt idx="4">
                  <c:v>0.05</c:v>
                </c:pt>
                <c:pt idx="5">
                  <c:v>0.05</c:v>
                </c:pt>
                <c:pt idx="6">
                  <c:v>0.05</c:v>
                </c:pt>
                <c:pt idx="7">
                  <c:v>0.3</c:v>
                </c:pt>
                <c:pt idx="8">
                  <c:v>0.3</c:v>
                </c:pt>
                <c:pt idx="9">
                  <c:v>0.3</c:v>
                </c:pt>
                <c:pt idx="10">
                  <c:v>0.3</c:v>
                </c:pt>
                <c:pt idx="11">
                  <c:v>0.3</c:v>
                </c:pt>
                <c:pt idx="12">
                  <c:v>0.55000000000000004</c:v>
                </c:pt>
                <c:pt idx="13">
                  <c:v>0.55000000000000004</c:v>
                </c:pt>
                <c:pt idx="14">
                  <c:v>0.55000000000000004</c:v>
                </c:pt>
                <c:pt idx="15">
                  <c:v>0.55000000000000004</c:v>
                </c:pt>
                <c:pt idx="16">
                  <c:v>0.55000000000000004</c:v>
                </c:pt>
                <c:pt idx="17">
                  <c:v>0.55000000000000004</c:v>
                </c:pt>
                <c:pt idx="18">
                  <c:v>0.55000000000000004</c:v>
                </c:pt>
                <c:pt idx="19">
                  <c:v>0.55000000000000004</c:v>
                </c:pt>
                <c:pt idx="20">
                  <c:v>0.55000000000000004</c:v>
                </c:pt>
                <c:pt idx="21">
                  <c:v>0.55000000000000004</c:v>
                </c:pt>
                <c:pt idx="22">
                  <c:v>0.05</c:v>
                </c:pt>
                <c:pt idx="23">
                  <c:v>0.05</c:v>
                </c:pt>
              </c:numCache>
            </c:numRef>
          </c:val>
          <c:smooth val="0"/>
          <c:extLst>
            <c:ext xmlns:c16="http://schemas.microsoft.com/office/drawing/2014/chart" uri="{C3380CC4-5D6E-409C-BE32-E72D297353CC}">
              <c16:uniqueId val="{00000002-5ED3-4941-8080-3783F3668DD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Equipment</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Schedules!$F$10:$AC$10</c:f>
              <c:numCache>
                <c:formatCode>0.00</c:formatCode>
                <c:ptCount val="24"/>
                <c:pt idx="0">
                  <c:v>0.05</c:v>
                </c:pt>
                <c:pt idx="1">
                  <c:v>0.05</c:v>
                </c:pt>
                <c:pt idx="2">
                  <c:v>0.05</c:v>
                </c:pt>
                <c:pt idx="3">
                  <c:v>0.05</c:v>
                </c:pt>
                <c:pt idx="4">
                  <c:v>0.05</c:v>
                </c:pt>
                <c:pt idx="5">
                  <c:v>0.05</c:v>
                </c:pt>
                <c:pt idx="6">
                  <c:v>0.4</c:v>
                </c:pt>
                <c:pt idx="7">
                  <c:v>0.4</c:v>
                </c:pt>
                <c:pt idx="8">
                  <c:v>0.4</c:v>
                </c:pt>
                <c:pt idx="9">
                  <c:v>0.75</c:v>
                </c:pt>
                <c:pt idx="10">
                  <c:v>0.75</c:v>
                </c:pt>
                <c:pt idx="11">
                  <c:v>0.75</c:v>
                </c:pt>
                <c:pt idx="12">
                  <c:v>0.75</c:v>
                </c:pt>
                <c:pt idx="13">
                  <c:v>0.75</c:v>
                </c:pt>
                <c:pt idx="14">
                  <c:v>0.75</c:v>
                </c:pt>
                <c:pt idx="15">
                  <c:v>0.75</c:v>
                </c:pt>
                <c:pt idx="16">
                  <c:v>0.75</c:v>
                </c:pt>
                <c:pt idx="17">
                  <c:v>0.75</c:v>
                </c:pt>
                <c:pt idx="18">
                  <c:v>0.75</c:v>
                </c:pt>
                <c:pt idx="19">
                  <c:v>0.75</c:v>
                </c:pt>
                <c:pt idx="20">
                  <c:v>0.75</c:v>
                </c:pt>
                <c:pt idx="21">
                  <c:v>0.75</c:v>
                </c:pt>
                <c:pt idx="22">
                  <c:v>0.25</c:v>
                </c:pt>
                <c:pt idx="23">
                  <c:v>0.05</c:v>
                </c:pt>
              </c:numCache>
            </c:numRef>
          </c:val>
          <c:smooth val="0"/>
          <c:extLst>
            <c:ext xmlns:c16="http://schemas.microsoft.com/office/drawing/2014/chart" uri="{C3380CC4-5D6E-409C-BE32-E72D297353CC}">
              <c16:uniqueId val="{00000000-541D-40B0-962A-A5C79439ED86}"/>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Schedules!$F$11:$AC$11</c:f>
              <c:numCache>
                <c:formatCode>0.00</c:formatCode>
                <c:ptCount val="24"/>
                <c:pt idx="0">
                  <c:v>0.05</c:v>
                </c:pt>
                <c:pt idx="1">
                  <c:v>0.05</c:v>
                </c:pt>
                <c:pt idx="2">
                  <c:v>0.05</c:v>
                </c:pt>
                <c:pt idx="3">
                  <c:v>0.05</c:v>
                </c:pt>
                <c:pt idx="4">
                  <c:v>0.05</c:v>
                </c:pt>
                <c:pt idx="5">
                  <c:v>0.05</c:v>
                </c:pt>
                <c:pt idx="6">
                  <c:v>0.05</c:v>
                </c:pt>
                <c:pt idx="7">
                  <c:v>0.3</c:v>
                </c:pt>
                <c:pt idx="8">
                  <c:v>0.3</c:v>
                </c:pt>
                <c:pt idx="9">
                  <c:v>0.5</c:v>
                </c:pt>
                <c:pt idx="10">
                  <c:v>0.5</c:v>
                </c:pt>
                <c:pt idx="11">
                  <c:v>0.5</c:v>
                </c:pt>
                <c:pt idx="12">
                  <c:v>0.5</c:v>
                </c:pt>
                <c:pt idx="13">
                  <c:v>0.5</c:v>
                </c:pt>
                <c:pt idx="14">
                  <c:v>0.5</c:v>
                </c:pt>
                <c:pt idx="15">
                  <c:v>0.5</c:v>
                </c:pt>
                <c:pt idx="16">
                  <c:v>0.5</c:v>
                </c:pt>
                <c:pt idx="17">
                  <c:v>0.5</c:v>
                </c:pt>
                <c:pt idx="18">
                  <c:v>0.5</c:v>
                </c:pt>
                <c:pt idx="19">
                  <c:v>0.5</c:v>
                </c:pt>
                <c:pt idx="20">
                  <c:v>0.5</c:v>
                </c:pt>
                <c:pt idx="21">
                  <c:v>0.5</c:v>
                </c:pt>
                <c:pt idx="22">
                  <c:v>0.5</c:v>
                </c:pt>
                <c:pt idx="23">
                  <c:v>0.05</c:v>
                </c:pt>
              </c:numCache>
            </c:numRef>
          </c:val>
          <c:smooth val="0"/>
          <c:extLst>
            <c:ext xmlns:c16="http://schemas.microsoft.com/office/drawing/2014/chart" uri="{C3380CC4-5D6E-409C-BE32-E72D297353CC}">
              <c16:uniqueId val="{00000001-541D-40B0-962A-A5C79439ED86}"/>
            </c:ext>
          </c:extLst>
        </c:ser>
        <c:ser>
          <c:idx val="2"/>
          <c:order val="2"/>
          <c:tx>
            <c:strRef>
              <c:f>Schedules!$E$12</c:f>
              <c:strCache>
                <c:ptCount val="1"/>
                <c:pt idx="0">
                  <c:v>Sunday</c:v>
                </c:pt>
              </c:strCache>
            </c:strRef>
          </c:tx>
          <c:spPr>
            <a:ln w="28575" cap="rnd">
              <a:solidFill>
                <a:schemeClr val="accent3"/>
              </a:solidFill>
              <a:prstDash val="dash"/>
              <a:round/>
            </a:ln>
            <a:effectLst/>
          </c:spPr>
          <c:marker>
            <c:symbol val="none"/>
          </c:marker>
          <c:val>
            <c:numRef>
              <c:f>Schedules!$F$12:$AC$12</c:f>
              <c:numCache>
                <c:formatCode>0.00</c:formatCode>
                <c:ptCount val="24"/>
                <c:pt idx="0">
                  <c:v>0.05</c:v>
                </c:pt>
                <c:pt idx="1">
                  <c:v>0.05</c:v>
                </c:pt>
                <c:pt idx="2">
                  <c:v>0.05</c:v>
                </c:pt>
                <c:pt idx="3">
                  <c:v>0.05</c:v>
                </c:pt>
                <c:pt idx="4">
                  <c:v>0.05</c:v>
                </c:pt>
                <c:pt idx="5">
                  <c:v>0.05</c:v>
                </c:pt>
                <c:pt idx="6">
                  <c:v>0.05</c:v>
                </c:pt>
                <c:pt idx="7">
                  <c:v>0.3</c:v>
                </c:pt>
                <c:pt idx="8">
                  <c:v>0.3</c:v>
                </c:pt>
                <c:pt idx="9">
                  <c:v>0.3</c:v>
                </c:pt>
                <c:pt idx="10">
                  <c:v>0.3</c:v>
                </c:pt>
                <c:pt idx="11">
                  <c:v>0.3</c:v>
                </c:pt>
                <c:pt idx="12">
                  <c:v>0.65</c:v>
                </c:pt>
                <c:pt idx="13">
                  <c:v>0.65</c:v>
                </c:pt>
                <c:pt idx="14">
                  <c:v>0.65</c:v>
                </c:pt>
                <c:pt idx="15">
                  <c:v>0.65</c:v>
                </c:pt>
                <c:pt idx="16">
                  <c:v>0.65</c:v>
                </c:pt>
                <c:pt idx="17">
                  <c:v>0.65</c:v>
                </c:pt>
                <c:pt idx="18">
                  <c:v>0.65</c:v>
                </c:pt>
                <c:pt idx="19">
                  <c:v>0.65</c:v>
                </c:pt>
                <c:pt idx="20">
                  <c:v>0.65</c:v>
                </c:pt>
                <c:pt idx="21">
                  <c:v>0.65</c:v>
                </c:pt>
                <c:pt idx="22">
                  <c:v>0.05</c:v>
                </c:pt>
                <c:pt idx="23">
                  <c:v>0.05</c:v>
                </c:pt>
              </c:numCache>
            </c:numRef>
          </c:val>
          <c:smooth val="0"/>
          <c:extLst>
            <c:ext xmlns:c16="http://schemas.microsoft.com/office/drawing/2014/chart" uri="{C3380CC4-5D6E-409C-BE32-E72D297353CC}">
              <c16:uniqueId val="{00000002-541D-40B0-962A-A5C79439ED8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Elevator</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Schedules!$F$60:$AC$60</c:f>
              <c:numCache>
                <c:formatCode>0.00</c:formatCode>
                <c:ptCount val="24"/>
                <c:pt idx="0">
                  <c:v>0</c:v>
                </c:pt>
                <c:pt idx="1">
                  <c:v>0</c:v>
                </c:pt>
                <c:pt idx="2">
                  <c:v>0</c:v>
                </c:pt>
                <c:pt idx="3">
                  <c:v>0</c:v>
                </c:pt>
                <c:pt idx="4">
                  <c:v>0</c:v>
                </c:pt>
                <c:pt idx="5">
                  <c:v>0</c:v>
                </c:pt>
                <c:pt idx="6">
                  <c:v>0</c:v>
                </c:pt>
                <c:pt idx="7">
                  <c:v>0</c:v>
                </c:pt>
                <c:pt idx="8">
                  <c:v>0.12</c:v>
                </c:pt>
                <c:pt idx="9">
                  <c:v>0.22</c:v>
                </c:pt>
                <c:pt idx="10">
                  <c:v>0.64</c:v>
                </c:pt>
                <c:pt idx="11">
                  <c:v>0.74</c:v>
                </c:pt>
                <c:pt idx="12">
                  <c:v>0.68</c:v>
                </c:pt>
                <c:pt idx="13">
                  <c:v>0.68</c:v>
                </c:pt>
                <c:pt idx="14">
                  <c:v>0.71</c:v>
                </c:pt>
                <c:pt idx="15">
                  <c:v>0.72</c:v>
                </c:pt>
                <c:pt idx="16">
                  <c:v>0.72</c:v>
                </c:pt>
                <c:pt idx="17">
                  <c:v>0.73</c:v>
                </c:pt>
                <c:pt idx="18">
                  <c:v>0.68</c:v>
                </c:pt>
                <c:pt idx="19">
                  <c:v>0.68</c:v>
                </c:pt>
                <c:pt idx="20">
                  <c:v>0.57999999999999996</c:v>
                </c:pt>
                <c:pt idx="21">
                  <c:v>0.54</c:v>
                </c:pt>
                <c:pt idx="22">
                  <c:v>0</c:v>
                </c:pt>
                <c:pt idx="23">
                  <c:v>0</c:v>
                </c:pt>
              </c:numCache>
            </c:numRef>
          </c:val>
          <c:smooth val="0"/>
          <c:extLst>
            <c:ext xmlns:c16="http://schemas.microsoft.com/office/drawing/2014/chart" uri="{C3380CC4-5D6E-409C-BE32-E72D297353CC}">
              <c16:uniqueId val="{00000000-51AB-482C-B7A9-C5F811A81F2E}"/>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Schedules!$F$61:$AC$61</c:f>
              <c:numCache>
                <c:formatCode>0.00</c:formatCode>
                <c:ptCount val="24"/>
                <c:pt idx="0">
                  <c:v>0</c:v>
                </c:pt>
                <c:pt idx="1">
                  <c:v>0</c:v>
                </c:pt>
                <c:pt idx="2">
                  <c:v>0</c:v>
                </c:pt>
                <c:pt idx="3">
                  <c:v>0</c:v>
                </c:pt>
                <c:pt idx="4">
                  <c:v>0</c:v>
                </c:pt>
                <c:pt idx="5">
                  <c:v>0</c:v>
                </c:pt>
                <c:pt idx="6">
                  <c:v>0</c:v>
                </c:pt>
                <c:pt idx="7">
                  <c:v>0</c:v>
                </c:pt>
                <c:pt idx="8">
                  <c:v>0.09</c:v>
                </c:pt>
                <c:pt idx="9">
                  <c:v>0.21</c:v>
                </c:pt>
                <c:pt idx="10">
                  <c:v>0.56000000000000005</c:v>
                </c:pt>
                <c:pt idx="11">
                  <c:v>0.66</c:v>
                </c:pt>
                <c:pt idx="12">
                  <c:v>0.68</c:v>
                </c:pt>
                <c:pt idx="13">
                  <c:v>0.68</c:v>
                </c:pt>
                <c:pt idx="14">
                  <c:v>0.69</c:v>
                </c:pt>
                <c:pt idx="15">
                  <c:v>0.7</c:v>
                </c:pt>
                <c:pt idx="16">
                  <c:v>0.69</c:v>
                </c:pt>
                <c:pt idx="17">
                  <c:v>0.66</c:v>
                </c:pt>
                <c:pt idx="18">
                  <c:v>0.57999999999999996</c:v>
                </c:pt>
                <c:pt idx="19">
                  <c:v>0.47</c:v>
                </c:pt>
                <c:pt idx="20">
                  <c:v>0.43</c:v>
                </c:pt>
                <c:pt idx="21">
                  <c:v>0.43</c:v>
                </c:pt>
                <c:pt idx="22">
                  <c:v>0.08</c:v>
                </c:pt>
                <c:pt idx="23">
                  <c:v>0</c:v>
                </c:pt>
              </c:numCache>
            </c:numRef>
          </c:val>
          <c:smooth val="0"/>
          <c:extLst>
            <c:ext xmlns:c16="http://schemas.microsoft.com/office/drawing/2014/chart" uri="{C3380CC4-5D6E-409C-BE32-E72D297353CC}">
              <c16:uniqueId val="{00000001-51AB-482C-B7A9-C5F811A81F2E}"/>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Schedules!$F$62:$AC$62</c:f>
              <c:numCache>
                <c:formatCode>0.00</c:formatCode>
                <c:ptCount val="24"/>
                <c:pt idx="0">
                  <c:v>0</c:v>
                </c:pt>
                <c:pt idx="1">
                  <c:v>0</c:v>
                </c:pt>
                <c:pt idx="2">
                  <c:v>0</c:v>
                </c:pt>
                <c:pt idx="3">
                  <c:v>0</c:v>
                </c:pt>
                <c:pt idx="4">
                  <c:v>0</c:v>
                </c:pt>
                <c:pt idx="5">
                  <c:v>0</c:v>
                </c:pt>
                <c:pt idx="6">
                  <c:v>0</c:v>
                </c:pt>
                <c:pt idx="7">
                  <c:v>0</c:v>
                </c:pt>
                <c:pt idx="8">
                  <c:v>0</c:v>
                </c:pt>
                <c:pt idx="9">
                  <c:v>0</c:v>
                </c:pt>
                <c:pt idx="10">
                  <c:v>0.11</c:v>
                </c:pt>
                <c:pt idx="11">
                  <c:v>0.13</c:v>
                </c:pt>
                <c:pt idx="12">
                  <c:v>0.35</c:v>
                </c:pt>
                <c:pt idx="13">
                  <c:v>0.37</c:v>
                </c:pt>
                <c:pt idx="14">
                  <c:v>0.37</c:v>
                </c:pt>
                <c:pt idx="15">
                  <c:v>0.39</c:v>
                </c:pt>
                <c:pt idx="16">
                  <c:v>0.41</c:v>
                </c:pt>
                <c:pt idx="17">
                  <c:v>0.38</c:v>
                </c:pt>
                <c:pt idx="18">
                  <c:v>0.34</c:v>
                </c:pt>
                <c:pt idx="19">
                  <c:v>0.03</c:v>
                </c:pt>
                <c:pt idx="20">
                  <c:v>0</c:v>
                </c:pt>
                <c:pt idx="21">
                  <c:v>0</c:v>
                </c:pt>
                <c:pt idx="22">
                  <c:v>0</c:v>
                </c:pt>
                <c:pt idx="23">
                  <c:v>0</c:v>
                </c:pt>
              </c:numCache>
            </c:numRef>
          </c:val>
          <c:smooth val="0"/>
          <c:extLst>
            <c:ext xmlns:c16="http://schemas.microsoft.com/office/drawing/2014/chart" uri="{C3380CC4-5D6E-409C-BE32-E72D297353CC}">
              <c16:uniqueId val="{00000002-51AB-482C-B7A9-C5F811A81F2E}"/>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Gas Equipment</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Schedules!$F$16:$AC$16</c:f>
              <c:numCache>
                <c:formatCode>0.00</c:formatCode>
                <c:ptCount val="24"/>
                <c:pt idx="0">
                  <c:v>0</c:v>
                </c:pt>
                <c:pt idx="1">
                  <c:v>0</c:v>
                </c:pt>
                <c:pt idx="2">
                  <c:v>0</c:v>
                </c:pt>
                <c:pt idx="3">
                  <c:v>0</c:v>
                </c:pt>
                <c:pt idx="4">
                  <c:v>0</c:v>
                </c:pt>
                <c:pt idx="5">
                  <c:v>0</c:v>
                </c:pt>
                <c:pt idx="6">
                  <c:v>0</c:v>
                </c:pt>
                <c:pt idx="7">
                  <c:v>0</c:v>
                </c:pt>
                <c:pt idx="8">
                  <c:v>0.3</c:v>
                </c:pt>
                <c:pt idx="9">
                  <c:v>0.3</c:v>
                </c:pt>
                <c:pt idx="10">
                  <c:v>0.2</c:v>
                </c:pt>
                <c:pt idx="11">
                  <c:v>0.9</c:v>
                </c:pt>
                <c:pt idx="12">
                  <c:v>0.9</c:v>
                </c:pt>
                <c:pt idx="13">
                  <c:v>0.9</c:v>
                </c:pt>
                <c:pt idx="14">
                  <c:v>0.2</c:v>
                </c:pt>
                <c:pt idx="15">
                  <c:v>0.2</c:v>
                </c:pt>
                <c:pt idx="16">
                  <c:v>0.2</c:v>
                </c:pt>
                <c:pt idx="17">
                  <c:v>0.5</c:v>
                </c:pt>
                <c:pt idx="18">
                  <c:v>0.5</c:v>
                </c:pt>
                <c:pt idx="19">
                  <c:v>0.1</c:v>
                </c:pt>
                <c:pt idx="20">
                  <c:v>0.1</c:v>
                </c:pt>
                <c:pt idx="21">
                  <c:v>0.1</c:v>
                </c:pt>
                <c:pt idx="22">
                  <c:v>0</c:v>
                </c:pt>
                <c:pt idx="23">
                  <c:v>0</c:v>
                </c:pt>
              </c:numCache>
            </c:numRef>
          </c:val>
          <c:smooth val="0"/>
          <c:extLst>
            <c:ext xmlns:c16="http://schemas.microsoft.com/office/drawing/2014/chart" uri="{C3380CC4-5D6E-409C-BE32-E72D297353CC}">
              <c16:uniqueId val="{00000000-2D5E-43D9-9D39-369DFAAB9026}"/>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Schedules!$F$17:$AC$17</c:f>
              <c:numCache>
                <c:formatCode>0.00</c:formatCode>
                <c:ptCount val="24"/>
                <c:pt idx="0">
                  <c:v>0</c:v>
                </c:pt>
                <c:pt idx="1">
                  <c:v>0</c:v>
                </c:pt>
                <c:pt idx="2">
                  <c:v>0</c:v>
                </c:pt>
                <c:pt idx="3">
                  <c:v>0</c:v>
                </c:pt>
                <c:pt idx="4">
                  <c:v>0</c:v>
                </c:pt>
                <c:pt idx="5">
                  <c:v>0</c:v>
                </c:pt>
                <c:pt idx="6">
                  <c:v>0</c:v>
                </c:pt>
                <c:pt idx="7">
                  <c:v>0</c:v>
                </c:pt>
                <c:pt idx="8">
                  <c:v>0.3</c:v>
                </c:pt>
                <c:pt idx="9">
                  <c:v>0.3</c:v>
                </c:pt>
                <c:pt idx="10">
                  <c:v>0.2</c:v>
                </c:pt>
                <c:pt idx="11">
                  <c:v>0.7</c:v>
                </c:pt>
                <c:pt idx="12">
                  <c:v>0.7</c:v>
                </c:pt>
                <c:pt idx="13">
                  <c:v>0.7</c:v>
                </c:pt>
                <c:pt idx="14">
                  <c:v>0.2</c:v>
                </c:pt>
                <c:pt idx="15">
                  <c:v>0.2</c:v>
                </c:pt>
                <c:pt idx="16">
                  <c:v>0.2</c:v>
                </c:pt>
                <c:pt idx="17">
                  <c:v>0.4</c:v>
                </c:pt>
                <c:pt idx="18">
                  <c:v>0.4</c:v>
                </c:pt>
                <c:pt idx="19">
                  <c:v>0.1</c:v>
                </c:pt>
                <c:pt idx="20">
                  <c:v>0.1</c:v>
                </c:pt>
                <c:pt idx="21">
                  <c:v>0.1</c:v>
                </c:pt>
                <c:pt idx="22">
                  <c:v>0</c:v>
                </c:pt>
                <c:pt idx="23">
                  <c:v>0</c:v>
                </c:pt>
              </c:numCache>
            </c:numRef>
          </c:val>
          <c:smooth val="0"/>
          <c:extLst>
            <c:ext xmlns:c16="http://schemas.microsoft.com/office/drawing/2014/chart" uri="{C3380CC4-5D6E-409C-BE32-E72D297353CC}">
              <c16:uniqueId val="{00000001-2D5E-43D9-9D39-369DFAAB9026}"/>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Schedules!$F$18:$AC$18</c:f>
              <c:numCache>
                <c:formatCode>0.00</c:formatCode>
                <c:ptCount val="24"/>
                <c:pt idx="0">
                  <c:v>0</c:v>
                </c:pt>
                <c:pt idx="1">
                  <c:v>0</c:v>
                </c:pt>
                <c:pt idx="2">
                  <c:v>0</c:v>
                </c:pt>
                <c:pt idx="3">
                  <c:v>0</c:v>
                </c:pt>
                <c:pt idx="4">
                  <c:v>0</c:v>
                </c:pt>
                <c:pt idx="5">
                  <c:v>0</c:v>
                </c:pt>
                <c:pt idx="6">
                  <c:v>0</c:v>
                </c:pt>
                <c:pt idx="7">
                  <c:v>0</c:v>
                </c:pt>
                <c:pt idx="8">
                  <c:v>0.2</c:v>
                </c:pt>
                <c:pt idx="9">
                  <c:v>0.2</c:v>
                </c:pt>
                <c:pt idx="10">
                  <c:v>0.1</c:v>
                </c:pt>
                <c:pt idx="11">
                  <c:v>0.1</c:v>
                </c:pt>
                <c:pt idx="12">
                  <c:v>0.3</c:v>
                </c:pt>
                <c:pt idx="13">
                  <c:v>0.8</c:v>
                </c:pt>
                <c:pt idx="14">
                  <c:v>0.2</c:v>
                </c:pt>
                <c:pt idx="15">
                  <c:v>0.2</c:v>
                </c:pt>
                <c:pt idx="16">
                  <c:v>0.2</c:v>
                </c:pt>
                <c:pt idx="17">
                  <c:v>0.5</c:v>
                </c:pt>
                <c:pt idx="18">
                  <c:v>0.5</c:v>
                </c:pt>
                <c:pt idx="19">
                  <c:v>0.1</c:v>
                </c:pt>
                <c:pt idx="20">
                  <c:v>0.1</c:v>
                </c:pt>
                <c:pt idx="21">
                  <c:v>0.1</c:v>
                </c:pt>
                <c:pt idx="22">
                  <c:v>0</c:v>
                </c:pt>
                <c:pt idx="23">
                  <c:v>0</c:v>
                </c:pt>
              </c:numCache>
            </c:numRef>
          </c:val>
          <c:smooth val="0"/>
          <c:extLst>
            <c:ext xmlns:c16="http://schemas.microsoft.com/office/drawing/2014/chart" uri="{C3380CC4-5D6E-409C-BE32-E72D297353CC}">
              <c16:uniqueId val="{00000002-2D5E-43D9-9D39-369DFAAB902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Refrigeration</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Schedules!$F$19:$AC$19</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0-CC28-48CD-BF25-42D80026CFAB}"/>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Schedules!$F$20:$AC$20</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1-CC28-48CD-BF25-42D80026CFAB}"/>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Schedules!$F$21:$AC$21</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2-CC28-48CD-BF25-42D80026CFAB}"/>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SHW</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Schedules!$F$13:$AC$13</c:f>
              <c:numCache>
                <c:formatCode>0.00</c:formatCode>
                <c:ptCount val="24"/>
                <c:pt idx="0">
                  <c:v>0</c:v>
                </c:pt>
                <c:pt idx="1">
                  <c:v>0</c:v>
                </c:pt>
                <c:pt idx="2">
                  <c:v>0</c:v>
                </c:pt>
                <c:pt idx="3">
                  <c:v>0</c:v>
                </c:pt>
                <c:pt idx="4">
                  <c:v>0</c:v>
                </c:pt>
                <c:pt idx="5">
                  <c:v>0</c:v>
                </c:pt>
                <c:pt idx="6">
                  <c:v>0</c:v>
                </c:pt>
                <c:pt idx="7">
                  <c:v>0</c:v>
                </c:pt>
                <c:pt idx="8">
                  <c:v>0</c:v>
                </c:pt>
                <c:pt idx="9">
                  <c:v>0.05</c:v>
                </c:pt>
                <c:pt idx="10">
                  <c:v>0.05</c:v>
                </c:pt>
                <c:pt idx="11">
                  <c:v>0.35</c:v>
                </c:pt>
                <c:pt idx="12">
                  <c:v>0.05</c:v>
                </c:pt>
                <c:pt idx="13">
                  <c:v>0.05</c:v>
                </c:pt>
                <c:pt idx="14">
                  <c:v>0.05</c:v>
                </c:pt>
                <c:pt idx="15">
                  <c:v>0.05</c:v>
                </c:pt>
                <c:pt idx="16">
                  <c:v>0.05</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3135-48D8-A067-570C878F17DC}"/>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Schedules!$F$14:$AC$14</c:f>
              <c:numCache>
                <c:formatCode>0.00</c:formatCode>
                <c:ptCount val="24"/>
                <c:pt idx="0">
                  <c:v>0</c:v>
                </c:pt>
                <c:pt idx="1">
                  <c:v>0</c:v>
                </c:pt>
                <c:pt idx="2">
                  <c:v>0</c:v>
                </c:pt>
                <c:pt idx="3">
                  <c:v>0</c:v>
                </c:pt>
                <c:pt idx="4">
                  <c:v>0</c:v>
                </c:pt>
                <c:pt idx="5">
                  <c:v>0</c:v>
                </c:pt>
                <c:pt idx="6">
                  <c:v>0</c:v>
                </c:pt>
                <c:pt idx="7">
                  <c:v>0</c:v>
                </c:pt>
                <c:pt idx="8">
                  <c:v>0</c:v>
                </c:pt>
                <c:pt idx="9">
                  <c:v>0.05</c:v>
                </c:pt>
                <c:pt idx="10">
                  <c:v>0.05</c:v>
                </c:pt>
                <c:pt idx="11">
                  <c:v>0.2</c:v>
                </c:pt>
                <c:pt idx="12">
                  <c:v>0</c:v>
                </c:pt>
                <c:pt idx="13">
                  <c:v>0</c:v>
                </c:pt>
                <c:pt idx="14">
                  <c:v>0</c:v>
                </c:pt>
                <c:pt idx="15">
                  <c:v>0</c:v>
                </c:pt>
                <c:pt idx="16">
                  <c:v>0</c:v>
                </c:pt>
                <c:pt idx="17">
                  <c:v>0</c:v>
                </c:pt>
                <c:pt idx="18">
                  <c:v>0</c:v>
                </c:pt>
                <c:pt idx="19">
                  <c:v>0.65</c:v>
                </c:pt>
                <c:pt idx="20">
                  <c:v>0.3</c:v>
                </c:pt>
                <c:pt idx="21">
                  <c:v>0</c:v>
                </c:pt>
                <c:pt idx="22">
                  <c:v>0</c:v>
                </c:pt>
                <c:pt idx="23">
                  <c:v>0</c:v>
                </c:pt>
              </c:numCache>
            </c:numRef>
          </c:val>
          <c:smooth val="0"/>
          <c:extLst>
            <c:ext xmlns:c16="http://schemas.microsoft.com/office/drawing/2014/chart" uri="{C3380CC4-5D6E-409C-BE32-E72D297353CC}">
              <c16:uniqueId val="{00000001-3135-48D8-A067-570C878F17DC}"/>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Schedules!$F$15:$AC$15</c:f>
              <c:numCache>
                <c:formatCode>0.00</c:formatCode>
                <c:ptCount val="24"/>
                <c:pt idx="0">
                  <c:v>0</c:v>
                </c:pt>
                <c:pt idx="1">
                  <c:v>0</c:v>
                </c:pt>
                <c:pt idx="2">
                  <c:v>0</c:v>
                </c:pt>
                <c:pt idx="3">
                  <c:v>0</c:v>
                </c:pt>
                <c:pt idx="4">
                  <c:v>0</c:v>
                </c:pt>
                <c:pt idx="5">
                  <c:v>0</c:v>
                </c:pt>
                <c:pt idx="6">
                  <c:v>0</c:v>
                </c:pt>
                <c:pt idx="7">
                  <c:v>0</c:v>
                </c:pt>
                <c:pt idx="8">
                  <c:v>0</c:v>
                </c:pt>
                <c:pt idx="9">
                  <c:v>0.05</c:v>
                </c:pt>
                <c:pt idx="10">
                  <c:v>0.05</c:v>
                </c:pt>
                <c:pt idx="11">
                  <c:v>0.1</c:v>
                </c:pt>
                <c:pt idx="12">
                  <c:v>0</c:v>
                </c:pt>
                <c:pt idx="13">
                  <c:v>0</c:v>
                </c:pt>
                <c:pt idx="14">
                  <c:v>0</c:v>
                </c:pt>
                <c:pt idx="15">
                  <c:v>0</c:v>
                </c:pt>
                <c:pt idx="16">
                  <c:v>0</c:v>
                </c:pt>
                <c:pt idx="17">
                  <c:v>0</c:v>
                </c:pt>
                <c:pt idx="18">
                  <c:v>0</c:v>
                </c:pt>
                <c:pt idx="19">
                  <c:v>0.65</c:v>
                </c:pt>
                <c:pt idx="20">
                  <c:v>0.3</c:v>
                </c:pt>
                <c:pt idx="21">
                  <c:v>0</c:v>
                </c:pt>
                <c:pt idx="22">
                  <c:v>0</c:v>
                </c:pt>
                <c:pt idx="23">
                  <c:v>0</c:v>
                </c:pt>
              </c:numCache>
            </c:numRef>
          </c:val>
          <c:smooth val="0"/>
          <c:extLst>
            <c:ext xmlns:c16="http://schemas.microsoft.com/office/drawing/2014/chart" uri="{C3380CC4-5D6E-409C-BE32-E72D297353CC}">
              <c16:uniqueId val="{00000002-3135-48D8-A067-570C878F17D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HVAC Avail.</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Schedules!$E$22</c:f>
              <c:strCache>
                <c:ptCount val="1"/>
                <c:pt idx="0">
                  <c:v>Weekday</c:v>
                </c:pt>
              </c:strCache>
            </c:strRef>
          </c:tx>
          <c:spPr>
            <a:ln w="28575" cap="rnd">
              <a:solidFill>
                <a:schemeClr val="accent1"/>
              </a:solidFill>
              <a:round/>
            </a:ln>
            <a:effectLst/>
          </c:spPr>
          <c:marker>
            <c:symbol val="none"/>
          </c:marker>
          <c:val>
            <c:numRef>
              <c:f>Schedules!$F$22:$AC$22</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0</c:v>
                </c:pt>
              </c:numCache>
            </c:numRef>
          </c:val>
          <c:smooth val="0"/>
          <c:extLst>
            <c:ext xmlns:c16="http://schemas.microsoft.com/office/drawing/2014/chart" uri="{C3380CC4-5D6E-409C-BE32-E72D297353CC}">
              <c16:uniqueId val="{00000000-0552-4026-9387-3EDA0BC6C9BD}"/>
            </c:ext>
          </c:extLst>
        </c:ser>
        <c:ser>
          <c:idx val="1"/>
          <c:order val="1"/>
          <c:tx>
            <c:strRef>
              <c:f>Schedules!$E$23</c:f>
              <c:strCache>
                <c:ptCount val="1"/>
                <c:pt idx="0">
                  <c:v>Saturday</c:v>
                </c:pt>
              </c:strCache>
            </c:strRef>
          </c:tx>
          <c:spPr>
            <a:ln w="28575" cap="rnd">
              <a:solidFill>
                <a:schemeClr val="accent2"/>
              </a:solidFill>
              <a:round/>
            </a:ln>
            <a:effectLst/>
          </c:spPr>
          <c:marker>
            <c:symbol val="none"/>
          </c:marker>
          <c:val>
            <c:numRef>
              <c:f>Schedules!$F$23:$AC$23</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0</c:v>
                </c:pt>
              </c:numCache>
            </c:numRef>
          </c:val>
          <c:smooth val="0"/>
          <c:extLst>
            <c:ext xmlns:c16="http://schemas.microsoft.com/office/drawing/2014/chart" uri="{C3380CC4-5D6E-409C-BE32-E72D297353CC}">
              <c16:uniqueId val="{00000001-0552-4026-9387-3EDA0BC6C9BD}"/>
            </c:ext>
          </c:extLst>
        </c:ser>
        <c:ser>
          <c:idx val="2"/>
          <c:order val="2"/>
          <c:tx>
            <c:strRef>
              <c:f>Schedules!$E$24</c:f>
              <c:strCache>
                <c:ptCount val="1"/>
                <c:pt idx="0">
                  <c:v>Sunday</c:v>
                </c:pt>
              </c:strCache>
            </c:strRef>
          </c:tx>
          <c:spPr>
            <a:ln w="28575" cap="rnd">
              <a:solidFill>
                <a:schemeClr val="accent3"/>
              </a:solidFill>
              <a:round/>
            </a:ln>
            <a:effectLst/>
          </c:spPr>
          <c:marker>
            <c:symbol val="none"/>
          </c:marker>
          <c:val>
            <c:numRef>
              <c:f>Schedules!$F$24:$AC$24</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0</c:v>
                </c:pt>
              </c:numCache>
            </c:numRef>
          </c:val>
          <c:smooth val="0"/>
          <c:extLst>
            <c:ext xmlns:c16="http://schemas.microsoft.com/office/drawing/2014/chart" uri="{C3380CC4-5D6E-409C-BE32-E72D297353CC}">
              <c16:uniqueId val="{00000002-0552-4026-9387-3EDA0BC6C9BD}"/>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Assembly CalBEM Prototype vs. National Average</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Usage'!$K$2</c:f>
              <c:strCache>
                <c:ptCount val="1"/>
                <c:pt idx="0">
                  <c:v>Acceptable Range (25% Lower)</c:v>
                </c:pt>
              </c:strCache>
            </c:strRef>
          </c:tx>
          <c:spPr>
            <a:noFill/>
            <a:ln>
              <a:noFill/>
            </a:ln>
            <a:effectLst/>
          </c:spPr>
          <c:invertIfNegative val="0"/>
          <c:val>
            <c:numRef>
              <c:f>'Energy Usage'!$K$3:$K$18</c:f>
              <c:numCache>
                <c:formatCode>0.0</c:formatCode>
                <c:ptCount val="16"/>
                <c:pt idx="0">
                  <c:v>47.625</c:v>
                </c:pt>
                <c:pt idx="1">
                  <c:v>47.625</c:v>
                </c:pt>
                <c:pt idx="2">
                  <c:v>47.625</c:v>
                </c:pt>
                <c:pt idx="3">
                  <c:v>47.625</c:v>
                </c:pt>
                <c:pt idx="4">
                  <c:v>47.625</c:v>
                </c:pt>
                <c:pt idx="5">
                  <c:v>47.625</c:v>
                </c:pt>
                <c:pt idx="6">
                  <c:v>47.625</c:v>
                </c:pt>
                <c:pt idx="7">
                  <c:v>47.625</c:v>
                </c:pt>
                <c:pt idx="8">
                  <c:v>47.625</c:v>
                </c:pt>
                <c:pt idx="9">
                  <c:v>47.625</c:v>
                </c:pt>
                <c:pt idx="10">
                  <c:v>47.625</c:v>
                </c:pt>
                <c:pt idx="11">
                  <c:v>47.625</c:v>
                </c:pt>
                <c:pt idx="12">
                  <c:v>47.625</c:v>
                </c:pt>
                <c:pt idx="13">
                  <c:v>47.625</c:v>
                </c:pt>
                <c:pt idx="14">
                  <c:v>47.625</c:v>
                </c:pt>
                <c:pt idx="15">
                  <c:v>47.625</c:v>
                </c:pt>
              </c:numCache>
            </c:numRef>
          </c:val>
          <c:extLst>
            <c:ext xmlns:c16="http://schemas.microsoft.com/office/drawing/2014/chart" uri="{C3380CC4-5D6E-409C-BE32-E72D297353CC}">
              <c16:uniqueId val="{00000000-05CD-4B66-983F-2655907C0C07}"/>
            </c:ext>
          </c:extLst>
        </c:ser>
        <c:ser>
          <c:idx val="2"/>
          <c:order val="1"/>
          <c:tx>
            <c:strRef>
              <c:f>'Energy Usage'!$L$2</c:f>
              <c:strCache>
                <c:ptCount val="1"/>
                <c:pt idx="0">
                  <c:v>National Average Acceptable EUI Range</c:v>
                </c:pt>
              </c:strCache>
            </c:strRef>
          </c:tx>
          <c:spPr>
            <a:solidFill>
              <a:srgbClr val="CCCCFF"/>
            </a:solidFill>
            <a:ln>
              <a:solidFill>
                <a:srgbClr val="8238BA"/>
              </a:solidFill>
            </a:ln>
            <a:effectLst/>
          </c:spPr>
          <c:invertIfNegative val="0"/>
          <c:val>
            <c:numRef>
              <c:f>'Energy Usage'!$L$3:$L$18</c:f>
              <c:numCache>
                <c:formatCode>0.0</c:formatCode>
                <c:ptCount val="16"/>
                <c:pt idx="0">
                  <c:v>31.75</c:v>
                </c:pt>
                <c:pt idx="1">
                  <c:v>31.75</c:v>
                </c:pt>
                <c:pt idx="2">
                  <c:v>31.75</c:v>
                </c:pt>
                <c:pt idx="3">
                  <c:v>31.75</c:v>
                </c:pt>
                <c:pt idx="4">
                  <c:v>31.75</c:v>
                </c:pt>
                <c:pt idx="5">
                  <c:v>31.75</c:v>
                </c:pt>
                <c:pt idx="6">
                  <c:v>31.75</c:v>
                </c:pt>
                <c:pt idx="7">
                  <c:v>31.75</c:v>
                </c:pt>
                <c:pt idx="8">
                  <c:v>31.75</c:v>
                </c:pt>
                <c:pt idx="9">
                  <c:v>31.75</c:v>
                </c:pt>
                <c:pt idx="10">
                  <c:v>31.75</c:v>
                </c:pt>
                <c:pt idx="11">
                  <c:v>31.75</c:v>
                </c:pt>
                <c:pt idx="12">
                  <c:v>31.75</c:v>
                </c:pt>
                <c:pt idx="13">
                  <c:v>31.75</c:v>
                </c:pt>
                <c:pt idx="14">
                  <c:v>31.75</c:v>
                </c:pt>
                <c:pt idx="15">
                  <c:v>31.75</c:v>
                </c:pt>
              </c:numCache>
            </c:numRef>
          </c:val>
          <c:extLst>
            <c:ext xmlns:c16="http://schemas.microsoft.com/office/drawing/2014/chart" uri="{C3380CC4-5D6E-409C-BE32-E72D297353CC}">
              <c16:uniqueId val="{00000001-05CD-4B66-983F-2655907C0C07}"/>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0.0</c:formatCode>
                <c:ptCount val="16"/>
              </c:numCache>
            </c:numRef>
          </c:yVal>
          <c:smooth val="0"/>
          <c:extLst>
            <c:ext xmlns:c16="http://schemas.microsoft.com/office/drawing/2014/chart" uri="{C3380CC4-5D6E-409C-BE32-E72D297353CC}">
              <c16:uniqueId val="{00000002-05CD-4B66-983F-2655907C0C07}"/>
            </c:ext>
          </c:extLst>
        </c:ser>
        <c:ser>
          <c:idx val="3"/>
          <c:order val="3"/>
          <c:tx>
            <c:strRef>
              <c:f>'Energy Usage'!$H$2</c:f>
              <c:strCache>
                <c:ptCount val="1"/>
                <c:pt idx="0">
                  <c:v>New Construction  Total EUI (KBTU/ft²)</c:v>
                </c:pt>
              </c:strCache>
            </c:strRef>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General</c:formatCode>
                <c:ptCount val="16"/>
              </c:numCache>
            </c:numRef>
          </c:yVal>
          <c:smooth val="0"/>
          <c:extLst>
            <c:ext xmlns:c16="http://schemas.microsoft.com/office/drawing/2014/chart" uri="{C3380CC4-5D6E-409C-BE32-E72D297353CC}">
              <c16:uniqueId val="{00000003-05CD-4B66-983F-2655907C0C07}"/>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ax val="100"/>
          <c:min val="2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majorUnit val="2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4.jpeg"/><Relationship Id="rId1" Type="http://schemas.openxmlformats.org/officeDocument/2006/relationships/image" Target="../media/image3.png"/><Relationship Id="rId5" Type="http://schemas.openxmlformats.org/officeDocument/2006/relationships/image" Target="../media/image7.png"/><Relationship Id="rId4" Type="http://schemas.openxmlformats.org/officeDocument/2006/relationships/image" Target="../media/image6.png"/></Relationships>
</file>

<file path=xl/drawings/_rels/drawing3.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4.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0</xdr:col>
      <xdr:colOff>533400</xdr:colOff>
      <xdr:row>26</xdr:row>
      <xdr:rowOff>72390</xdr:rowOff>
    </xdr:from>
    <xdr:to>
      <xdr:col>5</xdr:col>
      <xdr:colOff>27248</xdr:colOff>
      <xdr:row>37</xdr:row>
      <xdr:rowOff>110490</xdr:rowOff>
    </xdr:to>
    <xdr:pic>
      <xdr:nvPicPr>
        <xdr:cNvPr id="3" name="Picture 1">
          <a:extLst>
            <a:ext uri="{FF2B5EF4-FFF2-40B4-BE49-F238E27FC236}">
              <a16:creationId xmlns:a16="http://schemas.microsoft.com/office/drawing/2014/main" id="{DE8D9D2D-DB08-18F9-0DD3-F213E55406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3400" y="3739515"/>
          <a:ext cx="8432108" cy="1933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18</xdr:col>
      <xdr:colOff>1282561</xdr:colOff>
      <xdr:row>0</xdr:row>
      <xdr:rowOff>35035</xdr:rowOff>
    </xdr:from>
    <xdr:to>
      <xdr:col>18</xdr:col>
      <xdr:colOff>1282561</xdr:colOff>
      <xdr:row>0</xdr:row>
      <xdr:rowOff>321779</xdr:rowOff>
    </xdr:to>
    <xdr:cxnSp macro="">
      <xdr:nvCxnSpPr>
        <xdr:cNvPr id="4" name="Straight Arrow Connector 3">
          <a:extLst>
            <a:ext uri="{FF2B5EF4-FFF2-40B4-BE49-F238E27FC236}">
              <a16:creationId xmlns:a16="http://schemas.microsoft.com/office/drawing/2014/main" id="{BB0EC946-BDB6-09C9-DB60-21B21720AE71}"/>
            </a:ext>
          </a:extLst>
        </xdr:cNvPr>
        <xdr:cNvCxnSpPr/>
      </xdr:nvCxnSpPr>
      <xdr:spPr>
        <a:xfrm flipV="1">
          <a:off x="12000257" y="35035"/>
          <a:ext cx="0" cy="286744"/>
        </a:xfrm>
        <a:prstGeom prst="straightConnector1">
          <a:avLst/>
        </a:prstGeom>
        <a:ln w="381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1325218</xdr:colOff>
      <xdr:row>0</xdr:row>
      <xdr:rowOff>67505</xdr:rowOff>
    </xdr:from>
    <xdr:to>
      <xdr:col>18</xdr:col>
      <xdr:colOff>1565412</xdr:colOff>
      <xdr:row>1</xdr:row>
      <xdr:rowOff>103203</xdr:rowOff>
    </xdr:to>
    <xdr:sp macro="" textlink="">
      <xdr:nvSpPr>
        <xdr:cNvPr id="8" name="TextBox 7">
          <a:extLst>
            <a:ext uri="{FF2B5EF4-FFF2-40B4-BE49-F238E27FC236}">
              <a16:creationId xmlns:a16="http://schemas.microsoft.com/office/drawing/2014/main" id="{1DDDC35D-79DC-FE8D-E36B-A215903DCB00}"/>
            </a:ext>
          </a:extLst>
        </xdr:cNvPr>
        <xdr:cNvSpPr txBox="1"/>
      </xdr:nvSpPr>
      <xdr:spPr>
        <a:xfrm>
          <a:off x="13855148" y="67505"/>
          <a:ext cx="240194" cy="360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N</a:t>
          </a:r>
        </a:p>
      </xdr:txBody>
    </xdr:sp>
    <xdr:clientData/>
  </xdr:twoCellAnchor>
  <xdr:twoCellAnchor editAs="oneCell">
    <xdr:from>
      <xdr:col>17</xdr:col>
      <xdr:colOff>435399</xdr:colOff>
      <xdr:row>1</xdr:row>
      <xdr:rowOff>210883</xdr:rowOff>
    </xdr:from>
    <xdr:to>
      <xdr:col>19</xdr:col>
      <xdr:colOff>860143</xdr:colOff>
      <xdr:row>13</xdr:row>
      <xdr:rowOff>170087</xdr:rowOff>
    </xdr:to>
    <xdr:pic>
      <xdr:nvPicPr>
        <xdr:cNvPr id="3" name="Picture 8">
          <a:extLst>
            <a:ext uri="{FF2B5EF4-FFF2-40B4-BE49-F238E27FC236}">
              <a16:creationId xmlns:a16="http://schemas.microsoft.com/office/drawing/2014/main" id="{A2D69DE8-4997-8161-7E18-B497B99806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18599" y="543392"/>
          <a:ext cx="3028013" cy="30778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388456</xdr:colOff>
      <xdr:row>14</xdr:row>
      <xdr:rowOff>132983</xdr:rowOff>
    </xdr:from>
    <xdr:to>
      <xdr:col>19</xdr:col>
      <xdr:colOff>936758</xdr:colOff>
      <xdr:row>28</xdr:row>
      <xdr:rowOff>173997</xdr:rowOff>
    </xdr:to>
    <xdr:pic>
      <xdr:nvPicPr>
        <xdr:cNvPr id="5" name="Picture 4">
          <a:extLst>
            <a:ext uri="{FF2B5EF4-FFF2-40B4-BE49-F238E27FC236}">
              <a16:creationId xmlns:a16="http://schemas.microsoft.com/office/drawing/2014/main" id="{B5B3A676-4321-16AC-9CD4-D1145AAFEA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371656" y="3790583"/>
          <a:ext cx="3151571" cy="31501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401782</xdr:colOff>
      <xdr:row>29</xdr:row>
      <xdr:rowOff>18275</xdr:rowOff>
    </xdr:from>
    <xdr:to>
      <xdr:col>19</xdr:col>
      <xdr:colOff>937016</xdr:colOff>
      <xdr:row>43</xdr:row>
      <xdr:rowOff>150908</xdr:rowOff>
    </xdr:to>
    <xdr:pic>
      <xdr:nvPicPr>
        <xdr:cNvPr id="6" name="Picture 5">
          <a:extLst>
            <a:ext uri="{FF2B5EF4-FFF2-40B4-BE49-F238E27FC236}">
              <a16:creationId xmlns:a16="http://schemas.microsoft.com/office/drawing/2014/main" id="{0492C0B4-91A9-8CA9-D0DC-257BB82FB35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8384982" y="6931693"/>
          <a:ext cx="3153743" cy="33250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1076325</xdr:colOff>
      <xdr:row>1</xdr:row>
      <xdr:rowOff>209550</xdr:rowOff>
    </xdr:from>
    <xdr:to>
      <xdr:col>22</xdr:col>
      <xdr:colOff>306705</xdr:colOff>
      <xdr:row>14</xdr:row>
      <xdr:rowOff>53340</xdr:rowOff>
    </xdr:to>
    <xdr:pic>
      <xdr:nvPicPr>
        <xdr:cNvPr id="9" name="Picture 9">
          <a:extLst>
            <a:ext uri="{FF2B5EF4-FFF2-40B4-BE49-F238E27FC236}">
              <a16:creationId xmlns:a16="http://schemas.microsoft.com/office/drawing/2014/main" id="{B2ED4F16-A42A-FB13-DFE1-184D2D7AB0AB}"/>
            </a:ext>
            <a:ext uri="{147F2762-F138-4A5C-976F-8EAC2B608ADB}">
              <a16:predDERef xmlns:a16="http://schemas.microsoft.com/office/drawing/2014/main" pred="{0492C0B4-91A9-8CA9-D0DC-257BB82FB353}"/>
            </a:ext>
          </a:extLst>
        </xdr:cNvPr>
        <xdr:cNvPicPr>
          <a:picLocks noChangeAspect="1"/>
        </xdr:cNvPicPr>
      </xdr:nvPicPr>
      <xdr:blipFill>
        <a:blip xmlns:r="http://schemas.openxmlformats.org/officeDocument/2006/relationships" r:embed="rId4"/>
        <a:stretch>
          <a:fillRect/>
        </a:stretch>
      </xdr:blipFill>
      <xdr:spPr>
        <a:xfrm>
          <a:off x="21107400" y="533400"/>
          <a:ext cx="3114675" cy="3152775"/>
        </a:xfrm>
        <a:prstGeom prst="rect">
          <a:avLst/>
        </a:prstGeom>
      </xdr:spPr>
    </xdr:pic>
    <xdr:clientData/>
  </xdr:twoCellAnchor>
  <xdr:twoCellAnchor editAs="oneCell">
    <xdr:from>
      <xdr:col>19</xdr:col>
      <xdr:colOff>1057275</xdr:colOff>
      <xdr:row>14</xdr:row>
      <xdr:rowOff>104775</xdr:rowOff>
    </xdr:from>
    <xdr:to>
      <xdr:col>22</xdr:col>
      <xdr:colOff>363855</xdr:colOff>
      <xdr:row>28</xdr:row>
      <xdr:rowOff>207645</xdr:rowOff>
    </xdr:to>
    <xdr:pic>
      <xdr:nvPicPr>
        <xdr:cNvPr id="15" name="Picture 10">
          <a:extLst>
            <a:ext uri="{FF2B5EF4-FFF2-40B4-BE49-F238E27FC236}">
              <a16:creationId xmlns:a16="http://schemas.microsoft.com/office/drawing/2014/main" id="{E77DAA99-60F1-A7E7-09D3-7C1A56752252}"/>
            </a:ext>
            <a:ext uri="{147F2762-F138-4A5C-976F-8EAC2B608ADB}">
              <a16:predDERef xmlns:a16="http://schemas.microsoft.com/office/drawing/2014/main" pred="{B2ED4F16-A42A-FB13-DFE1-184D2D7AB0AB}"/>
            </a:ext>
          </a:extLst>
        </xdr:cNvPr>
        <xdr:cNvPicPr>
          <a:picLocks noChangeAspect="1"/>
        </xdr:cNvPicPr>
      </xdr:nvPicPr>
      <xdr:blipFill>
        <a:blip xmlns:r="http://schemas.openxmlformats.org/officeDocument/2006/relationships" r:embed="rId5"/>
        <a:stretch>
          <a:fillRect/>
        </a:stretch>
      </xdr:blipFill>
      <xdr:spPr>
        <a:xfrm>
          <a:off x="21088350" y="3714750"/>
          <a:ext cx="3190875" cy="32099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704850</xdr:colOff>
      <xdr:row>172</xdr:row>
      <xdr:rowOff>24765</xdr:rowOff>
    </xdr:from>
    <xdr:to>
      <xdr:col>12</xdr:col>
      <xdr:colOff>994362</xdr:colOff>
      <xdr:row>199</xdr:row>
      <xdr:rowOff>92868</xdr:rowOff>
    </xdr:to>
    <xdr:pic>
      <xdr:nvPicPr>
        <xdr:cNvPr id="2" name="Picture 1">
          <a:extLst>
            <a:ext uri="{FF2B5EF4-FFF2-40B4-BE49-F238E27FC236}">
              <a16:creationId xmlns:a16="http://schemas.microsoft.com/office/drawing/2014/main" id="{42B1EE54-37BD-47E5-99D7-11ED46DF4DF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076825" y="25193625"/>
          <a:ext cx="16177212" cy="0"/>
        </a:xfrm>
        <a:prstGeom prst="rect">
          <a:avLst/>
        </a:prstGeom>
      </xdr:spPr>
    </xdr:pic>
    <xdr:clientData/>
  </xdr:twoCellAnchor>
  <xdr:twoCellAnchor>
    <xdr:from>
      <xdr:col>0</xdr:col>
      <xdr:colOff>60465</xdr:colOff>
      <xdr:row>172</xdr:row>
      <xdr:rowOff>89040</xdr:rowOff>
    </xdr:from>
    <xdr:to>
      <xdr:col>3</xdr:col>
      <xdr:colOff>664368</xdr:colOff>
      <xdr:row>215</xdr:row>
      <xdr:rowOff>17150</xdr:rowOff>
    </xdr:to>
    <xdr:pic>
      <xdr:nvPicPr>
        <xdr:cNvPr id="3" name="Picture 2">
          <a:extLst>
            <a:ext uri="{FF2B5EF4-FFF2-40B4-BE49-F238E27FC236}">
              <a16:creationId xmlns:a16="http://schemas.microsoft.com/office/drawing/2014/main" id="{9B8394E3-C945-4E05-B600-73B4FF9D43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65" y="25193625"/>
          <a:ext cx="6518928"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29</xdr:col>
      <xdr:colOff>309562</xdr:colOff>
      <xdr:row>1</xdr:row>
      <xdr:rowOff>295606</xdr:rowOff>
    </xdr:from>
    <xdr:to>
      <xdr:col>36</xdr:col>
      <xdr:colOff>23812</xdr:colOff>
      <xdr:row>5</xdr:row>
      <xdr:rowOff>408249</xdr:rowOff>
    </xdr:to>
    <xdr:graphicFrame macro="">
      <xdr:nvGraphicFramePr>
        <xdr:cNvPr id="9" name="Chart 5">
          <a:extLst>
            <a:ext uri="{FF2B5EF4-FFF2-40B4-BE49-F238E27FC236}">
              <a16:creationId xmlns:a16="http://schemas.microsoft.com/office/drawing/2014/main" id="{CBDA0656-8164-4FA8-8BE7-79F7FE5F5FB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309562</xdr:colOff>
      <xdr:row>6</xdr:row>
      <xdr:rowOff>35719</xdr:rowOff>
    </xdr:from>
    <xdr:to>
      <xdr:col>36</xdr:col>
      <xdr:colOff>23812</xdr:colOff>
      <xdr:row>8</xdr:row>
      <xdr:rowOff>429510</xdr:rowOff>
    </xdr:to>
    <xdr:graphicFrame macro="">
      <xdr:nvGraphicFramePr>
        <xdr:cNvPr id="18" name="Chart 5">
          <a:extLst>
            <a:ext uri="{FF2B5EF4-FFF2-40B4-BE49-F238E27FC236}">
              <a16:creationId xmlns:a16="http://schemas.microsoft.com/office/drawing/2014/main" id="{D1C87CF7-6396-404E-8ACD-112AC14A41D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315686</xdr:colOff>
      <xdr:row>9</xdr:row>
      <xdr:rowOff>0</xdr:rowOff>
    </xdr:from>
    <xdr:to>
      <xdr:col>36</xdr:col>
      <xdr:colOff>26126</xdr:colOff>
      <xdr:row>12</xdr:row>
      <xdr:rowOff>0</xdr:rowOff>
    </xdr:to>
    <xdr:graphicFrame macro="">
      <xdr:nvGraphicFramePr>
        <xdr:cNvPr id="19" name="Chart 5">
          <a:extLst>
            <a:ext uri="{FF2B5EF4-FFF2-40B4-BE49-F238E27FC236}">
              <a16:creationId xmlns:a16="http://schemas.microsoft.com/office/drawing/2014/main" id="{6467D4B0-6F0E-43CB-958A-F19CE6AFCF6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321469</xdr:colOff>
      <xdr:row>58</xdr:row>
      <xdr:rowOff>440532</xdr:rowOff>
    </xdr:from>
    <xdr:to>
      <xdr:col>36</xdr:col>
      <xdr:colOff>35719</xdr:colOff>
      <xdr:row>61</xdr:row>
      <xdr:rowOff>381885</xdr:rowOff>
    </xdr:to>
    <xdr:graphicFrame macro="">
      <xdr:nvGraphicFramePr>
        <xdr:cNvPr id="2" name="Chart 5">
          <a:extLst>
            <a:ext uri="{FF2B5EF4-FFF2-40B4-BE49-F238E27FC236}">
              <a16:creationId xmlns:a16="http://schemas.microsoft.com/office/drawing/2014/main" id="{4BFFA047-264D-465D-AB1C-FD1D056BC60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317591</xdr:colOff>
      <xdr:row>15</xdr:row>
      <xdr:rowOff>0</xdr:rowOff>
    </xdr:from>
    <xdr:to>
      <xdr:col>36</xdr:col>
      <xdr:colOff>22316</xdr:colOff>
      <xdr:row>17</xdr:row>
      <xdr:rowOff>416719</xdr:rowOff>
    </xdr:to>
    <xdr:graphicFrame macro="">
      <xdr:nvGraphicFramePr>
        <xdr:cNvPr id="3" name="Chart 5">
          <a:extLst>
            <a:ext uri="{FF2B5EF4-FFF2-40B4-BE49-F238E27FC236}">
              <a16:creationId xmlns:a16="http://schemas.microsoft.com/office/drawing/2014/main" id="{884648C1-6468-4333-AE0F-5CE56E487EB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315686</xdr:colOff>
      <xdr:row>18</xdr:row>
      <xdr:rowOff>0</xdr:rowOff>
    </xdr:from>
    <xdr:to>
      <xdr:col>36</xdr:col>
      <xdr:colOff>26126</xdr:colOff>
      <xdr:row>21</xdr:row>
      <xdr:rowOff>0</xdr:rowOff>
    </xdr:to>
    <xdr:graphicFrame macro="">
      <xdr:nvGraphicFramePr>
        <xdr:cNvPr id="4" name="Chart 5">
          <a:extLst>
            <a:ext uri="{FF2B5EF4-FFF2-40B4-BE49-F238E27FC236}">
              <a16:creationId xmlns:a16="http://schemas.microsoft.com/office/drawing/2014/main" id="{27D64350-4A7F-4D54-86AE-92FDC42BF73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322422</xdr:colOff>
      <xdr:row>11</xdr:row>
      <xdr:rowOff>445770</xdr:rowOff>
    </xdr:from>
    <xdr:to>
      <xdr:col>36</xdr:col>
      <xdr:colOff>36672</xdr:colOff>
      <xdr:row>14</xdr:row>
      <xdr:rowOff>445770</xdr:rowOff>
    </xdr:to>
    <xdr:graphicFrame macro="">
      <xdr:nvGraphicFramePr>
        <xdr:cNvPr id="5" name="Chart 5">
          <a:extLst>
            <a:ext uri="{FF2B5EF4-FFF2-40B4-BE49-F238E27FC236}">
              <a16:creationId xmlns:a16="http://schemas.microsoft.com/office/drawing/2014/main" id="{30DFB9F4-BE6F-4EEB-A7AF-A22CE2CE65ED}"/>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319564</xdr:colOff>
      <xdr:row>21</xdr:row>
      <xdr:rowOff>0</xdr:rowOff>
    </xdr:from>
    <xdr:to>
      <xdr:col>36</xdr:col>
      <xdr:colOff>33814</xdr:colOff>
      <xdr:row>23</xdr:row>
      <xdr:rowOff>446722</xdr:rowOff>
    </xdr:to>
    <xdr:graphicFrame macro="">
      <xdr:nvGraphicFramePr>
        <xdr:cNvPr id="6" name="Chart 5">
          <a:extLst>
            <a:ext uri="{FF2B5EF4-FFF2-40B4-BE49-F238E27FC236}">
              <a16:creationId xmlns:a16="http://schemas.microsoft.com/office/drawing/2014/main" id="{9697020E-883B-41A7-9829-FBC6252DED8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22</xdr:col>
      <xdr:colOff>581025</xdr:colOff>
      <xdr:row>0</xdr:row>
      <xdr:rowOff>9525</xdr:rowOff>
    </xdr:from>
    <xdr:to>
      <xdr:col>39</xdr:col>
      <xdr:colOff>249260</xdr:colOff>
      <xdr:row>18</xdr:row>
      <xdr:rowOff>40545</xdr:rowOff>
    </xdr:to>
    <xdr:graphicFrame macro="">
      <xdr:nvGraphicFramePr>
        <xdr:cNvPr id="3" name="Chart 2">
          <a:extLst>
            <a:ext uri="{FF2B5EF4-FFF2-40B4-BE49-F238E27FC236}">
              <a16:creationId xmlns:a16="http://schemas.microsoft.com/office/drawing/2014/main" id="{D0B64872-4A11-4C06-B44C-30660A9129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title24stakeholders.com/wp-content/uploads/2020/10/2022-T24-Final-CASE-Report_Reduce-Infiltration.pdf" TargetMode="External"/><Relationship Id="rId7" Type="http://schemas.openxmlformats.org/officeDocument/2006/relationships/hyperlink" Target="https://title24stakeholders.com/wp-content/uploads/2017/09/2019-T24-CASE-Report_Fume-Hoods_Final_September-2017.pdf?" TargetMode="External"/><Relationship Id="rId2" Type="http://schemas.openxmlformats.org/officeDocument/2006/relationships/hyperlink" Target="https://www.energy.ca.gov/publications/2022/2022-nonresidential-and-multifamily-alternative-calculation-method-reference" TargetMode="External"/><Relationship Id="rId1" Type="http://schemas.openxmlformats.org/officeDocument/2006/relationships/hyperlink" Target="https://bees.noresco.com/software2022.html" TargetMode="External"/><Relationship Id="rId6" Type="http://schemas.openxmlformats.org/officeDocument/2006/relationships/hyperlink" Target="https://2050partners.sharepoint.com/:w:/r/sites/CalBEMCollaborativeEfforts/_layouts/15/Doc.aspx?sourcedoc=%7B3BEF8F74-7FAC-44F2-A70C-D76617660066%7D&amp;file=Infiltration_rate_report_14May2025-Short-Version.docx&amp;wdLOR=c494C5A60-5F8A-438B-874B-578DCB850072&amp;action=default&amp;mobileredirect=true" TargetMode="External"/><Relationship Id="rId5" Type="http://schemas.openxmlformats.org/officeDocument/2006/relationships/hyperlink" Target="file:///\\carcgl.com\amer\nor\Prj_SUS\2023\S23668%20SCE%20CA%20Prototypes%20Development\Technical\NR\0_Input%20data\Lighting\PNNL-20405.pdf" TargetMode="External"/><Relationship Id="rId4" Type="http://schemas.openxmlformats.org/officeDocument/2006/relationships/hyperlink" Target="https://title24stakeholders.com/wp-content/uploads/2016/10/T24-2019-CASE-Study-Results-Report-Outdoor-Sources_Final_with-Attachments.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https://title24stakeholders.com/wp-content/uploads/2020/10/2022-T24-Final-CASE-Report_Reduce-Infiltration.pdf" TargetMode="External"/><Relationship Id="rId2" Type="http://schemas.openxmlformats.org/officeDocument/2006/relationships/hyperlink" Target="https://title24stakeholders.com/wp-content/uploads/2020/10/2022-T24-Final-CASE-Report_Reduce-Infiltration.pdf" TargetMode="External"/><Relationship Id="rId1" Type="http://schemas.openxmlformats.org/officeDocument/2006/relationships/hyperlink" Target="https://2050partners.sharepoint.com/:w:/r/sites/CalBEMCollaborativeEfforts/Shared%20Documents/Working%20Group%201%20-%20Streamlined%20Process/D%20-%20Complexity%20of%20Compliance/Prototype%20Unification/Project%20Development/Phase%202%20(Collect%20Inputs)%20Development/NR/Air%20Leakage%20Memo/Infiltration_rate_report_14May2025-Short-Version.docx?d=w3bef8f747fac44f2a70cd76617660066&amp;csf=1&amp;web=1&amp;e=wh5Dm4" TargetMode="External"/><Relationship Id="rId6" Type="http://schemas.openxmlformats.org/officeDocument/2006/relationships/hyperlink" Target="https://title24stakeholders.com/wp-content/uploads/2020/10/2022-T24-Final-CASE-Report_Reduce-Infiltration.pdf" TargetMode="External"/><Relationship Id="rId5" Type="http://schemas.openxmlformats.org/officeDocument/2006/relationships/hyperlink" Target="https://title24stakeholders.com/wp-content/uploads/2020/10/2022-T24-Final-CASE-Report_Reduce-Infiltration.pdf" TargetMode="External"/><Relationship Id="rId4" Type="http://schemas.openxmlformats.org/officeDocument/2006/relationships/hyperlink" Target="https://title24stakeholders.com/wp-content/uploads/2020/10/2022-T24-Final-CASE-Report_Reduce-Infiltration.pdf"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65BDF-3C17-4869-B954-111AEEDC46EB}">
  <sheetPr codeName="Sheet4"/>
  <dimension ref="A1:K55"/>
  <sheetViews>
    <sheetView zoomScaleNormal="100" workbookViewId="0">
      <selection sqref="A1:F1"/>
    </sheetView>
  </sheetViews>
  <sheetFormatPr defaultColWidth="9.33203125" defaultRowHeight="13.2"/>
  <cols>
    <col min="1" max="1" width="16.109375" style="6" bestFit="1" customWidth="1"/>
    <col min="2" max="2" width="83.6640625" style="6" customWidth="1"/>
    <col min="3" max="3" width="12" style="6" customWidth="1"/>
    <col min="4" max="7" width="9.33203125" style="6"/>
    <col min="8" max="8" width="21.6640625" style="6" customWidth="1"/>
    <col min="9" max="9" width="10.6640625" style="6" customWidth="1"/>
    <col min="10" max="10" width="9.6640625" style="6" customWidth="1"/>
    <col min="11" max="11" width="9.6640625" style="6" bestFit="1" customWidth="1"/>
    <col min="12" max="16384" width="9.33203125" style="6"/>
  </cols>
  <sheetData>
    <row r="1" spans="1:7" ht="20.399999999999999" customHeight="1">
      <c r="A1" s="454" t="s">
        <v>0</v>
      </c>
      <c r="B1" s="454"/>
      <c r="C1" s="454"/>
      <c r="D1" s="454"/>
      <c r="E1" s="454"/>
      <c r="F1" s="454"/>
    </row>
    <row r="2" spans="1:7">
      <c r="A2" s="457" t="s">
        <v>1</v>
      </c>
      <c r="B2" s="6" t="s">
        <v>2</v>
      </c>
      <c r="C2" s="455"/>
      <c r="D2" s="455"/>
      <c r="E2" s="455"/>
      <c r="F2" s="455"/>
    </row>
    <row r="3" spans="1:7">
      <c r="A3" s="457"/>
      <c r="B3" s="6" t="s">
        <v>3</v>
      </c>
      <c r="C3" s="455"/>
      <c r="D3" s="455"/>
      <c r="E3" s="455"/>
      <c r="F3" s="455"/>
    </row>
    <row r="4" spans="1:7">
      <c r="A4" s="457"/>
      <c r="B4" s="6" t="s">
        <v>4</v>
      </c>
      <c r="C4" s="455"/>
      <c r="D4" s="455"/>
      <c r="E4" s="455"/>
      <c r="F4" s="455"/>
    </row>
    <row r="5" spans="1:7">
      <c r="A5" s="457"/>
      <c r="C5" s="455"/>
      <c r="D5" s="455"/>
      <c r="E5" s="455"/>
      <c r="F5" s="455"/>
    </row>
    <row r="6" spans="1:7" ht="14.4">
      <c r="A6" s="457" t="s">
        <v>5</v>
      </c>
      <c r="B6" s="6" t="s">
        <v>6</v>
      </c>
      <c r="C6" s="453" t="s">
        <v>7</v>
      </c>
      <c r="D6" s="456"/>
      <c r="E6" s="456"/>
      <c r="F6" s="456"/>
    </row>
    <row r="7" spans="1:7" ht="14.4">
      <c r="A7" s="457"/>
      <c r="C7" s="453"/>
      <c r="D7" s="456"/>
      <c r="E7" s="456"/>
      <c r="F7" s="456"/>
    </row>
    <row r="8" spans="1:7" ht="14.4">
      <c r="A8" s="457"/>
      <c r="C8" s="453"/>
      <c r="D8" s="456"/>
      <c r="E8" s="456"/>
      <c r="F8" s="456"/>
    </row>
    <row r="9" spans="1:7">
      <c r="A9" s="458" t="s">
        <v>8</v>
      </c>
      <c r="B9" s="400" t="s">
        <v>9</v>
      </c>
      <c r="C9" s="461"/>
      <c r="D9" s="461"/>
      <c r="E9" s="461"/>
      <c r="F9" s="461"/>
    </row>
    <row r="10" spans="1:7">
      <c r="A10" s="458"/>
      <c r="B10" s="400" t="s">
        <v>10</v>
      </c>
      <c r="C10" s="461"/>
      <c r="D10" s="461"/>
      <c r="E10" s="461"/>
      <c r="F10" s="461"/>
    </row>
    <row r="11" spans="1:7">
      <c r="A11" s="458"/>
      <c r="B11" s="400" t="s">
        <v>11</v>
      </c>
      <c r="C11" s="461"/>
      <c r="D11" s="461"/>
      <c r="E11" s="461"/>
      <c r="F11" s="461"/>
    </row>
    <row r="12" spans="1:7">
      <c r="A12" s="458"/>
      <c r="B12" s="400" t="s">
        <v>12</v>
      </c>
      <c r="C12" s="461"/>
      <c r="D12" s="461"/>
      <c r="E12" s="461"/>
      <c r="F12" s="461"/>
    </row>
    <row r="13" spans="1:7" ht="14.4">
      <c r="A13" s="458"/>
      <c r="B13" s="400" t="s">
        <v>13</v>
      </c>
      <c r="C13" s="123" t="s">
        <v>14</v>
      </c>
      <c r="D13" s="419"/>
      <c r="E13" s="419"/>
      <c r="F13" s="419"/>
      <c r="G13" s="6" t="s">
        <v>15</v>
      </c>
    </row>
    <row r="14" spans="1:7">
      <c r="A14" s="458"/>
      <c r="C14" s="455"/>
      <c r="D14" s="455"/>
      <c r="E14" s="455"/>
      <c r="F14" s="455"/>
      <c r="G14" s="6" t="s">
        <v>15</v>
      </c>
    </row>
    <row r="15" spans="1:7" ht="14.4">
      <c r="A15" s="458" t="s">
        <v>16</v>
      </c>
      <c r="B15" s="124" t="s">
        <v>17</v>
      </c>
      <c r="C15" s="453" t="s">
        <v>18</v>
      </c>
      <c r="D15" s="453"/>
      <c r="E15" s="453"/>
      <c r="F15" s="453"/>
      <c r="G15" s="6" t="s">
        <v>15</v>
      </c>
    </row>
    <row r="16" spans="1:7" ht="14.4">
      <c r="A16" s="458"/>
      <c r="B16" s="400" t="s">
        <v>19</v>
      </c>
      <c r="C16" s="453" t="s">
        <v>20</v>
      </c>
      <c r="D16" s="453"/>
      <c r="E16" s="453"/>
      <c r="F16" s="453"/>
    </row>
    <row r="17" spans="1:7" ht="14.4">
      <c r="A17" s="458"/>
      <c r="B17" s="124" t="s">
        <v>21</v>
      </c>
      <c r="C17" s="460" t="s">
        <v>22</v>
      </c>
      <c r="D17" s="455"/>
      <c r="E17" s="455"/>
      <c r="F17" s="455"/>
    </row>
    <row r="18" spans="1:7" ht="14.4">
      <c r="A18" s="458"/>
      <c r="B18" s="400" t="s">
        <v>23</v>
      </c>
      <c r="C18" s="453" t="s">
        <v>24</v>
      </c>
      <c r="D18" s="453"/>
      <c r="E18" s="453"/>
      <c r="F18" s="453"/>
    </row>
    <row r="19" spans="1:7" ht="14.4">
      <c r="A19" s="458"/>
      <c r="B19" s="400" t="s">
        <v>25</v>
      </c>
      <c r="C19" s="415" t="s">
        <v>26</v>
      </c>
      <c r="D19" s="415"/>
      <c r="E19" s="415"/>
      <c r="F19" s="415"/>
      <c r="G19" s="6" t="s">
        <v>15</v>
      </c>
    </row>
    <row r="20" spans="1:7" ht="13.8">
      <c r="A20" s="458" t="s">
        <v>27</v>
      </c>
      <c r="B20" s="6" t="s">
        <v>28</v>
      </c>
      <c r="C20" s="248" t="str">
        <f>HYPERLINK("https://www.energystar.gov/productfinder/product/certified-commercial-water-heaters/results?fuel_filter=Gas&amp;markets_filter=United+States","ENERGY STAR product finder — gas")</f>
        <v>ENERGY STAR product finder — gas</v>
      </c>
    </row>
    <row r="21" spans="1:7" ht="18.600000000000001" customHeight="1">
      <c r="A21" s="458"/>
      <c r="B21" s="6" t="s">
        <v>29</v>
      </c>
      <c r="C21" s="248" t="str">
        <f>HYPERLINK("https://data.energystar.gov/Active-Specifications/ENERGY-STAR-Certified-Commercial-Water-Heaters/xmq6-bm79","ENERGY STAR dataset xmq6-bm79")</f>
        <v>ENERGY STAR dataset xmq6-bm79</v>
      </c>
    </row>
    <row r="22" spans="1:7" ht="13.8">
      <c r="A22" s="458"/>
      <c r="B22" s="6" t="s">
        <v>30</v>
      </c>
      <c r="C22" s="248" t="str">
        <f>HYPERLINK("https://www.energystar.gov/products/water_heaters/commercial_water_heaters/key_product_criteria","ENERGY STAR key product criteria")</f>
        <v>ENERGY STAR key product criteria</v>
      </c>
    </row>
    <row r="23" spans="1:7" ht="13.8">
      <c r="A23" s="458"/>
      <c r="B23" s="6" t="s">
        <v>31</v>
      </c>
      <c r="C23" s="248" t="str">
        <f>HYPERLINK("https://www.grainger.com/category/plumbing/water-heaters/gas-tank-water-heaters","Grainger — gas tank WH")</f>
        <v>Grainger — gas tank WH</v>
      </c>
    </row>
    <row r="24" spans="1:7" ht="13.8">
      <c r="A24" s="458"/>
      <c r="B24" s="6" t="s">
        <v>32</v>
      </c>
      <c r="C24" s="248" t="str">
        <f>HYPERLINK("https://www.grainger.com/category/plumbing/water-heaters/electric-tank-water-heaters","Grainger — electric tank WH")</f>
        <v>Grainger — electric tank WH</v>
      </c>
    </row>
    <row r="25" spans="1:7" ht="13.8">
      <c r="A25" s="458"/>
      <c r="B25" s="6" t="s">
        <v>33</v>
      </c>
      <c r="C25" s="248" t="str">
        <f>HYPERLINK("https://www.energystar.gov/productfinder/product/certified-commercial-water-heaters/results?fuel_filter=Electric&amp;markets_filter=United+States","ENERGY STAR — electric (HPWH)")</f>
        <v>ENERGY STAR — electric (HPWH)</v>
      </c>
    </row>
    <row r="26" spans="1:7" ht="18.600000000000001" customHeight="1">
      <c r="A26" s="454" t="s">
        <v>34</v>
      </c>
      <c r="B26" s="454"/>
      <c r="C26" s="454"/>
      <c r="D26" s="454"/>
      <c r="E26" s="454"/>
      <c r="F26" s="454"/>
    </row>
    <row r="27" spans="1:7">
      <c r="C27" s="413"/>
      <c r="D27" s="413"/>
      <c r="E27" s="413"/>
      <c r="F27" s="413"/>
    </row>
    <row r="28" spans="1:7">
      <c r="C28" s="413"/>
      <c r="D28" s="413"/>
      <c r="E28" s="413"/>
      <c r="F28" s="413"/>
    </row>
    <row r="29" spans="1:7">
      <c r="C29" s="413"/>
      <c r="D29" s="413"/>
      <c r="E29" s="413"/>
      <c r="F29" s="413"/>
    </row>
    <row r="30" spans="1:7" ht="14.4">
      <c r="B30"/>
      <c r="C30" s="413"/>
      <c r="D30" s="413"/>
      <c r="E30" s="413"/>
      <c r="F30" s="413"/>
    </row>
    <row r="31" spans="1:7">
      <c r="C31" s="413"/>
      <c r="D31" s="413"/>
      <c r="E31" s="413"/>
      <c r="F31" s="413"/>
    </row>
    <row r="32" spans="1:7">
      <c r="C32" s="413"/>
      <c r="D32" s="413"/>
      <c r="E32" s="413"/>
      <c r="F32" s="413"/>
    </row>
    <row r="33" spans="1:11">
      <c r="C33" s="413"/>
      <c r="D33" s="413"/>
      <c r="E33" s="413"/>
      <c r="F33" s="413"/>
    </row>
    <row r="34" spans="1:11">
      <c r="C34" s="413"/>
      <c r="D34" s="413"/>
      <c r="E34" s="413"/>
      <c r="F34" s="413"/>
    </row>
    <row r="35" spans="1:11">
      <c r="C35" s="413"/>
      <c r="D35" s="413"/>
      <c r="E35" s="413"/>
      <c r="F35" s="413"/>
    </row>
    <row r="36" spans="1:11">
      <c r="C36" s="413"/>
      <c r="D36" s="413"/>
      <c r="E36" s="413"/>
      <c r="F36" s="413"/>
    </row>
    <row r="37" spans="1:11">
      <c r="C37" s="413"/>
      <c r="D37" s="413"/>
      <c r="E37" s="413"/>
      <c r="F37" s="413"/>
    </row>
    <row r="38" spans="1:11">
      <c r="C38" s="413"/>
      <c r="D38" s="413"/>
      <c r="E38" s="413"/>
      <c r="F38" s="413"/>
    </row>
    <row r="39" spans="1:11" ht="19.2" customHeight="1">
      <c r="A39" s="454" t="s">
        <v>35</v>
      </c>
      <c r="B39" s="454"/>
      <c r="C39" s="454"/>
      <c r="D39" s="454"/>
      <c r="E39" s="454"/>
      <c r="F39" s="454"/>
    </row>
    <row r="40" spans="1:11" ht="37.950000000000003" customHeight="1">
      <c r="A40" s="10" t="s">
        <v>36</v>
      </c>
      <c r="B40" s="459" t="s">
        <v>37</v>
      </c>
      <c r="C40" s="459"/>
      <c r="D40" s="459"/>
      <c r="E40" s="459"/>
      <c r="F40" s="459"/>
      <c r="H40" s="10"/>
      <c r="I40" s="431"/>
      <c r="J40" s="431"/>
      <c r="K40" s="431"/>
    </row>
    <row r="41" spans="1:11" ht="18" customHeight="1">
      <c r="A41" s="10"/>
      <c r="B41" s="459"/>
      <c r="C41" s="459"/>
      <c r="D41" s="459"/>
      <c r="E41" s="459"/>
      <c r="F41" s="459"/>
      <c r="H41" s="10"/>
      <c r="I41" s="30"/>
      <c r="J41" s="30"/>
      <c r="K41" s="30"/>
    </row>
    <row r="42" spans="1:11" ht="13.95" customHeight="1">
      <c r="A42" s="10"/>
      <c r="B42" s="459"/>
      <c r="C42" s="459"/>
      <c r="D42" s="459"/>
      <c r="E42" s="459"/>
      <c r="F42" s="459"/>
    </row>
    <row r="43" spans="1:11" ht="14.4">
      <c r="A43" s="9"/>
      <c r="B43" s="10"/>
      <c r="C43" s="10"/>
      <c r="D43" s="10"/>
      <c r="E43" s="10"/>
      <c r="F43" s="10"/>
      <c r="H43"/>
    </row>
    <row r="55" spans="7:7" ht="14.4">
      <c r="G55"/>
    </row>
  </sheetData>
  <mergeCells count="27">
    <mergeCell ref="A20:A25"/>
    <mergeCell ref="B41:F41"/>
    <mergeCell ref="B42:F42"/>
    <mergeCell ref="A9:A14"/>
    <mergeCell ref="A15:A19"/>
    <mergeCell ref="C14:F14"/>
    <mergeCell ref="C17:F17"/>
    <mergeCell ref="C9:F9"/>
    <mergeCell ref="B40:F40"/>
    <mergeCell ref="A39:F39"/>
    <mergeCell ref="A26:F26"/>
    <mergeCell ref="C10:F10"/>
    <mergeCell ref="C18:F18"/>
    <mergeCell ref="C16:F16"/>
    <mergeCell ref="C11:F11"/>
    <mergeCell ref="C12:F12"/>
    <mergeCell ref="C15:F15"/>
    <mergeCell ref="A1:F1"/>
    <mergeCell ref="C2:F2"/>
    <mergeCell ref="C3:F3"/>
    <mergeCell ref="C5:F5"/>
    <mergeCell ref="C6:F6"/>
    <mergeCell ref="A2:A5"/>
    <mergeCell ref="A6:A8"/>
    <mergeCell ref="C7:F7"/>
    <mergeCell ref="C8:F8"/>
    <mergeCell ref="C4:F4"/>
  </mergeCells>
  <phoneticPr fontId="5" type="noConversion"/>
  <hyperlinks>
    <hyperlink ref="C6" r:id="rId1" xr:uid="{BE11EEF8-3AF7-48F0-A38B-7309CE5A9491}"/>
    <hyperlink ref="C13" r:id="rId2" xr:uid="{503F163B-AFBD-427F-ADC4-A1AE50657669}"/>
    <hyperlink ref="C15" r:id="rId3" xr:uid="{E864610B-B6CB-4D7D-8E7A-ADEB74F9D08F}"/>
    <hyperlink ref="C16" r:id="rId4" xr:uid="{C7B98ED6-F285-456B-8617-9DFBA59B4488}"/>
    <hyperlink ref="C18" r:id="rId5" display="\\carcgl.com\amer\nor\Prj_SUS\2023\S23668 SCE CA Prototypes Development\Technical\NR\0_Input data\Lighting\PNNL-20405.pdf" xr:uid="{3EF0991A-66B7-47EA-BC76-6D88C135361A}"/>
    <hyperlink ref="C19" r:id="rId6" display="https://2050partners.sharepoint.com/:w:/r/sites/CalBEMCollaborativeEfforts/_layouts/15/Doc.aspx?sourcedoc=%7B3BEF8F74-7FAC-44F2-A70C-D76617660066%7D&amp;file=Infiltration_rate_report_14May2025-Short-Version.docx&amp;wdLOR=c494C5A60-5F8A-438B-874B-578DCB850072&amp;action=default&amp;mobileredirect=true" xr:uid="{FB28D0AE-707B-4359-BA85-99739BDF78DE}"/>
    <hyperlink ref="C17" r:id="rId7" xr:uid="{AC8A87CD-B523-4A49-AE6F-94E4A4371B42}"/>
  </hyperlinks>
  <pageMargins left="0.7" right="0.7" top="0.75" bottom="0.75" header="0.3" footer="0.3"/>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A2FF8-E67F-4AF9-A6F9-E2B7AE862021}">
  <sheetPr codeName="Sheet1"/>
  <dimension ref="A1:I30"/>
  <sheetViews>
    <sheetView tabSelected="1" zoomScale="85" zoomScaleNormal="85" workbookViewId="0">
      <selection sqref="A1:C1"/>
    </sheetView>
  </sheetViews>
  <sheetFormatPr defaultColWidth="9.33203125" defaultRowHeight="13.8"/>
  <cols>
    <col min="1" max="1" width="25" style="4" customWidth="1"/>
    <col min="2" max="4" width="55.44140625" style="4" customWidth="1"/>
    <col min="5" max="5" width="16" style="4" customWidth="1"/>
    <col min="6" max="9" width="8.6640625" style="4" customWidth="1"/>
    <col min="10" max="16384" width="9.33203125" style="4"/>
  </cols>
  <sheetData>
    <row r="1" spans="1:9" ht="17.399999999999999">
      <c r="A1" s="462" t="s">
        <v>538</v>
      </c>
      <c r="B1" s="462"/>
      <c r="C1" s="462"/>
      <c r="D1" s="13"/>
      <c r="E1" s="13"/>
      <c r="F1" s="13"/>
    </row>
    <row r="2" spans="1:9" ht="25.2" customHeight="1">
      <c r="A2" s="463" t="s">
        <v>38</v>
      </c>
      <c r="B2" s="463"/>
      <c r="C2" s="463"/>
      <c r="D2" s="13"/>
      <c r="E2" s="13"/>
      <c r="F2" s="13"/>
    </row>
    <row r="3" spans="1:9" ht="20.399999999999999" customHeight="1">
      <c r="A3" s="131" t="s">
        <v>39</v>
      </c>
      <c r="B3" s="427" t="s">
        <v>40</v>
      </c>
      <c r="C3" s="427" t="s">
        <v>0</v>
      </c>
    </row>
    <row r="4" spans="1:9" ht="16.2" customHeight="1">
      <c r="A4" s="16" t="s">
        <v>41</v>
      </c>
      <c r="B4" s="422" t="s">
        <v>38</v>
      </c>
      <c r="C4" s="16"/>
    </row>
    <row r="5" spans="1:9" ht="16.2" customHeight="1">
      <c r="A5" s="16" t="s">
        <v>42</v>
      </c>
      <c r="B5" s="422" t="s">
        <v>43</v>
      </c>
      <c r="C5" s="16"/>
    </row>
    <row r="6" spans="1:9" ht="16.2" customHeight="1">
      <c r="A6" s="279" t="s">
        <v>44</v>
      </c>
      <c r="B6" s="421" t="s">
        <v>45</v>
      </c>
      <c r="C6" s="16"/>
    </row>
    <row r="7" spans="1:9" ht="88.5" customHeight="1">
      <c r="A7" s="16" t="s">
        <v>46</v>
      </c>
      <c r="B7" s="433" t="s">
        <v>47</v>
      </c>
      <c r="C7" s="17" t="s">
        <v>48</v>
      </c>
      <c r="D7" s="61"/>
    </row>
    <row r="8" spans="1:9" ht="97.2" customHeight="1">
      <c r="A8" s="16" t="s">
        <v>49</v>
      </c>
      <c r="B8" t="e" vm="1">
        <v>#VALUE!</v>
      </c>
      <c r="C8" s="17" t="s">
        <v>50</v>
      </c>
      <c r="D8"/>
      <c r="I8" s="5"/>
    </row>
    <row r="9" spans="1:9" ht="19.2" customHeight="1">
      <c r="A9" s="125" t="s">
        <v>51</v>
      </c>
      <c r="B9" s="14">
        <v>315352</v>
      </c>
      <c r="C9" s="16" t="s">
        <v>52</v>
      </c>
    </row>
    <row r="10" spans="1:9" ht="19.2" customHeight="1">
      <c r="A10" s="125" t="s">
        <v>53</v>
      </c>
      <c r="B10" s="60" t="s">
        <v>54</v>
      </c>
      <c r="C10" s="16" t="s">
        <v>52</v>
      </c>
    </row>
    <row r="11" spans="1:9" ht="19.2" customHeight="1">
      <c r="A11" s="132" t="s">
        <v>55</v>
      </c>
      <c r="B11" s="433">
        <v>1</v>
      </c>
      <c r="C11" s="16" t="s">
        <v>52</v>
      </c>
    </row>
    <row r="12" spans="1:9" ht="19.2" customHeight="1">
      <c r="A12" s="132" t="s">
        <v>56</v>
      </c>
      <c r="B12" s="422" t="s">
        <v>57</v>
      </c>
      <c r="C12" s="16" t="s">
        <v>52</v>
      </c>
    </row>
    <row r="13" spans="1:9" ht="19.2" customHeight="1">
      <c r="A13" s="132" t="s">
        <v>58</v>
      </c>
      <c r="B13" s="133">
        <v>0.14499999999999999</v>
      </c>
      <c r="C13" s="16" t="s">
        <v>52</v>
      </c>
    </row>
    <row r="14" spans="1:9" ht="19.2" customHeight="1">
      <c r="A14" s="125" t="s">
        <v>59</v>
      </c>
      <c r="B14" s="15" t="s">
        <v>60</v>
      </c>
      <c r="C14" s="16" t="s">
        <v>52</v>
      </c>
    </row>
    <row r="15" spans="1:9" ht="33.6" customHeight="1">
      <c r="A15" s="125" t="s">
        <v>61</v>
      </c>
      <c r="B15" s="433" t="s">
        <v>62</v>
      </c>
      <c r="C15" s="16" t="s">
        <v>52</v>
      </c>
    </row>
    <row r="16" spans="1:9" ht="27.6" customHeight="1">
      <c r="A16" s="125" t="s">
        <v>63</v>
      </c>
      <c r="B16" s="433" t="s">
        <v>62</v>
      </c>
      <c r="C16" s="16" t="s">
        <v>52</v>
      </c>
    </row>
    <row r="17" spans="1:5" ht="30.6" customHeight="1">
      <c r="A17" s="125" t="s">
        <v>64</v>
      </c>
      <c r="B17" s="60" t="s">
        <v>54</v>
      </c>
      <c r="C17" s="16" t="s">
        <v>52</v>
      </c>
    </row>
    <row r="18" spans="1:5">
      <c r="A18" s="87"/>
      <c r="B18" s="9"/>
      <c r="C18" s="8"/>
    </row>
    <row r="19" spans="1:5">
      <c r="A19" s="87"/>
      <c r="B19" s="9"/>
      <c r="C19" s="8"/>
    </row>
    <row r="21" spans="1:5" ht="18">
      <c r="A21" s="134" t="s">
        <v>65</v>
      </c>
      <c r="B21" s="150">
        <v>415619.76</v>
      </c>
      <c r="C21" s="151"/>
    </row>
    <row r="22" spans="1:5" ht="18">
      <c r="A22" s="134" t="s">
        <v>66</v>
      </c>
      <c r="B22" s="150">
        <v>415619.76</v>
      </c>
      <c r="C22" s="151"/>
    </row>
    <row r="23" spans="1:5" ht="22.2" customHeight="1">
      <c r="A23" s="134" t="s">
        <v>67</v>
      </c>
      <c r="B23" s="150">
        <v>315369.42</v>
      </c>
      <c r="C23" s="8"/>
    </row>
    <row r="24" spans="1:5" ht="26.4">
      <c r="A24" s="134" t="s">
        <v>68</v>
      </c>
      <c r="B24" s="150">
        <v>0</v>
      </c>
      <c r="C24" s="8"/>
    </row>
    <row r="25" spans="1:5">
      <c r="A25" s="87"/>
      <c r="B25" s="9"/>
      <c r="C25" s="8"/>
    </row>
    <row r="26" spans="1:5" ht="18" customHeight="1">
      <c r="A26" s="87"/>
      <c r="B26" s="9"/>
      <c r="C26" s="8"/>
    </row>
    <row r="27" spans="1:5" ht="14.4">
      <c r="A27" s="245"/>
      <c r="B27" s="245"/>
      <c r="C27" s="245"/>
      <c r="D27" s="245"/>
      <c r="E27" s="245"/>
    </row>
    <row r="28" spans="1:5" ht="14.4">
      <c r="A28" s="246"/>
      <c r="B28" s="246"/>
      <c r="C28" s="246"/>
      <c r="D28" s="246"/>
      <c r="E28" s="246"/>
    </row>
    <row r="29" spans="1:5" ht="100.5" customHeight="1">
      <c r="A29" s="245"/>
      <c r="B29" s="245"/>
      <c r="C29" s="245"/>
      <c r="D29" s="245"/>
      <c r="E29" s="245"/>
    </row>
    <row r="30" spans="1:5" ht="54.75" customHeight="1">
      <c r="A30" s="245"/>
      <c r="B30" s="245"/>
      <c r="C30" s="245"/>
      <c r="D30" s="245"/>
      <c r="E30" s="245"/>
    </row>
  </sheetData>
  <mergeCells count="2">
    <mergeCell ref="A1:C1"/>
    <mergeCell ref="A2:C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DC9C1-ABE9-4C74-8C0A-F769CBEC5074}">
  <sheetPr codeName="Sheet5"/>
  <dimension ref="A1:AD76"/>
  <sheetViews>
    <sheetView zoomScale="70" zoomScaleNormal="70" workbookViewId="0">
      <pane xSplit="3" topLeftCell="D1" activePane="topRight" state="frozen"/>
      <selection pane="topRight" sqref="A1:N1"/>
    </sheetView>
  </sheetViews>
  <sheetFormatPr defaultColWidth="8.6640625" defaultRowHeight="12.75" customHeight="1"/>
  <cols>
    <col min="1" max="1" width="20.33203125" style="6" customWidth="1"/>
    <col min="2" max="2" width="54.5546875" style="6" customWidth="1"/>
    <col min="3" max="3" width="51.6640625" style="6" bestFit="1" customWidth="1"/>
    <col min="4" max="5" width="18.44140625" style="6" customWidth="1"/>
    <col min="6" max="6" width="19" style="6" customWidth="1"/>
    <col min="7" max="8" width="14.6640625" style="6" customWidth="1"/>
    <col min="9" max="9" width="12.6640625" style="6" customWidth="1"/>
    <col min="10" max="10" width="12" style="6" bestFit="1" customWidth="1"/>
    <col min="11" max="13" width="11.33203125" style="6" customWidth="1"/>
    <col min="14" max="15" width="32.5546875" style="6" customWidth="1"/>
    <col min="16" max="16" width="24.44140625" style="6" customWidth="1"/>
    <col min="17" max="17" width="7.33203125" style="6" customWidth="1"/>
    <col min="18" max="18" width="12.88671875" style="6" customWidth="1"/>
    <col min="19" max="19" width="25.33203125" style="6" customWidth="1"/>
    <col min="20" max="20" width="22.33203125" style="6" bestFit="1" customWidth="1"/>
    <col min="21" max="21" width="25.6640625" style="6" customWidth="1"/>
    <col min="22" max="16384" width="8.6640625" style="6"/>
  </cols>
  <sheetData>
    <row r="1" spans="1:23" ht="25.95" customHeight="1">
      <c r="A1" s="474" t="str">
        <f>"Proposed Layout - "&amp;Prototype!B4</f>
        <v>Proposed Layout - Assembly</v>
      </c>
      <c r="B1" s="474"/>
      <c r="C1" s="474"/>
      <c r="D1" s="474"/>
      <c r="E1" s="474"/>
      <c r="F1" s="474"/>
      <c r="G1" s="474"/>
      <c r="H1" s="474"/>
      <c r="I1" s="474"/>
      <c r="J1" s="474"/>
      <c r="K1" s="474"/>
      <c r="L1" s="474"/>
      <c r="M1" s="474"/>
      <c r="N1" s="474"/>
      <c r="O1" s="288"/>
    </row>
    <row r="2" spans="1:23" ht="53.4" customHeight="1">
      <c r="A2" s="286" t="s">
        <v>69</v>
      </c>
      <c r="B2" s="81" t="s">
        <v>70</v>
      </c>
      <c r="C2" s="239" t="s">
        <v>71</v>
      </c>
      <c r="D2" s="436" t="s">
        <v>72</v>
      </c>
      <c r="E2" s="436" t="s">
        <v>73</v>
      </c>
      <c r="F2" s="28" t="s">
        <v>74</v>
      </c>
      <c r="G2" s="29" t="s">
        <v>75</v>
      </c>
      <c r="H2" s="436" t="s">
        <v>76</v>
      </c>
      <c r="I2" s="29" t="s">
        <v>77</v>
      </c>
      <c r="J2" s="28" t="s">
        <v>78</v>
      </c>
      <c r="K2" s="28" t="s">
        <v>79</v>
      </c>
      <c r="L2" s="167" t="s">
        <v>80</v>
      </c>
      <c r="M2" s="104" t="s">
        <v>81</v>
      </c>
      <c r="N2" s="291" t="s">
        <v>82</v>
      </c>
      <c r="O2" s="289" t="s">
        <v>35</v>
      </c>
      <c r="P2"/>
      <c r="Q2" s="47"/>
      <c r="R2" s="464"/>
      <c r="S2" s="465"/>
      <c r="T2" s="465"/>
      <c r="U2" s="465"/>
      <c r="V2" s="465"/>
      <c r="W2" s="466"/>
    </row>
    <row r="3" spans="1:23" ht="17.7" customHeight="1">
      <c r="A3" s="287" t="s">
        <v>83</v>
      </c>
      <c r="B3" s="285" t="s">
        <v>84</v>
      </c>
      <c r="C3" s="168" t="s">
        <v>85</v>
      </c>
      <c r="D3" s="163" t="s">
        <v>86</v>
      </c>
      <c r="E3" s="105" t="s">
        <v>38</v>
      </c>
      <c r="F3" s="163" t="s">
        <v>87</v>
      </c>
      <c r="G3" s="77">
        <f>I3/$I$20</f>
        <v>0.10156269819122758</v>
      </c>
      <c r="H3" s="2">
        <f>2669</f>
        <v>2669</v>
      </c>
      <c r="I3" s="66">
        <f>2669*K3</f>
        <v>32028</v>
      </c>
      <c r="J3" s="18">
        <f>34693*K3</f>
        <v>416316</v>
      </c>
      <c r="K3" s="18">
        <v>12</v>
      </c>
      <c r="L3" s="18">
        <f>(N3*H3)/1000</f>
        <v>88.076999999999998</v>
      </c>
      <c r="M3" s="18">
        <f>(N3*I3)/1000</f>
        <v>1056.924</v>
      </c>
      <c r="N3" s="292">
        <v>33</v>
      </c>
      <c r="O3" s="290"/>
      <c r="P3">
        <f>N3/1000</f>
        <v>3.3000000000000002E-2</v>
      </c>
      <c r="Q3" s="55"/>
      <c r="R3" s="467"/>
      <c r="S3" s="468"/>
      <c r="T3" s="468"/>
      <c r="U3" s="468"/>
      <c r="V3" s="468"/>
      <c r="W3" s="469"/>
    </row>
    <row r="4" spans="1:23" ht="17.399999999999999" customHeight="1">
      <c r="A4" s="287" t="s">
        <v>83</v>
      </c>
      <c r="B4" s="285" t="s">
        <v>88</v>
      </c>
      <c r="C4" s="168" t="s">
        <v>89</v>
      </c>
      <c r="D4" s="163" t="s">
        <v>86</v>
      </c>
      <c r="E4" s="105" t="s">
        <v>38</v>
      </c>
      <c r="F4" s="163" t="s">
        <v>87</v>
      </c>
      <c r="G4" s="77">
        <f>I4/$I$20</f>
        <v>8.4667292422435883E-2</v>
      </c>
      <c r="H4" s="2">
        <f>2225</f>
        <v>2225</v>
      </c>
      <c r="I4" s="66">
        <f>2225*K4</f>
        <v>26700</v>
      </c>
      <c r="J4" s="18">
        <f>28931*K4</f>
        <v>347172</v>
      </c>
      <c r="K4" s="18">
        <v>12</v>
      </c>
      <c r="L4" s="18">
        <f t="shared" ref="L4:L19" si="0">(N4*H4)/1000</f>
        <v>157.97499999999999</v>
      </c>
      <c r="M4" s="18">
        <f t="shared" ref="M4:M19" si="1">(N4*I4)/1000</f>
        <v>1895.7</v>
      </c>
      <c r="N4" s="292">
        <v>71</v>
      </c>
      <c r="O4" s="290"/>
      <c r="P4">
        <f t="shared" ref="P4:P19" si="2">N4/1000</f>
        <v>7.0999999999999994E-2</v>
      </c>
      <c r="Q4" s="55"/>
      <c r="R4" s="467"/>
      <c r="S4" s="468"/>
      <c r="T4" s="468"/>
      <c r="U4" s="468"/>
      <c r="V4" s="468"/>
      <c r="W4" s="469"/>
    </row>
    <row r="5" spans="1:23" ht="16.2" customHeight="1">
      <c r="A5" s="287" t="s">
        <v>83</v>
      </c>
      <c r="B5" s="285" t="s">
        <v>90</v>
      </c>
      <c r="C5" s="168" t="s">
        <v>91</v>
      </c>
      <c r="D5" s="163" t="s">
        <v>86</v>
      </c>
      <c r="E5" s="105" t="s">
        <v>38</v>
      </c>
      <c r="F5" s="163" t="s">
        <v>87</v>
      </c>
      <c r="G5" s="77">
        <f t="shared" ref="G5:G6" si="3">I5/$I$20</f>
        <v>8.4553134275349454E-2</v>
      </c>
      <c r="H5" s="2">
        <f>2222</f>
        <v>2222</v>
      </c>
      <c r="I5" s="66">
        <f>2222*K5</f>
        <v>26664</v>
      </c>
      <c r="J5" s="18">
        <f>28883*K5</f>
        <v>346596</v>
      </c>
      <c r="K5" s="18">
        <v>12</v>
      </c>
      <c r="L5" s="18">
        <f t="shared" si="0"/>
        <v>157.762</v>
      </c>
      <c r="M5" s="18">
        <f t="shared" si="1"/>
        <v>1893.144</v>
      </c>
      <c r="N5" s="292">
        <v>71</v>
      </c>
      <c r="O5" s="290"/>
      <c r="P5">
        <f t="shared" si="2"/>
        <v>7.0999999999999994E-2</v>
      </c>
      <c r="Q5" s="55"/>
      <c r="R5" s="467"/>
      <c r="S5" s="468"/>
      <c r="T5" s="468"/>
      <c r="U5" s="468"/>
      <c r="V5" s="468"/>
      <c r="W5" s="469"/>
    </row>
    <row r="6" spans="1:23" ht="17.7" customHeight="1">
      <c r="A6" s="287" t="s">
        <v>83</v>
      </c>
      <c r="B6" s="285" t="s">
        <v>92</v>
      </c>
      <c r="C6" s="168" t="s">
        <v>93</v>
      </c>
      <c r="D6" s="163" t="s">
        <v>86</v>
      </c>
      <c r="E6" s="105" t="s">
        <v>38</v>
      </c>
      <c r="F6" s="163" t="s">
        <v>87</v>
      </c>
      <c r="G6" s="77">
        <f t="shared" si="3"/>
        <v>6.7619675790862269E-2</v>
      </c>
      <c r="H6" s="2">
        <f>1777</f>
        <v>1777</v>
      </c>
      <c r="I6" s="66">
        <f>1777*K6</f>
        <v>21324</v>
      </c>
      <c r="J6" s="18">
        <f>23095*K6</f>
        <v>277140</v>
      </c>
      <c r="K6" s="18">
        <v>12</v>
      </c>
      <c r="L6" s="18">
        <f t="shared" si="0"/>
        <v>30.209</v>
      </c>
      <c r="M6" s="18">
        <f t="shared" si="1"/>
        <v>362.50799999999998</v>
      </c>
      <c r="N6" s="292">
        <v>17</v>
      </c>
      <c r="O6" s="290"/>
      <c r="P6">
        <f t="shared" si="2"/>
        <v>1.7000000000000001E-2</v>
      </c>
      <c r="Q6" s="55"/>
      <c r="R6" s="467"/>
      <c r="S6" s="468"/>
      <c r="T6" s="468"/>
      <c r="U6" s="468"/>
      <c r="V6" s="468"/>
      <c r="W6" s="469"/>
    </row>
    <row r="7" spans="1:23" ht="17.7" customHeight="1">
      <c r="A7" s="287" t="s">
        <v>94</v>
      </c>
      <c r="B7" s="285" t="s">
        <v>95</v>
      </c>
      <c r="C7" s="168" t="s">
        <v>85</v>
      </c>
      <c r="D7" s="163" t="s">
        <v>96</v>
      </c>
      <c r="E7" s="105" t="s">
        <v>38</v>
      </c>
      <c r="F7" s="163" t="s">
        <v>87</v>
      </c>
      <c r="G7" s="77">
        <f>I7/$I$20</f>
        <v>4.1223775336766532E-3</v>
      </c>
      <c r="H7" s="2">
        <f>650</f>
        <v>650</v>
      </c>
      <c r="I7" s="66">
        <f>650*K7</f>
        <v>1300</v>
      </c>
      <c r="J7" s="18">
        <f>8447*K7</f>
        <v>16894</v>
      </c>
      <c r="K7" s="18">
        <v>2</v>
      </c>
      <c r="L7" s="18">
        <f t="shared" si="0"/>
        <v>21.45</v>
      </c>
      <c r="M7" s="18">
        <f t="shared" si="1"/>
        <v>42.9</v>
      </c>
      <c r="N7" s="292">
        <v>33</v>
      </c>
      <c r="O7" s="290"/>
      <c r="P7">
        <f t="shared" si="2"/>
        <v>3.3000000000000002E-2</v>
      </c>
      <c r="Q7" s="55"/>
      <c r="R7" s="467"/>
      <c r="S7" s="468"/>
      <c r="T7" s="468"/>
      <c r="U7" s="468"/>
      <c r="V7" s="468"/>
      <c r="W7" s="469"/>
    </row>
    <row r="8" spans="1:23" ht="17.7" customHeight="1">
      <c r="A8" s="287" t="s">
        <v>94</v>
      </c>
      <c r="B8" s="285" t="s">
        <v>97</v>
      </c>
      <c r="C8" s="168" t="s">
        <v>98</v>
      </c>
      <c r="D8" s="163" t="s">
        <v>96</v>
      </c>
      <c r="E8" s="105" t="s">
        <v>38</v>
      </c>
      <c r="F8" s="163" t="s">
        <v>87</v>
      </c>
      <c r="G8" s="77">
        <f t="shared" ref="G8:G19" si="4">I8/$I$20</f>
        <v>2.4727923082777339E-2</v>
      </c>
      <c r="H8" s="2">
        <f>3899</f>
        <v>3899</v>
      </c>
      <c r="I8" s="66">
        <f>3899*K8</f>
        <v>7798</v>
      </c>
      <c r="J8" s="18">
        <f>50684*K8</f>
        <v>101368</v>
      </c>
      <c r="K8" s="18">
        <v>2</v>
      </c>
      <c r="L8" s="18">
        <f t="shared" si="0"/>
        <v>38.99</v>
      </c>
      <c r="M8" s="18">
        <f t="shared" si="1"/>
        <v>77.98</v>
      </c>
      <c r="N8" s="292">
        <v>10</v>
      </c>
      <c r="O8" s="290"/>
      <c r="P8">
        <f t="shared" si="2"/>
        <v>0.01</v>
      </c>
      <c r="Q8" s="55"/>
      <c r="R8" s="467"/>
      <c r="S8" s="468"/>
      <c r="T8" s="468"/>
      <c r="U8" s="468"/>
      <c r="V8" s="468"/>
      <c r="W8" s="469"/>
    </row>
    <row r="9" spans="1:23" ht="17.7" customHeight="1">
      <c r="A9" s="287" t="s">
        <v>94</v>
      </c>
      <c r="B9" s="285" t="s">
        <v>99</v>
      </c>
      <c r="C9" s="168" t="s">
        <v>100</v>
      </c>
      <c r="D9" s="163" t="s">
        <v>96</v>
      </c>
      <c r="E9" s="105" t="s">
        <v>38</v>
      </c>
      <c r="F9" s="163" t="s">
        <v>87</v>
      </c>
      <c r="G9" s="77">
        <f t="shared" si="4"/>
        <v>4.9455846165554679E-2</v>
      </c>
      <c r="H9" s="2">
        <f>7798</f>
        <v>7798</v>
      </c>
      <c r="I9" s="66">
        <f>7798*K9</f>
        <v>15596</v>
      </c>
      <c r="J9" s="18">
        <f>101369*K9</f>
        <v>202738</v>
      </c>
      <c r="K9" s="18">
        <v>2</v>
      </c>
      <c r="L9" s="18">
        <f t="shared" si="0"/>
        <v>77.98</v>
      </c>
      <c r="M9" s="18">
        <f t="shared" si="1"/>
        <v>155.96</v>
      </c>
      <c r="N9" s="292">
        <v>10</v>
      </c>
      <c r="O9" s="290"/>
      <c r="P9">
        <f t="shared" si="2"/>
        <v>0.01</v>
      </c>
      <c r="Q9" s="55"/>
      <c r="R9" s="467"/>
      <c r="S9" s="468"/>
      <c r="T9" s="468"/>
      <c r="U9" s="468"/>
      <c r="V9" s="468"/>
      <c r="W9" s="469"/>
    </row>
    <row r="10" spans="1:23" ht="17.7" customHeight="1">
      <c r="A10" s="287" t="s">
        <v>94</v>
      </c>
      <c r="B10" s="285" t="s">
        <v>101</v>
      </c>
      <c r="C10" s="168" t="s">
        <v>102</v>
      </c>
      <c r="D10" s="163" t="s">
        <v>96</v>
      </c>
      <c r="E10" s="105" t="s">
        <v>38</v>
      </c>
      <c r="F10" s="163" t="s">
        <v>87</v>
      </c>
      <c r="G10" s="77">
        <f t="shared" si="4"/>
        <v>4.1223775336766532E-3</v>
      </c>
      <c r="H10" s="2">
        <f>650</f>
        <v>650</v>
      </c>
      <c r="I10" s="66">
        <f>650*K10</f>
        <v>1300</v>
      </c>
      <c r="J10" s="18">
        <f>8447*K10</f>
        <v>16894</v>
      </c>
      <c r="K10" s="18">
        <v>2</v>
      </c>
      <c r="L10" s="18">
        <f t="shared" si="0"/>
        <v>21.45</v>
      </c>
      <c r="M10" s="18">
        <f t="shared" si="1"/>
        <v>42.9</v>
      </c>
      <c r="N10" s="292">
        <v>33</v>
      </c>
      <c r="O10" s="290"/>
      <c r="P10">
        <f t="shared" si="2"/>
        <v>3.3000000000000002E-2</v>
      </c>
      <c r="Q10" s="55"/>
      <c r="R10" s="467"/>
      <c r="S10" s="468"/>
      <c r="T10" s="468"/>
      <c r="U10" s="468"/>
      <c r="V10" s="468"/>
      <c r="W10" s="469"/>
    </row>
    <row r="11" spans="1:23" ht="17.7" customHeight="1">
      <c r="A11" s="287" t="s">
        <v>103</v>
      </c>
      <c r="B11" s="285" t="s">
        <v>104</v>
      </c>
      <c r="C11" s="168" t="s">
        <v>85</v>
      </c>
      <c r="D11" s="163" t="s">
        <v>105</v>
      </c>
      <c r="E11" s="105" t="s">
        <v>38</v>
      </c>
      <c r="F11" s="163" t="s">
        <v>87</v>
      </c>
      <c r="G11" s="77">
        <f t="shared" si="4"/>
        <v>1.9663740835637638E-2</v>
      </c>
      <c r="H11" s="2">
        <f>689</f>
        <v>689</v>
      </c>
      <c r="I11" s="66">
        <f>689*K11</f>
        <v>6201</v>
      </c>
      <c r="J11" s="18">
        <f>34445*K11</f>
        <v>310005</v>
      </c>
      <c r="K11" s="18">
        <v>9</v>
      </c>
      <c r="L11" s="18">
        <f t="shared" si="0"/>
        <v>22.736999999999998</v>
      </c>
      <c r="M11" s="18">
        <f t="shared" si="1"/>
        <v>204.63300000000001</v>
      </c>
      <c r="N11" s="292">
        <v>33</v>
      </c>
      <c r="O11" s="290"/>
      <c r="P11">
        <f t="shared" si="2"/>
        <v>3.3000000000000002E-2</v>
      </c>
      <c r="Q11" s="55"/>
      <c r="R11" s="467"/>
      <c r="S11" s="468"/>
      <c r="T11" s="468"/>
      <c r="U11" s="468"/>
      <c r="V11" s="468"/>
      <c r="W11" s="469"/>
    </row>
    <row r="12" spans="1:23" ht="17.7" customHeight="1">
      <c r="A12" s="287" t="s">
        <v>103</v>
      </c>
      <c r="B12" s="285" t="s">
        <v>106</v>
      </c>
      <c r="C12" s="168" t="s">
        <v>107</v>
      </c>
      <c r="D12" s="163" t="s">
        <v>105</v>
      </c>
      <c r="E12" s="105" t="s">
        <v>108</v>
      </c>
      <c r="F12" s="163" t="s">
        <v>87</v>
      </c>
      <c r="G12" s="77">
        <f t="shared" si="4"/>
        <v>1.9663740835637638E-2</v>
      </c>
      <c r="H12" s="2">
        <f>689</f>
        <v>689</v>
      </c>
      <c r="I12" s="66">
        <f>689*K12</f>
        <v>6201</v>
      </c>
      <c r="J12" s="18">
        <f>34445*K12</f>
        <v>310005</v>
      </c>
      <c r="K12" s="18">
        <v>9</v>
      </c>
      <c r="L12" s="18">
        <f t="shared" si="0"/>
        <v>3.4449999999999998</v>
      </c>
      <c r="M12" s="18">
        <f t="shared" si="1"/>
        <v>31.004999999999999</v>
      </c>
      <c r="N12" s="292">
        <v>5</v>
      </c>
      <c r="O12" s="290"/>
      <c r="P12">
        <f t="shared" si="2"/>
        <v>5.0000000000000001E-3</v>
      </c>
      <c r="Q12" s="55"/>
      <c r="R12" s="467"/>
      <c r="S12" s="468"/>
      <c r="T12" s="468"/>
      <c r="U12" s="468"/>
      <c r="V12" s="468"/>
      <c r="W12" s="469"/>
    </row>
    <row r="13" spans="1:23" ht="17.7" customHeight="1">
      <c r="A13" s="287" t="s">
        <v>103</v>
      </c>
      <c r="B13" s="285" t="s">
        <v>109</v>
      </c>
      <c r="C13" s="168" t="s">
        <v>110</v>
      </c>
      <c r="D13" s="163" t="s">
        <v>105</v>
      </c>
      <c r="E13" s="105" t="s">
        <v>38</v>
      </c>
      <c r="F13" s="163" t="s">
        <v>87</v>
      </c>
      <c r="G13" s="77">
        <f t="shared" si="4"/>
        <v>0.15728138714832948</v>
      </c>
      <c r="H13" s="2">
        <f>5511</f>
        <v>5511</v>
      </c>
      <c r="I13" s="66">
        <f>5511*K13</f>
        <v>49599</v>
      </c>
      <c r="J13" s="18">
        <f>275560*K13</f>
        <v>2480040</v>
      </c>
      <c r="K13" s="18">
        <v>9</v>
      </c>
      <c r="L13" s="18">
        <f t="shared" si="0"/>
        <v>391.28100000000001</v>
      </c>
      <c r="M13" s="18">
        <f t="shared" si="1"/>
        <v>3521.529</v>
      </c>
      <c r="N13" s="292">
        <v>71</v>
      </c>
      <c r="O13" s="290"/>
      <c r="P13">
        <f t="shared" si="2"/>
        <v>7.0999999999999994E-2</v>
      </c>
      <c r="Q13" s="55"/>
      <c r="R13" s="467"/>
      <c r="S13" s="468"/>
      <c r="T13" s="468"/>
      <c r="U13" s="468"/>
      <c r="V13" s="468"/>
      <c r="W13" s="469"/>
    </row>
    <row r="14" spans="1:23" ht="17.7" customHeight="1">
      <c r="A14" s="287" t="s">
        <v>111</v>
      </c>
      <c r="B14" s="285" t="s">
        <v>112</v>
      </c>
      <c r="C14" s="168" t="s">
        <v>113</v>
      </c>
      <c r="D14" s="163" t="s">
        <v>114</v>
      </c>
      <c r="E14" s="105" t="s">
        <v>38</v>
      </c>
      <c r="F14" s="163" t="s">
        <v>87</v>
      </c>
      <c r="G14" s="77">
        <f t="shared" si="4"/>
        <v>0.25703023922473933</v>
      </c>
      <c r="H14" s="2">
        <f>2795</f>
        <v>2795</v>
      </c>
      <c r="I14" s="66">
        <f>2795*K14</f>
        <v>81055</v>
      </c>
      <c r="J14" s="18">
        <f>69886*K14</f>
        <v>2026694</v>
      </c>
      <c r="K14" s="18">
        <v>29</v>
      </c>
      <c r="L14" s="18">
        <f t="shared" si="0"/>
        <v>27.95</v>
      </c>
      <c r="M14" s="18">
        <f t="shared" si="1"/>
        <v>810.55</v>
      </c>
      <c r="N14" s="292">
        <v>10</v>
      </c>
      <c r="O14" s="290"/>
      <c r="P14">
        <f t="shared" si="2"/>
        <v>0.01</v>
      </c>
      <c r="Q14" s="55"/>
      <c r="R14" s="467"/>
      <c r="S14" s="468"/>
      <c r="T14" s="468"/>
      <c r="U14" s="468"/>
      <c r="V14" s="468"/>
      <c r="W14" s="469"/>
    </row>
    <row r="15" spans="1:23" ht="17.7" customHeight="1">
      <c r="A15" s="287" t="s">
        <v>111</v>
      </c>
      <c r="B15" s="285" t="s">
        <v>115</v>
      </c>
      <c r="C15" s="168" t="s">
        <v>116</v>
      </c>
      <c r="D15" s="163" t="s">
        <v>114</v>
      </c>
      <c r="E15" s="105" t="s">
        <v>38</v>
      </c>
      <c r="F15" s="163" t="s">
        <v>87</v>
      </c>
      <c r="G15" s="77">
        <f t="shared" si="4"/>
        <v>4.8095461579441383E-2</v>
      </c>
      <c r="H15" s="2">
        <f>523</f>
        <v>523</v>
      </c>
      <c r="I15" s="85">
        <f>523*K15</f>
        <v>15167</v>
      </c>
      <c r="J15" s="18">
        <f>13069*K15</f>
        <v>379001</v>
      </c>
      <c r="K15" s="18">
        <v>29</v>
      </c>
      <c r="L15" s="18">
        <f t="shared" si="0"/>
        <v>10.46</v>
      </c>
      <c r="M15" s="18">
        <f t="shared" si="1"/>
        <v>303.33999999999997</v>
      </c>
      <c r="N15" s="292">
        <v>20</v>
      </c>
      <c r="O15" s="290"/>
      <c r="P15">
        <f t="shared" si="2"/>
        <v>0.02</v>
      </c>
      <c r="Q15"/>
      <c r="R15" s="467"/>
      <c r="S15" s="468"/>
      <c r="T15" s="468"/>
      <c r="U15" s="468"/>
      <c r="V15" s="468"/>
      <c r="W15" s="469"/>
    </row>
    <row r="16" spans="1:23" ht="17.7" customHeight="1">
      <c r="A16" s="287" t="s">
        <v>111</v>
      </c>
      <c r="B16" s="285" t="s">
        <v>117</v>
      </c>
      <c r="C16" s="168" t="s">
        <v>118</v>
      </c>
      <c r="D16" s="163"/>
      <c r="E16" s="105" t="s">
        <v>38</v>
      </c>
      <c r="F16" s="163" t="s">
        <v>87</v>
      </c>
      <c r="G16" s="77">
        <f t="shared" si="4"/>
        <v>1.6093127679545398E-2</v>
      </c>
      <c r="H16" s="2">
        <f>175</f>
        <v>175</v>
      </c>
      <c r="I16" s="66">
        <f>175*K16</f>
        <v>5075</v>
      </c>
      <c r="J16" s="18">
        <f>4366*K16</f>
        <v>126614</v>
      </c>
      <c r="K16" s="18">
        <v>29</v>
      </c>
      <c r="L16" s="18">
        <f t="shared" si="0"/>
        <v>1.75</v>
      </c>
      <c r="M16" s="18">
        <f t="shared" si="1"/>
        <v>50.75</v>
      </c>
      <c r="N16" s="292">
        <v>10</v>
      </c>
      <c r="O16" s="377" t="s">
        <v>119</v>
      </c>
      <c r="P16">
        <f t="shared" si="2"/>
        <v>0.01</v>
      </c>
      <c r="Q16" s="55"/>
      <c r="R16" s="467"/>
      <c r="S16" s="468"/>
      <c r="T16" s="468"/>
      <c r="U16" s="468"/>
      <c r="V16" s="468"/>
      <c r="W16" s="469"/>
    </row>
    <row r="17" spans="1:30" ht="17.7" customHeight="1">
      <c r="A17" s="287" t="s">
        <v>120</v>
      </c>
      <c r="B17" s="285" t="s">
        <v>121</v>
      </c>
      <c r="C17" s="168" t="s">
        <v>122</v>
      </c>
      <c r="D17" s="163" t="s">
        <v>123</v>
      </c>
      <c r="E17" s="105" t="s">
        <v>38</v>
      </c>
      <c r="F17" s="163" t="s">
        <v>87</v>
      </c>
      <c r="G17" s="77">
        <f t="shared" si="4"/>
        <v>5.5233516831984575E-2</v>
      </c>
      <c r="H17" s="2">
        <f>5806</f>
        <v>5806</v>
      </c>
      <c r="I17" s="66">
        <f>5806*K17</f>
        <v>17418</v>
      </c>
      <c r="J17" s="18">
        <f>145142*K17</f>
        <v>435426</v>
      </c>
      <c r="K17" s="18">
        <v>3</v>
      </c>
      <c r="L17" s="18">
        <f t="shared" si="0"/>
        <v>98.701999999999998</v>
      </c>
      <c r="M17" s="18">
        <f t="shared" si="1"/>
        <v>296.10599999999999</v>
      </c>
      <c r="N17" s="292">
        <v>17</v>
      </c>
      <c r="O17" s="473" t="s">
        <v>124</v>
      </c>
      <c r="P17">
        <f t="shared" si="2"/>
        <v>1.7000000000000001E-2</v>
      </c>
      <c r="Q17" s="55"/>
      <c r="R17" s="467"/>
      <c r="S17" s="468"/>
      <c r="T17" s="468"/>
      <c r="U17" s="468"/>
      <c r="V17" s="468"/>
      <c r="W17" s="469"/>
    </row>
    <row r="18" spans="1:30" ht="17.7" customHeight="1">
      <c r="A18" s="287" t="s">
        <v>120</v>
      </c>
      <c r="B18" s="285" t="s">
        <v>125</v>
      </c>
      <c r="C18" s="168" t="s">
        <v>126</v>
      </c>
      <c r="D18" s="163" t="s">
        <v>123</v>
      </c>
      <c r="E18" s="105" t="s">
        <v>38</v>
      </c>
      <c r="F18" s="163" t="s">
        <v>87</v>
      </c>
      <c r="G18" s="77">
        <f t="shared" si="4"/>
        <v>3.0537304345620133E-3</v>
      </c>
      <c r="H18" s="2">
        <f>321</f>
        <v>321</v>
      </c>
      <c r="I18" s="66">
        <f>321*K18</f>
        <v>963</v>
      </c>
      <c r="J18" s="18">
        <f>8030*K18</f>
        <v>24090</v>
      </c>
      <c r="K18" s="18">
        <v>3</v>
      </c>
      <c r="L18" s="18">
        <f t="shared" si="0"/>
        <v>10.593</v>
      </c>
      <c r="M18" s="18">
        <f t="shared" si="1"/>
        <v>31.779</v>
      </c>
      <c r="N18" s="292">
        <v>33</v>
      </c>
      <c r="O18" s="473"/>
      <c r="P18">
        <f t="shared" si="2"/>
        <v>3.3000000000000002E-2</v>
      </c>
      <c r="Q18" s="55"/>
      <c r="R18" s="467"/>
      <c r="S18" s="468"/>
      <c r="T18" s="468"/>
      <c r="U18" s="468"/>
      <c r="V18" s="468"/>
      <c r="W18" s="469"/>
    </row>
    <row r="19" spans="1:30" ht="17.7" customHeight="1">
      <c r="A19" s="287" t="s">
        <v>120</v>
      </c>
      <c r="B19" s="285" t="s">
        <v>127</v>
      </c>
      <c r="C19" s="168" t="s">
        <v>128</v>
      </c>
      <c r="D19" s="163" t="s">
        <v>123</v>
      </c>
      <c r="E19" s="105" t="s">
        <v>38</v>
      </c>
      <c r="F19" s="163" t="s">
        <v>87</v>
      </c>
      <c r="G19" s="77">
        <f t="shared" si="4"/>
        <v>3.0537304345620133E-3</v>
      </c>
      <c r="H19" s="2">
        <f>321</f>
        <v>321</v>
      </c>
      <c r="I19" s="66">
        <f>321*K19</f>
        <v>963</v>
      </c>
      <c r="J19" s="18">
        <f>8030*K19</f>
        <v>24090</v>
      </c>
      <c r="K19" s="18">
        <v>3</v>
      </c>
      <c r="L19" s="18">
        <f t="shared" si="0"/>
        <v>10.593</v>
      </c>
      <c r="M19" s="18">
        <f t="shared" si="1"/>
        <v>31.779</v>
      </c>
      <c r="N19" s="292">
        <v>33</v>
      </c>
      <c r="O19" s="473"/>
      <c r="P19">
        <f t="shared" si="2"/>
        <v>3.3000000000000002E-2</v>
      </c>
      <c r="Q19" s="55"/>
      <c r="R19" s="467"/>
      <c r="S19" s="468"/>
      <c r="T19" s="468"/>
      <c r="U19" s="468"/>
      <c r="V19" s="468"/>
      <c r="W19" s="469"/>
    </row>
    <row r="20" spans="1:30" ht="36.6" customHeight="1">
      <c r="A20" s="287" t="s">
        <v>129</v>
      </c>
      <c r="B20" s="284" t="s">
        <v>130</v>
      </c>
      <c r="C20" s="105" t="s">
        <v>131</v>
      </c>
      <c r="D20" s="105" t="s">
        <v>132</v>
      </c>
      <c r="E20" s="105"/>
      <c r="F20" s="106" t="s">
        <v>133</v>
      </c>
      <c r="G20" s="107"/>
      <c r="H20" s="108">
        <f>SUM(H3:H19)</f>
        <v>38720</v>
      </c>
      <c r="I20" s="108">
        <f>SUM(I3:I19)</f>
        <v>315352</v>
      </c>
      <c r="J20" s="18"/>
      <c r="K20" s="18"/>
      <c r="L20" s="18">
        <f>SUM(L3:L19)</f>
        <v>1171.4040000000002</v>
      </c>
      <c r="M20" s="18">
        <f>SUM(M3:M19)</f>
        <v>10809.486999999999</v>
      </c>
      <c r="N20" s="292"/>
      <c r="O20" s="290"/>
      <c r="P20"/>
      <c r="Q20" s="162"/>
      <c r="R20" s="467"/>
      <c r="S20" s="468"/>
      <c r="T20" s="468"/>
      <c r="U20" s="468"/>
      <c r="V20" s="468"/>
      <c r="W20" s="469"/>
    </row>
    <row r="21" spans="1:30" ht="14.4">
      <c r="I21" s="20"/>
      <c r="J21" s="20"/>
      <c r="K21" s="20"/>
      <c r="L21" s="20"/>
      <c r="M21" s="20"/>
      <c r="N21" s="21"/>
      <c r="O21" s="21"/>
      <c r="P21"/>
      <c r="Q21"/>
      <c r="R21" s="467"/>
      <c r="S21" s="468"/>
      <c r="T21" s="468"/>
      <c r="U21" s="468"/>
      <c r="V21" s="468"/>
      <c r="W21" s="469"/>
    </row>
    <row r="22" spans="1:30" ht="14.4">
      <c r="C22" s="7"/>
      <c r="D22" s="7"/>
      <c r="E22" s="7"/>
      <c r="F22" s="7"/>
      <c r="G22" s="7"/>
      <c r="H22" s="7"/>
      <c r="I22" s="22"/>
      <c r="K22" s="20"/>
      <c r="L22" s="20"/>
      <c r="M22" s="20"/>
      <c r="N22" s="20"/>
      <c r="O22" s="20"/>
      <c r="P22"/>
      <c r="Q22"/>
      <c r="R22" s="467"/>
      <c r="S22" s="468"/>
      <c r="T22" s="468"/>
      <c r="U22" s="468"/>
      <c r="V22" s="468"/>
      <c r="W22" s="469"/>
    </row>
    <row r="23" spans="1:30" ht="14.7" customHeight="1">
      <c r="C23" s="11"/>
      <c r="D23" s="11"/>
      <c r="E23" s="11"/>
      <c r="F23" s="11"/>
      <c r="I23" s="138"/>
      <c r="J23" s="20"/>
      <c r="K23" s="20"/>
      <c r="L23" s="20"/>
      <c r="M23" s="20"/>
      <c r="N23" s="20"/>
      <c r="O23" s="20"/>
      <c r="P23"/>
      <c r="Q23"/>
      <c r="R23" s="467"/>
      <c r="S23" s="468"/>
      <c r="T23" s="468"/>
      <c r="U23" s="468"/>
      <c r="V23" s="468"/>
      <c r="W23" s="469"/>
    </row>
    <row r="24" spans="1:30" ht="14.4">
      <c r="C24" s="23"/>
      <c r="D24" s="23"/>
      <c r="E24" s="23"/>
      <c r="F24" s="23"/>
      <c r="I24" s="20"/>
      <c r="J24" s="20"/>
      <c r="K24" s="20"/>
      <c r="L24" s="20"/>
      <c r="M24" s="20"/>
      <c r="N24" s="20"/>
      <c r="O24" s="20"/>
      <c r="P24"/>
      <c r="Q24"/>
      <c r="R24" s="467"/>
      <c r="S24" s="468"/>
      <c r="T24" s="468"/>
      <c r="U24" s="468"/>
      <c r="V24" s="468"/>
      <c r="W24" s="469"/>
    </row>
    <row r="25" spans="1:30" ht="14.4">
      <c r="C25" s="20"/>
      <c r="D25" s="20"/>
      <c r="E25" s="20"/>
      <c r="F25" s="20"/>
      <c r="I25" s="20"/>
      <c r="J25" s="20"/>
      <c r="K25" s="20"/>
      <c r="L25" s="20"/>
      <c r="M25" s="20"/>
      <c r="N25" s="20"/>
      <c r="O25" s="20"/>
      <c r="P25"/>
      <c r="Q25"/>
      <c r="R25" s="467"/>
      <c r="S25" s="468"/>
      <c r="T25" s="468"/>
      <c r="U25" s="468"/>
      <c r="V25" s="468"/>
      <c r="W25" s="469"/>
    </row>
    <row r="26" spans="1:30" ht="14.4">
      <c r="C26" s="20"/>
      <c r="D26" s="20"/>
      <c r="E26" s="20"/>
      <c r="F26" s="20"/>
      <c r="I26" s="20"/>
      <c r="J26" s="20"/>
      <c r="K26" s="20"/>
      <c r="L26" s="20"/>
      <c r="M26" s="20"/>
      <c r="N26" s="20"/>
      <c r="O26" s="20"/>
      <c r="P26"/>
      <c r="Q26"/>
      <c r="R26" s="467"/>
      <c r="S26" s="468"/>
      <c r="T26" s="468"/>
      <c r="U26" s="468"/>
      <c r="V26" s="468"/>
      <c r="W26" s="469"/>
      <c r="X26"/>
      <c r="Y26"/>
      <c r="Z26"/>
      <c r="AA26"/>
      <c r="AB26"/>
      <c r="AC26"/>
      <c r="AD26"/>
    </row>
    <row r="27" spans="1:30" ht="14.4">
      <c r="I27" s="20"/>
      <c r="J27" s="20"/>
      <c r="K27" s="20"/>
      <c r="L27" s="20"/>
      <c r="M27" s="20"/>
      <c r="N27" s="20"/>
      <c r="O27" s="20"/>
      <c r="P27"/>
      <c r="Q27"/>
      <c r="R27" s="467"/>
      <c r="S27" s="468"/>
      <c r="T27" s="468"/>
      <c r="U27" s="468"/>
      <c r="V27" s="468"/>
      <c r="W27" s="469"/>
      <c r="X27"/>
      <c r="Y27"/>
      <c r="Z27"/>
      <c r="AA27"/>
      <c r="AB27"/>
      <c r="AC27"/>
      <c r="AD27"/>
    </row>
    <row r="28" spans="1:30" ht="14.4">
      <c r="I28" s="20"/>
      <c r="J28" s="20"/>
      <c r="K28" s="20"/>
      <c r="L28" s="20"/>
      <c r="M28" s="20"/>
      <c r="N28" s="20"/>
      <c r="O28" s="20"/>
      <c r="P28"/>
      <c r="Q28"/>
      <c r="R28" s="467"/>
      <c r="S28" s="468"/>
      <c r="T28" s="468"/>
      <c r="U28" s="468"/>
      <c r="V28" s="468"/>
      <c r="W28" s="469"/>
      <c r="X28"/>
      <c r="Y28"/>
      <c r="Z28"/>
      <c r="AA28"/>
      <c r="AB28"/>
      <c r="AC28"/>
      <c r="AD28"/>
    </row>
    <row r="29" spans="1:30" ht="18">
      <c r="I29" s="20"/>
      <c r="J29" s="20"/>
      <c r="K29" s="20"/>
      <c r="L29" s="20"/>
      <c r="M29" s="20"/>
      <c r="N29" s="20"/>
      <c r="O29" s="20"/>
      <c r="P29"/>
      <c r="Q29"/>
      <c r="R29" s="467"/>
      <c r="S29" s="468"/>
      <c r="T29" s="468"/>
      <c r="U29" s="468"/>
      <c r="V29" s="468"/>
      <c r="W29" s="469"/>
      <c r="X29" s="151"/>
      <c r="Y29" s="151"/>
      <c r="Z29" s="151"/>
      <c r="AA29" s="151"/>
      <c r="AB29" s="151"/>
      <c r="AC29" s="151"/>
      <c r="AD29" s="151"/>
    </row>
    <row r="30" spans="1:30" ht="18">
      <c r="I30" s="20"/>
      <c r="J30" s="20"/>
      <c r="K30" s="20"/>
      <c r="L30" s="20"/>
      <c r="M30" s="20"/>
      <c r="N30" s="20"/>
      <c r="O30" s="20"/>
      <c r="P30"/>
      <c r="Q30"/>
      <c r="R30" s="467"/>
      <c r="S30" s="468"/>
      <c r="T30" s="468"/>
      <c r="U30" s="468"/>
      <c r="V30" s="468"/>
      <c r="W30" s="469"/>
      <c r="X30" s="151"/>
      <c r="Y30" s="151"/>
      <c r="Z30" s="151"/>
      <c r="AA30" s="151"/>
      <c r="AB30" s="151"/>
      <c r="AC30" s="151"/>
      <c r="AD30" s="151"/>
    </row>
    <row r="31" spans="1:30" ht="18">
      <c r="I31" s="20"/>
      <c r="J31" s="20"/>
      <c r="K31" s="20"/>
      <c r="L31" s="20"/>
      <c r="M31" s="20"/>
      <c r="N31" s="20"/>
      <c r="O31" s="20"/>
      <c r="P31"/>
      <c r="Q31"/>
      <c r="R31" s="467"/>
      <c r="S31" s="468"/>
      <c r="T31" s="468"/>
      <c r="U31" s="468"/>
      <c r="V31" s="468"/>
      <c r="W31" s="469"/>
      <c r="X31" s="151"/>
      <c r="Y31" s="151"/>
      <c r="Z31" s="151"/>
      <c r="AA31" s="151"/>
      <c r="AB31" s="151"/>
      <c r="AC31" s="151"/>
      <c r="AD31" s="151"/>
    </row>
    <row r="32" spans="1:30" ht="18">
      <c r="I32" s="20"/>
      <c r="J32" s="20"/>
      <c r="K32" s="20"/>
      <c r="L32" s="20"/>
      <c r="M32" s="20"/>
      <c r="N32" s="20"/>
      <c r="O32" s="20"/>
      <c r="P32"/>
      <c r="Q32"/>
      <c r="R32" s="467"/>
      <c r="S32" s="468"/>
      <c r="T32" s="468"/>
      <c r="U32" s="468"/>
      <c r="V32" s="468"/>
      <c r="W32" s="469"/>
      <c r="X32" s="151"/>
      <c r="Y32" s="151"/>
      <c r="Z32" s="151"/>
      <c r="AA32" s="151"/>
      <c r="AB32" s="151"/>
      <c r="AC32" s="151"/>
      <c r="AD32" s="151"/>
    </row>
    <row r="33" spans="3:30" ht="18">
      <c r="I33" s="20"/>
      <c r="J33" s="20"/>
      <c r="K33" s="20"/>
      <c r="L33" s="20"/>
      <c r="M33" s="20"/>
      <c r="N33" s="20"/>
      <c r="O33" s="20"/>
      <c r="P33"/>
      <c r="Q33"/>
      <c r="R33" s="467"/>
      <c r="S33" s="468"/>
      <c r="T33" s="468"/>
      <c r="U33" s="468"/>
      <c r="V33" s="468"/>
      <c r="W33" s="469"/>
      <c r="X33" s="151"/>
      <c r="Y33" s="151"/>
      <c r="Z33" s="151"/>
      <c r="AA33" s="151"/>
      <c r="AB33" s="151"/>
      <c r="AC33" s="151"/>
      <c r="AD33" s="151"/>
    </row>
    <row r="34" spans="3:30" ht="18">
      <c r="I34" s="20"/>
      <c r="J34" s="20"/>
      <c r="K34" s="20"/>
      <c r="L34" s="20"/>
      <c r="M34" s="20"/>
      <c r="N34" s="20"/>
      <c r="O34" s="20"/>
      <c r="P34"/>
      <c r="Q34"/>
      <c r="R34" s="467"/>
      <c r="S34" s="468"/>
      <c r="T34" s="468"/>
      <c r="U34" s="468"/>
      <c r="V34" s="468"/>
      <c r="W34" s="469"/>
      <c r="X34" s="151"/>
      <c r="Y34" s="151"/>
      <c r="Z34" s="151"/>
      <c r="AA34" s="151"/>
      <c r="AB34" s="151"/>
      <c r="AC34" s="151"/>
      <c r="AD34" s="151"/>
    </row>
    <row r="35" spans="3:30" ht="18">
      <c r="I35" s="20"/>
      <c r="J35" s="20"/>
      <c r="K35" s="20"/>
      <c r="L35" s="20"/>
      <c r="M35" s="20"/>
      <c r="N35" s="20"/>
      <c r="O35" s="20"/>
      <c r="P35"/>
      <c r="Q35"/>
      <c r="R35" s="467"/>
      <c r="S35" s="468"/>
      <c r="T35" s="468"/>
      <c r="U35" s="468"/>
      <c r="V35" s="468"/>
      <c r="W35" s="469"/>
      <c r="X35" s="151"/>
      <c r="Y35" s="151"/>
      <c r="Z35" s="151"/>
      <c r="AA35" s="151"/>
      <c r="AB35" s="151"/>
      <c r="AC35" s="151"/>
      <c r="AD35" s="151"/>
    </row>
    <row r="36" spans="3:30" ht="18">
      <c r="I36" s="20"/>
      <c r="J36" s="20"/>
      <c r="K36" s="20"/>
      <c r="L36" s="20"/>
      <c r="M36" s="20"/>
      <c r="N36" s="20"/>
      <c r="O36" s="20"/>
      <c r="P36"/>
      <c r="Q36"/>
      <c r="R36" s="467"/>
      <c r="S36" s="468"/>
      <c r="T36" s="468"/>
      <c r="U36" s="468"/>
      <c r="V36" s="468"/>
      <c r="W36" s="469"/>
      <c r="X36" s="151"/>
      <c r="Y36" s="151"/>
      <c r="Z36" s="151"/>
      <c r="AA36" s="151"/>
      <c r="AB36" s="151"/>
      <c r="AC36" s="151"/>
      <c r="AD36" s="151"/>
    </row>
    <row r="37" spans="3:30" s="24" customFormat="1" ht="14.4" hidden="1" customHeight="1">
      <c r="C37" s="24" t="s">
        <v>134</v>
      </c>
      <c r="I37" s="25"/>
      <c r="J37" s="27"/>
      <c r="P37" s="88"/>
      <c r="Q37" s="88"/>
      <c r="R37" s="467"/>
      <c r="S37" s="468"/>
      <c r="T37" s="468"/>
      <c r="U37" s="468"/>
      <c r="V37" s="468"/>
      <c r="W37" s="469"/>
      <c r="X37" s="151"/>
      <c r="Y37" s="151"/>
      <c r="Z37" s="151"/>
      <c r="AA37" s="151"/>
      <c r="AB37" s="151"/>
      <c r="AC37" s="151"/>
      <c r="AD37" s="151"/>
    </row>
    <row r="38" spans="3:30" ht="18">
      <c r="C38" s="19"/>
      <c r="D38" s="19"/>
      <c r="E38" s="19"/>
      <c r="F38" s="19"/>
      <c r="G38" s="19"/>
      <c r="H38" s="19"/>
      <c r="P38"/>
      <c r="Q38"/>
      <c r="R38" s="467"/>
      <c r="S38" s="468"/>
      <c r="T38" s="468"/>
      <c r="U38" s="468"/>
      <c r="V38" s="468"/>
      <c r="W38" s="469"/>
      <c r="X38" s="151"/>
      <c r="Y38" s="151"/>
      <c r="Z38" s="151"/>
      <c r="AA38" s="151"/>
      <c r="AB38" s="151"/>
      <c r="AC38" s="151"/>
      <c r="AD38" s="151"/>
    </row>
    <row r="39" spans="3:30" ht="18">
      <c r="P39"/>
      <c r="Q39"/>
      <c r="R39" s="467"/>
      <c r="S39" s="468"/>
      <c r="T39" s="468"/>
      <c r="U39" s="468"/>
      <c r="V39" s="468"/>
      <c r="W39" s="469"/>
      <c r="X39" s="151"/>
      <c r="Y39" s="151"/>
      <c r="Z39" s="151"/>
      <c r="AA39" s="151"/>
      <c r="AB39" s="151"/>
      <c r="AC39" s="151"/>
      <c r="AD39" s="151"/>
    </row>
    <row r="40" spans="3:30" ht="18">
      <c r="P40"/>
      <c r="Q40"/>
      <c r="R40" s="467"/>
      <c r="S40" s="468"/>
      <c r="T40" s="468"/>
      <c r="U40" s="468"/>
      <c r="V40" s="468"/>
      <c r="W40" s="469"/>
      <c r="X40" s="151"/>
      <c r="Y40" s="151"/>
      <c r="Z40" s="151"/>
      <c r="AA40" s="151"/>
      <c r="AB40" s="151"/>
      <c r="AC40" s="151"/>
      <c r="AD40" s="151"/>
    </row>
    <row r="41" spans="3:30" ht="18">
      <c r="R41" s="467"/>
      <c r="S41" s="468"/>
      <c r="T41" s="468"/>
      <c r="U41" s="468"/>
      <c r="V41" s="468"/>
      <c r="W41" s="469"/>
      <c r="X41" s="151"/>
      <c r="Y41" s="151"/>
      <c r="Z41" s="151"/>
      <c r="AA41" s="151"/>
      <c r="AB41" s="151"/>
      <c r="AC41" s="151"/>
      <c r="AD41" s="151"/>
    </row>
    <row r="42" spans="3:30" ht="18">
      <c r="R42" s="467"/>
      <c r="S42" s="468"/>
      <c r="T42" s="468"/>
      <c r="U42" s="468"/>
      <c r="V42" s="468"/>
      <c r="W42" s="469"/>
      <c r="X42" s="151"/>
      <c r="Y42" s="151"/>
      <c r="Z42" s="151"/>
      <c r="AA42" s="151"/>
      <c r="AB42" s="151"/>
      <c r="AC42" s="151"/>
      <c r="AD42" s="151"/>
    </row>
    <row r="43" spans="3:30" ht="18">
      <c r="R43" s="467"/>
      <c r="S43" s="468"/>
      <c r="T43" s="468"/>
      <c r="U43" s="468"/>
      <c r="V43" s="468"/>
      <c r="W43" s="469"/>
      <c r="X43" s="151"/>
      <c r="Y43" s="151"/>
      <c r="Z43" s="151"/>
      <c r="AA43" s="151"/>
      <c r="AB43" s="151"/>
      <c r="AC43" s="151"/>
      <c r="AD43" s="151"/>
    </row>
    <row r="44" spans="3:30" ht="14.4" customHeight="1">
      <c r="R44" s="467"/>
      <c r="S44" s="468"/>
      <c r="T44" s="468"/>
      <c r="U44" s="468"/>
      <c r="V44" s="468"/>
      <c r="W44" s="469"/>
    </row>
    <row r="45" spans="3:30" ht="14.4" customHeight="1">
      <c r="R45" s="467"/>
      <c r="S45" s="468"/>
      <c r="T45" s="468"/>
      <c r="U45" s="468"/>
      <c r="V45" s="468"/>
      <c r="W45" s="469"/>
    </row>
    <row r="46" spans="3:30" ht="14.4" customHeight="1">
      <c r="R46" s="467"/>
      <c r="S46" s="468"/>
      <c r="T46" s="468"/>
      <c r="U46" s="468"/>
      <c r="V46" s="468"/>
      <c r="W46" s="469"/>
    </row>
    <row r="47" spans="3:30" ht="14.4" customHeight="1">
      <c r="R47" s="470"/>
      <c r="S47" s="471"/>
      <c r="T47" s="471"/>
      <c r="U47" s="471"/>
      <c r="V47" s="471"/>
      <c r="W47" s="472"/>
    </row>
    <row r="48" spans="3:30" ht="14.4" customHeight="1">
      <c r="R48" s="37"/>
      <c r="S48" s="37"/>
      <c r="T48" s="37"/>
    </row>
    <row r="49" spans="18:20" ht="14.4" customHeight="1">
      <c r="R49" s="37"/>
      <c r="S49" s="37"/>
      <c r="T49" s="37"/>
    </row>
    <row r="50" spans="18:20" ht="14.4" customHeight="1">
      <c r="R50" s="37"/>
      <c r="S50" s="37"/>
      <c r="T50" s="37"/>
    </row>
    <row r="51" spans="18:20" ht="14.4" customHeight="1">
      <c r="R51" s="37"/>
      <c r="S51" s="37"/>
      <c r="T51" s="37"/>
    </row>
    <row r="52" spans="18:20" ht="14.4" customHeight="1">
      <c r="R52" s="37"/>
      <c r="S52" s="37"/>
      <c r="T52" s="37"/>
    </row>
    <row r="53" spans="18:20" ht="14.4" customHeight="1">
      <c r="R53" s="37"/>
      <c r="S53" s="37"/>
      <c r="T53" s="37"/>
    </row>
    <row r="54" spans="18:20" ht="14.4" customHeight="1">
      <c r="R54" s="37"/>
      <c r="S54" s="37"/>
      <c r="T54" s="37"/>
    </row>
    <row r="55" spans="18:20" ht="14.4" customHeight="1">
      <c r="R55" s="37"/>
      <c r="S55" s="37"/>
      <c r="T55" s="37"/>
    </row>
    <row r="56" spans="18:20" ht="14.4" customHeight="1">
      <c r="R56" s="37"/>
      <c r="S56" s="37"/>
      <c r="T56" s="37"/>
    </row>
    <row r="57" spans="18:20" ht="14.4" customHeight="1">
      <c r="R57" s="37"/>
      <c r="S57" s="37"/>
      <c r="T57" s="37"/>
    </row>
    <row r="58" spans="18:20" ht="14.4" customHeight="1">
      <c r="R58" s="37"/>
      <c r="S58" s="37"/>
      <c r="T58" s="37"/>
    </row>
    <row r="59" spans="18:20" ht="14.4" customHeight="1">
      <c r="R59" s="37"/>
      <c r="S59" s="37"/>
      <c r="T59" s="37"/>
    </row>
    <row r="60" spans="18:20" ht="14.4" customHeight="1">
      <c r="R60" s="37"/>
      <c r="S60" s="37"/>
      <c r="T60" s="37"/>
    </row>
    <row r="61" spans="18:20" ht="14.4" customHeight="1">
      <c r="R61" s="37"/>
      <c r="S61" s="37"/>
      <c r="T61" s="37"/>
    </row>
    <row r="62" spans="18:20" ht="14.4" customHeight="1">
      <c r="R62" s="37"/>
      <c r="S62" s="37"/>
      <c r="T62" s="37"/>
    </row>
    <row r="63" spans="18:20" ht="14.4" customHeight="1">
      <c r="R63" s="37"/>
      <c r="S63" s="37"/>
      <c r="T63" s="37"/>
    </row>
    <row r="64" spans="18:20" ht="14.4" customHeight="1">
      <c r="R64" s="37"/>
      <c r="S64" s="37"/>
      <c r="T64" s="37"/>
    </row>
    <row r="65" spans="18:20" ht="14.4" customHeight="1">
      <c r="R65" s="37"/>
      <c r="S65" s="37"/>
      <c r="T65" s="37"/>
    </row>
    <row r="66" spans="18:20" ht="14.4" customHeight="1">
      <c r="R66" s="37"/>
      <c r="S66" s="37"/>
      <c r="T66" s="37"/>
    </row>
    <row r="67" spans="18:20" ht="14.4" customHeight="1">
      <c r="R67" s="37"/>
      <c r="S67" s="37"/>
      <c r="T67" s="37"/>
    </row>
    <row r="68" spans="18:20" ht="14.4" customHeight="1">
      <c r="R68" s="37"/>
      <c r="S68" s="37"/>
      <c r="T68" s="37"/>
    </row>
    <row r="69" spans="18:20" ht="14.4" customHeight="1">
      <c r="R69" s="37"/>
      <c r="S69" s="37"/>
      <c r="T69" s="37"/>
    </row>
    <row r="70" spans="18:20" ht="14.4" customHeight="1">
      <c r="R70" s="37"/>
      <c r="S70" s="37"/>
      <c r="T70" s="37"/>
    </row>
    <row r="71" spans="18:20" ht="14.4" customHeight="1">
      <c r="R71" s="37"/>
      <c r="S71" s="37"/>
      <c r="T71" s="37"/>
    </row>
    <row r="72" spans="18:20" ht="14.4" customHeight="1">
      <c r="R72" s="37"/>
      <c r="S72" s="37"/>
      <c r="T72" s="37"/>
    </row>
    <row r="73" spans="18:20" ht="14.4" customHeight="1">
      <c r="R73" s="37"/>
      <c r="S73" s="37"/>
      <c r="T73" s="37"/>
    </row>
    <row r="74" spans="18:20" ht="14.4" customHeight="1">
      <c r="R74" s="37"/>
      <c r="S74" s="37"/>
      <c r="T74" s="37"/>
    </row>
    <row r="75" spans="18:20" ht="14.4" customHeight="1">
      <c r="R75" s="37"/>
      <c r="S75" s="37"/>
      <c r="T75" s="37"/>
    </row>
    <row r="76" spans="18:20" ht="14.4" customHeight="1">
      <c r="R76" s="37"/>
      <c r="S76" s="37"/>
      <c r="T76" s="37"/>
    </row>
  </sheetData>
  <mergeCells count="3">
    <mergeCell ref="R2:W47"/>
    <mergeCell ref="O17:O19"/>
    <mergeCell ref="A1:N1"/>
  </mergeCells>
  <phoneticPr fontId="5" type="noConversion"/>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65160613-FF69-43C0-BFE5-A877CADAAF75}">
          <x14:formula1>
            <xm:f>Data!$A$2:$A$200</xm:f>
          </x14:formula1>
          <xm:sqref>C3:C19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093AA-CE58-48DD-B4C9-82527CB4498E}">
  <sheetPr codeName="Sheet2"/>
  <dimension ref="A1:BJ76"/>
  <sheetViews>
    <sheetView zoomScale="70" zoomScaleNormal="70" workbookViewId="0">
      <selection sqref="A1:X1"/>
    </sheetView>
  </sheetViews>
  <sheetFormatPr defaultColWidth="9.33203125" defaultRowHeight="13.8"/>
  <cols>
    <col min="1" max="1" width="15.44140625" style="57" customWidth="1"/>
    <col min="2" max="2" width="13.5546875" style="58" customWidth="1"/>
    <col min="3" max="3" width="18.5546875" style="57" customWidth="1"/>
    <col min="4" max="4" width="41.44140625" style="57" bestFit="1" customWidth="1"/>
    <col min="5" max="5" width="11.6640625" style="57" customWidth="1"/>
    <col min="6" max="6" width="20" style="57" customWidth="1"/>
    <col min="7" max="7" width="20.5546875" style="59" customWidth="1"/>
    <col min="8" max="8" width="59.5546875" style="57" customWidth="1"/>
    <col min="9" max="9" width="6.88671875" style="57" customWidth="1"/>
    <col min="10" max="12" width="7" style="57" customWidth="1"/>
    <col min="13" max="13" width="7.88671875" style="57" customWidth="1"/>
    <col min="14" max="14" width="8.6640625" style="57" customWidth="1"/>
    <col min="15" max="15" width="7" style="57" customWidth="1"/>
    <col min="16" max="16" width="7.109375" style="57" customWidth="1"/>
    <col min="17" max="17" width="7.5546875" style="57" customWidth="1"/>
    <col min="18" max="21" width="7" style="57" customWidth="1"/>
    <col min="22" max="22" width="7.6640625" style="57" customWidth="1"/>
    <col min="23" max="24" width="7" style="57" customWidth="1"/>
    <col min="25" max="25" width="9.33203125" style="57"/>
    <col min="26" max="26" width="27.88671875" style="57" customWidth="1"/>
    <col min="27" max="30" width="7.6640625" style="57" customWidth="1"/>
    <col min="31" max="31" width="9.6640625" style="57" customWidth="1"/>
    <col min="32" max="32" width="7.5546875" style="57" customWidth="1"/>
    <col min="33" max="33" width="11.44140625" style="57" customWidth="1"/>
    <col min="34" max="42" width="7.6640625" style="57" customWidth="1"/>
    <col min="43" max="46" width="10.44140625" style="57" customWidth="1"/>
    <col min="47" max="47" width="9.88671875" style="57" customWidth="1"/>
    <col min="48" max="48" width="10.44140625" style="57" customWidth="1"/>
    <col min="49" max="49" width="21.6640625" style="57" customWidth="1"/>
    <col min="50" max="50" width="10.44140625" style="57" customWidth="1"/>
    <col min="51" max="53" width="7.44140625" style="57" customWidth="1"/>
    <col min="54" max="54" width="7.6640625" style="57" customWidth="1"/>
    <col min="55" max="55" width="7.44140625" style="57" customWidth="1"/>
    <col min="56" max="56" width="13.6640625" style="57" customWidth="1"/>
    <col min="57" max="60" width="7.44140625" style="57" customWidth="1"/>
    <col min="61" max="62" width="9.6640625" style="57" bestFit="1" customWidth="1"/>
    <col min="63" max="16384" width="9.33203125" style="57"/>
  </cols>
  <sheetData>
    <row r="1" spans="1:62" ht="31.95" customHeight="1">
      <c r="A1" s="446" t="str">
        <f>"Envelope - "&amp;Prototype!B4</f>
        <v>Envelope - Assembly</v>
      </c>
      <c r="B1" s="446"/>
      <c r="C1" s="446"/>
      <c r="D1" s="446"/>
      <c r="E1" s="446"/>
      <c r="F1" s="446"/>
      <c r="G1" s="446"/>
      <c r="H1" s="446"/>
      <c r="I1" s="446"/>
      <c r="J1" s="446"/>
      <c r="K1" s="446"/>
      <c r="L1" s="446"/>
      <c r="M1" s="446"/>
      <c r="N1" s="446"/>
      <c r="O1" s="446"/>
      <c r="P1" s="446"/>
      <c r="Q1" s="446"/>
      <c r="R1" s="446"/>
      <c r="S1" s="446"/>
      <c r="T1" s="446"/>
      <c r="U1" s="446"/>
      <c r="V1" s="446"/>
      <c r="W1" s="446"/>
      <c r="X1" s="446"/>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row>
    <row r="2" spans="1:62" ht="45.6" customHeight="1">
      <c r="A2" s="307" t="s">
        <v>135</v>
      </c>
      <c r="B2" s="307" t="s">
        <v>5</v>
      </c>
      <c r="C2" s="307" t="s">
        <v>136</v>
      </c>
      <c r="D2" s="307" t="s">
        <v>137</v>
      </c>
      <c r="E2" s="308" t="s">
        <v>138</v>
      </c>
      <c r="F2" s="307" t="s">
        <v>139</v>
      </c>
      <c r="G2" s="308" t="s">
        <v>140</v>
      </c>
      <c r="H2" s="307" t="s">
        <v>35</v>
      </c>
      <c r="I2" s="307" t="s">
        <v>141</v>
      </c>
      <c r="J2" s="307" t="s">
        <v>142</v>
      </c>
      <c r="K2" s="307" t="s">
        <v>143</v>
      </c>
      <c r="L2" s="307" t="s">
        <v>144</v>
      </c>
      <c r="M2" s="307" t="s">
        <v>145</v>
      </c>
      <c r="N2" s="307" t="s">
        <v>146</v>
      </c>
      <c r="O2" s="307" t="s">
        <v>147</v>
      </c>
      <c r="P2" s="307" t="s">
        <v>148</v>
      </c>
      <c r="Q2" s="307" t="s">
        <v>149</v>
      </c>
      <c r="R2" s="307" t="s">
        <v>150</v>
      </c>
      <c r="S2" s="307" t="s">
        <v>151</v>
      </c>
      <c r="T2" s="307" t="s">
        <v>152</v>
      </c>
      <c r="U2" s="307" t="s">
        <v>153</v>
      </c>
      <c r="V2" s="307" t="s">
        <v>154</v>
      </c>
      <c r="W2" s="307" t="s">
        <v>155</v>
      </c>
      <c r="X2" s="307" t="s">
        <v>156</v>
      </c>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row>
    <row r="3" spans="1:62" ht="43.2" customHeight="1">
      <c r="A3" s="492" t="s">
        <v>157</v>
      </c>
      <c r="B3" s="493" t="str">
        <f>Prototype!A2</f>
        <v>Assembly</v>
      </c>
      <c r="C3" s="494" t="s">
        <v>158</v>
      </c>
      <c r="D3" s="488" t="s">
        <v>159</v>
      </c>
      <c r="E3" s="492" t="s">
        <v>160</v>
      </c>
      <c r="F3" s="411" t="s">
        <v>161</v>
      </c>
      <c r="G3" s="411" t="s">
        <v>162</v>
      </c>
      <c r="H3" s="296" t="s">
        <v>163</v>
      </c>
      <c r="I3" s="395">
        <f>I69*(1-$I$70)+I68*$I$70</f>
        <v>0.21913100000000002</v>
      </c>
      <c r="J3" s="395">
        <f t="shared" ref="J3:X3" si="0">J69*(1-$I$70)+J68*$I$70</f>
        <v>0.21693500000000002</v>
      </c>
      <c r="K3" s="395">
        <f t="shared" si="0"/>
        <v>0.21815500000000002</v>
      </c>
      <c r="L3" s="395">
        <f t="shared" si="0"/>
        <v>0.21693500000000002</v>
      </c>
      <c r="M3" s="395">
        <f t="shared" si="0"/>
        <v>0.21693500000000002</v>
      </c>
      <c r="N3" s="395">
        <f t="shared" si="0"/>
        <v>0.21913100000000002</v>
      </c>
      <c r="O3" s="395">
        <f t="shared" si="0"/>
        <v>0.21913100000000002</v>
      </c>
      <c r="P3" s="395">
        <f t="shared" si="0"/>
        <v>0.21693500000000002</v>
      </c>
      <c r="Q3" s="395">
        <f t="shared" si="0"/>
        <v>0.21693500000000002</v>
      </c>
      <c r="R3" s="395">
        <f t="shared" si="0"/>
        <v>0.21693500000000002</v>
      </c>
      <c r="S3" s="395">
        <f t="shared" si="0"/>
        <v>0.21693500000000002</v>
      </c>
      <c r="T3" s="395">
        <f t="shared" si="0"/>
        <v>0.21693500000000002</v>
      </c>
      <c r="U3" s="395">
        <f t="shared" si="0"/>
        <v>0.21693500000000002</v>
      </c>
      <c r="V3" s="395">
        <f t="shared" si="0"/>
        <v>0.21693500000000002</v>
      </c>
      <c r="W3" s="395">
        <f t="shared" si="0"/>
        <v>0.21693500000000002</v>
      </c>
      <c r="X3" s="395">
        <f t="shared" si="0"/>
        <v>0.21693500000000002</v>
      </c>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row>
    <row r="4" spans="1:62" ht="40.5" customHeight="1">
      <c r="A4" s="492"/>
      <c r="B4" s="493"/>
      <c r="C4" s="494"/>
      <c r="D4" s="488"/>
      <c r="E4" s="492"/>
      <c r="F4" s="311" t="s">
        <v>164</v>
      </c>
      <c r="G4" s="311">
        <v>1986</v>
      </c>
      <c r="H4" s="397" t="s">
        <v>165</v>
      </c>
      <c r="I4" s="395">
        <f t="shared" ref="I4:X4" si="1">1/7.52</f>
        <v>0.13297872340425532</v>
      </c>
      <c r="J4" s="395">
        <f t="shared" si="1"/>
        <v>0.13297872340425532</v>
      </c>
      <c r="K4" s="395">
        <f t="shared" si="1"/>
        <v>0.13297872340425532</v>
      </c>
      <c r="L4" s="395">
        <f t="shared" si="1"/>
        <v>0.13297872340425532</v>
      </c>
      <c r="M4" s="395">
        <f t="shared" si="1"/>
        <v>0.13297872340425532</v>
      </c>
      <c r="N4" s="395">
        <f t="shared" si="1"/>
        <v>0.13297872340425532</v>
      </c>
      <c r="O4" s="395">
        <f t="shared" si="1"/>
        <v>0.13297872340425532</v>
      </c>
      <c r="P4" s="395">
        <f t="shared" si="1"/>
        <v>0.13297872340425532</v>
      </c>
      <c r="Q4" s="395">
        <f t="shared" si="1"/>
        <v>0.13297872340425532</v>
      </c>
      <c r="R4" s="395">
        <f t="shared" si="1"/>
        <v>0.13297872340425532</v>
      </c>
      <c r="S4" s="395">
        <f t="shared" si="1"/>
        <v>0.13297872340425532</v>
      </c>
      <c r="T4" s="395">
        <f t="shared" si="1"/>
        <v>0.13297872340425532</v>
      </c>
      <c r="U4" s="395">
        <f t="shared" si="1"/>
        <v>0.13297872340425532</v>
      </c>
      <c r="V4" s="395">
        <f t="shared" si="1"/>
        <v>0.13297872340425532</v>
      </c>
      <c r="W4" s="395">
        <f t="shared" si="1"/>
        <v>0.13297872340425532</v>
      </c>
      <c r="X4" s="395">
        <f t="shared" si="1"/>
        <v>0.13297872340425532</v>
      </c>
      <c r="Y4" s="396" t="s">
        <v>166</v>
      </c>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row>
    <row r="5" spans="1:62" ht="19.2" customHeight="1">
      <c r="A5" s="492"/>
      <c r="B5" s="493"/>
      <c r="C5" s="494"/>
      <c r="D5" s="488"/>
      <c r="E5" s="492"/>
      <c r="F5" s="314" t="s">
        <v>167</v>
      </c>
      <c r="G5" s="314">
        <v>2001</v>
      </c>
      <c r="H5" s="314" t="s">
        <v>168</v>
      </c>
      <c r="I5" s="315">
        <v>0.182</v>
      </c>
      <c r="J5" s="315">
        <v>0.182</v>
      </c>
      <c r="K5" s="315">
        <v>0.189</v>
      </c>
      <c r="L5" s="315">
        <v>0.189</v>
      </c>
      <c r="M5" s="315">
        <v>0.189</v>
      </c>
      <c r="N5" s="315">
        <v>0.189</v>
      </c>
      <c r="O5" s="315">
        <v>0.189</v>
      </c>
      <c r="P5" s="315">
        <v>0.189</v>
      </c>
      <c r="Q5" s="315">
        <v>0.189</v>
      </c>
      <c r="R5" s="315">
        <v>0.182</v>
      </c>
      <c r="S5" s="315">
        <v>0.182</v>
      </c>
      <c r="T5" s="315">
        <v>0.182</v>
      </c>
      <c r="U5" s="315">
        <v>0.182</v>
      </c>
      <c r="V5" s="315">
        <v>0.182</v>
      </c>
      <c r="W5" s="315">
        <v>0.182</v>
      </c>
      <c r="X5" s="315">
        <v>0.182</v>
      </c>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62" ht="19.2" customHeight="1">
      <c r="A6" s="492"/>
      <c r="B6" s="493"/>
      <c r="C6" s="494"/>
      <c r="D6" s="488"/>
      <c r="E6" s="492"/>
      <c r="F6" s="316" t="s">
        <v>169</v>
      </c>
      <c r="G6" s="316">
        <v>2013</v>
      </c>
      <c r="H6" s="316" t="s">
        <v>170</v>
      </c>
      <c r="I6" s="317">
        <v>9.8000000000000004E-2</v>
      </c>
      <c r="J6" s="317">
        <v>6.2E-2</v>
      </c>
      <c r="K6" s="317">
        <v>8.2000000000000003E-2</v>
      </c>
      <c r="L6" s="317">
        <v>6.2E-2</v>
      </c>
      <c r="M6" s="317">
        <v>6.2E-2</v>
      </c>
      <c r="N6" s="317">
        <v>9.8000000000000004E-2</v>
      </c>
      <c r="O6" s="317">
        <v>9.8000000000000004E-2</v>
      </c>
      <c r="P6" s="317">
        <v>6.2E-2</v>
      </c>
      <c r="Q6" s="317">
        <v>6.2E-2</v>
      </c>
      <c r="R6" s="317">
        <v>6.2E-2</v>
      </c>
      <c r="S6" s="317">
        <v>6.2E-2</v>
      </c>
      <c r="T6" s="317">
        <v>6.2E-2</v>
      </c>
      <c r="U6" s="317">
        <v>6.2E-2</v>
      </c>
      <c r="V6" s="317">
        <v>6.2E-2</v>
      </c>
      <c r="W6" s="317">
        <v>6.2E-2</v>
      </c>
      <c r="X6" s="317">
        <v>6.2E-2</v>
      </c>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row>
    <row r="7" spans="1:62" ht="19.2" customHeight="1">
      <c r="A7" s="492"/>
      <c r="B7" s="493"/>
      <c r="C7" s="494"/>
      <c r="D7" s="488"/>
      <c r="E7" s="492"/>
      <c r="F7" s="318" t="s">
        <v>171</v>
      </c>
      <c r="G7" s="318"/>
      <c r="H7" s="319" t="s">
        <v>172</v>
      </c>
      <c r="I7" s="328" cm="1">
        <f t="array" ref="I7:X7">_xlfn.BYCOL(TRANSPOSE(Weights!$C$4:$F$19)*I3:X6,_xlfn.LAMBDA(_xlpm.c,SUM(_xlpm.c)))</f>
        <v>0.1701874253007766</v>
      </c>
      <c r="J7" s="328">
        <v>0.16742118680125534</v>
      </c>
      <c r="K7" s="328">
        <v>0.18101495220265959</v>
      </c>
      <c r="L7" s="328">
        <v>0.17935105392980855</v>
      </c>
      <c r="M7" s="328">
        <v>0.17585245329819149</v>
      </c>
      <c r="N7" s="328">
        <v>0.19087232872751492</v>
      </c>
      <c r="O7" s="328">
        <v>0.17901138291503615</v>
      </c>
      <c r="P7" s="328">
        <v>0.1905569869466596</v>
      </c>
      <c r="Q7" s="328">
        <v>0.19029162728948937</v>
      </c>
      <c r="R7" s="328">
        <v>0.16627650324250001</v>
      </c>
      <c r="S7" s="328">
        <v>0.1667388849041383</v>
      </c>
      <c r="T7" s="328">
        <v>0.16947707481528723</v>
      </c>
      <c r="U7" s="328">
        <v>0.16682184115257448</v>
      </c>
      <c r="V7" s="328">
        <v>0.1721840341301383</v>
      </c>
      <c r="W7" s="328">
        <v>0.16507788089507447</v>
      </c>
      <c r="X7" s="328">
        <v>0.16343469460904259</v>
      </c>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row>
    <row r="8" spans="1:62" ht="19.2" customHeight="1">
      <c r="A8" s="492"/>
      <c r="B8" s="493"/>
      <c r="C8" s="494"/>
      <c r="D8" s="488"/>
      <c r="E8" s="492"/>
      <c r="F8" s="320" t="s">
        <v>173</v>
      </c>
      <c r="G8" s="321">
        <v>2025</v>
      </c>
      <c r="H8" s="321" t="s">
        <v>170</v>
      </c>
      <c r="I8" s="321">
        <v>0.06</v>
      </c>
      <c r="J8" s="321">
        <v>5.5E-2</v>
      </c>
      <c r="K8" s="321">
        <v>7.0999999999999994E-2</v>
      </c>
      <c r="L8" s="321">
        <v>5.5E-2</v>
      </c>
      <c r="M8" s="321">
        <v>5.5E-2</v>
      </c>
      <c r="N8" s="321">
        <v>0.06</v>
      </c>
      <c r="O8" s="321">
        <v>0.06</v>
      </c>
      <c r="P8" s="321">
        <v>5.5E-2</v>
      </c>
      <c r="Q8" s="321">
        <v>5.5E-2</v>
      </c>
      <c r="R8" s="321">
        <v>5.5E-2</v>
      </c>
      <c r="S8" s="321">
        <v>5.5E-2</v>
      </c>
      <c r="T8" s="321">
        <v>5.5E-2</v>
      </c>
      <c r="U8" s="321">
        <v>5.5E-2</v>
      </c>
      <c r="V8" s="321">
        <v>5.5E-2</v>
      </c>
      <c r="W8" s="322">
        <v>5.5E-2</v>
      </c>
      <c r="X8" s="322">
        <v>5.5E-2</v>
      </c>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row>
    <row r="9" spans="1:62" ht="19.2" customHeight="1">
      <c r="A9" s="492" t="s">
        <v>174</v>
      </c>
      <c r="B9" s="493" t="str">
        <f t="shared" ref="B9" si="2">$B$3</f>
        <v>Assembly</v>
      </c>
      <c r="C9" s="493" t="s">
        <v>175</v>
      </c>
      <c r="D9" s="495" t="s">
        <v>176</v>
      </c>
      <c r="E9" s="492" t="s">
        <v>160</v>
      </c>
      <c r="F9" s="411" t="s">
        <v>161</v>
      </c>
      <c r="G9" s="411" t="s">
        <v>162</v>
      </c>
      <c r="H9" s="493" t="s">
        <v>177</v>
      </c>
      <c r="I9" s="310">
        <v>5.7000000000000002E-2</v>
      </c>
      <c r="J9" s="310">
        <v>5.7000000000000002E-2</v>
      </c>
      <c r="K9" s="310">
        <v>5.7000000000000002E-2</v>
      </c>
      <c r="L9" s="310">
        <v>5.7000000000000002E-2</v>
      </c>
      <c r="M9" s="310">
        <v>5.7000000000000002E-2</v>
      </c>
      <c r="N9" s="310">
        <v>7.8E-2</v>
      </c>
      <c r="O9" s="310">
        <v>7.8E-2</v>
      </c>
      <c r="P9" s="310">
        <v>7.8E-2</v>
      </c>
      <c r="Q9" s="310">
        <v>7.8E-2</v>
      </c>
      <c r="R9" s="310">
        <v>7.8E-2</v>
      </c>
      <c r="S9" s="310">
        <v>5.7000000000000002E-2</v>
      </c>
      <c r="T9" s="310">
        <v>5.7000000000000002E-2</v>
      </c>
      <c r="U9" s="310">
        <v>5.7000000000000002E-2</v>
      </c>
      <c r="V9" s="310">
        <v>5.7000000000000002E-2</v>
      </c>
      <c r="W9" s="310">
        <v>5.7000000000000002E-2</v>
      </c>
      <c r="X9" s="310">
        <v>5.7000000000000002E-2</v>
      </c>
      <c r="Y9" s="98"/>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row>
    <row r="10" spans="1:62" ht="19.2" customHeight="1">
      <c r="A10" s="492"/>
      <c r="B10" s="493"/>
      <c r="C10" s="493"/>
      <c r="D10" s="495"/>
      <c r="E10" s="492"/>
      <c r="F10" s="311" t="s">
        <v>164</v>
      </c>
      <c r="G10" s="311">
        <v>1992</v>
      </c>
      <c r="H10" s="493"/>
      <c r="I10" s="313">
        <v>5.7000000000000002E-2</v>
      </c>
      <c r="J10" s="313">
        <v>5.7000000000000002E-2</v>
      </c>
      <c r="K10" s="313">
        <v>5.7000000000000002E-2</v>
      </c>
      <c r="L10" s="313">
        <v>5.7000000000000002E-2</v>
      </c>
      <c r="M10" s="313">
        <v>5.7000000000000002E-2</v>
      </c>
      <c r="N10" s="313">
        <v>7.8E-2</v>
      </c>
      <c r="O10" s="313">
        <v>7.8E-2</v>
      </c>
      <c r="P10" s="313">
        <v>7.8E-2</v>
      </c>
      <c r="Q10" s="313">
        <v>7.8E-2</v>
      </c>
      <c r="R10" s="313">
        <v>7.8E-2</v>
      </c>
      <c r="S10" s="313">
        <v>5.7000000000000002E-2</v>
      </c>
      <c r="T10" s="313">
        <v>5.7000000000000002E-2</v>
      </c>
      <c r="U10" s="313">
        <v>5.7000000000000002E-2</v>
      </c>
      <c r="V10" s="313">
        <v>5.7000000000000002E-2</v>
      </c>
      <c r="W10" s="313">
        <v>5.7000000000000002E-2</v>
      </c>
      <c r="X10" s="313">
        <v>5.7000000000000002E-2</v>
      </c>
      <c r="Y10" s="98"/>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row>
    <row r="11" spans="1:62" ht="19.2" customHeight="1">
      <c r="A11" s="492"/>
      <c r="B11" s="493"/>
      <c r="C11" s="493"/>
      <c r="D11" s="495"/>
      <c r="E11" s="492"/>
      <c r="F11" s="314" t="s">
        <v>167</v>
      </c>
      <c r="G11" s="314">
        <v>2001</v>
      </c>
      <c r="H11" s="314" t="s">
        <v>168</v>
      </c>
      <c r="I11" s="315">
        <v>5.7000000000000002E-2</v>
      </c>
      <c r="J11" s="315">
        <v>5.7000000000000002E-2</v>
      </c>
      <c r="K11" s="315">
        <v>5.7000000000000002E-2</v>
      </c>
      <c r="L11" s="315">
        <v>5.7000000000000002E-2</v>
      </c>
      <c r="M11" s="315">
        <v>5.7000000000000002E-2</v>
      </c>
      <c r="N11" s="315">
        <v>7.8E-2</v>
      </c>
      <c r="O11" s="315">
        <v>7.8E-2</v>
      </c>
      <c r="P11" s="315">
        <v>7.8E-2</v>
      </c>
      <c r="Q11" s="315">
        <v>7.8E-2</v>
      </c>
      <c r="R11" s="315">
        <v>5.7000000000000002E-2</v>
      </c>
      <c r="S11" s="315">
        <v>5.7000000000000002E-2</v>
      </c>
      <c r="T11" s="315">
        <v>5.7000000000000002E-2</v>
      </c>
      <c r="U11" s="315">
        <v>5.7000000000000002E-2</v>
      </c>
      <c r="V11" s="315">
        <v>5.7000000000000002E-2</v>
      </c>
      <c r="W11" s="315">
        <v>5.7000000000000002E-2</v>
      </c>
      <c r="X11" s="315">
        <v>5.7000000000000002E-2</v>
      </c>
      <c r="Y11" s="98"/>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row>
    <row r="12" spans="1:62" ht="19.2" customHeight="1">
      <c r="A12" s="492"/>
      <c r="B12" s="493"/>
      <c r="C12" s="493"/>
      <c r="D12" s="495"/>
      <c r="E12" s="492"/>
      <c r="F12" s="316" t="s">
        <v>169</v>
      </c>
      <c r="G12" s="316">
        <v>2013</v>
      </c>
      <c r="H12" s="316" t="s">
        <v>170</v>
      </c>
      <c r="I12" s="317">
        <v>4.9000000000000002E-2</v>
      </c>
      <c r="J12" s="317">
        <v>3.9E-2</v>
      </c>
      <c r="K12" s="317">
        <v>3.9E-2</v>
      </c>
      <c r="L12" s="317">
        <v>3.9E-2</v>
      </c>
      <c r="M12" s="317">
        <v>4.9000000000000002E-2</v>
      </c>
      <c r="N12" s="317">
        <v>7.4999999999999997E-2</v>
      </c>
      <c r="O12" s="317">
        <v>6.7000000000000004E-2</v>
      </c>
      <c r="P12" s="317">
        <v>6.7000000000000004E-2</v>
      </c>
      <c r="Q12" s="317">
        <v>3.9E-2</v>
      </c>
      <c r="R12" s="317">
        <v>3.9E-2</v>
      </c>
      <c r="S12" s="317">
        <v>3.9E-2</v>
      </c>
      <c r="T12" s="317">
        <v>3.9E-2</v>
      </c>
      <c r="U12" s="317">
        <v>3.9E-2</v>
      </c>
      <c r="V12" s="317">
        <v>3.9E-2</v>
      </c>
      <c r="W12" s="317">
        <v>3.9E-2</v>
      </c>
      <c r="X12" s="317">
        <v>3.9E-2</v>
      </c>
      <c r="Y12" s="98"/>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row>
    <row r="13" spans="1:62" ht="19.2" customHeight="1">
      <c r="A13" s="492"/>
      <c r="B13" s="493"/>
      <c r="C13" s="493"/>
      <c r="D13" s="495"/>
      <c r="E13" s="492"/>
      <c r="F13" s="318" t="s">
        <v>171</v>
      </c>
      <c r="G13" s="318"/>
      <c r="H13" s="318" t="s">
        <v>172</v>
      </c>
      <c r="I13" s="319" cm="1">
        <f t="array" ref="I13:X13">_xlfn.BYCOL(TRANSPOSE(Weights!$C$4:$F$19)*I9:X12,_xlfn.LAMBDA(_xlpm.c,SUM(_xlpm.c)))</f>
        <v>5.6308072700000003E-2</v>
      </c>
      <c r="J13" s="319">
        <v>5.6130374699999999E-2</v>
      </c>
      <c r="K13" s="319">
        <v>5.5643003700000006E-2</v>
      </c>
      <c r="L13" s="319">
        <v>5.5670280600000004E-2</v>
      </c>
      <c r="M13" s="319">
        <v>5.6253060800000004E-2</v>
      </c>
      <c r="N13" s="319">
        <v>7.7901031199999998E-2</v>
      </c>
      <c r="O13" s="319">
        <v>7.7390560400000002E-2</v>
      </c>
      <c r="P13" s="319">
        <v>7.7630408700000014E-2</v>
      </c>
      <c r="Q13" s="319">
        <v>7.6472291999999997E-2</v>
      </c>
      <c r="R13" s="319">
        <v>6.9995214E-2</v>
      </c>
      <c r="S13" s="319">
        <v>5.5349218199999994E-2</v>
      </c>
      <c r="T13" s="319">
        <v>5.5200322200000006E-2</v>
      </c>
      <c r="U13" s="319">
        <v>5.5239761700000001E-2</v>
      </c>
      <c r="V13" s="319">
        <v>5.5823286E-2</v>
      </c>
      <c r="W13" s="319">
        <v>5.5983806400000002E-2</v>
      </c>
      <c r="X13" s="319">
        <v>5.5287364800000002E-2</v>
      </c>
      <c r="Y13" s="98"/>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row>
    <row r="14" spans="1:62" ht="19.2" customHeight="1">
      <c r="A14" s="492"/>
      <c r="B14" s="493"/>
      <c r="C14" s="493"/>
      <c r="D14" s="495"/>
      <c r="E14" s="492"/>
      <c r="F14" s="320" t="s">
        <v>173</v>
      </c>
      <c r="G14" s="321">
        <v>2025</v>
      </c>
      <c r="H14" s="321" t="s">
        <v>170</v>
      </c>
      <c r="I14" s="321">
        <v>3.7999999999999999E-2</v>
      </c>
      <c r="J14" s="321">
        <v>3.7999999999999999E-2</v>
      </c>
      <c r="K14" s="321">
        <v>3.7999999999999999E-2</v>
      </c>
      <c r="L14" s="321">
        <v>3.7999999999999999E-2</v>
      </c>
      <c r="M14" s="321">
        <v>3.7999999999999999E-2</v>
      </c>
      <c r="N14" s="321">
        <v>3.7999999999999999E-2</v>
      </c>
      <c r="O14" s="321">
        <v>3.7999999999999999E-2</v>
      </c>
      <c r="P14" s="321">
        <v>3.7999999999999999E-2</v>
      </c>
      <c r="Q14" s="321">
        <v>3.7999999999999999E-2</v>
      </c>
      <c r="R14" s="321">
        <v>3.7999999999999999E-2</v>
      </c>
      <c r="S14" s="321">
        <v>3.7999999999999999E-2</v>
      </c>
      <c r="T14" s="321">
        <v>3.7999999999999999E-2</v>
      </c>
      <c r="U14" s="321">
        <v>3.7999999999999999E-2</v>
      </c>
      <c r="V14" s="321">
        <v>3.7999999999999999E-2</v>
      </c>
      <c r="W14" s="321">
        <v>3.7999999999999999E-2</v>
      </c>
      <c r="X14" s="321">
        <v>3.7999999999999999E-2</v>
      </c>
      <c r="Y14" s="98"/>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row>
    <row r="15" spans="1:62" ht="19.2" customHeight="1">
      <c r="A15" s="492" t="s">
        <v>178</v>
      </c>
      <c r="B15" s="493" t="str">
        <f t="shared" ref="B15" si="3">$B$3</f>
        <v>Assembly</v>
      </c>
      <c r="C15" s="493" t="s">
        <v>179</v>
      </c>
      <c r="D15" s="493" t="s">
        <v>180</v>
      </c>
      <c r="E15" s="492" t="s">
        <v>160</v>
      </c>
      <c r="F15" s="411" t="s">
        <v>161</v>
      </c>
      <c r="G15" s="411" t="s">
        <v>162</v>
      </c>
      <c r="H15" s="493" t="s">
        <v>181</v>
      </c>
      <c r="I15" s="323">
        <f>0.33*1.12+0.67*0.36</f>
        <v>0.61080000000000001</v>
      </c>
      <c r="J15" s="323">
        <f t="shared" ref="J15:X16" si="4">0.33*1.12+0.67*0.36</f>
        <v>0.61080000000000001</v>
      </c>
      <c r="K15" s="323">
        <f t="shared" si="4"/>
        <v>0.61080000000000001</v>
      </c>
      <c r="L15" s="323">
        <f t="shared" si="4"/>
        <v>0.61080000000000001</v>
      </c>
      <c r="M15" s="323">
        <f t="shared" si="4"/>
        <v>0.61080000000000001</v>
      </c>
      <c r="N15" s="323">
        <f t="shared" si="4"/>
        <v>0.61080000000000001</v>
      </c>
      <c r="O15" s="323">
        <f t="shared" si="4"/>
        <v>0.61080000000000001</v>
      </c>
      <c r="P15" s="323">
        <f t="shared" si="4"/>
        <v>0.61080000000000001</v>
      </c>
      <c r="Q15" s="323">
        <f t="shared" si="4"/>
        <v>0.61080000000000001</v>
      </c>
      <c r="R15" s="323">
        <f t="shared" si="4"/>
        <v>0.61080000000000001</v>
      </c>
      <c r="S15" s="323">
        <f t="shared" si="4"/>
        <v>0.61080000000000001</v>
      </c>
      <c r="T15" s="323">
        <f t="shared" si="4"/>
        <v>0.61080000000000001</v>
      </c>
      <c r="U15" s="323">
        <f t="shared" si="4"/>
        <v>0.61080000000000001</v>
      </c>
      <c r="V15" s="323">
        <f t="shared" si="4"/>
        <v>0.61080000000000001</v>
      </c>
      <c r="W15" s="323">
        <f t="shared" si="4"/>
        <v>0.61080000000000001</v>
      </c>
      <c r="X15" s="323">
        <f t="shared" si="4"/>
        <v>0.61080000000000001</v>
      </c>
      <c r="Y15" s="98"/>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row>
    <row r="16" spans="1:62" ht="19.2" customHeight="1">
      <c r="A16" s="492"/>
      <c r="B16" s="493"/>
      <c r="C16" s="493"/>
      <c r="D16" s="493"/>
      <c r="E16" s="492"/>
      <c r="F16" s="311" t="s">
        <v>164</v>
      </c>
      <c r="G16" s="311" t="s">
        <v>162</v>
      </c>
      <c r="H16" s="493"/>
      <c r="I16" s="324">
        <f>0.33*1.12+0.67*0.36</f>
        <v>0.61080000000000001</v>
      </c>
      <c r="J16" s="324">
        <f t="shared" si="4"/>
        <v>0.61080000000000001</v>
      </c>
      <c r="K16" s="324">
        <f t="shared" si="4"/>
        <v>0.61080000000000001</v>
      </c>
      <c r="L16" s="324">
        <f t="shared" si="4"/>
        <v>0.61080000000000001</v>
      </c>
      <c r="M16" s="324">
        <f t="shared" si="4"/>
        <v>0.61080000000000001</v>
      </c>
      <c r="N16" s="324">
        <f t="shared" si="4"/>
        <v>0.61080000000000001</v>
      </c>
      <c r="O16" s="324">
        <f t="shared" si="4"/>
        <v>0.61080000000000001</v>
      </c>
      <c r="P16" s="324">
        <f t="shared" si="4"/>
        <v>0.61080000000000001</v>
      </c>
      <c r="Q16" s="324">
        <f t="shared" si="4"/>
        <v>0.61080000000000001</v>
      </c>
      <c r="R16" s="324">
        <f t="shared" si="4"/>
        <v>0.61080000000000001</v>
      </c>
      <c r="S16" s="324">
        <f t="shared" si="4"/>
        <v>0.61080000000000001</v>
      </c>
      <c r="T16" s="324">
        <f t="shared" si="4"/>
        <v>0.61080000000000001</v>
      </c>
      <c r="U16" s="324">
        <f t="shared" si="4"/>
        <v>0.61080000000000001</v>
      </c>
      <c r="V16" s="324">
        <f t="shared" si="4"/>
        <v>0.61080000000000001</v>
      </c>
      <c r="W16" s="324">
        <f t="shared" si="4"/>
        <v>0.61080000000000001</v>
      </c>
      <c r="X16" s="324">
        <f t="shared" si="4"/>
        <v>0.61080000000000001</v>
      </c>
      <c r="Y16" s="98"/>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row>
    <row r="17" spans="1:62" ht="19.2" customHeight="1">
      <c r="A17" s="492"/>
      <c r="B17" s="493"/>
      <c r="C17" s="493"/>
      <c r="D17" s="492" t="s">
        <v>182</v>
      </c>
      <c r="E17" s="492"/>
      <c r="F17" s="314" t="s">
        <v>167</v>
      </c>
      <c r="G17" s="314">
        <v>2001</v>
      </c>
      <c r="H17" s="314" t="s">
        <v>168</v>
      </c>
      <c r="I17" s="314">
        <v>0.49</v>
      </c>
      <c r="J17" s="314">
        <v>0.49</v>
      </c>
      <c r="K17" s="314">
        <v>0.81</v>
      </c>
      <c r="L17" s="314">
        <v>0.81</v>
      </c>
      <c r="M17" s="314">
        <v>0.81</v>
      </c>
      <c r="N17" s="314">
        <v>0.81</v>
      </c>
      <c r="O17" s="314">
        <v>0.81</v>
      </c>
      <c r="P17" s="314">
        <v>0.81</v>
      </c>
      <c r="Q17" s="314">
        <v>0.81</v>
      </c>
      <c r="R17" s="314">
        <v>0.49</v>
      </c>
      <c r="S17" s="314">
        <v>0.49</v>
      </c>
      <c r="T17" s="314">
        <v>0.49</v>
      </c>
      <c r="U17" s="314">
        <v>0.49</v>
      </c>
      <c r="V17" s="314">
        <v>0.49</v>
      </c>
      <c r="W17" s="314">
        <v>0.49</v>
      </c>
      <c r="X17" s="314">
        <v>0.49</v>
      </c>
      <c r="Y17" s="98"/>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row>
    <row r="18" spans="1:62" ht="19.2" customHeight="1">
      <c r="A18" s="492"/>
      <c r="B18" s="493"/>
      <c r="C18" s="493"/>
      <c r="D18" s="492"/>
      <c r="E18" s="492"/>
      <c r="F18" s="316" t="s">
        <v>169</v>
      </c>
      <c r="G18" s="316">
        <v>2013</v>
      </c>
      <c r="H18" s="316" t="s">
        <v>170</v>
      </c>
      <c r="I18" s="316">
        <v>0.36</v>
      </c>
      <c r="J18" s="316">
        <v>0.36</v>
      </c>
      <c r="K18" s="316">
        <v>0.36</v>
      </c>
      <c r="L18" s="316">
        <v>0.36</v>
      </c>
      <c r="M18" s="316">
        <v>0.36</v>
      </c>
      <c r="N18" s="316">
        <v>0.36</v>
      </c>
      <c r="O18" s="316">
        <v>0.36</v>
      </c>
      <c r="P18" s="316">
        <v>0.36</v>
      </c>
      <c r="Q18" s="316">
        <v>0.36</v>
      </c>
      <c r="R18" s="316">
        <v>0.36</v>
      </c>
      <c r="S18" s="316">
        <v>0.36</v>
      </c>
      <c r="T18" s="316">
        <v>0.36</v>
      </c>
      <c r="U18" s="316">
        <v>0.36</v>
      </c>
      <c r="V18" s="316">
        <v>0.36</v>
      </c>
      <c r="W18" s="316">
        <v>0.36</v>
      </c>
      <c r="X18" s="316">
        <v>0.36</v>
      </c>
      <c r="Y18" s="98"/>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row>
    <row r="19" spans="1:62" ht="19.2" customHeight="1">
      <c r="A19" s="492"/>
      <c r="B19" s="493"/>
      <c r="C19" s="493"/>
      <c r="D19" s="492"/>
      <c r="E19" s="492"/>
      <c r="F19" s="318" t="s">
        <v>171</v>
      </c>
      <c r="G19" s="318"/>
      <c r="H19" s="318" t="s">
        <v>172</v>
      </c>
      <c r="I19" s="329" cm="1">
        <f t="array" ref="I19:X19">_xlfn.BYCOL(TRANSPOSE(Weights!$C$4:$F$19)*I15:X18,_xlfn.LAMBDA(_xlpm.c,SUM(_xlpm.c)))</f>
        <v>0.57694000067999995</v>
      </c>
      <c r="J19" s="329">
        <v>0.58691520515999995</v>
      </c>
      <c r="K19" s="329">
        <v>0.61856870652000007</v>
      </c>
      <c r="L19" s="329">
        <v>0.61888709076000004</v>
      </c>
      <c r="M19" s="329">
        <v>0.60943160928000006</v>
      </c>
      <c r="N19" s="329">
        <v>0.62779251719999996</v>
      </c>
      <c r="O19" s="329">
        <v>0.63153607559999991</v>
      </c>
      <c r="P19" s="329">
        <v>0.62041374407999994</v>
      </c>
      <c r="Q19" s="329">
        <v>0.61744801931999993</v>
      </c>
      <c r="R19" s="329">
        <v>0.56301688344000012</v>
      </c>
      <c r="S19" s="329">
        <v>0.5695453934000001</v>
      </c>
      <c r="T19" s="329">
        <v>0.56654295931999998</v>
      </c>
      <c r="U19" s="329">
        <v>0.57405705624000003</v>
      </c>
      <c r="V19" s="329">
        <v>0.57538290912000001</v>
      </c>
      <c r="W19" s="329">
        <v>0.55653636599999989</v>
      </c>
      <c r="X19" s="329">
        <v>0.56779309216000007</v>
      </c>
      <c r="Y19" s="98"/>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row>
    <row r="20" spans="1:62" ht="19.2" customHeight="1">
      <c r="A20" s="492"/>
      <c r="B20" s="493"/>
      <c r="C20" s="493"/>
      <c r="D20" s="492"/>
      <c r="E20" s="492"/>
      <c r="F20" s="320" t="s">
        <v>173</v>
      </c>
      <c r="G20" s="321">
        <v>2025</v>
      </c>
      <c r="H20" s="321" t="s">
        <v>170</v>
      </c>
      <c r="I20" s="321">
        <v>0.36</v>
      </c>
      <c r="J20" s="321">
        <v>0.36</v>
      </c>
      <c r="K20" s="321">
        <v>0.36</v>
      </c>
      <c r="L20" s="321">
        <v>0.36</v>
      </c>
      <c r="M20" s="321">
        <v>0.36</v>
      </c>
      <c r="N20" s="321">
        <v>0.36</v>
      </c>
      <c r="O20" s="321">
        <v>0.36</v>
      </c>
      <c r="P20" s="321">
        <v>0.36</v>
      </c>
      <c r="Q20" s="321">
        <v>0.34</v>
      </c>
      <c r="R20" s="321">
        <v>0.36</v>
      </c>
      <c r="S20" s="321">
        <v>0.34</v>
      </c>
      <c r="T20" s="321">
        <v>0.34</v>
      </c>
      <c r="U20" s="321">
        <v>0.34</v>
      </c>
      <c r="V20" s="321">
        <v>0.34</v>
      </c>
      <c r="W20" s="321">
        <v>0.34</v>
      </c>
      <c r="X20" s="321">
        <v>0.36</v>
      </c>
      <c r="Y20" s="98"/>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row>
    <row r="21" spans="1:62" ht="19.2" customHeight="1">
      <c r="A21" s="492"/>
      <c r="B21" s="493" t="str">
        <f t="shared" ref="B21" si="5">$B$3</f>
        <v>Assembly</v>
      </c>
      <c r="C21" s="493" t="s">
        <v>179</v>
      </c>
      <c r="D21" s="493" t="s">
        <v>180</v>
      </c>
      <c r="E21" s="492" t="s">
        <v>183</v>
      </c>
      <c r="F21" s="411" t="s">
        <v>161</v>
      </c>
      <c r="G21" s="411" t="s">
        <v>162</v>
      </c>
      <c r="H21" s="493" t="s">
        <v>184</v>
      </c>
      <c r="I21" s="323">
        <f>0.79*0.33+0.67*I24</f>
        <v>0.42820000000000003</v>
      </c>
      <c r="J21" s="323">
        <f t="shared" ref="J21:X21" si="6">0.79*0.33+0.67*J24</f>
        <v>0.42820000000000003</v>
      </c>
      <c r="K21" s="323">
        <f t="shared" si="6"/>
        <v>0.42820000000000003</v>
      </c>
      <c r="L21" s="323">
        <f t="shared" si="6"/>
        <v>0.42820000000000003</v>
      </c>
      <c r="M21" s="323">
        <f t="shared" si="6"/>
        <v>0.42820000000000003</v>
      </c>
      <c r="N21" s="323">
        <f t="shared" si="6"/>
        <v>0.42820000000000003</v>
      </c>
      <c r="O21" s="323">
        <f t="shared" si="6"/>
        <v>0.42820000000000003</v>
      </c>
      <c r="P21" s="323">
        <f t="shared" si="6"/>
        <v>0.42820000000000003</v>
      </c>
      <c r="Q21" s="323">
        <f t="shared" si="6"/>
        <v>0.42820000000000003</v>
      </c>
      <c r="R21" s="323">
        <f t="shared" si="6"/>
        <v>0.42820000000000003</v>
      </c>
      <c r="S21" s="323">
        <f t="shared" si="6"/>
        <v>0.42820000000000003</v>
      </c>
      <c r="T21" s="323">
        <f t="shared" si="6"/>
        <v>0.42820000000000003</v>
      </c>
      <c r="U21" s="323">
        <f t="shared" si="6"/>
        <v>0.42820000000000003</v>
      </c>
      <c r="V21" s="323">
        <f t="shared" si="6"/>
        <v>0.42820000000000003</v>
      </c>
      <c r="W21" s="323">
        <f t="shared" si="6"/>
        <v>0.42820000000000003</v>
      </c>
      <c r="X21" s="323">
        <f t="shared" si="6"/>
        <v>0.42820000000000003</v>
      </c>
      <c r="Y21" s="98"/>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row>
    <row r="22" spans="1:62" ht="19.2" customHeight="1">
      <c r="A22" s="492"/>
      <c r="B22" s="493"/>
      <c r="C22" s="493"/>
      <c r="D22" s="493"/>
      <c r="E22" s="492"/>
      <c r="F22" s="311" t="s">
        <v>164</v>
      </c>
      <c r="G22" s="311" t="s">
        <v>162</v>
      </c>
      <c r="H22" s="493"/>
      <c r="I22" s="324">
        <f>0.79*0.33+0.67*I24</f>
        <v>0.42820000000000003</v>
      </c>
      <c r="J22" s="324">
        <f t="shared" ref="J22:X22" si="7">0.79*0.33+0.67*J24</f>
        <v>0.42820000000000003</v>
      </c>
      <c r="K22" s="324">
        <f t="shared" si="7"/>
        <v>0.42820000000000003</v>
      </c>
      <c r="L22" s="324">
        <f t="shared" si="7"/>
        <v>0.42820000000000003</v>
      </c>
      <c r="M22" s="324">
        <f t="shared" si="7"/>
        <v>0.42820000000000003</v>
      </c>
      <c r="N22" s="324">
        <f t="shared" si="7"/>
        <v>0.42820000000000003</v>
      </c>
      <c r="O22" s="324">
        <f t="shared" si="7"/>
        <v>0.42820000000000003</v>
      </c>
      <c r="P22" s="324">
        <f t="shared" si="7"/>
        <v>0.42820000000000003</v>
      </c>
      <c r="Q22" s="324">
        <f t="shared" si="7"/>
        <v>0.42820000000000003</v>
      </c>
      <c r="R22" s="324">
        <f t="shared" si="7"/>
        <v>0.42820000000000003</v>
      </c>
      <c r="S22" s="324">
        <f t="shared" si="7"/>
        <v>0.42820000000000003</v>
      </c>
      <c r="T22" s="324">
        <f t="shared" si="7"/>
        <v>0.42820000000000003</v>
      </c>
      <c r="U22" s="324">
        <f t="shared" si="7"/>
        <v>0.42820000000000003</v>
      </c>
      <c r="V22" s="324">
        <f t="shared" si="7"/>
        <v>0.42820000000000003</v>
      </c>
      <c r="W22" s="324">
        <f t="shared" si="7"/>
        <v>0.42820000000000003</v>
      </c>
      <c r="X22" s="324">
        <f t="shared" si="7"/>
        <v>0.42820000000000003</v>
      </c>
      <c r="Y22" s="98"/>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row>
    <row r="23" spans="1:62" ht="19.2" customHeight="1">
      <c r="A23" s="492"/>
      <c r="B23" s="493"/>
      <c r="C23" s="493"/>
      <c r="D23" s="492" t="s">
        <v>182</v>
      </c>
      <c r="E23" s="492"/>
      <c r="F23" s="314" t="s">
        <v>167</v>
      </c>
      <c r="G23" s="314">
        <v>2001</v>
      </c>
      <c r="H23" s="325" t="s">
        <v>185</v>
      </c>
      <c r="I23" s="314">
        <v>0.43</v>
      </c>
      <c r="J23" s="314">
        <v>0.36</v>
      </c>
      <c r="K23" s="314">
        <v>0.41</v>
      </c>
      <c r="L23" s="314">
        <v>0.41</v>
      </c>
      <c r="M23" s="314">
        <v>0.41</v>
      </c>
      <c r="N23" s="314">
        <v>0.34</v>
      </c>
      <c r="O23" s="314">
        <v>0.34</v>
      </c>
      <c r="P23" s="314">
        <v>0.34</v>
      </c>
      <c r="Q23" s="314">
        <v>0.34</v>
      </c>
      <c r="R23" s="314">
        <v>0.31</v>
      </c>
      <c r="S23" s="314">
        <v>0.31</v>
      </c>
      <c r="T23" s="314">
        <v>0.31</v>
      </c>
      <c r="U23" s="314">
        <v>0.31</v>
      </c>
      <c r="V23" s="314">
        <v>0.31</v>
      </c>
      <c r="W23" s="314">
        <v>0.31</v>
      </c>
      <c r="X23" s="314">
        <v>0.43</v>
      </c>
      <c r="Y23" s="98"/>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row>
    <row r="24" spans="1:62" ht="19.2" customHeight="1">
      <c r="A24" s="492"/>
      <c r="B24" s="493"/>
      <c r="C24" s="493"/>
      <c r="D24" s="492"/>
      <c r="E24" s="492"/>
      <c r="F24" s="316" t="s">
        <v>169</v>
      </c>
      <c r="G24" s="316">
        <v>2013</v>
      </c>
      <c r="H24" s="316" t="s">
        <v>170</v>
      </c>
      <c r="I24" s="316">
        <v>0.25</v>
      </c>
      <c r="J24" s="316">
        <v>0.25</v>
      </c>
      <c r="K24" s="316">
        <v>0.25</v>
      </c>
      <c r="L24" s="316">
        <v>0.25</v>
      </c>
      <c r="M24" s="316">
        <v>0.25</v>
      </c>
      <c r="N24" s="316">
        <v>0.25</v>
      </c>
      <c r="O24" s="316">
        <v>0.25</v>
      </c>
      <c r="P24" s="316">
        <v>0.25</v>
      </c>
      <c r="Q24" s="316">
        <v>0.25</v>
      </c>
      <c r="R24" s="316">
        <v>0.25</v>
      </c>
      <c r="S24" s="316">
        <v>0.25</v>
      </c>
      <c r="T24" s="316">
        <v>0.25</v>
      </c>
      <c r="U24" s="316">
        <v>0.25</v>
      </c>
      <c r="V24" s="316">
        <v>0.25</v>
      </c>
      <c r="W24" s="316">
        <v>0.25</v>
      </c>
      <c r="X24" s="316">
        <v>0.25</v>
      </c>
      <c r="Y24" s="98"/>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row>
    <row r="25" spans="1:62" ht="19.2" customHeight="1">
      <c r="A25" s="492"/>
      <c r="B25" s="493"/>
      <c r="C25" s="493"/>
      <c r="D25" s="492"/>
      <c r="E25" s="492"/>
      <c r="F25" s="318" t="s">
        <v>171</v>
      </c>
      <c r="G25" s="318"/>
      <c r="H25" s="318" t="s">
        <v>172</v>
      </c>
      <c r="I25" s="329" cm="1">
        <f t="array" ref="I25:X25">_xlfn.BYCOL(TRANSPOSE(Weights!$C$4:$F$19)*I21:X24,_xlfn.LAMBDA(_xlpm.c,SUM(_xlpm.c)))</f>
        <v>0.41296871772000004</v>
      </c>
      <c r="J25" s="329">
        <v>0.41294684964</v>
      </c>
      <c r="K25" s="329">
        <v>0.41232843908000005</v>
      </c>
      <c r="L25" s="329">
        <v>0.41260413054</v>
      </c>
      <c r="M25" s="329">
        <v>0.40954748961999998</v>
      </c>
      <c r="N25" s="329">
        <v>0.41113406230000005</v>
      </c>
      <c r="O25" s="329">
        <v>0.40299334090000005</v>
      </c>
      <c r="P25" s="329">
        <v>0.41422497732000008</v>
      </c>
      <c r="Q25" s="329">
        <v>0.41392607828000005</v>
      </c>
      <c r="R25" s="329">
        <v>0.38585621426000005</v>
      </c>
      <c r="S25" s="329">
        <v>0.39399642460000001</v>
      </c>
      <c r="T25" s="329">
        <v>0.39161450728000008</v>
      </c>
      <c r="U25" s="329">
        <v>0.39881962745999999</v>
      </c>
      <c r="V25" s="329">
        <v>0.39793839298</v>
      </c>
      <c r="W25" s="329">
        <v>0.37889819350000004</v>
      </c>
      <c r="X25" s="329">
        <v>0.41153017264000002</v>
      </c>
      <c r="Y25" s="98"/>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row>
    <row r="26" spans="1:62" ht="19.2" customHeight="1">
      <c r="A26" s="492"/>
      <c r="B26" s="493"/>
      <c r="C26" s="493"/>
      <c r="D26" s="492"/>
      <c r="E26" s="492"/>
      <c r="F26" s="320" t="s">
        <v>173</v>
      </c>
      <c r="G26" s="321">
        <v>2025</v>
      </c>
      <c r="H26" s="320" t="s">
        <v>170</v>
      </c>
      <c r="I26" s="321">
        <v>0.25</v>
      </c>
      <c r="J26" s="321">
        <v>0.25</v>
      </c>
      <c r="K26" s="321">
        <v>0.25</v>
      </c>
      <c r="L26" s="321">
        <v>0.25</v>
      </c>
      <c r="M26" s="321">
        <v>0.25</v>
      </c>
      <c r="N26" s="321">
        <v>0.25</v>
      </c>
      <c r="O26" s="321">
        <v>0.25</v>
      </c>
      <c r="P26" s="321">
        <v>0.25</v>
      </c>
      <c r="Q26" s="321">
        <v>0.22</v>
      </c>
      <c r="R26" s="321">
        <v>0.25</v>
      </c>
      <c r="S26" s="321">
        <v>0.22</v>
      </c>
      <c r="T26" s="321">
        <v>0.22</v>
      </c>
      <c r="U26" s="321">
        <v>0.22</v>
      </c>
      <c r="V26" s="321">
        <v>0.22</v>
      </c>
      <c r="W26" s="321">
        <v>0.22</v>
      </c>
      <c r="X26" s="321">
        <v>0.25</v>
      </c>
      <c r="Y26" s="98"/>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row>
    <row r="27" spans="1:62">
      <c r="A27" s="6"/>
      <c r="B27" s="12"/>
      <c r="C27" s="6"/>
      <c r="D27" s="6"/>
      <c r="E27" s="99"/>
      <c r="F27" s="99"/>
      <c r="G27" s="100"/>
      <c r="H27" s="99"/>
      <c r="I27" s="99"/>
      <c r="J27" s="99"/>
      <c r="K27" s="99"/>
      <c r="L27" s="99"/>
      <c r="M27" s="99"/>
      <c r="N27" s="99"/>
      <c r="O27" s="99"/>
      <c r="P27" s="99"/>
      <c r="Q27" s="99"/>
      <c r="R27" s="99"/>
      <c r="S27" s="99"/>
      <c r="T27" s="99"/>
      <c r="U27" s="99"/>
      <c r="V27" s="99"/>
      <c r="W27" s="99"/>
      <c r="X27" s="99"/>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row>
    <row r="28" spans="1:62" ht="15.6">
      <c r="A28" s="6"/>
      <c r="B28" s="12"/>
      <c r="C28" s="6"/>
      <c r="D28" s="6"/>
      <c r="E28" s="71"/>
      <c r="F28" s="71"/>
      <c r="G28" s="71"/>
      <c r="H28" s="71"/>
      <c r="I28" s="71"/>
      <c r="J28" s="71"/>
      <c r="K28" s="71"/>
      <c r="L28" s="71"/>
      <c r="M28" s="72"/>
      <c r="N28" s="72"/>
      <c r="O28" s="72"/>
      <c r="P28" s="72"/>
      <c r="Q28" s="72"/>
      <c r="R28" s="72"/>
      <c r="S28" s="72"/>
      <c r="T28" s="72"/>
      <c r="U28" s="72"/>
      <c r="V28" s="72"/>
      <c r="W28" s="72"/>
      <c r="X28" s="72"/>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row>
    <row r="29" spans="1:62" ht="27" customHeight="1">
      <c r="A29" s="4"/>
      <c r="B29" s="161"/>
      <c r="C29" s="454" t="s">
        <v>186</v>
      </c>
      <c r="D29" s="454"/>
      <c r="E29" s="454"/>
      <c r="F29" s="454"/>
      <c r="G29" s="454"/>
      <c r="H29" s="454"/>
      <c r="I29" s="454"/>
      <c r="J29" s="454"/>
      <c r="K29" s="454"/>
      <c r="L29" s="454"/>
      <c r="M29" s="454"/>
      <c r="N29" s="454"/>
      <c r="O29" s="454"/>
      <c r="P29" s="454"/>
      <c r="Q29" s="454"/>
      <c r="R29" s="454"/>
      <c r="S29" s="454"/>
      <c r="T29" s="454"/>
      <c r="U29" s="454"/>
      <c r="V29" s="454"/>
      <c r="W29" s="454"/>
      <c r="X29" s="454"/>
      <c r="Y29" s="71"/>
      <c r="Z29" s="71"/>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row>
    <row r="30" spans="1:62" ht="54.75" customHeight="1">
      <c r="A30" s="4"/>
      <c r="B30" s="161"/>
      <c r="C30" s="326"/>
      <c r="D30" s="326" t="s">
        <v>69</v>
      </c>
      <c r="E30" s="326" t="s">
        <v>187</v>
      </c>
      <c r="F30" s="427" t="s">
        <v>139</v>
      </c>
      <c r="G30" s="414" t="s">
        <v>188</v>
      </c>
      <c r="H30" s="414" t="s">
        <v>189</v>
      </c>
      <c r="I30" s="448" t="s">
        <v>190</v>
      </c>
      <c r="J30" s="448"/>
      <c r="K30" s="448"/>
      <c r="L30" s="448"/>
      <c r="M30" s="448"/>
      <c r="N30" s="448"/>
      <c r="O30" s="448"/>
      <c r="P30" s="448"/>
      <c r="Q30" s="448"/>
      <c r="R30" s="448"/>
      <c r="S30" s="448"/>
      <c r="T30" s="448"/>
      <c r="U30" s="448"/>
      <c r="V30" s="448"/>
      <c r="W30" s="448"/>
      <c r="X30" s="448"/>
      <c r="Y30" s="127"/>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row>
    <row r="31" spans="1:62" ht="14.4">
      <c r="A31" s="4"/>
      <c r="B31" s="161"/>
      <c r="C31" s="475" t="s">
        <v>186</v>
      </c>
      <c r="D31" s="475" t="s">
        <v>83</v>
      </c>
      <c r="E31" s="475"/>
      <c r="F31" s="421" t="s">
        <v>161</v>
      </c>
      <c r="G31" s="423">
        <v>1.1000000000000001</v>
      </c>
      <c r="H31" s="407" t="s">
        <v>191</v>
      </c>
      <c r="I31" s="478">
        <f>0.112*G31*AA36</f>
        <v>0.57003692307692322</v>
      </c>
      <c r="J31" s="478"/>
      <c r="K31" s="478"/>
      <c r="L31" s="478"/>
      <c r="M31" s="478"/>
      <c r="N31" s="478"/>
      <c r="O31" s="478"/>
      <c r="P31" s="478"/>
      <c r="Q31" s="478"/>
      <c r="R31" s="478"/>
      <c r="S31" s="478"/>
      <c r="T31" s="478"/>
      <c r="U31" s="478"/>
      <c r="V31" s="478"/>
      <c r="W31" s="478"/>
      <c r="X31" s="478"/>
      <c r="Y31" s="10"/>
      <c r="Z31" s="401" t="s">
        <v>192</v>
      </c>
      <c r="AA31" s="402">
        <v>8892.49</v>
      </c>
      <c r="AB31" s="413"/>
      <c r="AC31" s="413"/>
      <c r="AD31" s="413"/>
      <c r="AE31" s="413"/>
      <c r="AF31" s="455"/>
      <c r="AG31" s="455"/>
      <c r="AH31" s="455"/>
      <c r="AI31" s="455"/>
      <c r="AJ31" s="455"/>
      <c r="AK31" s="455"/>
      <c r="AL31" s="455"/>
      <c r="AM31" s="455"/>
      <c r="AN31" s="455"/>
      <c r="AO31" s="455"/>
      <c r="AP31" s="455"/>
      <c r="AQ31" s="455"/>
      <c r="AR31" s="455"/>
      <c r="AS31" s="455"/>
      <c r="AT31" s="455"/>
      <c r="AU31" s="455"/>
      <c r="AV31" s="455"/>
      <c r="AW31" s="455"/>
      <c r="AX31" s="4"/>
      <c r="AY31" s="4"/>
      <c r="AZ31" s="4"/>
      <c r="BA31" s="4"/>
      <c r="BB31" s="4"/>
      <c r="BC31" s="4"/>
      <c r="BD31" s="4"/>
      <c r="BE31" s="4"/>
      <c r="BF31" s="4"/>
      <c r="BG31" s="4"/>
      <c r="BH31" s="4"/>
      <c r="BI31" s="4"/>
      <c r="BJ31" s="4"/>
    </row>
    <row r="32" spans="1:62" ht="14.4">
      <c r="A32" s="4"/>
      <c r="B32" s="161"/>
      <c r="C32" s="476"/>
      <c r="D32" s="476"/>
      <c r="E32" s="476"/>
      <c r="F32" s="421" t="s">
        <v>164</v>
      </c>
      <c r="G32" s="423">
        <v>1.1000000000000001</v>
      </c>
      <c r="H32" s="407" t="s">
        <v>191</v>
      </c>
      <c r="I32" s="478">
        <f>0.112*G32*AA36</f>
        <v>0.57003692307692322</v>
      </c>
      <c r="J32" s="478"/>
      <c r="K32" s="478"/>
      <c r="L32" s="478"/>
      <c r="M32" s="478"/>
      <c r="N32" s="478"/>
      <c r="O32" s="478"/>
      <c r="P32" s="478"/>
      <c r="Q32" s="478"/>
      <c r="R32" s="478"/>
      <c r="S32" s="478"/>
      <c r="T32" s="478"/>
      <c r="U32" s="478"/>
      <c r="V32" s="478"/>
      <c r="W32" s="478"/>
      <c r="X32" s="478"/>
      <c r="Y32" s="10"/>
      <c r="Z32" s="382" t="s">
        <v>193</v>
      </c>
      <c r="AA32" s="403">
        <f>94.3*4*13</f>
        <v>4903.5999999999995</v>
      </c>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row>
    <row r="33" spans="1:62" ht="14.4">
      <c r="A33" s="4"/>
      <c r="B33" s="161"/>
      <c r="C33" s="476"/>
      <c r="D33" s="476"/>
      <c r="E33" s="476"/>
      <c r="F33" s="421" t="s">
        <v>167</v>
      </c>
      <c r="G33" s="423">
        <v>1.1000000000000001</v>
      </c>
      <c r="H33" s="407" t="s">
        <v>191</v>
      </c>
      <c r="I33" s="478">
        <f>0.112*G33*AA36</f>
        <v>0.57003692307692322</v>
      </c>
      <c r="J33" s="478"/>
      <c r="K33" s="478"/>
      <c r="L33" s="478"/>
      <c r="M33" s="478"/>
      <c r="N33" s="478"/>
      <c r="O33" s="478"/>
      <c r="P33" s="478"/>
      <c r="Q33" s="478"/>
      <c r="R33" s="478"/>
      <c r="S33" s="478"/>
      <c r="T33" s="478"/>
      <c r="U33" s="478"/>
      <c r="V33" s="478"/>
      <c r="W33" s="478"/>
      <c r="X33" s="478"/>
      <c r="Y33" s="10"/>
      <c r="Z33" s="382" t="s">
        <v>194</v>
      </c>
      <c r="AA33" s="404">
        <f>AA32</f>
        <v>4903.5999999999995</v>
      </c>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row>
    <row r="34" spans="1:62" ht="26.4">
      <c r="A34" s="4"/>
      <c r="B34" s="161"/>
      <c r="C34" s="476"/>
      <c r="D34" s="476"/>
      <c r="E34" s="476"/>
      <c r="F34" s="421" t="s">
        <v>169</v>
      </c>
      <c r="G34" s="423">
        <v>1</v>
      </c>
      <c r="H34" s="423" t="s">
        <v>195</v>
      </c>
      <c r="I34" s="478">
        <f>0.112*G34*AA36</f>
        <v>0.51821538461538463</v>
      </c>
      <c r="J34" s="478"/>
      <c r="K34" s="478"/>
      <c r="L34" s="478"/>
      <c r="M34" s="478"/>
      <c r="N34" s="478"/>
      <c r="O34" s="478"/>
      <c r="P34" s="478"/>
      <c r="Q34" s="478"/>
      <c r="R34" s="478"/>
      <c r="S34" s="478"/>
      <c r="T34" s="478"/>
      <c r="U34" s="478"/>
      <c r="V34" s="478"/>
      <c r="W34" s="478"/>
      <c r="X34" s="478"/>
      <c r="Y34" s="10"/>
      <c r="Z34" s="382" t="s">
        <v>196</v>
      </c>
      <c r="AA34" s="403">
        <f>AA32+(2*AA31)</f>
        <v>22688.579999999998</v>
      </c>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row>
    <row r="35" spans="1:62">
      <c r="A35" s="4"/>
      <c r="B35" s="161"/>
      <c r="C35" s="476"/>
      <c r="D35" s="476"/>
      <c r="E35" s="476"/>
      <c r="F35" s="287" t="s">
        <v>171</v>
      </c>
      <c r="G35" s="296">
        <f>G32</f>
        <v>1.1000000000000001</v>
      </c>
      <c r="H35" s="327" t="s">
        <v>197</v>
      </c>
      <c r="I35" s="478">
        <f>0.112*G35*AA36</f>
        <v>0.57003692307692322</v>
      </c>
      <c r="J35" s="478"/>
      <c r="K35" s="478"/>
      <c r="L35" s="478"/>
      <c r="M35" s="478"/>
      <c r="N35" s="478"/>
      <c r="O35" s="478"/>
      <c r="P35" s="478"/>
      <c r="Q35" s="478"/>
      <c r="R35" s="478"/>
      <c r="S35" s="478"/>
      <c r="T35" s="478"/>
      <c r="U35" s="478"/>
      <c r="V35" s="478"/>
      <c r="W35" s="478"/>
      <c r="X35" s="478"/>
      <c r="Y35" s="10"/>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row>
    <row r="36" spans="1:62" ht="26.4">
      <c r="A36" s="4"/>
      <c r="B36" s="161"/>
      <c r="C36" s="476"/>
      <c r="D36" s="477"/>
      <c r="E36" s="477"/>
      <c r="F36" s="421" t="s">
        <v>173</v>
      </c>
      <c r="G36" s="423">
        <v>0.6</v>
      </c>
      <c r="H36" s="423" t="s">
        <v>198</v>
      </c>
      <c r="I36" s="478">
        <f>0.112*G36*AA36</f>
        <v>0.31092923076923079</v>
      </c>
      <c r="J36" s="478"/>
      <c r="K36" s="478"/>
      <c r="L36" s="478"/>
      <c r="M36" s="478"/>
      <c r="N36" s="478"/>
      <c r="O36" s="478"/>
      <c r="P36" s="478"/>
      <c r="Q36" s="478"/>
      <c r="R36" s="478"/>
      <c r="S36" s="478"/>
      <c r="T36" s="478"/>
      <c r="U36" s="478"/>
      <c r="V36" s="478"/>
      <c r="W36" s="478"/>
      <c r="X36" s="478"/>
      <c r="Y36" s="10"/>
      <c r="Z36" s="405" t="s">
        <v>199</v>
      </c>
      <c r="AA36" s="406">
        <f>AA34/AA33</f>
        <v>4.6269230769230774</v>
      </c>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row>
    <row r="37" spans="1:62" ht="14.4">
      <c r="A37" s="4"/>
      <c r="B37" s="161"/>
      <c r="C37" s="476"/>
      <c r="D37" s="475" t="s">
        <v>94</v>
      </c>
      <c r="E37" s="475"/>
      <c r="F37" s="421" t="s">
        <v>161</v>
      </c>
      <c r="G37" s="423">
        <v>1.1000000000000001</v>
      </c>
      <c r="H37" s="407" t="s">
        <v>191</v>
      </c>
      <c r="I37" s="478">
        <f>0.112*G37*AA42</f>
        <v>0.66338461538461557</v>
      </c>
      <c r="J37" s="478"/>
      <c r="K37" s="478"/>
      <c r="L37" s="478"/>
      <c r="M37" s="478"/>
      <c r="N37" s="478"/>
      <c r="O37" s="478"/>
      <c r="P37" s="478"/>
      <c r="Q37" s="478"/>
      <c r="R37" s="478"/>
      <c r="S37" s="478"/>
      <c r="T37" s="478"/>
      <c r="U37" s="478"/>
      <c r="V37" s="478"/>
      <c r="W37" s="478"/>
      <c r="X37" s="478"/>
      <c r="Y37" s="10"/>
      <c r="Z37" s="401" t="s">
        <v>192</v>
      </c>
      <c r="AA37" s="402">
        <v>12996</v>
      </c>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row>
    <row r="38" spans="1:62" ht="14.4">
      <c r="A38" s="4"/>
      <c r="B38" s="161"/>
      <c r="C38" s="476"/>
      <c r="D38" s="476"/>
      <c r="E38" s="476"/>
      <c r="F38" s="421" t="s">
        <v>164</v>
      </c>
      <c r="G38" s="423">
        <v>1.1000000000000001</v>
      </c>
      <c r="H38" s="407" t="s">
        <v>191</v>
      </c>
      <c r="I38" s="478">
        <f>0.112*G38*AA42</f>
        <v>0.66338461538461557</v>
      </c>
      <c r="J38" s="478"/>
      <c r="K38" s="478"/>
      <c r="L38" s="478"/>
      <c r="M38" s="478"/>
      <c r="N38" s="478"/>
      <c r="O38" s="478"/>
      <c r="P38" s="478"/>
      <c r="Q38" s="478"/>
      <c r="R38" s="478"/>
      <c r="S38" s="478"/>
      <c r="T38" s="478"/>
      <c r="U38" s="478"/>
      <c r="V38" s="478"/>
      <c r="W38" s="478"/>
      <c r="X38" s="478"/>
      <c r="Y38" s="10"/>
      <c r="Z38" s="382" t="s">
        <v>193</v>
      </c>
      <c r="AA38" s="403">
        <f>114*4*13</f>
        <v>5928</v>
      </c>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row>
    <row r="39" spans="1:62" ht="14.4">
      <c r="A39" s="4"/>
      <c r="B39" s="161"/>
      <c r="C39" s="476"/>
      <c r="D39" s="476"/>
      <c r="E39" s="476"/>
      <c r="F39" s="421" t="s">
        <v>167</v>
      </c>
      <c r="G39" s="423">
        <v>1.1000000000000001</v>
      </c>
      <c r="H39" s="407" t="s">
        <v>191</v>
      </c>
      <c r="I39" s="478">
        <f>0.112*G39*AA42</f>
        <v>0.66338461538461557</v>
      </c>
      <c r="J39" s="478"/>
      <c r="K39" s="478"/>
      <c r="L39" s="478"/>
      <c r="M39" s="478"/>
      <c r="N39" s="478"/>
      <c r="O39" s="478"/>
      <c r="P39" s="478"/>
      <c r="Q39" s="478"/>
      <c r="R39" s="478"/>
      <c r="S39" s="478"/>
      <c r="T39" s="478"/>
      <c r="U39" s="478"/>
      <c r="V39" s="478"/>
      <c r="W39" s="478"/>
      <c r="X39" s="478"/>
      <c r="Y39" s="10"/>
      <c r="Z39" s="382" t="s">
        <v>194</v>
      </c>
      <c r="AA39" s="404">
        <f>AA38</f>
        <v>5928</v>
      </c>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row>
    <row r="40" spans="1:62" ht="26.4">
      <c r="A40" s="4"/>
      <c r="B40" s="161"/>
      <c r="C40" s="476"/>
      <c r="D40" s="476"/>
      <c r="E40" s="476"/>
      <c r="F40" s="421" t="s">
        <v>169</v>
      </c>
      <c r="G40" s="423">
        <v>1</v>
      </c>
      <c r="H40" s="423" t="s">
        <v>195</v>
      </c>
      <c r="I40" s="478">
        <f>0.112*G40*AA42</f>
        <v>0.60307692307692318</v>
      </c>
      <c r="J40" s="478"/>
      <c r="K40" s="478"/>
      <c r="L40" s="478"/>
      <c r="M40" s="478"/>
      <c r="N40" s="478"/>
      <c r="O40" s="478"/>
      <c r="P40" s="478"/>
      <c r="Q40" s="478"/>
      <c r="R40" s="478"/>
      <c r="S40" s="478"/>
      <c r="T40" s="478"/>
      <c r="U40" s="478"/>
      <c r="V40" s="478"/>
      <c r="W40" s="478"/>
      <c r="X40" s="478"/>
      <c r="Y40" s="10"/>
      <c r="Z40" s="382" t="s">
        <v>196</v>
      </c>
      <c r="AA40" s="403">
        <f>AA38+(2*AA37)</f>
        <v>31920</v>
      </c>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row>
    <row r="41" spans="1:62">
      <c r="A41" s="4"/>
      <c r="B41" s="161"/>
      <c r="C41" s="476"/>
      <c r="D41" s="476"/>
      <c r="E41" s="476"/>
      <c r="F41" s="287" t="s">
        <v>171</v>
      </c>
      <c r="G41" s="296">
        <f>G38</f>
        <v>1.1000000000000001</v>
      </c>
      <c r="H41" s="327" t="s">
        <v>197</v>
      </c>
      <c r="I41" s="478">
        <f>0.112*G41*AA42</f>
        <v>0.66338461538461557</v>
      </c>
      <c r="J41" s="478"/>
      <c r="K41" s="478"/>
      <c r="L41" s="478"/>
      <c r="M41" s="478"/>
      <c r="N41" s="478"/>
      <c r="O41" s="478"/>
      <c r="P41" s="478"/>
      <c r="Q41" s="478"/>
      <c r="R41" s="478"/>
      <c r="S41" s="478"/>
      <c r="T41" s="478"/>
      <c r="U41" s="478"/>
      <c r="V41" s="478"/>
      <c r="W41" s="478"/>
      <c r="X41" s="478"/>
      <c r="Y41" s="10"/>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row>
    <row r="42" spans="1:62" ht="26.4">
      <c r="A42" s="4"/>
      <c r="B42" s="161"/>
      <c r="C42" s="476"/>
      <c r="D42" s="477"/>
      <c r="E42" s="477"/>
      <c r="F42" s="421" t="s">
        <v>173</v>
      </c>
      <c r="G42" s="423">
        <v>0.6</v>
      </c>
      <c r="H42" s="423" t="s">
        <v>198</v>
      </c>
      <c r="I42" s="478">
        <f>0.112*G42*AA42</f>
        <v>0.36184615384615387</v>
      </c>
      <c r="J42" s="478"/>
      <c r="K42" s="478"/>
      <c r="L42" s="478"/>
      <c r="M42" s="478"/>
      <c r="N42" s="478"/>
      <c r="O42" s="478"/>
      <c r="P42" s="478"/>
      <c r="Q42" s="478"/>
      <c r="R42" s="478"/>
      <c r="S42" s="478"/>
      <c r="T42" s="478"/>
      <c r="U42" s="478"/>
      <c r="V42" s="478"/>
      <c r="W42" s="478"/>
      <c r="X42" s="478"/>
      <c r="Y42" s="10"/>
      <c r="Z42" s="405" t="s">
        <v>199</v>
      </c>
      <c r="AA42" s="406">
        <f>AA40/AA39</f>
        <v>5.384615384615385</v>
      </c>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row>
    <row r="43" spans="1:62" ht="14.4">
      <c r="A43" s="4"/>
      <c r="B43" s="161"/>
      <c r="C43" s="476"/>
      <c r="D43" s="475" t="s">
        <v>103</v>
      </c>
      <c r="E43" s="475"/>
      <c r="F43" s="421" t="s">
        <v>161</v>
      </c>
      <c r="G43" s="423">
        <v>1.1000000000000001</v>
      </c>
      <c r="H43" s="407" t="s">
        <v>191</v>
      </c>
      <c r="I43" s="478">
        <f>0.112*G43*AA48</f>
        <v>0.22545600000000005</v>
      </c>
      <c r="J43" s="478"/>
      <c r="K43" s="478"/>
      <c r="L43" s="478"/>
      <c r="M43" s="478"/>
      <c r="N43" s="478"/>
      <c r="O43" s="478"/>
      <c r="P43" s="478"/>
      <c r="Q43" s="478"/>
      <c r="R43" s="478"/>
      <c r="S43" s="478"/>
      <c r="T43" s="478"/>
      <c r="U43" s="478"/>
      <c r="V43" s="478"/>
      <c r="W43" s="478"/>
      <c r="X43" s="478"/>
      <c r="Y43" s="10"/>
      <c r="Z43" s="401" t="s">
        <v>192</v>
      </c>
      <c r="AA43" s="402">
        <v>6889</v>
      </c>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row>
    <row r="44" spans="1:62" ht="14.4">
      <c r="A44" s="4"/>
      <c r="B44" s="161"/>
      <c r="C44" s="476"/>
      <c r="D44" s="476"/>
      <c r="E44" s="476"/>
      <c r="F44" s="421" t="s">
        <v>164</v>
      </c>
      <c r="G44" s="423">
        <v>1.1000000000000001</v>
      </c>
      <c r="H44" s="407" t="s">
        <v>191</v>
      </c>
      <c r="I44" s="478">
        <f>0.112*G44*AA48</f>
        <v>0.22545600000000005</v>
      </c>
      <c r="J44" s="478"/>
      <c r="K44" s="478"/>
      <c r="L44" s="478"/>
      <c r="M44" s="478"/>
      <c r="N44" s="478"/>
      <c r="O44" s="478"/>
      <c r="P44" s="478"/>
      <c r="Q44" s="478"/>
      <c r="R44" s="478"/>
      <c r="S44" s="478"/>
      <c r="T44" s="478"/>
      <c r="U44" s="478"/>
      <c r="V44" s="478"/>
      <c r="W44" s="478"/>
      <c r="X44" s="478"/>
      <c r="Y44" s="10"/>
      <c r="Z44" s="382" t="s">
        <v>193</v>
      </c>
      <c r="AA44" s="403">
        <f>83*4*50</f>
        <v>16600</v>
      </c>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row>
    <row r="45" spans="1:62" ht="14.4">
      <c r="A45" s="4"/>
      <c r="B45" s="161"/>
      <c r="C45" s="476"/>
      <c r="D45" s="476"/>
      <c r="E45" s="476"/>
      <c r="F45" s="421" t="s">
        <v>167</v>
      </c>
      <c r="G45" s="423">
        <v>1.1000000000000001</v>
      </c>
      <c r="H45" s="407" t="s">
        <v>191</v>
      </c>
      <c r="I45" s="478">
        <f>0.112*G45*AA48</f>
        <v>0.22545600000000005</v>
      </c>
      <c r="J45" s="478"/>
      <c r="K45" s="478"/>
      <c r="L45" s="478"/>
      <c r="M45" s="478"/>
      <c r="N45" s="478"/>
      <c r="O45" s="478"/>
      <c r="P45" s="478"/>
      <c r="Q45" s="478"/>
      <c r="R45" s="478"/>
      <c r="S45" s="478"/>
      <c r="T45" s="478"/>
      <c r="U45" s="478"/>
      <c r="V45" s="478"/>
      <c r="W45" s="478"/>
      <c r="X45" s="478"/>
      <c r="Y45" s="10"/>
      <c r="Z45" s="382" t="s">
        <v>194</v>
      </c>
      <c r="AA45" s="404">
        <f>AA44</f>
        <v>16600</v>
      </c>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row>
    <row r="46" spans="1:62" ht="26.4">
      <c r="A46" s="4"/>
      <c r="B46" s="161"/>
      <c r="C46" s="476"/>
      <c r="D46" s="476"/>
      <c r="E46" s="476"/>
      <c r="F46" s="421" t="s">
        <v>169</v>
      </c>
      <c r="G46" s="423">
        <v>1</v>
      </c>
      <c r="H46" s="423" t="s">
        <v>195</v>
      </c>
      <c r="I46" s="478">
        <f>0.112*G46*AA48</f>
        <v>0.20496</v>
      </c>
      <c r="J46" s="478"/>
      <c r="K46" s="478"/>
      <c r="L46" s="478"/>
      <c r="M46" s="478"/>
      <c r="N46" s="478"/>
      <c r="O46" s="478"/>
      <c r="P46" s="478"/>
      <c r="Q46" s="478"/>
      <c r="R46" s="478"/>
      <c r="S46" s="478"/>
      <c r="T46" s="478"/>
      <c r="U46" s="478"/>
      <c r="V46" s="478"/>
      <c r="W46" s="478"/>
      <c r="X46" s="478"/>
      <c r="Y46" s="10"/>
      <c r="Z46" s="382" t="s">
        <v>196</v>
      </c>
      <c r="AA46" s="403">
        <f>AA44+(2*AA43)</f>
        <v>30378</v>
      </c>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row>
    <row r="47" spans="1:62">
      <c r="A47" s="4"/>
      <c r="B47" s="161"/>
      <c r="C47" s="476"/>
      <c r="D47" s="476"/>
      <c r="E47" s="476"/>
      <c r="F47" s="287" t="s">
        <v>171</v>
      </c>
      <c r="G47" s="296">
        <f>G44</f>
        <v>1.1000000000000001</v>
      </c>
      <c r="H47" s="327" t="s">
        <v>197</v>
      </c>
      <c r="I47" s="478">
        <f>0.112*G47*AA48</f>
        <v>0.22545600000000005</v>
      </c>
      <c r="J47" s="478"/>
      <c r="K47" s="478"/>
      <c r="L47" s="478"/>
      <c r="M47" s="478"/>
      <c r="N47" s="478"/>
      <c r="O47" s="478"/>
      <c r="P47" s="478"/>
      <c r="Q47" s="478"/>
      <c r="R47" s="478"/>
      <c r="S47" s="478"/>
      <c r="T47" s="478"/>
      <c r="U47" s="478"/>
      <c r="V47" s="478"/>
      <c r="W47" s="478"/>
      <c r="X47" s="478"/>
      <c r="Y47" s="10"/>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row>
    <row r="48" spans="1:62" ht="26.4">
      <c r="A48" s="4"/>
      <c r="B48" s="161"/>
      <c r="C48" s="476"/>
      <c r="D48" s="477"/>
      <c r="E48" s="477"/>
      <c r="F48" s="421" t="s">
        <v>173</v>
      </c>
      <c r="G48" s="423">
        <v>0.6</v>
      </c>
      <c r="H48" s="423" t="s">
        <v>198</v>
      </c>
      <c r="I48" s="478">
        <f>0.112*G48*AA48</f>
        <v>0.122976</v>
      </c>
      <c r="J48" s="478"/>
      <c r="K48" s="478"/>
      <c r="L48" s="478"/>
      <c r="M48" s="478"/>
      <c r="N48" s="478"/>
      <c r="O48" s="478"/>
      <c r="P48" s="478"/>
      <c r="Q48" s="478"/>
      <c r="R48" s="478"/>
      <c r="S48" s="478"/>
      <c r="T48" s="478"/>
      <c r="U48" s="478"/>
      <c r="V48" s="478"/>
      <c r="W48" s="478"/>
      <c r="X48" s="478"/>
      <c r="Y48" s="10"/>
      <c r="Z48" s="405" t="s">
        <v>199</v>
      </c>
      <c r="AA48" s="406">
        <f>AA46/AA45</f>
        <v>1.83</v>
      </c>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row>
    <row r="49" spans="1:62" ht="14.4">
      <c r="A49" s="4"/>
      <c r="B49" s="161"/>
      <c r="C49" s="476"/>
      <c r="D49" s="475" t="s">
        <v>111</v>
      </c>
      <c r="E49" s="475"/>
      <c r="F49" s="421" t="s">
        <v>161</v>
      </c>
      <c r="G49" s="423">
        <v>1.1000000000000001</v>
      </c>
      <c r="H49" s="407" t="s">
        <v>191</v>
      </c>
      <c r="I49" s="478">
        <f>0.112*G49*AA54</f>
        <v>0.23037663561643837</v>
      </c>
      <c r="J49" s="478"/>
      <c r="K49" s="478"/>
      <c r="L49" s="478"/>
      <c r="M49" s="478"/>
      <c r="N49" s="478"/>
      <c r="O49" s="478"/>
      <c r="P49" s="478"/>
      <c r="Q49" s="478"/>
      <c r="R49" s="478"/>
      <c r="S49" s="478"/>
      <c r="T49" s="478"/>
      <c r="U49" s="478"/>
      <c r="V49" s="478"/>
      <c r="W49" s="478"/>
      <c r="X49" s="478"/>
      <c r="Y49" s="10"/>
      <c r="Z49" s="401" t="s">
        <v>192</v>
      </c>
      <c r="AA49" s="402">
        <v>3492.81</v>
      </c>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row>
    <row r="50" spans="1:62" ht="14.4">
      <c r="A50" s="4"/>
      <c r="B50" s="161"/>
      <c r="C50" s="476"/>
      <c r="D50" s="476"/>
      <c r="E50" s="476"/>
      <c r="F50" s="421" t="s">
        <v>164</v>
      </c>
      <c r="G50" s="423">
        <v>1.1000000000000001</v>
      </c>
      <c r="H50" s="407" t="s">
        <v>191</v>
      </c>
      <c r="I50" s="478">
        <f>0.112*G50*AA54</f>
        <v>0.23037663561643837</v>
      </c>
      <c r="J50" s="478"/>
      <c r="K50" s="478"/>
      <c r="L50" s="478"/>
      <c r="M50" s="478"/>
      <c r="N50" s="478"/>
      <c r="O50" s="478"/>
      <c r="P50" s="478"/>
      <c r="Q50" s="478"/>
      <c r="R50" s="478"/>
      <c r="S50" s="478"/>
      <c r="T50" s="478"/>
      <c r="U50" s="478"/>
      <c r="V50" s="478"/>
      <c r="W50" s="478"/>
      <c r="X50" s="478"/>
      <c r="Y50" s="10"/>
      <c r="Z50" s="382" t="s">
        <v>193</v>
      </c>
      <c r="AA50" s="403">
        <f>80.3*4*25</f>
        <v>8030</v>
      </c>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row>
    <row r="51" spans="1:62" ht="14.4">
      <c r="A51" s="4"/>
      <c r="B51" s="161"/>
      <c r="C51" s="476"/>
      <c r="D51" s="476"/>
      <c r="E51" s="476"/>
      <c r="F51" s="421" t="s">
        <v>167</v>
      </c>
      <c r="G51" s="423">
        <v>1.1000000000000001</v>
      </c>
      <c r="H51" s="407" t="s">
        <v>191</v>
      </c>
      <c r="I51" s="478">
        <f>0.112*G51*AA54</f>
        <v>0.23037663561643837</v>
      </c>
      <c r="J51" s="478"/>
      <c r="K51" s="478"/>
      <c r="L51" s="478"/>
      <c r="M51" s="478"/>
      <c r="N51" s="478"/>
      <c r="O51" s="478"/>
      <c r="P51" s="478"/>
      <c r="Q51" s="478"/>
      <c r="R51" s="478"/>
      <c r="S51" s="478"/>
      <c r="T51" s="478"/>
      <c r="U51" s="478"/>
      <c r="V51" s="478"/>
      <c r="W51" s="478"/>
      <c r="X51" s="478"/>
      <c r="Y51" s="10"/>
      <c r="Z51" s="382" t="s">
        <v>194</v>
      </c>
      <c r="AA51" s="404">
        <f>AA50</f>
        <v>8030</v>
      </c>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row>
    <row r="52" spans="1:62" ht="26.4">
      <c r="A52" s="4"/>
      <c r="B52" s="161"/>
      <c r="C52" s="476"/>
      <c r="D52" s="476"/>
      <c r="E52" s="476"/>
      <c r="F52" s="421" t="s">
        <v>169</v>
      </c>
      <c r="G52" s="423">
        <v>1</v>
      </c>
      <c r="H52" s="423" t="s">
        <v>195</v>
      </c>
      <c r="I52" s="478">
        <f>0.112*G52*AA54</f>
        <v>0.20943330510585303</v>
      </c>
      <c r="J52" s="478"/>
      <c r="K52" s="478"/>
      <c r="L52" s="478"/>
      <c r="M52" s="478"/>
      <c r="N52" s="478"/>
      <c r="O52" s="478"/>
      <c r="P52" s="478"/>
      <c r="Q52" s="478"/>
      <c r="R52" s="478"/>
      <c r="S52" s="478"/>
      <c r="T52" s="478"/>
      <c r="U52" s="478"/>
      <c r="V52" s="478"/>
      <c r="W52" s="478"/>
      <c r="X52" s="478"/>
      <c r="Y52" s="10"/>
      <c r="Z52" s="382" t="s">
        <v>196</v>
      </c>
      <c r="AA52" s="403">
        <f>AA50+(2*AA49)</f>
        <v>15015.619999999999</v>
      </c>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row>
    <row r="53" spans="1:62">
      <c r="A53" s="4"/>
      <c r="B53" s="161"/>
      <c r="C53" s="476"/>
      <c r="D53" s="476"/>
      <c r="E53" s="476"/>
      <c r="F53" s="287" t="s">
        <v>171</v>
      </c>
      <c r="G53" s="296">
        <f>G50</f>
        <v>1.1000000000000001</v>
      </c>
      <c r="H53" s="327" t="s">
        <v>197</v>
      </c>
      <c r="I53" s="478">
        <f>0.112*G53*AA54</f>
        <v>0.23037663561643837</v>
      </c>
      <c r="J53" s="478"/>
      <c r="K53" s="478"/>
      <c r="L53" s="478"/>
      <c r="M53" s="478"/>
      <c r="N53" s="478"/>
      <c r="O53" s="478"/>
      <c r="P53" s="478"/>
      <c r="Q53" s="478"/>
      <c r="R53" s="478"/>
      <c r="S53" s="478"/>
      <c r="T53" s="478"/>
      <c r="U53" s="478"/>
      <c r="V53" s="478"/>
      <c r="W53" s="478"/>
      <c r="X53" s="478"/>
      <c r="Y53" s="10"/>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row>
    <row r="54" spans="1:62" ht="26.4">
      <c r="A54" s="4"/>
      <c r="B54" s="161"/>
      <c r="C54" s="476"/>
      <c r="D54" s="477"/>
      <c r="E54" s="477"/>
      <c r="F54" s="421" t="s">
        <v>173</v>
      </c>
      <c r="G54" s="423">
        <v>0.6</v>
      </c>
      <c r="H54" s="423" t="s">
        <v>198</v>
      </c>
      <c r="I54" s="478">
        <f>0.112*G54*AA54</f>
        <v>0.12565998306351181</v>
      </c>
      <c r="J54" s="478"/>
      <c r="K54" s="478"/>
      <c r="L54" s="478"/>
      <c r="M54" s="478"/>
      <c r="N54" s="478"/>
      <c r="O54" s="478"/>
      <c r="P54" s="478"/>
      <c r="Q54" s="478"/>
      <c r="R54" s="478"/>
      <c r="S54" s="478"/>
      <c r="T54" s="478"/>
      <c r="U54" s="478"/>
      <c r="V54" s="478"/>
      <c r="W54" s="478"/>
      <c r="X54" s="478"/>
      <c r="Y54" s="10"/>
      <c r="Z54" s="405" t="s">
        <v>199</v>
      </c>
      <c r="AA54" s="406">
        <f>AA52/AA51</f>
        <v>1.8699402241594021</v>
      </c>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row>
    <row r="55" spans="1:62" ht="14.4">
      <c r="A55" s="4"/>
      <c r="B55" s="161"/>
      <c r="C55" s="476"/>
      <c r="D55" s="475" t="s">
        <v>120</v>
      </c>
      <c r="E55" s="475"/>
      <c r="F55" s="421" t="s">
        <v>161</v>
      </c>
      <c r="G55" s="423">
        <v>1.1000000000000001</v>
      </c>
      <c r="H55" s="407" t="s">
        <v>191</v>
      </c>
      <c r="I55" s="478">
        <f>0.112*G55*AA60</f>
        <v>0.39203407377326571</v>
      </c>
      <c r="J55" s="478"/>
      <c r="K55" s="478"/>
      <c r="L55" s="478"/>
      <c r="M55" s="478"/>
      <c r="N55" s="478"/>
      <c r="O55" s="478"/>
      <c r="P55" s="478"/>
      <c r="Q55" s="478"/>
      <c r="R55" s="478"/>
      <c r="S55" s="478"/>
      <c r="T55" s="478"/>
      <c r="U55" s="478"/>
      <c r="V55" s="478"/>
      <c r="W55" s="478"/>
      <c r="X55" s="478"/>
      <c r="Y55" s="10"/>
      <c r="Z55" s="401" t="s">
        <v>192</v>
      </c>
      <c r="AA55" s="402">
        <v>6448.09</v>
      </c>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row>
    <row r="56" spans="1:62" ht="14.4">
      <c r="A56" s="4"/>
      <c r="B56" s="161"/>
      <c r="C56" s="476"/>
      <c r="D56" s="476"/>
      <c r="E56" s="476"/>
      <c r="F56" s="421" t="s">
        <v>164</v>
      </c>
      <c r="G56" s="423">
        <v>1.1000000000000001</v>
      </c>
      <c r="H56" s="407" t="s">
        <v>191</v>
      </c>
      <c r="I56" s="478">
        <f>0.112*G56*AA60</f>
        <v>0.39203407377326571</v>
      </c>
      <c r="J56" s="478"/>
      <c r="K56" s="478"/>
      <c r="L56" s="478"/>
      <c r="M56" s="478"/>
      <c r="N56" s="478"/>
      <c r="O56" s="478"/>
      <c r="P56" s="478"/>
      <c r="Q56" s="478"/>
      <c r="R56" s="478"/>
      <c r="S56" s="478"/>
      <c r="T56" s="478"/>
      <c r="U56" s="478"/>
      <c r="V56" s="478"/>
      <c r="W56" s="478"/>
      <c r="X56" s="478"/>
      <c r="Y56" s="10"/>
      <c r="Z56" s="382" t="s">
        <v>193</v>
      </c>
      <c r="AA56" s="403">
        <f>59.1*4*25</f>
        <v>5910</v>
      </c>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row>
    <row r="57" spans="1:62" ht="14.4">
      <c r="A57" s="4"/>
      <c r="B57" s="161"/>
      <c r="C57" s="476"/>
      <c r="D57" s="476"/>
      <c r="E57" s="476"/>
      <c r="F57" s="421" t="s">
        <v>167</v>
      </c>
      <c r="G57" s="423">
        <v>1.1000000000000001</v>
      </c>
      <c r="H57" s="407" t="s">
        <v>191</v>
      </c>
      <c r="I57" s="478">
        <f>0.112*G57*AA60</f>
        <v>0.39203407377326571</v>
      </c>
      <c r="J57" s="478"/>
      <c r="K57" s="478"/>
      <c r="L57" s="478"/>
      <c r="M57" s="478"/>
      <c r="N57" s="478"/>
      <c r="O57" s="478"/>
      <c r="P57" s="478"/>
      <c r="Q57" s="478"/>
      <c r="R57" s="478"/>
      <c r="S57" s="478"/>
      <c r="T57" s="478"/>
      <c r="U57" s="478"/>
      <c r="V57" s="478"/>
      <c r="W57" s="478"/>
      <c r="X57" s="478"/>
      <c r="Y57" s="10"/>
      <c r="Z57" s="382" t="s">
        <v>194</v>
      </c>
      <c r="AA57" s="404">
        <f>AA56</f>
        <v>5910</v>
      </c>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row>
    <row r="58" spans="1:62" ht="26.4">
      <c r="A58" s="4"/>
      <c r="B58" s="161"/>
      <c r="C58" s="476"/>
      <c r="D58" s="476"/>
      <c r="E58" s="476"/>
      <c r="F58" s="421" t="s">
        <v>169</v>
      </c>
      <c r="G58" s="423">
        <v>1</v>
      </c>
      <c r="H58" s="423" t="s">
        <v>195</v>
      </c>
      <c r="I58" s="478">
        <f>0.112*G58*AA60</f>
        <v>0.35639461252115062</v>
      </c>
      <c r="J58" s="478"/>
      <c r="K58" s="478"/>
      <c r="L58" s="478"/>
      <c r="M58" s="478"/>
      <c r="N58" s="478"/>
      <c r="O58" s="478"/>
      <c r="P58" s="478"/>
      <c r="Q58" s="478"/>
      <c r="R58" s="478"/>
      <c r="S58" s="478"/>
      <c r="T58" s="478"/>
      <c r="U58" s="478"/>
      <c r="V58" s="478"/>
      <c r="W58" s="478"/>
      <c r="X58" s="478"/>
      <c r="Y58" s="10"/>
      <c r="Z58" s="382" t="s">
        <v>196</v>
      </c>
      <c r="AA58" s="403">
        <f>AA56+(2*AA55)</f>
        <v>18806.18</v>
      </c>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row>
    <row r="59" spans="1:62">
      <c r="A59" s="4"/>
      <c r="B59" s="161"/>
      <c r="C59" s="476"/>
      <c r="D59" s="476"/>
      <c r="E59" s="476"/>
      <c r="F59" s="287" t="s">
        <v>171</v>
      </c>
      <c r="G59" s="296">
        <f>G56</f>
        <v>1.1000000000000001</v>
      </c>
      <c r="H59" s="327" t="s">
        <v>197</v>
      </c>
      <c r="I59" s="478">
        <f>0.112*G59*AA60</f>
        <v>0.39203407377326571</v>
      </c>
      <c r="J59" s="478"/>
      <c r="K59" s="478"/>
      <c r="L59" s="478"/>
      <c r="M59" s="478"/>
      <c r="N59" s="478"/>
      <c r="O59" s="478"/>
      <c r="P59" s="478"/>
      <c r="Q59" s="478"/>
      <c r="R59" s="478"/>
      <c r="S59" s="478"/>
      <c r="T59" s="478"/>
      <c r="U59" s="478"/>
      <c r="V59" s="478"/>
      <c r="W59" s="478"/>
      <c r="X59" s="478"/>
      <c r="Y59" s="10"/>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row>
    <row r="60" spans="1:62" ht="26.4">
      <c r="A60" s="4"/>
      <c r="B60" s="161"/>
      <c r="C60" s="477"/>
      <c r="D60" s="477"/>
      <c r="E60" s="477"/>
      <c r="F60" s="421" t="s">
        <v>173</v>
      </c>
      <c r="G60" s="423">
        <v>0.6</v>
      </c>
      <c r="H60" s="423" t="s">
        <v>198</v>
      </c>
      <c r="I60" s="478">
        <f>0.112*G60*AA60</f>
        <v>0.21383676751269035</v>
      </c>
      <c r="J60" s="478"/>
      <c r="K60" s="478"/>
      <c r="L60" s="478"/>
      <c r="M60" s="478"/>
      <c r="N60" s="478"/>
      <c r="O60" s="478"/>
      <c r="P60" s="478"/>
      <c r="Q60" s="478"/>
      <c r="R60" s="478"/>
      <c r="S60" s="478"/>
      <c r="T60" s="478"/>
      <c r="U60" s="478"/>
      <c r="V60" s="478"/>
      <c r="W60" s="478"/>
      <c r="X60" s="478"/>
      <c r="Y60" s="4"/>
      <c r="Z60" s="405" t="s">
        <v>199</v>
      </c>
      <c r="AA60" s="406">
        <f>AA58/AA57</f>
        <v>3.1820947546531304</v>
      </c>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row>
    <row r="61" spans="1:62" ht="14.4">
      <c r="A61" s="4"/>
      <c r="B61" s="161"/>
      <c r="C61" s="4"/>
      <c r="D61" s="4"/>
      <c r="E61" s="6" t="s">
        <v>200</v>
      </c>
      <c r="F61" s="4"/>
      <c r="G61" s="3" t="s">
        <v>26</v>
      </c>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row>
    <row r="62" spans="1:62" ht="14.4">
      <c r="A62" s="4"/>
      <c r="B62" s="161"/>
      <c r="C62" s="4"/>
      <c r="D62" s="4"/>
      <c r="E62" s="409" t="s">
        <v>201</v>
      </c>
      <c r="F62" s="4"/>
      <c r="G62" s="3"/>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row>
    <row r="63" spans="1:62" ht="14.4">
      <c r="A63" s="4"/>
      <c r="B63" s="161"/>
      <c r="C63" s="4"/>
      <c r="D63" s="4"/>
      <c r="E63" s="409" t="s">
        <v>201</v>
      </c>
      <c r="F63" s="4"/>
      <c r="G63" s="3"/>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row>
    <row r="66" spans="1:62">
      <c r="A66" s="78" t="s">
        <v>202</v>
      </c>
      <c r="B66" s="382"/>
      <c r="C66" s="78"/>
      <c r="D66" s="78"/>
      <c r="E66" s="78"/>
      <c r="F66" s="383"/>
      <c r="G66" s="384"/>
      <c r="H66" s="78"/>
      <c r="I66" s="78"/>
      <c r="J66" s="78"/>
      <c r="K66" s="78"/>
      <c r="L66" s="78"/>
      <c r="M66" s="78"/>
      <c r="N66" s="78"/>
      <c r="O66" s="78"/>
      <c r="P66" s="78"/>
      <c r="Q66" s="78"/>
      <c r="R66" s="78"/>
      <c r="S66" s="78"/>
      <c r="T66" s="78"/>
      <c r="U66" s="78"/>
      <c r="V66" s="78"/>
      <c r="W66" s="78"/>
      <c r="X66" s="78"/>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row>
    <row r="67" spans="1:62" ht="13.95" customHeight="1">
      <c r="A67" s="490" t="s">
        <v>157</v>
      </c>
      <c r="B67" s="488" t="s">
        <v>38</v>
      </c>
      <c r="C67" s="488" t="s">
        <v>158</v>
      </c>
      <c r="D67" s="488" t="s">
        <v>203</v>
      </c>
      <c r="E67" s="490" t="s">
        <v>160</v>
      </c>
      <c r="F67" s="479" t="s">
        <v>161</v>
      </c>
      <c r="G67" s="482" t="s">
        <v>162</v>
      </c>
      <c r="H67" s="385" t="s">
        <v>204</v>
      </c>
      <c r="I67" s="386">
        <v>0.35199999999999998</v>
      </c>
      <c r="J67" s="386">
        <v>0.35199999999999998</v>
      </c>
      <c r="K67" s="386">
        <v>0.35199999999999998</v>
      </c>
      <c r="L67" s="386">
        <v>0.35199999999999998</v>
      </c>
      <c r="M67" s="386">
        <v>0.35199999999999998</v>
      </c>
      <c r="N67" s="386">
        <v>0.35199999999999998</v>
      </c>
      <c r="O67" s="386">
        <v>0.35199999999999998</v>
      </c>
      <c r="P67" s="386">
        <v>0.35199999999999998</v>
      </c>
      <c r="Q67" s="386">
        <v>0.35199999999999998</v>
      </c>
      <c r="R67" s="386">
        <v>0.35199999999999998</v>
      </c>
      <c r="S67" s="386">
        <v>0.35199999999999998</v>
      </c>
      <c r="T67" s="386">
        <v>0.35199999999999998</v>
      </c>
      <c r="U67" s="386">
        <v>0.35199999999999998</v>
      </c>
      <c r="V67" s="386">
        <v>0.35199999999999998</v>
      </c>
      <c r="W67" s="386">
        <v>0.35199999999999998</v>
      </c>
      <c r="X67" s="386">
        <v>0.35199999999999998</v>
      </c>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row>
    <row r="68" spans="1:62">
      <c r="A68" s="490"/>
      <c r="B68" s="488"/>
      <c r="C68" s="488"/>
      <c r="D68" s="488"/>
      <c r="E68" s="490"/>
      <c r="F68" s="480"/>
      <c r="G68" s="483"/>
      <c r="H68" s="385" t="s">
        <v>205</v>
      </c>
      <c r="I68" s="386">
        <v>9.8000000000000004E-2</v>
      </c>
      <c r="J68" s="386">
        <v>6.2E-2</v>
      </c>
      <c r="K68" s="386">
        <v>8.2000000000000003E-2</v>
      </c>
      <c r="L68" s="386">
        <v>6.2E-2</v>
      </c>
      <c r="M68" s="386">
        <v>6.2E-2</v>
      </c>
      <c r="N68" s="386">
        <v>9.8000000000000004E-2</v>
      </c>
      <c r="O68" s="386">
        <v>9.8000000000000004E-2</v>
      </c>
      <c r="P68" s="386">
        <v>6.2E-2</v>
      </c>
      <c r="Q68" s="386">
        <v>6.2E-2</v>
      </c>
      <c r="R68" s="386">
        <v>6.2E-2</v>
      </c>
      <c r="S68" s="386">
        <v>6.2E-2</v>
      </c>
      <c r="T68" s="386">
        <v>6.2E-2</v>
      </c>
      <c r="U68" s="386">
        <v>6.2E-2</v>
      </c>
      <c r="V68" s="386">
        <v>6.2E-2</v>
      </c>
      <c r="W68" s="386">
        <v>6.2E-2</v>
      </c>
      <c r="X68" s="386">
        <v>6.2E-2</v>
      </c>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row>
    <row r="69" spans="1:62">
      <c r="A69" s="490"/>
      <c r="B69" s="488"/>
      <c r="C69" s="488"/>
      <c r="D69" s="488"/>
      <c r="E69" s="490"/>
      <c r="F69" s="480"/>
      <c r="G69" s="483"/>
      <c r="H69" s="385" t="s">
        <v>206</v>
      </c>
      <c r="I69" s="386">
        <v>0.22700000000000001</v>
      </c>
      <c r="J69" s="386">
        <v>0.22700000000000001</v>
      </c>
      <c r="K69" s="386">
        <v>0.22700000000000001</v>
      </c>
      <c r="L69" s="386">
        <v>0.22700000000000001</v>
      </c>
      <c r="M69" s="386">
        <v>0.22700000000000001</v>
      </c>
      <c r="N69" s="386">
        <v>0.22700000000000001</v>
      </c>
      <c r="O69" s="386">
        <v>0.22700000000000001</v>
      </c>
      <c r="P69" s="386">
        <v>0.22700000000000001</v>
      </c>
      <c r="Q69" s="386">
        <v>0.22700000000000001</v>
      </c>
      <c r="R69" s="386">
        <v>0.22700000000000001</v>
      </c>
      <c r="S69" s="386">
        <v>0.22700000000000001</v>
      </c>
      <c r="T69" s="386">
        <v>0.22700000000000001</v>
      </c>
      <c r="U69" s="386">
        <v>0.22700000000000001</v>
      </c>
      <c r="V69" s="386">
        <v>0.22700000000000001</v>
      </c>
      <c r="W69" s="386">
        <v>0.22700000000000001</v>
      </c>
      <c r="X69" s="386">
        <v>0.22700000000000001</v>
      </c>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row>
    <row r="70" spans="1:62" ht="26.4">
      <c r="A70" s="491"/>
      <c r="B70" s="489"/>
      <c r="C70" s="489"/>
      <c r="D70" s="489"/>
      <c r="E70" s="491"/>
      <c r="F70" s="481"/>
      <c r="G70" s="484"/>
      <c r="H70" s="385" t="s">
        <v>207</v>
      </c>
      <c r="I70" s="485">
        <v>6.0999999999999999E-2</v>
      </c>
      <c r="J70" s="486"/>
      <c r="K70" s="486"/>
      <c r="L70" s="486"/>
      <c r="M70" s="486"/>
      <c r="N70" s="486"/>
      <c r="O70" s="486"/>
      <c r="P70" s="486"/>
      <c r="Q70" s="486"/>
      <c r="R70" s="486"/>
      <c r="S70" s="486"/>
      <c r="T70" s="486"/>
      <c r="U70" s="486"/>
      <c r="V70" s="486"/>
      <c r="W70" s="486"/>
      <c r="X70" s="487"/>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row>
    <row r="71" spans="1:62">
      <c r="A71" s="431"/>
      <c r="B71" s="9"/>
      <c r="C71" s="299"/>
      <c r="D71" s="299"/>
      <c r="E71" s="431"/>
      <c r="F71" s="392"/>
      <c r="G71" s="392"/>
      <c r="H71" s="393"/>
      <c r="I71" s="394"/>
      <c r="J71" s="394"/>
      <c r="K71" s="394"/>
      <c r="L71" s="394"/>
      <c r="M71" s="394"/>
      <c r="N71" s="394"/>
      <c r="O71" s="394"/>
      <c r="P71" s="394"/>
      <c r="Q71" s="394"/>
      <c r="R71" s="394"/>
      <c r="S71" s="394"/>
      <c r="T71" s="394"/>
      <c r="U71" s="394"/>
      <c r="V71" s="394"/>
      <c r="W71" s="394"/>
      <c r="X71" s="39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row>
    <row r="72" spans="1:62" s="391" customFormat="1" ht="17.399999999999999" hidden="1">
      <c r="A72" s="387" t="s">
        <v>134</v>
      </c>
      <c r="B72" s="387"/>
      <c r="C72" s="387"/>
      <c r="D72" s="387"/>
      <c r="E72" s="388"/>
      <c r="F72" s="389"/>
      <c r="G72" s="390"/>
      <c r="H72" s="387"/>
      <c r="I72" s="387"/>
      <c r="J72" s="387"/>
      <c r="K72" s="387"/>
      <c r="L72" s="387"/>
      <c r="M72" s="387"/>
      <c r="N72" s="387"/>
      <c r="O72" s="387"/>
      <c r="P72" s="387"/>
      <c r="Q72" s="387"/>
      <c r="R72" s="387"/>
      <c r="S72" s="387"/>
      <c r="T72" s="387"/>
      <c r="U72" s="387"/>
      <c r="V72" s="387"/>
      <c r="W72" s="387"/>
      <c r="X72" s="387"/>
      <c r="Y72" s="387"/>
      <c r="Z72" s="387"/>
    </row>
    <row r="73" spans="1:62" hidden="1">
      <c r="A73" s="492" t="s">
        <v>157</v>
      </c>
      <c r="B73" s="493" t="e">
        <f>Prototype!#REF!</f>
        <v>#REF!</v>
      </c>
      <c r="C73" s="494" t="s">
        <v>158</v>
      </c>
      <c r="D73" s="494" t="s">
        <v>203</v>
      </c>
      <c r="E73" s="492" t="s">
        <v>160</v>
      </c>
      <c r="F73" s="411" t="s">
        <v>161</v>
      </c>
      <c r="G73" s="411" t="s">
        <v>162</v>
      </c>
      <c r="H73" s="309" t="s">
        <v>204</v>
      </c>
      <c r="I73" s="310">
        <v>0.35199999999999998</v>
      </c>
      <c r="J73" s="310">
        <v>0.35199999999999998</v>
      </c>
      <c r="K73" s="310">
        <v>0.35199999999999998</v>
      </c>
      <c r="L73" s="310">
        <v>0.35199999999999998</v>
      </c>
      <c r="M73" s="310">
        <v>0.35199999999999998</v>
      </c>
      <c r="N73" s="310">
        <v>0.35199999999999998</v>
      </c>
      <c r="O73" s="310">
        <v>0.35199999999999998</v>
      </c>
      <c r="P73" s="310">
        <v>0.35199999999999998</v>
      </c>
      <c r="Q73" s="310">
        <v>0.35199999999999998</v>
      </c>
      <c r="R73" s="310">
        <v>0.35199999999999998</v>
      </c>
      <c r="S73" s="310">
        <v>0.35199999999999998</v>
      </c>
      <c r="T73" s="310">
        <v>0.35199999999999998</v>
      </c>
      <c r="U73" s="310">
        <v>0.35199999999999998</v>
      </c>
      <c r="V73" s="310">
        <v>0.35199999999999998</v>
      </c>
      <c r="W73" s="310">
        <v>0.35199999999999998</v>
      </c>
      <c r="X73" s="310">
        <v>0.35199999999999998</v>
      </c>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row>
    <row r="74" spans="1:62" ht="26.4" hidden="1">
      <c r="A74" s="492"/>
      <c r="B74" s="493"/>
      <c r="C74" s="494"/>
      <c r="D74" s="494"/>
      <c r="E74" s="492"/>
      <c r="F74" s="311" t="s">
        <v>164</v>
      </c>
      <c r="G74" s="311">
        <v>1986</v>
      </c>
      <c r="H74" s="312" t="s">
        <v>208</v>
      </c>
      <c r="I74" s="313">
        <v>0.21299999999999999</v>
      </c>
      <c r="J74" s="313">
        <v>0.22700000000000001</v>
      </c>
      <c r="K74" s="313">
        <v>0.22700000000000001</v>
      </c>
      <c r="L74" s="313">
        <v>0.217</v>
      </c>
      <c r="M74" s="313">
        <v>0.25600000000000001</v>
      </c>
      <c r="N74" s="313">
        <v>0.25600000000000001</v>
      </c>
      <c r="O74" s="313">
        <v>0.25600000000000001</v>
      </c>
      <c r="P74" s="313">
        <v>0.25600000000000001</v>
      </c>
      <c r="Q74" s="313">
        <v>0.25600000000000001</v>
      </c>
      <c r="R74" s="313">
        <v>0.25600000000000001</v>
      </c>
      <c r="S74" s="313">
        <v>0.23799999999999999</v>
      </c>
      <c r="T74" s="313">
        <v>0.23799999999999999</v>
      </c>
      <c r="U74" s="313">
        <v>0.23799999999999999</v>
      </c>
      <c r="V74" s="313">
        <v>0.20799999999999999</v>
      </c>
      <c r="W74" s="313">
        <v>0.20799999999999999</v>
      </c>
      <c r="X74" s="313">
        <v>0.21299999999999999</v>
      </c>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row>
    <row r="75" spans="1:62" ht="26.4" hidden="1">
      <c r="A75" s="4"/>
      <c r="B75" s="161"/>
      <c r="C75" s="4"/>
      <c r="D75" s="4"/>
      <c r="E75" s="4"/>
      <c r="F75" s="4"/>
      <c r="G75" s="311">
        <v>1986</v>
      </c>
      <c r="H75" s="397" t="s">
        <v>209</v>
      </c>
      <c r="I75" s="395">
        <f>1/6.5</f>
        <v>0.15384615384615385</v>
      </c>
      <c r="J75" s="395">
        <f>1/6.5</f>
        <v>0.15384615384615385</v>
      </c>
      <c r="K75" s="395">
        <f>1/6.5</f>
        <v>0.15384615384615385</v>
      </c>
      <c r="L75" s="395">
        <f>1/6.6</f>
        <v>0.15151515151515152</v>
      </c>
      <c r="M75" s="395">
        <f>1/6.6</f>
        <v>0.15151515151515152</v>
      </c>
      <c r="N75" s="395">
        <f>1/6.3</f>
        <v>0.15873015873015872</v>
      </c>
      <c r="O75" s="395">
        <f t="shared" ref="O75:R75" si="8">1/6.3</f>
        <v>0.15873015873015872</v>
      </c>
      <c r="P75" s="395">
        <f t="shared" si="8"/>
        <v>0.15873015873015872</v>
      </c>
      <c r="Q75" s="395">
        <f t="shared" si="8"/>
        <v>0.15873015873015872</v>
      </c>
      <c r="R75" s="395">
        <f t="shared" si="8"/>
        <v>0.15873015873015872</v>
      </c>
      <c r="S75" s="395">
        <f>1/6.4</f>
        <v>0.15625</v>
      </c>
      <c r="T75" s="395">
        <f t="shared" ref="T75:U75" si="9">1/6.4</f>
        <v>0.15625</v>
      </c>
      <c r="U75" s="395">
        <f t="shared" si="9"/>
        <v>0.15625</v>
      </c>
      <c r="V75" s="395">
        <f>1/6.5</f>
        <v>0.15384615384615385</v>
      </c>
      <c r="W75" s="395">
        <f t="shared" ref="W75:X75" si="10">1/6.5</f>
        <v>0.15384615384615385</v>
      </c>
      <c r="X75" s="395">
        <f t="shared" si="10"/>
        <v>0.15384615384615385</v>
      </c>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row>
    <row r="76" spans="1:62" hidden="1">
      <c r="A76" s="4"/>
      <c r="B76" s="161"/>
      <c r="C76" s="4"/>
      <c r="D76" s="4"/>
      <c r="E76" s="4"/>
      <c r="F76" s="4"/>
      <c r="G76" s="408"/>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row>
  </sheetData>
  <mergeCells count="85">
    <mergeCell ref="H21:H22"/>
    <mergeCell ref="E3:E8"/>
    <mergeCell ref="C15:C20"/>
    <mergeCell ref="B9:B14"/>
    <mergeCell ref="E9:E14"/>
    <mergeCell ref="E15:E20"/>
    <mergeCell ref="D9:D14"/>
    <mergeCell ref="D17:D20"/>
    <mergeCell ref="D15:D16"/>
    <mergeCell ref="A9:A14"/>
    <mergeCell ref="D23:D26"/>
    <mergeCell ref="AP31:AS31"/>
    <mergeCell ref="AT31:AW31"/>
    <mergeCell ref="AF31:AJ31"/>
    <mergeCell ref="AK31:AO31"/>
    <mergeCell ref="C29:X29"/>
    <mergeCell ref="D31:D36"/>
    <mergeCell ref="I30:X30"/>
    <mergeCell ref="I31:X31"/>
    <mergeCell ref="I32:X32"/>
    <mergeCell ref="I33:X33"/>
    <mergeCell ref="E31:E36"/>
    <mergeCell ref="I36:X36"/>
    <mergeCell ref="I35:X35"/>
    <mergeCell ref="I34:X34"/>
    <mergeCell ref="D73:D74"/>
    <mergeCell ref="E73:E74"/>
    <mergeCell ref="A1:X1"/>
    <mergeCell ref="D21:D22"/>
    <mergeCell ref="C21:C26"/>
    <mergeCell ref="E21:E26"/>
    <mergeCell ref="A15:A26"/>
    <mergeCell ref="B21:B26"/>
    <mergeCell ref="B15:B20"/>
    <mergeCell ref="D3:D8"/>
    <mergeCell ref="B3:B8"/>
    <mergeCell ref="A3:A8"/>
    <mergeCell ref="C3:C8"/>
    <mergeCell ref="C9:C14"/>
    <mergeCell ref="H9:H10"/>
    <mergeCell ref="H15:H16"/>
    <mergeCell ref="A73:A74"/>
    <mergeCell ref="B73:B74"/>
    <mergeCell ref="C73:C74"/>
    <mergeCell ref="A67:A70"/>
    <mergeCell ref="B67:B70"/>
    <mergeCell ref="C67:C70"/>
    <mergeCell ref="F67:F70"/>
    <mergeCell ref="G67:G70"/>
    <mergeCell ref="I70:X70"/>
    <mergeCell ref="D67:D70"/>
    <mergeCell ref="E67:E70"/>
    <mergeCell ref="I48:X48"/>
    <mergeCell ref="D37:D42"/>
    <mergeCell ref="E37:E42"/>
    <mergeCell ref="I37:X37"/>
    <mergeCell ref="I38:X38"/>
    <mergeCell ref="I39:X39"/>
    <mergeCell ref="I40:X40"/>
    <mergeCell ref="I41:X41"/>
    <mergeCell ref="I42:X42"/>
    <mergeCell ref="C31:C60"/>
    <mergeCell ref="D49:D54"/>
    <mergeCell ref="E49:E54"/>
    <mergeCell ref="I49:X49"/>
    <mergeCell ref="I50:X50"/>
    <mergeCell ref="I51:X51"/>
    <mergeCell ref="I52:X52"/>
    <mergeCell ref="I53:X53"/>
    <mergeCell ref="I54:X54"/>
    <mergeCell ref="D43:D48"/>
    <mergeCell ref="E43:E48"/>
    <mergeCell ref="I43:X43"/>
    <mergeCell ref="I44:X44"/>
    <mergeCell ref="I45:X45"/>
    <mergeCell ref="I46:X46"/>
    <mergeCell ref="I47:X47"/>
    <mergeCell ref="D55:D60"/>
    <mergeCell ref="E55:E60"/>
    <mergeCell ref="I55:X55"/>
    <mergeCell ref="I56:X56"/>
    <mergeCell ref="I57:X57"/>
    <mergeCell ref="I58:X58"/>
    <mergeCell ref="I59:X59"/>
    <mergeCell ref="I60:X60"/>
  </mergeCells>
  <phoneticPr fontId="5" type="noConversion"/>
  <hyperlinks>
    <hyperlink ref="G61" r:id="rId1" display="https://2050partners.sharepoint.com/:w:/r/sites/CalBEMCollaborativeEfforts/Shared Documents/Working Group 1 - Streamlined Process/D - Complexity of Compliance/Prototype Unification/Project Development/Phase 2 (Collect Inputs) Development/NR/Air Leakage Memo/Infiltration_rate_report_14May2025-Short-Version.docx?d=w3bef8f747fac44f2a70cd76617660066&amp;csf=1&amp;web=1&amp;e=wh5Dm4" xr:uid="{4A1521E0-F8A0-4820-95C1-4CD6F43904D6}"/>
    <hyperlink ref="H31" r:id="rId2" xr:uid="{41AD9FFF-609E-4AE3-98F2-52C38EDBABB6}"/>
    <hyperlink ref="H37" r:id="rId3" xr:uid="{5BD1A220-2B6E-4957-8996-A46AFF7DB9BE}"/>
    <hyperlink ref="H43" r:id="rId4" xr:uid="{2408F6BD-A874-447C-92DC-543BDA10B773}"/>
    <hyperlink ref="H49" r:id="rId5" xr:uid="{1297DA6B-6CFD-4A9B-8603-23259DB96A48}"/>
    <hyperlink ref="H55" r:id="rId6" xr:uid="{44230745-843D-4E65-8BDE-F0AEE52742D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C1672-9EE3-40E4-AB75-7F6046861D1F}">
  <sheetPr codeName="Sheet6"/>
  <dimension ref="A1:AN64"/>
  <sheetViews>
    <sheetView zoomScale="85" zoomScaleNormal="85" zoomScaleSheetLayoutView="40" workbookViewId="0">
      <selection sqref="A1:G1"/>
    </sheetView>
  </sheetViews>
  <sheetFormatPr defaultColWidth="8.6640625" defaultRowHeight="13.2"/>
  <cols>
    <col min="1" max="1" width="39" style="6" customWidth="1"/>
    <col min="2" max="2" width="34.6640625" style="6" customWidth="1"/>
    <col min="3" max="3" width="40.6640625" style="6" customWidth="1"/>
    <col min="4" max="4" width="29.44140625" style="6" customWidth="1"/>
    <col min="5" max="5" width="37.44140625" style="6" bestFit="1" customWidth="1"/>
    <col min="6" max="6" width="48.33203125" style="6" bestFit="1" customWidth="1"/>
    <col min="7" max="7" width="34" style="6" customWidth="1"/>
    <col min="8" max="8" width="32.6640625" style="6" customWidth="1"/>
    <col min="9" max="11" width="12.6640625" style="6" customWidth="1"/>
    <col min="12" max="19" width="15.33203125" style="6" customWidth="1"/>
    <col min="20" max="20" width="14.6640625" style="6" customWidth="1"/>
    <col min="21" max="21" width="13.5546875" style="6" customWidth="1"/>
    <col min="22" max="22" width="15.6640625" style="6" customWidth="1"/>
    <col min="23" max="29" width="11" style="6" customWidth="1"/>
    <col min="30" max="38" width="6.5546875" style="6" customWidth="1"/>
    <col min="39" max="39" width="8.6640625" style="6" customWidth="1"/>
    <col min="40" max="16384" width="8.6640625" style="6"/>
  </cols>
  <sheetData>
    <row r="1" spans="1:9" ht="27" customHeight="1">
      <c r="A1" s="512" t="str">
        <f>"HVAC system - "&amp;Prototype!B4</f>
        <v>HVAC system - Assembly</v>
      </c>
      <c r="B1" s="513"/>
      <c r="C1" s="513"/>
      <c r="D1" s="513"/>
      <c r="E1" s="513"/>
      <c r="F1" s="513"/>
      <c r="G1" s="514"/>
    </row>
    <row r="2" spans="1:9" ht="19.2" customHeight="1">
      <c r="A2" s="121" t="s">
        <v>139</v>
      </c>
      <c r="B2" s="68" t="s">
        <v>187</v>
      </c>
      <c r="C2" s="68" t="s">
        <v>210</v>
      </c>
      <c r="D2" s="68" t="s">
        <v>211</v>
      </c>
      <c r="E2" s="68" t="s">
        <v>212</v>
      </c>
      <c r="F2" s="68" t="s">
        <v>213</v>
      </c>
      <c r="G2" s="68" t="s">
        <v>189</v>
      </c>
    </row>
    <row r="3" spans="1:9" ht="42" customHeight="1">
      <c r="A3" s="433" t="s">
        <v>171</v>
      </c>
      <c r="B3" s="433" t="s">
        <v>214</v>
      </c>
      <c r="C3" s="420" t="s">
        <v>215</v>
      </c>
      <c r="D3" s="420" t="s">
        <v>216</v>
      </c>
      <c r="E3" s="433" t="s">
        <v>217</v>
      </c>
      <c r="F3" s="429" t="s">
        <v>218</v>
      </c>
      <c r="G3" s="433" t="s">
        <v>219</v>
      </c>
      <c r="H3" s="417"/>
      <c r="I3" s="417"/>
    </row>
    <row r="4" spans="1:9" ht="42" customHeight="1">
      <c r="A4" s="522" t="s">
        <v>220</v>
      </c>
      <c r="B4" s="433" t="s">
        <v>94</v>
      </c>
      <c r="C4" s="420" t="s">
        <v>221</v>
      </c>
      <c r="D4" s="420" t="s">
        <v>216</v>
      </c>
      <c r="E4" s="433" t="s">
        <v>217</v>
      </c>
      <c r="F4" s="437" t="s">
        <v>222</v>
      </c>
      <c r="G4" s="433" t="s">
        <v>223</v>
      </c>
      <c r="H4" s="417"/>
      <c r="I4" s="417"/>
    </row>
    <row r="5" spans="1:9" ht="56.4" customHeight="1">
      <c r="A5" s="523"/>
      <c r="B5" s="433" t="s">
        <v>224</v>
      </c>
      <c r="C5" s="420" t="s">
        <v>215</v>
      </c>
      <c r="D5" s="420" t="s">
        <v>216</v>
      </c>
      <c r="E5" s="433" t="s">
        <v>217</v>
      </c>
      <c r="F5" s="439"/>
      <c r="G5" s="433" t="s">
        <v>219</v>
      </c>
      <c r="H5" s="65"/>
      <c r="I5" s="65"/>
    </row>
    <row r="6" spans="1:9" ht="25.95" customHeight="1">
      <c r="A6" s="10"/>
      <c r="B6" s="10"/>
      <c r="C6" s="431"/>
      <c r="D6" s="431"/>
      <c r="E6" s="431"/>
      <c r="F6" s="65"/>
      <c r="G6" s="65"/>
      <c r="H6" s="65"/>
      <c r="I6" s="65"/>
    </row>
    <row r="7" spans="1:9" ht="15.6" customHeight="1">
      <c r="A7" s="431"/>
      <c r="B7" s="431"/>
      <c r="C7" s="431"/>
      <c r="D7" s="431"/>
      <c r="E7" s="431"/>
    </row>
    <row r="8" spans="1:9">
      <c r="A8" s="417"/>
      <c r="B8" s="431"/>
      <c r="C8" s="431"/>
      <c r="D8" s="431"/>
      <c r="E8" s="431"/>
    </row>
    <row r="9" spans="1:9">
      <c r="A9" s="431"/>
      <c r="B9" s="431"/>
      <c r="C9" s="431"/>
      <c r="D9" s="431"/>
      <c r="E9" s="431"/>
    </row>
    <row r="10" spans="1:9" ht="33" customHeight="1">
      <c r="A10" s="515" t="s">
        <v>225</v>
      </c>
      <c r="B10" s="516"/>
      <c r="C10" s="516"/>
      <c r="D10" s="516"/>
      <c r="E10" s="516"/>
      <c r="F10" s="516"/>
      <c r="G10" s="516"/>
      <c r="H10" s="89"/>
    </row>
    <row r="11" spans="1:9" ht="43.95" customHeight="1">
      <c r="A11" s="109" t="s">
        <v>139</v>
      </c>
      <c r="B11" s="110" t="s">
        <v>226</v>
      </c>
      <c r="C11" s="169" t="s">
        <v>227</v>
      </c>
      <c r="D11" s="169" t="s">
        <v>228</v>
      </c>
      <c r="E11" s="169" t="s">
        <v>229</v>
      </c>
      <c r="F11" s="68" t="s">
        <v>230</v>
      </c>
      <c r="G11" s="111" t="s">
        <v>189</v>
      </c>
    </row>
    <row r="12" spans="1:9" ht="22.2" customHeight="1">
      <c r="A12" s="112" t="s">
        <v>161</v>
      </c>
      <c r="B12" s="518">
        <v>2008</v>
      </c>
      <c r="C12" s="517" t="s">
        <v>231</v>
      </c>
      <c r="D12" s="521" t="s">
        <v>232</v>
      </c>
      <c r="E12" s="517" t="s">
        <v>233</v>
      </c>
      <c r="F12" s="501" t="s">
        <v>234</v>
      </c>
      <c r="G12" s="504"/>
    </row>
    <row r="13" spans="1:9" ht="20.399999999999999" customHeight="1">
      <c r="A13" s="112" t="s">
        <v>164</v>
      </c>
      <c r="B13" s="519"/>
      <c r="C13" s="517"/>
      <c r="D13" s="521"/>
      <c r="E13" s="517"/>
      <c r="F13" s="502"/>
      <c r="G13" s="505"/>
    </row>
    <row r="14" spans="1:9" ht="38.4" customHeight="1">
      <c r="A14" s="112" t="s">
        <v>167</v>
      </c>
      <c r="B14" s="520"/>
      <c r="C14" s="517"/>
      <c r="D14" s="521"/>
      <c r="E14" s="517"/>
      <c r="F14" s="503"/>
      <c r="G14" s="506"/>
    </row>
    <row r="15" spans="1:9" ht="72.599999999999994" customHeight="1">
      <c r="A15" s="112" t="s">
        <v>169</v>
      </c>
      <c r="B15" s="69">
        <v>2013</v>
      </c>
      <c r="C15" s="425" t="s">
        <v>235</v>
      </c>
      <c r="D15" s="426" t="s">
        <v>236</v>
      </c>
      <c r="E15" s="425" t="s">
        <v>237</v>
      </c>
      <c r="F15" s="70" t="s">
        <v>238</v>
      </c>
      <c r="G15" s="113"/>
    </row>
    <row r="16" spans="1:9" ht="93.6" customHeight="1">
      <c r="A16" s="114" t="s">
        <v>220</v>
      </c>
      <c r="B16" s="115">
        <v>2025</v>
      </c>
      <c r="C16" s="425" t="s">
        <v>239</v>
      </c>
      <c r="D16" s="425" t="s">
        <v>240</v>
      </c>
      <c r="E16" s="425" t="s">
        <v>237</v>
      </c>
      <c r="F16" s="116" t="s">
        <v>241</v>
      </c>
      <c r="G16" s="117"/>
    </row>
    <row r="17" spans="1:40">
      <c r="B17" s="8"/>
      <c r="C17" s="8"/>
      <c r="D17" s="170"/>
      <c r="E17" s="8"/>
    </row>
    <row r="18" spans="1:40">
      <c r="A18" s="37"/>
      <c r="B18" s="8"/>
      <c r="C18" s="8" t="s">
        <v>242</v>
      </c>
      <c r="D18" s="8" t="s">
        <v>243</v>
      </c>
      <c r="E18" s="8"/>
    </row>
    <row r="19" spans="1:40" ht="13.8" thickBot="1">
      <c r="A19" s="400"/>
      <c r="B19" s="400"/>
      <c r="C19" s="400"/>
      <c r="D19" s="400"/>
      <c r="E19" s="400"/>
    </row>
    <row r="20" spans="1:40" ht="15.6">
      <c r="A20" s="499" t="s">
        <v>244</v>
      </c>
      <c r="B20" s="499"/>
      <c r="C20" s="499"/>
      <c r="D20" s="499"/>
      <c r="E20" s="499"/>
      <c r="F20" s="499"/>
      <c r="G20" s="499"/>
      <c r="H20" s="499"/>
      <c r="I20" s="500"/>
    </row>
    <row r="21" spans="1:40" ht="26.4">
      <c r="A21" s="294" t="s">
        <v>139</v>
      </c>
      <c r="B21" s="171" t="s">
        <v>245</v>
      </c>
      <c r="C21" s="171" t="s">
        <v>246</v>
      </c>
      <c r="D21" s="282" t="s">
        <v>247</v>
      </c>
      <c r="E21" s="282" t="s">
        <v>248</v>
      </c>
      <c r="F21" s="282" t="s">
        <v>249</v>
      </c>
      <c r="G21" s="282" t="s">
        <v>250</v>
      </c>
      <c r="H21" s="294" t="s">
        <v>251</v>
      </c>
      <c r="I21" s="84" t="s">
        <v>189</v>
      </c>
    </row>
    <row r="22" spans="1:40" ht="72" customHeight="1">
      <c r="A22" s="295" t="s">
        <v>171</v>
      </c>
      <c r="B22" s="287" t="s">
        <v>252</v>
      </c>
      <c r="C22" s="296" t="s">
        <v>253</v>
      </c>
      <c r="D22" s="287">
        <v>5.58</v>
      </c>
      <c r="E22" s="425">
        <v>0.65</v>
      </c>
      <c r="F22" s="296" t="s">
        <v>254</v>
      </c>
      <c r="G22" s="297"/>
      <c r="H22" s="298" t="s">
        <v>255</v>
      </c>
      <c r="I22" s="293"/>
    </row>
    <row r="23" spans="1:40">
      <c r="A23" s="283" t="s">
        <v>256</v>
      </c>
      <c r="B23" s="119"/>
      <c r="C23" s="119"/>
      <c r="D23" s="119"/>
      <c r="E23" s="119"/>
      <c r="F23" s="119"/>
      <c r="G23" s="119"/>
      <c r="H23" s="119"/>
      <c r="I23" s="120"/>
    </row>
    <row r="24" spans="1:40">
      <c r="A24" s="283" t="s">
        <v>257</v>
      </c>
      <c r="B24" s="119"/>
      <c r="C24" s="119"/>
      <c r="D24" s="119"/>
      <c r="E24" s="119"/>
      <c r="F24" s="119"/>
      <c r="G24" s="119"/>
      <c r="H24" s="119"/>
      <c r="I24" s="302"/>
    </row>
    <row r="25" spans="1:40" ht="36" customHeight="1">
      <c r="A25" s="508" t="s">
        <v>220</v>
      </c>
      <c r="B25" s="508" t="s">
        <v>258</v>
      </c>
      <c r="C25" s="303" t="s">
        <v>259</v>
      </c>
      <c r="D25" s="304" t="s">
        <v>260</v>
      </c>
      <c r="E25" s="508">
        <v>0.65</v>
      </c>
      <c r="F25" s="509" t="s">
        <v>261</v>
      </c>
      <c r="G25" s="421">
        <v>0.96399999999999997</v>
      </c>
      <c r="H25" s="511" t="s">
        <v>262</v>
      </c>
      <c r="I25" s="507"/>
    </row>
    <row r="26" spans="1:40" ht="36" customHeight="1">
      <c r="A26" s="508"/>
      <c r="B26" s="508"/>
      <c r="C26" s="423" t="s">
        <v>263</v>
      </c>
      <c r="D26" s="304" t="s">
        <v>260</v>
      </c>
      <c r="E26" s="508"/>
      <c r="F26" s="510"/>
      <c r="G26" s="421">
        <v>0.94699999999999995</v>
      </c>
      <c r="H26" s="508"/>
      <c r="I26" s="507"/>
    </row>
    <row r="27" spans="1:40" ht="12.75" customHeight="1">
      <c r="A27" s="80"/>
      <c r="B27" s="80"/>
      <c r="C27" s="299"/>
      <c r="D27" s="299"/>
      <c r="E27" s="300"/>
      <c r="F27" s="80"/>
      <c r="G27" s="299"/>
      <c r="H27" s="300"/>
    </row>
    <row r="28" spans="1:40" ht="36" customHeight="1">
      <c r="A28" s="496" t="s">
        <v>264</v>
      </c>
      <c r="B28" s="497"/>
      <c r="C28" s="497"/>
      <c r="D28" s="497"/>
      <c r="E28" s="497"/>
      <c r="F28" s="497"/>
      <c r="G28" s="497"/>
      <c r="H28" s="497"/>
      <c r="I28" s="400"/>
      <c r="J28" s="400"/>
      <c r="K28" s="400"/>
      <c r="L28" s="400"/>
      <c r="M28" s="400"/>
      <c r="N28" s="400"/>
      <c r="O28" s="400"/>
      <c r="P28" s="400"/>
      <c r="Q28" s="400"/>
      <c r="R28" s="400"/>
      <c r="S28" s="400"/>
      <c r="T28" s="400"/>
      <c r="U28" s="400"/>
      <c r="V28" s="400"/>
      <c r="W28" s="400"/>
      <c r="X28" s="400"/>
      <c r="Y28" s="400"/>
      <c r="Z28" s="400"/>
      <c r="AA28" s="400"/>
      <c r="AB28" s="400"/>
      <c r="AC28" s="400"/>
      <c r="AD28" s="400"/>
      <c r="AE28" s="498"/>
      <c r="AF28" s="498"/>
      <c r="AG28" s="498"/>
      <c r="AH28" s="498"/>
      <c r="AI28" s="498"/>
      <c r="AJ28" s="498"/>
      <c r="AK28" s="498"/>
      <c r="AL28" s="498"/>
      <c r="AM28" s="498"/>
      <c r="AN28" s="498"/>
    </row>
    <row r="29" spans="1:40" ht="48" customHeight="1">
      <c r="A29" s="496" t="s">
        <v>265</v>
      </c>
      <c r="B29" s="497"/>
      <c r="C29" s="497"/>
      <c r="D29" s="497"/>
      <c r="E29" s="497"/>
      <c r="F29" s="497"/>
      <c r="G29" s="497"/>
      <c r="H29" s="497"/>
      <c r="I29" s="400"/>
      <c r="J29" s="400"/>
      <c r="K29" s="400"/>
      <c r="L29" s="400"/>
      <c r="M29" s="400"/>
      <c r="N29" s="400"/>
      <c r="O29" s="400"/>
      <c r="P29" s="400"/>
      <c r="Q29" s="400"/>
      <c r="R29" s="400"/>
      <c r="S29" s="400"/>
      <c r="T29" s="400"/>
      <c r="U29" s="400"/>
      <c r="V29" s="400"/>
      <c r="W29" s="400"/>
      <c r="X29" s="400"/>
      <c r="Y29" s="400"/>
      <c r="Z29" s="400"/>
      <c r="AA29" s="400"/>
      <c r="AB29" s="400"/>
      <c r="AC29" s="400"/>
      <c r="AD29" s="400"/>
      <c r="AE29" s="498"/>
      <c r="AF29" s="498"/>
      <c r="AG29" s="498"/>
      <c r="AH29" s="498"/>
      <c r="AI29" s="498"/>
      <c r="AJ29" s="498"/>
      <c r="AK29" s="498"/>
      <c r="AL29" s="498"/>
      <c r="AM29" s="498"/>
      <c r="AN29" s="498"/>
    </row>
    <row r="30" spans="1:40">
      <c r="A30" s="80"/>
      <c r="B30" s="301"/>
      <c r="C30" s="400"/>
      <c r="D30" s="400"/>
      <c r="E30" s="400"/>
      <c r="F30" s="400"/>
      <c r="G30" s="400"/>
      <c r="H30" s="400"/>
      <c r="I30" s="400"/>
      <c r="J30" s="400"/>
      <c r="K30" s="400"/>
      <c r="L30" s="400"/>
      <c r="M30" s="400"/>
      <c r="N30" s="400"/>
      <c r="O30" s="400"/>
      <c r="P30" s="400"/>
      <c r="Q30" s="400"/>
      <c r="R30" s="400"/>
      <c r="S30" s="400"/>
      <c r="T30" s="400"/>
      <c r="U30" s="400"/>
      <c r="V30" s="400"/>
      <c r="W30" s="400"/>
      <c r="X30" s="400"/>
      <c r="Y30" s="400"/>
      <c r="Z30" s="400"/>
      <c r="AA30" s="400"/>
      <c r="AB30" s="400"/>
      <c r="AC30" s="400"/>
      <c r="AD30" s="400"/>
      <c r="AE30" s="498"/>
      <c r="AF30" s="498"/>
      <c r="AG30" s="498"/>
      <c r="AH30" s="498"/>
      <c r="AI30" s="498"/>
      <c r="AJ30" s="498"/>
      <c r="AK30" s="498"/>
      <c r="AL30" s="498"/>
      <c r="AM30" s="498"/>
      <c r="AN30" s="498"/>
    </row>
    <row r="31" spans="1:40">
      <c r="A31" s="8"/>
      <c r="B31" s="8"/>
      <c r="C31" s="8"/>
      <c r="D31" s="8"/>
    </row>
    <row r="32" spans="1:40">
      <c r="D32" s="34"/>
    </row>
    <row r="33" spans="21:38">
      <c r="U33" s="33"/>
      <c r="V33" s="51"/>
      <c r="W33" s="52"/>
      <c r="X33" s="52"/>
      <c r="Y33" s="52"/>
      <c r="Z33" s="52"/>
      <c r="AA33" s="52"/>
      <c r="AB33" s="52"/>
      <c r="AC33" s="52"/>
      <c r="AD33" s="52"/>
      <c r="AE33" s="52"/>
      <c r="AF33" s="52"/>
      <c r="AG33" s="52"/>
      <c r="AH33" s="52"/>
      <c r="AI33" s="52"/>
      <c r="AJ33" s="52"/>
      <c r="AK33" s="52"/>
      <c r="AL33" s="52"/>
    </row>
    <row r="34" spans="21:38">
      <c r="U34" s="33"/>
      <c r="V34" s="51"/>
      <c r="W34" s="52"/>
      <c r="X34" s="52"/>
      <c r="Y34" s="52"/>
      <c r="Z34" s="52"/>
      <c r="AA34" s="52"/>
      <c r="AB34" s="52"/>
      <c r="AC34" s="52"/>
      <c r="AD34" s="52"/>
      <c r="AE34" s="52"/>
      <c r="AF34" s="52"/>
      <c r="AG34" s="52"/>
      <c r="AH34" s="52"/>
      <c r="AI34" s="52"/>
      <c r="AJ34" s="52"/>
      <c r="AK34" s="52"/>
      <c r="AL34" s="52"/>
    </row>
    <row r="35" spans="21:38">
      <c r="U35" s="33"/>
      <c r="V35" s="51"/>
      <c r="W35" s="52"/>
      <c r="X35" s="52"/>
      <c r="Y35" s="52"/>
      <c r="Z35" s="52"/>
      <c r="AA35" s="52"/>
      <c r="AB35" s="52"/>
      <c r="AC35" s="52"/>
      <c r="AD35" s="52"/>
      <c r="AE35" s="52"/>
      <c r="AF35" s="52"/>
      <c r="AG35" s="52"/>
      <c r="AH35" s="52"/>
      <c r="AI35" s="52"/>
      <c r="AJ35" s="52"/>
      <c r="AK35" s="52"/>
      <c r="AL35" s="52"/>
    </row>
    <row r="36" spans="21:38">
      <c r="U36" s="33"/>
      <c r="W36" s="32"/>
      <c r="X36" s="32"/>
      <c r="Y36" s="32"/>
      <c r="Z36" s="32"/>
      <c r="AA36" s="32"/>
      <c r="AB36" s="32"/>
      <c r="AC36" s="32"/>
      <c r="AD36" s="32"/>
      <c r="AE36" s="32"/>
      <c r="AF36" s="32"/>
      <c r="AG36" s="32"/>
      <c r="AH36" s="32"/>
      <c r="AI36" s="32"/>
      <c r="AJ36" s="32"/>
      <c r="AK36" s="32"/>
      <c r="AL36" s="32"/>
    </row>
    <row r="37" spans="21:38">
      <c r="U37" s="35"/>
      <c r="W37" s="33"/>
      <c r="X37" s="33"/>
      <c r="Y37" s="33"/>
      <c r="Z37" s="33"/>
      <c r="AA37" s="33"/>
      <c r="AB37" s="33"/>
      <c r="AC37" s="33"/>
      <c r="AD37" s="33"/>
      <c r="AE37" s="33"/>
      <c r="AF37" s="33"/>
      <c r="AG37" s="33"/>
      <c r="AH37" s="33"/>
      <c r="AI37" s="33"/>
      <c r="AJ37" s="33"/>
      <c r="AK37" s="33"/>
      <c r="AL37" s="33"/>
    </row>
    <row r="38" spans="21:38">
      <c r="U38" s="33"/>
    </row>
    <row r="41" spans="21:38">
      <c r="U41" s="31"/>
      <c r="V41" s="31"/>
      <c r="W41" s="50"/>
      <c r="X41" s="50"/>
      <c r="Y41" s="50"/>
      <c r="Z41" s="50"/>
      <c r="AA41" s="50"/>
      <c r="AB41" s="50"/>
      <c r="AC41" s="50"/>
      <c r="AD41" s="50"/>
      <c r="AE41" s="50"/>
      <c r="AF41" s="50"/>
      <c r="AG41" s="50"/>
      <c r="AH41" s="50"/>
      <c r="AI41" s="50"/>
      <c r="AJ41" s="50"/>
      <c r="AK41" s="50"/>
      <c r="AL41" s="50"/>
    </row>
    <row r="42" spans="21:38">
      <c r="V42" s="36"/>
    </row>
    <row r="43" spans="21:38">
      <c r="U43" s="33"/>
      <c r="V43" s="36"/>
    </row>
    <row r="44" spans="21:38">
      <c r="U44" s="33"/>
      <c r="V44" s="36"/>
    </row>
    <row r="45" spans="21:38">
      <c r="U45" s="33"/>
      <c r="V45" s="36"/>
    </row>
    <row r="46" spans="21:38">
      <c r="U46" s="33"/>
      <c r="V46" s="36"/>
    </row>
    <row r="47" spans="21:38">
      <c r="U47" s="33"/>
      <c r="V47" s="36"/>
    </row>
    <row r="48" spans="21:38">
      <c r="U48" s="33"/>
      <c r="V48" s="36"/>
    </row>
    <row r="49" spans="21:38">
      <c r="U49" s="33"/>
      <c r="V49" s="36"/>
    </row>
    <row r="50" spans="21:38">
      <c r="U50" s="33"/>
      <c r="V50" s="36"/>
    </row>
    <row r="51" spans="21:38">
      <c r="U51" s="33"/>
      <c r="V51" s="36"/>
    </row>
    <row r="52" spans="21:38">
      <c r="U52" s="33"/>
      <c r="V52" s="36"/>
    </row>
    <row r="53" spans="21:38">
      <c r="U53" s="33"/>
      <c r="V53" s="36"/>
    </row>
    <row r="54" spans="21:38">
      <c r="U54" s="33"/>
      <c r="V54" s="36"/>
    </row>
    <row r="55" spans="21:38">
      <c r="U55" s="33"/>
      <c r="V55" s="36"/>
    </row>
    <row r="56" spans="21:38">
      <c r="U56" s="33"/>
      <c r="V56" s="36"/>
    </row>
    <row r="57" spans="21:38">
      <c r="U57" s="33"/>
      <c r="V57" s="36"/>
    </row>
    <row r="58" spans="21:38">
      <c r="U58" s="33"/>
      <c r="V58" s="36"/>
    </row>
    <row r="59" spans="21:38">
      <c r="U59" s="33"/>
      <c r="V59" s="36"/>
    </row>
    <row r="60" spans="21:38">
      <c r="U60" s="33"/>
      <c r="V60" s="36"/>
    </row>
    <row r="61" spans="21:38">
      <c r="U61" s="33"/>
      <c r="V61" s="36"/>
    </row>
    <row r="62" spans="21:38">
      <c r="U62" s="33"/>
      <c r="V62" s="36"/>
    </row>
    <row r="63" spans="21:38">
      <c r="U63" s="33"/>
      <c r="W63" s="32"/>
      <c r="X63" s="32"/>
      <c r="Y63" s="32"/>
      <c r="Z63" s="32"/>
      <c r="AA63" s="32"/>
      <c r="AB63" s="32"/>
      <c r="AC63" s="32"/>
      <c r="AD63" s="32"/>
      <c r="AE63" s="32"/>
      <c r="AF63" s="32"/>
      <c r="AG63" s="32"/>
      <c r="AH63" s="32"/>
      <c r="AI63" s="32"/>
      <c r="AJ63" s="32"/>
      <c r="AK63" s="32"/>
      <c r="AL63" s="32"/>
    </row>
    <row r="64" spans="21:38">
      <c r="U64" s="35"/>
      <c r="W64" s="33"/>
      <c r="X64" s="33"/>
      <c r="Y64" s="33"/>
      <c r="Z64" s="33"/>
      <c r="AA64" s="33"/>
      <c r="AB64" s="33"/>
      <c r="AC64" s="33"/>
      <c r="AD64" s="33"/>
      <c r="AE64" s="33"/>
      <c r="AF64" s="33"/>
      <c r="AG64" s="33"/>
      <c r="AH64" s="33"/>
      <c r="AI64" s="33"/>
      <c r="AJ64" s="33"/>
      <c r="AK64" s="33"/>
      <c r="AL64" s="33"/>
    </row>
  </sheetData>
  <mergeCells count="34">
    <mergeCell ref="A1:G1"/>
    <mergeCell ref="A10:G10"/>
    <mergeCell ref="C12:C14"/>
    <mergeCell ref="E12:E14"/>
    <mergeCell ref="B12:B14"/>
    <mergeCell ref="D12:D14"/>
    <mergeCell ref="A4:A5"/>
    <mergeCell ref="F4:F5"/>
    <mergeCell ref="AK28:AL28"/>
    <mergeCell ref="AM28:AN28"/>
    <mergeCell ref="A20:I20"/>
    <mergeCell ref="F12:F14"/>
    <mergeCell ref="G12:G14"/>
    <mergeCell ref="I25:I26"/>
    <mergeCell ref="A25:A26"/>
    <mergeCell ref="B25:B26"/>
    <mergeCell ref="E25:E26"/>
    <mergeCell ref="F25:F26"/>
    <mergeCell ref="H25:H26"/>
    <mergeCell ref="A28:H28"/>
    <mergeCell ref="AK30:AL30"/>
    <mergeCell ref="AM30:AN30"/>
    <mergeCell ref="AE29:AF29"/>
    <mergeCell ref="AG29:AH29"/>
    <mergeCell ref="AI29:AJ29"/>
    <mergeCell ref="AK29:AL29"/>
    <mergeCell ref="AM29:AN29"/>
    <mergeCell ref="A29:H29"/>
    <mergeCell ref="AE30:AF30"/>
    <mergeCell ref="AG30:AH30"/>
    <mergeCell ref="AI30:AJ30"/>
    <mergeCell ref="AE28:AF28"/>
    <mergeCell ref="AG28:AH28"/>
    <mergeCell ref="AI28:AJ28"/>
  </mergeCells>
  <phoneticPr fontId="5"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B0791-7899-4111-9E57-936E6608700C}">
  <sheetPr codeName="Sheet7"/>
  <dimension ref="A1:R28"/>
  <sheetViews>
    <sheetView zoomScale="80" zoomScaleNormal="80" workbookViewId="0">
      <selection sqref="A1:R1"/>
    </sheetView>
  </sheetViews>
  <sheetFormatPr defaultRowHeight="14.4"/>
  <cols>
    <col min="1" max="1" width="57.88671875" customWidth="1"/>
    <col min="18" max="18" width="17.6640625" customWidth="1"/>
  </cols>
  <sheetData>
    <row r="1" spans="1:18" ht="24" customHeight="1">
      <c r="A1" s="445" t="str">
        <f>"Thermostat Setpoints - "&amp;Prototype!A2</f>
        <v>Thermostat Setpoints - Assembly</v>
      </c>
      <c r="B1" s="445"/>
      <c r="C1" s="445"/>
      <c r="D1" s="445"/>
      <c r="E1" s="445"/>
      <c r="F1" s="445"/>
      <c r="G1" s="445"/>
      <c r="H1" s="445"/>
      <c r="I1" s="445"/>
      <c r="J1" s="445"/>
      <c r="K1" s="445"/>
      <c r="L1" s="445"/>
      <c r="M1" s="445"/>
      <c r="N1" s="445"/>
      <c r="O1" s="445"/>
      <c r="P1" s="445"/>
      <c r="Q1" s="445"/>
      <c r="R1" s="445"/>
    </row>
    <row r="2" spans="1:18" ht="21.6" customHeight="1">
      <c r="A2" s="436" t="s">
        <v>266</v>
      </c>
      <c r="B2" s="427" t="s">
        <v>141</v>
      </c>
      <c r="C2" s="427" t="s">
        <v>142</v>
      </c>
      <c r="D2" s="427" t="s">
        <v>143</v>
      </c>
      <c r="E2" s="427" t="s">
        <v>144</v>
      </c>
      <c r="F2" s="427" t="s">
        <v>145</v>
      </c>
      <c r="G2" s="427" t="s">
        <v>146</v>
      </c>
      <c r="H2" s="427" t="s">
        <v>147</v>
      </c>
      <c r="I2" s="427" t="s">
        <v>148</v>
      </c>
      <c r="J2" s="427" t="s">
        <v>149</v>
      </c>
      <c r="K2" s="427" t="s">
        <v>150</v>
      </c>
      <c r="L2" s="427" t="s">
        <v>151</v>
      </c>
      <c r="M2" s="427" t="s">
        <v>152</v>
      </c>
      <c r="N2" s="427" t="s">
        <v>153</v>
      </c>
      <c r="O2" s="427" t="s">
        <v>154</v>
      </c>
      <c r="P2" s="427" t="s">
        <v>155</v>
      </c>
      <c r="Q2" s="427" t="s">
        <v>156</v>
      </c>
      <c r="R2" s="84" t="s">
        <v>213</v>
      </c>
    </row>
    <row r="3" spans="1:18" ht="26.4" customHeight="1">
      <c r="A3" s="306" t="s">
        <v>267</v>
      </c>
      <c r="B3" s="422">
        <v>70</v>
      </c>
      <c r="C3" s="422">
        <v>70</v>
      </c>
      <c r="D3" s="422">
        <v>70</v>
      </c>
      <c r="E3" s="422">
        <v>70</v>
      </c>
      <c r="F3" s="422">
        <v>70</v>
      </c>
      <c r="G3" s="422">
        <v>70</v>
      </c>
      <c r="H3" s="422">
        <v>70</v>
      </c>
      <c r="I3" s="422">
        <v>70</v>
      </c>
      <c r="J3" s="422">
        <v>70</v>
      </c>
      <c r="K3" s="422">
        <v>70</v>
      </c>
      <c r="L3" s="422">
        <v>70</v>
      </c>
      <c r="M3" s="422">
        <v>70</v>
      </c>
      <c r="N3" s="422">
        <v>70</v>
      </c>
      <c r="O3" s="422">
        <v>70</v>
      </c>
      <c r="P3" s="422">
        <v>70</v>
      </c>
      <c r="Q3" s="422">
        <v>70</v>
      </c>
      <c r="R3" s="524" t="s">
        <v>268</v>
      </c>
    </row>
    <row r="4" spans="1:18" ht="26.4" customHeight="1">
      <c r="A4" s="306" t="s">
        <v>269</v>
      </c>
      <c r="B4" s="422">
        <v>60</v>
      </c>
      <c r="C4" s="422">
        <v>60</v>
      </c>
      <c r="D4" s="422">
        <v>60</v>
      </c>
      <c r="E4" s="422">
        <v>60</v>
      </c>
      <c r="F4" s="422">
        <v>60</v>
      </c>
      <c r="G4" s="422">
        <v>60</v>
      </c>
      <c r="H4" s="422">
        <v>60</v>
      </c>
      <c r="I4" s="422">
        <v>60</v>
      </c>
      <c r="J4" s="422">
        <v>60</v>
      </c>
      <c r="K4" s="422">
        <v>60</v>
      </c>
      <c r="L4" s="422">
        <v>60</v>
      </c>
      <c r="M4" s="422">
        <v>60</v>
      </c>
      <c r="N4" s="422">
        <v>60</v>
      </c>
      <c r="O4" s="422">
        <v>60</v>
      </c>
      <c r="P4" s="422">
        <v>60</v>
      </c>
      <c r="Q4" s="422">
        <v>60</v>
      </c>
      <c r="R4" s="524"/>
    </row>
    <row r="5" spans="1:18" ht="26.4" customHeight="1">
      <c r="A5" s="306" t="s">
        <v>270</v>
      </c>
      <c r="B5" s="422">
        <v>75</v>
      </c>
      <c r="C5" s="422">
        <v>75</v>
      </c>
      <c r="D5" s="422">
        <v>75</v>
      </c>
      <c r="E5" s="422">
        <v>75</v>
      </c>
      <c r="F5" s="422">
        <v>75</v>
      </c>
      <c r="G5" s="422">
        <v>75</v>
      </c>
      <c r="H5" s="422">
        <v>75</v>
      </c>
      <c r="I5" s="422">
        <v>75</v>
      </c>
      <c r="J5" s="422">
        <v>75</v>
      </c>
      <c r="K5" s="422">
        <v>75</v>
      </c>
      <c r="L5" s="422">
        <v>75</v>
      </c>
      <c r="M5" s="422">
        <v>75</v>
      </c>
      <c r="N5" s="422">
        <v>75</v>
      </c>
      <c r="O5" s="422">
        <v>75</v>
      </c>
      <c r="P5" s="422">
        <v>75</v>
      </c>
      <c r="Q5" s="422">
        <v>75</v>
      </c>
      <c r="R5" s="524"/>
    </row>
    <row r="6" spans="1:18" ht="23.4" customHeight="1">
      <c r="A6" s="306" t="s">
        <v>271</v>
      </c>
      <c r="B6" s="422">
        <v>85</v>
      </c>
      <c r="C6" s="422">
        <v>85</v>
      </c>
      <c r="D6" s="422">
        <v>85</v>
      </c>
      <c r="E6" s="422">
        <v>85</v>
      </c>
      <c r="F6" s="422">
        <v>85</v>
      </c>
      <c r="G6" s="422">
        <v>85</v>
      </c>
      <c r="H6" s="422">
        <v>85</v>
      </c>
      <c r="I6" s="422">
        <v>85</v>
      </c>
      <c r="J6" s="422">
        <v>85</v>
      </c>
      <c r="K6" s="422">
        <v>85</v>
      </c>
      <c r="L6" s="422">
        <v>85</v>
      </c>
      <c r="M6" s="422">
        <v>85</v>
      </c>
      <c r="N6" s="422">
        <v>85</v>
      </c>
      <c r="O6" s="422">
        <v>85</v>
      </c>
      <c r="P6" s="422">
        <v>85</v>
      </c>
      <c r="Q6" s="422">
        <v>85</v>
      </c>
      <c r="R6" s="524"/>
    </row>
    <row r="7" spans="1:18" ht="22.95" customHeight="1">
      <c r="A7" s="102"/>
      <c r="B7" s="102"/>
      <c r="C7" s="102"/>
      <c r="D7" s="102"/>
      <c r="E7" s="102"/>
      <c r="F7" s="102"/>
      <c r="G7" s="102"/>
      <c r="H7" s="102"/>
      <c r="I7" s="102"/>
    </row>
    <row r="8" spans="1:18" ht="22.95" customHeight="1">
      <c r="A8" s="1"/>
      <c r="B8" s="102"/>
      <c r="C8" s="102"/>
      <c r="D8" s="102"/>
      <c r="E8" s="102"/>
      <c r="F8" s="102"/>
      <c r="G8" s="102"/>
      <c r="H8" s="102"/>
      <c r="I8" s="102"/>
    </row>
    <row r="9" spans="1:18" ht="22.95" customHeight="1">
      <c r="A9" s="1"/>
      <c r="B9" s="102"/>
      <c r="C9" s="102"/>
      <c r="D9" s="102"/>
      <c r="E9" s="102"/>
      <c r="F9" s="102"/>
      <c r="G9" s="102"/>
      <c r="H9" s="102"/>
      <c r="I9" s="102"/>
    </row>
    <row r="10" spans="1:18" ht="22.95" customHeight="1">
      <c r="A10" s="1"/>
      <c r="B10" s="79"/>
      <c r="C10" s="102"/>
      <c r="D10" s="102"/>
      <c r="E10" s="79"/>
      <c r="F10" s="102"/>
      <c r="G10" s="102"/>
      <c r="H10" s="102"/>
      <c r="I10" s="102"/>
    </row>
    <row r="11" spans="1:18" ht="22.95" customHeight="1">
      <c r="A11" s="1"/>
      <c r="B11" s="102"/>
      <c r="C11" s="102"/>
      <c r="D11" s="102"/>
      <c r="E11" s="102"/>
      <c r="F11" s="102"/>
      <c r="G11" s="102"/>
      <c r="H11" s="102"/>
      <c r="I11" s="102"/>
    </row>
    <row r="12" spans="1:18" ht="22.95" customHeight="1">
      <c r="A12" s="102"/>
      <c r="B12" s="102"/>
      <c r="C12" s="102"/>
      <c r="D12" s="102"/>
      <c r="E12" s="102"/>
      <c r="F12" s="102"/>
      <c r="G12" s="102"/>
      <c r="H12" s="102"/>
      <c r="I12" s="102"/>
    </row>
    <row r="13" spans="1:18" ht="22.95" customHeight="1">
      <c r="A13" s="102"/>
      <c r="B13" s="102"/>
      <c r="C13" s="102"/>
      <c r="D13" s="102"/>
      <c r="E13" s="102"/>
      <c r="F13" s="102"/>
      <c r="G13" s="102"/>
      <c r="H13" s="102"/>
      <c r="I13" s="102"/>
    </row>
    <row r="14" spans="1:18" ht="22.95" customHeight="1">
      <c r="A14" s="164"/>
      <c r="B14" s="164"/>
      <c r="C14" s="164"/>
      <c r="D14" s="164"/>
      <c r="E14" s="164"/>
      <c r="F14" s="164"/>
      <c r="G14" s="164"/>
      <c r="H14" s="164"/>
      <c r="I14" s="164"/>
    </row>
    <row r="15" spans="1:18" ht="22.95" customHeight="1">
      <c r="A15" s="102"/>
      <c r="B15" s="102"/>
      <c r="C15" s="102"/>
      <c r="D15" s="102"/>
      <c r="E15" s="102"/>
      <c r="F15" s="102"/>
      <c r="G15" s="102"/>
      <c r="H15" s="102"/>
      <c r="I15" s="102"/>
    </row>
    <row r="16" spans="1:18" ht="22.95" customHeight="1">
      <c r="A16" s="102"/>
      <c r="B16" s="102"/>
      <c r="C16" s="102"/>
      <c r="D16" s="102"/>
      <c r="E16" s="102"/>
      <c r="F16" s="102"/>
      <c r="G16" s="102"/>
      <c r="H16" s="102"/>
      <c r="I16" s="102"/>
    </row>
    <row r="17" spans="1:9" ht="22.95" customHeight="1">
      <c r="A17" s="102"/>
      <c r="B17" s="102"/>
      <c r="C17" s="102"/>
      <c r="D17" s="102"/>
      <c r="E17" s="102"/>
      <c r="F17" s="102"/>
      <c r="G17" s="102"/>
      <c r="H17" s="102"/>
      <c r="I17" s="102"/>
    </row>
    <row r="18" spans="1:9" ht="22.95" customHeight="1">
      <c r="A18" s="102"/>
      <c r="B18" s="102"/>
      <c r="C18" s="102"/>
      <c r="D18" s="102"/>
      <c r="E18" s="102"/>
      <c r="F18" s="102"/>
      <c r="G18" s="102"/>
      <c r="H18" s="102"/>
      <c r="I18" s="102"/>
    </row>
    <row r="19" spans="1:9" ht="22.95" customHeight="1">
      <c r="A19" s="102"/>
      <c r="B19" s="102"/>
      <c r="C19" s="102"/>
      <c r="D19" s="102"/>
      <c r="E19" s="102"/>
      <c r="F19" s="102"/>
      <c r="G19" s="102"/>
      <c r="H19" s="102"/>
      <c r="I19" s="102"/>
    </row>
    <row r="20" spans="1:9" ht="22.95" customHeight="1">
      <c r="A20" s="102"/>
      <c r="B20" s="102"/>
      <c r="C20" s="102"/>
      <c r="D20" s="102"/>
      <c r="E20" s="102"/>
      <c r="F20" s="102"/>
      <c r="G20" s="102"/>
      <c r="H20" s="102"/>
      <c r="I20" s="102"/>
    </row>
    <row r="21" spans="1:9" ht="22.95" customHeight="1">
      <c r="A21" s="102"/>
      <c r="B21" s="102"/>
      <c r="C21" s="102"/>
      <c r="D21" s="102"/>
      <c r="E21" s="102"/>
      <c r="F21" s="102"/>
      <c r="G21" s="102"/>
      <c r="H21" s="102"/>
      <c r="I21" s="102"/>
    </row>
    <row r="22" spans="1:9" ht="22.95" customHeight="1">
      <c r="A22" s="102"/>
      <c r="B22" s="102"/>
      <c r="C22" s="102"/>
      <c r="D22" s="102"/>
      <c r="E22" s="102"/>
      <c r="F22" s="102"/>
      <c r="G22" s="102"/>
      <c r="H22" s="102"/>
      <c r="I22" s="102"/>
    </row>
    <row r="23" spans="1:9" ht="22.95" customHeight="1">
      <c r="A23" s="102"/>
      <c r="B23" s="102"/>
      <c r="C23" s="102"/>
      <c r="D23" s="102"/>
      <c r="E23" s="102"/>
      <c r="F23" s="102"/>
      <c r="G23" s="102"/>
      <c r="H23" s="102"/>
      <c r="I23" s="102"/>
    </row>
    <row r="24" spans="1:9" ht="22.95" customHeight="1">
      <c r="A24" s="102"/>
      <c r="B24" s="102"/>
      <c r="C24" s="102"/>
      <c r="D24" s="102"/>
      <c r="E24" s="102"/>
      <c r="F24" s="102"/>
      <c r="G24" s="102"/>
      <c r="H24" s="102"/>
      <c r="I24" s="102"/>
    </row>
    <row r="25" spans="1:9" ht="22.95" customHeight="1">
      <c r="A25" s="102"/>
      <c r="B25" s="102"/>
      <c r="C25" s="102"/>
      <c r="D25" s="102"/>
      <c r="E25" s="102"/>
      <c r="F25" s="102"/>
      <c r="G25" s="102"/>
      <c r="H25" s="102"/>
      <c r="I25" s="102"/>
    </row>
    <row r="26" spans="1:9" ht="22.95" customHeight="1">
      <c r="A26" s="102"/>
      <c r="B26" s="102"/>
      <c r="C26" s="102"/>
      <c r="D26" s="102"/>
      <c r="E26" s="102"/>
      <c r="F26" s="102"/>
      <c r="G26" s="102"/>
      <c r="H26" s="102"/>
      <c r="I26" s="102"/>
    </row>
    <row r="27" spans="1:9" ht="22.95" customHeight="1">
      <c r="A27" s="102"/>
      <c r="B27" s="102"/>
      <c r="C27" s="102"/>
      <c r="D27" s="102"/>
      <c r="E27" s="102"/>
      <c r="F27" s="102"/>
      <c r="G27" s="102"/>
      <c r="H27" s="102"/>
      <c r="I27" s="102"/>
    </row>
    <row r="28" spans="1:9" ht="22.95" customHeight="1">
      <c r="A28" s="102"/>
      <c r="B28" s="102"/>
      <c r="C28" s="102"/>
      <c r="D28" s="102"/>
      <c r="E28" s="102"/>
      <c r="F28" s="102"/>
      <c r="G28" s="102"/>
      <c r="H28" s="102"/>
      <c r="I28" s="102"/>
    </row>
  </sheetData>
  <mergeCells count="2">
    <mergeCell ref="R3:R6"/>
    <mergeCell ref="A1:R1"/>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730C9-5C61-418E-9D38-D82374F9BCB6}">
  <sheetPr codeName="Sheet15"/>
  <dimension ref="A1:U19"/>
  <sheetViews>
    <sheetView zoomScale="80" zoomScaleNormal="80" workbookViewId="0">
      <pane xSplit="1" topLeftCell="B1" activePane="topRight" state="frozen"/>
      <selection pane="topRight" sqref="A1:J1"/>
    </sheetView>
  </sheetViews>
  <sheetFormatPr defaultColWidth="9.33203125" defaultRowHeight="13.8"/>
  <cols>
    <col min="1" max="1" width="49.6640625" style="57" customWidth="1"/>
    <col min="2" max="4" width="20.33203125" style="57" customWidth="1"/>
    <col min="5" max="5" width="25.33203125" style="57" bestFit="1" customWidth="1"/>
    <col min="6" max="6" width="30.6640625" style="57" customWidth="1"/>
    <col min="7" max="7" width="23.6640625" style="57" customWidth="1"/>
    <col min="8" max="8" width="13.6640625" style="57" customWidth="1"/>
    <col min="9" max="9" width="11.6640625" style="57" customWidth="1"/>
    <col min="10" max="10" width="13.6640625" style="57" customWidth="1"/>
    <col min="11" max="11" width="68.33203125" style="57" customWidth="1"/>
    <col min="12" max="12" width="12.33203125" style="57" customWidth="1"/>
    <col min="13" max="13" width="13.6640625" style="57" customWidth="1"/>
    <col min="14" max="14" width="12.33203125" style="57" customWidth="1"/>
    <col min="15" max="15" width="18.109375" style="57" customWidth="1"/>
    <col min="16" max="16" width="17.109375" style="57" customWidth="1"/>
    <col min="17" max="17" width="22.44140625" style="57" customWidth="1"/>
    <col min="18" max="18" width="21.6640625" style="57" customWidth="1"/>
    <col min="19" max="19" width="9.33203125" style="57" customWidth="1"/>
    <col min="20" max="20" width="23.33203125" style="57" customWidth="1"/>
    <col min="21" max="24" width="11.33203125" style="57" customWidth="1"/>
    <col min="25" max="16384" width="9.33203125" style="57"/>
  </cols>
  <sheetData>
    <row r="1" spans="1:21" ht="24.6" customHeight="1" thickBot="1">
      <c r="A1" s="525" t="s">
        <v>272</v>
      </c>
      <c r="B1" s="525"/>
      <c r="C1" s="525"/>
      <c r="D1" s="525"/>
      <c r="E1" s="525"/>
      <c r="F1" s="525"/>
      <c r="G1" s="525"/>
      <c r="H1" s="525"/>
      <c r="I1" s="525"/>
      <c r="J1" s="525"/>
      <c r="K1" s="90"/>
      <c r="L1" s="4"/>
      <c r="M1" s="4"/>
      <c r="N1" s="4"/>
      <c r="O1" s="4"/>
      <c r="P1" s="4"/>
      <c r="Q1" s="4"/>
      <c r="R1" s="4"/>
      <c r="S1" s="4"/>
      <c r="T1" s="4"/>
      <c r="U1" s="4"/>
    </row>
    <row r="2" spans="1:21" ht="76.2" customHeight="1">
      <c r="A2" s="171" t="s">
        <v>273</v>
      </c>
      <c r="B2" s="152" t="s">
        <v>81</v>
      </c>
      <c r="C2" s="153" t="s">
        <v>274</v>
      </c>
      <c r="D2" s="154" t="s">
        <v>275</v>
      </c>
      <c r="E2" s="154" t="s">
        <v>276</v>
      </c>
      <c r="F2" s="154" t="s">
        <v>277</v>
      </c>
      <c r="G2" s="154" t="s">
        <v>278</v>
      </c>
      <c r="H2" s="154" t="s">
        <v>279</v>
      </c>
      <c r="I2" s="154" t="s">
        <v>280</v>
      </c>
      <c r="J2" s="155" t="s">
        <v>281</v>
      </c>
      <c r="K2" s="156" t="s">
        <v>35</v>
      </c>
      <c r="L2" s="4"/>
      <c r="M2" s="4"/>
      <c r="N2" s="4"/>
      <c r="O2" s="4"/>
      <c r="P2" s="4"/>
      <c r="Q2" s="4"/>
      <c r="R2" s="4"/>
      <c r="S2" s="4"/>
      <c r="T2" s="4"/>
      <c r="U2" s="4"/>
    </row>
    <row r="3" spans="1:21" ht="23.4" customHeight="1">
      <c r="A3" s="306" t="str">
        <f>Zones!B3</f>
        <v>Exhibits and events_Conference Room</v>
      </c>
      <c r="B3" s="137">
        <f>Zones!M3</f>
        <v>1056.924</v>
      </c>
      <c r="C3" s="137">
        <f>Zones!I3</f>
        <v>32028</v>
      </c>
      <c r="D3" s="422">
        <v>15</v>
      </c>
      <c r="E3" s="422">
        <v>0.15</v>
      </c>
      <c r="F3" s="126"/>
      <c r="G3" s="82">
        <f t="shared" ref="G3" si="0">B3*D3</f>
        <v>15853.86</v>
      </c>
      <c r="H3" s="83">
        <f t="shared" ref="H3" si="1">C3*E3</f>
        <v>4804.2</v>
      </c>
      <c r="I3" s="83">
        <f t="shared" ref="I3" si="2">F3*C3</f>
        <v>0</v>
      </c>
      <c r="J3" s="82">
        <f>MAX(G3,H3,I3)</f>
        <v>15853.86</v>
      </c>
      <c r="K3" s="82"/>
      <c r="L3" s="4"/>
      <c r="M3" s="4"/>
      <c r="N3" s="4"/>
      <c r="O3" s="4"/>
      <c r="P3" s="4"/>
      <c r="Q3" s="4"/>
      <c r="R3" s="4"/>
      <c r="S3" s="4"/>
      <c r="T3" s="4"/>
      <c r="U3" s="101"/>
    </row>
    <row r="4" spans="1:21" ht="25.2" customHeight="1">
      <c r="A4" s="306" t="str">
        <f>Zones!B4</f>
        <v>Exhibits and events_Theater Area</v>
      </c>
      <c r="B4" s="137">
        <f>Zones!M4</f>
        <v>1895.7</v>
      </c>
      <c r="C4" s="137">
        <f>Zones!I4</f>
        <v>26700</v>
      </c>
      <c r="D4" s="422">
        <v>15</v>
      </c>
      <c r="E4" s="422">
        <v>0.15</v>
      </c>
      <c r="F4" s="126"/>
      <c r="G4" s="82">
        <f t="shared" ref="G4:G19" si="3">B4*D4</f>
        <v>28435.5</v>
      </c>
      <c r="H4" s="83">
        <f t="shared" ref="H4:H19" si="4">C4*E4</f>
        <v>4005</v>
      </c>
      <c r="I4" s="83">
        <f t="shared" ref="I4:I19" si="5">F4*C4</f>
        <v>0</v>
      </c>
      <c r="J4" s="82">
        <f t="shared" ref="J4:J19" si="6">MAX(G4,H4,I4)</f>
        <v>28435.5</v>
      </c>
      <c r="K4" s="82"/>
      <c r="L4" s="4"/>
      <c r="M4" s="4"/>
      <c r="N4" s="4"/>
      <c r="O4" s="4"/>
      <c r="P4" s="4"/>
      <c r="Q4" s="4"/>
      <c r="R4" s="4"/>
      <c r="S4" s="4"/>
      <c r="T4" s="4"/>
      <c r="U4" s="4"/>
    </row>
    <row r="5" spans="1:21" ht="28.95" customHeight="1">
      <c r="A5" s="306" t="str">
        <f>Zones!B5</f>
        <v>Exhibits and events_Auditorium Area</v>
      </c>
      <c r="B5" s="137">
        <f>Zones!M5</f>
        <v>1893.144</v>
      </c>
      <c r="C5" s="137">
        <f>Zones!I5</f>
        <v>26664</v>
      </c>
      <c r="D5" s="422">
        <v>15</v>
      </c>
      <c r="E5" s="422">
        <v>0.15</v>
      </c>
      <c r="F5" s="126"/>
      <c r="G5" s="82">
        <f t="shared" si="3"/>
        <v>28397.16</v>
      </c>
      <c r="H5" s="83">
        <f t="shared" si="4"/>
        <v>3999.6</v>
      </c>
      <c r="I5" s="83">
        <f t="shared" si="5"/>
        <v>0</v>
      </c>
      <c r="J5" s="82">
        <f t="shared" si="6"/>
        <v>28397.16</v>
      </c>
      <c r="K5" s="82"/>
      <c r="L5" s="4"/>
      <c r="M5" s="4"/>
      <c r="N5" s="4"/>
      <c r="O5" s="4"/>
      <c r="P5" s="4"/>
      <c r="Q5" s="4"/>
      <c r="R5" s="4"/>
      <c r="S5" s="4"/>
      <c r="T5" s="4"/>
      <c r="U5" s="4"/>
    </row>
    <row r="6" spans="1:21" ht="28.95" customHeight="1">
      <c r="A6" s="306" t="str">
        <f>Zones!B6</f>
        <v>Exhibits and events_Museum Area Exhibition Display</v>
      </c>
      <c r="B6" s="137">
        <f>Zones!M6</f>
        <v>362.50799999999998</v>
      </c>
      <c r="C6" s="137">
        <f>Zones!I6</f>
        <v>21324</v>
      </c>
      <c r="D6" s="422">
        <v>15</v>
      </c>
      <c r="E6" s="422">
        <v>0.15</v>
      </c>
      <c r="F6" s="126"/>
      <c r="G6" s="82">
        <f t="shared" si="3"/>
        <v>5437.62</v>
      </c>
      <c r="H6" s="83">
        <f t="shared" si="4"/>
        <v>3198.6</v>
      </c>
      <c r="I6" s="83">
        <f t="shared" si="5"/>
        <v>0</v>
      </c>
      <c r="J6" s="82">
        <f t="shared" si="6"/>
        <v>5437.62</v>
      </c>
      <c r="K6" s="82"/>
      <c r="L6" s="4"/>
      <c r="M6" s="4"/>
      <c r="N6" s="4"/>
      <c r="O6" s="4"/>
      <c r="P6" s="4"/>
      <c r="Q6" s="4"/>
      <c r="R6" s="4"/>
      <c r="S6" s="4"/>
      <c r="T6" s="4"/>
      <c r="U6" s="4"/>
    </row>
    <row r="7" spans="1:21" ht="28.95" customHeight="1">
      <c r="A7" s="306" t="str">
        <f>Zones!B7</f>
        <v>Library_Conference Room</v>
      </c>
      <c r="B7" s="137">
        <f>Zones!M7</f>
        <v>42.9</v>
      </c>
      <c r="C7" s="137">
        <f>Zones!I7</f>
        <v>1300</v>
      </c>
      <c r="D7" s="422">
        <v>15</v>
      </c>
      <c r="E7" s="422">
        <v>0.15</v>
      </c>
      <c r="F7" s="126"/>
      <c r="G7" s="82">
        <f t="shared" si="3"/>
        <v>643.5</v>
      </c>
      <c r="H7" s="83">
        <f t="shared" si="4"/>
        <v>195</v>
      </c>
      <c r="I7" s="83">
        <f t="shared" si="5"/>
        <v>0</v>
      </c>
      <c r="J7" s="82">
        <f t="shared" si="6"/>
        <v>643.5</v>
      </c>
      <c r="K7" s="82"/>
      <c r="L7" s="4"/>
      <c r="M7" s="4"/>
      <c r="N7" s="4"/>
      <c r="O7" s="4"/>
      <c r="P7" s="4"/>
      <c r="Q7" s="4"/>
      <c r="R7" s="4"/>
      <c r="S7" s="4"/>
      <c r="T7" s="4"/>
      <c r="U7" s="4"/>
    </row>
    <row r="8" spans="1:21" ht="23.4" customHeight="1">
      <c r="A8" s="306" t="str">
        <f>Zones!B8</f>
        <v>Library_Reading Area</v>
      </c>
      <c r="B8" s="137">
        <f>Zones!M8</f>
        <v>77.98</v>
      </c>
      <c r="C8" s="137">
        <f>Zones!I8</f>
        <v>7798</v>
      </c>
      <c r="D8" s="422">
        <v>15</v>
      </c>
      <c r="E8" s="422">
        <v>0.15</v>
      </c>
      <c r="F8" s="422"/>
      <c r="G8" s="82">
        <f t="shared" si="3"/>
        <v>1169.7</v>
      </c>
      <c r="H8" s="83">
        <f t="shared" si="4"/>
        <v>1169.7</v>
      </c>
      <c r="I8" s="83">
        <f t="shared" si="5"/>
        <v>0</v>
      </c>
      <c r="J8" s="82">
        <f t="shared" si="6"/>
        <v>1169.7</v>
      </c>
      <c r="K8" s="82"/>
      <c r="L8" s="4"/>
      <c r="M8" s="4"/>
      <c r="N8" s="4"/>
      <c r="O8" s="4"/>
      <c r="P8" s="4"/>
      <c r="Q8" s="4"/>
      <c r="R8" s="4"/>
      <c r="S8" s="4"/>
      <c r="T8" s="4"/>
      <c r="U8" s="4"/>
    </row>
    <row r="9" spans="1:21" ht="24.6" customHeight="1">
      <c r="A9" s="306" t="str">
        <f>Zones!B9</f>
        <v>Library_Stacks Area</v>
      </c>
      <c r="B9" s="137">
        <f>Zones!M9</f>
        <v>155.96</v>
      </c>
      <c r="C9" s="137">
        <f>Zones!I9</f>
        <v>15596</v>
      </c>
      <c r="D9" s="422">
        <v>15</v>
      </c>
      <c r="E9" s="422">
        <v>0.15</v>
      </c>
      <c r="F9" s="422"/>
      <c r="G9" s="82">
        <f t="shared" si="3"/>
        <v>2339.4</v>
      </c>
      <c r="H9" s="83">
        <f t="shared" si="4"/>
        <v>2339.4</v>
      </c>
      <c r="I9" s="83">
        <f t="shared" si="5"/>
        <v>0</v>
      </c>
      <c r="J9" s="82">
        <f t="shared" si="6"/>
        <v>2339.4</v>
      </c>
      <c r="K9" s="422"/>
      <c r="L9" s="4"/>
      <c r="M9" s="4"/>
      <c r="N9" s="4"/>
      <c r="O9" s="4"/>
      <c r="P9" s="4"/>
      <c r="Q9" s="4"/>
      <c r="R9" s="4"/>
      <c r="S9" s="4"/>
      <c r="T9" s="4"/>
      <c r="U9" s="4"/>
    </row>
    <row r="10" spans="1:21" ht="24.6" customHeight="1">
      <c r="A10" s="306" t="str">
        <f>Zones!B10</f>
        <v>Library_Lobby Main Entry</v>
      </c>
      <c r="B10" s="137">
        <f>Zones!M10</f>
        <v>42.9</v>
      </c>
      <c r="C10" s="137">
        <f>Zones!I10</f>
        <v>1300</v>
      </c>
      <c r="D10" s="422">
        <v>15</v>
      </c>
      <c r="E10" s="422">
        <v>0.15</v>
      </c>
      <c r="F10" s="422"/>
      <c r="G10" s="82">
        <f t="shared" si="3"/>
        <v>643.5</v>
      </c>
      <c r="H10" s="83">
        <f t="shared" si="4"/>
        <v>195</v>
      </c>
      <c r="I10" s="83">
        <f t="shared" si="5"/>
        <v>0</v>
      </c>
      <c r="J10" s="82">
        <f t="shared" si="6"/>
        <v>643.5</v>
      </c>
      <c r="K10" s="422"/>
      <c r="L10" s="4"/>
      <c r="M10" s="4"/>
      <c r="N10" s="4"/>
      <c r="O10" s="4"/>
      <c r="P10" s="4"/>
      <c r="Q10" s="4"/>
      <c r="R10" s="4"/>
      <c r="S10" s="4"/>
      <c r="T10" s="4"/>
      <c r="U10" s="4"/>
    </row>
    <row r="11" spans="1:21" ht="24.6" customHeight="1">
      <c r="A11" s="306" t="str">
        <f>Zones!B11</f>
        <v>Religious_Conference Room</v>
      </c>
      <c r="B11" s="137">
        <f>Zones!M11</f>
        <v>204.63300000000001</v>
      </c>
      <c r="C11" s="137">
        <f>Zones!I11</f>
        <v>6201</v>
      </c>
      <c r="D11" s="422">
        <v>15</v>
      </c>
      <c r="E11" s="422">
        <v>0.15</v>
      </c>
      <c r="F11" s="422"/>
      <c r="G11" s="82">
        <f t="shared" si="3"/>
        <v>3069.4950000000003</v>
      </c>
      <c r="H11" s="83">
        <f t="shared" si="4"/>
        <v>930.15</v>
      </c>
      <c r="I11" s="83">
        <f t="shared" si="5"/>
        <v>0</v>
      </c>
      <c r="J11" s="82">
        <f t="shared" si="6"/>
        <v>3069.4950000000003</v>
      </c>
      <c r="K11" s="422"/>
      <c r="L11" s="4"/>
      <c r="M11" s="4"/>
      <c r="N11" s="4"/>
      <c r="O11" s="4"/>
      <c r="P11" s="4"/>
      <c r="Q11" s="4"/>
      <c r="R11" s="4"/>
      <c r="S11" s="4"/>
      <c r="T11" s="4"/>
      <c r="U11" s="4"/>
    </row>
    <row r="12" spans="1:21" ht="24.6" customHeight="1">
      <c r="A12" s="306" t="str">
        <f>Zones!B12</f>
        <v>Religious_General Office</v>
      </c>
      <c r="B12" s="137">
        <f>Zones!M12</f>
        <v>31.004999999999999</v>
      </c>
      <c r="C12" s="137">
        <f>Zones!I12</f>
        <v>6201</v>
      </c>
      <c r="D12" s="422">
        <v>15</v>
      </c>
      <c r="E12" s="422">
        <v>0.15</v>
      </c>
      <c r="F12" s="422"/>
      <c r="G12" s="82">
        <f t="shared" si="3"/>
        <v>465.07499999999999</v>
      </c>
      <c r="H12" s="83">
        <f t="shared" si="4"/>
        <v>930.15</v>
      </c>
      <c r="I12" s="83">
        <f t="shared" si="5"/>
        <v>0</v>
      </c>
      <c r="J12" s="82">
        <f t="shared" si="6"/>
        <v>930.15</v>
      </c>
      <c r="K12" s="422"/>
      <c r="L12" s="4"/>
      <c r="M12" s="4"/>
      <c r="N12" s="4"/>
      <c r="O12" s="4"/>
      <c r="P12" s="4"/>
      <c r="Q12" s="4"/>
      <c r="R12" s="4"/>
      <c r="S12" s="4"/>
      <c r="T12" s="4"/>
      <c r="U12" s="4"/>
    </row>
    <row r="13" spans="1:21" ht="24.6" customHeight="1">
      <c r="A13" s="306" t="str">
        <f>Zones!B13</f>
        <v>Religious_Worship Area</v>
      </c>
      <c r="B13" s="137">
        <f>Zones!M13</f>
        <v>3521.529</v>
      </c>
      <c r="C13" s="137">
        <f>Zones!I13</f>
        <v>49599</v>
      </c>
      <c r="D13" s="422">
        <v>15</v>
      </c>
      <c r="E13" s="422">
        <v>0.15</v>
      </c>
      <c r="F13" s="422"/>
      <c r="G13" s="82">
        <f t="shared" si="3"/>
        <v>52822.934999999998</v>
      </c>
      <c r="H13" s="83">
        <f t="shared" si="4"/>
        <v>7439.8499999999995</v>
      </c>
      <c r="I13" s="83">
        <f t="shared" si="5"/>
        <v>0</v>
      </c>
      <c r="J13" s="82">
        <f t="shared" si="6"/>
        <v>52822.934999999998</v>
      </c>
      <c r="K13" s="422"/>
      <c r="L13" s="4"/>
      <c r="M13" s="4"/>
      <c r="N13" s="4"/>
      <c r="O13" s="4"/>
      <c r="P13" s="4"/>
      <c r="Q13" s="4"/>
      <c r="R13" s="4"/>
      <c r="S13" s="4"/>
      <c r="T13" s="4"/>
      <c r="U13" s="4"/>
    </row>
    <row r="14" spans="1:21" ht="24.6" customHeight="1">
      <c r="A14" s="306" t="str">
        <f>Zones!B14</f>
        <v>Sports and recreation_GYM</v>
      </c>
      <c r="B14" s="137">
        <f>Zones!M14</f>
        <v>810.55</v>
      </c>
      <c r="C14" s="137">
        <f>Zones!I14</f>
        <v>81055</v>
      </c>
      <c r="D14" s="422">
        <v>15</v>
      </c>
      <c r="E14" s="422">
        <v>0.15</v>
      </c>
      <c r="F14" s="420"/>
      <c r="G14" s="82">
        <f t="shared" si="3"/>
        <v>12158.25</v>
      </c>
      <c r="H14" s="83">
        <f t="shared" si="4"/>
        <v>12158.25</v>
      </c>
      <c r="I14" s="83">
        <f t="shared" si="5"/>
        <v>0</v>
      </c>
      <c r="J14" s="82">
        <f t="shared" si="6"/>
        <v>12158.25</v>
      </c>
      <c r="K14" s="422"/>
      <c r="L14" s="4"/>
      <c r="M14" s="4"/>
      <c r="N14" s="4"/>
      <c r="O14" s="4"/>
      <c r="P14" s="4"/>
      <c r="Q14" s="4"/>
      <c r="R14" s="4"/>
      <c r="S14" s="4"/>
      <c r="T14" s="4"/>
      <c r="U14" s="4"/>
    </row>
    <row r="15" spans="1:21" ht="24.6" customHeight="1">
      <c r="A15" s="306" t="str">
        <f>Zones!B15</f>
        <v>Sports and recreation_Locker Room</v>
      </c>
      <c r="B15" s="137">
        <f>Zones!M15</f>
        <v>303.33999999999997</v>
      </c>
      <c r="C15" s="137">
        <f>Zones!I15</f>
        <v>15167</v>
      </c>
      <c r="D15" s="422">
        <v>15</v>
      </c>
      <c r="E15" s="422">
        <v>0.15</v>
      </c>
      <c r="F15" s="422">
        <v>0.5</v>
      </c>
      <c r="G15" s="82">
        <f t="shared" si="3"/>
        <v>4550.0999999999995</v>
      </c>
      <c r="H15" s="83">
        <f t="shared" si="4"/>
        <v>2275.0499999999997</v>
      </c>
      <c r="I15" s="83">
        <f>F15*C15</f>
        <v>7583.5</v>
      </c>
      <c r="J15" s="82">
        <f>MAX(G15,H15,I15)</f>
        <v>7583.5</v>
      </c>
      <c r="K15" s="422"/>
      <c r="L15" s="4"/>
      <c r="M15" s="4"/>
      <c r="N15" s="4"/>
      <c r="O15" s="4"/>
      <c r="P15" s="4"/>
      <c r="Q15" s="4"/>
      <c r="R15" s="4"/>
      <c r="S15" s="4"/>
      <c r="T15" s="4"/>
      <c r="U15" s="4"/>
    </row>
    <row r="16" spans="1:21" ht="46.5" customHeight="1">
      <c r="A16" s="306" t="str">
        <f>Zones!B16</f>
        <v>Sports and recreation_Restroom</v>
      </c>
      <c r="B16" s="137">
        <f>Zones!M16</f>
        <v>50.75</v>
      </c>
      <c r="C16" s="137">
        <f>Zones!I16</f>
        <v>5075</v>
      </c>
      <c r="D16" s="422">
        <v>0</v>
      </c>
      <c r="E16" s="422">
        <v>0</v>
      </c>
      <c r="F16" s="422" t="s">
        <v>282</v>
      </c>
      <c r="G16" s="82">
        <f t="shared" si="3"/>
        <v>0</v>
      </c>
      <c r="H16" s="83">
        <f t="shared" si="4"/>
        <v>0</v>
      </c>
      <c r="I16" s="83">
        <f>50*6</f>
        <v>300</v>
      </c>
      <c r="J16" s="82">
        <f>MAX(G16,H16,I16)</f>
        <v>300</v>
      </c>
      <c r="K16" s="157" t="s">
        <v>283</v>
      </c>
      <c r="L16" s="4"/>
      <c r="M16" s="4"/>
      <c r="N16" s="4"/>
      <c r="O16" s="4"/>
      <c r="P16" s="4"/>
      <c r="Q16" s="4"/>
      <c r="R16" s="4"/>
      <c r="S16" s="4"/>
      <c r="T16" s="4"/>
      <c r="U16" s="4"/>
    </row>
    <row r="17" spans="1:11" ht="24.6" customHeight="1">
      <c r="A17" s="306" t="str">
        <f>Zones!B17</f>
        <v>Terminals_Concourse</v>
      </c>
      <c r="B17" s="137">
        <f>Zones!M17</f>
        <v>296.10599999999999</v>
      </c>
      <c r="C17" s="137">
        <f>Zones!I17</f>
        <v>17418</v>
      </c>
      <c r="D17" s="422">
        <v>15</v>
      </c>
      <c r="E17" s="422">
        <v>0.15</v>
      </c>
      <c r="F17" s="422"/>
      <c r="G17" s="82">
        <f t="shared" si="3"/>
        <v>4441.59</v>
      </c>
      <c r="H17" s="83">
        <f t="shared" si="4"/>
        <v>2612.6999999999998</v>
      </c>
      <c r="I17" s="83">
        <f t="shared" si="5"/>
        <v>0</v>
      </c>
      <c r="J17" s="82">
        <f t="shared" si="6"/>
        <v>4441.59</v>
      </c>
      <c r="K17" s="422"/>
    </row>
    <row r="18" spans="1:11" ht="24.6" customHeight="1">
      <c r="A18" s="306" t="str">
        <f>Zones!B18</f>
        <v>Terminals_Baggage</v>
      </c>
      <c r="B18" s="137">
        <f>Zones!M18</f>
        <v>31.779</v>
      </c>
      <c r="C18" s="137">
        <f>Zones!I18</f>
        <v>963</v>
      </c>
      <c r="D18" s="422">
        <v>15</v>
      </c>
      <c r="E18" s="422">
        <v>0.15</v>
      </c>
      <c r="F18" s="422"/>
      <c r="G18" s="82">
        <f t="shared" si="3"/>
        <v>476.685</v>
      </c>
      <c r="H18" s="83">
        <f t="shared" si="4"/>
        <v>144.44999999999999</v>
      </c>
      <c r="I18" s="83">
        <f t="shared" si="5"/>
        <v>0</v>
      </c>
      <c r="J18" s="82">
        <f t="shared" si="6"/>
        <v>476.685</v>
      </c>
      <c r="K18" s="422"/>
    </row>
    <row r="19" spans="1:11" ht="24.6" customHeight="1">
      <c r="A19" s="306" t="str">
        <f>Zones!B19</f>
        <v>Terminals_Ticket</v>
      </c>
      <c r="B19" s="137">
        <f>Zones!M19</f>
        <v>31.779</v>
      </c>
      <c r="C19" s="137">
        <f>Zones!I19</f>
        <v>963</v>
      </c>
      <c r="D19" s="422">
        <v>15</v>
      </c>
      <c r="E19" s="422">
        <v>0.15</v>
      </c>
      <c r="F19" s="422"/>
      <c r="G19" s="82">
        <f t="shared" si="3"/>
        <v>476.685</v>
      </c>
      <c r="H19" s="83">
        <f t="shared" si="4"/>
        <v>144.44999999999999</v>
      </c>
      <c r="I19" s="83">
        <f t="shared" si="5"/>
        <v>0</v>
      </c>
      <c r="J19" s="82">
        <f t="shared" si="6"/>
        <v>476.685</v>
      </c>
      <c r="K19" s="422"/>
    </row>
  </sheetData>
  <mergeCells count="1">
    <mergeCell ref="A1:J1"/>
  </mergeCells>
  <phoneticPr fontId="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42D24-C8D3-4C44-B11E-A35F08FD0F65}">
  <dimension ref="A1:AM225"/>
  <sheetViews>
    <sheetView zoomScale="80" zoomScaleNormal="80" workbookViewId="0">
      <selection sqref="A1:G1"/>
    </sheetView>
  </sheetViews>
  <sheetFormatPr defaultColWidth="8.6640625" defaultRowHeight="12.75" customHeight="1"/>
  <cols>
    <col min="1" max="1" width="35.88671875" style="6" customWidth="1"/>
    <col min="2" max="2" width="38.33203125" style="6" customWidth="1"/>
    <col min="3" max="4" width="33" style="6" customWidth="1"/>
    <col min="5" max="5" width="32.44140625" style="6" customWidth="1"/>
    <col min="6" max="6" width="25.5546875" style="6" customWidth="1"/>
    <col min="7" max="7" width="23" style="6" customWidth="1"/>
    <col min="8" max="8" width="27.44140625" style="6" customWidth="1"/>
    <col min="9" max="10" width="23" style="6" customWidth="1"/>
    <col min="11" max="11" width="19" style="6" customWidth="1"/>
    <col min="12" max="12" width="34.33203125" style="6" customWidth="1"/>
    <col min="13" max="13" width="15.33203125" style="6" customWidth="1"/>
    <col min="14" max="14" width="12.33203125" style="6" customWidth="1"/>
    <col min="15" max="15" width="13.33203125" style="6" customWidth="1"/>
    <col min="16" max="16" width="15.33203125" style="6" customWidth="1"/>
    <col min="17" max="17" width="11" style="6" customWidth="1"/>
    <col min="18" max="21" width="15.33203125" style="6" customWidth="1"/>
    <col min="22" max="22" width="7.6640625" style="6" hidden="1" customWidth="1"/>
    <col min="23" max="23" width="12.44140625" style="6" hidden="1" customWidth="1"/>
    <col min="24" max="39" width="6.5546875" style="6" hidden="1" customWidth="1"/>
    <col min="40" max="40" width="15.33203125" style="6" customWidth="1"/>
    <col min="41" max="41" width="11.33203125" style="6" customWidth="1"/>
    <col min="42" max="42" width="6.33203125" style="6" customWidth="1"/>
    <col min="43" max="46" width="4.6640625" style="6" customWidth="1"/>
    <col min="47" max="47" width="6.33203125" style="6" customWidth="1"/>
    <col min="48" max="62" width="4.6640625" style="6" customWidth="1"/>
    <col min="63" max="16384" width="8.6640625" style="6"/>
  </cols>
  <sheetData>
    <row r="1" spans="1:12" ht="24" customHeight="1">
      <c r="A1" s="526" t="s">
        <v>284</v>
      </c>
      <c r="B1" s="527"/>
      <c r="C1" s="527"/>
      <c r="D1" s="527"/>
      <c r="E1" s="527"/>
      <c r="F1" s="527"/>
      <c r="G1" s="527"/>
    </row>
    <row r="2" spans="1:12" ht="22.35" customHeight="1">
      <c r="A2" s="239" t="s">
        <v>139</v>
      </c>
      <c r="B2" s="239" t="s">
        <v>285</v>
      </c>
      <c r="C2" s="239" t="s">
        <v>286</v>
      </c>
      <c r="D2" s="332" t="s">
        <v>287</v>
      </c>
      <c r="E2" s="249" t="s">
        <v>288</v>
      </c>
      <c r="F2" s="249" t="s">
        <v>289</v>
      </c>
      <c r="G2" s="249" t="s">
        <v>213</v>
      </c>
      <c r="H2" s="250"/>
    </row>
    <row r="3" spans="1:12" ht="61.5" customHeight="1">
      <c r="A3" s="433" t="s">
        <v>290</v>
      </c>
      <c r="B3" s="433" t="s">
        <v>291</v>
      </c>
      <c r="C3" s="86">
        <v>0.8</v>
      </c>
      <c r="D3" s="333">
        <v>5</v>
      </c>
      <c r="E3" s="330" t="s">
        <v>292</v>
      </c>
      <c r="F3" s="331" t="s">
        <v>293</v>
      </c>
      <c r="G3" s="423" t="s">
        <v>294</v>
      </c>
      <c r="H3" s="251"/>
    </row>
    <row r="4" spans="1:12" ht="63.75" customHeight="1">
      <c r="A4" s="433" t="s">
        <v>220</v>
      </c>
      <c r="B4" s="433" t="s">
        <v>291</v>
      </c>
      <c r="C4" s="86">
        <v>0.8</v>
      </c>
      <c r="D4" s="333">
        <v>5</v>
      </c>
      <c r="E4" s="330" t="str">
        <f>E3</f>
        <v>See table below for CZ-specific values: Climate Zone Water Heater Sizing and Loss Coefficients, Storage Volume column (col F)</v>
      </c>
      <c r="F4" s="330" t="str">
        <f>F3</f>
        <v>See table below: Climate Zone Water Heater Sizing and Loss Coefficients, Standby Loss column (col G)</v>
      </c>
      <c r="G4" s="423" t="str">
        <f>G3</f>
        <v>See table below for sources: Climate Zone Water Heater Sizing and Loss Coefficients</v>
      </c>
      <c r="H4" s="251"/>
    </row>
    <row r="5" spans="1:12" ht="40.950000000000003" customHeight="1">
      <c r="F5" s="12"/>
    </row>
    <row r="6" spans="1:12" ht="16.2" customHeight="1">
      <c r="A6" s="526" t="s">
        <v>295</v>
      </c>
      <c r="B6" s="527"/>
      <c r="C6" s="527"/>
      <c r="D6" s="527"/>
      <c r="E6" s="527"/>
      <c r="F6" s="527"/>
      <c r="G6" s="527"/>
      <c r="H6" s="527"/>
      <c r="I6" s="89"/>
    </row>
    <row r="7" spans="1:12" ht="73.5" customHeight="1">
      <c r="A7" s="436" t="s">
        <v>296</v>
      </c>
      <c r="B7" s="436" t="s">
        <v>297</v>
      </c>
      <c r="C7" s="436" t="s">
        <v>298</v>
      </c>
      <c r="D7" s="436" t="s">
        <v>81</v>
      </c>
      <c r="E7" s="436" t="s">
        <v>299</v>
      </c>
      <c r="F7" s="436" t="s">
        <v>300</v>
      </c>
      <c r="G7" s="436" t="s">
        <v>301</v>
      </c>
      <c r="H7" s="68" t="s">
        <v>189</v>
      </c>
      <c r="I7"/>
      <c r="J7"/>
      <c r="K7"/>
      <c r="L7"/>
    </row>
    <row r="8" spans="1:12" ht="22.2" customHeight="1">
      <c r="A8" s="122" t="str">
        <f>Zones!B3</f>
        <v>Exhibits and events_Conference Room</v>
      </c>
      <c r="B8" s="16" t="s">
        <v>291</v>
      </c>
      <c r="C8" s="73">
        <f>Zones!I3</f>
        <v>32028</v>
      </c>
      <c r="D8" s="73">
        <f>Zones!M3</f>
        <v>1056.924</v>
      </c>
      <c r="E8" s="76">
        <v>0.09</v>
      </c>
      <c r="F8" s="165">
        <f>E8*D8</f>
        <v>95.123159999999999</v>
      </c>
      <c r="G8" s="252">
        <f>F8/60</f>
        <v>1.585386</v>
      </c>
      <c r="H8" s="531" t="s">
        <v>302</v>
      </c>
      <c r="I8"/>
      <c r="J8"/>
      <c r="K8"/>
      <c r="L8"/>
    </row>
    <row r="9" spans="1:12" ht="22.2" customHeight="1">
      <c r="A9" s="122" t="str">
        <f>Zones!B4</f>
        <v>Exhibits and events_Theater Area</v>
      </c>
      <c r="B9" s="16" t="s">
        <v>291</v>
      </c>
      <c r="C9" s="73">
        <f>Zones!I4</f>
        <v>26700</v>
      </c>
      <c r="D9" s="73">
        <f>Zones!M4</f>
        <v>1895.7</v>
      </c>
      <c r="E9" s="76">
        <v>0.09</v>
      </c>
      <c r="F9" s="165">
        <f t="shared" ref="F9:F24" si="0">E9*D9</f>
        <v>170.613</v>
      </c>
      <c r="G9" s="252">
        <f t="shared" ref="G9:G24" si="1">F9/60</f>
        <v>2.84355</v>
      </c>
      <c r="H9" s="532"/>
      <c r="I9"/>
      <c r="J9"/>
      <c r="K9"/>
      <c r="L9"/>
    </row>
    <row r="10" spans="1:12" ht="22.2" customHeight="1">
      <c r="A10" s="122" t="str">
        <f>Zones!B5</f>
        <v>Exhibits and events_Auditorium Area</v>
      </c>
      <c r="B10" s="16" t="s">
        <v>291</v>
      </c>
      <c r="C10" s="73">
        <f>Zones!I5</f>
        <v>26664</v>
      </c>
      <c r="D10" s="73">
        <f>Zones!M5</f>
        <v>1893.144</v>
      </c>
      <c r="E10" s="76">
        <v>0.09</v>
      </c>
      <c r="F10" s="165">
        <f t="shared" si="0"/>
        <v>170.38296</v>
      </c>
      <c r="G10" s="252">
        <f t="shared" si="1"/>
        <v>2.8397160000000001</v>
      </c>
      <c r="H10" s="532"/>
      <c r="I10"/>
      <c r="J10"/>
      <c r="K10"/>
      <c r="L10"/>
    </row>
    <row r="11" spans="1:12" ht="26.25" customHeight="1">
      <c r="A11" s="122" t="str">
        <f>Zones!B6</f>
        <v>Exhibits and events_Museum Area Exhibition Display</v>
      </c>
      <c r="B11" s="16" t="s">
        <v>291</v>
      </c>
      <c r="C11" s="73">
        <f>Zones!I6</f>
        <v>21324</v>
      </c>
      <c r="D11" s="73">
        <f>Zones!M6</f>
        <v>362.50799999999998</v>
      </c>
      <c r="E11" s="76">
        <v>0.09</v>
      </c>
      <c r="F11" s="165">
        <f t="shared" si="0"/>
        <v>32.625719999999994</v>
      </c>
      <c r="G11" s="252">
        <f t="shared" si="1"/>
        <v>0.54376199999999986</v>
      </c>
      <c r="H11" s="532"/>
      <c r="I11"/>
      <c r="J11"/>
      <c r="K11"/>
      <c r="L11"/>
    </row>
    <row r="12" spans="1:12" ht="22.2" customHeight="1">
      <c r="A12" s="122" t="str">
        <f>Zones!B7</f>
        <v>Library_Conference Room</v>
      </c>
      <c r="B12" s="16" t="s">
        <v>291</v>
      </c>
      <c r="C12" s="73">
        <f>Zones!I7</f>
        <v>1300</v>
      </c>
      <c r="D12" s="73">
        <f>Zones!M7</f>
        <v>42.9</v>
      </c>
      <c r="E12" s="76">
        <v>0.09</v>
      </c>
      <c r="F12" s="165">
        <f>E12*D12</f>
        <v>3.8609999999999998</v>
      </c>
      <c r="G12" s="252">
        <f>F12/60</f>
        <v>6.4349999999999991E-2</v>
      </c>
      <c r="H12" s="532"/>
      <c r="I12"/>
      <c r="J12"/>
      <c r="K12"/>
      <c r="L12"/>
    </row>
    <row r="13" spans="1:12" ht="28.2" customHeight="1">
      <c r="A13" s="122" t="str">
        <f>Zones!B8</f>
        <v>Library_Reading Area</v>
      </c>
      <c r="B13" s="16" t="s">
        <v>291</v>
      </c>
      <c r="C13" s="73">
        <f>Zones!I8</f>
        <v>7798</v>
      </c>
      <c r="D13" s="73">
        <f>Zones!M8</f>
        <v>77.98</v>
      </c>
      <c r="E13" s="76">
        <v>0.18</v>
      </c>
      <c r="F13" s="165">
        <f t="shared" si="0"/>
        <v>14.0364</v>
      </c>
      <c r="G13" s="252">
        <f>F13/60</f>
        <v>0.23394000000000001</v>
      </c>
      <c r="H13" s="532"/>
      <c r="I13"/>
      <c r="J13"/>
      <c r="K13"/>
      <c r="L13"/>
    </row>
    <row r="14" spans="1:12" ht="28.2" customHeight="1">
      <c r="A14" s="122" t="str">
        <f>Zones!B9</f>
        <v>Library_Stacks Area</v>
      </c>
      <c r="B14" s="16" t="s">
        <v>291</v>
      </c>
      <c r="C14" s="73">
        <f>Zones!I9</f>
        <v>15596</v>
      </c>
      <c r="D14" s="73">
        <f>Zones!M9</f>
        <v>155.96</v>
      </c>
      <c r="E14" s="76">
        <v>0.18</v>
      </c>
      <c r="F14" s="165">
        <f t="shared" si="0"/>
        <v>28.072800000000001</v>
      </c>
      <c r="G14" s="252">
        <f t="shared" si="1"/>
        <v>0.46788000000000002</v>
      </c>
      <c r="H14" s="532"/>
      <c r="I14"/>
      <c r="J14"/>
      <c r="K14"/>
      <c r="L14"/>
    </row>
    <row r="15" spans="1:12" ht="28.2" customHeight="1">
      <c r="A15" s="122" t="str">
        <f>Zones!B10</f>
        <v>Library_Lobby Main Entry</v>
      </c>
      <c r="B15" s="16" t="s">
        <v>291</v>
      </c>
      <c r="C15" s="73">
        <f>Zones!I10</f>
        <v>1300</v>
      </c>
      <c r="D15" s="73">
        <f>Zones!M10</f>
        <v>42.9</v>
      </c>
      <c r="E15" s="76">
        <v>0.09</v>
      </c>
      <c r="F15" s="165">
        <f t="shared" si="0"/>
        <v>3.8609999999999998</v>
      </c>
      <c r="G15" s="252">
        <f t="shared" si="1"/>
        <v>6.4349999999999991E-2</v>
      </c>
      <c r="H15" s="532"/>
      <c r="I15"/>
      <c r="J15"/>
      <c r="K15"/>
      <c r="L15"/>
    </row>
    <row r="16" spans="1:12" ht="28.2" customHeight="1">
      <c r="A16" s="122" t="str">
        <f>Zones!B11</f>
        <v>Religious_Conference Room</v>
      </c>
      <c r="B16" s="16" t="s">
        <v>291</v>
      </c>
      <c r="C16" s="73">
        <f>Zones!I11</f>
        <v>6201</v>
      </c>
      <c r="D16" s="73">
        <f>Zones!M11</f>
        <v>204.63300000000001</v>
      </c>
      <c r="E16" s="76">
        <v>0.09</v>
      </c>
      <c r="F16" s="165">
        <f>E16*D16</f>
        <v>18.416969999999999</v>
      </c>
      <c r="G16" s="252">
        <f>F16/60</f>
        <v>0.30694949999999999</v>
      </c>
      <c r="H16" s="532"/>
      <c r="I16"/>
      <c r="J16"/>
      <c r="K16"/>
      <c r="L16"/>
    </row>
    <row r="17" spans="1:12" ht="25.2" customHeight="1">
      <c r="A17" s="122" t="str">
        <f>Zones!B12</f>
        <v>Religious_General Office</v>
      </c>
      <c r="B17" s="16" t="s">
        <v>291</v>
      </c>
      <c r="C17" s="73">
        <f>Zones!I12</f>
        <v>6201</v>
      </c>
      <c r="D17" s="73">
        <f>Zones!M12</f>
        <v>31.004999999999999</v>
      </c>
      <c r="E17" s="76">
        <v>0.18</v>
      </c>
      <c r="F17" s="165">
        <f t="shared" si="0"/>
        <v>5.5808999999999997</v>
      </c>
      <c r="G17" s="252">
        <f t="shared" si="1"/>
        <v>9.3015E-2</v>
      </c>
      <c r="H17" s="532"/>
      <c r="I17"/>
      <c r="J17"/>
      <c r="K17"/>
      <c r="L17"/>
    </row>
    <row r="18" spans="1:12" ht="25.2" customHeight="1">
      <c r="A18" s="122" t="str">
        <f>Zones!B13</f>
        <v>Religious_Worship Area</v>
      </c>
      <c r="B18" s="16" t="s">
        <v>291</v>
      </c>
      <c r="C18" s="73">
        <f>Zones!I13</f>
        <v>49599</v>
      </c>
      <c r="D18" s="73">
        <f>Zones!M13</f>
        <v>3521.529</v>
      </c>
      <c r="E18" s="76">
        <v>0.09</v>
      </c>
      <c r="F18" s="165">
        <f t="shared" si="0"/>
        <v>316.93761000000001</v>
      </c>
      <c r="G18" s="252">
        <f t="shared" si="1"/>
        <v>5.2822934999999998</v>
      </c>
      <c r="H18" s="532"/>
      <c r="I18"/>
      <c r="J18"/>
      <c r="K18"/>
      <c r="L18"/>
    </row>
    <row r="19" spans="1:12" ht="22.2" customHeight="1">
      <c r="A19" s="122" t="str">
        <f>Zones!B14</f>
        <v>Sports and recreation_GYM</v>
      </c>
      <c r="B19" s="16" t="s">
        <v>291</v>
      </c>
      <c r="C19" s="73">
        <f>Zones!I14</f>
        <v>81055</v>
      </c>
      <c r="D19" s="73">
        <f>Zones!M14</f>
        <v>810.55</v>
      </c>
      <c r="E19" s="76">
        <v>0.18</v>
      </c>
      <c r="F19" s="165">
        <f t="shared" si="0"/>
        <v>145.89899999999997</v>
      </c>
      <c r="G19" s="252">
        <f t="shared" si="1"/>
        <v>2.4316499999999994</v>
      </c>
      <c r="H19" s="532"/>
      <c r="I19"/>
      <c r="J19"/>
      <c r="K19"/>
      <c r="L19"/>
    </row>
    <row r="20" spans="1:12" ht="27" customHeight="1">
      <c r="A20" s="122" t="str">
        <f>Zones!B15</f>
        <v>Sports and recreation_Locker Room</v>
      </c>
      <c r="B20" s="16" t="s">
        <v>291</v>
      </c>
      <c r="C20" s="73">
        <f>Zones!I15</f>
        <v>15167</v>
      </c>
      <c r="D20" s="73">
        <f>Zones!M15</f>
        <v>303.33999999999997</v>
      </c>
      <c r="E20" s="76">
        <v>0.57799999999999996</v>
      </c>
      <c r="F20" s="165">
        <f t="shared" si="0"/>
        <v>175.33051999999998</v>
      </c>
      <c r="G20" s="252">
        <f t="shared" si="1"/>
        <v>2.9221753333333331</v>
      </c>
      <c r="H20" s="532"/>
      <c r="I20"/>
      <c r="J20"/>
      <c r="K20"/>
      <c r="L20"/>
    </row>
    <row r="21" spans="1:12" ht="27" customHeight="1">
      <c r="A21" s="122" t="str">
        <f>Zones!B16</f>
        <v>Sports and recreation_Restroom</v>
      </c>
      <c r="B21" s="16" t="s">
        <v>291</v>
      </c>
      <c r="C21" s="73">
        <f>Zones!I16</f>
        <v>5075</v>
      </c>
      <c r="D21" s="73">
        <f>Zones!M16</f>
        <v>50.75</v>
      </c>
      <c r="E21" s="76">
        <v>0</v>
      </c>
      <c r="F21" s="165">
        <f t="shared" si="0"/>
        <v>0</v>
      </c>
      <c r="G21" s="252">
        <f t="shared" si="1"/>
        <v>0</v>
      </c>
      <c r="H21" s="532"/>
      <c r="I21"/>
      <c r="J21"/>
      <c r="K21"/>
      <c r="L21"/>
    </row>
    <row r="22" spans="1:12" ht="27" customHeight="1">
      <c r="A22" s="122" t="str">
        <f>Zones!B17</f>
        <v>Terminals_Concourse</v>
      </c>
      <c r="B22" s="16" t="s">
        <v>291</v>
      </c>
      <c r="C22" s="73">
        <f>Zones!I17</f>
        <v>17418</v>
      </c>
      <c r="D22" s="73">
        <f>Zones!M17</f>
        <v>296.10599999999999</v>
      </c>
      <c r="E22" s="76">
        <v>0.18</v>
      </c>
      <c r="F22" s="165">
        <f t="shared" si="0"/>
        <v>53.299079999999996</v>
      </c>
      <c r="G22" s="252">
        <f t="shared" si="1"/>
        <v>0.88831799999999994</v>
      </c>
      <c r="H22" s="532"/>
      <c r="I22"/>
      <c r="J22"/>
      <c r="K22"/>
      <c r="L22"/>
    </row>
    <row r="23" spans="1:12" ht="27" customHeight="1">
      <c r="A23" s="122" t="str">
        <f>Zones!B18</f>
        <v>Terminals_Baggage</v>
      </c>
      <c r="B23" s="16" t="s">
        <v>291</v>
      </c>
      <c r="C23" s="73">
        <f>Zones!I18</f>
        <v>963</v>
      </c>
      <c r="D23" s="73">
        <f>Zones!M18</f>
        <v>31.779</v>
      </c>
      <c r="E23" s="76">
        <v>0.18</v>
      </c>
      <c r="F23" s="165">
        <f t="shared" si="0"/>
        <v>5.7202199999999994</v>
      </c>
      <c r="G23" s="252">
        <f t="shared" si="1"/>
        <v>9.5336999999999991E-2</v>
      </c>
      <c r="H23" s="532"/>
      <c r="I23"/>
      <c r="J23"/>
      <c r="K23"/>
      <c r="L23"/>
    </row>
    <row r="24" spans="1:12" ht="27" customHeight="1">
      <c r="A24" s="122" t="str">
        <f>Zones!B19</f>
        <v>Terminals_Ticket</v>
      </c>
      <c r="B24" s="16" t="s">
        <v>291</v>
      </c>
      <c r="C24" s="73">
        <f>Zones!I19</f>
        <v>963</v>
      </c>
      <c r="D24" s="73">
        <f>Zones!M19</f>
        <v>31.779</v>
      </c>
      <c r="E24" s="76">
        <v>0.18</v>
      </c>
      <c r="F24" s="165">
        <f t="shared" si="0"/>
        <v>5.7202199999999994</v>
      </c>
      <c r="G24" s="252">
        <f t="shared" si="1"/>
        <v>9.5336999999999991E-2</v>
      </c>
      <c r="H24" s="533"/>
      <c r="I24"/>
      <c r="J24"/>
      <c r="K24"/>
      <c r="L24"/>
    </row>
    <row r="25" spans="1:12" ht="20.25" customHeight="1">
      <c r="A25" s="253" t="s">
        <v>303</v>
      </c>
      <c r="B25" s="534" t="s">
        <v>304</v>
      </c>
      <c r="C25" s="535"/>
      <c r="D25" s="535"/>
      <c r="E25" s="536"/>
      <c r="F25" s="337" cm="1">
        <f t="array" ref="F25">_xlfn.LET(
  _xlpm.g,SUMIF($B$8:$B$24,"Gas*",$F$8:$F$24),
  _xlpm.e,SUMIF($B$8:$B$24,"Electric*",$F$8:$F$24),
  IF(AND(_xlpm.g&gt;0,_xlpm.e&gt;0),_xlpm.g,IF(_xlpm.g&gt;0,MAX(75,_xlpm.g),0)))</f>
        <v>1245.4805599999997</v>
      </c>
      <c r="G25" s="254"/>
      <c r="H25" s="537" t="s">
        <v>305</v>
      </c>
    </row>
    <row r="26" spans="1:12" ht="19.5" customHeight="1">
      <c r="A26" s="253" t="s">
        <v>306</v>
      </c>
      <c r="B26" s="534" t="s">
        <v>307</v>
      </c>
      <c r="C26" s="535"/>
      <c r="D26" s="535"/>
      <c r="E26" s="536"/>
      <c r="F26" s="337">
        <f>_xlfn.LET(
  _xlpm.g,SUMIF($B$8:$B$24,"Gas*",$F$8:$F$24),
  _xlpm.e,SUMIF($B$8:$B$24,"Electric*",$F$8:$F$24),
  IF(AND(_xlpm.g&gt;0,_xlpm.e&gt;0),_xlpm.e,IF(_xlpm.e&gt;0,MAX(75,_xlpm.e),0)))</f>
        <v>0</v>
      </c>
      <c r="G26" s="254"/>
      <c r="H26" s="538"/>
    </row>
    <row r="27" spans="1:12" s="255" customFormat="1" ht="13.2"/>
    <row r="28" spans="1:12" s="255" customFormat="1" ht="23.4" customHeight="1">
      <c r="A28" s="539" t="s">
        <v>308</v>
      </c>
      <c r="B28" s="516"/>
      <c r="C28" s="516"/>
      <c r="D28" s="516"/>
      <c r="E28"/>
      <c r="F28"/>
      <c r="G28"/>
      <c r="H28"/>
      <c r="I28"/>
      <c r="J28"/>
    </row>
    <row r="29" spans="1:12" s="255" customFormat="1" ht="31.5" customHeight="1">
      <c r="A29" s="350" t="s">
        <v>309</v>
      </c>
      <c r="B29" s="350" t="s">
        <v>310</v>
      </c>
      <c r="C29" s="350" t="s">
        <v>300</v>
      </c>
      <c r="D29" s="350" t="s">
        <v>35</v>
      </c>
      <c r="E29"/>
      <c r="F29"/>
      <c r="G29"/>
      <c r="H29"/>
      <c r="I29"/>
      <c r="J29"/>
    </row>
    <row r="30" spans="1:12" s="255" customFormat="1" ht="15" customHeight="1">
      <c r="A30" s="343" t="s">
        <v>311</v>
      </c>
      <c r="B30" s="343" t="s">
        <v>291</v>
      </c>
      <c r="C30" s="351">
        <f>SUM(F8:F11)</f>
        <v>468.74483999999995</v>
      </c>
      <c r="D30" s="540" t="s">
        <v>312</v>
      </c>
      <c r="E30"/>
      <c r="F30"/>
      <c r="G30"/>
      <c r="H30"/>
      <c r="I30"/>
      <c r="J30"/>
    </row>
    <row r="31" spans="1:12" s="255" customFormat="1" ht="14.4">
      <c r="A31" s="343" t="s">
        <v>313</v>
      </c>
      <c r="B31" s="343" t="s">
        <v>291</v>
      </c>
      <c r="C31" s="351">
        <f>SUM(F12:F15)</f>
        <v>49.831200000000003</v>
      </c>
      <c r="D31" s="541"/>
      <c r="E31"/>
      <c r="F31"/>
      <c r="G31"/>
      <c r="H31"/>
      <c r="I31"/>
      <c r="J31"/>
    </row>
    <row r="32" spans="1:12" s="255" customFormat="1" ht="14.4">
      <c r="A32" s="343" t="s">
        <v>314</v>
      </c>
      <c r="B32" s="343" t="s">
        <v>291</v>
      </c>
      <c r="C32" s="351">
        <f>SUM(F16:F18)</f>
        <v>340.93547999999998</v>
      </c>
      <c r="D32" s="541"/>
      <c r="E32"/>
      <c r="F32"/>
      <c r="G32"/>
      <c r="H32"/>
      <c r="I32"/>
      <c r="J32"/>
    </row>
    <row r="33" spans="1:13" s="255" customFormat="1" ht="14.4">
      <c r="A33" s="347" t="s">
        <v>315</v>
      </c>
      <c r="B33" s="347" t="s">
        <v>291</v>
      </c>
      <c r="C33" s="352">
        <f>SUM(F19:F21)</f>
        <v>321.22951999999998</v>
      </c>
      <c r="D33" s="541"/>
      <c r="E33"/>
      <c r="F33"/>
      <c r="G33"/>
      <c r="H33"/>
      <c r="I33"/>
      <c r="J33"/>
    </row>
    <row r="34" spans="1:13" s="255" customFormat="1" ht="14.4">
      <c r="A34" s="353" t="s">
        <v>316</v>
      </c>
      <c r="B34" s="354" t="s">
        <v>291</v>
      </c>
      <c r="C34" s="355">
        <f>SUM(F22:F24)</f>
        <v>64.739519999999999</v>
      </c>
      <c r="D34" s="542"/>
      <c r="E34"/>
      <c r="F34"/>
      <c r="G34"/>
      <c r="H34"/>
      <c r="I34"/>
      <c r="J34"/>
    </row>
    <row r="35" spans="1:13" s="255" customFormat="1" ht="14.4">
      <c r="A35" s="338"/>
      <c r="B35" s="338"/>
      <c r="C35" s="339"/>
      <c r="D35" s="340"/>
      <c r="E35"/>
      <c r="F35"/>
      <c r="G35"/>
      <c r="H35"/>
      <c r="I35"/>
      <c r="J35"/>
    </row>
    <row r="36" spans="1:13" s="255" customFormat="1" ht="15" customHeight="1">
      <c r="A36" s="280"/>
      <c r="B36" s="280"/>
      <c r="C36"/>
      <c r="D36"/>
      <c r="E36"/>
      <c r="F36"/>
      <c r="G36"/>
      <c r="H36"/>
      <c r="I36"/>
      <c r="J36"/>
    </row>
    <row r="37" spans="1:13" s="255" customFormat="1" ht="15" customHeight="1">
      <c r="A37" s="256" t="s">
        <v>317</v>
      </c>
      <c r="B37" s="257">
        <v>135</v>
      </c>
      <c r="C37" s="258" t="s">
        <v>318</v>
      </c>
      <c r="D37" s="259"/>
      <c r="E37" s="259"/>
      <c r="F37"/>
      <c r="G37"/>
      <c r="H37"/>
      <c r="I37"/>
      <c r="J37"/>
    </row>
    <row r="38" spans="1:13" s="255" customFormat="1" ht="15" customHeight="1">
      <c r="A38" s="259" t="s">
        <v>319</v>
      </c>
      <c r="B38" s="260">
        <v>0.6</v>
      </c>
      <c r="C38" s="258" t="s">
        <v>320</v>
      </c>
      <c r="D38" s="261"/>
      <c r="E38" s="261"/>
      <c r="F38"/>
      <c r="G38"/>
      <c r="H38"/>
      <c r="I38"/>
      <c r="J38"/>
    </row>
    <row r="39" spans="1:13" s="255" customFormat="1" ht="14.4">
      <c r="A39" s="262" t="s">
        <v>321</v>
      </c>
      <c r="B39" s="263">
        <v>8.2876999999999992</v>
      </c>
      <c r="C39" s="258" t="s">
        <v>320</v>
      </c>
      <c r="D39" s="258"/>
      <c r="E39" s="258"/>
      <c r="F39"/>
      <c r="G39"/>
      <c r="H39"/>
      <c r="I39"/>
      <c r="J39"/>
    </row>
    <row r="40" spans="1:13" s="255" customFormat="1" ht="14.4">
      <c r="A40" s="255" t="s">
        <v>322</v>
      </c>
      <c r="B40" s="264">
        <v>0.4</v>
      </c>
      <c r="C40" s="265" t="s">
        <v>323</v>
      </c>
      <c r="D40" s="265"/>
      <c r="F40" s="265"/>
      <c r="G40" s="265"/>
    </row>
    <row r="41" spans="1:13" s="255" customFormat="1" ht="26.1" customHeight="1">
      <c r="A41" s="543" t="s">
        <v>324</v>
      </c>
      <c r="B41" s="543"/>
      <c r="C41" s="543"/>
      <c r="D41" s="543"/>
      <c r="E41" s="543"/>
      <c r="F41" s="543"/>
      <c r="G41" s="543"/>
      <c r="H41" s="543"/>
      <c r="I41" s="543"/>
      <c r="J41" s="543"/>
      <c r="K41" s="543"/>
      <c r="L41" s="543"/>
    </row>
    <row r="42" spans="1:13" s="255" customFormat="1" ht="48.75" customHeight="1">
      <c r="A42" s="349" t="s">
        <v>325</v>
      </c>
      <c r="B42" s="341" t="s">
        <v>326</v>
      </c>
      <c r="C42" s="341" t="s">
        <v>327</v>
      </c>
      <c r="D42" s="341" t="s">
        <v>328</v>
      </c>
      <c r="E42" s="341" t="s">
        <v>329</v>
      </c>
      <c r="F42" s="341" t="s">
        <v>330</v>
      </c>
      <c r="G42" s="341" t="s">
        <v>331</v>
      </c>
      <c r="H42" s="528" t="s">
        <v>332</v>
      </c>
      <c r="I42" s="528"/>
      <c r="J42" s="528" t="s">
        <v>333</v>
      </c>
      <c r="K42" s="528"/>
      <c r="L42" s="342" t="s">
        <v>334</v>
      </c>
      <c r="M42"/>
    </row>
    <row r="43" spans="1:13" s="255" customFormat="1" ht="18.75" customHeight="1">
      <c r="A43" s="343" t="str">
        <f>$A$30</f>
        <v>ExhibitBldg_WH</v>
      </c>
      <c r="B43" s="344" t="s">
        <v>335</v>
      </c>
      <c r="C43" s="345">
        <v>47.9</v>
      </c>
      <c r="D43" s="278">
        <f>$C$30*($B$37-C43)*$B$39</f>
        <v>338367.5267717627</v>
      </c>
      <c r="E43" s="278">
        <f t="shared" ref="E43:E105" si="2">D43*$B$38</f>
        <v>203020.51606305761</v>
      </c>
      <c r="F43" s="278">
        <f t="shared" ref="F43:F74" si="3">_xlfn.LET(_xlpm.x,_xlfn.XLOOKUP(E43/$C$3,$A$128:$A$158,$A$128:$A$158,"",1),IF(_xlpm.x="",ROUNDUP(E43/$C$3,0),_xlpm.x))</f>
        <v>270000</v>
      </c>
      <c r="G43" s="278">
        <f t="shared" ref="G43:G58" si="4">_xlfn.LET(_xlpm.v,MAX(30,$C$30*$B$40),_xlpm.x,_xlfn.XLOOKUP(_xlpm.v,$E$128:$E$146,$E$128:$E$146,"",1),IF(_xlpm.x="",ROUNDUP(_xlpm.v,0),_xlpm.x))</f>
        <v>188</v>
      </c>
      <c r="H43" s="278">
        <f>(F43/800)+110*SQRT(G43)</f>
        <v>1845.7440120882297</v>
      </c>
      <c r="I43" s="278" t="s">
        <v>336</v>
      </c>
      <c r="J43" s="281">
        <f>H43/70</f>
        <v>26.367771601260426</v>
      </c>
      <c r="K43" s="346" t="s">
        <v>337</v>
      </c>
      <c r="L43" s="544" t="s">
        <v>338</v>
      </c>
    </row>
    <row r="44" spans="1:13" s="255" customFormat="1" ht="18.75" customHeight="1">
      <c r="A44" s="343" t="str">
        <f t="shared" ref="A44:A58" si="5">$A$30</f>
        <v>ExhibitBldg_WH</v>
      </c>
      <c r="B44" s="344" t="s">
        <v>339</v>
      </c>
      <c r="C44" s="345">
        <v>50.8</v>
      </c>
      <c r="D44" s="278">
        <f t="shared" ref="D44:D58" si="6">$C$30*($B$37-C44)*$B$39</f>
        <v>327101.55860140559</v>
      </c>
      <c r="E44" s="278">
        <f t="shared" si="2"/>
        <v>196260.93516084334</v>
      </c>
      <c r="F44" s="278">
        <f t="shared" si="3"/>
        <v>250000</v>
      </c>
      <c r="G44" s="278">
        <f t="shared" si="4"/>
        <v>188</v>
      </c>
      <c r="H44" s="278">
        <f t="shared" ref="H44:H58" si="7">(F44/800)+110*SQRT(G44)</f>
        <v>1820.7440120882297</v>
      </c>
      <c r="I44" s="278" t="s">
        <v>336</v>
      </c>
      <c r="J44" s="281">
        <f t="shared" ref="J44:J58" si="8">H44/70</f>
        <v>26.010628744117568</v>
      </c>
      <c r="K44" s="346" t="s">
        <v>337</v>
      </c>
      <c r="L44" s="545"/>
    </row>
    <row r="45" spans="1:13" s="255" customFormat="1" ht="18.75" customHeight="1">
      <c r="A45" s="343" t="str">
        <f t="shared" si="5"/>
        <v>ExhibitBldg_WH</v>
      </c>
      <c r="B45" s="344" t="s">
        <v>340</v>
      </c>
      <c r="C45" s="345">
        <v>52.2</v>
      </c>
      <c r="D45" s="278">
        <f t="shared" si="6"/>
        <v>321662.81534675031</v>
      </c>
      <c r="E45" s="278">
        <f t="shared" si="2"/>
        <v>192997.68920805017</v>
      </c>
      <c r="F45" s="278">
        <f t="shared" si="3"/>
        <v>250000</v>
      </c>
      <c r="G45" s="278">
        <f t="shared" si="4"/>
        <v>188</v>
      </c>
      <c r="H45" s="278">
        <f t="shared" si="7"/>
        <v>1820.7440120882297</v>
      </c>
      <c r="I45" s="278" t="s">
        <v>336</v>
      </c>
      <c r="J45" s="281">
        <f t="shared" si="8"/>
        <v>26.010628744117568</v>
      </c>
      <c r="K45" s="346" t="s">
        <v>337</v>
      </c>
      <c r="L45" s="545"/>
    </row>
    <row r="46" spans="1:13" s="255" customFormat="1" ht="18.75" customHeight="1">
      <c r="A46" s="343" t="str">
        <f t="shared" si="5"/>
        <v>ExhibitBldg_WH</v>
      </c>
      <c r="B46" s="344" t="s">
        <v>341</v>
      </c>
      <c r="C46" s="345">
        <v>52.7</v>
      </c>
      <c r="D46" s="278">
        <f t="shared" si="6"/>
        <v>319720.40704151633</v>
      </c>
      <c r="E46" s="278">
        <f t="shared" si="2"/>
        <v>191832.24422490978</v>
      </c>
      <c r="F46" s="278">
        <f t="shared" si="3"/>
        <v>250000</v>
      </c>
      <c r="G46" s="278">
        <f t="shared" si="4"/>
        <v>188</v>
      </c>
      <c r="H46" s="278">
        <f t="shared" si="7"/>
        <v>1820.7440120882297</v>
      </c>
      <c r="I46" s="278" t="s">
        <v>336</v>
      </c>
      <c r="J46" s="281">
        <f t="shared" si="8"/>
        <v>26.010628744117568</v>
      </c>
      <c r="K46" s="346" t="s">
        <v>337</v>
      </c>
      <c r="L46" s="545"/>
    </row>
    <row r="47" spans="1:13" s="255" customFormat="1" ht="18.75" customHeight="1">
      <c r="A47" s="343" t="str">
        <f t="shared" si="5"/>
        <v>ExhibitBldg_WH</v>
      </c>
      <c r="B47" s="344" t="s">
        <v>342</v>
      </c>
      <c r="C47" s="345">
        <v>51.6</v>
      </c>
      <c r="D47" s="278">
        <f t="shared" si="6"/>
        <v>323993.70531303115</v>
      </c>
      <c r="E47" s="278">
        <f t="shared" si="2"/>
        <v>194396.22318781869</v>
      </c>
      <c r="F47" s="278">
        <f t="shared" si="3"/>
        <v>250000</v>
      </c>
      <c r="G47" s="278">
        <f t="shared" si="4"/>
        <v>188</v>
      </c>
      <c r="H47" s="278">
        <f t="shared" si="7"/>
        <v>1820.7440120882297</v>
      </c>
      <c r="I47" s="278" t="s">
        <v>336</v>
      </c>
      <c r="J47" s="281">
        <f t="shared" si="8"/>
        <v>26.010628744117568</v>
      </c>
      <c r="K47" s="346" t="s">
        <v>337</v>
      </c>
      <c r="L47" s="545"/>
    </row>
    <row r="48" spans="1:13" s="255" customFormat="1" ht="18.75" customHeight="1">
      <c r="A48" s="343" t="str">
        <f t="shared" si="5"/>
        <v>ExhibitBldg_WH</v>
      </c>
      <c r="B48" s="344" t="s">
        <v>343</v>
      </c>
      <c r="C48" s="345">
        <v>56.8</v>
      </c>
      <c r="D48" s="278">
        <f t="shared" si="6"/>
        <v>303792.65893859754</v>
      </c>
      <c r="E48" s="278">
        <f t="shared" si="2"/>
        <v>182275.59536315853</v>
      </c>
      <c r="F48" s="278">
        <f t="shared" si="3"/>
        <v>250000</v>
      </c>
      <c r="G48" s="278">
        <f t="shared" si="4"/>
        <v>188</v>
      </c>
      <c r="H48" s="278">
        <f t="shared" si="7"/>
        <v>1820.7440120882297</v>
      </c>
      <c r="I48" s="278" t="s">
        <v>336</v>
      </c>
      <c r="J48" s="281">
        <f t="shared" si="8"/>
        <v>26.010628744117568</v>
      </c>
      <c r="K48" s="346" t="s">
        <v>337</v>
      </c>
      <c r="L48" s="545"/>
    </row>
    <row r="49" spans="1:12" s="255" customFormat="1" ht="18.75" customHeight="1">
      <c r="A49" s="343" t="str">
        <f t="shared" si="5"/>
        <v>ExhibitBldg_WH</v>
      </c>
      <c r="B49" s="344" t="s">
        <v>344</v>
      </c>
      <c r="C49" s="345">
        <v>58.4</v>
      </c>
      <c r="D49" s="278">
        <f t="shared" si="6"/>
        <v>297576.95236184873</v>
      </c>
      <c r="E49" s="278">
        <f t="shared" si="2"/>
        <v>178546.17141710923</v>
      </c>
      <c r="F49" s="278">
        <f t="shared" si="3"/>
        <v>250000</v>
      </c>
      <c r="G49" s="278">
        <f t="shared" si="4"/>
        <v>188</v>
      </c>
      <c r="H49" s="278">
        <f t="shared" si="7"/>
        <v>1820.7440120882297</v>
      </c>
      <c r="I49" s="278" t="s">
        <v>336</v>
      </c>
      <c r="J49" s="281">
        <f t="shared" si="8"/>
        <v>26.010628744117568</v>
      </c>
      <c r="K49" s="346" t="s">
        <v>337</v>
      </c>
      <c r="L49" s="545"/>
    </row>
    <row r="50" spans="1:12" s="255" customFormat="1" ht="18.75" customHeight="1">
      <c r="A50" s="343" t="str">
        <f t="shared" si="5"/>
        <v>ExhibitBldg_WH</v>
      </c>
      <c r="B50" s="344" t="s">
        <v>345</v>
      </c>
      <c r="C50" s="345">
        <v>58.4</v>
      </c>
      <c r="D50" s="278">
        <f t="shared" si="6"/>
        <v>297576.95236184873</v>
      </c>
      <c r="E50" s="278">
        <f t="shared" si="2"/>
        <v>178546.17141710923</v>
      </c>
      <c r="F50" s="278">
        <f t="shared" si="3"/>
        <v>250000</v>
      </c>
      <c r="G50" s="278">
        <f t="shared" si="4"/>
        <v>188</v>
      </c>
      <c r="H50" s="278">
        <f t="shared" si="7"/>
        <v>1820.7440120882297</v>
      </c>
      <c r="I50" s="278" t="s">
        <v>336</v>
      </c>
      <c r="J50" s="281">
        <f t="shared" si="8"/>
        <v>26.010628744117568</v>
      </c>
      <c r="K50" s="346" t="s">
        <v>337</v>
      </c>
      <c r="L50" s="545"/>
    </row>
    <row r="51" spans="1:12" s="255" customFormat="1" ht="18.75" customHeight="1">
      <c r="A51" s="343" t="str">
        <f t="shared" si="5"/>
        <v>ExhibitBldg_WH</v>
      </c>
      <c r="B51" s="344" t="s">
        <v>346</v>
      </c>
      <c r="C51" s="345">
        <v>57.6</v>
      </c>
      <c r="D51" s="278">
        <f t="shared" si="6"/>
        <v>300684.80565022316</v>
      </c>
      <c r="E51" s="278">
        <f t="shared" si="2"/>
        <v>180410.88339013388</v>
      </c>
      <c r="F51" s="278">
        <f t="shared" si="3"/>
        <v>250000</v>
      </c>
      <c r="G51" s="278">
        <f t="shared" si="4"/>
        <v>188</v>
      </c>
      <c r="H51" s="278">
        <f t="shared" si="7"/>
        <v>1820.7440120882297</v>
      </c>
      <c r="I51" s="278" t="s">
        <v>336</v>
      </c>
      <c r="J51" s="281">
        <f t="shared" si="8"/>
        <v>26.010628744117568</v>
      </c>
      <c r="K51" s="346" t="s">
        <v>337</v>
      </c>
      <c r="L51" s="545"/>
    </row>
    <row r="52" spans="1:12" s="255" customFormat="1" ht="18.75" customHeight="1">
      <c r="A52" s="343" t="str">
        <f t="shared" si="5"/>
        <v>ExhibitBldg_WH</v>
      </c>
      <c r="B52" s="344" t="s">
        <v>150</v>
      </c>
      <c r="C52" s="345">
        <v>57.1</v>
      </c>
      <c r="D52" s="278">
        <f t="shared" si="6"/>
        <v>302627.21395545715</v>
      </c>
      <c r="E52" s="278">
        <f t="shared" si="2"/>
        <v>181576.32837327427</v>
      </c>
      <c r="F52" s="278">
        <f t="shared" si="3"/>
        <v>250000</v>
      </c>
      <c r="G52" s="278">
        <f t="shared" si="4"/>
        <v>188</v>
      </c>
      <c r="H52" s="278">
        <f t="shared" si="7"/>
        <v>1820.7440120882297</v>
      </c>
      <c r="I52" s="278" t="s">
        <v>336</v>
      </c>
      <c r="J52" s="281">
        <f t="shared" si="8"/>
        <v>26.010628744117568</v>
      </c>
      <c r="K52" s="346" t="s">
        <v>337</v>
      </c>
      <c r="L52" s="545"/>
    </row>
    <row r="53" spans="1:12" s="255" customFormat="1" ht="18.75" customHeight="1">
      <c r="A53" s="343" t="str">
        <f t="shared" si="5"/>
        <v>ExhibitBldg_WH</v>
      </c>
      <c r="B53" s="344" t="s">
        <v>151</v>
      </c>
      <c r="C53" s="345">
        <v>50.5</v>
      </c>
      <c r="D53" s="278">
        <f t="shared" si="6"/>
        <v>328267.00358454598</v>
      </c>
      <c r="E53" s="278">
        <f t="shared" si="2"/>
        <v>196960.20215072759</v>
      </c>
      <c r="F53" s="278">
        <f t="shared" si="3"/>
        <v>250000</v>
      </c>
      <c r="G53" s="278">
        <f t="shared" si="4"/>
        <v>188</v>
      </c>
      <c r="H53" s="278">
        <f t="shared" si="7"/>
        <v>1820.7440120882297</v>
      </c>
      <c r="I53" s="278" t="s">
        <v>336</v>
      </c>
      <c r="J53" s="281">
        <f t="shared" si="8"/>
        <v>26.010628744117568</v>
      </c>
      <c r="K53" s="346" t="s">
        <v>337</v>
      </c>
      <c r="L53" s="545"/>
    </row>
    <row r="54" spans="1:12" s="255" customFormat="1" ht="18.75" customHeight="1">
      <c r="A54" s="343" t="str">
        <f t="shared" si="5"/>
        <v>ExhibitBldg_WH</v>
      </c>
      <c r="B54" s="344" t="s">
        <v>152</v>
      </c>
      <c r="C54" s="345">
        <v>51.4</v>
      </c>
      <c r="D54" s="278">
        <f t="shared" si="6"/>
        <v>324770.66863512469</v>
      </c>
      <c r="E54" s="278">
        <f t="shared" si="2"/>
        <v>194862.40118107482</v>
      </c>
      <c r="F54" s="278">
        <f t="shared" si="3"/>
        <v>250000</v>
      </c>
      <c r="G54" s="278">
        <f t="shared" si="4"/>
        <v>188</v>
      </c>
      <c r="H54" s="278">
        <f t="shared" si="7"/>
        <v>1820.7440120882297</v>
      </c>
      <c r="I54" s="278" t="s">
        <v>336</v>
      </c>
      <c r="J54" s="281">
        <f t="shared" si="8"/>
        <v>26.010628744117568</v>
      </c>
      <c r="K54" s="346" t="s">
        <v>337</v>
      </c>
      <c r="L54" s="545"/>
    </row>
    <row r="55" spans="1:12" s="255" customFormat="1" ht="18.75" customHeight="1">
      <c r="A55" s="343" t="str">
        <f t="shared" si="5"/>
        <v>ExhibitBldg_WH</v>
      </c>
      <c r="B55" s="344" t="s">
        <v>153</v>
      </c>
      <c r="C55" s="345">
        <v>51.7</v>
      </c>
      <c r="D55" s="278">
        <f t="shared" si="6"/>
        <v>323605.2236519843</v>
      </c>
      <c r="E55" s="278">
        <f t="shared" si="2"/>
        <v>194163.13419119056</v>
      </c>
      <c r="F55" s="278">
        <f t="shared" si="3"/>
        <v>250000</v>
      </c>
      <c r="G55" s="278">
        <f t="shared" si="4"/>
        <v>188</v>
      </c>
      <c r="H55" s="278">
        <f t="shared" si="7"/>
        <v>1820.7440120882297</v>
      </c>
      <c r="I55" s="278" t="s">
        <v>336</v>
      </c>
      <c r="J55" s="281">
        <f t="shared" si="8"/>
        <v>26.010628744117568</v>
      </c>
      <c r="K55" s="346" t="s">
        <v>337</v>
      </c>
      <c r="L55" s="545"/>
    </row>
    <row r="56" spans="1:12" s="255" customFormat="1" ht="18.75" customHeight="1">
      <c r="A56" s="343" t="str">
        <f t="shared" si="5"/>
        <v>ExhibitBldg_WH</v>
      </c>
      <c r="B56" s="344" t="s">
        <v>154</v>
      </c>
      <c r="C56" s="345">
        <v>50.1</v>
      </c>
      <c r="D56" s="278">
        <f t="shared" si="6"/>
        <v>329820.93022873317</v>
      </c>
      <c r="E56" s="278">
        <f t="shared" si="2"/>
        <v>197892.55813723989</v>
      </c>
      <c r="F56" s="278">
        <f t="shared" si="3"/>
        <v>250000</v>
      </c>
      <c r="G56" s="278">
        <f t="shared" si="4"/>
        <v>188</v>
      </c>
      <c r="H56" s="278">
        <f t="shared" si="7"/>
        <v>1820.7440120882297</v>
      </c>
      <c r="I56" s="278" t="s">
        <v>336</v>
      </c>
      <c r="J56" s="281">
        <f t="shared" si="8"/>
        <v>26.010628744117568</v>
      </c>
      <c r="K56" s="346" t="s">
        <v>337</v>
      </c>
      <c r="L56" s="545"/>
    </row>
    <row r="57" spans="1:12" s="255" customFormat="1" ht="18.75" customHeight="1">
      <c r="A57" s="343" t="str">
        <f t="shared" si="5"/>
        <v>ExhibitBldg_WH</v>
      </c>
      <c r="B57" s="344" t="s">
        <v>155</v>
      </c>
      <c r="C57" s="345">
        <v>63.2</v>
      </c>
      <c r="D57" s="278">
        <f t="shared" si="6"/>
        <v>278929.8326316023</v>
      </c>
      <c r="E57" s="278">
        <f t="shared" si="2"/>
        <v>167357.89957896137</v>
      </c>
      <c r="F57" s="278">
        <f t="shared" si="3"/>
        <v>250000</v>
      </c>
      <c r="G57" s="278">
        <f t="shared" si="4"/>
        <v>188</v>
      </c>
      <c r="H57" s="278">
        <f t="shared" si="7"/>
        <v>1820.7440120882297</v>
      </c>
      <c r="I57" s="278" t="s">
        <v>336</v>
      </c>
      <c r="J57" s="281">
        <f t="shared" si="8"/>
        <v>26.010628744117568</v>
      </c>
      <c r="K57" s="346" t="s">
        <v>337</v>
      </c>
      <c r="L57" s="545"/>
    </row>
    <row r="58" spans="1:12" s="255" customFormat="1" ht="18.600000000000001" customHeight="1">
      <c r="A58" s="343" t="str">
        <f t="shared" si="5"/>
        <v>ExhibitBldg_WH</v>
      </c>
      <c r="B58" s="344" t="s">
        <v>156</v>
      </c>
      <c r="C58" s="345">
        <v>41.4</v>
      </c>
      <c r="D58" s="278">
        <f t="shared" si="6"/>
        <v>363618.83473980473</v>
      </c>
      <c r="E58" s="278">
        <f t="shared" si="2"/>
        <v>218171.30084388284</v>
      </c>
      <c r="F58" s="278">
        <f t="shared" si="3"/>
        <v>285000</v>
      </c>
      <c r="G58" s="278">
        <f t="shared" si="4"/>
        <v>188</v>
      </c>
      <c r="H58" s="278">
        <f t="shared" si="7"/>
        <v>1864.4940120882297</v>
      </c>
      <c r="I58" s="278" t="s">
        <v>336</v>
      </c>
      <c r="J58" s="281">
        <f t="shared" si="8"/>
        <v>26.635628744117568</v>
      </c>
      <c r="K58" s="346" t="s">
        <v>337</v>
      </c>
      <c r="L58" s="545"/>
    </row>
    <row r="59" spans="1:12" s="255" customFormat="1" ht="18.75" customHeight="1">
      <c r="A59" s="343" t="str">
        <f>$A$31</f>
        <v>LibraryBldg_WH</v>
      </c>
      <c r="B59" s="344" t="s">
        <v>335</v>
      </c>
      <c r="C59" s="345">
        <v>47.9</v>
      </c>
      <c r="D59" s="278">
        <f>$C$31*($B$37-C59)*$B$39</f>
        <v>35971.083756503998</v>
      </c>
      <c r="E59" s="278">
        <f t="shared" si="2"/>
        <v>21582.650253902397</v>
      </c>
      <c r="F59" s="278">
        <f t="shared" si="3"/>
        <v>60000</v>
      </c>
      <c r="G59" s="278">
        <f t="shared" ref="G59:G74" si="9">_xlfn.LET(_xlpm.v,MAX(30,$C$31*$B$40),_xlpm.x,_xlfn.XLOOKUP(_xlpm.v,$E$128:$E$146,$E$128:$E$146,"",1),IF(_xlpm.x="",ROUNDUP(_xlpm.v,0),_xlpm.x))</f>
        <v>34</v>
      </c>
      <c r="H59" s="278">
        <f t="shared" ref="H59:H121" si="10">(F59/800)+110*SQRT(G59)</f>
        <v>716.40470843298306</v>
      </c>
      <c r="I59" s="278" t="s">
        <v>336</v>
      </c>
      <c r="J59" s="281">
        <f t="shared" ref="J59:J121" si="11">H59/70</f>
        <v>10.234352977614044</v>
      </c>
      <c r="K59" s="346" t="s">
        <v>337</v>
      </c>
      <c r="L59" s="545"/>
    </row>
    <row r="60" spans="1:12" s="255" customFormat="1" ht="18.75" customHeight="1">
      <c r="A60" s="343" t="str">
        <f t="shared" ref="A60:A74" si="12">$A$31</f>
        <v>LibraryBldg_WH</v>
      </c>
      <c r="B60" s="344" t="s">
        <v>339</v>
      </c>
      <c r="C60" s="345">
        <v>50.8</v>
      </c>
      <c r="D60" s="278">
        <f t="shared" ref="D60:D73" si="13">$C$31*($B$37-C60)*$B$39</f>
        <v>34773.424251407996</v>
      </c>
      <c r="E60" s="278">
        <f t="shared" si="2"/>
        <v>20864.054550844798</v>
      </c>
      <c r="F60" s="278">
        <f t="shared" si="3"/>
        <v>60000</v>
      </c>
      <c r="G60" s="278">
        <f t="shared" si="9"/>
        <v>34</v>
      </c>
      <c r="H60" s="278">
        <f t="shared" si="10"/>
        <v>716.40470843298306</v>
      </c>
      <c r="I60" s="278" t="s">
        <v>336</v>
      </c>
      <c r="J60" s="281">
        <f t="shared" si="11"/>
        <v>10.234352977614044</v>
      </c>
      <c r="K60" s="346" t="s">
        <v>337</v>
      </c>
      <c r="L60" s="545"/>
    </row>
    <row r="61" spans="1:12" s="255" customFormat="1" ht="18.75" customHeight="1">
      <c r="A61" s="343" t="str">
        <f t="shared" si="12"/>
        <v>LibraryBldg_WH</v>
      </c>
      <c r="B61" s="344" t="s">
        <v>340</v>
      </c>
      <c r="C61" s="345">
        <v>52.2</v>
      </c>
      <c r="D61" s="278">
        <f t="shared" si="13"/>
        <v>34195.243800671997</v>
      </c>
      <c r="E61" s="278">
        <f t="shared" si="2"/>
        <v>20517.146280403198</v>
      </c>
      <c r="F61" s="278">
        <f t="shared" si="3"/>
        <v>60000</v>
      </c>
      <c r="G61" s="278">
        <f t="shared" si="9"/>
        <v>34</v>
      </c>
      <c r="H61" s="278">
        <f t="shared" si="10"/>
        <v>716.40470843298306</v>
      </c>
      <c r="I61" s="278" t="s">
        <v>336</v>
      </c>
      <c r="J61" s="281">
        <f t="shared" si="11"/>
        <v>10.234352977614044</v>
      </c>
      <c r="K61" s="346" t="s">
        <v>337</v>
      </c>
      <c r="L61" s="545"/>
    </row>
    <row r="62" spans="1:12" s="255" customFormat="1" ht="18.75" customHeight="1">
      <c r="A62" s="343" t="str">
        <f t="shared" si="12"/>
        <v>LibraryBldg_WH</v>
      </c>
      <c r="B62" s="344" t="s">
        <v>341</v>
      </c>
      <c r="C62" s="345">
        <v>52.7</v>
      </c>
      <c r="D62" s="278">
        <f t="shared" si="13"/>
        <v>33988.750782551993</v>
      </c>
      <c r="E62" s="278">
        <f t="shared" si="2"/>
        <v>20393.250469531195</v>
      </c>
      <c r="F62" s="278">
        <f t="shared" si="3"/>
        <v>60000</v>
      </c>
      <c r="G62" s="278">
        <f t="shared" si="9"/>
        <v>34</v>
      </c>
      <c r="H62" s="278">
        <f t="shared" si="10"/>
        <v>716.40470843298306</v>
      </c>
      <c r="I62" s="278" t="s">
        <v>336</v>
      </c>
      <c r="J62" s="281">
        <f t="shared" si="11"/>
        <v>10.234352977614044</v>
      </c>
      <c r="K62" s="346" t="s">
        <v>337</v>
      </c>
      <c r="L62" s="545"/>
    </row>
    <row r="63" spans="1:12" s="255" customFormat="1" ht="18.75" customHeight="1">
      <c r="A63" s="343" t="str">
        <f t="shared" si="12"/>
        <v>LibraryBldg_WH</v>
      </c>
      <c r="B63" s="344" t="s">
        <v>342</v>
      </c>
      <c r="C63" s="345">
        <v>51.6</v>
      </c>
      <c r="D63" s="278">
        <f t="shared" si="13"/>
        <v>34443.035422415996</v>
      </c>
      <c r="E63" s="278">
        <f t="shared" si="2"/>
        <v>20665.821253449598</v>
      </c>
      <c r="F63" s="278">
        <f t="shared" si="3"/>
        <v>60000</v>
      </c>
      <c r="G63" s="278">
        <f t="shared" si="9"/>
        <v>34</v>
      </c>
      <c r="H63" s="278">
        <f t="shared" si="10"/>
        <v>716.40470843298306</v>
      </c>
      <c r="I63" s="278" t="s">
        <v>336</v>
      </c>
      <c r="J63" s="281">
        <f t="shared" si="11"/>
        <v>10.234352977614044</v>
      </c>
      <c r="K63" s="346" t="s">
        <v>337</v>
      </c>
      <c r="L63" s="545"/>
    </row>
    <row r="64" spans="1:12" s="255" customFormat="1" ht="18.75" customHeight="1">
      <c r="A64" s="343" t="str">
        <f t="shared" si="12"/>
        <v>LibraryBldg_WH</v>
      </c>
      <c r="B64" s="344" t="s">
        <v>343</v>
      </c>
      <c r="C64" s="345">
        <v>56.8</v>
      </c>
      <c r="D64" s="278">
        <f t="shared" si="13"/>
        <v>32295.508033967999</v>
      </c>
      <c r="E64" s="278">
        <f t="shared" si="2"/>
        <v>19377.304820380799</v>
      </c>
      <c r="F64" s="278">
        <f t="shared" si="3"/>
        <v>60000</v>
      </c>
      <c r="G64" s="278">
        <f t="shared" si="9"/>
        <v>34</v>
      </c>
      <c r="H64" s="278">
        <f t="shared" si="10"/>
        <v>716.40470843298306</v>
      </c>
      <c r="I64" s="278" t="s">
        <v>336</v>
      </c>
      <c r="J64" s="281">
        <f t="shared" si="11"/>
        <v>10.234352977614044</v>
      </c>
      <c r="K64" s="346" t="s">
        <v>337</v>
      </c>
      <c r="L64" s="545"/>
    </row>
    <row r="65" spans="1:12" s="255" customFormat="1" ht="18.75" customHeight="1">
      <c r="A65" s="343" t="str">
        <f t="shared" si="12"/>
        <v>LibraryBldg_WH</v>
      </c>
      <c r="B65" s="344" t="s">
        <v>344</v>
      </c>
      <c r="C65" s="345">
        <v>58.4</v>
      </c>
      <c r="D65" s="278">
        <f t="shared" si="13"/>
        <v>31634.730375983996</v>
      </c>
      <c r="E65" s="278">
        <f t="shared" si="2"/>
        <v>18980.838225590396</v>
      </c>
      <c r="F65" s="278">
        <f t="shared" si="3"/>
        <v>60000</v>
      </c>
      <c r="G65" s="278">
        <f t="shared" si="9"/>
        <v>34</v>
      </c>
      <c r="H65" s="278">
        <f t="shared" si="10"/>
        <v>716.40470843298306</v>
      </c>
      <c r="I65" s="278" t="s">
        <v>336</v>
      </c>
      <c r="J65" s="281">
        <f t="shared" si="11"/>
        <v>10.234352977614044</v>
      </c>
      <c r="K65" s="346" t="s">
        <v>337</v>
      </c>
      <c r="L65" s="545"/>
    </row>
    <row r="66" spans="1:12" s="255" customFormat="1" ht="18.75" customHeight="1">
      <c r="A66" s="343" t="str">
        <f t="shared" si="12"/>
        <v>LibraryBldg_WH</v>
      </c>
      <c r="B66" s="344" t="s">
        <v>345</v>
      </c>
      <c r="C66" s="345">
        <v>58.4</v>
      </c>
      <c r="D66" s="278">
        <f t="shared" si="13"/>
        <v>31634.730375983996</v>
      </c>
      <c r="E66" s="278">
        <f t="shared" si="2"/>
        <v>18980.838225590396</v>
      </c>
      <c r="F66" s="278">
        <f t="shared" si="3"/>
        <v>60000</v>
      </c>
      <c r="G66" s="278">
        <f t="shared" si="9"/>
        <v>34</v>
      </c>
      <c r="H66" s="278">
        <f t="shared" si="10"/>
        <v>716.40470843298306</v>
      </c>
      <c r="I66" s="278" t="s">
        <v>336</v>
      </c>
      <c r="J66" s="281">
        <f t="shared" si="11"/>
        <v>10.234352977614044</v>
      </c>
      <c r="K66" s="346" t="s">
        <v>337</v>
      </c>
      <c r="L66" s="545"/>
    </row>
    <row r="67" spans="1:12" s="255" customFormat="1" ht="18.75" customHeight="1">
      <c r="A67" s="343" t="str">
        <f t="shared" si="12"/>
        <v>LibraryBldg_WH</v>
      </c>
      <c r="B67" s="344" t="s">
        <v>346</v>
      </c>
      <c r="C67" s="345">
        <v>57.6</v>
      </c>
      <c r="D67" s="278">
        <f t="shared" si="13"/>
        <v>31965.119204976003</v>
      </c>
      <c r="E67" s="278">
        <f t="shared" si="2"/>
        <v>19179.0715229856</v>
      </c>
      <c r="F67" s="278">
        <f t="shared" si="3"/>
        <v>60000</v>
      </c>
      <c r="G67" s="278">
        <f t="shared" si="9"/>
        <v>34</v>
      </c>
      <c r="H67" s="278">
        <f t="shared" si="10"/>
        <v>716.40470843298306</v>
      </c>
      <c r="I67" s="278" t="s">
        <v>336</v>
      </c>
      <c r="J67" s="281">
        <f t="shared" si="11"/>
        <v>10.234352977614044</v>
      </c>
      <c r="K67" s="346" t="s">
        <v>337</v>
      </c>
      <c r="L67" s="545"/>
    </row>
    <row r="68" spans="1:12" s="255" customFormat="1" ht="18.75" customHeight="1">
      <c r="A68" s="343" t="str">
        <f t="shared" si="12"/>
        <v>LibraryBldg_WH</v>
      </c>
      <c r="B68" s="344" t="s">
        <v>150</v>
      </c>
      <c r="C68" s="345">
        <v>57.1</v>
      </c>
      <c r="D68" s="278">
        <f t="shared" si="13"/>
        <v>32171.612223096003</v>
      </c>
      <c r="E68" s="278">
        <f t="shared" si="2"/>
        <v>19302.967333857599</v>
      </c>
      <c r="F68" s="278">
        <f t="shared" si="3"/>
        <v>60000</v>
      </c>
      <c r="G68" s="278">
        <f t="shared" si="9"/>
        <v>34</v>
      </c>
      <c r="H68" s="278">
        <f t="shared" si="10"/>
        <v>716.40470843298306</v>
      </c>
      <c r="I68" s="278" t="s">
        <v>336</v>
      </c>
      <c r="J68" s="281">
        <f t="shared" si="11"/>
        <v>10.234352977614044</v>
      </c>
      <c r="K68" s="346" t="s">
        <v>337</v>
      </c>
      <c r="L68" s="545"/>
    </row>
    <row r="69" spans="1:12" s="255" customFormat="1" ht="18.75" customHeight="1">
      <c r="A69" s="343" t="str">
        <f t="shared" si="12"/>
        <v>LibraryBldg_WH</v>
      </c>
      <c r="B69" s="344" t="s">
        <v>151</v>
      </c>
      <c r="C69" s="345">
        <v>50.5</v>
      </c>
      <c r="D69" s="278">
        <f t="shared" si="13"/>
        <v>34897.320062279992</v>
      </c>
      <c r="E69" s="278">
        <f t="shared" si="2"/>
        <v>20938.392037367994</v>
      </c>
      <c r="F69" s="278">
        <f t="shared" si="3"/>
        <v>60000</v>
      </c>
      <c r="G69" s="278">
        <f t="shared" si="9"/>
        <v>34</v>
      </c>
      <c r="H69" s="278">
        <f t="shared" si="10"/>
        <v>716.40470843298306</v>
      </c>
      <c r="I69" s="278" t="s">
        <v>336</v>
      </c>
      <c r="J69" s="281">
        <f t="shared" si="11"/>
        <v>10.234352977614044</v>
      </c>
      <c r="K69" s="346" t="s">
        <v>337</v>
      </c>
      <c r="L69" s="545"/>
    </row>
    <row r="70" spans="1:12" s="255" customFormat="1" ht="18.75" customHeight="1">
      <c r="A70" s="343" t="str">
        <f t="shared" si="12"/>
        <v>LibraryBldg_WH</v>
      </c>
      <c r="B70" s="344" t="s">
        <v>152</v>
      </c>
      <c r="C70" s="345">
        <v>51.4</v>
      </c>
      <c r="D70" s="278">
        <f t="shared" si="13"/>
        <v>34525.632629663996</v>
      </c>
      <c r="E70" s="278">
        <f t="shared" si="2"/>
        <v>20715.379577798398</v>
      </c>
      <c r="F70" s="278">
        <f t="shared" si="3"/>
        <v>60000</v>
      </c>
      <c r="G70" s="278">
        <f t="shared" si="9"/>
        <v>34</v>
      </c>
      <c r="H70" s="278">
        <f t="shared" si="10"/>
        <v>716.40470843298306</v>
      </c>
      <c r="I70" s="278" t="s">
        <v>336</v>
      </c>
      <c r="J70" s="281">
        <f t="shared" si="11"/>
        <v>10.234352977614044</v>
      </c>
      <c r="K70" s="346" t="s">
        <v>337</v>
      </c>
      <c r="L70" s="545"/>
    </row>
    <row r="71" spans="1:12" s="255" customFormat="1" ht="18.75" customHeight="1">
      <c r="A71" s="343" t="str">
        <f t="shared" si="12"/>
        <v>LibraryBldg_WH</v>
      </c>
      <c r="B71" s="344" t="s">
        <v>153</v>
      </c>
      <c r="C71" s="345">
        <v>51.7</v>
      </c>
      <c r="D71" s="278">
        <f t="shared" si="13"/>
        <v>34401.736818792</v>
      </c>
      <c r="E71" s="278">
        <f t="shared" si="2"/>
        <v>20641.042091275198</v>
      </c>
      <c r="F71" s="278">
        <f t="shared" si="3"/>
        <v>60000</v>
      </c>
      <c r="G71" s="278">
        <f t="shared" si="9"/>
        <v>34</v>
      </c>
      <c r="H71" s="278">
        <f t="shared" si="10"/>
        <v>716.40470843298306</v>
      </c>
      <c r="I71" s="278" t="s">
        <v>336</v>
      </c>
      <c r="J71" s="281">
        <f t="shared" si="11"/>
        <v>10.234352977614044</v>
      </c>
      <c r="K71" s="346" t="s">
        <v>337</v>
      </c>
      <c r="L71" s="545"/>
    </row>
    <row r="72" spans="1:12" s="255" customFormat="1" ht="18.75" customHeight="1">
      <c r="A72" s="343" t="str">
        <f t="shared" si="12"/>
        <v>LibraryBldg_WH</v>
      </c>
      <c r="B72" s="344" t="s">
        <v>154</v>
      </c>
      <c r="C72" s="345">
        <v>50.1</v>
      </c>
      <c r="D72" s="278">
        <f t="shared" si="13"/>
        <v>35062.514476775999</v>
      </c>
      <c r="E72" s="278">
        <f t="shared" si="2"/>
        <v>21037.508686065597</v>
      </c>
      <c r="F72" s="278">
        <f t="shared" si="3"/>
        <v>60000</v>
      </c>
      <c r="G72" s="278">
        <f t="shared" si="9"/>
        <v>34</v>
      </c>
      <c r="H72" s="278">
        <f t="shared" si="10"/>
        <v>716.40470843298306</v>
      </c>
      <c r="I72" s="278" t="s">
        <v>336</v>
      </c>
      <c r="J72" s="281">
        <f t="shared" si="11"/>
        <v>10.234352977614044</v>
      </c>
      <c r="K72" s="346" t="s">
        <v>337</v>
      </c>
      <c r="L72" s="545"/>
    </row>
    <row r="73" spans="1:12" s="255" customFormat="1" ht="18.75" customHeight="1">
      <c r="A73" s="343" t="str">
        <f t="shared" si="12"/>
        <v>LibraryBldg_WH</v>
      </c>
      <c r="B73" s="344" t="s">
        <v>155</v>
      </c>
      <c r="C73" s="345">
        <v>63.2</v>
      </c>
      <c r="D73" s="278">
        <f t="shared" si="13"/>
        <v>29652.397402031998</v>
      </c>
      <c r="E73" s="278">
        <f t="shared" si="2"/>
        <v>17791.438441219198</v>
      </c>
      <c r="F73" s="278">
        <f t="shared" si="3"/>
        <v>60000</v>
      </c>
      <c r="G73" s="278">
        <f t="shared" si="9"/>
        <v>34</v>
      </c>
      <c r="H73" s="278">
        <f t="shared" si="10"/>
        <v>716.40470843298306</v>
      </c>
      <c r="I73" s="278" t="s">
        <v>336</v>
      </c>
      <c r="J73" s="281">
        <f t="shared" si="11"/>
        <v>10.234352977614044</v>
      </c>
      <c r="K73" s="346" t="s">
        <v>337</v>
      </c>
      <c r="L73" s="545"/>
    </row>
    <row r="74" spans="1:12" s="255" customFormat="1" ht="18.75" customHeight="1">
      <c r="A74" s="343" t="str">
        <f t="shared" si="12"/>
        <v>LibraryBldg_WH</v>
      </c>
      <c r="B74" s="344" t="s">
        <v>156</v>
      </c>
      <c r="C74" s="345">
        <v>41.4</v>
      </c>
      <c r="D74" s="278">
        <f>$C$31*($B$37-C74)*$B$39</f>
        <v>38655.492992063999</v>
      </c>
      <c r="E74" s="278">
        <f t="shared" si="2"/>
        <v>23193.295795238399</v>
      </c>
      <c r="F74" s="278">
        <f t="shared" si="3"/>
        <v>60000</v>
      </c>
      <c r="G74" s="278">
        <f t="shared" si="9"/>
        <v>34</v>
      </c>
      <c r="H74" s="278">
        <f t="shared" si="10"/>
        <v>716.40470843298306</v>
      </c>
      <c r="I74" s="278" t="s">
        <v>336</v>
      </c>
      <c r="J74" s="281">
        <f t="shared" si="11"/>
        <v>10.234352977614044</v>
      </c>
      <c r="K74" s="346" t="s">
        <v>337</v>
      </c>
      <c r="L74" s="545"/>
    </row>
    <row r="75" spans="1:12" s="255" customFormat="1" ht="18.75" customHeight="1">
      <c r="A75" s="343" t="str">
        <f>$A$32</f>
        <v>ReligiousBldg_WH</v>
      </c>
      <c r="B75" s="344" t="s">
        <v>335</v>
      </c>
      <c r="C75" s="345">
        <v>47.9</v>
      </c>
      <c r="D75" s="278">
        <f>$C$32*($B$37-C75)*$B$39</f>
        <v>246107.23214861157</v>
      </c>
      <c r="E75" s="278">
        <f t="shared" si="2"/>
        <v>147664.33928916694</v>
      </c>
      <c r="F75" s="278">
        <f t="shared" ref="F75:F106" si="14">_xlfn.LET(_xlpm.x,_xlfn.XLOOKUP(E75/$C$3,$A$128:$A$158,$A$128:$A$158,"",1),IF(_xlpm.x="",ROUNDUP(E75/$C$3,0),_xlpm.x))</f>
        <v>199000</v>
      </c>
      <c r="G75" s="278">
        <f t="shared" ref="G75:G90" si="15">_xlfn.LET(_xlpm.v,MAX(30,$C$32*$B$40),_xlpm.x,_xlfn.XLOOKUP(_xlpm.v,$E$128:$E$146,$E$128:$E$146,"",1),IF(_xlpm.x="",ROUNDUP(_xlpm.v,0),_xlpm.x))</f>
        <v>137</v>
      </c>
      <c r="H75" s="278">
        <f t="shared" si="10"/>
        <v>1536.2669901791587</v>
      </c>
      <c r="I75" s="278" t="s">
        <v>336</v>
      </c>
      <c r="J75" s="281">
        <f t="shared" si="11"/>
        <v>21.946671288273695</v>
      </c>
      <c r="K75" s="346" t="s">
        <v>337</v>
      </c>
      <c r="L75" s="545"/>
    </row>
    <row r="76" spans="1:12" s="255" customFormat="1" ht="18.75" customHeight="1">
      <c r="A76" s="343" t="str">
        <f t="shared" ref="A76:A90" si="16">$A$32</f>
        <v>ReligiousBldg_WH</v>
      </c>
      <c r="B76" s="344" t="s">
        <v>339</v>
      </c>
      <c r="C76" s="345">
        <v>50.8</v>
      </c>
      <c r="D76" s="278">
        <f t="shared" ref="D76:D90" si="17">$C$32*($B$37-C76)*$B$39</f>
        <v>237913.07631358318</v>
      </c>
      <c r="E76" s="278">
        <f t="shared" si="2"/>
        <v>142747.84578814989</v>
      </c>
      <c r="F76" s="278">
        <f t="shared" si="14"/>
        <v>180000</v>
      </c>
      <c r="G76" s="278">
        <f t="shared" si="15"/>
        <v>137</v>
      </c>
      <c r="H76" s="278">
        <f t="shared" si="10"/>
        <v>1512.5169901791587</v>
      </c>
      <c r="I76" s="278" t="s">
        <v>336</v>
      </c>
      <c r="J76" s="281">
        <f t="shared" si="11"/>
        <v>21.607385573987983</v>
      </c>
      <c r="K76" s="346" t="s">
        <v>337</v>
      </c>
      <c r="L76" s="545"/>
    </row>
    <row r="77" spans="1:12" s="255" customFormat="1" ht="18.75" customHeight="1">
      <c r="A77" s="343" t="str">
        <f t="shared" si="16"/>
        <v>ReligiousBldg_WH</v>
      </c>
      <c r="B77" s="344" t="s">
        <v>340</v>
      </c>
      <c r="C77" s="345">
        <v>52.2</v>
      </c>
      <c r="D77" s="278">
        <f t="shared" si="17"/>
        <v>233957.27694494877</v>
      </c>
      <c r="E77" s="278">
        <f t="shared" si="2"/>
        <v>140374.36616696927</v>
      </c>
      <c r="F77" s="278">
        <f t="shared" si="14"/>
        <v>180000</v>
      </c>
      <c r="G77" s="278">
        <f t="shared" si="15"/>
        <v>137</v>
      </c>
      <c r="H77" s="278">
        <f t="shared" si="10"/>
        <v>1512.5169901791587</v>
      </c>
      <c r="I77" s="278" t="s">
        <v>336</v>
      </c>
      <c r="J77" s="281">
        <f t="shared" si="11"/>
        <v>21.607385573987983</v>
      </c>
      <c r="K77" s="346" t="s">
        <v>337</v>
      </c>
      <c r="L77" s="545"/>
    </row>
    <row r="78" spans="1:12" s="255" customFormat="1" ht="18.75" customHeight="1">
      <c r="A78" s="343" t="str">
        <f t="shared" si="16"/>
        <v>ReligiousBldg_WH</v>
      </c>
      <c r="B78" s="344" t="s">
        <v>341</v>
      </c>
      <c r="C78" s="345">
        <v>52.7</v>
      </c>
      <c r="D78" s="278">
        <f t="shared" si="17"/>
        <v>232544.49145615078</v>
      </c>
      <c r="E78" s="278">
        <f t="shared" si="2"/>
        <v>139526.69487369046</v>
      </c>
      <c r="F78" s="278">
        <f t="shared" si="14"/>
        <v>175000</v>
      </c>
      <c r="G78" s="278">
        <f t="shared" si="15"/>
        <v>137</v>
      </c>
      <c r="H78" s="278">
        <f t="shared" si="10"/>
        <v>1506.2669901791587</v>
      </c>
      <c r="I78" s="278" t="s">
        <v>336</v>
      </c>
      <c r="J78" s="281">
        <f t="shared" si="11"/>
        <v>21.518099859702268</v>
      </c>
      <c r="K78" s="346" t="s">
        <v>337</v>
      </c>
      <c r="L78" s="545"/>
    </row>
    <row r="79" spans="1:12" s="255" customFormat="1" ht="18.75" customHeight="1">
      <c r="A79" s="343" t="str">
        <f t="shared" si="16"/>
        <v>ReligiousBldg_WH</v>
      </c>
      <c r="B79" s="344" t="s">
        <v>342</v>
      </c>
      <c r="C79" s="345">
        <v>51.6</v>
      </c>
      <c r="D79" s="278">
        <f t="shared" si="17"/>
        <v>235652.61953150638</v>
      </c>
      <c r="E79" s="278">
        <f t="shared" si="2"/>
        <v>141391.57171890381</v>
      </c>
      <c r="F79" s="278">
        <f t="shared" si="14"/>
        <v>180000</v>
      </c>
      <c r="G79" s="278">
        <f t="shared" si="15"/>
        <v>137</v>
      </c>
      <c r="H79" s="278">
        <f t="shared" si="10"/>
        <v>1512.5169901791587</v>
      </c>
      <c r="I79" s="278" t="s">
        <v>336</v>
      </c>
      <c r="J79" s="281">
        <f t="shared" si="11"/>
        <v>21.607385573987983</v>
      </c>
      <c r="K79" s="346" t="s">
        <v>337</v>
      </c>
      <c r="L79" s="545"/>
    </row>
    <row r="80" spans="1:12" s="255" customFormat="1" ht="18.75" customHeight="1">
      <c r="A80" s="343" t="str">
        <f t="shared" si="16"/>
        <v>ReligiousBldg_WH</v>
      </c>
      <c r="B80" s="344" t="s">
        <v>343</v>
      </c>
      <c r="C80" s="345">
        <v>56.8</v>
      </c>
      <c r="D80" s="278">
        <f t="shared" si="17"/>
        <v>220959.65044800716</v>
      </c>
      <c r="E80" s="278">
        <f t="shared" si="2"/>
        <v>132575.7902688043</v>
      </c>
      <c r="F80" s="278">
        <f t="shared" si="14"/>
        <v>175000</v>
      </c>
      <c r="G80" s="278">
        <f t="shared" si="15"/>
        <v>137</v>
      </c>
      <c r="H80" s="278">
        <f t="shared" si="10"/>
        <v>1506.2669901791587</v>
      </c>
      <c r="I80" s="278" t="s">
        <v>336</v>
      </c>
      <c r="J80" s="281">
        <f t="shared" si="11"/>
        <v>21.518099859702268</v>
      </c>
      <c r="K80" s="346" t="s">
        <v>337</v>
      </c>
      <c r="L80" s="545"/>
    </row>
    <row r="81" spans="1:12" s="255" customFormat="1" ht="18.75" customHeight="1">
      <c r="A81" s="343" t="str">
        <f t="shared" si="16"/>
        <v>ReligiousBldg_WH</v>
      </c>
      <c r="B81" s="344" t="s">
        <v>344</v>
      </c>
      <c r="C81" s="345">
        <v>58.4</v>
      </c>
      <c r="D81" s="278">
        <f t="shared" si="17"/>
        <v>216438.73688385356</v>
      </c>
      <c r="E81" s="278">
        <f t="shared" si="2"/>
        <v>129863.24213031214</v>
      </c>
      <c r="F81" s="278">
        <f t="shared" si="14"/>
        <v>175000</v>
      </c>
      <c r="G81" s="278">
        <f t="shared" si="15"/>
        <v>137</v>
      </c>
      <c r="H81" s="278">
        <f t="shared" si="10"/>
        <v>1506.2669901791587</v>
      </c>
      <c r="I81" s="278" t="s">
        <v>336</v>
      </c>
      <c r="J81" s="281">
        <f t="shared" si="11"/>
        <v>21.518099859702268</v>
      </c>
      <c r="K81" s="346" t="s">
        <v>337</v>
      </c>
      <c r="L81" s="545"/>
    </row>
    <row r="82" spans="1:12" s="255" customFormat="1" ht="18.75" customHeight="1">
      <c r="A82" s="343" t="str">
        <f t="shared" si="16"/>
        <v>ReligiousBldg_WH</v>
      </c>
      <c r="B82" s="344" t="s">
        <v>345</v>
      </c>
      <c r="C82" s="345">
        <v>58.4</v>
      </c>
      <c r="D82" s="278">
        <f t="shared" si="17"/>
        <v>216438.73688385356</v>
      </c>
      <c r="E82" s="278">
        <f t="shared" si="2"/>
        <v>129863.24213031214</v>
      </c>
      <c r="F82" s="278">
        <f t="shared" si="14"/>
        <v>175000</v>
      </c>
      <c r="G82" s="278">
        <f t="shared" si="15"/>
        <v>137</v>
      </c>
      <c r="H82" s="278">
        <f t="shared" si="10"/>
        <v>1506.2669901791587</v>
      </c>
      <c r="I82" s="278" t="s">
        <v>336</v>
      </c>
      <c r="J82" s="281">
        <f t="shared" si="11"/>
        <v>21.518099859702268</v>
      </c>
      <c r="K82" s="346" t="s">
        <v>337</v>
      </c>
      <c r="L82" s="545"/>
    </row>
    <row r="83" spans="1:12" s="255" customFormat="1" ht="18.75" customHeight="1">
      <c r="A83" s="343" t="str">
        <f t="shared" si="16"/>
        <v>ReligiousBldg_WH</v>
      </c>
      <c r="B83" s="344" t="s">
        <v>346</v>
      </c>
      <c r="C83" s="345">
        <v>57.6</v>
      </c>
      <c r="D83" s="278">
        <f t="shared" si="17"/>
        <v>218699.19366593036</v>
      </c>
      <c r="E83" s="278">
        <f t="shared" si="2"/>
        <v>131219.51619955822</v>
      </c>
      <c r="F83" s="278">
        <f t="shared" si="14"/>
        <v>175000</v>
      </c>
      <c r="G83" s="278">
        <f t="shared" si="15"/>
        <v>137</v>
      </c>
      <c r="H83" s="278">
        <f t="shared" si="10"/>
        <v>1506.2669901791587</v>
      </c>
      <c r="I83" s="278" t="s">
        <v>336</v>
      </c>
      <c r="J83" s="281">
        <f t="shared" si="11"/>
        <v>21.518099859702268</v>
      </c>
      <c r="K83" s="346" t="s">
        <v>337</v>
      </c>
      <c r="L83" s="545"/>
    </row>
    <row r="84" spans="1:12" s="255" customFormat="1" ht="18.75" customHeight="1">
      <c r="A84" s="343" t="str">
        <f t="shared" si="16"/>
        <v>ReligiousBldg_WH</v>
      </c>
      <c r="B84" s="344" t="s">
        <v>150</v>
      </c>
      <c r="C84" s="345">
        <v>57.1</v>
      </c>
      <c r="D84" s="278">
        <f t="shared" si="17"/>
        <v>220111.97915472838</v>
      </c>
      <c r="E84" s="278">
        <f t="shared" si="2"/>
        <v>132067.18749283702</v>
      </c>
      <c r="F84" s="278">
        <f t="shared" si="14"/>
        <v>175000</v>
      </c>
      <c r="G84" s="278">
        <f t="shared" si="15"/>
        <v>137</v>
      </c>
      <c r="H84" s="278">
        <f t="shared" si="10"/>
        <v>1506.2669901791587</v>
      </c>
      <c r="I84" s="278" t="s">
        <v>336</v>
      </c>
      <c r="J84" s="281">
        <f t="shared" si="11"/>
        <v>21.518099859702268</v>
      </c>
      <c r="K84" s="346" t="s">
        <v>337</v>
      </c>
      <c r="L84" s="545"/>
    </row>
    <row r="85" spans="1:12" s="255" customFormat="1" ht="18.75" customHeight="1">
      <c r="A85" s="343" t="str">
        <f t="shared" si="16"/>
        <v>ReligiousBldg_WH</v>
      </c>
      <c r="B85" s="344" t="s">
        <v>151</v>
      </c>
      <c r="C85" s="345">
        <v>50.5</v>
      </c>
      <c r="D85" s="278">
        <f t="shared" si="17"/>
        <v>238760.74760686196</v>
      </c>
      <c r="E85" s="278">
        <f t="shared" si="2"/>
        <v>143256.44856411716</v>
      </c>
      <c r="F85" s="278">
        <f t="shared" si="14"/>
        <v>180000</v>
      </c>
      <c r="G85" s="278">
        <f t="shared" si="15"/>
        <v>137</v>
      </c>
      <c r="H85" s="278">
        <f t="shared" si="10"/>
        <v>1512.5169901791587</v>
      </c>
      <c r="I85" s="278" t="s">
        <v>336</v>
      </c>
      <c r="J85" s="281">
        <f t="shared" si="11"/>
        <v>21.607385573987983</v>
      </c>
      <c r="K85" s="346" t="s">
        <v>337</v>
      </c>
      <c r="L85" s="545"/>
    </row>
    <row r="86" spans="1:12" s="255" customFormat="1" ht="18.75" customHeight="1">
      <c r="A86" s="343" t="str">
        <f t="shared" si="16"/>
        <v>ReligiousBldg_WH</v>
      </c>
      <c r="B86" s="344" t="s">
        <v>152</v>
      </c>
      <c r="C86" s="345">
        <v>51.4</v>
      </c>
      <c r="D86" s="278">
        <f t="shared" si="17"/>
        <v>236217.73372702557</v>
      </c>
      <c r="E86" s="278">
        <f t="shared" si="2"/>
        <v>141730.64023621535</v>
      </c>
      <c r="F86" s="278">
        <f t="shared" si="14"/>
        <v>180000</v>
      </c>
      <c r="G86" s="278">
        <f t="shared" si="15"/>
        <v>137</v>
      </c>
      <c r="H86" s="278">
        <f t="shared" si="10"/>
        <v>1512.5169901791587</v>
      </c>
      <c r="I86" s="278" t="s">
        <v>336</v>
      </c>
      <c r="J86" s="281">
        <f t="shared" si="11"/>
        <v>21.607385573987983</v>
      </c>
      <c r="K86" s="346" t="s">
        <v>337</v>
      </c>
      <c r="L86" s="545"/>
    </row>
    <row r="87" spans="1:12" s="255" customFormat="1" ht="18.75" customHeight="1">
      <c r="A87" s="343" t="str">
        <f t="shared" si="16"/>
        <v>ReligiousBldg_WH</v>
      </c>
      <c r="B87" s="344" t="s">
        <v>153</v>
      </c>
      <c r="C87" s="345">
        <v>51.7</v>
      </c>
      <c r="D87" s="278">
        <f t="shared" si="17"/>
        <v>235370.06243374676</v>
      </c>
      <c r="E87" s="278">
        <f t="shared" si="2"/>
        <v>141222.03746024804</v>
      </c>
      <c r="F87" s="278">
        <f t="shared" si="14"/>
        <v>180000</v>
      </c>
      <c r="G87" s="278">
        <f t="shared" si="15"/>
        <v>137</v>
      </c>
      <c r="H87" s="278">
        <f t="shared" si="10"/>
        <v>1512.5169901791587</v>
      </c>
      <c r="I87" s="278" t="s">
        <v>336</v>
      </c>
      <c r="J87" s="281">
        <f t="shared" si="11"/>
        <v>21.607385573987983</v>
      </c>
      <c r="K87" s="346" t="s">
        <v>337</v>
      </c>
      <c r="L87" s="545"/>
    </row>
    <row r="88" spans="1:12" s="255" customFormat="1" ht="18.75" customHeight="1">
      <c r="A88" s="343" t="str">
        <f t="shared" si="16"/>
        <v>ReligiousBldg_WH</v>
      </c>
      <c r="B88" s="344" t="s">
        <v>154</v>
      </c>
      <c r="C88" s="345">
        <v>50.1</v>
      </c>
      <c r="D88" s="278">
        <f t="shared" si="17"/>
        <v>239890.97599790039</v>
      </c>
      <c r="E88" s="278">
        <f t="shared" si="2"/>
        <v>143934.58559874023</v>
      </c>
      <c r="F88" s="278">
        <f t="shared" si="14"/>
        <v>180000</v>
      </c>
      <c r="G88" s="278">
        <f t="shared" si="15"/>
        <v>137</v>
      </c>
      <c r="H88" s="278">
        <f t="shared" si="10"/>
        <v>1512.5169901791587</v>
      </c>
      <c r="I88" s="278" t="s">
        <v>336</v>
      </c>
      <c r="J88" s="281">
        <f t="shared" si="11"/>
        <v>21.607385573987983</v>
      </c>
      <c r="K88" s="346" t="s">
        <v>337</v>
      </c>
      <c r="L88" s="545"/>
    </row>
    <row r="89" spans="1:12" s="255" customFormat="1" ht="18.75" customHeight="1">
      <c r="A89" s="343" t="str">
        <f t="shared" si="16"/>
        <v>ReligiousBldg_WH</v>
      </c>
      <c r="B89" s="344" t="s">
        <v>155</v>
      </c>
      <c r="C89" s="345">
        <v>63.2</v>
      </c>
      <c r="D89" s="278">
        <f t="shared" si="17"/>
        <v>202875.99619139277</v>
      </c>
      <c r="E89" s="278">
        <f t="shared" si="2"/>
        <v>121725.59771483566</v>
      </c>
      <c r="F89" s="278">
        <f t="shared" si="14"/>
        <v>156000</v>
      </c>
      <c r="G89" s="278">
        <f t="shared" si="15"/>
        <v>137</v>
      </c>
      <c r="H89" s="278">
        <f t="shared" si="10"/>
        <v>1482.5169901791587</v>
      </c>
      <c r="I89" s="278" t="s">
        <v>336</v>
      </c>
      <c r="J89" s="281">
        <f t="shared" si="11"/>
        <v>21.178814145416553</v>
      </c>
      <c r="K89" s="346" t="s">
        <v>337</v>
      </c>
      <c r="L89" s="545"/>
    </row>
    <row r="90" spans="1:12" s="255" customFormat="1" ht="18.75" customHeight="1">
      <c r="A90" s="343" t="str">
        <f t="shared" si="16"/>
        <v>ReligiousBldg_WH</v>
      </c>
      <c r="B90" s="344" t="s">
        <v>156</v>
      </c>
      <c r="C90" s="345">
        <v>41.4</v>
      </c>
      <c r="D90" s="278">
        <f t="shared" si="17"/>
        <v>264473.44350298552</v>
      </c>
      <c r="E90" s="278">
        <f t="shared" si="2"/>
        <v>158684.06610179131</v>
      </c>
      <c r="F90" s="278">
        <f t="shared" si="14"/>
        <v>199000</v>
      </c>
      <c r="G90" s="278">
        <f t="shared" si="15"/>
        <v>137</v>
      </c>
      <c r="H90" s="278">
        <f t="shared" si="10"/>
        <v>1536.2669901791587</v>
      </c>
      <c r="I90" s="278" t="s">
        <v>336</v>
      </c>
      <c r="J90" s="281">
        <f t="shared" si="11"/>
        <v>21.946671288273695</v>
      </c>
      <c r="K90" s="346" t="s">
        <v>337</v>
      </c>
      <c r="L90" s="545"/>
    </row>
    <row r="91" spans="1:12" s="255" customFormat="1" ht="18.75" customHeight="1">
      <c r="A91" s="347" t="str">
        <f>$A$33</f>
        <v>SportsBldg_WH</v>
      </c>
      <c r="B91" s="344" t="s">
        <v>335</v>
      </c>
      <c r="C91" s="345">
        <v>47.9</v>
      </c>
      <c r="D91" s="278">
        <f>$C$33*($B$37-C91)*$B$39</f>
        <v>231882.31407193834</v>
      </c>
      <c r="E91" s="278">
        <f t="shared" si="2"/>
        <v>139129.38844316298</v>
      </c>
      <c r="F91" s="278">
        <f t="shared" si="14"/>
        <v>175000</v>
      </c>
      <c r="G91" s="278">
        <f t="shared" ref="G91:G106" si="18">_xlfn.LET(_xlpm.v,MAX(30,$C$33*$B$40),_xlpm.x,_xlfn.XLOOKUP(_xlpm.v,$E$128:$E$146,$E$128:$E$146,"",1),IF(_xlpm.x="",ROUNDUP(_xlpm.v,0),_xlpm.x))</f>
        <v>129</v>
      </c>
      <c r="H91" s="278">
        <f t="shared" si="10"/>
        <v>1468.1098360760602</v>
      </c>
      <c r="I91" s="278" t="s">
        <v>336</v>
      </c>
      <c r="J91" s="281">
        <f t="shared" si="11"/>
        <v>20.972997658229431</v>
      </c>
      <c r="K91" s="346" t="s">
        <v>337</v>
      </c>
      <c r="L91" s="545"/>
    </row>
    <row r="92" spans="1:12" s="255" customFormat="1" ht="18.75" customHeight="1">
      <c r="A92" s="347" t="str">
        <f t="shared" ref="A92:A106" si="19">$A$33</f>
        <v>SportsBldg_WH</v>
      </c>
      <c r="B92" s="344" t="s">
        <v>339</v>
      </c>
      <c r="C92" s="345">
        <v>50.8</v>
      </c>
      <c r="D92" s="278">
        <f t="shared" ref="D92:D106" si="20">$C$33*($B$37-C92)*$B$39</f>
        <v>224161.77778251676</v>
      </c>
      <c r="E92" s="278">
        <f t="shared" si="2"/>
        <v>134497.06666951004</v>
      </c>
      <c r="F92" s="278">
        <f t="shared" si="14"/>
        <v>175000</v>
      </c>
      <c r="G92" s="278">
        <f t="shared" si="18"/>
        <v>129</v>
      </c>
      <c r="H92" s="278">
        <f t="shared" si="10"/>
        <v>1468.1098360760602</v>
      </c>
      <c r="I92" s="278" t="s">
        <v>336</v>
      </c>
      <c r="J92" s="281">
        <f t="shared" si="11"/>
        <v>20.972997658229431</v>
      </c>
      <c r="K92" s="346" t="s">
        <v>337</v>
      </c>
      <c r="L92" s="545"/>
    </row>
    <row r="93" spans="1:12" s="255" customFormat="1" ht="18.75" customHeight="1">
      <c r="A93" s="347" t="str">
        <f t="shared" si="19"/>
        <v>SportsBldg_WH</v>
      </c>
      <c r="B93" s="344" t="s">
        <v>340</v>
      </c>
      <c r="C93" s="345">
        <v>52.2</v>
      </c>
      <c r="D93" s="278">
        <f t="shared" si="20"/>
        <v>220434.62233245114</v>
      </c>
      <c r="E93" s="278">
        <f t="shared" si="2"/>
        <v>132260.77339947067</v>
      </c>
      <c r="F93" s="278">
        <f t="shared" si="14"/>
        <v>175000</v>
      </c>
      <c r="G93" s="278">
        <f t="shared" si="18"/>
        <v>129</v>
      </c>
      <c r="H93" s="278">
        <f t="shared" si="10"/>
        <v>1468.1098360760602</v>
      </c>
      <c r="I93" s="278" t="s">
        <v>336</v>
      </c>
      <c r="J93" s="281">
        <f t="shared" si="11"/>
        <v>20.972997658229431</v>
      </c>
      <c r="K93" s="346" t="s">
        <v>337</v>
      </c>
      <c r="L93" s="545"/>
    </row>
    <row r="94" spans="1:12" s="255" customFormat="1" ht="18.75" customHeight="1">
      <c r="A94" s="347" t="str">
        <f t="shared" si="19"/>
        <v>SportsBldg_WH</v>
      </c>
      <c r="B94" s="344" t="s">
        <v>341</v>
      </c>
      <c r="C94" s="345">
        <v>52.7</v>
      </c>
      <c r="D94" s="278">
        <f t="shared" si="20"/>
        <v>219103.49538599918</v>
      </c>
      <c r="E94" s="278">
        <f t="shared" si="2"/>
        <v>131462.0972315995</v>
      </c>
      <c r="F94" s="278">
        <f t="shared" si="14"/>
        <v>175000</v>
      </c>
      <c r="G94" s="278">
        <f t="shared" si="18"/>
        <v>129</v>
      </c>
      <c r="H94" s="278">
        <f t="shared" si="10"/>
        <v>1468.1098360760602</v>
      </c>
      <c r="I94" s="278" t="s">
        <v>336</v>
      </c>
      <c r="J94" s="281">
        <f t="shared" si="11"/>
        <v>20.972997658229431</v>
      </c>
      <c r="K94" s="346" t="s">
        <v>337</v>
      </c>
      <c r="L94" s="545"/>
    </row>
    <row r="95" spans="1:12" s="255" customFormat="1" ht="18.75" customHeight="1">
      <c r="A95" s="347" t="str">
        <f t="shared" si="19"/>
        <v>SportsBldg_WH</v>
      </c>
      <c r="B95" s="344" t="s">
        <v>342</v>
      </c>
      <c r="C95" s="345">
        <v>51.6</v>
      </c>
      <c r="D95" s="278">
        <f t="shared" si="20"/>
        <v>222031.97466819358</v>
      </c>
      <c r="E95" s="278">
        <f t="shared" si="2"/>
        <v>133219.18480091615</v>
      </c>
      <c r="F95" s="278">
        <f t="shared" si="14"/>
        <v>175000</v>
      </c>
      <c r="G95" s="278">
        <f t="shared" si="18"/>
        <v>129</v>
      </c>
      <c r="H95" s="278">
        <f t="shared" si="10"/>
        <v>1468.1098360760602</v>
      </c>
      <c r="I95" s="278" t="s">
        <v>336</v>
      </c>
      <c r="J95" s="281">
        <f t="shared" si="11"/>
        <v>20.972997658229431</v>
      </c>
      <c r="K95" s="346" t="s">
        <v>337</v>
      </c>
      <c r="L95" s="545"/>
    </row>
    <row r="96" spans="1:12" s="255" customFormat="1" ht="18.75" customHeight="1">
      <c r="A96" s="347" t="str">
        <f t="shared" si="19"/>
        <v>SportsBldg_WH</v>
      </c>
      <c r="B96" s="344" t="s">
        <v>343</v>
      </c>
      <c r="C96" s="345">
        <v>56.8</v>
      </c>
      <c r="D96" s="278">
        <f t="shared" si="20"/>
        <v>208188.25442509277</v>
      </c>
      <c r="E96" s="278">
        <f t="shared" si="2"/>
        <v>124912.95265505566</v>
      </c>
      <c r="F96" s="278">
        <f t="shared" si="14"/>
        <v>160000</v>
      </c>
      <c r="G96" s="278">
        <f t="shared" si="18"/>
        <v>129</v>
      </c>
      <c r="H96" s="278">
        <f t="shared" si="10"/>
        <v>1449.3598360760602</v>
      </c>
      <c r="I96" s="278" t="s">
        <v>336</v>
      </c>
      <c r="J96" s="281">
        <f t="shared" si="11"/>
        <v>20.705140515372289</v>
      </c>
      <c r="K96" s="346" t="s">
        <v>337</v>
      </c>
      <c r="L96" s="545"/>
    </row>
    <row r="97" spans="1:12" s="255" customFormat="1" ht="18.75" customHeight="1">
      <c r="A97" s="347" t="str">
        <f t="shared" si="19"/>
        <v>SportsBldg_WH</v>
      </c>
      <c r="B97" s="344" t="s">
        <v>344</v>
      </c>
      <c r="C97" s="345">
        <v>58.4</v>
      </c>
      <c r="D97" s="278">
        <f t="shared" si="20"/>
        <v>203928.64819644633</v>
      </c>
      <c r="E97" s="278">
        <f t="shared" si="2"/>
        <v>122357.1889178678</v>
      </c>
      <c r="F97" s="278">
        <f t="shared" si="14"/>
        <v>156000</v>
      </c>
      <c r="G97" s="278">
        <f t="shared" si="18"/>
        <v>129</v>
      </c>
      <c r="H97" s="278">
        <f t="shared" si="10"/>
        <v>1444.3598360760602</v>
      </c>
      <c r="I97" s="278" t="s">
        <v>336</v>
      </c>
      <c r="J97" s="281">
        <f t="shared" si="11"/>
        <v>20.633711943943716</v>
      </c>
      <c r="K97" s="346" t="s">
        <v>337</v>
      </c>
      <c r="L97" s="545"/>
    </row>
    <row r="98" spans="1:12" s="255" customFormat="1" ht="18.75" customHeight="1">
      <c r="A98" s="347" t="str">
        <f t="shared" si="19"/>
        <v>SportsBldg_WH</v>
      </c>
      <c r="B98" s="344" t="s">
        <v>345</v>
      </c>
      <c r="C98" s="345">
        <v>58.4</v>
      </c>
      <c r="D98" s="278">
        <f t="shared" si="20"/>
        <v>203928.64819644633</v>
      </c>
      <c r="E98" s="278">
        <f t="shared" si="2"/>
        <v>122357.1889178678</v>
      </c>
      <c r="F98" s="278">
        <f t="shared" si="14"/>
        <v>156000</v>
      </c>
      <c r="G98" s="278">
        <f t="shared" si="18"/>
        <v>129</v>
      </c>
      <c r="H98" s="278">
        <f t="shared" si="10"/>
        <v>1444.3598360760602</v>
      </c>
      <c r="I98" s="278" t="s">
        <v>336</v>
      </c>
      <c r="J98" s="281">
        <f t="shared" si="11"/>
        <v>20.633711943943716</v>
      </c>
      <c r="K98" s="346" t="s">
        <v>337</v>
      </c>
      <c r="L98" s="545"/>
    </row>
    <row r="99" spans="1:12" s="255" customFormat="1" ht="18.75" customHeight="1">
      <c r="A99" s="347" t="str">
        <f t="shared" si="19"/>
        <v>SportsBldg_WH</v>
      </c>
      <c r="B99" s="344" t="s">
        <v>346</v>
      </c>
      <c r="C99" s="345">
        <v>57.6</v>
      </c>
      <c r="D99" s="278">
        <f t="shared" si="20"/>
        <v>206058.4513107696</v>
      </c>
      <c r="E99" s="278">
        <f t="shared" si="2"/>
        <v>123635.07078646176</v>
      </c>
      <c r="F99" s="278">
        <f t="shared" si="14"/>
        <v>156000</v>
      </c>
      <c r="G99" s="278">
        <f t="shared" si="18"/>
        <v>129</v>
      </c>
      <c r="H99" s="278">
        <f t="shared" si="10"/>
        <v>1444.3598360760602</v>
      </c>
      <c r="I99" s="278" t="s">
        <v>336</v>
      </c>
      <c r="J99" s="281">
        <f t="shared" si="11"/>
        <v>20.633711943943716</v>
      </c>
      <c r="K99" s="346" t="s">
        <v>337</v>
      </c>
      <c r="L99" s="545"/>
    </row>
    <row r="100" spans="1:12" s="255" customFormat="1" ht="18.75" customHeight="1">
      <c r="A100" s="347" t="str">
        <f t="shared" si="19"/>
        <v>SportsBldg_WH</v>
      </c>
      <c r="B100" s="344" t="s">
        <v>150</v>
      </c>
      <c r="C100" s="345">
        <v>57.1</v>
      </c>
      <c r="D100" s="278">
        <f t="shared" si="20"/>
        <v>207389.57825722158</v>
      </c>
      <c r="E100" s="278">
        <f t="shared" si="2"/>
        <v>124433.74695433295</v>
      </c>
      <c r="F100" s="278">
        <f t="shared" si="14"/>
        <v>156000</v>
      </c>
      <c r="G100" s="278">
        <f t="shared" si="18"/>
        <v>129</v>
      </c>
      <c r="H100" s="278">
        <f t="shared" si="10"/>
        <v>1444.3598360760602</v>
      </c>
      <c r="I100" s="278" t="s">
        <v>336</v>
      </c>
      <c r="J100" s="281">
        <f t="shared" si="11"/>
        <v>20.633711943943716</v>
      </c>
      <c r="K100" s="346" t="s">
        <v>337</v>
      </c>
      <c r="L100" s="545"/>
    </row>
    <row r="101" spans="1:12" s="255" customFormat="1" ht="18.75" customHeight="1">
      <c r="A101" s="347" t="str">
        <f t="shared" si="19"/>
        <v>SportsBldg_WH</v>
      </c>
      <c r="B101" s="344" t="s">
        <v>151</v>
      </c>
      <c r="C101" s="345">
        <v>50.5</v>
      </c>
      <c r="D101" s="278">
        <f t="shared" si="20"/>
        <v>224960.45395038798</v>
      </c>
      <c r="E101" s="278">
        <f t="shared" si="2"/>
        <v>134976.27237023279</v>
      </c>
      <c r="F101" s="278">
        <f t="shared" si="14"/>
        <v>175000</v>
      </c>
      <c r="G101" s="278">
        <f t="shared" si="18"/>
        <v>129</v>
      </c>
      <c r="H101" s="278">
        <f t="shared" si="10"/>
        <v>1468.1098360760602</v>
      </c>
      <c r="I101" s="278" t="s">
        <v>336</v>
      </c>
      <c r="J101" s="281">
        <f t="shared" si="11"/>
        <v>20.972997658229431</v>
      </c>
      <c r="K101" s="346" t="s">
        <v>337</v>
      </c>
      <c r="L101" s="545"/>
    </row>
    <row r="102" spans="1:12" s="255" customFormat="1" ht="18.75" customHeight="1">
      <c r="A102" s="347" t="str">
        <f t="shared" si="19"/>
        <v>SportsBldg_WH</v>
      </c>
      <c r="B102" s="344" t="s">
        <v>152</v>
      </c>
      <c r="C102" s="345">
        <v>51.4</v>
      </c>
      <c r="D102" s="278">
        <f t="shared" si="20"/>
        <v>222564.42544677434</v>
      </c>
      <c r="E102" s="278">
        <f t="shared" si="2"/>
        <v>133538.65526806461</v>
      </c>
      <c r="F102" s="278">
        <f t="shared" si="14"/>
        <v>175000</v>
      </c>
      <c r="G102" s="278">
        <f t="shared" si="18"/>
        <v>129</v>
      </c>
      <c r="H102" s="278">
        <f t="shared" si="10"/>
        <v>1468.1098360760602</v>
      </c>
      <c r="I102" s="278" t="s">
        <v>336</v>
      </c>
      <c r="J102" s="281">
        <f t="shared" si="11"/>
        <v>20.972997658229431</v>
      </c>
      <c r="K102" s="346" t="s">
        <v>337</v>
      </c>
      <c r="L102" s="545"/>
    </row>
    <row r="103" spans="1:12" s="255" customFormat="1" ht="18.75" customHeight="1">
      <c r="A103" s="347" t="str">
        <f t="shared" si="19"/>
        <v>SportsBldg_WH</v>
      </c>
      <c r="B103" s="344" t="s">
        <v>153</v>
      </c>
      <c r="C103" s="345">
        <v>51.7</v>
      </c>
      <c r="D103" s="278">
        <f t="shared" si="20"/>
        <v>221765.74927890315</v>
      </c>
      <c r="E103" s="278">
        <f t="shared" si="2"/>
        <v>133059.44956734189</v>
      </c>
      <c r="F103" s="278">
        <f t="shared" si="14"/>
        <v>175000</v>
      </c>
      <c r="G103" s="278">
        <f t="shared" si="18"/>
        <v>129</v>
      </c>
      <c r="H103" s="278">
        <f t="shared" si="10"/>
        <v>1468.1098360760602</v>
      </c>
      <c r="I103" s="278" t="s">
        <v>336</v>
      </c>
      <c r="J103" s="281">
        <f t="shared" si="11"/>
        <v>20.972997658229431</v>
      </c>
      <c r="K103" s="346" t="s">
        <v>337</v>
      </c>
      <c r="L103" s="545"/>
    </row>
    <row r="104" spans="1:12" s="255" customFormat="1" ht="18.75" customHeight="1">
      <c r="A104" s="347" t="str">
        <f t="shared" si="19"/>
        <v>SportsBldg_WH</v>
      </c>
      <c r="B104" s="344" t="s">
        <v>154</v>
      </c>
      <c r="C104" s="345">
        <v>50.1</v>
      </c>
      <c r="D104" s="278">
        <f t="shared" si="20"/>
        <v>226025.35550754957</v>
      </c>
      <c r="E104" s="278">
        <f t="shared" si="2"/>
        <v>135615.21330452972</v>
      </c>
      <c r="F104" s="278">
        <f t="shared" si="14"/>
        <v>175000</v>
      </c>
      <c r="G104" s="278">
        <f t="shared" si="18"/>
        <v>129</v>
      </c>
      <c r="H104" s="278">
        <f t="shared" si="10"/>
        <v>1468.1098360760602</v>
      </c>
      <c r="I104" s="278" t="s">
        <v>336</v>
      </c>
      <c r="J104" s="281">
        <f t="shared" si="11"/>
        <v>20.972997658229431</v>
      </c>
      <c r="K104" s="346" t="s">
        <v>337</v>
      </c>
      <c r="L104" s="545"/>
    </row>
    <row r="105" spans="1:12" s="255" customFormat="1" ht="18.75" customHeight="1">
      <c r="A105" s="347" t="str">
        <f t="shared" si="19"/>
        <v>SportsBldg_WH</v>
      </c>
      <c r="B105" s="344" t="s">
        <v>155</v>
      </c>
      <c r="C105" s="345">
        <v>63.2</v>
      </c>
      <c r="D105" s="278">
        <f t="shared" si="20"/>
        <v>191149.82951050717</v>
      </c>
      <c r="E105" s="278">
        <f t="shared" si="2"/>
        <v>114689.8977063043</v>
      </c>
      <c r="F105" s="278">
        <f t="shared" si="14"/>
        <v>145000</v>
      </c>
      <c r="G105" s="278">
        <f t="shared" si="18"/>
        <v>129</v>
      </c>
      <c r="H105" s="278">
        <f t="shared" si="10"/>
        <v>1430.6098360760602</v>
      </c>
      <c r="I105" s="278" t="s">
        <v>336</v>
      </c>
      <c r="J105" s="281">
        <f t="shared" si="11"/>
        <v>20.437283372515147</v>
      </c>
      <c r="K105" s="346" t="s">
        <v>337</v>
      </c>
      <c r="L105" s="545"/>
    </row>
    <row r="106" spans="1:12" s="255" customFormat="1" ht="18.75" customHeight="1">
      <c r="A106" s="347" t="str">
        <f t="shared" si="19"/>
        <v>SportsBldg_WH</v>
      </c>
      <c r="B106" s="344" t="s">
        <v>156</v>
      </c>
      <c r="C106" s="345">
        <v>41.4</v>
      </c>
      <c r="D106" s="278">
        <f t="shared" si="20"/>
        <v>249186.96437581436</v>
      </c>
      <c r="E106" s="278">
        <f t="shared" ref="E106:E122" si="21">D106*$B$38</f>
        <v>149512.17862548862</v>
      </c>
      <c r="F106" s="278">
        <f t="shared" si="14"/>
        <v>199000</v>
      </c>
      <c r="G106" s="278">
        <f t="shared" si="18"/>
        <v>129</v>
      </c>
      <c r="H106" s="278">
        <f t="shared" si="10"/>
        <v>1498.1098360760602</v>
      </c>
      <c r="I106" s="278" t="s">
        <v>336</v>
      </c>
      <c r="J106" s="281">
        <f t="shared" si="11"/>
        <v>21.401569086800862</v>
      </c>
      <c r="K106" s="346" t="s">
        <v>337</v>
      </c>
      <c r="L106" s="545"/>
    </row>
    <row r="107" spans="1:12" s="255" customFormat="1" ht="18.75" customHeight="1">
      <c r="A107" s="348" t="str">
        <f>$A$34</f>
        <v>TerminalsBldg_WH</v>
      </c>
      <c r="B107" s="344" t="s">
        <v>335</v>
      </c>
      <c r="C107" s="345">
        <v>47.9</v>
      </c>
      <c r="D107" s="278">
        <f>$C$34*($B$37-C107)*$B$39</f>
        <v>46732.783803638391</v>
      </c>
      <c r="E107" s="278">
        <f t="shared" si="21"/>
        <v>28039.670282183033</v>
      </c>
      <c r="F107" s="278">
        <f t="shared" ref="F107:F122" si="22">_xlfn.LET(_xlpm.x,_xlfn.XLOOKUP(E107/$C$3,$A$128:$A$158,$A$128:$A$158,"",1),IF(_xlpm.x="",ROUNDUP(E107/$C$3,0),_xlpm.x))</f>
        <v>60000</v>
      </c>
      <c r="G107" s="278">
        <f t="shared" ref="G107:G122" si="23">_xlfn.LET(_xlpm.v,MAX(30,$C$34*$B$40),_xlpm.x,_xlfn.XLOOKUP(_xlpm.v,$E$128:$E$146,$E$128:$E$146,"",1),IF(_xlpm.x="",ROUNDUP(_xlpm.v,0),_xlpm.x))</f>
        <v>34</v>
      </c>
      <c r="H107" s="278">
        <f t="shared" si="10"/>
        <v>716.40470843298306</v>
      </c>
      <c r="I107" s="278" t="s">
        <v>336</v>
      </c>
      <c r="J107" s="281">
        <f t="shared" si="11"/>
        <v>10.234352977614044</v>
      </c>
      <c r="K107" s="346" t="s">
        <v>337</v>
      </c>
      <c r="L107" s="545"/>
    </row>
    <row r="108" spans="1:12" s="255" customFormat="1" ht="18.75" customHeight="1">
      <c r="A108" s="348" t="str">
        <f t="shared" ref="A108:A122" si="24">$A$34</f>
        <v>TerminalsBldg_WH</v>
      </c>
      <c r="B108" s="344" t="s">
        <v>339</v>
      </c>
      <c r="C108" s="345">
        <v>50.8</v>
      </c>
      <c r="D108" s="278">
        <f t="shared" ref="D108:D122" si="25">$C$34*($B$37-C108)*$B$39</f>
        <v>45176.812815916797</v>
      </c>
      <c r="E108" s="278">
        <f t="shared" si="21"/>
        <v>27106.087689550077</v>
      </c>
      <c r="F108" s="278">
        <f t="shared" si="22"/>
        <v>60000</v>
      </c>
      <c r="G108" s="278">
        <f t="shared" si="23"/>
        <v>34</v>
      </c>
      <c r="H108" s="278">
        <f t="shared" si="10"/>
        <v>716.40470843298306</v>
      </c>
      <c r="I108" s="278" t="s">
        <v>336</v>
      </c>
      <c r="J108" s="281">
        <f t="shared" si="11"/>
        <v>10.234352977614044</v>
      </c>
      <c r="K108" s="346" t="s">
        <v>337</v>
      </c>
      <c r="L108" s="545"/>
    </row>
    <row r="109" spans="1:12" s="255" customFormat="1" ht="18.75" customHeight="1">
      <c r="A109" s="348" t="str">
        <f t="shared" si="24"/>
        <v>TerminalsBldg_WH</v>
      </c>
      <c r="B109" s="344" t="s">
        <v>340</v>
      </c>
      <c r="C109" s="345">
        <v>52.2</v>
      </c>
      <c r="D109" s="278">
        <f t="shared" si="25"/>
        <v>44425.654408051196</v>
      </c>
      <c r="E109" s="278">
        <f t="shared" si="21"/>
        <v>26655.392644830717</v>
      </c>
      <c r="F109" s="278">
        <f t="shared" si="22"/>
        <v>60000</v>
      </c>
      <c r="G109" s="278">
        <f t="shared" si="23"/>
        <v>34</v>
      </c>
      <c r="H109" s="278">
        <f t="shared" si="10"/>
        <v>716.40470843298306</v>
      </c>
      <c r="I109" s="278" t="s">
        <v>336</v>
      </c>
      <c r="J109" s="281">
        <f t="shared" si="11"/>
        <v>10.234352977614044</v>
      </c>
      <c r="K109" s="346" t="s">
        <v>337</v>
      </c>
      <c r="L109" s="545"/>
    </row>
    <row r="110" spans="1:12" s="255" customFormat="1" ht="18.75" customHeight="1">
      <c r="A110" s="348" t="str">
        <f t="shared" si="24"/>
        <v>TerminalsBldg_WH</v>
      </c>
      <c r="B110" s="344" t="s">
        <v>341</v>
      </c>
      <c r="C110" s="345">
        <v>52.7</v>
      </c>
      <c r="D110" s="278">
        <f t="shared" si="25"/>
        <v>44157.383548099191</v>
      </c>
      <c r="E110" s="278">
        <f t="shared" si="21"/>
        <v>26494.430128859512</v>
      </c>
      <c r="F110" s="278">
        <f t="shared" si="22"/>
        <v>60000</v>
      </c>
      <c r="G110" s="278">
        <f t="shared" si="23"/>
        <v>34</v>
      </c>
      <c r="H110" s="278">
        <f t="shared" si="10"/>
        <v>716.40470843298306</v>
      </c>
      <c r="I110" s="278" t="s">
        <v>336</v>
      </c>
      <c r="J110" s="281">
        <f t="shared" si="11"/>
        <v>10.234352977614044</v>
      </c>
      <c r="K110" s="346" t="s">
        <v>337</v>
      </c>
      <c r="L110" s="545"/>
    </row>
    <row r="111" spans="1:12" s="255" customFormat="1" ht="18.75" customHeight="1">
      <c r="A111" s="348" t="str">
        <f t="shared" si="24"/>
        <v>TerminalsBldg_WH</v>
      </c>
      <c r="B111" s="344" t="s">
        <v>342</v>
      </c>
      <c r="C111" s="345">
        <v>51.6</v>
      </c>
      <c r="D111" s="278">
        <f t="shared" si="25"/>
        <v>44747.579439993598</v>
      </c>
      <c r="E111" s="278">
        <f t="shared" si="21"/>
        <v>26848.54766399616</v>
      </c>
      <c r="F111" s="278">
        <f t="shared" si="22"/>
        <v>60000</v>
      </c>
      <c r="G111" s="278">
        <f t="shared" si="23"/>
        <v>34</v>
      </c>
      <c r="H111" s="278">
        <f t="shared" si="10"/>
        <v>716.40470843298306</v>
      </c>
      <c r="I111" s="278" t="s">
        <v>336</v>
      </c>
      <c r="J111" s="281">
        <f t="shared" si="11"/>
        <v>10.234352977614044</v>
      </c>
      <c r="K111" s="346" t="s">
        <v>337</v>
      </c>
      <c r="L111" s="545"/>
    </row>
    <row r="112" spans="1:12" s="255" customFormat="1" ht="18.75" customHeight="1">
      <c r="A112" s="348" t="str">
        <f t="shared" si="24"/>
        <v>TerminalsBldg_WH</v>
      </c>
      <c r="B112" s="344" t="s">
        <v>343</v>
      </c>
      <c r="C112" s="345">
        <v>56.8</v>
      </c>
      <c r="D112" s="278">
        <f t="shared" si="25"/>
        <v>41957.562496492792</v>
      </c>
      <c r="E112" s="278">
        <f t="shared" si="21"/>
        <v>25174.537497895675</v>
      </c>
      <c r="F112" s="278">
        <f t="shared" si="22"/>
        <v>60000</v>
      </c>
      <c r="G112" s="278">
        <f t="shared" si="23"/>
        <v>34</v>
      </c>
      <c r="H112" s="278">
        <f t="shared" si="10"/>
        <v>716.40470843298306</v>
      </c>
      <c r="I112" s="278" t="s">
        <v>336</v>
      </c>
      <c r="J112" s="281">
        <f t="shared" si="11"/>
        <v>10.234352977614044</v>
      </c>
      <c r="K112" s="346" t="s">
        <v>337</v>
      </c>
      <c r="L112" s="545"/>
    </row>
    <row r="113" spans="1:12" s="255" customFormat="1" ht="18.75" customHeight="1">
      <c r="A113" s="348" t="str">
        <f t="shared" si="24"/>
        <v>TerminalsBldg_WH</v>
      </c>
      <c r="B113" s="344" t="s">
        <v>344</v>
      </c>
      <c r="C113" s="345">
        <v>58.4</v>
      </c>
      <c r="D113" s="278">
        <f t="shared" si="25"/>
        <v>41099.095744646394</v>
      </c>
      <c r="E113" s="278">
        <f t="shared" si="21"/>
        <v>24659.457446787837</v>
      </c>
      <c r="F113" s="278">
        <f t="shared" si="22"/>
        <v>60000</v>
      </c>
      <c r="G113" s="278">
        <f t="shared" si="23"/>
        <v>34</v>
      </c>
      <c r="H113" s="278">
        <f t="shared" si="10"/>
        <v>716.40470843298306</v>
      </c>
      <c r="I113" s="278" t="s">
        <v>336</v>
      </c>
      <c r="J113" s="281">
        <f t="shared" si="11"/>
        <v>10.234352977614044</v>
      </c>
      <c r="K113" s="346" t="s">
        <v>337</v>
      </c>
      <c r="L113" s="545"/>
    </row>
    <row r="114" spans="1:12" s="255" customFormat="1" ht="18.75" customHeight="1">
      <c r="A114" s="348" t="str">
        <f t="shared" si="24"/>
        <v>TerminalsBldg_WH</v>
      </c>
      <c r="B114" s="344" t="s">
        <v>345</v>
      </c>
      <c r="C114" s="345">
        <v>58.4</v>
      </c>
      <c r="D114" s="278">
        <f t="shared" si="25"/>
        <v>41099.095744646394</v>
      </c>
      <c r="E114" s="278">
        <f t="shared" si="21"/>
        <v>24659.457446787837</v>
      </c>
      <c r="F114" s="278">
        <f t="shared" si="22"/>
        <v>60000</v>
      </c>
      <c r="G114" s="278">
        <f t="shared" si="23"/>
        <v>34</v>
      </c>
      <c r="H114" s="278">
        <f t="shared" si="10"/>
        <v>716.40470843298306</v>
      </c>
      <c r="I114" s="278" t="s">
        <v>336</v>
      </c>
      <c r="J114" s="281">
        <f t="shared" si="11"/>
        <v>10.234352977614044</v>
      </c>
      <c r="K114" s="346" t="s">
        <v>337</v>
      </c>
      <c r="L114" s="545"/>
    </row>
    <row r="115" spans="1:12" s="255" customFormat="1" ht="18.75" customHeight="1">
      <c r="A115" s="348" t="str">
        <f t="shared" si="24"/>
        <v>TerminalsBldg_WH</v>
      </c>
      <c r="B115" s="344" t="s">
        <v>346</v>
      </c>
      <c r="C115" s="345">
        <v>57.6</v>
      </c>
      <c r="D115" s="278">
        <f t="shared" si="25"/>
        <v>41528.3291205696</v>
      </c>
      <c r="E115" s="278">
        <f t="shared" si="21"/>
        <v>24916.997472341758</v>
      </c>
      <c r="F115" s="278">
        <f t="shared" si="22"/>
        <v>60000</v>
      </c>
      <c r="G115" s="278">
        <f t="shared" si="23"/>
        <v>34</v>
      </c>
      <c r="H115" s="278">
        <f t="shared" si="10"/>
        <v>716.40470843298306</v>
      </c>
      <c r="I115" s="278" t="s">
        <v>336</v>
      </c>
      <c r="J115" s="281">
        <f t="shared" si="11"/>
        <v>10.234352977614044</v>
      </c>
      <c r="K115" s="346" t="s">
        <v>337</v>
      </c>
      <c r="L115" s="545"/>
    </row>
    <row r="116" spans="1:12" s="255" customFormat="1" ht="18.75" customHeight="1">
      <c r="A116" s="348" t="str">
        <f t="shared" si="24"/>
        <v>TerminalsBldg_WH</v>
      </c>
      <c r="B116" s="344" t="s">
        <v>150</v>
      </c>
      <c r="C116" s="345">
        <v>57.1</v>
      </c>
      <c r="D116" s="278">
        <f t="shared" si="25"/>
        <v>41796.599980521598</v>
      </c>
      <c r="E116" s="278">
        <f t="shared" si="21"/>
        <v>25077.959988312959</v>
      </c>
      <c r="F116" s="278">
        <f t="shared" si="22"/>
        <v>60000</v>
      </c>
      <c r="G116" s="278">
        <f t="shared" si="23"/>
        <v>34</v>
      </c>
      <c r="H116" s="278">
        <f t="shared" si="10"/>
        <v>716.40470843298306</v>
      </c>
      <c r="I116" s="278" t="s">
        <v>336</v>
      </c>
      <c r="J116" s="281">
        <f t="shared" si="11"/>
        <v>10.234352977614044</v>
      </c>
      <c r="K116" s="346" t="s">
        <v>337</v>
      </c>
      <c r="L116" s="545"/>
    </row>
    <row r="117" spans="1:12" s="255" customFormat="1" ht="18.75" customHeight="1">
      <c r="A117" s="348" t="str">
        <f t="shared" si="24"/>
        <v>TerminalsBldg_WH</v>
      </c>
      <c r="B117" s="344" t="s">
        <v>151</v>
      </c>
      <c r="C117" s="345">
        <v>50.5</v>
      </c>
      <c r="D117" s="278">
        <f t="shared" si="25"/>
        <v>45337.775331887999</v>
      </c>
      <c r="E117" s="278">
        <f t="shared" si="21"/>
        <v>27202.6651991328</v>
      </c>
      <c r="F117" s="278">
        <f t="shared" si="22"/>
        <v>60000</v>
      </c>
      <c r="G117" s="278">
        <f t="shared" si="23"/>
        <v>34</v>
      </c>
      <c r="H117" s="278">
        <f t="shared" si="10"/>
        <v>716.40470843298306</v>
      </c>
      <c r="I117" s="278" t="s">
        <v>336</v>
      </c>
      <c r="J117" s="281">
        <f t="shared" si="11"/>
        <v>10.234352977614044</v>
      </c>
      <c r="K117" s="346" t="s">
        <v>337</v>
      </c>
      <c r="L117" s="545"/>
    </row>
    <row r="118" spans="1:12" s="255" customFormat="1" ht="18.75" customHeight="1">
      <c r="A118" s="348" t="str">
        <f t="shared" si="24"/>
        <v>TerminalsBldg_WH</v>
      </c>
      <c r="B118" s="344" t="s">
        <v>152</v>
      </c>
      <c r="C118" s="345">
        <v>51.4</v>
      </c>
      <c r="D118" s="278">
        <f t="shared" si="25"/>
        <v>44854.887783974395</v>
      </c>
      <c r="E118" s="278">
        <f t="shared" si="21"/>
        <v>26912.932670384635</v>
      </c>
      <c r="F118" s="278">
        <f t="shared" si="22"/>
        <v>60000</v>
      </c>
      <c r="G118" s="278">
        <f t="shared" si="23"/>
        <v>34</v>
      </c>
      <c r="H118" s="278">
        <f t="shared" si="10"/>
        <v>716.40470843298306</v>
      </c>
      <c r="I118" s="278" t="s">
        <v>336</v>
      </c>
      <c r="J118" s="281">
        <f t="shared" si="11"/>
        <v>10.234352977614044</v>
      </c>
      <c r="K118" s="346" t="s">
        <v>337</v>
      </c>
      <c r="L118" s="545"/>
    </row>
    <row r="119" spans="1:12" s="255" customFormat="1" ht="18.75" customHeight="1">
      <c r="A119" s="348" t="str">
        <f t="shared" si="24"/>
        <v>TerminalsBldg_WH</v>
      </c>
      <c r="B119" s="344" t="s">
        <v>153</v>
      </c>
      <c r="C119" s="345">
        <v>51.7</v>
      </c>
      <c r="D119" s="278">
        <f t="shared" si="25"/>
        <v>44693.925268003193</v>
      </c>
      <c r="E119" s="278">
        <f t="shared" si="21"/>
        <v>26816.355160801915</v>
      </c>
      <c r="F119" s="278">
        <f t="shared" si="22"/>
        <v>60000</v>
      </c>
      <c r="G119" s="278">
        <f t="shared" si="23"/>
        <v>34</v>
      </c>
      <c r="H119" s="278">
        <f t="shared" si="10"/>
        <v>716.40470843298306</v>
      </c>
      <c r="I119" s="278" t="s">
        <v>336</v>
      </c>
      <c r="J119" s="281">
        <f t="shared" si="11"/>
        <v>10.234352977614044</v>
      </c>
      <c r="K119" s="346" t="s">
        <v>337</v>
      </c>
      <c r="L119" s="545"/>
    </row>
    <row r="120" spans="1:12" s="255" customFormat="1" ht="18.75" customHeight="1">
      <c r="A120" s="348" t="str">
        <f t="shared" si="24"/>
        <v>TerminalsBldg_WH</v>
      </c>
      <c r="B120" s="344" t="s">
        <v>154</v>
      </c>
      <c r="C120" s="345">
        <v>50.1</v>
      </c>
      <c r="D120" s="278">
        <f t="shared" si="25"/>
        <v>45552.392019849598</v>
      </c>
      <c r="E120" s="278">
        <f t="shared" si="21"/>
        <v>27331.435211909757</v>
      </c>
      <c r="F120" s="278">
        <f t="shared" si="22"/>
        <v>60000</v>
      </c>
      <c r="G120" s="278">
        <f t="shared" si="23"/>
        <v>34</v>
      </c>
      <c r="H120" s="278">
        <f t="shared" si="10"/>
        <v>716.40470843298306</v>
      </c>
      <c r="I120" s="278" t="s">
        <v>336</v>
      </c>
      <c r="J120" s="281">
        <f t="shared" si="11"/>
        <v>10.234352977614044</v>
      </c>
      <c r="K120" s="346" t="s">
        <v>337</v>
      </c>
      <c r="L120" s="545"/>
    </row>
    <row r="121" spans="1:12" s="255" customFormat="1" ht="18.75" customHeight="1">
      <c r="A121" s="348" t="str">
        <f t="shared" si="24"/>
        <v>TerminalsBldg_WH</v>
      </c>
      <c r="B121" s="344" t="s">
        <v>155</v>
      </c>
      <c r="C121" s="345">
        <v>63.2</v>
      </c>
      <c r="D121" s="278">
        <f t="shared" si="25"/>
        <v>38523.695489107195</v>
      </c>
      <c r="E121" s="278">
        <f t="shared" si="21"/>
        <v>23114.217293464317</v>
      </c>
      <c r="F121" s="278">
        <f t="shared" si="22"/>
        <v>60000</v>
      </c>
      <c r="G121" s="278">
        <f t="shared" si="23"/>
        <v>34</v>
      </c>
      <c r="H121" s="278">
        <f t="shared" si="10"/>
        <v>716.40470843298306</v>
      </c>
      <c r="I121" s="278" t="s">
        <v>336</v>
      </c>
      <c r="J121" s="281">
        <f t="shared" si="11"/>
        <v>10.234352977614044</v>
      </c>
      <c r="K121" s="346" t="s">
        <v>337</v>
      </c>
      <c r="L121" s="545"/>
    </row>
    <row r="122" spans="1:12" s="255" customFormat="1" ht="18.75" customHeight="1">
      <c r="A122" s="348" t="str">
        <f t="shared" si="24"/>
        <v>TerminalsBldg_WH</v>
      </c>
      <c r="B122" s="344" t="s">
        <v>156</v>
      </c>
      <c r="C122" s="345">
        <v>41.4</v>
      </c>
      <c r="D122" s="278">
        <f t="shared" si="25"/>
        <v>50220.304983014394</v>
      </c>
      <c r="E122" s="278">
        <f t="shared" si="21"/>
        <v>30132.182989808636</v>
      </c>
      <c r="F122" s="278">
        <f t="shared" si="22"/>
        <v>60000</v>
      </c>
      <c r="G122" s="278">
        <f t="shared" si="23"/>
        <v>34</v>
      </c>
      <c r="H122" s="278">
        <f t="shared" ref="H122" si="26">(F122/800)+110*SQRT(G122)</f>
        <v>716.40470843298306</v>
      </c>
      <c r="I122" s="278" t="s">
        <v>336</v>
      </c>
      <c r="J122" s="281">
        <f t="shared" ref="J122" si="27">H122/70</f>
        <v>10.234352977614044</v>
      </c>
      <c r="K122" s="346" t="s">
        <v>337</v>
      </c>
      <c r="L122" s="546"/>
    </row>
    <row r="123" spans="1:12" s="255" customFormat="1" ht="18.75" customHeight="1">
      <c r="A123" s="338"/>
      <c r="B123" s="334"/>
      <c r="C123" s="334"/>
      <c r="D123" s="334"/>
      <c r="E123" s="336"/>
      <c r="F123" s="335"/>
      <c r="G123" s="335"/>
      <c r="H123" s="335"/>
      <c r="I123" s="335"/>
      <c r="J123" s="335"/>
      <c r="K123" s="335"/>
      <c r="L123" s="9"/>
    </row>
    <row r="124" spans="1:12" s="255" customFormat="1" ht="18.75" customHeight="1">
      <c r="B124" s="334"/>
      <c r="C124" s="334"/>
      <c r="D124" s="334"/>
      <c r="E124" s="336"/>
      <c r="F124" s="335"/>
      <c r="G124" s="335"/>
      <c r="H124" s="335"/>
      <c r="I124" s="335"/>
      <c r="J124" s="335"/>
      <c r="K124" s="335"/>
      <c r="L124" s="9"/>
    </row>
    <row r="125" spans="1:12" s="255" customFormat="1" ht="14.4">
      <c r="C125" s="265"/>
      <c r="D125" s="265"/>
      <c r="F125" s="265"/>
      <c r="G125" s="265"/>
    </row>
    <row r="126" spans="1:12" s="255" customFormat="1" ht="24.75" customHeight="1">
      <c r="A126" s="529" t="s">
        <v>347</v>
      </c>
      <c r="B126" s="530"/>
      <c r="C126" s="516"/>
      <c r="D126" s="516"/>
      <c r="E126" s="516"/>
      <c r="F126" s="516"/>
      <c r="G126" s="516"/>
      <c r="H126" s="516"/>
    </row>
    <row r="127" spans="1:12" s="267" customFormat="1" ht="23.25" customHeight="1">
      <c r="A127" s="272" t="s">
        <v>348</v>
      </c>
      <c r="B127" s="356" t="s">
        <v>349</v>
      </c>
      <c r="C127" s="357" t="s">
        <v>350</v>
      </c>
      <c r="D127" s="358" t="s">
        <v>351</v>
      </c>
      <c r="E127" s="359" t="s">
        <v>352</v>
      </c>
      <c r="F127" s="358" t="s">
        <v>353</v>
      </c>
      <c r="G127" s="360" t="s">
        <v>354</v>
      </c>
      <c r="H127" s="361" t="s">
        <v>355</v>
      </c>
      <c r="I127" s="266" t="str">
        <f>HYPERLINK("#'Note'!A1","Sources and links → Note tab")</f>
        <v>Sources and links → Note tab</v>
      </c>
    </row>
    <row r="128" spans="1:12" s="255" customFormat="1" ht="13.8">
      <c r="A128" s="373">
        <v>60000</v>
      </c>
      <c r="B128" s="273" t="s">
        <v>356</v>
      </c>
      <c r="C128" s="363">
        <v>1.5</v>
      </c>
      <c r="D128" s="364">
        <v>5118</v>
      </c>
      <c r="E128" s="365">
        <v>34</v>
      </c>
      <c r="F128" s="365" t="s">
        <v>357</v>
      </c>
      <c r="G128" s="365">
        <v>6</v>
      </c>
      <c r="H128" s="366" t="s">
        <v>356</v>
      </c>
    </row>
    <row r="129" spans="1:8" s="255" customFormat="1" ht="13.8">
      <c r="A129" s="374">
        <v>75100</v>
      </c>
      <c r="B129" s="274" t="s">
        <v>356</v>
      </c>
      <c r="C129" s="367">
        <v>2</v>
      </c>
      <c r="D129" s="277">
        <v>6824</v>
      </c>
      <c r="E129" s="362">
        <v>35</v>
      </c>
      <c r="F129" s="362" t="s">
        <v>356</v>
      </c>
      <c r="G129" s="362">
        <v>10</v>
      </c>
      <c r="H129" s="368" t="s">
        <v>356</v>
      </c>
    </row>
    <row r="130" spans="1:8" s="255" customFormat="1" ht="13.8">
      <c r="A130" s="374">
        <v>76000</v>
      </c>
      <c r="B130" s="372" t="s">
        <v>358</v>
      </c>
      <c r="C130" s="367">
        <v>3</v>
      </c>
      <c r="D130" s="277">
        <v>10236</v>
      </c>
      <c r="E130" s="362">
        <v>48</v>
      </c>
      <c r="F130" s="362" t="s">
        <v>356</v>
      </c>
      <c r="G130" s="362">
        <v>15</v>
      </c>
      <c r="H130" s="368" t="s">
        <v>356</v>
      </c>
    </row>
    <row r="131" spans="1:8" s="255" customFormat="1" ht="13.8">
      <c r="A131" s="374">
        <v>80000</v>
      </c>
      <c r="B131" s="274" t="s">
        <v>356</v>
      </c>
      <c r="C131" s="367">
        <v>4.5</v>
      </c>
      <c r="D131" s="277">
        <v>15355</v>
      </c>
      <c r="E131" s="362">
        <v>50</v>
      </c>
      <c r="F131" s="362" t="s">
        <v>358</v>
      </c>
      <c r="G131" s="362">
        <v>20</v>
      </c>
      <c r="H131" s="368" t="s">
        <v>356</v>
      </c>
    </row>
    <row r="132" spans="1:8" s="255" customFormat="1" ht="13.8">
      <c r="A132" s="374">
        <v>99900</v>
      </c>
      <c r="B132" s="274" t="s">
        <v>357</v>
      </c>
      <c r="C132" s="367">
        <v>6</v>
      </c>
      <c r="D132" s="277">
        <v>20473</v>
      </c>
      <c r="E132" s="362">
        <v>55</v>
      </c>
      <c r="F132" s="362" t="s">
        <v>357</v>
      </c>
      <c r="G132" s="362">
        <v>28</v>
      </c>
      <c r="H132" s="368" t="s">
        <v>356</v>
      </c>
    </row>
    <row r="133" spans="1:8" s="255" customFormat="1" ht="13.8">
      <c r="A133" s="374">
        <v>100000</v>
      </c>
      <c r="B133" s="274" t="s">
        <v>358</v>
      </c>
      <c r="C133" s="367">
        <v>8</v>
      </c>
      <c r="D133" s="277">
        <v>27297</v>
      </c>
      <c r="E133" s="362">
        <v>60</v>
      </c>
      <c r="F133" s="362" t="s">
        <v>357</v>
      </c>
      <c r="G133" s="362">
        <v>30</v>
      </c>
      <c r="H133" s="368" t="s">
        <v>356</v>
      </c>
    </row>
    <row r="134" spans="1:8" s="255" customFormat="1" ht="13.8">
      <c r="A134" s="374">
        <v>120000</v>
      </c>
      <c r="B134" s="274" t="s">
        <v>357</v>
      </c>
      <c r="C134" s="367">
        <v>9</v>
      </c>
      <c r="D134" s="277">
        <v>30709</v>
      </c>
      <c r="E134" s="362">
        <v>65</v>
      </c>
      <c r="F134" s="362" t="s">
        <v>358</v>
      </c>
      <c r="G134" s="362">
        <v>36</v>
      </c>
      <c r="H134" s="368" t="s">
        <v>356</v>
      </c>
    </row>
    <row r="135" spans="1:8" s="255" customFormat="1" ht="13.8">
      <c r="A135" s="374">
        <v>125000</v>
      </c>
      <c r="B135" s="274" t="s">
        <v>358</v>
      </c>
      <c r="C135" s="367">
        <v>10</v>
      </c>
      <c r="D135" s="277">
        <v>34121</v>
      </c>
      <c r="E135" s="362">
        <v>72</v>
      </c>
      <c r="F135" s="362" t="s">
        <v>356</v>
      </c>
      <c r="G135" s="362">
        <v>40</v>
      </c>
      <c r="H135" s="368" t="s">
        <v>356</v>
      </c>
    </row>
    <row r="136" spans="1:8" s="255" customFormat="1" ht="13.8">
      <c r="A136" s="374">
        <v>130000</v>
      </c>
      <c r="B136" s="274" t="s">
        <v>358</v>
      </c>
      <c r="C136" s="367">
        <v>12</v>
      </c>
      <c r="D136" s="277">
        <v>40946</v>
      </c>
      <c r="E136" s="362">
        <v>75</v>
      </c>
      <c r="F136" s="362" t="s">
        <v>358</v>
      </c>
      <c r="G136" s="362">
        <v>47</v>
      </c>
      <c r="H136" s="368"/>
    </row>
    <row r="137" spans="1:8" s="255" customFormat="1" ht="13.8">
      <c r="A137" s="374">
        <v>145000</v>
      </c>
      <c r="B137" s="274" t="s">
        <v>357</v>
      </c>
      <c r="C137" s="367">
        <v>12.1</v>
      </c>
      <c r="D137" s="277">
        <v>41287</v>
      </c>
      <c r="E137" s="362">
        <v>76</v>
      </c>
      <c r="F137" s="362" t="s">
        <v>356</v>
      </c>
      <c r="G137" s="362">
        <v>50</v>
      </c>
      <c r="H137" s="368"/>
    </row>
    <row r="138" spans="1:8" s="255" customFormat="1" ht="13.8">
      <c r="A138" s="374">
        <v>150000</v>
      </c>
      <c r="B138" s="274" t="s">
        <v>357</v>
      </c>
      <c r="C138" s="367">
        <v>18</v>
      </c>
      <c r="D138" s="277">
        <v>61419</v>
      </c>
      <c r="E138" s="362">
        <v>80</v>
      </c>
      <c r="F138" s="362" t="s">
        <v>358</v>
      </c>
      <c r="G138" s="362">
        <v>65</v>
      </c>
      <c r="H138" s="368"/>
    </row>
    <row r="139" spans="1:8" s="255" customFormat="1" ht="13.2">
      <c r="A139" s="374">
        <v>156000</v>
      </c>
      <c r="B139" s="275" t="s">
        <v>356</v>
      </c>
      <c r="C139" s="367">
        <v>24</v>
      </c>
      <c r="D139" s="362">
        <v>81891</v>
      </c>
      <c r="E139" s="362">
        <v>82</v>
      </c>
      <c r="F139" s="362" t="s">
        <v>356</v>
      </c>
      <c r="G139" s="362">
        <v>80</v>
      </c>
      <c r="H139" s="368"/>
    </row>
    <row r="140" spans="1:8" s="255" customFormat="1" ht="13.2">
      <c r="A140" s="374">
        <v>160000</v>
      </c>
      <c r="B140" s="275" t="s">
        <v>358</v>
      </c>
      <c r="C140" s="367">
        <v>27</v>
      </c>
      <c r="D140" s="362">
        <v>92128</v>
      </c>
      <c r="E140" s="362">
        <v>85</v>
      </c>
      <c r="F140" s="362" t="s">
        <v>356</v>
      </c>
      <c r="G140" s="362">
        <v>85</v>
      </c>
      <c r="H140" s="368"/>
    </row>
    <row r="141" spans="1:8" s="255" customFormat="1" ht="13.2">
      <c r="A141" s="374">
        <v>175000</v>
      </c>
      <c r="B141" s="275" t="s">
        <v>357</v>
      </c>
      <c r="C141" s="367">
        <v>36</v>
      </c>
      <c r="D141" s="362">
        <v>122837</v>
      </c>
      <c r="E141" s="362">
        <v>90</v>
      </c>
      <c r="F141" s="362" t="s">
        <v>358</v>
      </c>
      <c r="G141" s="362">
        <v>105</v>
      </c>
      <c r="H141" s="368"/>
    </row>
    <row r="142" spans="1:8" s="255" customFormat="1" ht="13.2">
      <c r="A142" s="374">
        <v>180000</v>
      </c>
      <c r="B142" s="275" t="s">
        <v>356</v>
      </c>
      <c r="C142" s="367">
        <v>54</v>
      </c>
      <c r="D142" s="362">
        <v>184256</v>
      </c>
      <c r="E142" s="362">
        <v>91</v>
      </c>
      <c r="F142" s="362" t="s">
        <v>356</v>
      </c>
      <c r="G142" s="362">
        <v>120</v>
      </c>
      <c r="H142" s="368"/>
    </row>
    <row r="143" spans="1:8" s="255" customFormat="1" ht="13.2">
      <c r="A143" s="374">
        <v>199000</v>
      </c>
      <c r="B143" s="275" t="s">
        <v>357</v>
      </c>
      <c r="C143" s="367"/>
      <c r="D143" s="362"/>
      <c r="E143" s="362">
        <v>100</v>
      </c>
      <c r="F143" s="362" t="s">
        <v>358</v>
      </c>
      <c r="G143" s="362"/>
      <c r="H143" s="368"/>
    </row>
    <row r="144" spans="1:8" s="255" customFormat="1" ht="13.2">
      <c r="A144" s="374">
        <v>199900</v>
      </c>
      <c r="B144" s="275" t="s">
        <v>358</v>
      </c>
      <c r="C144" s="367"/>
      <c r="D144" s="362"/>
      <c r="E144" s="362">
        <v>110</v>
      </c>
      <c r="F144" s="362" t="s">
        <v>357</v>
      </c>
      <c r="G144" s="362"/>
      <c r="H144" s="368"/>
    </row>
    <row r="145" spans="1:8" s="255" customFormat="1" ht="13.2">
      <c r="A145" s="374">
        <v>200000</v>
      </c>
      <c r="B145" s="275" t="s">
        <v>357</v>
      </c>
      <c r="C145" s="367"/>
      <c r="D145" s="362"/>
      <c r="E145" s="362">
        <v>119</v>
      </c>
      <c r="F145" s="362" t="s">
        <v>358</v>
      </c>
      <c r="G145" s="362"/>
      <c r="H145" s="368"/>
    </row>
    <row r="146" spans="1:8" s="255" customFormat="1" ht="13.2">
      <c r="A146" s="374">
        <v>250000</v>
      </c>
      <c r="B146" s="275" t="s">
        <v>358</v>
      </c>
      <c r="C146" s="369"/>
      <c r="D146" s="370"/>
      <c r="E146" s="370">
        <v>125</v>
      </c>
      <c r="F146" s="370" t="s">
        <v>357</v>
      </c>
      <c r="G146" s="370"/>
      <c r="H146" s="371"/>
    </row>
    <row r="147" spans="1:8" s="255" customFormat="1" ht="14.4">
      <c r="A147" s="374">
        <v>251000</v>
      </c>
      <c r="B147" s="276" t="s">
        <v>357</v>
      </c>
      <c r="C147" s="269"/>
      <c r="D147" s="269"/>
      <c r="E147" s="270"/>
      <c r="F147" s="269"/>
      <c r="G147" s="269"/>
    </row>
    <row r="148" spans="1:8" s="255" customFormat="1" ht="14.4">
      <c r="A148" s="374">
        <v>270000</v>
      </c>
      <c r="B148" s="276" t="s">
        <v>356</v>
      </c>
      <c r="C148" s="269"/>
      <c r="D148" s="269"/>
      <c r="E148" s="270"/>
      <c r="F148" s="269"/>
      <c r="G148" s="269"/>
    </row>
    <row r="149" spans="1:8" s="255" customFormat="1" ht="14.4">
      <c r="A149" s="374">
        <v>285000</v>
      </c>
      <c r="B149" s="276" t="s">
        <v>357</v>
      </c>
      <c r="C149" s="269"/>
      <c r="D149" s="269"/>
      <c r="E149" s="270"/>
      <c r="F149" s="269"/>
      <c r="G149" s="269"/>
    </row>
    <row r="150" spans="1:8" s="255" customFormat="1" ht="14.4">
      <c r="A150" s="374">
        <v>300000</v>
      </c>
      <c r="B150" s="276" t="s">
        <v>358</v>
      </c>
      <c r="C150" s="269"/>
      <c r="D150" s="269"/>
      <c r="E150" s="270"/>
      <c r="F150" s="269"/>
      <c r="G150" s="269"/>
    </row>
    <row r="151" spans="1:8" s="255" customFormat="1" ht="14.4">
      <c r="A151" s="374">
        <v>320000</v>
      </c>
      <c r="B151" s="276" t="s">
        <v>357</v>
      </c>
      <c r="C151" s="269"/>
      <c r="D151" s="269"/>
      <c r="E151" s="270"/>
      <c r="F151" s="269"/>
      <c r="G151" s="269"/>
    </row>
    <row r="152" spans="1:8" s="255" customFormat="1" ht="14.4">
      <c r="A152" s="374">
        <v>360000</v>
      </c>
      <c r="B152" s="276" t="s">
        <v>356</v>
      </c>
      <c r="C152" s="269"/>
      <c r="D152" s="269"/>
      <c r="E152" s="270"/>
      <c r="F152" s="269"/>
      <c r="G152" s="269"/>
    </row>
    <row r="153" spans="1:8" s="255" customFormat="1" ht="14.4">
      <c r="A153" s="374">
        <v>398000</v>
      </c>
      <c r="B153" s="276" t="s">
        <v>357</v>
      </c>
      <c r="C153" s="269"/>
      <c r="D153" s="269"/>
      <c r="E153" s="270"/>
      <c r="F153" s="269"/>
      <c r="G153" s="269"/>
    </row>
    <row r="154" spans="1:8" s="255" customFormat="1" ht="14.4">
      <c r="A154" s="374">
        <v>399000</v>
      </c>
      <c r="B154" s="276" t="s">
        <v>357</v>
      </c>
      <c r="C154" s="269"/>
      <c r="D154" s="269"/>
      <c r="E154" s="270"/>
      <c r="F154" s="269"/>
      <c r="G154" s="269"/>
    </row>
    <row r="155" spans="1:8" s="255" customFormat="1" ht="14.4">
      <c r="A155" s="374">
        <v>399900</v>
      </c>
      <c r="B155" s="276" t="s">
        <v>358</v>
      </c>
      <c r="C155" s="269"/>
      <c r="D155" s="269"/>
      <c r="E155" s="270"/>
      <c r="F155" s="269"/>
      <c r="G155" s="269"/>
    </row>
    <row r="156" spans="1:8" s="255" customFormat="1" ht="14.4">
      <c r="A156" s="374">
        <v>499900</v>
      </c>
      <c r="B156" s="276" t="s">
        <v>356</v>
      </c>
      <c r="C156" s="269"/>
      <c r="D156" s="269"/>
      <c r="E156" s="270"/>
      <c r="F156" s="269"/>
      <c r="G156" s="269"/>
    </row>
    <row r="157" spans="1:8" s="255" customFormat="1" ht="14.4">
      <c r="A157" s="374">
        <v>550000</v>
      </c>
      <c r="B157" s="276" t="s">
        <v>356</v>
      </c>
      <c r="C157" s="269"/>
      <c r="D157" s="269"/>
      <c r="E157" s="270"/>
      <c r="F157" s="269"/>
      <c r="G157" s="269"/>
    </row>
    <row r="158" spans="1:8" s="255" customFormat="1" ht="14.4">
      <c r="A158" s="374">
        <v>715000</v>
      </c>
      <c r="B158" s="276" t="s">
        <v>356</v>
      </c>
      <c r="C158" s="269"/>
      <c r="D158" s="269"/>
      <c r="E158" s="270"/>
      <c r="F158" s="269"/>
      <c r="G158" s="269"/>
    </row>
    <row r="159" spans="1:8" s="255" customFormat="1" ht="14.4">
      <c r="A159" s="375"/>
      <c r="B159" s="268"/>
      <c r="C159" s="269"/>
      <c r="D159" s="269"/>
      <c r="E159" s="270"/>
      <c r="F159" s="269"/>
      <c r="G159" s="269"/>
    </row>
    <row r="160" spans="1:8" s="255" customFormat="1" ht="14.4">
      <c r="A160" s="375"/>
      <c r="B160" s="268"/>
      <c r="C160" s="269"/>
      <c r="D160" s="269"/>
      <c r="E160" s="270"/>
      <c r="F160" s="269"/>
      <c r="G160" s="269"/>
    </row>
    <row r="161" spans="1:7" s="255" customFormat="1" ht="14.4">
      <c r="A161" s="375"/>
      <c r="B161" s="268"/>
      <c r="C161" s="269"/>
      <c r="D161" s="269"/>
      <c r="E161" s="270"/>
      <c r="F161" s="269"/>
      <c r="G161" s="269"/>
    </row>
    <row r="162" spans="1:7" s="255" customFormat="1" ht="14.4">
      <c r="A162" s="375"/>
      <c r="B162" s="268"/>
      <c r="C162" s="269"/>
      <c r="D162" s="269"/>
      <c r="E162" s="270"/>
      <c r="F162" s="269"/>
      <c r="G162" s="269"/>
    </row>
    <row r="163" spans="1:7" s="255" customFormat="1" ht="14.4">
      <c r="A163" s="375"/>
      <c r="B163" s="268"/>
      <c r="C163" s="269"/>
      <c r="D163" s="269"/>
      <c r="E163" s="270"/>
      <c r="F163" s="269"/>
      <c r="G163" s="269"/>
    </row>
    <row r="164" spans="1:7" s="255" customFormat="1" ht="14.4">
      <c r="A164" s="375"/>
      <c r="B164" s="268"/>
      <c r="C164" s="269"/>
      <c r="D164" s="269"/>
      <c r="E164" s="270"/>
      <c r="F164" s="269"/>
      <c r="G164" s="269"/>
    </row>
    <row r="165" spans="1:7" s="255" customFormat="1" ht="14.4">
      <c r="A165" s="375"/>
      <c r="B165" s="268"/>
      <c r="C165" s="269"/>
      <c r="D165" s="269"/>
      <c r="E165" s="270"/>
      <c r="F165" s="269"/>
      <c r="G165" s="269"/>
    </row>
    <row r="166" spans="1:7" s="255" customFormat="1" ht="14.4">
      <c r="A166" s="375"/>
      <c r="B166" s="268"/>
      <c r="C166" s="269"/>
      <c r="D166" s="269"/>
      <c r="E166" s="270"/>
      <c r="F166" s="269"/>
      <c r="G166" s="269"/>
    </row>
    <row r="167" spans="1:7" s="255" customFormat="1" ht="14.4">
      <c r="A167" s="375"/>
      <c r="B167" s="268"/>
      <c r="C167" s="269"/>
      <c r="D167" s="269"/>
      <c r="E167" s="270"/>
      <c r="F167" s="269"/>
      <c r="G167" s="269"/>
    </row>
    <row r="168" spans="1:7" s="255" customFormat="1" ht="14.4">
      <c r="A168" s="376"/>
      <c r="B168" s="271"/>
      <c r="C168" s="269"/>
      <c r="D168" s="269"/>
      <c r="E168" s="270"/>
      <c r="F168" s="269"/>
      <c r="G168" s="269"/>
    </row>
    <row r="169" spans="1:7" customFormat="1" ht="14.4"/>
    <row r="170" spans="1:7" customFormat="1" ht="14.4"/>
    <row r="171" spans="1:7" customFormat="1" ht="14.4" hidden="1"/>
    <row r="172" spans="1:7" customFormat="1" ht="21" hidden="1" customHeight="1"/>
    <row r="173" spans="1:7" customFormat="1" ht="14.4" hidden="1"/>
    <row r="174" spans="1:7" customFormat="1" ht="14.4" hidden="1"/>
    <row r="175" spans="1:7" customFormat="1" ht="14.4" hidden="1"/>
    <row r="176" spans="1:7" customFormat="1" ht="14.4" hidden="1"/>
    <row r="177" customFormat="1" ht="14.4" hidden="1"/>
    <row r="178" customFormat="1" ht="14.4" hidden="1"/>
    <row r="179" customFormat="1" ht="14.4" hidden="1"/>
    <row r="180" customFormat="1" ht="14.4" hidden="1"/>
    <row r="181" customFormat="1" ht="14.4" hidden="1"/>
    <row r="182" customFormat="1" ht="14.4" hidden="1"/>
    <row r="183" customFormat="1" ht="14.4" hidden="1"/>
    <row r="184" customFormat="1" ht="14.4" hidden="1"/>
    <row r="185" customFormat="1" ht="14.4" hidden="1"/>
    <row r="186" customFormat="1" ht="14.4" hidden="1"/>
    <row r="187" customFormat="1" ht="14.4" hidden="1"/>
    <row r="188" customFormat="1" ht="14.4" hidden="1"/>
    <row r="189" customFormat="1" ht="14.4" hidden="1"/>
    <row r="190" customFormat="1" ht="14.4" hidden="1"/>
    <row r="191" customFormat="1" ht="14.4" hidden="1"/>
    <row r="192" customFormat="1" ht="14.4" hidden="1"/>
    <row r="193" customFormat="1" ht="14.4" hidden="1"/>
    <row r="194" customFormat="1" ht="14.4" hidden="1"/>
    <row r="195" customFormat="1" ht="14.4" hidden="1"/>
    <row r="196" customFormat="1" ht="14.4" hidden="1"/>
    <row r="197" customFormat="1" ht="14.4" hidden="1"/>
    <row r="198" customFormat="1" ht="14.4" hidden="1"/>
    <row r="199" customFormat="1" ht="14.4" hidden="1"/>
    <row r="200" customFormat="1" ht="14.4" hidden="1"/>
    <row r="201" customFormat="1" ht="14.4" hidden="1"/>
    <row r="202" customFormat="1" ht="14.4" hidden="1"/>
    <row r="203" customFormat="1" ht="14.4" hidden="1"/>
    <row r="204" customFormat="1" ht="14.4" hidden="1"/>
    <row r="205" customFormat="1" ht="14.4" hidden="1"/>
    <row r="206" customFormat="1" ht="14.4" hidden="1"/>
    <row r="207" customFormat="1" ht="14.4" hidden="1"/>
    <row r="208" customFormat="1" ht="14.4" hidden="1"/>
    <row r="209" spans="1:1" customFormat="1" ht="14.4" hidden="1"/>
    <row r="210" spans="1:1" customFormat="1" ht="14.4" hidden="1"/>
    <row r="211" spans="1:1" customFormat="1" ht="14.4" hidden="1"/>
    <row r="212" spans="1:1" customFormat="1" ht="14.4" hidden="1"/>
    <row r="213" spans="1:1" customFormat="1" ht="14.4" hidden="1"/>
    <row r="214" spans="1:1" customFormat="1" ht="14.4" hidden="1"/>
    <row r="215" spans="1:1" customFormat="1" ht="14.4" hidden="1"/>
    <row r="216" spans="1:1" customFormat="1" ht="14.4" hidden="1"/>
    <row r="217" spans="1:1" customFormat="1" ht="14.4" hidden="1"/>
    <row r="218" spans="1:1" customFormat="1" ht="14.4" hidden="1"/>
    <row r="219" spans="1:1" customFormat="1" ht="14.4" hidden="1"/>
    <row r="220" spans="1:1" customFormat="1" ht="14.4" hidden="1"/>
    <row r="221" spans="1:1" customFormat="1" ht="14.4"/>
    <row r="222" spans="1:1" customFormat="1" ht="14.4"/>
    <row r="223" spans="1:1" ht="14.4">
      <c r="A223" s="75"/>
    </row>
    <row r="224" spans="1:1" ht="14.4">
      <c r="A224" s="74"/>
    </row>
    <row r="225" spans="1:1" ht="14.4">
      <c r="A225" s="74"/>
    </row>
  </sheetData>
  <mergeCells count="13">
    <mergeCell ref="A1:G1"/>
    <mergeCell ref="H42:I42"/>
    <mergeCell ref="J42:K42"/>
    <mergeCell ref="A126:H126"/>
    <mergeCell ref="A6:H6"/>
    <mergeCell ref="H8:H24"/>
    <mergeCell ref="B25:E25"/>
    <mergeCell ref="H25:H26"/>
    <mergeCell ref="B26:E26"/>
    <mergeCell ref="A28:D28"/>
    <mergeCell ref="D30:D34"/>
    <mergeCell ref="A41:L41"/>
    <mergeCell ref="L43:L122"/>
  </mergeCells>
  <phoneticPr fontId="5" type="noConversion"/>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AAB3-37D4-40C4-AD32-87DEB55DC747}">
  <sheetPr codeName="Sheet17"/>
  <dimension ref="A1:N28"/>
  <sheetViews>
    <sheetView zoomScale="70" zoomScaleNormal="70" workbookViewId="0">
      <selection sqref="A1:G1"/>
    </sheetView>
  </sheetViews>
  <sheetFormatPr defaultColWidth="8.6640625" defaultRowHeight="13.2"/>
  <cols>
    <col min="1" max="1" width="51.5546875" style="6" bestFit="1" customWidth="1"/>
    <col min="2" max="2" width="21.44140625" style="6" bestFit="1" customWidth="1"/>
    <col min="3" max="3" width="26.5546875" style="6" customWidth="1"/>
    <col min="4" max="4" width="30.109375" style="6" customWidth="1"/>
    <col min="5" max="5" width="18.33203125" style="6" customWidth="1"/>
    <col min="6" max="6" width="28.44140625" style="6" customWidth="1"/>
    <col min="7" max="7" width="30" style="6" customWidth="1"/>
    <col min="8" max="8" width="36.33203125" style="6" customWidth="1"/>
    <col min="9" max="9" width="24" style="6" customWidth="1"/>
    <col min="10" max="10" width="10.5546875" style="6" customWidth="1"/>
    <col min="11" max="11" width="11.44140625" style="6" customWidth="1"/>
    <col min="12" max="12" width="10.5546875" style="6" customWidth="1"/>
    <col min="13" max="13" width="13.33203125" style="6" customWidth="1"/>
    <col min="14" max="14" width="9.6640625" style="6" customWidth="1"/>
    <col min="15" max="15" width="9.44140625" style="6" customWidth="1"/>
    <col min="16" max="16" width="12.6640625" style="6" customWidth="1"/>
    <col min="17" max="17" width="14.6640625" style="6" customWidth="1"/>
    <col min="18" max="18" width="20.6640625" style="6" customWidth="1"/>
    <col min="19" max="19" width="19.6640625" style="6" customWidth="1"/>
    <col min="20" max="25" width="8.6640625" style="6"/>
    <col min="26" max="26" width="13.6640625" style="6" bestFit="1" customWidth="1"/>
    <col min="27" max="16384" width="8.6640625" style="6"/>
  </cols>
  <sheetData>
    <row r="1" spans="1:14" ht="25.95" customHeight="1">
      <c r="A1" s="445" t="str">
        <f>"Interior Lighting - "&amp;Prototype!B4</f>
        <v>Interior Lighting - Assembly</v>
      </c>
      <c r="B1" s="445"/>
      <c r="C1" s="445"/>
      <c r="D1" s="445"/>
      <c r="E1" s="446"/>
      <c r="F1" s="446"/>
      <c r="G1" s="446"/>
      <c r="H1" s="424"/>
    </row>
    <row r="2" spans="1:14" ht="25.95" customHeight="1">
      <c r="A2" s="447" t="s">
        <v>359</v>
      </c>
      <c r="B2" s="448" t="s">
        <v>360</v>
      </c>
      <c r="C2" s="448"/>
      <c r="D2" s="449"/>
      <c r="E2" s="450" t="s">
        <v>171</v>
      </c>
      <c r="F2" s="451"/>
      <c r="G2" s="452"/>
      <c r="H2" s="443" t="s">
        <v>35</v>
      </c>
    </row>
    <row r="3" spans="1:14" ht="43.2" customHeight="1">
      <c r="A3" s="447"/>
      <c r="B3" s="414" t="s">
        <v>361</v>
      </c>
      <c r="C3" s="414" t="s">
        <v>362</v>
      </c>
      <c r="D3" s="427" t="s">
        <v>213</v>
      </c>
      <c r="E3" s="380" t="s">
        <v>363</v>
      </c>
      <c r="F3" s="380" t="s">
        <v>364</v>
      </c>
      <c r="G3" s="381" t="s">
        <v>213</v>
      </c>
      <c r="H3" s="444"/>
      <c r="I3"/>
      <c r="J3"/>
      <c r="K3"/>
      <c r="L3"/>
      <c r="M3"/>
      <c r="N3"/>
    </row>
    <row r="4" spans="1:14" ht="27" customHeight="1">
      <c r="A4" s="168" t="s">
        <v>85</v>
      </c>
      <c r="B4" s="86">
        <v>0.75</v>
      </c>
      <c r="C4" s="423">
        <f>0.25*0.5</f>
        <v>0.125</v>
      </c>
      <c r="D4" s="437" t="s">
        <v>365</v>
      </c>
      <c r="E4" s="86">
        <v>1.2</v>
      </c>
      <c r="F4" s="423">
        <f>0.5*0.5</f>
        <v>0.25</v>
      </c>
      <c r="G4" s="440" t="s">
        <v>366</v>
      </c>
      <c r="H4" s="379"/>
      <c r="I4"/>
      <c r="J4"/>
      <c r="K4"/>
      <c r="L4"/>
      <c r="M4"/>
      <c r="N4"/>
    </row>
    <row r="5" spans="1:14" ht="24" customHeight="1">
      <c r="A5" s="168" t="s">
        <v>89</v>
      </c>
      <c r="B5" s="86">
        <v>0.5</v>
      </c>
      <c r="C5" s="67"/>
      <c r="D5" s="438"/>
      <c r="E5" s="86">
        <v>0.9</v>
      </c>
      <c r="F5" s="67"/>
      <c r="G5" s="441"/>
      <c r="H5" s="296"/>
      <c r="I5"/>
      <c r="J5"/>
      <c r="K5"/>
      <c r="L5"/>
      <c r="M5"/>
      <c r="N5"/>
    </row>
    <row r="6" spans="1:14" ht="22.95" customHeight="1">
      <c r="A6" s="168" t="s">
        <v>91</v>
      </c>
      <c r="B6" s="86">
        <v>0.5</v>
      </c>
      <c r="C6" s="135"/>
      <c r="D6" s="438"/>
      <c r="E6" s="86">
        <v>1.4</v>
      </c>
      <c r="F6" s="136"/>
      <c r="G6" s="441"/>
      <c r="H6" s="296"/>
      <c r="I6"/>
      <c r="J6"/>
      <c r="K6"/>
      <c r="L6"/>
      <c r="M6"/>
      <c r="N6"/>
    </row>
    <row r="7" spans="1:14" ht="21" customHeight="1">
      <c r="A7" s="168" t="s">
        <v>93</v>
      </c>
      <c r="B7" s="86">
        <v>0.6</v>
      </c>
      <c r="C7" s="135"/>
      <c r="D7" s="438"/>
      <c r="E7" s="86">
        <v>1.8</v>
      </c>
      <c r="F7" s="136"/>
      <c r="G7" s="441"/>
      <c r="H7" s="296"/>
      <c r="I7"/>
      <c r="J7"/>
      <c r="K7"/>
      <c r="L7"/>
      <c r="M7"/>
      <c r="N7"/>
    </row>
    <row r="8" spans="1:14" ht="27" customHeight="1">
      <c r="A8" s="168" t="s">
        <v>98</v>
      </c>
      <c r="B8" s="86">
        <v>0.8</v>
      </c>
      <c r="C8" s="67"/>
      <c r="D8" s="438"/>
      <c r="E8" s="86">
        <v>1.1000000000000001</v>
      </c>
      <c r="F8" s="85"/>
      <c r="G8" s="441"/>
      <c r="H8" s="296"/>
      <c r="I8"/>
      <c r="J8"/>
      <c r="K8"/>
      <c r="L8"/>
      <c r="M8"/>
      <c r="N8"/>
    </row>
    <row r="9" spans="1:14" ht="27" customHeight="1">
      <c r="A9" s="168" t="s">
        <v>100</v>
      </c>
      <c r="B9" s="86">
        <v>1</v>
      </c>
      <c r="C9" s="305"/>
      <c r="D9" s="438"/>
      <c r="E9" s="86">
        <v>1.5</v>
      </c>
      <c r="F9" s="118"/>
      <c r="G9" s="441"/>
      <c r="H9" s="296"/>
      <c r="I9"/>
      <c r="J9"/>
      <c r="K9"/>
      <c r="L9"/>
      <c r="M9"/>
      <c r="N9"/>
    </row>
    <row r="10" spans="1:14" s="7" customFormat="1" ht="27" customHeight="1">
      <c r="A10" s="168" t="s">
        <v>102</v>
      </c>
      <c r="B10" s="86">
        <v>0.7</v>
      </c>
      <c r="C10" s="421">
        <f>0.25*0.5</f>
        <v>0.125</v>
      </c>
      <c r="D10" s="438"/>
      <c r="E10" s="86">
        <v>0.95</v>
      </c>
      <c r="F10" s="421">
        <f>0.5*0.5</f>
        <v>0.25</v>
      </c>
      <c r="G10" s="441"/>
      <c r="H10" s="410" t="s">
        <v>367</v>
      </c>
      <c r="I10"/>
      <c r="J10"/>
      <c r="K10"/>
      <c r="L10"/>
      <c r="M10"/>
      <c r="N10"/>
    </row>
    <row r="11" spans="1:14" ht="27" customHeight="1">
      <c r="A11" s="168" t="s">
        <v>107</v>
      </c>
      <c r="B11" s="86">
        <v>0.6</v>
      </c>
      <c r="C11" s="378">
        <v>0.1</v>
      </c>
      <c r="D11" s="438"/>
      <c r="E11" s="86">
        <v>0.75</v>
      </c>
      <c r="F11" s="159"/>
      <c r="G11" s="441"/>
      <c r="H11" s="410" t="s">
        <v>367</v>
      </c>
      <c r="I11"/>
      <c r="J11"/>
      <c r="K11"/>
      <c r="L11"/>
      <c r="M11"/>
      <c r="N11"/>
    </row>
    <row r="12" spans="1:14" ht="27" customHeight="1">
      <c r="A12" s="168" t="s">
        <v>110</v>
      </c>
      <c r="B12" s="86">
        <v>0.95</v>
      </c>
      <c r="C12" s="85"/>
      <c r="D12" s="438"/>
      <c r="E12" s="86">
        <v>1.5</v>
      </c>
      <c r="F12" s="85"/>
      <c r="G12" s="441"/>
      <c r="H12" s="296"/>
      <c r="I12"/>
      <c r="J12"/>
      <c r="K12"/>
      <c r="L12"/>
      <c r="M12"/>
      <c r="N12"/>
    </row>
    <row r="13" spans="1:14" ht="27" customHeight="1">
      <c r="A13" s="168" t="s">
        <v>113</v>
      </c>
      <c r="B13" s="86">
        <v>0.5</v>
      </c>
      <c r="C13" s="85"/>
      <c r="D13" s="438"/>
      <c r="E13" s="86">
        <v>1</v>
      </c>
      <c r="F13" s="85"/>
      <c r="G13" s="441"/>
      <c r="H13" s="296"/>
      <c r="I13"/>
      <c r="J13"/>
      <c r="K13"/>
      <c r="L13"/>
      <c r="M13"/>
      <c r="N13"/>
    </row>
    <row r="14" spans="1:14" ht="27" customHeight="1">
      <c r="A14" s="168" t="s">
        <v>116</v>
      </c>
      <c r="B14" s="86">
        <v>0.45</v>
      </c>
      <c r="C14" s="85"/>
      <c r="D14" s="438"/>
      <c r="E14" s="86">
        <v>0.7</v>
      </c>
      <c r="F14" s="85"/>
      <c r="G14" s="441"/>
      <c r="H14" s="296"/>
      <c r="I14"/>
      <c r="J14"/>
      <c r="K14"/>
      <c r="L14"/>
      <c r="M14"/>
      <c r="N14"/>
    </row>
    <row r="15" spans="1:14" ht="27" customHeight="1">
      <c r="A15" s="168" t="s">
        <v>118</v>
      </c>
      <c r="B15" s="86">
        <v>0.65</v>
      </c>
      <c r="C15" s="85"/>
      <c r="D15" s="438"/>
      <c r="E15" s="86">
        <v>0.6</v>
      </c>
      <c r="F15" s="85"/>
      <c r="G15" s="441"/>
      <c r="H15" s="296"/>
      <c r="I15"/>
      <c r="J15"/>
      <c r="K15"/>
      <c r="L15"/>
      <c r="M15"/>
      <c r="N15"/>
    </row>
    <row r="16" spans="1:14" ht="27" customHeight="1">
      <c r="A16" s="168" t="s">
        <v>122</v>
      </c>
      <c r="B16" s="86">
        <v>0.6</v>
      </c>
      <c r="C16" s="85"/>
      <c r="D16" s="438"/>
      <c r="E16" s="86">
        <v>0.95</v>
      </c>
      <c r="F16" s="85"/>
      <c r="G16" s="441"/>
      <c r="H16" s="296"/>
      <c r="I16"/>
      <c r="J16"/>
      <c r="K16"/>
      <c r="L16"/>
      <c r="M16"/>
      <c r="N16"/>
    </row>
    <row r="17" spans="1:14" ht="27" customHeight="1">
      <c r="A17" s="168" t="s">
        <v>126</v>
      </c>
      <c r="B17" s="86">
        <v>0.4</v>
      </c>
      <c r="C17" s="85"/>
      <c r="D17" s="438"/>
      <c r="E17" s="86">
        <v>0.5</v>
      </c>
      <c r="F17" s="85"/>
      <c r="G17" s="441"/>
      <c r="H17" s="296"/>
      <c r="I17"/>
      <c r="J17"/>
      <c r="K17"/>
      <c r="L17"/>
      <c r="M17"/>
      <c r="N17"/>
    </row>
    <row r="18" spans="1:14" ht="27" customHeight="1">
      <c r="A18" s="168" t="s">
        <v>128</v>
      </c>
      <c r="B18" s="86">
        <v>0.45</v>
      </c>
      <c r="C18" s="85"/>
      <c r="D18" s="439"/>
      <c r="E18" s="86">
        <v>1</v>
      </c>
      <c r="F18" s="85"/>
      <c r="G18" s="442"/>
      <c r="H18" s="296"/>
      <c r="I18"/>
      <c r="J18"/>
      <c r="K18"/>
      <c r="L18"/>
      <c r="M18"/>
      <c r="N18"/>
    </row>
    <row r="19" spans="1:14" ht="14.4">
      <c r="A19" s="158"/>
      <c r="I19"/>
      <c r="J19"/>
      <c r="K19"/>
      <c r="L19"/>
      <c r="M19"/>
      <c r="N19"/>
    </row>
    <row r="20" spans="1:14" ht="14.4">
      <c r="A20" s="158"/>
      <c r="I20"/>
      <c r="J20"/>
      <c r="K20"/>
      <c r="L20"/>
      <c r="M20"/>
      <c r="N20"/>
    </row>
    <row r="21" spans="1:14" ht="14.4">
      <c r="I21"/>
      <c r="J21"/>
      <c r="K21"/>
      <c r="L21"/>
      <c r="M21"/>
      <c r="N21"/>
    </row>
    <row r="22" spans="1:14" ht="14.4">
      <c r="I22"/>
      <c r="J22"/>
      <c r="K22"/>
      <c r="L22"/>
      <c r="M22"/>
      <c r="N22"/>
    </row>
    <row r="23" spans="1:14" ht="14.4">
      <c r="I23"/>
      <c r="J23"/>
      <c r="K23"/>
      <c r="L23"/>
      <c r="M23"/>
      <c r="N23"/>
    </row>
    <row r="24" spans="1:14" ht="14.4">
      <c r="I24"/>
      <c r="J24"/>
      <c r="K24"/>
      <c r="L24"/>
      <c r="M24"/>
      <c r="N24"/>
    </row>
    <row r="25" spans="1:14" ht="14.4">
      <c r="I25"/>
      <c r="J25"/>
      <c r="K25"/>
      <c r="L25"/>
      <c r="M25"/>
      <c r="N25"/>
    </row>
    <row r="26" spans="1:14" ht="14.4">
      <c r="I26"/>
      <c r="J26"/>
      <c r="K26"/>
      <c r="L26"/>
      <c r="M26"/>
      <c r="N26"/>
    </row>
    <row r="27" spans="1:14" ht="14.4">
      <c r="I27"/>
      <c r="J27"/>
      <c r="K27"/>
      <c r="L27"/>
      <c r="M27"/>
      <c r="N27"/>
    </row>
    <row r="28" spans="1:14" ht="14.4">
      <c r="I28"/>
      <c r="J28"/>
      <c r="K28"/>
      <c r="L28"/>
      <c r="M28"/>
      <c r="N28"/>
    </row>
  </sheetData>
  <mergeCells count="7">
    <mergeCell ref="D4:D18"/>
    <mergeCell ref="G4:G18"/>
    <mergeCell ref="H2:H3"/>
    <mergeCell ref="A1:G1"/>
    <mergeCell ref="A2:A3"/>
    <mergeCell ref="B2:D2"/>
    <mergeCell ref="E2:G2"/>
  </mergeCells>
  <phoneticPr fontId="5" type="noConversion"/>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297C424-B03C-4799-9B7B-FF1A5893E5C7}">
          <x14:formula1>
            <xm:f>Data!$A$2:$A$76</xm:f>
          </x14:formula1>
          <xm:sqref>A4:A18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98FA8-1D97-4D12-96EB-6911ACEC625A}">
  <sheetPr codeName="Sheet18"/>
  <dimension ref="A1:G24"/>
  <sheetViews>
    <sheetView zoomScale="85" zoomScaleNormal="85" workbookViewId="0">
      <selection sqref="A1:D1"/>
    </sheetView>
  </sheetViews>
  <sheetFormatPr defaultColWidth="8.6640625" defaultRowHeight="13.2"/>
  <cols>
    <col min="1" max="1" width="32" style="6" customWidth="1"/>
    <col min="2" max="2" width="30.33203125" style="6" customWidth="1"/>
    <col min="3" max="3" width="21.33203125" style="6" customWidth="1"/>
    <col min="4" max="4" width="36.33203125" style="6" customWidth="1"/>
    <col min="5" max="5" width="38.88671875" style="6" customWidth="1"/>
    <col min="6" max="6" width="17.109375" style="6" customWidth="1"/>
    <col min="7" max="7" width="17.5546875" style="6" customWidth="1"/>
    <col min="8" max="8" width="15.5546875" style="6" customWidth="1"/>
    <col min="9" max="9" width="13.33203125" style="6" customWidth="1"/>
    <col min="10" max="16384" width="8.6640625" style="6"/>
  </cols>
  <sheetData>
    <row r="1" spans="1:7" ht="25.2" customHeight="1">
      <c r="A1" s="547" t="str">
        <f>"Exterior Lighting - "&amp;Prototype!B4</f>
        <v>Exterior Lighting - Assembly</v>
      </c>
      <c r="B1" s="547"/>
      <c r="C1" s="547"/>
      <c r="D1" s="547"/>
    </row>
    <row r="2" spans="1:7" ht="37.200000000000003" customHeight="1">
      <c r="A2" s="428" t="s">
        <v>368</v>
      </c>
      <c r="B2" s="428" t="s">
        <v>369</v>
      </c>
      <c r="C2" s="428" t="s">
        <v>370</v>
      </c>
      <c r="D2" s="428" t="s">
        <v>213</v>
      </c>
    </row>
    <row r="3" spans="1:7" ht="45.6" customHeight="1">
      <c r="A3" s="40">
        <f>G14</f>
        <v>9861.6970000000001</v>
      </c>
      <c r="B3" s="40">
        <f>G15</f>
        <v>1957.3249999999998</v>
      </c>
      <c r="C3" s="40">
        <f>A3+B3</f>
        <v>11819.022000000001</v>
      </c>
      <c r="D3" s="433" t="s">
        <v>371</v>
      </c>
      <c r="E3" s="78"/>
    </row>
    <row r="4" spans="1:7" ht="22.2" customHeight="1">
      <c r="A4" s="53"/>
      <c r="B4" s="53"/>
      <c r="C4" s="53"/>
    </row>
    <row r="5" spans="1:7" ht="14.4">
      <c r="A5"/>
      <c r="C5" s="91"/>
      <c r="E5" s="92"/>
    </row>
    <row r="6" spans="1:7" ht="14.4">
      <c r="A6"/>
      <c r="C6" s="91"/>
      <c r="E6" s="92"/>
    </row>
    <row r="7" spans="1:7" ht="15.6">
      <c r="A7" s="547" t="str">
        <f>"Exterior Lighting"</f>
        <v>Exterior Lighting</v>
      </c>
      <c r="B7" s="547"/>
      <c r="C7" s="547"/>
      <c r="D7" s="547"/>
      <c r="E7" s="547"/>
      <c r="F7" s="547"/>
      <c r="G7" s="547"/>
    </row>
    <row r="8" spans="1:7" ht="51.6" customHeight="1">
      <c r="A8" s="128" t="s">
        <v>372</v>
      </c>
      <c r="B8" s="548" t="s">
        <v>373</v>
      </c>
      <c r="C8" s="548"/>
      <c r="D8" s="428" t="s">
        <v>374</v>
      </c>
      <c r="E8" s="428" t="s">
        <v>375</v>
      </c>
      <c r="F8" s="428" t="s">
        <v>374</v>
      </c>
      <c r="G8" s="428" t="s">
        <v>376</v>
      </c>
    </row>
    <row r="9" spans="1:7" ht="21" customHeight="1">
      <c r="A9" s="16" t="s">
        <v>377</v>
      </c>
      <c r="B9" s="16"/>
      <c r="C9" s="93"/>
      <c r="D9" s="422"/>
      <c r="E9" s="422">
        <v>200</v>
      </c>
      <c r="F9" s="429" t="s">
        <v>378</v>
      </c>
      <c r="G9" s="129">
        <f>$E9</f>
        <v>200</v>
      </c>
    </row>
    <row r="10" spans="1:7" ht="39.6">
      <c r="A10" s="16" t="s">
        <v>379</v>
      </c>
      <c r="B10" s="17" t="s">
        <v>380</v>
      </c>
      <c r="C10" s="94">
        <v>504563</v>
      </c>
      <c r="D10" s="422" t="s">
        <v>381</v>
      </c>
      <c r="E10" s="422">
        <v>1.9E-2</v>
      </c>
      <c r="F10" s="429" t="s">
        <v>382</v>
      </c>
      <c r="G10" s="129">
        <f t="shared" ref="G10:G12" si="0">E10*C10</f>
        <v>9586.6970000000001</v>
      </c>
    </row>
    <row r="11" spans="1:7" ht="24" customHeight="1">
      <c r="A11" s="16" t="s">
        <v>383</v>
      </c>
      <c r="B11" s="16" t="s">
        <v>384</v>
      </c>
      <c r="C11" s="93">
        <v>5</v>
      </c>
      <c r="D11" s="422" t="s">
        <v>385</v>
      </c>
      <c r="E11" s="422">
        <v>15</v>
      </c>
      <c r="F11" s="429" t="s">
        <v>386</v>
      </c>
      <c r="G11" s="129">
        <f t="shared" si="0"/>
        <v>75</v>
      </c>
    </row>
    <row r="12" spans="1:7" ht="39.6" customHeight="1">
      <c r="A12" s="16" t="s">
        <v>387</v>
      </c>
      <c r="B12" s="17" t="s">
        <v>388</v>
      </c>
      <c r="C12" s="97">
        <v>31535</v>
      </c>
      <c r="D12" s="422" t="s">
        <v>381</v>
      </c>
      <c r="E12" s="422">
        <v>7.0000000000000001E-3</v>
      </c>
      <c r="F12" s="429" t="s">
        <v>382</v>
      </c>
      <c r="G12" s="130">
        <f t="shared" si="0"/>
        <v>220.745</v>
      </c>
    </row>
    <row r="13" spans="1:7" ht="118.8">
      <c r="A13" s="16" t="s">
        <v>389</v>
      </c>
      <c r="B13" s="17" t="s">
        <v>390</v>
      </c>
      <c r="C13" s="95">
        <f>0.5*4*(B20*B21+C20*C21+D20*D21+E20*E21+F20*F21)</f>
        <v>17365.8</v>
      </c>
      <c r="D13" s="422" t="s">
        <v>381</v>
      </c>
      <c r="E13" s="422">
        <v>0.1</v>
      </c>
      <c r="F13" s="429" t="s">
        <v>382</v>
      </c>
      <c r="G13" s="130">
        <f>E13*C13</f>
        <v>1736.58</v>
      </c>
    </row>
    <row r="14" spans="1:7">
      <c r="A14" s="16" t="s">
        <v>368</v>
      </c>
      <c r="B14" s="16"/>
      <c r="C14" s="93"/>
      <c r="D14" s="422"/>
      <c r="E14" s="422"/>
      <c r="F14" s="422"/>
      <c r="G14" s="130">
        <f>G10+G9+G11</f>
        <v>9861.6970000000001</v>
      </c>
    </row>
    <row r="15" spans="1:7">
      <c r="A15" s="16" t="s">
        <v>391</v>
      </c>
      <c r="B15" s="16"/>
      <c r="C15" s="93"/>
      <c r="D15" s="422"/>
      <c r="E15" s="422"/>
      <c r="F15" s="422"/>
      <c r="G15" s="130">
        <f>G12+G13</f>
        <v>1957.3249999999998</v>
      </c>
    </row>
    <row r="16" spans="1:7">
      <c r="A16" s="16" t="s">
        <v>303</v>
      </c>
      <c r="B16" s="16"/>
      <c r="C16" s="93"/>
      <c r="D16" s="422"/>
      <c r="E16" s="422"/>
      <c r="F16" s="422"/>
      <c r="G16" s="130">
        <f>G14+G15</f>
        <v>11819.022000000001</v>
      </c>
    </row>
    <row r="19" spans="1:6">
      <c r="A19" s="6" t="s">
        <v>392</v>
      </c>
      <c r="B19" s="96">
        <f>Prototype!B9</f>
        <v>315352</v>
      </c>
    </row>
    <row r="20" spans="1:6">
      <c r="A20" s="6" t="s">
        <v>393</v>
      </c>
      <c r="B20" s="416">
        <v>114</v>
      </c>
      <c r="C20" s="416">
        <v>94.3</v>
      </c>
      <c r="D20" s="416">
        <v>80.3</v>
      </c>
      <c r="E20" s="416">
        <v>59.1</v>
      </c>
      <c r="F20" s="416">
        <v>83</v>
      </c>
    </row>
    <row r="21" spans="1:6" ht="28.2" customHeight="1">
      <c r="A21" s="12" t="s">
        <v>394</v>
      </c>
      <c r="B21" s="416">
        <v>13</v>
      </c>
      <c r="C21" s="416">
        <v>13</v>
      </c>
      <c r="D21" s="416">
        <v>25</v>
      </c>
      <c r="E21" s="416">
        <v>25</v>
      </c>
      <c r="F21" s="416">
        <v>30</v>
      </c>
    </row>
    <row r="22" spans="1:6">
      <c r="A22" s="6" t="s">
        <v>395</v>
      </c>
    </row>
    <row r="23" spans="1:6" ht="14.4">
      <c r="B23" s="6">
        <v>3</v>
      </c>
      <c r="C23" s="91"/>
      <c r="E23" s="92"/>
    </row>
    <row r="24" spans="1:6" ht="14.4">
      <c r="A24"/>
      <c r="C24" s="91"/>
      <c r="E24" s="92"/>
    </row>
  </sheetData>
  <mergeCells count="3">
    <mergeCell ref="A7:G7"/>
    <mergeCell ref="B8:C8"/>
    <mergeCell ref="A1:D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9C81-B0B9-4AE9-9154-3628732CA590}">
  <sheetPr codeName="Sheet9"/>
  <dimension ref="A1:F20"/>
  <sheetViews>
    <sheetView zoomScale="90" zoomScaleNormal="90" workbookViewId="0">
      <selection sqref="A1:E1"/>
    </sheetView>
  </sheetViews>
  <sheetFormatPr defaultColWidth="8.6640625" defaultRowHeight="13.2"/>
  <cols>
    <col min="1" max="1" width="49" style="6" customWidth="1"/>
    <col min="2" max="2" width="23.5546875" style="6" customWidth="1"/>
    <col min="3" max="3" width="18.44140625" style="6" bestFit="1" customWidth="1"/>
    <col min="4" max="4" width="23.33203125" style="6" customWidth="1"/>
    <col min="5" max="5" width="29.6640625" style="6" customWidth="1"/>
    <col min="6" max="6" width="18.33203125" style="6" customWidth="1"/>
    <col min="7" max="7" width="21.44140625" style="6" customWidth="1"/>
    <col min="8" max="8" width="33.88671875" style="6" bestFit="1" customWidth="1"/>
    <col min="9" max="9" width="10.6640625" style="6" bestFit="1" customWidth="1"/>
    <col min="10" max="10" width="10.5546875" style="6" bestFit="1" customWidth="1"/>
    <col min="11" max="16384" width="8.6640625" style="6"/>
  </cols>
  <sheetData>
    <row r="1" spans="1:6" ht="23.4" customHeight="1">
      <c r="A1" s="549" t="str">
        <f>"Equipment - "&amp;Prototype!B4</f>
        <v>Equipment - Assembly</v>
      </c>
      <c r="B1" s="550"/>
      <c r="C1" s="550"/>
      <c r="D1" s="550"/>
      <c r="E1" s="550"/>
    </row>
    <row r="2" spans="1:6" ht="40.950000000000003" customHeight="1">
      <c r="A2" s="427" t="s">
        <v>359</v>
      </c>
      <c r="B2" s="414" t="s">
        <v>396</v>
      </c>
      <c r="C2" s="414" t="s">
        <v>397</v>
      </c>
      <c r="D2" s="414" t="s">
        <v>398</v>
      </c>
      <c r="E2" s="435" t="s">
        <v>213</v>
      </c>
    </row>
    <row r="3" spans="1:6" ht="20.399999999999999" customHeight="1">
      <c r="A3" s="168" t="s">
        <v>85</v>
      </c>
      <c r="B3" s="422">
        <v>1</v>
      </c>
      <c r="C3" s="422">
        <v>0</v>
      </c>
      <c r="D3" s="166">
        <v>0</v>
      </c>
      <c r="E3" s="551" t="s">
        <v>399</v>
      </c>
    </row>
    <row r="4" spans="1:6" ht="20.399999999999999" customHeight="1">
      <c r="A4" s="168" t="s">
        <v>89</v>
      </c>
      <c r="B4" s="422">
        <v>0.5</v>
      </c>
      <c r="C4" s="422">
        <v>0</v>
      </c>
      <c r="D4" s="166">
        <v>0</v>
      </c>
      <c r="E4" s="552"/>
      <c r="F4" s="55"/>
    </row>
    <row r="5" spans="1:6" ht="20.399999999999999" customHeight="1">
      <c r="A5" s="168" t="s">
        <v>91</v>
      </c>
      <c r="B5" s="422">
        <v>1</v>
      </c>
      <c r="C5" s="422">
        <v>0</v>
      </c>
      <c r="D5" s="166">
        <v>0</v>
      </c>
      <c r="E5" s="552"/>
    </row>
    <row r="6" spans="1:6" ht="20.399999999999999" customHeight="1">
      <c r="A6" s="168" t="s">
        <v>93</v>
      </c>
      <c r="B6" s="422">
        <v>1.5</v>
      </c>
      <c r="C6" s="422">
        <v>0</v>
      </c>
      <c r="D6" s="166">
        <v>0</v>
      </c>
      <c r="E6" s="552"/>
    </row>
    <row r="7" spans="1:6" ht="20.399999999999999" customHeight="1">
      <c r="A7" s="168" t="s">
        <v>98</v>
      </c>
      <c r="B7" s="422">
        <v>1.5</v>
      </c>
      <c r="C7" s="422">
        <v>0</v>
      </c>
      <c r="D7" s="166">
        <v>0</v>
      </c>
      <c r="E7" s="552"/>
    </row>
    <row r="8" spans="1:6" ht="20.399999999999999" customHeight="1">
      <c r="A8" s="168" t="s">
        <v>100</v>
      </c>
      <c r="B8" s="422">
        <v>1.5</v>
      </c>
      <c r="C8" s="422">
        <v>0</v>
      </c>
      <c r="D8" s="166">
        <v>0</v>
      </c>
      <c r="E8" s="552"/>
    </row>
    <row r="9" spans="1:6" ht="20.399999999999999" customHeight="1">
      <c r="A9" s="168" t="s">
        <v>102</v>
      </c>
      <c r="B9" s="422">
        <v>0.5</v>
      </c>
      <c r="C9" s="422">
        <v>0</v>
      </c>
      <c r="D9" s="166">
        <v>0</v>
      </c>
      <c r="E9" s="552"/>
    </row>
    <row r="10" spans="1:6" ht="42" customHeight="1">
      <c r="A10" s="168" t="s">
        <v>107</v>
      </c>
      <c r="B10" s="422">
        <v>0.7</v>
      </c>
      <c r="C10" s="422">
        <v>0</v>
      </c>
      <c r="D10" s="166">
        <v>0</v>
      </c>
      <c r="E10" s="412" t="s">
        <v>400</v>
      </c>
    </row>
    <row r="11" spans="1:6" ht="20.399999999999999" customHeight="1">
      <c r="A11" s="168" t="s">
        <v>110</v>
      </c>
      <c r="B11" s="422">
        <v>0.5</v>
      </c>
      <c r="C11" s="422">
        <v>0</v>
      </c>
      <c r="D11" s="166">
        <v>0</v>
      </c>
      <c r="E11" s="493" t="s">
        <v>401</v>
      </c>
    </row>
    <row r="12" spans="1:6" ht="20.399999999999999" customHeight="1">
      <c r="A12" s="168" t="s">
        <v>113</v>
      </c>
      <c r="B12" s="422">
        <v>0.5</v>
      </c>
      <c r="C12" s="422">
        <v>0</v>
      </c>
      <c r="D12" s="166">
        <v>0</v>
      </c>
      <c r="E12" s="493"/>
    </row>
    <row r="13" spans="1:6" ht="20.399999999999999" customHeight="1">
      <c r="A13" s="168" t="s">
        <v>116</v>
      </c>
      <c r="B13" s="422">
        <v>0.5</v>
      </c>
      <c r="C13" s="422">
        <v>0</v>
      </c>
      <c r="D13" s="166">
        <v>0</v>
      </c>
      <c r="E13" s="493"/>
    </row>
    <row r="14" spans="1:6" ht="20.399999999999999" customHeight="1">
      <c r="A14" s="168" t="s">
        <v>118</v>
      </c>
      <c r="B14" s="422">
        <v>0</v>
      </c>
      <c r="C14" s="422">
        <v>0</v>
      </c>
      <c r="D14" s="166">
        <v>0</v>
      </c>
      <c r="E14" s="493"/>
    </row>
    <row r="15" spans="1:6" ht="20.399999999999999" customHeight="1">
      <c r="A15" s="168" t="s">
        <v>122</v>
      </c>
      <c r="B15" s="422">
        <v>0.5</v>
      </c>
      <c r="C15" s="422">
        <v>0</v>
      </c>
      <c r="D15" s="166">
        <v>0</v>
      </c>
      <c r="E15" s="493"/>
    </row>
    <row r="16" spans="1:6" ht="20.399999999999999" customHeight="1">
      <c r="A16" s="168" t="s">
        <v>126</v>
      </c>
      <c r="B16" s="422">
        <v>0.5</v>
      </c>
      <c r="C16" s="422">
        <v>0</v>
      </c>
      <c r="D16" s="166">
        <v>0</v>
      </c>
      <c r="E16" s="493"/>
    </row>
    <row r="17" spans="1:5" ht="20.399999999999999" customHeight="1">
      <c r="A17" s="168" t="s">
        <v>128</v>
      </c>
      <c r="B17" s="422">
        <v>0.5</v>
      </c>
      <c r="C17" s="422">
        <v>0</v>
      </c>
      <c r="D17" s="166">
        <v>0</v>
      </c>
      <c r="E17" s="493"/>
    </row>
    <row r="18" spans="1:5" ht="15" customHeight="1">
      <c r="A18" s="160"/>
    </row>
    <row r="19" spans="1:5" ht="24" customHeight="1">
      <c r="A19" s="160"/>
    </row>
    <row r="20" spans="1:5" ht="12.6" customHeight="1"/>
  </sheetData>
  <mergeCells count="3">
    <mergeCell ref="A1:E1"/>
    <mergeCell ref="E11:E17"/>
    <mergeCell ref="E3:E9"/>
  </mergeCells>
  <phoneticPr fontId="5" type="noConversion"/>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405B61AA-6C01-4381-9B4B-A99CD5B3C88F}">
          <x14:formula1>
            <xm:f>Data!$A$2:$A$76</xm:f>
          </x14:formula1>
          <xm:sqref>A3:A17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AEBC7-570E-431D-A891-0E68E13886AA}">
  <sheetPr codeName="Sheet11"/>
  <dimension ref="A1:AM86"/>
  <sheetViews>
    <sheetView zoomScale="80" zoomScaleNormal="80" workbookViewId="0">
      <selection sqref="A1:AC1"/>
    </sheetView>
  </sheetViews>
  <sheetFormatPr defaultColWidth="9.33203125" defaultRowHeight="11.4"/>
  <cols>
    <col min="1" max="2" width="15" style="41" customWidth="1"/>
    <col min="3" max="3" width="27" style="41" customWidth="1"/>
    <col min="4" max="4" width="21.33203125" style="41" customWidth="1"/>
    <col min="5" max="5" width="11" style="41" customWidth="1"/>
    <col min="6" max="29" width="5.6640625" style="41" customWidth="1"/>
    <col min="30" max="16384" width="9.33203125" style="41"/>
  </cols>
  <sheetData>
    <row r="1" spans="1:39" ht="24" customHeight="1">
      <c r="A1" s="527" t="str">
        <f>"Schedules - "&amp;Prototype!B4</f>
        <v>Schedules - Assembly</v>
      </c>
      <c r="B1" s="527"/>
      <c r="C1" s="527"/>
      <c r="D1" s="527"/>
      <c r="E1" s="527"/>
      <c r="F1" s="527"/>
      <c r="G1" s="527"/>
      <c r="H1" s="527"/>
      <c r="I1" s="527"/>
      <c r="J1" s="527"/>
      <c r="K1" s="527"/>
      <c r="L1" s="527"/>
      <c r="M1" s="527"/>
      <c r="N1" s="527"/>
      <c r="O1" s="527"/>
      <c r="P1" s="527"/>
      <c r="Q1" s="527"/>
      <c r="R1" s="527"/>
      <c r="S1" s="527"/>
      <c r="T1" s="527"/>
      <c r="U1" s="527"/>
      <c r="V1" s="527"/>
      <c r="W1" s="527"/>
      <c r="X1" s="527"/>
      <c r="Y1" s="527"/>
      <c r="Z1" s="527"/>
      <c r="AA1" s="527"/>
      <c r="AB1" s="527"/>
      <c r="AC1" s="571"/>
      <c r="AD1" s="42"/>
      <c r="AE1" s="42"/>
      <c r="AF1" s="42"/>
      <c r="AG1" s="42"/>
      <c r="AH1" s="42"/>
      <c r="AI1" s="43"/>
      <c r="AJ1" s="43"/>
      <c r="AK1" s="43"/>
    </row>
    <row r="2" spans="1:39" ht="24" customHeight="1">
      <c r="A2" s="447" t="s">
        <v>498</v>
      </c>
      <c r="B2" s="448" t="s">
        <v>73</v>
      </c>
      <c r="C2" s="447" t="s">
        <v>499</v>
      </c>
      <c r="D2" s="447" t="s">
        <v>213</v>
      </c>
      <c r="E2" s="447" t="s">
        <v>500</v>
      </c>
      <c r="F2" s="639" t="s">
        <v>501</v>
      </c>
      <c r="G2" s="639"/>
      <c r="H2" s="639"/>
      <c r="I2" s="639"/>
      <c r="J2" s="639"/>
      <c r="K2" s="639"/>
      <c r="L2" s="639"/>
      <c r="M2" s="639"/>
      <c r="N2" s="639"/>
      <c r="O2" s="639"/>
      <c r="P2" s="639"/>
      <c r="Q2" s="639"/>
      <c r="R2" s="639"/>
      <c r="S2" s="639"/>
      <c r="T2" s="639"/>
      <c r="U2" s="639"/>
      <c r="V2" s="639"/>
      <c r="W2" s="639"/>
      <c r="X2" s="639"/>
      <c r="Y2" s="639"/>
      <c r="Z2" s="639"/>
      <c r="AA2" s="639"/>
      <c r="AB2" s="639"/>
      <c r="AC2" s="639"/>
      <c r="AD2" s="42"/>
      <c r="AE2" s="42"/>
      <c r="AF2" s="42"/>
      <c r="AG2" s="42"/>
      <c r="AH2" s="42"/>
      <c r="AI2" s="43"/>
      <c r="AJ2" s="43"/>
      <c r="AK2" s="43"/>
    </row>
    <row r="3" spans="1:39" ht="25.2" customHeight="1" thickBot="1">
      <c r="A3" s="610"/>
      <c r="B3" s="570"/>
      <c r="C3" s="610"/>
      <c r="D3" s="610"/>
      <c r="E3" s="610"/>
      <c r="F3" s="435">
        <v>1</v>
      </c>
      <c r="G3" s="435">
        <v>2</v>
      </c>
      <c r="H3" s="435">
        <v>3</v>
      </c>
      <c r="I3" s="435">
        <v>4</v>
      </c>
      <c r="J3" s="435">
        <v>5</v>
      </c>
      <c r="K3" s="435">
        <v>6</v>
      </c>
      <c r="L3" s="435">
        <v>7</v>
      </c>
      <c r="M3" s="435">
        <v>8</v>
      </c>
      <c r="N3" s="435">
        <v>9</v>
      </c>
      <c r="O3" s="435">
        <v>10</v>
      </c>
      <c r="P3" s="435">
        <v>11</v>
      </c>
      <c r="Q3" s="435">
        <v>12</v>
      </c>
      <c r="R3" s="435">
        <v>13</v>
      </c>
      <c r="S3" s="435">
        <v>14</v>
      </c>
      <c r="T3" s="435">
        <v>15</v>
      </c>
      <c r="U3" s="435">
        <v>16</v>
      </c>
      <c r="V3" s="435">
        <v>17</v>
      </c>
      <c r="W3" s="435">
        <v>18</v>
      </c>
      <c r="X3" s="435">
        <v>19</v>
      </c>
      <c r="Y3" s="435">
        <v>20</v>
      </c>
      <c r="Z3" s="435">
        <v>21</v>
      </c>
      <c r="AA3" s="435">
        <v>22</v>
      </c>
      <c r="AB3" s="435">
        <v>23</v>
      </c>
      <c r="AC3" s="435">
        <v>24</v>
      </c>
      <c r="AD3" s="43"/>
      <c r="AE3" s="43"/>
      <c r="AF3" s="43"/>
      <c r="AG3" s="43"/>
      <c r="AH3" s="43"/>
      <c r="AI3" s="43"/>
      <c r="AJ3" s="43"/>
      <c r="AK3" s="43"/>
    </row>
    <row r="4" spans="1:39" ht="25.2" customHeight="1">
      <c r="A4" s="611" t="s">
        <v>502</v>
      </c>
      <c r="B4" s="572" t="s">
        <v>38</v>
      </c>
      <c r="C4" s="623" t="s">
        <v>503</v>
      </c>
      <c r="D4" s="619" t="s">
        <v>504</v>
      </c>
      <c r="E4" s="220" t="s">
        <v>505</v>
      </c>
      <c r="F4" s="139">
        <v>0</v>
      </c>
      <c r="G4" s="139">
        <v>0</v>
      </c>
      <c r="H4" s="139">
        <v>0</v>
      </c>
      <c r="I4" s="139">
        <v>0</v>
      </c>
      <c r="J4" s="139">
        <v>0</v>
      </c>
      <c r="K4" s="139">
        <v>0</v>
      </c>
      <c r="L4" s="139">
        <v>0</v>
      </c>
      <c r="M4" s="139">
        <v>0</v>
      </c>
      <c r="N4" s="139">
        <v>0.2</v>
      </c>
      <c r="O4" s="139">
        <v>0.2</v>
      </c>
      <c r="P4" s="139">
        <v>0.2</v>
      </c>
      <c r="Q4" s="139">
        <v>0.8</v>
      </c>
      <c r="R4" s="139">
        <v>0.8</v>
      </c>
      <c r="S4" s="139">
        <v>0.8</v>
      </c>
      <c r="T4" s="139">
        <v>0.8</v>
      </c>
      <c r="U4" s="139">
        <v>0.8</v>
      </c>
      <c r="V4" s="139">
        <v>0.8</v>
      </c>
      <c r="W4" s="139">
        <v>0.8</v>
      </c>
      <c r="X4" s="139">
        <v>0.2</v>
      </c>
      <c r="Y4" s="139">
        <v>0.2</v>
      </c>
      <c r="Z4" s="139">
        <v>0.2</v>
      </c>
      <c r="AA4" s="139">
        <v>0.2</v>
      </c>
      <c r="AB4" s="139">
        <v>0.1</v>
      </c>
      <c r="AC4" s="140">
        <v>0</v>
      </c>
      <c r="AD4" s="43"/>
      <c r="AE4" s="43"/>
      <c r="AF4" s="43"/>
      <c r="AG4" s="43"/>
      <c r="AH4" s="43"/>
      <c r="AI4" s="43"/>
      <c r="AJ4" s="43"/>
      <c r="AK4" s="43"/>
    </row>
    <row r="5" spans="1:39" ht="33" customHeight="1">
      <c r="A5" s="612"/>
      <c r="B5" s="438"/>
      <c r="C5" s="624"/>
      <c r="D5" s="620"/>
      <c r="E5" s="221" t="s">
        <v>506</v>
      </c>
      <c r="F5" s="126">
        <v>0</v>
      </c>
      <c r="G5" s="126">
        <v>0</v>
      </c>
      <c r="H5" s="126">
        <v>0</v>
      </c>
      <c r="I5" s="126">
        <v>0</v>
      </c>
      <c r="J5" s="126">
        <v>0</v>
      </c>
      <c r="K5" s="126">
        <v>0</v>
      </c>
      <c r="L5" s="126">
        <v>0</v>
      </c>
      <c r="M5" s="126">
        <v>0</v>
      </c>
      <c r="N5" s="126">
        <v>0.2</v>
      </c>
      <c r="O5" s="126">
        <v>0.2</v>
      </c>
      <c r="P5" s="126">
        <v>0.2</v>
      </c>
      <c r="Q5" s="126">
        <v>0.6</v>
      </c>
      <c r="R5" s="126">
        <v>0.6</v>
      </c>
      <c r="S5" s="126">
        <v>0.6</v>
      </c>
      <c r="T5" s="126">
        <v>0.6</v>
      </c>
      <c r="U5" s="126">
        <v>0.6</v>
      </c>
      <c r="V5" s="126">
        <v>0.6</v>
      </c>
      <c r="W5" s="126">
        <v>0.6</v>
      </c>
      <c r="X5" s="126">
        <v>0.6</v>
      </c>
      <c r="Y5" s="126">
        <v>0.6</v>
      </c>
      <c r="Z5" s="126">
        <v>0.6</v>
      </c>
      <c r="AA5" s="126">
        <v>0.8</v>
      </c>
      <c r="AB5" s="126">
        <v>0.1</v>
      </c>
      <c r="AC5" s="141">
        <v>0</v>
      </c>
      <c r="AD5" s="43"/>
      <c r="AE5" s="43"/>
      <c r="AF5" s="43"/>
      <c r="AG5" s="43"/>
      <c r="AH5" s="43"/>
      <c r="AI5" s="43"/>
      <c r="AJ5" s="43"/>
      <c r="AK5" s="43"/>
    </row>
    <row r="6" spans="1:39" ht="33" customHeight="1" thickBot="1">
      <c r="A6" s="613"/>
      <c r="B6" s="573"/>
      <c r="C6" s="625"/>
      <c r="D6" s="621"/>
      <c r="E6" s="222" t="s">
        <v>507</v>
      </c>
      <c r="F6" s="142">
        <v>0</v>
      </c>
      <c r="G6" s="142">
        <v>0</v>
      </c>
      <c r="H6" s="142">
        <v>0</v>
      </c>
      <c r="I6" s="142">
        <v>0</v>
      </c>
      <c r="J6" s="142">
        <v>0</v>
      </c>
      <c r="K6" s="142">
        <v>0</v>
      </c>
      <c r="L6" s="142">
        <v>0</v>
      </c>
      <c r="M6" s="142">
        <v>0</v>
      </c>
      <c r="N6" s="142">
        <v>0.1</v>
      </c>
      <c r="O6" s="142">
        <v>0.1</v>
      </c>
      <c r="P6" s="142">
        <v>0.1</v>
      </c>
      <c r="Q6" s="142">
        <v>0.1</v>
      </c>
      <c r="R6" s="142">
        <v>0.1</v>
      </c>
      <c r="S6" s="142">
        <v>0.7</v>
      </c>
      <c r="T6" s="142">
        <v>0.7</v>
      </c>
      <c r="U6" s="142">
        <v>0.7</v>
      </c>
      <c r="V6" s="142">
        <v>0.7</v>
      </c>
      <c r="W6" s="142">
        <v>0.7</v>
      </c>
      <c r="X6" s="142">
        <v>0.7</v>
      </c>
      <c r="Y6" s="142">
        <v>0.7</v>
      </c>
      <c r="Z6" s="142">
        <v>0.7</v>
      </c>
      <c r="AA6" s="142">
        <v>0.7</v>
      </c>
      <c r="AB6" s="142">
        <v>0.2</v>
      </c>
      <c r="AC6" s="143">
        <v>0</v>
      </c>
      <c r="AD6" s="43"/>
      <c r="AE6" s="43"/>
      <c r="AF6" s="43"/>
      <c r="AG6" s="43"/>
      <c r="AH6" s="43"/>
      <c r="AI6" s="43"/>
      <c r="AJ6" s="43"/>
      <c r="AK6" s="43"/>
    </row>
    <row r="7" spans="1:39" ht="38.700000000000003" customHeight="1">
      <c r="A7" s="611" t="s">
        <v>508</v>
      </c>
      <c r="B7" s="572" t="s">
        <v>38</v>
      </c>
      <c r="C7" s="626" t="s">
        <v>509</v>
      </c>
      <c r="D7" s="619" t="s">
        <v>504</v>
      </c>
      <c r="E7" s="214" t="s">
        <v>505</v>
      </c>
      <c r="F7" s="144">
        <v>0.05</v>
      </c>
      <c r="G7" s="144">
        <v>0.05</v>
      </c>
      <c r="H7" s="144">
        <v>0.05</v>
      </c>
      <c r="I7" s="144">
        <v>0.05</v>
      </c>
      <c r="J7" s="144">
        <v>0.05</v>
      </c>
      <c r="K7" s="144">
        <v>0.05</v>
      </c>
      <c r="L7" s="144">
        <v>0.35</v>
      </c>
      <c r="M7" s="144">
        <v>0.35</v>
      </c>
      <c r="N7" s="144">
        <v>0.35</v>
      </c>
      <c r="O7" s="144">
        <v>0.65</v>
      </c>
      <c r="P7" s="144">
        <v>0.65</v>
      </c>
      <c r="Q7" s="144">
        <v>0.65</v>
      </c>
      <c r="R7" s="144">
        <v>0.65</v>
      </c>
      <c r="S7" s="144">
        <v>0.65</v>
      </c>
      <c r="T7" s="144">
        <v>0.65</v>
      </c>
      <c r="U7" s="144">
        <v>0.65</v>
      </c>
      <c r="V7" s="144">
        <v>0.65</v>
      </c>
      <c r="W7" s="144">
        <v>0.65</v>
      </c>
      <c r="X7" s="144">
        <v>0.65</v>
      </c>
      <c r="Y7" s="144">
        <v>0.65</v>
      </c>
      <c r="Z7" s="144">
        <v>0.65</v>
      </c>
      <c r="AA7" s="144">
        <v>0.65</v>
      </c>
      <c r="AB7" s="144">
        <v>0.25</v>
      </c>
      <c r="AC7" s="145">
        <v>0.05</v>
      </c>
      <c r="AD7" s="43"/>
      <c r="AE7" s="43"/>
      <c r="AF7" s="43"/>
      <c r="AG7" s="43"/>
      <c r="AH7" s="43"/>
      <c r="AI7" s="43"/>
      <c r="AJ7" s="43"/>
      <c r="AK7" s="43"/>
      <c r="AM7" s="54"/>
    </row>
    <row r="8" spans="1:39" ht="38.700000000000003" customHeight="1">
      <c r="A8" s="612"/>
      <c r="B8" s="438"/>
      <c r="C8" s="627"/>
      <c r="D8" s="620"/>
      <c r="E8" s="215" t="s">
        <v>506</v>
      </c>
      <c r="F8" s="146">
        <v>0.05</v>
      </c>
      <c r="G8" s="146">
        <v>0.05</v>
      </c>
      <c r="H8" s="146">
        <v>0.05</v>
      </c>
      <c r="I8" s="146">
        <v>0.05</v>
      </c>
      <c r="J8" s="146">
        <v>0.05</v>
      </c>
      <c r="K8" s="146">
        <v>0.05</v>
      </c>
      <c r="L8" s="146">
        <v>0.05</v>
      </c>
      <c r="M8" s="146">
        <v>0.3</v>
      </c>
      <c r="N8" s="146">
        <v>0.3</v>
      </c>
      <c r="O8" s="146">
        <v>0.4</v>
      </c>
      <c r="P8" s="146">
        <v>0.4</v>
      </c>
      <c r="Q8" s="146">
        <v>0.4</v>
      </c>
      <c r="R8" s="146">
        <v>0.4</v>
      </c>
      <c r="S8" s="146">
        <v>0.4</v>
      </c>
      <c r="T8" s="146">
        <v>0.4</v>
      </c>
      <c r="U8" s="146">
        <v>0.4</v>
      </c>
      <c r="V8" s="146">
        <v>0.4</v>
      </c>
      <c r="W8" s="146">
        <v>0.4</v>
      </c>
      <c r="X8" s="146">
        <v>0.4</v>
      </c>
      <c r="Y8" s="146">
        <v>0.4</v>
      </c>
      <c r="Z8" s="146">
        <v>0.4</v>
      </c>
      <c r="AA8" s="146">
        <v>0.4</v>
      </c>
      <c r="AB8" s="146">
        <v>0.4</v>
      </c>
      <c r="AC8" s="147">
        <v>0.05</v>
      </c>
      <c r="AD8" s="43"/>
      <c r="AE8" s="43"/>
      <c r="AF8" s="43"/>
      <c r="AG8" s="43"/>
      <c r="AH8" s="43"/>
      <c r="AI8" s="43"/>
      <c r="AJ8" s="43"/>
      <c r="AK8" s="43"/>
      <c r="AM8" s="54"/>
    </row>
    <row r="9" spans="1:39" ht="38.700000000000003" customHeight="1" thickBot="1">
      <c r="A9" s="613"/>
      <c r="B9" s="573"/>
      <c r="C9" s="628"/>
      <c r="D9" s="621"/>
      <c r="E9" s="216" t="s">
        <v>507</v>
      </c>
      <c r="F9" s="148">
        <v>0.05</v>
      </c>
      <c r="G9" s="148">
        <v>0.05</v>
      </c>
      <c r="H9" s="148">
        <v>0.05</v>
      </c>
      <c r="I9" s="148">
        <v>0.05</v>
      </c>
      <c r="J9" s="148">
        <v>0.05</v>
      </c>
      <c r="K9" s="148">
        <v>0.05</v>
      </c>
      <c r="L9" s="148">
        <v>0.05</v>
      </c>
      <c r="M9" s="148">
        <v>0.3</v>
      </c>
      <c r="N9" s="148">
        <v>0.3</v>
      </c>
      <c r="O9" s="148">
        <v>0.3</v>
      </c>
      <c r="P9" s="148">
        <v>0.3</v>
      </c>
      <c r="Q9" s="148">
        <v>0.3</v>
      </c>
      <c r="R9" s="148">
        <v>0.55000000000000004</v>
      </c>
      <c r="S9" s="148">
        <v>0.55000000000000004</v>
      </c>
      <c r="T9" s="148">
        <v>0.55000000000000004</v>
      </c>
      <c r="U9" s="148">
        <v>0.55000000000000004</v>
      </c>
      <c r="V9" s="148">
        <v>0.55000000000000004</v>
      </c>
      <c r="W9" s="148">
        <v>0.55000000000000004</v>
      </c>
      <c r="X9" s="148">
        <v>0.55000000000000004</v>
      </c>
      <c r="Y9" s="148">
        <v>0.55000000000000004</v>
      </c>
      <c r="Z9" s="148">
        <v>0.55000000000000004</v>
      </c>
      <c r="AA9" s="148">
        <v>0.55000000000000004</v>
      </c>
      <c r="AB9" s="148">
        <v>0.05</v>
      </c>
      <c r="AC9" s="149">
        <v>0.05</v>
      </c>
      <c r="AD9" s="43"/>
      <c r="AE9" s="43"/>
      <c r="AF9" s="43"/>
      <c r="AG9" s="43"/>
      <c r="AH9" s="43"/>
      <c r="AI9" s="43"/>
      <c r="AJ9" s="43"/>
      <c r="AK9" s="43"/>
      <c r="AM9" s="54"/>
    </row>
    <row r="10" spans="1:39" ht="36" customHeight="1">
      <c r="A10" s="611" t="s">
        <v>502</v>
      </c>
      <c r="B10" s="572" t="s">
        <v>38</v>
      </c>
      <c r="C10" s="574" t="s">
        <v>510</v>
      </c>
      <c r="D10" s="619" t="s">
        <v>504</v>
      </c>
      <c r="E10" s="217" t="s">
        <v>505</v>
      </c>
      <c r="F10" s="139">
        <v>0.05</v>
      </c>
      <c r="G10" s="139">
        <v>0.05</v>
      </c>
      <c r="H10" s="139">
        <v>0.05</v>
      </c>
      <c r="I10" s="139">
        <v>0.05</v>
      </c>
      <c r="J10" s="139">
        <v>0.05</v>
      </c>
      <c r="K10" s="139">
        <v>0.05</v>
      </c>
      <c r="L10" s="139">
        <v>0.4</v>
      </c>
      <c r="M10" s="139">
        <v>0.4</v>
      </c>
      <c r="N10" s="139">
        <v>0.4</v>
      </c>
      <c r="O10" s="139">
        <v>0.75</v>
      </c>
      <c r="P10" s="139">
        <v>0.75</v>
      </c>
      <c r="Q10" s="139">
        <v>0.75</v>
      </c>
      <c r="R10" s="139">
        <v>0.75</v>
      </c>
      <c r="S10" s="139">
        <v>0.75</v>
      </c>
      <c r="T10" s="139">
        <v>0.75</v>
      </c>
      <c r="U10" s="139">
        <v>0.75</v>
      </c>
      <c r="V10" s="139">
        <v>0.75</v>
      </c>
      <c r="W10" s="139">
        <v>0.75</v>
      </c>
      <c r="X10" s="139">
        <v>0.75</v>
      </c>
      <c r="Y10" s="139">
        <v>0.75</v>
      </c>
      <c r="Z10" s="139">
        <v>0.75</v>
      </c>
      <c r="AA10" s="139">
        <v>0.75</v>
      </c>
      <c r="AB10" s="139">
        <v>0.25</v>
      </c>
      <c r="AC10" s="140">
        <v>0.05</v>
      </c>
      <c r="AD10" s="44"/>
      <c r="AE10" s="43"/>
      <c r="AF10" s="43"/>
      <c r="AG10" s="43"/>
      <c r="AH10" s="43"/>
      <c r="AI10" s="43"/>
      <c r="AJ10" s="43"/>
      <c r="AK10" s="43"/>
      <c r="AM10" s="54"/>
    </row>
    <row r="11" spans="1:39" ht="36" customHeight="1">
      <c r="A11" s="612"/>
      <c r="B11" s="438"/>
      <c r="C11" s="575"/>
      <c r="D11" s="620"/>
      <c r="E11" s="215" t="s">
        <v>506</v>
      </c>
      <c r="F11" s="126">
        <v>0.05</v>
      </c>
      <c r="G11" s="126">
        <v>0.05</v>
      </c>
      <c r="H11" s="126">
        <v>0.05</v>
      </c>
      <c r="I11" s="126">
        <v>0.05</v>
      </c>
      <c r="J11" s="126">
        <v>0.05</v>
      </c>
      <c r="K11" s="126">
        <v>0.05</v>
      </c>
      <c r="L11" s="126">
        <v>0.05</v>
      </c>
      <c r="M11" s="126">
        <v>0.3</v>
      </c>
      <c r="N11" s="126">
        <v>0.3</v>
      </c>
      <c r="O11" s="126">
        <v>0.5</v>
      </c>
      <c r="P11" s="126">
        <v>0.5</v>
      </c>
      <c r="Q11" s="126">
        <v>0.5</v>
      </c>
      <c r="R11" s="126">
        <v>0.5</v>
      </c>
      <c r="S11" s="126">
        <v>0.5</v>
      </c>
      <c r="T11" s="126">
        <v>0.5</v>
      </c>
      <c r="U11" s="126">
        <v>0.5</v>
      </c>
      <c r="V11" s="126">
        <v>0.5</v>
      </c>
      <c r="W11" s="126">
        <v>0.5</v>
      </c>
      <c r="X11" s="126">
        <v>0.5</v>
      </c>
      <c r="Y11" s="126">
        <v>0.5</v>
      </c>
      <c r="Z11" s="126">
        <v>0.5</v>
      </c>
      <c r="AA11" s="126">
        <v>0.5</v>
      </c>
      <c r="AB11" s="126">
        <v>0.5</v>
      </c>
      <c r="AC11" s="141">
        <v>0.05</v>
      </c>
      <c r="AD11" s="44"/>
      <c r="AE11" s="43"/>
      <c r="AF11" s="43"/>
      <c r="AG11" s="43"/>
      <c r="AH11" s="43"/>
      <c r="AI11" s="43"/>
      <c r="AJ11" s="43"/>
      <c r="AK11" s="43"/>
      <c r="AM11" s="54"/>
    </row>
    <row r="12" spans="1:39" ht="36" customHeight="1" thickBot="1">
      <c r="A12" s="613"/>
      <c r="B12" s="573"/>
      <c r="C12" s="437"/>
      <c r="D12" s="621"/>
      <c r="E12" s="216" t="s">
        <v>507</v>
      </c>
      <c r="F12" s="142">
        <v>0.05</v>
      </c>
      <c r="G12" s="142">
        <v>0.05</v>
      </c>
      <c r="H12" s="142">
        <v>0.05</v>
      </c>
      <c r="I12" s="142">
        <v>0.05</v>
      </c>
      <c r="J12" s="142">
        <v>0.05</v>
      </c>
      <c r="K12" s="142">
        <v>0.05</v>
      </c>
      <c r="L12" s="142">
        <v>0.05</v>
      </c>
      <c r="M12" s="142">
        <v>0.3</v>
      </c>
      <c r="N12" s="142">
        <v>0.3</v>
      </c>
      <c r="O12" s="142">
        <v>0.3</v>
      </c>
      <c r="P12" s="142">
        <v>0.3</v>
      </c>
      <c r="Q12" s="142">
        <v>0.3</v>
      </c>
      <c r="R12" s="142">
        <v>0.65</v>
      </c>
      <c r="S12" s="142">
        <v>0.65</v>
      </c>
      <c r="T12" s="142">
        <v>0.65</v>
      </c>
      <c r="U12" s="142">
        <v>0.65</v>
      </c>
      <c r="V12" s="142">
        <v>0.65</v>
      </c>
      <c r="W12" s="142">
        <v>0.65</v>
      </c>
      <c r="X12" s="142">
        <v>0.65</v>
      </c>
      <c r="Y12" s="142">
        <v>0.65</v>
      </c>
      <c r="Z12" s="142">
        <v>0.65</v>
      </c>
      <c r="AA12" s="142">
        <v>0.65</v>
      </c>
      <c r="AB12" s="142">
        <v>0.05</v>
      </c>
      <c r="AC12" s="143">
        <v>0.05</v>
      </c>
      <c r="AD12" s="44"/>
      <c r="AE12" s="43"/>
      <c r="AF12" s="43"/>
      <c r="AG12" s="43"/>
      <c r="AH12" s="43"/>
      <c r="AI12" s="43"/>
      <c r="AJ12" s="43"/>
      <c r="AK12" s="43"/>
      <c r="AM12" s="54"/>
    </row>
    <row r="13" spans="1:39" ht="36" customHeight="1">
      <c r="A13" s="611" t="s">
        <v>502</v>
      </c>
      <c r="B13" s="572" t="s">
        <v>38</v>
      </c>
      <c r="C13" s="574" t="s">
        <v>511</v>
      </c>
      <c r="D13" s="619" t="s">
        <v>504</v>
      </c>
      <c r="E13" s="220" t="s">
        <v>505</v>
      </c>
      <c r="F13" s="139">
        <v>0</v>
      </c>
      <c r="G13" s="139">
        <v>0</v>
      </c>
      <c r="H13" s="139">
        <v>0</v>
      </c>
      <c r="I13" s="139">
        <v>0</v>
      </c>
      <c r="J13" s="139">
        <v>0</v>
      </c>
      <c r="K13" s="139">
        <v>0</v>
      </c>
      <c r="L13" s="139">
        <v>0</v>
      </c>
      <c r="M13" s="139">
        <v>0</v>
      </c>
      <c r="N13" s="139">
        <v>0</v>
      </c>
      <c r="O13" s="139">
        <v>0.05</v>
      </c>
      <c r="P13" s="139">
        <v>0.05</v>
      </c>
      <c r="Q13" s="139">
        <v>0.35</v>
      </c>
      <c r="R13" s="139">
        <v>0.05</v>
      </c>
      <c r="S13" s="139">
        <v>0.05</v>
      </c>
      <c r="T13" s="139">
        <v>0.05</v>
      </c>
      <c r="U13" s="139">
        <v>0.05</v>
      </c>
      <c r="V13" s="139">
        <v>0.05</v>
      </c>
      <c r="W13" s="139">
        <v>0</v>
      </c>
      <c r="X13" s="139">
        <v>0</v>
      </c>
      <c r="Y13" s="139">
        <v>0</v>
      </c>
      <c r="Z13" s="139">
        <v>0</v>
      </c>
      <c r="AA13" s="139">
        <v>0</v>
      </c>
      <c r="AB13" s="139">
        <v>0</v>
      </c>
      <c r="AC13" s="140">
        <v>0</v>
      </c>
      <c r="AD13" s="43"/>
      <c r="AE13" s="43"/>
      <c r="AF13" s="43"/>
      <c r="AG13" s="43"/>
      <c r="AH13" s="43"/>
      <c r="AI13" s="43"/>
      <c r="AJ13" s="43"/>
      <c r="AK13" s="43"/>
      <c r="AM13" s="54"/>
    </row>
    <row r="14" spans="1:39" ht="36" customHeight="1">
      <c r="A14" s="612"/>
      <c r="B14" s="438"/>
      <c r="C14" s="575"/>
      <c r="D14" s="620"/>
      <c r="E14" s="221" t="s">
        <v>506</v>
      </c>
      <c r="F14" s="126">
        <v>0</v>
      </c>
      <c r="G14" s="126">
        <v>0</v>
      </c>
      <c r="H14" s="126">
        <v>0</v>
      </c>
      <c r="I14" s="126">
        <v>0</v>
      </c>
      <c r="J14" s="126">
        <v>0</v>
      </c>
      <c r="K14" s="126">
        <v>0</v>
      </c>
      <c r="L14" s="126">
        <v>0</v>
      </c>
      <c r="M14" s="126">
        <v>0</v>
      </c>
      <c r="N14" s="126">
        <v>0</v>
      </c>
      <c r="O14" s="126">
        <v>0.05</v>
      </c>
      <c r="P14" s="126">
        <v>0.05</v>
      </c>
      <c r="Q14" s="126">
        <v>0.2</v>
      </c>
      <c r="R14" s="126">
        <v>0</v>
      </c>
      <c r="S14" s="126">
        <v>0</v>
      </c>
      <c r="T14" s="126">
        <v>0</v>
      </c>
      <c r="U14" s="126">
        <v>0</v>
      </c>
      <c r="V14" s="126">
        <v>0</v>
      </c>
      <c r="W14" s="126">
        <v>0</v>
      </c>
      <c r="X14" s="126">
        <v>0</v>
      </c>
      <c r="Y14" s="126">
        <v>0.65</v>
      </c>
      <c r="Z14" s="126">
        <v>0.3</v>
      </c>
      <c r="AA14" s="126">
        <v>0</v>
      </c>
      <c r="AB14" s="126">
        <v>0</v>
      </c>
      <c r="AC14" s="141">
        <v>0</v>
      </c>
      <c r="AD14" s="43"/>
      <c r="AE14" s="43"/>
      <c r="AF14" s="43"/>
      <c r="AG14" s="43"/>
      <c r="AH14" s="43"/>
      <c r="AI14" s="43"/>
      <c r="AJ14" s="43"/>
      <c r="AK14" s="43"/>
      <c r="AM14" s="54"/>
    </row>
    <row r="15" spans="1:39" ht="36" customHeight="1" thickBot="1">
      <c r="A15" s="613"/>
      <c r="B15" s="573"/>
      <c r="C15" s="576"/>
      <c r="D15" s="621"/>
      <c r="E15" s="222" t="s">
        <v>507</v>
      </c>
      <c r="F15" s="142">
        <v>0</v>
      </c>
      <c r="G15" s="142">
        <v>0</v>
      </c>
      <c r="H15" s="142">
        <v>0</v>
      </c>
      <c r="I15" s="142">
        <v>0</v>
      </c>
      <c r="J15" s="142">
        <v>0</v>
      </c>
      <c r="K15" s="142">
        <v>0</v>
      </c>
      <c r="L15" s="142">
        <v>0</v>
      </c>
      <c r="M15" s="142">
        <v>0</v>
      </c>
      <c r="N15" s="142">
        <v>0</v>
      </c>
      <c r="O15" s="142">
        <v>0.05</v>
      </c>
      <c r="P15" s="142">
        <v>0.05</v>
      </c>
      <c r="Q15" s="142">
        <v>0.1</v>
      </c>
      <c r="R15" s="142">
        <v>0</v>
      </c>
      <c r="S15" s="142">
        <v>0</v>
      </c>
      <c r="T15" s="142">
        <v>0</v>
      </c>
      <c r="U15" s="142">
        <v>0</v>
      </c>
      <c r="V15" s="142">
        <v>0</v>
      </c>
      <c r="W15" s="142">
        <v>0</v>
      </c>
      <c r="X15" s="142">
        <v>0</v>
      </c>
      <c r="Y15" s="142">
        <v>0.65</v>
      </c>
      <c r="Z15" s="142">
        <v>0.3</v>
      </c>
      <c r="AA15" s="142">
        <v>0</v>
      </c>
      <c r="AB15" s="142">
        <v>0</v>
      </c>
      <c r="AC15" s="143">
        <v>0</v>
      </c>
      <c r="AD15" s="43"/>
      <c r="AE15" s="43"/>
      <c r="AF15" s="43"/>
      <c r="AG15" s="43"/>
      <c r="AH15" s="43"/>
      <c r="AI15" s="43"/>
      <c r="AJ15" s="43"/>
      <c r="AK15" s="43"/>
      <c r="AM15" s="54"/>
    </row>
    <row r="16" spans="1:39" ht="36" customHeight="1">
      <c r="A16" s="611" t="s">
        <v>502</v>
      </c>
      <c r="B16" s="572" t="s">
        <v>38</v>
      </c>
      <c r="C16" s="574" t="s">
        <v>512</v>
      </c>
      <c r="D16" s="619" t="s">
        <v>504</v>
      </c>
      <c r="E16" s="217" t="s">
        <v>505</v>
      </c>
      <c r="F16" s="139">
        <v>0</v>
      </c>
      <c r="G16" s="139">
        <v>0</v>
      </c>
      <c r="H16" s="139">
        <v>0</v>
      </c>
      <c r="I16" s="139">
        <v>0</v>
      </c>
      <c r="J16" s="139">
        <v>0</v>
      </c>
      <c r="K16" s="139">
        <v>0</v>
      </c>
      <c r="L16" s="139">
        <v>0</v>
      </c>
      <c r="M16" s="139">
        <v>0</v>
      </c>
      <c r="N16" s="139">
        <v>0.3</v>
      </c>
      <c r="O16" s="139">
        <v>0.3</v>
      </c>
      <c r="P16" s="139">
        <v>0.2</v>
      </c>
      <c r="Q16" s="139">
        <v>0.9</v>
      </c>
      <c r="R16" s="139">
        <v>0.9</v>
      </c>
      <c r="S16" s="139">
        <v>0.9</v>
      </c>
      <c r="T16" s="139">
        <v>0.2</v>
      </c>
      <c r="U16" s="139">
        <v>0.2</v>
      </c>
      <c r="V16" s="139">
        <v>0.2</v>
      </c>
      <c r="W16" s="139">
        <v>0.5</v>
      </c>
      <c r="X16" s="139">
        <v>0.5</v>
      </c>
      <c r="Y16" s="139">
        <v>0.1</v>
      </c>
      <c r="Z16" s="139">
        <v>0.1</v>
      </c>
      <c r="AA16" s="139">
        <v>0.1</v>
      </c>
      <c r="AB16" s="139">
        <v>0</v>
      </c>
      <c r="AC16" s="140">
        <v>0</v>
      </c>
      <c r="AD16" s="44"/>
      <c r="AE16" s="43"/>
      <c r="AF16" s="43"/>
      <c r="AG16" s="43"/>
      <c r="AH16" s="43"/>
      <c r="AI16" s="43"/>
      <c r="AJ16" s="43"/>
      <c r="AK16" s="43"/>
      <c r="AM16" s="54"/>
    </row>
    <row r="17" spans="1:39" ht="36" customHeight="1">
      <c r="A17" s="612"/>
      <c r="B17" s="438"/>
      <c r="C17" s="575"/>
      <c r="D17" s="620"/>
      <c r="E17" s="215" t="s">
        <v>506</v>
      </c>
      <c r="F17" s="126">
        <v>0</v>
      </c>
      <c r="G17" s="126">
        <v>0</v>
      </c>
      <c r="H17" s="126">
        <v>0</v>
      </c>
      <c r="I17" s="126">
        <v>0</v>
      </c>
      <c r="J17" s="126">
        <v>0</v>
      </c>
      <c r="K17" s="126">
        <v>0</v>
      </c>
      <c r="L17" s="126">
        <v>0</v>
      </c>
      <c r="M17" s="126">
        <v>0</v>
      </c>
      <c r="N17" s="126">
        <v>0.3</v>
      </c>
      <c r="O17" s="126">
        <v>0.3</v>
      </c>
      <c r="P17" s="126">
        <v>0.2</v>
      </c>
      <c r="Q17" s="126">
        <v>0.7</v>
      </c>
      <c r="R17" s="126">
        <v>0.7</v>
      </c>
      <c r="S17" s="126">
        <v>0.7</v>
      </c>
      <c r="T17" s="126">
        <v>0.2</v>
      </c>
      <c r="U17" s="126">
        <v>0.2</v>
      </c>
      <c r="V17" s="126">
        <v>0.2</v>
      </c>
      <c r="W17" s="126">
        <v>0.4</v>
      </c>
      <c r="X17" s="126">
        <v>0.4</v>
      </c>
      <c r="Y17" s="126">
        <v>0.1</v>
      </c>
      <c r="Z17" s="126">
        <v>0.1</v>
      </c>
      <c r="AA17" s="126">
        <v>0.1</v>
      </c>
      <c r="AB17" s="126">
        <v>0</v>
      </c>
      <c r="AC17" s="141">
        <v>0</v>
      </c>
      <c r="AD17" s="44"/>
      <c r="AE17" s="43"/>
      <c r="AF17" s="43"/>
      <c r="AG17" s="43"/>
      <c r="AH17" s="43"/>
      <c r="AI17" s="43"/>
      <c r="AJ17" s="43"/>
      <c r="AK17" s="43"/>
      <c r="AM17" s="54"/>
    </row>
    <row r="18" spans="1:39" ht="36" customHeight="1" thickBot="1">
      <c r="A18" s="613"/>
      <c r="B18" s="573"/>
      <c r="C18" s="437"/>
      <c r="D18" s="621"/>
      <c r="E18" s="216" t="s">
        <v>507</v>
      </c>
      <c r="F18" s="142">
        <v>0</v>
      </c>
      <c r="G18" s="142">
        <v>0</v>
      </c>
      <c r="H18" s="142">
        <v>0</v>
      </c>
      <c r="I18" s="142">
        <v>0</v>
      </c>
      <c r="J18" s="142">
        <v>0</v>
      </c>
      <c r="K18" s="142">
        <v>0</v>
      </c>
      <c r="L18" s="142">
        <v>0</v>
      </c>
      <c r="M18" s="142">
        <v>0</v>
      </c>
      <c r="N18" s="142">
        <v>0.2</v>
      </c>
      <c r="O18" s="142">
        <v>0.2</v>
      </c>
      <c r="P18" s="142">
        <v>0.1</v>
      </c>
      <c r="Q18" s="142">
        <v>0.1</v>
      </c>
      <c r="R18" s="142">
        <v>0.3</v>
      </c>
      <c r="S18" s="142">
        <v>0.8</v>
      </c>
      <c r="T18" s="142">
        <v>0.2</v>
      </c>
      <c r="U18" s="142">
        <v>0.2</v>
      </c>
      <c r="V18" s="142">
        <v>0.2</v>
      </c>
      <c r="W18" s="142">
        <v>0.5</v>
      </c>
      <c r="X18" s="142">
        <v>0.5</v>
      </c>
      <c r="Y18" s="142">
        <v>0.1</v>
      </c>
      <c r="Z18" s="142">
        <v>0.1</v>
      </c>
      <c r="AA18" s="142">
        <v>0.1</v>
      </c>
      <c r="AB18" s="142">
        <v>0</v>
      </c>
      <c r="AC18" s="143">
        <v>0</v>
      </c>
      <c r="AD18" s="44"/>
      <c r="AE18" s="43"/>
      <c r="AF18" s="43"/>
      <c r="AG18" s="43"/>
      <c r="AH18" s="43"/>
      <c r="AI18" s="43"/>
      <c r="AJ18" s="43"/>
      <c r="AK18" s="43"/>
      <c r="AM18" s="54"/>
    </row>
    <row r="19" spans="1:39" ht="36" customHeight="1">
      <c r="A19" s="611" t="s">
        <v>502</v>
      </c>
      <c r="B19" s="572" t="s">
        <v>38</v>
      </c>
      <c r="C19" s="574" t="s">
        <v>513</v>
      </c>
      <c r="D19" s="619" t="s">
        <v>504</v>
      </c>
      <c r="E19" s="217" t="s">
        <v>505</v>
      </c>
      <c r="F19" s="139">
        <v>0.9</v>
      </c>
      <c r="G19" s="139">
        <v>0.9</v>
      </c>
      <c r="H19" s="139">
        <v>0.9</v>
      </c>
      <c r="I19" s="139">
        <v>0.9</v>
      </c>
      <c r="J19" s="139">
        <v>0.9</v>
      </c>
      <c r="K19" s="139">
        <v>0.9</v>
      </c>
      <c r="L19" s="139">
        <v>0.9</v>
      </c>
      <c r="M19" s="139">
        <v>0.9</v>
      </c>
      <c r="N19" s="139">
        <v>0.9</v>
      </c>
      <c r="O19" s="139">
        <v>0.9</v>
      </c>
      <c r="P19" s="139">
        <v>0.9</v>
      </c>
      <c r="Q19" s="139">
        <v>0.9</v>
      </c>
      <c r="R19" s="139">
        <v>0.9</v>
      </c>
      <c r="S19" s="139">
        <v>0.9</v>
      </c>
      <c r="T19" s="139">
        <v>0.9</v>
      </c>
      <c r="U19" s="139">
        <v>0.9</v>
      </c>
      <c r="V19" s="139">
        <v>0.9</v>
      </c>
      <c r="W19" s="139">
        <v>0.9</v>
      </c>
      <c r="X19" s="139">
        <v>0.9</v>
      </c>
      <c r="Y19" s="139">
        <v>0.9</v>
      </c>
      <c r="Z19" s="139">
        <v>0.9</v>
      </c>
      <c r="AA19" s="139">
        <v>0.9</v>
      </c>
      <c r="AB19" s="139">
        <v>0.9</v>
      </c>
      <c r="AC19" s="140">
        <v>0.9</v>
      </c>
      <c r="AD19" s="44"/>
      <c r="AE19" s="43"/>
      <c r="AF19" s="43"/>
      <c r="AG19" s="43"/>
      <c r="AH19" s="43"/>
      <c r="AI19" s="43"/>
      <c r="AJ19" s="43"/>
      <c r="AK19" s="43"/>
      <c r="AM19" s="54"/>
    </row>
    <row r="20" spans="1:39" ht="36" customHeight="1">
      <c r="A20" s="612"/>
      <c r="B20" s="438"/>
      <c r="C20" s="575"/>
      <c r="D20" s="620"/>
      <c r="E20" s="215" t="s">
        <v>506</v>
      </c>
      <c r="F20" s="126">
        <v>0.9</v>
      </c>
      <c r="G20" s="126">
        <v>0.9</v>
      </c>
      <c r="H20" s="126">
        <v>0.9</v>
      </c>
      <c r="I20" s="126">
        <v>0.9</v>
      </c>
      <c r="J20" s="126">
        <v>0.9</v>
      </c>
      <c r="K20" s="126">
        <v>0.9</v>
      </c>
      <c r="L20" s="126">
        <v>0.9</v>
      </c>
      <c r="M20" s="126">
        <v>0.9</v>
      </c>
      <c r="N20" s="126">
        <v>0.9</v>
      </c>
      <c r="O20" s="126">
        <v>0.9</v>
      </c>
      <c r="P20" s="126">
        <v>0.9</v>
      </c>
      <c r="Q20" s="126">
        <v>0.9</v>
      </c>
      <c r="R20" s="126">
        <v>0.9</v>
      </c>
      <c r="S20" s="126">
        <v>0.9</v>
      </c>
      <c r="T20" s="126">
        <v>0.9</v>
      </c>
      <c r="U20" s="126">
        <v>0.9</v>
      </c>
      <c r="V20" s="126">
        <v>0.9</v>
      </c>
      <c r="W20" s="126">
        <v>0.9</v>
      </c>
      <c r="X20" s="126">
        <v>0.9</v>
      </c>
      <c r="Y20" s="126">
        <v>0.9</v>
      </c>
      <c r="Z20" s="126">
        <v>0.9</v>
      </c>
      <c r="AA20" s="126">
        <v>0.9</v>
      </c>
      <c r="AB20" s="126">
        <v>0.9</v>
      </c>
      <c r="AC20" s="141">
        <v>0.9</v>
      </c>
      <c r="AD20" s="44"/>
      <c r="AE20" s="43"/>
      <c r="AF20" s="43"/>
      <c r="AG20" s="43"/>
      <c r="AH20" s="43"/>
      <c r="AI20" s="43"/>
      <c r="AJ20" s="43"/>
      <c r="AK20" s="43"/>
      <c r="AM20" s="54"/>
    </row>
    <row r="21" spans="1:39" ht="36" customHeight="1" thickBot="1">
      <c r="A21" s="613"/>
      <c r="B21" s="573"/>
      <c r="C21" s="576"/>
      <c r="D21" s="621"/>
      <c r="E21" s="216" t="s">
        <v>507</v>
      </c>
      <c r="F21" s="142">
        <v>0.9</v>
      </c>
      <c r="G21" s="142">
        <v>0.9</v>
      </c>
      <c r="H21" s="142">
        <v>0.9</v>
      </c>
      <c r="I21" s="142">
        <v>0.9</v>
      </c>
      <c r="J21" s="142">
        <v>0.9</v>
      </c>
      <c r="K21" s="142">
        <v>0.9</v>
      </c>
      <c r="L21" s="142">
        <v>0.9</v>
      </c>
      <c r="M21" s="142">
        <v>0.9</v>
      </c>
      <c r="N21" s="142">
        <v>0.9</v>
      </c>
      <c r="O21" s="142">
        <v>0.9</v>
      </c>
      <c r="P21" s="142">
        <v>0.9</v>
      </c>
      <c r="Q21" s="142">
        <v>0.9</v>
      </c>
      <c r="R21" s="142">
        <v>0.9</v>
      </c>
      <c r="S21" s="142">
        <v>0.9</v>
      </c>
      <c r="T21" s="142">
        <v>0.9</v>
      </c>
      <c r="U21" s="142">
        <v>0.9</v>
      </c>
      <c r="V21" s="142">
        <v>0.9</v>
      </c>
      <c r="W21" s="142">
        <v>0.9</v>
      </c>
      <c r="X21" s="142">
        <v>0.9</v>
      </c>
      <c r="Y21" s="142">
        <v>0.9</v>
      </c>
      <c r="Z21" s="142">
        <v>0.9</v>
      </c>
      <c r="AA21" s="142">
        <v>0.9</v>
      </c>
      <c r="AB21" s="142">
        <v>0.9</v>
      </c>
      <c r="AC21" s="143">
        <v>0.9</v>
      </c>
      <c r="AD21" s="44"/>
      <c r="AE21" s="43"/>
      <c r="AF21" s="43"/>
      <c r="AG21" s="43"/>
      <c r="AH21" s="43"/>
      <c r="AI21" s="43"/>
      <c r="AJ21" s="43"/>
      <c r="AK21" s="43"/>
      <c r="AM21" s="54"/>
    </row>
    <row r="22" spans="1:39" ht="36" customHeight="1">
      <c r="A22" s="611" t="s">
        <v>502</v>
      </c>
      <c r="B22" s="572" t="s">
        <v>38</v>
      </c>
      <c r="C22" s="574" t="s">
        <v>514</v>
      </c>
      <c r="D22" s="619" t="s">
        <v>504</v>
      </c>
      <c r="E22" s="217" t="s">
        <v>505</v>
      </c>
      <c r="F22" s="139">
        <v>0</v>
      </c>
      <c r="G22" s="139">
        <v>0</v>
      </c>
      <c r="H22" s="139">
        <v>0</v>
      </c>
      <c r="I22" s="139">
        <v>0</v>
      </c>
      <c r="J22" s="139">
        <v>0</v>
      </c>
      <c r="K22" s="139">
        <v>0</v>
      </c>
      <c r="L22" s="139">
        <v>0</v>
      </c>
      <c r="M22" s="139">
        <v>1</v>
      </c>
      <c r="N22" s="139">
        <v>1</v>
      </c>
      <c r="O22" s="139">
        <v>1</v>
      </c>
      <c r="P22" s="139">
        <v>1</v>
      </c>
      <c r="Q22" s="139">
        <v>1</v>
      </c>
      <c r="R22" s="139">
        <v>1</v>
      </c>
      <c r="S22" s="139">
        <v>1</v>
      </c>
      <c r="T22" s="139">
        <v>1</v>
      </c>
      <c r="U22" s="139">
        <v>1</v>
      </c>
      <c r="V22" s="139">
        <v>1</v>
      </c>
      <c r="W22" s="139">
        <v>1</v>
      </c>
      <c r="X22" s="139">
        <v>1</v>
      </c>
      <c r="Y22" s="139">
        <v>1</v>
      </c>
      <c r="Z22" s="139">
        <v>1</v>
      </c>
      <c r="AA22" s="139">
        <v>1</v>
      </c>
      <c r="AB22" s="139">
        <v>1</v>
      </c>
      <c r="AC22" s="140">
        <v>0</v>
      </c>
      <c r="AD22" s="44"/>
      <c r="AE22" s="43"/>
      <c r="AF22" s="43"/>
      <c r="AG22" s="43"/>
      <c r="AH22" s="43"/>
      <c r="AI22" s="43"/>
      <c r="AJ22" s="43"/>
      <c r="AK22" s="43"/>
      <c r="AM22" s="54"/>
    </row>
    <row r="23" spans="1:39" ht="36" customHeight="1">
      <c r="A23" s="612"/>
      <c r="B23" s="438"/>
      <c r="C23" s="575"/>
      <c r="D23" s="620"/>
      <c r="E23" s="215" t="s">
        <v>506</v>
      </c>
      <c r="F23" s="126">
        <v>0</v>
      </c>
      <c r="G23" s="126">
        <v>0</v>
      </c>
      <c r="H23" s="126">
        <v>0</v>
      </c>
      <c r="I23" s="126">
        <v>0</v>
      </c>
      <c r="J23" s="126">
        <v>0</v>
      </c>
      <c r="K23" s="126">
        <v>0</v>
      </c>
      <c r="L23" s="126">
        <v>0</v>
      </c>
      <c r="M23" s="126">
        <v>1</v>
      </c>
      <c r="N23" s="126">
        <v>1</v>
      </c>
      <c r="O23" s="126">
        <v>1</v>
      </c>
      <c r="P23" s="126">
        <v>1</v>
      </c>
      <c r="Q23" s="126">
        <v>1</v>
      </c>
      <c r="R23" s="126">
        <v>1</v>
      </c>
      <c r="S23" s="126">
        <v>1</v>
      </c>
      <c r="T23" s="126">
        <v>1</v>
      </c>
      <c r="U23" s="126">
        <v>1</v>
      </c>
      <c r="V23" s="126">
        <v>1</v>
      </c>
      <c r="W23" s="126">
        <v>1</v>
      </c>
      <c r="X23" s="126">
        <v>1</v>
      </c>
      <c r="Y23" s="126">
        <v>1</v>
      </c>
      <c r="Z23" s="126">
        <v>1</v>
      </c>
      <c r="AA23" s="126">
        <v>1</v>
      </c>
      <c r="AB23" s="126">
        <v>1</v>
      </c>
      <c r="AC23" s="141">
        <v>0</v>
      </c>
      <c r="AD23" s="44"/>
      <c r="AE23" s="43"/>
      <c r="AF23" s="43"/>
      <c r="AG23" s="43"/>
      <c r="AH23" s="43"/>
      <c r="AI23" s="43"/>
      <c r="AJ23" s="43"/>
      <c r="AK23" s="43"/>
      <c r="AM23" s="54"/>
    </row>
    <row r="24" spans="1:39" ht="36" customHeight="1">
      <c r="A24" s="613"/>
      <c r="B24" s="573"/>
      <c r="C24" s="576"/>
      <c r="D24" s="621"/>
      <c r="E24" s="216" t="s">
        <v>507</v>
      </c>
      <c r="F24" s="142">
        <v>0</v>
      </c>
      <c r="G24" s="142">
        <v>0</v>
      </c>
      <c r="H24" s="142">
        <v>0</v>
      </c>
      <c r="I24" s="142">
        <v>0</v>
      </c>
      <c r="J24" s="142">
        <v>0</v>
      </c>
      <c r="K24" s="142">
        <v>0</v>
      </c>
      <c r="L24" s="142">
        <v>0</v>
      </c>
      <c r="M24" s="142">
        <v>1</v>
      </c>
      <c r="N24" s="142">
        <v>1</v>
      </c>
      <c r="O24" s="142">
        <v>1</v>
      </c>
      <c r="P24" s="142">
        <v>1</v>
      </c>
      <c r="Q24" s="142">
        <v>1</v>
      </c>
      <c r="R24" s="142">
        <v>1</v>
      </c>
      <c r="S24" s="142">
        <v>1</v>
      </c>
      <c r="T24" s="142">
        <v>1</v>
      </c>
      <c r="U24" s="142">
        <v>1</v>
      </c>
      <c r="V24" s="142">
        <v>1</v>
      </c>
      <c r="W24" s="142">
        <v>1</v>
      </c>
      <c r="X24" s="142">
        <v>1</v>
      </c>
      <c r="Y24" s="142">
        <v>1</v>
      </c>
      <c r="Z24" s="142">
        <v>1</v>
      </c>
      <c r="AA24" s="142">
        <v>1</v>
      </c>
      <c r="AB24" s="142">
        <v>1</v>
      </c>
      <c r="AC24" s="143">
        <v>0</v>
      </c>
      <c r="AD24" s="44"/>
      <c r="AE24" s="43"/>
      <c r="AF24" s="43"/>
      <c r="AG24" s="43"/>
      <c r="AH24" s="43"/>
      <c r="AI24" s="43"/>
      <c r="AJ24" s="43"/>
      <c r="AK24" s="43"/>
      <c r="AM24" s="54"/>
    </row>
    <row r="25" spans="1:39" ht="36" customHeight="1">
      <c r="A25" s="611" t="s">
        <v>502</v>
      </c>
      <c r="B25" s="572" t="s">
        <v>38</v>
      </c>
      <c r="C25" s="574" t="s">
        <v>186</v>
      </c>
      <c r="D25" s="619" t="s">
        <v>504</v>
      </c>
      <c r="E25" s="217" t="s">
        <v>505</v>
      </c>
      <c r="F25" s="139">
        <f>IF(F4=0,1,0.25)</f>
        <v>1</v>
      </c>
      <c r="G25" s="139">
        <f t="shared" ref="G25:AC27" si="0">IF(G4=0,1,0.25)</f>
        <v>1</v>
      </c>
      <c r="H25" s="139">
        <f t="shared" si="0"/>
        <v>1</v>
      </c>
      <c r="I25" s="139">
        <f t="shared" si="0"/>
        <v>1</v>
      </c>
      <c r="J25" s="139">
        <f t="shared" si="0"/>
        <v>1</v>
      </c>
      <c r="K25" s="139">
        <f t="shared" si="0"/>
        <v>1</v>
      </c>
      <c r="L25" s="139">
        <f t="shared" si="0"/>
        <v>1</v>
      </c>
      <c r="M25" s="139">
        <f t="shared" si="0"/>
        <v>1</v>
      </c>
      <c r="N25" s="139">
        <f t="shared" si="0"/>
        <v>0.25</v>
      </c>
      <c r="O25" s="139">
        <f t="shared" si="0"/>
        <v>0.25</v>
      </c>
      <c r="P25" s="139">
        <f t="shared" si="0"/>
        <v>0.25</v>
      </c>
      <c r="Q25" s="139">
        <f t="shared" si="0"/>
        <v>0.25</v>
      </c>
      <c r="R25" s="139">
        <f t="shared" si="0"/>
        <v>0.25</v>
      </c>
      <c r="S25" s="139">
        <f t="shared" si="0"/>
        <v>0.25</v>
      </c>
      <c r="T25" s="139">
        <f t="shared" si="0"/>
        <v>0.25</v>
      </c>
      <c r="U25" s="139">
        <f t="shared" si="0"/>
        <v>0.25</v>
      </c>
      <c r="V25" s="139">
        <f t="shared" si="0"/>
        <v>0.25</v>
      </c>
      <c r="W25" s="139">
        <f t="shared" si="0"/>
        <v>0.25</v>
      </c>
      <c r="X25" s="139">
        <f t="shared" si="0"/>
        <v>0.25</v>
      </c>
      <c r="Y25" s="139">
        <f t="shared" si="0"/>
        <v>0.25</v>
      </c>
      <c r="Z25" s="139">
        <f t="shared" si="0"/>
        <v>0.25</v>
      </c>
      <c r="AA25" s="139">
        <f t="shared" si="0"/>
        <v>0.25</v>
      </c>
      <c r="AB25" s="139">
        <f t="shared" si="0"/>
        <v>0.25</v>
      </c>
      <c r="AC25" s="140">
        <f t="shared" si="0"/>
        <v>1</v>
      </c>
      <c r="AD25" s="44"/>
      <c r="AE25" s="43"/>
      <c r="AF25" s="43"/>
      <c r="AG25" s="43"/>
      <c r="AH25" s="43"/>
      <c r="AI25" s="43"/>
      <c r="AJ25" s="43"/>
      <c r="AK25" s="43"/>
      <c r="AM25" s="54"/>
    </row>
    <row r="26" spans="1:39" ht="36" customHeight="1">
      <c r="A26" s="612"/>
      <c r="B26" s="438"/>
      <c r="C26" s="575"/>
      <c r="D26" s="620"/>
      <c r="E26" s="215" t="s">
        <v>506</v>
      </c>
      <c r="F26" s="126">
        <f t="shared" ref="F26:U27" si="1">IF(F5=0,1,0.25)</f>
        <v>1</v>
      </c>
      <c r="G26" s="126">
        <f t="shared" si="1"/>
        <v>1</v>
      </c>
      <c r="H26" s="126">
        <f t="shared" si="1"/>
        <v>1</v>
      </c>
      <c r="I26" s="126">
        <f t="shared" si="1"/>
        <v>1</v>
      </c>
      <c r="J26" s="126">
        <f t="shared" si="1"/>
        <v>1</v>
      </c>
      <c r="K26" s="126">
        <f t="shared" si="1"/>
        <v>1</v>
      </c>
      <c r="L26" s="126">
        <f t="shared" si="1"/>
        <v>1</v>
      </c>
      <c r="M26" s="126">
        <f t="shared" si="1"/>
        <v>1</v>
      </c>
      <c r="N26" s="126">
        <f t="shared" si="1"/>
        <v>0.25</v>
      </c>
      <c r="O26" s="126">
        <f t="shared" si="1"/>
        <v>0.25</v>
      </c>
      <c r="P26" s="126">
        <f t="shared" si="1"/>
        <v>0.25</v>
      </c>
      <c r="Q26" s="126">
        <f t="shared" si="1"/>
        <v>0.25</v>
      </c>
      <c r="R26" s="126">
        <f t="shared" si="1"/>
        <v>0.25</v>
      </c>
      <c r="S26" s="126">
        <f t="shared" si="1"/>
        <v>0.25</v>
      </c>
      <c r="T26" s="126">
        <f t="shared" si="1"/>
        <v>0.25</v>
      </c>
      <c r="U26" s="126">
        <f t="shared" si="1"/>
        <v>0.25</v>
      </c>
      <c r="V26" s="126">
        <f t="shared" si="0"/>
        <v>0.25</v>
      </c>
      <c r="W26" s="126">
        <f t="shared" si="0"/>
        <v>0.25</v>
      </c>
      <c r="X26" s="126">
        <f t="shared" si="0"/>
        <v>0.25</v>
      </c>
      <c r="Y26" s="126">
        <f t="shared" si="0"/>
        <v>0.25</v>
      </c>
      <c r="Z26" s="126">
        <f t="shared" si="0"/>
        <v>0.25</v>
      </c>
      <c r="AA26" s="126">
        <f t="shared" si="0"/>
        <v>0.25</v>
      </c>
      <c r="AB26" s="126">
        <f t="shared" si="0"/>
        <v>0.25</v>
      </c>
      <c r="AC26" s="141">
        <f t="shared" si="0"/>
        <v>1</v>
      </c>
      <c r="AD26" s="44"/>
      <c r="AE26" s="43"/>
      <c r="AF26" s="43"/>
      <c r="AG26" s="43"/>
      <c r="AH26" s="43"/>
      <c r="AI26" s="43"/>
      <c r="AJ26" s="43"/>
      <c r="AK26" s="43"/>
      <c r="AM26" s="54"/>
    </row>
    <row r="27" spans="1:39" ht="36" customHeight="1">
      <c r="A27" s="613"/>
      <c r="B27" s="573"/>
      <c r="C27" s="576"/>
      <c r="D27" s="621"/>
      <c r="E27" s="216" t="s">
        <v>507</v>
      </c>
      <c r="F27" s="142">
        <f t="shared" si="1"/>
        <v>1</v>
      </c>
      <c r="G27" s="142">
        <f t="shared" si="0"/>
        <v>1</v>
      </c>
      <c r="H27" s="142">
        <f t="shared" si="0"/>
        <v>1</v>
      </c>
      <c r="I27" s="142">
        <f t="shared" si="0"/>
        <v>1</v>
      </c>
      <c r="J27" s="142">
        <f t="shared" si="0"/>
        <v>1</v>
      </c>
      <c r="K27" s="142">
        <f t="shared" si="0"/>
        <v>1</v>
      </c>
      <c r="L27" s="142">
        <f t="shared" si="0"/>
        <v>1</v>
      </c>
      <c r="M27" s="142">
        <f t="shared" si="0"/>
        <v>1</v>
      </c>
      <c r="N27" s="142">
        <f t="shared" si="0"/>
        <v>0.25</v>
      </c>
      <c r="O27" s="142">
        <f t="shared" si="0"/>
        <v>0.25</v>
      </c>
      <c r="P27" s="142">
        <f t="shared" si="0"/>
        <v>0.25</v>
      </c>
      <c r="Q27" s="142">
        <f t="shared" si="0"/>
        <v>0.25</v>
      </c>
      <c r="R27" s="142">
        <f t="shared" si="0"/>
        <v>0.25</v>
      </c>
      <c r="S27" s="142">
        <f t="shared" si="0"/>
        <v>0.25</v>
      </c>
      <c r="T27" s="142">
        <f t="shared" si="0"/>
        <v>0.25</v>
      </c>
      <c r="U27" s="142">
        <f t="shared" si="0"/>
        <v>0.25</v>
      </c>
      <c r="V27" s="142">
        <f t="shared" si="0"/>
        <v>0.25</v>
      </c>
      <c r="W27" s="142">
        <f t="shared" si="0"/>
        <v>0.25</v>
      </c>
      <c r="X27" s="142">
        <f t="shared" si="0"/>
        <v>0.25</v>
      </c>
      <c r="Y27" s="142">
        <f t="shared" si="0"/>
        <v>0.25</v>
      </c>
      <c r="Z27" s="142">
        <f t="shared" si="0"/>
        <v>0.25</v>
      </c>
      <c r="AA27" s="142">
        <f t="shared" si="0"/>
        <v>0.25</v>
      </c>
      <c r="AB27" s="142">
        <f t="shared" si="0"/>
        <v>0.25</v>
      </c>
      <c r="AC27" s="143">
        <f t="shared" si="0"/>
        <v>1</v>
      </c>
      <c r="AD27" s="44"/>
      <c r="AE27" s="43"/>
      <c r="AF27" s="43"/>
      <c r="AG27" s="43"/>
      <c r="AH27" s="43"/>
      <c r="AI27" s="43"/>
      <c r="AJ27" s="43"/>
      <c r="AK27" s="43"/>
      <c r="AM27" s="54"/>
    </row>
    <row r="28" spans="1:39" ht="36" customHeight="1">
      <c r="A28" s="611" t="s">
        <v>502</v>
      </c>
      <c r="B28" s="572" t="s">
        <v>38</v>
      </c>
      <c r="C28" s="580" t="s">
        <v>515</v>
      </c>
      <c r="D28" s="619" t="s">
        <v>504</v>
      </c>
      <c r="E28" s="217" t="s">
        <v>505</v>
      </c>
      <c r="F28" s="232">
        <f>IF(F22=1,Thermostat!$B$3,Thermostat!$B$4)</f>
        <v>60</v>
      </c>
      <c r="G28" s="232">
        <f>IF(G22=1,Thermostat!$B$3,Thermostat!$B$4)</f>
        <v>60</v>
      </c>
      <c r="H28" s="232">
        <f>IF(H22=1,Thermostat!$B$3,Thermostat!$B$4)</f>
        <v>60</v>
      </c>
      <c r="I28" s="232">
        <f>IF(I22=1,Thermostat!$B$3,Thermostat!$B$4)</f>
        <v>60</v>
      </c>
      <c r="J28" s="232">
        <f>IF(J22=1,Thermostat!$B$3,Thermostat!$B$4)</f>
        <v>60</v>
      </c>
      <c r="K28" s="232">
        <f>IF(K22=1,Thermostat!$B$3,Thermostat!$B$4)</f>
        <v>60</v>
      </c>
      <c r="L28" s="232">
        <f>IF(L22=1,Thermostat!$B$3,Thermostat!$B$4)</f>
        <v>60</v>
      </c>
      <c r="M28" s="232">
        <f>IF(M22=1,Thermostat!$B$3,Thermostat!$B$4)</f>
        <v>70</v>
      </c>
      <c r="N28" s="232">
        <f>IF(N22=1,Thermostat!$B$3,Thermostat!$B$4)</f>
        <v>70</v>
      </c>
      <c r="O28" s="232">
        <f>IF(O22=1,Thermostat!$B$3,Thermostat!$B$4)</f>
        <v>70</v>
      </c>
      <c r="P28" s="232">
        <f>IF(P22=1,Thermostat!$B$3,Thermostat!$B$4)</f>
        <v>70</v>
      </c>
      <c r="Q28" s="232">
        <f>IF(Q22=1,Thermostat!$B$3,Thermostat!$B$4)</f>
        <v>70</v>
      </c>
      <c r="R28" s="232">
        <f>IF(R22=1,Thermostat!$B$3,Thermostat!$B$4)</f>
        <v>70</v>
      </c>
      <c r="S28" s="232">
        <f>IF(S22=1,Thermostat!$B$3,Thermostat!$B$4)</f>
        <v>70</v>
      </c>
      <c r="T28" s="232">
        <f>IF(T22=1,Thermostat!$B$3,Thermostat!$B$4)</f>
        <v>70</v>
      </c>
      <c r="U28" s="232">
        <f>IF(U22=1,Thermostat!$B$3,Thermostat!$B$4)</f>
        <v>70</v>
      </c>
      <c r="V28" s="232">
        <f>IF(V22=1,Thermostat!$B$3,Thermostat!$B$4)</f>
        <v>70</v>
      </c>
      <c r="W28" s="232">
        <f>IF(W22=1,Thermostat!$B$3,Thermostat!$B$4)</f>
        <v>70</v>
      </c>
      <c r="X28" s="232">
        <f>IF(X22=1,Thermostat!$B$3,Thermostat!$B$4)</f>
        <v>70</v>
      </c>
      <c r="Y28" s="232">
        <f>IF(Y22=1,Thermostat!$B$3,Thermostat!$B$4)</f>
        <v>70</v>
      </c>
      <c r="Z28" s="232">
        <f>IF(Z22=1,Thermostat!$B$3,Thermostat!$B$4)</f>
        <v>70</v>
      </c>
      <c r="AA28" s="232">
        <f>IF(AA22=1,Thermostat!$B$3,Thermostat!$B$4)</f>
        <v>70</v>
      </c>
      <c r="AB28" s="232">
        <f>IF(AB22=1,Thermostat!$B$3,Thermostat!$B$4)</f>
        <v>70</v>
      </c>
      <c r="AC28" s="233">
        <f>IF(AC22=1,Thermostat!$B$3,Thermostat!$B$4)</f>
        <v>60</v>
      </c>
      <c r="AD28" s="44"/>
      <c r="AE28" s="43"/>
      <c r="AF28" s="43"/>
      <c r="AG28" s="43"/>
      <c r="AH28" s="43"/>
      <c r="AI28" s="43"/>
      <c r="AJ28" s="43"/>
      <c r="AK28" s="43"/>
      <c r="AM28" s="54"/>
    </row>
    <row r="29" spans="1:39" ht="36" customHeight="1">
      <c r="A29" s="612"/>
      <c r="B29" s="438"/>
      <c r="C29" s="581"/>
      <c r="D29" s="620"/>
      <c r="E29" s="215" t="s">
        <v>506</v>
      </c>
      <c r="F29" s="234">
        <f>IF(F23=1,Thermostat!$B$3,Thermostat!$B$4)</f>
        <v>60</v>
      </c>
      <c r="G29" s="234">
        <f>IF(G23=1,Thermostat!$B$3,Thermostat!$B$4)</f>
        <v>60</v>
      </c>
      <c r="H29" s="234">
        <f>IF(H23=1,Thermostat!$B$3,Thermostat!$B$4)</f>
        <v>60</v>
      </c>
      <c r="I29" s="234">
        <f>IF(I23=1,Thermostat!$B$3,Thermostat!$B$4)</f>
        <v>60</v>
      </c>
      <c r="J29" s="234">
        <f>IF(J23=1,Thermostat!$B$3,Thermostat!$B$4)</f>
        <v>60</v>
      </c>
      <c r="K29" s="234">
        <f>IF(K23=1,Thermostat!$B$3,Thermostat!$B$4)</f>
        <v>60</v>
      </c>
      <c r="L29" s="234">
        <f>IF(L23=1,Thermostat!$B$3,Thermostat!$B$4)</f>
        <v>60</v>
      </c>
      <c r="M29" s="234">
        <f>IF(M23=1,Thermostat!$B$3,Thermostat!$B$4)</f>
        <v>70</v>
      </c>
      <c r="N29" s="234">
        <f>IF(N23=1,Thermostat!$B$3,Thermostat!$B$4)</f>
        <v>70</v>
      </c>
      <c r="O29" s="234">
        <f>IF(O23=1,Thermostat!$B$3,Thermostat!$B$4)</f>
        <v>70</v>
      </c>
      <c r="P29" s="234">
        <f>IF(P23=1,Thermostat!$B$3,Thermostat!$B$4)</f>
        <v>70</v>
      </c>
      <c r="Q29" s="234">
        <f>IF(Q23=1,Thermostat!$B$3,Thermostat!$B$4)</f>
        <v>70</v>
      </c>
      <c r="R29" s="234">
        <f>IF(R23=1,Thermostat!$B$3,Thermostat!$B$4)</f>
        <v>70</v>
      </c>
      <c r="S29" s="234">
        <f>IF(S23=1,Thermostat!$B$3,Thermostat!$B$4)</f>
        <v>70</v>
      </c>
      <c r="T29" s="234">
        <f>IF(T23=1,Thermostat!$B$3,Thermostat!$B$4)</f>
        <v>70</v>
      </c>
      <c r="U29" s="234">
        <f>IF(U23=1,Thermostat!$B$3,Thermostat!$B$4)</f>
        <v>70</v>
      </c>
      <c r="V29" s="234">
        <f>IF(V23=1,Thermostat!$B$3,Thermostat!$B$4)</f>
        <v>70</v>
      </c>
      <c r="W29" s="234">
        <f>IF(W23=1,Thermostat!$B$3,Thermostat!$B$4)</f>
        <v>70</v>
      </c>
      <c r="X29" s="234">
        <f>IF(X23=1,Thermostat!$B$3,Thermostat!$B$4)</f>
        <v>70</v>
      </c>
      <c r="Y29" s="234">
        <f>IF(Y23=1,Thermostat!$B$3,Thermostat!$B$4)</f>
        <v>70</v>
      </c>
      <c r="Z29" s="234">
        <f>IF(Z23=1,Thermostat!$B$3,Thermostat!$B$4)</f>
        <v>70</v>
      </c>
      <c r="AA29" s="234">
        <f>IF(AA23=1,Thermostat!$B$3,Thermostat!$B$4)</f>
        <v>70</v>
      </c>
      <c r="AB29" s="234">
        <f>IF(AB23=1,Thermostat!$B$3,Thermostat!$B$4)</f>
        <v>70</v>
      </c>
      <c r="AC29" s="235">
        <f>IF(AC23=1,Thermostat!$B$3,Thermostat!$B$4)</f>
        <v>60</v>
      </c>
      <c r="AD29" s="44"/>
      <c r="AE29" s="43"/>
      <c r="AF29" s="43"/>
      <c r="AG29" s="43"/>
      <c r="AH29" s="43"/>
      <c r="AI29" s="43"/>
      <c r="AJ29" s="43"/>
      <c r="AK29" s="43"/>
      <c r="AM29" s="54"/>
    </row>
    <row r="30" spans="1:39" ht="36" customHeight="1">
      <c r="A30" s="613"/>
      <c r="B30" s="573"/>
      <c r="C30" s="582"/>
      <c r="D30" s="621"/>
      <c r="E30" s="216" t="s">
        <v>507</v>
      </c>
      <c r="F30" s="236">
        <f>IF(F24=1,Thermostat!$B$3,Thermostat!$B$4)</f>
        <v>60</v>
      </c>
      <c r="G30" s="236">
        <f>IF(G24=1,Thermostat!$B$3,Thermostat!$B$4)</f>
        <v>60</v>
      </c>
      <c r="H30" s="236">
        <f>IF(H24=1,Thermostat!$B$3,Thermostat!$B$4)</f>
        <v>60</v>
      </c>
      <c r="I30" s="236">
        <f>IF(I24=1,Thermostat!$B$3,Thermostat!$B$4)</f>
        <v>60</v>
      </c>
      <c r="J30" s="236">
        <f>IF(J24=1,Thermostat!$B$3,Thermostat!$B$4)</f>
        <v>60</v>
      </c>
      <c r="K30" s="236">
        <f>IF(K24=1,Thermostat!$B$3,Thermostat!$B$4)</f>
        <v>60</v>
      </c>
      <c r="L30" s="236">
        <f>IF(L24=1,Thermostat!$B$3,Thermostat!$B$4)</f>
        <v>60</v>
      </c>
      <c r="M30" s="236">
        <f>IF(M24=1,Thermostat!$B$3,Thermostat!$B$4)</f>
        <v>70</v>
      </c>
      <c r="N30" s="236">
        <f>IF(N24=1,Thermostat!$B$3,Thermostat!$B$4)</f>
        <v>70</v>
      </c>
      <c r="O30" s="236">
        <f>IF(O24=1,Thermostat!$B$3,Thermostat!$B$4)</f>
        <v>70</v>
      </c>
      <c r="P30" s="236">
        <f>IF(P24=1,Thermostat!$B$3,Thermostat!$B$4)</f>
        <v>70</v>
      </c>
      <c r="Q30" s="236">
        <f>IF(Q24=1,Thermostat!$B$3,Thermostat!$B$4)</f>
        <v>70</v>
      </c>
      <c r="R30" s="236">
        <f>IF(R24=1,Thermostat!$B$3,Thermostat!$B$4)</f>
        <v>70</v>
      </c>
      <c r="S30" s="236">
        <f>IF(S24=1,Thermostat!$B$3,Thermostat!$B$4)</f>
        <v>70</v>
      </c>
      <c r="T30" s="236">
        <f>IF(T24=1,Thermostat!$B$3,Thermostat!$B$4)</f>
        <v>70</v>
      </c>
      <c r="U30" s="236">
        <f>IF(U24=1,Thermostat!$B$3,Thermostat!$B$4)</f>
        <v>70</v>
      </c>
      <c r="V30" s="236">
        <f>IF(V24=1,Thermostat!$B$3,Thermostat!$B$4)</f>
        <v>70</v>
      </c>
      <c r="W30" s="236">
        <f>IF(W24=1,Thermostat!$B$3,Thermostat!$B$4)</f>
        <v>70</v>
      </c>
      <c r="X30" s="236">
        <f>IF(X24=1,Thermostat!$B$3,Thermostat!$B$4)</f>
        <v>70</v>
      </c>
      <c r="Y30" s="236">
        <f>IF(Y24=1,Thermostat!$B$3,Thermostat!$B$4)</f>
        <v>70</v>
      </c>
      <c r="Z30" s="236">
        <f>IF(Z24=1,Thermostat!$B$3,Thermostat!$B$4)</f>
        <v>70</v>
      </c>
      <c r="AA30" s="236">
        <f>IF(AA24=1,Thermostat!$B$3,Thermostat!$B$4)</f>
        <v>70</v>
      </c>
      <c r="AB30" s="236">
        <f>IF(AB24=1,Thermostat!$B$3,Thermostat!$B$4)</f>
        <v>70</v>
      </c>
      <c r="AC30" s="237">
        <f>IF(AC24=1,Thermostat!$B$3,Thermostat!$B$4)</f>
        <v>60</v>
      </c>
      <c r="AD30" s="44"/>
      <c r="AE30" s="43"/>
      <c r="AF30" s="43"/>
      <c r="AG30" s="43"/>
      <c r="AH30" s="43"/>
      <c r="AI30" s="43"/>
      <c r="AJ30" s="43"/>
      <c r="AK30" s="43"/>
      <c r="AM30" s="54"/>
    </row>
    <row r="31" spans="1:39" ht="36" customHeight="1">
      <c r="A31" s="611" t="s">
        <v>502</v>
      </c>
      <c r="B31" s="572" t="s">
        <v>38</v>
      </c>
      <c r="C31" s="589" t="s">
        <v>516</v>
      </c>
      <c r="D31" s="619" t="s">
        <v>504</v>
      </c>
      <c r="E31" s="217" t="s">
        <v>505</v>
      </c>
      <c r="F31" s="232">
        <f>IF(F22=1,Thermostat!$B$5,Thermostat!$B$6)</f>
        <v>85</v>
      </c>
      <c r="G31" s="232">
        <f>IF(G22=1,Thermostat!$B$5,Thermostat!$B$6)</f>
        <v>85</v>
      </c>
      <c r="H31" s="232">
        <f>IF(H22=1,Thermostat!$B$5,Thermostat!$B$6)</f>
        <v>85</v>
      </c>
      <c r="I31" s="232">
        <f>IF(I22=1,Thermostat!$B$5,Thermostat!$B$6)</f>
        <v>85</v>
      </c>
      <c r="J31" s="232">
        <f>IF(J22=1,Thermostat!$B$5,Thermostat!$B$6)</f>
        <v>85</v>
      </c>
      <c r="K31" s="232">
        <f>IF(K22=1,Thermostat!$B$5,Thermostat!$B$6)</f>
        <v>85</v>
      </c>
      <c r="L31" s="232">
        <f>IF(L22=1,Thermostat!$B$5,Thermostat!$B$6)</f>
        <v>85</v>
      </c>
      <c r="M31" s="232">
        <f>IF(M22=1,Thermostat!$B$5,Thermostat!$B$6)</f>
        <v>75</v>
      </c>
      <c r="N31" s="232">
        <f>IF(N22=1,Thermostat!$B$5,Thermostat!$B$6)</f>
        <v>75</v>
      </c>
      <c r="O31" s="232">
        <f>IF(O22=1,Thermostat!$B$5,Thermostat!$B$6)</f>
        <v>75</v>
      </c>
      <c r="P31" s="232">
        <f>IF(P22=1,Thermostat!$B$5,Thermostat!$B$6)</f>
        <v>75</v>
      </c>
      <c r="Q31" s="232">
        <f>IF(Q22=1,Thermostat!$B$5,Thermostat!$B$6)</f>
        <v>75</v>
      </c>
      <c r="R31" s="232">
        <f>IF(R22=1,Thermostat!$B$5,Thermostat!$B$6)</f>
        <v>75</v>
      </c>
      <c r="S31" s="232">
        <f>IF(S22=1,Thermostat!$B$5,Thermostat!$B$6)</f>
        <v>75</v>
      </c>
      <c r="T31" s="232">
        <f>IF(T22=1,Thermostat!$B$5,Thermostat!$B$6)</f>
        <v>75</v>
      </c>
      <c r="U31" s="232">
        <f>IF(U22=1,Thermostat!$B$5,Thermostat!$B$6)</f>
        <v>75</v>
      </c>
      <c r="V31" s="232">
        <f>IF(V22=1,Thermostat!$B$5,Thermostat!$B$6)</f>
        <v>75</v>
      </c>
      <c r="W31" s="232">
        <f>IF(W22=1,Thermostat!$B$5,Thermostat!$B$6)</f>
        <v>75</v>
      </c>
      <c r="X31" s="232">
        <f>IF(X22=1,Thermostat!$B$5,Thermostat!$B$6)</f>
        <v>75</v>
      </c>
      <c r="Y31" s="232">
        <f>IF(Y22=1,Thermostat!$B$5,Thermostat!$B$6)</f>
        <v>75</v>
      </c>
      <c r="Z31" s="232">
        <f>IF(Z22=1,Thermostat!$B$5,Thermostat!$B$6)</f>
        <v>75</v>
      </c>
      <c r="AA31" s="232">
        <f>IF(AA22=1,Thermostat!$B$5,Thermostat!$B$6)</f>
        <v>75</v>
      </c>
      <c r="AB31" s="232">
        <f>IF(AB22=1,Thermostat!$B$5,Thermostat!$B$6)</f>
        <v>75</v>
      </c>
      <c r="AC31" s="233">
        <f>IF(AC22=1,Thermostat!$B$5,Thermostat!$B$6)</f>
        <v>85</v>
      </c>
      <c r="AD31" s="44"/>
      <c r="AE31" s="43"/>
      <c r="AF31" s="43"/>
      <c r="AG31" s="43"/>
      <c r="AH31" s="43"/>
      <c r="AI31" s="43"/>
      <c r="AJ31" s="43"/>
      <c r="AK31" s="43"/>
      <c r="AM31" s="54"/>
    </row>
    <row r="32" spans="1:39" ht="36" customHeight="1">
      <c r="A32" s="612"/>
      <c r="B32" s="438"/>
      <c r="C32" s="581"/>
      <c r="D32" s="620"/>
      <c r="E32" s="215" t="s">
        <v>506</v>
      </c>
      <c r="F32" s="234">
        <f>IF(F23=1,Thermostat!$B$5,Thermostat!$B$6)</f>
        <v>85</v>
      </c>
      <c r="G32" s="234">
        <f>IF(G23=1,Thermostat!$B$5,Thermostat!$B$6)</f>
        <v>85</v>
      </c>
      <c r="H32" s="234">
        <f>IF(H23=1,Thermostat!$B$5,Thermostat!$B$6)</f>
        <v>85</v>
      </c>
      <c r="I32" s="234">
        <f>IF(I23=1,Thermostat!$B$5,Thermostat!$B$6)</f>
        <v>85</v>
      </c>
      <c r="J32" s="234">
        <f>IF(J23=1,Thermostat!$B$5,Thermostat!$B$6)</f>
        <v>85</v>
      </c>
      <c r="K32" s="234">
        <f>IF(K23=1,Thermostat!$B$5,Thermostat!$B$6)</f>
        <v>85</v>
      </c>
      <c r="L32" s="234">
        <f>IF(L23=1,Thermostat!$B$5,Thermostat!$B$6)</f>
        <v>85</v>
      </c>
      <c r="M32" s="234">
        <f>IF(M23=1,Thermostat!$B$5,Thermostat!$B$6)</f>
        <v>75</v>
      </c>
      <c r="N32" s="234">
        <f>IF(N23=1,Thermostat!$B$5,Thermostat!$B$6)</f>
        <v>75</v>
      </c>
      <c r="O32" s="234">
        <f>IF(O23=1,Thermostat!$B$5,Thermostat!$B$6)</f>
        <v>75</v>
      </c>
      <c r="P32" s="234">
        <f>IF(P23=1,Thermostat!$B$5,Thermostat!$B$6)</f>
        <v>75</v>
      </c>
      <c r="Q32" s="234">
        <f>IF(Q23=1,Thermostat!$B$5,Thermostat!$B$6)</f>
        <v>75</v>
      </c>
      <c r="R32" s="234">
        <f>IF(R23=1,Thermostat!$B$5,Thermostat!$B$6)</f>
        <v>75</v>
      </c>
      <c r="S32" s="234">
        <f>IF(S23=1,Thermostat!$B$5,Thermostat!$B$6)</f>
        <v>75</v>
      </c>
      <c r="T32" s="234">
        <f>IF(T23=1,Thermostat!$B$5,Thermostat!$B$6)</f>
        <v>75</v>
      </c>
      <c r="U32" s="234">
        <f>IF(U23=1,Thermostat!$B$5,Thermostat!$B$6)</f>
        <v>75</v>
      </c>
      <c r="V32" s="234">
        <f>IF(V23=1,Thermostat!$B$5,Thermostat!$B$6)</f>
        <v>75</v>
      </c>
      <c r="W32" s="234">
        <f>IF(W23=1,Thermostat!$B$5,Thermostat!$B$6)</f>
        <v>75</v>
      </c>
      <c r="X32" s="234">
        <f>IF(X23=1,Thermostat!$B$5,Thermostat!$B$6)</f>
        <v>75</v>
      </c>
      <c r="Y32" s="234">
        <f>IF(Y23=1,Thermostat!$B$5,Thermostat!$B$6)</f>
        <v>75</v>
      </c>
      <c r="Z32" s="234">
        <f>IF(Z23=1,Thermostat!$B$5,Thermostat!$B$6)</f>
        <v>75</v>
      </c>
      <c r="AA32" s="234">
        <f>IF(AA23=1,Thermostat!$B$5,Thermostat!$B$6)</f>
        <v>75</v>
      </c>
      <c r="AB32" s="234">
        <f>IF(AB23=1,Thermostat!$B$5,Thermostat!$B$6)</f>
        <v>75</v>
      </c>
      <c r="AC32" s="235">
        <f>IF(AC23=1,Thermostat!$B$5,Thermostat!$B$6)</f>
        <v>85</v>
      </c>
      <c r="AD32" s="44"/>
      <c r="AE32" s="43"/>
      <c r="AF32" s="43"/>
      <c r="AG32" s="43"/>
      <c r="AH32" s="43"/>
      <c r="AI32" s="43"/>
      <c r="AJ32" s="43"/>
      <c r="AK32" s="43"/>
      <c r="AM32" s="54"/>
    </row>
    <row r="33" spans="1:39" ht="36" customHeight="1">
      <c r="A33" s="613"/>
      <c r="B33" s="573"/>
      <c r="C33" s="582"/>
      <c r="D33" s="621"/>
      <c r="E33" s="216" t="s">
        <v>507</v>
      </c>
      <c r="F33" s="236">
        <f>IF(F24=1,Thermostat!$B$5,Thermostat!$B$6)</f>
        <v>85</v>
      </c>
      <c r="G33" s="236">
        <f>IF(G24=1,Thermostat!$B$5,Thermostat!$B$6)</f>
        <v>85</v>
      </c>
      <c r="H33" s="236">
        <f>IF(H24=1,Thermostat!$B$5,Thermostat!$B$6)</f>
        <v>85</v>
      </c>
      <c r="I33" s="236">
        <f>IF(I24=1,Thermostat!$B$5,Thermostat!$B$6)</f>
        <v>85</v>
      </c>
      <c r="J33" s="236">
        <f>IF(J24=1,Thermostat!$B$5,Thermostat!$B$6)</f>
        <v>85</v>
      </c>
      <c r="K33" s="236">
        <f>IF(K24=1,Thermostat!$B$5,Thermostat!$B$6)</f>
        <v>85</v>
      </c>
      <c r="L33" s="236">
        <f>IF(L24=1,Thermostat!$B$5,Thermostat!$B$6)</f>
        <v>85</v>
      </c>
      <c r="M33" s="236">
        <f>IF(M24=1,Thermostat!$B$5,Thermostat!$B$6)</f>
        <v>75</v>
      </c>
      <c r="N33" s="236">
        <f>IF(N24=1,Thermostat!$B$5,Thermostat!$B$6)</f>
        <v>75</v>
      </c>
      <c r="O33" s="236">
        <f>IF(O24=1,Thermostat!$B$5,Thermostat!$B$6)</f>
        <v>75</v>
      </c>
      <c r="P33" s="236">
        <f>IF(P24=1,Thermostat!$B$5,Thermostat!$B$6)</f>
        <v>75</v>
      </c>
      <c r="Q33" s="236">
        <f>IF(Q24=1,Thermostat!$B$5,Thermostat!$B$6)</f>
        <v>75</v>
      </c>
      <c r="R33" s="236">
        <f>IF(R24=1,Thermostat!$B$5,Thermostat!$B$6)</f>
        <v>75</v>
      </c>
      <c r="S33" s="236">
        <f>IF(S24=1,Thermostat!$B$5,Thermostat!$B$6)</f>
        <v>75</v>
      </c>
      <c r="T33" s="236">
        <f>IF(T24=1,Thermostat!$B$5,Thermostat!$B$6)</f>
        <v>75</v>
      </c>
      <c r="U33" s="236">
        <f>IF(U24=1,Thermostat!$B$5,Thermostat!$B$6)</f>
        <v>75</v>
      </c>
      <c r="V33" s="236">
        <f>IF(V24=1,Thermostat!$B$5,Thermostat!$B$6)</f>
        <v>75</v>
      </c>
      <c r="W33" s="236">
        <f>IF(W24=1,Thermostat!$B$5,Thermostat!$B$6)</f>
        <v>75</v>
      </c>
      <c r="X33" s="236">
        <f>IF(X24=1,Thermostat!$B$5,Thermostat!$B$6)</f>
        <v>75</v>
      </c>
      <c r="Y33" s="236">
        <f>IF(Y24=1,Thermostat!$B$5,Thermostat!$B$6)</f>
        <v>75</v>
      </c>
      <c r="Z33" s="236">
        <f>IF(Z24=1,Thermostat!$B$5,Thermostat!$B$6)</f>
        <v>75</v>
      </c>
      <c r="AA33" s="236">
        <f>IF(AA24=1,Thermostat!$B$5,Thermostat!$B$6)</f>
        <v>75</v>
      </c>
      <c r="AB33" s="236">
        <f>IF(AB24=1,Thermostat!$B$5,Thermostat!$B$6)</f>
        <v>75</v>
      </c>
      <c r="AC33" s="237">
        <f>IF(AC24=1,Thermostat!$B$5,Thermostat!$B$6)</f>
        <v>85</v>
      </c>
      <c r="AD33" s="44"/>
      <c r="AE33" s="43"/>
      <c r="AF33" s="43"/>
      <c r="AG33" s="43"/>
      <c r="AH33" s="43"/>
      <c r="AI33" s="43"/>
      <c r="AJ33" s="43"/>
      <c r="AK33" s="43"/>
      <c r="AM33" s="54"/>
    </row>
    <row r="34" spans="1:39" ht="22.5" customHeight="1">
      <c r="A34" s="591" t="s">
        <v>108</v>
      </c>
      <c r="B34" s="591"/>
      <c r="C34" s="591" t="s">
        <v>16</v>
      </c>
      <c r="D34" s="591"/>
      <c r="E34" s="591"/>
      <c r="F34" s="591"/>
      <c r="G34" s="591"/>
      <c r="H34" s="591"/>
      <c r="I34" s="591"/>
      <c r="J34" s="591"/>
      <c r="K34" s="591"/>
      <c r="L34" s="591"/>
      <c r="M34" s="591"/>
      <c r="N34" s="591"/>
      <c r="O34" s="591"/>
      <c r="P34" s="591"/>
      <c r="Q34" s="591"/>
      <c r="R34" s="591"/>
      <c r="S34" s="591"/>
      <c r="T34" s="591"/>
      <c r="U34" s="591"/>
      <c r="V34" s="591"/>
      <c r="W34" s="591"/>
      <c r="X34" s="591"/>
      <c r="Y34" s="591"/>
      <c r="Z34" s="591"/>
      <c r="AA34" s="591"/>
      <c r="AB34" s="591"/>
      <c r="AC34" s="592"/>
    </row>
    <row r="35" spans="1:39" ht="22.5" customHeight="1">
      <c r="A35" s="593" t="s">
        <v>108</v>
      </c>
      <c r="B35" s="577" t="s">
        <v>108</v>
      </c>
      <c r="C35" s="595" t="s">
        <v>503</v>
      </c>
      <c r="D35" s="599" t="s">
        <v>517</v>
      </c>
      <c r="E35" s="223" t="s">
        <v>505</v>
      </c>
      <c r="F35" s="182">
        <v>0</v>
      </c>
      <c r="G35" s="182">
        <v>0</v>
      </c>
      <c r="H35" s="182">
        <v>0</v>
      </c>
      <c r="I35" s="182">
        <v>0</v>
      </c>
      <c r="J35" s="182">
        <v>0</v>
      </c>
      <c r="K35" s="182">
        <v>0</v>
      </c>
      <c r="L35" s="182">
        <v>0.1</v>
      </c>
      <c r="M35" s="182">
        <v>0.2</v>
      </c>
      <c r="N35" s="182">
        <v>0.95</v>
      </c>
      <c r="O35" s="182">
        <v>0.95</v>
      </c>
      <c r="P35" s="182">
        <v>0.95</v>
      </c>
      <c r="Q35" s="182">
        <v>0.95</v>
      </c>
      <c r="R35" s="182">
        <v>0.5</v>
      </c>
      <c r="S35" s="182">
        <v>0.95</v>
      </c>
      <c r="T35" s="182">
        <v>0.95</v>
      </c>
      <c r="U35" s="182">
        <v>0.95</v>
      </c>
      <c r="V35" s="182">
        <v>0.95</v>
      </c>
      <c r="W35" s="182">
        <v>0.3</v>
      </c>
      <c r="X35" s="182">
        <v>0.1</v>
      </c>
      <c r="Y35" s="182">
        <v>0.1</v>
      </c>
      <c r="Z35" s="182">
        <v>0.1</v>
      </c>
      <c r="AA35" s="182">
        <v>0.1</v>
      </c>
      <c r="AB35" s="182">
        <v>0.05</v>
      </c>
      <c r="AC35" s="183">
        <v>0.05</v>
      </c>
    </row>
    <row r="36" spans="1:39" ht="22.5" customHeight="1">
      <c r="A36" s="587"/>
      <c r="B36" s="578"/>
      <c r="C36" s="596"/>
      <c r="D36" s="600"/>
      <c r="E36" s="224" t="s">
        <v>506</v>
      </c>
      <c r="F36" s="184">
        <v>0</v>
      </c>
      <c r="G36" s="184">
        <v>0</v>
      </c>
      <c r="H36" s="184">
        <v>0</v>
      </c>
      <c r="I36" s="184">
        <v>0</v>
      </c>
      <c r="J36" s="184">
        <v>0</v>
      </c>
      <c r="K36" s="184">
        <v>0</v>
      </c>
      <c r="L36" s="185">
        <v>0.05</v>
      </c>
      <c r="M36" s="185">
        <v>0.05</v>
      </c>
      <c r="N36" s="185">
        <v>0.05</v>
      </c>
      <c r="O36" s="185">
        <v>0.05</v>
      </c>
      <c r="P36" s="185">
        <v>0.05</v>
      </c>
      <c r="Q36" s="185">
        <v>0.05</v>
      </c>
      <c r="R36" s="185">
        <v>0.05</v>
      </c>
      <c r="S36" s="185">
        <v>0.05</v>
      </c>
      <c r="T36" s="185">
        <v>0.05</v>
      </c>
      <c r="U36" s="185">
        <v>0.05</v>
      </c>
      <c r="V36" s="185">
        <v>0.05</v>
      </c>
      <c r="W36" s="185">
        <v>0.05</v>
      </c>
      <c r="X36" s="186">
        <v>0</v>
      </c>
      <c r="Y36" s="184">
        <v>0</v>
      </c>
      <c r="Z36" s="184">
        <v>0</v>
      </c>
      <c r="AA36" s="184">
        <v>0</v>
      </c>
      <c r="AB36" s="184">
        <v>0</v>
      </c>
      <c r="AC36" s="187">
        <v>0</v>
      </c>
    </row>
    <row r="37" spans="1:39" ht="22.5" customHeight="1" thickBot="1">
      <c r="A37" s="594"/>
      <c r="B37" s="579"/>
      <c r="C37" s="597"/>
      <c r="D37" s="622"/>
      <c r="E37" s="225" t="s">
        <v>507</v>
      </c>
      <c r="F37" s="188">
        <v>0</v>
      </c>
      <c r="G37" s="188">
        <v>0</v>
      </c>
      <c r="H37" s="188">
        <v>0</v>
      </c>
      <c r="I37" s="188">
        <v>0</v>
      </c>
      <c r="J37" s="188">
        <v>0</v>
      </c>
      <c r="K37" s="188">
        <v>0</v>
      </c>
      <c r="L37" s="188">
        <v>0.05</v>
      </c>
      <c r="M37" s="188">
        <v>0.05</v>
      </c>
      <c r="N37" s="188">
        <v>0.05</v>
      </c>
      <c r="O37" s="188">
        <v>0.05</v>
      </c>
      <c r="P37" s="188">
        <v>0.05</v>
      </c>
      <c r="Q37" s="188">
        <v>0.05</v>
      </c>
      <c r="R37" s="188">
        <v>0.05</v>
      </c>
      <c r="S37" s="188">
        <v>0.05</v>
      </c>
      <c r="T37" s="188">
        <v>0.05</v>
      </c>
      <c r="U37" s="188">
        <v>0.05</v>
      </c>
      <c r="V37" s="188">
        <v>0.05</v>
      </c>
      <c r="W37" s="188">
        <v>0.05</v>
      </c>
      <c r="X37" s="188">
        <v>0</v>
      </c>
      <c r="Y37" s="188">
        <v>0</v>
      </c>
      <c r="Z37" s="188">
        <v>0</v>
      </c>
      <c r="AA37" s="188">
        <v>0</v>
      </c>
      <c r="AB37" s="188">
        <v>0</v>
      </c>
      <c r="AC37" s="189">
        <v>0</v>
      </c>
    </row>
    <row r="38" spans="1:39" ht="22.5" customHeight="1">
      <c r="A38" s="593" t="s">
        <v>108</v>
      </c>
      <c r="B38" s="577" t="s">
        <v>108</v>
      </c>
      <c r="C38" s="598" t="s">
        <v>509</v>
      </c>
      <c r="D38" s="599" t="s">
        <v>518</v>
      </c>
      <c r="E38" s="226" t="s">
        <v>505</v>
      </c>
      <c r="F38" s="182">
        <v>0.05</v>
      </c>
      <c r="G38" s="182">
        <v>0.05</v>
      </c>
      <c r="H38" s="182">
        <v>0.05</v>
      </c>
      <c r="I38" s="182">
        <v>0.05</v>
      </c>
      <c r="J38" s="182">
        <v>0.05</v>
      </c>
      <c r="K38" s="227">
        <v>0.1</v>
      </c>
      <c r="L38" s="227">
        <v>0.1</v>
      </c>
      <c r="M38" s="227">
        <v>0.3</v>
      </c>
      <c r="N38" s="227">
        <v>0.65</v>
      </c>
      <c r="O38" s="227">
        <v>0.65</v>
      </c>
      <c r="P38" s="227">
        <v>0.65</v>
      </c>
      <c r="Q38" s="227">
        <v>0.65</v>
      </c>
      <c r="R38" s="227">
        <v>0.65</v>
      </c>
      <c r="S38" s="227">
        <v>0.65</v>
      </c>
      <c r="T38" s="227">
        <v>0.65</v>
      </c>
      <c r="U38" s="227">
        <v>0.65</v>
      </c>
      <c r="V38" s="227">
        <v>0.65</v>
      </c>
      <c r="W38" s="227">
        <v>0.35</v>
      </c>
      <c r="X38" s="227">
        <v>0.3</v>
      </c>
      <c r="Y38" s="227">
        <v>0.3</v>
      </c>
      <c r="Z38" s="182">
        <v>0.2</v>
      </c>
      <c r="AA38" s="182">
        <v>0.2</v>
      </c>
      <c r="AB38" s="182">
        <v>0.1</v>
      </c>
      <c r="AC38" s="183">
        <v>0.05</v>
      </c>
    </row>
    <row r="39" spans="1:39" ht="22.5" customHeight="1">
      <c r="A39" s="587"/>
      <c r="B39" s="578"/>
      <c r="C39" s="596"/>
      <c r="D39" s="600"/>
      <c r="E39" s="228" t="s">
        <v>506</v>
      </c>
      <c r="F39" s="184">
        <v>0.05</v>
      </c>
      <c r="G39" s="184">
        <v>0.05</v>
      </c>
      <c r="H39" s="184">
        <v>0.05</v>
      </c>
      <c r="I39" s="184">
        <v>0.05</v>
      </c>
      <c r="J39" s="184">
        <v>0.05</v>
      </c>
      <c r="K39" s="186">
        <v>0.05</v>
      </c>
      <c r="L39" s="186">
        <v>0.05</v>
      </c>
      <c r="M39" s="186">
        <v>0.05</v>
      </c>
      <c r="N39" s="186">
        <v>0.05</v>
      </c>
      <c r="O39" s="186">
        <v>0.05</v>
      </c>
      <c r="P39" s="186">
        <v>0.05</v>
      </c>
      <c r="Q39" s="186">
        <v>0.05</v>
      </c>
      <c r="R39" s="186">
        <v>0.05</v>
      </c>
      <c r="S39" s="186">
        <v>0.05</v>
      </c>
      <c r="T39" s="186">
        <v>0.05</v>
      </c>
      <c r="U39" s="186">
        <v>0.05</v>
      </c>
      <c r="V39" s="186">
        <v>0.05</v>
      </c>
      <c r="W39" s="184">
        <v>0.05</v>
      </c>
      <c r="X39" s="184">
        <v>0.05</v>
      </c>
      <c r="Y39" s="184">
        <v>0.05</v>
      </c>
      <c r="Z39" s="184">
        <v>0.05</v>
      </c>
      <c r="AA39" s="184">
        <v>0.05</v>
      </c>
      <c r="AB39" s="184">
        <v>0.05</v>
      </c>
      <c r="AC39" s="187">
        <v>0.05</v>
      </c>
    </row>
    <row r="40" spans="1:39" ht="22.5" customHeight="1" thickBot="1">
      <c r="A40" s="594"/>
      <c r="B40" s="579"/>
      <c r="C40" s="597"/>
      <c r="D40" s="601"/>
      <c r="E40" s="229" t="s">
        <v>507</v>
      </c>
      <c r="F40" s="190">
        <v>0.05</v>
      </c>
      <c r="G40" s="190">
        <v>0.05</v>
      </c>
      <c r="H40" s="190">
        <v>0.05</v>
      </c>
      <c r="I40" s="190">
        <v>0.05</v>
      </c>
      <c r="J40" s="190">
        <v>0.05</v>
      </c>
      <c r="K40" s="190">
        <v>0.05</v>
      </c>
      <c r="L40" s="190">
        <v>0.05</v>
      </c>
      <c r="M40" s="190">
        <v>0.05</v>
      </c>
      <c r="N40" s="190">
        <v>0.05</v>
      </c>
      <c r="O40" s="190">
        <v>0.05</v>
      </c>
      <c r="P40" s="190">
        <v>0.05</v>
      </c>
      <c r="Q40" s="190">
        <v>0.05</v>
      </c>
      <c r="R40" s="190">
        <v>0.05</v>
      </c>
      <c r="S40" s="190">
        <v>0.05</v>
      </c>
      <c r="T40" s="190">
        <v>0.05</v>
      </c>
      <c r="U40" s="190">
        <v>0.05</v>
      </c>
      <c r="V40" s="190">
        <v>0.05</v>
      </c>
      <c r="W40" s="190">
        <v>0.05</v>
      </c>
      <c r="X40" s="190">
        <v>0.05</v>
      </c>
      <c r="Y40" s="190">
        <v>0.05</v>
      </c>
      <c r="Z40" s="190">
        <v>0.05</v>
      </c>
      <c r="AA40" s="190">
        <v>0.05</v>
      </c>
      <c r="AB40" s="190">
        <v>0.05</v>
      </c>
      <c r="AC40" s="191">
        <v>0.05</v>
      </c>
    </row>
    <row r="41" spans="1:39" ht="22.5" customHeight="1">
      <c r="A41" s="593" t="s">
        <v>108</v>
      </c>
      <c r="B41" s="577" t="s">
        <v>108</v>
      </c>
      <c r="C41" s="598" t="s">
        <v>519</v>
      </c>
      <c r="D41" s="636" t="s">
        <v>520</v>
      </c>
      <c r="E41" s="226" t="s">
        <v>505</v>
      </c>
      <c r="F41" s="192">
        <v>0.45</v>
      </c>
      <c r="G41" s="192">
        <v>0.45</v>
      </c>
      <c r="H41" s="192">
        <v>0.45</v>
      </c>
      <c r="I41" s="192">
        <v>0.45</v>
      </c>
      <c r="J41" s="192">
        <v>0.45</v>
      </c>
      <c r="K41" s="192">
        <v>0.45</v>
      </c>
      <c r="L41" s="192">
        <v>0.45</v>
      </c>
      <c r="M41" s="192">
        <v>0.74</v>
      </c>
      <c r="N41" s="192">
        <v>0.87</v>
      </c>
      <c r="O41" s="192">
        <v>0.9</v>
      </c>
      <c r="P41" s="192">
        <v>0.9</v>
      </c>
      <c r="Q41" s="192">
        <v>0.9</v>
      </c>
      <c r="R41" s="192">
        <v>0.9</v>
      </c>
      <c r="S41" s="192">
        <v>0.9</v>
      </c>
      <c r="T41" s="192">
        <v>0.9</v>
      </c>
      <c r="U41" s="192">
        <v>0.9</v>
      </c>
      <c r="V41" s="192">
        <v>0.9</v>
      </c>
      <c r="W41" s="192">
        <v>0.7</v>
      </c>
      <c r="X41" s="192">
        <v>0.5</v>
      </c>
      <c r="Y41" s="192">
        <v>0.5</v>
      </c>
      <c r="Z41" s="192">
        <v>0.5</v>
      </c>
      <c r="AA41" s="192">
        <v>0.45</v>
      </c>
      <c r="AB41" s="192">
        <v>0.45</v>
      </c>
      <c r="AC41" s="193">
        <v>0.45</v>
      </c>
    </row>
    <row r="42" spans="1:39" ht="22.5" customHeight="1">
      <c r="A42" s="587"/>
      <c r="B42" s="578"/>
      <c r="C42" s="596"/>
      <c r="D42" s="637"/>
      <c r="E42" s="228" t="s">
        <v>506</v>
      </c>
      <c r="F42" s="194">
        <v>0.43</v>
      </c>
      <c r="G42" s="194">
        <v>0.43</v>
      </c>
      <c r="H42" s="194">
        <v>0.43</v>
      </c>
      <c r="I42" s="194">
        <v>0.43</v>
      </c>
      <c r="J42" s="194">
        <v>0.43</v>
      </c>
      <c r="K42" s="194">
        <v>0.43</v>
      </c>
      <c r="L42" s="194">
        <v>0.43</v>
      </c>
      <c r="M42" s="194">
        <v>0.43</v>
      </c>
      <c r="N42" s="194">
        <v>0.43</v>
      </c>
      <c r="O42" s="194">
        <v>0.43</v>
      </c>
      <c r="P42" s="194">
        <v>0.43</v>
      </c>
      <c r="Q42" s="194">
        <v>0.43</v>
      </c>
      <c r="R42" s="194">
        <v>0.43</v>
      </c>
      <c r="S42" s="194">
        <v>0.43</v>
      </c>
      <c r="T42" s="194">
        <v>0.43</v>
      </c>
      <c r="U42" s="194">
        <v>0.43</v>
      </c>
      <c r="V42" s="194">
        <v>0.43</v>
      </c>
      <c r="W42" s="194">
        <v>0.43</v>
      </c>
      <c r="X42" s="194">
        <v>0.43</v>
      </c>
      <c r="Y42" s="194">
        <v>0.43</v>
      </c>
      <c r="Z42" s="194">
        <v>0.43</v>
      </c>
      <c r="AA42" s="194">
        <v>0.43</v>
      </c>
      <c r="AB42" s="194">
        <v>0.43</v>
      </c>
      <c r="AC42" s="195">
        <v>0.43</v>
      </c>
    </row>
    <row r="43" spans="1:39" ht="22.5" customHeight="1" thickBot="1">
      <c r="A43" s="594"/>
      <c r="B43" s="579"/>
      <c r="C43" s="615"/>
      <c r="D43" s="638"/>
      <c r="E43" s="230" t="s">
        <v>507</v>
      </c>
      <c r="F43" s="196">
        <v>0.43</v>
      </c>
      <c r="G43" s="196">
        <v>0.43</v>
      </c>
      <c r="H43" s="196">
        <v>0.43</v>
      </c>
      <c r="I43" s="196">
        <v>0.43</v>
      </c>
      <c r="J43" s="196">
        <v>0.43</v>
      </c>
      <c r="K43" s="196">
        <v>0.43</v>
      </c>
      <c r="L43" s="196">
        <v>0.43</v>
      </c>
      <c r="M43" s="196">
        <v>0.43</v>
      </c>
      <c r="N43" s="196">
        <v>0.43</v>
      </c>
      <c r="O43" s="196">
        <v>0.43</v>
      </c>
      <c r="P43" s="196">
        <v>0.43</v>
      </c>
      <c r="Q43" s="196">
        <v>0.43</v>
      </c>
      <c r="R43" s="196">
        <v>0.43</v>
      </c>
      <c r="S43" s="196">
        <v>0.43</v>
      </c>
      <c r="T43" s="196">
        <v>0.43</v>
      </c>
      <c r="U43" s="196">
        <v>0.43</v>
      </c>
      <c r="V43" s="196">
        <v>0.43</v>
      </c>
      <c r="W43" s="196">
        <v>0.43</v>
      </c>
      <c r="X43" s="196">
        <v>0.43</v>
      </c>
      <c r="Y43" s="196">
        <v>0.43</v>
      </c>
      <c r="Z43" s="196">
        <v>0.43</v>
      </c>
      <c r="AA43" s="196">
        <v>0.43</v>
      </c>
      <c r="AB43" s="196">
        <v>0.43</v>
      </c>
      <c r="AC43" s="197">
        <v>0.43</v>
      </c>
    </row>
    <row r="44" spans="1:39" ht="22.5" customHeight="1">
      <c r="A44" s="593" t="s">
        <v>108</v>
      </c>
      <c r="B44" s="577" t="s">
        <v>108</v>
      </c>
      <c r="C44" s="614" t="s">
        <v>514</v>
      </c>
      <c r="D44" s="599" t="s">
        <v>521</v>
      </c>
      <c r="E44" s="231" t="s">
        <v>505</v>
      </c>
      <c r="F44" s="198">
        <v>0</v>
      </c>
      <c r="G44" s="198">
        <v>0</v>
      </c>
      <c r="H44" s="198">
        <v>0</v>
      </c>
      <c r="I44" s="198">
        <v>0</v>
      </c>
      <c r="J44" s="198">
        <v>0</v>
      </c>
      <c r="K44" s="198">
        <v>1</v>
      </c>
      <c r="L44" s="198">
        <v>1</v>
      </c>
      <c r="M44" s="198">
        <v>1</v>
      </c>
      <c r="N44" s="198">
        <v>1</v>
      </c>
      <c r="O44" s="198">
        <v>1</v>
      </c>
      <c r="P44" s="198">
        <v>1</v>
      </c>
      <c r="Q44" s="198">
        <v>1</v>
      </c>
      <c r="R44" s="198">
        <v>1</v>
      </c>
      <c r="S44" s="198">
        <v>1</v>
      </c>
      <c r="T44" s="198">
        <v>1</v>
      </c>
      <c r="U44" s="198">
        <v>1</v>
      </c>
      <c r="V44" s="198">
        <v>1</v>
      </c>
      <c r="W44" s="198">
        <v>1</v>
      </c>
      <c r="X44" s="198">
        <v>1</v>
      </c>
      <c r="Y44" s="198">
        <v>1</v>
      </c>
      <c r="Z44" s="198">
        <v>1</v>
      </c>
      <c r="AA44" s="198">
        <v>1</v>
      </c>
      <c r="AB44" s="198">
        <v>1</v>
      </c>
      <c r="AC44" s="199">
        <v>1</v>
      </c>
    </row>
    <row r="45" spans="1:39" ht="22.5" customHeight="1">
      <c r="A45" s="587"/>
      <c r="B45" s="578"/>
      <c r="C45" s="596"/>
      <c r="D45" s="600"/>
      <c r="E45" s="228" t="s">
        <v>506</v>
      </c>
      <c r="F45" s="184">
        <v>0</v>
      </c>
      <c r="G45" s="184">
        <v>0</v>
      </c>
      <c r="H45" s="184">
        <v>0</v>
      </c>
      <c r="I45" s="184">
        <v>0</v>
      </c>
      <c r="J45" s="184">
        <v>0</v>
      </c>
      <c r="K45" s="186">
        <v>0</v>
      </c>
      <c r="L45" s="186">
        <v>0</v>
      </c>
      <c r="M45" s="186">
        <v>0</v>
      </c>
      <c r="N45" s="186">
        <v>0</v>
      </c>
      <c r="O45" s="186">
        <v>0</v>
      </c>
      <c r="P45" s="186">
        <v>0</v>
      </c>
      <c r="Q45" s="186">
        <v>0</v>
      </c>
      <c r="R45" s="186">
        <v>0</v>
      </c>
      <c r="S45" s="186">
        <v>0</v>
      </c>
      <c r="T45" s="186">
        <v>0</v>
      </c>
      <c r="U45" s="186">
        <v>0</v>
      </c>
      <c r="V45" s="186">
        <v>0</v>
      </c>
      <c r="W45" s="186">
        <v>0</v>
      </c>
      <c r="X45" s="186">
        <v>0</v>
      </c>
      <c r="Y45" s="184">
        <v>0</v>
      </c>
      <c r="Z45" s="184">
        <v>0</v>
      </c>
      <c r="AA45" s="184">
        <v>0</v>
      </c>
      <c r="AB45" s="184">
        <v>0</v>
      </c>
      <c r="AC45" s="187">
        <v>0</v>
      </c>
    </row>
    <row r="46" spans="1:39" ht="22.5" customHeight="1" thickBot="1">
      <c r="A46" s="594"/>
      <c r="B46" s="579"/>
      <c r="C46" s="615"/>
      <c r="D46" s="622"/>
      <c r="E46" s="230" t="s">
        <v>507</v>
      </c>
      <c r="F46" s="190">
        <v>0</v>
      </c>
      <c r="G46" s="190">
        <v>0</v>
      </c>
      <c r="H46" s="190">
        <v>0</v>
      </c>
      <c r="I46" s="190">
        <v>0</v>
      </c>
      <c r="J46" s="190">
        <v>0</v>
      </c>
      <c r="K46" s="190">
        <v>0</v>
      </c>
      <c r="L46" s="190">
        <v>0</v>
      </c>
      <c r="M46" s="190">
        <v>0</v>
      </c>
      <c r="N46" s="190">
        <v>0</v>
      </c>
      <c r="O46" s="190">
        <v>0</v>
      </c>
      <c r="P46" s="190">
        <v>0</v>
      </c>
      <c r="Q46" s="190">
        <v>0</v>
      </c>
      <c r="R46" s="190">
        <v>0</v>
      </c>
      <c r="S46" s="190">
        <v>0</v>
      </c>
      <c r="T46" s="190">
        <v>0</v>
      </c>
      <c r="U46" s="190">
        <v>0</v>
      </c>
      <c r="V46" s="190">
        <v>0</v>
      </c>
      <c r="W46" s="190">
        <v>0</v>
      </c>
      <c r="X46" s="190">
        <v>0</v>
      </c>
      <c r="Y46" s="190">
        <v>0</v>
      </c>
      <c r="Z46" s="190">
        <v>0</v>
      </c>
      <c r="AA46" s="190">
        <v>0</v>
      </c>
      <c r="AB46" s="190">
        <v>0</v>
      </c>
      <c r="AC46" s="191">
        <v>0</v>
      </c>
    </row>
    <row r="47" spans="1:39" ht="22.5" customHeight="1">
      <c r="A47" s="593" t="s">
        <v>108</v>
      </c>
      <c r="B47" s="577" t="s">
        <v>108</v>
      </c>
      <c r="C47" s="614" t="s">
        <v>511</v>
      </c>
      <c r="D47" s="616" t="s">
        <v>518</v>
      </c>
      <c r="E47" s="231" t="s">
        <v>505</v>
      </c>
      <c r="F47" s="200">
        <v>0.05</v>
      </c>
      <c r="G47" s="200">
        <v>0.05</v>
      </c>
      <c r="H47" s="200">
        <v>0.05</v>
      </c>
      <c r="I47" s="200">
        <v>0.05</v>
      </c>
      <c r="J47" s="200">
        <v>0.05</v>
      </c>
      <c r="K47" s="200">
        <v>0.08</v>
      </c>
      <c r="L47" s="200">
        <v>7.0000000000000007E-2</v>
      </c>
      <c r="M47" s="200">
        <v>0.19</v>
      </c>
      <c r="N47" s="200">
        <v>0.35</v>
      </c>
      <c r="O47" s="200">
        <v>0.38</v>
      </c>
      <c r="P47" s="200">
        <v>0.39</v>
      </c>
      <c r="Q47" s="200">
        <v>0.47</v>
      </c>
      <c r="R47" s="200">
        <v>0.56999999999999995</v>
      </c>
      <c r="S47" s="200">
        <v>0.54</v>
      </c>
      <c r="T47" s="200">
        <v>0.34</v>
      </c>
      <c r="U47" s="200">
        <v>0.33</v>
      </c>
      <c r="V47" s="200">
        <v>0.44</v>
      </c>
      <c r="W47" s="200">
        <v>0.26</v>
      </c>
      <c r="X47" s="200">
        <v>0.21</v>
      </c>
      <c r="Y47" s="200">
        <v>0.15</v>
      </c>
      <c r="Z47" s="200">
        <v>0.17</v>
      </c>
      <c r="AA47" s="200">
        <v>0.08</v>
      </c>
      <c r="AB47" s="200">
        <v>0.05</v>
      </c>
      <c r="AC47" s="201">
        <v>0.05</v>
      </c>
    </row>
    <row r="48" spans="1:39" ht="22.5" customHeight="1">
      <c r="A48" s="587"/>
      <c r="B48" s="578"/>
      <c r="C48" s="596"/>
      <c r="D48" s="617"/>
      <c r="E48" s="228" t="s">
        <v>506</v>
      </c>
      <c r="F48" s="202">
        <v>0.05</v>
      </c>
      <c r="G48" s="202">
        <v>0.05</v>
      </c>
      <c r="H48" s="202">
        <v>0.05</v>
      </c>
      <c r="I48" s="202">
        <v>0.05</v>
      </c>
      <c r="J48" s="202">
        <v>0.05</v>
      </c>
      <c r="K48" s="202">
        <v>0.08</v>
      </c>
      <c r="L48" s="202">
        <v>7.0000000000000007E-2</v>
      </c>
      <c r="M48" s="202">
        <v>0.11</v>
      </c>
      <c r="N48" s="202">
        <v>0.15</v>
      </c>
      <c r="O48" s="202">
        <v>0.21</v>
      </c>
      <c r="P48" s="202">
        <v>0.19</v>
      </c>
      <c r="Q48" s="202">
        <v>0.23</v>
      </c>
      <c r="R48" s="202">
        <v>0.2</v>
      </c>
      <c r="S48" s="202">
        <v>0.19</v>
      </c>
      <c r="T48" s="202">
        <v>0.15</v>
      </c>
      <c r="U48" s="202">
        <v>0.12</v>
      </c>
      <c r="V48" s="202">
        <v>0.14000000000000001</v>
      </c>
      <c r="W48" s="202">
        <v>7.0000000000000007E-2</v>
      </c>
      <c r="X48" s="202">
        <v>7.0000000000000007E-2</v>
      </c>
      <c r="Y48" s="202">
        <v>7.0000000000000007E-2</v>
      </c>
      <c r="Z48" s="202">
        <v>7.0000000000000007E-2</v>
      </c>
      <c r="AA48" s="202">
        <v>0.09</v>
      </c>
      <c r="AB48" s="202">
        <v>0.05</v>
      </c>
      <c r="AC48" s="203">
        <v>0.05</v>
      </c>
    </row>
    <row r="49" spans="1:39" ht="22.5" customHeight="1" thickBot="1">
      <c r="A49" s="594"/>
      <c r="B49" s="579"/>
      <c r="C49" s="615"/>
      <c r="D49" s="618"/>
      <c r="E49" s="230" t="s">
        <v>507</v>
      </c>
      <c r="F49" s="204">
        <v>0.04</v>
      </c>
      <c r="G49" s="204">
        <v>0.04</v>
      </c>
      <c r="H49" s="204">
        <v>0.04</v>
      </c>
      <c r="I49" s="204">
        <v>0.04</v>
      </c>
      <c r="J49" s="204">
        <v>0.04</v>
      </c>
      <c r="K49" s="204">
        <v>7.0000000000000007E-2</v>
      </c>
      <c r="L49" s="204">
        <v>0.04</v>
      </c>
      <c r="M49" s="204">
        <v>0.04</v>
      </c>
      <c r="N49" s="204">
        <v>0.04</v>
      </c>
      <c r="O49" s="204">
        <v>0.04</v>
      </c>
      <c r="P49" s="204">
        <v>0.04</v>
      </c>
      <c r="Q49" s="204">
        <v>0.06</v>
      </c>
      <c r="R49" s="204">
        <v>0.06</v>
      </c>
      <c r="S49" s="204">
        <v>0.09</v>
      </c>
      <c r="T49" s="204">
        <v>0.06</v>
      </c>
      <c r="U49" s="204">
        <v>0.04</v>
      </c>
      <c r="V49" s="204">
        <v>0.04</v>
      </c>
      <c r="W49" s="204">
        <v>0.04</v>
      </c>
      <c r="X49" s="204">
        <v>0.04</v>
      </c>
      <c r="Y49" s="204">
        <v>0.04</v>
      </c>
      <c r="Z49" s="204">
        <v>0.04</v>
      </c>
      <c r="AA49" s="204">
        <v>7.0000000000000007E-2</v>
      </c>
      <c r="AB49" s="204">
        <v>0.04</v>
      </c>
      <c r="AC49" s="205">
        <v>0.04</v>
      </c>
    </row>
    <row r="50" spans="1:39" ht="22.5" customHeight="1">
      <c r="A50" s="593" t="s">
        <v>108</v>
      </c>
      <c r="B50" s="577" t="s">
        <v>108</v>
      </c>
      <c r="C50" s="598" t="s">
        <v>186</v>
      </c>
      <c r="D50" s="616" t="s">
        <v>521</v>
      </c>
      <c r="E50" s="226" t="s">
        <v>505</v>
      </c>
      <c r="F50" s="198">
        <v>1</v>
      </c>
      <c r="G50" s="198">
        <v>1</v>
      </c>
      <c r="H50" s="198">
        <v>1</v>
      </c>
      <c r="I50" s="198">
        <v>1</v>
      </c>
      <c r="J50" s="198">
        <v>1</v>
      </c>
      <c r="K50" s="198">
        <v>0.25</v>
      </c>
      <c r="L50" s="198">
        <v>0.25</v>
      </c>
      <c r="M50" s="198">
        <v>0.25</v>
      </c>
      <c r="N50" s="198">
        <v>0.25</v>
      </c>
      <c r="O50" s="198">
        <v>0.25</v>
      </c>
      <c r="P50" s="198">
        <v>0.25</v>
      </c>
      <c r="Q50" s="198">
        <v>0.25</v>
      </c>
      <c r="R50" s="198">
        <v>0.25</v>
      </c>
      <c r="S50" s="198">
        <v>0.25</v>
      </c>
      <c r="T50" s="198">
        <v>0.25</v>
      </c>
      <c r="U50" s="198">
        <v>0.25</v>
      </c>
      <c r="V50" s="198">
        <v>0.25</v>
      </c>
      <c r="W50" s="198">
        <v>0.25</v>
      </c>
      <c r="X50" s="198">
        <v>0.25</v>
      </c>
      <c r="Y50" s="198">
        <v>0.25</v>
      </c>
      <c r="Z50" s="198">
        <v>0.25</v>
      </c>
      <c r="AA50" s="198">
        <v>0.25</v>
      </c>
      <c r="AB50" s="198">
        <v>0.25</v>
      </c>
      <c r="AC50" s="199">
        <v>0.25</v>
      </c>
    </row>
    <row r="51" spans="1:39" ht="22.5" customHeight="1">
      <c r="A51" s="587"/>
      <c r="B51" s="578"/>
      <c r="C51" s="596"/>
      <c r="D51" s="617"/>
      <c r="E51" s="228" t="s">
        <v>506</v>
      </c>
      <c r="F51" s="184">
        <v>1</v>
      </c>
      <c r="G51" s="184">
        <v>1</v>
      </c>
      <c r="H51" s="184">
        <v>1</v>
      </c>
      <c r="I51" s="184">
        <v>1</v>
      </c>
      <c r="J51" s="184">
        <v>1</v>
      </c>
      <c r="K51" s="186">
        <v>1</v>
      </c>
      <c r="L51" s="186">
        <v>1</v>
      </c>
      <c r="M51" s="186">
        <v>1</v>
      </c>
      <c r="N51" s="186">
        <v>1</v>
      </c>
      <c r="O51" s="186">
        <v>1</v>
      </c>
      <c r="P51" s="186">
        <v>1</v>
      </c>
      <c r="Q51" s="186">
        <v>1</v>
      </c>
      <c r="R51" s="186">
        <v>1</v>
      </c>
      <c r="S51" s="186">
        <v>1</v>
      </c>
      <c r="T51" s="186">
        <v>1</v>
      </c>
      <c r="U51" s="186">
        <v>1</v>
      </c>
      <c r="V51" s="186">
        <v>1</v>
      </c>
      <c r="W51" s="186">
        <v>1</v>
      </c>
      <c r="X51" s="186">
        <v>1</v>
      </c>
      <c r="Y51" s="184">
        <v>1</v>
      </c>
      <c r="Z51" s="184">
        <v>1</v>
      </c>
      <c r="AA51" s="184">
        <v>1</v>
      </c>
      <c r="AB51" s="184">
        <v>1</v>
      </c>
      <c r="AC51" s="187">
        <v>1</v>
      </c>
    </row>
    <row r="52" spans="1:39" ht="22.5" customHeight="1" thickBot="1">
      <c r="A52" s="594"/>
      <c r="B52" s="579"/>
      <c r="C52" s="597"/>
      <c r="D52" s="618"/>
      <c r="E52" s="229" t="s">
        <v>507</v>
      </c>
      <c r="F52" s="188">
        <v>1</v>
      </c>
      <c r="G52" s="188">
        <v>1</v>
      </c>
      <c r="H52" s="188">
        <v>1</v>
      </c>
      <c r="I52" s="188">
        <v>1</v>
      </c>
      <c r="J52" s="188">
        <v>1</v>
      </c>
      <c r="K52" s="188">
        <v>1</v>
      </c>
      <c r="L52" s="188">
        <v>1</v>
      </c>
      <c r="M52" s="188">
        <v>1</v>
      </c>
      <c r="N52" s="188">
        <v>1</v>
      </c>
      <c r="O52" s="188">
        <v>1</v>
      </c>
      <c r="P52" s="188">
        <v>1</v>
      </c>
      <c r="Q52" s="188">
        <v>1</v>
      </c>
      <c r="R52" s="188">
        <v>1</v>
      </c>
      <c r="S52" s="188">
        <v>1</v>
      </c>
      <c r="T52" s="188">
        <v>1</v>
      </c>
      <c r="U52" s="188">
        <v>1</v>
      </c>
      <c r="V52" s="188">
        <v>1</v>
      </c>
      <c r="W52" s="188">
        <v>1</v>
      </c>
      <c r="X52" s="188">
        <v>1</v>
      </c>
      <c r="Y52" s="188">
        <v>1</v>
      </c>
      <c r="Z52" s="188">
        <v>1</v>
      </c>
      <c r="AA52" s="188">
        <v>1</v>
      </c>
      <c r="AB52" s="188">
        <v>1</v>
      </c>
      <c r="AC52" s="189">
        <v>1</v>
      </c>
    </row>
    <row r="53" spans="1:39" ht="22.5" customHeight="1">
      <c r="A53" s="593" t="s">
        <v>108</v>
      </c>
      <c r="B53" s="577" t="s">
        <v>108</v>
      </c>
      <c r="C53" s="580" t="s">
        <v>515</v>
      </c>
      <c r="D53" s="583" t="s">
        <v>522</v>
      </c>
      <c r="E53" s="217" t="s">
        <v>505</v>
      </c>
      <c r="F53" s="206">
        <f>IF((F44=1),Thermostat!$B$3,Thermostat!$B$4)</f>
        <v>60</v>
      </c>
      <c r="G53" s="206">
        <f>IF((G44=1),Thermostat!$B$3,Thermostat!$B$4)</f>
        <v>60</v>
      </c>
      <c r="H53" s="206">
        <f>IF((H44=1),Thermostat!$B$3,Thermostat!$B$4)</f>
        <v>60</v>
      </c>
      <c r="I53" s="206">
        <f>IF((I44=1),Thermostat!$B$3,Thermostat!$B$4)</f>
        <v>60</v>
      </c>
      <c r="J53" s="206">
        <f>IF((J44=1),Thermostat!$B$3,Thermostat!$B$4)</f>
        <v>60</v>
      </c>
      <c r="K53" s="206">
        <f>IF((K44=1),Thermostat!$B$3,Thermostat!$B$4)</f>
        <v>70</v>
      </c>
      <c r="L53" s="206">
        <f>IF((L44=1),Thermostat!$B$3,Thermostat!$B$4)</f>
        <v>70</v>
      </c>
      <c r="M53" s="206">
        <f>IF((M44=1),Thermostat!$B$3,Thermostat!$B$4)</f>
        <v>70</v>
      </c>
      <c r="N53" s="206">
        <f>IF((N44=1),Thermostat!$B$3,Thermostat!$B$4)</f>
        <v>70</v>
      </c>
      <c r="O53" s="206">
        <f>IF((O44=1),Thermostat!$B$3,Thermostat!$B$4)</f>
        <v>70</v>
      </c>
      <c r="P53" s="206">
        <f>IF((P44=1),Thermostat!$B$3,Thermostat!$B$4)</f>
        <v>70</v>
      </c>
      <c r="Q53" s="206">
        <f>IF((Q44=1),Thermostat!$B$3,Thermostat!$B$4)</f>
        <v>70</v>
      </c>
      <c r="R53" s="206">
        <f>IF((R44=1),Thermostat!$B$3,Thermostat!$B$4)</f>
        <v>70</v>
      </c>
      <c r="S53" s="206">
        <f>IF((S44=1),Thermostat!$B$3,Thermostat!$B$4)</f>
        <v>70</v>
      </c>
      <c r="T53" s="206">
        <f>IF((T44=1),Thermostat!$B$3,Thermostat!$B$4)</f>
        <v>70</v>
      </c>
      <c r="U53" s="206">
        <f>IF((U44=1),Thermostat!$B$3,Thermostat!$B$4)</f>
        <v>70</v>
      </c>
      <c r="V53" s="206">
        <f>IF((V44=1),Thermostat!$B$3,Thermostat!$B$4)</f>
        <v>70</v>
      </c>
      <c r="W53" s="206">
        <f>IF((W44=1),Thermostat!$B$3,Thermostat!$B$4)</f>
        <v>70</v>
      </c>
      <c r="X53" s="206">
        <f>IF((X44=1),Thermostat!$B$3,Thermostat!$B$4)</f>
        <v>70</v>
      </c>
      <c r="Y53" s="206">
        <f>IF((Y44=1),Thermostat!$B$3,Thermostat!$B$4)</f>
        <v>70</v>
      </c>
      <c r="Z53" s="206">
        <f>IF((Z44=1),Thermostat!$B$3,Thermostat!$B$4)</f>
        <v>70</v>
      </c>
      <c r="AA53" s="206">
        <f>IF((AA44=1),Thermostat!$B$3,Thermostat!$B$4)</f>
        <v>70</v>
      </c>
      <c r="AB53" s="206">
        <f>IF((AB44=1),Thermostat!$B$3,Thermostat!$B$4)</f>
        <v>70</v>
      </c>
      <c r="AC53" s="207">
        <f>IF((AC44=1),Thermostat!$B$3,Thermostat!$B$4)</f>
        <v>70</v>
      </c>
    </row>
    <row r="54" spans="1:39" ht="22.5" customHeight="1">
      <c r="A54" s="587"/>
      <c r="B54" s="578"/>
      <c r="C54" s="581"/>
      <c r="D54" s="584"/>
      <c r="E54" s="215" t="s">
        <v>506</v>
      </c>
      <c r="F54" s="208">
        <f>IF((F45=1),Thermostat!$B$3,Thermostat!$B$4)</f>
        <v>60</v>
      </c>
      <c r="G54" s="208">
        <f>IF((G45=1),Thermostat!$B$3,Thermostat!$B$4)</f>
        <v>60</v>
      </c>
      <c r="H54" s="208">
        <f>IF((H45=1),Thermostat!$B$3,Thermostat!$B$4)</f>
        <v>60</v>
      </c>
      <c r="I54" s="208">
        <f>IF((I45=1),Thermostat!$B$3,Thermostat!$B$4)</f>
        <v>60</v>
      </c>
      <c r="J54" s="208">
        <f>IF((J45=1),Thermostat!$B$3,Thermostat!$B$4)</f>
        <v>60</v>
      </c>
      <c r="K54" s="208">
        <f>IF((K45=1),Thermostat!$B$3,Thermostat!$B$4)</f>
        <v>60</v>
      </c>
      <c r="L54" s="208">
        <f>IF((L45=1),Thermostat!$B$3,Thermostat!$B$4)</f>
        <v>60</v>
      </c>
      <c r="M54" s="208">
        <f>IF((M45=1),Thermostat!$B$3,Thermostat!$B$4)</f>
        <v>60</v>
      </c>
      <c r="N54" s="208">
        <f>IF((N45=1),Thermostat!$B$3,Thermostat!$B$4)</f>
        <v>60</v>
      </c>
      <c r="O54" s="208">
        <f>IF((O45=1),Thermostat!$B$3,Thermostat!$B$4)</f>
        <v>60</v>
      </c>
      <c r="P54" s="208">
        <f>IF((P45=1),Thermostat!$B$3,Thermostat!$B$4)</f>
        <v>60</v>
      </c>
      <c r="Q54" s="208">
        <f>IF((Q45=1),Thermostat!$B$3,Thermostat!$B$4)</f>
        <v>60</v>
      </c>
      <c r="R54" s="208">
        <f>IF((R45=1),Thermostat!$B$3,Thermostat!$B$4)</f>
        <v>60</v>
      </c>
      <c r="S54" s="208">
        <f>IF((S45=1),Thermostat!$B$3,Thermostat!$B$4)</f>
        <v>60</v>
      </c>
      <c r="T54" s="208">
        <f>IF((T45=1),Thermostat!$B$3,Thermostat!$B$4)</f>
        <v>60</v>
      </c>
      <c r="U54" s="208">
        <f>IF((U45=1),Thermostat!$B$3,Thermostat!$B$4)</f>
        <v>60</v>
      </c>
      <c r="V54" s="208">
        <f>IF((V45=1),Thermostat!$B$3,Thermostat!$B$4)</f>
        <v>60</v>
      </c>
      <c r="W54" s="208">
        <f>IF((W45=1),Thermostat!$B$3,Thermostat!$B$4)</f>
        <v>60</v>
      </c>
      <c r="X54" s="208">
        <f>IF((X45=1),Thermostat!$B$3,Thermostat!$B$4)</f>
        <v>60</v>
      </c>
      <c r="Y54" s="208">
        <f>IF((Y45=1),Thermostat!$B$3,Thermostat!$B$4)</f>
        <v>60</v>
      </c>
      <c r="Z54" s="208">
        <f>IF((Z45=1),Thermostat!$B$3,Thermostat!$B$4)</f>
        <v>60</v>
      </c>
      <c r="AA54" s="208">
        <f>IF((AA45=1),Thermostat!$B$3,Thermostat!$B$4)</f>
        <v>60</v>
      </c>
      <c r="AB54" s="208">
        <f>IF((AB45=1),Thermostat!$B$3,Thermostat!$B$4)</f>
        <v>60</v>
      </c>
      <c r="AC54" s="209">
        <f>IF((AC45=1),Thermostat!$B$3,Thermostat!$B$4)</f>
        <v>60</v>
      </c>
    </row>
    <row r="55" spans="1:39" ht="22.5" customHeight="1" thickBot="1">
      <c r="A55" s="588"/>
      <c r="B55" s="579"/>
      <c r="C55" s="582"/>
      <c r="D55" s="585"/>
      <c r="E55" s="216" t="s">
        <v>507</v>
      </c>
      <c r="F55" s="210">
        <f>IF((F46=1),Thermostat!$B$3,Thermostat!$B$4)</f>
        <v>60</v>
      </c>
      <c r="G55" s="210">
        <f>IF((G46=1),Thermostat!$B$3,Thermostat!$B$4)</f>
        <v>60</v>
      </c>
      <c r="H55" s="210">
        <f>IF((H46=1),Thermostat!$B$3,Thermostat!$B$4)</f>
        <v>60</v>
      </c>
      <c r="I55" s="210">
        <f>IF((I46=1),Thermostat!$B$3,Thermostat!$B$4)</f>
        <v>60</v>
      </c>
      <c r="J55" s="210">
        <f>IF((J46=1),Thermostat!$B$3,Thermostat!$B$4)</f>
        <v>60</v>
      </c>
      <c r="K55" s="210">
        <f>IF((K46=1),Thermostat!$B$3,Thermostat!$B$4)</f>
        <v>60</v>
      </c>
      <c r="L55" s="210">
        <f>IF((L46=1),Thermostat!$B$3,Thermostat!$B$4)</f>
        <v>60</v>
      </c>
      <c r="M55" s="210">
        <f>IF((M46=1),Thermostat!$B$3,Thermostat!$B$4)</f>
        <v>60</v>
      </c>
      <c r="N55" s="210">
        <f>IF((N46=1),Thermostat!$B$3,Thermostat!$B$4)</f>
        <v>60</v>
      </c>
      <c r="O55" s="210">
        <f>IF((O46=1),Thermostat!$B$3,Thermostat!$B$4)</f>
        <v>60</v>
      </c>
      <c r="P55" s="210">
        <f>IF((P46=1),Thermostat!$B$3,Thermostat!$B$4)</f>
        <v>60</v>
      </c>
      <c r="Q55" s="210">
        <f>IF((Q46=1),Thermostat!$B$3,Thermostat!$B$4)</f>
        <v>60</v>
      </c>
      <c r="R55" s="210">
        <f>IF((R46=1),Thermostat!$B$3,Thermostat!$B$4)</f>
        <v>60</v>
      </c>
      <c r="S55" s="210">
        <f>IF((S46=1),Thermostat!$B$3,Thermostat!$B$4)</f>
        <v>60</v>
      </c>
      <c r="T55" s="210">
        <f>IF((T46=1),Thermostat!$B$3,Thermostat!$B$4)</f>
        <v>60</v>
      </c>
      <c r="U55" s="210">
        <f>IF((U46=1),Thermostat!$B$3,Thermostat!$B$4)</f>
        <v>60</v>
      </c>
      <c r="V55" s="210">
        <f>IF((V46=1),Thermostat!$B$3,Thermostat!$B$4)</f>
        <v>60</v>
      </c>
      <c r="W55" s="210">
        <f>IF((W46=1),Thermostat!$B$3,Thermostat!$B$4)</f>
        <v>60</v>
      </c>
      <c r="X55" s="210">
        <f>IF((X46=1),Thermostat!$B$3,Thermostat!$B$4)</f>
        <v>60</v>
      </c>
      <c r="Y55" s="210">
        <f>IF((Y46=1),Thermostat!$B$3,Thermostat!$B$4)</f>
        <v>60</v>
      </c>
      <c r="Z55" s="210">
        <f>IF((Z46=1),Thermostat!$B$3,Thermostat!$B$4)</f>
        <v>60</v>
      </c>
      <c r="AA55" s="210">
        <f>IF((AA46=1),Thermostat!$B$3,Thermostat!$B$4)</f>
        <v>60</v>
      </c>
      <c r="AB55" s="210">
        <f>IF((AB46=1),Thermostat!$B$3,Thermostat!$B$4)</f>
        <v>60</v>
      </c>
      <c r="AC55" s="211">
        <f>IF((AC46=1),Thermostat!$B$3,Thermostat!$B$4)</f>
        <v>60</v>
      </c>
    </row>
    <row r="56" spans="1:39" ht="22.5" customHeight="1">
      <c r="A56" s="586" t="s">
        <v>108</v>
      </c>
      <c r="B56" s="577" t="s">
        <v>108</v>
      </c>
      <c r="C56" s="589" t="s">
        <v>516</v>
      </c>
      <c r="D56" s="590" t="s">
        <v>522</v>
      </c>
      <c r="E56" s="217" t="s">
        <v>505</v>
      </c>
      <c r="F56" s="212">
        <f>IF((F44=1),Thermostat!$B$5,Thermostat!$B$6)</f>
        <v>85</v>
      </c>
      <c r="G56" s="212">
        <f>IF((G44=1),Thermostat!$B$5,Thermostat!$B$6)</f>
        <v>85</v>
      </c>
      <c r="H56" s="212">
        <f>IF((H44=1),Thermostat!$B$5,Thermostat!$B$6)</f>
        <v>85</v>
      </c>
      <c r="I56" s="212">
        <f>IF((I44=1),Thermostat!$B$5,Thermostat!$B$6)</f>
        <v>85</v>
      </c>
      <c r="J56" s="212">
        <f>IF((J44=1),Thermostat!$B$5,Thermostat!$B$6)</f>
        <v>85</v>
      </c>
      <c r="K56" s="212">
        <f>IF((K44=1),Thermostat!$B$5,Thermostat!$B$6)</f>
        <v>75</v>
      </c>
      <c r="L56" s="212">
        <f>IF((L44=1),Thermostat!$B$5,Thermostat!$B$6)</f>
        <v>75</v>
      </c>
      <c r="M56" s="212">
        <f>IF((M44=1),Thermostat!$B$5,Thermostat!$B$6)</f>
        <v>75</v>
      </c>
      <c r="N56" s="212">
        <f>IF((N44=1),Thermostat!$B$5,Thermostat!$B$6)</f>
        <v>75</v>
      </c>
      <c r="O56" s="212">
        <f>IF((O44=1),Thermostat!$B$5,Thermostat!$B$6)</f>
        <v>75</v>
      </c>
      <c r="P56" s="212">
        <f>IF((P44=1),Thermostat!$B$5,Thermostat!$B$6)</f>
        <v>75</v>
      </c>
      <c r="Q56" s="212">
        <f>IF((Q44=1),Thermostat!$B$5,Thermostat!$B$6)</f>
        <v>75</v>
      </c>
      <c r="R56" s="212">
        <f>IF((R44=1),Thermostat!$B$5,Thermostat!$B$6)</f>
        <v>75</v>
      </c>
      <c r="S56" s="212">
        <f>IF((S44=1),Thermostat!$B$5,Thermostat!$B$6)</f>
        <v>75</v>
      </c>
      <c r="T56" s="212">
        <f>IF((T44=1),Thermostat!$B$5,Thermostat!$B$6)</f>
        <v>75</v>
      </c>
      <c r="U56" s="212">
        <f>IF((U44=1),Thermostat!$B$5,Thermostat!$B$6)</f>
        <v>75</v>
      </c>
      <c r="V56" s="212">
        <f>IF((V44=1),Thermostat!$B$5,Thermostat!$B$6)</f>
        <v>75</v>
      </c>
      <c r="W56" s="212">
        <f>IF((W44=1),Thermostat!$B$5,Thermostat!$B$6)</f>
        <v>75</v>
      </c>
      <c r="X56" s="212">
        <f>IF((X44=1),Thermostat!$B$5,Thermostat!$B$6)</f>
        <v>75</v>
      </c>
      <c r="Y56" s="212">
        <f>IF((Y44=1),Thermostat!$B$5,Thermostat!$B$6)</f>
        <v>75</v>
      </c>
      <c r="Z56" s="212">
        <f>IF((Z44=1),Thermostat!$B$5,Thermostat!$B$6)</f>
        <v>75</v>
      </c>
      <c r="AA56" s="212">
        <f>IF((AA44=1),Thermostat!$B$5,Thermostat!$B$6)</f>
        <v>75</v>
      </c>
      <c r="AB56" s="212">
        <f>IF((AB44=1),Thermostat!$B$5,Thermostat!$B$6)</f>
        <v>75</v>
      </c>
      <c r="AC56" s="213">
        <f>IF((AC44=1),Thermostat!$B$5,Thermostat!$B$6)</f>
        <v>75</v>
      </c>
    </row>
    <row r="57" spans="1:39" ht="22.5" customHeight="1">
      <c r="A57" s="587"/>
      <c r="B57" s="578"/>
      <c r="C57" s="581"/>
      <c r="D57" s="584"/>
      <c r="E57" s="215" t="s">
        <v>506</v>
      </c>
      <c r="F57" s="208">
        <f>IF((F45=1),Thermostat!$B$5,Thermostat!$B$6)</f>
        <v>85</v>
      </c>
      <c r="G57" s="208">
        <f>IF((G45=1),Thermostat!$B$5,Thermostat!$B$6)</f>
        <v>85</v>
      </c>
      <c r="H57" s="208">
        <f>IF((H45=1),Thermostat!$B$5,Thermostat!$B$6)</f>
        <v>85</v>
      </c>
      <c r="I57" s="208">
        <f>IF((I45=1),Thermostat!$B$5,Thermostat!$B$6)</f>
        <v>85</v>
      </c>
      <c r="J57" s="208">
        <f>IF((J45=1),Thermostat!$B$5,Thermostat!$B$6)</f>
        <v>85</v>
      </c>
      <c r="K57" s="208">
        <f>IF((K45=1),Thermostat!$B$5,Thermostat!$B$6)</f>
        <v>85</v>
      </c>
      <c r="L57" s="208">
        <f>IF((L45=1),Thermostat!$B$5,Thermostat!$B$6)</f>
        <v>85</v>
      </c>
      <c r="M57" s="208">
        <f>IF((M45=1),Thermostat!$B$5,Thermostat!$B$6)</f>
        <v>85</v>
      </c>
      <c r="N57" s="208">
        <f>IF((N45=1),Thermostat!$B$5,Thermostat!$B$6)</f>
        <v>85</v>
      </c>
      <c r="O57" s="208">
        <f>IF((O45=1),Thermostat!$B$5,Thermostat!$B$6)</f>
        <v>85</v>
      </c>
      <c r="P57" s="208">
        <f>IF((P45=1),Thermostat!$B$5,Thermostat!$B$6)</f>
        <v>85</v>
      </c>
      <c r="Q57" s="208">
        <f>IF((Q45=1),Thermostat!$B$5,Thermostat!$B$6)</f>
        <v>85</v>
      </c>
      <c r="R57" s="208">
        <f>IF((R45=1),Thermostat!$B$5,Thermostat!$B$6)</f>
        <v>85</v>
      </c>
      <c r="S57" s="208">
        <f>IF((S45=1),Thermostat!$B$5,Thermostat!$B$6)</f>
        <v>85</v>
      </c>
      <c r="T57" s="208">
        <f>IF((T45=1),Thermostat!$B$5,Thermostat!$B$6)</f>
        <v>85</v>
      </c>
      <c r="U57" s="208">
        <f>IF((U45=1),Thermostat!$B$5,Thermostat!$B$6)</f>
        <v>85</v>
      </c>
      <c r="V57" s="208">
        <f>IF((V45=1),Thermostat!$B$5,Thermostat!$B$6)</f>
        <v>85</v>
      </c>
      <c r="W57" s="208">
        <f>IF((W45=1),Thermostat!$B$5,Thermostat!$B$6)</f>
        <v>85</v>
      </c>
      <c r="X57" s="208">
        <f>IF((X45=1),Thermostat!$B$5,Thermostat!$B$6)</f>
        <v>85</v>
      </c>
      <c r="Y57" s="208">
        <f>IF((Y45=1),Thermostat!$B$5,Thermostat!$B$6)</f>
        <v>85</v>
      </c>
      <c r="Z57" s="208">
        <f>IF((Z45=1),Thermostat!$B$5,Thermostat!$B$6)</f>
        <v>85</v>
      </c>
      <c r="AA57" s="208">
        <f>IF((AA45=1),Thermostat!$B$5,Thermostat!$B$6)</f>
        <v>85</v>
      </c>
      <c r="AB57" s="208">
        <f>IF((AB45=1),Thermostat!$B$5,Thermostat!$B$6)</f>
        <v>85</v>
      </c>
      <c r="AC57" s="209">
        <f>IF((AC45=1),Thermostat!$B$5,Thermostat!$B$6)</f>
        <v>85</v>
      </c>
    </row>
    <row r="58" spans="1:39" ht="22.2" customHeight="1" thickBot="1">
      <c r="A58" s="588"/>
      <c r="B58" s="579"/>
      <c r="C58" s="582"/>
      <c r="D58" s="585"/>
      <c r="E58" s="216" t="s">
        <v>507</v>
      </c>
      <c r="F58" s="210">
        <f>IF((F46=1),Thermostat!$B$5,Thermostat!$B$6)</f>
        <v>85</v>
      </c>
      <c r="G58" s="210">
        <f>IF((G46=1),Thermostat!$B$5,Thermostat!$B$6)</f>
        <v>85</v>
      </c>
      <c r="H58" s="210">
        <f>IF((H46=1),Thermostat!$B$5,Thermostat!$B$6)</f>
        <v>85</v>
      </c>
      <c r="I58" s="210">
        <f>IF((I46=1),Thermostat!$B$5,Thermostat!$B$6)</f>
        <v>85</v>
      </c>
      <c r="J58" s="210">
        <f>IF((J46=1),Thermostat!$B$5,Thermostat!$B$6)</f>
        <v>85</v>
      </c>
      <c r="K58" s="210">
        <f>IF((K46=1),Thermostat!$B$5,Thermostat!$B$6)</f>
        <v>85</v>
      </c>
      <c r="L58" s="210">
        <f>IF((L46=1),Thermostat!$B$5,Thermostat!$B$6)</f>
        <v>85</v>
      </c>
      <c r="M58" s="210">
        <f>IF((M46=1),Thermostat!$B$5,Thermostat!$B$6)</f>
        <v>85</v>
      </c>
      <c r="N58" s="210">
        <f>IF((N46=1),Thermostat!$B$5,Thermostat!$B$6)</f>
        <v>85</v>
      </c>
      <c r="O58" s="210">
        <f>IF((O46=1),Thermostat!$B$5,Thermostat!$B$6)</f>
        <v>85</v>
      </c>
      <c r="P58" s="210">
        <f>IF((P46=1),Thermostat!$B$5,Thermostat!$B$6)</f>
        <v>85</v>
      </c>
      <c r="Q58" s="210">
        <f>IF((Q46=1),Thermostat!$B$5,Thermostat!$B$6)</f>
        <v>85</v>
      </c>
      <c r="R58" s="210">
        <f>IF((R46=1),Thermostat!$B$5,Thermostat!$B$6)</f>
        <v>85</v>
      </c>
      <c r="S58" s="210">
        <f>IF((S46=1),Thermostat!$B$5,Thermostat!$B$6)</f>
        <v>85</v>
      </c>
      <c r="T58" s="210">
        <f>IF((T46=1),Thermostat!$B$5,Thermostat!$B$6)</f>
        <v>85</v>
      </c>
      <c r="U58" s="210">
        <f>IF((U46=1),Thermostat!$B$5,Thermostat!$B$6)</f>
        <v>85</v>
      </c>
      <c r="V58" s="210">
        <f>IF((V46=1),Thermostat!$B$5,Thermostat!$B$6)</f>
        <v>85</v>
      </c>
      <c r="W58" s="210">
        <f>IF((W46=1),Thermostat!$B$5,Thermostat!$B$6)</f>
        <v>85</v>
      </c>
      <c r="X58" s="210">
        <f>IF((X46=1),Thermostat!$B$5,Thermostat!$B$6)</f>
        <v>85</v>
      </c>
      <c r="Y58" s="210">
        <f>IF((Y46=1),Thermostat!$B$5,Thermostat!$B$6)</f>
        <v>85</v>
      </c>
      <c r="Z58" s="210">
        <f>IF((Z46=1),Thermostat!$B$5,Thermostat!$B$6)</f>
        <v>85</v>
      </c>
      <c r="AA58" s="210">
        <f>IF((AA46=1),Thermostat!$B$5,Thermostat!$B$6)</f>
        <v>85</v>
      </c>
      <c r="AB58" s="210">
        <f>IF((AB46=1),Thermostat!$B$5,Thermostat!$B$6)</f>
        <v>85</v>
      </c>
      <c r="AC58" s="211">
        <f>IF((AC46=1),Thermostat!$B$5,Thermostat!$B$6)</f>
        <v>85</v>
      </c>
    </row>
    <row r="59" spans="1:39" ht="22.2" customHeight="1" thickBot="1">
      <c r="A59" s="591" t="s">
        <v>16</v>
      </c>
      <c r="B59" s="591"/>
      <c r="C59" s="591"/>
      <c r="D59" s="591"/>
      <c r="E59" s="591"/>
      <c r="F59" s="591"/>
      <c r="G59" s="591"/>
      <c r="H59" s="591"/>
      <c r="I59" s="591"/>
      <c r="J59" s="591"/>
      <c r="K59" s="591"/>
      <c r="L59" s="591"/>
      <c r="M59" s="591"/>
      <c r="N59" s="591"/>
      <c r="O59" s="591"/>
      <c r="P59" s="591"/>
      <c r="Q59" s="591"/>
      <c r="R59" s="591"/>
      <c r="S59" s="591"/>
      <c r="T59" s="591"/>
      <c r="U59" s="591"/>
      <c r="V59" s="591"/>
      <c r="W59" s="591"/>
      <c r="X59" s="591"/>
      <c r="Y59" s="591"/>
      <c r="Z59" s="591"/>
      <c r="AA59" s="591"/>
      <c r="AB59" s="591"/>
      <c r="AC59" s="434"/>
    </row>
    <row r="60" spans="1:39" ht="36" customHeight="1">
      <c r="A60" s="611"/>
      <c r="B60" s="574" t="s">
        <v>69</v>
      </c>
      <c r="C60" s="574" t="s">
        <v>493</v>
      </c>
      <c r="D60" s="619" t="s">
        <v>504</v>
      </c>
      <c r="E60" s="217" t="s">
        <v>505</v>
      </c>
      <c r="F60" s="218">
        <v>0</v>
      </c>
      <c r="G60" s="218">
        <v>0</v>
      </c>
      <c r="H60" s="218">
        <v>0</v>
      </c>
      <c r="I60" s="218">
        <v>0</v>
      </c>
      <c r="J60" s="218">
        <v>0</v>
      </c>
      <c r="K60" s="218">
        <v>0</v>
      </c>
      <c r="L60" s="218">
        <v>0</v>
      </c>
      <c r="M60" s="218">
        <v>0</v>
      </c>
      <c r="N60" s="218">
        <v>0.12</v>
      </c>
      <c r="O60" s="218">
        <v>0.22</v>
      </c>
      <c r="P60" s="218">
        <v>0.64</v>
      </c>
      <c r="Q60" s="218">
        <v>0.74</v>
      </c>
      <c r="R60" s="218">
        <v>0.68</v>
      </c>
      <c r="S60" s="218">
        <v>0.68</v>
      </c>
      <c r="T60" s="218">
        <v>0.71</v>
      </c>
      <c r="U60" s="218">
        <v>0.72</v>
      </c>
      <c r="V60" s="218">
        <v>0.72</v>
      </c>
      <c r="W60" s="218">
        <v>0.73</v>
      </c>
      <c r="X60" s="218">
        <v>0.68</v>
      </c>
      <c r="Y60" s="218">
        <v>0.68</v>
      </c>
      <c r="Z60" s="218">
        <v>0.57999999999999996</v>
      </c>
      <c r="AA60" s="218">
        <v>0.54</v>
      </c>
      <c r="AB60" s="218">
        <v>0</v>
      </c>
      <c r="AC60" s="219">
        <v>0</v>
      </c>
      <c r="AD60" s="43"/>
      <c r="AE60" s="43"/>
      <c r="AF60" s="43"/>
      <c r="AG60" s="43"/>
      <c r="AH60" s="43"/>
      <c r="AI60" s="43"/>
      <c r="AJ60" s="43"/>
      <c r="AK60" s="43"/>
      <c r="AM60" s="54"/>
    </row>
    <row r="61" spans="1:39" ht="36" customHeight="1">
      <c r="A61" s="612"/>
      <c r="B61" s="575"/>
      <c r="C61" s="575"/>
      <c r="D61" s="620"/>
      <c r="E61" s="215" t="s">
        <v>506</v>
      </c>
      <c r="F61" s="146">
        <v>0</v>
      </c>
      <c r="G61" s="146">
        <v>0</v>
      </c>
      <c r="H61" s="146">
        <v>0</v>
      </c>
      <c r="I61" s="146">
        <v>0</v>
      </c>
      <c r="J61" s="146">
        <v>0</v>
      </c>
      <c r="K61" s="146">
        <v>0</v>
      </c>
      <c r="L61" s="146">
        <v>0</v>
      </c>
      <c r="M61" s="146">
        <v>0</v>
      </c>
      <c r="N61" s="146">
        <v>0.09</v>
      </c>
      <c r="O61" s="146">
        <v>0.21</v>
      </c>
      <c r="P61" s="146">
        <v>0.56000000000000005</v>
      </c>
      <c r="Q61" s="146">
        <v>0.66</v>
      </c>
      <c r="R61" s="146">
        <v>0.68</v>
      </c>
      <c r="S61" s="146">
        <v>0.68</v>
      </c>
      <c r="T61" s="146">
        <v>0.69</v>
      </c>
      <c r="U61" s="146">
        <v>0.7</v>
      </c>
      <c r="V61" s="146">
        <v>0.69</v>
      </c>
      <c r="W61" s="146">
        <v>0.66</v>
      </c>
      <c r="X61" s="146">
        <v>0.57999999999999996</v>
      </c>
      <c r="Y61" s="146">
        <v>0.47</v>
      </c>
      <c r="Z61" s="146">
        <v>0.43</v>
      </c>
      <c r="AA61" s="146">
        <v>0.43</v>
      </c>
      <c r="AB61" s="146">
        <v>0.08</v>
      </c>
      <c r="AC61" s="147">
        <v>0</v>
      </c>
      <c r="AD61" s="43"/>
      <c r="AE61" s="43"/>
      <c r="AF61" s="43"/>
      <c r="AG61" s="43"/>
      <c r="AH61" s="43"/>
      <c r="AI61" s="43"/>
      <c r="AJ61" s="43"/>
      <c r="AK61" s="43"/>
      <c r="AM61" s="54"/>
    </row>
    <row r="62" spans="1:39" ht="36" customHeight="1" thickBot="1">
      <c r="A62" s="613"/>
      <c r="B62" s="576"/>
      <c r="C62" s="576"/>
      <c r="D62" s="621"/>
      <c r="E62" s="216" t="s">
        <v>507</v>
      </c>
      <c r="F62" s="148">
        <v>0</v>
      </c>
      <c r="G62" s="148">
        <v>0</v>
      </c>
      <c r="H62" s="148">
        <v>0</v>
      </c>
      <c r="I62" s="148">
        <v>0</v>
      </c>
      <c r="J62" s="148">
        <v>0</v>
      </c>
      <c r="K62" s="148">
        <v>0</v>
      </c>
      <c r="L62" s="148">
        <v>0</v>
      </c>
      <c r="M62" s="148">
        <v>0</v>
      </c>
      <c r="N62" s="148">
        <v>0</v>
      </c>
      <c r="O62" s="148">
        <v>0</v>
      </c>
      <c r="P62" s="148">
        <v>0.11</v>
      </c>
      <c r="Q62" s="148">
        <v>0.13</v>
      </c>
      <c r="R62" s="148">
        <v>0.35</v>
      </c>
      <c r="S62" s="148">
        <v>0.37</v>
      </c>
      <c r="T62" s="148">
        <v>0.37</v>
      </c>
      <c r="U62" s="148">
        <v>0.39</v>
      </c>
      <c r="V62" s="148">
        <v>0.41</v>
      </c>
      <c r="W62" s="148">
        <v>0.38</v>
      </c>
      <c r="X62" s="148">
        <v>0.34</v>
      </c>
      <c r="Y62" s="148">
        <v>0.03</v>
      </c>
      <c r="Z62" s="148">
        <v>0</v>
      </c>
      <c r="AA62" s="148">
        <v>0</v>
      </c>
      <c r="AB62" s="148">
        <v>0</v>
      </c>
      <c r="AC62" s="149">
        <v>0</v>
      </c>
      <c r="AD62" s="43"/>
      <c r="AE62" s="43"/>
      <c r="AF62" s="43"/>
      <c r="AG62" s="43"/>
      <c r="AH62" s="43"/>
      <c r="AI62" s="43"/>
      <c r="AJ62" s="43"/>
      <c r="AK62" s="43"/>
      <c r="AM62" s="54"/>
    </row>
    <row r="63" spans="1:39" ht="22.5" customHeight="1">
      <c r="A63" s="604" t="s">
        <v>523</v>
      </c>
      <c r="B63" s="577" t="s">
        <v>69</v>
      </c>
      <c r="C63" s="629" t="s">
        <v>524</v>
      </c>
      <c r="D63" s="631"/>
      <c r="E63" s="217" t="s">
        <v>505</v>
      </c>
      <c r="F63" s="642">
        <v>1</v>
      </c>
      <c r="G63" s="642">
        <v>1</v>
      </c>
      <c r="H63" s="642">
        <v>1</v>
      </c>
      <c r="I63" s="642">
        <v>1</v>
      </c>
      <c r="J63" s="642">
        <v>1</v>
      </c>
      <c r="K63" s="642">
        <v>1</v>
      </c>
      <c r="L63" s="642">
        <v>1</v>
      </c>
      <c r="M63" s="642">
        <v>1</v>
      </c>
      <c r="N63" s="642">
        <v>1</v>
      </c>
      <c r="O63" s="642">
        <v>1</v>
      </c>
      <c r="P63" s="642">
        <v>1</v>
      </c>
      <c r="Q63" s="642">
        <v>1</v>
      </c>
      <c r="R63" s="642">
        <v>1</v>
      </c>
      <c r="S63" s="642">
        <v>1</v>
      </c>
      <c r="T63" s="642">
        <v>1</v>
      </c>
      <c r="U63" s="642">
        <v>1</v>
      </c>
      <c r="V63" s="642">
        <v>1</v>
      </c>
      <c r="W63" s="642">
        <v>1</v>
      </c>
      <c r="X63" s="642">
        <v>1</v>
      </c>
      <c r="Y63" s="642">
        <v>1</v>
      </c>
      <c r="Z63" s="642">
        <v>1</v>
      </c>
      <c r="AA63" s="642">
        <v>1</v>
      </c>
      <c r="AB63" s="642">
        <v>1</v>
      </c>
      <c r="AC63" s="643">
        <v>1</v>
      </c>
    </row>
    <row r="64" spans="1:39" ht="22.5" customHeight="1">
      <c r="A64" s="605"/>
      <c r="B64" s="578"/>
      <c r="C64" s="630"/>
      <c r="D64" s="632"/>
      <c r="E64" s="215" t="s">
        <v>506</v>
      </c>
      <c r="F64" s="172">
        <v>1</v>
      </c>
      <c r="G64" s="172">
        <v>1</v>
      </c>
      <c r="H64" s="172">
        <v>1</v>
      </c>
      <c r="I64" s="172">
        <v>1</v>
      </c>
      <c r="J64" s="172">
        <v>1</v>
      </c>
      <c r="K64" s="172">
        <v>1</v>
      </c>
      <c r="L64" s="172">
        <v>1</v>
      </c>
      <c r="M64" s="172">
        <v>1</v>
      </c>
      <c r="N64" s="172">
        <v>1</v>
      </c>
      <c r="O64" s="172">
        <v>1</v>
      </c>
      <c r="P64" s="172">
        <v>1</v>
      </c>
      <c r="Q64" s="172">
        <v>1</v>
      </c>
      <c r="R64" s="172">
        <v>1</v>
      </c>
      <c r="S64" s="172">
        <v>1</v>
      </c>
      <c r="T64" s="172">
        <v>1</v>
      </c>
      <c r="U64" s="172">
        <v>1</v>
      </c>
      <c r="V64" s="172">
        <v>1</v>
      </c>
      <c r="W64" s="172">
        <v>1</v>
      </c>
      <c r="X64" s="172">
        <v>1</v>
      </c>
      <c r="Y64" s="172">
        <v>1</v>
      </c>
      <c r="Z64" s="172">
        <v>1</v>
      </c>
      <c r="AA64" s="172">
        <v>1</v>
      </c>
      <c r="AB64" s="172">
        <v>1</v>
      </c>
      <c r="AC64" s="644">
        <v>1</v>
      </c>
    </row>
    <row r="65" spans="1:35" ht="22.5" customHeight="1" thickBot="1">
      <c r="A65" s="607"/>
      <c r="B65" s="609"/>
      <c r="C65" s="634"/>
      <c r="D65" s="635"/>
      <c r="E65" s="216" t="s">
        <v>507</v>
      </c>
      <c r="F65" s="646">
        <v>1</v>
      </c>
      <c r="G65" s="646">
        <v>1</v>
      </c>
      <c r="H65" s="646">
        <v>1</v>
      </c>
      <c r="I65" s="646">
        <v>1</v>
      </c>
      <c r="J65" s="646">
        <v>1</v>
      </c>
      <c r="K65" s="646">
        <v>1</v>
      </c>
      <c r="L65" s="646">
        <v>1</v>
      </c>
      <c r="M65" s="646">
        <v>1</v>
      </c>
      <c r="N65" s="646">
        <v>1</v>
      </c>
      <c r="O65" s="646">
        <v>1</v>
      </c>
      <c r="P65" s="646">
        <v>1</v>
      </c>
      <c r="Q65" s="646">
        <v>1</v>
      </c>
      <c r="R65" s="646">
        <v>1</v>
      </c>
      <c r="S65" s="646">
        <v>1</v>
      </c>
      <c r="T65" s="646">
        <v>1</v>
      </c>
      <c r="U65" s="646">
        <v>1</v>
      </c>
      <c r="V65" s="646">
        <v>1</v>
      </c>
      <c r="W65" s="646">
        <v>1</v>
      </c>
      <c r="X65" s="646">
        <v>1</v>
      </c>
      <c r="Y65" s="646">
        <v>1</v>
      </c>
      <c r="Z65" s="646">
        <v>1</v>
      </c>
      <c r="AA65" s="646">
        <v>1</v>
      </c>
      <c r="AB65" s="646">
        <v>1</v>
      </c>
      <c r="AC65" s="647">
        <v>1</v>
      </c>
      <c r="AI65" s="41" t="s">
        <v>15</v>
      </c>
    </row>
    <row r="66" spans="1:35" ht="22.5" customHeight="1">
      <c r="A66" s="605" t="s">
        <v>523</v>
      </c>
      <c r="B66" s="578" t="s">
        <v>69</v>
      </c>
      <c r="C66" s="630" t="s">
        <v>525</v>
      </c>
      <c r="D66" s="632"/>
      <c r="E66" s="214" t="s">
        <v>505</v>
      </c>
      <c r="F66" s="178">
        <v>0</v>
      </c>
      <c r="G66" s="178">
        <v>0</v>
      </c>
      <c r="H66" s="178">
        <v>0</v>
      </c>
      <c r="I66" s="178">
        <v>0</v>
      </c>
      <c r="J66" s="178">
        <v>0</v>
      </c>
      <c r="K66" s="178">
        <v>1</v>
      </c>
      <c r="L66" s="178">
        <v>1</v>
      </c>
      <c r="M66" s="178">
        <v>1</v>
      </c>
      <c r="N66" s="178">
        <v>1</v>
      </c>
      <c r="O66" s="178">
        <v>1</v>
      </c>
      <c r="P66" s="178">
        <v>1</v>
      </c>
      <c r="Q66" s="178">
        <v>1</v>
      </c>
      <c r="R66" s="178">
        <v>1</v>
      </c>
      <c r="S66" s="178">
        <v>1</v>
      </c>
      <c r="T66" s="178">
        <v>1</v>
      </c>
      <c r="U66" s="178">
        <v>1</v>
      </c>
      <c r="V66" s="178">
        <v>1</v>
      </c>
      <c r="W66" s="178">
        <v>1</v>
      </c>
      <c r="X66" s="178">
        <v>1</v>
      </c>
      <c r="Y66" s="178">
        <v>1</v>
      </c>
      <c r="Z66" s="178">
        <v>1</v>
      </c>
      <c r="AA66" s="178">
        <v>0</v>
      </c>
      <c r="AB66" s="178">
        <v>0</v>
      </c>
      <c r="AC66" s="179">
        <v>0</v>
      </c>
    </row>
    <row r="67" spans="1:35" ht="22.5" customHeight="1">
      <c r="A67" s="605"/>
      <c r="B67" s="578"/>
      <c r="C67" s="630"/>
      <c r="D67" s="632"/>
      <c r="E67" s="215" t="s">
        <v>506</v>
      </c>
      <c r="F67" s="178">
        <v>0</v>
      </c>
      <c r="G67" s="178">
        <v>0</v>
      </c>
      <c r="H67" s="178">
        <v>0</v>
      </c>
      <c r="I67" s="178">
        <v>0</v>
      </c>
      <c r="J67" s="178">
        <v>0</v>
      </c>
      <c r="K67" s="178">
        <v>1</v>
      </c>
      <c r="L67" s="178">
        <v>1</v>
      </c>
      <c r="M67" s="178">
        <v>1</v>
      </c>
      <c r="N67" s="178">
        <v>1</v>
      </c>
      <c r="O67" s="178">
        <v>1</v>
      </c>
      <c r="P67" s="178">
        <v>1</v>
      </c>
      <c r="Q67" s="178">
        <v>1</v>
      </c>
      <c r="R67" s="178">
        <v>1</v>
      </c>
      <c r="S67" s="178">
        <v>1</v>
      </c>
      <c r="T67" s="178">
        <v>1</v>
      </c>
      <c r="U67" s="178">
        <v>1</v>
      </c>
      <c r="V67" s="178">
        <v>1</v>
      </c>
      <c r="W67" s="178">
        <v>1</v>
      </c>
      <c r="X67" s="178">
        <v>1</v>
      </c>
      <c r="Y67" s="178">
        <v>1</v>
      </c>
      <c r="Z67" s="178">
        <v>1</v>
      </c>
      <c r="AA67" s="178">
        <v>0</v>
      </c>
      <c r="AB67" s="178">
        <v>0</v>
      </c>
      <c r="AC67" s="179">
        <v>0</v>
      </c>
    </row>
    <row r="68" spans="1:35" ht="22.5" customHeight="1" thickBot="1">
      <c r="A68" s="605"/>
      <c r="B68" s="578"/>
      <c r="C68" s="630"/>
      <c r="D68" s="632"/>
      <c r="E68" s="640" t="s">
        <v>507</v>
      </c>
      <c r="F68" s="180">
        <v>0</v>
      </c>
      <c r="G68" s="180">
        <v>0</v>
      </c>
      <c r="H68" s="180">
        <v>0</v>
      </c>
      <c r="I68" s="180">
        <v>0</v>
      </c>
      <c r="J68" s="180">
        <v>0</v>
      </c>
      <c r="K68" s="180">
        <v>1</v>
      </c>
      <c r="L68" s="180">
        <v>1</v>
      </c>
      <c r="M68" s="180">
        <v>1</v>
      </c>
      <c r="N68" s="180">
        <v>1</v>
      </c>
      <c r="O68" s="180">
        <v>1</v>
      </c>
      <c r="P68" s="180">
        <v>1</v>
      </c>
      <c r="Q68" s="180">
        <v>1</v>
      </c>
      <c r="R68" s="180">
        <v>1</v>
      </c>
      <c r="S68" s="180">
        <v>1</v>
      </c>
      <c r="T68" s="180">
        <v>1</v>
      </c>
      <c r="U68" s="180">
        <v>1</v>
      </c>
      <c r="V68" s="180">
        <v>1</v>
      </c>
      <c r="W68" s="180">
        <v>1</v>
      </c>
      <c r="X68" s="180">
        <v>1</v>
      </c>
      <c r="Y68" s="180">
        <v>1</v>
      </c>
      <c r="Z68" s="180">
        <v>1</v>
      </c>
      <c r="AA68" s="180">
        <v>0</v>
      </c>
      <c r="AB68" s="180">
        <v>0</v>
      </c>
      <c r="AC68" s="181">
        <v>0</v>
      </c>
    </row>
    <row r="69" spans="1:35" ht="24" customHeight="1">
      <c r="A69" s="604" t="s">
        <v>526</v>
      </c>
      <c r="B69" s="577" t="s">
        <v>69</v>
      </c>
      <c r="C69" s="641" t="s">
        <v>527</v>
      </c>
      <c r="D69" s="631" t="s">
        <v>528</v>
      </c>
      <c r="E69" s="217" t="s">
        <v>505</v>
      </c>
      <c r="F69" s="642">
        <v>147</v>
      </c>
      <c r="G69" s="642">
        <v>147</v>
      </c>
      <c r="H69" s="642">
        <v>147</v>
      </c>
      <c r="I69" s="642">
        <v>147</v>
      </c>
      <c r="J69" s="642">
        <v>147</v>
      </c>
      <c r="K69" s="642">
        <v>147</v>
      </c>
      <c r="L69" s="642">
        <v>147</v>
      </c>
      <c r="M69" s="642">
        <v>147</v>
      </c>
      <c r="N69" s="642">
        <v>147</v>
      </c>
      <c r="O69" s="642">
        <v>147</v>
      </c>
      <c r="P69" s="642">
        <v>147</v>
      </c>
      <c r="Q69" s="642">
        <v>147</v>
      </c>
      <c r="R69" s="642">
        <v>147</v>
      </c>
      <c r="S69" s="642">
        <v>147</v>
      </c>
      <c r="T69" s="642">
        <v>147</v>
      </c>
      <c r="U69" s="642">
        <v>147</v>
      </c>
      <c r="V69" s="642">
        <v>147</v>
      </c>
      <c r="W69" s="642">
        <v>147</v>
      </c>
      <c r="X69" s="642">
        <v>147</v>
      </c>
      <c r="Y69" s="642">
        <v>147</v>
      </c>
      <c r="Z69" s="642">
        <v>147</v>
      </c>
      <c r="AA69" s="642">
        <v>147</v>
      </c>
      <c r="AB69" s="642">
        <v>147</v>
      </c>
      <c r="AC69" s="643">
        <v>147</v>
      </c>
    </row>
    <row r="70" spans="1:35" ht="24" customHeight="1">
      <c r="A70" s="605"/>
      <c r="B70" s="578"/>
      <c r="C70" s="603"/>
      <c r="D70" s="632"/>
      <c r="E70" s="215" t="s">
        <v>506</v>
      </c>
      <c r="F70" s="172">
        <v>147</v>
      </c>
      <c r="G70" s="172">
        <v>147</v>
      </c>
      <c r="H70" s="172">
        <v>147</v>
      </c>
      <c r="I70" s="172">
        <v>147</v>
      </c>
      <c r="J70" s="172">
        <v>147</v>
      </c>
      <c r="K70" s="172">
        <v>147</v>
      </c>
      <c r="L70" s="172">
        <v>147</v>
      </c>
      <c r="M70" s="172">
        <v>147</v>
      </c>
      <c r="N70" s="172">
        <v>147</v>
      </c>
      <c r="O70" s="172">
        <v>147</v>
      </c>
      <c r="P70" s="172">
        <v>147</v>
      </c>
      <c r="Q70" s="172">
        <v>147</v>
      </c>
      <c r="R70" s="172">
        <v>147</v>
      </c>
      <c r="S70" s="172">
        <v>147</v>
      </c>
      <c r="T70" s="172">
        <v>147</v>
      </c>
      <c r="U70" s="172">
        <v>147</v>
      </c>
      <c r="V70" s="172">
        <v>147</v>
      </c>
      <c r="W70" s="172">
        <v>147</v>
      </c>
      <c r="X70" s="172">
        <v>147</v>
      </c>
      <c r="Y70" s="172">
        <v>147</v>
      </c>
      <c r="Z70" s="172">
        <v>147</v>
      </c>
      <c r="AA70" s="172">
        <v>147</v>
      </c>
      <c r="AB70" s="172">
        <v>147</v>
      </c>
      <c r="AC70" s="644">
        <v>147</v>
      </c>
    </row>
    <row r="71" spans="1:35" ht="24" customHeight="1" thickBot="1">
      <c r="A71" s="607"/>
      <c r="B71" s="609"/>
      <c r="C71" s="645"/>
      <c r="D71" s="635"/>
      <c r="E71" s="216" t="s">
        <v>507</v>
      </c>
      <c r="F71" s="646">
        <v>147</v>
      </c>
      <c r="G71" s="646">
        <v>147</v>
      </c>
      <c r="H71" s="646">
        <v>147</v>
      </c>
      <c r="I71" s="646">
        <v>147</v>
      </c>
      <c r="J71" s="646">
        <v>147</v>
      </c>
      <c r="K71" s="646">
        <v>147</v>
      </c>
      <c r="L71" s="646">
        <v>147</v>
      </c>
      <c r="M71" s="646">
        <v>147</v>
      </c>
      <c r="N71" s="646">
        <v>147</v>
      </c>
      <c r="O71" s="646">
        <v>147</v>
      </c>
      <c r="P71" s="646">
        <v>147</v>
      </c>
      <c r="Q71" s="646">
        <v>147</v>
      </c>
      <c r="R71" s="646">
        <v>147</v>
      </c>
      <c r="S71" s="646">
        <v>147</v>
      </c>
      <c r="T71" s="646">
        <v>147</v>
      </c>
      <c r="U71" s="646">
        <v>147</v>
      </c>
      <c r="V71" s="646">
        <v>147</v>
      </c>
      <c r="W71" s="646">
        <v>147</v>
      </c>
      <c r="X71" s="646">
        <v>147</v>
      </c>
      <c r="Y71" s="646">
        <v>147</v>
      </c>
      <c r="Z71" s="646">
        <v>147</v>
      </c>
      <c r="AA71" s="646">
        <v>147</v>
      </c>
      <c r="AB71" s="646">
        <v>147</v>
      </c>
      <c r="AC71" s="647">
        <v>147</v>
      </c>
    </row>
    <row r="72" spans="1:35" ht="22.5" customHeight="1">
      <c r="A72" s="605" t="s">
        <v>116</v>
      </c>
      <c r="B72" s="578" t="s">
        <v>69</v>
      </c>
      <c r="C72" s="603" t="s">
        <v>529</v>
      </c>
      <c r="D72" s="632" t="s">
        <v>528</v>
      </c>
      <c r="E72" s="214" t="s">
        <v>505</v>
      </c>
      <c r="F72" s="172">
        <v>213.9</v>
      </c>
      <c r="G72" s="172">
        <v>213.9</v>
      </c>
      <c r="H72" s="172">
        <v>213.9</v>
      </c>
      <c r="I72" s="172">
        <v>213.9</v>
      </c>
      <c r="J72" s="172">
        <v>213.9</v>
      </c>
      <c r="K72" s="172">
        <v>213.9</v>
      </c>
      <c r="L72" s="172">
        <v>213.9</v>
      </c>
      <c r="M72" s="172">
        <v>213.9</v>
      </c>
      <c r="N72" s="172">
        <v>213.9</v>
      </c>
      <c r="O72" s="172">
        <v>213.9</v>
      </c>
      <c r="P72" s="172">
        <v>213.9</v>
      </c>
      <c r="Q72" s="172">
        <v>213.9</v>
      </c>
      <c r="R72" s="172">
        <v>213.9</v>
      </c>
      <c r="S72" s="172">
        <v>213.9</v>
      </c>
      <c r="T72" s="172">
        <v>213.9</v>
      </c>
      <c r="U72" s="172">
        <v>213.9</v>
      </c>
      <c r="V72" s="172">
        <v>213.9</v>
      </c>
      <c r="W72" s="172">
        <v>213.9</v>
      </c>
      <c r="X72" s="172">
        <v>213.9</v>
      </c>
      <c r="Y72" s="172">
        <v>213.9</v>
      </c>
      <c r="Z72" s="172">
        <v>213.9</v>
      </c>
      <c r="AA72" s="172">
        <v>213.9</v>
      </c>
      <c r="AB72" s="172">
        <v>213.9</v>
      </c>
      <c r="AC72" s="175">
        <v>213.9</v>
      </c>
    </row>
    <row r="73" spans="1:35" ht="22.5" customHeight="1">
      <c r="A73" s="605"/>
      <c r="B73" s="578"/>
      <c r="C73" s="603"/>
      <c r="D73" s="632"/>
      <c r="E73" s="215" t="s">
        <v>506</v>
      </c>
      <c r="F73" s="172">
        <v>213.9</v>
      </c>
      <c r="G73" s="172">
        <v>213.9</v>
      </c>
      <c r="H73" s="172">
        <v>213.9</v>
      </c>
      <c r="I73" s="172">
        <v>213.9</v>
      </c>
      <c r="J73" s="172">
        <v>213.9</v>
      </c>
      <c r="K73" s="172">
        <v>213.9</v>
      </c>
      <c r="L73" s="172">
        <v>213.9</v>
      </c>
      <c r="M73" s="172">
        <v>213.9</v>
      </c>
      <c r="N73" s="172">
        <v>213.9</v>
      </c>
      <c r="O73" s="172">
        <v>213.9</v>
      </c>
      <c r="P73" s="172">
        <v>213.9</v>
      </c>
      <c r="Q73" s="172">
        <v>213.9</v>
      </c>
      <c r="R73" s="172">
        <v>213.9</v>
      </c>
      <c r="S73" s="172">
        <v>213.9</v>
      </c>
      <c r="T73" s="172">
        <v>213.9</v>
      </c>
      <c r="U73" s="172">
        <v>213.9</v>
      </c>
      <c r="V73" s="172">
        <v>213.9</v>
      </c>
      <c r="W73" s="172">
        <v>213.9</v>
      </c>
      <c r="X73" s="172">
        <v>213.9</v>
      </c>
      <c r="Y73" s="172">
        <v>213.9</v>
      </c>
      <c r="Z73" s="172">
        <v>213.9</v>
      </c>
      <c r="AA73" s="172">
        <v>213.9</v>
      </c>
      <c r="AB73" s="172">
        <v>213.9</v>
      </c>
      <c r="AC73" s="175">
        <v>213.9</v>
      </c>
    </row>
    <row r="74" spans="1:35" ht="22.5" customHeight="1" thickBot="1">
      <c r="A74" s="606"/>
      <c r="B74" s="609"/>
      <c r="C74" s="608"/>
      <c r="D74" s="633"/>
      <c r="E74" s="216" t="s">
        <v>507</v>
      </c>
      <c r="F74" s="176">
        <v>213.9</v>
      </c>
      <c r="G74" s="176">
        <v>213.9</v>
      </c>
      <c r="H74" s="176">
        <v>213.9</v>
      </c>
      <c r="I74" s="176">
        <v>213.9</v>
      </c>
      <c r="J74" s="176">
        <v>213.9</v>
      </c>
      <c r="K74" s="176">
        <v>213.9</v>
      </c>
      <c r="L74" s="176">
        <v>213.9</v>
      </c>
      <c r="M74" s="176">
        <v>213.9</v>
      </c>
      <c r="N74" s="176">
        <v>213.9</v>
      </c>
      <c r="O74" s="176">
        <v>213.9</v>
      </c>
      <c r="P74" s="176">
        <v>213.9</v>
      </c>
      <c r="Q74" s="176">
        <v>213.9</v>
      </c>
      <c r="R74" s="176">
        <v>213.9</v>
      </c>
      <c r="S74" s="176">
        <v>213.9</v>
      </c>
      <c r="T74" s="176">
        <v>213.9</v>
      </c>
      <c r="U74" s="176">
        <v>213.9</v>
      </c>
      <c r="V74" s="176">
        <v>213.9</v>
      </c>
      <c r="W74" s="176">
        <v>213.9</v>
      </c>
      <c r="X74" s="176">
        <v>213.9</v>
      </c>
      <c r="Y74" s="176">
        <v>213.9</v>
      </c>
      <c r="Z74" s="176">
        <v>213.9</v>
      </c>
      <c r="AA74" s="176">
        <v>213.9</v>
      </c>
      <c r="AB74" s="176">
        <v>213.9</v>
      </c>
      <c r="AC74" s="177">
        <v>213.9</v>
      </c>
    </row>
    <row r="75" spans="1:35" ht="22.5" customHeight="1">
      <c r="A75" s="648" t="s">
        <v>530</v>
      </c>
      <c r="B75" s="577" t="s">
        <v>69</v>
      </c>
      <c r="C75" s="602" t="s">
        <v>531</v>
      </c>
      <c r="D75" s="632" t="s">
        <v>528</v>
      </c>
      <c r="E75" s="217" t="s">
        <v>505</v>
      </c>
      <c r="F75" s="173">
        <v>331.2</v>
      </c>
      <c r="G75" s="173">
        <v>331.2</v>
      </c>
      <c r="H75" s="173">
        <v>331.2</v>
      </c>
      <c r="I75" s="173">
        <v>331.2</v>
      </c>
      <c r="J75" s="173">
        <v>331.2</v>
      </c>
      <c r="K75" s="173">
        <v>331.2</v>
      </c>
      <c r="L75" s="173">
        <v>331.2</v>
      </c>
      <c r="M75" s="173">
        <v>331.2</v>
      </c>
      <c r="N75" s="173">
        <v>331.2</v>
      </c>
      <c r="O75" s="173">
        <v>331.2</v>
      </c>
      <c r="P75" s="173">
        <v>331.2</v>
      </c>
      <c r="Q75" s="173">
        <v>331.2</v>
      </c>
      <c r="R75" s="173">
        <v>331.2</v>
      </c>
      <c r="S75" s="173">
        <v>331.2</v>
      </c>
      <c r="T75" s="173">
        <v>331.2</v>
      </c>
      <c r="U75" s="173">
        <v>331.2</v>
      </c>
      <c r="V75" s="173">
        <v>331.2</v>
      </c>
      <c r="W75" s="173">
        <v>331.2</v>
      </c>
      <c r="X75" s="173">
        <v>331.2</v>
      </c>
      <c r="Y75" s="173">
        <v>331.2</v>
      </c>
      <c r="Z75" s="173">
        <v>331.2</v>
      </c>
      <c r="AA75" s="173">
        <v>331.2</v>
      </c>
      <c r="AB75" s="173">
        <v>331.2</v>
      </c>
      <c r="AC75" s="174">
        <v>331.2</v>
      </c>
    </row>
    <row r="76" spans="1:35" ht="22.5" customHeight="1">
      <c r="A76" s="605"/>
      <c r="B76" s="578"/>
      <c r="C76" s="603"/>
      <c r="D76" s="632"/>
      <c r="E76" s="215" t="s">
        <v>506</v>
      </c>
      <c r="F76" s="172">
        <v>331.2</v>
      </c>
      <c r="G76" s="172">
        <v>331.2</v>
      </c>
      <c r="H76" s="172">
        <v>331.2</v>
      </c>
      <c r="I76" s="172">
        <v>331.2</v>
      </c>
      <c r="J76" s="172">
        <v>331.2</v>
      </c>
      <c r="K76" s="172">
        <v>331.2</v>
      </c>
      <c r="L76" s="172">
        <v>331.2</v>
      </c>
      <c r="M76" s="172">
        <v>331.2</v>
      </c>
      <c r="N76" s="172">
        <v>331.2</v>
      </c>
      <c r="O76" s="172">
        <v>331.2</v>
      </c>
      <c r="P76" s="172">
        <v>331.2</v>
      </c>
      <c r="Q76" s="172">
        <v>331.2</v>
      </c>
      <c r="R76" s="172">
        <v>331.2</v>
      </c>
      <c r="S76" s="172">
        <v>331.2</v>
      </c>
      <c r="T76" s="172">
        <v>331.2</v>
      </c>
      <c r="U76" s="172">
        <v>331.2</v>
      </c>
      <c r="V76" s="172">
        <v>331.2</v>
      </c>
      <c r="W76" s="172">
        <v>331.2</v>
      </c>
      <c r="X76" s="172">
        <v>331.2</v>
      </c>
      <c r="Y76" s="172">
        <v>331.2</v>
      </c>
      <c r="Z76" s="172">
        <v>331.2</v>
      </c>
      <c r="AA76" s="172">
        <v>331.2</v>
      </c>
      <c r="AB76" s="172">
        <v>331.2</v>
      </c>
      <c r="AC76" s="175">
        <v>331.2</v>
      </c>
    </row>
    <row r="77" spans="1:35" ht="22.5" customHeight="1" thickBot="1">
      <c r="A77" s="606"/>
      <c r="B77" s="609"/>
      <c r="C77" s="608"/>
      <c r="D77" s="633"/>
      <c r="E77" s="216" t="s">
        <v>507</v>
      </c>
      <c r="F77" s="176">
        <v>331.2</v>
      </c>
      <c r="G77" s="176">
        <v>331.2</v>
      </c>
      <c r="H77" s="176">
        <v>331.2</v>
      </c>
      <c r="I77" s="176">
        <v>331.2</v>
      </c>
      <c r="J77" s="176">
        <v>331.2</v>
      </c>
      <c r="K77" s="176">
        <v>331.2</v>
      </c>
      <c r="L77" s="176">
        <v>331.2</v>
      </c>
      <c r="M77" s="176">
        <v>331.2</v>
      </c>
      <c r="N77" s="176">
        <v>331.2</v>
      </c>
      <c r="O77" s="176">
        <v>331.2</v>
      </c>
      <c r="P77" s="176">
        <v>331.2</v>
      </c>
      <c r="Q77" s="176">
        <v>331.2</v>
      </c>
      <c r="R77" s="176">
        <v>331.2</v>
      </c>
      <c r="S77" s="176">
        <v>331.2</v>
      </c>
      <c r="T77" s="176">
        <v>331.2</v>
      </c>
      <c r="U77" s="176">
        <v>331.2</v>
      </c>
      <c r="V77" s="176">
        <v>331.2</v>
      </c>
      <c r="W77" s="176">
        <v>331.2</v>
      </c>
      <c r="X77" s="176">
        <v>331.2</v>
      </c>
      <c r="Y77" s="176">
        <v>331.2</v>
      </c>
      <c r="Z77" s="176">
        <v>331.2</v>
      </c>
      <c r="AA77" s="176">
        <v>331.2</v>
      </c>
      <c r="AB77" s="176">
        <v>331.2</v>
      </c>
      <c r="AC77" s="177">
        <v>331.2</v>
      </c>
    </row>
    <row r="78" spans="1:35" ht="22.5" customHeight="1">
      <c r="A78" s="648" t="s">
        <v>532</v>
      </c>
      <c r="B78" s="577" t="s">
        <v>69</v>
      </c>
      <c r="C78" s="602" t="s">
        <v>533</v>
      </c>
      <c r="D78" s="632" t="s">
        <v>528</v>
      </c>
      <c r="E78" s="217" t="s">
        <v>505</v>
      </c>
      <c r="F78" s="173">
        <v>131.9</v>
      </c>
      <c r="G78" s="173">
        <v>131.9</v>
      </c>
      <c r="H78" s="173">
        <v>131.9</v>
      </c>
      <c r="I78" s="173">
        <v>131.9</v>
      </c>
      <c r="J78" s="173">
        <v>131.9</v>
      </c>
      <c r="K78" s="173">
        <v>131.9</v>
      </c>
      <c r="L78" s="173">
        <v>131.9</v>
      </c>
      <c r="M78" s="173">
        <v>131.9</v>
      </c>
      <c r="N78" s="173">
        <v>131.9</v>
      </c>
      <c r="O78" s="173">
        <v>131.9</v>
      </c>
      <c r="P78" s="173">
        <v>131.9</v>
      </c>
      <c r="Q78" s="173">
        <v>131.9</v>
      </c>
      <c r="R78" s="173">
        <v>131.9</v>
      </c>
      <c r="S78" s="173">
        <v>131.9</v>
      </c>
      <c r="T78" s="173">
        <v>131.9</v>
      </c>
      <c r="U78" s="173">
        <v>131.9</v>
      </c>
      <c r="V78" s="173">
        <v>131.9</v>
      </c>
      <c r="W78" s="173">
        <v>131.9</v>
      </c>
      <c r="X78" s="173">
        <v>131.9</v>
      </c>
      <c r="Y78" s="173">
        <v>131.9</v>
      </c>
      <c r="Z78" s="173">
        <v>131.9</v>
      </c>
      <c r="AA78" s="173">
        <v>131.9</v>
      </c>
      <c r="AB78" s="173">
        <v>131.9</v>
      </c>
      <c r="AC78" s="174">
        <v>131.9</v>
      </c>
    </row>
    <row r="79" spans="1:35" ht="22.5" customHeight="1">
      <c r="A79" s="605"/>
      <c r="B79" s="578"/>
      <c r="C79" s="603"/>
      <c r="D79" s="632"/>
      <c r="E79" s="215" t="s">
        <v>506</v>
      </c>
      <c r="F79" s="172">
        <v>131.9</v>
      </c>
      <c r="G79" s="172">
        <v>131.9</v>
      </c>
      <c r="H79" s="172">
        <v>131.9</v>
      </c>
      <c r="I79" s="172">
        <v>131.9</v>
      </c>
      <c r="J79" s="172">
        <v>131.9</v>
      </c>
      <c r="K79" s="172">
        <v>131.9</v>
      </c>
      <c r="L79" s="172">
        <v>131.9</v>
      </c>
      <c r="M79" s="172">
        <v>131.9</v>
      </c>
      <c r="N79" s="172">
        <v>131.9</v>
      </c>
      <c r="O79" s="172">
        <v>131.9</v>
      </c>
      <c r="P79" s="172">
        <v>131.9</v>
      </c>
      <c r="Q79" s="172">
        <v>131.9</v>
      </c>
      <c r="R79" s="172">
        <v>131.9</v>
      </c>
      <c r="S79" s="172">
        <v>131.9</v>
      </c>
      <c r="T79" s="172">
        <v>131.9</v>
      </c>
      <c r="U79" s="172">
        <v>131.9</v>
      </c>
      <c r="V79" s="172">
        <v>131.9</v>
      </c>
      <c r="W79" s="172">
        <v>131.9</v>
      </c>
      <c r="X79" s="172">
        <v>131.9</v>
      </c>
      <c r="Y79" s="172">
        <v>131.9</v>
      </c>
      <c r="Z79" s="172">
        <v>131.9</v>
      </c>
      <c r="AA79" s="172">
        <v>131.9</v>
      </c>
      <c r="AB79" s="172">
        <v>131.9</v>
      </c>
      <c r="AC79" s="175">
        <v>131.9</v>
      </c>
    </row>
    <row r="80" spans="1:35" ht="22.5" customHeight="1" thickBot="1">
      <c r="A80" s="606"/>
      <c r="B80" s="609"/>
      <c r="C80" s="608"/>
      <c r="D80" s="633"/>
      <c r="E80" s="216" t="s">
        <v>507</v>
      </c>
      <c r="F80" s="176">
        <v>131.9</v>
      </c>
      <c r="G80" s="176">
        <v>131.9</v>
      </c>
      <c r="H80" s="176">
        <v>131.9</v>
      </c>
      <c r="I80" s="176">
        <v>131.9</v>
      </c>
      <c r="J80" s="176">
        <v>131.9</v>
      </c>
      <c r="K80" s="176">
        <v>131.9</v>
      </c>
      <c r="L80" s="176">
        <v>131.9</v>
      </c>
      <c r="M80" s="176">
        <v>131.9</v>
      </c>
      <c r="N80" s="176">
        <v>131.9</v>
      </c>
      <c r="O80" s="176">
        <v>131.9</v>
      </c>
      <c r="P80" s="176">
        <v>131.9</v>
      </c>
      <c r="Q80" s="176">
        <v>131.9</v>
      </c>
      <c r="R80" s="176">
        <v>131.9</v>
      </c>
      <c r="S80" s="176">
        <v>131.9</v>
      </c>
      <c r="T80" s="176">
        <v>131.9</v>
      </c>
      <c r="U80" s="176">
        <v>131.9</v>
      </c>
      <c r="V80" s="176">
        <v>131.9</v>
      </c>
      <c r="W80" s="176">
        <v>131.9</v>
      </c>
      <c r="X80" s="176">
        <v>131.9</v>
      </c>
      <c r="Y80" s="176">
        <v>131.9</v>
      </c>
      <c r="Z80" s="176">
        <v>131.9</v>
      </c>
      <c r="AA80" s="176">
        <v>131.9</v>
      </c>
      <c r="AB80" s="176">
        <v>131.9</v>
      </c>
      <c r="AC80" s="177">
        <v>131.9</v>
      </c>
    </row>
    <row r="81" spans="1:29" ht="22.5" customHeight="1">
      <c r="A81" s="648" t="s">
        <v>534</v>
      </c>
      <c r="B81" s="577" t="s">
        <v>69</v>
      </c>
      <c r="C81" s="602" t="s">
        <v>535</v>
      </c>
      <c r="D81" s="632" t="s">
        <v>528</v>
      </c>
      <c r="E81" s="217" t="s">
        <v>505</v>
      </c>
      <c r="F81" s="173">
        <v>117.2</v>
      </c>
      <c r="G81" s="173">
        <v>117.2</v>
      </c>
      <c r="H81" s="173">
        <v>117.2</v>
      </c>
      <c r="I81" s="173">
        <v>117.2</v>
      </c>
      <c r="J81" s="173">
        <v>117.2</v>
      </c>
      <c r="K81" s="173">
        <v>117.2</v>
      </c>
      <c r="L81" s="173">
        <v>117.2</v>
      </c>
      <c r="M81" s="173">
        <v>117.2</v>
      </c>
      <c r="N81" s="173">
        <v>117.2</v>
      </c>
      <c r="O81" s="173">
        <v>117.2</v>
      </c>
      <c r="P81" s="173">
        <v>117.2</v>
      </c>
      <c r="Q81" s="173">
        <v>117.2</v>
      </c>
      <c r="R81" s="173">
        <v>117.2</v>
      </c>
      <c r="S81" s="173">
        <v>117.2</v>
      </c>
      <c r="T81" s="173">
        <v>117.2</v>
      </c>
      <c r="U81" s="173">
        <v>117.2</v>
      </c>
      <c r="V81" s="173">
        <v>117.2</v>
      </c>
      <c r="W81" s="173">
        <v>117.2</v>
      </c>
      <c r="X81" s="173">
        <v>117.2</v>
      </c>
      <c r="Y81" s="173">
        <v>117.2</v>
      </c>
      <c r="Z81" s="173">
        <v>117.2</v>
      </c>
      <c r="AA81" s="173">
        <v>117.2</v>
      </c>
      <c r="AB81" s="173">
        <v>117.2</v>
      </c>
      <c r="AC81" s="174">
        <v>117.2</v>
      </c>
    </row>
    <row r="82" spans="1:29" ht="22.5" customHeight="1">
      <c r="A82" s="605"/>
      <c r="B82" s="578"/>
      <c r="C82" s="603"/>
      <c r="D82" s="632"/>
      <c r="E82" s="215" t="s">
        <v>506</v>
      </c>
      <c r="F82" s="172">
        <v>117.2</v>
      </c>
      <c r="G82" s="172">
        <v>117.2</v>
      </c>
      <c r="H82" s="172">
        <v>117.2</v>
      </c>
      <c r="I82" s="172">
        <v>117.2</v>
      </c>
      <c r="J82" s="172">
        <v>117.2</v>
      </c>
      <c r="K82" s="172">
        <v>117.2</v>
      </c>
      <c r="L82" s="172">
        <v>117.2</v>
      </c>
      <c r="M82" s="172">
        <v>117.2</v>
      </c>
      <c r="N82" s="172">
        <v>117.2</v>
      </c>
      <c r="O82" s="172">
        <v>117.2</v>
      </c>
      <c r="P82" s="172">
        <v>117.2</v>
      </c>
      <c r="Q82" s="172">
        <v>117.2</v>
      </c>
      <c r="R82" s="172">
        <v>117.2</v>
      </c>
      <c r="S82" s="172">
        <v>117.2</v>
      </c>
      <c r="T82" s="172">
        <v>117.2</v>
      </c>
      <c r="U82" s="172">
        <v>117.2</v>
      </c>
      <c r="V82" s="172">
        <v>117.2</v>
      </c>
      <c r="W82" s="172">
        <v>117.2</v>
      </c>
      <c r="X82" s="172">
        <v>117.2</v>
      </c>
      <c r="Y82" s="172">
        <v>117.2</v>
      </c>
      <c r="Z82" s="172">
        <v>117.2</v>
      </c>
      <c r="AA82" s="172">
        <v>117.2</v>
      </c>
      <c r="AB82" s="172">
        <v>117.2</v>
      </c>
      <c r="AC82" s="175">
        <v>117.2</v>
      </c>
    </row>
    <row r="83" spans="1:29" ht="22.5" customHeight="1" thickBot="1">
      <c r="A83" s="606"/>
      <c r="B83" s="609"/>
      <c r="C83" s="608"/>
      <c r="D83" s="633"/>
      <c r="E83" s="216" t="s">
        <v>507</v>
      </c>
      <c r="F83" s="176">
        <v>117.2</v>
      </c>
      <c r="G83" s="176">
        <v>117.2</v>
      </c>
      <c r="H83" s="176">
        <v>117.2</v>
      </c>
      <c r="I83" s="176">
        <v>117.2</v>
      </c>
      <c r="J83" s="176">
        <v>117.2</v>
      </c>
      <c r="K83" s="176">
        <v>117.2</v>
      </c>
      <c r="L83" s="176">
        <v>117.2</v>
      </c>
      <c r="M83" s="176">
        <v>117.2</v>
      </c>
      <c r="N83" s="176">
        <v>117.2</v>
      </c>
      <c r="O83" s="176">
        <v>117.2</v>
      </c>
      <c r="P83" s="176">
        <v>117.2</v>
      </c>
      <c r="Q83" s="176">
        <v>117.2</v>
      </c>
      <c r="R83" s="176">
        <v>117.2</v>
      </c>
      <c r="S83" s="176">
        <v>117.2</v>
      </c>
      <c r="T83" s="176">
        <v>117.2</v>
      </c>
      <c r="U83" s="176">
        <v>117.2</v>
      </c>
      <c r="V83" s="176">
        <v>117.2</v>
      </c>
      <c r="W83" s="176">
        <v>117.2</v>
      </c>
      <c r="X83" s="176">
        <v>117.2</v>
      </c>
      <c r="Y83" s="176">
        <v>117.2</v>
      </c>
      <c r="Z83" s="176">
        <v>117.2</v>
      </c>
      <c r="AA83" s="176">
        <v>117.2</v>
      </c>
      <c r="AB83" s="176">
        <v>117.2</v>
      </c>
      <c r="AC83" s="177">
        <v>117.2</v>
      </c>
    </row>
    <row r="84" spans="1:29" ht="22.5" customHeight="1">
      <c r="A84" s="648" t="s">
        <v>536</v>
      </c>
      <c r="B84" s="577" t="s">
        <v>69</v>
      </c>
      <c r="C84" s="602" t="s">
        <v>537</v>
      </c>
      <c r="D84" s="632" t="s">
        <v>528</v>
      </c>
      <c r="E84" s="217" t="s">
        <v>505</v>
      </c>
      <c r="F84" s="173">
        <v>102.6</v>
      </c>
      <c r="G84" s="173">
        <v>102.6</v>
      </c>
      <c r="H84" s="173">
        <v>102.6</v>
      </c>
      <c r="I84" s="173">
        <v>102.6</v>
      </c>
      <c r="J84" s="173">
        <v>102.6</v>
      </c>
      <c r="K84" s="173">
        <v>102.6</v>
      </c>
      <c r="L84" s="173">
        <v>102.6</v>
      </c>
      <c r="M84" s="173">
        <v>102.6</v>
      </c>
      <c r="N84" s="173">
        <v>102.6</v>
      </c>
      <c r="O84" s="173">
        <v>102.6</v>
      </c>
      <c r="P84" s="173">
        <v>102.6</v>
      </c>
      <c r="Q84" s="173">
        <v>102.6</v>
      </c>
      <c r="R84" s="173">
        <v>102.6</v>
      </c>
      <c r="S84" s="173">
        <v>102.6</v>
      </c>
      <c r="T84" s="173">
        <v>102.6</v>
      </c>
      <c r="U84" s="173">
        <v>102.6</v>
      </c>
      <c r="V84" s="173">
        <v>102.6</v>
      </c>
      <c r="W84" s="173">
        <v>102.6</v>
      </c>
      <c r="X84" s="173">
        <v>102.6</v>
      </c>
      <c r="Y84" s="173">
        <v>102.6</v>
      </c>
      <c r="Z84" s="173">
        <v>102.6</v>
      </c>
      <c r="AA84" s="173">
        <v>102.6</v>
      </c>
      <c r="AB84" s="173">
        <v>102.6</v>
      </c>
      <c r="AC84" s="174">
        <v>102.6</v>
      </c>
    </row>
    <row r="85" spans="1:29" ht="22.5" customHeight="1">
      <c r="A85" s="605"/>
      <c r="B85" s="578"/>
      <c r="C85" s="603"/>
      <c r="D85" s="632"/>
      <c r="E85" s="215" t="s">
        <v>506</v>
      </c>
      <c r="F85" s="172">
        <v>102.6</v>
      </c>
      <c r="G85" s="172">
        <v>102.6</v>
      </c>
      <c r="H85" s="172">
        <v>102.6</v>
      </c>
      <c r="I85" s="172">
        <v>102.6</v>
      </c>
      <c r="J85" s="172">
        <v>102.6</v>
      </c>
      <c r="K85" s="172">
        <v>102.6</v>
      </c>
      <c r="L85" s="172">
        <v>102.6</v>
      </c>
      <c r="M85" s="172">
        <v>102.6</v>
      </c>
      <c r="N85" s="172">
        <v>102.6</v>
      </c>
      <c r="O85" s="172">
        <v>102.6</v>
      </c>
      <c r="P85" s="172">
        <v>102.6</v>
      </c>
      <c r="Q85" s="172">
        <v>102.6</v>
      </c>
      <c r="R85" s="172">
        <v>102.6</v>
      </c>
      <c r="S85" s="172">
        <v>102.6</v>
      </c>
      <c r="T85" s="172">
        <v>102.6</v>
      </c>
      <c r="U85" s="172">
        <v>102.6</v>
      </c>
      <c r="V85" s="172">
        <v>102.6</v>
      </c>
      <c r="W85" s="172">
        <v>102.6</v>
      </c>
      <c r="X85" s="172">
        <v>102.6</v>
      </c>
      <c r="Y85" s="172">
        <v>102.6</v>
      </c>
      <c r="Z85" s="172">
        <v>102.6</v>
      </c>
      <c r="AA85" s="172">
        <v>102.6</v>
      </c>
      <c r="AB85" s="172">
        <v>102.6</v>
      </c>
      <c r="AC85" s="175">
        <v>102.6</v>
      </c>
    </row>
    <row r="86" spans="1:29" ht="22.5" customHeight="1" thickBot="1">
      <c r="A86" s="607"/>
      <c r="B86" s="609"/>
      <c r="C86" s="645"/>
      <c r="D86" s="635"/>
      <c r="E86" s="216" t="s">
        <v>507</v>
      </c>
      <c r="F86" s="176">
        <v>102.6</v>
      </c>
      <c r="G86" s="176">
        <v>102.6</v>
      </c>
      <c r="H86" s="176">
        <v>102.6</v>
      </c>
      <c r="I86" s="176">
        <v>102.6</v>
      </c>
      <c r="J86" s="176">
        <v>102.6</v>
      </c>
      <c r="K86" s="176">
        <v>102.6</v>
      </c>
      <c r="L86" s="176">
        <v>102.6</v>
      </c>
      <c r="M86" s="176">
        <v>102.6</v>
      </c>
      <c r="N86" s="176">
        <v>102.6</v>
      </c>
      <c r="O86" s="176">
        <v>102.6</v>
      </c>
      <c r="P86" s="176">
        <v>102.6</v>
      </c>
      <c r="Q86" s="176">
        <v>102.6</v>
      </c>
      <c r="R86" s="176">
        <v>102.6</v>
      </c>
      <c r="S86" s="176">
        <v>102.6</v>
      </c>
      <c r="T86" s="176">
        <v>102.6</v>
      </c>
      <c r="U86" s="176">
        <v>102.6</v>
      </c>
      <c r="V86" s="176">
        <v>102.6</v>
      </c>
      <c r="W86" s="176">
        <v>102.6</v>
      </c>
      <c r="X86" s="176">
        <v>102.6</v>
      </c>
      <c r="Y86" s="176">
        <v>102.6</v>
      </c>
      <c r="Z86" s="176">
        <v>102.6</v>
      </c>
      <c r="AA86" s="176">
        <v>102.6</v>
      </c>
      <c r="AB86" s="176">
        <v>102.6</v>
      </c>
      <c r="AC86" s="177">
        <v>102.6</v>
      </c>
    </row>
  </sheetData>
  <mergeCells count="117">
    <mergeCell ref="A25:A27"/>
    <mergeCell ref="B25:B27"/>
    <mergeCell ref="C25:C27"/>
    <mergeCell ref="D25:D27"/>
    <mergeCell ref="A28:A30"/>
    <mergeCell ref="B28:B30"/>
    <mergeCell ref="C28:C30"/>
    <mergeCell ref="A31:A33"/>
    <mergeCell ref="B31:B33"/>
    <mergeCell ref="C31:C33"/>
    <mergeCell ref="D28:D30"/>
    <mergeCell ref="D31:D33"/>
    <mergeCell ref="C2:C3"/>
    <mergeCell ref="D10:D12"/>
    <mergeCell ref="D7:D9"/>
    <mergeCell ref="F2:AC2"/>
    <mergeCell ref="E2:E3"/>
    <mergeCell ref="D2:D3"/>
    <mergeCell ref="D4:D6"/>
    <mergeCell ref="C10:C12"/>
    <mergeCell ref="C13:C15"/>
    <mergeCell ref="D13:D15"/>
    <mergeCell ref="C16:C18"/>
    <mergeCell ref="C19:C21"/>
    <mergeCell ref="D19:D21"/>
    <mergeCell ref="D35:D37"/>
    <mergeCell ref="C4:C6"/>
    <mergeCell ref="C7:C9"/>
    <mergeCell ref="C69:C71"/>
    <mergeCell ref="D69:D71"/>
    <mergeCell ref="C63:C65"/>
    <mergeCell ref="D63:D65"/>
    <mergeCell ref="C66:C68"/>
    <mergeCell ref="D66:D68"/>
    <mergeCell ref="D16:D18"/>
    <mergeCell ref="C22:C24"/>
    <mergeCell ref="D22:D24"/>
    <mergeCell ref="C41:C43"/>
    <mergeCell ref="D41:D43"/>
    <mergeCell ref="B41:B43"/>
    <mergeCell ref="B81:B83"/>
    <mergeCell ref="C84:C86"/>
    <mergeCell ref="D84:D86"/>
    <mergeCell ref="C78:C80"/>
    <mergeCell ref="D78:D80"/>
    <mergeCell ref="C81:C83"/>
    <mergeCell ref="D81:D83"/>
    <mergeCell ref="C72:C74"/>
    <mergeCell ref="D72:D74"/>
    <mergeCell ref="C75:C77"/>
    <mergeCell ref="D75:D77"/>
    <mergeCell ref="C60:C62"/>
    <mergeCell ref="D60:D62"/>
    <mergeCell ref="B84:B86"/>
    <mergeCell ref="D44:D46"/>
    <mergeCell ref="A2:A3"/>
    <mergeCell ref="A4:A6"/>
    <mergeCell ref="A7:A9"/>
    <mergeCell ref="A10:A12"/>
    <mergeCell ref="A13:A15"/>
    <mergeCell ref="A60:A62"/>
    <mergeCell ref="A16:A18"/>
    <mergeCell ref="A19:A21"/>
    <mergeCell ref="A22:A24"/>
    <mergeCell ref="A41:A43"/>
    <mergeCell ref="A53:A55"/>
    <mergeCell ref="A44:A46"/>
    <mergeCell ref="A38:A40"/>
    <mergeCell ref="A59:AB59"/>
    <mergeCell ref="B44:B46"/>
    <mergeCell ref="A47:A49"/>
    <mergeCell ref="B47:B49"/>
    <mergeCell ref="C47:C49"/>
    <mergeCell ref="D47:D49"/>
    <mergeCell ref="A50:A52"/>
    <mergeCell ref="B50:B52"/>
    <mergeCell ref="C50:C52"/>
    <mergeCell ref="D50:D52"/>
    <mergeCell ref="C44:C46"/>
    <mergeCell ref="A84:A86"/>
    <mergeCell ref="A63:A65"/>
    <mergeCell ref="A66:A68"/>
    <mergeCell ref="A69:A71"/>
    <mergeCell ref="A72:A74"/>
    <mergeCell ref="A75:A77"/>
    <mergeCell ref="A78:A80"/>
    <mergeCell ref="A81:A83"/>
    <mergeCell ref="B63:B65"/>
    <mergeCell ref="B66:B68"/>
    <mergeCell ref="B69:B71"/>
    <mergeCell ref="B72:B74"/>
    <mergeCell ref="B75:B77"/>
    <mergeCell ref="B78:B80"/>
    <mergeCell ref="B2:B3"/>
    <mergeCell ref="A1:AC1"/>
    <mergeCell ref="B4:B6"/>
    <mergeCell ref="B7:B9"/>
    <mergeCell ref="B10:B12"/>
    <mergeCell ref="B13:B15"/>
    <mergeCell ref="B60:B62"/>
    <mergeCell ref="B16:B18"/>
    <mergeCell ref="B19:B21"/>
    <mergeCell ref="B22:B24"/>
    <mergeCell ref="B53:B55"/>
    <mergeCell ref="C53:C55"/>
    <mergeCell ref="D53:D55"/>
    <mergeCell ref="A56:A58"/>
    <mergeCell ref="B56:B58"/>
    <mergeCell ref="C56:C58"/>
    <mergeCell ref="D56:D58"/>
    <mergeCell ref="A34:AC34"/>
    <mergeCell ref="A35:A37"/>
    <mergeCell ref="B35:B37"/>
    <mergeCell ref="C35:C37"/>
    <mergeCell ref="B38:B40"/>
    <mergeCell ref="C38:C40"/>
    <mergeCell ref="D38:D40"/>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C2528-244E-42F6-AB8E-307C68E3EB6B}">
  <sheetPr codeName="Sheet21"/>
  <dimension ref="A1:AB46"/>
  <sheetViews>
    <sheetView zoomScaleNormal="100" workbookViewId="0">
      <selection sqref="A1:G1"/>
    </sheetView>
  </sheetViews>
  <sheetFormatPr defaultColWidth="8.6640625" defaultRowHeight="13.2"/>
  <cols>
    <col min="1" max="2" width="12" style="6" customWidth="1"/>
    <col min="3" max="6" width="13.6640625" style="6" customWidth="1"/>
    <col min="7" max="7" width="13.33203125" style="6" customWidth="1"/>
    <col min="8" max="8" width="12.6640625" style="6" bestFit="1" customWidth="1"/>
    <col min="9" max="9" width="8.6640625" style="6"/>
    <col min="10" max="10" width="12" style="6" customWidth="1"/>
    <col min="11" max="11" width="14.109375" style="6" customWidth="1"/>
    <col min="12" max="12" width="10.33203125" style="6" customWidth="1"/>
    <col min="13" max="27" width="5.6640625" style="6" customWidth="1"/>
    <col min="28" max="16384" width="8.6640625" style="6"/>
  </cols>
  <sheetData>
    <row r="1" spans="1:28" ht="28.95" customHeight="1">
      <c r="A1" s="527" t="str">
        <f>"% of Floor Area per CZ and Vintage Bin - "&amp;Prototype!A2</f>
        <v>% of Floor Area per CZ and Vintage Bin - Assembly</v>
      </c>
      <c r="B1" s="527"/>
      <c r="C1" s="527"/>
      <c r="D1" s="527"/>
      <c r="E1" s="527"/>
      <c r="F1" s="527"/>
      <c r="G1" s="527"/>
      <c r="J1" s="527" t="str">
        <f>"% of Floor Area per CZ and Vintage Bin - "&amp;Prototype!A2</f>
        <v>% of Floor Area per CZ and Vintage Bin - Assembly</v>
      </c>
      <c r="K1" s="527"/>
      <c r="L1" s="527"/>
      <c r="M1" s="527"/>
      <c r="N1" s="527"/>
      <c r="O1" s="527"/>
      <c r="P1" s="527"/>
      <c r="Q1" s="527"/>
      <c r="R1" s="527"/>
      <c r="S1" s="527"/>
      <c r="T1" s="527"/>
      <c r="U1" s="527"/>
      <c r="V1" s="527"/>
      <c r="W1" s="527"/>
      <c r="X1" s="527"/>
      <c r="Y1" s="527"/>
      <c r="Z1" s="527"/>
      <c r="AA1" s="527"/>
    </row>
    <row r="2" spans="1:28" ht="21" customHeight="1">
      <c r="A2" s="566" t="s">
        <v>5</v>
      </c>
      <c r="B2" s="566" t="s">
        <v>403</v>
      </c>
      <c r="C2" s="562" t="s">
        <v>421</v>
      </c>
      <c r="D2" s="563"/>
      <c r="E2" s="563"/>
      <c r="F2" s="563"/>
      <c r="G2" s="564"/>
      <c r="J2" s="565" t="s">
        <v>5</v>
      </c>
      <c r="K2" s="565" t="s">
        <v>421</v>
      </c>
      <c r="L2" s="565" t="s">
        <v>403</v>
      </c>
      <c r="M2" s="565"/>
      <c r="N2" s="565"/>
      <c r="O2" s="565"/>
      <c r="P2" s="565"/>
      <c r="Q2" s="565"/>
      <c r="R2" s="565"/>
      <c r="S2" s="565"/>
      <c r="T2" s="565"/>
      <c r="U2" s="565"/>
      <c r="V2" s="565"/>
      <c r="W2" s="565"/>
      <c r="X2" s="565"/>
      <c r="Y2" s="565"/>
      <c r="Z2" s="565"/>
      <c r="AA2" s="565"/>
    </row>
    <row r="3" spans="1:28" ht="21" customHeight="1">
      <c r="A3" s="567"/>
      <c r="B3" s="567"/>
      <c r="C3" s="432" t="s">
        <v>422</v>
      </c>
      <c r="D3" s="432" t="s">
        <v>164</v>
      </c>
      <c r="E3" s="432" t="s">
        <v>167</v>
      </c>
      <c r="F3" s="432" t="s">
        <v>169</v>
      </c>
      <c r="G3" s="432" t="s">
        <v>423</v>
      </c>
      <c r="J3" s="565"/>
      <c r="K3" s="565"/>
      <c r="L3" s="432">
        <v>1</v>
      </c>
      <c r="M3" s="432">
        <v>2</v>
      </c>
      <c r="N3" s="432">
        <v>3</v>
      </c>
      <c r="O3" s="432">
        <v>4</v>
      </c>
      <c r="P3" s="432">
        <v>5</v>
      </c>
      <c r="Q3" s="432">
        <v>6</v>
      </c>
      <c r="R3" s="432">
        <v>7</v>
      </c>
      <c r="S3" s="432">
        <v>8</v>
      </c>
      <c r="T3" s="432">
        <v>9</v>
      </c>
      <c r="U3" s="432">
        <v>10</v>
      </c>
      <c r="V3" s="432">
        <v>11</v>
      </c>
      <c r="W3" s="432">
        <v>12</v>
      </c>
      <c r="X3" s="432">
        <v>13</v>
      </c>
      <c r="Y3" s="432">
        <v>14</v>
      </c>
      <c r="Z3" s="432">
        <v>15</v>
      </c>
      <c r="AA3" s="432">
        <v>16</v>
      </c>
    </row>
    <row r="4" spans="1:28" ht="16.95" customHeight="1">
      <c r="A4" s="560" t="str">
        <f>Prototype!B4</f>
        <v>Assembly</v>
      </c>
      <c r="B4" s="103">
        <v>1</v>
      </c>
      <c r="C4" s="430">
        <v>0.40969450000000002</v>
      </c>
      <c r="D4" s="430">
        <v>0.40308509999999997</v>
      </c>
      <c r="E4" s="430">
        <v>0.1007301</v>
      </c>
      <c r="F4" s="430">
        <v>8.6490200000000003E-2</v>
      </c>
      <c r="G4" s="56"/>
      <c r="H4" s="64">
        <f>SUM(C4:G4)</f>
        <v>0.99999990000000005</v>
      </c>
      <c r="J4" s="557" t="str">
        <f>Prototype!B4</f>
        <v>Assembly</v>
      </c>
      <c r="K4" s="39" t="s">
        <v>422</v>
      </c>
      <c r="L4" s="39">
        <v>9.1269999999999997E-3</v>
      </c>
      <c r="M4" s="39">
        <v>1.6461E-2</v>
      </c>
      <c r="N4" s="39">
        <v>0.138269</v>
      </c>
      <c r="O4" s="39">
        <v>7.5528999999999999E-2</v>
      </c>
      <c r="P4" s="39">
        <v>6.5859999999999998E-3</v>
      </c>
      <c r="Q4" s="39">
        <v>6.2726000000000004E-2</v>
      </c>
      <c r="R4" s="39">
        <v>4.8725999999999998E-2</v>
      </c>
      <c r="S4" s="39">
        <v>0.108526</v>
      </c>
      <c r="T4" s="39">
        <v>0.15046899999999999</v>
      </c>
      <c r="U4" s="39">
        <v>5.5479000000000001E-2</v>
      </c>
      <c r="V4" s="39">
        <v>3.5847999999999998E-2</v>
      </c>
      <c r="W4" s="39">
        <v>0.15015500000000001</v>
      </c>
      <c r="X4" s="39">
        <v>4.3671000000000001E-2</v>
      </c>
      <c r="Y4" s="39">
        <v>1.5859000000000002E-2</v>
      </c>
      <c r="Z4" s="39">
        <v>2.5984E-2</v>
      </c>
      <c r="AA4" s="39">
        <v>5.6583000000000001E-2</v>
      </c>
      <c r="AB4" s="64">
        <f>SUM(L4:AA4)</f>
        <v>0.99999800000000016</v>
      </c>
    </row>
    <row r="5" spans="1:28" ht="16.95" customHeight="1">
      <c r="A5" s="561"/>
      <c r="B5" s="38">
        <v>2</v>
      </c>
      <c r="C5" s="430">
        <v>0.39420620000000001</v>
      </c>
      <c r="D5" s="430">
        <v>0.46006399999999997</v>
      </c>
      <c r="E5" s="430">
        <v>9.7417500000000004E-2</v>
      </c>
      <c r="F5" s="430">
        <v>4.83122E-2</v>
      </c>
      <c r="G5" s="49"/>
      <c r="H5" s="64">
        <f t="shared" ref="H5:H20" si="0">SUM(C5:G5)</f>
        <v>0.99999990000000005</v>
      </c>
      <c r="J5" s="558"/>
      <c r="K5" s="39" t="s">
        <v>164</v>
      </c>
      <c r="L5" s="39">
        <v>1.3642E-2</v>
      </c>
      <c r="M5" s="39">
        <v>2.9184999999999999E-2</v>
      </c>
      <c r="N5" s="39">
        <v>0.10872800000000001</v>
      </c>
      <c r="O5" s="39">
        <v>5.8255000000000001E-2</v>
      </c>
      <c r="P5" s="39">
        <v>5.4349999999999997E-3</v>
      </c>
      <c r="Q5" s="39">
        <v>3.7499999999999999E-2</v>
      </c>
      <c r="R5" s="39">
        <v>5.4542E-2</v>
      </c>
      <c r="S5" s="39">
        <v>5.5994000000000002E-2</v>
      </c>
      <c r="T5" s="39">
        <v>7.5275999999999996E-2</v>
      </c>
      <c r="U5" s="39">
        <v>0.10492700000000001</v>
      </c>
      <c r="V5" s="39">
        <v>5.0887000000000002E-2</v>
      </c>
      <c r="W5" s="39">
        <v>0.16828699999999999</v>
      </c>
      <c r="X5" s="39">
        <v>5.8199000000000001E-2</v>
      </c>
      <c r="Y5" s="39">
        <v>1.9421000000000001E-2</v>
      </c>
      <c r="Z5" s="39">
        <v>6.2723000000000001E-2</v>
      </c>
      <c r="AA5" s="39">
        <v>9.6998000000000001E-2</v>
      </c>
      <c r="AB5" s="64">
        <f>SUM(L5:AA5)</f>
        <v>0.99999899999999997</v>
      </c>
    </row>
    <row r="6" spans="1:28" ht="16.95" customHeight="1">
      <c r="A6" s="561"/>
      <c r="B6" s="38">
        <v>3</v>
      </c>
      <c r="C6" s="430">
        <v>0.52100500000000005</v>
      </c>
      <c r="D6" s="430">
        <v>0.26968940000000002</v>
      </c>
      <c r="E6" s="430">
        <v>0.1339167</v>
      </c>
      <c r="F6" s="430">
        <v>7.5388999999999998E-2</v>
      </c>
      <c r="G6" s="49"/>
      <c r="H6" s="64">
        <f t="shared" si="0"/>
        <v>1.0000001000000001</v>
      </c>
      <c r="J6" s="558"/>
      <c r="K6" s="39" t="s">
        <v>167</v>
      </c>
      <c r="L6" s="39">
        <v>6.9170000000000004E-3</v>
      </c>
      <c r="M6" s="39">
        <v>1.2539E-2</v>
      </c>
      <c r="N6" s="39">
        <v>0.109544</v>
      </c>
      <c r="O6" s="39">
        <v>5.9173000000000003E-2</v>
      </c>
      <c r="P6" s="39">
        <v>4.3559999999999996E-3</v>
      </c>
      <c r="Q6" s="39">
        <v>4.0674000000000002E-2</v>
      </c>
      <c r="R6" s="39">
        <v>5.8838000000000001E-2</v>
      </c>
      <c r="S6" s="39">
        <v>4.6336000000000002E-2</v>
      </c>
      <c r="T6" s="39">
        <v>5.8056000000000003E-2</v>
      </c>
      <c r="U6" s="39">
        <v>0.14744599999999999</v>
      </c>
      <c r="V6" s="39">
        <v>4.2654999999999998E-2</v>
      </c>
      <c r="W6" s="39">
        <v>0.172291</v>
      </c>
      <c r="X6" s="39">
        <v>3.1902E-2</v>
      </c>
      <c r="Y6" s="39">
        <v>1.7888000000000001E-2</v>
      </c>
      <c r="Z6" s="39">
        <v>0.112566</v>
      </c>
      <c r="AA6" s="39">
        <v>7.8819E-2</v>
      </c>
      <c r="AB6" s="64">
        <f>SUM(L6:AA6)</f>
        <v>1</v>
      </c>
    </row>
    <row r="7" spans="1:28" ht="16.95" customHeight="1">
      <c r="A7" s="561"/>
      <c r="B7" s="38">
        <v>4</v>
      </c>
      <c r="C7" s="430">
        <v>0.52564180000000005</v>
      </c>
      <c r="D7" s="430">
        <v>0.2668779</v>
      </c>
      <c r="E7" s="430">
        <v>0.133607</v>
      </c>
      <c r="F7" s="430">
        <v>7.3873300000000003E-2</v>
      </c>
      <c r="G7" s="49"/>
      <c r="H7" s="64">
        <f t="shared" si="0"/>
        <v>1</v>
      </c>
      <c r="J7" s="558"/>
      <c r="K7" s="39" t="s">
        <v>169</v>
      </c>
      <c r="L7" s="39">
        <v>1.2892000000000001E-2</v>
      </c>
      <c r="M7" s="39">
        <v>1.3498E-2</v>
      </c>
      <c r="N7" s="39">
        <v>0.13386500000000001</v>
      </c>
      <c r="O7" s="39">
        <v>7.1021000000000001E-2</v>
      </c>
      <c r="P7" s="39">
        <v>7.9769999999999997E-3</v>
      </c>
      <c r="Q7" s="39">
        <v>2.2963999999999998E-2</v>
      </c>
      <c r="R7" s="39">
        <v>4.0703000000000003E-2</v>
      </c>
      <c r="S7" s="39">
        <v>3.7316000000000002E-2</v>
      </c>
      <c r="T7" s="39">
        <v>5.9699000000000002E-2</v>
      </c>
      <c r="U7" s="39">
        <v>8.1022999999999998E-2</v>
      </c>
      <c r="V7" s="39">
        <v>5.6196000000000003E-2</v>
      </c>
      <c r="W7" s="39">
        <v>0.23549200000000001</v>
      </c>
      <c r="X7" s="39">
        <v>6.6961000000000007E-2</v>
      </c>
      <c r="Y7" s="39">
        <v>1.6121E-2</v>
      </c>
      <c r="Z7" s="39">
        <v>4.1551999999999999E-2</v>
      </c>
      <c r="AA7" s="39">
        <v>0.10272100000000001</v>
      </c>
      <c r="AB7" s="64">
        <f>SUM(L7:AA7)</f>
        <v>1.0000010000000001</v>
      </c>
    </row>
    <row r="8" spans="1:28" ht="16.95" customHeight="1">
      <c r="A8" s="561"/>
      <c r="B8" s="38">
        <v>5</v>
      </c>
      <c r="C8" s="430">
        <v>0.51574699999999996</v>
      </c>
      <c r="D8" s="430">
        <v>0.28020210000000001</v>
      </c>
      <c r="E8" s="430">
        <v>0.1106835</v>
      </c>
      <c r="F8" s="430">
        <v>9.3367400000000003E-2</v>
      </c>
      <c r="G8" s="49"/>
      <c r="H8" s="64">
        <f t="shared" si="0"/>
        <v>1</v>
      </c>
      <c r="J8" s="558"/>
      <c r="K8" s="39"/>
      <c r="L8" s="39"/>
      <c r="M8" s="39"/>
      <c r="N8" s="39"/>
      <c r="O8" s="39"/>
      <c r="P8" s="39"/>
      <c r="Q8" s="39"/>
      <c r="R8" s="39"/>
      <c r="S8" s="39"/>
      <c r="T8" s="39"/>
      <c r="U8" s="39"/>
      <c r="V8" s="39"/>
      <c r="W8" s="39"/>
      <c r="X8" s="39"/>
      <c r="Y8" s="39"/>
      <c r="Z8" s="39"/>
      <c r="AA8" s="39"/>
      <c r="AB8" s="64"/>
    </row>
    <row r="9" spans="1:28" ht="16.95" customHeight="1">
      <c r="A9" s="561"/>
      <c r="B9" s="38">
        <v>6</v>
      </c>
      <c r="C9" s="430">
        <v>0.60290759999999999</v>
      </c>
      <c r="D9" s="430">
        <v>0.2372639</v>
      </c>
      <c r="E9" s="430">
        <v>0.1268389</v>
      </c>
      <c r="F9" s="430">
        <v>3.2989600000000001E-2</v>
      </c>
      <c r="G9" s="49"/>
      <c r="H9" s="64">
        <f t="shared" si="0"/>
        <v>0.99999999999999989</v>
      </c>
      <c r="J9" s="559"/>
      <c r="K9" s="39" t="s">
        <v>303</v>
      </c>
      <c r="L9" s="39">
        <v>1.0449E-2</v>
      </c>
      <c r="M9" s="39">
        <v>1.9585000000000002E-2</v>
      </c>
      <c r="N9" s="39">
        <v>0.124469</v>
      </c>
      <c r="O9" s="39">
        <v>6.7391000000000006E-2</v>
      </c>
      <c r="P9" s="39">
        <v>5.9890000000000004E-3</v>
      </c>
      <c r="Q9" s="39">
        <v>4.8794999999999998E-2</v>
      </c>
      <c r="R9" s="39">
        <v>5.1498000000000002E-2</v>
      </c>
      <c r="S9" s="39">
        <v>7.7853000000000006E-2</v>
      </c>
      <c r="T9" s="39">
        <v>0.10682999999999999</v>
      </c>
      <c r="U9" s="39">
        <v>8.6529999999999996E-2</v>
      </c>
      <c r="V9" s="39">
        <v>4.2952999999999998E-2</v>
      </c>
      <c r="W9" s="39">
        <v>0.165104</v>
      </c>
      <c r="X9" s="39">
        <v>4.7997999999999999E-2</v>
      </c>
      <c r="Y9" s="39">
        <v>1.7285999999999999E-2</v>
      </c>
      <c r="Z9" s="39">
        <v>5.1593E-2</v>
      </c>
      <c r="AA9" s="39">
        <v>7.5677999999999995E-2</v>
      </c>
      <c r="AB9" s="64">
        <f>SUM(L9:AA9)</f>
        <v>1.0000009999999999</v>
      </c>
    </row>
    <row r="10" spans="1:28" ht="16.95" customHeight="1">
      <c r="A10" s="561"/>
      <c r="B10" s="38">
        <v>7</v>
      </c>
      <c r="C10" s="430">
        <v>0.44376310000000002</v>
      </c>
      <c r="D10" s="430">
        <v>0.32698139999999998</v>
      </c>
      <c r="E10" s="430">
        <v>0.1738519</v>
      </c>
      <c r="F10" s="430">
        <v>5.5403599999999997E-2</v>
      </c>
      <c r="G10" s="49"/>
      <c r="H10" s="64">
        <f t="shared" si="0"/>
        <v>1</v>
      </c>
      <c r="J10" s="8"/>
      <c r="K10" s="62"/>
      <c r="L10" s="30"/>
      <c r="M10" s="30"/>
      <c r="N10" s="30"/>
      <c r="O10" s="30"/>
      <c r="P10" s="63"/>
    </row>
    <row r="11" spans="1:28" ht="16.95" customHeight="1">
      <c r="A11" s="561"/>
      <c r="B11" s="38">
        <v>8</v>
      </c>
      <c r="C11" s="430">
        <v>0.65378740000000002</v>
      </c>
      <c r="D11" s="430">
        <v>0.2220502</v>
      </c>
      <c r="E11" s="430">
        <v>9.05638E-2</v>
      </c>
      <c r="F11" s="430">
        <v>3.3598500000000003E-2</v>
      </c>
      <c r="G11" s="49"/>
      <c r="H11" s="64">
        <f t="shared" si="0"/>
        <v>0.99999989999999994</v>
      </c>
      <c r="J11" s="8"/>
      <c r="K11" s="62"/>
      <c r="L11" s="30"/>
      <c r="M11" s="30"/>
      <c r="N11" s="30"/>
      <c r="O11" s="30"/>
      <c r="P11" s="63"/>
    </row>
    <row r="12" spans="1:28" ht="16.95" customHeight="1">
      <c r="A12" s="561"/>
      <c r="B12" s="38">
        <v>9</v>
      </c>
      <c r="C12" s="430">
        <v>0.66059080000000003</v>
      </c>
      <c r="D12" s="430">
        <v>0.2175446</v>
      </c>
      <c r="E12" s="430">
        <v>8.2692500000000002E-2</v>
      </c>
      <c r="F12" s="430">
        <v>3.9172199999999997E-2</v>
      </c>
      <c r="G12" s="49"/>
      <c r="H12" s="64">
        <f t="shared" si="0"/>
        <v>1.0000001000000001</v>
      </c>
      <c r="J12" s="8"/>
      <c r="K12" s="62"/>
      <c r="L12" s="30"/>
      <c r="M12" s="30"/>
      <c r="N12" s="30"/>
      <c r="O12" s="30"/>
      <c r="P12" s="63"/>
    </row>
    <row r="13" spans="1:28" ht="16.95" customHeight="1">
      <c r="A13" s="561"/>
      <c r="B13" s="38">
        <v>10</v>
      </c>
      <c r="C13" s="430">
        <v>0.30070550000000001</v>
      </c>
      <c r="D13" s="430">
        <v>0.37437379999999998</v>
      </c>
      <c r="E13" s="430">
        <v>0.25928430000000002</v>
      </c>
      <c r="F13" s="430">
        <v>6.56365E-2</v>
      </c>
      <c r="G13" s="49"/>
      <c r="H13" s="64">
        <f t="shared" si="0"/>
        <v>1.0000001000000001</v>
      </c>
      <c r="J13" s="8"/>
      <c r="K13" s="398"/>
      <c r="L13" s="30"/>
      <c r="M13" s="30"/>
      <c r="N13" s="30"/>
      <c r="O13" s="30"/>
      <c r="P13" s="63"/>
      <c r="Q13" s="399"/>
      <c r="R13" s="399"/>
      <c r="S13" s="399"/>
      <c r="T13" s="399"/>
      <c r="U13" s="399"/>
      <c r="V13" s="399"/>
      <c r="W13" s="399"/>
      <c r="X13" s="399"/>
      <c r="Y13" s="399"/>
      <c r="Z13" s="399"/>
      <c r="AA13" s="399"/>
    </row>
    <row r="14" spans="1:28" ht="16.95" customHeight="1">
      <c r="A14" s="561"/>
      <c r="B14" s="38">
        <v>11</v>
      </c>
      <c r="C14" s="430">
        <v>0.39142009999999999</v>
      </c>
      <c r="D14" s="430">
        <v>0.3657629</v>
      </c>
      <c r="E14" s="430">
        <v>0.15110689999999999</v>
      </c>
      <c r="F14" s="430">
        <v>9.1710100000000003E-2</v>
      </c>
      <c r="G14" s="49"/>
      <c r="H14" s="64">
        <f t="shared" si="0"/>
        <v>1</v>
      </c>
      <c r="J14" s="8"/>
      <c r="K14" s="398"/>
      <c r="L14" s="30"/>
      <c r="M14" s="30"/>
      <c r="N14" s="30"/>
      <c r="O14" s="30"/>
      <c r="P14" s="63"/>
      <c r="Q14" s="399"/>
      <c r="R14" s="399"/>
      <c r="S14" s="399"/>
      <c r="T14" s="399"/>
      <c r="U14" s="399"/>
      <c r="V14" s="399"/>
      <c r="W14" s="399"/>
      <c r="X14" s="399"/>
      <c r="Y14" s="399"/>
      <c r="Z14" s="399"/>
      <c r="AA14" s="399"/>
    </row>
    <row r="15" spans="1:28" ht="16.95" customHeight="1">
      <c r="A15" s="561"/>
      <c r="B15" s="38">
        <v>12</v>
      </c>
      <c r="C15" s="430">
        <v>0.42654330000000001</v>
      </c>
      <c r="D15" s="430">
        <v>0.3146871</v>
      </c>
      <c r="E15" s="430">
        <v>0.1587875</v>
      </c>
      <c r="F15" s="430">
        <v>9.9982100000000004E-2</v>
      </c>
      <c r="G15" s="49"/>
      <c r="H15" s="64">
        <f t="shared" si="0"/>
        <v>1</v>
      </c>
      <c r="J15" s="8"/>
      <c r="K15" s="398"/>
      <c r="L15" s="30"/>
      <c r="M15" s="30"/>
      <c r="N15" s="30"/>
      <c r="O15" s="30"/>
      <c r="P15" s="63"/>
      <c r="Q15" s="399"/>
      <c r="R15" s="399"/>
      <c r="S15" s="399"/>
      <c r="T15" s="399"/>
      <c r="U15" s="399"/>
      <c r="V15" s="399"/>
      <c r="W15" s="399"/>
      <c r="X15" s="399"/>
      <c r="Y15" s="399"/>
      <c r="Z15" s="399"/>
      <c r="AA15" s="399"/>
    </row>
    <row r="16" spans="1:28" ht="16.95" customHeight="1">
      <c r="A16" s="561"/>
      <c r="B16" s="38">
        <v>13</v>
      </c>
      <c r="C16" s="430">
        <v>0.42672779999999999</v>
      </c>
      <c r="D16" s="430">
        <v>0.3743475</v>
      </c>
      <c r="E16" s="430">
        <v>0.1011339</v>
      </c>
      <c r="F16" s="430">
        <v>9.7790699999999994E-2</v>
      </c>
      <c r="G16" s="49"/>
      <c r="H16" s="64">
        <f t="shared" si="0"/>
        <v>0.99999989999999994</v>
      </c>
      <c r="J16" s="8"/>
      <c r="K16" s="398"/>
      <c r="L16" s="30"/>
      <c r="M16" s="30"/>
      <c r="N16" s="30"/>
      <c r="O16" s="30"/>
      <c r="P16" s="63"/>
      <c r="Q16" s="399"/>
      <c r="R16" s="399"/>
      <c r="S16" s="399"/>
      <c r="T16" s="399"/>
      <c r="U16" s="399"/>
      <c r="V16" s="399"/>
      <c r="W16" s="399"/>
      <c r="X16" s="399"/>
      <c r="Y16" s="399"/>
      <c r="Z16" s="399"/>
      <c r="AA16" s="399"/>
    </row>
    <row r="17" spans="1:16" ht="16.95" customHeight="1">
      <c r="A17" s="561"/>
      <c r="B17" s="38">
        <v>14</v>
      </c>
      <c r="C17" s="430">
        <v>0.43029970000000001</v>
      </c>
      <c r="D17" s="430">
        <v>0.34686420000000001</v>
      </c>
      <c r="E17" s="430">
        <v>0.15746309999999999</v>
      </c>
      <c r="F17" s="430">
        <v>6.5373000000000001E-2</v>
      </c>
      <c r="G17" s="49"/>
      <c r="H17" s="64">
        <f t="shared" si="0"/>
        <v>1</v>
      </c>
      <c r="J17" s="8"/>
      <c r="K17" s="62"/>
      <c r="L17" s="30"/>
      <c r="M17" s="30"/>
      <c r="N17" s="30"/>
      <c r="O17" s="30"/>
      <c r="P17" s="63"/>
    </row>
    <row r="18" spans="1:16" ht="16.95" customHeight="1">
      <c r="A18" s="561"/>
      <c r="B18" s="38">
        <v>15</v>
      </c>
      <c r="C18" s="430">
        <v>0.23621329999999999</v>
      </c>
      <c r="D18" s="430">
        <v>0.37533919999999998</v>
      </c>
      <c r="E18" s="430">
        <v>0.33199230000000002</v>
      </c>
      <c r="F18" s="430">
        <v>5.6455199999999997E-2</v>
      </c>
      <c r="G18" s="49"/>
      <c r="H18" s="64">
        <f t="shared" si="0"/>
        <v>1</v>
      </c>
      <c r="J18" s="8"/>
      <c r="K18" s="62"/>
      <c r="L18" s="30"/>
      <c r="M18" s="30"/>
      <c r="N18" s="30"/>
      <c r="O18" s="30"/>
      <c r="P18" s="63"/>
    </row>
    <row r="19" spans="1:16" ht="16.95" customHeight="1">
      <c r="A19" s="561"/>
      <c r="B19" s="38">
        <v>16</v>
      </c>
      <c r="C19" s="430">
        <v>0.350665</v>
      </c>
      <c r="D19" s="430">
        <v>0.39571020000000001</v>
      </c>
      <c r="E19" s="430">
        <v>0.15847839999999999</v>
      </c>
      <c r="F19" s="430">
        <v>9.5146400000000006E-2</v>
      </c>
      <c r="G19" s="49"/>
      <c r="H19" s="64">
        <f t="shared" si="0"/>
        <v>1</v>
      </c>
      <c r="J19" s="8"/>
      <c r="K19" s="62"/>
      <c r="L19" s="30"/>
      <c r="M19" s="30"/>
      <c r="N19" s="30"/>
      <c r="O19" s="30"/>
      <c r="P19" s="63"/>
    </row>
    <row r="20" spans="1:16">
      <c r="A20" s="561"/>
      <c r="B20" s="49" t="s">
        <v>424</v>
      </c>
      <c r="C20" s="49">
        <v>0.46900599999999998</v>
      </c>
      <c r="D20" s="49">
        <v>0.30873329999999999</v>
      </c>
      <c r="E20" s="49">
        <v>0.1521631</v>
      </c>
      <c r="F20" s="49">
        <v>7.0097599999999996E-2</v>
      </c>
      <c r="G20" s="49"/>
      <c r="H20" s="64">
        <f t="shared" si="0"/>
        <v>0.99999999999999989</v>
      </c>
    </row>
    <row r="22" spans="1:16">
      <c r="A22" s="6" t="s">
        <v>425</v>
      </c>
    </row>
    <row r="23" spans="1:16">
      <c r="A23" s="8" t="s">
        <v>426</v>
      </c>
    </row>
    <row r="30" spans="1:16">
      <c r="B30" s="398"/>
      <c r="C30" s="398"/>
      <c r="D30" s="398"/>
      <c r="E30" s="398"/>
    </row>
    <row r="31" spans="1:16">
      <c r="B31" s="30"/>
      <c r="C31" s="30"/>
      <c r="D31" s="30"/>
      <c r="E31" s="30"/>
    </row>
    <row r="32" spans="1:16">
      <c r="B32" s="30"/>
      <c r="C32" s="30"/>
      <c r="D32" s="30"/>
      <c r="E32" s="30"/>
    </row>
    <row r="33" spans="2:5">
      <c r="B33" s="30"/>
      <c r="C33" s="30"/>
      <c r="D33" s="30"/>
      <c r="E33" s="30"/>
    </row>
    <row r="34" spans="2:5">
      <c r="B34" s="30"/>
      <c r="C34" s="30"/>
      <c r="D34" s="30"/>
      <c r="E34" s="30"/>
    </row>
    <row r="35" spans="2:5">
      <c r="B35" s="63"/>
      <c r="C35" s="63"/>
      <c r="D35" s="63"/>
      <c r="E35" s="63"/>
    </row>
    <row r="36" spans="2:5">
      <c r="B36" s="399"/>
      <c r="C36" s="399"/>
      <c r="D36" s="399"/>
      <c r="E36" s="399"/>
    </row>
    <row r="37" spans="2:5">
      <c r="B37" s="399"/>
      <c r="C37" s="399"/>
      <c r="D37" s="399"/>
      <c r="E37" s="399"/>
    </row>
    <row r="38" spans="2:5">
      <c r="B38" s="399"/>
      <c r="C38" s="399"/>
      <c r="D38" s="399"/>
      <c r="E38" s="399"/>
    </row>
    <row r="39" spans="2:5">
      <c r="B39" s="399"/>
      <c r="C39" s="399"/>
      <c r="D39" s="399"/>
      <c r="E39" s="399"/>
    </row>
    <row r="40" spans="2:5">
      <c r="B40" s="399"/>
      <c r="C40" s="399"/>
      <c r="D40" s="399"/>
      <c r="E40" s="399"/>
    </row>
    <row r="41" spans="2:5">
      <c r="B41" s="399"/>
      <c r="C41" s="399"/>
      <c r="D41" s="399"/>
      <c r="E41" s="399"/>
    </row>
    <row r="42" spans="2:5">
      <c r="B42" s="399"/>
      <c r="C42" s="399"/>
      <c r="D42" s="399"/>
      <c r="E42" s="399"/>
    </row>
    <row r="43" spans="2:5">
      <c r="B43" s="399"/>
      <c r="C43" s="399"/>
      <c r="D43" s="399"/>
      <c r="E43" s="399"/>
    </row>
    <row r="44" spans="2:5">
      <c r="B44" s="399"/>
      <c r="C44" s="399"/>
      <c r="D44" s="399"/>
      <c r="E44" s="399"/>
    </row>
    <row r="45" spans="2:5">
      <c r="B45" s="399"/>
      <c r="C45" s="399"/>
      <c r="D45" s="399"/>
      <c r="E45" s="399"/>
    </row>
    <row r="46" spans="2:5">
      <c r="B46" s="399"/>
      <c r="C46" s="399"/>
      <c r="D46" s="399"/>
      <c r="E46" s="399"/>
    </row>
  </sheetData>
  <mergeCells count="10">
    <mergeCell ref="J4:J9"/>
    <mergeCell ref="A4:A20"/>
    <mergeCell ref="J1:AA1"/>
    <mergeCell ref="C2:G2"/>
    <mergeCell ref="L2:AA2"/>
    <mergeCell ref="K2:K3"/>
    <mergeCell ref="J2:J3"/>
    <mergeCell ref="A1:G1"/>
    <mergeCell ref="B2:B3"/>
    <mergeCell ref="A2:A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D48C-EFB6-440B-BE4F-FD4465FADBA0}">
  <sheetPr codeName="Sheet20"/>
  <dimension ref="A1:V21"/>
  <sheetViews>
    <sheetView zoomScale="80" zoomScaleNormal="80" workbookViewId="0">
      <selection sqref="A1:L1"/>
    </sheetView>
  </sheetViews>
  <sheetFormatPr defaultColWidth="8.6640625" defaultRowHeight="13.2"/>
  <cols>
    <col min="1" max="1" width="14.44140625" style="6" customWidth="1"/>
    <col min="2" max="2" width="15.44140625" style="6" customWidth="1"/>
    <col min="3" max="3" width="19.33203125" style="6" customWidth="1"/>
    <col min="4" max="5" width="18.33203125" style="6" customWidth="1"/>
    <col min="6" max="8" width="13.6640625" style="6" customWidth="1"/>
    <col min="9" max="9" width="10.6640625" style="6" customWidth="1"/>
    <col min="10" max="11" width="17.33203125" style="6" bestFit="1" customWidth="1"/>
    <col min="12" max="12" width="13.6640625" style="6" customWidth="1"/>
    <col min="13" max="15" width="8.6640625" style="6"/>
    <col min="16" max="16" width="17.33203125" style="6" bestFit="1" customWidth="1"/>
    <col min="17" max="17" width="12.6640625" style="6" bestFit="1" customWidth="1"/>
    <col min="18" max="19" width="10.6640625" style="6" bestFit="1" customWidth="1"/>
    <col min="20" max="21" width="11.88671875" style="6" bestFit="1" customWidth="1"/>
    <col min="22" max="22" width="11.6640625" style="6" bestFit="1" customWidth="1"/>
    <col min="23" max="16384" width="8.6640625" style="6"/>
  </cols>
  <sheetData>
    <row r="1" spans="1:22" ht="27" customHeight="1">
      <c r="A1" s="554" t="s">
        <v>402</v>
      </c>
      <c r="B1" s="555"/>
      <c r="C1" s="555"/>
      <c r="D1" s="555"/>
      <c r="E1" s="555"/>
      <c r="F1" s="555"/>
      <c r="G1" s="555"/>
      <c r="H1" s="555"/>
      <c r="I1" s="555"/>
      <c r="J1" s="555"/>
      <c r="K1" s="555"/>
      <c r="L1" s="555"/>
      <c r="N1" s="556" t="str">
        <f>"Energy Consumption - "&amp;Prototype!A2</f>
        <v>Energy Consumption - Assembly</v>
      </c>
      <c r="O1" s="474"/>
      <c r="P1" s="474"/>
      <c r="Q1" s="474"/>
      <c r="R1" s="474"/>
      <c r="S1" s="474"/>
      <c r="T1" s="474"/>
      <c r="U1" s="474"/>
      <c r="V1" s="474"/>
    </row>
    <row r="2" spans="1:22" ht="39.6" customHeight="1">
      <c r="A2" s="436" t="s">
        <v>5</v>
      </c>
      <c r="B2" s="436" t="s">
        <v>403</v>
      </c>
      <c r="C2" s="436" t="s">
        <v>404</v>
      </c>
      <c r="D2" s="436" t="s">
        <v>405</v>
      </c>
      <c r="E2" s="436" t="s">
        <v>406</v>
      </c>
      <c r="F2" s="436" t="s">
        <v>407</v>
      </c>
      <c r="G2" s="436" t="s">
        <v>408</v>
      </c>
      <c r="H2" s="436" t="s">
        <v>409</v>
      </c>
      <c r="I2" s="238" t="s">
        <v>410</v>
      </c>
      <c r="J2" s="238" t="s">
        <v>411</v>
      </c>
      <c r="K2" s="238" t="s">
        <v>412</v>
      </c>
      <c r="L2" s="238" t="s">
        <v>413</v>
      </c>
      <c r="N2" s="432" t="s">
        <v>5</v>
      </c>
      <c r="O2" s="436" t="s">
        <v>403</v>
      </c>
      <c r="P2" s="436" t="s">
        <v>414</v>
      </c>
      <c r="Q2" s="436" t="s">
        <v>415</v>
      </c>
      <c r="R2" s="436" t="s">
        <v>416</v>
      </c>
      <c r="S2" s="239" t="s">
        <v>417</v>
      </c>
      <c r="T2" s="239" t="s">
        <v>411</v>
      </c>
      <c r="U2" s="239" t="s">
        <v>412</v>
      </c>
      <c r="V2" s="239" t="s">
        <v>418</v>
      </c>
    </row>
    <row r="3" spans="1:22" ht="19.2" customHeight="1">
      <c r="A3" s="553" t="s">
        <v>38</v>
      </c>
      <c r="B3" s="429">
        <v>1</v>
      </c>
      <c r="C3" s="240"/>
      <c r="D3" s="240"/>
      <c r="E3" s="240"/>
      <c r="F3" s="429"/>
      <c r="G3" s="429"/>
      <c r="H3" s="429"/>
      <c r="I3" s="429">
        <v>63.5</v>
      </c>
      <c r="J3" s="240">
        <f>(I3*1.25)</f>
        <v>79.375</v>
      </c>
      <c r="K3" s="240">
        <f>(I3*0.75)</f>
        <v>47.625</v>
      </c>
      <c r="L3" s="240">
        <f>J3-K3</f>
        <v>31.75</v>
      </c>
      <c r="N3" s="510" t="s">
        <v>38</v>
      </c>
      <c r="O3" s="241">
        <v>1</v>
      </c>
      <c r="P3" s="137"/>
      <c r="Q3" s="242"/>
      <c r="R3" s="242"/>
      <c r="S3" s="243"/>
      <c r="T3" s="244"/>
      <c r="U3" s="244"/>
      <c r="V3" s="243"/>
    </row>
    <row r="4" spans="1:22" ht="19.2" customHeight="1">
      <c r="A4" s="553"/>
      <c r="B4" s="429">
        <v>2</v>
      </c>
      <c r="C4" s="240"/>
      <c r="D4" s="240"/>
      <c r="E4" s="240"/>
      <c r="F4" s="429"/>
      <c r="G4" s="429"/>
      <c r="H4" s="429"/>
      <c r="I4" s="429">
        <v>63.5</v>
      </c>
      <c r="J4" s="240">
        <f t="shared" ref="J4:J18" si="0">(I4*1.25)</f>
        <v>79.375</v>
      </c>
      <c r="K4" s="240">
        <f t="shared" ref="K4:K18" si="1">(I4*0.75)</f>
        <v>47.625</v>
      </c>
      <c r="L4" s="240">
        <f t="shared" ref="L4:L18" si="2">J4-K4</f>
        <v>31.75</v>
      </c>
      <c r="N4" s="510"/>
      <c r="O4" s="241">
        <v>2</v>
      </c>
      <c r="P4" s="137"/>
      <c r="Q4" s="242"/>
      <c r="R4" s="242"/>
      <c r="S4" s="243"/>
      <c r="T4" s="244"/>
      <c r="U4" s="244"/>
      <c r="V4" s="243"/>
    </row>
    <row r="5" spans="1:22" ht="19.2" customHeight="1">
      <c r="A5" s="553"/>
      <c r="B5" s="429">
        <v>3</v>
      </c>
      <c r="C5" s="240"/>
      <c r="D5" s="240"/>
      <c r="E5" s="240"/>
      <c r="F5" s="429"/>
      <c r="G5" s="429"/>
      <c r="H5" s="429"/>
      <c r="I5" s="429">
        <v>63.5</v>
      </c>
      <c r="J5" s="240">
        <f t="shared" si="0"/>
        <v>79.375</v>
      </c>
      <c r="K5" s="240">
        <f t="shared" si="1"/>
        <v>47.625</v>
      </c>
      <c r="L5" s="240">
        <f t="shared" si="2"/>
        <v>31.75</v>
      </c>
      <c r="N5" s="510"/>
      <c r="O5" s="241">
        <v>3</v>
      </c>
      <c r="P5" s="137"/>
      <c r="Q5" s="242"/>
      <c r="R5" s="242"/>
      <c r="S5" s="243"/>
      <c r="T5" s="244"/>
      <c r="U5" s="244"/>
      <c r="V5" s="243"/>
    </row>
    <row r="6" spans="1:22" ht="19.2" customHeight="1">
      <c r="A6" s="553"/>
      <c r="B6" s="429">
        <v>4</v>
      </c>
      <c r="C6" s="240"/>
      <c r="D6" s="240"/>
      <c r="E6" s="240"/>
      <c r="F6" s="429"/>
      <c r="G6" s="429"/>
      <c r="H6" s="429"/>
      <c r="I6" s="429">
        <v>63.5</v>
      </c>
      <c r="J6" s="240">
        <f t="shared" si="0"/>
        <v>79.375</v>
      </c>
      <c r="K6" s="240">
        <f t="shared" si="1"/>
        <v>47.625</v>
      </c>
      <c r="L6" s="240">
        <f t="shared" si="2"/>
        <v>31.75</v>
      </c>
      <c r="N6" s="510"/>
      <c r="O6" s="241">
        <v>4</v>
      </c>
      <c r="P6" s="137"/>
      <c r="Q6" s="242"/>
      <c r="R6" s="242"/>
      <c r="S6" s="243"/>
      <c r="T6" s="244"/>
      <c r="U6" s="244"/>
      <c r="V6" s="243"/>
    </row>
    <row r="7" spans="1:22" ht="19.2" customHeight="1">
      <c r="A7" s="553"/>
      <c r="B7" s="429">
        <v>5</v>
      </c>
      <c r="C7" s="240"/>
      <c r="D7" s="240"/>
      <c r="E7" s="240"/>
      <c r="F7" s="429"/>
      <c r="G7" s="429"/>
      <c r="H7" s="429"/>
      <c r="I7" s="429">
        <v>63.5</v>
      </c>
      <c r="J7" s="240">
        <f t="shared" si="0"/>
        <v>79.375</v>
      </c>
      <c r="K7" s="240">
        <f t="shared" si="1"/>
        <v>47.625</v>
      </c>
      <c r="L7" s="240">
        <f t="shared" si="2"/>
        <v>31.75</v>
      </c>
      <c r="N7" s="510"/>
      <c r="O7" s="241">
        <v>5</v>
      </c>
      <c r="P7" s="137"/>
      <c r="Q7" s="242"/>
      <c r="R7" s="242"/>
      <c r="S7" s="243"/>
      <c r="T7" s="244"/>
      <c r="U7" s="244"/>
      <c r="V7" s="243"/>
    </row>
    <row r="8" spans="1:22" ht="19.2" customHeight="1">
      <c r="A8" s="553"/>
      <c r="B8" s="429">
        <v>6</v>
      </c>
      <c r="C8" s="240"/>
      <c r="D8" s="240"/>
      <c r="E8" s="240"/>
      <c r="F8" s="429"/>
      <c r="G8" s="429"/>
      <c r="H8" s="429"/>
      <c r="I8" s="429">
        <v>63.5</v>
      </c>
      <c r="J8" s="240">
        <f t="shared" si="0"/>
        <v>79.375</v>
      </c>
      <c r="K8" s="240">
        <f t="shared" si="1"/>
        <v>47.625</v>
      </c>
      <c r="L8" s="240">
        <f t="shared" si="2"/>
        <v>31.75</v>
      </c>
      <c r="N8" s="510"/>
      <c r="O8" s="241">
        <v>6</v>
      </c>
      <c r="P8" s="137"/>
      <c r="Q8" s="242"/>
      <c r="R8" s="242"/>
      <c r="S8" s="243"/>
      <c r="T8" s="244"/>
      <c r="U8" s="244"/>
      <c r="V8" s="243"/>
    </row>
    <row r="9" spans="1:22" ht="19.2" customHeight="1">
      <c r="A9" s="553"/>
      <c r="B9" s="429">
        <v>7</v>
      </c>
      <c r="C9" s="240"/>
      <c r="D9" s="240"/>
      <c r="E9" s="240"/>
      <c r="F9" s="429"/>
      <c r="G9" s="429"/>
      <c r="H9" s="429"/>
      <c r="I9" s="429">
        <v>63.5</v>
      </c>
      <c r="J9" s="240">
        <f t="shared" si="0"/>
        <v>79.375</v>
      </c>
      <c r="K9" s="240">
        <f t="shared" si="1"/>
        <v>47.625</v>
      </c>
      <c r="L9" s="240">
        <f t="shared" si="2"/>
        <v>31.75</v>
      </c>
      <c r="N9" s="510"/>
      <c r="O9" s="241">
        <v>7</v>
      </c>
      <c r="P9" s="137"/>
      <c r="Q9" s="242"/>
      <c r="R9" s="242"/>
      <c r="S9" s="243"/>
      <c r="T9" s="244"/>
      <c r="U9" s="244"/>
      <c r="V9" s="243"/>
    </row>
    <row r="10" spans="1:22" ht="19.2" customHeight="1">
      <c r="A10" s="553"/>
      <c r="B10" s="429">
        <v>8</v>
      </c>
      <c r="C10" s="240"/>
      <c r="D10" s="240"/>
      <c r="E10" s="240"/>
      <c r="F10" s="429"/>
      <c r="G10" s="429"/>
      <c r="H10" s="429"/>
      <c r="I10" s="429">
        <v>63.5</v>
      </c>
      <c r="J10" s="240">
        <f t="shared" si="0"/>
        <v>79.375</v>
      </c>
      <c r="K10" s="240">
        <f t="shared" si="1"/>
        <v>47.625</v>
      </c>
      <c r="L10" s="240">
        <f t="shared" si="2"/>
        <v>31.75</v>
      </c>
      <c r="N10" s="510"/>
      <c r="O10" s="241">
        <v>8</v>
      </c>
      <c r="P10" s="137"/>
      <c r="Q10" s="242"/>
      <c r="R10" s="242"/>
      <c r="S10" s="243"/>
      <c r="T10" s="244"/>
      <c r="U10" s="244"/>
      <c r="V10" s="243"/>
    </row>
    <row r="11" spans="1:22" ht="19.2" customHeight="1">
      <c r="A11" s="553"/>
      <c r="B11" s="429">
        <v>9</v>
      </c>
      <c r="C11" s="240"/>
      <c r="D11" s="240"/>
      <c r="E11" s="240"/>
      <c r="F11" s="429"/>
      <c r="G11" s="429"/>
      <c r="H11" s="429"/>
      <c r="I11" s="429">
        <v>63.5</v>
      </c>
      <c r="J11" s="240">
        <f t="shared" si="0"/>
        <v>79.375</v>
      </c>
      <c r="K11" s="240">
        <f t="shared" si="1"/>
        <v>47.625</v>
      </c>
      <c r="L11" s="240">
        <f t="shared" si="2"/>
        <v>31.75</v>
      </c>
      <c r="N11" s="510"/>
      <c r="O11" s="241">
        <v>9</v>
      </c>
      <c r="P11" s="137"/>
      <c r="Q11" s="242"/>
      <c r="R11" s="242"/>
      <c r="S11" s="243"/>
      <c r="T11" s="244"/>
      <c r="U11" s="244"/>
      <c r="V11" s="243"/>
    </row>
    <row r="12" spans="1:22" ht="19.2" customHeight="1">
      <c r="A12" s="553"/>
      <c r="B12" s="429">
        <v>10</v>
      </c>
      <c r="C12" s="240"/>
      <c r="D12" s="240"/>
      <c r="E12" s="240"/>
      <c r="F12" s="429"/>
      <c r="G12" s="429"/>
      <c r="H12" s="429"/>
      <c r="I12" s="429">
        <v>63.5</v>
      </c>
      <c r="J12" s="240">
        <f t="shared" si="0"/>
        <v>79.375</v>
      </c>
      <c r="K12" s="240">
        <f t="shared" si="1"/>
        <v>47.625</v>
      </c>
      <c r="L12" s="240">
        <f t="shared" si="2"/>
        <v>31.75</v>
      </c>
      <c r="N12" s="510"/>
      <c r="O12" s="241">
        <v>10</v>
      </c>
      <c r="P12" s="137"/>
      <c r="Q12" s="242"/>
      <c r="R12" s="242"/>
      <c r="S12" s="243"/>
      <c r="T12" s="244"/>
      <c r="U12" s="244"/>
      <c r="V12" s="243"/>
    </row>
    <row r="13" spans="1:22" ht="19.2" customHeight="1">
      <c r="A13" s="553"/>
      <c r="B13" s="429">
        <v>11</v>
      </c>
      <c r="C13" s="240"/>
      <c r="D13" s="240"/>
      <c r="E13" s="240"/>
      <c r="F13" s="429"/>
      <c r="G13" s="429"/>
      <c r="H13" s="429"/>
      <c r="I13" s="429">
        <v>63.5</v>
      </c>
      <c r="J13" s="240">
        <f t="shared" si="0"/>
        <v>79.375</v>
      </c>
      <c r="K13" s="240">
        <f t="shared" si="1"/>
        <v>47.625</v>
      </c>
      <c r="L13" s="240">
        <f t="shared" si="2"/>
        <v>31.75</v>
      </c>
      <c r="N13" s="510"/>
      <c r="O13" s="241">
        <v>11</v>
      </c>
      <c r="P13" s="137"/>
      <c r="Q13" s="242"/>
      <c r="R13" s="242"/>
      <c r="S13" s="243"/>
      <c r="T13" s="244"/>
      <c r="U13" s="244"/>
      <c r="V13" s="243"/>
    </row>
    <row r="14" spans="1:22" ht="19.2" customHeight="1">
      <c r="A14" s="553"/>
      <c r="B14" s="429">
        <v>12</v>
      </c>
      <c r="C14" s="240"/>
      <c r="D14" s="240"/>
      <c r="E14" s="240"/>
      <c r="F14" s="429"/>
      <c r="G14" s="429"/>
      <c r="H14" s="429"/>
      <c r="I14" s="429">
        <v>63.5</v>
      </c>
      <c r="J14" s="240">
        <f t="shared" si="0"/>
        <v>79.375</v>
      </c>
      <c r="K14" s="240">
        <f t="shared" si="1"/>
        <v>47.625</v>
      </c>
      <c r="L14" s="240">
        <f t="shared" si="2"/>
        <v>31.75</v>
      </c>
      <c r="N14" s="510"/>
      <c r="O14" s="241">
        <v>12</v>
      </c>
      <c r="P14" s="137"/>
      <c r="Q14" s="242"/>
      <c r="R14" s="242"/>
      <c r="S14" s="243"/>
      <c r="T14" s="244"/>
      <c r="U14" s="244"/>
      <c r="V14" s="243"/>
    </row>
    <row r="15" spans="1:22" ht="19.2" customHeight="1">
      <c r="A15" s="553"/>
      <c r="B15" s="429">
        <v>13</v>
      </c>
      <c r="C15" s="240"/>
      <c r="D15" s="240"/>
      <c r="E15" s="240"/>
      <c r="F15" s="429"/>
      <c r="G15" s="429"/>
      <c r="H15" s="429"/>
      <c r="I15" s="429">
        <v>63.5</v>
      </c>
      <c r="J15" s="240">
        <f t="shared" si="0"/>
        <v>79.375</v>
      </c>
      <c r="K15" s="240">
        <f t="shared" si="1"/>
        <v>47.625</v>
      </c>
      <c r="L15" s="240">
        <f t="shared" si="2"/>
        <v>31.75</v>
      </c>
      <c r="N15" s="510"/>
      <c r="O15" s="241">
        <v>13</v>
      </c>
      <c r="P15" s="137"/>
      <c r="Q15" s="242"/>
      <c r="R15" s="242"/>
      <c r="S15" s="243"/>
      <c r="T15" s="244"/>
      <c r="U15" s="244"/>
      <c r="V15" s="243"/>
    </row>
    <row r="16" spans="1:22" ht="19.2" customHeight="1">
      <c r="A16" s="553"/>
      <c r="B16" s="429">
        <v>14</v>
      </c>
      <c r="C16" s="240"/>
      <c r="D16" s="240"/>
      <c r="E16" s="240"/>
      <c r="F16" s="429"/>
      <c r="G16" s="429"/>
      <c r="H16" s="429"/>
      <c r="I16" s="429">
        <v>63.5</v>
      </c>
      <c r="J16" s="240">
        <f t="shared" si="0"/>
        <v>79.375</v>
      </c>
      <c r="K16" s="240">
        <f t="shared" si="1"/>
        <v>47.625</v>
      </c>
      <c r="L16" s="240">
        <f t="shared" si="2"/>
        <v>31.75</v>
      </c>
      <c r="N16" s="510"/>
      <c r="O16" s="241">
        <v>14</v>
      </c>
      <c r="P16" s="137"/>
      <c r="Q16" s="242"/>
      <c r="R16" s="242"/>
      <c r="S16" s="243"/>
      <c r="T16" s="244"/>
      <c r="U16" s="244"/>
      <c r="V16" s="243"/>
    </row>
    <row r="17" spans="1:22" ht="19.2" customHeight="1">
      <c r="A17" s="553"/>
      <c r="B17" s="429">
        <v>15</v>
      </c>
      <c r="C17" s="240"/>
      <c r="D17" s="240"/>
      <c r="E17" s="240"/>
      <c r="F17" s="429"/>
      <c r="G17" s="429"/>
      <c r="H17" s="429"/>
      <c r="I17" s="429">
        <v>63.5</v>
      </c>
      <c r="J17" s="240">
        <f t="shared" si="0"/>
        <v>79.375</v>
      </c>
      <c r="K17" s="240">
        <f t="shared" si="1"/>
        <v>47.625</v>
      </c>
      <c r="L17" s="240">
        <f t="shared" si="2"/>
        <v>31.75</v>
      </c>
      <c r="N17" s="510"/>
      <c r="O17" s="241">
        <v>15</v>
      </c>
      <c r="P17" s="137"/>
      <c r="Q17" s="242"/>
      <c r="R17" s="242"/>
      <c r="S17" s="243"/>
      <c r="T17" s="244"/>
      <c r="U17" s="244"/>
      <c r="V17" s="243"/>
    </row>
    <row r="18" spans="1:22" ht="19.2" customHeight="1">
      <c r="A18" s="553"/>
      <c r="B18" s="429">
        <v>16</v>
      </c>
      <c r="C18" s="240"/>
      <c r="D18" s="240"/>
      <c r="E18" s="240"/>
      <c r="F18" s="429"/>
      <c r="G18" s="429"/>
      <c r="H18" s="429"/>
      <c r="I18" s="429">
        <v>63.5</v>
      </c>
      <c r="J18" s="240">
        <f t="shared" si="0"/>
        <v>79.375</v>
      </c>
      <c r="K18" s="240">
        <f t="shared" si="1"/>
        <v>47.625</v>
      </c>
      <c r="L18" s="240">
        <f t="shared" si="2"/>
        <v>31.75</v>
      </c>
      <c r="N18" s="510"/>
      <c r="O18" s="241">
        <v>16</v>
      </c>
      <c r="P18" s="137"/>
      <c r="Q18" s="242"/>
      <c r="R18" s="242"/>
      <c r="S18" s="243"/>
      <c r="T18" s="244"/>
      <c r="U18" s="244"/>
      <c r="V18" s="243"/>
    </row>
    <row r="20" spans="1:22">
      <c r="N20" s="6" t="s">
        <v>419</v>
      </c>
    </row>
    <row r="21" spans="1:22">
      <c r="N21" s="6" t="s">
        <v>420</v>
      </c>
    </row>
  </sheetData>
  <mergeCells count="4">
    <mergeCell ref="A3:A18"/>
    <mergeCell ref="A1:L1"/>
    <mergeCell ref="N1:V1"/>
    <mergeCell ref="N3:N18"/>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638C3-9269-4523-B14B-D8D22DE74C86}">
  <sheetPr codeName="Sheet14"/>
  <dimension ref="A1:J2"/>
  <sheetViews>
    <sheetView workbookViewId="0">
      <selection sqref="A1:J1"/>
    </sheetView>
  </sheetViews>
  <sheetFormatPr defaultRowHeight="14.4"/>
  <sheetData>
    <row r="1" spans="1:10" ht="21.6" customHeight="1">
      <c r="A1" s="568" t="str">
        <f>"PV - "&amp;Prototype!B4</f>
        <v>PV - Assembly</v>
      </c>
      <c r="B1" s="568"/>
      <c r="C1" s="568"/>
      <c r="D1" s="568"/>
      <c r="E1" s="568"/>
      <c r="F1" s="568"/>
      <c r="G1" s="568"/>
      <c r="H1" s="568"/>
      <c r="I1" s="568"/>
      <c r="J1" s="568"/>
    </row>
    <row r="2" spans="1:10">
      <c r="A2" t="s">
        <v>427</v>
      </c>
    </row>
  </sheetData>
  <mergeCells count="1">
    <mergeCell ref="A1:J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B9E4-8E7A-41B8-B067-A47E2307C7E6}">
  <sheetPr codeName="Sheet22"/>
  <dimension ref="A1:H11"/>
  <sheetViews>
    <sheetView zoomScaleNormal="70" workbookViewId="0">
      <selection sqref="A1:H1"/>
    </sheetView>
  </sheetViews>
  <sheetFormatPr defaultColWidth="8.6640625" defaultRowHeight="13.2"/>
  <cols>
    <col min="1" max="1" width="21" style="6" customWidth="1"/>
    <col min="2" max="2" width="14.33203125" style="6" customWidth="1"/>
    <col min="3" max="3" width="14.5546875" style="6" customWidth="1"/>
    <col min="4" max="8" width="8.6640625" style="6"/>
    <col min="9" max="9" width="13.6640625" style="6" customWidth="1"/>
    <col min="10" max="10" width="14.44140625" style="6" customWidth="1"/>
    <col min="11" max="16384" width="8.6640625" style="6"/>
  </cols>
  <sheetData>
    <row r="1" spans="1:8" ht="20.399999999999999" customHeight="1">
      <c r="A1" s="516" t="str">
        <f>"EV Charger - "&amp;Prototype!B4</f>
        <v>EV Charger - Assembly</v>
      </c>
      <c r="B1" s="516"/>
      <c r="C1" s="516"/>
      <c r="D1" s="516"/>
      <c r="E1" s="516"/>
      <c r="F1" s="516"/>
      <c r="G1" s="516"/>
      <c r="H1" s="516"/>
    </row>
    <row r="2" spans="1:8" ht="14.4">
      <c r="A2" t="s">
        <v>427</v>
      </c>
      <c r="B2" s="45"/>
      <c r="C2" s="46"/>
      <c r="D2" s="47"/>
      <c r="E2" s="47"/>
    </row>
    <row r="3" spans="1:8">
      <c r="A3" s="418"/>
      <c r="B3" s="247"/>
      <c r="C3" s="416"/>
      <c r="D3" s="48"/>
      <c r="E3" s="48"/>
    </row>
    <row r="11" spans="1:8" s="24" customFormat="1" hidden="1">
      <c r="A11" s="24" t="s">
        <v>134</v>
      </c>
      <c r="E11" s="25"/>
      <c r="F11" s="26"/>
      <c r="G11" s="27"/>
    </row>
  </sheetData>
  <mergeCells count="1">
    <mergeCell ref="A1:H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73A34-BD3B-406D-A0C9-08DA77A68C81}">
  <dimension ref="A1:G83"/>
  <sheetViews>
    <sheetView topLeftCell="A58" workbookViewId="0">
      <selection activeCell="L22" sqref="L22"/>
    </sheetView>
  </sheetViews>
  <sheetFormatPr defaultRowHeight="14.4"/>
  <cols>
    <col min="1" max="1" width="58.6640625" customWidth="1"/>
    <col min="2" max="2" width="30.88671875" customWidth="1"/>
    <col min="3" max="3" width="30.33203125" customWidth="1"/>
  </cols>
  <sheetData>
    <row r="1" spans="1:7">
      <c r="A1" t="s">
        <v>428</v>
      </c>
      <c r="B1" t="s">
        <v>429</v>
      </c>
      <c r="C1" t="s">
        <v>429</v>
      </c>
      <c r="D1" s="569" t="s">
        <v>430</v>
      </c>
      <c r="E1" s="569"/>
      <c r="F1" s="569"/>
      <c r="G1" s="569"/>
    </row>
    <row r="2" spans="1:7">
      <c r="A2" t="s">
        <v>431</v>
      </c>
      <c r="D2">
        <v>2013</v>
      </c>
      <c r="E2">
        <v>2016</v>
      </c>
      <c r="F2">
        <v>2019</v>
      </c>
      <c r="G2">
        <v>2025</v>
      </c>
    </row>
    <row r="3" spans="1:7">
      <c r="A3" t="s">
        <v>432</v>
      </c>
    </row>
    <row r="4" spans="1:7">
      <c r="A4" t="s">
        <v>433</v>
      </c>
    </row>
    <row r="5" spans="1:7">
      <c r="A5" t="s">
        <v>434</v>
      </c>
    </row>
    <row r="6" spans="1:7">
      <c r="A6" t="s">
        <v>435</v>
      </c>
    </row>
    <row r="7" spans="1:7">
      <c r="A7" t="s">
        <v>436</v>
      </c>
    </row>
    <row r="8" spans="1:7">
      <c r="A8" t="s">
        <v>437</v>
      </c>
    </row>
    <row r="9" spans="1:7">
      <c r="A9" t="s">
        <v>438</v>
      </c>
    </row>
    <row r="10" spans="1:7">
      <c r="A10" t="s">
        <v>439</v>
      </c>
    </row>
    <row r="11" spans="1:7">
      <c r="A11" t="s">
        <v>91</v>
      </c>
    </row>
    <row r="12" spans="1:7">
      <c r="A12" t="s">
        <v>440</v>
      </c>
    </row>
    <row r="13" spans="1:7">
      <c r="A13" t="s">
        <v>441</v>
      </c>
    </row>
    <row r="14" spans="1:7">
      <c r="A14" t="s">
        <v>442</v>
      </c>
    </row>
    <row r="15" spans="1:7">
      <c r="A15" t="s">
        <v>443</v>
      </c>
    </row>
    <row r="16" spans="1:7">
      <c r="A16" t="s">
        <v>122</v>
      </c>
    </row>
    <row r="17" spans="1:1">
      <c r="A17" t="s">
        <v>85</v>
      </c>
    </row>
    <row r="18" spans="1:1">
      <c r="A18" t="s">
        <v>444</v>
      </c>
    </row>
    <row r="19" spans="1:1">
      <c r="A19" t="s">
        <v>445</v>
      </c>
    </row>
    <row r="20" spans="1:1">
      <c r="A20" t="s">
        <v>446</v>
      </c>
    </row>
    <row r="21" spans="1:1">
      <c r="A21" t="s">
        <v>447</v>
      </c>
    </row>
    <row r="22" spans="1:1">
      <c r="A22" t="s">
        <v>448</v>
      </c>
    </row>
    <row r="23" spans="1:1">
      <c r="A23" t="s">
        <v>449</v>
      </c>
    </row>
    <row r="24" spans="1:1">
      <c r="A24" t="s">
        <v>113</v>
      </c>
    </row>
    <row r="25" spans="1:1">
      <c r="A25" t="s">
        <v>450</v>
      </c>
    </row>
    <row r="26" spans="1:1">
      <c r="A26" t="s">
        <v>451</v>
      </c>
    </row>
    <row r="27" spans="1:1">
      <c r="A27" t="s">
        <v>452</v>
      </c>
    </row>
    <row r="28" spans="1:1">
      <c r="A28" t="s">
        <v>453</v>
      </c>
    </row>
    <row r="29" spans="1:1">
      <c r="A29" t="s">
        <v>454</v>
      </c>
    </row>
    <row r="30" spans="1:1">
      <c r="A30" t="s">
        <v>455</v>
      </c>
    </row>
    <row r="31" spans="1:1">
      <c r="A31" t="s">
        <v>456</v>
      </c>
    </row>
    <row r="32" spans="1:1">
      <c r="A32" t="s">
        <v>457</v>
      </c>
    </row>
    <row r="33" spans="1:1">
      <c r="A33" t="s">
        <v>458</v>
      </c>
    </row>
    <row r="34" spans="1:1">
      <c r="A34" t="s">
        <v>459</v>
      </c>
    </row>
    <row r="35" spans="1:1">
      <c r="A35" t="s">
        <v>460</v>
      </c>
    </row>
    <row r="36" spans="1:1">
      <c r="A36" t="s">
        <v>461</v>
      </c>
    </row>
    <row r="37" spans="1:1">
      <c r="A37" t="s">
        <v>462</v>
      </c>
    </row>
    <row r="38" spans="1:1">
      <c r="A38" t="s">
        <v>463</v>
      </c>
    </row>
    <row r="39" spans="1:1">
      <c r="A39" t="s">
        <v>464</v>
      </c>
    </row>
    <row r="40" spans="1:1">
      <c r="A40" t="s">
        <v>98</v>
      </c>
    </row>
    <row r="41" spans="1:1">
      <c r="A41" t="s">
        <v>100</v>
      </c>
    </row>
    <row r="42" spans="1:1">
      <c r="A42" t="s">
        <v>102</v>
      </c>
    </row>
    <row r="43" spans="1:1">
      <c r="A43" t="s">
        <v>116</v>
      </c>
    </row>
    <row r="44" spans="1:1">
      <c r="A44" t="s">
        <v>465</v>
      </c>
    </row>
    <row r="45" spans="1:1">
      <c r="A45" t="s">
        <v>466</v>
      </c>
    </row>
    <row r="46" spans="1:1">
      <c r="A46" t="s">
        <v>467</v>
      </c>
    </row>
    <row r="47" spans="1:1">
      <c r="A47" t="s">
        <v>468</v>
      </c>
    </row>
    <row r="48" spans="1:1">
      <c r="A48" t="s">
        <v>93</v>
      </c>
    </row>
    <row r="49" spans="1:1">
      <c r="A49" t="s">
        <v>469</v>
      </c>
    </row>
    <row r="50" spans="1:1">
      <c r="A50" t="s">
        <v>107</v>
      </c>
    </row>
    <row r="51" spans="1:1">
      <c r="A51" t="s">
        <v>470</v>
      </c>
    </row>
    <row r="52" spans="1:1">
      <c r="A52" t="s">
        <v>471</v>
      </c>
    </row>
    <row r="53" spans="1:1">
      <c r="A53" t="s">
        <v>472</v>
      </c>
    </row>
    <row r="54" spans="1:1">
      <c r="A54" t="s">
        <v>473</v>
      </c>
    </row>
    <row r="55" spans="1:1">
      <c r="A55" t="s">
        <v>474</v>
      </c>
    </row>
    <row r="56" spans="1:1">
      <c r="A56" t="s">
        <v>475</v>
      </c>
    </row>
    <row r="57" spans="1:1">
      <c r="A57" t="s">
        <v>476</v>
      </c>
    </row>
    <row r="58" spans="1:1">
      <c r="A58" t="s">
        <v>110</v>
      </c>
    </row>
    <row r="59" spans="1:1">
      <c r="A59" t="s">
        <v>118</v>
      </c>
    </row>
    <row r="60" spans="1:1">
      <c r="A60" t="s">
        <v>477</v>
      </c>
    </row>
    <row r="61" spans="1:1">
      <c r="A61" t="s">
        <v>478</v>
      </c>
    </row>
    <row r="62" spans="1:1">
      <c r="A62" t="s">
        <v>479</v>
      </c>
    </row>
    <row r="63" spans="1:1">
      <c r="A63" t="s">
        <v>480</v>
      </c>
    </row>
    <row r="64" spans="1:1">
      <c r="A64" t="s">
        <v>481</v>
      </c>
    </row>
    <row r="65" spans="1:1">
      <c r="A65" t="s">
        <v>482</v>
      </c>
    </row>
    <row r="66" spans="1:1">
      <c r="A66" t="s">
        <v>483</v>
      </c>
    </row>
    <row r="67" spans="1:1">
      <c r="A67" t="s">
        <v>484</v>
      </c>
    </row>
    <row r="68" spans="1:1">
      <c r="A68" t="s">
        <v>485</v>
      </c>
    </row>
    <row r="69" spans="1:1">
      <c r="A69" t="s">
        <v>89</v>
      </c>
    </row>
    <row r="70" spans="1:1">
      <c r="A70" t="s">
        <v>486</v>
      </c>
    </row>
    <row r="71" spans="1:1">
      <c r="A71" t="s">
        <v>126</v>
      </c>
    </row>
    <row r="72" spans="1:1">
      <c r="A72" t="s">
        <v>128</v>
      </c>
    </row>
    <row r="73" spans="1:1">
      <c r="A73" t="s">
        <v>487</v>
      </c>
    </row>
    <row r="74" spans="1:1">
      <c r="A74" t="s">
        <v>488</v>
      </c>
    </row>
    <row r="75" spans="1:1">
      <c r="A75" t="s">
        <v>489</v>
      </c>
    </row>
    <row r="76" spans="1:1">
      <c r="A76" t="s">
        <v>490</v>
      </c>
    </row>
    <row r="77" spans="1:1">
      <c r="A77" t="s">
        <v>491</v>
      </c>
    </row>
    <row r="78" spans="1:1">
      <c r="A78" t="s">
        <v>492</v>
      </c>
    </row>
    <row r="79" spans="1:1">
      <c r="A79" t="s">
        <v>493</v>
      </c>
    </row>
    <row r="80" spans="1:1">
      <c r="A80" t="s">
        <v>494</v>
      </c>
    </row>
    <row r="81" spans="1:1">
      <c r="A81" t="s">
        <v>495</v>
      </c>
    </row>
    <row r="82" spans="1:1">
      <c r="A82" t="s">
        <v>496</v>
      </c>
    </row>
    <row r="83" spans="1:1">
      <c r="A83" t="s">
        <v>497</v>
      </c>
    </row>
  </sheetData>
  <mergeCells count="1">
    <mergeCell ref="D1:G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D1D6A7EB2452B4A86A9506D4E13D4C9" ma:contentTypeVersion="3" ma:contentTypeDescription="Create a new document." ma:contentTypeScope="" ma:versionID="7cd6ed0cd056f112062446d0d1c544ce">
  <xsd:schema xmlns:xsd="http://www.w3.org/2001/XMLSchema" xmlns:xs="http://www.w3.org/2001/XMLSchema" xmlns:p="http://schemas.microsoft.com/office/2006/metadata/properties" xmlns:ns2="41613948-0554-4f13-babe-277410c056ca" targetNamespace="http://schemas.microsoft.com/office/2006/metadata/properties" ma:root="true" ma:fieldsID="60ca449bf2be89171a15d05d28af00ea" ns2:_="">
    <xsd:import namespace="41613948-0554-4f13-babe-277410c056c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613948-0554-4f13-babe-277410c056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0816333-575B-4274-8A3E-18699B071E90}">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7921AF10-0BF8-441A-BDBA-64AF3E09D45F}">
  <ds:schemaRefs>
    <ds:schemaRef ds:uri="http://schemas.microsoft.com/sharepoint/v3/contenttype/forms"/>
  </ds:schemaRefs>
</ds:datastoreItem>
</file>

<file path=customXml/itemProps3.xml><?xml version="1.0" encoding="utf-8"?>
<ds:datastoreItem xmlns:ds="http://schemas.openxmlformats.org/officeDocument/2006/customXml" ds:itemID="{EE88F960-1972-4CFF-A95C-503BA3E97A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613948-0554-4f13-babe-277410c056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Notes</vt:lpstr>
      <vt:lpstr>Prototype</vt:lpstr>
      <vt:lpstr>Zones</vt:lpstr>
      <vt:lpstr>Envelope</vt:lpstr>
      <vt:lpstr>HVAC System</vt:lpstr>
      <vt:lpstr>Thermostat</vt:lpstr>
      <vt:lpstr>Ventilation</vt:lpstr>
      <vt:lpstr>Water Heater</vt:lpstr>
      <vt:lpstr>Interior Lights</vt:lpstr>
      <vt:lpstr>Ext Lighting</vt:lpstr>
      <vt:lpstr>Equipment</vt:lpstr>
      <vt:lpstr>Schedules</vt:lpstr>
      <vt:lpstr>Weights</vt:lpstr>
      <vt:lpstr>Energy Usage</vt:lpstr>
      <vt:lpstr>PV</vt:lpstr>
      <vt:lpstr>EV Charger</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Yousefi, Fatemeh</dc:creator>
  <cp:keywords/>
  <dc:description/>
  <cp:lastModifiedBy>Yousefi, Fatemeh (Noresco EE)</cp:lastModifiedBy>
  <cp:revision/>
  <dcterms:created xsi:type="dcterms:W3CDTF">2024-06-21T17:19:36Z</dcterms:created>
  <dcterms:modified xsi:type="dcterms:W3CDTF">2026-10-27T16:10:14Z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2024-06-21T17:19:48Z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0e6e9a60-d2ab-4ce7-9a0a-ef72169e4f66</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2024-11-12T07:01:00Z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9aa52be7-e90f-4db3-9dfa-3134fb3d14a1</vt:lpwstr>
  </property>
  <property fmtid="{D5CDD505-2E9C-101B-9397-08002B2CF9AE}" pid="15" name="MSIP_Label_aa7be39c-9e9f-446a-a199-286f73f56a3f_ContentBits">
    <vt:lpwstr>0</vt:lpwstr>
  </property>
  <property fmtid="{D5CDD505-2E9C-101B-9397-08002B2CF9AE}" pid="16" name="ContentTypeId">
    <vt:lpwstr>0x0101003D1D6A7EB2452B4A86A9506D4E13D4C9</vt:lpwstr>
  </property>
  <property fmtid="{D5CDD505-2E9C-101B-9397-08002B2CF9AE}" pid="17" name="MediaServiceImageTags">
    <vt:lpwstr/>
  </property>
  <property fmtid="{D5CDD505-2E9C-101B-9397-08002B2CF9AE}" pid="18" name="MSIP_Label_aa7be39c-9e9f-446a-a199-286f73f56a3f_Tag">
    <vt:lpwstr>10, 3, 0, 2</vt:lpwstr>
  </property>
  <property fmtid="{D5CDD505-2E9C-101B-9397-08002B2CF9AE}" pid="19" name="xd_ProgID">
    <vt:lpwstr/>
  </property>
  <property fmtid="{D5CDD505-2E9C-101B-9397-08002B2CF9AE}" pid="20" name="ComplianceAssetId">
    <vt:lpwstr/>
  </property>
  <property fmtid="{D5CDD505-2E9C-101B-9397-08002B2CF9AE}" pid="21" name="TemplateUrl">
    <vt:lpwstr/>
  </property>
  <property fmtid="{D5CDD505-2E9C-101B-9397-08002B2CF9AE}" pid="22" name="_ExtendedDescription">
    <vt:lpwstr/>
  </property>
  <property fmtid="{D5CDD505-2E9C-101B-9397-08002B2CF9AE}" pid="23" name="TriggerFlowInfo">
    <vt:lpwstr/>
  </property>
  <property fmtid="{D5CDD505-2E9C-101B-9397-08002B2CF9AE}" pid="24" name="xd_Signature">
    <vt:bool>false</vt:bool>
  </property>
</Properties>
</file>