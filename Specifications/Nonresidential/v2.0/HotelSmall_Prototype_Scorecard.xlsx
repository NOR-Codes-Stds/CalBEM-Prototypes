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7.xml" ContentType="application/vnd.openxmlformats-officedocument.drawing+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0B80AA48-17B4-4273-8B59-1F973425D986}" xr6:coauthVersionLast="47" xr6:coauthVersionMax="47" xr10:uidLastSave="{00000000-0000-0000-0000-000000000000}"/>
  <bookViews>
    <workbookView xWindow="-108" yWindow="-108" windowWidth="23256" windowHeight="13896" tabRatio="767" firstSheet="1" activeTab="1"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32"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7" hidden="1">'Water Heater'!$A$7:$AL$87</definedName>
    <definedName name="_xlnm._FilterDatabase" localSheetId="2" hidden="1">Zones!$A$2:$X$51</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2" i="28" l="1"/>
  <c r="H172" i="28"/>
  <c r="I172" i="28"/>
  <c r="J172" i="28"/>
  <c r="K172" i="28"/>
  <c r="L172" i="28"/>
  <c r="M172" i="28"/>
  <c r="N172" i="28"/>
  <c r="O172" i="28"/>
  <c r="P172" i="28"/>
  <c r="Q172" i="28"/>
  <c r="R172" i="28"/>
  <c r="S172" i="28"/>
  <c r="T172" i="28"/>
  <c r="U172" i="28"/>
  <c r="V172" i="28"/>
  <c r="W172" i="28"/>
  <c r="X172" i="28"/>
  <c r="Y172" i="28"/>
  <c r="Z172" i="28"/>
  <c r="AA172" i="28"/>
  <c r="AB172" i="28"/>
  <c r="AC172" i="28"/>
  <c r="G173" i="28"/>
  <c r="H173" i="28"/>
  <c r="I173" i="28"/>
  <c r="J173" i="28"/>
  <c r="K173" i="28"/>
  <c r="L173" i="28"/>
  <c r="M173" i="28"/>
  <c r="N173" i="28"/>
  <c r="O173" i="28"/>
  <c r="P173" i="28"/>
  <c r="Q173" i="28"/>
  <c r="R173" i="28"/>
  <c r="S173" i="28"/>
  <c r="T173" i="28"/>
  <c r="U173" i="28"/>
  <c r="V173" i="28"/>
  <c r="W173" i="28"/>
  <c r="X173" i="28"/>
  <c r="Y173" i="28"/>
  <c r="Z173" i="28"/>
  <c r="AA173" i="28"/>
  <c r="AB173" i="28"/>
  <c r="AC173" i="28"/>
  <c r="G174" i="28"/>
  <c r="H174" i="28"/>
  <c r="I174" i="28"/>
  <c r="J174" i="28"/>
  <c r="K174" i="28"/>
  <c r="L174" i="28"/>
  <c r="M174" i="28"/>
  <c r="N174" i="28"/>
  <c r="O174" i="28"/>
  <c r="P174" i="28"/>
  <c r="Q174" i="28"/>
  <c r="R174" i="28"/>
  <c r="S174" i="28"/>
  <c r="T174" i="28"/>
  <c r="U174" i="28"/>
  <c r="V174" i="28"/>
  <c r="W174" i="28"/>
  <c r="X174" i="28"/>
  <c r="Y174" i="28"/>
  <c r="Z174" i="28"/>
  <c r="AA174" i="28"/>
  <c r="AB174" i="28"/>
  <c r="AC174" i="28"/>
  <c r="G175" i="28"/>
  <c r="H175" i="28"/>
  <c r="I175" i="28"/>
  <c r="J175" i="28"/>
  <c r="K175" i="28"/>
  <c r="L175" i="28"/>
  <c r="M175" i="28"/>
  <c r="N175" i="28"/>
  <c r="O175" i="28"/>
  <c r="P175" i="28"/>
  <c r="Q175" i="28"/>
  <c r="R175" i="28"/>
  <c r="S175" i="28"/>
  <c r="T175" i="28"/>
  <c r="U175" i="28"/>
  <c r="V175" i="28"/>
  <c r="W175" i="28"/>
  <c r="X175" i="28"/>
  <c r="Y175" i="28"/>
  <c r="Z175" i="28"/>
  <c r="AA175" i="28"/>
  <c r="AB175" i="28"/>
  <c r="AC175" i="28"/>
  <c r="G176" i="28"/>
  <c r="H176" i="28"/>
  <c r="I176" i="28"/>
  <c r="J176" i="28"/>
  <c r="K176" i="28"/>
  <c r="L176" i="28"/>
  <c r="M176" i="28"/>
  <c r="N176" i="28"/>
  <c r="O176" i="28"/>
  <c r="P176" i="28"/>
  <c r="Q176" i="28"/>
  <c r="R176" i="28"/>
  <c r="S176" i="28"/>
  <c r="T176" i="28"/>
  <c r="U176" i="28"/>
  <c r="V176" i="28"/>
  <c r="W176" i="28"/>
  <c r="X176" i="28"/>
  <c r="Y176" i="28"/>
  <c r="Z176" i="28"/>
  <c r="AA176" i="28"/>
  <c r="AB176" i="28"/>
  <c r="AC176" i="28"/>
  <c r="G177" i="28"/>
  <c r="H177" i="28"/>
  <c r="I177" i="28"/>
  <c r="J177" i="28"/>
  <c r="K177" i="28"/>
  <c r="L177" i="28"/>
  <c r="M177" i="28"/>
  <c r="N177" i="28"/>
  <c r="O177" i="28"/>
  <c r="P177" i="28"/>
  <c r="Q177" i="28"/>
  <c r="R177" i="28"/>
  <c r="S177" i="28"/>
  <c r="T177" i="28"/>
  <c r="U177" i="28"/>
  <c r="V177" i="28"/>
  <c r="W177" i="28"/>
  <c r="X177" i="28"/>
  <c r="Y177" i="28"/>
  <c r="Z177" i="28"/>
  <c r="AA177" i="28"/>
  <c r="AB177" i="28"/>
  <c r="AC177" i="28"/>
  <c r="F176" i="28"/>
  <c r="F177" i="28"/>
  <c r="F173" i="28"/>
  <c r="F174" i="28"/>
  <c r="F172" i="28"/>
  <c r="F175" i="28"/>
  <c r="G147" i="28"/>
  <c r="H147" i="28"/>
  <c r="I147" i="28"/>
  <c r="J147" i="28"/>
  <c r="K147" i="28"/>
  <c r="L147" i="28"/>
  <c r="M147" i="28"/>
  <c r="N147" i="28"/>
  <c r="O147" i="28"/>
  <c r="P147" i="28"/>
  <c r="Q147" i="28"/>
  <c r="R147" i="28"/>
  <c r="S147" i="28"/>
  <c r="T147" i="28"/>
  <c r="U147" i="28"/>
  <c r="V147" i="28"/>
  <c r="W147" i="28"/>
  <c r="X147" i="28"/>
  <c r="Y147" i="28"/>
  <c r="Z147" i="28"/>
  <c r="AA147" i="28"/>
  <c r="AB147" i="28"/>
  <c r="AC147" i="28"/>
  <c r="G148" i="28"/>
  <c r="H148" i="28"/>
  <c r="I148" i="28"/>
  <c r="J148" i="28"/>
  <c r="K148" i="28"/>
  <c r="L148" i="28"/>
  <c r="M148" i="28"/>
  <c r="N148" i="28"/>
  <c r="O148" i="28"/>
  <c r="P148" i="28"/>
  <c r="Q148" i="28"/>
  <c r="R148" i="28"/>
  <c r="S148" i="28"/>
  <c r="T148" i="28"/>
  <c r="U148" i="28"/>
  <c r="V148" i="28"/>
  <c r="W148" i="28"/>
  <c r="X148" i="28"/>
  <c r="Y148" i="28"/>
  <c r="Z148" i="28"/>
  <c r="AA148" i="28"/>
  <c r="AB148" i="28"/>
  <c r="AC148" i="28"/>
  <c r="G149" i="28"/>
  <c r="H149" i="28"/>
  <c r="I149" i="28"/>
  <c r="J149" i="28"/>
  <c r="K149" i="28"/>
  <c r="L149" i="28"/>
  <c r="M149" i="28"/>
  <c r="N149" i="28"/>
  <c r="O149" i="28"/>
  <c r="P149" i="28"/>
  <c r="Q149" i="28"/>
  <c r="R149" i="28"/>
  <c r="S149" i="28"/>
  <c r="T149" i="28"/>
  <c r="U149" i="28"/>
  <c r="V149" i="28"/>
  <c r="W149" i="28"/>
  <c r="X149" i="28"/>
  <c r="Y149" i="28"/>
  <c r="Z149" i="28"/>
  <c r="AA149" i="28"/>
  <c r="AB149" i="28"/>
  <c r="AC149" i="28"/>
  <c r="G150" i="28"/>
  <c r="H150" i="28"/>
  <c r="I150" i="28"/>
  <c r="J150" i="28"/>
  <c r="K150" i="28"/>
  <c r="L150" i="28"/>
  <c r="M150" i="28"/>
  <c r="N150" i="28"/>
  <c r="O150" i="28"/>
  <c r="P150" i="28"/>
  <c r="Q150" i="28"/>
  <c r="R150" i="28"/>
  <c r="S150" i="28"/>
  <c r="T150" i="28"/>
  <c r="U150" i="28"/>
  <c r="V150" i="28"/>
  <c r="W150" i="28"/>
  <c r="X150" i="28"/>
  <c r="Y150" i="28"/>
  <c r="Z150" i="28"/>
  <c r="AA150" i="28"/>
  <c r="AB150" i="28"/>
  <c r="AC150" i="28"/>
  <c r="G151" i="28"/>
  <c r="H151" i="28"/>
  <c r="I151" i="28"/>
  <c r="J151" i="28"/>
  <c r="K151" i="28"/>
  <c r="L151" i="28"/>
  <c r="M151" i="28"/>
  <c r="N151" i="28"/>
  <c r="O151" i="28"/>
  <c r="P151" i="28"/>
  <c r="Q151" i="28"/>
  <c r="R151" i="28"/>
  <c r="S151" i="28"/>
  <c r="T151" i="28"/>
  <c r="U151" i="28"/>
  <c r="V151" i="28"/>
  <c r="W151" i="28"/>
  <c r="X151" i="28"/>
  <c r="Y151" i="28"/>
  <c r="Z151" i="28"/>
  <c r="AA151" i="28"/>
  <c r="AB151" i="28"/>
  <c r="AC151" i="28"/>
  <c r="G152" i="28"/>
  <c r="H152" i="28"/>
  <c r="I152" i="28"/>
  <c r="J152" i="28"/>
  <c r="K152" i="28"/>
  <c r="L152" i="28"/>
  <c r="M152" i="28"/>
  <c r="N152" i="28"/>
  <c r="O152" i="28"/>
  <c r="P152" i="28"/>
  <c r="Q152" i="28"/>
  <c r="R152" i="28"/>
  <c r="S152" i="28"/>
  <c r="T152" i="28"/>
  <c r="U152" i="28"/>
  <c r="V152" i="28"/>
  <c r="W152" i="28"/>
  <c r="X152" i="28"/>
  <c r="Y152" i="28"/>
  <c r="Z152" i="28"/>
  <c r="AA152" i="28"/>
  <c r="AB152" i="28"/>
  <c r="AC152" i="28"/>
  <c r="F151" i="28"/>
  <c r="F152" i="28"/>
  <c r="F150" i="28"/>
  <c r="F148" i="28"/>
  <c r="F149" i="28"/>
  <c r="F147" i="28"/>
  <c r="A6" i="18"/>
  <c r="C6" i="18"/>
  <c r="H6" i="18" s="1"/>
  <c r="A11" i="32"/>
  <c r="C11" i="32"/>
  <c r="K6" i="13"/>
  <c r="B6" i="18" s="1"/>
  <c r="G6" i="18" s="1"/>
  <c r="B157" i="28"/>
  <c r="B160" i="28" s="1"/>
  <c r="B163" i="28" s="1"/>
  <c r="B166" i="28" s="1"/>
  <c r="B169" i="28" s="1"/>
  <c r="B172" i="28" s="1"/>
  <c r="B175" i="28" s="1"/>
  <c r="D132" i="28"/>
  <c r="D135" i="28" s="1"/>
  <c r="D138" i="28" s="1"/>
  <c r="D141" i="28" s="1"/>
  <c r="D144" i="28" s="1"/>
  <c r="D147" i="28" s="1"/>
  <c r="D150" i="28" s="1"/>
  <c r="D129" i="28"/>
  <c r="B129" i="28"/>
  <c r="B132" i="28" s="1"/>
  <c r="B135" i="28" s="1"/>
  <c r="B138" i="28" s="1"/>
  <c r="B141" i="28" s="1"/>
  <c r="B144" i="28" s="1"/>
  <c r="B147" i="28" s="1"/>
  <c r="B150" i="28" s="1"/>
  <c r="C13" i="25"/>
  <c r="H5" i="21"/>
  <c r="H6" i="21"/>
  <c r="H7" i="21"/>
  <c r="H8" i="21"/>
  <c r="H9" i="21"/>
  <c r="H10" i="21"/>
  <c r="H11" i="21"/>
  <c r="H12" i="21"/>
  <c r="H13" i="21"/>
  <c r="H14" i="21"/>
  <c r="H15" i="21"/>
  <c r="H16" i="21"/>
  <c r="H17" i="21"/>
  <c r="H18" i="21"/>
  <c r="H19" i="21"/>
  <c r="H4" i="21"/>
  <c r="C5" i="25"/>
  <c r="A3" i="18"/>
  <c r="A4" i="18"/>
  <c r="A5" i="18"/>
  <c r="A7" i="18"/>
  <c r="A8" i="18"/>
  <c r="A9" i="18"/>
  <c r="A10" i="18"/>
  <c r="A11" i="18"/>
  <c r="A12" i="18"/>
  <c r="A8" i="32"/>
  <c r="A9" i="32"/>
  <c r="A10"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8" i="32"/>
  <c r="A27" i="18"/>
  <c r="A28" i="18"/>
  <c r="A29" i="18"/>
  <c r="A30" i="18"/>
  <c r="A18" i="18"/>
  <c r="A19" i="18"/>
  <c r="A20" i="18"/>
  <c r="A21" i="18"/>
  <c r="A22" i="18"/>
  <c r="A23" i="18"/>
  <c r="A24" i="18"/>
  <c r="A25" i="18"/>
  <c r="A26" i="18"/>
  <c r="A13" i="18"/>
  <c r="A14" i="18"/>
  <c r="A15" i="18"/>
  <c r="P32" i="13"/>
  <c r="P39" i="13"/>
  <c r="P38" i="13"/>
  <c r="P37" i="13"/>
  <c r="P36" i="13"/>
  <c r="P35" i="13"/>
  <c r="P34" i="13"/>
  <c r="P33" i="13"/>
  <c r="P31" i="13"/>
  <c r="P30" i="13"/>
  <c r="P29" i="13"/>
  <c r="C15" i="9"/>
  <c r="J6" i="18" l="1"/>
  <c r="D11" i="32"/>
  <c r="F11" i="32" s="1"/>
  <c r="G11" i="32" s="1"/>
  <c r="C61" i="13"/>
  <c r="C62" i="13"/>
  <c r="C63" i="13" l="1"/>
  <c r="C55" i="32"/>
  <c r="A55" i="32"/>
  <c r="C54" i="32"/>
  <c r="A54" i="32"/>
  <c r="C53" i="32"/>
  <c r="A53" i="32"/>
  <c r="C52" i="32"/>
  <c r="A52" i="32"/>
  <c r="C51" i="32"/>
  <c r="A51" i="32"/>
  <c r="C50" i="32"/>
  <c r="A50" i="32"/>
  <c r="C49" i="32"/>
  <c r="A49" i="32"/>
  <c r="C47" i="32"/>
  <c r="A47" i="32"/>
  <c r="C20" i="32"/>
  <c r="C19" i="32"/>
  <c r="C18" i="32"/>
  <c r="C17" i="32"/>
  <c r="C16" i="32"/>
  <c r="C15" i="32"/>
  <c r="C10" i="32"/>
  <c r="C9" i="32"/>
  <c r="C8" i="32"/>
  <c r="I87" i="32"/>
  <c r="F48" i="32"/>
  <c r="G48" i="32" s="1"/>
  <c r="F46" i="32"/>
  <c r="G46" i="32" s="1"/>
  <c r="F45" i="32"/>
  <c r="G45" i="32" s="1"/>
  <c r="F44" i="32"/>
  <c r="G44" i="32" s="1"/>
  <c r="F43" i="32"/>
  <c r="G43" i="32" s="1"/>
  <c r="F42" i="32"/>
  <c r="G42" i="32" s="1"/>
  <c r="F41" i="32"/>
  <c r="G41" i="32" s="1"/>
  <c r="F40" i="32"/>
  <c r="G40" i="32" s="1"/>
  <c r="F39" i="32"/>
  <c r="G39" i="32" s="1"/>
  <c r="F38" i="32"/>
  <c r="G38" i="32" s="1"/>
  <c r="F37" i="32"/>
  <c r="G37" i="32" s="1"/>
  <c r="F36" i="32"/>
  <c r="G36" i="32" s="1"/>
  <c r="F35" i="32"/>
  <c r="G35" i="32" s="1"/>
  <c r="F34" i="32"/>
  <c r="G34" i="32" s="1"/>
  <c r="F33" i="32"/>
  <c r="G33" i="32" s="1"/>
  <c r="F32" i="32"/>
  <c r="G32" i="32" s="1"/>
  <c r="F31" i="32"/>
  <c r="G31" i="32" s="1"/>
  <c r="F30" i="32"/>
  <c r="G30" i="32" s="1"/>
  <c r="F29" i="32"/>
  <c r="G29" i="32" s="1"/>
  <c r="F28" i="32"/>
  <c r="G28" i="32" s="1"/>
  <c r="F27" i="32"/>
  <c r="G27" i="32" s="1"/>
  <c r="F26" i="32"/>
  <c r="G26" i="32" s="1"/>
  <c r="F25" i="32"/>
  <c r="G25" i="32" s="1"/>
  <c r="F24" i="32"/>
  <c r="G24" i="32" s="1"/>
  <c r="F23" i="32"/>
  <c r="G23" i="32" s="1"/>
  <c r="F22" i="32"/>
  <c r="G22" i="32" s="1"/>
  <c r="F21" i="32"/>
  <c r="G21" i="32" s="1"/>
  <c r="F14" i="32"/>
  <c r="G14" i="32" s="1"/>
  <c r="F13" i="32"/>
  <c r="G13" i="32" s="1"/>
  <c r="F12" i="32"/>
  <c r="G12" i="32" s="1"/>
  <c r="D39" i="18" l="1"/>
  <c r="D40" i="18"/>
  <c r="D17" i="18"/>
  <c r="D18" i="18"/>
  <c r="D19" i="18"/>
  <c r="D20" i="18"/>
  <c r="D21" i="18"/>
  <c r="D22" i="18"/>
  <c r="D23" i="18"/>
  <c r="D24" i="18"/>
  <c r="D25" i="18"/>
  <c r="D26" i="18"/>
  <c r="D27" i="18"/>
  <c r="D28" i="18"/>
  <c r="D29" i="18"/>
  <c r="D30" i="18"/>
  <c r="D31" i="18"/>
  <c r="D32" i="18"/>
  <c r="D33" i="18"/>
  <c r="D34" i="18"/>
  <c r="D35" i="18"/>
  <c r="D36" i="18"/>
  <c r="D37" i="18"/>
  <c r="D38" i="18"/>
  <c r="D16" i="18"/>
  <c r="AD107" i="28"/>
  <c r="C46" i="29" s="1"/>
  <c r="I19" i="29"/>
  <c r="H19" i="29"/>
  <c r="I18" i="29"/>
  <c r="H18" i="29"/>
  <c r="I16" i="18"/>
  <c r="G19" i="29" l="1"/>
  <c r="J19" i="29" s="1"/>
  <c r="G18" i="29"/>
  <c r="J18" i="29" s="1"/>
  <c r="K18" i="20"/>
  <c r="J18" i="20"/>
  <c r="L18" i="20" s="1"/>
  <c r="K17" i="20"/>
  <c r="J17" i="20"/>
  <c r="K16" i="20"/>
  <c r="J16" i="20"/>
  <c r="L16" i="20" s="1"/>
  <c r="K15" i="20"/>
  <c r="J15" i="20"/>
  <c r="L15" i="20" s="1"/>
  <c r="K14" i="20"/>
  <c r="J14" i="20"/>
  <c r="K13" i="20"/>
  <c r="J13" i="20"/>
  <c r="L13" i="20" s="1"/>
  <c r="K12" i="20"/>
  <c r="J12" i="20"/>
  <c r="L12" i="20" s="1"/>
  <c r="K11" i="20"/>
  <c r="J11" i="20"/>
  <c r="L11" i="20" s="1"/>
  <c r="K10" i="20"/>
  <c r="J10" i="20"/>
  <c r="L10" i="20" s="1"/>
  <c r="K9" i="20"/>
  <c r="J9" i="20"/>
  <c r="L9" i="20" s="1"/>
  <c r="K8" i="20"/>
  <c r="J8" i="20"/>
  <c r="K7" i="20"/>
  <c r="J7" i="20"/>
  <c r="L7" i="20" s="1"/>
  <c r="K6" i="20"/>
  <c r="J6" i="20"/>
  <c r="K5" i="20"/>
  <c r="J5" i="20"/>
  <c r="L5" i="20" s="1"/>
  <c r="K4" i="20"/>
  <c r="J4" i="20"/>
  <c r="K3" i="20"/>
  <c r="J3" i="20"/>
  <c r="L3" i="20" s="1"/>
  <c r="S3" i="20"/>
  <c r="T3" i="20" s="1"/>
  <c r="U3" i="20" l="1"/>
  <c r="V3" i="20" s="1"/>
  <c r="L14" i="20"/>
  <c r="L6" i="20"/>
  <c r="L17" i="20"/>
  <c r="L4" i="20"/>
  <c r="L8" i="20"/>
  <c r="S4" i="20"/>
  <c r="S5" i="20"/>
  <c r="S6" i="20"/>
  <c r="S7" i="20"/>
  <c r="S8" i="20"/>
  <c r="S9" i="20"/>
  <c r="S10" i="20"/>
  <c r="S11" i="20"/>
  <c r="S12" i="20"/>
  <c r="S13" i="20"/>
  <c r="S14" i="20"/>
  <c r="S15" i="20"/>
  <c r="S16" i="20"/>
  <c r="S17" i="20"/>
  <c r="S18" i="20"/>
  <c r="T14" i="20" l="1"/>
  <c r="U14" i="20"/>
  <c r="U17" i="20"/>
  <c r="T17" i="20"/>
  <c r="V17" i="20" s="1"/>
  <c r="T15" i="20"/>
  <c r="U15" i="20"/>
  <c r="T13" i="20"/>
  <c r="U13" i="20"/>
  <c r="V13" i="20" s="1"/>
  <c r="T12" i="20"/>
  <c r="U12" i="20"/>
  <c r="T10" i="20"/>
  <c r="V10" i="20" s="1"/>
  <c r="U10" i="20"/>
  <c r="U9" i="20"/>
  <c r="T9" i="20"/>
  <c r="V9" i="20" s="1"/>
  <c r="T7" i="20"/>
  <c r="U7" i="20"/>
  <c r="U6" i="20"/>
  <c r="T6" i="20"/>
  <c r="V6" i="20" s="1"/>
  <c r="T4" i="20"/>
  <c r="U4" i="20"/>
  <c r="U18" i="20"/>
  <c r="T18" i="20"/>
  <c r="V18" i="20" s="1"/>
  <c r="T16" i="20"/>
  <c r="U16" i="20"/>
  <c r="T11" i="20"/>
  <c r="U11" i="20"/>
  <c r="T8" i="20"/>
  <c r="U8" i="20"/>
  <c r="T5" i="20"/>
  <c r="U5" i="20"/>
  <c r="I33" i="1"/>
  <c r="V7" i="20" l="1"/>
  <c r="V12" i="20"/>
  <c r="V5" i="20"/>
  <c r="V8" i="20"/>
  <c r="V11" i="20"/>
  <c r="V4" i="20"/>
  <c r="V15" i="20"/>
  <c r="V16" i="20"/>
  <c r="V14" i="20"/>
  <c r="A78" i="28"/>
  <c r="A75" i="28"/>
  <c r="A72" i="28"/>
  <c r="A69" i="28"/>
  <c r="A66" i="28"/>
  <c r="A63" i="28"/>
  <c r="A6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F105" i="28"/>
  <c r="F104" i="28"/>
  <c r="F103" i="28"/>
  <c r="F102" i="28"/>
  <c r="F101" i="28"/>
  <c r="F100" i="28"/>
  <c r="G50" i="28"/>
  <c r="H50" i="28"/>
  <c r="I50" i="28"/>
  <c r="J50" i="28"/>
  <c r="K50" i="28"/>
  <c r="L50" i="28"/>
  <c r="M50" i="28"/>
  <c r="N50" i="28"/>
  <c r="O50" i="28"/>
  <c r="P50" i="28"/>
  <c r="Q50" i="28"/>
  <c r="R50" i="28"/>
  <c r="S50" i="28"/>
  <c r="T50" i="28"/>
  <c r="U50" i="28"/>
  <c r="V50" i="28"/>
  <c r="W50" i="28"/>
  <c r="X50" i="28"/>
  <c r="Y50" i="28"/>
  <c r="Z50" i="28"/>
  <c r="AA50" i="28"/>
  <c r="AB50" i="28"/>
  <c r="AC50" i="28"/>
  <c r="G51" i="28"/>
  <c r="H51" i="28"/>
  <c r="I51" i="28"/>
  <c r="J51" i="28"/>
  <c r="K51" i="28"/>
  <c r="L51" i="28"/>
  <c r="M51" i="28"/>
  <c r="N51" i="28"/>
  <c r="O51" i="28"/>
  <c r="P51" i="28"/>
  <c r="Q51" i="28"/>
  <c r="R51" i="28"/>
  <c r="S51" i="28"/>
  <c r="T51" i="28"/>
  <c r="U51" i="28"/>
  <c r="V51" i="28"/>
  <c r="W51" i="28"/>
  <c r="X51" i="28"/>
  <c r="Y51" i="28"/>
  <c r="Z51" i="28"/>
  <c r="AA51" i="28"/>
  <c r="AB51" i="28"/>
  <c r="AC51" i="28"/>
  <c r="G52" i="28"/>
  <c r="H52" i="28"/>
  <c r="I52" i="28"/>
  <c r="J52" i="28"/>
  <c r="K52" i="28"/>
  <c r="L52" i="28"/>
  <c r="M52" i="28"/>
  <c r="N52" i="28"/>
  <c r="O52" i="28"/>
  <c r="P52" i="28"/>
  <c r="Q52" i="28"/>
  <c r="R52" i="28"/>
  <c r="S52" i="28"/>
  <c r="T52" i="28"/>
  <c r="U52" i="28"/>
  <c r="V52" i="28"/>
  <c r="W52" i="28"/>
  <c r="X52" i="28"/>
  <c r="Y52" i="28"/>
  <c r="Z52" i="28"/>
  <c r="AA52" i="28"/>
  <c r="AB52" i="28"/>
  <c r="AC52"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5" i="28"/>
  <c r="F54" i="28"/>
  <c r="F53" i="28"/>
  <c r="AC75" i="28"/>
  <c r="AC76" i="28"/>
  <c r="AC77" i="28"/>
  <c r="AC78" i="28"/>
  <c r="AC79" i="28"/>
  <c r="AC80" i="28"/>
  <c r="G75" i="28"/>
  <c r="H75" i="28"/>
  <c r="I75" i="28"/>
  <c r="J75" i="28"/>
  <c r="K75" i="28"/>
  <c r="L75" i="28"/>
  <c r="M75" i="28"/>
  <c r="N75" i="28"/>
  <c r="O75" i="28"/>
  <c r="P75" i="28"/>
  <c r="Q75" i="28"/>
  <c r="R75" i="28"/>
  <c r="S75" i="28"/>
  <c r="T75" i="28"/>
  <c r="U75" i="28"/>
  <c r="V75" i="28"/>
  <c r="W75" i="28"/>
  <c r="X75" i="28"/>
  <c r="Y75" i="28"/>
  <c r="Z75" i="28"/>
  <c r="AA75" i="28"/>
  <c r="AB75" i="28"/>
  <c r="G76" i="28"/>
  <c r="H76" i="28"/>
  <c r="I76" i="28"/>
  <c r="J76" i="28"/>
  <c r="K76" i="28"/>
  <c r="L76" i="28"/>
  <c r="M76" i="28"/>
  <c r="N76" i="28"/>
  <c r="O76" i="28"/>
  <c r="P76" i="28"/>
  <c r="Q76" i="28"/>
  <c r="R76" i="28"/>
  <c r="S76" i="28"/>
  <c r="T76" i="28"/>
  <c r="U76" i="28"/>
  <c r="V76" i="28"/>
  <c r="W76" i="28"/>
  <c r="X76" i="28"/>
  <c r="Y76" i="28"/>
  <c r="Z76" i="28"/>
  <c r="AA76" i="28"/>
  <c r="AB76" i="28"/>
  <c r="G77" i="28"/>
  <c r="H77" i="28"/>
  <c r="I77" i="28"/>
  <c r="J77" i="28"/>
  <c r="K77" i="28"/>
  <c r="L77" i="28"/>
  <c r="M77" i="28"/>
  <c r="N77" i="28"/>
  <c r="O77" i="28"/>
  <c r="P77" i="28"/>
  <c r="Q77" i="28"/>
  <c r="R77" i="28"/>
  <c r="S77" i="28"/>
  <c r="T77" i="28"/>
  <c r="U77" i="28"/>
  <c r="V77" i="28"/>
  <c r="W77" i="28"/>
  <c r="X77" i="28"/>
  <c r="Y77" i="28"/>
  <c r="Z77" i="28"/>
  <c r="AA77" i="28"/>
  <c r="AB77" i="28"/>
  <c r="G78" i="28"/>
  <c r="H78" i="28"/>
  <c r="I78" i="28"/>
  <c r="J78" i="28"/>
  <c r="K78" i="28"/>
  <c r="L78" i="28"/>
  <c r="M78" i="28"/>
  <c r="N78" i="28"/>
  <c r="O78" i="28"/>
  <c r="P78" i="28"/>
  <c r="Q78" i="28"/>
  <c r="R78" i="28"/>
  <c r="S78" i="28"/>
  <c r="T78" i="28"/>
  <c r="U78" i="28"/>
  <c r="V78" i="28"/>
  <c r="W78" i="28"/>
  <c r="X78" i="28"/>
  <c r="Y78" i="28"/>
  <c r="Z78" i="28"/>
  <c r="AA78" i="28"/>
  <c r="AB78" i="28"/>
  <c r="G79" i="28"/>
  <c r="H79" i="28"/>
  <c r="I79" i="28"/>
  <c r="J79" i="28"/>
  <c r="K79" i="28"/>
  <c r="L79" i="28"/>
  <c r="M79" i="28"/>
  <c r="N79" i="28"/>
  <c r="O79" i="28"/>
  <c r="P79" i="28"/>
  <c r="Q79" i="28"/>
  <c r="R79" i="28"/>
  <c r="S79" i="28"/>
  <c r="T79" i="28"/>
  <c r="U79" i="28"/>
  <c r="V79" i="28"/>
  <c r="W79" i="28"/>
  <c r="X79" i="28"/>
  <c r="Y79" i="28"/>
  <c r="Z79" i="28"/>
  <c r="AA79" i="28"/>
  <c r="AB79" i="28"/>
  <c r="G80" i="28"/>
  <c r="H80" i="28"/>
  <c r="I80" i="28"/>
  <c r="J80" i="28"/>
  <c r="K80" i="28"/>
  <c r="L80" i="28"/>
  <c r="M80" i="28"/>
  <c r="N80" i="28"/>
  <c r="O80" i="28"/>
  <c r="P80" i="28"/>
  <c r="Q80" i="28"/>
  <c r="R80" i="28"/>
  <c r="S80" i="28"/>
  <c r="T80" i="28"/>
  <c r="U80" i="28"/>
  <c r="V80" i="28"/>
  <c r="W80" i="28"/>
  <c r="X80" i="28"/>
  <c r="Y80" i="28"/>
  <c r="Z80" i="28"/>
  <c r="AA80" i="28"/>
  <c r="AB80" i="28"/>
  <c r="F80" i="28"/>
  <c r="F79" i="28"/>
  <c r="F78" i="28"/>
  <c r="F77" i="28"/>
  <c r="F76" i="28"/>
  <c r="F75" i="28"/>
  <c r="J18" i="1" l="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I23" i="1"/>
  <c r="I4" i="1"/>
  <c r="I17" i="18" l="1"/>
  <c r="F51" i="28" l="1"/>
  <c r="F52" i="28"/>
  <c r="F50" i="28"/>
  <c r="G28" i="28" l="1"/>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F26" i="28"/>
  <c r="G26" i="28"/>
  <c r="H26" i="28"/>
  <c r="I26" i="28"/>
  <c r="J26" i="28"/>
  <c r="K26" i="28"/>
  <c r="L26" i="28"/>
  <c r="M26" i="28"/>
  <c r="N26" i="28"/>
  <c r="O26" i="28"/>
  <c r="P26" i="28"/>
  <c r="Q26" i="28"/>
  <c r="R26" i="28"/>
  <c r="S26" i="28"/>
  <c r="T26" i="28"/>
  <c r="U26" i="28"/>
  <c r="V26" i="28"/>
  <c r="W26" i="28"/>
  <c r="X26" i="28"/>
  <c r="Y26" i="28"/>
  <c r="Z26" i="28"/>
  <c r="AA26" i="28"/>
  <c r="AB26" i="28"/>
  <c r="AC26" i="28"/>
  <c r="F27" i="28"/>
  <c r="G27" i="28"/>
  <c r="H27" i="28"/>
  <c r="I27" i="28"/>
  <c r="J27" i="28"/>
  <c r="K27" i="28"/>
  <c r="L27" i="28"/>
  <c r="M27" i="28"/>
  <c r="N27" i="28"/>
  <c r="O27" i="28"/>
  <c r="P27" i="28"/>
  <c r="Q27" i="28"/>
  <c r="R27" i="28"/>
  <c r="S27" i="28"/>
  <c r="T27" i="28"/>
  <c r="U27" i="28"/>
  <c r="V27" i="28"/>
  <c r="W27" i="28"/>
  <c r="X27" i="28"/>
  <c r="Y27" i="28"/>
  <c r="Z27" i="28"/>
  <c r="AA27" i="28"/>
  <c r="AB27" i="28"/>
  <c r="AC27" i="28"/>
  <c r="G25" i="28"/>
  <c r="H25" i="28"/>
  <c r="I25" i="28"/>
  <c r="J25" i="28"/>
  <c r="K25" i="28"/>
  <c r="L25" i="28"/>
  <c r="M25" i="28"/>
  <c r="N25" i="28"/>
  <c r="O25" i="28"/>
  <c r="P25" i="28"/>
  <c r="Q25" i="28"/>
  <c r="R25" i="28"/>
  <c r="S25" i="28"/>
  <c r="T25" i="28"/>
  <c r="U25" i="28"/>
  <c r="V25" i="28"/>
  <c r="W25" i="28"/>
  <c r="X25" i="28"/>
  <c r="Y25" i="28"/>
  <c r="Z25" i="28"/>
  <c r="AA25" i="28"/>
  <c r="AB25" i="28"/>
  <c r="AC25" i="28"/>
  <c r="F25" i="28"/>
  <c r="I18" i="18" l="1"/>
  <c r="I19" i="18"/>
  <c r="I20" i="18"/>
  <c r="I21" i="18"/>
  <c r="A1" i="14" l="1"/>
  <c r="A1" i="27"/>
  <c r="A1" i="22"/>
  <c r="AC65" i="28"/>
  <c r="AB65" i="28"/>
  <c r="AA65" i="28"/>
  <c r="Z65" i="28"/>
  <c r="Y65" i="28"/>
  <c r="X65" i="28"/>
  <c r="W65" i="28"/>
  <c r="V65" i="28"/>
  <c r="U65" i="28"/>
  <c r="T65" i="28"/>
  <c r="S65" i="28"/>
  <c r="R65" i="28"/>
  <c r="Q65" i="28"/>
  <c r="P65" i="28"/>
  <c r="O65" i="28"/>
  <c r="N65" i="28"/>
  <c r="M65" i="28"/>
  <c r="L65" i="28"/>
  <c r="K65" i="28"/>
  <c r="J65" i="28"/>
  <c r="I65" i="28"/>
  <c r="H65" i="28"/>
  <c r="G65" i="28"/>
  <c r="F65" i="28"/>
  <c r="AC64" i="28"/>
  <c r="AB64" i="28"/>
  <c r="AA64" i="28"/>
  <c r="Z64" i="28"/>
  <c r="Y64" i="28"/>
  <c r="X64" i="28"/>
  <c r="W64" i="28"/>
  <c r="V64" i="28"/>
  <c r="U64" i="28"/>
  <c r="T64" i="28"/>
  <c r="S64" i="28"/>
  <c r="R64" i="28"/>
  <c r="Q64" i="28"/>
  <c r="P64" i="28"/>
  <c r="O64" i="28"/>
  <c r="N64" i="28"/>
  <c r="M64" i="28"/>
  <c r="L64" i="28"/>
  <c r="K64" i="28"/>
  <c r="J64" i="28"/>
  <c r="I64" i="28"/>
  <c r="H64" i="28"/>
  <c r="G64" i="28"/>
  <c r="F64" i="28"/>
  <c r="B22" i="9"/>
  <c r="C14" i="9" s="1"/>
  <c r="G14" i="9" l="1"/>
  <c r="G12" i="9"/>
  <c r="C12" i="9"/>
  <c r="G10" i="9"/>
  <c r="C33" i="18"/>
  <c r="H33" i="18" s="1"/>
  <c r="C34" i="18"/>
  <c r="H34" i="18" s="1"/>
  <c r="C35" i="18"/>
  <c r="H35" i="18" s="1"/>
  <c r="C36" i="18"/>
  <c r="H36" i="18" s="1"/>
  <c r="C37" i="18"/>
  <c r="H37" i="18" s="1"/>
  <c r="C38" i="18"/>
  <c r="H38" i="18" s="1"/>
  <c r="C39" i="18"/>
  <c r="H39" i="18" s="1"/>
  <c r="C40" i="18"/>
  <c r="H40" i="18" s="1"/>
  <c r="C41" i="18"/>
  <c r="I41" i="18" s="1"/>
  <c r="C42" i="18"/>
  <c r="H42" i="18" s="1"/>
  <c r="C43" i="18"/>
  <c r="H43" i="18" s="1"/>
  <c r="C44" i="18"/>
  <c r="H44" i="18" s="1"/>
  <c r="C45" i="18"/>
  <c r="H45" i="18" s="1"/>
  <c r="C46" i="18"/>
  <c r="H46" i="18" s="1"/>
  <c r="C47" i="18"/>
  <c r="H47" i="18" s="1"/>
  <c r="C48" i="18"/>
  <c r="H48" i="18" s="1"/>
  <c r="C49" i="18"/>
  <c r="H49" i="18" s="1"/>
  <c r="C50" i="18"/>
  <c r="H50" i="18" s="1"/>
  <c r="C17" i="18"/>
  <c r="H17" i="18" s="1"/>
  <c r="C18" i="18"/>
  <c r="H18" i="18" s="1"/>
  <c r="C19" i="18"/>
  <c r="H19" i="18" s="1"/>
  <c r="C20" i="18"/>
  <c r="H20" i="18" s="1"/>
  <c r="C21" i="18"/>
  <c r="H21" i="18" s="1"/>
  <c r="C22" i="18"/>
  <c r="H22" i="18" s="1"/>
  <c r="C23" i="18"/>
  <c r="H23" i="18" s="1"/>
  <c r="C24" i="18"/>
  <c r="H24" i="18" s="1"/>
  <c r="C25" i="18"/>
  <c r="H25" i="18" s="1"/>
  <c r="C26" i="18"/>
  <c r="H26" i="18" s="1"/>
  <c r="C27" i="18"/>
  <c r="H27" i="18" s="1"/>
  <c r="C28" i="18"/>
  <c r="H28" i="18" s="1"/>
  <c r="C29" i="18"/>
  <c r="H29" i="18" s="1"/>
  <c r="C30" i="18"/>
  <c r="H30" i="18" s="1"/>
  <c r="C31" i="18"/>
  <c r="H31" i="18" s="1"/>
  <c r="C32" i="18"/>
  <c r="H32" i="18" s="1"/>
  <c r="C4" i="18"/>
  <c r="H4" i="18" s="1"/>
  <c r="C5" i="18"/>
  <c r="H5" i="18" s="1"/>
  <c r="C7" i="18"/>
  <c r="H7" i="18" s="1"/>
  <c r="C8" i="18"/>
  <c r="H8" i="18" s="1"/>
  <c r="C9" i="18"/>
  <c r="H9" i="18" s="1"/>
  <c r="C10" i="18"/>
  <c r="H10" i="18" s="1"/>
  <c r="C11" i="18"/>
  <c r="H11" i="18" s="1"/>
  <c r="C12" i="18"/>
  <c r="H12" i="18" s="1"/>
  <c r="C13" i="18"/>
  <c r="H13" i="18" s="1"/>
  <c r="C14" i="18"/>
  <c r="H14" i="18" s="1"/>
  <c r="C15" i="18"/>
  <c r="H15" i="18" s="1"/>
  <c r="C16" i="18"/>
  <c r="H16" i="18" s="1"/>
  <c r="A49" i="18"/>
  <c r="A50" i="18"/>
  <c r="A46" i="18"/>
  <c r="A47" i="18"/>
  <c r="A48" i="18"/>
  <c r="A16" i="18"/>
  <c r="A17" i="18"/>
  <c r="A31" i="18"/>
  <c r="A32" i="18"/>
  <c r="A33" i="18"/>
  <c r="A34" i="18"/>
  <c r="A35" i="18"/>
  <c r="A36" i="18"/>
  <c r="A37" i="18"/>
  <c r="A38" i="18"/>
  <c r="A39" i="18"/>
  <c r="A40" i="18"/>
  <c r="A41" i="18"/>
  <c r="A42" i="18"/>
  <c r="A43" i="18"/>
  <c r="A44" i="18"/>
  <c r="A45" i="18"/>
  <c r="C3" i="18"/>
  <c r="H3" i="18" s="1"/>
  <c r="H41" i="18" l="1"/>
  <c r="J33" i="1" l="1"/>
  <c r="K33" i="1"/>
  <c r="L33" i="1"/>
  <c r="M33" i="1"/>
  <c r="N33" i="1"/>
  <c r="O33" i="1"/>
  <c r="P33" i="1"/>
  <c r="Q33" i="1"/>
  <c r="R33" i="1"/>
  <c r="S33" i="1"/>
  <c r="T33" i="1"/>
  <c r="U33" i="1"/>
  <c r="V33" i="1"/>
  <c r="W33" i="1"/>
  <c r="X33" i="1"/>
  <c r="J34" i="1"/>
  <c r="K34" i="1"/>
  <c r="L34" i="1"/>
  <c r="M34" i="1"/>
  <c r="N34" i="1"/>
  <c r="O34" i="1"/>
  <c r="P34" i="1"/>
  <c r="Q34" i="1"/>
  <c r="R34" i="1"/>
  <c r="S34" i="1"/>
  <c r="T34" i="1"/>
  <c r="U34" i="1"/>
  <c r="V34" i="1"/>
  <c r="W34" i="1"/>
  <c r="X34" i="1"/>
  <c r="I34" i="1"/>
  <c r="X29" i="1"/>
  <c r="W29" i="1"/>
  <c r="V29" i="1"/>
  <c r="U29" i="1"/>
  <c r="T29" i="1"/>
  <c r="S29" i="1"/>
  <c r="R29" i="1"/>
  <c r="Q29" i="1"/>
  <c r="P29" i="1"/>
  <c r="O29" i="1"/>
  <c r="N29" i="1"/>
  <c r="M29" i="1"/>
  <c r="L29" i="1"/>
  <c r="K29" i="1"/>
  <c r="J29" i="1"/>
  <c r="I29" i="1"/>
  <c r="X28" i="1"/>
  <c r="W28" i="1"/>
  <c r="V28" i="1"/>
  <c r="U28" i="1"/>
  <c r="T28" i="1"/>
  <c r="S28" i="1"/>
  <c r="R28" i="1"/>
  <c r="Q28" i="1"/>
  <c r="P28" i="1"/>
  <c r="O28" i="1"/>
  <c r="N28" i="1"/>
  <c r="M28" i="1"/>
  <c r="L28" i="1"/>
  <c r="K28" i="1"/>
  <c r="J28" i="1"/>
  <c r="I28" i="1"/>
  <c r="X4" i="1"/>
  <c r="W4" i="1"/>
  <c r="V4" i="1"/>
  <c r="U4" i="1"/>
  <c r="T4" i="1"/>
  <c r="S4" i="1"/>
  <c r="R4" i="1"/>
  <c r="Q4" i="1"/>
  <c r="P4" i="1"/>
  <c r="O4" i="1"/>
  <c r="N4" i="1"/>
  <c r="M4" i="1"/>
  <c r="L4" i="1"/>
  <c r="K4" i="1"/>
  <c r="J4" i="1"/>
  <c r="X24" i="1" l="1"/>
  <c r="W24" i="1"/>
  <c r="V24" i="1"/>
  <c r="U24" i="1"/>
  <c r="T24" i="1"/>
  <c r="S24" i="1"/>
  <c r="R24" i="1"/>
  <c r="Q24" i="1"/>
  <c r="P24" i="1"/>
  <c r="O24" i="1"/>
  <c r="N24" i="1"/>
  <c r="M24" i="1"/>
  <c r="L24" i="1"/>
  <c r="K24" i="1"/>
  <c r="J24" i="1"/>
  <c r="I24" i="1"/>
  <c r="J23" i="1"/>
  <c r="K23" i="1"/>
  <c r="L23" i="1"/>
  <c r="M23" i="1"/>
  <c r="N23" i="1"/>
  <c r="O23" i="1"/>
  <c r="P23" i="1"/>
  <c r="Q23" i="1"/>
  <c r="R23" i="1"/>
  <c r="S23" i="1"/>
  <c r="T23" i="1"/>
  <c r="U23" i="1"/>
  <c r="V23" i="1"/>
  <c r="W23" i="1"/>
  <c r="X23" i="1"/>
  <c r="K8" i="13" l="1"/>
  <c r="K4" i="13"/>
  <c r="D9" i="32" s="1"/>
  <c r="F9" i="32" s="1"/>
  <c r="G9" i="32" s="1"/>
  <c r="K5" i="13"/>
  <c r="D10" i="32" s="1"/>
  <c r="F10" i="32" s="1"/>
  <c r="G10" i="32" s="1"/>
  <c r="K7" i="13"/>
  <c r="K9" i="13"/>
  <c r="K10" i="13"/>
  <c r="D15" i="32" s="1"/>
  <c r="F15" i="32" s="1"/>
  <c r="G15" i="32" s="1"/>
  <c r="K11" i="13"/>
  <c r="D16" i="32" s="1"/>
  <c r="F16" i="32" s="1"/>
  <c r="G16" i="32" s="1"/>
  <c r="K12" i="13"/>
  <c r="D17" i="32" s="1"/>
  <c r="F17" i="32" s="1"/>
  <c r="G17" i="32" s="1"/>
  <c r="K13" i="13"/>
  <c r="D18" i="32" s="1"/>
  <c r="F18" i="32" s="1"/>
  <c r="G18" i="32" s="1"/>
  <c r="K14" i="13"/>
  <c r="D19" i="32" s="1"/>
  <c r="F19" i="32" s="1"/>
  <c r="G19" i="32" s="1"/>
  <c r="K15" i="13"/>
  <c r="D20" i="32" s="1"/>
  <c r="F20" i="32" s="1"/>
  <c r="G20" i="32" s="1"/>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D47" i="32" s="1"/>
  <c r="F47" i="32" s="1"/>
  <c r="G47" i="32" s="1"/>
  <c r="K43" i="13"/>
  <c r="K44" i="13"/>
  <c r="D49" i="32" s="1"/>
  <c r="F49" i="32" s="1"/>
  <c r="G49" i="32" s="1"/>
  <c r="K45" i="13"/>
  <c r="D50" i="32" s="1"/>
  <c r="F50" i="32" s="1"/>
  <c r="G50" i="32" s="1"/>
  <c r="K46" i="13"/>
  <c r="D51" i="32" s="1"/>
  <c r="F51" i="32" s="1"/>
  <c r="G51" i="32" s="1"/>
  <c r="K47" i="13"/>
  <c r="D52" i="32" s="1"/>
  <c r="F52" i="32" s="1"/>
  <c r="G52" i="32" s="1"/>
  <c r="K48" i="13"/>
  <c r="D53" i="32" s="1"/>
  <c r="F53" i="32" s="1"/>
  <c r="G53" i="32" s="1"/>
  <c r="K49" i="13"/>
  <c r="D54" i="32" s="1"/>
  <c r="F54" i="32" s="1"/>
  <c r="G54" i="32" s="1"/>
  <c r="K50" i="13"/>
  <c r="D55" i="32" s="1"/>
  <c r="F55" i="32" s="1"/>
  <c r="G55" i="32" s="1"/>
  <c r="K3" i="13"/>
  <c r="D8" i="32" s="1"/>
  <c r="F8" i="32" s="1"/>
  <c r="H51" i="13"/>
  <c r="F56" i="32" l="1"/>
  <c r="B59" i="32" s="1"/>
  <c r="G62" i="32" a="1"/>
  <c r="G62" i="32" s="1"/>
  <c r="C64" i="13"/>
  <c r="Q30" i="13"/>
  <c r="Q35" i="13"/>
  <c r="Q38" i="13"/>
  <c r="Q29" i="13"/>
  <c r="Q31" i="13"/>
  <c r="Q33" i="13"/>
  <c r="Q36" i="13"/>
  <c r="Q39" i="13"/>
  <c r="Q32" i="13"/>
  <c r="Q34" i="13"/>
  <c r="Q37" i="13"/>
  <c r="G8" i="32"/>
  <c r="B39" i="18"/>
  <c r="B16" i="18"/>
  <c r="G16" i="18" s="1"/>
  <c r="J16" i="18" s="1"/>
  <c r="B47" i="18"/>
  <c r="G47" i="18" s="1"/>
  <c r="J47" i="18" s="1"/>
  <c r="B25" i="18"/>
  <c r="B46" i="18"/>
  <c r="G46" i="18" s="1"/>
  <c r="J46" i="18" s="1"/>
  <c r="B24" i="18"/>
  <c r="I24" i="18" s="1"/>
  <c r="B45" i="18"/>
  <c r="G45" i="18" s="1"/>
  <c r="J45" i="18" s="1"/>
  <c r="B23" i="18"/>
  <c r="B44" i="18"/>
  <c r="G44" i="18" s="1"/>
  <c r="J44" i="18" s="1"/>
  <c r="B22" i="18"/>
  <c r="I22" i="18" s="1"/>
  <c r="B43" i="18"/>
  <c r="G43" i="18" s="1"/>
  <c r="J43" i="18" s="1"/>
  <c r="B21" i="18"/>
  <c r="G21" i="18" s="1"/>
  <c r="J21" i="18" s="1"/>
  <c r="B42" i="18"/>
  <c r="G42" i="18" s="1"/>
  <c r="J42" i="18" s="1"/>
  <c r="B20" i="18"/>
  <c r="G20" i="18" s="1"/>
  <c r="J20" i="18" s="1"/>
  <c r="B41" i="18"/>
  <c r="B19" i="18"/>
  <c r="G19" i="18" s="1"/>
  <c r="J19" i="18" s="1"/>
  <c r="B40" i="18"/>
  <c r="B18" i="18"/>
  <c r="G18" i="18" s="1"/>
  <c r="J18" i="18" s="1"/>
  <c r="B17" i="18"/>
  <c r="G17" i="18" s="1"/>
  <c r="J17" i="18" s="1"/>
  <c r="B38" i="18"/>
  <c r="B37" i="18"/>
  <c r="I37" i="18" s="1"/>
  <c r="B15" i="18"/>
  <c r="G15" i="18" s="1"/>
  <c r="J15" i="18" s="1"/>
  <c r="B36" i="18"/>
  <c r="B14" i="18"/>
  <c r="G14" i="18" s="1"/>
  <c r="J14" i="18" s="1"/>
  <c r="B35" i="18"/>
  <c r="B13" i="18"/>
  <c r="G13" i="18" s="1"/>
  <c r="J13" i="18" s="1"/>
  <c r="B34" i="18"/>
  <c r="B12" i="18"/>
  <c r="G12" i="18" s="1"/>
  <c r="J12" i="18" s="1"/>
  <c r="B33" i="18"/>
  <c r="B11" i="18"/>
  <c r="G11" i="18" s="1"/>
  <c r="J11" i="18" s="1"/>
  <c r="B32" i="18"/>
  <c r="B10" i="18"/>
  <c r="G10" i="18" s="1"/>
  <c r="J10" i="18" s="1"/>
  <c r="B31" i="18"/>
  <c r="B9" i="18"/>
  <c r="G9" i="18" s="1"/>
  <c r="J9" i="18" s="1"/>
  <c r="G19" i="13"/>
  <c r="G26" i="13"/>
  <c r="G21" i="13"/>
  <c r="G50" i="13"/>
  <c r="G49" i="13"/>
  <c r="G48" i="13"/>
  <c r="G24" i="13"/>
  <c r="G47" i="13"/>
  <c r="G3" i="13"/>
  <c r="G42" i="13"/>
  <c r="G46" i="13"/>
  <c r="G4" i="13"/>
  <c r="G41" i="13"/>
  <c r="G45" i="13"/>
  <c r="G5" i="13"/>
  <c r="G40" i="13"/>
  <c r="G43" i="13"/>
  <c r="G7" i="13"/>
  <c r="G8" i="13"/>
  <c r="G36" i="13"/>
  <c r="G10" i="13"/>
  <c r="G34" i="13"/>
  <c r="G12" i="13"/>
  <c r="G32" i="13"/>
  <c r="G14" i="13"/>
  <c r="G16" i="13"/>
  <c r="G29" i="13"/>
  <c r="G17" i="13"/>
  <c r="G28" i="13"/>
  <c r="G20" i="13"/>
  <c r="G25" i="13"/>
  <c r="G23" i="13"/>
  <c r="G44" i="13"/>
  <c r="G39" i="13"/>
  <c r="G38" i="13"/>
  <c r="G37" i="13"/>
  <c r="G9" i="13"/>
  <c r="G35" i="13"/>
  <c r="G11" i="13"/>
  <c r="G33" i="13"/>
  <c r="G13" i="13"/>
  <c r="G31" i="13"/>
  <c r="B23" i="9"/>
  <c r="G18" i="13"/>
  <c r="G22" i="13"/>
  <c r="G30" i="13"/>
  <c r="G27" i="13"/>
  <c r="G15" i="13"/>
  <c r="B30" i="18"/>
  <c r="B7" i="18"/>
  <c r="G7" i="18" s="1"/>
  <c r="J7" i="18" s="1"/>
  <c r="K51" i="13"/>
  <c r="B3" i="18"/>
  <c r="G3" i="18" s="1"/>
  <c r="J3" i="18" s="1"/>
  <c r="B29" i="18"/>
  <c r="B50" i="18"/>
  <c r="I50" i="18" s="1"/>
  <c r="B28" i="18"/>
  <c r="B5" i="18"/>
  <c r="G5" i="18" s="1"/>
  <c r="J5" i="18" s="1"/>
  <c r="B49" i="18"/>
  <c r="G49" i="18" s="1"/>
  <c r="J49" i="18" s="1"/>
  <c r="B27" i="18"/>
  <c r="B4" i="18"/>
  <c r="G4" i="18" s="1"/>
  <c r="J4" i="18" s="1"/>
  <c r="B48" i="18"/>
  <c r="G48" i="18" s="1"/>
  <c r="J48" i="18" s="1"/>
  <c r="B26" i="18"/>
  <c r="B8" i="18"/>
  <c r="G8" i="18" s="1"/>
  <c r="J8" i="18" s="1"/>
  <c r="AB4" i="21"/>
  <c r="AB5" i="21"/>
  <c r="AB6" i="21"/>
  <c r="AB7" i="21"/>
  <c r="AB8" i="21"/>
  <c r="F82" i="32" l="1"/>
  <c r="C74" i="32"/>
  <c r="D74" i="32" s="1"/>
  <c r="E74" i="32" s="1"/>
  <c r="C75" i="32"/>
  <c r="D75" i="32" s="1"/>
  <c r="E75" i="32" s="1"/>
  <c r="C76" i="32"/>
  <c r="D76" i="32" s="1"/>
  <c r="E76" i="32" s="1"/>
  <c r="C77" i="32"/>
  <c r="D77" i="32" s="1"/>
  <c r="E77" i="32" s="1"/>
  <c r="C78" i="32"/>
  <c r="D78" i="32" s="1"/>
  <c r="E78" i="32" s="1"/>
  <c r="F76" i="32"/>
  <c r="C68" i="32"/>
  <c r="D68" i="32" s="1"/>
  <c r="E68" i="32" s="1"/>
  <c r="F77" i="32"/>
  <c r="C69" i="32"/>
  <c r="D69" i="32" s="1"/>
  <c r="E69" i="32" s="1"/>
  <c r="F78" i="32"/>
  <c r="C70" i="32"/>
  <c r="D70" i="32" s="1"/>
  <c r="E70" i="32" s="1"/>
  <c r="F79" i="32"/>
  <c r="C71" i="32"/>
  <c r="D71" i="32" s="1"/>
  <c r="E71" i="32" s="1"/>
  <c r="F80" i="32"/>
  <c r="C72" i="32"/>
  <c r="D72" i="32" s="1"/>
  <c r="E72" i="32" s="1"/>
  <c r="F81" i="32"/>
  <c r="C73" i="32"/>
  <c r="D73" i="32" s="1"/>
  <c r="E73" i="32" s="1"/>
  <c r="C79" i="32"/>
  <c r="D79" i="32" s="1"/>
  <c r="E79" i="32" s="1"/>
  <c r="C80" i="32"/>
  <c r="D80" i="32" s="1"/>
  <c r="E80" i="32" s="1"/>
  <c r="F68" i="32"/>
  <c r="C82" i="32"/>
  <c r="D82" i="32" s="1"/>
  <c r="E82" i="32" s="1"/>
  <c r="F70" i="32"/>
  <c r="F71" i="32"/>
  <c r="F67" i="32"/>
  <c r="F72" i="32"/>
  <c r="C67" i="32"/>
  <c r="D67" i="32" s="1"/>
  <c r="E67" i="32" s="1"/>
  <c r="F74" i="32"/>
  <c r="C81" i="32"/>
  <c r="D81" i="32" s="1"/>
  <c r="E81" i="32" s="1"/>
  <c r="F69" i="32"/>
  <c r="F73" i="32"/>
  <c r="F75" i="32"/>
  <c r="G37" i="18"/>
  <c r="J37" i="18" s="1"/>
  <c r="G50" i="18"/>
  <c r="G38" i="18"/>
  <c r="I38" i="18"/>
  <c r="G40" i="18"/>
  <c r="I40" i="18"/>
  <c r="G28" i="18"/>
  <c r="I28" i="18"/>
  <c r="G34" i="18"/>
  <c r="I34" i="18"/>
  <c r="G29" i="18"/>
  <c r="I29" i="18"/>
  <c r="G33" i="18"/>
  <c r="I33" i="18"/>
  <c r="G24" i="18"/>
  <c r="J24" i="18" s="1"/>
  <c r="G30" i="18"/>
  <c r="I30" i="18"/>
  <c r="G22" i="18"/>
  <c r="J22" i="18" s="1"/>
  <c r="G23" i="18"/>
  <c r="I23" i="18"/>
  <c r="G25" i="18"/>
  <c r="I25" i="18"/>
  <c r="G35" i="18"/>
  <c r="I35" i="18"/>
  <c r="G31" i="18"/>
  <c r="I31" i="18"/>
  <c r="G32" i="18"/>
  <c r="I32" i="18"/>
  <c r="G26" i="18"/>
  <c r="I26" i="18"/>
  <c r="G27" i="18"/>
  <c r="I27" i="18"/>
  <c r="G39" i="18"/>
  <c r="I39" i="18"/>
  <c r="G36" i="18"/>
  <c r="I36" i="18"/>
  <c r="G41" i="18"/>
  <c r="J41" i="18" s="1"/>
  <c r="G15" i="9"/>
  <c r="C13" i="9"/>
  <c r="G13" i="9" s="1"/>
  <c r="G17" i="9" s="1"/>
  <c r="B3" i="9" s="1"/>
  <c r="C11" i="9"/>
  <c r="G11" i="9" s="1"/>
  <c r="F93" i="29"/>
  <c r="F87" i="29"/>
  <c r="F88" i="29"/>
  <c r="F89" i="29"/>
  <c r="F90" i="29"/>
  <c r="F91" i="29"/>
  <c r="F92" i="29"/>
  <c r="F94" i="29"/>
  <c r="F95" i="29"/>
  <c r="F86" i="29"/>
  <c r="B145" i="29"/>
  <c r="G71" i="32" l="1"/>
  <c r="I71" i="32" s="1"/>
  <c r="G72" i="32"/>
  <c r="I72" i="32" s="1"/>
  <c r="G67" i="32"/>
  <c r="I67" i="32" s="1"/>
  <c r="G77" i="32"/>
  <c r="I77" i="32" s="1"/>
  <c r="J23" i="18"/>
  <c r="G79" i="32"/>
  <c r="I79" i="32" s="1"/>
  <c r="G80" i="32"/>
  <c r="I80" i="32" s="1"/>
  <c r="G73" i="32"/>
  <c r="I73" i="32" s="1"/>
  <c r="J33" i="18"/>
  <c r="G69" i="32"/>
  <c r="I69" i="32" s="1"/>
  <c r="J36" i="18"/>
  <c r="G76" i="32"/>
  <c r="I76" i="32" s="1"/>
  <c r="G78" i="32"/>
  <c r="I78" i="32" s="1"/>
  <c r="G82" i="32"/>
  <c r="I82" i="32" s="1"/>
  <c r="J32" i="18"/>
  <c r="J40" i="18"/>
  <c r="J25" i="18"/>
  <c r="G68" i="32"/>
  <c r="I68" i="32" s="1"/>
  <c r="J27" i="18"/>
  <c r="J28" i="18"/>
  <c r="J31" i="18"/>
  <c r="G81" i="32"/>
  <c r="I81" i="32" s="1"/>
  <c r="J34" i="18"/>
  <c r="J38" i="18"/>
  <c r="J39" i="18"/>
  <c r="J29" i="18"/>
  <c r="J26" i="18"/>
  <c r="G70" i="32"/>
  <c r="I70" i="32" s="1"/>
  <c r="J35" i="18"/>
  <c r="J30" i="18"/>
  <c r="G75" i="32"/>
  <c r="I75" i="32" s="1"/>
  <c r="G74" i="32"/>
  <c r="I74" i="32" s="1"/>
  <c r="J50" i="18"/>
  <c r="G16" i="9"/>
  <c r="A3" i="9" s="1"/>
  <c r="C3" i="9" s="1"/>
  <c r="F96" i="29"/>
  <c r="G18" i="9" l="1"/>
  <c r="C145" i="29"/>
  <c r="K145" i="29"/>
  <c r="L145" i="29"/>
  <c r="M145" i="29"/>
  <c r="F145" i="29"/>
  <c r="G145" i="29"/>
  <c r="I145" i="29"/>
  <c r="D145" i="29"/>
  <c r="A122" i="29"/>
  <c r="A123" i="29" s="1"/>
  <c r="A124" i="29" s="1"/>
  <c r="A125" i="29" s="1"/>
  <c r="A126" i="29" s="1"/>
  <c r="A127" i="29" s="1"/>
  <c r="A128" i="29" s="1"/>
  <c r="A129" i="29" s="1"/>
  <c r="A130" i="29" s="1"/>
  <c r="A131" i="29" s="1"/>
  <c r="A132" i="29" s="1"/>
  <c r="A133" i="29" s="1"/>
  <c r="A134" i="29" s="1"/>
  <c r="A135" i="29" s="1"/>
  <c r="A136" i="29" s="1"/>
  <c r="A137" i="29" s="1"/>
  <c r="A138" i="29" s="1"/>
  <c r="A139" i="29" s="1"/>
  <c r="A140" i="29" s="1"/>
  <c r="A141" i="29" s="1"/>
  <c r="A142" i="29" s="1"/>
  <c r="A143" i="29" s="1"/>
  <c r="A144" i="29" s="1"/>
  <c r="C102" i="29" l="1"/>
  <c r="E102" i="29"/>
  <c r="L102" i="29" s="1"/>
  <c r="M146" i="29"/>
  <c r="D102" i="29"/>
  <c r="K102" i="29" s="1"/>
  <c r="G6" i="13" l="1"/>
  <c r="G51"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<sst xmlns="http://schemas.openxmlformats.org/spreadsheetml/2006/main" count="2142" uniqueCount="937">
  <si>
    <t>Data Sources</t>
  </si>
  <si>
    <t>Dataset</t>
  </si>
  <si>
    <t>Dodge 2023</t>
  </si>
  <si>
    <r>
      <t>Commercial End-Use Survey</t>
    </r>
    <r>
      <rPr>
        <sz val="10"/>
        <rFont val="Arial"/>
        <family val="2"/>
      </rPr>
      <t xml:space="preserve"> (CEUS) 2022</t>
    </r>
  </si>
  <si>
    <t>https://www.energy.ca.gov/publications/2023/2022-california-commercial-end-use-survey-ceus-final-report</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</si>
  <si>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</si>
  <si>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</si>
  <si>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</si>
  <si>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</si>
  <si>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</si>
  <si>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t xml:space="preserve">Pacific Northwest National Laboratory </t>
    </r>
    <r>
      <rPr>
        <sz val="10"/>
        <color rgb="FF000000"/>
        <rFont val="Arial"/>
        <family val="2"/>
      </rPr>
      <t>(PNNL) Large Hotel prototype (ASHRAE 90.1-2022)</t>
    </r>
  </si>
  <si>
    <t>https://www.energycodes.gov/prototype-building-models#Commercial</t>
  </si>
  <si>
    <t xml:space="preserve"> </t>
  </si>
  <si>
    <r>
      <t>Database for Energy Efficient Resources</t>
    </r>
    <r>
      <rPr>
        <sz val="10"/>
        <color rgb="FF000000"/>
        <rFont val="Arial"/>
        <family val="2"/>
      </rPr>
      <t xml:space="preserve"> (DEER)  Hotel prototype (June 2024)</t>
    </r>
  </si>
  <si>
    <t>https://github.com/sound-data/DEER-Prototypes-EnergyPlus</t>
  </si>
  <si>
    <r>
      <t>California Energy Commission</t>
    </r>
    <r>
      <rPr>
        <sz val="10"/>
        <color rgb="FF000000"/>
        <rFont val="Arial"/>
        <family val="2"/>
      </rPr>
      <t xml:space="preserve"> (CEC) Small Hotel prototype</t>
    </r>
    <r>
      <rPr>
        <sz val="10"/>
        <rFont val="Arial"/>
        <family val="2"/>
      </rPr>
      <t xml:space="preserve"> (CBECC 2022.3.1)</t>
    </r>
  </si>
  <si>
    <t>https://bees.noresco.com/software2022.html</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</si>
  <si>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</si>
  <si>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</si>
  <si>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</si>
  <si>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</si>
  <si>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</si>
  <si>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</si>
  <si>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</si>
  <si>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t xml:space="preserve">Code of Federal Regulations </t>
    </r>
    <r>
      <rPr>
        <sz val="10"/>
        <color rgb="FF000000"/>
        <rFont val="Arial"/>
        <family val="2"/>
      </rPr>
      <t>(CFR) Title 10 (2009)</t>
    </r>
  </si>
  <si>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</si>
  <si>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</si>
  <si>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</si>
  <si>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</si>
  <si>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</si>
  <si>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</si>
  <si>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</si>
  <si>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</si>
  <si>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</si>
  <si>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</si>
  <si>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t xml:space="preserve">Nonres ACM 2022, </t>
    </r>
    <r>
      <rPr>
        <sz val="10"/>
        <color rgb="FF000000"/>
        <rFont val="Arial"/>
        <family val="2"/>
      </rPr>
      <t>Appendix 5.4A and Appendix 5.4B</t>
    </r>
  </si>
  <si>
    <r>
      <t xml:space="preserve">2022 Reduced infiltration </t>
    </r>
    <r>
      <rPr>
        <sz val="10"/>
        <color rgb="FF000000"/>
        <rFont val="Arial"/>
        <family val="2"/>
      </rPr>
      <t xml:space="preserve">Codes and Standards Enhancement </t>
    </r>
    <r>
      <rPr>
        <sz val="10"/>
        <color rgb="FF000000"/>
        <rFont val="Arial"/>
        <family val="2"/>
      </rPr>
      <t xml:space="preserve">(CASE) report </t>
    </r>
  </si>
  <si>
    <t>https://title24stakeholders.com/wp-content/uploads/2020/10/2022-T24-Final-CASE-Report_Reduce-Infiltration.pdf</t>
  </si>
  <si>
    <t>Honeywell, INNCOM e7 Thermostat User Guide, 2017</t>
  </si>
  <si>
    <t>https://prod-edam.honeywell.com/content/dam/honeywell-edam/hbt/en-us/documents/manuals-and-guides/installation-guides/inncom/hbt-bms-INNCOM-e7-USER-GUIDE.pdf?download=false</t>
  </si>
  <si>
    <t>2019 Outdoor Lighting CASE Report</t>
  </si>
  <si>
    <t>https://title24stakeholders.com/wp-content/uploads/2016/10/T24-2019-CASE-Study-Results-Report-Outdoor-Sources_Final_with-Attachments.pdf</t>
  </si>
  <si>
    <t>2025 State of the Industry Report</t>
  </si>
  <si>
    <t>https://www.ahla.com/sites/default/files/25_SOTI.pdf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</si>
  <si>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</si>
  <si>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</si>
  <si>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</si>
  <si>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</si>
  <si>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</si>
  <si>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</si>
  <si>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</si>
  <si>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</si>
  <si>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</si>
  <si>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</si>
  <si>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</si>
  <si>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</si>
  <si>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</si>
  <si>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</si>
  <si>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</si>
  <si>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Notes</t>
  </si>
  <si>
    <t>HotelSmall</t>
  </si>
  <si>
    <t>The HotelSmall prototype was developed to represent California small hotels with floor areas below 60,000 ft², regardless of the number of stories. 
According to Dodge (2023), the average small hotel in California is described as a 3‑story building with a total floor area of about 26,000 ft². In comparison, the CEC and PNNL small hotel prototype is characterized as a 4‑story building with a total floor area of 43,200 ft² and a 10,800‑ft² footprint. Because the CEC and PNNL prototype is considered well established and has defined zoning, it is selected as the basis for the model and modified by removing one floor. With this modification, the geometry aligns more closely with findings from the California building stock assessment.</t>
  </si>
  <si>
    <t>"NUMPRO=1" refers to Dodge records with only one building per record, while "All extended" includes all the records.</t>
  </si>
  <si>
    <t xml:space="preserve">Source:Dodge Construction Data, 2023 ( NEW Hotels above 60,000 sf built after 1967) (STC refers to building types in Dodge terminology). </t>
  </si>
  <si>
    <t>EIA, 2018 CBECS</t>
  </si>
  <si>
    <t>Approximately 42% of lodging buildings were between 1,001 ft² and 10,000 ft². On average, lodging buildings were among the largest commercial building types (33,700 ft² per building). More than one-half (56%) of lodging buildings were on a campus or complex. The majority of lodging buildings were not tall—only 2% of lodging buildings had 10 or more floors. Buildings that had one or two floors accounted for 71% of all lodging buildings.</t>
  </si>
  <si>
    <t>NORESCO, Updated September 2026</t>
  </si>
  <si>
    <t>Characteristic</t>
  </si>
  <si>
    <t>Value</t>
  </si>
  <si>
    <t>Building Type</t>
  </si>
  <si>
    <t>Small Hotel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</si>
  <si>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</si>
  <si>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</si>
  <si>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</si>
  <si>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</si>
  <si>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</si>
  <si>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</si>
  <si>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</si>
  <si>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</si>
  <si>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Same as CEC and PNNL, except CalBEM is three stories whereas CEC and PNNL have four stories. </t>
    </r>
    <r>
      <rPr>
        <sz val="10"/>
        <color rgb="FF000000"/>
        <rFont val="Arial"/>
        <family val="2"/>
      </rPr>
      <t xml:space="preserve">Number of stories, are supported by Dodge 2023 data </t>
    </r>
  </si>
  <si>
    <t>Total Floor Area (ft²)</t>
  </si>
  <si>
    <t>32,400 (180 ft x 60 ft)</t>
  </si>
  <si>
    <t>Footprint same as CEC and PNNL, but total floor area was adjusted based on Dodge 2023 data</t>
  </si>
  <si>
    <t>Aspect Ratio</t>
  </si>
  <si>
    <t>Assumption: same as CEC and PNNL</t>
  </si>
  <si>
    <t>Number of Floors</t>
  </si>
  <si>
    <r>
      <t>Based on Dodge 2023 data (</t>
    </r>
    <r>
      <rPr>
        <sz val="10"/>
        <color rgb="FF000000"/>
        <rFont val="Arial"/>
        <family val="2"/>
      </rPr>
      <t>Average</t>
    </r>
    <r>
      <rPr>
        <sz val="10"/>
        <color theme="1"/>
        <rFont val="Arial"/>
        <family val="2"/>
      </rPr>
      <t xml:space="preserve"> number of stories)</t>
    </r>
  </si>
  <si>
    <t>Number of Guestrooms</t>
  </si>
  <si>
    <t>53 (accounting for about 58% of the total floor area)</t>
  </si>
  <si>
    <t>Roof type</t>
  </si>
  <si>
    <t>Flat Wood-Framed Roof for Guest rooms of Hotel/Motel</t>
  </si>
  <si>
    <t>Based on typical small hotel structure</t>
  </si>
  <si>
    <t>WWR</t>
  </si>
  <si>
    <r>
      <t xml:space="preserve">South: 15.2%, East: 3.1%, North: 11.4%, West: 4.0%
Average Total: 10.9%
</t>
    </r>
    <r>
      <rPr>
        <sz val="10"/>
        <color rgb="FF000000"/>
        <rFont val="Arial"/>
        <family val="2"/>
      </rPr>
      <t>Size of the guest room windows: 3.7 ft × 4.7 ft</t>
    </r>
  </si>
  <si>
    <t>Shading Geometry</t>
  </si>
  <si>
    <t xml:space="preserve">No Shades </t>
  </si>
  <si>
    <t>Floor to floor height (ft)</t>
  </si>
  <si>
    <t>Ground floor: 11 ft 
Upper floors:  9 ft</t>
  </si>
  <si>
    <r>
      <rPr>
        <sz val="10"/>
        <color rgb="FF000000"/>
        <rFont val="Arial"/>
        <family val="2"/>
      </rPr>
      <t xml:space="preserve">Typical small hotel's height, </t>
    </r>
    <r>
      <rPr>
        <sz val="10"/>
        <color theme="1"/>
        <rFont val="Arial"/>
        <family val="2"/>
      </rPr>
      <t>also same as CEC and PNNL</t>
    </r>
  </si>
  <si>
    <t>Floor to ceiling height (ft)</t>
  </si>
  <si>
    <t>Same as above</t>
  </si>
  <si>
    <t>Glazing sill height (ft)</t>
  </si>
  <si>
    <t>3 ft in ground floor, 2 ft. in upper floors</t>
  </si>
  <si>
    <t>Proposed Layout - HotelSmall</t>
  </si>
  <si>
    <t>N</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</si>
  <si>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</si>
  <si>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</si>
  <si>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</si>
  <si>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Zone</t>
  </si>
  <si>
    <t>Schedule Category</t>
  </si>
  <si>
    <t>Conditioned [Y/N]</t>
  </si>
  <si>
    <t>Area Fraction</t>
  </si>
  <si>
    <t>Area (ft²)</t>
  </si>
  <si>
    <t>Volume
 [ft³]</t>
  </si>
  <si>
    <t>Multipliers</t>
  </si>
  <si>
    <t>People</t>
  </si>
  <si>
    <t xml:space="preserve">People 
(Persons/1,000 ft²)
[T24, 2025,Table 120.1-A] </t>
  </si>
  <si>
    <t>Corridor_FloorG</t>
  </si>
  <si>
    <t>Corridor Area</t>
  </si>
  <si>
    <t>BaseAirSys5</t>
  </si>
  <si>
    <t>ResidentialCommon</t>
  </si>
  <si>
    <t>Yes</t>
  </si>
  <si>
    <t>Corridor_FloorM</t>
  </si>
  <si>
    <t>BaseAirSys5-2</t>
  </si>
  <si>
    <t>Corridor_FloorT</t>
  </si>
  <si>
    <t>BaseAirSys5-3</t>
  </si>
  <si>
    <t>Gym_FloorG</t>
  </si>
  <si>
    <t>Exercise/Fitness Center and Gymnasium Areas</t>
  </si>
  <si>
    <t>Assembly</t>
  </si>
  <si>
    <t>Front_Lounge_FloorG</t>
  </si>
  <si>
    <t>Lounge, Breakroom, or Waiting Area</t>
  </si>
  <si>
    <t>NonRes ACM 2005, 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</si>
  <si>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Front_Office_FloorG</t>
  </si>
  <si>
    <t>Office Area (&gt;250 square feet)</t>
  </si>
  <si>
    <t>Office</t>
  </si>
  <si>
    <t>Front_Stair_FloorG</t>
  </si>
  <si>
    <t>Stairwell</t>
  </si>
  <si>
    <t>Ground floor (FloorG)</t>
  </si>
  <si>
    <t>Front_Stair_FloorM</t>
  </si>
  <si>
    <t>Front_Stair_FloorT</t>
  </si>
  <si>
    <t>Front_Storage_FloorG</t>
  </si>
  <si>
    <t>Storage (General)</t>
  </si>
  <si>
    <t>Front_Storage_FloorM</t>
  </si>
  <si>
    <t>Front_Storage_FloorT</t>
  </si>
  <si>
    <t>GuestRoom_1_FloorG</t>
  </si>
  <si>
    <t>Hotel/Motel Guest Room</t>
  </si>
  <si>
    <t>BaseZnSys1</t>
  </si>
  <si>
    <t>ResidentialLiving</t>
  </si>
  <si>
    <t>GuestRoom_2_FloorG</t>
  </si>
  <si>
    <t>BaseZnSys1-2</t>
  </si>
  <si>
    <t>GuestRoom_3_FloorG</t>
  </si>
  <si>
    <t>BaseZnSys1-3</t>
  </si>
  <si>
    <t>GuestRoom_4_FloorG</t>
  </si>
  <si>
    <t>BaseZnSys1-4</t>
  </si>
  <si>
    <t>GuestRoom_5_FloorG</t>
  </si>
  <si>
    <t>BaseZnSys1-5</t>
  </si>
  <si>
    <t>GuestRoom_1_FloorM</t>
  </si>
  <si>
    <t>BaseZnSys1-6</t>
  </si>
  <si>
    <t>GuestRoom_2_5_FloorM</t>
  </si>
  <si>
    <t>BaseZnSys1-7</t>
  </si>
  <si>
    <t>GuestRoom_6_8_FloorM</t>
  </si>
  <si>
    <t>BaseZnSys1-8</t>
  </si>
  <si>
    <t>GuestRoom_9_12_FloorM</t>
  </si>
  <si>
    <t>BaseZnSys1-9</t>
  </si>
  <si>
    <t>GuestRoom_13_FloorM</t>
  </si>
  <si>
    <t>BaseZnSys1-10</t>
  </si>
  <si>
    <t>Middle floor and top floor (FloorM, FloorT)</t>
  </si>
  <si>
    <t>GuestRoom_14_FloorM</t>
  </si>
  <si>
    <t>BaseZnSys1-11</t>
  </si>
  <si>
    <t>GuestRoom_15_18_FloorM</t>
  </si>
  <si>
    <t>BaseZnSys1-12</t>
  </si>
  <si>
    <t>GuestRoom_19_FloorM</t>
  </si>
  <si>
    <t>BaseZnSys1-13</t>
  </si>
  <si>
    <t>Space</t>
  </si>
  <si>
    <r>
      <t>Floor area (ft</t>
    </r>
    <r>
      <rPr>
        <vertAlign val="superscript"/>
        <sz val="10"/>
        <color theme="1"/>
        <rFont val="Arial"/>
        <family val="2"/>
      </rPr>
      <t>2</t>
    </r>
    <r>
      <rPr>
        <b/>
        <sz val="10"/>
        <color theme="1"/>
        <rFont val="Arial"/>
        <family val="2"/>
      </rPr>
      <t>)</t>
    </r>
  </si>
  <si>
    <t>Fraction</t>
  </si>
  <si>
    <t>GuestRoom_20_23_FloorM</t>
  </si>
  <si>
    <t>BaseZnSys1-14</t>
  </si>
  <si>
    <t>Guest Room</t>
  </si>
  <si>
    <t>GuestRoom_24_FloorM</t>
  </si>
  <si>
    <t>BaseZnSys1-15</t>
  </si>
  <si>
    <t>Lounge</t>
  </si>
  <si>
    <t>GuestRoom_1_FloorT</t>
  </si>
  <si>
    <t>BaseZnSys1-16</t>
  </si>
  <si>
    <t>Corridor</t>
  </si>
  <si>
    <t>GuestRoom_2_5_FloorT</t>
  </si>
  <si>
    <t>BaseZnSys1-17</t>
  </si>
  <si>
    <t>GuestRoom_6_8_FloorT</t>
  </si>
  <si>
    <t>BaseZnSys1-18</t>
  </si>
  <si>
    <t>Exercise/Gym</t>
  </si>
  <si>
    <t>GuestRoom_9_12_FloorT</t>
  </si>
  <si>
    <t>BaseZnSys1-19</t>
  </si>
  <si>
    <t>Conference</t>
  </si>
  <si>
    <t>GuestRoom_13_FloorT</t>
  </si>
  <si>
    <t>BaseZnSys1-20</t>
  </si>
  <si>
    <t>Mechanical</t>
  </si>
  <si>
    <t>GuestRoom_14_FloorT</t>
  </si>
  <si>
    <t>BaseZnSys1-21</t>
  </si>
  <si>
    <t>Laundry</t>
  </si>
  <si>
    <t>GuestRoom_15_18_FloorT</t>
  </si>
  <si>
    <t>BaseZnSys1-22</t>
  </si>
  <si>
    <t>Storage</t>
  </si>
  <si>
    <t>GuestRoom_19_FloorT</t>
  </si>
  <si>
    <t>BaseZnSys1-23</t>
  </si>
  <si>
    <t>Restroom</t>
  </si>
  <si>
    <t>GuestRoom_20_23_FloorT</t>
  </si>
  <si>
    <t>BaseZnSys1-24</t>
  </si>
  <si>
    <t>Stairs</t>
  </si>
  <si>
    <t>GuestRoom_24_FloorT</t>
  </si>
  <si>
    <t>BaseZnSys1-25</t>
  </si>
  <si>
    <t>Laundry_FloorG</t>
  </si>
  <si>
    <t xml:space="preserve">Laundry Area </t>
  </si>
  <si>
    <t>Mech_FloorG</t>
  </si>
  <si>
    <t>Electrical, Mechanical, Telephone Rooms</t>
  </si>
  <si>
    <t>Conference_FloorG</t>
  </si>
  <si>
    <t>Convention, Conference, Multipurpose and Meeting Area</t>
  </si>
  <si>
    <t>Rear_Stair_FloorG</t>
  </si>
  <si>
    <t>Rear_Stair_FloorT</t>
  </si>
  <si>
    <t>Rear_Stair_FloorM</t>
  </si>
  <si>
    <t>Rear_Storage_FloorG</t>
  </si>
  <si>
    <t>Rear_Storage_FloorM</t>
  </si>
  <si>
    <t>Rear_Storage_FloorT</t>
  </si>
  <si>
    <t>Restroom_FloorG</t>
  </si>
  <si>
    <t>Restrooms</t>
  </si>
  <si>
    <t>Total (1 Building)</t>
  </si>
  <si>
    <t>Total (11 Space types)</t>
  </si>
  <si>
    <t>Total (28 HVAC Zones)</t>
  </si>
  <si>
    <r>
      <t>Ref:</t>
    </r>
    <r>
      <rPr>
        <sz val="10"/>
        <color theme="1"/>
        <rFont val="Arial"/>
        <family val="2"/>
      </rPr>
      <t xml:space="preserve"> Geometry and zones: PNNL 2022 small hotel prototype</t>
    </r>
  </si>
  <si>
    <t>Occupancy Rate</t>
  </si>
  <si>
    <t>% of occupied guest rooms</t>
  </si>
  <si>
    <t>Source</t>
  </si>
  <si>
    <t xml:space="preserve">California Lodging Forecast (April 2025) </t>
  </si>
  <si>
    <t>2025 State of the industry report</t>
  </si>
  <si>
    <t>Number of Guest room- adjusted for aggregated room representation</t>
  </si>
  <si>
    <t xml:space="preserve">Guest room (ft²) </t>
  </si>
  <si>
    <t>Average size of guest rooms - adjusted for aggregated room representation (ft)</t>
  </si>
  <si>
    <t>Guest room  %</t>
  </si>
  <si>
    <t>Background Data [To be deleted prior to publication]</t>
  </si>
  <si>
    <t>Envelope - HotelSmall</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</si>
  <si>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</si>
  <si>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</si>
  <si>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</si>
  <si>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</si>
  <si>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</si>
  <si>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</si>
  <si>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</si>
  <si>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</si>
  <si>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</si>
  <si>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</si>
  <si>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</si>
  <si>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</si>
  <si>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</si>
  <si>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</si>
  <si>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</si>
  <si>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</si>
  <si>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</si>
  <si>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</si>
  <si>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</si>
  <si>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</si>
  <si>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</si>
  <si>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</si>
  <si>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External Wall_Guest Room</t>
  </si>
  <si>
    <t>ExtWall_MetalFramed_GuestRooms</t>
  </si>
  <si>
    <r>
      <rPr>
        <sz val="10"/>
        <color rgb="FF000000"/>
        <rFont val="Arial"/>
        <family val="2"/>
      </rPr>
      <t xml:space="preserve">Metal framed wall:
</t>
    </r>
    <r>
      <rPr>
        <sz val="10"/>
        <color rgb="FF000000"/>
        <rFont val="Arial"/>
        <family val="2"/>
      </rPr>
      <t>Stucco + Metal-frame (2x4 16 in. OC) + insulation + Gypsum board</t>
    </r>
  </si>
  <si>
    <t>U-factor IP</t>
  </si>
  <si>
    <t>Pre 1978</t>
  </si>
  <si>
    <t>N/A</t>
  </si>
  <si>
    <t>ASHRAE 90.1, 2022, Table A3.3.3.1, 3.5", R-0</t>
  </si>
  <si>
    <t>1978-1997</t>
  </si>
  <si>
    <t>Copied from High-rise office alternative requirements (Table 2-53W): Package A with heat capacity between 10-14.99 (Btu/F-ft²)
*T24, 1986, Table 2-53BB presents U-factors less than the next vintage (for wall density of 26-40 lb/ft² &amp; Degree day&lt;3500)!</t>
  </si>
  <si>
    <t>1998-2007</t>
  </si>
  <si>
    <t>Table 1-I-Guest rooms of Hotel/Motel</t>
  </si>
  <si>
    <t>2008-2018</t>
  </si>
  <si>
    <t>Table 140.3-C-Guest rooms of Hotel/Motel</t>
  </si>
  <si>
    <t>Existing</t>
  </si>
  <si>
    <t>2019+</t>
  </si>
  <si>
    <t>External Wall_Nonres</t>
  </si>
  <si>
    <t>ExtWall_MetalFramed_NonRes</t>
  </si>
  <si>
    <r>
      <rPr>
        <sz val="10"/>
        <color rgb="FF000000"/>
        <rFont val="Arial"/>
        <family val="2"/>
      </rPr>
      <t xml:space="preserve">Metal framed wall :
</t>
    </r>
    <r>
      <rPr>
        <sz val="10"/>
        <color rgb="FF000000"/>
        <rFont val="Arial"/>
        <family val="2"/>
      </rPr>
      <t>Stucco + Metal frame (2x4 16 in. OC) + insulation + Gypsum board</t>
    </r>
  </si>
  <si>
    <t>Table 1-H-NonRes Bldgs</t>
  </si>
  <si>
    <t>Table 140.3-B-NonRes Bldgs</t>
  </si>
  <si>
    <t>Roof_Guest Room</t>
  </si>
  <si>
    <t>FlatRoof_WoodFramedAndOther_GuestRooms</t>
  </si>
  <si>
    <r>
      <rPr>
        <sz val="10"/>
        <color rgb="FF000000"/>
        <rFont val="Arial"/>
        <family val="2"/>
      </rPr>
      <t xml:space="preserve">Metal deck roof:
</t>
    </r>
    <r>
      <rPr>
        <sz val="10"/>
        <color rgb="FF000000"/>
        <rFont val="Arial"/>
        <family val="2"/>
      </rPr>
      <t xml:space="preserve">Roof membrane or shingles + roof insulation + </t>
    </r>
    <r>
      <rPr>
        <sz val="10"/>
        <color rgb="FF000000"/>
        <rFont val="Arial"/>
        <family val="2"/>
      </rPr>
      <t>metal decking/sheathing + framing</t>
    </r>
  </si>
  <si>
    <t>Considering 30 years for roof/ insulation replacement.</t>
  </si>
  <si>
    <t>Windows_ Guest Room</t>
  </si>
  <si>
    <t>FixedWindow_GuestRoom</t>
  </si>
  <si>
    <t xml:space="preserve">Single pane </t>
  </si>
  <si>
    <t>ASHRAE Handbook of Fundamentals (Table 4-Ch15) for single pane &amp; T24, 2013  for double pane(33%-67%)*</t>
  </si>
  <si>
    <t>Double pane</t>
  </si>
  <si>
    <t>SHGC</t>
  </si>
  <si>
    <t>ASHRAE Handbook of Fundamentals (Table 10-Ch15) for single pane &amp; T24, 2013  for double pane(33%-67%)*</t>
  </si>
  <si>
    <t>Table 1-I-Guest rooms of Hotel/Motel  (WWR:10-20% / SHGC Non-north)</t>
  </si>
  <si>
    <t>Windows_ Nonres</t>
  </si>
  <si>
    <t>FixedWindow_NonRes</t>
  </si>
  <si>
    <t>Table 1-H-NonRes Bldgs  (WWR:10-20% / SHGC Non-north)</t>
  </si>
  <si>
    <t>Infiltration</t>
  </si>
  <si>
    <t>Zones</t>
  </si>
  <si>
    <t>I_75 (cfm/ft²)
6-sdied Infiltration rate @ 75 pa</t>
  </si>
  <si>
    <t xml:space="preserve"> I-design (cfm/ft²)
(4-sided Infiltration rate at normal pressure) 
(Design flow rate approach and Flow/Exterior Wall Area calculation method) </t>
  </si>
  <si>
    <t>2022 CASE report (Table 38)</t>
  </si>
  <si>
    <t>1*</t>
  </si>
  <si>
    <t>2022 CASE report (Table 38) &amp;
T24, 2008-2016 (Table 140.3-C)</t>
  </si>
  <si>
    <t>0.6**</t>
  </si>
  <si>
    <t>2022 CASE report (Table 38) &amp;  T24,140.3(a)9Cii &amp; T24, 2025 (Table 140.3-C)</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</si>
  <si>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</si>
  <si>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
Although T24,2025 does not require guest rooms in Climate Zone 7 to have an air barrier, we assumed that all CZs are equipped with one. According to Dodge 2023 CAS data CZ 7 accounts for ~ 6% of hotel floor area in CA. Therefore, we have decided to ignore the exemption for CZ7 and treated all CZs as having an air barrier for consistency and ease of simulation.</t>
  </si>
  <si>
    <t>ACM 2025, 5.4.2: For Standard Design, I-design shall be 0.2352 cfm/ft². .Hotel/Motel Buildings in climate zone 7 and for relocatable public school buildings I-design shall be 0.3696 cfm/ft²</t>
  </si>
  <si>
    <t xml:space="preserve">Heating </t>
  </si>
  <si>
    <t>Cooling</t>
  </si>
  <si>
    <t>Air Distribution</t>
  </si>
  <si>
    <t>Note</t>
  </si>
  <si>
    <t xml:space="preserve">Existing </t>
  </si>
  <si>
    <t>Guest Rooms</t>
  </si>
  <si>
    <t>Electric resistance</t>
  </si>
  <si>
    <t>PTAC</t>
  </si>
  <si>
    <t>CEUS 2022 + engineering judgement</t>
  </si>
  <si>
    <t>All other conditioned zones</t>
  </si>
  <si>
    <t>New Construction</t>
  </si>
  <si>
    <t>PTHP</t>
  </si>
  <si>
    <t>Engineering Judgement</t>
  </si>
  <si>
    <t>The guestroom system was originally System 1 (RAC) based on Title 24 Tables 2 and 3. However, after several discussions and consultations with experts and engineers, we realized that for new buildings, each room should instead use a PTHP system. We updated the HVAC accordingly.</t>
  </si>
  <si>
    <t>Gas Boiler</t>
  </si>
  <si>
    <t xml:space="preserve"> PVAV</t>
  </si>
  <si>
    <t>VAV + Hydronic Reheat</t>
  </si>
  <si>
    <t xml:space="preserve">T24 2025 ACM 2025, Table 2 and 3 </t>
  </si>
  <si>
    <t>Packaged VAV-System5</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</si>
  <si>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</si>
  <si>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</si>
  <si>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DX Cooling-Guest Rooms</t>
  </si>
  <si>
    <t>DX Cooling-All Other Conditioned Zones</t>
  </si>
  <si>
    <t>Gas Boiler- Guest rooms and All Other Conditioned Zones</t>
  </si>
  <si>
    <t xml:space="preserve">Sources </t>
  </si>
  <si>
    <t>EER=9 (&lt;65,000 Btu/h)</t>
  </si>
  <si>
    <t>-</t>
  </si>
  <si>
    <t xml:space="preserve">CFR Energy 2008 (for DX Cooling) </t>
  </si>
  <si>
    <t>CFR Energy 2010:Title 10- Table 9 (for DX Cooling)</t>
  </si>
  <si>
    <t>EER=10 (≥ 240,000 Btu/h and &lt; 760,000 Btu/h) and EER=9 (&lt;65,000 Btu/h)</t>
  </si>
  <si>
    <t xml:space="preserve">Thermal Efficiency (Et) of 84% </t>
  </si>
  <si>
    <t>CFR Energy 2025, Table 12 (for DX Coils)
T24, 2022 ,Table 110.2-J (for Boiler thermal efficiency)</t>
  </si>
  <si>
    <t xml:space="preserve"> Deduct 0.2 from the required EERs and IEERs for units with a heating section other than electric resistance heat. </t>
  </si>
  <si>
    <t>Fan power</t>
  </si>
  <si>
    <t>Approach</t>
  </si>
  <si>
    <t>System</t>
  </si>
  <si>
    <t>Total Static Pressure (TSP)</t>
  </si>
  <si>
    <t>Fan Efficiency
[ACM 2025]</t>
  </si>
  <si>
    <t>Motor Efficiency</t>
  </si>
  <si>
    <t xml:space="preserve"> Fan Power Index  
(W/cfm)</t>
  </si>
  <si>
    <t>Data Source</t>
  </si>
  <si>
    <t>PNNL 90.1-2011, TSP</t>
  </si>
  <si>
    <t>PTAC, PTHP</t>
  </si>
  <si>
    <t>ASHRAE 90.1, 2004, Table 10.8 *</t>
  </si>
  <si>
    <t>Fan power formula: PNNL 20405, 2010, section 5.2.2.5
TSP and fan efficiency: PNNL 20405, 2010, Table 5.11, 90.1-04ac values
Motor efficiency: ASHRAE 90.1, 2004, Table 10.8</t>
  </si>
  <si>
    <t>Brake horse power (bhp)=(Supply cfm*TSP in w.c.)/(6356*Fan efficiency)</t>
  </si>
  <si>
    <t>Fan power (w/cfm) = bhp/motor and drive efficiency *746</t>
  </si>
  <si>
    <t>cfm = supply fan airflow as determined by EnergyPlus sizing runs</t>
  </si>
  <si>
    <t>Nameplate horsepower = brake horsepower × (1+10% oversizing factor)</t>
  </si>
  <si>
    <t>Motor nameplate horsepower will be determined based of NEMA standards</t>
  </si>
  <si>
    <t>ACM 2025</t>
  </si>
  <si>
    <t>System 3b-SZHP, &lt;5000</t>
  </si>
  <si>
    <t>TSP = fan power × motor efficiency × fan efficiency × 6356 / 746</t>
  </si>
  <si>
    <t>2025 ACM Table 12 **</t>
  </si>
  <si>
    <t>Fan power index: [ACM 2025, Table 13]
Motor efficiency: [ACM 2025, Table 12]</t>
  </si>
  <si>
    <t>PVAV System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</si>
  <si>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</si>
  <si>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t>
  </si>
  <si>
    <t>Gas</t>
  </si>
  <si>
    <t>Lodging</t>
  </si>
  <si>
    <t>Outdoor Airflow Rate - HotelSmall</t>
  </si>
  <si>
    <t>Space Name</t>
  </si>
  <si>
    <t>Number of People</t>
  </si>
  <si>
    <t>Floor Area (ft²)</t>
  </si>
  <si>
    <t>cfm/person
(T24, 2025, Equation 120.1-F and Table 120.1-A)
(ASHRAE 62.1, 2022, Table 6-1) for guest rooms</t>
  </si>
  <si>
    <t>cfm/ft² 
(T24, 2025, Equation 120.1-F and Table 120.1-A)
(ASHRAE 62.1, 2022, Table 6-1) for guest rooms</t>
  </si>
  <si>
    <t>Required Exhaust Rate
 (T24,  2025, Table 120.1-B – Minimum Exhaust Rates)</t>
  </si>
  <si>
    <t>Total cfm 
Driven by People</t>
  </si>
  <si>
    <t>Total cfm 
Driven by Area</t>
  </si>
  <si>
    <t>Total cfm 
Driven by Exhaust</t>
  </si>
  <si>
    <t>Total cfm</t>
  </si>
  <si>
    <t xml:space="preserve">20/50 cfm/unit per shower head </t>
  </si>
  <si>
    <t xml:space="preserve">Several guestrooms are bundled together. for those, it's assumed for each person, there is one shower, that's why the exhaust rate are multiplied by people.
Ventilation for guest rooms is calculated using the ASHRAE 62.1, as T24's occupancy-only baseline does not capture realistic ventilation design. The total outdoor airflow is calculated as:
Ventilation = (Occupancy per 1,000 ft² × cfm/person) + (Floor area in ft² × cfm/ft²)
To maintain simulation consistency across tabs and fo ease of automation, we retained the T24 occupant rate of 3 occupants per 1,000 sq ft rather than adopting ASHRAE's higher rate of 10 occupants per 1,000 sq ft. To compensate for this, we scaled ASHRAE’s  per-person airflow requirement (5 cfm/person) by a factor of 10/3. 
Although the occupant-based portion of the ventilation load remains almost equivalent across both codes, incorporating ASHRAE’s area-based ventilation component represents the key difference in overall outdoor air rates.
Ventilation air for this occupancy category shall be permitted to be reduced to zero when the space is in occupied-standby mode
</t>
  </si>
  <si>
    <t>1 cfm/ft2 for Soiled laundry storage rooms</t>
  </si>
  <si>
    <t>Only 20% of the laundry space is assumed as "Solied laundry storage room"</t>
  </si>
  <si>
    <t>50/70 cfm/unit</t>
  </si>
  <si>
    <t>The CEC model has separate exhaust fans for each guest room with no minimum outdoor air requirement. However, PNNL and DEER specify an outdoor air requirement for each zone, which is the approach we follow here.</t>
  </si>
  <si>
    <t>Thermostat Setpoints - HotelSmall</t>
  </si>
  <si>
    <t>Setpoint</t>
  </si>
  <si>
    <t>Assembly and Office Heating Setpoint (F)</t>
  </si>
  <si>
    <t>T24 2022 - Appendix 5.4B, [Assembly]</t>
  </si>
  <si>
    <t>Assembly and Office Heating Setback (F)</t>
  </si>
  <si>
    <t>Assembly and Office Cooling Setpoint (F)</t>
  </si>
  <si>
    <t>Assembly and Office Cooling Setback (F)</t>
  </si>
  <si>
    <t>ResidentialCommon Heating Setpoint (F)</t>
  </si>
  <si>
    <t>T24 2022 - Appendix 5.4B, [ResidentialCommon]</t>
  </si>
  <si>
    <t>ResidentialCommon Heating Setback (F)</t>
  </si>
  <si>
    <t>ResidentialCommon Cooling Setpoint (F)</t>
  </si>
  <si>
    <r>
      <t>ResidentialCommon</t>
    </r>
    <r>
      <rPr>
        <b/>
        <sz val="10"/>
        <color theme="1"/>
        <rFont val="Arial"/>
        <family val="2"/>
      </rPr>
      <t xml:space="preserve"> </t>
    </r>
    <r>
      <rPr>
        <sz val="10"/>
        <color theme="1"/>
        <rFont val="Arial"/>
        <family val="2"/>
      </rPr>
      <t>Cooling Setback (F)</t>
    </r>
  </si>
  <si>
    <t>ResidentialLiving Heating Setpoint (F)</t>
  </si>
  <si>
    <t>ResidentialLiving Heating Setback (F)</t>
  </si>
  <si>
    <t>ResidentialLiving Cooling Setpoint (F)</t>
  </si>
  <si>
    <t>Honeywell-INNCOM e7 Thermostat User Guide</t>
  </si>
  <si>
    <t>ResidentialLiving Cooling Setback (F)</t>
  </si>
  <si>
    <t>&amp; Engineering Judgment</t>
  </si>
  <si>
    <t>PNNL had 70F for both cooling and heating setpoint without setback.</t>
  </si>
  <si>
    <t xml:space="preserve">72F is the default setting for one of the most prominent thermostats (Inncom) in California hotels. </t>
  </si>
  <si>
    <t>It has a limit by which a hotel guest can override the default setting.  For instance:  if the default cooling setpoint is 72, the coolest that a user can set the cooling setpoint is 72-5 = 67F.</t>
  </si>
  <si>
    <t>Ref: https://prod-edam.honeywell.com/content/dam/honeywell-edam/hbt/en-us/documents/manuals-and-guides/installation-guides/inncom/hbt-bms-INNCOM-e7-USER-GUIDE.pdf</t>
  </si>
  <si>
    <t>Weekday</t>
  </si>
  <si>
    <t>Saturday</t>
  </si>
  <si>
    <t>Sunday</t>
  </si>
  <si>
    <t>Water Heater - HotelSmall</t>
  </si>
  <si>
    <t>WH Type</t>
  </si>
  <si>
    <t>Efficiency</t>
  </si>
  <si>
    <t>Number of WH</t>
  </si>
  <si>
    <t>Tank Volume (gal)</t>
  </si>
  <si>
    <t>Tank Loss</t>
  </si>
  <si>
    <t xml:space="preserve">Existing  </t>
  </si>
  <si>
    <t>See table below for CZ-specific values: Climate Zone Water Heater Sizing and Loss Coefficients, Storage Volume column (col G)</t>
  </si>
  <si>
    <t xml:space="preserve">See table below: Climate Zone Water Heater Sizing and Loss Coefficients, Standby Loss column (col H) </t>
  </si>
  <si>
    <t>See table below for sources: Climate Zone Water Heater Sizing and Loss Coefficients</t>
  </si>
  <si>
    <t>See table below: Climate Zone Water Heater Sizing and Loss Coefficients, Standby Loss column (col H)</t>
  </si>
  <si>
    <t>Peak Hot Water Consumption</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</si>
  <si>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</si>
  <si>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</si>
  <si>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</si>
  <si>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</si>
  <si>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</si>
  <si>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</si>
  <si>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</si>
  <si>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</si>
  <si>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</si>
  <si>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</si>
  <si>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</si>
  <si>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</si>
  <si>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</si>
  <si>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</si>
  <si>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</si>
  <si>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</si>
  <si>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</si>
  <si>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</si>
  <si>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</si>
  <si>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</si>
  <si>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</si>
  <si>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</si>
  <si>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</si>
  <si>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</si>
  <si>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</si>
  <si>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</si>
  <si>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</si>
  <si>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</si>
  <si>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</si>
  <si>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</si>
  <si>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</si>
  <si>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</si>
  <si>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</si>
  <si>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</si>
  <si>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</si>
  <si>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</si>
  <si>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</si>
  <si>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</si>
  <si>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</si>
  <si>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</si>
  <si>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</si>
  <si>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</si>
  <si>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</si>
  <si>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</si>
  <si>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</si>
  <si>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</si>
  <si>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</si>
  <si>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</si>
  <si>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</si>
  <si>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</si>
  <si>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</si>
  <si>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Interior Lighting - HotelSmall</t>
  </si>
  <si>
    <t>Space Type</t>
  </si>
  <si>
    <t xml:space="preserve">New Construction </t>
  </si>
  <si>
    <t>LPD (W/ft²)</t>
  </si>
  <si>
    <t>Additional LPD for Portable Lighting (W/ft²)</t>
  </si>
  <si>
    <t xml:space="preserve">LPD (W/ft²) </t>
  </si>
  <si>
    <t xml:space="preserve">T24, 2025, Table 140.6-C
PNNL ASHRAE 90.1 2022 for Guest Room, same as ASHRAE 90.1 2025 
(Area category method) </t>
  </si>
  <si>
    <t>T24, 2019*, Table 140.6-C
 (Area category method)
Guest rooms: ASHRAE 90.1 2016, Table 9.6.1 (It's been assumed that guest rooms have a longer lighting replacement cycle compared to other space types)</t>
  </si>
  <si>
    <t>Comply with 130.1(c)8: Hotel/motel guest rooms shall be controlled with one of the following controls such that, no longer than 20 minutes after the guest room has been vacated, lighting power is switched off: 
i. Captive card key controls; or 
ii. Occupant sensing controls; or 
iii. Other automatic controls.</t>
  </si>
  <si>
    <t>Exterior Lighting - HotelSmall</t>
  </si>
  <si>
    <t>Motion Controlled Luminaires (W)</t>
  </si>
  <si>
    <t>Non-motion Controlled Luminaires (W)</t>
  </si>
  <si>
    <t>Total (W)</t>
  </si>
  <si>
    <t>T24, 2025</t>
  </si>
  <si>
    <t>Exterior Lighting</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</si>
  <si>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</si>
  <si>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</si>
  <si>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</si>
  <si>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</si>
  <si>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</si>
  <si>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</si>
  <si>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</si>
  <si>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</si>
  <si>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r>
      <t xml:space="preserve">400 ft² for every parking space  </t>
    </r>
    <r>
      <rPr>
        <sz val="10"/>
        <color rgb="FF000000"/>
        <rFont val="Arial"/>
        <family val="2"/>
      </rPr>
      <t>[2019 Lighting CASE report, Appendix H]</t>
    </r>
    <r>
      <rPr>
        <sz val="10"/>
        <color rgb="FF000000"/>
        <rFont val="Arial"/>
        <family val="2"/>
      </rPr>
      <t xml:space="preserve"> 
1 parking space per 360 ft² of gross building area </t>
    </r>
    <r>
      <rPr>
        <sz val="10"/>
        <color rgb="FF000000"/>
        <rFont val="Arial"/>
        <family val="2"/>
      </rPr>
      <t>[2019 Lighting CASE report,Table 38]</t>
    </r>
  </si>
  <si>
    <t>(ft²)</t>
  </si>
  <si>
    <t>(W/ft²)</t>
  </si>
  <si>
    <t>Building Entrance</t>
  </si>
  <si>
    <t>2 building entrance (1 per 10,000 ft² footprint)</t>
  </si>
  <si>
    <t>(count)</t>
  </si>
  <si>
    <t>(W/ea)</t>
  </si>
  <si>
    <t>Hardscape Ornamental Light</t>
  </si>
  <si>
    <r>
      <t xml:space="preserve">0.1 ft² per 1 ft² of gross building area </t>
    </r>
    <r>
      <rPr>
        <sz val="10"/>
        <color rgb="FF000000"/>
        <rFont val="Arial"/>
        <family val="2"/>
      </rPr>
      <t>[2019 Lighting CASE report,Table 36]</t>
    </r>
  </si>
  <si>
    <t>Building façade</t>
  </si>
  <si>
    <t>0.1 W per 1 ft² of facade area 
Façade Area = Perimeter × 0.5 × 29 ft (30 ft is the max height that is lit) * 
The 0.5 factor assumes that only half of the perimeter walls are lit.
-Formula ia developed based on the 2019 Outdoor Lighting CASE report</t>
  </si>
  <si>
    <t>Non-sales canopy</t>
  </si>
  <si>
    <t>Size of the canopy is 40 ft* 12 ft according to the geometry</t>
  </si>
  <si>
    <t>\</t>
  </si>
  <si>
    <t>Non-motion-controlled Luminaires</t>
  </si>
  <si>
    <t>*Developed based on 2019 Outdoor Lighting CASE Report</t>
  </si>
  <si>
    <t>Perimeter (ft)</t>
  </si>
  <si>
    <t>Total floor area (ft²)</t>
  </si>
  <si>
    <t>Floors</t>
  </si>
  <si>
    <t>Equipment - HotelSmall</t>
  </si>
  <si>
    <t>Plug load Power Density (W/ft²)</t>
  </si>
  <si>
    <t>Gas Power Density (Btu/hr-ft²)</t>
  </si>
  <si>
    <t>Refrigeration Power Density (W/ft²)</t>
  </si>
  <si>
    <t>T24 2022 - Appendix 5.4A</t>
  </si>
  <si>
    <t>Plug load and schedules project with CEC, 2025</t>
  </si>
  <si>
    <t xml:space="preserve"> Appendix 5.4A: Gas equipment=0.75 Btu/hr-ft² (CEC model (small Hotel) has the Gas equipment for 3.6 Btu/hr-ft²)</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</si>
  <si>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</si>
  <si>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</si>
  <si>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</si>
  <si>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</si>
  <si>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</si>
  <si>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</si>
  <si>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</si>
  <si>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</si>
  <si>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</si>
  <si>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</si>
  <si>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</si>
  <si>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</si>
  <si>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</si>
  <si>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</si>
  <si>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</si>
  <si>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</si>
  <si>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Small Hotel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</si>
  <si>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</si>
  <si>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</si>
  <si>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</si>
  <si>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</si>
  <si>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</si>
  <si>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</si>
  <si>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</si>
  <si>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</si>
  <si>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</si>
  <si>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</si>
  <si>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</si>
  <si>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</si>
  <si>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</si>
  <si>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</si>
  <si>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</si>
  <si>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</si>
  <si>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</si>
  <si>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</si>
  <si>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</si>
  <si>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</si>
  <si>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</si>
  <si>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</si>
  <si>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</si>
  <si>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</si>
  <si>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</si>
  <si>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</si>
  <si>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</si>
  <si>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</si>
  <si>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</si>
  <si>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</si>
  <si>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</si>
  <si>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</si>
  <si>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</si>
  <si>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</si>
  <si>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</si>
  <si>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</si>
  <si>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</si>
  <si>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</si>
  <si>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</si>
  <si>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</si>
  <si>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</si>
  <si>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</si>
  <si>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</si>
  <si>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</si>
  <si>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</si>
  <si>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</si>
  <si>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</si>
  <si>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</si>
  <si>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</si>
  <si>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</si>
  <si>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</si>
  <si>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</si>
  <si>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</si>
  <si>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</si>
  <si>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</si>
  <si>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</si>
  <si>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</si>
  <si>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</si>
  <si>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</si>
  <si>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</si>
  <si>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</si>
  <si>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</si>
  <si>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</si>
  <si>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</si>
  <si>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</si>
  <si>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</si>
  <si>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</si>
  <si>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</si>
  <si>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</si>
  <si>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</si>
  <si>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</si>
  <si>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</si>
  <si>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</si>
  <si>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</si>
  <si>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</si>
  <si>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</si>
  <si>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</si>
  <si>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</si>
  <si>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</si>
  <si>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</si>
  <si>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</si>
  <si>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</si>
  <si>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</si>
  <si>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Equipment (Plug load)</t>
  </si>
  <si>
    <t>floor area (ft²)</t>
  </si>
  <si>
    <t>Plug load Intensity (W/ft²)</t>
  </si>
  <si>
    <t>Total equipment load (W)</t>
  </si>
  <si>
    <t>Open_Office_N</t>
  </si>
  <si>
    <t>Closed_Office_W</t>
  </si>
  <si>
    <t>Closed_Office_E</t>
  </si>
  <si>
    <t>Lobby + Lounge</t>
  </si>
  <si>
    <t>Mechanical/Electrical</t>
  </si>
  <si>
    <t>Break/Copy Room</t>
  </si>
  <si>
    <t>Equipment (Plug Load )- Prototypes comparison</t>
  </si>
  <si>
    <t>CEC OffSml</t>
  </si>
  <si>
    <t xml:space="preserve">DEER  OFS </t>
  </si>
  <si>
    <t xml:space="preserve">PNNL </t>
  </si>
  <si>
    <t>ComStock</t>
  </si>
  <si>
    <t>W/m2</t>
  </si>
  <si>
    <t xml:space="preserve"> PNNL considers higher load for electric equipment</t>
  </si>
  <si>
    <t xml:space="preserve">Yearly Load multiplier </t>
  </si>
  <si>
    <t>PNNL 2022</t>
  </si>
  <si>
    <t>DEER 2024</t>
  </si>
  <si>
    <t>CEC-Weekday</t>
  </si>
  <si>
    <t>CEC-Saturday</t>
  </si>
  <si>
    <t>CEC-Sunday</t>
  </si>
  <si>
    <t>PNNL-Weekday</t>
  </si>
  <si>
    <t>PNNL-Saturday</t>
  </si>
  <si>
    <t>PNNL-Sunday</t>
  </si>
  <si>
    <t>DEER-Weekday</t>
  </si>
  <si>
    <t>DEER-Saturday</t>
  </si>
  <si>
    <t>DEER-OtherDays</t>
  </si>
  <si>
    <t>DEER 2024 (Old model rebuilt in E+)</t>
  </si>
  <si>
    <t>Schedule:Compact,</t>
  </si>
  <si>
    <t>EL1</t>
  </si>
  <si>
    <t>Interval,</t>
  </si>
  <si>
    <t>12/31,</t>
  </si>
  <si>
    <t>SummerDesignDay,</t>
  </si>
  <si>
    <t>24:00,1.0,</t>
  </si>
  <si>
    <t>WinterDesignDay,</t>
  </si>
  <si>
    <t>24:00,0.0,</t>
  </si>
  <si>
    <t>Weekdays,</t>
  </si>
  <si>
    <t>05:00,0.05,</t>
  </si>
  <si>
    <t>07:00,0.10,</t>
  </si>
  <si>
    <t>08:00,0.30,</t>
  </si>
  <si>
    <t>17:00,0.90,</t>
  </si>
  <si>
    <t>18:00,0.50,</t>
  </si>
  <si>
    <t>20:00,0.30,</t>
  </si>
  <si>
    <t>22:00,0.20,</t>
  </si>
  <si>
    <t>23:00,0.10,</t>
  </si>
  <si>
    <t>24:00,0.05,</t>
  </si>
  <si>
    <t>Saturday,</t>
  </si>
  <si>
    <t>06:00,0.05,</t>
  </si>
  <si>
    <t>08:00,0.10,</t>
  </si>
  <si>
    <t>12:00,0.30,</t>
  </si>
  <si>
    <t>17:00,0.15,</t>
  </si>
  <si>
    <t>AllOtherDays,</t>
  </si>
  <si>
    <t>24:00,0.05;</t>
  </si>
  <si>
    <t xml:space="preserve">    BLDG_EQUIP_SCH,          !- Name</t>
  </si>
  <si>
    <t xml:space="preserve">    Fraction,                !- Schedule Type Limits Name</t>
  </si>
  <si>
    <t xml:space="preserve">    Through: 12/31,          !- Field 1</t>
  </si>
  <si>
    <t xml:space="preserve">    For: WeekDays,           !- Field 2</t>
  </si>
  <si>
    <t xml:space="preserve">    Until: 6:00,0.4094775565,!- Field 3</t>
  </si>
  <si>
    <t xml:space="preserve">    Until: 8:00,0.4797526335,!- Field 5</t>
  </si>
  <si>
    <t xml:space="preserve">    Until: 12:00,0.959505267,!- Field 7</t>
  </si>
  <si>
    <t xml:space="preserve">    Until: 13:00,0.90193495098, !- Field 9</t>
  </si>
  <si>
    <t xml:space="preserve">    Until: 17:00,0.959505267,!- Field 11</t>
  </si>
  <si>
    <t xml:space="preserve">    Until: 18:00,0.4797526335, !- Field 13</t>
  </si>
  <si>
    <t xml:space="preserve">    Until: 23:00,0.1919010534, !- Field 15</t>
  </si>
  <si>
    <t xml:space="preserve">    Until: 24:00,0.1637910226, !- Field 17</t>
  </si>
  <si>
    <t xml:space="preserve">    For: Weekends,           !- Field 19</t>
  </si>
  <si>
    <t xml:space="preserve">    Until: 24:00,0.1637910226, !- Field 20</t>
  </si>
  <si>
    <t xml:space="preserve">    For: Holiday,            !- Field 22</t>
  </si>
  <si>
    <t xml:space="preserve">    Until: 24:00,0.1637910226, !- Field 23</t>
  </si>
  <si>
    <t xml:space="preserve">    For: WinterDesignDay,    !- Field 25</t>
  </si>
  <si>
    <t xml:space="preserve">    Until: 24:00,0.0,        !- Field 26</t>
  </si>
  <si>
    <t xml:space="preserve">    For: SummerDesignDay,    !- Field 28</t>
  </si>
  <si>
    <t xml:space="preserve">    Until: 24:00,1.0,        !- Field 29</t>
  </si>
  <si>
    <t xml:space="preserve">    For: CustomDay1,         !- Field 31</t>
  </si>
  <si>
    <t xml:space="preserve">    Until: 24:00,0.0,        !- Field 32</t>
  </si>
  <si>
    <t xml:space="preserve">    For: CustomDay2,         !- Field 34</t>
  </si>
  <si>
    <t xml:space="preserve">    Until: 24:00,0.0;        !- Field 35</t>
  </si>
  <si>
    <t>CBECC 2023</t>
  </si>
  <si>
    <t>Schedule:Day:Interval,</t>
  </si>
  <si>
    <t>OfficeReceptacleWD,</t>
  </si>
  <si>
    <t>OfficeReceptacleSat,</t>
  </si>
  <si>
    <t>OfficeReceptacleSun,</t>
  </si>
  <si>
    <t>Fraction,</t>
  </si>
  <si>
    <t>No,</t>
  </si>
  <si>
    <t>01:00,</t>
  </si>
  <si>
    <t>0.05,</t>
  </si>
  <si>
    <t>02:00,</t>
  </si>
  <si>
    <t>03:00,</t>
  </si>
  <si>
    <t>04:00,</t>
  </si>
  <si>
    <t>05:00,</t>
  </si>
  <si>
    <t>06:00,</t>
  </si>
  <si>
    <t>0.1,</t>
  </si>
  <si>
    <t>07:00,</t>
  </si>
  <si>
    <t>08:00,</t>
  </si>
  <si>
    <t>0.3,</t>
  </si>
  <si>
    <t>09:00,</t>
  </si>
  <si>
    <t>0.9,</t>
  </si>
  <si>
    <t>10:00,</t>
  </si>
  <si>
    <t>11:00,</t>
  </si>
  <si>
    <t>12:00,</t>
  </si>
  <si>
    <t>13:00,</t>
  </si>
  <si>
    <t>0.15,</t>
  </si>
  <si>
    <t>14:00,</t>
  </si>
  <si>
    <t>15:00,</t>
  </si>
  <si>
    <t>16:00,</t>
  </si>
  <si>
    <t>17:00,</t>
  </si>
  <si>
    <t>18:00,</t>
  </si>
  <si>
    <t>0.5,</t>
  </si>
  <si>
    <t>19:00,</t>
  </si>
  <si>
    <t>20:00,</t>
  </si>
  <si>
    <t>21:00,</t>
  </si>
  <si>
    <t>0.2,</t>
  </si>
  <si>
    <t>22:00,</t>
  </si>
  <si>
    <t>23:00,</t>
  </si>
  <si>
    <t>24:00,</t>
  </si>
  <si>
    <t>0.05;</t>
  </si>
  <si>
    <t>Schedules - HotelSmall</t>
  </si>
  <si>
    <t>Zone</t>
  </si>
  <si>
    <t>Schedule</t>
  </si>
  <si>
    <t>Day</t>
  </si>
  <si>
    <t>Hour</t>
  </si>
  <si>
    <t>Gym,Storage,Laundry,Mech,Conferences</t>
  </si>
  <si>
    <t>Occupancy</t>
  </si>
  <si>
    <t>Gym,Laundry,Mech,Conference</t>
  </si>
  <si>
    <t>Lights</t>
  </si>
  <si>
    <t>Gym,Storage,Laundry,Mech,Conference</t>
  </si>
  <si>
    <t>ElecEquipment</t>
  </si>
  <si>
    <t>HVACAvail</t>
  </si>
  <si>
    <t>ServiceHotWater</t>
  </si>
  <si>
    <t>GasEquipment</t>
  </si>
  <si>
    <t>HtgSetpt</t>
  </si>
  <si>
    <t>Honeywell-INNCOM e7 Thermostat User Guide 
&amp; Engineering Judgement</t>
  </si>
  <si>
    <t>ClgSetpt</t>
  </si>
  <si>
    <t>Corridors, Stairwells, Lounges,Restrooms</t>
  </si>
  <si>
    <t>Guest rooms</t>
  </si>
  <si>
    <t>T24 2022 - Appendix 5.4B, [ResidentialLiving]</t>
  </si>
  <si>
    <t xml:space="preserve">ElecEquipment </t>
  </si>
  <si>
    <t>Other</t>
  </si>
  <si>
    <t>T24 2022 - Appendix 5.4B, [Office]</t>
  </si>
  <si>
    <t>T24 2022 - Appendix 5.4B, [ResintialCommon] same as [ResidentialLiving]</t>
  </si>
  <si>
    <t>ExtLightingNonMotionCtrl</t>
  </si>
  <si>
    <t>PNNL Small Hotel Prototype (2022)</t>
  </si>
  <si>
    <t>ExtLightingMotionCtrl</t>
  </si>
  <si>
    <t>PNNL Small Hotel Prototype (2022) Modified to 0 for 11 pm to 5 am during weekday and 12 am to 5 am during weekend</t>
  </si>
  <si>
    <t xml:space="preserve">All zones except GuestRoom, Conference, and Office </t>
  </si>
  <si>
    <t>CommonAreaPeopleActivityLevel</t>
  </si>
  <si>
    <t>CEC Small Hotel Prototype</t>
  </si>
  <si>
    <t>GuestRoom</t>
  </si>
  <si>
    <t>GuestRoomPeopleActivityLevel</t>
  </si>
  <si>
    <t>Conference  and Office</t>
  </si>
  <si>
    <t>FunctionalAreaPeopleActivityLevel</t>
  </si>
  <si>
    <t>Equipment</t>
  </si>
  <si>
    <t>PNNL</t>
  </si>
  <si>
    <t xml:space="preserve">Office Zones		</t>
  </si>
  <si>
    <t>BuildingExtLighting</t>
  </si>
  <si>
    <t>CalBEM Energy Consumption - HotelSmall</t>
  </si>
  <si>
    <t>Energy Consumption - Lodging</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</si>
  <si>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</si>
  <si>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</si>
  <si>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</si>
  <si>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</si>
  <si>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</si>
  <si>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</si>
  <si>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</si>
  <si>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</si>
  <si>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</si>
  <si>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</si>
  <si>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</si>
  <si>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</si>
  <si>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(kWh/ft²)</t>
  </si>
  <si>
    <t>CEUS 2023 Gas EUI (kWh/ft²)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</si>
  <si>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</si>
  <si>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</si>
  <si>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</si>
  <si>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</si>
  <si>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Lodging buildings</t>
  </si>
  <si>
    <t>Office, Small</t>
  </si>
  <si>
    <t>Statewide</t>
  </si>
  <si>
    <t>% of floor area per CZ and vintage bin - Lodging</t>
  </si>
  <si>
    <t>% of floor area per CZ and vintage bin - Large Hotel</t>
  </si>
  <si>
    <t>Vintage Bin</t>
  </si>
  <si>
    <t>Pre-1978</t>
  </si>
  <si>
    <t>Not available</t>
  </si>
  <si>
    <t>Hotel</t>
  </si>
  <si>
    <t>Ref: CEUS 2022 dataset</t>
  </si>
  <si>
    <t>Statewide/  Utility/ FCZ</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</si>
  <si>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</si>
  <si>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</si>
  <si>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</si>
  <si>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</si>
  <si>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</si>
  <si>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</si>
  <si>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</si>
  <si>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</si>
  <si>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</si>
  <si>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</si>
  <si>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</si>
  <si>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</si>
  <si>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</si>
  <si>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</si>
  <si>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</si>
  <si>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</si>
  <si>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TBD</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</si>
  <si>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</si>
  <si>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</si>
  <si>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</si>
  <si>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</si>
  <si>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</si>
  <si>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</si>
  <si>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</si>
  <si>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</si>
  <si>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Calculation Method</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</si>
  <si>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</si>
  <si>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</si>
  <si>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</si>
  <si>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</si>
  <si>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</si>
  <si>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</si>
  <si>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</si>
  <si>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</si>
  <si>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</si>
  <si>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</si>
  <si>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</si>
  <si>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</si>
  <si>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</si>
  <si>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</si>
  <si>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</si>
  <si>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</si>
  <si>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</si>
  <si>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</si>
  <si>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</si>
  <si>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</si>
  <si>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</si>
  <si>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</si>
  <si>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</si>
  <si>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</si>
  <si>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</si>
  <si>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</si>
  <si>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</si>
  <si>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</si>
  <si>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</si>
  <si>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</si>
  <si>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</si>
  <si>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</si>
  <si>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</si>
  <si>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</si>
  <si>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</si>
  <si>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</si>
  <si>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</si>
  <si>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</si>
  <si>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</si>
  <si>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</si>
  <si>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</si>
  <si>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</si>
  <si>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</si>
  <si>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</si>
  <si>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</si>
  <si>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</si>
  <si>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</si>
  <si>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</si>
  <si>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</si>
  <si>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</si>
  <si>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</si>
  <si>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</si>
  <si>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Lobby, Main Entry</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</si>
  <si>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</si>
  <si>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</si>
  <si>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</si>
  <si>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</si>
  <si>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</si>
  <si>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</si>
  <si>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</si>
  <si>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</si>
  <si>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</si>
  <si>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</si>
  <si>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</si>
  <si>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</si>
  <si>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</si>
  <si>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</si>
  <si>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</si>
  <si>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</si>
  <si>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</si>
  <si>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</si>
  <si>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</si>
  <si>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</si>
  <si>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</si>
  <si>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</si>
  <si>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</si>
  <si>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</si>
  <si>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</si>
  <si>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</si>
  <si>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</si>
  <si>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All other</t>
  </si>
  <si>
    <t>Attic</t>
  </si>
  <si>
    <t>Reception Area</t>
  </si>
  <si>
    <t>Plenum</t>
  </si>
  <si>
    <t>IT Room (EPD 12)</t>
  </si>
  <si>
    <t>Computer Room (EPD 20)</t>
  </si>
  <si>
    <t>Server Room (EPD 45)</t>
  </si>
  <si>
    <t>Total (4 Schedule Categories)</t>
  </si>
  <si>
    <t>Based on engineering judgment  (semi‑conditioned space)</t>
  </si>
  <si>
    <t>AncillaryAssembly</t>
  </si>
  <si>
    <t xml:space="preserve">Mechanical Room, </t>
  </si>
  <si>
    <t>AncillaryResidentialCommon</t>
  </si>
  <si>
    <t>Stairwells</t>
  </si>
  <si>
    <t>Indirectly conditioned</t>
  </si>
  <si>
    <t>Ancillary Cooling Setpoint (F)</t>
  </si>
  <si>
    <t>Ancillary  Heating Setback (F)</t>
  </si>
  <si>
    <t>Ancillary Heating Setpoint (F)</t>
  </si>
  <si>
    <t>Ancillary Cooling Setback (F)</t>
  </si>
  <si>
    <t>Lounge_FloorG</t>
  </si>
  <si>
    <t>Total (48 spaces/Thermal zones)</t>
  </si>
  <si>
    <t xml:space="preserve"> Total (48 Conditioned zones)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</si>
</sst>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0_);_(* \(#,##0.0\);_(* &quot;-&quot;??_);_(@_)"/>
    <numFmt numFmtId="169" formatCode="_(* #,##0_);_(* \(#,##0\);_(* &quot;-&quot;??_);_(@_)"/>
    <numFmt numFmtId="170" formatCode="_(* #,##0.000_);_(* \(#,##0.000\);_(* &quot;-&quot;??_);_(@_)"/>
    <numFmt numFmtId="171" formatCode="#,##0;\-0;[Color15]0"/>
    <numFmt numFmtId="172" formatCode="0.0000"/>
  </numFmts>
  <fonts count="57"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b/>
      <sz val="10"/>
      <color theme="0"/>
      <name val="Arial"/>
      <family val="2"/>
    </font>
    <font>
      <sz val="11"/>
      <color rgb="FF0070C0"/>
      <name val="Arial"/>
      <family val="2"/>
    </font>
    <font>
      <b/>
      <sz val="10"/>
      <name val="Arial"/>
      <family val="2"/>
    </font>
    <font>
      <b/>
      <sz val="10"/>
      <color indexed="8"/>
      <name val="Arial"/>
      <family val="2"/>
    </font>
    <font>
      <sz val="10"/>
      <color theme="1" tint="0.499984740745262"/>
      <name val="Arial"/>
      <family val="2"/>
    </font>
    <font>
      <sz val="10"/>
      <color theme="0" tint="-0.249977111117893"/>
      <name val="Arial"/>
      <family val="2"/>
    </font>
    <font>
      <sz val="10"/>
      <color rgb="FF000000"/>
      <name val="Arial"/>
      <family val="2"/>
    </font>
    <font>
      <sz val="9"/>
      <color theme="1"/>
      <name val="Arial"/>
      <family val="2"/>
    </font>
    <font>
      <sz val="10"/>
      <color theme="0"/>
      <name val="Arial"/>
      <family val="2"/>
    </font>
    <font>
      <b/>
      <sz val="10"/>
      <color rgb="FF000000"/>
      <name val="Arial"/>
      <family val="2"/>
    </font>
    <font>
      <b/>
      <sz val="9"/>
      <color theme="0"/>
      <name val="Arial"/>
      <family val="2"/>
    </font>
    <font>
      <sz val="11"/>
      <color theme="1"/>
      <name val="Arial"/>
      <family val="2"/>
    </font>
    <font>
      <sz val="10"/>
      <color theme="1"/>
      <name val="Arial"/>
      <family val="2"/>
    </font>
    <font>
      <b/>
      <sz val="10"/>
      <color rgb="FF0070C0"/>
      <name val="Arial"/>
      <family val="2"/>
    </font>
    <font>
      <b/>
      <sz val="11"/>
      <color rgb="FF000000"/>
      <name val="Arial"/>
      <family val="2"/>
    </font>
    <font>
      <sz val="11"/>
      <color rgb="FF000000"/>
      <name val="Arial"/>
      <family val="2"/>
    </font>
    <font>
      <b/>
      <sz val="12"/>
      <color rgb="FFFFFFFF"/>
      <name val="Arial"/>
      <family val="2"/>
    </font>
    <font>
      <b/>
      <sz val="11"/>
      <color theme="1"/>
      <name val="Arial"/>
      <family val="2"/>
    </font>
    <font>
      <sz val="11"/>
      <name val="Calibri"/>
      <family val="2"/>
      <scheme val="minor"/>
    </font>
    <font>
      <sz val="9"/>
      <color rgb="FF000000"/>
      <name val="Arial"/>
      <family val="2"/>
    </font>
    <font>
      <sz val="10"/>
      <color rgb="FF0070C0"/>
      <name val="Arial"/>
      <family val="2"/>
    </font>
    <font>
      <sz val="9"/>
      <color rgb="FF0070C0"/>
      <name val="Arial"/>
      <family val="2"/>
    </font>
    <font>
      <b/>
      <sz val="11"/>
      <name val="Calibri"/>
      <family val="2"/>
    </font>
    <font>
      <sz val="11"/>
      <color rgb="FF000000"/>
      <name val="Calibri"/>
      <family val="2"/>
    </font>
    <font>
      <b/>
      <sz val="9"/>
      <color theme="1"/>
      <name val="Arial"/>
      <family val="2"/>
    </font>
    <font>
      <b/>
      <sz val="14"/>
      <color rgb="FFFFFFFF"/>
      <name val="Calibri"/>
      <family val="2"/>
    </font>
    <font>
      <sz val="11"/>
      <color theme="1"/>
      <name val="Calibri"/>
      <family val="2"/>
    </font>
    <font>
      <u/>
      <sz val="10"/>
      <color theme="10"/>
      <name val="Calibri"/>
      <family val="2"/>
      <scheme val="minor"/>
    </font>
    <font>
      <b/>
      <sz val="11"/>
      <color rgb="FF000000"/>
      <name val="Calibri"/>
      <family val="2"/>
    </font>
    <font>
      <u/>
      <sz val="11"/>
      <color rgb="FF000000"/>
      <name val="Calibri"/>
      <family val="2"/>
      <scheme val="minor"/>
    </font>
    <font>
      <vertAlign val="superscript"/>
      <sz val="10"/>
      <color theme="1"/>
      <name val="Arial"/>
      <family val="2"/>
    </font>
    <font>
      <b/>
      <sz val="14"/>
      <color theme="1"/>
      <name val="Calibri"/>
      <family val="2"/>
      <scheme val="minor"/>
    </font>
    <font>
      <b/>
      <sz val="8"/>
      <color theme="1"/>
      <name val="Segoe UI"/>
      <family val="2"/>
    </font>
    <font>
      <b/>
      <sz val="12"/>
      <color theme="0"/>
      <name val="Arial"/>
      <family val="2"/>
    </font>
    <font>
      <sz val="10"/>
      <color theme="1"/>
      <name val="Arial"/>
      <family val="2"/>
    </font>
    <font>
      <b/>
      <sz val="10"/>
      <name val="Arial"/>
      <family val="2"/>
    </font>
    <font>
      <b/>
      <sz val="12"/>
      <color rgb="FFFFFFFF"/>
      <name val="Arial"/>
      <family val="2"/>
    </font>
    <font>
      <sz val="10"/>
      <color rgb="FFFFFFFF"/>
      <name val="Arial"/>
      <family val="2"/>
    </font>
    <font>
      <sz val="11"/>
      <color theme="0"/>
      <name val="Calibri"/>
      <family val="2"/>
      <scheme val="minor"/>
    </font>
    <font>
      <b/>
      <sz val="11"/>
      <color theme="0"/>
      <name val="Calibri"/>
      <family val="2"/>
    </font>
    <font>
      <sz val="9"/>
      <name val="Arial"/>
      <family val="2"/>
    </font>
  </fonts>
  <fills count="26">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FFBEF"/>
        <bgColor rgb="FF000000"/>
      </patternFill>
    </fill>
    <fill>
      <patternFill patternType="solid">
        <fgColor theme="0"/>
        <bgColor rgb="FF000000"/>
      </patternFill>
    </fill>
    <fill>
      <patternFill patternType="solid">
        <fgColor rgb="FFC2BCBC"/>
        <bgColor indexed="64"/>
      </patternFill>
    </fill>
    <fill>
      <patternFill patternType="solid">
        <fgColor rgb="FF878787"/>
        <bgColor indexed="64"/>
      </patternFill>
    </fill>
    <fill>
      <patternFill patternType="solid">
        <fgColor rgb="FFF2F2F2"/>
        <bgColor indexed="64"/>
      </patternFill>
    </fill>
  </fills>
  <borders count="23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auto="1"/>
      </left>
      <right style="medium">
        <color indexed="64"/>
      </right>
      <top/>
      <bottom/>
      <diagonal/>
    </border>
    <border>
      <left style="thin">
        <color theme="0" tint="-0.499984740745262"/>
      </left>
      <right style="thin">
        <color theme="0" tint="-0.499984740745262"/>
      </right>
      <top style="thin">
        <color indexed="64"/>
      </top>
      <bottom/>
      <diagonal/>
    </border>
    <border>
      <left style="medium">
        <color indexed="64"/>
      </left>
      <right style="thin">
        <color indexed="64"/>
      </right>
      <top style="thin">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rgb="FF808080"/>
      </left>
      <right style="thin">
        <color rgb="FF808080"/>
      </right>
      <top style="thin">
        <color theme="0" tint="-0.499984740745262"/>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medium">
        <color indexed="64"/>
      </right>
      <top style="medium">
        <color indexed="64"/>
      </top>
      <bottom/>
      <diagonal/>
    </border>
    <border>
      <left/>
      <right style="thin">
        <color rgb="FF808080"/>
      </right>
      <top style="thin">
        <color indexed="64"/>
      </top>
      <bottom/>
      <diagonal/>
    </border>
    <border>
      <left/>
      <right style="thin">
        <color rgb="FF808080"/>
      </right>
      <top/>
      <bottom/>
      <diagonal/>
    </border>
    <border>
      <left style="thin">
        <color rgb="FF808080"/>
      </left>
      <right style="thin">
        <color rgb="FF80808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0" tint="-0.499984740745262"/>
      </left>
      <right/>
      <top style="thin">
        <color theme="0" tint="-0.499984740745262"/>
      </top>
      <bottom style="thin">
        <color rgb="FF000000"/>
      </bottom>
      <diagonal/>
    </border>
    <border>
      <left/>
      <right/>
      <top style="thin">
        <color theme="0" tint="-0.499984740745262"/>
      </top>
      <bottom style="thin">
        <color rgb="FF000000"/>
      </bottom>
      <diagonal/>
    </border>
    <border>
      <left/>
      <right style="thin">
        <color theme="0" tint="-0.499984740745262"/>
      </right>
      <top style="thin">
        <color theme="0" tint="-0.499984740745262"/>
      </top>
      <bottom style="thin">
        <color rgb="FF000000"/>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right/>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style="thin">
        <color theme="1" tint="0.34998626667073579"/>
      </left>
      <right/>
      <top/>
      <bottom/>
      <diagonal/>
    </border>
    <border>
      <left style="thin">
        <color theme="1" tint="0.34998626667073579"/>
      </left>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diagonal/>
    </border>
    <border>
      <left style="thin">
        <color theme="1" tint="0.34998626667073579"/>
      </left>
      <right style="medium">
        <color theme="1" tint="0.34998626667073579"/>
      </right>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medium">
        <color indexed="64"/>
      </bottom>
      <diagonal/>
    </border>
    <border>
      <left style="thin">
        <color theme="1" tint="0.34998626667073579"/>
      </left>
      <right/>
      <top/>
      <bottom style="thin">
        <color theme="1" tint="0.34998626667073579"/>
      </bottom>
      <diagonal/>
    </border>
    <border>
      <left style="thin">
        <color theme="1" tint="0.34998626667073579"/>
      </left>
      <right style="medium">
        <color theme="1" tint="0.34998626667073579"/>
      </right>
      <top/>
      <bottom/>
      <diagonal/>
    </border>
    <border>
      <left style="thin">
        <color theme="1" tint="0.34998626667073579"/>
      </left>
      <right style="medium">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indexed="64"/>
      </left>
      <right style="medium">
        <color indexed="64"/>
      </right>
      <top style="thin">
        <color indexed="64"/>
      </top>
      <bottom style="medium">
        <color indexed="64"/>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right/>
      <top/>
      <bottom style="medium">
        <color theme="1" tint="0.34998626667073579"/>
      </bottom>
      <diagonal/>
    </border>
    <border>
      <left/>
      <right style="thin">
        <color theme="1" tint="0.34998626667073579"/>
      </right>
      <top/>
      <bottom style="medium">
        <color theme="1" tint="0.34998626667073579"/>
      </bottom>
      <diagonal/>
    </border>
    <border>
      <left/>
      <right/>
      <top style="thin">
        <color indexed="64"/>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right/>
      <top style="thin">
        <color theme="1" tint="0.34998626667073579"/>
      </top>
      <bottom style="thin">
        <color theme="1" tint="0.34998626667073579"/>
      </bottom>
      <diagonal/>
    </border>
    <border>
      <left/>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medium">
        <color indexed="64"/>
      </right>
      <top/>
      <bottom style="thin">
        <color theme="1" tint="0.3499862666707357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theme="1" tint="0.34998626667073579"/>
      </top>
      <bottom style="medium">
        <color indexed="64"/>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style="thin">
        <color theme="1" tint="0.34998626667073579"/>
      </bottom>
      <diagonal/>
    </border>
    <border>
      <left style="medium">
        <color indexed="64"/>
      </left>
      <right style="thin">
        <color theme="1" tint="0.34998626667073579"/>
      </right>
      <top style="thin">
        <color theme="1" tint="0.34998626667073579"/>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theme="1" tint="0.34998626667073579"/>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thin">
        <color indexed="64"/>
      </left>
      <right style="medium">
        <color indexed="64"/>
      </right>
      <top style="medium">
        <color indexed="64"/>
      </top>
      <bottom style="thin">
        <color theme="1" tint="0.34998626667073579"/>
      </bottom>
      <diagonal/>
    </border>
    <border>
      <left style="medium">
        <color indexed="64"/>
      </left>
      <right style="thin">
        <color indexed="64"/>
      </right>
      <top style="thin">
        <color theme="1" tint="0.34998626667073579"/>
      </top>
      <bottom style="thin">
        <color theme="1" tint="0.34998626667073579"/>
      </bottom>
      <diagonal/>
    </border>
    <border>
      <left style="thin">
        <color indexed="64"/>
      </left>
      <right style="thin">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medium">
        <color indexed="64"/>
      </left>
      <right style="thin">
        <color indexed="64"/>
      </right>
      <top style="thin">
        <color theme="1" tint="0.34998626667073579"/>
      </top>
      <bottom/>
      <diagonal/>
    </border>
    <border>
      <left style="thin">
        <color indexed="64"/>
      </left>
      <right style="thin">
        <color indexed="64"/>
      </right>
      <top style="thin">
        <color theme="1" tint="0.34998626667073579"/>
      </top>
      <bottom style="medium">
        <color theme="1" tint="0.34998626667073579"/>
      </bottom>
      <diagonal/>
    </border>
    <border>
      <left style="thin">
        <color indexed="64"/>
      </left>
      <right style="thin">
        <color indexed="64"/>
      </right>
      <top style="thin">
        <color theme="1" tint="0.34998626667073579"/>
      </top>
      <bottom/>
      <diagonal/>
    </border>
    <border>
      <left style="thin">
        <color indexed="64"/>
      </left>
      <right style="medium">
        <color indexed="64"/>
      </right>
      <top style="thin">
        <color theme="1" tint="0.34998626667073579"/>
      </top>
      <bottom/>
      <diagonal/>
    </border>
    <border>
      <left style="medium">
        <color indexed="64"/>
      </left>
      <right style="thin">
        <color indexed="64"/>
      </right>
      <top style="medium">
        <color theme="1" tint="0.34998626667073579"/>
      </top>
      <bottom style="thin">
        <color theme="1" tint="0.34998626667073579"/>
      </bottom>
      <diagonal/>
    </border>
    <border>
      <left style="thin">
        <color indexed="64"/>
      </left>
      <right style="thin">
        <color indexed="64"/>
      </right>
      <top style="medium">
        <color theme="1" tint="0.34998626667073579"/>
      </top>
      <bottom style="thin">
        <color theme="1" tint="0.34998626667073579"/>
      </bottom>
      <diagonal/>
    </border>
    <border>
      <left style="thin">
        <color indexed="64"/>
      </left>
      <right style="medium">
        <color indexed="64"/>
      </right>
      <top style="medium">
        <color theme="1" tint="0.34998626667073579"/>
      </top>
      <bottom style="thin">
        <color theme="1" tint="0.34998626667073579"/>
      </bottom>
      <diagonal/>
    </border>
    <border>
      <left style="thin">
        <color indexed="64"/>
      </left>
      <right style="medium">
        <color indexed="64"/>
      </right>
      <top style="thin">
        <color theme="1" tint="0.34998626667073579"/>
      </top>
      <bottom style="medium">
        <color theme="1" tint="0.34998626667073579"/>
      </bottom>
      <diagonal/>
    </border>
    <border>
      <left style="thin">
        <color indexed="64"/>
      </left>
      <right style="thin">
        <color indexed="64"/>
      </right>
      <top/>
      <bottom style="thin">
        <color theme="1" tint="0.34998626667073579"/>
      </bottom>
      <diagonal/>
    </border>
    <border>
      <left style="medium">
        <color indexed="64"/>
      </left>
      <right style="thin">
        <color indexed="64"/>
      </right>
      <top style="thin">
        <color theme="1" tint="0.34998626667073579"/>
      </top>
      <bottom style="medium">
        <color indexed="64"/>
      </bottom>
      <diagonal/>
    </border>
    <border>
      <left style="thin">
        <color indexed="64"/>
      </left>
      <right style="thin">
        <color indexed="64"/>
      </right>
      <top style="thin">
        <color theme="1" tint="0.34998626667073579"/>
      </top>
      <bottom style="medium">
        <color indexed="64"/>
      </bottom>
      <diagonal/>
    </border>
    <border>
      <left style="thin">
        <color indexed="64"/>
      </left>
      <right style="medium">
        <color indexed="64"/>
      </right>
      <top style="thin">
        <color theme="1" tint="0.34998626667073579"/>
      </top>
      <bottom style="medium">
        <color indexed="64"/>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medium">
        <color indexed="64"/>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indexed="64"/>
      </top>
      <bottom/>
      <diagonal/>
    </border>
    <border>
      <left style="thin">
        <color theme="1" tint="0.34998626667073579"/>
      </left>
      <right style="medium">
        <color indexed="64"/>
      </right>
      <top style="thin">
        <color indexed="64"/>
      </top>
      <bottom/>
      <diagonal/>
    </border>
    <border>
      <left style="medium">
        <color indexed="64"/>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indexed="64"/>
      </left>
      <right style="medium">
        <color indexed="64"/>
      </right>
      <top style="thin">
        <color indexed="64"/>
      </top>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theme="1" tint="0.34998626667073579"/>
      </bottom>
      <diagonal/>
    </border>
    <border>
      <left style="thin">
        <color rgb="FF808080"/>
      </left>
      <right style="thin">
        <color rgb="FF808080"/>
      </right>
      <top style="thin">
        <color rgb="FF000000"/>
      </top>
      <bottom style="thin">
        <color rgb="FF808080"/>
      </bottom>
      <diagonal/>
    </border>
    <border>
      <left style="thin">
        <color rgb="FF595959"/>
      </left>
      <right style="thin">
        <color rgb="FF595959"/>
      </right>
      <top style="thin">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theme="1" tint="0.34998626667073579"/>
      </left>
      <right style="thin">
        <color rgb="FF000000"/>
      </right>
      <top style="thin">
        <color theme="1" tint="0.34998626667073579"/>
      </top>
      <bottom/>
      <diagonal/>
    </border>
    <border>
      <left style="thin">
        <color theme="1" tint="0.34998626667073579"/>
      </left>
      <right style="thin">
        <color rgb="FF000000"/>
      </right>
      <top/>
      <bottom/>
      <diagonal/>
    </border>
    <border>
      <left style="thin">
        <color theme="1" tint="0.34998626667073579"/>
      </left>
      <right style="thin">
        <color rgb="FF000000"/>
      </right>
      <top/>
      <bottom style="thin">
        <color theme="1" tint="0.34998626667073579"/>
      </bottom>
      <diagonal/>
    </border>
    <border>
      <left style="thin">
        <color rgb="FF595959"/>
      </left>
      <right style="thin">
        <color rgb="FF595959"/>
      </right>
      <top style="thin">
        <color rgb="FF595959"/>
      </top>
      <bottom style="thin">
        <color rgb="FF595959"/>
      </bottom>
      <diagonal/>
    </border>
    <border>
      <left/>
      <right style="thin">
        <color rgb="FF595959"/>
      </right>
      <top style="thin">
        <color rgb="FF595959"/>
      </top>
      <bottom style="thin">
        <color rgb="FF595959"/>
      </bottom>
      <diagonal/>
    </border>
    <border>
      <left/>
      <right/>
      <top/>
      <bottom style="thin">
        <color rgb="FF000000"/>
      </bottom>
      <diagonal/>
    </border>
    <border>
      <left style="thin">
        <color rgb="FF000000"/>
      </left>
      <right/>
      <top/>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rgb="FF808080"/>
      </left>
      <right style="thin">
        <color indexed="64"/>
      </right>
      <top style="thin">
        <color rgb="FF000000"/>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theme="1" tint="0.34998626667073579"/>
      </left>
      <right style="thin">
        <color indexed="64"/>
      </right>
      <top/>
      <bottom/>
      <diagonal/>
    </border>
    <border>
      <left style="thin">
        <color rgb="FF808080"/>
      </left>
      <right style="thin">
        <color indexed="64"/>
      </right>
      <top style="thin">
        <color rgb="FF000000"/>
      </top>
      <bottom style="thin">
        <color rgb="FF808080"/>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1" tint="0.34998626667073579"/>
      </left>
      <right/>
      <top style="medium">
        <color theme="1" tint="0.34998626667073579"/>
      </top>
      <bottom/>
      <diagonal/>
    </border>
    <border>
      <left/>
      <right/>
      <top style="medium">
        <color theme="1" tint="0.34998626667073579"/>
      </top>
      <bottom/>
      <diagonal/>
    </border>
    <border>
      <left/>
      <right style="thin">
        <color theme="1" tint="0.34998626667073579"/>
      </right>
      <top style="medium">
        <color theme="1" tint="0.34998626667073579"/>
      </top>
      <bottom/>
      <diagonal/>
    </border>
    <border>
      <left style="medium">
        <color indexed="64"/>
      </left>
      <right style="thin">
        <color theme="1" tint="0.34998626667073579"/>
      </right>
      <top style="medium">
        <color indexed="64"/>
      </top>
      <bottom/>
      <diagonal/>
    </border>
    <border>
      <left style="thin">
        <color theme="1" tint="0.34998626667073579"/>
      </left>
      <right style="medium">
        <color theme="1" tint="0.34998626667073579"/>
      </right>
      <top style="medium">
        <color indexed="64"/>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top style="thin">
        <color theme="1" tint="0.34998626667073579"/>
      </top>
      <bottom style="medium">
        <color rgb="FF000000"/>
      </bottom>
      <diagonal/>
    </border>
    <border>
      <left style="thin">
        <color indexed="64"/>
      </left>
      <right/>
      <top style="medium">
        <color indexed="64"/>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indexed="64"/>
      </left>
      <right/>
      <top style="thin">
        <color theme="1" tint="0.34998626667073579"/>
      </top>
      <bottom/>
      <diagonal/>
    </border>
    <border>
      <left style="thin">
        <color indexed="64"/>
      </left>
      <right/>
      <top style="thin">
        <color theme="1" tint="0.34998626667073579"/>
      </top>
      <bottom style="medium">
        <color indexed="64"/>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2" fillId="0" borderId="0"/>
    <xf numFmtId="0" fontId="14" fillId="0" borderId="0" applyNumberFormat="0" applyFill="0" applyBorder="0" applyAlignment="0" applyProtection="0"/>
    <xf numFmtId="0" fontId="6" fillId="0" borderId="0"/>
    <xf numFmtId="0" fontId="6" fillId="0" borderId="0"/>
    <xf numFmtId="0" fontId="42" fillId="0" borderId="0"/>
  </cellStyleXfs>
  <cellXfs count="919">
    <xf numFmtId="0" fontId="0" fillId="0" borderId="0" xfId="0"/>
    <xf numFmtId="0" fontId="3" fillId="0" borderId="0" xfId="0" applyFont="1"/>
    <xf numFmtId="0" fontId="0" fillId="0" borderId="0" xfId="0" applyAlignment="1">
      <alignment horizontal="left"/>
    </xf>
    <xf numFmtId="0" fontId="10" fillId="0" borderId="0" xfId="0" applyFont="1"/>
    <xf numFmtId="0" fontId="10"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167" fontId="6" fillId="0" borderId="0" xfId="0" applyNumberFormat="1" applyFont="1"/>
    <xf numFmtId="165" fontId="6" fillId="0" borderId="0" xfId="0" applyNumberFormat="1" applyFont="1"/>
    <xf numFmtId="0" fontId="14" fillId="0" borderId="0" xfId="5" applyFont="1"/>
    <xf numFmtId="0" fontId="6" fillId="0" borderId="0" xfId="0" applyFont="1" applyAlignment="1">
      <alignment wrapText="1"/>
    </xf>
    <xf numFmtId="0" fontId="13"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0" fontId="18" fillId="6" borderId="2" xfId="0" applyFont="1" applyFill="1" applyBorder="1" applyAlignment="1">
      <alignment vertical="center"/>
    </xf>
    <xf numFmtId="0" fontId="7" fillId="6" borderId="0" xfId="0" applyFont="1" applyFill="1" applyAlignment="1">
      <alignment horizontal="center" vertical="center"/>
    </xf>
    <xf numFmtId="0" fontId="18" fillId="6" borderId="2" xfId="0" applyFont="1" applyFill="1" applyBorder="1" applyAlignment="1">
      <alignment horizontal="left" vertical="center"/>
    </xf>
    <xf numFmtId="3" fontId="6" fillId="0" borderId="2" xfId="7" applyNumberFormat="1" applyFont="1" applyBorder="1" applyAlignment="1">
      <alignment horizontal="center" vertical="center"/>
    </xf>
    <xf numFmtId="0" fontId="9" fillId="0" borderId="2" xfId="3" applyFont="1" applyBorder="1" applyAlignment="1">
      <alignment horizontal="center" vertical="center" wrapText="1"/>
    </xf>
    <xf numFmtId="3" fontId="9" fillId="0" borderId="2" xfId="3" applyNumberFormat="1" applyFont="1" applyFill="1" applyBorder="1" applyAlignment="1">
      <alignment horizontal="center" vertical="center" wrapText="1"/>
    </xf>
    <xf numFmtId="165" fontId="6" fillId="0" borderId="0" xfId="0" applyNumberFormat="1" applyFont="1" applyAlignment="1">
      <alignment horizontal="center" vertical="center"/>
    </xf>
    <xf numFmtId="0" fontId="6" fillId="0" borderId="0" xfId="0" applyFont="1" applyAlignment="1">
      <alignment horizontal="center" vertical="top" wrapText="1"/>
    </xf>
    <xf numFmtId="0" fontId="7" fillId="0" borderId="0" xfId="0" applyFont="1" applyAlignment="1">
      <alignment horizontal="center" vertical="top" wrapText="1"/>
    </xf>
    <xf numFmtId="167" fontId="14" fillId="0" borderId="0" xfId="5" applyNumberFormat="1" applyFont="1" applyAlignment="1">
      <alignment horizontal="left" vertical="top"/>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xf numFmtId="9" fontId="6" fillId="0" borderId="0" xfId="2" applyFont="1" applyFill="1" applyBorder="1" applyAlignment="1">
      <alignment horizontal="center" vertical="center"/>
    </xf>
    <xf numFmtId="0" fontId="16" fillId="9" borderId="0" xfId="0" applyFont="1" applyFill="1"/>
    <xf numFmtId="0" fontId="24" fillId="9" borderId="0" xfId="0" applyFont="1" applyFill="1"/>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0" fontId="25" fillId="8" borderId="2" xfId="0" applyFont="1" applyFill="1" applyBorder="1" applyAlignment="1">
      <alignment horizontal="left" vertical="center" wrapText="1"/>
    </xf>
    <xf numFmtId="0" fontId="25" fillId="8" borderId="2" xfId="0" applyFont="1" applyFill="1" applyBorder="1" applyAlignment="1">
      <alignment horizontal="left" vertical="center"/>
    </xf>
    <xf numFmtId="0" fontId="6" fillId="0" borderId="19" xfId="0" applyFont="1" applyBorder="1" applyAlignment="1">
      <alignment horizontal="left"/>
    </xf>
    <xf numFmtId="10" fontId="6" fillId="0" borderId="19" xfId="8" applyNumberFormat="1" applyFont="1" applyBorder="1" applyAlignment="1">
      <alignment horizontal="center"/>
    </xf>
    <xf numFmtId="10" fontId="6" fillId="0" borderId="0" xfId="8" applyNumberFormat="1" applyFont="1" applyBorder="1" applyAlignment="1">
      <alignment horizontal="center"/>
    </xf>
    <xf numFmtId="10" fontId="6" fillId="0" borderId="20" xfId="8" applyNumberFormat="1" applyFont="1" applyBorder="1" applyAlignment="1">
      <alignment horizontal="center"/>
    </xf>
    <xf numFmtId="9" fontId="7" fillId="0" borderId="0" xfId="2" applyFont="1" applyFill="1" applyBorder="1"/>
    <xf numFmtId="164" fontId="6" fillId="0" borderId="0" xfId="0" applyNumberFormat="1" applyFont="1"/>
    <xf numFmtId="0" fontId="7" fillId="6" borderId="29" xfId="0" applyFont="1" applyFill="1" applyBorder="1" applyAlignment="1">
      <alignment horizontal="center" vertical="center"/>
    </xf>
    <xf numFmtId="9" fontId="6" fillId="0" borderId="0" xfId="2" applyFont="1" applyFill="1" applyBorder="1" applyAlignment="1">
      <alignment horizontal="left" vertical="center"/>
    </xf>
    <xf numFmtId="11" fontId="6" fillId="0" borderId="0" xfId="0" applyNumberFormat="1" applyFont="1"/>
    <xf numFmtId="0" fontId="6" fillId="6" borderId="29" xfId="0" applyFont="1" applyFill="1" applyBorder="1" applyAlignment="1">
      <alignment horizontal="center" vertical="center"/>
    </xf>
    <xf numFmtId="2" fontId="6" fillId="0" borderId="29" xfId="0" applyNumberFormat="1" applyFont="1" applyBorder="1" applyAlignment="1">
      <alignment horizontal="center" vertical="center"/>
    </xf>
    <xf numFmtId="2" fontId="6" fillId="0" borderId="29" xfId="0" applyNumberFormat="1" applyFont="1" applyBorder="1" applyAlignment="1">
      <alignment horizontal="center" vertical="center" wrapText="1"/>
    </xf>
    <xf numFmtId="0" fontId="7" fillId="0" borderId="29" xfId="0" applyFont="1" applyBorder="1" applyAlignment="1">
      <alignment horizontal="center" vertical="center"/>
    </xf>
    <xf numFmtId="165" fontId="6" fillId="0" borderId="29" xfId="0" applyNumberFormat="1" applyFont="1" applyBorder="1" applyAlignment="1">
      <alignment horizontal="center" vertical="center"/>
    </xf>
    <xf numFmtId="11" fontId="6" fillId="0" borderId="0" xfId="0" applyNumberFormat="1" applyFont="1" applyAlignment="1">
      <alignment horizontal="center" vertical="center"/>
    </xf>
    <xf numFmtId="11" fontId="6" fillId="0" borderId="0" xfId="0" applyNumberFormat="1" applyFont="1" applyAlignment="1">
      <alignment horizontal="center" vertical="center" wrapText="1"/>
    </xf>
    <xf numFmtId="0" fontId="23" fillId="0" borderId="0" xfId="0" applyFont="1" applyAlignment="1">
      <alignment horizontal="center" vertical="center"/>
    </xf>
    <xf numFmtId="167" fontId="23" fillId="0" borderId="36" xfId="0" applyNumberFormat="1" applyFont="1" applyBorder="1" applyAlignment="1">
      <alignment horizontal="center" vertical="center"/>
    </xf>
    <xf numFmtId="167" fontId="23" fillId="0" borderId="38" xfId="0" applyNumberFormat="1" applyFont="1" applyBorder="1" applyAlignment="1">
      <alignment horizontal="center" vertical="center"/>
    </xf>
    <xf numFmtId="167" fontId="23" fillId="0" borderId="39" xfId="0" applyNumberFormat="1" applyFont="1" applyBorder="1" applyAlignment="1">
      <alignment horizontal="center" vertical="center"/>
    </xf>
    <xf numFmtId="167" fontId="23" fillId="0" borderId="41" xfId="0" applyNumberFormat="1" applyFont="1" applyBorder="1" applyAlignment="1">
      <alignment horizontal="center" vertical="center"/>
    </xf>
    <xf numFmtId="167" fontId="23" fillId="0" borderId="43" xfId="0" applyNumberFormat="1" applyFont="1" applyBorder="1" applyAlignment="1">
      <alignment horizontal="center" vertical="center"/>
    </xf>
    <xf numFmtId="167" fontId="23" fillId="0" borderId="44" xfId="0" applyNumberFormat="1" applyFont="1" applyBorder="1" applyAlignment="1">
      <alignment horizontal="center" vertical="center"/>
    </xf>
    <xf numFmtId="0" fontId="26" fillId="4" borderId="0" xfId="0" applyFont="1" applyFill="1" applyAlignment="1">
      <alignment vertical="center" wrapText="1"/>
    </xf>
    <xf numFmtId="0" fontId="23" fillId="4" borderId="0" xfId="0" applyFont="1" applyFill="1" applyAlignment="1">
      <alignment horizontal="center" vertical="center"/>
    </xf>
    <xf numFmtId="165" fontId="23" fillId="4" borderId="0" xfId="0" applyNumberFormat="1" applyFont="1" applyFill="1" applyAlignment="1">
      <alignment horizontal="center" vertical="center"/>
    </xf>
    <xf numFmtId="3" fontId="6" fillId="0" borderId="0" xfId="0" applyNumberFormat="1" applyFont="1" applyAlignment="1">
      <alignment horizontal="left"/>
    </xf>
    <xf numFmtId="0" fontId="6" fillId="0" borderId="0" xfId="12"/>
    <xf numFmtId="0" fontId="25" fillId="0" borderId="0" xfId="0" applyFont="1" applyAlignment="1">
      <alignment horizontal="left" vertical="center" wrapText="1"/>
    </xf>
    <xf numFmtId="0" fontId="25" fillId="0" borderId="0" xfId="0" applyFont="1" applyAlignment="1">
      <alignment horizontal="left" vertical="center"/>
    </xf>
    <xf numFmtId="0" fontId="25" fillId="0" borderId="0" xfId="0" applyFont="1" applyAlignment="1">
      <alignment horizontal="center" vertical="center" wrapText="1"/>
    </xf>
    <xf numFmtId="10" fontId="6" fillId="0" borderId="0" xfId="8" applyNumberFormat="1" applyFont="1" applyFill="1" applyBorder="1" applyAlignment="1">
      <alignment horizontal="center"/>
    </xf>
    <xf numFmtId="0" fontId="16" fillId="10" borderId="0" xfId="0" applyFont="1" applyFill="1"/>
    <xf numFmtId="0" fontId="24" fillId="10" borderId="0" xfId="0" applyFont="1" applyFill="1"/>
    <xf numFmtId="0" fontId="25" fillId="0" borderId="0" xfId="12" applyFont="1"/>
    <xf numFmtId="0" fontId="25" fillId="8" borderId="21" xfId="0" applyFont="1" applyFill="1" applyBorder="1" applyAlignment="1">
      <alignment horizontal="center" vertical="center" wrapText="1"/>
    </xf>
    <xf numFmtId="0" fontId="25" fillId="8" borderId="2" xfId="12" applyFont="1" applyFill="1" applyBorder="1" applyAlignment="1">
      <alignment horizontal="left" vertical="center" wrapText="1"/>
    </xf>
    <xf numFmtId="0" fontId="25" fillId="8" borderId="3" xfId="12" applyFont="1" applyFill="1" applyBorder="1" applyAlignment="1">
      <alignment horizontal="left" vertical="center"/>
    </xf>
    <xf numFmtId="0" fontId="25" fillId="8" borderId="27" xfId="12" applyFont="1" applyFill="1" applyBorder="1" applyAlignment="1">
      <alignment horizontal="center" vertical="center" wrapText="1"/>
    </xf>
    <xf numFmtId="0" fontId="25" fillId="8" borderId="21" xfId="12" applyFont="1" applyFill="1" applyBorder="1" applyAlignment="1">
      <alignment horizontal="center" vertical="center" wrapText="1"/>
    </xf>
    <xf numFmtId="0" fontId="25" fillId="8" borderId="28" xfId="12" applyFont="1" applyFill="1" applyBorder="1" applyAlignment="1">
      <alignment horizontal="center" vertical="center" wrapText="1"/>
    </xf>
    <xf numFmtId="0" fontId="25" fillId="8" borderId="24" xfId="12" applyFont="1" applyFill="1" applyBorder="1" applyAlignment="1">
      <alignment horizontal="center" vertical="center" wrapText="1"/>
    </xf>
    <xf numFmtId="3" fontId="6" fillId="0" borderId="26" xfId="8" applyNumberFormat="1" applyFont="1" applyBorder="1" applyAlignment="1">
      <alignment horizontal="left"/>
    </xf>
    <xf numFmtId="3" fontId="6" fillId="0" borderId="0" xfId="8" applyNumberFormat="1" applyFont="1" applyBorder="1" applyAlignment="1">
      <alignment horizontal="left"/>
    </xf>
    <xf numFmtId="3" fontId="6" fillId="0" borderId="25" xfId="8" applyNumberFormat="1" applyFont="1" applyBorder="1" applyAlignment="1">
      <alignment horizontal="left"/>
    </xf>
    <xf numFmtId="1" fontId="6" fillId="0" borderId="0" xfId="2" applyNumberFormat="1" applyFont="1" applyFill="1" applyBorder="1" applyAlignment="1">
      <alignment horizontal="left" vertic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1" fontId="6" fillId="0" borderId="2" xfId="0" applyNumberFormat="1" applyFont="1" applyBorder="1" applyAlignment="1">
      <alignment horizontal="center" vertical="center"/>
    </xf>
    <xf numFmtId="9" fontId="6" fillId="0" borderId="0" xfId="0" applyNumberFormat="1" applyFont="1" applyAlignment="1">
      <alignment horizontal="center"/>
    </xf>
    <xf numFmtId="3" fontId="6" fillId="0" borderId="0" xfId="0" applyNumberFormat="1" applyFont="1" applyAlignment="1">
      <alignment horizontal="center" vertical="center"/>
    </xf>
    <xf numFmtId="0" fontId="6" fillId="0" borderId="0" xfId="0" applyFont="1" applyAlignment="1">
      <alignment horizontal="right"/>
    </xf>
    <xf numFmtId="165" fontId="6" fillId="0" borderId="2" xfId="0" applyNumberFormat="1" applyFont="1" applyBorder="1" applyAlignment="1">
      <alignment horizontal="center" vertical="center"/>
    </xf>
    <xf numFmtId="2" fontId="6" fillId="0" borderId="33" xfId="0" applyNumberFormat="1" applyFont="1" applyBorder="1"/>
    <xf numFmtId="0" fontId="6" fillId="0" borderId="33" xfId="0" applyFont="1" applyBorder="1"/>
    <xf numFmtId="167" fontId="23" fillId="0" borderId="0" xfId="0" applyNumberFormat="1" applyFont="1" applyAlignment="1">
      <alignment horizontal="center" vertical="center"/>
    </xf>
    <xf numFmtId="3" fontId="6" fillId="0" borderId="0" xfId="7" applyNumberFormat="1" applyFont="1" applyAlignment="1">
      <alignment horizontal="center" vertical="center"/>
    </xf>
    <xf numFmtId="0" fontId="6" fillId="6" borderId="2" xfId="0" applyFont="1" applyFill="1" applyBorder="1" applyAlignment="1">
      <alignment horizontal="center" vertical="center"/>
    </xf>
    <xf numFmtId="0" fontId="9" fillId="0" borderId="2" xfId="3" applyFont="1" applyFill="1" applyBorder="1" applyAlignment="1">
      <alignment horizontal="center" vertical="center" wrapText="1"/>
    </xf>
    <xf numFmtId="167" fontId="6" fillId="0" borderId="2" xfId="0" applyNumberFormat="1" applyFont="1" applyBorder="1" applyAlignment="1">
      <alignment horizontal="center" vertical="center"/>
    </xf>
    <xf numFmtId="0" fontId="6" fillId="6" borderId="2" xfId="0" applyFont="1" applyFill="1" applyBorder="1" applyAlignment="1">
      <alignment horizontal="center" vertical="center" wrapText="1"/>
    </xf>
    <xf numFmtId="0" fontId="27" fillId="0" borderId="0" xfId="0" applyFont="1"/>
    <xf numFmtId="0" fontId="28" fillId="0" borderId="0" xfId="0" applyFont="1"/>
    <xf numFmtId="0" fontId="27" fillId="0" borderId="0" xfId="0" applyFont="1" applyAlignment="1">
      <alignment wrapText="1"/>
    </xf>
    <xf numFmtId="0" fontId="27"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left"/>
    </xf>
    <xf numFmtId="0" fontId="1" fillId="0" borderId="2" xfId="0" applyFont="1" applyBorder="1" applyAlignment="1">
      <alignment horizontal="left" vertical="center" wrapText="1"/>
    </xf>
    <xf numFmtId="1" fontId="1" fillId="0" borderId="2" xfId="0" applyNumberFormat="1" applyFont="1" applyBorder="1" applyAlignment="1">
      <alignment horizontal="center" vertical="center"/>
    </xf>
    <xf numFmtId="0" fontId="9" fillId="0" borderId="2" xfId="0" applyFont="1" applyBorder="1" applyAlignment="1">
      <alignment horizontal="center" vertical="center" wrapText="1"/>
    </xf>
    <xf numFmtId="0" fontId="22" fillId="0" borderId="0" xfId="0" applyFont="1" applyAlignment="1">
      <alignment horizontal="left" vertical="center" wrapText="1"/>
    </xf>
    <xf numFmtId="0" fontId="6" fillId="0" borderId="0" xfId="0" applyFont="1" applyAlignment="1">
      <alignment vertical="top" wrapText="1"/>
    </xf>
    <xf numFmtId="169" fontId="6" fillId="0" borderId="0" xfId="6" applyNumberFormat="1" applyFont="1" applyFill="1" applyBorder="1" applyAlignment="1">
      <alignment horizontal="center"/>
    </xf>
    <xf numFmtId="0" fontId="20" fillId="0" borderId="0" xfId="0" applyFont="1" applyAlignment="1">
      <alignment horizontal="center" vertical="center"/>
    </xf>
    <xf numFmtId="168" fontId="21" fillId="0" borderId="0" xfId="6" applyNumberFormat="1" applyFont="1" applyFill="1" applyBorder="1" applyAlignment="1">
      <alignment horizontal="center" vertical="center"/>
    </xf>
    <xf numFmtId="0" fontId="6" fillId="0" borderId="1" xfId="0" applyFont="1" applyBorder="1" applyAlignment="1">
      <alignment horizontal="center" vertical="center"/>
    </xf>
    <xf numFmtId="0" fontId="18" fillId="6" borderId="14" xfId="0" applyFont="1" applyFill="1" applyBorder="1" applyAlignment="1">
      <alignment horizontal="center" vertical="center" wrapText="1"/>
    </xf>
    <xf numFmtId="0" fontId="7" fillId="6" borderId="32" xfId="0" applyFont="1" applyFill="1" applyBorder="1" applyAlignment="1">
      <alignment horizontal="center"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0" fontId="6" fillId="0" borderId="49" xfId="0" applyFont="1" applyBorder="1" applyAlignment="1">
      <alignment horizontal="left" vertical="center"/>
    </xf>
    <xf numFmtId="0" fontId="29" fillId="0" borderId="0" xfId="0" applyFont="1" applyAlignment="1">
      <alignment horizontal="left" vertical="center"/>
    </xf>
    <xf numFmtId="0" fontId="9" fillId="0" borderId="0" xfId="3" applyFont="1" applyBorder="1" applyAlignment="1">
      <alignment horizontal="center" vertical="center" wrapText="1"/>
    </xf>
    <xf numFmtId="0" fontId="7" fillId="6" borderId="32" xfId="0" applyFont="1" applyFill="1" applyBorder="1" applyAlignment="1">
      <alignment horizontal="center" vertical="center" wrapText="1"/>
    </xf>
    <xf numFmtId="169" fontId="9" fillId="0" borderId="2" xfId="6" applyNumberFormat="1" applyFont="1" applyBorder="1" applyAlignment="1">
      <alignment horizontal="center" vertical="center" wrapText="1"/>
    </xf>
    <xf numFmtId="0" fontId="18" fillId="0" borderId="0" xfId="0" applyFont="1" applyAlignment="1">
      <alignment horizontal="center" wrapText="1"/>
    </xf>
    <xf numFmtId="0" fontId="16" fillId="0" borderId="0" xfId="0" applyFont="1" applyAlignment="1">
      <alignment wrapText="1"/>
    </xf>
    <xf numFmtId="0" fontId="6" fillId="0" borderId="0" xfId="4" applyAlignment="1">
      <alignment horizontal="center"/>
    </xf>
    <xf numFmtId="9" fontId="6" fillId="0" borderId="0" xfId="0" applyNumberFormat="1" applyFont="1" applyAlignment="1">
      <alignment horizontal="left" vertical="center"/>
    </xf>
    <xf numFmtId="0" fontId="1" fillId="0" borderId="29" xfId="0" applyFont="1" applyBorder="1" applyAlignment="1">
      <alignment horizontal="center" vertical="center"/>
    </xf>
    <xf numFmtId="0" fontId="1" fillId="0" borderId="55" xfId="0" applyFont="1" applyBorder="1" applyAlignment="1">
      <alignment horizontal="center" vertical="center" wrapText="1"/>
    </xf>
    <xf numFmtId="0" fontId="7" fillId="6" borderId="33" xfId="0" applyFont="1" applyFill="1" applyBorder="1" applyAlignment="1">
      <alignment horizontal="center" vertical="center" wrapText="1"/>
    </xf>
    <xf numFmtId="1" fontId="9" fillId="0" borderId="0" xfId="3" applyNumberFormat="1" applyFont="1" applyBorder="1" applyAlignment="1">
      <alignment horizontal="left" vertical="center" wrapText="1"/>
    </xf>
    <xf numFmtId="0" fontId="10" fillId="0" borderId="0" xfId="0" applyFont="1" applyAlignment="1">
      <alignment vertical="center"/>
    </xf>
    <xf numFmtId="170" fontId="9" fillId="0" borderId="0" xfId="3" applyNumberFormat="1" applyFont="1" applyBorder="1" applyAlignment="1">
      <alignment horizontal="center" vertical="center" wrapText="1"/>
    </xf>
    <xf numFmtId="169" fontId="9" fillId="0" borderId="2" xfId="6" applyNumberFormat="1" applyFont="1" applyFill="1" applyBorder="1" applyAlignment="1">
      <alignment horizontal="center" vertical="center" wrapText="1"/>
    </xf>
    <xf numFmtId="0" fontId="11" fillId="0" borderId="0" xfId="0" applyFont="1" applyAlignment="1">
      <alignment vertical="center" wrapText="1"/>
    </xf>
    <xf numFmtId="0" fontId="6" fillId="4" borderId="0" xfId="0" applyFont="1" applyFill="1"/>
    <xf numFmtId="165" fontId="10" fillId="0" borderId="0" xfId="0" applyNumberFormat="1" applyFont="1" applyAlignment="1">
      <alignment horizontal="center" vertical="center"/>
    </xf>
    <xf numFmtId="0" fontId="10" fillId="0" borderId="0" xfId="0" applyFont="1" applyAlignment="1">
      <alignment horizontal="center" vertical="center" wrapText="1"/>
    </xf>
    <xf numFmtId="3" fontId="6" fillId="0" borderId="0" xfId="8" applyNumberFormat="1" applyFont="1" applyFill="1" applyBorder="1" applyAlignment="1">
      <alignment horizontal="center"/>
    </xf>
    <xf numFmtId="0" fontId="25" fillId="0" borderId="0" xfId="0" applyFont="1" applyAlignment="1">
      <alignment horizontal="center" vertical="center"/>
    </xf>
    <xf numFmtId="3" fontId="6" fillId="0" borderId="0" xfId="8" applyNumberFormat="1" applyFont="1" applyFill="1" applyBorder="1" applyAlignment="1">
      <alignment horizontal="left"/>
    </xf>
    <xf numFmtId="0" fontId="7" fillId="2" borderId="0" xfId="0" applyFont="1" applyFill="1" applyAlignment="1">
      <alignment vertical="center"/>
    </xf>
    <xf numFmtId="0" fontId="10" fillId="0" borderId="0" xfId="0" applyFont="1" applyAlignment="1">
      <alignment wrapText="1"/>
    </xf>
    <xf numFmtId="0" fontId="7" fillId="0" borderId="0" xfId="0" applyFont="1" applyAlignment="1">
      <alignment horizontal="center" vertical="center"/>
    </xf>
    <xf numFmtId="0" fontId="25" fillId="12" borderId="2"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left" vertical="center"/>
    </xf>
    <xf numFmtId="0" fontId="6" fillId="0" borderId="29" xfId="0" applyFont="1" applyBorder="1" applyAlignment="1">
      <alignment horizontal="center" vertical="center"/>
    </xf>
    <xf numFmtId="0" fontId="7" fillId="6" borderId="35" xfId="0" applyFont="1" applyFill="1" applyBorder="1" applyAlignment="1">
      <alignment horizontal="center" vertical="center"/>
    </xf>
    <xf numFmtId="167" fontId="6" fillId="0" borderId="36" xfId="0" applyNumberFormat="1" applyFont="1" applyBorder="1" applyAlignment="1">
      <alignment horizontal="center" vertical="center"/>
    </xf>
    <xf numFmtId="0" fontId="6" fillId="7" borderId="36" xfId="0" applyFont="1" applyFill="1" applyBorder="1" applyAlignment="1">
      <alignment horizontal="center" vertical="center"/>
    </xf>
    <xf numFmtId="167" fontId="6" fillId="7" borderId="36" xfId="0" applyNumberFormat="1" applyFont="1" applyFill="1" applyBorder="1" applyAlignment="1">
      <alignment horizontal="center" vertical="center"/>
    </xf>
    <xf numFmtId="0" fontId="6" fillId="5" borderId="36" xfId="0" applyFont="1" applyFill="1" applyBorder="1" applyAlignment="1">
      <alignment horizontal="center" vertical="center"/>
    </xf>
    <xf numFmtId="167" fontId="6" fillId="5" borderId="36" xfId="0" applyNumberFormat="1" applyFont="1" applyFill="1" applyBorder="1" applyAlignment="1">
      <alignment horizontal="center" vertical="center"/>
    </xf>
    <xf numFmtId="0" fontId="6" fillId="3" borderId="36" xfId="0" applyFont="1" applyFill="1" applyBorder="1" applyAlignment="1">
      <alignment horizontal="center" vertical="center"/>
    </xf>
    <xf numFmtId="0" fontId="6" fillId="4" borderId="36" xfId="0" applyFont="1" applyFill="1" applyBorder="1" applyAlignment="1">
      <alignment horizontal="center" vertical="center"/>
    </xf>
    <xf numFmtId="2" fontId="6" fillId="0" borderId="36" xfId="0" applyNumberFormat="1" applyFont="1" applyBorder="1" applyAlignment="1">
      <alignment horizontal="center" vertical="center"/>
    </xf>
    <xf numFmtId="2" fontId="6" fillId="5" borderId="36" xfId="0" applyNumberFormat="1" applyFont="1" applyFill="1" applyBorder="1" applyAlignment="1">
      <alignment horizontal="center" vertical="center"/>
    </xf>
    <xf numFmtId="0" fontId="6" fillId="0" borderId="57" xfId="0" applyFont="1" applyBorder="1" applyAlignment="1">
      <alignment horizontal="center" vertical="center"/>
    </xf>
    <xf numFmtId="0" fontId="6" fillId="7" borderId="57" xfId="0" applyFont="1" applyFill="1" applyBorder="1" applyAlignment="1">
      <alignment horizontal="center" vertical="center"/>
    </xf>
    <xf numFmtId="0" fontId="6" fillId="5" borderId="57" xfId="0" applyFont="1" applyFill="1" applyBorder="1" applyAlignment="1">
      <alignment horizontal="center" vertical="center"/>
    </xf>
    <xf numFmtId="0" fontId="8" fillId="0" borderId="36" xfId="5" applyBorder="1" applyAlignment="1">
      <alignment horizontal="center" vertical="center"/>
    </xf>
    <xf numFmtId="43" fontId="1" fillId="0" borderId="3" xfId="6" applyFont="1" applyBorder="1" applyAlignment="1">
      <alignment horizontal="center" vertical="center" wrapText="1"/>
    </xf>
    <xf numFmtId="0" fontId="6" fillId="0" borderId="14" xfId="0" applyFont="1" applyBorder="1" applyAlignment="1">
      <alignment vertical="center" wrapText="1"/>
    </xf>
    <xf numFmtId="0" fontId="6" fillId="0" borderId="21" xfId="0" applyFont="1" applyBorder="1" applyAlignment="1">
      <alignment horizontal="left" vertical="center"/>
    </xf>
    <xf numFmtId="0" fontId="7" fillId="6" borderId="29" xfId="0" applyFont="1" applyFill="1" applyBorder="1" applyAlignment="1">
      <alignment horizontal="center" vertical="center" wrapText="1"/>
    </xf>
    <xf numFmtId="0" fontId="6" fillId="0" borderId="36" xfId="0" applyFont="1" applyBorder="1" applyAlignment="1">
      <alignment vertical="center" wrapText="1"/>
    </xf>
    <xf numFmtId="167" fontId="1" fillId="7" borderId="29" xfId="0" applyNumberFormat="1" applyFont="1" applyFill="1" applyBorder="1" applyAlignment="1">
      <alignment horizontal="center" vertical="center"/>
    </xf>
    <xf numFmtId="0" fontId="10" fillId="0" borderId="0" xfId="0" applyFont="1" applyAlignment="1">
      <alignment vertical="center" wrapText="1"/>
    </xf>
    <xf numFmtId="0" fontId="6" fillId="0" borderId="69" xfId="0" applyFont="1" applyBorder="1" applyAlignment="1">
      <alignment vertical="center"/>
    </xf>
    <xf numFmtId="0" fontId="7" fillId="6" borderId="69" xfId="0" applyFont="1" applyFill="1" applyBorder="1" applyAlignment="1">
      <alignment horizontal="center" vertical="center"/>
    </xf>
    <xf numFmtId="0" fontId="36" fillId="4" borderId="75" xfId="0" applyFont="1" applyFill="1" applyBorder="1" applyAlignment="1">
      <alignment horizontal="left" vertical="center"/>
    </xf>
    <xf numFmtId="0" fontId="6" fillId="4" borderId="0" xfId="0" applyFont="1" applyFill="1" applyAlignment="1">
      <alignment vertical="center"/>
    </xf>
    <xf numFmtId="0" fontId="6" fillId="0" borderId="69" xfId="0" applyFont="1" applyBorder="1" applyAlignment="1">
      <alignment vertical="center" wrapText="1"/>
    </xf>
    <xf numFmtId="0" fontId="6" fillId="0" borderId="69" xfId="0" applyFont="1" applyBorder="1"/>
    <xf numFmtId="0" fontId="6" fillId="4" borderId="0" xfId="0" applyFont="1" applyFill="1" applyAlignment="1">
      <alignment vertical="center" wrapText="1"/>
    </xf>
    <xf numFmtId="0" fontId="6" fillId="0" borderId="29" xfId="0" quotePrefix="1" applyFont="1" applyBorder="1" applyAlignment="1">
      <alignment horizontal="center" vertical="center"/>
    </xf>
    <xf numFmtId="0" fontId="6" fillId="0" borderId="29" xfId="0" quotePrefix="1" applyFont="1" applyBorder="1" applyAlignment="1">
      <alignment horizontal="center" vertical="center" wrapText="1"/>
    </xf>
    <xf numFmtId="0" fontId="6" fillId="0" borderId="0" xfId="0" quotePrefix="1" applyFont="1" applyAlignment="1">
      <alignment vertical="center" wrapText="1"/>
    </xf>
    <xf numFmtId="1" fontId="9" fillId="0" borderId="69" xfId="3" applyNumberFormat="1" applyFont="1" applyBorder="1" applyAlignment="1">
      <alignment horizontal="left" vertical="center" wrapText="1"/>
    </xf>
    <xf numFmtId="0" fontId="9" fillId="0" borderId="69" xfId="3" applyFont="1" applyBorder="1" applyAlignment="1">
      <alignment horizontal="left" vertical="center" wrapText="1"/>
    </xf>
    <xf numFmtId="169" fontId="6" fillId="0" borderId="69" xfId="6" applyNumberFormat="1" applyFont="1" applyFill="1" applyBorder="1" applyAlignment="1">
      <alignment horizontal="center" vertical="center"/>
    </xf>
    <xf numFmtId="0" fontId="25" fillId="0" borderId="0" xfId="0" applyFont="1"/>
    <xf numFmtId="0" fontId="7" fillId="6" borderId="70" xfId="0" applyFont="1" applyFill="1" applyBorder="1" applyAlignment="1">
      <alignment horizontal="center" vertical="center"/>
    </xf>
    <xf numFmtId="0" fontId="25" fillId="12" borderId="70" xfId="0" applyFont="1" applyFill="1" applyBorder="1" applyAlignment="1">
      <alignment horizontal="center" vertical="center" wrapText="1"/>
    </xf>
    <xf numFmtId="0" fontId="25" fillId="12" borderId="70" xfId="0" applyFont="1" applyFill="1" applyBorder="1" applyAlignment="1">
      <alignment horizontal="center" vertical="center"/>
    </xf>
    <xf numFmtId="1" fontId="6" fillId="0" borderId="69" xfId="0" applyNumberFormat="1" applyFont="1" applyBorder="1" applyAlignment="1">
      <alignment vertical="center"/>
    </xf>
    <xf numFmtId="3" fontId="6" fillId="0" borderId="69" xfId="0" applyNumberFormat="1" applyFont="1" applyBorder="1" applyAlignment="1">
      <alignment horizontal="center" vertical="center"/>
    </xf>
    <xf numFmtId="169" fontId="6" fillId="0" borderId="69" xfId="6" applyNumberFormat="1" applyFont="1" applyBorder="1" applyAlignment="1">
      <alignment horizontal="center" vertical="center"/>
    </xf>
    <xf numFmtId="3" fontId="6" fillId="0" borderId="69" xfId="2" applyNumberFormat="1" applyFont="1" applyFill="1" applyBorder="1" applyAlignment="1">
      <alignment horizontal="center"/>
    </xf>
    <xf numFmtId="10" fontId="6" fillId="0" borderId="69" xfId="2" applyNumberFormat="1" applyFont="1" applyFill="1" applyBorder="1" applyAlignment="1">
      <alignment horizontal="center"/>
    </xf>
    <xf numFmtId="10" fontId="6" fillId="0" borderId="69" xfId="8" applyNumberFormat="1" applyFont="1" applyFill="1" applyBorder="1" applyAlignment="1">
      <alignment horizontal="center" vertical="center" wrapText="1"/>
    </xf>
    <xf numFmtId="10" fontId="6" fillId="0" borderId="69" xfId="8" applyNumberFormat="1" applyFont="1" applyFill="1" applyBorder="1" applyAlignment="1">
      <alignment horizontal="center"/>
    </xf>
    <xf numFmtId="1" fontId="6" fillId="0" borderId="69" xfId="2" applyNumberFormat="1" applyFont="1" applyFill="1" applyBorder="1" applyAlignment="1">
      <alignment horizontal="center" vertical="center"/>
    </xf>
    <xf numFmtId="0" fontId="18" fillId="6" borderId="69" xfId="0" applyFont="1" applyFill="1" applyBorder="1" applyAlignment="1">
      <alignment horizontal="center" vertical="center" wrapText="1"/>
    </xf>
    <xf numFmtId="0" fontId="18" fillId="6" borderId="70" xfId="0" applyFont="1" applyFill="1" applyBorder="1" applyAlignment="1">
      <alignment horizontal="center" vertical="center" wrapText="1"/>
    </xf>
    <xf numFmtId="1" fontId="6" fillId="0" borderId="69" xfId="0" applyNumberFormat="1" applyFont="1" applyBorder="1"/>
    <xf numFmtId="3" fontId="6" fillId="0" borderId="69" xfId="0" applyNumberFormat="1" applyFont="1" applyBorder="1"/>
    <xf numFmtId="43" fontId="6" fillId="0" borderId="69" xfId="6" applyFont="1" applyBorder="1"/>
    <xf numFmtId="0" fontId="6" fillId="4" borderId="69" xfId="0" applyFont="1" applyFill="1" applyBorder="1" applyAlignment="1">
      <alignment horizontal="center" vertical="center" wrapText="1"/>
    </xf>
    <xf numFmtId="171" fontId="34" fillId="0" borderId="0" xfId="0" applyNumberFormat="1" applyFont="1" applyAlignment="1">
      <alignment vertical="center"/>
    </xf>
    <xf numFmtId="0" fontId="15" fillId="0" borderId="0" xfId="0" applyFont="1"/>
    <xf numFmtId="171" fontId="34" fillId="0" borderId="0" xfId="0" applyNumberFormat="1" applyFont="1"/>
    <xf numFmtId="0" fontId="23" fillId="0" borderId="69" xfId="0" applyFont="1" applyBorder="1" applyAlignment="1">
      <alignment vertical="center" wrapText="1"/>
    </xf>
    <xf numFmtId="0" fontId="35" fillId="0" borderId="69" xfId="0" applyFont="1" applyBorder="1" applyAlignment="1">
      <alignment vertical="center" wrapText="1"/>
    </xf>
    <xf numFmtId="2" fontId="23" fillId="0" borderId="69" xfId="0" applyNumberFormat="1" applyFont="1" applyBorder="1" applyAlignment="1">
      <alignment horizontal="center" vertical="center"/>
    </xf>
    <xf numFmtId="0" fontId="23" fillId="0" borderId="81" xfId="0" applyFont="1" applyBorder="1" applyAlignment="1">
      <alignment horizontal="center" vertical="center"/>
    </xf>
    <xf numFmtId="2" fontId="23" fillId="0" borderId="68" xfId="0" applyNumberFormat="1" applyFont="1" applyBorder="1" applyAlignment="1">
      <alignment horizontal="center" vertical="center"/>
    </xf>
    <xf numFmtId="2" fontId="23" fillId="0" borderId="83" xfId="0" applyNumberFormat="1" applyFont="1" applyBorder="1" applyAlignment="1">
      <alignment horizontal="center" vertical="center"/>
    </xf>
    <xf numFmtId="2" fontId="23" fillId="0" borderId="84" xfId="0" applyNumberFormat="1" applyFont="1" applyBorder="1" applyAlignment="1">
      <alignment horizontal="center" vertical="center"/>
    </xf>
    <xf numFmtId="2" fontId="23" fillId="0" borderId="85" xfId="0" applyNumberFormat="1" applyFont="1" applyBorder="1" applyAlignment="1">
      <alignment horizontal="center" vertical="center"/>
    </xf>
    <xf numFmtId="2" fontId="23" fillId="0" borderId="86" xfId="0" applyNumberFormat="1" applyFont="1" applyBorder="1" applyAlignment="1">
      <alignment horizontal="center" vertical="center"/>
    </xf>
    <xf numFmtId="2" fontId="23" fillId="0" borderId="87" xfId="0" applyNumberFormat="1" applyFont="1" applyBorder="1" applyAlignment="1">
      <alignment horizontal="center" vertical="center"/>
    </xf>
    <xf numFmtId="2" fontId="23" fillId="0" borderId="70" xfId="0" applyNumberFormat="1" applyFont="1" applyBorder="1" applyAlignment="1">
      <alignment horizontal="center" vertical="center"/>
    </xf>
    <xf numFmtId="2" fontId="23" fillId="0" borderId="88" xfId="0" applyNumberFormat="1" applyFont="1" applyBorder="1" applyAlignment="1">
      <alignment horizontal="center" vertical="center"/>
    </xf>
    <xf numFmtId="2" fontId="23" fillId="0" borderId="89" xfId="0" applyNumberFormat="1" applyFont="1" applyBorder="1" applyAlignment="1">
      <alignment horizontal="center" vertical="center"/>
    </xf>
    <xf numFmtId="0" fontId="23" fillId="0" borderId="90" xfId="0" applyFont="1" applyBorder="1" applyAlignment="1">
      <alignment horizontal="center" vertical="center"/>
    </xf>
    <xf numFmtId="0" fontId="23" fillId="0" borderId="73" xfId="0" applyFont="1" applyBorder="1" applyAlignment="1">
      <alignment horizontal="center" vertical="center"/>
    </xf>
    <xf numFmtId="0" fontId="23" fillId="0" borderId="91" xfId="0" applyFont="1" applyBorder="1" applyAlignment="1">
      <alignment horizontal="center" vertical="center"/>
    </xf>
    <xf numFmtId="0" fontId="23" fillId="0" borderId="92" xfId="0" applyFont="1" applyBorder="1" applyAlignment="1">
      <alignment horizontal="center" vertical="center"/>
    </xf>
    <xf numFmtId="1" fontId="1" fillId="0" borderId="2" xfId="0" applyNumberFormat="1" applyFont="1" applyBorder="1" applyAlignment="1">
      <alignment horizontal="left" vertical="center" wrapText="1"/>
    </xf>
    <xf numFmtId="9" fontId="6" fillId="0" borderId="2" xfId="2" applyFont="1" applyBorder="1" applyAlignment="1">
      <alignment horizontal="center" vertical="center"/>
    </xf>
    <xf numFmtId="0" fontId="6" fillId="0" borderId="45" xfId="0" applyFont="1" applyBorder="1" applyAlignment="1">
      <alignment horizontal="center" vertical="center"/>
    </xf>
    <xf numFmtId="0" fontId="8" fillId="4" borderId="78" xfId="5" applyFill="1" applyBorder="1" applyAlignment="1">
      <alignment vertical="center" wrapText="1"/>
    </xf>
    <xf numFmtId="0" fontId="2" fillId="4" borderId="79" xfId="5" applyFont="1" applyFill="1" applyBorder="1" applyAlignment="1">
      <alignment vertical="center" wrapText="1"/>
    </xf>
    <xf numFmtId="0" fontId="8" fillId="4" borderId="79" xfId="5" applyFill="1" applyBorder="1" applyAlignment="1">
      <alignment horizontal="center" vertical="center" wrapText="1"/>
    </xf>
    <xf numFmtId="0" fontId="2" fillId="4" borderId="80" xfId="5" applyFont="1" applyFill="1" applyBorder="1" applyAlignment="1">
      <alignment horizontal="center" vertical="center" wrapText="1"/>
    </xf>
    <xf numFmtId="0" fontId="25" fillId="6" borderId="69" xfId="0" applyFont="1" applyFill="1" applyBorder="1" applyAlignment="1">
      <alignment horizontal="left" vertical="center" wrapText="1"/>
    </xf>
    <xf numFmtId="0" fontId="6" fillId="0" borderId="69" xfId="0" applyFont="1" applyBorder="1" applyAlignment="1">
      <alignment horizontal="right" vertical="center"/>
    </xf>
    <xf numFmtId="171" fontId="6" fillId="0" borderId="69" xfId="0" applyNumberFormat="1" applyFont="1" applyBorder="1" applyAlignment="1">
      <alignment vertical="center"/>
    </xf>
    <xf numFmtId="169" fontId="6" fillId="0" borderId="69" xfId="6" applyNumberFormat="1" applyFont="1" applyBorder="1" applyAlignment="1">
      <alignment horizontal="right" vertical="center" wrapText="1"/>
    </xf>
    <xf numFmtId="169" fontId="6" fillId="0" borderId="69" xfId="6" applyNumberFormat="1" applyFont="1" applyBorder="1" applyAlignment="1">
      <alignment horizontal="right" vertical="center"/>
    </xf>
    <xf numFmtId="171" fontId="1" fillId="0" borderId="69" xfId="0" applyNumberFormat="1" applyFont="1" applyBorder="1" applyAlignment="1">
      <alignment vertical="center"/>
    </xf>
    <xf numFmtId="171" fontId="1" fillId="7" borderId="69" xfId="0" applyNumberFormat="1" applyFont="1" applyFill="1" applyBorder="1" applyAlignment="1">
      <alignment vertical="center"/>
    </xf>
    <xf numFmtId="1" fontId="6" fillId="0" borderId="69" xfId="0" applyNumberFormat="1" applyFont="1" applyBorder="1" applyAlignment="1">
      <alignment horizontal="center" vertical="center"/>
    </xf>
    <xf numFmtId="164" fontId="6" fillId="0" borderId="0" xfId="0" applyNumberFormat="1" applyFont="1" applyAlignment="1">
      <alignment horizontal="center"/>
    </xf>
    <xf numFmtId="2" fontId="6" fillId="0" borderId="0" xfId="2" applyNumberFormat="1" applyFont="1" applyAlignment="1">
      <alignment horizontal="center"/>
    </xf>
    <xf numFmtId="9" fontId="6" fillId="0" borderId="0" xfId="2" applyFont="1" applyAlignment="1">
      <alignment horizontal="center" vertical="top" wrapText="1"/>
    </xf>
    <xf numFmtId="1" fontId="6" fillId="0" borderId="0" xfId="0" applyNumberFormat="1" applyFont="1" applyAlignment="1">
      <alignment horizontal="center" vertical="top" wrapText="1"/>
    </xf>
    <xf numFmtId="1" fontId="6" fillId="4" borderId="69" xfId="0" applyNumberFormat="1" applyFont="1" applyFill="1" applyBorder="1" applyAlignment="1">
      <alignment vertical="center" wrapText="1"/>
    </xf>
    <xf numFmtId="0" fontId="7" fillId="6" borderId="2" xfId="0" applyFont="1" applyFill="1" applyBorder="1" applyAlignment="1">
      <alignment horizontal="center" vertical="center" wrapText="1"/>
    </xf>
    <xf numFmtId="43" fontId="6" fillId="0" borderId="69" xfId="0" applyNumberFormat="1" applyFont="1" applyBorder="1"/>
    <xf numFmtId="2" fontId="6" fillId="0" borderId="69" xfId="0" applyNumberFormat="1" applyFont="1" applyBorder="1"/>
    <xf numFmtId="43" fontId="6" fillId="0" borderId="69" xfId="6" applyFont="1" applyBorder="1" applyAlignment="1">
      <alignment horizontal="left" vertical="center"/>
    </xf>
    <xf numFmtId="0" fontId="6" fillId="0" borderId="36" xfId="0" quotePrefix="1" applyFont="1" applyBorder="1" applyAlignment="1">
      <alignment horizontal="center" vertical="center" wrapText="1"/>
    </xf>
    <xf numFmtId="170" fontId="6" fillId="0" borderId="69" xfId="0" applyNumberFormat="1" applyFont="1" applyBorder="1"/>
    <xf numFmtId="0" fontId="23" fillId="0" borderId="2" xfId="0" applyFont="1" applyBorder="1" applyAlignment="1">
      <alignment horizontal="center" vertical="center"/>
    </xf>
    <xf numFmtId="0" fontId="23" fillId="0" borderId="1" xfId="0"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45" xfId="0" applyFont="1" applyBorder="1" applyAlignment="1">
      <alignment horizontal="center" vertical="center"/>
    </xf>
    <xf numFmtId="0" fontId="23" fillId="0" borderId="103" xfId="0" applyFont="1" applyBorder="1" applyAlignment="1">
      <alignment horizontal="center" vertical="center"/>
    </xf>
    <xf numFmtId="0" fontId="23" fillId="0" borderId="21" xfId="0" applyFont="1" applyBorder="1" applyAlignment="1">
      <alignment horizontal="center" vertical="center"/>
    </xf>
    <xf numFmtId="0" fontId="23" fillId="0" borderId="28" xfId="0" applyFont="1" applyBorder="1" applyAlignment="1">
      <alignment horizontal="center" vertical="center"/>
    </xf>
    <xf numFmtId="3" fontId="6" fillId="0" borderId="2" xfId="7" applyNumberFormat="1" applyFont="1" applyBorder="1" applyAlignment="1">
      <alignment horizontal="left" vertical="center"/>
    </xf>
    <xf numFmtId="1" fontId="23" fillId="0" borderId="83" xfId="0" applyNumberFormat="1" applyFont="1" applyBorder="1" applyAlignment="1">
      <alignment horizontal="center" vertical="center"/>
    </xf>
    <xf numFmtId="1" fontId="23" fillId="0" borderId="69" xfId="0" applyNumberFormat="1" applyFont="1" applyBorder="1" applyAlignment="1">
      <alignment horizontal="center" vertical="center"/>
    </xf>
    <xf numFmtId="1" fontId="23" fillId="0" borderId="86" xfId="0" applyNumberFormat="1" applyFont="1" applyBorder="1" applyAlignment="1">
      <alignment horizontal="center" vertical="center"/>
    </xf>
    <xf numFmtId="1" fontId="23" fillId="0" borderId="84" xfId="0" applyNumberFormat="1" applyFont="1" applyBorder="1" applyAlignment="1">
      <alignment horizontal="center" vertical="center"/>
    </xf>
    <xf numFmtId="1" fontId="23" fillId="0" borderId="85" xfId="0" applyNumberFormat="1" applyFont="1" applyBorder="1" applyAlignment="1">
      <alignment horizontal="center" vertical="center"/>
    </xf>
    <xf numFmtId="1" fontId="23" fillId="0" borderId="87" xfId="0" applyNumberFormat="1" applyFont="1" applyBorder="1" applyAlignment="1">
      <alignment horizontal="center" vertical="center"/>
    </xf>
    <xf numFmtId="0" fontId="8" fillId="0" borderId="0" xfId="5" applyAlignment="1">
      <alignment horizontal="left"/>
    </xf>
    <xf numFmtId="0" fontId="23" fillId="0" borderId="23" xfId="0" applyFont="1" applyBorder="1" applyAlignment="1">
      <alignment horizontal="center" vertical="center"/>
    </xf>
    <xf numFmtId="0" fontId="23" fillId="0" borderId="12" xfId="0" applyFont="1" applyBorder="1" applyAlignment="1">
      <alignment horizontal="center" vertical="center"/>
    </xf>
    <xf numFmtId="0" fontId="23" fillId="0" borderId="109" xfId="0" applyFont="1" applyBorder="1" applyAlignment="1">
      <alignment horizontal="center" vertical="center"/>
    </xf>
    <xf numFmtId="0" fontId="23" fillId="0" borderId="113" xfId="0" applyFont="1" applyBorder="1" applyAlignment="1">
      <alignment horizontal="center" vertical="center"/>
    </xf>
    <xf numFmtId="0" fontId="23" fillId="0" borderId="114" xfId="0" applyFont="1" applyBorder="1" applyAlignment="1">
      <alignment horizontal="center" vertical="center"/>
    </xf>
    <xf numFmtId="0" fontId="23" fillId="0" borderId="119" xfId="0" applyFont="1" applyBorder="1" applyAlignment="1">
      <alignment horizontal="center" vertical="center"/>
    </xf>
    <xf numFmtId="0" fontId="23" fillId="0" borderId="13" xfId="0" applyFont="1" applyBorder="1" applyAlignment="1">
      <alignment horizontal="center" vertical="center"/>
    </xf>
    <xf numFmtId="0" fontId="23" fillId="0" borderId="120" xfId="0" applyFont="1" applyBorder="1" applyAlignment="1">
      <alignment horizontal="center" vertical="center"/>
    </xf>
    <xf numFmtId="0" fontId="23" fillId="0" borderId="72" xfId="0" applyFont="1" applyBorder="1" applyAlignment="1">
      <alignment horizontal="center" vertical="center"/>
    </xf>
    <xf numFmtId="0" fontId="23" fillId="0" borderId="121" xfId="0" applyFont="1" applyBorder="1" applyAlignment="1">
      <alignment horizontal="center" vertical="center"/>
    </xf>
    <xf numFmtId="1" fontId="23" fillId="0" borderId="68" xfId="0" applyNumberFormat="1" applyFont="1" applyBorder="1" applyAlignment="1">
      <alignment horizontal="center" vertical="center"/>
    </xf>
    <xf numFmtId="1" fontId="23" fillId="0" borderId="89" xfId="0" applyNumberFormat="1" applyFont="1" applyBorder="1" applyAlignment="1">
      <alignment horizontal="center" vertical="center"/>
    </xf>
    <xf numFmtId="0" fontId="23" fillId="0" borderId="165" xfId="0" applyFont="1" applyBorder="1" applyAlignment="1">
      <alignment horizontal="center" vertical="center"/>
    </xf>
    <xf numFmtId="2" fontId="23" fillId="0" borderId="99" xfId="0" applyNumberFormat="1" applyFont="1" applyBorder="1" applyAlignment="1">
      <alignment horizontal="center" vertical="center"/>
    </xf>
    <xf numFmtId="2" fontId="23" fillId="0" borderId="110" xfId="0" applyNumberFormat="1" applyFont="1" applyBorder="1" applyAlignment="1">
      <alignment horizontal="center" vertical="center"/>
    </xf>
    <xf numFmtId="2" fontId="23" fillId="0" borderId="111" xfId="0" applyNumberFormat="1" applyFont="1" applyBorder="1" applyAlignment="1">
      <alignment horizontal="center" vertical="center"/>
    </xf>
    <xf numFmtId="0" fontId="23" fillId="0" borderId="166" xfId="0" applyFont="1" applyBorder="1" applyAlignment="1">
      <alignment horizontal="center" vertical="center"/>
    </xf>
    <xf numFmtId="2" fontId="23" fillId="0" borderId="102" xfId="0" applyNumberFormat="1" applyFont="1" applyBorder="1" applyAlignment="1">
      <alignment horizontal="center" vertical="center"/>
    </xf>
    <xf numFmtId="2" fontId="23" fillId="0" borderId="112" xfId="0" applyNumberFormat="1" applyFont="1" applyBorder="1" applyAlignment="1">
      <alignment horizontal="center" vertical="center"/>
    </xf>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0" fontId="23" fillId="0" borderId="17" xfId="0" applyFont="1" applyBorder="1" applyAlignment="1">
      <alignment horizontal="center" vertical="center"/>
    </xf>
    <xf numFmtId="2" fontId="23" fillId="0" borderId="14" xfId="0" applyNumberFormat="1" applyFont="1" applyBorder="1" applyAlignment="1">
      <alignment horizontal="center" vertical="center"/>
    </xf>
    <xf numFmtId="2" fontId="23" fillId="0" borderId="167" xfId="0" applyNumberFormat="1" applyFont="1" applyBorder="1" applyAlignment="1">
      <alignment horizontal="center" vertical="center"/>
    </xf>
    <xf numFmtId="2" fontId="37" fillId="0" borderId="168" xfId="0" applyNumberFormat="1" applyFont="1" applyBorder="1" applyAlignment="1">
      <alignment horizontal="center" vertical="center"/>
    </xf>
    <xf numFmtId="2" fontId="37" fillId="0" borderId="169" xfId="0" applyNumberFormat="1" applyFont="1" applyBorder="1" applyAlignment="1">
      <alignment horizontal="center" vertical="center"/>
    </xf>
    <xf numFmtId="2" fontId="37" fillId="0" borderId="77" xfId="0" applyNumberFormat="1" applyFont="1" applyBorder="1" applyAlignment="1">
      <alignment horizontal="center" vertical="center"/>
    </xf>
    <xf numFmtId="2" fontId="37" fillId="0" borderId="170" xfId="0" applyNumberFormat="1" applyFont="1" applyBorder="1" applyAlignment="1">
      <alignment horizontal="center" vertical="center"/>
    </xf>
    <xf numFmtId="2" fontId="37" fillId="0" borderId="171" xfId="0" applyNumberFormat="1" applyFont="1" applyBorder="1" applyAlignment="1">
      <alignment horizontal="center" vertical="center"/>
    </xf>
    <xf numFmtId="2" fontId="37" fillId="0" borderId="172" xfId="0" applyNumberFormat="1" applyFont="1" applyBorder="1" applyAlignment="1">
      <alignment horizontal="center" vertical="center"/>
    </xf>
    <xf numFmtId="2" fontId="23" fillId="0" borderId="45" xfId="0" applyNumberFormat="1" applyFont="1" applyBorder="1" applyAlignment="1">
      <alignment horizontal="center" vertical="center"/>
    </xf>
    <xf numFmtId="2" fontId="23" fillId="0" borderId="103" xfId="0" applyNumberFormat="1" applyFont="1" applyBorder="1" applyAlignment="1">
      <alignment horizontal="center" vertical="center"/>
    </xf>
    <xf numFmtId="2" fontId="23" fillId="0" borderId="21" xfId="0" applyNumberFormat="1" applyFont="1" applyBorder="1" applyAlignment="1">
      <alignment horizontal="center" vertical="center"/>
    </xf>
    <xf numFmtId="2" fontId="23" fillId="0" borderId="28" xfId="0" applyNumberFormat="1" applyFont="1" applyBorder="1" applyAlignment="1">
      <alignment horizontal="center" vertical="center"/>
    </xf>
    <xf numFmtId="2" fontId="37" fillId="0" borderId="14" xfId="0" applyNumberFormat="1" applyFont="1" applyBorder="1" applyAlignment="1">
      <alignment horizontal="center" vertical="center"/>
    </xf>
    <xf numFmtId="2" fontId="37" fillId="0" borderId="2" xfId="0" applyNumberFormat="1" applyFont="1" applyBorder="1" applyAlignment="1">
      <alignment horizontal="center" vertical="center"/>
    </xf>
    <xf numFmtId="0" fontId="23" fillId="0" borderId="175" xfId="0" applyFont="1" applyBorder="1" applyAlignment="1">
      <alignment horizontal="center" vertical="center"/>
    </xf>
    <xf numFmtId="0" fontId="23" fillId="0" borderId="176" xfId="0" applyFont="1" applyBorder="1" applyAlignment="1">
      <alignment horizontal="center" vertical="center"/>
    </xf>
    <xf numFmtId="1" fontId="23" fillId="0" borderId="99" xfId="0" applyNumberFormat="1" applyFont="1" applyBorder="1" applyAlignment="1">
      <alignment horizontal="center" vertical="center"/>
    </xf>
    <xf numFmtId="1" fontId="23" fillId="0" borderId="110" xfId="0" applyNumberFormat="1" applyFont="1" applyBorder="1" applyAlignment="1">
      <alignment horizontal="center" vertical="center"/>
    </xf>
    <xf numFmtId="1" fontId="23" fillId="0" borderId="111" xfId="0" applyNumberFormat="1" applyFont="1" applyBorder="1" applyAlignment="1">
      <alignment horizontal="center" vertical="center"/>
    </xf>
    <xf numFmtId="1" fontId="23" fillId="0" borderId="102" xfId="0" applyNumberFormat="1" applyFont="1" applyBorder="1" applyAlignment="1">
      <alignment horizontal="center" vertical="center"/>
    </xf>
    <xf numFmtId="1" fontId="23" fillId="0" borderId="112" xfId="0" applyNumberFormat="1" applyFont="1" applyBorder="1" applyAlignment="1">
      <alignment horizontal="center" vertical="center"/>
    </xf>
    <xf numFmtId="1" fontId="23" fillId="0" borderId="118" xfId="0" applyNumberFormat="1" applyFont="1" applyBorder="1" applyAlignment="1">
      <alignment horizontal="center" vertical="center"/>
    </xf>
    <xf numFmtId="1" fontId="23" fillId="0" borderId="117" xfId="0" applyNumberFormat="1" applyFont="1" applyBorder="1" applyAlignment="1">
      <alignment horizontal="center" vertical="center"/>
    </xf>
    <xf numFmtId="0" fontId="23" fillId="0" borderId="177" xfId="0" applyFont="1" applyBorder="1" applyAlignment="1">
      <alignment horizontal="center" vertical="center"/>
    </xf>
    <xf numFmtId="0" fontId="23" fillId="0" borderId="110" xfId="0" applyFont="1" applyBorder="1" applyAlignment="1">
      <alignment horizontal="center" vertical="center"/>
    </xf>
    <xf numFmtId="0" fontId="23" fillId="0" borderId="111" xfId="0" applyFont="1" applyBorder="1" applyAlignment="1">
      <alignment horizontal="center" vertical="center"/>
    </xf>
    <xf numFmtId="0" fontId="23" fillId="0" borderId="117" xfId="0" applyFont="1" applyBorder="1" applyAlignment="1">
      <alignment horizontal="center" vertical="center"/>
    </xf>
    <xf numFmtId="0" fontId="23" fillId="0" borderId="118" xfId="0" applyFont="1" applyBorder="1" applyAlignment="1">
      <alignment horizontal="center" vertical="center"/>
    </xf>
    <xf numFmtId="0" fontId="23" fillId="0" borderId="112" xfId="0" applyFont="1" applyBorder="1" applyAlignment="1">
      <alignment horizontal="center" vertical="center"/>
    </xf>
    <xf numFmtId="2" fontId="1" fillId="5" borderId="36" xfId="0" applyNumberFormat="1" applyFont="1" applyFill="1" applyBorder="1" applyAlignment="1">
      <alignment horizontal="center" vertical="center"/>
    </xf>
    <xf numFmtId="0" fontId="23" fillId="0" borderId="0" xfId="0" applyFont="1" applyAlignment="1">
      <alignment vertical="center"/>
    </xf>
    <xf numFmtId="0" fontId="25" fillId="6" borderId="2" xfId="0" applyFont="1" applyFill="1" applyBorder="1" applyAlignment="1">
      <alignment horizontal="center" vertical="center"/>
    </xf>
    <xf numFmtId="0" fontId="6" fillId="0" borderId="2" xfId="4" applyBorder="1" applyAlignment="1">
      <alignment horizontal="center" vertical="center"/>
    </xf>
    <xf numFmtId="0" fontId="18" fillId="12" borderId="2" xfId="0" applyFont="1" applyFill="1" applyBorder="1" applyAlignment="1">
      <alignment horizontal="center" vertical="center" wrapText="1"/>
    </xf>
    <xf numFmtId="169" fontId="6" fillId="0" borderId="2" xfId="6" applyNumberFormat="1" applyFont="1" applyBorder="1" applyAlignment="1">
      <alignment horizontal="center" vertical="center"/>
    </xf>
    <xf numFmtId="0" fontId="25" fillId="6" borderId="2" xfId="0" applyFont="1" applyFill="1" applyBorder="1" applyAlignment="1">
      <alignment horizontal="center" vertical="center" wrapText="1"/>
    </xf>
    <xf numFmtId="0" fontId="18" fillId="13" borderId="2" xfId="0" applyFont="1" applyFill="1" applyBorder="1" applyAlignment="1">
      <alignment horizontal="center" vertical="center" wrapText="1"/>
    </xf>
    <xf numFmtId="168" fontId="6" fillId="0" borderId="2" xfId="0" applyNumberFormat="1" applyFont="1" applyBorder="1"/>
    <xf numFmtId="9" fontId="9" fillId="0" borderId="2" xfId="3" applyNumberFormat="1" applyFont="1" applyFill="1" applyBorder="1" applyAlignment="1">
      <alignment horizontal="center" vertical="top" wrapText="1"/>
    </xf>
    <xf numFmtId="1" fontId="1" fillId="0" borderId="2" xfId="7" applyNumberFormat="1" applyFont="1" applyBorder="1" applyAlignment="1">
      <alignment horizontal="center" vertical="center"/>
    </xf>
    <xf numFmtId="0" fontId="15" fillId="0" borderId="0" xfId="0" applyFont="1" applyAlignment="1">
      <alignment vertical="center" wrapText="1"/>
    </xf>
    <xf numFmtId="0" fontId="25" fillId="12" borderId="14" xfId="0" applyFont="1" applyFill="1" applyBorder="1" applyAlignment="1">
      <alignment vertical="center"/>
    </xf>
    <xf numFmtId="0" fontId="6" fillId="0" borderId="36" xfId="0" applyFont="1" applyBorder="1"/>
    <xf numFmtId="0" fontId="33" fillId="0" borderId="0" xfId="0" applyFont="1" applyAlignment="1">
      <alignment vertical="center"/>
    </xf>
    <xf numFmtId="0" fontId="40" fillId="0" borderId="0" xfId="0" applyFont="1" applyAlignment="1">
      <alignment horizontal="center" vertical="center"/>
    </xf>
    <xf numFmtId="1" fontId="23" fillId="0" borderId="0" xfId="0" applyNumberFormat="1" applyFont="1" applyAlignment="1">
      <alignment horizontal="center" vertical="center"/>
    </xf>
    <xf numFmtId="0" fontId="39" fillId="0" borderId="0" xfId="0" applyFont="1" applyAlignment="1">
      <alignment horizontal="center" vertical="center" wrapText="1"/>
    </xf>
    <xf numFmtId="0" fontId="38" fillId="0" borderId="0" xfId="0" applyFont="1" applyAlignment="1">
      <alignment horizontal="center" vertical="center" wrapText="1"/>
    </xf>
    <xf numFmtId="0" fontId="1" fillId="0" borderId="179" xfId="0" applyFont="1" applyBorder="1" applyAlignment="1">
      <alignment wrapText="1"/>
    </xf>
    <xf numFmtId="0" fontId="1" fillId="0" borderId="180" xfId="0" applyFont="1" applyBorder="1" applyAlignment="1">
      <alignment wrapText="1"/>
    </xf>
    <xf numFmtId="0" fontId="1" fillId="0" borderId="181" xfId="0" applyFont="1" applyBorder="1" applyAlignment="1">
      <alignment wrapText="1"/>
    </xf>
    <xf numFmtId="0" fontId="25" fillId="12" borderId="185" xfId="0" applyFont="1" applyFill="1" applyBorder="1" applyAlignment="1">
      <alignment wrapText="1"/>
    </xf>
    <xf numFmtId="0" fontId="25" fillId="12" borderId="186" xfId="0" applyFont="1" applyFill="1" applyBorder="1" applyAlignment="1">
      <alignment wrapText="1"/>
    </xf>
    <xf numFmtId="0" fontId="43" fillId="0" borderId="0" xfId="5" applyFont="1" applyAlignment="1">
      <alignment horizontal="left"/>
    </xf>
    <xf numFmtId="0" fontId="18" fillId="0" borderId="0" xfId="0" applyFont="1" applyAlignment="1">
      <alignment wrapText="1"/>
    </xf>
    <xf numFmtId="2" fontId="6" fillId="0" borderId="2" xfId="0" applyNumberFormat="1" applyFont="1" applyBorder="1" applyAlignment="1">
      <alignment horizontal="center" vertical="center" wrapText="1"/>
    </xf>
    <xf numFmtId="169" fontId="6" fillId="0" borderId="76" xfId="0" applyNumberFormat="1" applyFont="1" applyBorder="1"/>
    <xf numFmtId="43" fontId="6" fillId="0" borderId="76" xfId="0" applyNumberFormat="1" applyFont="1" applyBorder="1"/>
    <xf numFmtId="43" fontId="7" fillId="0" borderId="2" xfId="6" applyFont="1" applyBorder="1" applyAlignment="1">
      <alignment horizontal="center" vertical="center"/>
    </xf>
    <xf numFmtId="43" fontId="6" fillId="0" borderId="2" xfId="6" applyFont="1" applyBorder="1" applyAlignment="1">
      <alignment horizontal="center" vertical="center"/>
    </xf>
    <xf numFmtId="0" fontId="6" fillId="0" borderId="0" xfId="13" applyFont="1"/>
    <xf numFmtId="0" fontId="39" fillId="0" borderId="0" xfId="13" applyFont="1" applyAlignment="1">
      <alignment vertical="center" wrapText="1"/>
    </xf>
    <xf numFmtId="0" fontId="39" fillId="0" borderId="0" xfId="13" applyFont="1" applyAlignment="1">
      <alignment vertical="center"/>
    </xf>
    <xf numFmtId="0" fontId="6" fillId="0" borderId="0" xfId="13" applyFont="1" applyAlignment="1">
      <alignment horizontal="left"/>
    </xf>
    <xf numFmtId="0" fontId="42" fillId="0" borderId="0" xfId="13"/>
    <xf numFmtId="0" fontId="8" fillId="0" borderId="0" xfId="5" applyAlignment="1">
      <alignment horizontal="left" vertical="top"/>
    </xf>
    <xf numFmtId="0" fontId="6" fillId="0" borderId="0" xfId="13" applyFont="1" applyAlignment="1">
      <alignment wrapText="1"/>
    </xf>
    <xf numFmtId="0" fontId="6" fillId="7" borderId="20" xfId="13" applyFont="1" applyFill="1" applyBorder="1" applyAlignment="1">
      <alignment horizontal="left" vertical="center"/>
    </xf>
    <xf numFmtId="0" fontId="42" fillId="0" borderId="0" xfId="13" applyAlignment="1">
      <alignment horizontal="left" vertical="center"/>
    </xf>
    <xf numFmtId="0" fontId="6" fillId="0" borderId="0" xfId="13" applyFont="1" applyAlignment="1">
      <alignment horizontal="left" vertical="center"/>
    </xf>
    <xf numFmtId="0" fontId="6" fillId="7" borderId="24" xfId="13" applyFont="1" applyFill="1" applyBorder="1" applyAlignment="1">
      <alignment horizontal="left" vertical="center"/>
    </xf>
    <xf numFmtId="0" fontId="18" fillId="6" borderId="196" xfId="0" applyFont="1" applyFill="1" applyBorder="1" applyAlignment="1">
      <alignment horizontal="center" vertical="center" wrapText="1"/>
    </xf>
    <xf numFmtId="1" fontId="9" fillId="0" borderId="197" xfId="3" applyNumberFormat="1" applyFont="1" applyBorder="1" applyAlignment="1">
      <alignment horizontal="left" vertical="center" wrapText="1"/>
    </xf>
    <xf numFmtId="0" fontId="44" fillId="15" borderId="36" xfId="0" applyFont="1" applyFill="1" applyBorder="1" applyAlignment="1">
      <alignment horizontal="center" vertical="center" wrapText="1"/>
    </xf>
    <xf numFmtId="0" fontId="6" fillId="0" borderId="14" xfId="0" applyFont="1" applyBorder="1" applyAlignment="1">
      <alignment horizontal="center" vertical="center"/>
    </xf>
    <xf numFmtId="0" fontId="18" fillId="6" borderId="2" xfId="0" applyFont="1" applyFill="1" applyBorder="1" applyAlignment="1">
      <alignment horizontal="left" vertical="center" wrapText="1"/>
    </xf>
    <xf numFmtId="0" fontId="8" fillId="0" borderId="0" xfId="5" applyAlignment="1">
      <alignment horizontal="left" vertical="center"/>
    </xf>
    <xf numFmtId="0" fontId="8" fillId="0" borderId="0" xfId="5"/>
    <xf numFmtId="0" fontId="6" fillId="4" borderId="203" xfId="0" applyFont="1" applyFill="1" applyBorder="1"/>
    <xf numFmtId="0" fontId="6" fillId="4" borderId="204" xfId="0" applyFont="1" applyFill="1" applyBorder="1"/>
    <xf numFmtId="0" fontId="6" fillId="4" borderId="205" xfId="0" applyFont="1" applyFill="1" applyBorder="1"/>
    <xf numFmtId="0" fontId="6" fillId="4" borderId="206" xfId="0" applyFont="1" applyFill="1" applyBorder="1"/>
    <xf numFmtId="0" fontId="0" fillId="4" borderId="0" xfId="0" applyFill="1"/>
    <xf numFmtId="0" fontId="6" fillId="4" borderId="207" xfId="0" applyFont="1" applyFill="1" applyBorder="1"/>
    <xf numFmtId="0" fontId="47" fillId="0" borderId="0" xfId="0" applyFont="1"/>
    <xf numFmtId="0" fontId="18" fillId="0" borderId="0" xfId="0" applyFont="1"/>
    <xf numFmtId="0" fontId="33" fillId="0" borderId="0" xfId="0" applyFont="1"/>
    <xf numFmtId="0" fontId="48" fillId="0" borderId="0" xfId="0" applyFont="1" applyAlignment="1">
      <alignment vertical="center"/>
    </xf>
    <xf numFmtId="0" fontId="18" fillId="6" borderId="13" xfId="0" applyFont="1" applyFill="1" applyBorder="1" applyAlignment="1">
      <alignment horizontal="left" vertical="center"/>
    </xf>
    <xf numFmtId="1" fontId="1" fillId="0" borderId="13" xfId="0" applyNumberFormat="1" applyFont="1" applyBorder="1" applyAlignment="1">
      <alignment horizontal="left" vertical="center" wrapText="1"/>
    </xf>
    <xf numFmtId="0" fontId="9" fillId="0" borderId="13" xfId="3" applyFont="1" applyFill="1" applyBorder="1" applyAlignment="1">
      <alignment horizontal="center" vertical="center" wrapText="1"/>
    </xf>
    <xf numFmtId="0" fontId="6" fillId="0" borderId="69" xfId="0" applyFont="1" applyBorder="1" applyAlignment="1">
      <alignment horizontal="center" vertical="center"/>
    </xf>
    <xf numFmtId="0" fontId="6" fillId="0" borderId="31" xfId="0" applyFont="1" applyBorder="1" applyAlignment="1">
      <alignment horizontal="center" vertical="center"/>
    </xf>
    <xf numFmtId="0" fontId="25" fillId="6" borderId="70" xfId="0" applyFont="1" applyFill="1" applyBorder="1" applyAlignment="1">
      <alignment horizontal="center" vertical="center" wrapText="1"/>
    </xf>
    <xf numFmtId="2" fontId="6" fillId="0" borderId="0" xfId="0" applyNumberFormat="1" applyFont="1" applyAlignment="1">
      <alignment horizontal="center" vertical="center"/>
    </xf>
    <xf numFmtId="0" fontId="6" fillId="0" borderId="0" xfId="0" applyFont="1" applyAlignment="1">
      <alignment horizontal="left" vertical="center"/>
    </xf>
    <xf numFmtId="2" fontId="6" fillId="0" borderId="0" xfId="0" applyNumberFormat="1" applyFont="1"/>
    <xf numFmtId="0" fontId="1" fillId="24" borderId="36" xfId="0" applyFont="1" applyFill="1" applyBorder="1" applyAlignment="1">
      <alignment horizontal="center" vertical="center"/>
    </xf>
    <xf numFmtId="0" fontId="6" fillId="24" borderId="36" xfId="0" applyFont="1" applyFill="1" applyBorder="1" applyAlignment="1">
      <alignment horizontal="center" vertical="center"/>
    </xf>
    <xf numFmtId="0" fontId="6" fillId="3" borderId="57" xfId="0" applyFont="1" applyFill="1" applyBorder="1" applyAlignment="1">
      <alignment horizontal="center" vertical="center"/>
    </xf>
    <xf numFmtId="0" fontId="6" fillId="24" borderId="57" xfId="0" applyFont="1" applyFill="1" applyBorder="1" applyAlignment="1">
      <alignment horizontal="center" vertical="center"/>
    </xf>
    <xf numFmtId="167" fontId="1" fillId="24" borderId="36" xfId="0" applyNumberFormat="1" applyFont="1" applyFill="1" applyBorder="1" applyAlignment="1">
      <alignment horizontal="center" vertical="center"/>
    </xf>
    <xf numFmtId="0" fontId="6" fillId="7" borderId="36" xfId="0" applyFont="1" applyFill="1" applyBorder="1" applyAlignment="1">
      <alignment horizontal="center" vertical="center" wrapText="1"/>
    </xf>
    <xf numFmtId="0" fontId="6" fillId="5" borderId="56" xfId="0" applyFont="1" applyFill="1" applyBorder="1" applyAlignment="1">
      <alignment horizontal="center" vertical="center"/>
    </xf>
    <xf numFmtId="0" fontId="6" fillId="3" borderId="56" xfId="0" applyFont="1" applyFill="1" applyBorder="1" applyAlignment="1">
      <alignment horizontal="center" vertical="center"/>
    </xf>
    <xf numFmtId="0" fontId="6" fillId="24" borderId="56" xfId="0" applyFont="1" applyFill="1" applyBorder="1" applyAlignment="1">
      <alignment horizontal="center" vertical="center"/>
    </xf>
    <xf numFmtId="0" fontId="6" fillId="5" borderId="56" xfId="0" applyFont="1" applyFill="1" applyBorder="1" applyAlignment="1">
      <alignment horizontal="center" vertical="center" wrapText="1"/>
    </xf>
    <xf numFmtId="2" fontId="6" fillId="3" borderId="36" xfId="0" applyNumberFormat="1" applyFont="1" applyFill="1" applyBorder="1" applyAlignment="1">
      <alignment horizontal="center" vertical="center"/>
    </xf>
    <xf numFmtId="2" fontId="1" fillId="24" borderId="36" xfId="0" applyNumberFormat="1" applyFont="1" applyFill="1" applyBorder="1" applyAlignment="1">
      <alignment horizontal="center" vertical="center"/>
    </xf>
    <xf numFmtId="0" fontId="0" fillId="0" borderId="187" xfId="0" applyBorder="1" applyAlignment="1">
      <alignment horizontal="center"/>
    </xf>
    <xf numFmtId="37" fontId="6" fillId="25" borderId="19" xfId="6" applyNumberFormat="1" applyFont="1" applyFill="1" applyBorder="1" applyAlignment="1">
      <alignment horizontal="left" vertical="center"/>
    </xf>
    <xf numFmtId="37" fontId="6" fillId="25" borderId="22" xfId="6" applyNumberFormat="1" applyFont="1" applyFill="1" applyBorder="1" applyAlignment="1">
      <alignment horizontal="left" vertical="center"/>
    </xf>
    <xf numFmtId="2" fontId="51" fillId="0" borderId="2" xfId="0" applyNumberFormat="1" applyFont="1" applyBorder="1" applyAlignment="1">
      <alignment horizontal="center" vertical="center" wrapText="1"/>
    </xf>
    <xf numFmtId="0" fontId="6" fillId="0" borderId="69"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top" wrapText="1"/>
    </xf>
    <xf numFmtId="0" fontId="6" fillId="0" borderId="36" xfId="0" applyFont="1" applyBorder="1" applyAlignment="1">
      <alignment horizontal="center" vertical="center"/>
    </xf>
    <xf numFmtId="0" fontId="6" fillId="0" borderId="36" xfId="0" applyFont="1" applyBorder="1" applyAlignment="1">
      <alignment horizontal="center" vertical="center" wrapText="1"/>
    </xf>
    <xf numFmtId="0" fontId="11" fillId="10" borderId="0" xfId="0" applyFont="1" applyFill="1" applyAlignment="1">
      <alignment horizontal="center" vertical="center" wrapText="1"/>
    </xf>
    <xf numFmtId="0" fontId="6" fillId="0" borderId="2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1" fillId="0" borderId="36" xfId="0" applyFont="1" applyBorder="1" applyAlignment="1">
      <alignment horizontal="center" vertical="center" wrapText="1"/>
    </xf>
    <xf numFmtId="0" fontId="7" fillId="0" borderId="0" xfId="0" applyFont="1" applyAlignment="1">
      <alignment horizontal="center" vertical="center" wrapText="1"/>
    </xf>
    <xf numFmtId="0" fontId="1" fillId="0" borderId="36" xfId="0" quotePrefix="1" applyFont="1" applyBorder="1" applyAlignment="1">
      <alignment horizontal="center" vertical="center" wrapText="1"/>
    </xf>
    <xf numFmtId="0" fontId="1" fillId="0" borderId="0" xfId="0" applyFont="1" applyAlignment="1">
      <alignment horizontal="left" vertical="center" wrapText="1"/>
    </xf>
    <xf numFmtId="0" fontId="7" fillId="6" borderId="70" xfId="0" applyFont="1" applyFill="1" applyBorder="1" applyAlignment="1">
      <alignment horizontal="center" vertical="center" wrapText="1"/>
    </xf>
    <xf numFmtId="0" fontId="7" fillId="6" borderId="69" xfId="0" applyFont="1" applyFill="1" applyBorder="1" applyAlignment="1">
      <alignment horizontal="center" vertical="center" wrapText="1"/>
    </xf>
    <xf numFmtId="0" fontId="25" fillId="6" borderId="69" xfId="0" applyFont="1" applyFill="1" applyBorder="1" applyAlignment="1">
      <alignment horizontal="center" vertical="center" wrapText="1"/>
    </xf>
    <xf numFmtId="0" fontId="6" fillId="0" borderId="0" xfId="0" applyFont="1" applyAlignment="1">
      <alignment horizontal="center"/>
    </xf>
    <xf numFmtId="0" fontId="6" fillId="0" borderId="0" xfId="0" applyFont="1" applyAlignment="1">
      <alignment horizontal="left"/>
    </xf>
    <xf numFmtId="0" fontId="23" fillId="0" borderId="38" xfId="0" applyFont="1" applyBorder="1" applyAlignment="1">
      <alignment horizontal="center" vertical="center"/>
    </xf>
    <xf numFmtId="0" fontId="23" fillId="0" borderId="36" xfId="0" applyFont="1" applyBorder="1" applyAlignment="1">
      <alignment horizontal="center" vertical="center"/>
    </xf>
    <xf numFmtId="0" fontId="23" fillId="0" borderId="43" xfId="0" applyFont="1" applyBorder="1" applyAlignment="1">
      <alignment horizontal="center" vertical="center"/>
    </xf>
    <xf numFmtId="0" fontId="18" fillId="6" borderId="2"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4" xfId="0" applyFont="1" applyFill="1" applyBorder="1" applyAlignment="1">
      <alignment horizontal="center" vertical="center"/>
    </xf>
    <xf numFmtId="0" fontId="23" fillId="0" borderId="69" xfId="0" applyFont="1" applyBorder="1" applyAlignment="1">
      <alignment horizontal="center" vertical="center"/>
    </xf>
    <xf numFmtId="0" fontId="23" fillId="0" borderId="86" xfId="0" applyFont="1" applyBorder="1" applyAlignment="1">
      <alignment horizontal="center" vertical="center"/>
    </xf>
    <xf numFmtId="0" fontId="23" fillId="0" borderId="102" xfId="0" applyFont="1" applyBorder="1" applyAlignment="1">
      <alignment horizontal="center" vertical="center"/>
    </xf>
    <xf numFmtId="0" fontId="23" fillId="0" borderId="99" xfId="0" applyFont="1" applyBorder="1" applyAlignment="1">
      <alignment horizontal="center" vertical="center"/>
    </xf>
    <xf numFmtId="0" fontId="23" fillId="0" borderId="68" xfId="0" applyFont="1" applyBorder="1" applyAlignment="1">
      <alignment horizontal="center" vertical="center"/>
    </xf>
    <xf numFmtId="0" fontId="25" fillId="12" borderId="14" xfId="0" applyFont="1" applyFill="1" applyBorder="1" applyAlignment="1">
      <alignment horizontal="center" vertical="center"/>
    </xf>
    <xf numFmtId="0" fontId="22" fillId="0" borderId="0" xfId="0" applyFont="1" applyAlignment="1">
      <alignment vertical="center"/>
    </xf>
    <xf numFmtId="0" fontId="22" fillId="0" borderId="0" xfId="0" applyFont="1" applyAlignment="1">
      <alignment horizontal="center"/>
    </xf>
    <xf numFmtId="0" fontId="22" fillId="0" borderId="0" xfId="0" applyFont="1"/>
    <xf numFmtId="0" fontId="22" fillId="0" borderId="0" xfId="0" applyFont="1" applyAlignment="1">
      <alignment horizontal="left" vertical="center"/>
    </xf>
    <xf numFmtId="0" fontId="22" fillId="0" borderId="0" xfId="0" applyFont="1" applyAlignment="1">
      <alignment horizontal="left"/>
    </xf>
    <xf numFmtId="0" fontId="22" fillId="0" borderId="0" xfId="0" applyFont="1" applyAlignment="1">
      <alignment wrapText="1"/>
    </xf>
    <xf numFmtId="0" fontId="22" fillId="0" borderId="0" xfId="0" applyFont="1" applyAlignment="1">
      <alignment vertical="center" wrapText="1"/>
    </xf>
    <xf numFmtId="0" fontId="22" fillId="22" borderId="206" xfId="0" applyFont="1" applyFill="1" applyBorder="1"/>
    <xf numFmtId="0" fontId="22" fillId="22" borderId="0" xfId="0" applyFont="1" applyFill="1"/>
    <xf numFmtId="0" fontId="22" fillId="4" borderId="207" xfId="0" applyFont="1" applyFill="1" applyBorder="1"/>
    <xf numFmtId="0" fontId="22" fillId="4" borderId="208" xfId="0" applyFont="1" applyFill="1" applyBorder="1"/>
    <xf numFmtId="0" fontId="22" fillId="4" borderId="209" xfId="0" applyFont="1" applyFill="1" applyBorder="1" applyAlignment="1">
      <alignment horizontal="left" wrapText="1"/>
    </xf>
    <xf numFmtId="0" fontId="22" fillId="4" borderId="210" xfId="0" applyFont="1" applyFill="1" applyBorder="1" applyAlignment="1">
      <alignment horizontal="left"/>
    </xf>
    <xf numFmtId="0" fontId="22" fillId="0" borderId="2" xfId="0" applyFont="1" applyBorder="1" applyAlignment="1">
      <alignment vertical="center"/>
    </xf>
    <xf numFmtId="0" fontId="22" fillId="0" borderId="2" xfId="0" applyFont="1" applyBorder="1" applyAlignment="1">
      <alignment horizontal="center" vertical="center"/>
    </xf>
    <xf numFmtId="0" fontId="31" fillId="0" borderId="0" xfId="0" applyFont="1"/>
    <xf numFmtId="0" fontId="22" fillId="0" borderId="185" xfId="0" applyFont="1" applyBorder="1" applyAlignment="1">
      <alignment vertical="center"/>
    </xf>
    <xf numFmtId="0" fontId="22" fillId="0" borderId="185" xfId="0" applyFont="1" applyBorder="1" applyAlignment="1">
      <alignment horizontal="center" vertical="center"/>
    </xf>
    <xf numFmtId="0" fontId="25" fillId="6" borderId="36" xfId="0" applyFont="1" applyFill="1" applyBorder="1" applyAlignment="1">
      <alignment horizontal="center" vertical="center" wrapText="1"/>
    </xf>
    <xf numFmtId="0" fontId="22" fillId="0" borderId="36" xfId="0" applyFont="1" applyBorder="1" applyAlignment="1">
      <alignment horizontal="center" vertical="center"/>
    </xf>
    <xf numFmtId="0" fontId="22" fillId="0" borderId="2" xfId="0" applyFont="1" applyBorder="1" applyAlignment="1">
      <alignment horizontal="center" vertical="center" wrapText="1"/>
    </xf>
    <xf numFmtId="0" fontId="22" fillId="0" borderId="2" xfId="0" quotePrefix="1" applyFont="1" applyBorder="1" applyAlignment="1">
      <alignment horizontal="left" wrapText="1"/>
    </xf>
    <xf numFmtId="0" fontId="25" fillId="12" borderId="2" xfId="0" applyFont="1" applyFill="1" applyBorder="1" applyAlignment="1">
      <alignment horizontal="center" vertical="center" wrapText="1"/>
    </xf>
    <xf numFmtId="0" fontId="22" fillId="21" borderId="36" xfId="0" applyFont="1" applyFill="1" applyBorder="1" applyAlignment="1">
      <alignment vertical="center" wrapText="1"/>
    </xf>
    <xf numFmtId="0" fontId="22" fillId="21" borderId="36" xfId="0" applyFont="1" applyFill="1" applyBorder="1" applyAlignment="1">
      <alignment horizontal="right" vertical="center" wrapText="1"/>
    </xf>
    <xf numFmtId="3" fontId="22" fillId="21" borderId="36" xfId="0" applyNumberFormat="1" applyFont="1" applyFill="1" applyBorder="1" applyAlignment="1">
      <alignment horizontal="right" vertical="center" wrapText="1"/>
    </xf>
    <xf numFmtId="9" fontId="22" fillId="21" borderId="36" xfId="0" applyNumberFormat="1" applyFont="1" applyFill="1" applyBorder="1" applyAlignment="1">
      <alignment horizontal="left" vertical="center" wrapText="1"/>
    </xf>
    <xf numFmtId="1" fontId="22" fillId="21" borderId="36" xfId="0" applyNumberFormat="1" applyFont="1" applyFill="1" applyBorder="1" applyAlignment="1">
      <alignment horizontal="right" vertical="center" wrapText="1"/>
    </xf>
    <xf numFmtId="9" fontId="22" fillId="21" borderId="36" xfId="0" applyNumberFormat="1" applyFont="1" applyFill="1" applyBorder="1" applyAlignment="1">
      <alignment horizontal="right" vertical="center" wrapText="1"/>
    </xf>
    <xf numFmtId="0" fontId="25" fillId="6" borderId="29" xfId="0" applyFont="1" applyFill="1" applyBorder="1" applyAlignment="1">
      <alignment horizontal="center" vertical="center" wrapText="1"/>
    </xf>
    <xf numFmtId="0" fontId="22" fillId="0" borderId="55" xfId="0" applyFont="1" applyBorder="1" applyAlignment="1">
      <alignment horizontal="center" vertical="center" wrapText="1"/>
    </xf>
    <xf numFmtId="0" fontId="22" fillId="0" borderId="0" xfId="0" applyFont="1" applyAlignment="1">
      <alignment horizontal="center" vertical="center" wrapText="1"/>
    </xf>
    <xf numFmtId="0" fontId="22" fillId="0" borderId="36" xfId="0" applyFont="1" applyBorder="1" applyAlignment="1">
      <alignment horizontal="center" vertical="center" wrapText="1"/>
    </xf>
    <xf numFmtId="0" fontId="22" fillId="23" borderId="36" xfId="0" quotePrefix="1" applyFont="1" applyFill="1" applyBorder="1" applyAlignment="1">
      <alignment horizontal="center" vertical="center" wrapText="1"/>
    </xf>
    <xf numFmtId="0" fontId="22" fillId="0" borderId="36" xfId="0" applyFont="1" applyBorder="1" applyAlignment="1">
      <alignment horizontal="center" vertical="top" wrapText="1"/>
    </xf>
    <xf numFmtId="0" fontId="22" fillId="4" borderId="0" xfId="0" applyFont="1" applyFill="1" applyAlignment="1">
      <alignment horizontal="center" vertical="center"/>
    </xf>
    <xf numFmtId="0" fontId="22" fillId="4" borderId="74" xfId="0" applyFont="1" applyFill="1" applyBorder="1" applyAlignment="1">
      <alignment horizontal="center" vertical="center"/>
    </xf>
    <xf numFmtId="2" fontId="22" fillId="0" borderId="2" xfId="0" applyNumberFormat="1" applyFont="1" applyBorder="1" applyAlignment="1">
      <alignment horizontal="center" vertical="center" wrapText="1"/>
    </xf>
    <xf numFmtId="0" fontId="22" fillId="0" borderId="0" xfId="0" applyFont="1" applyAlignment="1">
      <alignment horizontal="center" vertical="center"/>
    </xf>
    <xf numFmtId="165" fontId="22" fillId="0" borderId="69" xfId="0" applyNumberFormat="1" applyFont="1" applyBorder="1" applyAlignment="1">
      <alignment horizontal="center" vertical="center"/>
    </xf>
    <xf numFmtId="0" fontId="22" fillId="0" borderId="69" xfId="0" applyFont="1" applyBorder="1" applyAlignment="1">
      <alignment horizontal="center" vertical="center"/>
    </xf>
    <xf numFmtId="1" fontId="22" fillId="0" borderId="69" xfId="2" applyNumberFormat="1" applyFont="1" applyFill="1" applyBorder="1" applyAlignment="1">
      <alignment horizontal="center" vertical="center"/>
    </xf>
    <xf numFmtId="0" fontId="22" fillId="0" borderId="69" xfId="0" applyFont="1" applyBorder="1" applyAlignment="1">
      <alignment horizontal="center" vertical="center" wrapText="1"/>
    </xf>
    <xf numFmtId="1" fontId="22" fillId="0" borderId="0" xfId="0" applyNumberFormat="1" applyFont="1" applyAlignment="1">
      <alignment horizontal="left"/>
    </xf>
    <xf numFmtId="1" fontId="22" fillId="0" borderId="2" xfId="0" applyNumberFormat="1" applyFont="1" applyBorder="1" applyAlignment="1">
      <alignment horizontal="center" vertical="center" wrapText="1"/>
    </xf>
    <xf numFmtId="0" fontId="22" fillId="0" borderId="188" xfId="0" applyFont="1" applyBorder="1"/>
    <xf numFmtId="0" fontId="12" fillId="0" borderId="0" xfId="0" applyFont="1"/>
    <xf numFmtId="0" fontId="22" fillId="0" borderId="0" xfId="13" applyFont="1" applyAlignment="1">
      <alignment vertical="center" wrapText="1"/>
    </xf>
    <xf numFmtId="165" fontId="22" fillId="0" borderId="0" xfId="13" applyNumberFormat="1" applyFont="1" applyAlignment="1">
      <alignment horizontal="left" vertical="center" wrapText="1"/>
    </xf>
    <xf numFmtId="0" fontId="22" fillId="0" borderId="0" xfId="13" applyFont="1" applyAlignment="1">
      <alignment vertical="center"/>
    </xf>
    <xf numFmtId="167" fontId="22" fillId="0" borderId="0" xfId="13" applyNumberFormat="1" applyFont="1" applyAlignment="1">
      <alignment horizontal="left" vertical="center" wrapText="1"/>
    </xf>
    <xf numFmtId="0" fontId="22" fillId="0" borderId="0" xfId="13" applyFont="1" applyAlignment="1">
      <alignment horizontal="left" vertical="center" wrapText="1"/>
    </xf>
    <xf numFmtId="172" fontId="22" fillId="0" borderId="0" xfId="13" applyNumberFormat="1" applyFont="1" applyAlignment="1">
      <alignment horizontal="left" vertical="center" wrapText="1"/>
    </xf>
    <xf numFmtId="0" fontId="25" fillId="15" borderId="55" xfId="13" applyFont="1" applyFill="1" applyBorder="1" applyAlignment="1">
      <alignment horizontal="center" vertical="center" wrapText="1"/>
    </xf>
    <xf numFmtId="0" fontId="25" fillId="15" borderId="14" xfId="13" applyFont="1" applyFill="1" applyBorder="1" applyAlignment="1">
      <alignment vertical="center" wrapText="1"/>
    </xf>
    <xf numFmtId="0" fontId="22" fillId="0" borderId="55" xfId="13" applyFont="1" applyBorder="1" applyAlignment="1">
      <alignment horizontal="center" vertical="center" wrapText="1"/>
    </xf>
    <xf numFmtId="165" fontId="22" fillId="17" borderId="55" xfId="13" applyNumberFormat="1" applyFont="1" applyFill="1" applyBorder="1" applyAlignment="1">
      <alignment horizontal="center" vertical="center" wrapText="1"/>
    </xf>
    <xf numFmtId="3" fontId="22" fillId="0" borderId="55" xfId="13" applyNumberFormat="1" applyFont="1" applyBorder="1" applyAlignment="1">
      <alignment horizontal="center" vertical="center" wrapText="1"/>
    </xf>
    <xf numFmtId="2" fontId="22" fillId="18" borderId="54" xfId="13" applyNumberFormat="1" applyFont="1" applyFill="1" applyBorder="1" applyAlignment="1">
      <alignment horizontal="center" vertical="center" wrapText="1"/>
    </xf>
    <xf numFmtId="3" fontId="22" fillId="0" borderId="190" xfId="13" applyNumberFormat="1" applyFont="1" applyBorder="1" applyAlignment="1">
      <alignment horizontal="center" vertical="center" wrapText="1"/>
    </xf>
    <xf numFmtId="0" fontId="25" fillId="5" borderId="194" xfId="13" applyFont="1" applyFill="1" applyBorder="1" applyAlignment="1">
      <alignment vertical="center" wrapText="1"/>
    </xf>
    <xf numFmtId="0" fontId="30" fillId="5" borderId="195" xfId="13" applyFont="1" applyFill="1" applyBorder="1" applyAlignment="1">
      <alignment vertical="center" wrapText="1"/>
    </xf>
    <xf numFmtId="0" fontId="30" fillId="19" borderId="15" xfId="13" applyFont="1" applyFill="1" applyBorder="1" applyAlignment="1">
      <alignment vertical="center" wrapText="1"/>
    </xf>
    <xf numFmtId="0" fontId="30" fillId="19" borderId="16" xfId="13" applyFont="1" applyFill="1" applyBorder="1" applyAlignment="1">
      <alignment vertical="center" wrapText="1"/>
    </xf>
    <xf numFmtId="0" fontId="25" fillId="19" borderId="16" xfId="13" applyFont="1" applyFill="1" applyBorder="1" applyAlignment="1">
      <alignment vertical="center" wrapText="1"/>
    </xf>
    <xf numFmtId="0" fontId="30" fillId="19" borderId="16" xfId="13" applyFont="1" applyFill="1" applyBorder="1" applyAlignment="1">
      <alignment horizontal="left" vertical="center" wrapText="1"/>
    </xf>
    <xf numFmtId="0" fontId="30" fillId="19" borderId="17" xfId="13" applyFont="1" applyFill="1" applyBorder="1" applyAlignment="1">
      <alignment vertical="center" wrapText="1"/>
    </xf>
    <xf numFmtId="37" fontId="22" fillId="25" borderId="15" xfId="6" applyNumberFormat="1" applyFont="1" applyFill="1" applyBorder="1" applyAlignment="1">
      <alignment horizontal="left" vertical="center"/>
    </xf>
    <xf numFmtId="0" fontId="31" fillId="7" borderId="16" xfId="13" applyFont="1" applyFill="1" applyBorder="1" applyAlignment="1">
      <alignment horizontal="left" vertical="center"/>
    </xf>
    <xf numFmtId="0" fontId="22" fillId="20" borderId="194" xfId="13" applyFont="1" applyFill="1" applyBorder="1" applyAlignment="1">
      <alignment horizontal="left" vertical="center"/>
    </xf>
    <xf numFmtId="3" fontId="22" fillId="20" borderId="195" xfId="6" applyNumberFormat="1" applyFont="1" applyFill="1" applyBorder="1" applyAlignment="1">
      <alignment horizontal="left" vertical="center"/>
    </xf>
    <xf numFmtId="0" fontId="22" fillId="20" borderId="195" xfId="13" applyFont="1" applyFill="1" applyBorder="1" applyAlignment="1">
      <alignment horizontal="left" vertical="center"/>
    </xf>
    <xf numFmtId="0" fontId="22" fillId="20" borderId="213" xfId="13" applyFont="1" applyFill="1" applyBorder="1" applyAlignment="1">
      <alignment horizontal="left" vertical="center"/>
    </xf>
    <xf numFmtId="37" fontId="22" fillId="25" borderId="19" xfId="6" applyNumberFormat="1" applyFont="1" applyFill="1" applyBorder="1" applyAlignment="1">
      <alignment horizontal="left" vertical="center"/>
    </xf>
    <xf numFmtId="0" fontId="31" fillId="25" borderId="0" xfId="13" applyFont="1" applyFill="1" applyAlignment="1">
      <alignment horizontal="left" vertical="center"/>
    </xf>
    <xf numFmtId="0" fontId="22" fillId="20" borderId="188" xfId="13" applyFont="1" applyFill="1" applyBorder="1" applyAlignment="1">
      <alignment horizontal="left" vertical="center"/>
    </xf>
    <xf numFmtId="3" fontId="22" fillId="20" borderId="0" xfId="6" applyNumberFormat="1" applyFont="1" applyFill="1" applyBorder="1" applyAlignment="1">
      <alignment horizontal="left" vertical="center"/>
    </xf>
    <xf numFmtId="0" fontId="22" fillId="20" borderId="0" xfId="13" applyFont="1" applyFill="1" applyAlignment="1">
      <alignment horizontal="left" vertical="center"/>
    </xf>
    <xf numFmtId="0" fontId="22" fillId="20" borderId="214" xfId="13" applyFont="1" applyFill="1" applyBorder="1" applyAlignment="1">
      <alignment horizontal="left" vertical="center"/>
    </xf>
    <xf numFmtId="0" fontId="31" fillId="7" borderId="0" xfId="13" applyFont="1" applyFill="1" applyAlignment="1">
      <alignment horizontal="left" vertical="center"/>
    </xf>
    <xf numFmtId="0" fontId="22" fillId="7" borderId="0" xfId="13" applyFont="1" applyFill="1" applyAlignment="1">
      <alignment horizontal="left" vertical="center"/>
    </xf>
    <xf numFmtId="0" fontId="22" fillId="20" borderId="215" xfId="13" applyFont="1" applyFill="1" applyBorder="1" applyAlignment="1">
      <alignment horizontal="left" vertical="center"/>
    </xf>
    <xf numFmtId="0" fontId="22" fillId="20" borderId="187" xfId="13" applyFont="1" applyFill="1" applyBorder="1" applyAlignment="1">
      <alignment horizontal="left" vertical="center"/>
    </xf>
    <xf numFmtId="0" fontId="22" fillId="20" borderId="216" xfId="13" applyFont="1" applyFill="1" applyBorder="1" applyAlignment="1">
      <alignment horizontal="left" vertical="center"/>
    </xf>
    <xf numFmtId="0" fontId="22" fillId="7" borderId="20" xfId="13" applyFont="1" applyFill="1" applyBorder="1" applyAlignment="1">
      <alignment horizontal="left" vertical="center"/>
    </xf>
    <xf numFmtId="165" fontId="22" fillId="0" borderId="69" xfId="0" applyNumberFormat="1" applyFont="1" applyBorder="1" applyAlignment="1">
      <alignment horizontal="center" vertical="center" wrapText="1"/>
    </xf>
    <xf numFmtId="0" fontId="22" fillId="0" borderId="14" xfId="0" applyFont="1" applyBorder="1" applyAlignment="1">
      <alignment vertical="center" wrapText="1"/>
    </xf>
    <xf numFmtId="0" fontId="22" fillId="0" borderId="13" xfId="0" applyFont="1" applyBorder="1" applyAlignment="1">
      <alignment vertical="center" wrapText="1"/>
    </xf>
    <xf numFmtId="0" fontId="22" fillId="0" borderId="17" xfId="0" applyFont="1" applyBorder="1" applyAlignment="1">
      <alignment vertical="center" wrapText="1"/>
    </xf>
    <xf numFmtId="0" fontId="12" fillId="0" borderId="36" xfId="0" applyFont="1" applyBorder="1" applyAlignment="1">
      <alignment horizontal="center" vertical="center" wrapText="1"/>
    </xf>
    <xf numFmtId="2" fontId="12" fillId="0" borderId="36" xfId="0" applyNumberFormat="1" applyFont="1" applyBorder="1" applyAlignment="1">
      <alignment horizontal="center" vertical="center" wrapText="1"/>
    </xf>
    <xf numFmtId="1" fontId="12" fillId="0" borderId="36" xfId="0" applyNumberFormat="1" applyFont="1" applyBorder="1" applyAlignment="1">
      <alignment horizontal="center" vertical="center" wrapText="1"/>
    </xf>
    <xf numFmtId="165" fontId="22" fillId="0" borderId="2" xfId="0" applyNumberFormat="1" applyFont="1" applyBorder="1" applyAlignment="1">
      <alignment horizontal="center" vertical="center"/>
    </xf>
    <xf numFmtId="0" fontId="22" fillId="0" borderId="178" xfId="0" applyFont="1" applyBorder="1" applyAlignment="1">
      <alignment horizontal="center" vertical="center"/>
    </xf>
    <xf numFmtId="9" fontId="22" fillId="0" borderId="178" xfId="0" applyNumberFormat="1" applyFont="1" applyBorder="1" applyAlignment="1">
      <alignment horizontal="center" vertical="center"/>
    </xf>
    <xf numFmtId="9" fontId="22" fillId="0" borderId="178" xfId="0" applyNumberFormat="1" applyFont="1" applyBorder="1" applyAlignment="1">
      <alignment horizontal="center"/>
    </xf>
    <xf numFmtId="0" fontId="22" fillId="0" borderId="55" xfId="0" applyFont="1" applyBorder="1" applyAlignment="1">
      <alignment horizontal="center" vertical="center"/>
    </xf>
    <xf numFmtId="9" fontId="22" fillId="0" borderId="55" xfId="0" applyNumberFormat="1" applyFont="1" applyBorder="1" applyAlignment="1">
      <alignment horizontal="center" vertical="center"/>
    </xf>
    <xf numFmtId="9" fontId="22" fillId="0" borderId="55" xfId="0" applyNumberFormat="1" applyFont="1" applyBorder="1" applyAlignment="1">
      <alignment horizontal="center"/>
    </xf>
    <xf numFmtId="0" fontId="22" fillId="0" borderId="55" xfId="0" applyFont="1" applyBorder="1" applyAlignment="1">
      <alignment horizontal="center"/>
    </xf>
    <xf numFmtId="1" fontId="22" fillId="0" borderId="19" xfId="0" applyNumberFormat="1" applyFont="1" applyBorder="1" applyAlignment="1">
      <alignment horizontal="left"/>
    </xf>
    <xf numFmtId="0" fontId="22" fillId="0" borderId="19" xfId="0" applyFont="1" applyBorder="1" applyAlignment="1">
      <alignment horizontal="left"/>
    </xf>
    <xf numFmtId="0" fontId="6" fillId="0" borderId="69" xfId="0" applyFont="1" applyBorder="1" applyAlignment="1">
      <alignment horizontal="center"/>
    </xf>
    <xf numFmtId="0" fontId="10" fillId="0" borderId="0" xfId="0" applyFont="1" applyAlignment="1">
      <alignment horizontal="center"/>
    </xf>
    <xf numFmtId="0" fontId="17" fillId="0" borderId="23" xfId="0" applyFont="1" applyBorder="1" applyAlignment="1">
      <alignment horizontal="left" vertical="center"/>
    </xf>
    <xf numFmtId="0" fontId="11" fillId="10" borderId="3" xfId="1" applyFont="1" applyFill="1" applyBorder="1" applyAlignment="1">
      <alignment horizontal="center" vertical="center" wrapText="1"/>
    </xf>
    <xf numFmtId="0" fontId="11" fillId="10" borderId="12" xfId="1" applyFont="1" applyFill="1" applyBorder="1" applyAlignment="1">
      <alignment horizontal="center" vertical="center" wrapText="1"/>
    </xf>
    <xf numFmtId="0" fontId="11" fillId="10" borderId="0" xfId="0" applyFont="1" applyFill="1" applyAlignment="1">
      <alignment horizontal="center" vertical="center"/>
    </xf>
    <xf numFmtId="0" fontId="6" fillId="0" borderId="0" xfId="0" applyFont="1" applyAlignment="1">
      <alignment horizontal="left" vertical="center"/>
    </xf>
    <xf numFmtId="0" fontId="22"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vertical="center" wrapText="1"/>
    </xf>
    <xf numFmtId="0" fontId="22" fillId="0" borderId="211" xfId="0" applyFont="1" applyBorder="1" applyAlignment="1">
      <alignment horizontal="left" wrapText="1"/>
    </xf>
    <xf numFmtId="0" fontId="22" fillId="0" borderId="212" xfId="0" applyFont="1" applyBorder="1" applyAlignment="1">
      <alignment horizontal="left"/>
    </xf>
    <xf numFmtId="0" fontId="11" fillId="11" borderId="3" xfId="0" applyFont="1" applyFill="1" applyBorder="1" applyAlignment="1">
      <alignment horizontal="center" vertical="center"/>
    </xf>
    <xf numFmtId="0" fontId="11" fillId="11" borderId="12" xfId="0" applyFont="1" applyFill="1" applyBorder="1" applyAlignment="1">
      <alignment horizontal="center" vertical="center"/>
    </xf>
    <xf numFmtId="0" fontId="11" fillId="11" borderId="13" xfId="0" applyFont="1" applyFill="1" applyBorder="1" applyAlignment="1">
      <alignment horizontal="center" vertical="center"/>
    </xf>
    <xf numFmtId="0" fontId="25" fillId="12" borderId="3" xfId="0" applyFont="1" applyFill="1" applyBorder="1" applyAlignment="1">
      <alignment horizontal="center" vertical="center" wrapText="1"/>
    </xf>
    <xf numFmtId="0" fontId="25" fillId="12" borderId="13" xfId="0" applyFont="1" applyFill="1" applyBorder="1" applyAlignment="1">
      <alignment horizontal="center" vertical="center" wrapText="1"/>
    </xf>
    <xf numFmtId="9" fontId="22" fillId="0" borderId="14" xfId="0" applyNumberFormat="1" applyFont="1" applyBorder="1" applyAlignment="1">
      <alignment horizontal="center" vertical="center"/>
    </xf>
    <xf numFmtId="9" fontId="22" fillId="0" borderId="21" xfId="0" applyNumberFormat="1" applyFont="1" applyBorder="1" applyAlignment="1">
      <alignment horizontal="center" vertical="center"/>
    </xf>
    <xf numFmtId="0" fontId="20" fillId="0" borderId="0" xfId="0" applyFont="1" applyAlignment="1">
      <alignment horizontal="center" vertical="center" wrapText="1"/>
    </xf>
    <xf numFmtId="0" fontId="6" fillId="0" borderId="0" xfId="0" applyFont="1" applyAlignment="1">
      <alignment horizontal="center" vertical="center" wrapText="1"/>
    </xf>
    <xf numFmtId="0" fontId="16" fillId="0" borderId="0" xfId="0" applyFont="1" applyAlignment="1">
      <alignment horizontal="center" vertical="center"/>
    </xf>
    <xf numFmtId="0" fontId="45" fillId="0" borderId="3" xfId="5" applyFont="1" applyBorder="1" applyAlignment="1">
      <alignment horizontal="center" vertical="center"/>
    </xf>
    <xf numFmtId="0" fontId="45" fillId="0" borderId="13" xfId="5" applyFont="1" applyBorder="1" applyAlignment="1">
      <alignment horizontal="center" vertical="center"/>
    </xf>
    <xf numFmtId="0" fontId="22" fillId="0" borderId="32" xfId="0" applyFont="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11" fillId="10" borderId="46" xfId="0" applyFont="1" applyFill="1" applyBorder="1" applyAlignment="1">
      <alignment horizontal="center" vertical="center"/>
    </xf>
    <xf numFmtId="0" fontId="6" fillId="0" borderId="0" xfId="0" applyFont="1" applyAlignment="1">
      <alignment horizontal="left" wrapText="1"/>
    </xf>
    <xf numFmtId="0" fontId="6" fillId="0" borderId="0" xfId="0" applyFont="1" applyAlignment="1">
      <alignment horizontal="left" vertical="top" wrapText="1"/>
    </xf>
    <xf numFmtId="0" fontId="8" fillId="0" borderId="0" xfId="5" applyBorder="1" applyAlignment="1">
      <alignment horizontal="left"/>
    </xf>
    <xf numFmtId="0" fontId="6" fillId="0" borderId="62" xfId="0" applyFont="1" applyBorder="1" applyAlignment="1">
      <alignment horizontal="center"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0" borderId="62" xfId="0" applyFont="1" applyBorder="1" applyAlignment="1">
      <alignment horizontal="center" vertical="center" wrapText="1"/>
    </xf>
    <xf numFmtId="0" fontId="6" fillId="0" borderId="64" xfId="0" applyFont="1" applyBorder="1" applyAlignment="1">
      <alignment horizontal="center" vertical="center" wrapText="1"/>
    </xf>
    <xf numFmtId="0" fontId="1" fillId="0" borderId="62" xfId="0" applyFont="1" applyBorder="1" applyAlignment="1">
      <alignment horizontal="center" vertical="center" wrapText="1"/>
    </xf>
    <xf numFmtId="0" fontId="1" fillId="0" borderId="63" xfId="0" applyFont="1" applyBorder="1" applyAlignment="1">
      <alignment horizontal="center" vertical="center" wrapText="1"/>
    </xf>
    <xf numFmtId="0" fontId="1" fillId="0" borderId="64" xfId="0" applyFont="1" applyBorder="1" applyAlignment="1">
      <alignment horizontal="center" vertical="center" wrapText="1"/>
    </xf>
    <xf numFmtId="0" fontId="7" fillId="6" borderId="65" xfId="0" applyFont="1" applyFill="1" applyBorder="1" applyAlignment="1">
      <alignment horizontal="center" vertical="center" wrapText="1"/>
    </xf>
    <xf numFmtId="0" fontId="7" fillId="6" borderId="66" xfId="0" applyFont="1" applyFill="1" applyBorder="1" applyAlignment="1">
      <alignment horizontal="center" vertical="center" wrapText="1"/>
    </xf>
    <xf numFmtId="0" fontId="7" fillId="6" borderId="67" xfId="0" applyFont="1" applyFill="1" applyBorder="1" applyAlignment="1">
      <alignment horizontal="center" vertical="center" wrapText="1"/>
    </xf>
    <xf numFmtId="0" fontId="6" fillId="0" borderId="36" xfId="0" applyFont="1" applyBorder="1" applyAlignment="1">
      <alignment horizontal="center" vertical="center"/>
    </xf>
    <xf numFmtId="0" fontId="6" fillId="0" borderId="36" xfId="0" applyFont="1" applyBorder="1" applyAlignment="1">
      <alignment horizontal="center" vertical="center" wrapText="1"/>
    </xf>
    <xf numFmtId="0" fontId="11" fillId="10" borderId="0" xfId="0" applyFont="1" applyFill="1" applyAlignment="1">
      <alignment horizontal="center" vertical="center" wrapText="1"/>
    </xf>
    <xf numFmtId="0" fontId="6" fillId="0" borderId="63" xfId="0" applyFont="1" applyBorder="1" applyAlignment="1">
      <alignment horizontal="center" vertical="center" wrapText="1"/>
    </xf>
    <xf numFmtId="0" fontId="1" fillId="0" borderId="29" xfId="0" applyFont="1" applyBorder="1" applyAlignment="1">
      <alignment horizontal="center" vertical="center" wrapText="1"/>
    </xf>
    <xf numFmtId="0" fontId="50" fillId="0" borderId="29" xfId="0" applyFont="1" applyBorder="1" applyAlignment="1">
      <alignment horizontal="center" vertical="center" wrapText="1"/>
    </xf>
    <xf numFmtId="0" fontId="6" fillId="0" borderId="29" xfId="0" applyFont="1" applyBorder="1" applyAlignment="1">
      <alignment horizontal="center" vertical="center" wrapText="1"/>
    </xf>
    <xf numFmtId="0" fontId="22" fillId="0" borderId="2" xfId="0" applyFont="1" applyBorder="1" applyAlignment="1">
      <alignment horizontal="center" vertical="center" wrapText="1"/>
    </xf>
    <xf numFmtId="0" fontId="6" fillId="0" borderId="2" xfId="0" applyFont="1" applyBorder="1" applyAlignment="1">
      <alignment horizontal="center" vertical="center" wrapText="1"/>
    </xf>
    <xf numFmtId="0" fontId="32" fillId="11" borderId="69" xfId="0" applyFont="1" applyFill="1" applyBorder="1" applyAlignment="1">
      <alignment horizontal="center" vertical="center"/>
    </xf>
    <xf numFmtId="0" fontId="52" fillId="10" borderId="194" xfId="0" applyFont="1" applyFill="1" applyBorder="1" applyAlignment="1">
      <alignment horizontal="center" vertical="center" wrapText="1"/>
    </xf>
    <xf numFmtId="0" fontId="52" fillId="10" borderId="195" xfId="0" applyFont="1" applyFill="1" applyBorder="1" applyAlignment="1">
      <alignment horizontal="center" vertical="center" wrapText="1"/>
    </xf>
    <xf numFmtId="0" fontId="52" fillId="10" borderId="213" xfId="0" applyFont="1" applyFill="1" applyBorder="1" applyAlignment="1">
      <alignment horizontal="center" vertical="center" wrapText="1"/>
    </xf>
    <xf numFmtId="0" fontId="6" fillId="0" borderId="48" xfId="0" quotePrefix="1" applyFont="1" applyBorder="1" applyAlignment="1">
      <alignment horizontal="center" vertical="center"/>
    </xf>
    <xf numFmtId="0" fontId="22" fillId="0" borderId="51" xfId="0" applyFont="1" applyBorder="1" applyAlignment="1">
      <alignment horizontal="center" vertical="center" wrapText="1"/>
    </xf>
    <xf numFmtId="0" fontId="1" fillId="0" borderId="36" xfId="0" applyFont="1" applyBorder="1" applyAlignment="1">
      <alignment horizontal="center" vertical="center" wrapText="1"/>
    </xf>
    <xf numFmtId="0" fontId="22" fillId="0" borderId="0" xfId="0" applyFont="1" applyAlignment="1">
      <alignment horizontal="left" vertical="top" wrapText="1"/>
    </xf>
    <xf numFmtId="0" fontId="50" fillId="0" borderId="0" xfId="0" applyFont="1" applyAlignment="1">
      <alignment horizontal="left" vertical="top" wrapText="1"/>
    </xf>
    <xf numFmtId="0" fontId="6" fillId="0" borderId="32" xfId="0" applyFont="1" applyBorder="1" applyAlignment="1">
      <alignment horizontal="center" vertical="center"/>
    </xf>
    <xf numFmtId="0" fontId="6" fillId="0" borderId="50" xfId="0" applyFont="1" applyBorder="1" applyAlignment="1">
      <alignment horizontal="center" vertical="center"/>
    </xf>
    <xf numFmtId="0" fontId="22" fillId="0" borderId="52" xfId="0" applyFont="1" applyBorder="1" applyAlignment="1">
      <alignment horizontal="center" vertical="center" wrapText="1"/>
    </xf>
    <xf numFmtId="0" fontId="1" fillId="0" borderId="36" xfId="0" quotePrefix="1" applyFont="1" applyBorder="1" applyAlignment="1">
      <alignment horizontal="center" vertical="center" wrapText="1"/>
    </xf>
    <xf numFmtId="0" fontId="22" fillId="0" borderId="2" xfId="0" applyFont="1" applyBorder="1" applyAlignment="1">
      <alignment horizontal="center" vertical="center"/>
    </xf>
    <xf numFmtId="0" fontId="6" fillId="0" borderId="2" xfId="0" applyFont="1" applyBorder="1" applyAlignment="1">
      <alignment horizontal="center" vertical="center"/>
    </xf>
    <xf numFmtId="0" fontId="25" fillId="0" borderId="0" xfId="0" applyFont="1" applyAlignment="1">
      <alignment horizontal="center"/>
    </xf>
    <xf numFmtId="0" fontId="11" fillId="10" borderId="72" xfId="0" applyFont="1" applyFill="1" applyBorder="1" applyAlignment="1">
      <alignment horizontal="center" vertical="center" wrapText="1"/>
    </xf>
    <xf numFmtId="0" fontId="6" fillId="0" borderId="69" xfId="0" applyFont="1" applyBorder="1" applyAlignment="1">
      <alignment horizontal="center" vertical="center" wrapText="1"/>
    </xf>
    <xf numFmtId="0" fontId="6" fillId="0" borderId="58"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93" xfId="0" applyFont="1" applyBorder="1" applyAlignment="1">
      <alignment horizontal="center" vertical="center" wrapText="1"/>
    </xf>
    <xf numFmtId="0" fontId="11" fillId="10" borderId="193" xfId="0" applyFont="1" applyFill="1" applyBorder="1" applyAlignment="1">
      <alignment horizontal="center" vertical="center" wrapText="1"/>
    </xf>
    <xf numFmtId="0" fontId="11" fillId="10" borderId="187" xfId="0" applyFont="1" applyFill="1" applyBorder="1" applyAlignment="1">
      <alignment horizontal="center" vertical="center" wrapText="1"/>
    </xf>
    <xf numFmtId="0" fontId="49" fillId="10" borderId="22" xfId="0" applyFont="1" applyFill="1" applyBorder="1" applyAlignment="1">
      <alignment horizontal="center" vertical="center" wrapText="1"/>
    </xf>
    <xf numFmtId="0" fontId="49" fillId="10" borderId="23" xfId="0" applyFont="1" applyFill="1" applyBorder="1" applyAlignment="1">
      <alignment horizontal="center" vertical="center" wrapText="1"/>
    </xf>
    <xf numFmtId="0" fontId="11" fillId="16" borderId="189" xfId="13" applyFont="1" applyFill="1" applyBorder="1" applyAlignment="1">
      <alignment horizontal="center" vertical="center" wrapText="1"/>
    </xf>
    <xf numFmtId="0" fontId="11" fillId="16" borderId="0" xfId="13" applyFont="1" applyFill="1" applyAlignment="1">
      <alignment horizontal="center" vertical="center" wrapText="1"/>
    </xf>
    <xf numFmtId="0" fontId="25" fillId="15" borderId="2" xfId="13" applyFont="1" applyFill="1" applyBorder="1" applyAlignment="1">
      <alignment horizontal="center" vertical="center" wrapText="1"/>
    </xf>
    <xf numFmtId="0" fontId="22" fillId="0" borderId="62" xfId="0" applyFont="1" applyBorder="1" applyAlignment="1">
      <alignment horizontal="center" vertical="center" wrapText="1"/>
    </xf>
    <xf numFmtId="0" fontId="22" fillId="0" borderId="191" xfId="0" applyFont="1" applyBorder="1" applyAlignment="1">
      <alignment horizontal="center" vertical="center" wrapText="1"/>
    </xf>
    <xf numFmtId="0" fontId="22" fillId="0" borderId="192" xfId="0" applyFont="1" applyBorder="1" applyAlignment="1">
      <alignment horizontal="center" vertical="center" wrapText="1"/>
    </xf>
    <xf numFmtId="0" fontId="11" fillId="10" borderId="15" xfId="0" applyFont="1" applyFill="1" applyBorder="1" applyAlignment="1">
      <alignment horizontal="center" vertical="center" wrapText="1"/>
    </xf>
    <xf numFmtId="0" fontId="11" fillId="10" borderId="16" xfId="0" applyFont="1" applyFill="1" applyBorder="1" applyAlignment="1">
      <alignment horizontal="center" vertical="center" wrapText="1"/>
    </xf>
    <xf numFmtId="0" fontId="11" fillId="10" borderId="17" xfId="0" applyFont="1" applyFill="1" applyBorder="1" applyAlignment="1">
      <alignment horizontal="center" vertical="center" wrapText="1"/>
    </xf>
    <xf numFmtId="0" fontId="6" fillId="0" borderId="198" xfId="0" applyFont="1" applyBorder="1" applyAlignment="1">
      <alignment horizontal="center" vertical="center" wrapText="1"/>
    </xf>
    <xf numFmtId="0" fontId="6" fillId="0" borderId="199" xfId="0" applyFont="1" applyBorder="1" applyAlignment="1">
      <alignment horizontal="center" vertical="center" wrapText="1"/>
    </xf>
    <xf numFmtId="0" fontId="6" fillId="0" borderId="200" xfId="0" applyFont="1" applyBorder="1" applyAlignment="1">
      <alignment horizontal="center" vertical="center" wrapText="1"/>
    </xf>
    <xf numFmtId="0" fontId="6" fillId="0" borderId="201" xfId="0" applyFont="1" applyBorder="1" applyAlignment="1">
      <alignment horizontal="center" vertical="center" wrapText="1"/>
    </xf>
    <xf numFmtId="0" fontId="6" fillId="0" borderId="202" xfId="0" applyFont="1" applyBorder="1" applyAlignment="1">
      <alignment horizontal="center" vertical="center" wrapText="1"/>
    </xf>
    <xf numFmtId="43" fontId="7" fillId="0" borderId="3" xfId="6" applyFont="1" applyBorder="1" applyAlignment="1">
      <alignment horizontal="left" vertical="center"/>
    </xf>
    <xf numFmtId="43" fontId="7" fillId="0" borderId="12" xfId="6" applyFont="1" applyBorder="1" applyAlignment="1">
      <alignment horizontal="left" vertical="center"/>
    </xf>
    <xf numFmtId="43" fontId="7" fillId="0" borderId="13" xfId="6" applyFont="1" applyBorder="1" applyAlignment="1">
      <alignment horizontal="left" vertical="center"/>
    </xf>
    <xf numFmtId="43" fontId="22" fillId="0" borderId="18" xfId="6" applyFont="1" applyBorder="1" applyAlignment="1">
      <alignment horizontal="center" vertical="center" wrapText="1"/>
    </xf>
    <xf numFmtId="43" fontId="22" fillId="0" borderId="21" xfId="6" applyFont="1" applyBorder="1" applyAlignment="1">
      <alignment horizontal="center" vertical="center" wrapText="1"/>
    </xf>
    <xf numFmtId="0" fontId="11" fillId="10" borderId="94" xfId="0" applyFont="1" applyFill="1" applyBorder="1" applyAlignment="1">
      <alignment horizontal="center" vertical="center" wrapText="1"/>
    </xf>
    <xf numFmtId="0" fontId="1" fillId="0" borderId="182" xfId="0" applyFont="1" applyBorder="1" applyAlignment="1">
      <alignment horizontal="center" vertical="center" wrapText="1"/>
    </xf>
    <xf numFmtId="0" fontId="1" fillId="0" borderId="183" xfId="0" applyFont="1" applyBorder="1" applyAlignment="1">
      <alignment horizontal="center" vertical="center" wrapText="1"/>
    </xf>
    <xf numFmtId="0" fontId="1" fillId="0" borderId="184" xfId="0" applyFont="1" applyBorder="1" applyAlignment="1">
      <alignment horizontal="center" vertical="center" wrapText="1"/>
    </xf>
    <xf numFmtId="0" fontId="1" fillId="0" borderId="0" xfId="0" applyFont="1" applyAlignment="1">
      <alignment horizontal="left" vertical="center" wrapText="1"/>
    </xf>
    <xf numFmtId="0" fontId="7" fillId="6" borderId="70" xfId="0" applyFont="1" applyFill="1" applyBorder="1" applyAlignment="1">
      <alignment horizontal="center" vertical="center" wrapText="1"/>
    </xf>
    <xf numFmtId="0" fontId="7" fillId="6" borderId="71" xfId="0" applyFont="1" applyFill="1" applyBorder="1" applyAlignment="1">
      <alignment horizontal="center" vertical="center" wrapText="1"/>
    </xf>
    <xf numFmtId="0" fontId="1" fillId="0" borderId="70" xfId="0" applyFont="1" applyBorder="1" applyAlignment="1">
      <alignment horizontal="center" vertical="center" wrapText="1"/>
    </xf>
    <xf numFmtId="0" fontId="1" fillId="0" borderId="71" xfId="0" applyFont="1" applyBorder="1" applyAlignment="1">
      <alignment horizontal="center" vertical="center" wrapText="1"/>
    </xf>
    <xf numFmtId="0" fontId="1" fillId="0" borderId="68" xfId="0" applyFont="1" applyBorder="1" applyAlignment="1">
      <alignment horizontal="center" vertical="center" wrapText="1"/>
    </xf>
    <xf numFmtId="0" fontId="7" fillId="6" borderId="69" xfId="0" applyFont="1" applyFill="1" applyBorder="1" applyAlignment="1">
      <alignment horizontal="left" vertical="center"/>
    </xf>
    <xf numFmtId="0" fontId="7" fillId="6" borderId="69" xfId="0" applyFont="1" applyFill="1" applyBorder="1" applyAlignment="1">
      <alignment horizontal="center" vertical="center" wrapText="1"/>
    </xf>
    <xf numFmtId="0" fontId="6" fillId="7" borderId="69" xfId="0" applyFont="1" applyFill="1" applyBorder="1" applyAlignment="1">
      <alignment horizontal="left" vertical="center"/>
    </xf>
    <xf numFmtId="0" fontId="11" fillId="10" borderId="69" xfId="0" applyFont="1" applyFill="1" applyBorder="1" applyAlignment="1">
      <alignment horizontal="center" vertical="center"/>
    </xf>
    <xf numFmtId="0" fontId="25" fillId="6" borderId="69" xfId="0" applyFont="1" applyFill="1" applyBorder="1" applyAlignment="1">
      <alignment horizontal="center" vertical="center" wrapText="1"/>
    </xf>
    <xf numFmtId="0" fontId="11" fillId="10" borderId="94" xfId="0" applyFont="1" applyFill="1" applyBorder="1" applyAlignment="1">
      <alignment horizontal="center" vertical="center"/>
    </xf>
    <xf numFmtId="0" fontId="11" fillId="10" borderId="72" xfId="0" applyFont="1" applyFill="1" applyBorder="1" applyAlignment="1">
      <alignment horizontal="center" vertical="center"/>
    </xf>
    <xf numFmtId="0" fontId="16" fillId="10" borderId="0" xfId="0" applyFont="1" applyFill="1" applyAlignment="1">
      <alignment horizontal="center" vertical="center" wrapText="1"/>
    </xf>
    <xf numFmtId="0" fontId="16" fillId="10" borderId="2" xfId="0" applyFont="1" applyFill="1" applyBorder="1" applyAlignment="1">
      <alignment horizontal="center"/>
    </xf>
    <xf numFmtId="0" fontId="55" fillId="14" borderId="0" xfId="0" applyFont="1" applyFill="1" applyAlignment="1">
      <alignment horizontal="center" vertical="center"/>
    </xf>
    <xf numFmtId="0" fontId="54" fillId="0" borderId="0" xfId="0" applyFont="1"/>
    <xf numFmtId="0" fontId="12" fillId="0" borderId="36" xfId="0" applyFont="1" applyBorder="1" applyAlignment="1">
      <alignment horizontal="center" vertical="center" wrapText="1"/>
    </xf>
    <xf numFmtId="0" fontId="41" fillId="14" borderId="187" xfId="0" applyFont="1" applyFill="1" applyBorder="1" applyAlignment="1">
      <alignment horizontal="center" vertical="center"/>
    </xf>
    <xf numFmtId="0" fontId="6" fillId="0" borderId="0" xfId="0" applyFont="1" applyAlignment="1">
      <alignment horizontal="center"/>
    </xf>
    <xf numFmtId="0" fontId="6" fillId="6" borderId="34" xfId="0" applyFont="1" applyFill="1" applyBorder="1" applyAlignment="1">
      <alignment horizontal="center" vertical="center"/>
    </xf>
    <xf numFmtId="0" fontId="6" fillId="6" borderId="0" xfId="0" applyFont="1" applyFill="1" applyAlignment="1">
      <alignment horizontal="center" vertical="center"/>
    </xf>
    <xf numFmtId="0" fontId="6" fillId="0" borderId="2" xfId="0" applyFont="1" applyBorder="1" applyAlignment="1">
      <alignment horizontal="center" wrapText="1"/>
    </xf>
    <xf numFmtId="0" fontId="6" fillId="0" borderId="2" xfId="0" applyFont="1" applyBorder="1" applyAlignment="1">
      <alignment horizontal="center"/>
    </xf>
    <xf numFmtId="0" fontId="7" fillId="0" borderId="0" xfId="0" applyFont="1" applyAlignment="1">
      <alignment horizontal="left" vertical="center"/>
    </xf>
    <xf numFmtId="0" fontId="6" fillId="0" borderId="0" xfId="0" applyFont="1" applyAlignment="1">
      <alignment horizontal="left"/>
    </xf>
    <xf numFmtId="0" fontId="23" fillId="0" borderId="82" xfId="0" applyFont="1" applyBorder="1" applyAlignment="1">
      <alignment horizontal="center" vertical="center" wrapText="1"/>
    </xf>
    <xf numFmtId="0" fontId="23" fillId="0" borderId="105" xfId="0" applyFont="1" applyBorder="1" applyAlignment="1">
      <alignment horizontal="center" vertical="center" wrapText="1"/>
    </xf>
    <xf numFmtId="0" fontId="23" fillId="0" borderId="106" xfId="0" applyFont="1" applyBorder="1" applyAlignment="1">
      <alignment horizontal="center" vertical="center" wrapText="1"/>
    </xf>
    <xf numFmtId="0" fontId="23" fillId="0" borderId="97"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95" xfId="0" applyFont="1" applyBorder="1" applyAlignment="1">
      <alignment horizontal="center" vertical="center" wrapText="1"/>
    </xf>
    <xf numFmtId="0" fontId="23" fillId="0" borderId="96" xfId="0" applyFont="1" applyBorder="1" applyAlignment="1">
      <alignment horizontal="center" vertical="center" wrapText="1"/>
    </xf>
    <xf numFmtId="0" fontId="23" fillId="0" borderId="83" xfId="0" applyFont="1" applyBorder="1" applyAlignment="1">
      <alignment horizontal="center" vertical="center" wrapText="1"/>
    </xf>
    <xf numFmtId="0" fontId="23" fillId="0" borderId="159" xfId="0" applyFont="1" applyBorder="1" applyAlignment="1">
      <alignment horizontal="center" vertical="center" wrapText="1"/>
    </xf>
    <xf numFmtId="0" fontId="23" fillId="0" borderId="160" xfId="0" applyFont="1" applyBorder="1" applyAlignment="1">
      <alignment horizontal="center" vertical="center" wrapText="1"/>
    </xf>
    <xf numFmtId="0" fontId="23" fillId="0" borderId="161" xfId="0" applyFont="1" applyBorder="1" applyAlignment="1">
      <alignment horizontal="center" vertical="center" wrapText="1"/>
    </xf>
    <xf numFmtId="0" fontId="23" fillId="0" borderId="68" xfId="0" applyFont="1" applyBorder="1" applyAlignment="1">
      <alignment horizontal="center" vertical="center" wrapText="1"/>
    </xf>
    <xf numFmtId="0" fontId="23" fillId="0" borderId="69" xfId="0" applyFont="1" applyBorder="1" applyAlignment="1">
      <alignment horizontal="center" vertical="center" wrapText="1"/>
    </xf>
    <xf numFmtId="0" fontId="23" fillId="0" borderId="86" xfId="0" applyFont="1" applyBorder="1" applyAlignment="1">
      <alignment horizontal="center" vertical="center" wrapText="1"/>
    </xf>
    <xf numFmtId="0" fontId="23" fillId="0" borderId="116" xfId="0" applyFont="1" applyBorder="1" applyAlignment="1">
      <alignment horizontal="center" vertical="center" wrapText="1"/>
    </xf>
    <xf numFmtId="0" fontId="23" fillId="0" borderId="111" xfId="0" applyFont="1" applyBorder="1" applyAlignment="1">
      <alignment horizontal="center" vertical="center" wrapText="1"/>
    </xf>
    <xf numFmtId="0" fontId="23" fillId="0" borderId="117" xfId="0" applyFont="1" applyBorder="1" applyAlignment="1">
      <alignment horizontal="center" vertical="center" wrapText="1"/>
    </xf>
    <xf numFmtId="0" fontId="23" fillId="0" borderId="163" xfId="0" applyFont="1" applyBorder="1" applyAlignment="1">
      <alignment horizontal="center" vertical="center" wrapText="1"/>
    </xf>
    <xf numFmtId="0" fontId="23" fillId="0" borderId="164" xfId="0" applyFont="1" applyBorder="1" applyAlignment="1">
      <alignment horizontal="center" vertical="center" wrapText="1"/>
    </xf>
    <xf numFmtId="0" fontId="23" fillId="0" borderId="37" xfId="0" applyFont="1" applyBorder="1" applyAlignment="1">
      <alignment horizontal="center" vertical="center"/>
    </xf>
    <xf numFmtId="0" fontId="23" fillId="0" borderId="40" xfId="0" applyFont="1" applyBorder="1" applyAlignment="1">
      <alignment horizontal="center" vertical="center"/>
    </xf>
    <xf numFmtId="0" fontId="23" fillId="0" borderId="42" xfId="0" applyFont="1" applyBorder="1" applyAlignment="1">
      <alignment horizontal="center" vertical="center"/>
    </xf>
    <xf numFmtId="0" fontId="23" fillId="0" borderId="38" xfId="0" applyFont="1" applyBorder="1" applyAlignment="1">
      <alignment horizontal="center" vertical="center"/>
    </xf>
    <xf numFmtId="0" fontId="23" fillId="0" borderId="36" xfId="0" applyFont="1" applyBorder="1" applyAlignment="1">
      <alignment horizontal="center" vertical="center"/>
    </xf>
    <xf numFmtId="0" fontId="23" fillId="0" borderId="43" xfId="0" applyFont="1" applyBorder="1" applyAlignment="1">
      <alignment horizontal="center" vertical="center"/>
    </xf>
    <xf numFmtId="0" fontId="23" fillId="0" borderId="38" xfId="0" applyFont="1" applyBorder="1" applyAlignment="1">
      <alignment horizontal="center" vertical="center" wrapText="1"/>
    </xf>
    <xf numFmtId="0" fontId="23" fillId="0" borderId="36"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141" xfId="0" applyFont="1" applyBorder="1" applyAlignment="1">
      <alignment horizontal="center" vertical="center" wrapText="1"/>
    </xf>
    <xf numFmtId="0" fontId="23" fillId="0" borderId="134" xfId="0" applyFont="1" applyBorder="1" applyAlignment="1">
      <alignment horizontal="center" vertical="center" wrapText="1"/>
    </xf>
    <xf numFmtId="0" fontId="23" fillId="0" borderId="142" xfId="0" applyFont="1" applyBorder="1" applyAlignment="1">
      <alignment horizontal="center" vertical="center" wrapText="1"/>
    </xf>
    <xf numFmtId="0" fontId="23" fillId="0" borderId="130" xfId="0" applyFont="1" applyBorder="1" applyAlignment="1">
      <alignment horizontal="center" vertical="center"/>
    </xf>
    <xf numFmtId="0" fontId="23" fillId="0" borderId="133" xfId="0" applyFont="1" applyBorder="1" applyAlignment="1">
      <alignment horizontal="center" vertical="center"/>
    </xf>
    <xf numFmtId="0" fontId="23" fillId="0" borderId="137" xfId="0" applyFont="1" applyBorder="1" applyAlignment="1">
      <alignment horizontal="center" vertical="center"/>
    </xf>
    <xf numFmtId="0" fontId="23" fillId="0" borderId="131" xfId="0" applyFont="1" applyBorder="1" applyAlignment="1">
      <alignment horizontal="center" vertical="center" wrapText="1"/>
    </xf>
    <xf numFmtId="0" fontId="23" fillId="0" borderId="138"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102" xfId="0" applyFont="1" applyBorder="1" applyAlignment="1">
      <alignment horizontal="center" vertical="center" wrapText="1"/>
    </xf>
    <xf numFmtId="0" fontId="23" fillId="0" borderId="110" xfId="0" applyFont="1" applyBorder="1" applyAlignment="1">
      <alignment horizontal="center" vertical="center" wrapText="1"/>
    </xf>
    <xf numFmtId="0" fontId="23" fillId="0" borderId="112" xfId="0" applyFont="1" applyBorder="1" applyAlignment="1">
      <alignment horizontal="center" vertical="center" wrapText="1"/>
    </xf>
    <xf numFmtId="0" fontId="23" fillId="0" borderId="145" xfId="0" applyFont="1" applyBorder="1" applyAlignment="1">
      <alignment horizontal="center" vertical="center"/>
    </xf>
    <xf numFmtId="0" fontId="23" fillId="0" borderId="146" xfId="0" applyFont="1" applyBorder="1" applyAlignment="1">
      <alignment horizontal="center" vertical="center" wrapText="1"/>
    </xf>
    <xf numFmtId="0" fontId="23" fillId="0" borderId="147" xfId="0" applyFont="1" applyBorder="1" applyAlignment="1">
      <alignment horizontal="center" vertical="center" wrapText="1"/>
    </xf>
    <xf numFmtId="0" fontId="23" fillId="0" borderId="148" xfId="0" applyFont="1" applyBorder="1" applyAlignment="1">
      <alignment horizontal="center" vertical="center" wrapText="1"/>
    </xf>
    <xf numFmtId="0" fontId="23" fillId="0" borderId="149" xfId="0" applyFont="1" applyBorder="1" applyAlignment="1">
      <alignment horizontal="center" vertical="center" wrapText="1"/>
    </xf>
    <xf numFmtId="0" fontId="23" fillId="0" borderId="152" xfId="0" applyFont="1" applyBorder="1" applyAlignment="1">
      <alignment horizontal="center" vertical="center" wrapText="1"/>
    </xf>
    <xf numFmtId="0" fontId="23" fillId="0" borderId="154" xfId="0" applyFont="1" applyBorder="1" applyAlignment="1">
      <alignment horizontal="center" vertical="center" wrapText="1"/>
    </xf>
    <xf numFmtId="0" fontId="23" fillId="0" borderId="156" xfId="0" applyFont="1" applyBorder="1" applyAlignment="1">
      <alignment horizontal="center" vertical="center" wrapText="1"/>
    </xf>
    <xf numFmtId="0" fontId="23" fillId="0" borderId="70" xfId="0" applyFont="1" applyBorder="1" applyAlignment="1">
      <alignment horizontal="center" vertical="center" wrapText="1"/>
    </xf>
    <xf numFmtId="0" fontId="23" fillId="0" borderId="115" xfId="0" applyFont="1" applyBorder="1" applyAlignment="1">
      <alignment horizontal="center" vertical="center" wrapText="1"/>
    </xf>
    <xf numFmtId="0" fontId="23" fillId="0" borderId="150" xfId="0" applyFont="1" applyBorder="1" applyAlignment="1">
      <alignment horizontal="center" vertical="center" wrapText="1"/>
    </xf>
    <xf numFmtId="0" fontId="23" fillId="0" borderId="158" xfId="0" applyFont="1" applyBorder="1" applyAlignment="1">
      <alignment horizontal="center" vertical="center" wrapText="1"/>
    </xf>
    <xf numFmtId="0" fontId="18" fillId="6" borderId="0" xfId="0" applyFont="1" applyFill="1" applyAlignment="1">
      <alignment horizontal="center" vertical="center" wrapText="1"/>
    </xf>
    <xf numFmtId="0" fontId="18" fillId="6" borderId="74" xfId="0" applyFont="1" applyFill="1" applyBorder="1" applyAlignment="1">
      <alignment horizontal="center" vertical="center" wrapText="1"/>
    </xf>
    <xf numFmtId="0" fontId="23" fillId="0" borderId="98" xfId="0" applyFont="1" applyBorder="1" applyAlignment="1">
      <alignment horizontal="center" vertical="center" wrapText="1"/>
    </xf>
    <xf numFmtId="0" fontId="23" fillId="0" borderId="100" xfId="0" applyFont="1" applyBorder="1" applyAlignment="1">
      <alignment horizontal="center" vertical="center" wrapText="1"/>
    </xf>
    <xf numFmtId="0" fontId="23" fillId="0" borderId="126" xfId="0" applyFont="1" applyBorder="1" applyAlignment="1">
      <alignment horizontal="center" vertical="center" wrapText="1"/>
    </xf>
    <xf numFmtId="0" fontId="23" fillId="0" borderId="122" xfId="0" applyFont="1" applyBorder="1" applyAlignment="1">
      <alignment horizontal="center" vertical="center"/>
    </xf>
    <xf numFmtId="0" fontId="23" fillId="0" borderId="71" xfId="0" applyFont="1" applyBorder="1" applyAlignment="1">
      <alignment horizontal="center" vertical="center"/>
    </xf>
    <xf numFmtId="0" fontId="23" fillId="0" borderId="104" xfId="0" applyFont="1" applyBorder="1" applyAlignment="1">
      <alignment horizontal="center" vertical="center"/>
    </xf>
    <xf numFmtId="0" fontId="18" fillId="6" borderId="2"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4" xfId="0" applyFont="1" applyFill="1" applyBorder="1" applyAlignment="1">
      <alignment horizontal="center" vertical="center"/>
    </xf>
    <xf numFmtId="0" fontId="11" fillId="10" borderId="23" xfId="0" applyFont="1" applyFill="1" applyBorder="1" applyAlignment="1">
      <alignment horizontal="center" vertical="center" wrapText="1"/>
    </xf>
    <xf numFmtId="0" fontId="11" fillId="10" borderId="24" xfId="0" applyFont="1" applyFill="1" applyBorder="1" applyAlignment="1">
      <alignment horizontal="center" vertical="center" wrapText="1"/>
    </xf>
    <xf numFmtId="0" fontId="23" fillId="0" borderId="143" xfId="0" applyFont="1" applyBorder="1" applyAlignment="1">
      <alignment horizontal="center" vertical="center" wrapText="1"/>
    </xf>
    <xf numFmtId="0" fontId="23" fillId="0" borderId="133" xfId="0" applyFont="1" applyBorder="1" applyAlignment="1">
      <alignment horizontal="center" vertical="center" wrapText="1"/>
    </xf>
    <xf numFmtId="0" fontId="23" fillId="0" borderId="136" xfId="0" applyFont="1" applyBorder="1" applyAlignment="1">
      <alignment horizontal="center" vertical="center" wrapText="1"/>
    </xf>
    <xf numFmtId="0" fontId="23" fillId="0" borderId="140" xfId="0" applyFont="1" applyBorder="1" applyAlignment="1">
      <alignment horizontal="center" vertical="center" wrapText="1"/>
    </xf>
    <xf numFmtId="0" fontId="23" fillId="0" borderId="137" xfId="0" applyFont="1" applyBorder="1" applyAlignment="1">
      <alignment horizontal="center" vertical="center" wrapText="1"/>
    </xf>
    <xf numFmtId="0" fontId="23" fillId="0" borderId="118" xfId="0" applyFont="1" applyBorder="1" applyAlignment="1">
      <alignment horizontal="center" vertical="center" wrapText="1"/>
    </xf>
    <xf numFmtId="0" fontId="23" fillId="0" borderId="130" xfId="0" applyFont="1" applyBorder="1" applyAlignment="1">
      <alignment horizontal="center" vertical="center" wrapText="1"/>
    </xf>
    <xf numFmtId="0" fontId="23" fillId="0" borderId="83" xfId="0" applyFont="1" applyBorder="1" applyAlignment="1">
      <alignment horizontal="center" vertical="center"/>
    </xf>
    <xf numFmtId="0" fontId="23" fillId="0" borderId="69" xfId="0" applyFont="1" applyBorder="1" applyAlignment="1">
      <alignment horizontal="center" vertical="center"/>
    </xf>
    <xf numFmtId="0" fontId="23" fillId="0" borderId="70" xfId="0" applyFont="1" applyBorder="1" applyAlignment="1">
      <alignment horizontal="center" vertical="center"/>
    </xf>
    <xf numFmtId="0" fontId="23" fillId="0" borderId="86" xfId="0" applyFont="1" applyBorder="1" applyAlignment="1">
      <alignment horizontal="center" vertical="center"/>
    </xf>
    <xf numFmtId="0" fontId="23" fillId="0" borderId="102" xfId="0" applyFont="1" applyBorder="1" applyAlignment="1">
      <alignment horizontal="center" vertical="center"/>
    </xf>
    <xf numFmtId="0" fontId="23" fillId="0" borderId="99" xfId="0" applyFont="1" applyBorder="1" applyAlignment="1">
      <alignment horizontal="center" vertical="center"/>
    </xf>
    <xf numFmtId="0" fontId="23" fillId="0" borderId="68" xfId="0" applyFont="1" applyBorder="1" applyAlignment="1">
      <alignment horizontal="center" vertical="center"/>
    </xf>
    <xf numFmtId="0" fontId="23" fillId="0" borderId="101" xfId="0" applyFont="1" applyBorder="1" applyAlignment="1">
      <alignment horizontal="center" vertical="center" wrapText="1"/>
    </xf>
    <xf numFmtId="0" fontId="23" fillId="0" borderId="129" xfId="0" applyFont="1" applyBorder="1" applyAlignment="1">
      <alignment horizontal="center" vertical="center" wrapText="1"/>
    </xf>
    <xf numFmtId="0" fontId="23" fillId="0" borderId="132" xfId="0" applyFont="1" applyBorder="1" applyAlignment="1">
      <alignment horizontal="center" vertical="center" wrapText="1"/>
    </xf>
    <xf numFmtId="0" fontId="23" fillId="0" borderId="135" xfId="0" applyFont="1" applyBorder="1" applyAlignment="1">
      <alignment horizontal="center" vertical="center" wrapText="1"/>
    </xf>
    <xf numFmtId="0" fontId="23" fillId="0" borderId="139" xfId="0" applyFont="1" applyBorder="1" applyAlignment="1">
      <alignment horizontal="center" vertical="center" wrapText="1"/>
    </xf>
    <xf numFmtId="0" fontId="18" fillId="6" borderId="107" xfId="0" applyFont="1" applyFill="1" applyBorder="1" applyAlignment="1">
      <alignment horizontal="center" vertical="center" wrapText="1"/>
    </xf>
    <xf numFmtId="0" fontId="18" fillId="6" borderId="108" xfId="0" applyFont="1" applyFill="1" applyBorder="1" applyAlignment="1">
      <alignment horizontal="center" vertical="center" wrapText="1"/>
    </xf>
    <xf numFmtId="0" fontId="23" fillId="0" borderId="125" xfId="0" applyFont="1" applyBorder="1" applyAlignment="1">
      <alignment horizontal="center" vertical="center" wrapText="1"/>
    </xf>
    <xf numFmtId="0" fontId="23" fillId="0" borderId="123" xfId="0" applyFont="1" applyBorder="1" applyAlignment="1">
      <alignment horizontal="center" vertical="center" wrapText="1"/>
    </xf>
    <xf numFmtId="0" fontId="23" fillId="0" borderId="124" xfId="0" applyFont="1" applyBorder="1" applyAlignment="1">
      <alignment horizontal="center" vertical="center" wrapText="1"/>
    </xf>
    <xf numFmtId="0" fontId="23" fillId="0" borderId="163" xfId="0" applyFont="1" applyBorder="1" applyAlignment="1">
      <alignment horizontal="center" vertical="center"/>
    </xf>
    <xf numFmtId="0" fontId="23" fillId="0" borderId="144" xfId="0" applyFont="1" applyBorder="1" applyAlignment="1">
      <alignment horizontal="center" vertical="center" wrapText="1"/>
    </xf>
    <xf numFmtId="0" fontId="23" fillId="0" borderId="151" xfId="0" applyFont="1" applyBorder="1" applyAlignment="1">
      <alignment horizontal="center" vertical="center" wrapText="1"/>
    </xf>
    <xf numFmtId="0" fontId="23" fillId="0" borderId="153" xfId="0" applyFont="1" applyBorder="1" applyAlignment="1">
      <alignment horizontal="center" vertical="center" wrapText="1"/>
    </xf>
    <xf numFmtId="0" fontId="23" fillId="0" borderId="155" xfId="0" applyFont="1" applyBorder="1" applyAlignment="1">
      <alignment horizontal="center" vertical="center" wrapText="1"/>
    </xf>
    <xf numFmtId="0" fontId="23" fillId="0" borderId="157" xfId="0" applyFont="1" applyBorder="1" applyAlignment="1">
      <alignment horizontal="center" vertical="center" wrapText="1"/>
    </xf>
    <xf numFmtId="0" fontId="23" fillId="0" borderId="127" xfId="0" applyFont="1" applyBorder="1" applyAlignment="1">
      <alignment horizontal="center" vertical="center" wrapText="1"/>
    </xf>
    <xf numFmtId="0" fontId="23" fillId="0" borderId="162" xfId="0" applyFont="1" applyBorder="1" applyAlignment="1">
      <alignment horizontal="center" vertical="center" wrapText="1"/>
    </xf>
    <xf numFmtId="0" fontId="23" fillId="0" borderId="128" xfId="0" applyFont="1" applyBorder="1" applyAlignment="1">
      <alignment horizontal="center" vertical="center" wrapText="1"/>
    </xf>
    <xf numFmtId="0" fontId="37" fillId="0" borderId="116" xfId="0" applyFont="1" applyBorder="1" applyAlignment="1">
      <alignment horizontal="center" vertical="center" wrapText="1"/>
    </xf>
    <xf numFmtId="0" fontId="37" fillId="0" borderId="111" xfId="0" applyFont="1" applyBorder="1" applyAlignment="1">
      <alignment horizontal="center" vertical="center" wrapText="1"/>
    </xf>
    <xf numFmtId="0" fontId="37" fillId="0" borderId="117" xfId="0" applyFont="1" applyBorder="1" applyAlignment="1">
      <alignment horizontal="center" vertical="center" wrapText="1"/>
    </xf>
    <xf numFmtId="0" fontId="23" fillId="0" borderId="140" xfId="0" applyFont="1" applyBorder="1" applyAlignment="1">
      <alignment horizontal="center" vertical="center"/>
    </xf>
    <xf numFmtId="0" fontId="23" fillId="0" borderId="136" xfId="0" applyFont="1" applyBorder="1" applyAlignment="1">
      <alignment horizontal="center" vertical="center"/>
    </xf>
    <xf numFmtId="0" fontId="23" fillId="0" borderId="173" xfId="0" applyFont="1" applyBorder="1" applyAlignment="1">
      <alignment horizontal="center" vertical="center" wrapText="1"/>
    </xf>
    <xf numFmtId="0" fontId="23" fillId="0" borderId="174" xfId="0" applyFont="1" applyBorder="1" applyAlignment="1">
      <alignment horizontal="center" vertical="center" wrapText="1"/>
    </xf>
    <xf numFmtId="0" fontId="32" fillId="11" borderId="23" xfId="0" applyFont="1" applyFill="1" applyBorder="1" applyAlignment="1">
      <alignment horizontal="center" vertical="center"/>
    </xf>
    <xf numFmtId="0" fontId="11" fillId="10" borderId="23" xfId="0" applyFont="1" applyFill="1" applyBorder="1" applyAlignment="1">
      <alignment horizontal="center" vertical="center"/>
    </xf>
    <xf numFmtId="0" fontId="22" fillId="0" borderId="61" xfId="0" applyFont="1" applyBorder="1" applyAlignment="1">
      <alignment horizontal="center" vertical="center"/>
    </xf>
    <xf numFmtId="0" fontId="22" fillId="0" borderId="53" xfId="0" applyFont="1" applyBorder="1" applyAlignment="1">
      <alignment horizontal="center" vertical="center"/>
    </xf>
    <xf numFmtId="0" fontId="22" fillId="0" borderId="59" xfId="0" applyFont="1" applyBorder="1" applyAlignment="1">
      <alignment horizontal="center" vertical="center"/>
    </xf>
    <xf numFmtId="0" fontId="22" fillId="0" borderId="60" xfId="0" applyFont="1" applyBorder="1" applyAlignment="1">
      <alignment horizontal="center" vertical="center"/>
    </xf>
    <xf numFmtId="0" fontId="32" fillId="11" borderId="23" xfId="0" applyFont="1" applyFill="1" applyBorder="1" applyAlignment="1">
      <alignment horizontal="center" vertical="center" wrapText="1"/>
    </xf>
    <xf numFmtId="0" fontId="25" fillId="12" borderId="3" xfId="0" applyFont="1" applyFill="1" applyBorder="1" applyAlignment="1">
      <alignment horizontal="center" vertical="center"/>
    </xf>
    <xf numFmtId="0" fontId="25" fillId="12" borderId="12" xfId="0" applyFont="1" applyFill="1" applyBorder="1" applyAlignment="1">
      <alignment horizontal="center" vertical="center"/>
    </xf>
    <xf numFmtId="0" fontId="25" fillId="12" borderId="13" xfId="0" applyFont="1" applyFill="1" applyBorder="1" applyAlignment="1">
      <alignment horizontal="center" vertical="center"/>
    </xf>
    <xf numFmtId="0" fontId="25" fillId="12" borderId="14" xfId="0" applyFont="1" applyFill="1" applyBorder="1" applyAlignment="1">
      <alignment horizontal="center" vertical="center"/>
    </xf>
    <xf numFmtId="0" fontId="25" fillId="12" borderId="21" xfId="0" applyFont="1" applyFill="1" applyBorder="1" applyAlignment="1">
      <alignment horizontal="center" vertical="center"/>
    </xf>
    <xf numFmtId="0" fontId="11" fillId="11" borderId="23" xfId="0" applyFont="1" applyFill="1" applyBorder="1" applyAlignment="1">
      <alignment horizontal="center" vertical="center" wrapText="1"/>
    </xf>
    <xf numFmtId="10" fontId="7" fillId="0" borderId="9" xfId="8" applyNumberFormat="1" applyFont="1" applyBorder="1" applyAlignment="1">
      <alignment horizontal="center"/>
    </xf>
    <xf numFmtId="10" fontId="7" fillId="0" borderId="10" xfId="8" applyNumberFormat="1" applyFont="1" applyBorder="1" applyAlignment="1">
      <alignment horizontal="center"/>
    </xf>
    <xf numFmtId="10" fontId="7" fillId="0" borderId="11" xfId="8" applyNumberFormat="1" applyFont="1" applyBorder="1" applyAlignment="1">
      <alignment horizontal="center"/>
    </xf>
    <xf numFmtId="0" fontId="7" fillId="5" borderId="3"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0" fillId="0" borderId="0" xfId="0" applyAlignment="1">
      <alignment horizont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2" fillId="4" borderId="0" xfId="5" applyFont="1" applyFill="1" applyBorder="1" applyAlignment="1">
      <alignment horizontal="center" vertical="center" wrapText="1"/>
    </xf>
    <xf numFmtId="3" fontId="1" fillId="0" borderId="2" xfId="7" applyNumberFormat="1" applyFont="1" applyBorder="1" applyAlignment="1">
      <alignment horizontal="left" vertical="center"/>
    </xf>
    <xf numFmtId="3" fontId="1" fillId="0" borderId="2" xfId="7" applyNumberFormat="1" applyFont="1" applyBorder="1" applyAlignment="1">
      <alignment horizontal="center" vertical="center"/>
    </xf>
    <xf numFmtId="9" fontId="1" fillId="0" borderId="2" xfId="2" applyFont="1" applyBorder="1" applyAlignment="1">
      <alignment horizontal="center" vertical="center"/>
    </xf>
    <xf numFmtId="169" fontId="1" fillId="0" borderId="2" xfId="6" applyNumberFormat="1" applyFont="1" applyBorder="1" applyAlignment="1">
      <alignment horizontal="center" vertical="center" wrapText="1"/>
    </xf>
    <xf numFmtId="0" fontId="1" fillId="0" borderId="2" xfId="0" applyFont="1" applyBorder="1" applyAlignment="1">
      <alignment horizontal="center" vertical="center" wrapText="1"/>
    </xf>
    <xf numFmtId="4" fontId="1" fillId="0" borderId="2" xfId="7" applyNumberFormat="1" applyFont="1" applyBorder="1" applyAlignment="1">
      <alignment horizontal="center" vertical="center"/>
    </xf>
    <xf numFmtId="0" fontId="1" fillId="0" borderId="2" xfId="0" applyFont="1" applyBorder="1"/>
    <xf numFmtId="169" fontId="1" fillId="0" borderId="2" xfId="6" applyNumberFormat="1" applyFont="1" applyFill="1" applyBorder="1" applyAlignment="1">
      <alignment horizontal="center" vertical="center" wrapText="1"/>
    </xf>
    <xf numFmtId="165" fontId="1" fillId="0" borderId="2" xfId="0" applyNumberFormat="1" applyFont="1" applyBorder="1" applyAlignment="1">
      <alignment horizontal="center" vertical="center" wrapText="1"/>
    </xf>
    <xf numFmtId="9" fontId="1" fillId="0" borderId="2" xfId="2" applyFont="1" applyFill="1" applyBorder="1" applyAlignment="1">
      <alignment horizontal="center" vertical="center"/>
    </xf>
    <xf numFmtId="166" fontId="1" fillId="0" borderId="2" xfId="7" applyNumberFormat="1" applyFont="1" applyBorder="1" applyAlignment="1">
      <alignment horizontal="center" vertical="center"/>
    </xf>
    <xf numFmtId="0" fontId="6" fillId="0" borderId="20" xfId="0" applyFont="1" applyBorder="1" applyAlignment="1">
      <alignment horizontal="center" vertical="center" wrapText="1"/>
    </xf>
    <xf numFmtId="0" fontId="18" fillId="6" borderId="219" xfId="0" applyFont="1" applyFill="1" applyBorder="1" applyAlignment="1">
      <alignment horizontal="center" vertical="center"/>
    </xf>
    <xf numFmtId="0" fontId="18" fillId="6" borderId="220" xfId="0" applyFont="1" applyFill="1" applyBorder="1" applyAlignment="1">
      <alignment horizontal="center" vertical="center"/>
    </xf>
    <xf numFmtId="0" fontId="18" fillId="6" borderId="221" xfId="0" applyFont="1" applyFill="1" applyBorder="1" applyAlignment="1">
      <alignment horizontal="center" vertical="center"/>
    </xf>
    <xf numFmtId="0" fontId="56" fillId="0" borderId="222" xfId="0" applyFont="1" applyBorder="1" applyAlignment="1">
      <alignment horizontal="center" vertical="center" wrapText="1"/>
    </xf>
    <xf numFmtId="0" fontId="56" fillId="0" borderId="99" xfId="0" applyFont="1" applyBorder="1" applyAlignment="1">
      <alignment horizontal="center" vertical="center"/>
    </xf>
    <xf numFmtId="0" fontId="56" fillId="0" borderId="223" xfId="0" applyFont="1" applyBorder="1" applyAlignment="1">
      <alignment horizontal="center" vertical="center" wrapText="1"/>
    </xf>
    <xf numFmtId="0" fontId="56" fillId="0" borderId="165" xfId="0" applyFont="1" applyBorder="1" applyAlignment="1">
      <alignment horizontal="center" vertical="center"/>
    </xf>
    <xf numFmtId="2" fontId="56" fillId="0" borderId="99" xfId="0" applyNumberFormat="1" applyFont="1" applyBorder="1" applyAlignment="1">
      <alignment horizontal="center" vertical="center"/>
    </xf>
    <xf numFmtId="2" fontId="56" fillId="0" borderId="110" xfId="0" applyNumberFormat="1" applyFont="1" applyBorder="1" applyAlignment="1">
      <alignment horizontal="center" vertical="center"/>
    </xf>
    <xf numFmtId="0" fontId="56" fillId="0" borderId="127" xfId="0" applyFont="1" applyBorder="1" applyAlignment="1">
      <alignment horizontal="center" vertical="center" wrapText="1"/>
    </xf>
    <xf numFmtId="0" fontId="56" fillId="0" borderId="69" xfId="0" applyFont="1" applyBorder="1" applyAlignment="1">
      <alignment horizontal="center" vertical="center"/>
    </xf>
    <xf numFmtId="0" fontId="56" fillId="0" borderId="85" xfId="0" applyFont="1" applyBorder="1" applyAlignment="1">
      <alignment horizontal="center" vertical="center" wrapText="1"/>
    </xf>
    <xf numFmtId="0" fontId="56" fillId="0" borderId="81" xfId="0" applyFont="1" applyBorder="1" applyAlignment="1">
      <alignment horizontal="center" vertical="center"/>
    </xf>
    <xf numFmtId="2" fontId="56" fillId="0" borderId="69" xfId="0" applyNumberFormat="1" applyFont="1" applyBorder="1" applyAlignment="1">
      <alignment horizontal="center" vertical="center"/>
    </xf>
    <xf numFmtId="2" fontId="56" fillId="0" borderId="111" xfId="0" applyNumberFormat="1" applyFont="1" applyBorder="1" applyAlignment="1">
      <alignment horizontal="center" vertical="center"/>
    </xf>
    <xf numFmtId="0" fontId="56" fillId="0" borderId="162" xfId="0" applyFont="1" applyBorder="1" applyAlignment="1">
      <alignment horizontal="center" vertical="center" wrapText="1"/>
    </xf>
    <xf numFmtId="0" fontId="56" fillId="0" borderId="102" xfId="0" applyFont="1" applyBorder="1" applyAlignment="1">
      <alignment horizontal="center" vertical="center"/>
    </xf>
    <xf numFmtId="0" fontId="56" fillId="0" borderId="224" xfId="0" applyFont="1" applyBorder="1" applyAlignment="1">
      <alignment horizontal="center" vertical="center" wrapText="1"/>
    </xf>
    <xf numFmtId="0" fontId="56" fillId="0" borderId="166" xfId="0" applyFont="1" applyBorder="1" applyAlignment="1">
      <alignment horizontal="center" vertical="center"/>
    </xf>
    <xf numFmtId="2" fontId="56" fillId="0" borderId="102" xfId="0" applyNumberFormat="1" applyFont="1" applyBorder="1" applyAlignment="1">
      <alignment horizontal="center" vertical="center"/>
    </xf>
    <xf numFmtId="2" fontId="56" fillId="0" borderId="112" xfId="0" applyNumberFormat="1" applyFont="1" applyBorder="1" applyAlignment="1">
      <alignment horizontal="center" vertical="center"/>
    </xf>
    <xf numFmtId="0" fontId="56" fillId="0" borderId="122" xfId="0" applyFont="1" applyBorder="1" applyAlignment="1">
      <alignment horizontal="center" vertical="center"/>
    </xf>
    <xf numFmtId="0" fontId="56" fillId="0" borderId="68" xfId="0" applyFont="1" applyBorder="1" applyAlignment="1">
      <alignment horizontal="center" vertical="center"/>
    </xf>
    <xf numFmtId="0" fontId="56" fillId="0" borderId="89" xfId="0" applyFont="1" applyBorder="1" applyAlignment="1">
      <alignment horizontal="center" vertical="center" wrapText="1"/>
    </xf>
    <xf numFmtId="0" fontId="56" fillId="0" borderId="92" xfId="0" applyFont="1" applyBorder="1" applyAlignment="1">
      <alignment horizontal="center" vertical="center"/>
    </xf>
    <xf numFmtId="2" fontId="56" fillId="0" borderId="68" xfId="0" applyNumberFormat="1" applyFont="1" applyBorder="1" applyAlignment="1">
      <alignment horizontal="center" vertical="center"/>
    </xf>
    <xf numFmtId="2" fontId="56" fillId="0" borderId="89" xfId="0" applyNumberFormat="1" applyFont="1" applyBorder="1" applyAlignment="1">
      <alignment horizontal="center" vertical="center"/>
    </xf>
    <xf numFmtId="0" fontId="56" fillId="0" borderId="71" xfId="0" applyFont="1" applyBorder="1" applyAlignment="1">
      <alignment horizontal="center" vertical="center"/>
    </xf>
    <xf numFmtId="2" fontId="56" fillId="0" borderId="85" xfId="0" applyNumberFormat="1" applyFont="1" applyBorder="1" applyAlignment="1">
      <alignment horizontal="center" vertical="center"/>
    </xf>
    <xf numFmtId="0" fontId="56" fillId="0" borderId="104" xfId="0" applyFont="1" applyBorder="1" applyAlignment="1">
      <alignment horizontal="center" vertical="center"/>
    </xf>
    <xf numFmtId="0" fontId="56" fillId="0" borderId="86" xfId="0" applyFont="1" applyBorder="1" applyAlignment="1">
      <alignment horizontal="center" vertical="center"/>
    </xf>
    <xf numFmtId="0" fontId="56" fillId="0" borderId="87" xfId="0" applyFont="1" applyBorder="1" applyAlignment="1">
      <alignment horizontal="center" vertical="center" wrapText="1"/>
    </xf>
    <xf numFmtId="0" fontId="56" fillId="0" borderId="91" xfId="0" applyFont="1" applyBorder="1" applyAlignment="1">
      <alignment horizontal="center" vertical="center"/>
    </xf>
    <xf numFmtId="2" fontId="56" fillId="0" borderId="86" xfId="0" applyNumberFormat="1" applyFont="1" applyBorder="1" applyAlignment="1">
      <alignment horizontal="center" vertical="center"/>
    </xf>
    <xf numFmtId="2" fontId="56" fillId="0" borderId="87" xfId="0" applyNumberFormat="1" applyFont="1" applyBorder="1" applyAlignment="1">
      <alignment horizontal="center" vertical="center"/>
    </xf>
    <xf numFmtId="0" fontId="56" fillId="0" borderId="97" xfId="0" applyFont="1" applyBorder="1" applyAlignment="1">
      <alignment horizontal="center" vertical="center"/>
    </xf>
    <xf numFmtId="0" fontId="56" fillId="0" borderId="83" xfId="0" applyFont="1" applyBorder="1" applyAlignment="1">
      <alignment horizontal="center" vertical="center" wrapText="1"/>
    </xf>
    <xf numFmtId="0" fontId="56" fillId="0" borderId="90" xfId="0" applyFont="1" applyBorder="1" applyAlignment="1">
      <alignment horizontal="center" vertical="center"/>
    </xf>
    <xf numFmtId="2" fontId="56" fillId="0" borderId="83" xfId="0" applyNumberFormat="1" applyFont="1" applyBorder="1" applyAlignment="1">
      <alignment horizontal="center" vertical="center"/>
    </xf>
    <xf numFmtId="2" fontId="56" fillId="0" borderId="84" xfId="0" applyNumberFormat="1" applyFont="1" applyBorder="1" applyAlignment="1">
      <alignment horizontal="center" vertical="center"/>
    </xf>
    <xf numFmtId="0" fontId="56" fillId="0" borderId="69" xfId="0" applyFont="1" applyBorder="1" applyAlignment="1">
      <alignment horizontal="center" vertical="center" wrapText="1"/>
    </xf>
    <xf numFmtId="0" fontId="56" fillId="0" borderId="70" xfId="0" applyFont="1" applyBorder="1" applyAlignment="1">
      <alignment horizontal="center" vertical="center" wrapText="1"/>
    </xf>
    <xf numFmtId="0" fontId="56" fillId="0" borderId="73" xfId="0" applyFont="1" applyBorder="1" applyAlignment="1">
      <alignment horizontal="center" vertical="center"/>
    </xf>
    <xf numFmtId="2" fontId="56" fillId="0" borderId="70" xfId="0" applyNumberFormat="1" applyFont="1" applyBorder="1" applyAlignment="1">
      <alignment horizontal="center" vertical="center"/>
    </xf>
    <xf numFmtId="2" fontId="56" fillId="0" borderId="88" xfId="0" applyNumberFormat="1" applyFont="1" applyBorder="1" applyAlignment="1">
      <alignment horizontal="center" vertical="center"/>
    </xf>
    <xf numFmtId="0" fontId="56" fillId="0" borderId="83" xfId="0" applyFont="1" applyBorder="1" applyAlignment="1">
      <alignment horizontal="center" vertical="center"/>
    </xf>
    <xf numFmtId="0" fontId="56" fillId="0" borderId="86" xfId="0" applyFont="1" applyBorder="1" applyAlignment="1">
      <alignment horizontal="center" vertical="center" wrapText="1"/>
    </xf>
    <xf numFmtId="0" fontId="56" fillId="0" borderId="68" xfId="0" applyFont="1" applyBorder="1" applyAlignment="1">
      <alignment horizontal="center" vertical="center" wrapText="1"/>
    </xf>
    <xf numFmtId="0" fontId="56" fillId="0" borderId="70" xfId="0" applyFont="1" applyBorder="1" applyAlignment="1">
      <alignment horizontal="center" vertical="center"/>
    </xf>
    <xf numFmtId="0" fontId="56" fillId="0" borderId="88" xfId="0" applyFont="1" applyBorder="1" applyAlignment="1">
      <alignment horizontal="center" vertical="center" wrapText="1"/>
    </xf>
    <xf numFmtId="0" fontId="56" fillId="0" borderId="225" xfId="0" applyFont="1" applyBorder="1" applyAlignment="1">
      <alignment horizontal="center" vertical="center"/>
    </xf>
    <xf numFmtId="0" fontId="56" fillId="0" borderId="226" xfId="0" applyFont="1" applyBorder="1" applyAlignment="1">
      <alignment horizontal="center" vertical="center"/>
    </xf>
    <xf numFmtId="0" fontId="56" fillId="0" borderId="139" xfId="0" applyFont="1" applyBorder="1" applyAlignment="1">
      <alignment horizontal="center" vertical="center" wrapText="1"/>
    </xf>
    <xf numFmtId="0" fontId="56" fillId="0" borderId="130" xfId="0" applyFont="1" applyBorder="1" applyAlignment="1">
      <alignment horizontal="center" vertical="center" wrapText="1"/>
    </xf>
    <xf numFmtId="0" fontId="56" fillId="0" borderId="141" xfId="0" applyFont="1" applyBorder="1" applyAlignment="1">
      <alignment horizontal="center" vertical="center" wrapText="1"/>
    </xf>
    <xf numFmtId="0" fontId="56" fillId="0" borderId="132" xfId="0" applyFont="1" applyBorder="1" applyAlignment="1">
      <alignment horizontal="center" vertical="center" wrapText="1"/>
    </xf>
    <xf numFmtId="0" fontId="56" fillId="0" borderId="133" xfId="0" applyFont="1" applyBorder="1" applyAlignment="1">
      <alignment horizontal="center" vertical="center" wrapText="1"/>
    </xf>
    <xf numFmtId="0" fontId="56" fillId="0" borderId="134" xfId="0" applyFont="1" applyBorder="1" applyAlignment="1">
      <alignment horizontal="center" vertical="center" wrapText="1"/>
    </xf>
    <xf numFmtId="0" fontId="56" fillId="0" borderId="135" xfId="0" applyFont="1" applyBorder="1" applyAlignment="1">
      <alignment horizontal="center" vertical="center" wrapText="1"/>
    </xf>
    <xf numFmtId="0" fontId="56" fillId="0" borderId="137" xfId="0" applyFont="1" applyBorder="1" applyAlignment="1">
      <alignment horizontal="center" vertical="center" wrapText="1"/>
    </xf>
    <xf numFmtId="0" fontId="56" fillId="0" borderId="142" xfId="0" applyFont="1" applyBorder="1" applyAlignment="1">
      <alignment horizontal="center" vertical="center" wrapText="1"/>
    </xf>
    <xf numFmtId="0" fontId="56" fillId="0" borderId="140" xfId="0" applyFont="1" applyBorder="1" applyAlignment="1">
      <alignment horizontal="center" vertical="center" wrapText="1"/>
    </xf>
    <xf numFmtId="0" fontId="56" fillId="0" borderId="136" xfId="0" applyFont="1" applyBorder="1" applyAlignment="1">
      <alignment horizontal="center" vertical="center" wrapText="1"/>
    </xf>
    <xf numFmtId="0" fontId="56" fillId="0" borderId="143" xfId="0" applyFont="1" applyBorder="1" applyAlignment="1">
      <alignment horizontal="center" vertical="center" wrapText="1"/>
    </xf>
    <xf numFmtId="0" fontId="56" fillId="0" borderId="138" xfId="0" applyFont="1" applyBorder="1" applyAlignment="1">
      <alignment horizontal="center" vertical="center" wrapText="1"/>
    </xf>
    <xf numFmtId="0" fontId="56" fillId="0" borderId="130" xfId="0" applyFont="1" applyBorder="1" applyAlignment="1">
      <alignment horizontal="center" vertical="center"/>
    </xf>
    <xf numFmtId="0" fontId="56" fillId="0" borderId="133" xfId="0" applyFont="1" applyBorder="1" applyAlignment="1">
      <alignment horizontal="center" vertical="center"/>
    </xf>
    <xf numFmtId="0" fontId="56" fillId="0" borderId="137" xfId="0" applyFont="1" applyBorder="1" applyAlignment="1">
      <alignment horizontal="center" vertical="center"/>
    </xf>
    <xf numFmtId="0" fontId="56" fillId="0" borderId="129" xfId="0" applyFont="1" applyBorder="1" applyAlignment="1">
      <alignment horizontal="center" vertical="center" wrapText="1"/>
    </xf>
    <xf numFmtId="0" fontId="56" fillId="0" borderId="144" xfId="0" applyFont="1" applyBorder="1" applyAlignment="1">
      <alignment horizontal="center" vertical="center" wrapText="1"/>
    </xf>
    <xf numFmtId="0" fontId="56" fillId="0" borderId="145" xfId="0" applyFont="1" applyBorder="1" applyAlignment="1">
      <alignment horizontal="center" vertical="center" wrapText="1"/>
    </xf>
    <xf numFmtId="0" fontId="56" fillId="0" borderId="145" xfId="0" applyFont="1" applyBorder="1" applyAlignment="1">
      <alignment horizontal="center" vertical="center"/>
    </xf>
    <xf numFmtId="0" fontId="1" fillId="0" borderId="4" xfId="0" applyFont="1" applyBorder="1" applyAlignment="1">
      <alignment horizontal="left" vertical="center"/>
    </xf>
    <xf numFmtId="0" fontId="1" fillId="0" borderId="1" xfId="0" applyFont="1" applyBorder="1" applyAlignment="1">
      <alignment horizontal="center" vertical="center"/>
    </xf>
    <xf numFmtId="0" fontId="1" fillId="0" borderId="217" xfId="0" applyFont="1" applyBorder="1" applyAlignment="1">
      <alignment horizontal="center" vertical="center"/>
    </xf>
    <xf numFmtId="0" fontId="1" fillId="0" borderId="78" xfId="0" applyFont="1" applyBorder="1" applyAlignment="1">
      <alignment horizontal="center" vertical="center" wrapText="1"/>
    </xf>
    <xf numFmtId="0" fontId="34" fillId="0" borderId="0" xfId="0" applyFont="1"/>
    <xf numFmtId="0" fontId="1" fillId="0" borderId="6" xfId="0"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79" xfId="0" applyFont="1" applyBorder="1" applyAlignment="1">
      <alignment horizontal="center" vertical="center" wrapText="1"/>
    </xf>
    <xf numFmtId="0" fontId="1" fillId="0" borderId="8" xfId="0" applyFont="1" applyBorder="1" applyAlignment="1">
      <alignment horizontal="left" vertical="center"/>
    </xf>
    <xf numFmtId="0" fontId="1" fillId="0" borderId="45" xfId="0" applyFont="1" applyBorder="1" applyAlignment="1">
      <alignment horizontal="center" vertical="center"/>
    </xf>
    <xf numFmtId="0" fontId="1" fillId="0" borderId="218" xfId="0" applyFont="1" applyBorder="1" applyAlignment="1">
      <alignment horizontal="center" vertical="center"/>
    </xf>
    <xf numFmtId="0" fontId="1" fillId="0" borderId="80" xfId="0" applyFont="1" applyBorder="1" applyAlignment="1">
      <alignment horizontal="center" vertical="center" wrapText="1"/>
    </xf>
    <xf numFmtId="0" fontId="56" fillId="0" borderId="227" xfId="0" applyFont="1" applyBorder="1" applyAlignment="1">
      <alignment horizontal="center" vertical="center" wrapText="1"/>
    </xf>
    <xf numFmtId="0" fontId="56" fillId="0" borderId="76" xfId="0" applyFont="1" applyBorder="1" applyAlignment="1">
      <alignment horizontal="center" vertical="center" wrapText="1"/>
    </xf>
    <xf numFmtId="0" fontId="56" fillId="0" borderId="228" xfId="0" applyFont="1" applyBorder="1" applyAlignment="1">
      <alignment horizontal="center" vertical="center" wrapText="1"/>
    </xf>
    <xf numFmtId="0" fontId="56" fillId="0" borderId="94" xfId="0" applyFont="1" applyBorder="1" applyAlignment="1">
      <alignment horizontal="center" vertical="center" wrapText="1"/>
    </xf>
    <xf numFmtId="0" fontId="56" fillId="0" borderId="2" xfId="0" applyFont="1" applyBorder="1" applyAlignment="1">
      <alignment horizontal="center" vertical="center"/>
    </xf>
    <xf numFmtId="0" fontId="56" fillId="0" borderId="4" xfId="0" applyFont="1" applyBorder="1" applyAlignment="1">
      <alignment horizontal="center" vertical="center"/>
    </xf>
    <xf numFmtId="0" fontId="56" fillId="0" borderId="1" xfId="0" applyFont="1" applyBorder="1" applyAlignment="1">
      <alignment horizontal="center" vertical="center"/>
    </xf>
    <xf numFmtId="0" fontId="56" fillId="0" borderId="5" xfId="0" applyFont="1" applyBorder="1" applyAlignment="1">
      <alignment horizontal="center" vertical="center"/>
    </xf>
    <xf numFmtId="0" fontId="56" fillId="0" borderId="6" xfId="0" applyFont="1" applyBorder="1" applyAlignment="1">
      <alignment horizontal="center" vertical="center"/>
    </xf>
    <xf numFmtId="0" fontId="56" fillId="0" borderId="7" xfId="0" applyFont="1" applyBorder="1" applyAlignment="1">
      <alignment horizontal="center" vertical="center"/>
    </xf>
    <xf numFmtId="0" fontId="56" fillId="0" borderId="8" xfId="0" applyFont="1" applyBorder="1" applyAlignment="1">
      <alignment horizontal="center" vertical="center"/>
    </xf>
    <xf numFmtId="0" fontId="56" fillId="0" borderId="45" xfId="0" applyFont="1" applyBorder="1" applyAlignment="1">
      <alignment horizontal="center" vertical="center"/>
    </xf>
    <xf numFmtId="0" fontId="56" fillId="0" borderId="103" xfId="0" applyFont="1" applyBorder="1" applyAlignment="1">
      <alignment horizontal="center" vertical="center"/>
    </xf>
    <xf numFmtId="0" fontId="56" fillId="0" borderId="27" xfId="0" applyFont="1" applyBorder="1" applyAlignment="1">
      <alignment horizontal="center" vertical="center"/>
    </xf>
    <xf numFmtId="0" fontId="56" fillId="0" borderId="21" xfId="0" applyFont="1" applyBorder="1" applyAlignment="1">
      <alignment horizontal="center" vertical="center"/>
    </xf>
    <xf numFmtId="0" fontId="56" fillId="0" borderId="28" xfId="0" applyFont="1" applyBorder="1" applyAlignment="1">
      <alignment horizontal="center" vertical="center"/>
    </xf>
    <xf numFmtId="0" fontId="56" fillId="0" borderId="229" xfId="0" applyFont="1" applyBorder="1" applyAlignment="1">
      <alignment horizontal="center" vertical="center" wrapText="1"/>
    </xf>
    <xf numFmtId="0" fontId="56" fillId="0" borderId="230" xfId="0" applyFont="1" applyBorder="1" applyAlignment="1">
      <alignment horizontal="center" vertical="center" wrapText="1"/>
    </xf>
    <xf numFmtId="0" fontId="56" fillId="0" borderId="231" xfId="0" applyFont="1" applyBorder="1" applyAlignment="1">
      <alignment horizontal="center" vertical="center" wrapText="1"/>
    </xf>
    <xf numFmtId="0" fontId="56" fillId="0" borderId="232" xfId="0" applyFont="1" applyBorder="1" applyAlignment="1">
      <alignment horizontal="center" vertical="center" wrapText="1"/>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E3A297BE-88D1-47B4-9CC7-92D381D7BAD0}"/>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78787"/>
      <color rgb="FF919191"/>
      <color rgb="FFA6A6A6"/>
      <color rgb="FFFF9900"/>
      <color rgb="FF001132"/>
      <color rgb="FFCCCCFF"/>
      <color rgb="FF8238BA"/>
      <color rgb="FFFFEBCD"/>
      <color rgb="FF002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DEER</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0"/>
          <c:tx>
            <c:strRef>
              <c:f>Equipment!$K$120</c:f>
              <c:strCache>
                <c:ptCount val="1"/>
                <c:pt idx="0">
                  <c:v>DEER-Weekday</c:v>
                </c:pt>
              </c:strCache>
            </c:strRef>
          </c:tx>
          <c:spPr>
            <a:ln w="28575" cap="rnd">
              <a:solidFill>
                <a:schemeClr val="accent4">
                  <a:lumMod val="60000"/>
                </a:schemeClr>
              </a:solidFill>
              <a:round/>
            </a:ln>
            <a:effectLst/>
          </c:spPr>
          <c:marker>
            <c:symbol val="none"/>
          </c:marker>
          <c:cat>
            <c:multiLvlStrRef>
              <c:f>Equipment!$A$121:$A$144</c:f>
            </c:multiLvlStrRef>
          </c:cat>
          <c:val>
            <c:numRef>
              <c:f>Equipment!$K$121:$K$144</c:f>
            </c:numRef>
          </c:val>
          <c:smooth val="0"/>
          <c:extLst>
            <c:ext xmlns:c16="http://schemas.microsoft.com/office/drawing/2014/chart" uri="{C3380CC4-5D6E-409C-BE32-E72D297353CC}">
              <c16:uniqueId val="{00000009-5C34-41FF-86F5-2A6EAFC8C138}"/>
            </c:ext>
          </c:extLst>
        </c:ser>
        <c:ser>
          <c:idx val="10"/>
          <c:order val="1"/>
          <c:tx>
            <c:strRef>
              <c:f>Equipment!$L$120</c:f>
              <c:strCache>
                <c:ptCount val="1"/>
                <c:pt idx="0">
                  <c:v>DEER-Saturday</c:v>
                </c:pt>
              </c:strCache>
            </c:strRef>
          </c:tx>
          <c:spPr>
            <a:ln w="28575" cap="rnd">
              <a:solidFill>
                <a:schemeClr val="accent5">
                  <a:lumMod val="60000"/>
                </a:schemeClr>
              </a:solidFill>
              <a:round/>
            </a:ln>
            <a:effectLst/>
          </c:spPr>
          <c:marker>
            <c:symbol val="none"/>
          </c:marker>
          <c:cat>
            <c:multiLvlStrRef>
              <c:f>Equipment!$A$121:$A$144</c:f>
            </c:multiLvlStrRef>
          </c:cat>
          <c:val>
            <c:numRef>
              <c:f>Equipment!$L$121:$L$144</c:f>
            </c:numRef>
          </c:val>
          <c:smooth val="0"/>
          <c:extLst>
            <c:ext xmlns:c16="http://schemas.microsoft.com/office/drawing/2014/chart" uri="{C3380CC4-5D6E-409C-BE32-E72D297353CC}">
              <c16:uniqueId val="{0000000A-5C34-41FF-86F5-2A6EAFC8C138}"/>
            </c:ext>
          </c:extLst>
        </c:ser>
        <c:ser>
          <c:idx val="11"/>
          <c:order val="2"/>
          <c:tx>
            <c:strRef>
              <c:f>Equipment!$M$120</c:f>
              <c:strCache>
                <c:ptCount val="1"/>
                <c:pt idx="0">
                  <c:v>DEER-OtherDays</c:v>
                </c:pt>
              </c:strCache>
            </c:strRef>
          </c:tx>
          <c:spPr>
            <a:ln w="28575" cap="rnd">
              <a:solidFill>
                <a:schemeClr val="accent6">
                  <a:lumMod val="60000"/>
                </a:schemeClr>
              </a:solidFill>
              <a:round/>
            </a:ln>
            <a:effectLst/>
          </c:spPr>
          <c:marker>
            <c:symbol val="none"/>
          </c:marker>
          <c:cat>
            <c:multiLvlStrRef>
              <c:f>Equipment!$A$121:$A$144</c:f>
            </c:multiLvlStrRef>
          </c:cat>
          <c:val>
            <c:numRef>
              <c:f>Equipment!$M$121:$M$144</c:f>
            </c:numRef>
          </c:val>
          <c:smooth val="0"/>
          <c:extLst>
            <c:ext xmlns:c16="http://schemas.microsoft.com/office/drawing/2014/chart" uri="{C3380CC4-5D6E-409C-BE32-E72D297353CC}">
              <c16:uniqueId val="{0000000B-5C34-41FF-86F5-2A6EAFC8C13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Equipment!$B$120</c:f>
              <c:strCache>
                <c:ptCount val="1"/>
                <c:pt idx="0">
                  <c:v>CEC-Weekday</c:v>
                </c:pt>
              </c:strCache>
            </c:strRef>
          </c:tx>
          <c:spPr>
            <a:ln w="28575" cap="rnd">
              <a:solidFill>
                <a:schemeClr val="accent1"/>
              </a:solidFill>
              <a:round/>
            </a:ln>
            <a:effectLst/>
          </c:spPr>
          <c:marker>
            <c:symbol val="none"/>
          </c:marker>
          <c:val>
            <c:numRef>
              <c:f>Equipment!$B$121:$B$144</c:f>
            </c:numRef>
          </c:val>
          <c:smooth val="0"/>
          <c:extLst>
            <c:ext xmlns:c16="http://schemas.microsoft.com/office/drawing/2014/chart" uri="{C3380CC4-5D6E-409C-BE32-E72D297353CC}">
              <c16:uniqueId val="{00000003-43A7-47E5-8440-F55F846E6419}"/>
            </c:ext>
          </c:extLst>
        </c:ser>
        <c:ser>
          <c:idx val="1"/>
          <c:order val="1"/>
          <c:tx>
            <c:strRef>
              <c:f>Equipment!$C$120</c:f>
              <c:strCache>
                <c:ptCount val="1"/>
                <c:pt idx="0">
                  <c:v>CEC-Saturday</c:v>
                </c:pt>
              </c:strCache>
            </c:strRef>
          </c:tx>
          <c:spPr>
            <a:ln w="28575" cap="rnd">
              <a:solidFill>
                <a:schemeClr val="accent2"/>
              </a:solidFill>
              <a:round/>
            </a:ln>
            <a:effectLst/>
          </c:spPr>
          <c:marker>
            <c:symbol val="none"/>
          </c:marker>
          <c:val>
            <c:numRef>
              <c:f>Equipment!$C$121:$C$144</c:f>
            </c:numRef>
          </c:val>
          <c:smooth val="0"/>
          <c:extLst>
            <c:ext xmlns:c16="http://schemas.microsoft.com/office/drawing/2014/chart" uri="{C3380CC4-5D6E-409C-BE32-E72D297353CC}">
              <c16:uniqueId val="{00000004-43A7-47E5-8440-F55F846E6419}"/>
            </c:ext>
          </c:extLst>
        </c:ser>
        <c:ser>
          <c:idx val="2"/>
          <c:order val="2"/>
          <c:tx>
            <c:strRef>
              <c:f>Equipment!$D$120</c:f>
              <c:strCache>
                <c:ptCount val="1"/>
                <c:pt idx="0">
                  <c:v>CEC-Sunday</c:v>
                </c:pt>
              </c:strCache>
            </c:strRef>
          </c:tx>
          <c:spPr>
            <a:ln w="28575" cap="rnd">
              <a:solidFill>
                <a:schemeClr val="accent3"/>
              </a:solidFill>
              <a:round/>
            </a:ln>
            <a:effectLst/>
          </c:spPr>
          <c:marker>
            <c:symbol val="none"/>
          </c:marker>
          <c:val>
            <c:numRef>
              <c:f>Equipment!$D$121:$D$144</c:f>
            </c:numRef>
          </c:val>
          <c:smooth val="0"/>
          <c:extLst>
            <c:ext xmlns:c16="http://schemas.microsoft.com/office/drawing/2014/chart" uri="{C3380CC4-5D6E-409C-BE32-E72D297353CC}">
              <c16:uniqueId val="{00000000-8986-4927-A516-ECB8353560CD}"/>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Equipment!$F$120</c:f>
              <c:strCache>
                <c:ptCount val="1"/>
                <c:pt idx="0">
                  <c:v>PNNL-Weekday</c:v>
                </c:pt>
              </c:strCache>
              <c:extLst xmlns:c15="http://schemas.microsoft.com/office/drawing/2012/chart"/>
            </c:strRef>
          </c:tx>
          <c:spPr>
            <a:ln w="28575" cap="rnd">
              <a:solidFill>
                <a:schemeClr val="accent6"/>
              </a:solidFill>
              <a:round/>
            </a:ln>
            <a:effectLst/>
          </c:spPr>
          <c:marker>
            <c:symbol val="none"/>
          </c:marker>
          <c:cat>
            <c:multiLvlStrRef>
              <c:f>Equipment!$A$121:$A$144</c:f>
            </c:multiLvlStrRef>
          </c:cat>
          <c:val>
            <c:numRef>
              <c:f>Equipment!$F$121:$F$144</c:f>
              <c:extLst xmlns:c15="http://schemas.microsoft.com/office/drawing/2012/chart"/>
            </c:numRef>
          </c:val>
          <c:smooth val="0"/>
          <c:extLst>
            <c:ext xmlns:c16="http://schemas.microsoft.com/office/drawing/2014/chart" uri="{C3380CC4-5D6E-409C-BE32-E72D297353CC}">
              <c16:uniqueId val="{00000008-FE65-413B-A578-C2B1178F7F78}"/>
            </c:ext>
          </c:extLst>
        </c:ser>
        <c:ser>
          <c:idx val="6"/>
          <c:order val="1"/>
          <c:tx>
            <c:strRef>
              <c:f>Equipment!$G$120</c:f>
              <c:strCache>
                <c:ptCount val="1"/>
                <c:pt idx="0">
                  <c:v>PNNL-Saturday</c:v>
                </c:pt>
              </c:strCache>
              <c:extLst xmlns:c15="http://schemas.microsoft.com/office/drawing/2012/chart"/>
            </c:strRef>
          </c:tx>
          <c:spPr>
            <a:ln w="28575" cap="rnd">
              <a:solidFill>
                <a:schemeClr val="accent1">
                  <a:lumMod val="60000"/>
                </a:schemeClr>
              </a:solidFill>
              <a:round/>
            </a:ln>
            <a:effectLst/>
          </c:spPr>
          <c:marker>
            <c:symbol val="none"/>
          </c:marker>
          <c:cat>
            <c:multiLvlStrRef>
              <c:f>Equipment!$A$121:$A$144</c:f>
            </c:multiLvlStrRef>
          </c:cat>
          <c:val>
            <c:numRef>
              <c:f>Equipment!$G$121:$G$144</c:f>
              <c:extLst xmlns:c15="http://schemas.microsoft.com/office/drawing/2012/chart"/>
            </c:numRef>
          </c:val>
          <c:smooth val="0"/>
          <c:extLst>
            <c:ext xmlns:c16="http://schemas.microsoft.com/office/drawing/2014/chart" uri="{C3380CC4-5D6E-409C-BE32-E72D297353CC}">
              <c16:uniqueId val="{00000009-FE65-413B-A578-C2B1178F7F78}"/>
            </c:ext>
          </c:extLst>
        </c:ser>
        <c:ser>
          <c:idx val="7"/>
          <c:order val="2"/>
          <c:tx>
            <c:strRef>
              <c:f>Equipment!$I$120</c:f>
              <c:strCache>
                <c:ptCount val="1"/>
                <c:pt idx="0">
                  <c:v>PNNL-Sunday</c:v>
                </c:pt>
              </c:strCache>
              <c:extLst xmlns:c15="http://schemas.microsoft.com/office/drawing/2012/chart"/>
            </c:strRef>
          </c:tx>
          <c:spPr>
            <a:ln w="28575" cap="rnd">
              <a:solidFill>
                <a:schemeClr val="accent2">
                  <a:lumMod val="60000"/>
                </a:schemeClr>
              </a:solidFill>
              <a:round/>
            </a:ln>
            <a:effectLst/>
          </c:spPr>
          <c:marker>
            <c:symbol val="none"/>
          </c:marker>
          <c:cat>
            <c:multiLvlStrRef>
              <c:f>Equipment!$A$121:$A$144</c:f>
            </c:multiLvlStrRef>
          </c:cat>
          <c:val>
            <c:numRef>
              <c:f>Equipment!$I$121:$I$144</c:f>
              <c:extLst xmlns:c15="http://schemas.microsoft.com/office/drawing/2012/chart"/>
            </c:numRef>
          </c:val>
          <c:smooth val="0"/>
          <c:extLst>
            <c:ext xmlns:c16="http://schemas.microsoft.com/office/drawing/2014/chart" uri="{C3380CC4-5D6E-409C-BE32-E72D297353CC}">
              <c16:uniqueId val="{0000000A-FE65-413B-A578-C2B1178F7F7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Schedules!$E$14</c:f>
              <c:strCache>
                <c:ptCount val="1"/>
                <c:pt idx="0">
                  <c:v>Saturday</c:v>
                </c:pt>
              </c:strCache>
            </c:strRef>
          </c:tx>
          <c:spPr>
            <a:ln w="28575" cap="rnd">
              <a:solidFill>
                <a:schemeClr val="accent1"/>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8C2E-4FDC-8DAB-7FCF7BC63644}"/>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8C2E-4FDC-8DAB-7FCF7BC63644}"/>
            </c:ext>
          </c:extLst>
        </c:ser>
        <c:ser>
          <c:idx val="2"/>
          <c:order val="2"/>
          <c:tx>
            <c:strRef>
              <c:f>Schedules!$E$13</c:f>
              <c:strCache>
                <c:ptCount val="1"/>
                <c:pt idx="0">
                  <c:v>Weekday</c:v>
                </c:pt>
              </c:strCache>
            </c:strRef>
          </c:tx>
          <c:spPr>
            <a:ln w="28575" cap="rnd">
              <a:solidFill>
                <a:schemeClr val="accent3"/>
              </a:solidFill>
              <a:round/>
            </a:ln>
            <a:effectLst/>
          </c:spPr>
          <c:marker>
            <c:symbol val="none"/>
          </c:marker>
          <c:val>
            <c:numRef>
              <c:f>Schedules!$F$13:$AC$13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A123-4A84-816A-0D1564E1666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633278399"/>
          <c:h val="0.16643824022901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Schedules!$E$17</c:f>
              <c:strCache>
                <c:ptCount val="1"/>
                <c:pt idx="0">
                  <c:v>Saturday</c:v>
                </c:pt>
              </c:strCache>
            </c:strRef>
          </c:tx>
          <c:spPr>
            <a:ln w="28575" cap="rnd">
              <a:solidFill>
                <a:schemeClr val="accent1"/>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0-08C4-4E32-A5AC-4CF15D51F2DA}"/>
            </c:ext>
          </c:extLst>
        </c:ser>
        <c:ser>
          <c:idx val="1"/>
          <c:order val="1"/>
          <c:tx>
            <c:strRef>
              <c:f>Schedules!$E$18</c:f>
              <c:strCache>
                <c:ptCount val="1"/>
                <c:pt idx="0">
                  <c:v>Sunday</c:v>
                </c:pt>
              </c:strCache>
            </c:strRef>
          </c:tx>
          <c:spPr>
            <a:ln w="28575" cap="rnd">
              <a:solidFill>
                <a:schemeClr val="accent2"/>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08C4-4E32-A5AC-4CF15D51F2DA}"/>
            </c:ext>
          </c:extLst>
        </c:ser>
        <c:ser>
          <c:idx val="2"/>
          <c:order val="2"/>
          <c:tx>
            <c:strRef>
              <c:f>Schedules!$E$16</c:f>
              <c:strCache>
                <c:ptCount val="1"/>
                <c:pt idx="0">
                  <c:v>Weekday</c:v>
                </c:pt>
              </c:strCache>
            </c:strRef>
          </c:tx>
          <c:spPr>
            <a:ln w="28575" cap="rnd">
              <a:solidFill>
                <a:schemeClr val="accent3"/>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Schedules!$F$248</c:f>
              <c:strCache>
                <c:ptCount val="1"/>
                <c:pt idx="0">
                  <c:v>Weekday</c:v>
                </c:pt>
              </c:strCache>
            </c:strRef>
          </c:tx>
          <c:spPr>
            <a:ln w="28575" cap="rnd">
              <a:solidFill>
                <a:schemeClr val="accent1"/>
              </a:solidFill>
              <a:round/>
            </a:ln>
            <a:effectLst/>
          </c:spPr>
          <c:marker>
            <c:symbol val="none"/>
          </c:marker>
          <c:val>
            <c:numRef>
              <c:f>Schedules!$G$248:$AD$248</c:f>
            </c:numRef>
          </c:val>
          <c:smooth val="0"/>
          <c:extLst>
            <c:ext xmlns:c16="http://schemas.microsoft.com/office/drawing/2014/chart" uri="{C3380CC4-5D6E-409C-BE32-E72D297353CC}">
              <c16:uniqueId val="{00000000-3B57-4713-B0CD-EB5944F38800}"/>
            </c:ext>
          </c:extLst>
        </c:ser>
        <c:ser>
          <c:idx val="1"/>
          <c:order val="1"/>
          <c:tx>
            <c:strRef>
              <c:f>Schedules!$F$249</c:f>
              <c:strCache>
                <c:ptCount val="1"/>
                <c:pt idx="0">
                  <c:v>Saturday</c:v>
                </c:pt>
              </c:strCache>
            </c:strRef>
          </c:tx>
          <c:spPr>
            <a:ln w="28575" cap="rnd">
              <a:solidFill>
                <a:schemeClr val="accent2"/>
              </a:solidFill>
              <a:round/>
            </a:ln>
            <a:effectLst/>
          </c:spPr>
          <c:marker>
            <c:symbol val="none"/>
          </c:marker>
          <c:val>
            <c:numRef>
              <c:f>Schedules!$G$249:$AD$249</c:f>
            </c:numRef>
          </c:val>
          <c:smooth val="0"/>
          <c:extLst>
            <c:ext xmlns:c16="http://schemas.microsoft.com/office/drawing/2014/chart" uri="{C3380CC4-5D6E-409C-BE32-E72D297353CC}">
              <c16:uniqueId val="{00000001-3B57-4713-B0CD-EB5944F38800}"/>
            </c:ext>
          </c:extLst>
        </c:ser>
        <c:ser>
          <c:idx val="2"/>
          <c:order val="2"/>
          <c:tx>
            <c:strRef>
              <c:f>Schedules!$F$250</c:f>
              <c:strCache>
                <c:ptCount val="1"/>
                <c:pt idx="0">
                  <c:v>Sunday</c:v>
                </c:pt>
              </c:strCache>
            </c:strRef>
          </c:tx>
          <c:spPr>
            <a:ln w="28575" cap="rnd">
              <a:solidFill>
                <a:schemeClr val="accent3"/>
              </a:solidFill>
              <a:round/>
            </a:ln>
            <a:effectLst/>
          </c:spPr>
          <c:marker>
            <c:symbol val="none"/>
          </c:marker>
          <c:val>
            <c:numRef>
              <c:f>Schedules!$G$250:$AD$250</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3E93-4EF9-8BEB-14F006E84E7B}"/>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3E93-4EF9-8BEB-14F006E84E7B}"/>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3E93-4EF9-8BEB-14F006E84E7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Schedules!#REF!</c:f>
          <c:strCache>
            <c:ptCount val="1"/>
            <c:pt idx="0">
              <c:v>#REF!</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Schedules!$E$17</c:f>
              <c:strCache>
                <c:ptCount val="1"/>
                <c:pt idx="0">
                  <c:v>Saturday</c:v>
                </c:pt>
              </c:strCache>
            </c:strRef>
          </c:tx>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0-EEEC-449D-A1CE-ED571BDF6D86}"/>
            </c:ext>
          </c:extLst>
        </c:ser>
        <c:ser>
          <c:idx val="1"/>
          <c:order val="1"/>
          <c:tx>
            <c:strRef>
              <c:f>Schedules!$E$18</c:f>
              <c:strCache>
                <c:ptCount val="1"/>
                <c:pt idx="0">
                  <c:v>Sunday</c:v>
                </c:pt>
              </c:strCache>
            </c:strRef>
          </c:tx>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1-EEEC-449D-A1CE-ED571BDF6D86}"/>
            </c:ext>
          </c:extLst>
        </c:ser>
        <c:ser>
          <c:idx val="2"/>
          <c:order val="2"/>
          <c:tx>
            <c:strRef>
              <c:f>Schedules!$E$16</c:f>
              <c:strCache>
                <c:ptCount val="1"/>
                <c:pt idx="0">
                  <c:v>Weekday</c:v>
                </c:pt>
              </c:strCache>
            </c:strRef>
          </c:tx>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2-EEEC-449D-A1CE-ED571BDF6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Schedules!$E$17</c:f>
              <c:strCache>
                <c:ptCount val="1"/>
                <c:pt idx="0">
                  <c:v>Saturday</c:v>
                </c:pt>
              </c:strCache>
            </c:strRef>
          </c:tx>
          <c:marker>
            <c:symbol val="none"/>
          </c:marker>
          <c:val>
            <c:numRef>
              <c:f>Schedules!$F$20:$AC$20</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9-16F9-4F01-A12E-1DE007ECA4FE}"/>
            </c:ext>
          </c:extLst>
        </c:ser>
        <c:ser>
          <c:idx val="4"/>
          <c:order val="1"/>
          <c:tx>
            <c:strRef>
              <c:f>Schedules!$E$18</c:f>
              <c:strCache>
                <c:ptCount val="1"/>
                <c:pt idx="0">
                  <c:v>Sunday</c:v>
                </c:pt>
              </c:strCache>
            </c:strRef>
          </c:tx>
          <c:marker>
            <c:symbol val="none"/>
          </c:marker>
          <c:val>
            <c:numRef>
              <c:f>Schedules!$F$21:$AC$21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A-16F9-4F01-A12E-1DE007ECA4FE}"/>
            </c:ext>
          </c:extLst>
        </c:ser>
        <c:ser>
          <c:idx val="5"/>
          <c:order val="2"/>
          <c:tx>
            <c:strRef>
              <c:f>Schedules!$E$16</c:f>
              <c:strCache>
                <c:ptCount val="1"/>
                <c:pt idx="0">
                  <c:v>Weekday</c:v>
                </c:pt>
              </c:strCache>
            </c:strRef>
          </c:tx>
          <c:marker>
            <c:symbol val="none"/>
          </c:marker>
          <c:val>
            <c:numRef>
              <c:f>Schedules!$F$19:$AC$19</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B-16F9-4F01-A12E-1DE007ECA4FE}"/>
            </c:ext>
          </c:extLst>
        </c:ser>
        <c:ser>
          <c:idx val="0"/>
          <c:order val="3"/>
          <c:tx>
            <c:strRef>
              <c:f>Schedules!$E$17</c:f>
              <c:strCache>
                <c:ptCount val="1"/>
                <c:pt idx="0">
                  <c:v>Saturday</c:v>
                </c:pt>
              </c:strCache>
            </c:strRef>
          </c:tx>
          <c:spPr>
            <a:ln w="28575" cap="rnd">
              <a:solidFill>
                <a:schemeClr val="accent1"/>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4-16F9-4F01-A12E-1DE007ECA4FE}"/>
            </c:ext>
          </c:extLst>
        </c:ser>
        <c:ser>
          <c:idx val="1"/>
          <c:order val="4"/>
          <c:tx>
            <c:strRef>
              <c:f>Schedules!$E$18</c:f>
              <c:strCache>
                <c:ptCount val="1"/>
                <c:pt idx="0">
                  <c:v>Sunday</c:v>
                </c:pt>
              </c:strCache>
            </c:strRef>
          </c:tx>
          <c:spPr>
            <a:ln w="28575" cap="rnd">
              <a:solidFill>
                <a:schemeClr val="accent2"/>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6-16F9-4F01-A12E-1DE007ECA4FE}"/>
            </c:ext>
          </c:extLst>
        </c:ser>
        <c:ser>
          <c:idx val="2"/>
          <c:order val="5"/>
          <c:tx>
            <c:strRef>
              <c:f>Schedules!$E$16</c:f>
              <c:strCache>
                <c:ptCount val="1"/>
                <c:pt idx="0">
                  <c:v>Weekday</c:v>
                </c:pt>
              </c:strCache>
            </c:strRef>
          </c:tx>
          <c:spPr>
            <a:ln w="28575" cap="rnd">
              <a:solidFill>
                <a:schemeClr val="accent3"/>
              </a:solidFill>
              <a:round/>
            </a:ln>
            <a:effectLst/>
          </c:spPr>
          <c:marker>
            <c:symbol val="none"/>
          </c:marker>
          <c:val>
            <c:numRef>
              <c:f>Schedules!$F$19:$AC$19</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8-16F9-4F01-A12E-1DE007ECA4F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GasEquipment</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Schedules!$E$17</c:f>
              <c:strCache>
                <c:ptCount val="1"/>
                <c:pt idx="0">
                  <c:v>Saturday</c:v>
                </c:pt>
              </c:strCache>
            </c:strRef>
          </c:tx>
          <c:spPr>
            <a:ln>
              <a:solidFill>
                <a:schemeClr val="accent1"/>
              </a:solidFill>
            </a:ln>
          </c:spPr>
          <c:marker>
            <c:symbol val="none"/>
          </c:marker>
          <c:val>
            <c:numRef>
              <c:f>Schedules!$F$23:$AC$23</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0-7419-40AB-95F7-07776E40DAF7}"/>
            </c:ext>
          </c:extLst>
        </c:ser>
        <c:ser>
          <c:idx val="4"/>
          <c:order val="1"/>
          <c:tx>
            <c:strRef>
              <c:f>Schedules!$E$18</c:f>
              <c:strCache>
                <c:ptCount val="1"/>
                <c:pt idx="0">
                  <c:v>Sunday</c:v>
                </c:pt>
              </c:strCache>
            </c:strRef>
          </c:tx>
          <c:spPr>
            <a:ln>
              <a:solidFill>
                <a:schemeClr val="accent2"/>
              </a:solidFill>
            </a:ln>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1-7419-40AB-95F7-07776E40DAF7}"/>
            </c:ext>
          </c:extLst>
        </c:ser>
        <c:ser>
          <c:idx val="5"/>
          <c:order val="2"/>
          <c:tx>
            <c:strRef>
              <c:f>Schedules!$E$16</c:f>
              <c:strCache>
                <c:ptCount val="1"/>
                <c:pt idx="0">
                  <c:v>Weekday</c:v>
                </c:pt>
              </c:strCache>
            </c:strRef>
          </c:tx>
          <c:spPr>
            <a:ln>
              <a:solidFill>
                <a:schemeClr val="accent3"/>
              </a:solidFill>
            </a:ln>
          </c:spPr>
          <c:marker>
            <c:symbol val="none"/>
          </c:marker>
          <c:val>
            <c:numRef>
              <c:f>Schedules!$F$22:$AC$22</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7419-40AB-95F7-07776E40DAF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143-4ACE-AADC-2C0F16C167CB}"/>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143-4ACE-AADC-2C0F16C167CB}"/>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143-4ACE-AADC-2C0F16C167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1143-4ACE-AADC-2C0F16C167CB}"/>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1143-4ACE-AADC-2C0F16C167CB}"/>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Schedules!$F$40:$AD$40</c:f>
              <c:numCache>
                <c:formatCode>0.00</c:formatCode>
                <c:ptCount val="25"/>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1143-4ACE-AADC-2C0F16C167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73-4031-867D-68EC4AC69E76}"/>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73-4031-867D-68EC4AC69E76}"/>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973-4031-867D-68EC4AC69E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3"/>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4-DBA7-469E-AB71-EA2AFB9B8C85}"/>
            </c:ext>
          </c:extLst>
        </c:ser>
        <c:ser>
          <c:idx val="1"/>
          <c:order val="4"/>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6-DBA7-469E-AB71-EA2AFB9B8C85}"/>
            </c:ext>
          </c:extLst>
        </c:ser>
        <c:ser>
          <c:idx val="2"/>
          <c:order val="5"/>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8-DBA7-469E-AB71-EA2AFB9B8C85}"/>
            </c:ext>
          </c:extLst>
        </c:ser>
        <c:dLbls>
          <c:showLegendKey val="0"/>
          <c:showVal val="0"/>
          <c:showCatName val="0"/>
          <c:showSerName val="0"/>
          <c:showPercent val="0"/>
          <c:showBubbleSize val="0"/>
        </c:dLbls>
        <c:smooth val="0"/>
        <c:axId val="1801622976"/>
        <c:axId val="1801623456"/>
        <c:extLst>
          <c:ext xmlns:c15="http://schemas.microsoft.com/office/drawing/2012/chart" uri="{02D57815-91ED-43cb-92C2-25804820EDAC}">
            <c15:filteredLineSeries>
              <c15:ser>
                <c:idx val="3"/>
                <c:order val="0"/>
                <c:tx>
                  <c:strRef>
                    <c:extLst>
                      <c:ext uri="{02D57815-91ED-43cb-92C2-25804820EDAC}">
                        <c15:formulaRef>
                          <c15:sqref>Schedules!$E$44</c15:sqref>
                        </c15:formulaRef>
                      </c:ext>
                    </c:extLst>
                    <c:strCache>
                      <c:ptCount val="1"/>
                      <c:pt idx="0">
                        <c:v>Weekday</c:v>
                      </c:pt>
                    </c:strCache>
                  </c:strRef>
                </c:tx>
                <c:marker>
                  <c:symbol val="none"/>
                </c:marker>
                <c:val>
                  <c:numRef>
                    <c:extLst>
                      <c:ext uri="{02D57815-91ED-43cb-92C2-25804820EDAC}">
                        <c15:formulaRef>
                          <c15:sqref>Schedules!$F$44:$AC$44</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9-DBA7-469E-AB71-EA2AFB9B8C85}"/>
                  </c:ext>
                </c:extLst>
              </c15:ser>
            </c15:filteredLineSeries>
            <c15:filteredLineSeries>
              <c15:ser>
                <c:idx val="4"/>
                <c:order val="1"/>
                <c:tx>
                  <c:strRef>
                    <c:extLst xmlns:c15="http://schemas.microsoft.com/office/drawing/2012/chart">
                      <c:ext xmlns:c15="http://schemas.microsoft.com/office/drawing/2012/chart" uri="{02D57815-91ED-43cb-92C2-25804820EDAC}">
                        <c15:formulaRef>
                          <c15:sqref>Schedules!$E$45</c15:sqref>
                        </c15:formulaRef>
                      </c:ext>
                    </c:extLst>
                    <c:strCache>
                      <c:ptCount val="1"/>
                      <c:pt idx="0">
                        <c:v>Saturday</c:v>
                      </c:pt>
                    </c:strCache>
                  </c:strRef>
                </c:tx>
                <c:marker>
                  <c:symbol val="none"/>
                </c:marker>
                <c:val>
                  <c:numRef>
                    <c:extLst xmlns:c15="http://schemas.microsoft.com/office/drawing/2012/chart">
                      <c:ext xmlns:c15="http://schemas.microsoft.com/office/drawing/2012/chart" uri="{02D57815-91ED-43cb-92C2-25804820EDAC}">
                        <c15:formulaRef>
                          <c15:sqref>Schedules!$F$45:$AC$45</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xmlns:c15="http://schemas.microsoft.com/office/drawing/2012/chart">
                  <c:ext xmlns:c16="http://schemas.microsoft.com/office/drawing/2014/chart" uri="{C3380CC4-5D6E-409C-BE32-E72D297353CC}">
                    <c16:uniqueId val="{0000000A-DBA7-469E-AB71-EA2AFB9B8C8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Schedules!$E$46</c15:sqref>
                        </c15:formulaRef>
                      </c:ext>
                    </c:extLst>
                    <c:strCache>
                      <c:ptCount val="1"/>
                      <c:pt idx="0">
                        <c:v>Sunday</c:v>
                      </c:pt>
                    </c:strCache>
                  </c:strRef>
                </c:tx>
                <c:marker>
                  <c:symbol val="none"/>
                </c:marker>
                <c:val>
                  <c:numRef>
                    <c:extLst xmlns:c15="http://schemas.microsoft.com/office/drawing/2012/chart">
                      <c:ext xmlns:c15="http://schemas.microsoft.com/office/drawing/2012/chart" uri="{02D57815-91ED-43cb-92C2-25804820EDAC}">
                        <c15:formulaRef>
                          <c15:sqref>Schedules!$F$46:$AC$46</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xmlns:c15="http://schemas.microsoft.com/office/drawing/2012/chart">
                  <c:ext xmlns:c16="http://schemas.microsoft.com/office/drawing/2014/chart" uri="{C3380CC4-5D6E-409C-BE32-E72D297353CC}">
                    <c16:uniqueId val="{0000000B-DBA7-469E-AB71-EA2AFB9B8C85}"/>
                  </c:ext>
                </c:extLst>
              </c15:ser>
            </c15:filteredLineSeries>
          </c:ext>
        </c:extLst>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Schedules!$C$57</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Schedules!$E$57</c:f>
              <c:strCache>
                <c:ptCount val="1"/>
                <c:pt idx="0">
                  <c:v>Weekday</c:v>
                </c:pt>
              </c:strCache>
            </c:strRef>
          </c:tx>
          <c:spPr>
            <a:ln w="28575" cap="rnd">
              <a:solidFill>
                <a:schemeClr val="accent1"/>
              </a:solidFill>
              <a:round/>
            </a:ln>
            <a:effectLst/>
          </c:spPr>
          <c:marker>
            <c:symbol val="none"/>
          </c:marker>
          <c:val>
            <c:numRef>
              <c:f>Schedules!$F$57:$AC$57</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D9E6-4C9F-8369-4DC707E881C5}"/>
            </c:ext>
          </c:extLst>
        </c:ser>
        <c:ser>
          <c:idx val="1"/>
          <c:order val="1"/>
          <c:tx>
            <c:strRef>
              <c:f>Schedules!$E$58</c:f>
              <c:strCache>
                <c:ptCount val="1"/>
                <c:pt idx="0">
                  <c:v>Saturday</c:v>
                </c:pt>
              </c:strCache>
            </c:strRef>
          </c:tx>
          <c:spPr>
            <a:ln w="28575" cap="rnd">
              <a:solidFill>
                <a:schemeClr val="accent2"/>
              </a:solidFill>
              <a:round/>
            </a:ln>
            <a:effectLst/>
          </c:spPr>
          <c:marker>
            <c:symbol val="none"/>
          </c:marker>
          <c:val>
            <c:numRef>
              <c:f>Schedules!$F$58:$AC$58</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D9E6-4C9F-8369-4DC707E881C5}"/>
            </c:ext>
          </c:extLst>
        </c:ser>
        <c:ser>
          <c:idx val="2"/>
          <c:order val="2"/>
          <c:tx>
            <c:strRef>
              <c:f>Schedules!$E$59</c:f>
              <c:strCache>
                <c:ptCount val="1"/>
                <c:pt idx="0">
                  <c:v>Sunday</c:v>
                </c:pt>
              </c:strCache>
            </c:strRef>
          </c:tx>
          <c:spPr>
            <a:ln w="28575" cap="rnd">
              <a:solidFill>
                <a:schemeClr val="accent3"/>
              </a:solidFill>
              <a:round/>
            </a:ln>
            <a:effectLst/>
          </c:spPr>
          <c:marker>
            <c:symbol val="none"/>
          </c:marker>
          <c:val>
            <c:numRef>
              <c:f>Schedules!$F$59:$AC$59</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D9E6-4C9F-8369-4DC707E881C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Schedules!$E$60</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06E6-4A1D-9019-F3DA23A7A0EF}"/>
            </c:ext>
          </c:extLst>
        </c:ser>
        <c:ser>
          <c:idx val="1"/>
          <c:order val="1"/>
          <c:tx>
            <c:strRef>
              <c:f>Schedules!$E$61</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06E6-4A1D-9019-F3DA23A7A0EF}"/>
            </c:ext>
          </c:extLst>
        </c:ser>
        <c:ser>
          <c:idx val="2"/>
          <c:order val="2"/>
          <c:tx>
            <c:strRef>
              <c:f>Schedules!$E$62</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06E6-4A1D-9019-F3DA23A7A0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Schedules!$C$63</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Schedules!$E$63</c:f>
              <c:strCache>
                <c:ptCount val="1"/>
                <c:pt idx="0">
                  <c:v>Weekday</c:v>
                </c:pt>
              </c:strCache>
            </c:strRef>
          </c:tx>
          <c:spPr>
            <a:ln w="28575" cap="rnd">
              <a:solidFill>
                <a:schemeClr val="accent1"/>
              </a:solidFill>
              <a:round/>
            </a:ln>
            <a:effectLst/>
          </c:spPr>
          <c:marker>
            <c:symbol val="none"/>
          </c:marker>
          <c:val>
            <c:numRef>
              <c:f>Schedules!$F$63:$AC$63</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0-FFCB-438C-9218-1E8F9C77762F}"/>
            </c:ext>
          </c:extLst>
        </c:ser>
        <c:ser>
          <c:idx val="1"/>
          <c:order val="1"/>
          <c:tx>
            <c:strRef>
              <c:f>Schedules!$E$64</c:f>
              <c:strCache>
                <c:ptCount val="1"/>
                <c:pt idx="0">
                  <c:v>Saturday</c:v>
                </c:pt>
              </c:strCache>
            </c:strRef>
          </c:tx>
          <c:spPr>
            <a:ln w="28575" cap="rnd">
              <a:solidFill>
                <a:schemeClr val="accent2"/>
              </a:solidFill>
              <a:round/>
            </a:ln>
            <a:effectLst/>
          </c:spPr>
          <c:marker>
            <c:symbol val="none"/>
          </c:marker>
          <c:val>
            <c:numRef>
              <c:f>Schedules!$F$64:$AC$64</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1-FFCB-438C-9218-1E8F9C77762F}"/>
            </c:ext>
          </c:extLst>
        </c:ser>
        <c:ser>
          <c:idx val="2"/>
          <c:order val="2"/>
          <c:tx>
            <c:strRef>
              <c:f>Schedules!$E$65</c:f>
              <c:strCache>
                <c:ptCount val="1"/>
                <c:pt idx="0">
                  <c:v>Sunday</c:v>
                </c:pt>
              </c:strCache>
            </c:strRef>
          </c:tx>
          <c:spPr>
            <a:ln w="28575" cap="rnd">
              <a:solidFill>
                <a:schemeClr val="accent3"/>
              </a:solidFill>
              <a:round/>
            </a:ln>
            <a:effectLst/>
          </c:spPr>
          <c:marker>
            <c:symbol val="none"/>
          </c:marker>
          <c:val>
            <c:numRef>
              <c:f>Schedules!$F$65:$AC$65</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2-FFCB-438C-9218-1E8F9C777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Schedules!$C$66</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2141-48AA-907D-1B006F25571A}"/>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2141-48AA-907D-1B006F25571A}"/>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2141-48AA-907D-1B006F25571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81CA-4D8E-B0F0-733D44A8929F}"/>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81CA-4D8E-B0F0-733D44A8929F}"/>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81CA-4D8E-B0F0-733D44A8929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marker>
            <c:symbol val="none"/>
          </c:marker>
          <c:val>
            <c:numRef>
              <c:f>Schedules!$F$47:$AC$47</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3CC1-4D04-9F29-2A49C1CF1BC8}"/>
            </c:ext>
          </c:extLst>
        </c:ser>
        <c:ser>
          <c:idx val="1"/>
          <c:order val="1"/>
          <c:tx>
            <c:strRef>
              <c:f>Schedules!$E$48</c:f>
              <c:strCache>
                <c:ptCount val="1"/>
                <c:pt idx="0">
                  <c:v>Saturday</c:v>
                </c:pt>
              </c:strCache>
            </c:strRef>
          </c:tx>
          <c:marker>
            <c:symbol val="none"/>
          </c:marker>
          <c:val>
            <c:numRef>
              <c:f>Schedules!$F$48:$AC$48</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3CC1-4D04-9F29-2A49C1CF1BC8}"/>
            </c:ext>
          </c:extLst>
        </c:ser>
        <c:ser>
          <c:idx val="2"/>
          <c:order val="2"/>
          <c:tx>
            <c:strRef>
              <c:f>Schedules!$E$49</c:f>
              <c:strCache>
                <c:ptCount val="1"/>
                <c:pt idx="0">
                  <c:v>Sunday</c:v>
                </c:pt>
              </c:strCache>
            </c:strRef>
          </c:tx>
          <c:marker>
            <c:symbol val="none"/>
          </c:marker>
          <c:val>
            <c:numRef>
              <c:f>Schedules!$F$49:$AC$49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3CC1-4D04-9F29-2A49C1CF1BC8}"/>
            </c:ext>
          </c:extLst>
        </c:ser>
        <c:dLbls>
          <c:showLegendKey val="0"/>
          <c:showVal val="0"/>
          <c:showCatName val="0"/>
          <c:showSerName val="0"/>
          <c:showPercent val="0"/>
          <c:showBubbleSize val="0"/>
        </c:dLbls>
        <c:smooth val="0"/>
        <c:axId val="1801622976"/>
        <c:axId val="1801623456"/>
        <c:extLst/>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4214-49F4-B281-0C43D8DEA1E0}"/>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4214-49F4-B281-0C43D8DEA1E0}"/>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4214-49F4-B281-0C43D8DEA1E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A6D3-432B-AA2D-D4ABA9259678}"/>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1-A6D3-432B-AA2D-D4ABA9259678}"/>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2-A6D3-432B-AA2D-D4ABA925967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0-D914-4D44-9F97-0A04844C1DA6}"/>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1-D914-4D44-9F97-0A04844C1DA6}"/>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2-D914-4D44-9F97-0A04844C1D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F9F4-4048-98E8-10830EF85B94}"/>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F9F4-4048-98E8-10830EF85B94}"/>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F9F4-4048-98E8-10830EF85B9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F63C-40C3-BEEF-4FB81B287376}"/>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F63C-40C3-BEEF-4FB81B287376}"/>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F63C-40C3-BEEF-4FB81B2873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0-5FFB-47F9-8486-632F80C77395}"/>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1-5FFB-47F9-8486-632F80C77395}"/>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2-5FFB-47F9-8486-632F80C773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0-3768-49DC-8623-4AE45202DB86}"/>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1-3768-49DC-8623-4AE45202DB86}"/>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2-3768-49DC-8623-4AE45202DB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0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Schedules!$C$107</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Schedules!$E$107</c:f>
              <c:strCache>
                <c:ptCount val="1"/>
                <c:pt idx="0">
                  <c:v>Weekday</c:v>
                </c:pt>
              </c:strCache>
            </c:strRef>
          </c:tx>
          <c:spPr>
            <a:ln w="28575" cap="rnd">
              <a:solidFill>
                <a:schemeClr val="accent1"/>
              </a:solidFill>
              <a:round/>
            </a:ln>
            <a:effectLst/>
          </c:spPr>
          <c:marker>
            <c:symbol val="none"/>
          </c:marker>
          <c:val>
            <c:numRef>
              <c:f>Schedules!$F$107:$AC$107</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0A3B-4659-8B65-2C88E4628059}"/>
            </c:ext>
          </c:extLst>
        </c:ser>
        <c:ser>
          <c:idx val="1"/>
          <c:order val="1"/>
          <c:tx>
            <c:strRef>
              <c:f>Schedules!$E$108</c:f>
              <c:strCache>
                <c:ptCount val="1"/>
                <c:pt idx="0">
                  <c:v>Saturday</c:v>
                </c:pt>
              </c:strCache>
            </c:strRef>
          </c:tx>
          <c:spPr>
            <a:ln w="28575" cap="rnd">
              <a:solidFill>
                <a:schemeClr val="accent2"/>
              </a:solidFill>
              <a:round/>
            </a:ln>
            <a:effectLst/>
          </c:spPr>
          <c:marker>
            <c:symbol val="none"/>
          </c:marker>
          <c:val>
            <c:numRef>
              <c:f>Schedules!$F$108:$AC$108</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0A3B-4659-8B65-2C88E4628059}"/>
            </c:ext>
          </c:extLst>
        </c:ser>
        <c:ser>
          <c:idx val="2"/>
          <c:order val="2"/>
          <c:tx>
            <c:strRef>
              <c:f>Schedules!$E$109</c:f>
              <c:strCache>
                <c:ptCount val="1"/>
                <c:pt idx="0">
                  <c:v>Sunday</c:v>
                </c:pt>
              </c:strCache>
            </c:strRef>
          </c:tx>
          <c:spPr>
            <a:ln w="28575" cap="rnd">
              <a:solidFill>
                <a:schemeClr val="accent3"/>
              </a:solidFill>
              <a:round/>
            </a:ln>
            <a:effectLst/>
          </c:spPr>
          <c:marker>
            <c:symbol val="none"/>
          </c:marker>
          <c:val>
            <c:numRef>
              <c:f>Schedules!$F$109:$AC$109</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0A3B-4659-8B65-2C88E462805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Schedules!$E$82</c:f>
              <c:strCache>
                <c:ptCount val="1"/>
                <c:pt idx="0">
                  <c:v>Weekday</c:v>
                </c:pt>
              </c:strCache>
            </c:strRef>
          </c:tx>
          <c:spPr>
            <a:ln w="28575" cap="rnd">
              <a:solidFill>
                <a:schemeClr val="accent1"/>
              </a:solidFill>
              <a:round/>
            </a:ln>
            <a:effectLst/>
          </c:spPr>
          <c:marker>
            <c:symbol val="none"/>
          </c:marker>
          <c:val>
            <c:numRef>
              <c:f>Schedules!$F$82:$AC$82</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FF8-4C07-AA49-2705591C7F5F}"/>
            </c:ext>
          </c:extLst>
        </c:ser>
        <c:ser>
          <c:idx val="1"/>
          <c:order val="1"/>
          <c:tx>
            <c:strRef>
              <c:f>Schedules!$E$83</c:f>
              <c:strCache>
                <c:ptCount val="1"/>
                <c:pt idx="0">
                  <c:v>Saturday</c:v>
                </c:pt>
              </c:strCache>
            </c:strRef>
          </c:tx>
          <c:spPr>
            <a:ln w="28575" cap="rnd">
              <a:solidFill>
                <a:schemeClr val="accent2"/>
              </a:solidFill>
              <a:round/>
            </a:ln>
            <a:effectLst/>
          </c:spPr>
          <c:marker>
            <c:symbol val="none"/>
          </c:marker>
          <c:val>
            <c:numRef>
              <c:f>Schedules!$F$83:$AC$83</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FF8-4C07-AA49-2705591C7F5F}"/>
            </c:ext>
          </c:extLst>
        </c:ser>
        <c:ser>
          <c:idx val="2"/>
          <c:order val="2"/>
          <c:tx>
            <c:strRef>
              <c:f>Schedules!$E$84</c:f>
              <c:strCache>
                <c:ptCount val="1"/>
                <c:pt idx="0">
                  <c:v>Sunday</c:v>
                </c:pt>
              </c:strCache>
            </c:strRef>
          </c:tx>
          <c:spPr>
            <a:ln w="28575" cap="rnd">
              <a:solidFill>
                <a:schemeClr val="accent3"/>
              </a:solidFill>
              <a:round/>
            </a:ln>
            <a:effectLst/>
          </c:spPr>
          <c:marker>
            <c:symbol val="none"/>
          </c:marker>
          <c:val>
            <c:numRef>
              <c:f>Schedules!$F$84:$AC$84</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FF8-4C07-AA49-2705591C7F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Schedules!$E$85</c:f>
              <c:strCache>
                <c:ptCount val="1"/>
                <c:pt idx="0">
                  <c:v>Weekday</c:v>
                </c:pt>
              </c:strCache>
            </c:strRef>
          </c:tx>
          <c:spPr>
            <a:ln w="28575" cap="rnd">
              <a:solidFill>
                <a:schemeClr val="accent1"/>
              </a:solidFill>
              <a:round/>
            </a:ln>
            <a:effectLst/>
          </c:spPr>
          <c:marker>
            <c:symbol val="none"/>
          </c:marker>
          <c:val>
            <c:numRef>
              <c:f>Schedules!$F$85:$AC$85</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FF4A-474C-B386-372E94D35E36}"/>
            </c:ext>
          </c:extLst>
        </c:ser>
        <c:ser>
          <c:idx val="1"/>
          <c:order val="1"/>
          <c:tx>
            <c:strRef>
              <c:f>Schedules!$E$86</c:f>
              <c:strCache>
                <c:ptCount val="1"/>
                <c:pt idx="0">
                  <c:v>Saturday</c:v>
                </c:pt>
              </c:strCache>
            </c:strRef>
          </c:tx>
          <c:spPr>
            <a:ln w="28575" cap="rnd">
              <a:solidFill>
                <a:schemeClr val="accent2"/>
              </a:solidFill>
              <a:round/>
            </a:ln>
            <a:effectLst/>
          </c:spPr>
          <c:marker>
            <c:symbol val="none"/>
          </c:marker>
          <c:val>
            <c:numRef>
              <c:f>Schedules!$F$86:$AC$86</c:f>
              <c:numCache>
                <c:formatCode>0.00</c:formatCode>
                <c:ptCount val="24"/>
                <c:pt idx="0">
                  <c:v>0.05</c:v>
                </c:pt>
                <c:pt idx="1">
                  <c:v>0.05</c:v>
                </c:pt>
                <c:pt idx="2">
                  <c:v>0.05</c:v>
                </c:pt>
                <c:pt idx="3">
                  <c:v>0.05</c:v>
                </c:pt>
                <c:pt idx="4">
                  <c:v>0.05</c:v>
                </c:pt>
                <c:pt idx="5">
                  <c:v>0.05</c:v>
                </c:pt>
                <c:pt idx="6">
                  <c:v>0.1</c:v>
                </c:pt>
                <c:pt idx="7">
                  <c:v>0.1</c:v>
                </c:pt>
                <c:pt idx="8">
                  <c:v>0.3</c:v>
                </c:pt>
                <c:pt idx="9">
                  <c:v>0.3</c:v>
                </c:pt>
                <c:pt idx="10">
                  <c:v>0.3</c:v>
                </c:pt>
                <c:pt idx="11">
                  <c:v>0.3</c:v>
                </c:pt>
                <c:pt idx="12">
                  <c:v>0.15</c:v>
                </c:pt>
                <c:pt idx="13">
                  <c:v>0.15</c:v>
                </c:pt>
                <c:pt idx="14">
                  <c:v>0.15</c:v>
                </c:pt>
                <c:pt idx="15">
                  <c:v>0.15</c:v>
                </c:pt>
                <c:pt idx="16">
                  <c:v>0.15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FF4A-474C-B386-372E94D35E36}"/>
            </c:ext>
          </c:extLst>
        </c:ser>
        <c:ser>
          <c:idx val="2"/>
          <c:order val="2"/>
          <c:tx>
            <c:strRef>
              <c:f>Schedules!$E$87</c:f>
              <c:strCache>
                <c:ptCount val="1"/>
                <c:pt idx="0">
                  <c:v>Sunday</c:v>
                </c:pt>
              </c:strCache>
            </c:strRef>
          </c:tx>
          <c:spPr>
            <a:ln w="28575" cap="rnd">
              <a:solidFill>
                <a:schemeClr val="accent3"/>
              </a:solidFill>
              <a:round/>
            </a:ln>
            <a:effectLst/>
          </c:spPr>
          <c:marker>
            <c:symbol val="none"/>
          </c:marker>
          <c:val>
            <c:numRef>
              <c:f>Schedules!$F$87:$AC$87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FF4A-474C-B386-372E94D35E3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Schedules!$C$88</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Schedules!$E$88</c:f>
              <c:strCache>
                <c:ptCount val="1"/>
                <c:pt idx="0">
                  <c:v>Weekday</c:v>
                </c:pt>
              </c:strCache>
            </c:strRef>
          </c:tx>
          <c:spPr>
            <a:ln w="28575" cap="rnd">
              <a:solidFill>
                <a:schemeClr val="accent1"/>
              </a:solidFill>
              <a:round/>
            </a:ln>
            <a:effectLst/>
          </c:spPr>
          <c:marker>
            <c:symbol val="none"/>
          </c:marker>
          <c:val>
            <c:numRef>
              <c:f>Schedules!$F$88:$AC$88</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C718-4333-808B-510BB4234104}"/>
            </c:ext>
          </c:extLst>
        </c:ser>
        <c:ser>
          <c:idx val="1"/>
          <c:order val="1"/>
          <c:tx>
            <c:strRef>
              <c:f>Schedules!$E$89</c:f>
              <c:strCache>
                <c:ptCount val="1"/>
                <c:pt idx="0">
                  <c:v>Saturday</c:v>
                </c:pt>
              </c:strCache>
            </c:strRef>
          </c:tx>
          <c:spPr>
            <a:ln w="28575" cap="rnd">
              <a:solidFill>
                <a:schemeClr val="accent2"/>
              </a:solidFill>
              <a:round/>
            </a:ln>
            <a:effectLst/>
          </c:spPr>
          <c:marker>
            <c:symbol val="none"/>
          </c:marker>
          <c:val>
            <c:numRef>
              <c:f>Schedules!$F$89:$AC$89</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C718-4333-808B-510BB4234104}"/>
            </c:ext>
          </c:extLst>
        </c:ser>
        <c:ser>
          <c:idx val="2"/>
          <c:order val="2"/>
          <c:tx>
            <c:strRef>
              <c:f>Schedules!$E$90</c:f>
              <c:strCache>
                <c:ptCount val="1"/>
                <c:pt idx="0">
                  <c:v>Sunday</c:v>
                </c:pt>
              </c:strCache>
            </c:strRef>
          </c:tx>
          <c:spPr>
            <a:ln w="28575" cap="rnd">
              <a:solidFill>
                <a:schemeClr val="accent3"/>
              </a:solidFill>
              <a:round/>
            </a:ln>
            <a:effectLst/>
          </c:spPr>
          <c:marker>
            <c:symbol val="none"/>
          </c:marker>
          <c:val>
            <c:numRef>
              <c:f>Schedules!$F$90:$AC$90</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C718-4333-808B-510BB423410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Schedules!$E$66</c:f>
              <c:strCache>
                <c:ptCount val="1"/>
                <c:pt idx="0">
                  <c:v>Weekday</c:v>
                </c:pt>
              </c:strCache>
            </c:strRef>
          </c:tx>
          <c:spPr>
            <a:ln w="28575" cap="rnd">
              <a:solidFill>
                <a:schemeClr val="accent1"/>
              </a:solidFill>
              <a:round/>
            </a:ln>
            <a:effectLst/>
          </c:spPr>
          <c:marker>
            <c:symbol val="none"/>
          </c:marker>
          <c:val>
            <c:numRef>
              <c:f>Schedules!$F$66:$AC$66</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7AA-4F4C-BB75-08E79407C85E}"/>
            </c:ext>
          </c:extLst>
        </c:ser>
        <c:ser>
          <c:idx val="1"/>
          <c:order val="1"/>
          <c:tx>
            <c:strRef>
              <c:f>Schedules!$E$67</c:f>
              <c:strCache>
                <c:ptCount val="1"/>
                <c:pt idx="0">
                  <c:v>Saturday</c:v>
                </c:pt>
              </c:strCache>
            </c:strRef>
          </c:tx>
          <c:spPr>
            <a:ln w="28575" cap="rnd">
              <a:solidFill>
                <a:schemeClr val="accent2"/>
              </a:solidFill>
              <a:round/>
            </a:ln>
            <a:effectLst/>
          </c:spPr>
          <c:marker>
            <c:symbol val="none"/>
          </c:marker>
          <c:val>
            <c:numRef>
              <c:f>Schedules!$F$67:$AC$67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D7AA-4F4C-BB75-08E79407C85E}"/>
            </c:ext>
          </c:extLst>
        </c:ser>
        <c:ser>
          <c:idx val="2"/>
          <c:order val="2"/>
          <c:tx>
            <c:strRef>
              <c:f>Schedules!$E$68</c:f>
              <c:strCache>
                <c:ptCount val="1"/>
                <c:pt idx="0">
                  <c:v>Sunday</c:v>
                </c:pt>
              </c:strCache>
            </c:strRef>
          </c:tx>
          <c:spPr>
            <a:ln w="28575" cap="rnd">
              <a:solidFill>
                <a:schemeClr val="accent3"/>
              </a:solidFill>
              <a:round/>
            </a:ln>
            <a:effectLst/>
          </c:spPr>
          <c:marker>
            <c:symbol val="none"/>
          </c:marker>
          <c:val>
            <c:numRef>
              <c:f>Schedules!$F$68:$AC$68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7AA-4F4C-BB75-08E79407C8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6859-4C2B-AE9E-ADFE4A4DDFB7}"/>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6859-4C2B-AE9E-ADFE4A4DDFB7}"/>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6859-4C2B-AE9E-ADFE4A4DDFB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Schedules!$E$97</c:f>
              <c:strCache>
                <c:ptCount val="1"/>
                <c:pt idx="0">
                  <c:v>Weekday</c:v>
                </c:pt>
              </c:strCache>
            </c:strRef>
          </c:tx>
          <c:spPr>
            <a:ln w="28575" cap="rnd">
              <a:solidFill>
                <a:schemeClr val="accent1"/>
              </a:solidFill>
              <a:round/>
            </a:ln>
            <a:effectLst/>
          </c:spPr>
          <c:marker>
            <c:symbol val="none"/>
          </c:marker>
          <c:val>
            <c:numRef>
              <c:f>Schedules!$F$97:$AC$97</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F956-4494-AB32-2D815DDEBD35}"/>
            </c:ext>
          </c:extLst>
        </c:ser>
        <c:ser>
          <c:idx val="1"/>
          <c:order val="1"/>
          <c:tx>
            <c:strRef>
              <c:f>Schedules!$E$98</c:f>
              <c:strCache>
                <c:ptCount val="1"/>
                <c:pt idx="0">
                  <c:v>Saturday</c:v>
                </c:pt>
              </c:strCache>
            </c:strRef>
          </c:tx>
          <c:spPr>
            <a:ln w="28575" cap="rnd">
              <a:solidFill>
                <a:schemeClr val="accent2"/>
              </a:solidFill>
              <a:round/>
            </a:ln>
            <a:effectLst/>
          </c:spPr>
          <c:marker>
            <c:symbol val="none"/>
          </c:marker>
          <c:val>
            <c:numRef>
              <c:f>Schedules!$F$98:$AC$98</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1</c:v>
                </c:pt>
                <c:pt idx="20">
                  <c:v>1</c:v>
                </c:pt>
                <c:pt idx="21">
                  <c:v>1</c:v>
                </c:pt>
                <c:pt idx="22">
                  <c:v>1</c:v>
                </c:pt>
                <c:pt idx="23">
                  <c:v>1</c:v>
                </c:pt>
              </c:numCache>
            </c:numRef>
          </c:val>
          <c:smooth val="0"/>
          <c:extLst>
            <c:ext xmlns:c16="http://schemas.microsoft.com/office/drawing/2014/chart" uri="{C3380CC4-5D6E-409C-BE32-E72D297353CC}">
              <c16:uniqueId val="{00000001-F956-4494-AB32-2D815DDEBD35}"/>
            </c:ext>
          </c:extLst>
        </c:ser>
        <c:ser>
          <c:idx val="2"/>
          <c:order val="2"/>
          <c:tx>
            <c:strRef>
              <c:f>Schedules!$E$99</c:f>
              <c:strCache>
                <c:ptCount val="1"/>
                <c:pt idx="0">
                  <c:v>Sunday</c:v>
                </c:pt>
              </c:strCache>
            </c:strRef>
          </c:tx>
          <c:spPr>
            <a:ln w="28575" cap="rnd">
              <a:solidFill>
                <a:schemeClr val="accent3"/>
              </a:solidFill>
              <a:round/>
            </a:ln>
            <a:effectLst/>
          </c:spPr>
          <c:marker>
            <c:symbol val="none"/>
          </c:marker>
          <c:val>
            <c:numRef>
              <c:f>Schedules!$F$99:$AC$99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F956-4494-AB32-2D815DDEBD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4CB5-482A-9BDE-3CD29B8BF81E}"/>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60</c:v>
                </c:pt>
                <c:pt idx="20">
                  <c:v>60</c:v>
                </c:pt>
                <c:pt idx="21">
                  <c:v>60</c:v>
                </c:pt>
                <c:pt idx="22">
                  <c:v>60</c:v>
                </c:pt>
                <c:pt idx="23">
                  <c:v>60</c:v>
                </c:pt>
              </c:numCache>
            </c:numRef>
          </c:val>
          <c:smooth val="0"/>
          <c:extLst>
            <c:ext xmlns:c16="http://schemas.microsoft.com/office/drawing/2014/chart" uri="{C3380CC4-5D6E-409C-BE32-E72D297353CC}">
              <c16:uniqueId val="{00000001-4CB5-482A-9BDE-3CD29B8BF81E}"/>
            </c:ext>
          </c:extLst>
        </c:ser>
        <c:ser>
          <c:idx val="2"/>
          <c:order val="2"/>
          <c:tx>
            <c:strRef>
              <c:f>Schedules!$E$102</c:f>
              <c:strCache>
                <c:ptCount val="1"/>
                <c:pt idx="0">
                  <c:v>Sunday</c:v>
                </c:pt>
              </c:strCache>
            </c:strRef>
          </c:tx>
          <c:spPr>
            <a:ln w="28575" cap="rnd">
              <a:solidFill>
                <a:schemeClr val="accent3"/>
              </a:solidFill>
              <a:round/>
            </a:ln>
            <a:effectLst/>
          </c:spPr>
          <c:marker>
            <c:symbol val="none"/>
          </c:marker>
          <c:val>
            <c:numRef>
              <c:f>Schedules!$F$102:$AC$102</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4CB5-482A-9BDE-3CD29B8BF8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Schedules!$C$103</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Schedules!$E$103</c:f>
              <c:strCache>
                <c:ptCount val="1"/>
                <c:pt idx="0">
                  <c:v>Weekday</c:v>
                </c:pt>
              </c:strCache>
            </c:strRef>
          </c:tx>
          <c:spPr>
            <a:ln w="28575" cap="rnd">
              <a:solidFill>
                <a:schemeClr val="accent1"/>
              </a:solidFill>
              <a:round/>
            </a:ln>
            <a:effectLst/>
          </c:spPr>
          <c:marker>
            <c:symbol val="none"/>
          </c:marker>
          <c:val>
            <c:numRef>
              <c:f>Schedules!$F$103:$AC$103</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E01-44C3-8F0A-05952BD9C37E}"/>
            </c:ext>
          </c:extLst>
        </c:ser>
        <c:ser>
          <c:idx val="1"/>
          <c:order val="1"/>
          <c:tx>
            <c:strRef>
              <c:f>Schedules!$E$104</c:f>
              <c:strCache>
                <c:ptCount val="1"/>
                <c:pt idx="0">
                  <c:v>Saturday</c:v>
                </c:pt>
              </c:strCache>
            </c:strRef>
          </c:tx>
          <c:spPr>
            <a:ln w="28575" cap="rnd">
              <a:solidFill>
                <a:schemeClr val="accent2"/>
              </a:solidFill>
              <a:round/>
            </a:ln>
            <a:effectLst/>
          </c:spPr>
          <c:marker>
            <c:symbol val="none"/>
          </c:marker>
          <c:val>
            <c:numRef>
              <c:f>Schedules!$F$104:$AC$104</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85</c:v>
                </c:pt>
                <c:pt idx="20">
                  <c:v>85</c:v>
                </c:pt>
                <c:pt idx="21">
                  <c:v>85</c:v>
                </c:pt>
                <c:pt idx="22">
                  <c:v>85</c:v>
                </c:pt>
                <c:pt idx="23">
                  <c:v>85</c:v>
                </c:pt>
              </c:numCache>
            </c:numRef>
          </c:val>
          <c:smooth val="0"/>
          <c:extLst>
            <c:ext xmlns:c16="http://schemas.microsoft.com/office/drawing/2014/chart" uri="{C3380CC4-5D6E-409C-BE32-E72D297353CC}">
              <c16:uniqueId val="{00000001-9E01-44C3-8F0A-05952BD9C37E}"/>
            </c:ext>
          </c:extLst>
        </c:ser>
        <c:ser>
          <c:idx val="2"/>
          <c:order val="2"/>
          <c:tx>
            <c:strRef>
              <c:f>Schedules!$E$105</c:f>
              <c:strCache>
                <c:ptCount val="1"/>
                <c:pt idx="0">
                  <c:v>Sunday</c:v>
                </c:pt>
              </c:strCache>
            </c:strRef>
          </c:tx>
          <c:spPr>
            <a:ln w="28575" cap="rnd">
              <a:solidFill>
                <a:schemeClr val="accent3"/>
              </a:solidFill>
              <a:round/>
            </a:ln>
            <a:effectLst/>
          </c:spPr>
          <c:marker>
            <c:symbol val="none"/>
          </c:marker>
          <c:val>
            <c:numRef>
              <c:f>Schedules!$F$105:$AC$105</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E01-44C3-8F0A-05952BD9C37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HotelSmall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42.172319999999999</c:v>
                </c:pt>
                <c:pt idx="1">
                  <c:v>37.182269999999995</c:v>
                </c:pt>
                <c:pt idx="2">
                  <c:v>41.993189999999998</c:v>
                </c:pt>
                <c:pt idx="3">
                  <c:v>40.381019999999999</c:v>
                </c:pt>
                <c:pt idx="4">
                  <c:v>50.668200000000006</c:v>
                </c:pt>
                <c:pt idx="5">
                  <c:v>50.233170000000001</c:v>
                </c:pt>
                <c:pt idx="6">
                  <c:v>52.894530000000003</c:v>
                </c:pt>
                <c:pt idx="7">
                  <c:v>49.363109999999992</c:v>
                </c:pt>
                <c:pt idx="8">
                  <c:v>48.41628</c:v>
                </c:pt>
                <c:pt idx="9">
                  <c:v>60.545940000000002</c:v>
                </c:pt>
                <c:pt idx="10">
                  <c:v>65.203319999999991</c:v>
                </c:pt>
                <c:pt idx="11">
                  <c:v>59.599109999999996</c:v>
                </c:pt>
                <c:pt idx="12">
                  <c:v>53.252790000000005</c:v>
                </c:pt>
                <c:pt idx="13">
                  <c:v>59.829420000000013</c:v>
                </c:pt>
                <c:pt idx="14">
                  <c:v>58.140479999999997</c:v>
                </c:pt>
                <c:pt idx="15">
                  <c:v>66.329280000000011</c:v>
                </c:pt>
              </c:numCache>
            </c:numRef>
          </c:val>
          <c:extLst>
            <c:ext xmlns:c16="http://schemas.microsoft.com/office/drawing/2014/chart" uri="{C3380CC4-5D6E-409C-BE32-E72D297353CC}">
              <c16:uniqueId val="{00000000-FBA5-4D14-9BE8-DFB7D674B4A5}"/>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28.114879999999999</c:v>
                </c:pt>
                <c:pt idx="1">
                  <c:v>24.788179999999997</c:v>
                </c:pt>
                <c:pt idx="2">
                  <c:v>27.995460000000008</c:v>
                </c:pt>
                <c:pt idx="3">
                  <c:v>26.920679999999997</c:v>
                </c:pt>
                <c:pt idx="4">
                  <c:v>33.778799999999997</c:v>
                </c:pt>
                <c:pt idx="5">
                  <c:v>33.488779999999991</c:v>
                </c:pt>
                <c:pt idx="6">
                  <c:v>35.263020000000012</c:v>
                </c:pt>
                <c:pt idx="7">
                  <c:v>32.908739999999995</c:v>
                </c:pt>
                <c:pt idx="8">
                  <c:v>32.27752000000001</c:v>
                </c:pt>
                <c:pt idx="9">
                  <c:v>40.363959999999992</c:v>
                </c:pt>
                <c:pt idx="10">
                  <c:v>43.468880000000013</c:v>
                </c:pt>
                <c:pt idx="11">
                  <c:v>39.732740000000007</c:v>
                </c:pt>
                <c:pt idx="12">
                  <c:v>35.501859999999994</c:v>
                </c:pt>
                <c:pt idx="13">
                  <c:v>39.886279999999999</c:v>
                </c:pt>
                <c:pt idx="14">
                  <c:v>38.760320000000007</c:v>
                </c:pt>
                <c:pt idx="15">
                  <c:v>44.219519999999989</c:v>
                </c:pt>
              </c:numCache>
            </c:numRef>
          </c:val>
          <c:extLst>
            <c:ext xmlns:c16="http://schemas.microsoft.com/office/drawing/2014/chart" uri="{C3380CC4-5D6E-409C-BE32-E72D297353CC}">
              <c16:uniqueId val="{00000001-FBA5-4D14-9BE8-DFB7D674B4A5}"/>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FBA5-4D14-9BE8-DFB7D674B4A5}"/>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FBA5-4D14-9BE8-DFB7D674B4A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HotelSmall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47.924999999999997</c:v>
                </c:pt>
                <c:pt idx="1">
                  <c:v>44.474999999999994</c:v>
                </c:pt>
                <c:pt idx="2">
                  <c:v>42.974999999999994</c:v>
                </c:pt>
                <c:pt idx="3">
                  <c:v>45.974999999999994</c:v>
                </c:pt>
                <c:pt idx="4">
                  <c:v>42.224999999999994</c:v>
                </c:pt>
                <c:pt idx="5">
                  <c:v>41.775000000000006</c:v>
                </c:pt>
                <c:pt idx="6">
                  <c:v>41.924999999999997</c:v>
                </c:pt>
                <c:pt idx="7">
                  <c:v>43.875</c:v>
                </c:pt>
                <c:pt idx="8">
                  <c:v>44.174999999999997</c:v>
                </c:pt>
                <c:pt idx="9">
                  <c:v>45.45</c:v>
                </c:pt>
                <c:pt idx="10">
                  <c:v>48.525000000000006</c:v>
                </c:pt>
                <c:pt idx="11">
                  <c:v>46.5</c:v>
                </c:pt>
                <c:pt idx="12">
                  <c:v>48.824999999999996</c:v>
                </c:pt>
                <c:pt idx="13">
                  <c:v>49.199999999999996</c:v>
                </c:pt>
                <c:pt idx="14">
                  <c:v>52.800000000000004</c:v>
                </c:pt>
                <c:pt idx="15">
                  <c:v>49.949999999999996</c:v>
                </c:pt>
              </c:numCache>
            </c:numRef>
          </c:val>
          <c:extLst>
            <c:ext xmlns:c16="http://schemas.microsoft.com/office/drawing/2014/chart" uri="{C3380CC4-5D6E-409C-BE32-E72D297353CC}">
              <c16:uniqueId val="{00000000-9731-4538-A5A8-732607D3F36D}"/>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31.950000000000003</c:v>
                </c:pt>
                <c:pt idx="1">
                  <c:v>29.650000000000006</c:v>
                </c:pt>
                <c:pt idx="2">
                  <c:v>28.650000000000006</c:v>
                </c:pt>
                <c:pt idx="3">
                  <c:v>30.650000000000006</c:v>
                </c:pt>
                <c:pt idx="4">
                  <c:v>28.150000000000006</c:v>
                </c:pt>
                <c:pt idx="5">
                  <c:v>27.849999999999994</c:v>
                </c:pt>
                <c:pt idx="6">
                  <c:v>27.950000000000003</c:v>
                </c:pt>
                <c:pt idx="7">
                  <c:v>29.25</c:v>
                </c:pt>
                <c:pt idx="8">
                  <c:v>29.450000000000003</c:v>
                </c:pt>
                <c:pt idx="9">
                  <c:v>30.299999999999997</c:v>
                </c:pt>
                <c:pt idx="10">
                  <c:v>32.349999999999994</c:v>
                </c:pt>
                <c:pt idx="11">
                  <c:v>31</c:v>
                </c:pt>
                <c:pt idx="12">
                  <c:v>32.550000000000004</c:v>
                </c:pt>
                <c:pt idx="13">
                  <c:v>32.800000000000004</c:v>
                </c:pt>
                <c:pt idx="14">
                  <c:v>35.199999999999996</c:v>
                </c:pt>
                <c:pt idx="15">
                  <c:v>33.300000000000004</c:v>
                </c:pt>
              </c:numCache>
            </c:numRef>
          </c:val>
          <c:extLst>
            <c:ext xmlns:c16="http://schemas.microsoft.com/office/drawing/2014/chart" uri="{C3380CC4-5D6E-409C-BE32-E72D297353CC}">
              <c16:uniqueId val="{00000001-9731-4538-A5A8-732607D3F36D}"/>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9731-4538-A5A8-732607D3F36D}"/>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9731-4538-A5A8-732607D3F36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34" Type="http://schemas.openxmlformats.org/officeDocument/2006/relationships/chart" Target="../charts/chart37.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33" Type="http://schemas.openxmlformats.org/officeDocument/2006/relationships/chart" Target="../charts/chart36.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29" Type="http://schemas.openxmlformats.org/officeDocument/2006/relationships/chart" Target="../charts/chart32.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32" Type="http://schemas.openxmlformats.org/officeDocument/2006/relationships/chart" Target="../charts/chart35.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28" Type="http://schemas.openxmlformats.org/officeDocument/2006/relationships/chart" Target="../charts/chart31.xml"/><Relationship Id="rId10" Type="http://schemas.openxmlformats.org/officeDocument/2006/relationships/chart" Target="../charts/chart13.xml"/><Relationship Id="rId19" Type="http://schemas.openxmlformats.org/officeDocument/2006/relationships/chart" Target="../charts/chart22.xml"/><Relationship Id="rId31" Type="http://schemas.openxmlformats.org/officeDocument/2006/relationships/chart" Target="../charts/chart34.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 Id="rId30" Type="http://schemas.openxmlformats.org/officeDocument/2006/relationships/chart" Target="../charts/chart33.xml"/><Relationship Id="rId35" Type="http://schemas.openxmlformats.org/officeDocument/2006/relationships/chart" Target="../charts/chart38.xml"/><Relationship Id="rId8"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35</xdr:row>
      <xdr:rowOff>152400</xdr:rowOff>
    </xdr:from>
    <xdr:to>
      <xdr:col>2</xdr:col>
      <xdr:colOff>1698018</xdr:colOff>
      <xdr:row>46</xdr:row>
      <xdr:rowOff>55343</xdr:rowOff>
    </xdr:to>
    <xdr:pic>
      <xdr:nvPicPr>
        <xdr:cNvPr id="3" name="Picture 2">
          <a:extLst>
            <a:ext uri="{FF2B5EF4-FFF2-40B4-BE49-F238E27FC236}">
              <a16:creationId xmlns:a16="http://schemas.microsoft.com/office/drawing/2014/main" id="{8A0C853D-FB98-CC8B-9D8B-442FB148F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3257550"/>
          <a:ext cx="7768590" cy="1788892"/>
        </a:xfrm>
        <a:prstGeom prst="rect">
          <a:avLst/>
        </a:prstGeom>
      </xdr:spPr>
    </xdr:pic>
    <xdr:clientData/>
  </xdr:twoCellAnchor>
  <xdr:twoCellAnchor editAs="oneCell">
    <xdr:from>
      <xdr:col>1</xdr:col>
      <xdr:colOff>6031006</xdr:colOff>
      <xdr:row>65</xdr:row>
      <xdr:rowOff>938492</xdr:rowOff>
    </xdr:from>
    <xdr:to>
      <xdr:col>5</xdr:col>
      <xdr:colOff>638511</xdr:colOff>
      <xdr:row>83</xdr:row>
      <xdr:rowOff>49529</xdr:rowOff>
    </xdr:to>
    <xdr:pic>
      <xdr:nvPicPr>
        <xdr:cNvPr id="7" name="Picture 4" descr="A bar chart showing lodging buildings by square footage category. Approximately 42% of lodging buildings were between 1,001 square feet and 10,000 square feet.">
          <a:extLst>
            <a:ext uri="{FF2B5EF4-FFF2-40B4-BE49-F238E27FC236}">
              <a16:creationId xmlns:a16="http://schemas.microsoft.com/office/drawing/2014/main" id="{708EB15A-01BD-1554-878C-11B2C50CFAD9}"/>
            </a:ext>
            <a:ext uri="{147F2762-F138-4A5C-976F-8EAC2B608ADB}">
              <a16:predDERef xmlns:a16="http://schemas.microsoft.com/office/drawing/2014/main" pred="{8A0C853D-FB98-CC8B-9D8B-442FB148F3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35053" y="8379198"/>
          <a:ext cx="6066080" cy="3035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xdr:colOff>
      <xdr:row>66</xdr:row>
      <xdr:rowOff>9525</xdr:rowOff>
    </xdr:from>
    <xdr:to>
      <xdr:col>1</xdr:col>
      <xdr:colOff>5505450</xdr:colOff>
      <xdr:row>77</xdr:row>
      <xdr:rowOff>1905</xdr:rowOff>
    </xdr:to>
    <xdr:pic>
      <xdr:nvPicPr>
        <xdr:cNvPr id="6" name="Picture 5" descr="A bar chart showing lodging buildings by square footage category. Approximately 42% of lodging buildings were between 1,001 square feet and 10,000 square feet.">
          <a:extLst>
            <a:ext uri="{FF2B5EF4-FFF2-40B4-BE49-F238E27FC236}">
              <a16:creationId xmlns:a16="http://schemas.microsoft.com/office/drawing/2014/main" id="{DF516A54-A0DE-31DB-31E9-72F6F00EE1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1080" y="6457950"/>
          <a:ext cx="5480685" cy="1964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893445</xdr:colOff>
      <xdr:row>49</xdr:row>
      <xdr:rowOff>20955</xdr:rowOff>
    </xdr:from>
    <xdr:to>
      <xdr:col>2</xdr:col>
      <xdr:colOff>664509</xdr:colOff>
      <xdr:row>62</xdr:row>
      <xdr:rowOff>1905</xdr:rowOff>
    </xdr:to>
    <xdr:pic>
      <xdr:nvPicPr>
        <xdr:cNvPr id="2" name="Picture 1">
          <a:extLst>
            <a:ext uri="{FF2B5EF4-FFF2-40B4-BE49-F238E27FC236}">
              <a16:creationId xmlns:a16="http://schemas.microsoft.com/office/drawing/2014/main" id="{C94509F1-5CD3-8403-6F92-82B6746D4E0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3445" y="11717655"/>
          <a:ext cx="6886653" cy="221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324416</xdr:colOff>
      <xdr:row>7</xdr:row>
      <xdr:rowOff>41683</xdr:rowOff>
    </xdr:from>
    <xdr:to>
      <xdr:col>1</xdr:col>
      <xdr:colOff>2799030</xdr:colOff>
      <xdr:row>7</xdr:row>
      <xdr:rowOff>1185235</xdr:rowOff>
    </xdr:to>
    <xdr:pic>
      <xdr:nvPicPr>
        <xdr:cNvPr id="9" name="Picture 8">
          <a:extLst>
            <a:ext uri="{FF2B5EF4-FFF2-40B4-BE49-F238E27FC236}">
              <a16:creationId xmlns:a16="http://schemas.microsoft.com/office/drawing/2014/main" id="{24BE46CC-DC8E-E741-090D-4A9A690A44DA}"/>
            </a:ext>
          </a:extLst>
        </xdr:cNvPr>
        <xdr:cNvPicPr>
          <a:picLocks noChangeAspect="1"/>
        </xdr:cNvPicPr>
      </xdr:nvPicPr>
      <xdr:blipFill>
        <a:blip xmlns:r="http://schemas.openxmlformats.org/officeDocument/2006/relationships" r:embed="rId1"/>
        <a:stretch>
          <a:fillRect/>
        </a:stretch>
      </xdr:blipFill>
      <xdr:spPr>
        <a:xfrm>
          <a:off x="2037030" y="2410673"/>
          <a:ext cx="2474614" cy="11435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896470</xdr:colOff>
      <xdr:row>0</xdr:row>
      <xdr:rowOff>0</xdr:rowOff>
    </xdr:from>
    <xdr:to>
      <xdr:col>16</xdr:col>
      <xdr:colOff>28014</xdr:colOff>
      <xdr:row>1</xdr:row>
      <xdr:rowOff>91440</xdr:rowOff>
    </xdr:to>
    <xdr:pic>
      <xdr:nvPicPr>
        <xdr:cNvPr id="3" name="Picture 2">
          <a:extLst>
            <a:ext uri="{FF2B5EF4-FFF2-40B4-BE49-F238E27FC236}">
              <a16:creationId xmlns:a16="http://schemas.microsoft.com/office/drawing/2014/main" id="{EEDC7DFC-A4B3-D565-1641-C2DA9CA39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02164" y="0"/>
          <a:ext cx="251460" cy="423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112298</xdr:colOff>
      <xdr:row>1</xdr:row>
      <xdr:rowOff>669596</xdr:rowOff>
    </xdr:from>
    <xdr:ext cx="239809" cy="184731"/>
    <xdr:sp macro="" textlink="">
      <xdr:nvSpPr>
        <xdr:cNvPr id="59" name="TextBox 58">
          <a:extLst>
            <a:ext uri="{FF2B5EF4-FFF2-40B4-BE49-F238E27FC236}">
              <a16:creationId xmlns:a16="http://schemas.microsoft.com/office/drawing/2014/main" id="{E927A294-17F9-4924-89E5-E8D4D80A33D9}"/>
            </a:ext>
          </a:extLst>
        </xdr:cNvPr>
        <xdr:cNvSpPr txBox="1"/>
      </xdr:nvSpPr>
      <xdr:spPr>
        <a:xfrm rot="16200000">
          <a:off x="22885537" y="969717"/>
          <a:ext cx="18473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000">
            <a:solidFill>
              <a:srgbClr val="FFC000"/>
            </a:solidFill>
            <a:latin typeface="Arial" panose="020B0604020202020204" pitchFamily="34" charset="0"/>
            <a:cs typeface="Arial" panose="020B0604020202020204" pitchFamily="34" charset="0"/>
          </a:endParaRPr>
        </a:p>
      </xdr:txBody>
    </xdr:sp>
    <xdr:clientData/>
  </xdr:oneCellAnchor>
  <xdr:twoCellAnchor>
    <xdr:from>
      <xdr:col>13</xdr:col>
      <xdr:colOff>1403097</xdr:colOff>
      <xdr:row>13</xdr:row>
      <xdr:rowOff>1183</xdr:rowOff>
    </xdr:from>
    <xdr:to>
      <xdr:col>20</xdr:col>
      <xdr:colOff>152315</xdr:colOff>
      <xdr:row>22</xdr:row>
      <xdr:rowOff>195386</xdr:rowOff>
    </xdr:to>
    <xdr:grpSp>
      <xdr:nvGrpSpPr>
        <xdr:cNvPr id="7" name="Group 6">
          <a:extLst>
            <a:ext uri="{FF2B5EF4-FFF2-40B4-BE49-F238E27FC236}">
              <a16:creationId xmlns:a16="http://schemas.microsoft.com/office/drawing/2014/main" id="{AB366C65-A723-0EC2-D8FD-A541A74EA0E5}"/>
            </a:ext>
          </a:extLst>
        </xdr:cNvPr>
        <xdr:cNvGrpSpPr/>
      </xdr:nvGrpSpPr>
      <xdr:grpSpPr>
        <a:xfrm>
          <a:off x="23411450" y="4151842"/>
          <a:ext cx="6548512" cy="1969215"/>
          <a:chOff x="22667379" y="3972547"/>
          <a:chExt cx="6539548" cy="2363662"/>
        </a:xfrm>
      </xdr:grpSpPr>
      <xdr:pic>
        <xdr:nvPicPr>
          <xdr:cNvPr id="26" name="Picture 25">
            <a:extLst>
              <a:ext uri="{FF2B5EF4-FFF2-40B4-BE49-F238E27FC236}">
                <a16:creationId xmlns:a16="http://schemas.microsoft.com/office/drawing/2014/main" id="{1E935314-3E9B-4135-8A6D-166118A99649}"/>
              </a:ext>
            </a:extLst>
          </xdr:cNvPr>
          <xdr:cNvPicPr>
            <a:picLocks noChangeAspect="1"/>
          </xdr:cNvPicPr>
        </xdr:nvPicPr>
        <xdr:blipFill>
          <a:blip xmlns:r="http://schemas.openxmlformats.org/officeDocument/2006/relationships" r:embed="rId2"/>
          <a:stretch>
            <a:fillRect/>
          </a:stretch>
        </xdr:blipFill>
        <xdr:spPr>
          <a:xfrm>
            <a:off x="22667379" y="3972547"/>
            <a:ext cx="6539548" cy="2363662"/>
          </a:xfrm>
          <a:prstGeom prst="rect">
            <a:avLst/>
          </a:prstGeom>
        </xdr:spPr>
      </xdr:pic>
      <xdr:grpSp>
        <xdr:nvGrpSpPr>
          <xdr:cNvPr id="6" name="Group 5">
            <a:extLst>
              <a:ext uri="{FF2B5EF4-FFF2-40B4-BE49-F238E27FC236}">
                <a16:creationId xmlns:a16="http://schemas.microsoft.com/office/drawing/2014/main" id="{16B75EA0-61CA-1A5C-A114-CBB1D2E8A3A8}"/>
              </a:ext>
            </a:extLst>
          </xdr:cNvPr>
          <xdr:cNvGrpSpPr/>
        </xdr:nvGrpSpPr>
        <xdr:grpSpPr>
          <a:xfrm>
            <a:off x="22868761" y="4051544"/>
            <a:ext cx="6082561" cy="2016730"/>
            <a:chOff x="22868761" y="4051544"/>
            <a:chExt cx="6082561" cy="2016730"/>
          </a:xfrm>
        </xdr:grpSpPr>
        <xdr:sp macro="" textlink="">
          <xdr:nvSpPr>
            <xdr:cNvPr id="28" name="TextBox 27">
              <a:extLst>
                <a:ext uri="{FF2B5EF4-FFF2-40B4-BE49-F238E27FC236}">
                  <a16:creationId xmlns:a16="http://schemas.microsoft.com/office/drawing/2014/main" id="{8150D9EF-8BFB-4464-A23B-4A7255F14853}"/>
                </a:ext>
              </a:extLst>
            </xdr:cNvPr>
            <xdr:cNvSpPr txBox="1"/>
          </xdr:nvSpPr>
          <xdr:spPr>
            <a:xfrm>
              <a:off x="25235885" y="5431253"/>
              <a:ext cx="9685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Rooms</a:t>
              </a:r>
            </a:p>
          </xdr:txBody>
        </xdr:sp>
        <xdr:sp macro="" textlink="">
          <xdr:nvSpPr>
            <xdr:cNvPr id="29" name="TextBox 28">
              <a:extLst>
                <a:ext uri="{FF2B5EF4-FFF2-40B4-BE49-F238E27FC236}">
                  <a16:creationId xmlns:a16="http://schemas.microsoft.com/office/drawing/2014/main" id="{FBD5C42B-A696-4C24-94BD-51B38516F52D}"/>
                </a:ext>
              </a:extLst>
            </xdr:cNvPr>
            <xdr:cNvSpPr txBox="1"/>
          </xdr:nvSpPr>
          <xdr:spPr>
            <a:xfrm>
              <a:off x="26734169" y="4508243"/>
              <a:ext cx="9685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Rooms</a:t>
              </a:r>
            </a:p>
          </xdr:txBody>
        </xdr:sp>
        <xdr:sp macro="" textlink="">
          <xdr:nvSpPr>
            <xdr:cNvPr id="30" name="TextBox 29">
              <a:extLst>
                <a:ext uri="{FF2B5EF4-FFF2-40B4-BE49-F238E27FC236}">
                  <a16:creationId xmlns:a16="http://schemas.microsoft.com/office/drawing/2014/main" id="{8F774801-53C3-4BA3-90AD-697EA02383E6}"/>
                </a:ext>
              </a:extLst>
            </xdr:cNvPr>
            <xdr:cNvSpPr txBox="1"/>
          </xdr:nvSpPr>
          <xdr:spPr>
            <a:xfrm>
              <a:off x="26811287" y="5527871"/>
              <a:ext cx="9685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Rooms</a:t>
              </a:r>
            </a:p>
          </xdr:txBody>
        </xdr:sp>
        <xdr:sp macro="" textlink="">
          <xdr:nvSpPr>
            <xdr:cNvPr id="31" name="TextBox 30">
              <a:extLst>
                <a:ext uri="{FF2B5EF4-FFF2-40B4-BE49-F238E27FC236}">
                  <a16:creationId xmlns:a16="http://schemas.microsoft.com/office/drawing/2014/main" id="{9C3768DE-640D-4B8D-925D-C51A61FB18BA}"/>
                </a:ext>
              </a:extLst>
            </xdr:cNvPr>
            <xdr:cNvSpPr txBox="1"/>
          </xdr:nvSpPr>
          <xdr:spPr>
            <a:xfrm>
              <a:off x="23711413" y="4457050"/>
              <a:ext cx="9685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Rooms</a:t>
              </a:r>
            </a:p>
          </xdr:txBody>
        </xdr:sp>
        <xdr:sp macro="" textlink="">
          <xdr:nvSpPr>
            <xdr:cNvPr id="32" name="TextBox 31">
              <a:extLst>
                <a:ext uri="{FF2B5EF4-FFF2-40B4-BE49-F238E27FC236}">
                  <a16:creationId xmlns:a16="http://schemas.microsoft.com/office/drawing/2014/main" id="{6928C64E-8A06-457D-95B3-4A7583E9E447}"/>
                </a:ext>
              </a:extLst>
            </xdr:cNvPr>
            <xdr:cNvSpPr txBox="1"/>
          </xdr:nvSpPr>
          <xdr:spPr>
            <a:xfrm>
              <a:off x="23573049" y="5499667"/>
              <a:ext cx="9685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Rooms</a:t>
              </a:r>
            </a:p>
          </xdr:txBody>
        </xdr:sp>
        <xdr:sp macro="" textlink="">
          <xdr:nvSpPr>
            <xdr:cNvPr id="33" name="TextBox 32">
              <a:extLst>
                <a:ext uri="{FF2B5EF4-FFF2-40B4-BE49-F238E27FC236}">
                  <a16:creationId xmlns:a16="http://schemas.microsoft.com/office/drawing/2014/main" id="{A7BB54C4-7C50-40CA-94B3-A8F4E2DC480F}"/>
                </a:ext>
              </a:extLst>
            </xdr:cNvPr>
            <xdr:cNvSpPr txBox="1"/>
          </xdr:nvSpPr>
          <xdr:spPr>
            <a:xfrm rot="16200000">
              <a:off x="22633458" y="5496130"/>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34" name="TextBox 33">
              <a:extLst>
                <a:ext uri="{FF2B5EF4-FFF2-40B4-BE49-F238E27FC236}">
                  <a16:creationId xmlns:a16="http://schemas.microsoft.com/office/drawing/2014/main" id="{4CF66899-5D00-4AF5-886A-50C1F4E64293}"/>
                </a:ext>
              </a:extLst>
            </xdr:cNvPr>
            <xdr:cNvSpPr txBox="1"/>
          </xdr:nvSpPr>
          <xdr:spPr>
            <a:xfrm rot="16200000">
              <a:off x="28026602" y="5479144"/>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35" name="TextBox 34">
              <a:extLst>
                <a:ext uri="{FF2B5EF4-FFF2-40B4-BE49-F238E27FC236}">
                  <a16:creationId xmlns:a16="http://schemas.microsoft.com/office/drawing/2014/main" id="{3461BBD4-ACEF-4B62-A7EE-FFAB13CCEC83}"/>
                </a:ext>
              </a:extLst>
            </xdr:cNvPr>
            <xdr:cNvSpPr txBox="1"/>
          </xdr:nvSpPr>
          <xdr:spPr>
            <a:xfrm rot="16200000">
              <a:off x="28013864" y="4386866"/>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36" name="TextBox 35">
              <a:extLst>
                <a:ext uri="{FF2B5EF4-FFF2-40B4-BE49-F238E27FC236}">
                  <a16:creationId xmlns:a16="http://schemas.microsoft.com/office/drawing/2014/main" id="{BF285D9D-1E2F-4B39-892E-948DB95952AD}"/>
                </a:ext>
              </a:extLst>
            </xdr:cNvPr>
            <xdr:cNvSpPr txBox="1"/>
          </xdr:nvSpPr>
          <xdr:spPr>
            <a:xfrm rot="16200000">
              <a:off x="22732442" y="4449029"/>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Stairs</a:t>
              </a:r>
            </a:p>
          </xdr:txBody>
        </xdr:sp>
        <xdr:sp macro="" textlink="">
          <xdr:nvSpPr>
            <xdr:cNvPr id="37" name="TextBox 36">
              <a:extLst>
                <a:ext uri="{FF2B5EF4-FFF2-40B4-BE49-F238E27FC236}">
                  <a16:creationId xmlns:a16="http://schemas.microsoft.com/office/drawing/2014/main" id="{0348DEB0-C86D-4078-B773-ABE7858B9110}"/>
                </a:ext>
              </a:extLst>
            </xdr:cNvPr>
            <xdr:cNvSpPr txBox="1"/>
          </xdr:nvSpPr>
          <xdr:spPr>
            <a:xfrm rot="16200000">
              <a:off x="22897909" y="4441597"/>
              <a:ext cx="633763"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Storage</a:t>
              </a:r>
            </a:p>
          </xdr:txBody>
        </xdr:sp>
        <xdr:sp macro="" textlink="">
          <xdr:nvSpPr>
            <xdr:cNvPr id="39" name="TextBox 38">
              <a:extLst>
                <a:ext uri="{FF2B5EF4-FFF2-40B4-BE49-F238E27FC236}">
                  <a16:creationId xmlns:a16="http://schemas.microsoft.com/office/drawing/2014/main" id="{D4E8F3FF-47F4-4CD0-B65B-48BC0311CC83}"/>
                </a:ext>
              </a:extLst>
            </xdr:cNvPr>
            <xdr:cNvSpPr txBox="1"/>
          </xdr:nvSpPr>
          <xdr:spPr>
            <a:xfrm rot="16200000">
              <a:off x="28531053" y="4414114"/>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Stairs</a:t>
              </a:r>
            </a:p>
          </xdr:txBody>
        </xdr:sp>
        <xdr:sp macro="" textlink="">
          <xdr:nvSpPr>
            <xdr:cNvPr id="40" name="TextBox 39">
              <a:extLst>
                <a:ext uri="{FF2B5EF4-FFF2-40B4-BE49-F238E27FC236}">
                  <a16:creationId xmlns:a16="http://schemas.microsoft.com/office/drawing/2014/main" id="{E4E2198C-3D8D-4384-88D6-61A0304C25AB}"/>
                </a:ext>
              </a:extLst>
            </xdr:cNvPr>
            <xdr:cNvSpPr txBox="1"/>
          </xdr:nvSpPr>
          <xdr:spPr>
            <a:xfrm rot="16200000">
              <a:off x="28514536" y="5429247"/>
              <a:ext cx="633763"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Storage</a:t>
              </a:r>
            </a:p>
          </xdr:txBody>
        </xdr:sp>
        <xdr:sp macro="" textlink="">
          <xdr:nvSpPr>
            <xdr:cNvPr id="41" name="TextBox 40">
              <a:extLst>
                <a:ext uri="{FF2B5EF4-FFF2-40B4-BE49-F238E27FC236}">
                  <a16:creationId xmlns:a16="http://schemas.microsoft.com/office/drawing/2014/main" id="{6CA04981-B301-475F-A3D7-3C5D990E1F7A}"/>
                </a:ext>
              </a:extLst>
            </xdr:cNvPr>
            <xdr:cNvSpPr txBox="1"/>
          </xdr:nvSpPr>
          <xdr:spPr>
            <a:xfrm>
              <a:off x="25041149" y="4904734"/>
              <a:ext cx="6477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Corridor</a:t>
              </a:r>
            </a:p>
          </xdr:txBody>
        </xdr:sp>
        <xdr:sp macro="" textlink="">
          <xdr:nvSpPr>
            <xdr:cNvPr id="42" name="TextBox 41">
              <a:extLst>
                <a:ext uri="{FF2B5EF4-FFF2-40B4-BE49-F238E27FC236}">
                  <a16:creationId xmlns:a16="http://schemas.microsoft.com/office/drawing/2014/main" id="{DC687F69-E754-4AAD-9A4F-4177CA6F58DB}"/>
                </a:ext>
              </a:extLst>
            </xdr:cNvPr>
            <xdr:cNvSpPr txBox="1"/>
          </xdr:nvSpPr>
          <xdr:spPr>
            <a:xfrm rot="16200000">
              <a:off x="25841078" y="4383878"/>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65" name="TextBox 64">
              <a:extLst>
                <a:ext uri="{FF2B5EF4-FFF2-40B4-BE49-F238E27FC236}">
                  <a16:creationId xmlns:a16="http://schemas.microsoft.com/office/drawing/2014/main" id="{C4D1F799-9659-4B73-97D1-F11EEB997019}"/>
                </a:ext>
              </a:extLst>
            </xdr:cNvPr>
            <xdr:cNvSpPr txBox="1"/>
          </xdr:nvSpPr>
          <xdr:spPr>
            <a:xfrm rot="16200000">
              <a:off x="23078770" y="4402751"/>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grpSp>
    </xdr:grpSp>
    <xdr:clientData/>
  </xdr:twoCellAnchor>
  <xdr:oneCellAnchor>
    <xdr:from>
      <xdr:col>22</xdr:col>
      <xdr:colOff>415095</xdr:colOff>
      <xdr:row>2</xdr:row>
      <xdr:rowOff>21093</xdr:rowOff>
    </xdr:from>
    <xdr:ext cx="239809" cy="184731"/>
    <xdr:sp macro="" textlink="">
      <xdr:nvSpPr>
        <xdr:cNvPr id="81" name="TextBox 80">
          <a:extLst>
            <a:ext uri="{FF2B5EF4-FFF2-40B4-BE49-F238E27FC236}">
              <a16:creationId xmlns:a16="http://schemas.microsoft.com/office/drawing/2014/main" id="{D86B4BCB-60E7-4E86-94B6-0AFEA27C5DC4}"/>
            </a:ext>
          </a:extLst>
        </xdr:cNvPr>
        <xdr:cNvSpPr txBox="1"/>
      </xdr:nvSpPr>
      <xdr:spPr>
        <a:xfrm rot="16200000">
          <a:off x="29543414" y="991774"/>
          <a:ext cx="18473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000">
            <a:solidFill>
              <a:srgbClr val="FFC000"/>
            </a:solidFill>
            <a:latin typeface="Arial" panose="020B0604020202020204" pitchFamily="34" charset="0"/>
            <a:cs typeface="Arial" panose="020B0604020202020204" pitchFamily="34" charset="0"/>
          </a:endParaRPr>
        </a:p>
      </xdr:txBody>
    </xdr:sp>
    <xdr:clientData/>
  </xdr:oneCellAnchor>
  <xdr:twoCellAnchor>
    <xdr:from>
      <xdr:col>13</xdr:col>
      <xdr:colOff>1272574</xdr:colOff>
      <xdr:row>0</xdr:row>
      <xdr:rowOff>1</xdr:rowOff>
    </xdr:from>
    <xdr:to>
      <xdr:col>19</xdr:col>
      <xdr:colOff>977147</xdr:colOff>
      <xdr:row>7</xdr:row>
      <xdr:rowOff>1340541</xdr:rowOff>
    </xdr:to>
    <xdr:grpSp>
      <xdr:nvGrpSpPr>
        <xdr:cNvPr id="5" name="Group 4">
          <a:extLst>
            <a:ext uri="{FF2B5EF4-FFF2-40B4-BE49-F238E27FC236}">
              <a16:creationId xmlns:a16="http://schemas.microsoft.com/office/drawing/2014/main" id="{0E49481E-B51D-EECC-6162-F8A2E5E3A824}"/>
            </a:ext>
          </a:extLst>
        </xdr:cNvPr>
        <xdr:cNvGrpSpPr/>
      </xdr:nvGrpSpPr>
      <xdr:grpSpPr>
        <a:xfrm>
          <a:off x="23280927" y="1"/>
          <a:ext cx="6311561" cy="3160375"/>
          <a:chOff x="22483436" y="-905617"/>
          <a:chExt cx="6302621" cy="1602277"/>
        </a:xfrm>
      </xdr:grpSpPr>
      <xdr:pic>
        <xdr:nvPicPr>
          <xdr:cNvPr id="44" name="Picture 43">
            <a:extLst>
              <a:ext uri="{FF2B5EF4-FFF2-40B4-BE49-F238E27FC236}">
                <a16:creationId xmlns:a16="http://schemas.microsoft.com/office/drawing/2014/main" id="{B5889371-284D-F30C-72AD-FDCCB223AB8B}"/>
              </a:ext>
            </a:extLst>
          </xdr:cNvPr>
          <xdr:cNvPicPr>
            <a:picLocks noChangeAspect="1"/>
          </xdr:cNvPicPr>
        </xdr:nvPicPr>
        <xdr:blipFill>
          <a:blip xmlns:r="http://schemas.openxmlformats.org/officeDocument/2006/relationships" r:embed="rId3"/>
          <a:stretch>
            <a:fillRect/>
          </a:stretch>
        </xdr:blipFill>
        <xdr:spPr>
          <a:xfrm>
            <a:off x="22483436" y="-492259"/>
            <a:ext cx="6302621" cy="1104677"/>
          </a:xfrm>
          <a:prstGeom prst="rect">
            <a:avLst/>
          </a:prstGeom>
        </xdr:spPr>
      </xdr:pic>
      <xdr:grpSp>
        <xdr:nvGrpSpPr>
          <xdr:cNvPr id="4" name="Group 3">
            <a:extLst>
              <a:ext uri="{FF2B5EF4-FFF2-40B4-BE49-F238E27FC236}">
                <a16:creationId xmlns:a16="http://schemas.microsoft.com/office/drawing/2014/main" id="{B257AC9F-3F76-1774-DC56-EC991D2C70F2}"/>
              </a:ext>
            </a:extLst>
          </xdr:cNvPr>
          <xdr:cNvGrpSpPr/>
        </xdr:nvGrpSpPr>
        <xdr:grpSpPr>
          <a:xfrm>
            <a:off x="22561257" y="-905617"/>
            <a:ext cx="6086097" cy="1602277"/>
            <a:chOff x="22561257" y="-905617"/>
            <a:chExt cx="6086097" cy="1602277"/>
          </a:xfrm>
        </xdr:grpSpPr>
        <xdr:sp macro="" textlink="">
          <xdr:nvSpPr>
            <xdr:cNvPr id="27" name="TextBox 26">
              <a:extLst>
                <a:ext uri="{FF2B5EF4-FFF2-40B4-BE49-F238E27FC236}">
                  <a16:creationId xmlns:a16="http://schemas.microsoft.com/office/drawing/2014/main" id="{8F1CDDC5-F7A0-4E97-A111-56697EB94A7B}"/>
                </a:ext>
              </a:extLst>
            </xdr:cNvPr>
            <xdr:cNvSpPr txBox="1"/>
          </xdr:nvSpPr>
          <xdr:spPr>
            <a:xfrm>
              <a:off x="24874978" y="456851"/>
              <a:ext cx="1132746"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Canopy Shading</a:t>
              </a:r>
            </a:p>
          </xdr:txBody>
        </xdr:sp>
        <xdr:grpSp>
          <xdr:nvGrpSpPr>
            <xdr:cNvPr id="2" name="Group 1">
              <a:extLst>
                <a:ext uri="{FF2B5EF4-FFF2-40B4-BE49-F238E27FC236}">
                  <a16:creationId xmlns:a16="http://schemas.microsoft.com/office/drawing/2014/main" id="{6F0BE547-B885-8166-0FF1-40543D787AB2}"/>
                </a:ext>
              </a:extLst>
            </xdr:cNvPr>
            <xdr:cNvGrpSpPr/>
          </xdr:nvGrpSpPr>
          <xdr:grpSpPr>
            <a:xfrm>
              <a:off x="22561257" y="-905617"/>
              <a:ext cx="6086097" cy="1385286"/>
              <a:chOff x="22175774" y="-878722"/>
              <a:chExt cx="6086097" cy="1385286"/>
            </a:xfrm>
          </xdr:grpSpPr>
          <xdr:sp macro="" textlink="">
            <xdr:nvSpPr>
              <xdr:cNvPr id="45" name="TextBox 44">
                <a:extLst>
                  <a:ext uri="{FF2B5EF4-FFF2-40B4-BE49-F238E27FC236}">
                    <a16:creationId xmlns:a16="http://schemas.microsoft.com/office/drawing/2014/main" id="{C6D7BDC3-CA3B-4974-9DD7-E62E96E13635}"/>
                  </a:ext>
                </a:extLst>
              </xdr:cNvPr>
              <xdr:cNvSpPr txBox="1"/>
            </xdr:nvSpPr>
            <xdr:spPr>
              <a:xfrm>
                <a:off x="22398768" y="202459"/>
                <a:ext cx="612475"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Lounge</a:t>
                </a:r>
              </a:p>
            </xdr:txBody>
          </xdr:sp>
          <xdr:sp macro="" textlink="">
            <xdr:nvSpPr>
              <xdr:cNvPr id="46" name="TextBox 45">
                <a:extLst>
                  <a:ext uri="{FF2B5EF4-FFF2-40B4-BE49-F238E27FC236}">
                    <a16:creationId xmlns:a16="http://schemas.microsoft.com/office/drawing/2014/main" id="{620A311B-394C-4753-9D30-7C62044E3904}"/>
                  </a:ext>
                </a:extLst>
              </xdr:cNvPr>
              <xdr:cNvSpPr txBox="1"/>
            </xdr:nvSpPr>
            <xdr:spPr>
              <a:xfrm>
                <a:off x="25297418" y="182004"/>
                <a:ext cx="84754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Conference</a:t>
                </a:r>
              </a:p>
            </xdr:txBody>
          </xdr:sp>
          <xdr:sp macro="" textlink="">
            <xdr:nvSpPr>
              <xdr:cNvPr id="47" name="TextBox 46">
                <a:extLst>
                  <a:ext uri="{FF2B5EF4-FFF2-40B4-BE49-F238E27FC236}">
                    <a16:creationId xmlns:a16="http://schemas.microsoft.com/office/drawing/2014/main" id="{4971BAF0-B307-4AC5-9D98-6AEC372BF336}"/>
                  </a:ext>
                </a:extLst>
              </xdr:cNvPr>
              <xdr:cNvSpPr txBox="1"/>
            </xdr:nvSpPr>
            <xdr:spPr>
              <a:xfrm>
                <a:off x="24642438" y="-35017"/>
                <a:ext cx="64774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Corridor</a:t>
                </a:r>
              </a:p>
            </xdr:txBody>
          </xdr:sp>
          <xdr:sp macro="" textlink="">
            <xdr:nvSpPr>
              <xdr:cNvPr id="48" name="TextBox 47">
                <a:extLst>
                  <a:ext uri="{FF2B5EF4-FFF2-40B4-BE49-F238E27FC236}">
                    <a16:creationId xmlns:a16="http://schemas.microsoft.com/office/drawing/2014/main" id="{79034662-72D4-46DB-B1F7-AF9B76FD9807}"/>
                  </a:ext>
                </a:extLst>
              </xdr:cNvPr>
              <xdr:cNvSpPr txBox="1"/>
            </xdr:nvSpPr>
            <xdr:spPr>
              <a:xfrm rot="16200000">
                <a:off x="24243328" y="-52987"/>
                <a:ext cx="740459"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Restroom</a:t>
                </a:r>
              </a:p>
            </xdr:txBody>
          </xdr:sp>
          <xdr:sp macro="" textlink="">
            <xdr:nvSpPr>
              <xdr:cNvPr id="49" name="TextBox 48">
                <a:extLst>
                  <a:ext uri="{FF2B5EF4-FFF2-40B4-BE49-F238E27FC236}">
                    <a16:creationId xmlns:a16="http://schemas.microsoft.com/office/drawing/2014/main" id="{D45C18CF-78F0-4777-9258-44FEA816FD17}"/>
                  </a:ext>
                </a:extLst>
              </xdr:cNvPr>
              <xdr:cNvSpPr txBox="1"/>
            </xdr:nvSpPr>
            <xdr:spPr>
              <a:xfrm rot="16200000">
                <a:off x="26159417" y="68626"/>
                <a:ext cx="549945" cy="264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ysClr val="windowText" lastClr="000000"/>
                    </a:solidFill>
                    <a:effectLst/>
                    <a:latin typeface="+mn-lt"/>
                    <a:ea typeface="+mn-ea"/>
                    <a:cs typeface="+mn-cs"/>
                  </a:rPr>
                  <a:t>Mechanical </a:t>
                </a:r>
                <a:endParaRPr lang="en-US" sz="1000">
                  <a:solidFill>
                    <a:sysClr val="windowText" lastClr="000000"/>
                  </a:solidFill>
                  <a:effectLst/>
                </a:endParaRPr>
              </a:p>
            </xdr:txBody>
          </xdr:sp>
          <xdr:sp macro="" textlink="">
            <xdr:nvSpPr>
              <xdr:cNvPr id="50" name="TextBox 49">
                <a:extLst>
                  <a:ext uri="{FF2B5EF4-FFF2-40B4-BE49-F238E27FC236}">
                    <a16:creationId xmlns:a16="http://schemas.microsoft.com/office/drawing/2014/main" id="{15178A79-3A8B-4101-B4D5-B419D7C0CE09}"/>
                  </a:ext>
                </a:extLst>
              </xdr:cNvPr>
              <xdr:cNvSpPr txBox="1"/>
            </xdr:nvSpPr>
            <xdr:spPr>
              <a:xfrm rot="16200000">
                <a:off x="26446636" y="-79835"/>
                <a:ext cx="8903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ysClr val="windowText" lastClr="000000"/>
                    </a:solidFill>
                    <a:effectLst/>
                    <a:latin typeface="+mn-lt"/>
                    <a:ea typeface="+mn-ea"/>
                    <a:cs typeface="+mn-cs"/>
                  </a:rPr>
                  <a:t>Guest Room</a:t>
                </a:r>
                <a:endParaRPr lang="en-US" sz="1000">
                  <a:solidFill>
                    <a:sysClr val="windowText" lastClr="000000"/>
                  </a:solidFill>
                  <a:effectLst/>
                </a:endParaRPr>
              </a:p>
            </xdr:txBody>
          </xdr:sp>
          <xdr:sp macro="" textlink="">
            <xdr:nvSpPr>
              <xdr:cNvPr id="51" name="TextBox 50">
                <a:extLst>
                  <a:ext uri="{FF2B5EF4-FFF2-40B4-BE49-F238E27FC236}">
                    <a16:creationId xmlns:a16="http://schemas.microsoft.com/office/drawing/2014/main" id="{FB4AA558-C899-46AA-BDB2-902C841F678B}"/>
                  </a:ext>
                </a:extLst>
              </xdr:cNvPr>
              <xdr:cNvSpPr txBox="1"/>
            </xdr:nvSpPr>
            <xdr:spPr>
              <a:xfrm rot="16200000">
                <a:off x="26805816" y="-70870"/>
                <a:ext cx="8903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Guest Room</a:t>
                </a:r>
                <a:endParaRPr lang="en-US" sz="1000">
                  <a:effectLst/>
                </a:endParaRPr>
              </a:p>
            </xdr:txBody>
          </xdr:sp>
          <xdr:sp macro="" textlink="">
            <xdr:nvSpPr>
              <xdr:cNvPr id="52" name="TextBox 51">
                <a:extLst>
                  <a:ext uri="{FF2B5EF4-FFF2-40B4-BE49-F238E27FC236}">
                    <a16:creationId xmlns:a16="http://schemas.microsoft.com/office/drawing/2014/main" id="{7B396F72-E241-447E-9E82-31E9A830799A}"/>
                  </a:ext>
                </a:extLst>
              </xdr:cNvPr>
              <xdr:cNvSpPr txBox="1"/>
            </xdr:nvSpPr>
            <xdr:spPr>
              <a:xfrm rot="16200000">
                <a:off x="27329781" y="-88799"/>
                <a:ext cx="8903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Guest Room</a:t>
                </a:r>
                <a:endParaRPr lang="en-US" sz="1000">
                  <a:effectLst/>
                </a:endParaRPr>
              </a:p>
            </xdr:txBody>
          </xdr:sp>
          <xdr:sp macro="" textlink="">
            <xdr:nvSpPr>
              <xdr:cNvPr id="53" name="TextBox 52">
                <a:extLst>
                  <a:ext uri="{FF2B5EF4-FFF2-40B4-BE49-F238E27FC236}">
                    <a16:creationId xmlns:a16="http://schemas.microsoft.com/office/drawing/2014/main" id="{2441E9D0-ED87-4829-B67F-107039581B5D}"/>
                  </a:ext>
                </a:extLst>
              </xdr:cNvPr>
              <xdr:cNvSpPr txBox="1"/>
            </xdr:nvSpPr>
            <xdr:spPr>
              <a:xfrm rot="16200000">
                <a:off x="27791608" y="-77871"/>
                <a:ext cx="6245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Storage</a:t>
                </a:r>
                <a:endParaRPr lang="en-US" sz="1000">
                  <a:effectLst/>
                </a:endParaRPr>
              </a:p>
            </xdr:txBody>
          </xdr:sp>
          <xdr:sp macro="" textlink="">
            <xdr:nvSpPr>
              <xdr:cNvPr id="55" name="TextBox 54">
                <a:extLst>
                  <a:ext uri="{FF2B5EF4-FFF2-40B4-BE49-F238E27FC236}">
                    <a16:creationId xmlns:a16="http://schemas.microsoft.com/office/drawing/2014/main" id="{0F9EDFCD-A5BE-4B27-AAFD-E509AA3C07D5}"/>
                  </a:ext>
                </a:extLst>
              </xdr:cNvPr>
              <xdr:cNvSpPr txBox="1"/>
            </xdr:nvSpPr>
            <xdr:spPr>
              <a:xfrm rot="16200000">
                <a:off x="27320202" y="-546388"/>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56" name="TextBox 55">
                <a:extLst>
                  <a:ext uri="{FF2B5EF4-FFF2-40B4-BE49-F238E27FC236}">
                    <a16:creationId xmlns:a16="http://schemas.microsoft.com/office/drawing/2014/main" id="{8D7C3A6A-8B4A-4480-8F61-4E77903883C1}"/>
                  </a:ext>
                </a:extLst>
              </xdr:cNvPr>
              <xdr:cNvSpPr txBox="1"/>
            </xdr:nvSpPr>
            <xdr:spPr>
              <a:xfrm rot="16200000">
                <a:off x="26865692" y="-511707"/>
                <a:ext cx="90447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Guest Room</a:t>
                </a:r>
              </a:p>
            </xdr:txBody>
          </xdr:sp>
          <xdr:sp macro="" textlink="">
            <xdr:nvSpPr>
              <xdr:cNvPr id="57" name="TextBox 56">
                <a:extLst>
                  <a:ext uri="{FF2B5EF4-FFF2-40B4-BE49-F238E27FC236}">
                    <a16:creationId xmlns:a16="http://schemas.microsoft.com/office/drawing/2014/main" id="{47E8FD4F-FCAC-4E88-9849-BB9640FC558F}"/>
                  </a:ext>
                </a:extLst>
              </xdr:cNvPr>
              <xdr:cNvSpPr txBox="1"/>
            </xdr:nvSpPr>
            <xdr:spPr>
              <a:xfrm rot="16200000">
                <a:off x="26561610" y="-539611"/>
                <a:ext cx="653732" cy="239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ysClr val="windowText" lastClr="000000"/>
                    </a:solidFill>
                    <a:latin typeface="Arial" panose="020B0604020202020204" pitchFamily="34" charset="0"/>
                    <a:cs typeface="Arial" panose="020B0604020202020204" pitchFamily="34" charset="0"/>
                  </a:rPr>
                  <a:t>Lounge</a:t>
                </a:r>
              </a:p>
            </xdr:txBody>
          </xdr:sp>
          <xdr:sp macro="" textlink="">
            <xdr:nvSpPr>
              <xdr:cNvPr id="58" name="TextBox 57">
                <a:extLst>
                  <a:ext uri="{FF2B5EF4-FFF2-40B4-BE49-F238E27FC236}">
                    <a16:creationId xmlns:a16="http://schemas.microsoft.com/office/drawing/2014/main" id="{3940396F-A9A0-4FD4-9C2C-FD61C8291CAE}"/>
                  </a:ext>
                </a:extLst>
              </xdr:cNvPr>
              <xdr:cNvSpPr txBox="1"/>
            </xdr:nvSpPr>
            <xdr:spPr>
              <a:xfrm>
                <a:off x="25425209" y="-299703"/>
                <a:ext cx="64799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Laundry</a:t>
                </a:r>
              </a:p>
            </xdr:txBody>
          </xdr:sp>
          <xdr:sp macro="" textlink="">
            <xdr:nvSpPr>
              <xdr:cNvPr id="60" name="TextBox 59">
                <a:extLst>
                  <a:ext uri="{FF2B5EF4-FFF2-40B4-BE49-F238E27FC236}">
                    <a16:creationId xmlns:a16="http://schemas.microsoft.com/office/drawing/2014/main" id="{C267119D-1CEA-4EC2-BA2B-0689AE833906}"/>
                  </a:ext>
                </a:extLst>
              </xdr:cNvPr>
              <xdr:cNvSpPr txBox="1"/>
            </xdr:nvSpPr>
            <xdr:spPr>
              <a:xfrm rot="16200000">
                <a:off x="24228531" y="-496649"/>
                <a:ext cx="676339"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Exercise</a:t>
                </a:r>
              </a:p>
            </xdr:txBody>
          </xdr:sp>
          <xdr:sp macro="" textlink="">
            <xdr:nvSpPr>
              <xdr:cNvPr id="62" name="TextBox 61">
                <a:extLst>
                  <a:ext uri="{FF2B5EF4-FFF2-40B4-BE49-F238E27FC236}">
                    <a16:creationId xmlns:a16="http://schemas.microsoft.com/office/drawing/2014/main" id="{A23A6311-FE6B-444E-91F1-9C258BE23213}"/>
                  </a:ext>
                </a:extLst>
              </xdr:cNvPr>
              <xdr:cNvSpPr txBox="1"/>
            </xdr:nvSpPr>
            <xdr:spPr>
              <a:xfrm>
                <a:off x="23435610" y="-279521"/>
                <a:ext cx="519629"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Office</a:t>
                </a:r>
              </a:p>
            </xdr:txBody>
          </xdr:sp>
          <xdr:sp macro="" textlink="">
            <xdr:nvSpPr>
              <xdr:cNvPr id="63" name="TextBox 62">
                <a:extLst>
                  <a:ext uri="{FF2B5EF4-FFF2-40B4-BE49-F238E27FC236}">
                    <a16:creationId xmlns:a16="http://schemas.microsoft.com/office/drawing/2014/main" id="{6563BAAE-7D56-4447-9AE7-B59161B555FF}"/>
                  </a:ext>
                  <a:ext uri="{147F2762-F138-4A5C-976F-8EAC2B608ADB}">
                    <a16:predDERef xmlns:a16="http://schemas.microsoft.com/office/drawing/2014/main" pred="{A23A6311-FE6B-444E-91F1-9C258BE23213}"/>
                  </a:ext>
                </a:extLst>
              </xdr:cNvPr>
              <xdr:cNvSpPr txBox="1"/>
            </xdr:nvSpPr>
            <xdr:spPr>
              <a:xfrm rot="16200000">
                <a:off x="22039455" y="-498211"/>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Stairs</a:t>
                </a:r>
              </a:p>
            </xdr:txBody>
          </xdr:sp>
          <xdr:sp macro="" textlink="">
            <xdr:nvSpPr>
              <xdr:cNvPr id="64" name="TextBox 63">
                <a:extLst>
                  <a:ext uri="{FF2B5EF4-FFF2-40B4-BE49-F238E27FC236}">
                    <a16:creationId xmlns:a16="http://schemas.microsoft.com/office/drawing/2014/main" id="{BA0426A7-2DE7-4AEA-8FFF-3FAFD81031C8}"/>
                  </a:ext>
                  <a:ext uri="{147F2762-F138-4A5C-976F-8EAC2B608ADB}">
                    <a16:predDERef xmlns:a16="http://schemas.microsoft.com/office/drawing/2014/main" pred="{6563BAAE-7D56-4447-9AE7-B59161B555FF}"/>
                  </a:ext>
                </a:extLst>
              </xdr:cNvPr>
              <xdr:cNvSpPr txBox="1"/>
            </xdr:nvSpPr>
            <xdr:spPr>
              <a:xfrm rot="16200000">
                <a:off x="22223648" y="-507787"/>
                <a:ext cx="633763"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000">
                    <a:solidFill>
                      <a:schemeClr val="tx1"/>
                    </a:solidFill>
                    <a:latin typeface="Arial" panose="020B0604020202020204" pitchFamily="34" charset="0"/>
                    <a:cs typeface="Arial" panose="020B0604020202020204" pitchFamily="34" charset="0"/>
                  </a:rPr>
                  <a:t>Storage</a:t>
                </a:r>
              </a:p>
            </xdr:txBody>
          </xdr:sp>
          <xdr:sp macro="" textlink="">
            <xdr:nvSpPr>
              <xdr:cNvPr id="84" name="TextBox 83">
                <a:extLst>
                  <a:ext uri="{FF2B5EF4-FFF2-40B4-BE49-F238E27FC236}">
                    <a16:creationId xmlns:a16="http://schemas.microsoft.com/office/drawing/2014/main" id="{DC1022DE-9AAC-4CB2-B36B-E7A5F32457E3}"/>
                  </a:ext>
                </a:extLst>
              </xdr:cNvPr>
              <xdr:cNvSpPr txBox="1"/>
            </xdr:nvSpPr>
            <xdr:spPr>
              <a:xfrm rot="16200000">
                <a:off x="27885743" y="-522659"/>
                <a:ext cx="512448"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latin typeface="Arial" panose="020B0604020202020204" pitchFamily="34" charset="0"/>
                    <a:cs typeface="Arial" panose="020B0604020202020204" pitchFamily="34" charset="0"/>
                  </a:rPr>
                  <a:t>Stairs</a:t>
                </a:r>
              </a:p>
            </xdr:txBody>
          </xdr:sp>
        </xdr:grpSp>
      </xdr:grpSp>
    </xdr:grpSp>
    <xdr:clientData/>
  </xdr:twoCellAnchor>
  <xdr:oneCellAnchor>
    <xdr:from>
      <xdr:col>14</xdr:col>
      <xdr:colOff>792852</xdr:colOff>
      <xdr:row>1</xdr:row>
      <xdr:rowOff>625637</xdr:rowOff>
    </xdr:from>
    <xdr:ext cx="239809" cy="184731"/>
    <xdr:sp macro="" textlink="">
      <xdr:nvSpPr>
        <xdr:cNvPr id="100" name="TextBox 99">
          <a:extLst>
            <a:ext uri="{FF2B5EF4-FFF2-40B4-BE49-F238E27FC236}">
              <a16:creationId xmlns:a16="http://schemas.microsoft.com/office/drawing/2014/main" id="{3F409320-0B17-4BCB-A48B-A29B66564F49}"/>
            </a:ext>
          </a:extLst>
        </xdr:cNvPr>
        <xdr:cNvSpPr txBox="1"/>
      </xdr:nvSpPr>
      <xdr:spPr>
        <a:xfrm rot="16200000">
          <a:off x="20937191" y="922776"/>
          <a:ext cx="18473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000">
            <a:solidFill>
              <a:schemeClr val="bg1"/>
            </a:solidFill>
            <a:latin typeface="Arial" panose="020B0604020202020204" pitchFamily="34" charset="0"/>
            <a:cs typeface="Arial" panose="020B0604020202020204" pitchFamily="34" charset="0"/>
          </a:endParaRPr>
        </a:p>
      </xdr:txBody>
    </xdr:sp>
    <xdr:clientData/>
  </xdr:oneCellAnchor>
  <xdr:oneCellAnchor>
    <xdr:from>
      <xdr:col>16</xdr:col>
      <xdr:colOff>396240</xdr:colOff>
      <xdr:row>1</xdr:row>
      <xdr:rowOff>649433</xdr:rowOff>
    </xdr:from>
    <xdr:ext cx="239809" cy="184731"/>
    <xdr:sp macro="" textlink="">
      <xdr:nvSpPr>
        <xdr:cNvPr id="104" name="TextBox 103">
          <a:extLst>
            <a:ext uri="{FF2B5EF4-FFF2-40B4-BE49-F238E27FC236}">
              <a16:creationId xmlns:a16="http://schemas.microsoft.com/office/drawing/2014/main" id="{4F368DD4-4033-4ED2-812F-734F0831EBF5}"/>
            </a:ext>
          </a:extLst>
        </xdr:cNvPr>
        <xdr:cNvSpPr txBox="1"/>
      </xdr:nvSpPr>
      <xdr:spPr>
        <a:xfrm rot="16200000">
          <a:off x="23171136" y="946572"/>
          <a:ext cx="184731"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000">
            <a:solidFill>
              <a:schemeClr val="bg1"/>
            </a:solidFill>
            <a:latin typeface="Arial" panose="020B0604020202020204" pitchFamily="34" charset="0"/>
            <a:cs typeface="Arial" panose="020B06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41220</xdr:colOff>
      <xdr:row>25</xdr:row>
      <xdr:rowOff>46778</xdr:rowOff>
    </xdr:from>
    <xdr:to>
      <xdr:col>4</xdr:col>
      <xdr:colOff>55025</xdr:colOff>
      <xdr:row>60</xdr:row>
      <xdr:rowOff>22565</xdr:rowOff>
    </xdr:to>
    <xdr:pic>
      <xdr:nvPicPr>
        <xdr:cNvPr id="5" name="Picture 4">
          <a:extLst>
            <a:ext uri="{FF2B5EF4-FFF2-40B4-BE49-F238E27FC236}">
              <a16:creationId xmlns:a16="http://schemas.microsoft.com/office/drawing/2014/main" id="{E2B447D3-D962-CE31-2C0F-E6265E41A8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220" y="9338945"/>
          <a:ext cx="6194472" cy="59024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38100</xdr:colOff>
      <xdr:row>105</xdr:row>
      <xdr:rowOff>0</xdr:rowOff>
    </xdr:from>
    <xdr:to>
      <xdr:col>15</xdr:col>
      <xdr:colOff>249554</xdr:colOff>
      <xdr:row>117</xdr:row>
      <xdr:rowOff>95250</xdr:rowOff>
    </xdr:to>
    <xdr:graphicFrame macro="">
      <xdr:nvGraphicFramePr>
        <xdr:cNvPr id="32" name="Chart 4">
          <a:extLst>
            <a:ext uri="{FF2B5EF4-FFF2-40B4-BE49-F238E27FC236}">
              <a16:creationId xmlns:a16="http://schemas.microsoft.com/office/drawing/2014/main" id="{F391909B-C2C0-967D-F8A9-8B71DE849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138883</xdr:colOff>
      <xdr:row>105</xdr:row>
      <xdr:rowOff>47625</xdr:rowOff>
    </xdr:from>
    <xdr:to>
      <xdr:col>3</xdr:col>
      <xdr:colOff>1152525</xdr:colOff>
      <xdr:row>117</xdr:row>
      <xdr:rowOff>66674</xdr:rowOff>
    </xdr:to>
    <xdr:graphicFrame macro="">
      <xdr:nvGraphicFramePr>
        <xdr:cNvPr id="33" name="Chart 5">
          <a:extLst>
            <a:ext uri="{FF2B5EF4-FFF2-40B4-BE49-F238E27FC236}">
              <a16:creationId xmlns:a16="http://schemas.microsoft.com/office/drawing/2014/main" i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1040130</xdr:colOff>
      <xdr:row>104</xdr:row>
      <xdr:rowOff>121920</xdr:rowOff>
    </xdr:from>
    <xdr:to>
      <xdr:col>9</xdr:col>
      <xdr:colOff>0</xdr:colOff>
      <xdr:row>117</xdr:row>
      <xdr:rowOff>66675</xdr:rowOff>
    </xdr:to>
    <xdr:graphicFrame macro="">
      <xdr:nvGraphicFramePr>
        <xdr:cNvPr id="29" name="Chart 6">
          <a:extLst>
            <a:ext uri="{FF2B5EF4-FFF2-40B4-BE49-F238E27FC236}">
              <a16:creationId xmlns:a16="http://schemas.microsoft.com/office/drawing/2014/main" id="{18D3FECB-99F3-4E11-B893-46EC0117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29</xdr:col>
      <xdr:colOff>66131</xdr:colOff>
      <xdr:row>5</xdr:row>
      <xdr:rowOff>418072</xdr:rowOff>
    </xdr:from>
    <xdr:to>
      <xdr:col>35</xdr:col>
      <xdr:colOff>406310</xdr:colOff>
      <xdr:row>8</xdr:row>
      <xdr:rowOff>382814</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60235</xdr:colOff>
      <xdr:row>8</xdr:row>
      <xdr:rowOff>455869</xdr:rowOff>
    </xdr:from>
    <xdr:to>
      <xdr:col>35</xdr:col>
      <xdr:colOff>385174</xdr:colOff>
      <xdr:row>11</xdr:row>
      <xdr:rowOff>426750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77833</xdr:colOff>
      <xdr:row>12</xdr:row>
      <xdr:rowOff>3811</xdr:rowOff>
    </xdr:from>
    <xdr:to>
      <xdr:col>35</xdr:col>
      <xdr:colOff>418012</xdr:colOff>
      <xdr:row>14</xdr:row>
      <xdr:rowOff>338274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77832</xdr:colOff>
      <xdr:row>15</xdr:row>
      <xdr:rowOff>16298</xdr:rowOff>
    </xdr:from>
    <xdr:to>
      <xdr:col>35</xdr:col>
      <xdr:colOff>421821</xdr:colOff>
      <xdr:row>17</xdr:row>
      <xdr:rowOff>338668</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291465</xdr:colOff>
      <xdr:row>246</xdr:row>
      <xdr:rowOff>97267</xdr:rowOff>
    </xdr:from>
    <xdr:to>
      <xdr:col>37</xdr:col>
      <xdr:colOff>0</xdr:colOff>
      <xdr:row>250</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616161</xdr:colOff>
      <xdr:row>31</xdr:row>
      <xdr:rowOff>285750</xdr:rowOff>
    </xdr:from>
    <xdr:to>
      <xdr:col>41</xdr:col>
      <xdr:colOff>104805</xdr:colOff>
      <xdr:row>34</xdr:row>
      <xdr:rowOff>259292</xdr:rowOff>
    </xdr:to>
    <xdr:graphicFrame macro="">
      <xdr:nvGraphicFramePr>
        <xdr:cNvPr id="2" name="Chart 5">
          <a:extLst>
            <a:ext uri="{FF2B5EF4-FFF2-40B4-BE49-F238E27FC236}">
              <a16:creationId xmlns:a16="http://schemas.microsoft.com/office/drawing/2014/main" id="{135429D2-DBC5-4EE1-8FFF-584151E482C5}"/>
            </a:ext>
            <a:ext uri="{147F2762-F138-4A5C-976F-8EAC2B608ADB}">
              <a16:predDERef xmlns:a16="http://schemas.microsoft.com/office/drawing/2014/main" pred="{5A999577-F135-454E-AC54-3B86805F4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68096</xdr:colOff>
      <xdr:row>17</xdr:row>
      <xdr:rowOff>398357</xdr:rowOff>
    </xdr:from>
    <xdr:to>
      <xdr:col>35</xdr:col>
      <xdr:colOff>413990</xdr:colOff>
      <xdr:row>18</xdr:row>
      <xdr:rowOff>0</xdr:rowOff>
    </xdr:to>
    <xdr:graphicFrame macro="">
      <xdr:nvGraphicFramePr>
        <xdr:cNvPr id="4" name="Chart 5">
          <a:extLst>
            <a:ext uri="{FF2B5EF4-FFF2-40B4-BE49-F238E27FC236}">
              <a16:creationId xmlns:a16="http://schemas.microsoft.com/office/drawing/2014/main" id="{CA608758-722F-4D99-AE17-F872DF444EC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61323</xdr:colOff>
      <xdr:row>18</xdr:row>
      <xdr:rowOff>1905</xdr:rowOff>
    </xdr:from>
    <xdr:to>
      <xdr:col>35</xdr:col>
      <xdr:colOff>409122</xdr:colOff>
      <xdr:row>20</xdr:row>
      <xdr:rowOff>399234</xdr:rowOff>
    </xdr:to>
    <xdr:graphicFrame macro="">
      <xdr:nvGraphicFramePr>
        <xdr:cNvPr id="5" name="Chart 5">
          <a:extLst>
            <a:ext uri="{FF2B5EF4-FFF2-40B4-BE49-F238E27FC236}">
              <a16:creationId xmlns:a16="http://schemas.microsoft.com/office/drawing/2014/main" id="{B67A05AB-E453-44F9-A1DA-7E8C12BED4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59690</xdr:colOff>
      <xdr:row>20</xdr:row>
      <xdr:rowOff>435428</xdr:rowOff>
    </xdr:from>
    <xdr:to>
      <xdr:col>35</xdr:col>
      <xdr:colOff>401774</xdr:colOff>
      <xdr:row>24</xdr:row>
      <xdr:rowOff>0</xdr:rowOff>
    </xdr:to>
    <xdr:graphicFrame macro="">
      <xdr:nvGraphicFramePr>
        <xdr:cNvPr id="7" name="Chart 5">
          <a:extLst>
            <a:ext uri="{FF2B5EF4-FFF2-40B4-BE49-F238E27FC236}">
              <a16:creationId xmlns:a16="http://schemas.microsoft.com/office/drawing/2014/main" id="{6688C318-B6EF-427E-B050-AF936C3CD14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103929</xdr:colOff>
      <xdr:row>34</xdr:row>
      <xdr:rowOff>29845</xdr:rowOff>
    </xdr:from>
    <xdr:to>
      <xdr:col>35</xdr:col>
      <xdr:colOff>449823</xdr:colOff>
      <xdr:row>36</xdr:row>
      <xdr:rowOff>370417</xdr:rowOff>
    </xdr:to>
    <xdr:graphicFrame macro="">
      <xdr:nvGraphicFramePr>
        <xdr:cNvPr id="6" name="Chart 5">
          <a:extLst>
            <a:ext uri="{FF2B5EF4-FFF2-40B4-BE49-F238E27FC236}">
              <a16:creationId xmlns:a16="http://schemas.microsoft.com/office/drawing/2014/main" id="{84490D67-DB92-4400-90C1-C55AF0ACCE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116416</xdr:colOff>
      <xdr:row>37</xdr:row>
      <xdr:rowOff>42333</xdr:rowOff>
    </xdr:from>
    <xdr:to>
      <xdr:col>35</xdr:col>
      <xdr:colOff>462310</xdr:colOff>
      <xdr:row>39</xdr:row>
      <xdr:rowOff>382905</xdr:rowOff>
    </xdr:to>
    <xdr:graphicFrame macro="">
      <xdr:nvGraphicFramePr>
        <xdr:cNvPr id="8" name="Chart 7">
          <a:extLst>
            <a:ext uri="{FF2B5EF4-FFF2-40B4-BE49-F238E27FC236}">
              <a16:creationId xmlns:a16="http://schemas.microsoft.com/office/drawing/2014/main" id="{5BE89EA6-6AF4-4938-8D4B-A1590FEBCA5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95250</xdr:colOff>
      <xdr:row>40</xdr:row>
      <xdr:rowOff>31750</xdr:rowOff>
    </xdr:from>
    <xdr:to>
      <xdr:col>35</xdr:col>
      <xdr:colOff>444954</xdr:colOff>
      <xdr:row>42</xdr:row>
      <xdr:rowOff>368512</xdr:rowOff>
    </xdr:to>
    <xdr:graphicFrame macro="">
      <xdr:nvGraphicFramePr>
        <xdr:cNvPr id="10" name="Chart 9">
          <a:extLst>
            <a:ext uri="{FF2B5EF4-FFF2-40B4-BE49-F238E27FC236}">
              <a16:creationId xmlns:a16="http://schemas.microsoft.com/office/drawing/2014/main" id="{8E8127D1-97C8-40F3-B94E-B4CC492E1D0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116417</xdr:colOff>
      <xdr:row>43</xdr:row>
      <xdr:rowOff>52917</xdr:rowOff>
    </xdr:from>
    <xdr:to>
      <xdr:col>35</xdr:col>
      <xdr:colOff>469931</xdr:colOff>
      <xdr:row>45</xdr:row>
      <xdr:rowOff>382059</xdr:rowOff>
    </xdr:to>
    <xdr:graphicFrame macro="">
      <xdr:nvGraphicFramePr>
        <xdr:cNvPr id="11" name="Chart 10">
          <a:extLst>
            <a:ext uri="{FF2B5EF4-FFF2-40B4-BE49-F238E27FC236}">
              <a16:creationId xmlns:a16="http://schemas.microsoft.com/office/drawing/2014/main" id="{885291F4-DA6D-434E-B3D8-8CC78FF7BF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63500</xdr:colOff>
      <xdr:row>55</xdr:row>
      <xdr:rowOff>423332</xdr:rowOff>
    </xdr:from>
    <xdr:to>
      <xdr:col>35</xdr:col>
      <xdr:colOff>409394</xdr:colOff>
      <xdr:row>58</xdr:row>
      <xdr:rowOff>423997</xdr:rowOff>
    </xdr:to>
    <xdr:graphicFrame macro="">
      <xdr:nvGraphicFramePr>
        <xdr:cNvPr id="14" name="Chart 5">
          <a:extLst>
            <a:ext uri="{FF2B5EF4-FFF2-40B4-BE49-F238E27FC236}">
              <a16:creationId xmlns:a16="http://schemas.microsoft.com/office/drawing/2014/main" id="{65E95632-EBE9-4B6C-8E98-2240108F85F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63500</xdr:colOff>
      <xdr:row>59</xdr:row>
      <xdr:rowOff>21167</xdr:rowOff>
    </xdr:from>
    <xdr:to>
      <xdr:col>35</xdr:col>
      <xdr:colOff>413204</xdr:colOff>
      <xdr:row>62</xdr:row>
      <xdr:rowOff>21832</xdr:rowOff>
    </xdr:to>
    <xdr:graphicFrame macro="">
      <xdr:nvGraphicFramePr>
        <xdr:cNvPr id="24" name="Chart 5">
          <a:extLst>
            <a:ext uri="{FF2B5EF4-FFF2-40B4-BE49-F238E27FC236}">
              <a16:creationId xmlns:a16="http://schemas.microsoft.com/office/drawing/2014/main" id="{B0724AB7-25B1-4C22-97BC-9E72F119CE3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56727</xdr:colOff>
      <xdr:row>62</xdr:row>
      <xdr:rowOff>29845</xdr:rowOff>
    </xdr:from>
    <xdr:to>
      <xdr:col>35</xdr:col>
      <xdr:colOff>402621</xdr:colOff>
      <xdr:row>64</xdr:row>
      <xdr:rowOff>381000</xdr:rowOff>
    </xdr:to>
    <xdr:graphicFrame macro="">
      <xdr:nvGraphicFramePr>
        <xdr:cNvPr id="25" name="Chart 5">
          <a:extLst>
            <a:ext uri="{FF2B5EF4-FFF2-40B4-BE49-F238E27FC236}">
              <a16:creationId xmlns:a16="http://schemas.microsoft.com/office/drawing/2014/main" id="{267D250F-8BB1-4EBE-B3C6-1EC42CD77BC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68036</xdr:colOff>
      <xdr:row>65</xdr:row>
      <xdr:rowOff>27214</xdr:rowOff>
    </xdr:from>
    <xdr:to>
      <xdr:col>35</xdr:col>
      <xdr:colOff>419645</xdr:colOff>
      <xdr:row>68</xdr:row>
      <xdr:rowOff>65737</xdr:rowOff>
    </xdr:to>
    <xdr:graphicFrame macro="">
      <xdr:nvGraphicFramePr>
        <xdr:cNvPr id="26" name="Chart 25">
          <a:extLst>
            <a:ext uri="{FF2B5EF4-FFF2-40B4-BE49-F238E27FC236}">
              <a16:creationId xmlns:a16="http://schemas.microsoft.com/office/drawing/2014/main" id="{01776B07-85A7-4069-8675-53D2DE4DC23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85392</xdr:colOff>
      <xdr:row>68</xdr:row>
      <xdr:rowOff>57059</xdr:rowOff>
    </xdr:from>
    <xdr:to>
      <xdr:col>35</xdr:col>
      <xdr:colOff>429381</xdr:colOff>
      <xdr:row>70</xdr:row>
      <xdr:rowOff>415835</xdr:rowOff>
    </xdr:to>
    <xdr:graphicFrame macro="">
      <xdr:nvGraphicFramePr>
        <xdr:cNvPr id="27" name="Chart 5">
          <a:extLst>
            <a:ext uri="{FF2B5EF4-FFF2-40B4-BE49-F238E27FC236}">
              <a16:creationId xmlns:a16="http://schemas.microsoft.com/office/drawing/2014/main" id="{BB2C8194-26E2-4AEE-AB25-E4C4976B0B0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76200</xdr:colOff>
      <xdr:row>46</xdr:row>
      <xdr:rowOff>65314</xdr:rowOff>
    </xdr:from>
    <xdr:to>
      <xdr:col>35</xdr:col>
      <xdr:colOff>433524</xdr:colOff>
      <xdr:row>48</xdr:row>
      <xdr:rowOff>381121</xdr:rowOff>
    </xdr:to>
    <xdr:graphicFrame macro="">
      <xdr:nvGraphicFramePr>
        <xdr:cNvPr id="12" name="Chart 11">
          <a:extLst>
            <a:ext uri="{FF2B5EF4-FFF2-40B4-BE49-F238E27FC236}">
              <a16:creationId xmlns:a16="http://schemas.microsoft.com/office/drawing/2014/main" id="{CD78E40A-C94D-4B9D-AF67-D0F499A660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68036</xdr:colOff>
      <xdr:row>71</xdr:row>
      <xdr:rowOff>27214</xdr:rowOff>
    </xdr:from>
    <xdr:to>
      <xdr:col>35</xdr:col>
      <xdr:colOff>412025</xdr:colOff>
      <xdr:row>73</xdr:row>
      <xdr:rowOff>389799</xdr:rowOff>
    </xdr:to>
    <xdr:graphicFrame macro="">
      <xdr:nvGraphicFramePr>
        <xdr:cNvPr id="16" name="Chart 5">
          <a:extLst>
            <a:ext uri="{FF2B5EF4-FFF2-40B4-BE49-F238E27FC236}">
              <a16:creationId xmlns:a16="http://schemas.microsoft.com/office/drawing/2014/main" id="{8233D425-49E5-4074-9E7F-A94C438E08F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122465</xdr:colOff>
      <xdr:row>74</xdr:row>
      <xdr:rowOff>40821</xdr:rowOff>
    </xdr:from>
    <xdr:to>
      <xdr:col>35</xdr:col>
      <xdr:colOff>449244</xdr:colOff>
      <xdr:row>77</xdr:row>
      <xdr:rowOff>104231</xdr:rowOff>
    </xdr:to>
    <xdr:graphicFrame macro="">
      <xdr:nvGraphicFramePr>
        <xdr:cNvPr id="31" name="Chart 5">
          <a:extLst>
            <a:ext uri="{FF2B5EF4-FFF2-40B4-BE49-F238E27FC236}">
              <a16:creationId xmlns:a16="http://schemas.microsoft.com/office/drawing/2014/main" id="{1C8D7D3F-A668-4C6E-ADB9-C8BEC7C11FE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133671</xdr:colOff>
      <xdr:row>77</xdr:row>
      <xdr:rowOff>171465</xdr:rowOff>
    </xdr:from>
    <xdr:to>
      <xdr:col>35</xdr:col>
      <xdr:colOff>449020</xdr:colOff>
      <xdr:row>80</xdr:row>
      <xdr:rowOff>142874</xdr:rowOff>
    </xdr:to>
    <xdr:graphicFrame macro="">
      <xdr:nvGraphicFramePr>
        <xdr:cNvPr id="32" name="Chart 5">
          <a:extLst>
            <a:ext uri="{FF2B5EF4-FFF2-40B4-BE49-F238E27FC236}">
              <a16:creationId xmlns:a16="http://schemas.microsoft.com/office/drawing/2014/main" id="{187C7426-F82C-4597-939D-7835CD8CDE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64226</xdr:colOff>
      <xdr:row>48</xdr:row>
      <xdr:rowOff>419917</xdr:rowOff>
    </xdr:from>
    <xdr:to>
      <xdr:col>35</xdr:col>
      <xdr:colOff>402435</xdr:colOff>
      <xdr:row>51</xdr:row>
      <xdr:rowOff>408214</xdr:rowOff>
    </xdr:to>
    <xdr:graphicFrame macro="">
      <xdr:nvGraphicFramePr>
        <xdr:cNvPr id="35" name="Chart 5">
          <a:extLst>
            <a:ext uri="{FF2B5EF4-FFF2-40B4-BE49-F238E27FC236}">
              <a16:creationId xmlns:a16="http://schemas.microsoft.com/office/drawing/2014/main" id="{CF8660C1-49B8-47BC-870C-3BCFAD8A39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92850</xdr:colOff>
      <xdr:row>52</xdr:row>
      <xdr:rowOff>78123</xdr:rowOff>
    </xdr:from>
    <xdr:to>
      <xdr:col>35</xdr:col>
      <xdr:colOff>402484</xdr:colOff>
      <xdr:row>55</xdr:row>
      <xdr:rowOff>81643</xdr:rowOff>
    </xdr:to>
    <xdr:graphicFrame macro="">
      <xdr:nvGraphicFramePr>
        <xdr:cNvPr id="36" name="Chart 5">
          <a:extLst>
            <a:ext uri="{FF2B5EF4-FFF2-40B4-BE49-F238E27FC236}">
              <a16:creationId xmlns:a16="http://schemas.microsoft.com/office/drawing/2014/main" id="{C281717D-E700-40DD-A639-8BE0EE71F2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122464</xdr:colOff>
      <xdr:row>24</xdr:row>
      <xdr:rowOff>68036</xdr:rowOff>
    </xdr:from>
    <xdr:to>
      <xdr:col>35</xdr:col>
      <xdr:colOff>458768</xdr:colOff>
      <xdr:row>27</xdr:row>
      <xdr:rowOff>54428</xdr:rowOff>
    </xdr:to>
    <xdr:graphicFrame macro="">
      <xdr:nvGraphicFramePr>
        <xdr:cNvPr id="37" name="Chart 5">
          <a:extLst>
            <a:ext uri="{FF2B5EF4-FFF2-40B4-BE49-F238E27FC236}">
              <a16:creationId xmlns:a16="http://schemas.microsoft.com/office/drawing/2014/main" id="{421A7196-C5C0-4E55-843E-395E127B0B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147005</xdr:colOff>
      <xdr:row>27</xdr:row>
      <xdr:rowOff>114862</xdr:rowOff>
    </xdr:from>
    <xdr:to>
      <xdr:col>35</xdr:col>
      <xdr:colOff>445209</xdr:colOff>
      <xdr:row>30</xdr:row>
      <xdr:rowOff>110763</xdr:rowOff>
    </xdr:to>
    <xdr:graphicFrame macro="">
      <xdr:nvGraphicFramePr>
        <xdr:cNvPr id="38" name="Chart 5">
          <a:extLst>
            <a:ext uri="{FF2B5EF4-FFF2-40B4-BE49-F238E27FC236}">
              <a16:creationId xmlns:a16="http://schemas.microsoft.com/office/drawing/2014/main" id="{390D9096-1878-4A9D-BE27-DDCAB73BE1F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31</xdr:col>
      <xdr:colOff>80426</xdr:colOff>
      <xdr:row>105</xdr:row>
      <xdr:rowOff>250787</xdr:rowOff>
    </xdr:from>
    <xdr:to>
      <xdr:col>37</xdr:col>
      <xdr:colOff>186290</xdr:colOff>
      <xdr:row>108</xdr:row>
      <xdr:rowOff>365311</xdr:rowOff>
    </xdr:to>
    <xdr:graphicFrame macro="">
      <xdr:nvGraphicFramePr>
        <xdr:cNvPr id="33" name="Chart 5">
          <a:extLst>
            <a:ext uri="{FF2B5EF4-FFF2-40B4-BE49-F238E27FC236}">
              <a16:creationId xmlns:a16="http://schemas.microsoft.com/office/drawing/2014/main" id="{5212D532-A38E-4275-8F1C-3F7C7F426503}"/>
            </a:ext>
            <a:ext uri="{147F2762-F138-4A5C-976F-8EAC2B608ADB}">
              <a16:predDERef xmlns:a16="http://schemas.microsoft.com/office/drawing/2014/main" pred="{390D9096-1878-4A9D-BE27-DDCAB73BE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63500</xdr:colOff>
      <xdr:row>80</xdr:row>
      <xdr:rowOff>423332</xdr:rowOff>
    </xdr:from>
    <xdr:to>
      <xdr:col>35</xdr:col>
      <xdr:colOff>409394</xdr:colOff>
      <xdr:row>83</xdr:row>
      <xdr:rowOff>423997</xdr:rowOff>
    </xdr:to>
    <xdr:graphicFrame macro="">
      <xdr:nvGraphicFramePr>
        <xdr:cNvPr id="13" name="Chart 5">
          <a:extLst>
            <a:ext uri="{FF2B5EF4-FFF2-40B4-BE49-F238E27FC236}">
              <a16:creationId xmlns:a16="http://schemas.microsoft.com/office/drawing/2014/main" id="{BD4EA1B9-CFC0-4AD2-A46C-3F97211DD9A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63500</xdr:colOff>
      <xdr:row>84</xdr:row>
      <xdr:rowOff>21167</xdr:rowOff>
    </xdr:from>
    <xdr:to>
      <xdr:col>35</xdr:col>
      <xdr:colOff>413204</xdr:colOff>
      <xdr:row>87</xdr:row>
      <xdr:rowOff>21832</xdr:rowOff>
    </xdr:to>
    <xdr:graphicFrame macro="">
      <xdr:nvGraphicFramePr>
        <xdr:cNvPr id="15" name="Chart 5">
          <a:extLst>
            <a:ext uri="{FF2B5EF4-FFF2-40B4-BE49-F238E27FC236}">
              <a16:creationId xmlns:a16="http://schemas.microsoft.com/office/drawing/2014/main" id="{B91FB2D9-6AD3-4425-AC92-42397C7B700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56727</xdr:colOff>
      <xdr:row>87</xdr:row>
      <xdr:rowOff>29845</xdr:rowOff>
    </xdr:from>
    <xdr:to>
      <xdr:col>35</xdr:col>
      <xdr:colOff>402621</xdr:colOff>
      <xdr:row>89</xdr:row>
      <xdr:rowOff>381000</xdr:rowOff>
    </xdr:to>
    <xdr:graphicFrame macro="">
      <xdr:nvGraphicFramePr>
        <xdr:cNvPr id="17" name="Chart 5">
          <a:extLst>
            <a:ext uri="{FF2B5EF4-FFF2-40B4-BE49-F238E27FC236}">
              <a16:creationId xmlns:a16="http://schemas.microsoft.com/office/drawing/2014/main" id="{FC48948D-C87C-4264-A8AA-28B4B378BDD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66131</xdr:colOff>
      <xdr:row>89</xdr:row>
      <xdr:rowOff>428721</xdr:rowOff>
    </xdr:from>
    <xdr:to>
      <xdr:col>35</xdr:col>
      <xdr:colOff>419645</xdr:colOff>
      <xdr:row>93</xdr:row>
      <xdr:rowOff>30215</xdr:rowOff>
    </xdr:to>
    <xdr:graphicFrame macro="">
      <xdr:nvGraphicFramePr>
        <xdr:cNvPr id="22" name="Chart 21">
          <a:extLst>
            <a:ext uri="{FF2B5EF4-FFF2-40B4-BE49-F238E27FC236}">
              <a16:creationId xmlns:a16="http://schemas.microsoft.com/office/drawing/2014/main" id="{EAED04B5-F0A8-4F96-A0AB-D0423C50285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64885</xdr:colOff>
      <xdr:row>93</xdr:row>
      <xdr:rowOff>60869</xdr:rowOff>
    </xdr:from>
    <xdr:to>
      <xdr:col>35</xdr:col>
      <xdr:colOff>408874</xdr:colOff>
      <xdr:row>95</xdr:row>
      <xdr:rowOff>415835</xdr:rowOff>
    </xdr:to>
    <xdr:graphicFrame macro="">
      <xdr:nvGraphicFramePr>
        <xdr:cNvPr id="23" name="Chart 5">
          <a:extLst>
            <a:ext uri="{FF2B5EF4-FFF2-40B4-BE49-F238E27FC236}">
              <a16:creationId xmlns:a16="http://schemas.microsoft.com/office/drawing/2014/main" id="{2761E616-DF8B-40B0-A460-48F3945CC2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92128</xdr:colOff>
      <xdr:row>96</xdr:row>
      <xdr:rowOff>17689</xdr:rowOff>
    </xdr:from>
    <xdr:to>
      <xdr:col>35</xdr:col>
      <xdr:colOff>436117</xdr:colOff>
      <xdr:row>98</xdr:row>
      <xdr:rowOff>397419</xdr:rowOff>
    </xdr:to>
    <xdr:graphicFrame macro="">
      <xdr:nvGraphicFramePr>
        <xdr:cNvPr id="28" name="Chart 5">
          <a:extLst>
            <a:ext uri="{FF2B5EF4-FFF2-40B4-BE49-F238E27FC236}">
              <a16:creationId xmlns:a16="http://schemas.microsoft.com/office/drawing/2014/main" id="{F00F93E1-6FF5-4796-AF36-B5938C6683C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92657</xdr:colOff>
      <xdr:row>99</xdr:row>
      <xdr:rowOff>40821</xdr:rowOff>
    </xdr:from>
    <xdr:to>
      <xdr:col>35</xdr:col>
      <xdr:colOff>411816</xdr:colOff>
      <xdr:row>101</xdr:row>
      <xdr:rowOff>367889</xdr:rowOff>
    </xdr:to>
    <xdr:graphicFrame macro="">
      <xdr:nvGraphicFramePr>
        <xdr:cNvPr id="29" name="Chart 5">
          <a:extLst>
            <a:ext uri="{FF2B5EF4-FFF2-40B4-BE49-F238E27FC236}">
              <a16:creationId xmlns:a16="http://schemas.microsoft.com/office/drawing/2014/main" id="{989CCB4D-5405-4009-BD3A-47B8C24B9B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107450</xdr:colOff>
      <xdr:row>102</xdr:row>
      <xdr:rowOff>11205</xdr:rowOff>
    </xdr:from>
    <xdr:to>
      <xdr:col>35</xdr:col>
      <xdr:colOff>418989</xdr:colOff>
      <xdr:row>104</xdr:row>
      <xdr:rowOff>384810</xdr:rowOff>
    </xdr:to>
    <xdr:graphicFrame macro="">
      <xdr:nvGraphicFramePr>
        <xdr:cNvPr id="30" name="Chart 5">
          <a:extLst>
            <a:ext uri="{FF2B5EF4-FFF2-40B4-BE49-F238E27FC236}">
              <a16:creationId xmlns:a16="http://schemas.microsoft.com/office/drawing/2014/main" id="{79DD8726-8507-40E6-B0AE-9C1BAD54727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23</xdr:col>
      <xdr:colOff>19050</xdr:colOff>
      <xdr:row>0</xdr:row>
      <xdr:rowOff>0</xdr:rowOff>
    </xdr:from>
    <xdr:to>
      <xdr:col>44</xdr:col>
      <xdr:colOff>114300</xdr:colOff>
      <xdr:row>14</xdr:row>
      <xdr:rowOff>9525</xdr:rowOff>
    </xdr:to>
    <xdr:graphicFrame macro="">
      <xdr:nvGraphicFramePr>
        <xdr:cNvPr id="5" name="Chart 4">
          <a:extLst>
            <a:ext uri="{FF2B5EF4-FFF2-40B4-BE49-F238E27FC236}">
              <a16:creationId xmlns:a16="http://schemas.microsoft.com/office/drawing/2014/main" id="{CEF7484E-8D6F-403A-99E3-AAF871BD3B67}"/>
            </a:ext>
            <a:ext uri="{147F2762-F138-4A5C-976F-8EAC2B608ADB}">
              <a16:predDERef xmlns:a16="http://schemas.microsoft.com/office/drawing/2014/main" pred="{EB275F31-1CC4-F076-453A-94AE73BDC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685800</xdr:colOff>
      <xdr:row>19</xdr:row>
      <xdr:rowOff>47625</xdr:rowOff>
    </xdr:from>
    <xdr:to>
      <xdr:col>44</xdr:col>
      <xdr:colOff>142875</xdr:colOff>
      <xdr:row>36</xdr:row>
      <xdr:rowOff>114300</xdr:rowOff>
    </xdr:to>
    <xdr:graphicFrame macro="">
      <xdr:nvGraphicFramePr>
        <xdr:cNvPr id="10" name="Chart 5">
          <a:extLst>
            <a:ext uri="{FF2B5EF4-FFF2-40B4-BE49-F238E27FC236}">
              <a16:creationId xmlns:a16="http://schemas.microsoft.com/office/drawing/2014/main" id="{FB746F2F-643D-412E-93A9-5490A2A8F1B0}"/>
            </a:ext>
            <a:ext uri="{147F2762-F138-4A5C-976F-8EAC2B608ADB}">
              <a16:predDERef xmlns:a16="http://schemas.microsoft.com/office/drawing/2014/main" pred="{CEF7484E-8D6F-403A-99E3-AAF871BD3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B78B9C-B8A2-4B43-BE18-B2EE9E5AF5DE}">
  <we:reference id="wa104380862" version="3.0.0.0" store="en-US" storeType="OMEX"/>
  <we:alternateReferences>
    <we:reference id="wa104380862" version="3.0.0.0" store="WA10438086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3/2022-california-commercial-end-use-survey-ceus-final-report" TargetMode="External"/><Relationship Id="rId13" Type="http://schemas.openxmlformats.org/officeDocument/2006/relationships/hyperlink" Target="https://bees.noresco.com/software2022.html" TargetMode="External"/><Relationship Id="rId18" Type="http://schemas.openxmlformats.org/officeDocument/2006/relationships/hyperlink" Target="https://www.energy.ca.gov/publications/2025/2025-nonresidential-and-multifamily-alternative-calculation-method-reference" TargetMode="External"/><Relationship Id="rId26" Type="http://schemas.openxmlformats.org/officeDocument/2006/relationships/hyperlink" Target="https://www.grainger.com/category/plumbing/water-heaters/electric-tank-water-heaters" TargetMode="External"/><Relationship Id="rId3"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1" Type="http://schemas.openxmlformats.org/officeDocument/2006/relationships/hyperlink" Target="https://prod-edam.honeywell.com/content/dam/honeywell-edam/hbt/en-us/documents/manuals-and-guides/installation-guides/inncom/hbt-bms-INNCOM-e7-USER-GUIDE.pdf?download=false" TargetMode="External"/><Relationship Id="rId7" Type="http://schemas.openxmlformats.org/officeDocument/2006/relationships/hyperlink" Target="https://efiling.energy.ca.gov/GetDocument.aspx?tn=265693&amp;DocumentContentId=102545" TargetMode="External"/><Relationship Id="rId12" Type="http://schemas.openxmlformats.org/officeDocument/2006/relationships/hyperlink" Target="https://github.com/sound-data/DEER-Prototypes-EnergyPlus" TargetMode="External"/><Relationship Id="rId17" Type="http://schemas.openxmlformats.org/officeDocument/2006/relationships/hyperlink" Target="https://www.energy.ca.gov/publications/2022/2022-nonresidential-and-multifamily-alternative-calculation-method-reference" TargetMode="External"/><Relationship Id="rId25" Type="http://schemas.openxmlformats.org/officeDocument/2006/relationships/hyperlink" Target="https://www.grainger.com/category/plumbing/water-heaters/gas-tank-water-heaters" TargetMode="External"/><Relationship Id="rId2" Type="http://schemas.openxmlformats.org/officeDocument/2006/relationships/hyperlink" Target="https://www.pnnl.gov/main/publications/external/technical_reports/PNNL-20405.pdf" TargetMode="External"/><Relationship Id="rId16" Type="http://schemas.openxmlformats.org/officeDocument/2006/relationships/hyperlink" Target="https://www.ashrae.org/technical-resources/standards-and-guidelines/read-only-versions-of-ashrae-standards" TargetMode="External"/><Relationship Id="rId20"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ahla.com/sites/default/files/25_SOTI.pdf" TargetMode="External"/><Relationship Id="rId6" Type="http://schemas.openxmlformats.org/officeDocument/2006/relationships/hyperlink" Target="https://www.govinfo.gov/content/pkg/CFR-2013-title10-vol3/pdf/CFR-2013-title10-vol3-part431.pdf" TargetMode="External"/><Relationship Id="rId11" Type="http://schemas.openxmlformats.org/officeDocument/2006/relationships/hyperlink" Target="https://www.energycodes.gov/prototype-building-models" TargetMode="External"/><Relationship Id="rId24" Type="http://schemas.openxmlformats.org/officeDocument/2006/relationships/hyperlink" Target="https://www.energystar.gov/productfinder/product/certified-commercial-water-heaters/results?fuel_filter=Gas&amp;markets_filter=United+States" TargetMode="External"/><Relationship Id="rId5" Type="http://schemas.openxmlformats.org/officeDocument/2006/relationships/hyperlink" Target="https://www.govinfo.gov/content/pkg/CFR-2024-title10-vol3/pdf/CFR-2024-title10-vol3-part431-subpartF.pdf" TargetMode="External"/><Relationship Id="rId15" Type="http://schemas.openxmlformats.org/officeDocument/2006/relationships/hyperlink" Target="https://codes.iccsafe.org/codes/united-states/california" TargetMode="External"/><Relationship Id="rId23" Type="http://schemas.openxmlformats.org/officeDocument/2006/relationships/hyperlink" Target="https://www.thefreelibrary.com/Determining+Vintage+Bins+for+Prototype+Development%3a+An+Analysis+of...-a0879271125" TargetMode="External"/><Relationship Id="rId28" Type="http://schemas.openxmlformats.org/officeDocument/2006/relationships/drawing" Target="../drawings/drawing1.xml"/><Relationship Id="rId10"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9"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www.govinfo.gov/content/pkg/FR-2009-03-23/pdf/FR-2009-03-23.pdf" TargetMode="External"/><Relationship Id="rId9" Type="http://schemas.openxmlformats.org/officeDocument/2006/relationships/hyperlink" Target="https://www.eia.gov/consumption/commercial/data/2018/index.php?view=microdata" TargetMode="External"/><Relationship Id="rId14" Type="http://schemas.openxmlformats.org/officeDocument/2006/relationships/hyperlink" Target="https://www.energy.ca.gov/publications/2025/2025-building-energy-efficiency-standards-residential-and-nonresidential" TargetMode="External"/><Relationship Id="rId22" Type="http://schemas.openxmlformats.org/officeDocument/2006/relationships/hyperlink" Target="https://title24stakeholders.com/wp-content/uploads/2016/10/T24-2019-CASE-Study-Results-Report-Outdoor-Sources_Final_with-Attachments.pdf" TargetMode="External"/><Relationship Id="rId27"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ahla.com/sites/default/files/25_SOTI.pdf" TargetMode="External"/><Relationship Id="rId1" Type="http://schemas.openxmlformats.org/officeDocument/2006/relationships/hyperlink" Target="https://assets.visitcalifornia.com/media/?mediaId=D0CF4716-DD37-4678-852AB388768DE451&amp;viewType=gri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102"/>
  <sheetViews>
    <sheetView zoomScale="85" zoomScaleNormal="85" workbookViewId="0">
      <selection activeCell="B26" sqref="B26:C26"/>
    </sheetView>
  </sheetViews>
  <sheetFormatPr defaultColWidth="9.33203125" defaultRowHeight="13.2" x14ac:dyDescent="0.25"/>
  <cols>
    <col min="1" max="1" width="14.6640625" style="5" customWidth="1"/>
    <col min="2" max="2" width="89.33203125" style="5" customWidth="1"/>
    <col min="3" max="3" width="50.44140625" style="5" customWidth="1"/>
    <col min="4" max="4" width="9.33203125" style="5"/>
    <col min="5" max="5" width="21.6640625" style="5" customWidth="1"/>
    <col min="6" max="6" width="10.6640625" style="5" customWidth="1"/>
    <col min="7" max="7" width="9.6640625" style="5" customWidth="1"/>
    <col min="8" max="8" width="9.6640625" style="5" bestFit="1" customWidth="1"/>
    <col min="9" max="16384" width="9.33203125" style="5"/>
  </cols>
  <sheetData>
    <row r="1" spans="1:7" ht="20.399999999999999" customHeight="1" x14ac:dyDescent="0.25">
      <c r="A1" s="552" t="s">
        <v>0</v>
      </c>
      <c r="B1" s="552"/>
      <c r="C1" s="552"/>
    </row>
    <row r="2" spans="1:7" x14ac:dyDescent="0.25">
      <c r="A2" s="553" t="s">
        <v>1</v>
      </c>
      <c r="B2" s="445" t="s">
        <v>2</v>
      </c>
      <c r="C2" s="446"/>
    </row>
    <row r="3" spans="1:7" ht="14.4" x14ac:dyDescent="0.25">
      <c r="A3" s="553"/>
      <c r="B3" s="445" t="s">
        <v>3</v>
      </c>
      <c r="C3" s="375" t="s">
        <v>4</v>
      </c>
    </row>
    <row r="4" spans="1:7" ht="14.4" x14ac:dyDescent="0.25">
      <c r="A4" s="553"/>
      <c r="B4" s="445" t="s">
        <v>5</v>
      </c>
      <c r="C4" s="375" t="s">
        <v>6</v>
      </c>
    </row>
    <row r="5" spans="1:7" ht="14.4" x14ac:dyDescent="0.25">
      <c r="A5" s="553"/>
      <c r="B5" s="445" t="s">
        <v>7</v>
      </c>
      <c r="C5" s="375" t="s">
        <v>8</v>
      </c>
    </row>
    <row r="6" spans="1:7" ht="14.4" x14ac:dyDescent="0.3">
      <c r="A6" s="553" t="s">
        <v>9</v>
      </c>
      <c r="B6" s="447" t="s">
        <v>10</v>
      </c>
      <c r="C6" s="376" t="s">
        <v>11</v>
      </c>
      <c r="D6" s="5" t="s">
        <v>12</v>
      </c>
    </row>
    <row r="7" spans="1:7" ht="14.4" x14ac:dyDescent="0.3">
      <c r="A7" s="553"/>
      <c r="B7" s="447" t="s">
        <v>13</v>
      </c>
      <c r="C7" s="376" t="s">
        <v>14</v>
      </c>
      <c r="D7" s="5" t="s">
        <v>12</v>
      </c>
    </row>
    <row r="8" spans="1:7" ht="14.4" x14ac:dyDescent="0.3">
      <c r="A8" s="553"/>
      <c r="B8" s="447" t="s">
        <v>15</v>
      </c>
      <c r="C8" s="376" t="s">
        <v>16</v>
      </c>
      <c r="D8" s="5" t="s">
        <v>12</v>
      </c>
    </row>
    <row r="9" spans="1:7" ht="14.4" x14ac:dyDescent="0.3">
      <c r="A9" s="553"/>
      <c r="C9" s="274"/>
      <c r="D9" s="5" t="s">
        <v>12</v>
      </c>
    </row>
    <row r="10" spans="1:7" ht="14.4" x14ac:dyDescent="0.25">
      <c r="A10" s="553" t="s">
        <v>17</v>
      </c>
      <c r="B10" s="554" t="s">
        <v>18</v>
      </c>
      <c r="C10" s="375" t="s">
        <v>19</v>
      </c>
      <c r="D10" s="449">
        <v>2025</v>
      </c>
      <c r="E10" s="447"/>
      <c r="F10" s="447"/>
      <c r="G10" s="447"/>
    </row>
    <row r="11" spans="1:7" ht="14.4" x14ac:dyDescent="0.25">
      <c r="A11" s="553"/>
      <c r="B11" s="554"/>
      <c r="C11" s="375" t="s">
        <v>20</v>
      </c>
      <c r="D11" s="447" t="s">
        <v>21</v>
      </c>
      <c r="E11" s="447"/>
      <c r="F11" s="447"/>
      <c r="G11" s="447"/>
    </row>
    <row r="12" spans="1:7" ht="14.4" x14ac:dyDescent="0.25">
      <c r="A12" s="553"/>
      <c r="B12" s="445" t="s">
        <v>22</v>
      </c>
      <c r="C12" s="113" t="s">
        <v>23</v>
      </c>
      <c r="D12" s="447" t="s">
        <v>12</v>
      </c>
      <c r="E12" s="447"/>
      <c r="F12" s="447"/>
      <c r="G12" s="447"/>
    </row>
    <row r="13" spans="1:7" ht="14.4" x14ac:dyDescent="0.3">
      <c r="A13" s="553"/>
      <c r="B13" s="447" t="s">
        <v>24</v>
      </c>
      <c r="C13" s="274" t="s">
        <v>25</v>
      </c>
      <c r="D13" s="5" t="s">
        <v>12</v>
      </c>
    </row>
    <row r="14" spans="1:7" ht="14.4" x14ac:dyDescent="0.3">
      <c r="A14" s="553"/>
      <c r="B14" s="5" t="s">
        <v>26</v>
      </c>
      <c r="C14" s="274" t="s">
        <v>27</v>
      </c>
      <c r="D14" s="5" t="s">
        <v>12</v>
      </c>
    </row>
    <row r="15" spans="1:7" ht="14.4" x14ac:dyDescent="0.3">
      <c r="A15" s="553"/>
      <c r="B15" s="5" t="s">
        <v>28</v>
      </c>
      <c r="C15" s="274" t="s">
        <v>29</v>
      </c>
      <c r="D15" s="5" t="s">
        <v>12</v>
      </c>
    </row>
    <row r="16" spans="1:7" x14ac:dyDescent="0.25">
      <c r="A16" s="553"/>
      <c r="B16" s="11"/>
      <c r="C16" s="431"/>
      <c r="D16" s="5" t="s">
        <v>12</v>
      </c>
    </row>
    <row r="17" spans="1:4" ht="14.4" x14ac:dyDescent="0.25">
      <c r="A17" s="553" t="s">
        <v>30</v>
      </c>
      <c r="B17" s="445" t="s">
        <v>31</v>
      </c>
      <c r="C17" s="375" t="s">
        <v>32</v>
      </c>
      <c r="D17" s="5" t="s">
        <v>12</v>
      </c>
    </row>
    <row r="18" spans="1:4" ht="14.4" x14ac:dyDescent="0.25">
      <c r="A18" s="553"/>
      <c r="B18" s="445" t="s">
        <v>33</v>
      </c>
      <c r="C18" s="375" t="s">
        <v>34</v>
      </c>
    </row>
    <row r="19" spans="1:4" ht="14.4" x14ac:dyDescent="0.25">
      <c r="A19" s="553"/>
      <c r="B19" s="445" t="s">
        <v>35</v>
      </c>
      <c r="C19" s="375" t="s">
        <v>32</v>
      </c>
      <c r="D19" s="5" t="s">
        <v>12</v>
      </c>
    </row>
    <row r="20" spans="1:4" ht="14.4" x14ac:dyDescent="0.3">
      <c r="A20" s="553"/>
      <c r="B20" s="450" t="s">
        <v>36</v>
      </c>
      <c r="C20" s="376" t="s">
        <v>37</v>
      </c>
      <c r="D20" s="5" t="s">
        <v>12</v>
      </c>
    </row>
    <row r="21" spans="1:4" ht="14.4" x14ac:dyDescent="0.3">
      <c r="A21" s="553"/>
      <c r="B21" s="447" t="s">
        <v>38</v>
      </c>
      <c r="C21" s="376" t="s">
        <v>39</v>
      </c>
      <c r="D21" s="5" t="s">
        <v>12</v>
      </c>
    </row>
    <row r="22" spans="1:4" ht="14.4" x14ac:dyDescent="0.3">
      <c r="A22" s="553"/>
      <c r="B22" s="447" t="s">
        <v>40</v>
      </c>
      <c r="C22" s="376" t="s">
        <v>41</v>
      </c>
      <c r="D22" s="5" t="s">
        <v>12</v>
      </c>
    </row>
    <row r="23" spans="1:4" ht="14.4" x14ac:dyDescent="0.3">
      <c r="A23" s="553"/>
      <c r="B23" s="5" t="s">
        <v>42</v>
      </c>
      <c r="C23" s="274" t="s">
        <v>43</v>
      </c>
      <c r="D23" s="5" t="s">
        <v>12</v>
      </c>
    </row>
    <row r="24" spans="1:4" ht="14.4" x14ac:dyDescent="0.3">
      <c r="A24" s="553"/>
      <c r="B24" s="5" t="s">
        <v>44</v>
      </c>
      <c r="C24" s="274" t="s">
        <v>45</v>
      </c>
      <c r="D24" s="5" t="s">
        <v>12</v>
      </c>
    </row>
    <row r="25" spans="1:4" ht="14.4" x14ac:dyDescent="0.3">
      <c r="A25" s="553"/>
      <c r="B25" s="5" t="s">
        <v>46</v>
      </c>
      <c r="C25" s="274" t="s">
        <v>47</v>
      </c>
      <c r="D25" s="5" t="s">
        <v>12</v>
      </c>
    </row>
    <row r="26" spans="1:4" ht="26.4" x14ac:dyDescent="0.25">
      <c r="A26" s="553"/>
      <c r="B26" s="451" t="s">
        <v>48</v>
      </c>
      <c r="C26" s="375" t="s">
        <v>49</v>
      </c>
    </row>
    <row r="27" spans="1:4" ht="42.75" customHeight="1" x14ac:dyDescent="0.25">
      <c r="A27" s="553"/>
      <c r="B27" s="12" t="s">
        <v>50</v>
      </c>
      <c r="C27" s="113" t="s">
        <v>51</v>
      </c>
      <c r="D27" s="5" t="s">
        <v>12</v>
      </c>
    </row>
    <row r="28" spans="1:4" ht="12.75" customHeight="1" x14ac:dyDescent="0.25">
      <c r="A28" s="553"/>
      <c r="B28" s="445" t="s">
        <v>52</v>
      </c>
      <c r="C28" s="375" t="s">
        <v>53</v>
      </c>
    </row>
    <row r="29" spans="1:4" ht="12.75" customHeight="1" x14ac:dyDescent="0.25">
      <c r="A29" s="553"/>
      <c r="B29" s="445" t="s">
        <v>54</v>
      </c>
      <c r="C29" s="375" t="s">
        <v>55</v>
      </c>
    </row>
    <row r="30" spans="1:4" ht="12.75" customHeight="1" x14ac:dyDescent="0.25">
      <c r="A30" s="553"/>
      <c r="B30" s="445" t="s">
        <v>56</v>
      </c>
      <c r="C30" s="375" t="s">
        <v>57</v>
      </c>
    </row>
    <row r="31" spans="1:4" ht="12.75" customHeight="1" x14ac:dyDescent="0.3">
      <c r="A31" s="553"/>
      <c r="C31" s="352"/>
    </row>
    <row r="32" spans="1:4" ht="12.75" customHeight="1" x14ac:dyDescent="0.3">
      <c r="A32" s="445"/>
      <c r="C32" s="352"/>
    </row>
    <row r="33" spans="1:4" ht="12.75" customHeight="1" x14ac:dyDescent="0.3">
      <c r="A33" s="445"/>
      <c r="C33" s="352"/>
    </row>
    <row r="34" spans="1:4" x14ac:dyDescent="0.25">
      <c r="C34" s="432"/>
      <c r="D34" s="5" t="s">
        <v>12</v>
      </c>
    </row>
    <row r="35" spans="1:4" ht="18.600000000000001" customHeight="1" x14ac:dyDescent="0.25">
      <c r="A35" s="552" t="s">
        <v>58</v>
      </c>
      <c r="B35" s="552"/>
      <c r="C35" s="552"/>
    </row>
    <row r="36" spans="1:4" x14ac:dyDescent="0.25">
      <c r="C36" s="431"/>
    </row>
    <row r="37" spans="1:4" x14ac:dyDescent="0.25">
      <c r="C37" s="431"/>
    </row>
    <row r="38" spans="1:4" x14ac:dyDescent="0.25">
      <c r="C38" s="431"/>
    </row>
    <row r="39" spans="1:4" x14ac:dyDescent="0.25">
      <c r="C39" s="431"/>
    </row>
    <row r="40" spans="1:4" x14ac:dyDescent="0.25">
      <c r="C40" s="431"/>
    </row>
    <row r="41" spans="1:4" x14ac:dyDescent="0.25">
      <c r="C41" s="431"/>
    </row>
    <row r="42" spans="1:4" x14ac:dyDescent="0.25">
      <c r="C42" s="431"/>
    </row>
    <row r="43" spans="1:4" x14ac:dyDescent="0.25">
      <c r="C43" s="431"/>
    </row>
    <row r="44" spans="1:4" x14ac:dyDescent="0.25">
      <c r="C44" s="431"/>
    </row>
    <row r="45" spans="1:4" x14ac:dyDescent="0.25">
      <c r="C45" s="431"/>
    </row>
    <row r="46" spans="1:4" x14ac:dyDescent="0.25">
      <c r="C46" s="431"/>
    </row>
    <row r="47" spans="1:4" x14ac:dyDescent="0.25">
      <c r="C47" s="431"/>
    </row>
    <row r="48" spans="1:4" ht="19.2" customHeight="1" x14ac:dyDescent="0.25">
      <c r="A48" s="552" t="s">
        <v>59</v>
      </c>
      <c r="B48" s="552"/>
      <c r="C48" s="552"/>
    </row>
    <row r="49" spans="1:3" ht="72.599999999999994" customHeight="1" x14ac:dyDescent="0.25">
      <c r="A49" s="445" t="s">
        <v>60</v>
      </c>
      <c r="B49" s="557" t="s">
        <v>61</v>
      </c>
      <c r="C49" s="558"/>
    </row>
    <row r="50" spans="1:3" x14ac:dyDescent="0.25">
      <c r="A50" s="377" t="s">
        <v>2</v>
      </c>
      <c r="B50" s="378"/>
      <c r="C50" s="379"/>
    </row>
    <row r="51" spans="1:3" ht="14.4" x14ac:dyDescent="0.3">
      <c r="A51" s="380"/>
      <c r="B51" s="381"/>
      <c r="C51" s="382"/>
    </row>
    <row r="52" spans="1:3" x14ac:dyDescent="0.25">
      <c r="A52" s="380"/>
      <c r="B52" s="147"/>
      <c r="C52" s="382"/>
    </row>
    <row r="53" spans="1:3" x14ac:dyDescent="0.25">
      <c r="A53" s="380"/>
      <c r="B53" s="147"/>
      <c r="C53" s="382"/>
    </row>
    <row r="54" spans="1:3" x14ac:dyDescent="0.25">
      <c r="A54" s="380"/>
      <c r="B54" s="147"/>
      <c r="C54" s="382"/>
    </row>
    <row r="55" spans="1:3" x14ac:dyDescent="0.25">
      <c r="A55" s="380"/>
      <c r="B55" s="147"/>
      <c r="C55" s="382"/>
    </row>
    <row r="56" spans="1:3" x14ac:dyDescent="0.25">
      <c r="A56" s="380"/>
      <c r="B56" s="147"/>
      <c r="C56" s="382"/>
    </row>
    <row r="57" spans="1:3" x14ac:dyDescent="0.25">
      <c r="A57" s="380"/>
      <c r="B57" s="147"/>
      <c r="C57" s="382"/>
    </row>
    <row r="58" spans="1:3" x14ac:dyDescent="0.25">
      <c r="A58" s="380"/>
      <c r="B58" s="147"/>
      <c r="C58" s="382"/>
    </row>
    <row r="59" spans="1:3" x14ac:dyDescent="0.25">
      <c r="A59" s="380"/>
      <c r="B59" s="147"/>
      <c r="C59" s="382"/>
    </row>
    <row r="60" spans="1:3" x14ac:dyDescent="0.25">
      <c r="A60" s="380"/>
      <c r="B60" s="147"/>
      <c r="C60" s="382"/>
    </row>
    <row r="61" spans="1:3" x14ac:dyDescent="0.25">
      <c r="A61" s="380"/>
      <c r="B61" s="147"/>
      <c r="C61" s="382"/>
    </row>
    <row r="62" spans="1:3" x14ac:dyDescent="0.25">
      <c r="A62" s="380"/>
      <c r="B62" s="147"/>
      <c r="C62" s="382"/>
    </row>
    <row r="63" spans="1:3" x14ac:dyDescent="0.25">
      <c r="A63" s="452" t="s">
        <v>62</v>
      </c>
      <c r="B63" s="453"/>
      <c r="C63" s="454"/>
    </row>
    <row r="64" spans="1:3" x14ac:dyDescent="0.25">
      <c r="A64" s="452" t="s">
        <v>63</v>
      </c>
      <c r="B64" s="453"/>
      <c r="C64" s="454"/>
    </row>
    <row r="65" spans="1:8" s="147" customFormat="1" x14ac:dyDescent="0.25">
      <c r="A65" s="455"/>
      <c r="B65" s="456"/>
      <c r="C65" s="457"/>
    </row>
    <row r="66" spans="1:8" ht="81.599999999999994" customHeight="1" x14ac:dyDescent="0.25">
      <c r="A66" s="414" t="s">
        <v>64</v>
      </c>
      <c r="B66" s="555" t="s">
        <v>65</v>
      </c>
      <c r="C66" s="555"/>
      <c r="E66" s="414"/>
      <c r="F66" s="7"/>
      <c r="G66" s="7"/>
      <c r="H66" s="7"/>
    </row>
    <row r="67" spans="1:8" ht="14.4" customHeight="1" x14ac:dyDescent="0.25">
      <c r="A67" s="416"/>
      <c r="B67" s="556"/>
      <c r="C67" s="556"/>
      <c r="E67" s="414"/>
      <c r="F67" s="37"/>
      <c r="G67" s="37"/>
      <c r="H67" s="37"/>
    </row>
    <row r="68" spans="1:8" ht="17.399999999999999" customHeight="1" x14ac:dyDescent="0.25">
      <c r="A68" s="416"/>
      <c r="B68" s="556"/>
      <c r="C68" s="556"/>
    </row>
    <row r="69" spans="1:8" ht="16.2" customHeight="1" x14ac:dyDescent="0.25">
      <c r="A69" s="416"/>
      <c r="B69" s="556"/>
      <c r="C69" s="556"/>
    </row>
    <row r="83" spans="2:2" ht="14.4" x14ac:dyDescent="0.3">
      <c r="B83"/>
    </row>
    <row r="102" spans="2:2" x14ac:dyDescent="0.25">
      <c r="B102" s="12"/>
    </row>
  </sheetData>
  <mergeCells count="13">
    <mergeCell ref="B66:C66"/>
    <mergeCell ref="B67:C67"/>
    <mergeCell ref="B68:C68"/>
    <mergeCell ref="B69:C69"/>
    <mergeCell ref="A48:C48"/>
    <mergeCell ref="B49:C49"/>
    <mergeCell ref="A1:C1"/>
    <mergeCell ref="A35:C35"/>
    <mergeCell ref="A10:A16"/>
    <mergeCell ref="A2:A5"/>
    <mergeCell ref="A6:A9"/>
    <mergeCell ref="B10:B11"/>
    <mergeCell ref="A17:A31"/>
  </mergeCells>
  <hyperlinks>
    <hyperlink ref="C23" r:id="rId1" xr:uid="{0D4FBB50-F40B-46FC-A176-D058C9DB135D}"/>
    <hyperlink ref="C24" r:id="rId2" xr:uid="{D484475D-B400-4E96-9505-CCD7FE965875}"/>
    <hyperlink ref="C25" r:id="rId3" xr:uid="{AF920CF1-9F76-42E1-A73A-8C1EB915243B}"/>
    <hyperlink ref="C13" r:id="rId4" xr:uid="{A2C4FC6D-EE96-4198-8D38-FEFAF579976B}"/>
    <hyperlink ref="C15" r:id="rId5" xr:uid="{6DC7B75F-F9C4-4B4B-A7C6-BB63167C8674}"/>
    <hyperlink ref="C14" r:id="rId6" xr:uid="{D6326C34-F87A-45B5-BFF8-66DC95C507FF}"/>
    <hyperlink ref="C27" r:id="rId7" xr:uid="{F63B36D5-02CC-4372-8B66-24650A505249}"/>
    <hyperlink ref="C3" r:id="rId8" xr:uid="{AD70150E-6C17-4CDF-A806-12348A027CB3}"/>
    <hyperlink ref="C4" r:id="rId9" xr:uid="{56C07544-D7EE-4BBE-AEB4-EB9CDFE35197}"/>
    <hyperlink ref="C5" r:id="rId10" xr:uid="{59FF4D60-F72F-445B-B5E2-FCE2D4E9556B}"/>
    <hyperlink ref="C6" r:id="rId11" location="Commercial" display="https://www.energycodes.gov/prototype-building-models - Commercial" xr:uid="{462BD2D8-7381-4740-B5B7-40CDF30C5565}"/>
    <hyperlink ref="C7" r:id="rId12" xr:uid="{0356016E-5DBE-4B3A-88E3-D9FFF3F274BE}"/>
    <hyperlink ref="C8" r:id="rId13" xr:uid="{FDC66255-BE7B-4E59-8270-129B5B7E8369}"/>
    <hyperlink ref="C10" r:id="rId14" xr:uid="{CF349AC3-65A9-4F4F-9221-D0C06D23A031}"/>
    <hyperlink ref="C11" r:id="rId15" xr:uid="{276B8B00-E24E-4B6E-8A1D-D66AB7CC368A}"/>
    <hyperlink ref="C12" r:id="rId16" xr:uid="{B8538ACF-98A5-48DD-B10B-13523ACD2845}"/>
    <hyperlink ref="C17" r:id="rId17" xr:uid="{C7F86B96-59C2-4BC5-B863-F55165CFAC85}"/>
    <hyperlink ref="C18" r:id="rId18" xr:uid="{37BE4FBA-A7A3-4C3E-BADD-1C72DE4FAE51}"/>
    <hyperlink ref="C19" r:id="rId19" xr:uid="{3E64FEFE-C39F-4FE8-98A6-047C4FCBB46A}"/>
    <hyperlink ref="C20" r:id="rId20" xr:uid="{9EDAE3C5-29BA-4094-B3D3-3D1C02BF838A}"/>
    <hyperlink ref="C21" r:id="rId21" xr:uid="{F640A96C-FE9F-4B4F-967B-6E2832379A6B}"/>
    <hyperlink ref="C22" r:id="rId22" xr:uid="{4168E01B-83D0-4F43-9446-BFCF79F49BE2}"/>
    <hyperlink ref="C26" r:id="rId23" xr:uid="{68C89EF6-5C09-4DD1-934D-C269803D078D}"/>
    <hyperlink ref="C28" r:id="rId24" xr:uid="{E7C3A2DD-37D3-43BF-8269-D208CF641561}"/>
    <hyperlink ref="C29" r:id="rId25" xr:uid="{CD748017-84E0-47C8-972C-2CF1720A4CC8}"/>
    <hyperlink ref="C30" r:id="rId26" xr:uid="{E19FA9A9-197D-493D-AF3F-6D4F41C63E03}"/>
  </hyperlinks>
  <pageMargins left="0.7" right="0.7" top="0.75" bottom="0.75" header="0.3" footer="0.3"/>
  <pageSetup orientation="portrait" r:id="rId27"/>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5"/>
  <sheetViews>
    <sheetView tabSelected="1" zoomScale="101" zoomScaleNormal="100" workbookViewId="0">
      <selection sqref="A1:C1"/>
    </sheetView>
  </sheetViews>
  <sheetFormatPr defaultColWidth="9.33203125" defaultRowHeight="13.8" x14ac:dyDescent="0.25"/>
  <cols>
    <col min="1" max="1" width="25" style="3" customWidth="1"/>
    <col min="2" max="2" width="45.33203125" style="3" customWidth="1"/>
    <col min="3" max="3" width="45.6640625" style="3" customWidth="1"/>
    <col min="4" max="4" width="43.6640625" style="3" customWidth="1"/>
    <col min="5" max="5" width="40.6640625" style="3" customWidth="1"/>
    <col min="6" max="7" width="8.6640625" style="3" customWidth="1"/>
    <col min="8" max="8" width="37.109375" style="3" customWidth="1"/>
    <col min="9" max="9" width="8.6640625" style="3" customWidth="1"/>
    <col min="10" max="16384" width="9.33203125" style="3"/>
  </cols>
  <sheetData>
    <row r="1" spans="1:9" ht="17.399999999999999" customHeight="1" x14ac:dyDescent="0.25">
      <c r="A1" s="549" t="s">
        <v>66</v>
      </c>
      <c r="B1" s="549"/>
      <c r="C1" s="549"/>
      <c r="D1" s="13"/>
      <c r="E1" s="13"/>
      <c r="F1" s="13"/>
    </row>
    <row r="2" spans="1:9" ht="25.2" customHeight="1" x14ac:dyDescent="0.25">
      <c r="A2" s="550" t="s">
        <v>60</v>
      </c>
      <c r="B2" s="551"/>
      <c r="C2" s="551"/>
      <c r="D2" s="13"/>
      <c r="E2" s="13"/>
      <c r="F2" s="13"/>
    </row>
    <row r="3" spans="1:9" ht="20.399999999999999" customHeight="1" x14ac:dyDescent="0.25">
      <c r="A3" s="19" t="s">
        <v>67</v>
      </c>
      <c r="B3" s="20" t="s">
        <v>68</v>
      </c>
      <c r="C3" s="21" t="s">
        <v>0</v>
      </c>
    </row>
    <row r="4" spans="1:9" ht="16.2" customHeight="1" x14ac:dyDescent="0.25">
      <c r="A4" s="17" t="s">
        <v>69</v>
      </c>
      <c r="B4" s="423" t="s">
        <v>70</v>
      </c>
      <c r="C4" s="17"/>
    </row>
    <row r="5" spans="1:9" ht="16.2" customHeight="1" x14ac:dyDescent="0.25">
      <c r="A5" s="17" t="s">
        <v>71</v>
      </c>
      <c r="B5" s="423" t="s">
        <v>72</v>
      </c>
      <c r="C5" s="17"/>
    </row>
    <row r="6" spans="1:9" ht="16.2" customHeight="1" x14ac:dyDescent="0.25">
      <c r="A6" s="458" t="s">
        <v>73</v>
      </c>
      <c r="B6" s="459" t="s">
        <v>74</v>
      </c>
      <c r="C6" s="17"/>
    </row>
    <row r="7" spans="1:9" ht="92.25" customHeight="1" x14ac:dyDescent="0.25">
      <c r="A7" s="17" t="s">
        <v>75</v>
      </c>
      <c r="B7" s="422" t="s">
        <v>76</v>
      </c>
      <c r="C7" s="18" t="s">
        <v>77</v>
      </c>
      <c r="D7" s="113"/>
    </row>
    <row r="8" spans="1:9" ht="97.2" customHeight="1" x14ac:dyDescent="0.25">
      <c r="A8" s="17" t="s">
        <v>78</v>
      </c>
      <c r="B8" s="423"/>
      <c r="C8" s="176" t="s">
        <v>79</v>
      </c>
      <c r="D8" s="460"/>
      <c r="I8" s="4"/>
    </row>
    <row r="9" spans="1:9" ht="32.4" customHeight="1" x14ac:dyDescent="0.25">
      <c r="A9" s="14" t="s">
        <v>80</v>
      </c>
      <c r="B9" s="175" t="s">
        <v>81</v>
      </c>
      <c r="C9" s="179" t="s">
        <v>82</v>
      </c>
    </row>
    <row r="10" spans="1:9" ht="21" customHeight="1" x14ac:dyDescent="0.25">
      <c r="A10" s="14" t="s">
        <v>83</v>
      </c>
      <c r="B10" s="112">
        <v>3</v>
      </c>
      <c r="C10" s="177" t="s">
        <v>84</v>
      </c>
    </row>
    <row r="11" spans="1:9" ht="24" customHeight="1" x14ac:dyDescent="0.25">
      <c r="A11" s="15" t="s">
        <v>85</v>
      </c>
      <c r="B11" s="423">
        <v>3</v>
      </c>
      <c r="C11" s="35" t="s">
        <v>86</v>
      </c>
    </row>
    <row r="12" spans="1:9" ht="24" customHeight="1" x14ac:dyDescent="0.25">
      <c r="A12" s="461" t="s">
        <v>87</v>
      </c>
      <c r="B12" s="462" t="s">
        <v>88</v>
      </c>
      <c r="C12" s="35"/>
    </row>
    <row r="13" spans="1:9" ht="24.75" customHeight="1" x14ac:dyDescent="0.25">
      <c r="A13" s="15" t="s">
        <v>89</v>
      </c>
      <c r="B13" s="423" t="s">
        <v>90</v>
      </c>
      <c r="C13" s="116" t="s">
        <v>91</v>
      </c>
    </row>
    <row r="14" spans="1:9" ht="44.7" customHeight="1" x14ac:dyDescent="0.25">
      <c r="A14" s="15" t="s">
        <v>92</v>
      </c>
      <c r="B14" s="422" t="s">
        <v>93</v>
      </c>
      <c r="C14" s="18"/>
    </row>
    <row r="15" spans="1:9" ht="14.7" customHeight="1" x14ac:dyDescent="0.25">
      <c r="A15" s="14" t="s">
        <v>94</v>
      </c>
      <c r="B15" s="16" t="s">
        <v>95</v>
      </c>
      <c r="C15" s="17"/>
    </row>
    <row r="16" spans="1:9" ht="26.4" x14ac:dyDescent="0.25">
      <c r="A16" s="14" t="s">
        <v>96</v>
      </c>
      <c r="B16" s="422" t="s">
        <v>97</v>
      </c>
      <c r="C16" s="18" t="s">
        <v>98</v>
      </c>
    </row>
    <row r="17" spans="1:5" ht="26.4" x14ac:dyDescent="0.25">
      <c r="A17" s="14" t="s">
        <v>99</v>
      </c>
      <c r="B17" s="423" t="s">
        <v>100</v>
      </c>
      <c r="C17" s="18" t="s">
        <v>98</v>
      </c>
    </row>
    <row r="18" spans="1:5" x14ac:dyDescent="0.25">
      <c r="A18" s="14" t="s">
        <v>101</v>
      </c>
      <c r="B18" s="422" t="s">
        <v>102</v>
      </c>
      <c r="C18" s="17" t="s">
        <v>84</v>
      </c>
    </row>
    <row r="20" spans="1:5" ht="14.4" x14ac:dyDescent="0.25">
      <c r="A20" s="345"/>
      <c r="B20" s="345"/>
      <c r="C20" s="345"/>
      <c r="D20" s="345"/>
      <c r="E20" s="345"/>
    </row>
    <row r="21" spans="1:5" ht="14.4" x14ac:dyDescent="0.25">
      <c r="A21" s="346"/>
      <c r="B21" s="346"/>
      <c r="C21" s="346"/>
      <c r="D21" s="346"/>
      <c r="E21" s="346"/>
    </row>
    <row r="22" spans="1:5" ht="87.75" customHeight="1" x14ac:dyDescent="0.25">
      <c r="A22" s="345"/>
      <c r="B22" s="345"/>
      <c r="C22" s="345"/>
      <c r="D22" s="345"/>
      <c r="E22" s="345"/>
    </row>
    <row r="23" spans="1:5" ht="47.25" customHeight="1" x14ac:dyDescent="0.25">
      <c r="A23" s="345"/>
      <c r="B23" s="345"/>
      <c r="C23" s="345"/>
      <c r="D23" s="345"/>
      <c r="E23" s="345"/>
    </row>
    <row r="26" spans="1:5" ht="16.95" customHeight="1" x14ac:dyDescent="0.25">
      <c r="A26" s="342"/>
    </row>
    <row r="27" spans="1:5" ht="14.7" customHeight="1" x14ac:dyDescent="0.25">
      <c r="A27" s="548"/>
      <c r="B27" s="548"/>
      <c r="C27" s="4"/>
    </row>
    <row r="28" spans="1:5" ht="18" customHeight="1" x14ac:dyDescent="0.25">
      <c r="A28" s="548"/>
      <c r="B28" s="548"/>
      <c r="C28" s="7"/>
    </row>
    <row r="29" spans="1:5" ht="14.7" customHeight="1" x14ac:dyDescent="0.25"/>
    <row r="30" spans="1:5" ht="14.7" customHeight="1" x14ac:dyDescent="0.25"/>
    <row r="31" spans="1:5" ht="14.7" customHeight="1" x14ac:dyDescent="0.25"/>
    <row r="34" ht="14.7" customHeight="1" x14ac:dyDescent="0.25"/>
    <row r="35" ht="14.7" customHeight="1" x14ac:dyDescent="0.25"/>
  </sheetData>
  <mergeCells count="4">
    <mergeCell ref="A28:B28"/>
    <mergeCell ref="A27:B27"/>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R84"/>
  <sheetViews>
    <sheetView zoomScale="85" zoomScaleNormal="85" workbookViewId="0">
      <selection sqref="A1:M1"/>
    </sheetView>
  </sheetViews>
  <sheetFormatPr defaultColWidth="8.6640625" defaultRowHeight="13.2" x14ac:dyDescent="0.25"/>
  <cols>
    <col min="1" max="1" width="19.44140625" style="5" customWidth="1"/>
    <col min="2" max="2" width="34.6640625" style="5" customWidth="1"/>
    <col min="3" max="3" width="49.88671875" style="5" customWidth="1"/>
    <col min="4" max="4" width="26.33203125" style="5" customWidth="1"/>
    <col min="5" max="5" width="24.109375" style="5" customWidth="1"/>
    <col min="6" max="6" width="18.88671875" style="5" customWidth="1"/>
    <col min="7" max="7" width="12.6640625" style="5" customWidth="1"/>
    <col min="8" max="8" width="10.6640625" style="5" customWidth="1"/>
    <col min="9" max="10" width="11.33203125" style="5" customWidth="1"/>
    <col min="11" max="11" width="21.5546875" style="5" customWidth="1"/>
    <col min="12" max="12" width="39.44140625" style="5" customWidth="1"/>
    <col min="13" max="13" width="40.33203125" style="5" customWidth="1"/>
    <col min="14" max="14" width="22.33203125" style="5" bestFit="1" customWidth="1"/>
    <col min="15" max="16" width="16" style="5" customWidth="1"/>
    <col min="17" max="17" width="13.33203125" style="5" customWidth="1"/>
    <col min="18" max="18" width="16.33203125" style="5" customWidth="1"/>
    <col min="19" max="19" width="12.44140625" style="5" customWidth="1"/>
    <col min="20" max="24" width="17.33203125" style="5" customWidth="1"/>
    <col min="25" max="16384" width="8.6640625" style="5"/>
  </cols>
  <sheetData>
    <row r="1" spans="1:18" ht="25.95" customHeight="1" x14ac:dyDescent="0.35">
      <c r="A1" s="552" t="s">
        <v>103</v>
      </c>
      <c r="B1" s="552"/>
      <c r="C1" s="552"/>
      <c r="D1" s="552"/>
      <c r="E1" s="552"/>
      <c r="F1" s="552"/>
      <c r="G1" s="552"/>
      <c r="H1" s="552"/>
      <c r="I1" s="552"/>
      <c r="J1" s="552"/>
      <c r="K1" s="552"/>
      <c r="L1" s="552"/>
      <c r="M1" s="552"/>
      <c r="Q1" s="383" t="s">
        <v>104</v>
      </c>
      <c r="R1" s="384"/>
    </row>
    <row r="2" spans="1:18" ht="39.6" x14ac:dyDescent="0.3">
      <c r="A2" s="463" t="s">
        <v>105</v>
      </c>
      <c r="B2" s="387" t="s">
        <v>106</v>
      </c>
      <c r="C2" s="374" t="s">
        <v>107</v>
      </c>
      <c r="D2" s="21" t="s">
        <v>108</v>
      </c>
      <c r="E2" s="21" t="s">
        <v>109</v>
      </c>
      <c r="F2" s="33" t="s">
        <v>110</v>
      </c>
      <c r="G2" s="34" t="s">
        <v>111</v>
      </c>
      <c r="H2" s="34" t="s">
        <v>112</v>
      </c>
      <c r="I2" s="33" t="s">
        <v>113</v>
      </c>
      <c r="J2" s="33" t="s">
        <v>114</v>
      </c>
      <c r="K2" s="33" t="s">
        <v>115</v>
      </c>
      <c r="L2" s="33" t="s">
        <v>116</v>
      </c>
      <c r="M2" s="33" t="s">
        <v>59</v>
      </c>
      <c r="N2" s="1"/>
    </row>
    <row r="3" spans="1:18" ht="15.6" customHeight="1" x14ac:dyDescent="0.25">
      <c r="A3" s="464" t="s">
        <v>60</v>
      </c>
      <c r="B3" s="388" t="s">
        <v>117</v>
      </c>
      <c r="C3" s="233" t="s">
        <v>118</v>
      </c>
      <c r="D3" s="233" t="s">
        <v>119</v>
      </c>
      <c r="E3" s="267" t="s">
        <v>120</v>
      </c>
      <c r="F3" s="22" t="s">
        <v>121</v>
      </c>
      <c r="G3" s="234">
        <f t="shared" ref="G3:G33" si="0">H3/$H$51</f>
        <v>5.4998656055419259E-2</v>
      </c>
      <c r="H3" s="117">
        <v>1782.21</v>
      </c>
      <c r="I3" s="134">
        <v>19605.240000000002</v>
      </c>
      <c r="J3" s="118">
        <v>1</v>
      </c>
      <c r="K3" s="22">
        <f>(H3/1000)*L3</f>
        <v>8.9110499999999995</v>
      </c>
      <c r="L3" s="117">
        <v>5</v>
      </c>
      <c r="M3" s="36"/>
    </row>
    <row r="4" spans="1:18" ht="15.6" customHeight="1" x14ac:dyDescent="0.25">
      <c r="A4" s="464" t="s">
        <v>60</v>
      </c>
      <c r="B4" s="388" t="s">
        <v>122</v>
      </c>
      <c r="C4" s="233" t="s">
        <v>118</v>
      </c>
      <c r="D4" s="233" t="s">
        <v>123</v>
      </c>
      <c r="E4" s="267" t="s">
        <v>120</v>
      </c>
      <c r="F4" s="22" t="s">
        <v>121</v>
      </c>
      <c r="G4" s="234">
        <f t="shared" si="0"/>
        <v>4.6664965262658599E-2</v>
      </c>
      <c r="H4" s="117">
        <v>1512.16</v>
      </c>
      <c r="I4" s="134">
        <v>13610.11</v>
      </c>
      <c r="J4" s="118">
        <v>1</v>
      </c>
      <c r="K4" s="22">
        <f t="shared" ref="K4:K50" si="1">(H4/1000)*L4</f>
        <v>7.5608000000000004</v>
      </c>
      <c r="L4" s="117">
        <v>5</v>
      </c>
      <c r="M4" s="36"/>
    </row>
    <row r="5" spans="1:18" ht="15.6" customHeight="1" x14ac:dyDescent="0.25">
      <c r="A5" s="464" t="s">
        <v>60</v>
      </c>
      <c r="B5" s="388" t="s">
        <v>124</v>
      </c>
      <c r="C5" s="233" t="s">
        <v>118</v>
      </c>
      <c r="D5" s="233" t="s">
        <v>125</v>
      </c>
      <c r="E5" s="267" t="s">
        <v>120</v>
      </c>
      <c r="F5" s="22" t="s">
        <v>121</v>
      </c>
      <c r="G5" s="234">
        <f t="shared" si="0"/>
        <v>4.6664965262658599E-2</v>
      </c>
      <c r="H5" s="117">
        <v>1512.16</v>
      </c>
      <c r="I5" s="145">
        <v>13610.11</v>
      </c>
      <c r="J5" s="118">
        <v>1</v>
      </c>
      <c r="K5" s="22">
        <f t="shared" si="1"/>
        <v>7.5608000000000004</v>
      </c>
      <c r="L5" s="117">
        <v>5</v>
      </c>
      <c r="M5" s="36"/>
    </row>
    <row r="6" spans="1:18" ht="15.6" customHeight="1" x14ac:dyDescent="0.25">
      <c r="A6" s="464" t="s">
        <v>60</v>
      </c>
      <c r="B6" s="233" t="s">
        <v>934</v>
      </c>
      <c r="C6" s="233" t="s">
        <v>130</v>
      </c>
      <c r="D6" s="233" t="s">
        <v>119</v>
      </c>
      <c r="E6" s="267" t="s">
        <v>120</v>
      </c>
      <c r="F6" s="22" t="s">
        <v>121</v>
      </c>
      <c r="G6" s="234">
        <f ca="1">H6/$G$51</f>
        <v>0</v>
      </c>
      <c r="H6" s="117">
        <v>351.03</v>
      </c>
      <c r="I6" s="134">
        <v>3861.57</v>
      </c>
      <c r="J6" s="118">
        <v>1</v>
      </c>
      <c r="K6" s="22">
        <f>(H6/1000)*L6</f>
        <v>11.583989999999998</v>
      </c>
      <c r="L6" s="118">
        <v>33</v>
      </c>
      <c r="M6" s="36"/>
    </row>
    <row r="7" spans="1:18" ht="15.6" customHeight="1" x14ac:dyDescent="0.25">
      <c r="A7" s="464" t="s">
        <v>60</v>
      </c>
      <c r="B7" s="388" t="s">
        <v>126</v>
      </c>
      <c r="C7" s="233" t="s">
        <v>127</v>
      </c>
      <c r="D7" s="233" t="s">
        <v>119</v>
      </c>
      <c r="E7" s="267" t="s">
        <v>128</v>
      </c>
      <c r="F7" s="22" t="s">
        <v>121</v>
      </c>
      <c r="G7" s="234">
        <f t="shared" si="0"/>
        <v>1.0832717937355204E-2</v>
      </c>
      <c r="H7" s="117">
        <v>351.03</v>
      </c>
      <c r="I7" s="134">
        <v>3861.57</v>
      </c>
      <c r="J7" s="118">
        <v>1</v>
      </c>
      <c r="K7" s="22">
        <f t="shared" si="1"/>
        <v>3.5102999999999995</v>
      </c>
      <c r="L7" s="118">
        <v>10</v>
      </c>
      <c r="M7" s="36"/>
    </row>
    <row r="8" spans="1:18" ht="105.6" x14ac:dyDescent="0.25">
      <c r="A8" s="464" t="s">
        <v>60</v>
      </c>
      <c r="B8" s="388" t="s">
        <v>129</v>
      </c>
      <c r="C8" s="233" t="s">
        <v>130</v>
      </c>
      <c r="D8" s="233" t="s">
        <v>119</v>
      </c>
      <c r="E8" s="267" t="s">
        <v>120</v>
      </c>
      <c r="F8" s="22" t="s">
        <v>121</v>
      </c>
      <c r="G8" s="234">
        <f t="shared" si="0"/>
        <v>5.4168218657777378E-2</v>
      </c>
      <c r="H8" s="117">
        <v>1755.3</v>
      </c>
      <c r="I8" s="134">
        <v>19309.259999999998</v>
      </c>
      <c r="J8" s="118">
        <v>1</v>
      </c>
      <c r="K8" s="22">
        <f>(H8/1000)*L8</f>
        <v>26.329499999999999</v>
      </c>
      <c r="L8" s="465">
        <v>15</v>
      </c>
      <c r="M8" s="466" t="s">
        <v>131</v>
      </c>
    </row>
    <row r="9" spans="1:18" ht="15.6" customHeight="1" x14ac:dyDescent="0.25">
      <c r="A9" s="464" t="s">
        <v>60</v>
      </c>
      <c r="B9" s="388" t="s">
        <v>132</v>
      </c>
      <c r="C9" s="233" t="s">
        <v>133</v>
      </c>
      <c r="D9" s="233" t="s">
        <v>119</v>
      </c>
      <c r="E9" s="267" t="s">
        <v>134</v>
      </c>
      <c r="F9" s="22" t="s">
        <v>121</v>
      </c>
      <c r="G9" s="234">
        <f t="shared" si="0"/>
        <v>4.3331488945554331E-2</v>
      </c>
      <c r="H9" s="117">
        <v>1404.1399999999999</v>
      </c>
      <c r="I9" s="134">
        <v>15446.26</v>
      </c>
      <c r="J9" s="118">
        <v>1</v>
      </c>
      <c r="K9" s="22">
        <f t="shared" si="1"/>
        <v>7.0206999999999997</v>
      </c>
      <c r="L9" s="118">
        <v>5</v>
      </c>
      <c r="M9" s="36"/>
    </row>
    <row r="10" spans="1:18" ht="15.6" customHeight="1" x14ac:dyDescent="0.25">
      <c r="A10" s="464" t="s">
        <v>60</v>
      </c>
      <c r="B10" s="388" t="s">
        <v>135</v>
      </c>
      <c r="C10" s="233" t="s">
        <v>136</v>
      </c>
      <c r="D10" s="233" t="s">
        <v>119</v>
      </c>
      <c r="E10" s="802" t="s">
        <v>927</v>
      </c>
      <c r="F10" s="803" t="s">
        <v>121</v>
      </c>
      <c r="G10" s="804">
        <f t="shared" si="0"/>
        <v>6.6663354380750127E-3</v>
      </c>
      <c r="H10" s="117">
        <v>216.02</v>
      </c>
      <c r="I10" s="805">
        <v>2376.35</v>
      </c>
      <c r="J10" s="806">
        <v>1</v>
      </c>
      <c r="K10" s="807">
        <f t="shared" si="1"/>
        <v>0</v>
      </c>
      <c r="L10" s="806">
        <v>0</v>
      </c>
      <c r="M10" s="808"/>
      <c r="P10" s="385" t="s">
        <v>137</v>
      </c>
    </row>
    <row r="11" spans="1:18" ht="15.6" customHeight="1" x14ac:dyDescent="0.25">
      <c r="A11" s="464" t="s">
        <v>60</v>
      </c>
      <c r="B11" s="388" t="s">
        <v>138</v>
      </c>
      <c r="C11" s="233" t="s">
        <v>136</v>
      </c>
      <c r="D11" s="233" t="s">
        <v>123</v>
      </c>
      <c r="E11" s="802" t="s">
        <v>927</v>
      </c>
      <c r="F11" s="803" t="s">
        <v>121</v>
      </c>
      <c r="G11" s="804">
        <f t="shared" si="0"/>
        <v>6.6663354380750127E-3</v>
      </c>
      <c r="H11" s="117">
        <v>216.02</v>
      </c>
      <c r="I11" s="805">
        <v>1944.29</v>
      </c>
      <c r="J11" s="806">
        <v>1</v>
      </c>
      <c r="K11" s="807">
        <f t="shared" si="1"/>
        <v>0</v>
      </c>
      <c r="L11" s="806">
        <v>0</v>
      </c>
      <c r="M11" s="808"/>
    </row>
    <row r="12" spans="1:18" ht="15.6" customHeight="1" x14ac:dyDescent="0.25">
      <c r="A12" s="464" t="s">
        <v>60</v>
      </c>
      <c r="B12" s="388" t="s">
        <v>139</v>
      </c>
      <c r="C12" s="233" t="s">
        <v>136</v>
      </c>
      <c r="D12" s="233" t="s">
        <v>125</v>
      </c>
      <c r="E12" s="802" t="s">
        <v>927</v>
      </c>
      <c r="F12" s="803" t="s">
        <v>121</v>
      </c>
      <c r="G12" s="804">
        <f t="shared" si="0"/>
        <v>6.6663354380750127E-3</v>
      </c>
      <c r="H12" s="117">
        <v>216.02</v>
      </c>
      <c r="I12" s="809">
        <v>1944.29</v>
      </c>
      <c r="J12" s="806">
        <v>1</v>
      </c>
      <c r="K12" s="807">
        <f t="shared" si="1"/>
        <v>0</v>
      </c>
      <c r="L12" s="806">
        <v>0</v>
      </c>
      <c r="M12" s="808"/>
    </row>
    <row r="13" spans="1:18" ht="15.6" customHeight="1" x14ac:dyDescent="0.25">
      <c r="A13" s="464" t="s">
        <v>60</v>
      </c>
      <c r="B13" s="388" t="s">
        <v>140</v>
      </c>
      <c r="C13" s="233" t="s">
        <v>141</v>
      </c>
      <c r="D13" s="233" t="s">
        <v>119</v>
      </c>
      <c r="E13" s="802" t="s">
        <v>128</v>
      </c>
      <c r="F13" s="803" t="s">
        <v>121</v>
      </c>
      <c r="G13" s="804">
        <f t="shared" si="0"/>
        <v>4.1663824992801933E-3</v>
      </c>
      <c r="H13" s="117">
        <v>135.01</v>
      </c>
      <c r="I13" s="805">
        <v>1485.22</v>
      </c>
      <c r="J13" s="806">
        <v>1</v>
      </c>
      <c r="K13" s="807">
        <f t="shared" si="1"/>
        <v>0.27001999999999998</v>
      </c>
      <c r="L13" s="806">
        <v>2</v>
      </c>
      <c r="M13" s="808"/>
    </row>
    <row r="14" spans="1:18" ht="15.6" customHeight="1" x14ac:dyDescent="0.25">
      <c r="A14" s="464" t="s">
        <v>60</v>
      </c>
      <c r="B14" s="388" t="s">
        <v>142</v>
      </c>
      <c r="C14" s="233" t="s">
        <v>141</v>
      </c>
      <c r="D14" s="233" t="s">
        <v>123</v>
      </c>
      <c r="E14" s="802" t="s">
        <v>128</v>
      </c>
      <c r="F14" s="803" t="s">
        <v>121</v>
      </c>
      <c r="G14" s="804">
        <f t="shared" si="0"/>
        <v>4.1663824992801933E-3</v>
      </c>
      <c r="H14" s="117">
        <v>135.01</v>
      </c>
      <c r="I14" s="805">
        <v>1215.18</v>
      </c>
      <c r="J14" s="806">
        <v>1</v>
      </c>
      <c r="K14" s="803">
        <f t="shared" si="1"/>
        <v>0.27001999999999998</v>
      </c>
      <c r="L14" s="806">
        <v>2</v>
      </c>
      <c r="M14" s="808"/>
      <c r="N14" s="386"/>
    </row>
    <row r="15" spans="1:18" ht="15.6" customHeight="1" x14ac:dyDescent="0.25">
      <c r="A15" s="464" t="s">
        <v>60</v>
      </c>
      <c r="B15" s="388" t="s">
        <v>143</v>
      </c>
      <c r="C15" s="233" t="s">
        <v>141</v>
      </c>
      <c r="D15" s="233" t="s">
        <v>125</v>
      </c>
      <c r="E15" s="802" t="s">
        <v>128</v>
      </c>
      <c r="F15" s="803" t="s">
        <v>121</v>
      </c>
      <c r="G15" s="804">
        <f t="shared" si="0"/>
        <v>4.1663824992801933E-3</v>
      </c>
      <c r="H15" s="117">
        <v>135.01</v>
      </c>
      <c r="I15" s="809">
        <v>1215.18</v>
      </c>
      <c r="J15" s="806">
        <v>1</v>
      </c>
      <c r="K15" s="803">
        <f t="shared" si="1"/>
        <v>0.27001999999999998</v>
      </c>
      <c r="L15" s="806">
        <v>2</v>
      </c>
      <c r="M15" s="808"/>
      <c r="N15" s="386"/>
    </row>
    <row r="16" spans="1:18" ht="15.6" customHeight="1" x14ac:dyDescent="0.25">
      <c r="A16" s="464" t="s">
        <v>60</v>
      </c>
      <c r="B16" s="388" t="s">
        <v>144</v>
      </c>
      <c r="C16" s="233" t="s">
        <v>145</v>
      </c>
      <c r="D16" s="233" t="s">
        <v>146</v>
      </c>
      <c r="E16" s="802" t="s">
        <v>147</v>
      </c>
      <c r="F16" s="803" t="s">
        <v>121</v>
      </c>
      <c r="G16" s="804">
        <f t="shared" si="0"/>
        <v>1.0833643731555476E-2</v>
      </c>
      <c r="H16" s="117">
        <v>351.06</v>
      </c>
      <c r="I16" s="805">
        <v>3861.85</v>
      </c>
      <c r="J16" s="806">
        <v>1</v>
      </c>
      <c r="K16" s="803">
        <f t="shared" si="1"/>
        <v>1.05318</v>
      </c>
      <c r="L16" s="806">
        <v>3</v>
      </c>
      <c r="M16" s="808"/>
    </row>
    <row r="17" spans="1:17" ht="15.6" customHeight="1" x14ac:dyDescent="0.25">
      <c r="A17" s="464" t="s">
        <v>60</v>
      </c>
      <c r="B17" s="388" t="s">
        <v>148</v>
      </c>
      <c r="C17" s="233" t="s">
        <v>145</v>
      </c>
      <c r="D17" s="233" t="s">
        <v>149</v>
      </c>
      <c r="E17" s="802" t="s">
        <v>147</v>
      </c>
      <c r="F17" s="803" t="s">
        <v>121</v>
      </c>
      <c r="G17" s="804">
        <f t="shared" si="0"/>
        <v>1.0833643731555476E-2</v>
      </c>
      <c r="H17" s="117">
        <v>351.06</v>
      </c>
      <c r="I17" s="805">
        <v>3861.85</v>
      </c>
      <c r="J17" s="806">
        <v>1</v>
      </c>
      <c r="K17" s="803">
        <f t="shared" si="1"/>
        <v>1.05318</v>
      </c>
      <c r="L17" s="806">
        <v>3</v>
      </c>
      <c r="M17" s="808"/>
    </row>
    <row r="18" spans="1:17" ht="15.6" customHeight="1" x14ac:dyDescent="0.25">
      <c r="A18" s="464" t="s">
        <v>60</v>
      </c>
      <c r="B18" s="388" t="s">
        <v>150</v>
      </c>
      <c r="C18" s="233" t="s">
        <v>145</v>
      </c>
      <c r="D18" s="233" t="s">
        <v>151</v>
      </c>
      <c r="E18" s="802" t="s">
        <v>147</v>
      </c>
      <c r="F18" s="803" t="s">
        <v>121</v>
      </c>
      <c r="G18" s="804">
        <f t="shared" si="0"/>
        <v>1.0833643731555476E-2</v>
      </c>
      <c r="H18" s="117">
        <v>351.06</v>
      </c>
      <c r="I18" s="805">
        <v>3861.85</v>
      </c>
      <c r="J18" s="806">
        <v>1</v>
      </c>
      <c r="K18" s="803">
        <f t="shared" si="1"/>
        <v>1.05318</v>
      </c>
      <c r="L18" s="806">
        <v>3</v>
      </c>
      <c r="M18" s="808"/>
    </row>
    <row r="19" spans="1:17" ht="15.6" customHeight="1" x14ac:dyDescent="0.25">
      <c r="A19" s="464" t="s">
        <v>60</v>
      </c>
      <c r="B19" s="388" t="s">
        <v>152</v>
      </c>
      <c r="C19" s="233" t="s">
        <v>145</v>
      </c>
      <c r="D19" s="233" t="s">
        <v>153</v>
      </c>
      <c r="E19" s="802" t="s">
        <v>147</v>
      </c>
      <c r="F19" s="803" t="s">
        <v>121</v>
      </c>
      <c r="G19" s="804">
        <f t="shared" si="0"/>
        <v>1.0832717937355204E-2</v>
      </c>
      <c r="H19" s="117">
        <v>351.03</v>
      </c>
      <c r="I19" s="805">
        <v>3861.57</v>
      </c>
      <c r="J19" s="806">
        <v>1</v>
      </c>
      <c r="K19" s="803">
        <f t="shared" si="1"/>
        <v>1.0530899999999999</v>
      </c>
      <c r="L19" s="806">
        <v>3</v>
      </c>
      <c r="M19" s="808"/>
    </row>
    <row r="20" spans="1:17" ht="15.6" customHeight="1" x14ac:dyDescent="0.25">
      <c r="A20" s="464" t="s">
        <v>60</v>
      </c>
      <c r="B20" s="388" t="s">
        <v>154</v>
      </c>
      <c r="C20" s="233" t="s">
        <v>145</v>
      </c>
      <c r="D20" s="233" t="s">
        <v>155</v>
      </c>
      <c r="E20" s="802" t="s">
        <v>147</v>
      </c>
      <c r="F20" s="803" t="s">
        <v>121</v>
      </c>
      <c r="G20" s="804">
        <f t="shared" si="0"/>
        <v>1.0832717937355204E-2</v>
      </c>
      <c r="H20" s="117">
        <v>351.03</v>
      </c>
      <c r="I20" s="805">
        <v>3861.57</v>
      </c>
      <c r="J20" s="806">
        <v>1</v>
      </c>
      <c r="K20" s="803">
        <f t="shared" si="1"/>
        <v>1.0530899999999999</v>
      </c>
      <c r="L20" s="806">
        <v>3</v>
      </c>
      <c r="M20" s="808"/>
    </row>
    <row r="21" spans="1:17" ht="15.6" customHeight="1" x14ac:dyDescent="0.25">
      <c r="A21" s="464" t="s">
        <v>60</v>
      </c>
      <c r="B21" s="388" t="s">
        <v>156</v>
      </c>
      <c r="C21" s="233" t="s">
        <v>145</v>
      </c>
      <c r="D21" s="233" t="s">
        <v>157</v>
      </c>
      <c r="E21" s="802" t="s">
        <v>147</v>
      </c>
      <c r="F21" s="803" t="s">
        <v>121</v>
      </c>
      <c r="G21" s="804">
        <f t="shared" si="0"/>
        <v>1.0833643731555476E-2</v>
      </c>
      <c r="H21" s="117">
        <v>351.06</v>
      </c>
      <c r="I21" s="805">
        <v>3159.7</v>
      </c>
      <c r="J21" s="806">
        <v>1</v>
      </c>
      <c r="K21" s="803">
        <f t="shared" si="1"/>
        <v>1.05318</v>
      </c>
      <c r="L21" s="806">
        <v>3</v>
      </c>
      <c r="M21" s="808"/>
    </row>
    <row r="22" spans="1:17" ht="15.6" customHeight="1" x14ac:dyDescent="0.25">
      <c r="A22" s="464" t="s">
        <v>60</v>
      </c>
      <c r="B22" s="388" t="s">
        <v>158</v>
      </c>
      <c r="C22" s="233" t="s">
        <v>145</v>
      </c>
      <c r="D22" s="233" t="s">
        <v>159</v>
      </c>
      <c r="E22" s="802" t="s">
        <v>147</v>
      </c>
      <c r="F22" s="803" t="s">
        <v>121</v>
      </c>
      <c r="G22" s="804">
        <f t="shared" si="0"/>
        <v>4.3334574926221905E-2</v>
      </c>
      <c r="H22" s="117">
        <v>1404.24</v>
      </c>
      <c r="I22" s="805">
        <v>12638.78</v>
      </c>
      <c r="J22" s="806">
        <v>1</v>
      </c>
      <c r="K22" s="803">
        <f t="shared" si="1"/>
        <v>4.21272</v>
      </c>
      <c r="L22" s="806">
        <v>3</v>
      </c>
      <c r="M22" s="808"/>
    </row>
    <row r="23" spans="1:17" ht="15.6" customHeight="1" x14ac:dyDescent="0.25">
      <c r="A23" s="464" t="s">
        <v>60</v>
      </c>
      <c r="B23" s="388" t="s">
        <v>160</v>
      </c>
      <c r="C23" s="233" t="s">
        <v>145</v>
      </c>
      <c r="D23" s="233" t="s">
        <v>161</v>
      </c>
      <c r="E23" s="802" t="s">
        <v>147</v>
      </c>
      <c r="F23" s="803" t="s">
        <v>121</v>
      </c>
      <c r="G23" s="804">
        <f t="shared" si="0"/>
        <v>3.5001192731528005E-2</v>
      </c>
      <c r="H23" s="117">
        <v>1134.2</v>
      </c>
      <c r="I23" s="805">
        <v>10208.299999999999</v>
      </c>
      <c r="J23" s="806">
        <v>1</v>
      </c>
      <c r="K23" s="803">
        <f t="shared" si="1"/>
        <v>3.4026000000000005</v>
      </c>
      <c r="L23" s="806">
        <v>3</v>
      </c>
      <c r="M23" s="808"/>
    </row>
    <row r="24" spans="1:17" ht="15.6" customHeight="1" x14ac:dyDescent="0.25">
      <c r="A24" s="464" t="s">
        <v>60</v>
      </c>
      <c r="B24" s="388" t="s">
        <v>162</v>
      </c>
      <c r="C24" s="233" t="s">
        <v>145</v>
      </c>
      <c r="D24" s="233" t="s">
        <v>163</v>
      </c>
      <c r="E24" s="802" t="s">
        <v>147</v>
      </c>
      <c r="F24" s="803" t="s">
        <v>121</v>
      </c>
      <c r="G24" s="804">
        <f t="shared" si="0"/>
        <v>4.3334574926221905E-2</v>
      </c>
      <c r="H24" s="117">
        <v>1404.24</v>
      </c>
      <c r="I24" s="805">
        <v>12638.78</v>
      </c>
      <c r="J24" s="806">
        <v>1</v>
      </c>
      <c r="K24" s="803">
        <f t="shared" si="1"/>
        <v>4.21272</v>
      </c>
      <c r="L24" s="806">
        <v>3</v>
      </c>
      <c r="M24" s="808"/>
    </row>
    <row r="25" spans="1:17" ht="15.6" customHeight="1" x14ac:dyDescent="0.25">
      <c r="A25" s="464" t="s">
        <v>60</v>
      </c>
      <c r="B25" s="388" t="s">
        <v>164</v>
      </c>
      <c r="C25" s="233" t="s">
        <v>145</v>
      </c>
      <c r="D25" s="233" t="s">
        <v>165</v>
      </c>
      <c r="E25" s="802" t="s">
        <v>147</v>
      </c>
      <c r="F25" s="803" t="s">
        <v>121</v>
      </c>
      <c r="G25" s="804">
        <f t="shared" si="0"/>
        <v>1.0833643731555476E-2</v>
      </c>
      <c r="H25" s="117">
        <v>351.06</v>
      </c>
      <c r="I25" s="805">
        <v>3159.7</v>
      </c>
      <c r="J25" s="806">
        <v>1</v>
      </c>
      <c r="K25" s="803">
        <f t="shared" si="1"/>
        <v>1.05318</v>
      </c>
      <c r="L25" s="806">
        <v>3</v>
      </c>
      <c r="M25" s="808"/>
      <c r="P25" s="385" t="s">
        <v>166</v>
      </c>
    </row>
    <row r="26" spans="1:17" ht="15.6" customHeight="1" x14ac:dyDescent="0.25">
      <c r="A26" s="464" t="s">
        <v>60</v>
      </c>
      <c r="B26" s="388" t="s">
        <v>167</v>
      </c>
      <c r="C26" s="233" t="s">
        <v>145</v>
      </c>
      <c r="D26" s="233" t="s">
        <v>168</v>
      </c>
      <c r="E26" s="802" t="s">
        <v>147</v>
      </c>
      <c r="F26" s="803" t="s">
        <v>121</v>
      </c>
      <c r="G26" s="804">
        <f t="shared" si="0"/>
        <v>1.0832717937355204E-2</v>
      </c>
      <c r="H26" s="117">
        <v>351.03</v>
      </c>
      <c r="I26" s="805">
        <v>3159.46</v>
      </c>
      <c r="J26" s="806">
        <v>1</v>
      </c>
      <c r="K26" s="803">
        <f t="shared" si="1"/>
        <v>1.0530899999999999</v>
      </c>
      <c r="L26" s="806">
        <v>3</v>
      </c>
      <c r="M26" s="808"/>
    </row>
    <row r="27" spans="1:17" ht="15.6" customHeight="1" x14ac:dyDescent="0.25">
      <c r="A27" s="464" t="s">
        <v>60</v>
      </c>
      <c r="B27" s="388" t="s">
        <v>169</v>
      </c>
      <c r="C27" s="233" t="s">
        <v>145</v>
      </c>
      <c r="D27" s="233" t="s">
        <v>170</v>
      </c>
      <c r="E27" s="802" t="s">
        <v>147</v>
      </c>
      <c r="F27" s="803" t="s">
        <v>121</v>
      </c>
      <c r="G27" s="804">
        <f t="shared" si="0"/>
        <v>4.3331488945554338E-2</v>
      </c>
      <c r="H27" s="117">
        <v>1404.14</v>
      </c>
      <c r="I27" s="805">
        <v>12637.85</v>
      </c>
      <c r="J27" s="806">
        <v>1</v>
      </c>
      <c r="K27" s="803">
        <f t="shared" si="1"/>
        <v>4.2124200000000007</v>
      </c>
      <c r="L27" s="806">
        <v>3</v>
      </c>
      <c r="M27" s="808"/>
    </row>
    <row r="28" spans="1:17" ht="15.6" customHeight="1" x14ac:dyDescent="0.25">
      <c r="A28" s="464" t="s">
        <v>60</v>
      </c>
      <c r="B28" s="388" t="s">
        <v>171</v>
      </c>
      <c r="C28" s="233" t="s">
        <v>145</v>
      </c>
      <c r="D28" s="233" t="s">
        <v>172</v>
      </c>
      <c r="E28" s="802" t="s">
        <v>147</v>
      </c>
      <c r="F28" s="803" t="s">
        <v>121</v>
      </c>
      <c r="G28" s="804">
        <f t="shared" si="0"/>
        <v>1.0833026535421963E-2</v>
      </c>
      <c r="H28" s="117">
        <v>351.04</v>
      </c>
      <c r="I28" s="805">
        <v>3159.51</v>
      </c>
      <c r="J28" s="810">
        <v>1</v>
      </c>
      <c r="K28" s="803">
        <f t="shared" si="1"/>
        <v>1.0531200000000001</v>
      </c>
      <c r="L28" s="806">
        <v>3</v>
      </c>
      <c r="M28" s="808"/>
      <c r="O28" s="437" t="s">
        <v>173</v>
      </c>
      <c r="P28" s="437" t="s">
        <v>174</v>
      </c>
      <c r="Q28" s="437" t="s">
        <v>175</v>
      </c>
    </row>
    <row r="29" spans="1:17" ht="15.6" customHeight="1" x14ac:dyDescent="0.25">
      <c r="A29" s="464" t="s">
        <v>60</v>
      </c>
      <c r="B29" s="388" t="s">
        <v>176</v>
      </c>
      <c r="C29" s="233" t="s">
        <v>145</v>
      </c>
      <c r="D29" s="233" t="s">
        <v>177</v>
      </c>
      <c r="E29" s="802" t="s">
        <v>147</v>
      </c>
      <c r="F29" s="803" t="s">
        <v>121</v>
      </c>
      <c r="G29" s="804">
        <f t="shared" si="0"/>
        <v>4.3331488945554338E-2</v>
      </c>
      <c r="H29" s="117">
        <v>1404.14</v>
      </c>
      <c r="I29" s="805">
        <v>12637.85</v>
      </c>
      <c r="J29" s="806">
        <v>1</v>
      </c>
      <c r="K29" s="803">
        <f t="shared" si="1"/>
        <v>4.2124200000000007</v>
      </c>
      <c r="L29" s="806">
        <v>3</v>
      </c>
      <c r="M29" s="808"/>
      <c r="O29" s="423" t="s">
        <v>178</v>
      </c>
      <c r="P29" s="333">
        <f>SUMIFS($H$3:$H$50, $C$3:$C$50, "*Guest Room*")</f>
        <v>18767.599999999999</v>
      </c>
      <c r="Q29" s="234">
        <f t="shared" ref="Q29:Q39" si="2">P29/$H$51</f>
        <v>0.57916450776602435</v>
      </c>
    </row>
    <row r="30" spans="1:17" ht="15.6" customHeight="1" x14ac:dyDescent="0.25">
      <c r="A30" s="464" t="s">
        <v>60</v>
      </c>
      <c r="B30" s="388" t="s">
        <v>179</v>
      </c>
      <c r="C30" s="233" t="s">
        <v>145</v>
      </c>
      <c r="D30" s="233" t="s">
        <v>180</v>
      </c>
      <c r="E30" s="802" t="s">
        <v>147</v>
      </c>
      <c r="F30" s="803" t="s">
        <v>121</v>
      </c>
      <c r="G30" s="804">
        <f t="shared" si="0"/>
        <v>1.0832717937355204E-2</v>
      </c>
      <c r="H30" s="117">
        <v>351.03</v>
      </c>
      <c r="I30" s="805">
        <v>3159.46</v>
      </c>
      <c r="J30" s="806">
        <v>1</v>
      </c>
      <c r="K30" s="803">
        <f t="shared" si="1"/>
        <v>1.0530899999999999</v>
      </c>
      <c r="L30" s="806">
        <v>3</v>
      </c>
      <c r="M30" s="808"/>
      <c r="O30" s="423" t="s">
        <v>181</v>
      </c>
      <c r="P30" s="333">
        <f>SUMIFS($H$3:$H$50, $C$3:$C$50, "*Lounge*")</f>
        <v>2106.33</v>
      </c>
      <c r="Q30" s="234">
        <f t="shared" si="2"/>
        <v>6.5000936595132577E-2</v>
      </c>
    </row>
    <row r="31" spans="1:17" ht="15.6" customHeight="1" x14ac:dyDescent="0.25">
      <c r="A31" s="464" t="s">
        <v>60</v>
      </c>
      <c r="B31" s="388" t="s">
        <v>182</v>
      </c>
      <c r="C31" s="233" t="s">
        <v>145</v>
      </c>
      <c r="D31" s="233" t="s">
        <v>183</v>
      </c>
      <c r="E31" s="802" t="s">
        <v>147</v>
      </c>
      <c r="F31" s="803" t="s">
        <v>121</v>
      </c>
      <c r="G31" s="804">
        <f t="shared" si="0"/>
        <v>1.0833643731555476E-2</v>
      </c>
      <c r="H31" s="117">
        <v>351.06</v>
      </c>
      <c r="I31" s="805">
        <v>3159.7</v>
      </c>
      <c r="J31" s="806">
        <v>1</v>
      </c>
      <c r="K31" s="803">
        <f t="shared" si="1"/>
        <v>1.05318</v>
      </c>
      <c r="L31" s="806">
        <v>3</v>
      </c>
      <c r="M31" s="808"/>
      <c r="O31" s="423" t="s">
        <v>184</v>
      </c>
      <c r="P31" s="333">
        <f>SUMIFS($H$3:$H$50, $C$3:$C$50, "*Corridor*")</f>
        <v>4806.53</v>
      </c>
      <c r="Q31" s="234">
        <f t="shared" si="2"/>
        <v>0.14832858658073644</v>
      </c>
    </row>
    <row r="32" spans="1:17" ht="15.6" customHeight="1" x14ac:dyDescent="0.25">
      <c r="A32" s="464" t="s">
        <v>60</v>
      </c>
      <c r="B32" s="388" t="s">
        <v>185</v>
      </c>
      <c r="C32" s="233" t="s">
        <v>145</v>
      </c>
      <c r="D32" s="233" t="s">
        <v>186</v>
      </c>
      <c r="E32" s="802" t="s">
        <v>147</v>
      </c>
      <c r="F32" s="803" t="s">
        <v>121</v>
      </c>
      <c r="G32" s="804">
        <f t="shared" si="0"/>
        <v>4.3334574926221905E-2</v>
      </c>
      <c r="H32" s="117">
        <v>1404.24</v>
      </c>
      <c r="I32" s="805">
        <v>12638.78</v>
      </c>
      <c r="J32" s="806">
        <v>1</v>
      </c>
      <c r="K32" s="803">
        <f t="shared" si="1"/>
        <v>4.21272</v>
      </c>
      <c r="L32" s="806">
        <v>3</v>
      </c>
      <c r="M32" s="808"/>
      <c r="O32" s="423" t="s">
        <v>134</v>
      </c>
      <c r="P32" s="333">
        <f>SUMIFS($H$3:$H$50, $C$3:$C$50, "*Office*")</f>
        <v>1404.1399999999999</v>
      </c>
      <c r="Q32" s="234">
        <f t="shared" si="2"/>
        <v>4.3331488945554331E-2</v>
      </c>
    </row>
    <row r="33" spans="1:17" ht="15.6" customHeight="1" x14ac:dyDescent="0.25">
      <c r="A33" s="464" t="s">
        <v>60</v>
      </c>
      <c r="B33" s="388" t="s">
        <v>187</v>
      </c>
      <c r="C33" s="233" t="s">
        <v>145</v>
      </c>
      <c r="D33" s="233" t="s">
        <v>188</v>
      </c>
      <c r="E33" s="802" t="s">
        <v>147</v>
      </c>
      <c r="F33" s="803" t="s">
        <v>121</v>
      </c>
      <c r="G33" s="804">
        <f t="shared" si="0"/>
        <v>3.5001192731528005E-2</v>
      </c>
      <c r="H33" s="117">
        <v>1134.2</v>
      </c>
      <c r="I33" s="805">
        <v>10208.299999999999</v>
      </c>
      <c r="J33" s="806">
        <v>1</v>
      </c>
      <c r="K33" s="803">
        <f t="shared" si="1"/>
        <v>3.4026000000000005</v>
      </c>
      <c r="L33" s="806">
        <v>3</v>
      </c>
      <c r="M33" s="808"/>
      <c r="O33" s="423" t="s">
        <v>189</v>
      </c>
      <c r="P33" s="333">
        <f>SUMIFS($H$3:$H$50, $C$3:$C$50, "*Exercise*")</f>
        <v>351.03</v>
      </c>
      <c r="Q33" s="234">
        <f t="shared" si="2"/>
        <v>1.0832717937355204E-2</v>
      </c>
    </row>
    <row r="34" spans="1:17" ht="15.6" customHeight="1" x14ac:dyDescent="0.25">
      <c r="A34" s="464" t="s">
        <v>60</v>
      </c>
      <c r="B34" s="388" t="s">
        <v>190</v>
      </c>
      <c r="C34" s="233" t="s">
        <v>145</v>
      </c>
      <c r="D34" s="233" t="s">
        <v>191</v>
      </c>
      <c r="E34" s="802" t="s">
        <v>147</v>
      </c>
      <c r="F34" s="803" t="s">
        <v>121</v>
      </c>
      <c r="G34" s="804">
        <f t="shared" ref="G34:G50" si="3">H34/$H$51</f>
        <v>4.3334574926221905E-2</v>
      </c>
      <c r="H34" s="117">
        <v>1404.24</v>
      </c>
      <c r="I34" s="805">
        <v>12638.78</v>
      </c>
      <c r="J34" s="806">
        <v>1</v>
      </c>
      <c r="K34" s="803">
        <f t="shared" si="1"/>
        <v>4.21272</v>
      </c>
      <c r="L34" s="806">
        <v>3</v>
      </c>
      <c r="M34" s="808"/>
      <c r="O34" s="423" t="s">
        <v>192</v>
      </c>
      <c r="P34" s="333">
        <f>SUMIFS($H$3:$H$50, $C$3:$C$50, "*Conference*")</f>
        <v>864.15</v>
      </c>
      <c r="Q34" s="234">
        <f t="shared" si="2"/>
        <v>2.6667501938767345E-2</v>
      </c>
    </row>
    <row r="35" spans="1:17" ht="15.6" customHeight="1" x14ac:dyDescent="0.25">
      <c r="A35" s="464" t="s">
        <v>60</v>
      </c>
      <c r="B35" s="388" t="s">
        <v>193</v>
      </c>
      <c r="C35" s="233" t="s">
        <v>145</v>
      </c>
      <c r="D35" s="233" t="s">
        <v>194</v>
      </c>
      <c r="E35" s="802" t="s">
        <v>147</v>
      </c>
      <c r="F35" s="803" t="s">
        <v>121</v>
      </c>
      <c r="G35" s="804">
        <f t="shared" si="3"/>
        <v>1.0833643731555476E-2</v>
      </c>
      <c r="H35" s="117">
        <v>351.06</v>
      </c>
      <c r="I35" s="805">
        <v>3159.7</v>
      </c>
      <c r="J35" s="806">
        <v>1</v>
      </c>
      <c r="K35" s="803">
        <f t="shared" si="1"/>
        <v>1.05318</v>
      </c>
      <c r="L35" s="806">
        <v>3</v>
      </c>
      <c r="M35" s="808"/>
      <c r="O35" s="423" t="s">
        <v>195</v>
      </c>
      <c r="P35" s="333">
        <f>SUMIFS($H$3:$H$50, $C$3:$C$50, "*Mechanical*")</f>
        <v>351.06</v>
      </c>
      <c r="Q35" s="234">
        <f t="shared" si="2"/>
        <v>1.0833643731555476E-2</v>
      </c>
    </row>
    <row r="36" spans="1:17" ht="15.6" customHeight="1" x14ac:dyDescent="0.25">
      <c r="A36" s="464" t="s">
        <v>60</v>
      </c>
      <c r="B36" s="388" t="s">
        <v>196</v>
      </c>
      <c r="C36" s="233" t="s">
        <v>145</v>
      </c>
      <c r="D36" s="233" t="s">
        <v>197</v>
      </c>
      <c r="E36" s="802" t="s">
        <v>147</v>
      </c>
      <c r="F36" s="803" t="s">
        <v>121</v>
      </c>
      <c r="G36" s="804">
        <f t="shared" si="3"/>
        <v>1.0832717937355204E-2</v>
      </c>
      <c r="H36" s="117">
        <v>351.03</v>
      </c>
      <c r="I36" s="805">
        <v>3159.46</v>
      </c>
      <c r="J36" s="806">
        <v>1</v>
      </c>
      <c r="K36" s="803">
        <f t="shared" si="1"/>
        <v>1.0530899999999999</v>
      </c>
      <c r="L36" s="806">
        <v>3</v>
      </c>
      <c r="M36" s="808"/>
      <c r="O36" s="423" t="s">
        <v>198</v>
      </c>
      <c r="P36" s="333">
        <f>SUMIFS($H$3:$H$50, $C$3:$C$50, "*Laundry*")</f>
        <v>1053.1099999999999</v>
      </c>
      <c r="Q36" s="234">
        <f t="shared" si="2"/>
        <v>3.2498771008199125E-2</v>
      </c>
    </row>
    <row r="37" spans="1:17" ht="15.6" customHeight="1" x14ac:dyDescent="0.25">
      <c r="A37" s="464" t="s">
        <v>60</v>
      </c>
      <c r="B37" s="388" t="s">
        <v>199</v>
      </c>
      <c r="C37" s="233" t="s">
        <v>145</v>
      </c>
      <c r="D37" s="233" t="s">
        <v>200</v>
      </c>
      <c r="E37" s="802" t="s">
        <v>147</v>
      </c>
      <c r="F37" s="803" t="s">
        <v>121</v>
      </c>
      <c r="G37" s="804">
        <f t="shared" si="3"/>
        <v>4.3331488945554338E-2</v>
      </c>
      <c r="H37" s="117">
        <v>1404.14</v>
      </c>
      <c r="I37" s="805">
        <v>12637.85</v>
      </c>
      <c r="J37" s="806">
        <v>1</v>
      </c>
      <c r="K37" s="803">
        <f t="shared" si="1"/>
        <v>4.2124200000000007</v>
      </c>
      <c r="L37" s="806">
        <v>3</v>
      </c>
      <c r="M37" s="808"/>
      <c r="O37" s="423" t="s">
        <v>201</v>
      </c>
      <c r="P37" s="333">
        <f>SUMIFS($H$3:$H$50, $C$3:$C$50, "*Storage*")</f>
        <v>1053.3</v>
      </c>
      <c r="Q37" s="234">
        <f t="shared" si="2"/>
        <v>3.25046343714675E-2</v>
      </c>
    </row>
    <row r="38" spans="1:17" ht="15.6" customHeight="1" x14ac:dyDescent="0.25">
      <c r="A38" s="464" t="s">
        <v>60</v>
      </c>
      <c r="B38" s="388" t="s">
        <v>202</v>
      </c>
      <c r="C38" s="233" t="s">
        <v>145</v>
      </c>
      <c r="D38" s="233" t="s">
        <v>203</v>
      </c>
      <c r="E38" s="802" t="s">
        <v>147</v>
      </c>
      <c r="F38" s="803" t="s">
        <v>121</v>
      </c>
      <c r="G38" s="804">
        <f t="shared" si="3"/>
        <v>1.0833026535421963E-2</v>
      </c>
      <c r="H38" s="117">
        <v>351.04</v>
      </c>
      <c r="I38" s="805">
        <v>3159.51</v>
      </c>
      <c r="J38" s="806">
        <v>1</v>
      </c>
      <c r="K38" s="803">
        <f t="shared" si="1"/>
        <v>1.0531200000000001</v>
      </c>
      <c r="L38" s="806">
        <v>3</v>
      </c>
      <c r="M38" s="808"/>
      <c r="O38" s="423" t="s">
        <v>204</v>
      </c>
      <c r="P38" s="333">
        <f>SUMIFS($H$3:$H$50, $C$3:$C$50, "*Restroom*")</f>
        <v>351.06</v>
      </c>
      <c r="Q38" s="234">
        <f t="shared" si="2"/>
        <v>1.0833643731555476E-2</v>
      </c>
    </row>
    <row r="39" spans="1:17" ht="15.6" customHeight="1" x14ac:dyDescent="0.25">
      <c r="A39" s="464" t="s">
        <v>60</v>
      </c>
      <c r="B39" s="388" t="s">
        <v>205</v>
      </c>
      <c r="C39" s="233" t="s">
        <v>145</v>
      </c>
      <c r="D39" s="233" t="s">
        <v>206</v>
      </c>
      <c r="E39" s="802" t="s">
        <v>147</v>
      </c>
      <c r="F39" s="803" t="s">
        <v>121</v>
      </c>
      <c r="G39" s="804">
        <f t="shared" si="3"/>
        <v>4.3331488945554338E-2</v>
      </c>
      <c r="H39" s="117">
        <v>1404.14</v>
      </c>
      <c r="I39" s="805">
        <v>12637.85</v>
      </c>
      <c r="J39" s="806">
        <v>1</v>
      </c>
      <c r="K39" s="803">
        <f t="shared" si="1"/>
        <v>4.2124200000000007</v>
      </c>
      <c r="L39" s="806">
        <v>3</v>
      </c>
      <c r="M39" s="808"/>
      <c r="O39" s="423" t="s">
        <v>207</v>
      </c>
      <c r="P39" s="333">
        <f>SUMIFS($H$3:$H$50, $C$3:$C$50, "*Stair*")</f>
        <v>1296.3</v>
      </c>
      <c r="Q39" s="234">
        <f t="shared" si="2"/>
        <v>4.0003567393651691E-2</v>
      </c>
    </row>
    <row r="40" spans="1:17" ht="15.6" customHeight="1" x14ac:dyDescent="0.25">
      <c r="A40" s="464" t="s">
        <v>60</v>
      </c>
      <c r="B40" s="388" t="s">
        <v>208</v>
      </c>
      <c r="C40" s="233" t="s">
        <v>145</v>
      </c>
      <c r="D40" s="233" t="s">
        <v>209</v>
      </c>
      <c r="E40" s="802" t="s">
        <v>147</v>
      </c>
      <c r="F40" s="803" t="s">
        <v>121</v>
      </c>
      <c r="G40" s="804">
        <f t="shared" si="3"/>
        <v>1.0832717937355204E-2</v>
      </c>
      <c r="H40" s="117">
        <v>351.03</v>
      </c>
      <c r="I40" s="805">
        <v>3159.46</v>
      </c>
      <c r="J40" s="806">
        <v>1</v>
      </c>
      <c r="K40" s="803">
        <f t="shared" si="1"/>
        <v>1.0530899999999999</v>
      </c>
      <c r="L40" s="806">
        <v>3</v>
      </c>
      <c r="M40" s="808"/>
    </row>
    <row r="41" spans="1:17" ht="15.6" customHeight="1" x14ac:dyDescent="0.25">
      <c r="A41" s="464" t="s">
        <v>60</v>
      </c>
      <c r="B41" s="388" t="s">
        <v>210</v>
      </c>
      <c r="C41" s="233" t="s">
        <v>211</v>
      </c>
      <c r="D41" s="233" t="s">
        <v>119</v>
      </c>
      <c r="E41" s="802" t="s">
        <v>128</v>
      </c>
      <c r="F41" s="803" t="s">
        <v>121</v>
      </c>
      <c r="G41" s="804">
        <f t="shared" si="3"/>
        <v>3.2498771008199125E-2</v>
      </c>
      <c r="H41" s="117">
        <v>1053.1099999999999</v>
      </c>
      <c r="I41" s="805">
        <v>11584.76</v>
      </c>
      <c r="J41" s="806">
        <v>1</v>
      </c>
      <c r="K41" s="803">
        <f t="shared" si="1"/>
        <v>5.2655500000000002</v>
      </c>
      <c r="L41" s="806">
        <v>5</v>
      </c>
      <c r="M41" s="808"/>
    </row>
    <row r="42" spans="1:17" ht="15.6" customHeight="1" x14ac:dyDescent="0.25">
      <c r="A42" s="464" t="s">
        <v>60</v>
      </c>
      <c r="B42" s="388" t="s">
        <v>212</v>
      </c>
      <c r="C42" s="233" t="s">
        <v>213</v>
      </c>
      <c r="D42" s="233" t="s">
        <v>119</v>
      </c>
      <c r="E42" s="802" t="s">
        <v>925</v>
      </c>
      <c r="F42" s="803" t="s">
        <v>121</v>
      </c>
      <c r="G42" s="804">
        <f t="shared" si="3"/>
        <v>1.0833643731555476E-2</v>
      </c>
      <c r="H42" s="117">
        <v>351.06</v>
      </c>
      <c r="I42" s="805">
        <v>3861.85</v>
      </c>
      <c r="J42" s="806">
        <v>1</v>
      </c>
      <c r="K42" s="803">
        <f>(H42/1000)*L42</f>
        <v>0</v>
      </c>
      <c r="L42" s="806">
        <v>0</v>
      </c>
      <c r="M42" s="808"/>
    </row>
    <row r="43" spans="1:17" ht="15.6" customHeight="1" x14ac:dyDescent="0.25">
      <c r="A43" s="464" t="s">
        <v>60</v>
      </c>
      <c r="B43" s="388" t="s">
        <v>214</v>
      </c>
      <c r="C43" s="233" t="s">
        <v>215</v>
      </c>
      <c r="D43" s="233" t="s">
        <v>119</v>
      </c>
      <c r="E43" s="802" t="s">
        <v>128</v>
      </c>
      <c r="F43" s="803" t="s">
        <v>121</v>
      </c>
      <c r="G43" s="804">
        <f t="shared" si="3"/>
        <v>2.6667501938767345E-2</v>
      </c>
      <c r="H43" s="117">
        <v>864.15</v>
      </c>
      <c r="I43" s="805">
        <v>9506.15</v>
      </c>
      <c r="J43" s="806">
        <v>1</v>
      </c>
      <c r="K43" s="803">
        <f t="shared" si="1"/>
        <v>28.516949999999998</v>
      </c>
      <c r="L43" s="806">
        <v>33</v>
      </c>
      <c r="M43" s="808"/>
    </row>
    <row r="44" spans="1:17" ht="15.6" customHeight="1" x14ac:dyDescent="0.25">
      <c r="A44" s="464" t="s">
        <v>60</v>
      </c>
      <c r="B44" s="388" t="s">
        <v>216</v>
      </c>
      <c r="C44" s="233" t="s">
        <v>136</v>
      </c>
      <c r="D44" s="233" t="s">
        <v>119</v>
      </c>
      <c r="E44" s="802" t="s">
        <v>927</v>
      </c>
      <c r="F44" s="803" t="s">
        <v>121</v>
      </c>
      <c r="G44" s="811">
        <f t="shared" si="3"/>
        <v>6.6681870264755517E-3</v>
      </c>
      <c r="H44" s="117">
        <v>216.08</v>
      </c>
      <c r="I44" s="809">
        <v>2376.94</v>
      </c>
      <c r="J44" s="806">
        <v>1</v>
      </c>
      <c r="K44" s="812">
        <f t="shared" si="1"/>
        <v>1.0804</v>
      </c>
      <c r="L44" s="806">
        <v>5</v>
      </c>
      <c r="M44" s="808"/>
    </row>
    <row r="45" spans="1:17" ht="15.6" customHeight="1" x14ac:dyDescent="0.25">
      <c r="A45" s="464" t="s">
        <v>60</v>
      </c>
      <c r="B45" s="388" t="s">
        <v>217</v>
      </c>
      <c r="C45" s="233" t="s">
        <v>136</v>
      </c>
      <c r="D45" s="233" t="s">
        <v>123</v>
      </c>
      <c r="E45" s="802" t="s">
        <v>927</v>
      </c>
      <c r="F45" s="803" t="s">
        <v>121</v>
      </c>
      <c r="G45" s="811">
        <f t="shared" si="3"/>
        <v>6.6681870264755517E-3</v>
      </c>
      <c r="H45" s="117">
        <v>216.08</v>
      </c>
      <c r="I45" s="809">
        <v>1944.77</v>
      </c>
      <c r="J45" s="806">
        <v>1</v>
      </c>
      <c r="K45" s="812">
        <f t="shared" si="1"/>
        <v>1.0804</v>
      </c>
      <c r="L45" s="806">
        <v>5</v>
      </c>
      <c r="M45" s="808"/>
    </row>
    <row r="46" spans="1:17" ht="15.6" customHeight="1" x14ac:dyDescent="0.25">
      <c r="A46" s="464" t="s">
        <v>60</v>
      </c>
      <c r="B46" s="388" t="s">
        <v>218</v>
      </c>
      <c r="C46" s="233" t="s">
        <v>136</v>
      </c>
      <c r="D46" s="233" t="s">
        <v>125</v>
      </c>
      <c r="E46" s="802" t="s">
        <v>927</v>
      </c>
      <c r="F46" s="803" t="s">
        <v>121</v>
      </c>
      <c r="G46" s="811">
        <f t="shared" si="3"/>
        <v>6.6681870264755517E-3</v>
      </c>
      <c r="H46" s="117">
        <v>216.08</v>
      </c>
      <c r="I46" s="809">
        <v>1944.77</v>
      </c>
      <c r="J46" s="806">
        <v>1</v>
      </c>
      <c r="K46" s="812">
        <f t="shared" si="1"/>
        <v>1.0804</v>
      </c>
      <c r="L46" s="806">
        <v>5</v>
      </c>
      <c r="M46" s="808"/>
    </row>
    <row r="47" spans="1:17" ht="15.6" customHeight="1" x14ac:dyDescent="0.25">
      <c r="A47" s="464" t="s">
        <v>60</v>
      </c>
      <c r="B47" s="388" t="s">
        <v>219</v>
      </c>
      <c r="C47" s="233" t="s">
        <v>141</v>
      </c>
      <c r="D47" s="233" t="s">
        <v>119</v>
      </c>
      <c r="E47" s="802" t="s">
        <v>128</v>
      </c>
      <c r="F47" s="803" t="s">
        <v>121</v>
      </c>
      <c r="G47" s="811">
        <f t="shared" si="3"/>
        <v>6.6684956245423085E-3</v>
      </c>
      <c r="H47" s="117">
        <v>216.09</v>
      </c>
      <c r="I47" s="809">
        <v>2377.12</v>
      </c>
      <c r="J47" s="806">
        <v>1</v>
      </c>
      <c r="K47" s="803">
        <f t="shared" si="1"/>
        <v>0.43218000000000001</v>
      </c>
      <c r="L47" s="806">
        <v>2</v>
      </c>
      <c r="M47" s="808"/>
    </row>
    <row r="48" spans="1:17" ht="15.6" customHeight="1" x14ac:dyDescent="0.25">
      <c r="A48" s="464" t="s">
        <v>60</v>
      </c>
      <c r="B48" s="388" t="s">
        <v>220</v>
      </c>
      <c r="C48" s="233" t="s">
        <v>141</v>
      </c>
      <c r="D48" s="233" t="s">
        <v>123</v>
      </c>
      <c r="E48" s="802" t="s">
        <v>128</v>
      </c>
      <c r="F48" s="803" t="s">
        <v>121</v>
      </c>
      <c r="G48" s="811">
        <f t="shared" si="3"/>
        <v>6.6684956245423085E-3</v>
      </c>
      <c r="H48" s="117">
        <v>216.09</v>
      </c>
      <c r="I48" s="809">
        <v>1944.91</v>
      </c>
      <c r="J48" s="806">
        <v>1</v>
      </c>
      <c r="K48" s="803">
        <f t="shared" si="1"/>
        <v>0.43218000000000001</v>
      </c>
      <c r="L48" s="806">
        <v>2</v>
      </c>
      <c r="M48" s="808"/>
    </row>
    <row r="49" spans="1:13" ht="15.6" customHeight="1" x14ac:dyDescent="0.25">
      <c r="A49" s="464" t="s">
        <v>60</v>
      </c>
      <c r="B49" s="388" t="s">
        <v>221</v>
      </c>
      <c r="C49" s="233" t="s">
        <v>141</v>
      </c>
      <c r="D49" s="233" t="s">
        <v>125</v>
      </c>
      <c r="E49" s="802" t="s">
        <v>128</v>
      </c>
      <c r="F49" s="803" t="s">
        <v>121</v>
      </c>
      <c r="G49" s="811">
        <f t="shared" si="3"/>
        <v>6.6684956245423085E-3</v>
      </c>
      <c r="H49" s="117">
        <v>216.09</v>
      </c>
      <c r="I49" s="809">
        <v>1944.91</v>
      </c>
      <c r="J49" s="806">
        <v>1</v>
      </c>
      <c r="K49" s="803">
        <f t="shared" si="1"/>
        <v>0.43218000000000001</v>
      </c>
      <c r="L49" s="806">
        <v>2</v>
      </c>
      <c r="M49" s="808"/>
    </row>
    <row r="50" spans="1:13" ht="15.6" customHeight="1" x14ac:dyDescent="0.25">
      <c r="A50" s="464" t="s">
        <v>60</v>
      </c>
      <c r="B50" s="388" t="s">
        <v>222</v>
      </c>
      <c r="C50" s="233" t="s">
        <v>223</v>
      </c>
      <c r="D50" s="233"/>
      <c r="E50" s="802" t="s">
        <v>120</v>
      </c>
      <c r="F50" s="803" t="s">
        <v>121</v>
      </c>
      <c r="G50" s="811">
        <f t="shared" si="3"/>
        <v>1.0833643731555476E-2</v>
      </c>
      <c r="H50" s="117">
        <v>351.06</v>
      </c>
      <c r="I50" s="809">
        <v>3861.85</v>
      </c>
      <c r="J50" s="806">
        <v>1</v>
      </c>
      <c r="K50" s="803">
        <f t="shared" si="1"/>
        <v>1.7552999999999999</v>
      </c>
      <c r="L50" s="806">
        <v>5</v>
      </c>
      <c r="M50" s="808" t="s">
        <v>929</v>
      </c>
    </row>
    <row r="51" spans="1:13" ht="30.6" customHeight="1" x14ac:dyDescent="0.25">
      <c r="A51" s="464" t="s">
        <v>224</v>
      </c>
      <c r="B51" s="389" t="s">
        <v>935</v>
      </c>
      <c r="C51" s="105" t="s">
        <v>225</v>
      </c>
      <c r="D51" s="105" t="s">
        <v>226</v>
      </c>
      <c r="E51" s="105" t="s">
        <v>923</v>
      </c>
      <c r="F51" s="24" t="s">
        <v>936</v>
      </c>
      <c r="G51" s="337">
        <f ca="1">SUM(G3:G50)</f>
        <v>0.99999999999999978</v>
      </c>
      <c r="H51" s="24">
        <f>SUM(H3:H50)</f>
        <v>32404.610000000011</v>
      </c>
      <c r="I51" s="22"/>
      <c r="J51" s="22"/>
      <c r="K51" s="22">
        <f>SUM(K3:K50)</f>
        <v>169.66553999999996</v>
      </c>
      <c r="L51" s="338">
        <v>0</v>
      </c>
      <c r="M51" s="36"/>
    </row>
    <row r="52" spans="1:13" x14ac:dyDescent="0.25">
      <c r="G52" s="26"/>
      <c r="H52" s="26"/>
      <c r="I52" s="26"/>
      <c r="J52" s="26"/>
      <c r="K52" s="417"/>
    </row>
    <row r="53" spans="1:13" x14ac:dyDescent="0.25">
      <c r="B53" s="6" t="s">
        <v>227</v>
      </c>
      <c r="C53" s="6"/>
      <c r="D53" s="6"/>
      <c r="E53" s="6"/>
      <c r="F53" s="6"/>
      <c r="G53" s="27"/>
      <c r="I53" s="26"/>
      <c r="J53" s="26"/>
      <c r="K53" s="26"/>
    </row>
    <row r="54" spans="1:13" ht="14.7" customHeight="1" x14ac:dyDescent="0.25">
      <c r="B54" s="11"/>
      <c r="C54" s="11"/>
      <c r="D54" s="11"/>
      <c r="E54" s="11"/>
      <c r="G54" s="26"/>
      <c r="H54" s="26"/>
      <c r="I54" s="26"/>
      <c r="J54" s="26"/>
      <c r="K54" s="26"/>
    </row>
    <row r="55" spans="1:13" ht="15.6" x14ac:dyDescent="0.25">
      <c r="A55" s="559" t="s">
        <v>228</v>
      </c>
      <c r="B55" s="560"/>
      <c r="C55" s="561"/>
      <c r="D55" s="28"/>
      <c r="E55" s="28"/>
      <c r="G55" s="26"/>
      <c r="H55" s="250"/>
      <c r="I55" s="26"/>
      <c r="J55" s="26"/>
      <c r="K55" s="26"/>
    </row>
    <row r="56" spans="1:13" ht="21" customHeight="1" x14ac:dyDescent="0.25">
      <c r="A56" s="467" t="s">
        <v>229</v>
      </c>
      <c r="B56" s="562" t="s">
        <v>230</v>
      </c>
      <c r="C56" s="563"/>
      <c r="D56" s="26"/>
      <c r="E56" s="26"/>
      <c r="G56" s="26"/>
      <c r="H56" s="26"/>
      <c r="I56" s="26"/>
      <c r="J56" s="26"/>
      <c r="K56" s="26"/>
    </row>
    <row r="57" spans="1:13" ht="14.4" x14ac:dyDescent="0.25">
      <c r="A57" s="564">
        <v>0.65</v>
      </c>
      <c r="B57" s="569" t="s">
        <v>231</v>
      </c>
      <c r="C57" s="570"/>
      <c r="D57" s="26"/>
      <c r="E57" s="26"/>
      <c r="G57" s="251"/>
      <c r="H57" s="26"/>
      <c r="I57" s="26"/>
      <c r="J57" s="26"/>
      <c r="K57" s="26"/>
    </row>
    <row r="58" spans="1:13" ht="14.4" x14ac:dyDescent="0.25">
      <c r="A58" s="565"/>
      <c r="B58" s="569" t="s">
        <v>232</v>
      </c>
      <c r="C58" s="570"/>
      <c r="G58" s="26"/>
      <c r="H58" s="26"/>
      <c r="I58" s="26"/>
      <c r="J58" s="26"/>
      <c r="K58" s="26"/>
    </row>
    <row r="59" spans="1:13" x14ac:dyDescent="0.25">
      <c r="A59" s="447"/>
      <c r="B59" s="447"/>
      <c r="C59" s="447"/>
      <c r="G59" s="26"/>
      <c r="H59" s="26"/>
      <c r="I59" s="26"/>
      <c r="J59" s="26"/>
      <c r="K59" s="26"/>
    </row>
    <row r="60" spans="1:13" x14ac:dyDescent="0.25">
      <c r="A60" s="447"/>
      <c r="B60" s="447"/>
      <c r="C60" s="447"/>
      <c r="G60" s="26"/>
      <c r="H60" s="26"/>
      <c r="I60" s="26"/>
      <c r="J60" s="26"/>
      <c r="K60" s="26"/>
    </row>
    <row r="61" spans="1:13" ht="26.4" x14ac:dyDescent="0.25">
      <c r="A61" s="447"/>
      <c r="B61" s="468" t="s">
        <v>233</v>
      </c>
      <c r="C61" s="469">
        <f>5+24+24</f>
        <v>53</v>
      </c>
      <c r="G61" s="26"/>
      <c r="H61" s="26"/>
      <c r="I61" s="26"/>
      <c r="J61" s="26"/>
      <c r="K61" s="26"/>
    </row>
    <row r="62" spans="1:13" x14ac:dyDescent="0.25">
      <c r="A62" s="447"/>
      <c r="B62" s="468" t="s">
        <v>234</v>
      </c>
      <c r="C62" s="470">
        <f>SUM(H16:H40)</f>
        <v>18767.599999999999</v>
      </c>
      <c r="G62" s="26"/>
      <c r="H62" s="26"/>
      <c r="I62" s="26"/>
      <c r="J62" s="26"/>
      <c r="K62" s="26"/>
    </row>
    <row r="63" spans="1:13" ht="26.4" x14ac:dyDescent="0.25">
      <c r="B63" s="471" t="s">
        <v>235</v>
      </c>
      <c r="C63" s="472">
        <f>C62/C61</f>
        <v>354.10566037735845</v>
      </c>
      <c r="G63" s="26"/>
      <c r="H63" s="26"/>
      <c r="I63" s="26"/>
      <c r="J63" s="26"/>
      <c r="K63" s="26"/>
    </row>
    <row r="64" spans="1:13" x14ac:dyDescent="0.25">
      <c r="A64" s="447"/>
      <c r="B64" s="468" t="s">
        <v>236</v>
      </c>
      <c r="C64" s="473">
        <f>C62/H51</f>
        <v>0.57916450776602435</v>
      </c>
      <c r="G64" s="26"/>
      <c r="H64" s="26"/>
      <c r="I64" s="26"/>
      <c r="J64" s="26"/>
      <c r="K64" s="26"/>
    </row>
    <row r="65" spans="1:13" x14ac:dyDescent="0.25">
      <c r="A65" s="447"/>
      <c r="G65" s="26"/>
      <c r="H65" s="26"/>
      <c r="I65" s="26"/>
      <c r="J65" s="26"/>
      <c r="K65" s="26"/>
    </row>
    <row r="71" spans="1:13" x14ac:dyDescent="0.25">
      <c r="B71" s="568"/>
      <c r="C71" s="568"/>
      <c r="D71" s="568"/>
      <c r="E71" s="568"/>
      <c r="F71" s="568"/>
      <c r="G71" s="155"/>
      <c r="K71" s="568"/>
      <c r="L71" s="568"/>
      <c r="M71" s="568"/>
    </row>
    <row r="72" spans="1:13" x14ac:dyDescent="0.25">
      <c r="B72" s="416"/>
      <c r="C72" s="416"/>
      <c r="D72" s="416"/>
      <c r="E72" s="416"/>
      <c r="F72" s="7"/>
      <c r="G72" s="416"/>
      <c r="K72" s="120"/>
    </row>
    <row r="73" spans="1:13" x14ac:dyDescent="0.25">
      <c r="B73" s="567"/>
      <c r="C73" s="416"/>
      <c r="D73" s="416"/>
      <c r="E73" s="416"/>
      <c r="F73" s="7"/>
      <c r="G73" s="121"/>
    </row>
    <row r="74" spans="1:13" x14ac:dyDescent="0.25">
      <c r="B74" s="567"/>
      <c r="C74" s="416"/>
      <c r="D74" s="416"/>
      <c r="E74" s="416"/>
      <c r="F74" s="416"/>
      <c r="G74" s="121"/>
    </row>
    <row r="75" spans="1:13" x14ac:dyDescent="0.25">
      <c r="B75" s="567"/>
      <c r="C75" s="416"/>
      <c r="D75" s="416"/>
      <c r="E75" s="416"/>
      <c r="F75" s="416"/>
      <c r="G75" s="121"/>
    </row>
    <row r="76" spans="1:13" x14ac:dyDescent="0.25">
      <c r="B76" s="567"/>
      <c r="C76" s="416"/>
      <c r="D76" s="416"/>
      <c r="E76" s="416"/>
      <c r="F76" s="7"/>
      <c r="G76" s="121"/>
    </row>
    <row r="77" spans="1:13" x14ac:dyDescent="0.25">
      <c r="B77" s="567"/>
      <c r="C77" s="416"/>
      <c r="D77" s="416"/>
      <c r="E77" s="416"/>
      <c r="F77" s="416"/>
      <c r="G77" s="121"/>
    </row>
    <row r="78" spans="1:13" x14ac:dyDescent="0.25">
      <c r="B78" s="567"/>
      <c r="C78" s="416"/>
      <c r="D78" s="416"/>
      <c r="E78" s="416"/>
      <c r="F78" s="416"/>
      <c r="G78" s="121"/>
    </row>
    <row r="79" spans="1:13" x14ac:dyDescent="0.25">
      <c r="B79" s="566"/>
      <c r="C79" s="415"/>
      <c r="D79" s="415"/>
      <c r="E79" s="415"/>
      <c r="F79" s="122"/>
      <c r="G79" s="123"/>
    </row>
    <row r="80" spans="1:13" x14ac:dyDescent="0.25">
      <c r="B80" s="566"/>
      <c r="C80" s="415"/>
      <c r="D80" s="415"/>
      <c r="E80" s="415"/>
      <c r="F80" s="415"/>
      <c r="G80" s="123"/>
    </row>
    <row r="81" spans="2:7" x14ac:dyDescent="0.25">
      <c r="B81" s="566"/>
      <c r="C81" s="415"/>
      <c r="D81" s="415"/>
      <c r="E81" s="415"/>
      <c r="F81" s="415"/>
      <c r="G81" s="123"/>
    </row>
    <row r="82" spans="2:7" x14ac:dyDescent="0.25">
      <c r="B82" s="566"/>
      <c r="C82" s="415"/>
      <c r="D82" s="415"/>
      <c r="E82" s="415"/>
      <c r="F82" s="122"/>
      <c r="G82" s="123"/>
    </row>
    <row r="83" spans="2:7" x14ac:dyDescent="0.25">
      <c r="B83" s="566"/>
      <c r="C83" s="415"/>
      <c r="D83" s="415"/>
      <c r="E83" s="415"/>
      <c r="F83" s="415"/>
      <c r="G83" s="123"/>
    </row>
    <row r="84" spans="2:7" x14ac:dyDescent="0.25">
      <c r="B84" s="566"/>
      <c r="C84" s="415"/>
      <c r="D84" s="415"/>
      <c r="E84" s="415"/>
      <c r="F84" s="415"/>
      <c r="G84" s="123"/>
    </row>
  </sheetData>
  <mergeCells count="10">
    <mergeCell ref="A55:C55"/>
    <mergeCell ref="B56:C56"/>
    <mergeCell ref="A57:A58"/>
    <mergeCell ref="A1:M1"/>
    <mergeCell ref="B79:B84"/>
    <mergeCell ref="B73:B78"/>
    <mergeCell ref="B71:F71"/>
    <mergeCell ref="K71:M71"/>
    <mergeCell ref="B57:C57"/>
    <mergeCell ref="B58:C58"/>
  </mergeCells>
  <phoneticPr fontId="5" type="noConversion"/>
  <hyperlinks>
    <hyperlink ref="B57" r:id="rId1" display="https://assets.visitcalifornia.com/media/?mediaId=D0CF4716-DD37-4678-852AB388768DE451&amp;viewType=grid" xr:uid="{CE4A8294-0880-41AF-89E7-464D62AE8106}"/>
    <hyperlink ref="B58" r:id="rId2" display="https://www.ahla.com/sites/default/files/25_SOTI.pdf" xr:uid="{7C20217F-264F-4BC9-BB16-B790617935E4}"/>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FE1BF1D-760B-41CF-BF68-E9CCA8A91162}">
          <x14:formula1>
            <xm:f>Data!$A$2:$A$200</xm:f>
          </x14:formula1>
          <xm:sqref>C3:C5 C7:C50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51"/>
  <sheetViews>
    <sheetView zoomScale="80" zoomScaleNormal="80" workbookViewId="0">
      <selection sqref="A1:X1"/>
    </sheetView>
  </sheetViews>
  <sheetFormatPr defaultColWidth="9.33203125" defaultRowHeight="13.8" x14ac:dyDescent="0.25"/>
  <cols>
    <col min="1" max="1" width="24.88671875" style="108" customWidth="1"/>
    <col min="2" max="2" width="13.5546875" style="110" customWidth="1"/>
    <col min="3" max="3" width="29.109375" style="108" customWidth="1"/>
    <col min="4" max="4" width="40.88671875" style="108" customWidth="1"/>
    <col min="5" max="5" width="15.6640625" style="108" customWidth="1"/>
    <col min="6" max="6" width="10.6640625" style="108" customWidth="1"/>
    <col min="7" max="7" width="19.33203125" style="111" customWidth="1"/>
    <col min="8" max="8" width="45.88671875" style="108" customWidth="1"/>
    <col min="9" max="9" width="6.88671875" style="108" customWidth="1"/>
    <col min="10" max="12" width="7" style="108" customWidth="1"/>
    <col min="13" max="13" width="7.88671875" style="108" customWidth="1"/>
    <col min="14" max="14" width="8.6640625" style="108" customWidth="1"/>
    <col min="15" max="15" width="7" style="108" customWidth="1"/>
    <col min="16" max="16" width="7.109375" style="108" customWidth="1"/>
    <col min="17" max="17" width="7.5546875" style="108" customWidth="1"/>
    <col min="18" max="21" width="7" style="108" customWidth="1"/>
    <col min="22" max="22" width="7.6640625" style="108" customWidth="1"/>
    <col min="23" max="23" width="7" style="108" customWidth="1"/>
    <col min="24" max="24" width="7.5546875" style="108" customWidth="1"/>
    <col min="25" max="25" width="9.33203125" style="108"/>
    <col min="26" max="29" width="7.6640625" style="108" customWidth="1"/>
    <col min="30" max="30" width="9.6640625" style="108" customWidth="1"/>
    <col min="31" max="31" width="7.5546875" style="108" customWidth="1"/>
    <col min="32" max="32" width="11.44140625" style="108" customWidth="1"/>
    <col min="33" max="34" width="7.6640625" style="108" customWidth="1"/>
    <col min="35" max="35" width="11.88671875" style="108" customWidth="1"/>
    <col min="36" max="37" width="7.6640625" style="108" customWidth="1"/>
    <col min="38" max="38" width="20.6640625" style="108" customWidth="1"/>
    <col min="39" max="39" width="27.6640625" style="108" customWidth="1"/>
    <col min="40" max="40" width="18.109375" style="108" customWidth="1"/>
    <col min="41" max="41" width="15.33203125" style="108" customWidth="1"/>
    <col min="42" max="45" width="10.44140625" style="108" customWidth="1"/>
    <col min="46" max="46" width="9.88671875" style="108" customWidth="1"/>
    <col min="47" max="47" width="10.44140625" style="108" customWidth="1"/>
    <col min="48" max="48" width="21.6640625" style="108" customWidth="1"/>
    <col min="49" max="49" width="10.44140625" style="108" customWidth="1"/>
    <col min="50" max="52" width="7.44140625" style="108" customWidth="1"/>
    <col min="53" max="53" width="7.6640625" style="108" customWidth="1"/>
    <col min="54" max="54" width="7.44140625" style="108" customWidth="1"/>
    <col min="55" max="55" width="13.6640625" style="108" customWidth="1"/>
    <col min="56" max="59" width="7.44140625" style="108" customWidth="1"/>
    <col min="60" max="61" width="9.6640625" style="108" bestFit="1" customWidth="1"/>
    <col min="62" max="16384" width="9.33203125" style="108"/>
  </cols>
  <sheetData>
    <row r="1" spans="1:66" ht="31.95" customHeight="1" x14ac:dyDescent="0.25">
      <c r="A1" s="591" t="s">
        <v>238</v>
      </c>
      <c r="B1" s="591"/>
      <c r="C1" s="591"/>
      <c r="D1" s="591"/>
      <c r="E1" s="591"/>
      <c r="F1" s="591"/>
      <c r="G1" s="591"/>
      <c r="H1" s="591"/>
      <c r="I1" s="591"/>
      <c r="J1" s="591"/>
      <c r="K1" s="591"/>
      <c r="L1" s="591"/>
      <c r="M1" s="591"/>
      <c r="N1" s="591"/>
      <c r="O1" s="591"/>
      <c r="P1" s="591"/>
      <c r="Q1" s="591"/>
      <c r="R1" s="591"/>
      <c r="S1" s="591"/>
      <c r="T1" s="591"/>
      <c r="U1" s="591"/>
      <c r="V1" s="591"/>
      <c r="W1" s="591"/>
      <c r="X1" s="591"/>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spans="1:66" ht="28.2" customHeight="1" x14ac:dyDescent="0.25">
      <c r="A2" s="126" t="s">
        <v>239</v>
      </c>
      <c r="B2" s="126" t="s">
        <v>9</v>
      </c>
      <c r="C2" s="126" t="s">
        <v>240</v>
      </c>
      <c r="D2" s="126" t="s">
        <v>241</v>
      </c>
      <c r="E2" s="178" t="s">
        <v>242</v>
      </c>
      <c r="F2" s="126" t="s">
        <v>243</v>
      </c>
      <c r="G2" s="133" t="s">
        <v>244</v>
      </c>
      <c r="H2" s="161" t="s">
        <v>59</v>
      </c>
      <c r="I2" s="126" t="s">
        <v>245</v>
      </c>
      <c r="J2" s="126" t="s">
        <v>246</v>
      </c>
      <c r="K2" s="126" t="s">
        <v>247</v>
      </c>
      <c r="L2" s="126" t="s">
        <v>248</v>
      </c>
      <c r="M2" s="126" t="s">
        <v>249</v>
      </c>
      <c r="N2" s="126" t="s">
        <v>250</v>
      </c>
      <c r="O2" s="126" t="s">
        <v>251</v>
      </c>
      <c r="P2" s="126" t="s">
        <v>252</v>
      </c>
      <c r="Q2" s="126" t="s">
        <v>253</v>
      </c>
      <c r="R2" s="126" t="s">
        <v>254</v>
      </c>
      <c r="S2" s="126" t="s">
        <v>255</v>
      </c>
      <c r="T2" s="126" t="s">
        <v>256</v>
      </c>
      <c r="U2" s="126" t="s">
        <v>257</v>
      </c>
      <c r="V2" s="126" t="s">
        <v>258</v>
      </c>
      <c r="W2" s="126" t="s">
        <v>259</v>
      </c>
      <c r="X2" s="126" t="s">
        <v>260</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row>
    <row r="3" spans="1:66" ht="17.399999999999999" customHeight="1" x14ac:dyDescent="0.25">
      <c r="A3" s="578" t="s">
        <v>261</v>
      </c>
      <c r="B3" s="578" t="s">
        <v>60</v>
      </c>
      <c r="C3" s="581" t="s">
        <v>262</v>
      </c>
      <c r="D3" s="594" t="s">
        <v>263</v>
      </c>
      <c r="E3" s="578" t="s">
        <v>264</v>
      </c>
      <c r="F3" s="171" t="s">
        <v>265</v>
      </c>
      <c r="G3" s="418" t="s">
        <v>266</v>
      </c>
      <c r="H3" s="419" t="s">
        <v>267</v>
      </c>
      <c r="I3" s="162">
        <v>0.35199999999999998</v>
      </c>
      <c r="J3" s="162">
        <v>0.35199999999999998</v>
      </c>
      <c r="K3" s="162">
        <v>0.35199999999999998</v>
      </c>
      <c r="L3" s="162">
        <v>0.35199999999999998</v>
      </c>
      <c r="M3" s="162">
        <v>0.35199999999999998</v>
      </c>
      <c r="N3" s="162">
        <v>0.35199999999999998</v>
      </c>
      <c r="O3" s="162">
        <v>0.35199999999999998</v>
      </c>
      <c r="P3" s="162">
        <v>0.35199999999999998</v>
      </c>
      <c r="Q3" s="162">
        <v>0.35199999999999998</v>
      </c>
      <c r="R3" s="162">
        <v>0.35199999999999998</v>
      </c>
      <c r="S3" s="162">
        <v>0.35199999999999998</v>
      </c>
      <c r="T3" s="162">
        <v>0.35199999999999998</v>
      </c>
      <c r="U3" s="162">
        <v>0.35199999999999998</v>
      </c>
      <c r="V3" s="162">
        <v>0.35199999999999998</v>
      </c>
      <c r="W3" s="162">
        <v>0.35199999999999998</v>
      </c>
      <c r="X3" s="162">
        <v>0.35199999999999998</v>
      </c>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6" ht="51" customHeight="1" x14ac:dyDescent="0.25">
      <c r="A4" s="579"/>
      <c r="B4" s="579"/>
      <c r="C4" s="592"/>
      <c r="D4" s="595"/>
      <c r="E4" s="579"/>
      <c r="F4" s="172" t="s">
        <v>268</v>
      </c>
      <c r="G4" s="163">
        <v>1986</v>
      </c>
      <c r="H4" s="401" t="s">
        <v>269</v>
      </c>
      <c r="I4" s="180">
        <f>1/4.7</f>
        <v>0.21276595744680851</v>
      </c>
      <c r="J4" s="180">
        <f>1/4.4</f>
        <v>0.22727272727272727</v>
      </c>
      <c r="K4" s="180">
        <f>1/4.4</f>
        <v>0.22727272727272727</v>
      </c>
      <c r="L4" s="180">
        <f>1/4.6</f>
        <v>0.21739130434782611</v>
      </c>
      <c r="M4" s="180">
        <f t="shared" ref="M4:R4" si="0">1/3.9</f>
        <v>0.25641025641025644</v>
      </c>
      <c r="N4" s="180">
        <f t="shared" si="0"/>
        <v>0.25641025641025644</v>
      </c>
      <c r="O4" s="180">
        <f t="shared" si="0"/>
        <v>0.25641025641025644</v>
      </c>
      <c r="P4" s="180">
        <f t="shared" si="0"/>
        <v>0.25641025641025644</v>
      </c>
      <c r="Q4" s="180">
        <f t="shared" si="0"/>
        <v>0.25641025641025644</v>
      </c>
      <c r="R4" s="180">
        <f t="shared" si="0"/>
        <v>0.25641025641025644</v>
      </c>
      <c r="S4" s="180">
        <f>1/4.2</f>
        <v>0.23809523809523808</v>
      </c>
      <c r="T4" s="180">
        <f>1/4.2</f>
        <v>0.23809523809523808</v>
      </c>
      <c r="U4" s="180">
        <f>1/4.2</f>
        <v>0.23809523809523808</v>
      </c>
      <c r="V4" s="180">
        <f>1/4.8</f>
        <v>0.20833333333333334</v>
      </c>
      <c r="W4" s="180">
        <f>1/4.8</f>
        <v>0.20833333333333334</v>
      </c>
      <c r="X4" s="180">
        <f>1/4.7</f>
        <v>0.21276595744680851</v>
      </c>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row>
    <row r="5" spans="1:66" ht="18.600000000000001" customHeight="1" x14ac:dyDescent="0.25">
      <c r="A5" s="579"/>
      <c r="B5" s="579"/>
      <c r="C5" s="592"/>
      <c r="D5" s="595"/>
      <c r="E5" s="579"/>
      <c r="F5" s="173" t="s">
        <v>270</v>
      </c>
      <c r="G5" s="165">
        <v>2001</v>
      </c>
      <c r="H5" s="165" t="s">
        <v>271</v>
      </c>
      <c r="I5" s="166">
        <v>0.14000000000000001</v>
      </c>
      <c r="J5" s="165">
        <v>0.17499999999999999</v>
      </c>
      <c r="K5" s="165">
        <v>0.18099999999999999</v>
      </c>
      <c r="L5" s="165">
        <v>0.18099999999999999</v>
      </c>
      <c r="M5" s="165">
        <v>0.18099999999999999</v>
      </c>
      <c r="N5" s="165">
        <v>0.18099999999999999</v>
      </c>
      <c r="O5" s="165">
        <v>0.18099999999999999</v>
      </c>
      <c r="P5" s="165">
        <v>0.18099999999999999</v>
      </c>
      <c r="Q5" s="165">
        <v>0.18099999999999999</v>
      </c>
      <c r="R5" s="165">
        <v>0.17499999999999999</v>
      </c>
      <c r="S5" s="165">
        <v>0.17499999999999999</v>
      </c>
      <c r="T5" s="165">
        <v>0.17499999999999999</v>
      </c>
      <c r="U5" s="165">
        <v>0.17499999999999999</v>
      </c>
      <c r="V5" s="165">
        <v>0.17499999999999999</v>
      </c>
      <c r="W5" s="165">
        <v>0.17499999999999999</v>
      </c>
      <c r="X5" s="166">
        <v>0.14000000000000001</v>
      </c>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row>
    <row r="6" spans="1:66" ht="18.600000000000001" customHeight="1" x14ac:dyDescent="0.25">
      <c r="A6" s="579"/>
      <c r="B6" s="579"/>
      <c r="C6" s="592"/>
      <c r="D6" s="595"/>
      <c r="E6" s="579"/>
      <c r="F6" s="398" t="s">
        <v>272</v>
      </c>
      <c r="G6" s="167">
        <v>2013</v>
      </c>
      <c r="H6" s="167" t="s">
        <v>273</v>
      </c>
      <c r="I6" s="167">
        <v>0.105</v>
      </c>
      <c r="J6" s="167">
        <v>0.105</v>
      </c>
      <c r="K6" s="167">
        <v>0.105</v>
      </c>
      <c r="L6" s="167">
        <v>0.105</v>
      </c>
      <c r="M6" s="167">
        <v>0.105</v>
      </c>
      <c r="N6" s="167">
        <v>0.105</v>
      </c>
      <c r="O6" s="167">
        <v>0.105</v>
      </c>
      <c r="P6" s="167">
        <v>0.105</v>
      </c>
      <c r="Q6" s="167">
        <v>0.105</v>
      </c>
      <c r="R6" s="167">
        <v>0.105</v>
      </c>
      <c r="S6" s="167">
        <v>0.105</v>
      </c>
      <c r="T6" s="167">
        <v>0.105</v>
      </c>
      <c r="U6" s="167">
        <v>0.105</v>
      </c>
      <c r="V6" s="167">
        <v>0.105</v>
      </c>
      <c r="W6" s="167">
        <v>0.105</v>
      </c>
      <c r="X6" s="167">
        <v>0.105</v>
      </c>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row>
    <row r="7" spans="1:66" ht="18.600000000000001" customHeight="1" x14ac:dyDescent="0.25">
      <c r="A7" s="580"/>
      <c r="B7" s="580"/>
      <c r="C7" s="582"/>
      <c r="D7" s="595"/>
      <c r="E7" s="580"/>
      <c r="F7" s="399" t="s">
        <v>275</v>
      </c>
      <c r="G7" s="396">
        <v>2025</v>
      </c>
      <c r="H7" s="397" t="s">
        <v>273</v>
      </c>
      <c r="I7" s="400">
        <v>6.9000000000000006E-2</v>
      </c>
      <c r="J7" s="400">
        <v>6.9000000000000006E-2</v>
      </c>
      <c r="K7" s="400">
        <v>6.9000000000000006E-2</v>
      </c>
      <c r="L7" s="400">
        <v>6.9000000000000006E-2</v>
      </c>
      <c r="M7" s="400">
        <v>6.9000000000000006E-2</v>
      </c>
      <c r="N7" s="400">
        <v>6.9000000000000006E-2</v>
      </c>
      <c r="O7" s="400">
        <v>0.105</v>
      </c>
      <c r="P7" s="400">
        <v>6.9000000000000006E-2</v>
      </c>
      <c r="Q7" s="400">
        <v>6.9000000000000006E-2</v>
      </c>
      <c r="R7" s="400">
        <v>6.9000000000000006E-2</v>
      </c>
      <c r="S7" s="400">
        <v>6.9000000000000006E-2</v>
      </c>
      <c r="T7" s="400">
        <v>6.9000000000000006E-2</v>
      </c>
      <c r="U7" s="400">
        <v>6.9000000000000006E-2</v>
      </c>
      <c r="V7" s="400">
        <v>6.9000000000000006E-2</v>
      </c>
      <c r="W7" s="400">
        <v>4.8000000000000001E-2</v>
      </c>
      <c r="X7" s="400">
        <v>6.9000000000000006E-2</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row>
    <row r="8" spans="1:66" ht="16.95" customHeight="1" x14ac:dyDescent="0.25">
      <c r="A8" s="578" t="s">
        <v>276</v>
      </c>
      <c r="B8" s="578" t="s">
        <v>60</v>
      </c>
      <c r="C8" s="581" t="s">
        <v>277</v>
      </c>
      <c r="D8" s="593" t="s">
        <v>278</v>
      </c>
      <c r="E8" s="578" t="s">
        <v>264</v>
      </c>
      <c r="F8" s="171" t="s">
        <v>265</v>
      </c>
      <c r="G8" s="418" t="s">
        <v>266</v>
      </c>
      <c r="H8" s="419" t="s">
        <v>267</v>
      </c>
      <c r="I8" s="162">
        <v>0.35199999999999998</v>
      </c>
      <c r="J8" s="162">
        <v>0.35199999999999998</v>
      </c>
      <c r="K8" s="162">
        <v>0.35199999999999998</v>
      </c>
      <c r="L8" s="162">
        <v>0.35199999999999998</v>
      </c>
      <c r="M8" s="162">
        <v>0.35199999999999998</v>
      </c>
      <c r="N8" s="162">
        <v>0.35199999999999998</v>
      </c>
      <c r="O8" s="162">
        <v>0.35199999999999998</v>
      </c>
      <c r="P8" s="162">
        <v>0.35199999999999998</v>
      </c>
      <c r="Q8" s="162">
        <v>0.35199999999999998</v>
      </c>
      <c r="R8" s="162">
        <v>0.35199999999999998</v>
      </c>
      <c r="S8" s="162">
        <v>0.35199999999999998</v>
      </c>
      <c r="T8" s="162">
        <v>0.35199999999999998</v>
      </c>
      <c r="U8" s="162">
        <v>0.35199999999999998</v>
      </c>
      <c r="V8" s="162">
        <v>0.35199999999999998</v>
      </c>
      <c r="W8" s="162">
        <v>0.35199999999999998</v>
      </c>
      <c r="X8" s="162">
        <v>0.35199999999999998</v>
      </c>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row>
    <row r="9" spans="1:66" ht="34.200000000000003" customHeight="1" x14ac:dyDescent="0.25">
      <c r="A9" s="579"/>
      <c r="B9" s="579"/>
      <c r="C9" s="592"/>
      <c r="D9" s="593"/>
      <c r="E9" s="579"/>
      <c r="F9" s="172" t="s">
        <v>268</v>
      </c>
      <c r="G9" s="163">
        <v>1986</v>
      </c>
      <c r="H9" s="401" t="s">
        <v>269</v>
      </c>
      <c r="I9" s="164">
        <v>0.21276595744680851</v>
      </c>
      <c r="J9" s="164">
        <v>0.22727272727272727</v>
      </c>
      <c r="K9" s="164">
        <v>0.22727272727272727</v>
      </c>
      <c r="L9" s="164">
        <v>0.21739130434782611</v>
      </c>
      <c r="M9" s="164">
        <v>0.25641025641025644</v>
      </c>
      <c r="N9" s="164">
        <v>0.25641025641025644</v>
      </c>
      <c r="O9" s="164">
        <v>0.25641025641025644</v>
      </c>
      <c r="P9" s="164">
        <v>0.25641025641025644</v>
      </c>
      <c r="Q9" s="164">
        <v>0.25641025641025644</v>
      </c>
      <c r="R9" s="164">
        <v>0.25641025641025644</v>
      </c>
      <c r="S9" s="164">
        <v>0.23809523809523808</v>
      </c>
      <c r="T9" s="164">
        <v>0.23809523809523808</v>
      </c>
      <c r="U9" s="164">
        <v>0.23809523809523808</v>
      </c>
      <c r="V9" s="164">
        <v>0.20833333333333334</v>
      </c>
      <c r="W9" s="164">
        <v>0.20833333333333334</v>
      </c>
      <c r="X9" s="164">
        <v>0.21276595744680851</v>
      </c>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row>
    <row r="10" spans="1:66" ht="19.2" customHeight="1" x14ac:dyDescent="0.25">
      <c r="A10" s="579"/>
      <c r="B10" s="579"/>
      <c r="C10" s="592"/>
      <c r="D10" s="593"/>
      <c r="E10" s="579"/>
      <c r="F10" s="173" t="s">
        <v>270</v>
      </c>
      <c r="G10" s="165">
        <v>2001</v>
      </c>
      <c r="H10" s="165" t="s">
        <v>279</v>
      </c>
      <c r="I10" s="166">
        <v>0.182</v>
      </c>
      <c r="J10" s="166">
        <v>0.182</v>
      </c>
      <c r="K10" s="166">
        <v>0.189</v>
      </c>
      <c r="L10" s="166">
        <v>0.189</v>
      </c>
      <c r="M10" s="166">
        <v>0.189</v>
      </c>
      <c r="N10" s="166">
        <v>0.189</v>
      </c>
      <c r="O10" s="166">
        <v>0.189</v>
      </c>
      <c r="P10" s="166">
        <v>0.189</v>
      </c>
      <c r="Q10" s="166">
        <v>0.189</v>
      </c>
      <c r="R10" s="166">
        <v>0.182</v>
      </c>
      <c r="S10" s="166">
        <v>0.182</v>
      </c>
      <c r="T10" s="166">
        <v>0.182</v>
      </c>
      <c r="U10" s="166">
        <v>0.182</v>
      </c>
      <c r="V10" s="166">
        <v>0.182</v>
      </c>
      <c r="W10" s="166">
        <v>0.182</v>
      </c>
      <c r="X10" s="166">
        <v>0.182</v>
      </c>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9.2" customHeight="1" x14ac:dyDescent="0.25">
      <c r="A11" s="579"/>
      <c r="B11" s="579"/>
      <c r="C11" s="592"/>
      <c r="D11" s="593"/>
      <c r="E11" s="579"/>
      <c r="F11" s="398" t="s">
        <v>272</v>
      </c>
      <c r="G11" s="167">
        <v>2013</v>
      </c>
      <c r="H11" s="167" t="s">
        <v>280</v>
      </c>
      <c r="I11" s="167">
        <v>9.8000000000000004E-2</v>
      </c>
      <c r="J11" s="167">
        <v>6.2E-2</v>
      </c>
      <c r="K11" s="167">
        <v>8.2000000000000003E-2</v>
      </c>
      <c r="L11" s="167">
        <v>6.2E-2</v>
      </c>
      <c r="M11" s="167">
        <v>6.2E-2</v>
      </c>
      <c r="N11" s="167">
        <v>9.8000000000000004E-2</v>
      </c>
      <c r="O11" s="167">
        <v>9.8000000000000004E-2</v>
      </c>
      <c r="P11" s="167">
        <v>6.2E-2</v>
      </c>
      <c r="Q11" s="167">
        <v>6.2E-2</v>
      </c>
      <c r="R11" s="167">
        <v>6.2E-2</v>
      </c>
      <c r="S11" s="167">
        <v>6.2E-2</v>
      </c>
      <c r="T11" s="167">
        <v>6.2E-2</v>
      </c>
      <c r="U11" s="167">
        <v>6.2E-2</v>
      </c>
      <c r="V11" s="167">
        <v>6.2E-2</v>
      </c>
      <c r="W11" s="167">
        <v>6.2E-2</v>
      </c>
      <c r="X11" s="167">
        <v>6.2E-2</v>
      </c>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9.2" customHeight="1" x14ac:dyDescent="0.25">
      <c r="A12" s="580"/>
      <c r="B12" s="580"/>
      <c r="C12" s="582"/>
      <c r="D12" s="593"/>
      <c r="E12" s="580"/>
      <c r="F12" s="399" t="s">
        <v>275</v>
      </c>
      <c r="G12" s="396">
        <v>2025</v>
      </c>
      <c r="H12" s="397" t="s">
        <v>280</v>
      </c>
      <c r="I12" s="400">
        <v>0.06</v>
      </c>
      <c r="J12" s="396">
        <v>5.5E-2</v>
      </c>
      <c r="K12" s="396">
        <v>7.0999999999999994E-2</v>
      </c>
      <c r="L12" s="396">
        <v>5.5E-2</v>
      </c>
      <c r="M12" s="396">
        <v>5.5E-2</v>
      </c>
      <c r="N12" s="400">
        <v>0.06</v>
      </c>
      <c r="O12" s="400">
        <v>0.06</v>
      </c>
      <c r="P12" s="396">
        <v>5.5E-2</v>
      </c>
      <c r="Q12" s="396">
        <v>5.5E-2</v>
      </c>
      <c r="R12" s="396">
        <v>5.5E-2</v>
      </c>
      <c r="S12" s="396">
        <v>5.5E-2</v>
      </c>
      <c r="T12" s="396">
        <v>5.5E-2</v>
      </c>
      <c r="U12" s="396">
        <v>5.5E-2</v>
      </c>
      <c r="V12" s="396">
        <v>5.5E-2</v>
      </c>
      <c r="W12" s="396">
        <v>5.5E-2</v>
      </c>
      <c r="X12" s="396">
        <v>5.5E-2</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20.399999999999999" customHeight="1" x14ac:dyDescent="0.25">
      <c r="A13" s="578" t="s">
        <v>281</v>
      </c>
      <c r="B13" s="578" t="s">
        <v>60</v>
      </c>
      <c r="C13" s="581" t="s">
        <v>282</v>
      </c>
      <c r="D13" s="583" t="s">
        <v>283</v>
      </c>
      <c r="E13" s="578" t="s">
        <v>264</v>
      </c>
      <c r="F13" s="171" t="s">
        <v>265</v>
      </c>
      <c r="G13" s="418" t="s">
        <v>266</v>
      </c>
      <c r="H13" s="581" t="s">
        <v>284</v>
      </c>
      <c r="I13" s="168">
        <v>3.6999999999999998E-2</v>
      </c>
      <c r="J13" s="168">
        <v>5.0999999999999997E-2</v>
      </c>
      <c r="K13" s="168">
        <v>5.0999999999999997E-2</v>
      </c>
      <c r="L13" s="168">
        <v>5.0999999999999997E-2</v>
      </c>
      <c r="M13" s="168">
        <v>5.0999999999999997E-2</v>
      </c>
      <c r="N13" s="168">
        <v>5.0999999999999997E-2</v>
      </c>
      <c r="O13" s="168">
        <v>5.0999999999999997E-2</v>
      </c>
      <c r="P13" s="168">
        <v>5.0999999999999997E-2</v>
      </c>
      <c r="Q13" s="168">
        <v>5.0999999999999997E-2</v>
      </c>
      <c r="R13" s="168">
        <v>5.0999999999999997E-2</v>
      </c>
      <c r="S13" s="168">
        <v>3.6999999999999998E-2</v>
      </c>
      <c r="T13" s="168">
        <v>3.6999999999999998E-2</v>
      </c>
      <c r="U13" s="168">
        <v>3.6999999999999998E-2</v>
      </c>
      <c r="V13" s="168">
        <v>3.6999999999999998E-2</v>
      </c>
      <c r="W13" s="168">
        <v>3.6999999999999998E-2</v>
      </c>
      <c r="X13" s="168">
        <v>3.6999999999999998E-2</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20.399999999999999" customHeight="1" x14ac:dyDescent="0.25">
      <c r="A14" s="579"/>
      <c r="B14" s="579"/>
      <c r="C14" s="592"/>
      <c r="D14" s="584"/>
      <c r="E14" s="579"/>
      <c r="F14" s="171" t="s">
        <v>268</v>
      </c>
      <c r="G14" s="418" t="s">
        <v>266</v>
      </c>
      <c r="H14" s="582"/>
      <c r="I14" s="163">
        <v>3.6999999999999998E-2</v>
      </c>
      <c r="J14" s="163">
        <v>5.0999999999999997E-2</v>
      </c>
      <c r="K14" s="163">
        <v>5.0999999999999997E-2</v>
      </c>
      <c r="L14" s="163">
        <v>5.0999999999999997E-2</v>
      </c>
      <c r="M14" s="163">
        <v>5.0999999999999997E-2</v>
      </c>
      <c r="N14" s="163">
        <v>5.0999999999999997E-2</v>
      </c>
      <c r="O14" s="163">
        <v>5.0999999999999997E-2</v>
      </c>
      <c r="P14" s="163">
        <v>5.0999999999999997E-2</v>
      </c>
      <c r="Q14" s="163">
        <v>5.0999999999999997E-2</v>
      </c>
      <c r="R14" s="163">
        <v>5.0999999999999997E-2</v>
      </c>
      <c r="S14" s="163">
        <v>3.6999999999999998E-2</v>
      </c>
      <c r="T14" s="163">
        <v>3.6999999999999998E-2</v>
      </c>
      <c r="U14" s="163">
        <v>3.6999999999999998E-2</v>
      </c>
      <c r="V14" s="163">
        <v>3.6999999999999998E-2</v>
      </c>
      <c r="W14" s="163">
        <v>3.6999999999999998E-2</v>
      </c>
      <c r="X14" s="163">
        <v>3.6999999999999998E-2</v>
      </c>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8.600000000000001" customHeight="1" x14ac:dyDescent="0.25">
      <c r="A15" s="579"/>
      <c r="B15" s="579"/>
      <c r="C15" s="592"/>
      <c r="D15" s="584"/>
      <c r="E15" s="579"/>
      <c r="F15" s="173" t="s">
        <v>270</v>
      </c>
      <c r="G15" s="165">
        <v>2001</v>
      </c>
      <c r="H15" s="402" t="s">
        <v>271</v>
      </c>
      <c r="I15" s="165">
        <v>3.6999999999999998E-2</v>
      </c>
      <c r="J15" s="165">
        <v>3.6999999999999998E-2</v>
      </c>
      <c r="K15" s="165">
        <v>5.0999999999999997E-2</v>
      </c>
      <c r="L15" s="165">
        <v>5.0999999999999997E-2</v>
      </c>
      <c r="M15" s="165">
        <v>5.0999999999999997E-2</v>
      </c>
      <c r="N15" s="165">
        <v>5.0999999999999997E-2</v>
      </c>
      <c r="O15" s="165">
        <v>5.0999999999999997E-2</v>
      </c>
      <c r="P15" s="165">
        <v>5.0999999999999997E-2</v>
      </c>
      <c r="Q15" s="165">
        <v>5.0999999999999997E-2</v>
      </c>
      <c r="R15" s="165">
        <v>3.6999999999999998E-2</v>
      </c>
      <c r="S15" s="165">
        <v>3.6999999999999998E-2</v>
      </c>
      <c r="T15" s="165">
        <v>3.6999999999999998E-2</v>
      </c>
      <c r="U15" s="165">
        <v>3.6999999999999998E-2</v>
      </c>
      <c r="V15" s="165">
        <v>3.6999999999999998E-2</v>
      </c>
      <c r="W15" s="165">
        <v>3.6999999999999998E-2</v>
      </c>
      <c r="X15" s="165">
        <v>3.6999999999999998E-2</v>
      </c>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8.600000000000001" customHeight="1" x14ac:dyDescent="0.25">
      <c r="A16" s="579"/>
      <c r="B16" s="579"/>
      <c r="C16" s="592"/>
      <c r="D16" s="584"/>
      <c r="E16" s="579"/>
      <c r="F16" s="398" t="s">
        <v>272</v>
      </c>
      <c r="G16" s="167">
        <v>2013</v>
      </c>
      <c r="H16" s="403" t="s">
        <v>273</v>
      </c>
      <c r="I16" s="167">
        <v>3.4000000000000002E-2</v>
      </c>
      <c r="J16" s="167">
        <v>2.8000000000000001E-2</v>
      </c>
      <c r="K16" s="167">
        <v>3.9E-2</v>
      </c>
      <c r="L16" s="167">
        <v>2.8000000000000001E-2</v>
      </c>
      <c r="M16" s="167">
        <v>3.9E-2</v>
      </c>
      <c r="N16" s="167">
        <v>3.9E-2</v>
      </c>
      <c r="O16" s="167">
        <v>3.9E-2</v>
      </c>
      <c r="P16" s="167">
        <v>2.8000000000000001E-2</v>
      </c>
      <c r="Q16" s="167">
        <v>2.8000000000000001E-2</v>
      </c>
      <c r="R16" s="167">
        <v>2.8000000000000001E-2</v>
      </c>
      <c r="S16" s="167">
        <v>2.8000000000000001E-2</v>
      </c>
      <c r="T16" s="167">
        <v>2.8000000000000001E-2</v>
      </c>
      <c r="U16" s="167">
        <v>2.8000000000000001E-2</v>
      </c>
      <c r="V16" s="167">
        <v>2.8000000000000001E-2</v>
      </c>
      <c r="W16" s="167">
        <v>2.8000000000000001E-2</v>
      </c>
      <c r="X16" s="167">
        <v>2.8000000000000001E-2</v>
      </c>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8.600000000000001" customHeight="1" x14ac:dyDescent="0.25">
      <c r="A17" s="580"/>
      <c r="B17" s="580"/>
      <c r="C17" s="582"/>
      <c r="D17" s="585"/>
      <c r="E17" s="580"/>
      <c r="F17" s="399" t="s">
        <v>275</v>
      </c>
      <c r="G17" s="396">
        <v>2025</v>
      </c>
      <c r="H17" s="404" t="s">
        <v>273</v>
      </c>
      <c r="I17" s="396">
        <v>2.8000000000000001E-2</v>
      </c>
      <c r="J17" s="396">
        <v>2.8000000000000001E-2</v>
      </c>
      <c r="K17" s="396">
        <v>3.4000000000000002E-2</v>
      </c>
      <c r="L17" s="396">
        <v>2.8000000000000001E-2</v>
      </c>
      <c r="M17" s="396">
        <v>3.4000000000000002E-2</v>
      </c>
      <c r="N17" s="396">
        <v>3.4000000000000002E-2</v>
      </c>
      <c r="O17" s="396">
        <v>3.9E-2</v>
      </c>
      <c r="P17" s="396">
        <v>2.8000000000000001E-2</v>
      </c>
      <c r="Q17" s="396">
        <v>2.8000000000000001E-2</v>
      </c>
      <c r="R17" s="396">
        <v>2.8000000000000001E-2</v>
      </c>
      <c r="S17" s="396">
        <v>2.8000000000000001E-2</v>
      </c>
      <c r="T17" s="396">
        <v>2.8000000000000001E-2</v>
      </c>
      <c r="U17" s="396">
        <v>2.8000000000000001E-2</v>
      </c>
      <c r="V17" s="396">
        <v>2.8000000000000001E-2</v>
      </c>
      <c r="W17" s="396">
        <v>2.8000000000000001E-2</v>
      </c>
      <c r="X17" s="396">
        <v>2.8000000000000001E-2</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7.399999999999999" customHeight="1" x14ac:dyDescent="0.25">
      <c r="A18" s="578" t="s">
        <v>285</v>
      </c>
      <c r="B18" s="578" t="s">
        <v>60</v>
      </c>
      <c r="C18" s="578" t="s">
        <v>286</v>
      </c>
      <c r="D18" s="590" t="s">
        <v>287</v>
      </c>
      <c r="E18" s="589" t="s">
        <v>264</v>
      </c>
      <c r="F18" s="171" t="s">
        <v>265</v>
      </c>
      <c r="G18" s="418" t="s">
        <v>266</v>
      </c>
      <c r="H18" s="581" t="s">
        <v>288</v>
      </c>
      <c r="I18" s="169">
        <f t="shared" ref="I18:X19" si="1">0.33*1.12+0.67*0.36</f>
        <v>0.61080000000000001</v>
      </c>
      <c r="J18" s="169">
        <f t="shared" si="1"/>
        <v>0.61080000000000001</v>
      </c>
      <c r="K18" s="169">
        <f t="shared" si="1"/>
        <v>0.61080000000000001</v>
      </c>
      <c r="L18" s="169">
        <f t="shared" si="1"/>
        <v>0.61080000000000001</v>
      </c>
      <c r="M18" s="169">
        <f t="shared" si="1"/>
        <v>0.61080000000000001</v>
      </c>
      <c r="N18" s="169">
        <f t="shared" si="1"/>
        <v>0.61080000000000001</v>
      </c>
      <c r="O18" s="169">
        <f t="shared" si="1"/>
        <v>0.61080000000000001</v>
      </c>
      <c r="P18" s="169">
        <f t="shared" si="1"/>
        <v>0.61080000000000001</v>
      </c>
      <c r="Q18" s="169">
        <f t="shared" si="1"/>
        <v>0.61080000000000001</v>
      </c>
      <c r="R18" s="169">
        <f t="shared" si="1"/>
        <v>0.61080000000000001</v>
      </c>
      <c r="S18" s="169">
        <f t="shared" si="1"/>
        <v>0.61080000000000001</v>
      </c>
      <c r="T18" s="169">
        <f t="shared" si="1"/>
        <v>0.61080000000000001</v>
      </c>
      <c r="U18" s="169">
        <f t="shared" si="1"/>
        <v>0.61080000000000001</v>
      </c>
      <c r="V18" s="169">
        <f t="shared" si="1"/>
        <v>0.61080000000000001</v>
      </c>
      <c r="W18" s="169">
        <f t="shared" si="1"/>
        <v>0.61080000000000001</v>
      </c>
      <c r="X18" s="169">
        <f t="shared" si="1"/>
        <v>0.61080000000000001</v>
      </c>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7.399999999999999" customHeight="1" x14ac:dyDescent="0.25">
      <c r="A19" s="579"/>
      <c r="B19" s="579"/>
      <c r="C19" s="579"/>
      <c r="D19" s="590"/>
      <c r="E19" s="589"/>
      <c r="F19" s="171" t="s">
        <v>268</v>
      </c>
      <c r="G19" s="418" t="s">
        <v>266</v>
      </c>
      <c r="H19" s="582"/>
      <c r="I19" s="169">
        <f t="shared" si="1"/>
        <v>0.61080000000000001</v>
      </c>
      <c r="J19" s="169">
        <f t="shared" si="1"/>
        <v>0.61080000000000001</v>
      </c>
      <c r="K19" s="169">
        <f t="shared" si="1"/>
        <v>0.61080000000000001</v>
      </c>
      <c r="L19" s="169">
        <f t="shared" si="1"/>
        <v>0.61080000000000001</v>
      </c>
      <c r="M19" s="169">
        <f t="shared" si="1"/>
        <v>0.61080000000000001</v>
      </c>
      <c r="N19" s="169">
        <f t="shared" si="1"/>
        <v>0.61080000000000001</v>
      </c>
      <c r="O19" s="169">
        <f t="shared" si="1"/>
        <v>0.61080000000000001</v>
      </c>
      <c r="P19" s="169">
        <f t="shared" si="1"/>
        <v>0.61080000000000001</v>
      </c>
      <c r="Q19" s="169">
        <f t="shared" si="1"/>
        <v>0.61080000000000001</v>
      </c>
      <c r="R19" s="169">
        <f t="shared" si="1"/>
        <v>0.61080000000000001</v>
      </c>
      <c r="S19" s="169">
        <f t="shared" si="1"/>
        <v>0.61080000000000001</v>
      </c>
      <c r="T19" s="169">
        <f t="shared" si="1"/>
        <v>0.61080000000000001</v>
      </c>
      <c r="U19" s="169">
        <f t="shared" si="1"/>
        <v>0.61080000000000001</v>
      </c>
      <c r="V19" s="169">
        <f t="shared" si="1"/>
        <v>0.61080000000000001</v>
      </c>
      <c r="W19" s="169">
        <f t="shared" si="1"/>
        <v>0.61080000000000001</v>
      </c>
      <c r="X19" s="169">
        <f t="shared" si="1"/>
        <v>0.61080000000000001</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ht="17.399999999999999" customHeight="1" x14ac:dyDescent="0.25">
      <c r="A20" s="579"/>
      <c r="B20" s="579"/>
      <c r="C20" s="579"/>
      <c r="D20" s="578" t="s">
        <v>289</v>
      </c>
      <c r="E20" s="589"/>
      <c r="F20" s="173" t="s">
        <v>270</v>
      </c>
      <c r="G20" s="165">
        <v>2001</v>
      </c>
      <c r="H20" s="165" t="s">
        <v>271</v>
      </c>
      <c r="I20" s="170">
        <v>0.49</v>
      </c>
      <c r="J20" s="170">
        <v>0.49</v>
      </c>
      <c r="K20" s="170">
        <v>0.49</v>
      </c>
      <c r="L20" s="170">
        <v>0.49</v>
      </c>
      <c r="M20" s="170">
        <v>0.49</v>
      </c>
      <c r="N20" s="170">
        <v>0.49</v>
      </c>
      <c r="O20" s="170">
        <v>0.49</v>
      </c>
      <c r="P20" s="170">
        <v>0.49</v>
      </c>
      <c r="Q20" s="170">
        <v>0.49</v>
      </c>
      <c r="R20" s="170">
        <v>0.49</v>
      </c>
      <c r="S20" s="170">
        <v>0.49</v>
      </c>
      <c r="T20" s="170">
        <v>0.49</v>
      </c>
      <c r="U20" s="170">
        <v>0.49</v>
      </c>
      <c r="V20" s="170">
        <v>0.49</v>
      </c>
      <c r="W20" s="170">
        <v>0.49</v>
      </c>
      <c r="X20" s="170">
        <v>0.49</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ht="17.399999999999999" customHeight="1" x14ac:dyDescent="0.25">
      <c r="A21" s="579"/>
      <c r="B21" s="579"/>
      <c r="C21" s="579"/>
      <c r="D21" s="579"/>
      <c r="E21" s="589"/>
      <c r="F21" s="398" t="s">
        <v>272</v>
      </c>
      <c r="G21" s="167">
        <v>2013</v>
      </c>
      <c r="H21" s="167" t="s">
        <v>273</v>
      </c>
      <c r="I21" s="406">
        <v>0.36</v>
      </c>
      <c r="J21" s="406">
        <v>0.36</v>
      </c>
      <c r="K21" s="406">
        <v>0.36</v>
      </c>
      <c r="L21" s="406">
        <v>0.36</v>
      </c>
      <c r="M21" s="406">
        <v>0.36</v>
      </c>
      <c r="N21" s="406">
        <v>0.36</v>
      </c>
      <c r="O21" s="406">
        <v>0.36</v>
      </c>
      <c r="P21" s="406">
        <v>0.36</v>
      </c>
      <c r="Q21" s="406">
        <v>0.36</v>
      </c>
      <c r="R21" s="406">
        <v>0.36</v>
      </c>
      <c r="S21" s="406">
        <v>0.36</v>
      </c>
      <c r="T21" s="406">
        <v>0.36</v>
      </c>
      <c r="U21" s="406">
        <v>0.36</v>
      </c>
      <c r="V21" s="406">
        <v>0.36</v>
      </c>
      <c r="W21" s="406">
        <v>0.36</v>
      </c>
      <c r="X21" s="406">
        <v>0.36</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ht="17.399999999999999" customHeight="1" x14ac:dyDescent="0.25">
      <c r="A22" s="579"/>
      <c r="B22" s="579"/>
      <c r="C22" s="579"/>
      <c r="D22" s="580"/>
      <c r="E22" s="589"/>
      <c r="F22" s="399" t="s">
        <v>275</v>
      </c>
      <c r="G22" s="396">
        <v>2025</v>
      </c>
      <c r="H22" s="396" t="s">
        <v>273</v>
      </c>
      <c r="I22" s="407">
        <v>0.36</v>
      </c>
      <c r="J22" s="407">
        <v>0.36</v>
      </c>
      <c r="K22" s="407">
        <v>0.36</v>
      </c>
      <c r="L22" s="407">
        <v>0.36</v>
      </c>
      <c r="M22" s="407">
        <v>0.36</v>
      </c>
      <c r="N22" s="407">
        <v>0.36</v>
      </c>
      <c r="O22" s="407">
        <v>0.36</v>
      </c>
      <c r="P22" s="407">
        <v>0.36</v>
      </c>
      <c r="Q22" s="407">
        <v>0.36</v>
      </c>
      <c r="R22" s="407">
        <v>0.36</v>
      </c>
      <c r="S22" s="407">
        <v>0.36</v>
      </c>
      <c r="T22" s="407">
        <v>0.36</v>
      </c>
      <c r="U22" s="407">
        <v>0.36</v>
      </c>
      <c r="V22" s="407">
        <v>0.36</v>
      </c>
      <c r="W22" s="407">
        <v>0.36</v>
      </c>
      <c r="X22" s="407">
        <v>0.36</v>
      </c>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ht="18" customHeight="1" x14ac:dyDescent="0.25">
      <c r="A23" s="579"/>
      <c r="B23" s="579"/>
      <c r="C23" s="579"/>
      <c r="D23" s="581" t="s">
        <v>287</v>
      </c>
      <c r="E23" s="578" t="s">
        <v>290</v>
      </c>
      <c r="F23" s="171" t="s">
        <v>265</v>
      </c>
      <c r="G23" s="418" t="s">
        <v>266</v>
      </c>
      <c r="H23" s="581" t="s">
        <v>291</v>
      </c>
      <c r="I23" s="169">
        <f>0.79*0.33+0.67*I36</f>
        <v>0.42820000000000003</v>
      </c>
      <c r="J23" s="169">
        <f t="shared" ref="J23:X23" si="2">0.79*0.33+0.67*J36</f>
        <v>0.42820000000000003</v>
      </c>
      <c r="K23" s="169">
        <f t="shared" si="2"/>
        <v>0.42820000000000003</v>
      </c>
      <c r="L23" s="169">
        <f t="shared" si="2"/>
        <v>0.42820000000000003</v>
      </c>
      <c r="M23" s="169">
        <f t="shared" si="2"/>
        <v>0.42820000000000003</v>
      </c>
      <c r="N23" s="169">
        <f t="shared" si="2"/>
        <v>0.42820000000000003</v>
      </c>
      <c r="O23" s="169">
        <f t="shared" si="2"/>
        <v>0.42820000000000003</v>
      </c>
      <c r="P23" s="169">
        <f t="shared" si="2"/>
        <v>0.42820000000000003</v>
      </c>
      <c r="Q23" s="169">
        <f t="shared" si="2"/>
        <v>0.42820000000000003</v>
      </c>
      <c r="R23" s="169">
        <f t="shared" si="2"/>
        <v>0.42820000000000003</v>
      </c>
      <c r="S23" s="169">
        <f t="shared" si="2"/>
        <v>0.42820000000000003</v>
      </c>
      <c r="T23" s="169">
        <f t="shared" si="2"/>
        <v>0.42820000000000003</v>
      </c>
      <c r="U23" s="169">
        <f t="shared" si="2"/>
        <v>0.42820000000000003</v>
      </c>
      <c r="V23" s="169">
        <f t="shared" si="2"/>
        <v>0.42820000000000003</v>
      </c>
      <c r="W23" s="169">
        <f t="shared" si="2"/>
        <v>0.42820000000000003</v>
      </c>
      <c r="X23" s="169">
        <f t="shared" si="2"/>
        <v>0.42820000000000003</v>
      </c>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ht="18" customHeight="1" x14ac:dyDescent="0.25">
      <c r="A24" s="579"/>
      <c r="B24" s="579"/>
      <c r="C24" s="579"/>
      <c r="D24" s="582"/>
      <c r="E24" s="579"/>
      <c r="F24" s="171" t="s">
        <v>268</v>
      </c>
      <c r="G24" s="418" t="s">
        <v>266</v>
      </c>
      <c r="H24" s="582"/>
      <c r="I24" s="169">
        <f>0.79*0.33+0.67*I26</f>
        <v>0.42820000000000003</v>
      </c>
      <c r="J24" s="169">
        <f t="shared" ref="J24:X24" si="3">0.79*0.33+0.67*J26</f>
        <v>0.42820000000000003</v>
      </c>
      <c r="K24" s="169">
        <f t="shared" si="3"/>
        <v>0.42820000000000003</v>
      </c>
      <c r="L24" s="169">
        <f t="shared" si="3"/>
        <v>0.42820000000000003</v>
      </c>
      <c r="M24" s="169">
        <f t="shared" si="3"/>
        <v>0.42820000000000003</v>
      </c>
      <c r="N24" s="169">
        <f t="shared" si="3"/>
        <v>0.42820000000000003</v>
      </c>
      <c r="O24" s="169">
        <f t="shared" si="3"/>
        <v>0.42820000000000003</v>
      </c>
      <c r="P24" s="169">
        <f t="shared" si="3"/>
        <v>0.42820000000000003</v>
      </c>
      <c r="Q24" s="169">
        <f t="shared" si="3"/>
        <v>0.42820000000000003</v>
      </c>
      <c r="R24" s="169">
        <f t="shared" si="3"/>
        <v>0.42820000000000003</v>
      </c>
      <c r="S24" s="169">
        <f t="shared" si="3"/>
        <v>0.42820000000000003</v>
      </c>
      <c r="T24" s="169">
        <f t="shared" si="3"/>
        <v>0.42820000000000003</v>
      </c>
      <c r="U24" s="169">
        <f t="shared" si="3"/>
        <v>0.42820000000000003</v>
      </c>
      <c r="V24" s="169">
        <f t="shared" si="3"/>
        <v>0.42820000000000003</v>
      </c>
      <c r="W24" s="169">
        <f t="shared" si="3"/>
        <v>0.42820000000000003</v>
      </c>
      <c r="X24" s="169">
        <f t="shared" si="3"/>
        <v>0.42820000000000003</v>
      </c>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ht="18" customHeight="1" x14ac:dyDescent="0.25">
      <c r="A25" s="579"/>
      <c r="B25" s="579"/>
      <c r="C25" s="579"/>
      <c r="D25" s="578" t="s">
        <v>289</v>
      </c>
      <c r="E25" s="579"/>
      <c r="F25" s="173" t="s">
        <v>270</v>
      </c>
      <c r="G25" s="165">
        <v>2001</v>
      </c>
      <c r="H25" s="402" t="s">
        <v>292</v>
      </c>
      <c r="I25" s="328">
        <v>0.46</v>
      </c>
      <c r="J25" s="328">
        <v>0.36</v>
      </c>
      <c r="K25" s="328">
        <v>0.4</v>
      </c>
      <c r="L25" s="328">
        <v>0.4</v>
      </c>
      <c r="M25" s="328">
        <v>0.4</v>
      </c>
      <c r="N25" s="328">
        <v>0.4</v>
      </c>
      <c r="O25" s="328">
        <v>0.4</v>
      </c>
      <c r="P25" s="328">
        <v>0.4</v>
      </c>
      <c r="Q25" s="328">
        <v>0.4</v>
      </c>
      <c r="R25" s="328">
        <v>0.36</v>
      </c>
      <c r="S25" s="328">
        <v>0.36</v>
      </c>
      <c r="T25" s="328">
        <v>0.36</v>
      </c>
      <c r="U25" s="328">
        <v>0.36</v>
      </c>
      <c r="V25" s="328">
        <v>0.31</v>
      </c>
      <c r="W25" s="328">
        <v>0.31</v>
      </c>
      <c r="X25" s="328">
        <v>0.46</v>
      </c>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ht="18" customHeight="1" x14ac:dyDescent="0.25">
      <c r="A26" s="579"/>
      <c r="B26" s="579"/>
      <c r="C26" s="579"/>
      <c r="D26" s="579"/>
      <c r="E26" s="579"/>
      <c r="F26" s="398" t="s">
        <v>272</v>
      </c>
      <c r="G26" s="167">
        <v>2013</v>
      </c>
      <c r="H26" s="167" t="s">
        <v>273</v>
      </c>
      <c r="I26" s="167">
        <v>0.25</v>
      </c>
      <c r="J26" s="167">
        <v>0.25</v>
      </c>
      <c r="K26" s="167">
        <v>0.25</v>
      </c>
      <c r="L26" s="167">
        <v>0.25</v>
      </c>
      <c r="M26" s="167">
        <v>0.25</v>
      </c>
      <c r="N26" s="167">
        <v>0.25</v>
      </c>
      <c r="O26" s="167">
        <v>0.25</v>
      </c>
      <c r="P26" s="167">
        <v>0.25</v>
      </c>
      <c r="Q26" s="167">
        <v>0.25</v>
      </c>
      <c r="R26" s="167">
        <v>0.25</v>
      </c>
      <c r="S26" s="167">
        <v>0.25</v>
      </c>
      <c r="T26" s="167">
        <v>0.25</v>
      </c>
      <c r="U26" s="167">
        <v>0.25</v>
      </c>
      <c r="V26" s="167">
        <v>0.25</v>
      </c>
      <c r="W26" s="167">
        <v>0.25</v>
      </c>
      <c r="X26" s="167">
        <v>0.25</v>
      </c>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ht="18" customHeight="1" x14ac:dyDescent="0.25">
      <c r="A27" s="580"/>
      <c r="B27" s="580"/>
      <c r="C27" s="580"/>
      <c r="D27" s="580"/>
      <c r="E27" s="580"/>
      <c r="F27" s="399" t="s">
        <v>275</v>
      </c>
      <c r="G27" s="396">
        <v>2025</v>
      </c>
      <c r="H27" s="397" t="s">
        <v>273</v>
      </c>
      <c r="I27" s="396">
        <v>0.25</v>
      </c>
      <c r="J27" s="396">
        <v>0.25</v>
      </c>
      <c r="K27" s="396">
        <v>0.25</v>
      </c>
      <c r="L27" s="396">
        <v>0.25</v>
      </c>
      <c r="M27" s="396">
        <v>0.25</v>
      </c>
      <c r="N27" s="396">
        <v>0.25</v>
      </c>
      <c r="O27" s="396">
        <v>0.25</v>
      </c>
      <c r="P27" s="396">
        <v>0.25</v>
      </c>
      <c r="Q27" s="396">
        <v>0.25</v>
      </c>
      <c r="R27" s="396">
        <v>0.25</v>
      </c>
      <c r="S27" s="396">
        <v>0.25</v>
      </c>
      <c r="T27" s="396">
        <v>0.25</v>
      </c>
      <c r="U27" s="396">
        <v>0.25</v>
      </c>
      <c r="V27" s="396">
        <v>0.25</v>
      </c>
      <c r="W27" s="396">
        <v>0.25</v>
      </c>
      <c r="X27" s="396">
        <v>0.25</v>
      </c>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ht="17.399999999999999" customHeight="1" x14ac:dyDescent="0.25">
      <c r="A28" s="578" t="s">
        <v>293</v>
      </c>
      <c r="B28" s="578" t="s">
        <v>60</v>
      </c>
      <c r="C28" s="578" t="s">
        <v>294</v>
      </c>
      <c r="D28" s="590" t="s">
        <v>287</v>
      </c>
      <c r="E28" s="578" t="s">
        <v>264</v>
      </c>
      <c r="F28" s="171" t="s">
        <v>265</v>
      </c>
      <c r="G28" s="418" t="s">
        <v>266</v>
      </c>
      <c r="H28" s="581" t="s">
        <v>288</v>
      </c>
      <c r="I28" s="169">
        <f>0.338*1.12+0.67*0.36</f>
        <v>0.61976000000000009</v>
      </c>
      <c r="J28" s="169">
        <f t="shared" ref="J28:X29" si="4">0.338*1.12+0.67*0.36</f>
        <v>0.61976000000000009</v>
      </c>
      <c r="K28" s="169">
        <f t="shared" si="4"/>
        <v>0.61976000000000009</v>
      </c>
      <c r="L28" s="169">
        <f t="shared" si="4"/>
        <v>0.61976000000000009</v>
      </c>
      <c r="M28" s="169">
        <f t="shared" si="4"/>
        <v>0.61976000000000009</v>
      </c>
      <c r="N28" s="169">
        <f t="shared" si="4"/>
        <v>0.61976000000000009</v>
      </c>
      <c r="O28" s="169">
        <f t="shared" si="4"/>
        <v>0.61976000000000009</v>
      </c>
      <c r="P28" s="169">
        <f t="shared" si="4"/>
        <v>0.61976000000000009</v>
      </c>
      <c r="Q28" s="169">
        <f t="shared" si="4"/>
        <v>0.61976000000000009</v>
      </c>
      <c r="R28" s="169">
        <f t="shared" si="4"/>
        <v>0.61976000000000009</v>
      </c>
      <c r="S28" s="169">
        <f t="shared" si="4"/>
        <v>0.61976000000000009</v>
      </c>
      <c r="T28" s="169">
        <f t="shared" si="4"/>
        <v>0.61976000000000009</v>
      </c>
      <c r="U28" s="169">
        <f t="shared" si="4"/>
        <v>0.61976000000000009</v>
      </c>
      <c r="V28" s="169">
        <f t="shared" si="4"/>
        <v>0.61976000000000009</v>
      </c>
      <c r="W28" s="169">
        <f t="shared" si="4"/>
        <v>0.61976000000000009</v>
      </c>
      <c r="X28" s="169">
        <f t="shared" si="4"/>
        <v>0.61976000000000009</v>
      </c>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ht="17.399999999999999" customHeight="1" x14ac:dyDescent="0.25">
      <c r="A29" s="579"/>
      <c r="B29" s="579"/>
      <c r="C29" s="579"/>
      <c r="D29" s="590"/>
      <c r="E29" s="579"/>
      <c r="F29" s="171" t="s">
        <v>268</v>
      </c>
      <c r="G29" s="418" t="s">
        <v>266</v>
      </c>
      <c r="H29" s="582"/>
      <c r="I29" s="169">
        <f>0.338*1.12+0.67*0.36</f>
        <v>0.61976000000000009</v>
      </c>
      <c r="J29" s="169">
        <f t="shared" si="4"/>
        <v>0.61976000000000009</v>
      </c>
      <c r="K29" s="169">
        <f t="shared" si="4"/>
        <v>0.61976000000000009</v>
      </c>
      <c r="L29" s="169">
        <f t="shared" si="4"/>
        <v>0.61976000000000009</v>
      </c>
      <c r="M29" s="169">
        <f t="shared" si="4"/>
        <v>0.61976000000000009</v>
      </c>
      <c r="N29" s="169">
        <f t="shared" si="4"/>
        <v>0.61976000000000009</v>
      </c>
      <c r="O29" s="169">
        <f t="shared" si="4"/>
        <v>0.61976000000000009</v>
      </c>
      <c r="P29" s="169">
        <f t="shared" si="4"/>
        <v>0.61976000000000009</v>
      </c>
      <c r="Q29" s="169">
        <f t="shared" si="4"/>
        <v>0.61976000000000009</v>
      </c>
      <c r="R29" s="169">
        <f t="shared" si="4"/>
        <v>0.61976000000000009</v>
      </c>
      <c r="S29" s="169">
        <f t="shared" si="4"/>
        <v>0.61976000000000009</v>
      </c>
      <c r="T29" s="169">
        <f t="shared" si="4"/>
        <v>0.61976000000000009</v>
      </c>
      <c r="U29" s="169">
        <f t="shared" si="4"/>
        <v>0.61976000000000009</v>
      </c>
      <c r="V29" s="169">
        <f t="shared" si="4"/>
        <v>0.61976000000000009</v>
      </c>
      <c r="W29" s="169">
        <f t="shared" si="4"/>
        <v>0.61976000000000009</v>
      </c>
      <c r="X29" s="169">
        <f t="shared" si="4"/>
        <v>0.61976000000000009</v>
      </c>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ht="17.399999999999999" customHeight="1" x14ac:dyDescent="0.25">
      <c r="A30" s="579"/>
      <c r="B30" s="579"/>
      <c r="C30" s="579"/>
      <c r="D30" s="583" t="s">
        <v>289</v>
      </c>
      <c r="E30" s="579"/>
      <c r="F30" s="173" t="s">
        <v>270</v>
      </c>
      <c r="G30" s="165">
        <v>2001</v>
      </c>
      <c r="H30" s="165" t="s">
        <v>279</v>
      </c>
      <c r="I30" s="170">
        <v>0.49</v>
      </c>
      <c r="J30" s="170">
        <v>0.49</v>
      </c>
      <c r="K30" s="170">
        <v>0.81</v>
      </c>
      <c r="L30" s="170">
        <v>0.81</v>
      </c>
      <c r="M30" s="170">
        <v>0.81</v>
      </c>
      <c r="N30" s="170">
        <v>0.81</v>
      </c>
      <c r="O30" s="170">
        <v>0.81</v>
      </c>
      <c r="P30" s="170">
        <v>0.81</v>
      </c>
      <c r="Q30" s="170">
        <v>0.81</v>
      </c>
      <c r="R30" s="170">
        <v>0.49</v>
      </c>
      <c r="S30" s="170">
        <v>0.49</v>
      </c>
      <c r="T30" s="170">
        <v>0.49</v>
      </c>
      <c r="U30" s="170">
        <v>0.49</v>
      </c>
      <c r="V30" s="170">
        <v>0.49</v>
      </c>
      <c r="W30" s="170">
        <v>0.49</v>
      </c>
      <c r="X30" s="170">
        <v>0.49</v>
      </c>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ht="17.399999999999999" customHeight="1" x14ac:dyDescent="0.25">
      <c r="A31" s="579"/>
      <c r="B31" s="579"/>
      <c r="C31" s="579"/>
      <c r="D31" s="584"/>
      <c r="E31" s="579"/>
      <c r="F31" s="398" t="s">
        <v>272</v>
      </c>
      <c r="G31" s="167">
        <v>2013</v>
      </c>
      <c r="H31" s="167" t="s">
        <v>280</v>
      </c>
      <c r="I31" s="167">
        <v>0.36</v>
      </c>
      <c r="J31" s="167">
        <v>0.36</v>
      </c>
      <c r="K31" s="167">
        <v>0.36</v>
      </c>
      <c r="L31" s="167">
        <v>0.36</v>
      </c>
      <c r="M31" s="167">
        <v>0.36</v>
      </c>
      <c r="N31" s="167">
        <v>0.36</v>
      </c>
      <c r="O31" s="167">
        <v>0.36</v>
      </c>
      <c r="P31" s="167">
        <v>0.36</v>
      </c>
      <c r="Q31" s="167">
        <v>0.36</v>
      </c>
      <c r="R31" s="167">
        <v>0.36</v>
      </c>
      <c r="S31" s="167">
        <v>0.36</v>
      </c>
      <c r="T31" s="167">
        <v>0.36</v>
      </c>
      <c r="U31" s="167">
        <v>0.36</v>
      </c>
      <c r="V31" s="167">
        <v>0.36</v>
      </c>
      <c r="W31" s="167">
        <v>0.36</v>
      </c>
      <c r="X31" s="167">
        <v>0.36</v>
      </c>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ht="17.399999999999999" customHeight="1" x14ac:dyDescent="0.25">
      <c r="A32" s="579"/>
      <c r="B32" s="579"/>
      <c r="C32" s="579"/>
      <c r="D32" s="585"/>
      <c r="E32" s="580"/>
      <c r="F32" s="399" t="s">
        <v>275</v>
      </c>
      <c r="G32" s="396">
        <v>2025</v>
      </c>
      <c r="H32" s="397" t="s">
        <v>280</v>
      </c>
      <c r="I32" s="397">
        <v>0.36</v>
      </c>
      <c r="J32" s="397">
        <v>0.36</v>
      </c>
      <c r="K32" s="397">
        <v>0.36</v>
      </c>
      <c r="L32" s="397">
        <v>0.36</v>
      </c>
      <c r="M32" s="397">
        <v>0.36</v>
      </c>
      <c r="N32" s="397">
        <v>0.36</v>
      </c>
      <c r="O32" s="397">
        <v>0.36</v>
      </c>
      <c r="P32" s="397">
        <v>0.36</v>
      </c>
      <c r="Q32" s="397">
        <v>0.34</v>
      </c>
      <c r="R32" s="397">
        <v>0.36</v>
      </c>
      <c r="S32" s="396">
        <v>0.34</v>
      </c>
      <c r="T32" s="396">
        <v>0.34</v>
      </c>
      <c r="U32" s="396">
        <v>0.34</v>
      </c>
      <c r="V32" s="396">
        <v>0.34</v>
      </c>
      <c r="W32" s="396">
        <v>0.34</v>
      </c>
      <c r="X32" s="396">
        <v>0.36</v>
      </c>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ht="18" customHeight="1" x14ac:dyDescent="0.25">
      <c r="A33" s="579"/>
      <c r="B33" s="579"/>
      <c r="C33" s="579"/>
      <c r="D33" s="581" t="s">
        <v>287</v>
      </c>
      <c r="E33" s="578" t="s">
        <v>290</v>
      </c>
      <c r="F33" s="171" t="s">
        <v>265</v>
      </c>
      <c r="G33" s="418" t="s">
        <v>266</v>
      </c>
      <c r="H33" s="581" t="s">
        <v>291</v>
      </c>
      <c r="I33" s="169">
        <f>0.79*0.33+0.67*I36</f>
        <v>0.42820000000000003</v>
      </c>
      <c r="J33" s="169">
        <f t="shared" ref="J33:X33" si="5">0.79*0.33+0.67*J36</f>
        <v>0.42820000000000003</v>
      </c>
      <c r="K33" s="169">
        <f t="shared" si="5"/>
        <v>0.42820000000000003</v>
      </c>
      <c r="L33" s="169">
        <f t="shared" si="5"/>
        <v>0.42820000000000003</v>
      </c>
      <c r="M33" s="169">
        <f t="shared" si="5"/>
        <v>0.42820000000000003</v>
      </c>
      <c r="N33" s="169">
        <f t="shared" si="5"/>
        <v>0.42820000000000003</v>
      </c>
      <c r="O33" s="169">
        <f t="shared" si="5"/>
        <v>0.42820000000000003</v>
      </c>
      <c r="P33" s="169">
        <f t="shared" si="5"/>
        <v>0.42820000000000003</v>
      </c>
      <c r="Q33" s="169">
        <f t="shared" si="5"/>
        <v>0.42820000000000003</v>
      </c>
      <c r="R33" s="169">
        <f t="shared" si="5"/>
        <v>0.42820000000000003</v>
      </c>
      <c r="S33" s="169">
        <f t="shared" si="5"/>
        <v>0.42820000000000003</v>
      </c>
      <c r="T33" s="169">
        <f t="shared" si="5"/>
        <v>0.42820000000000003</v>
      </c>
      <c r="U33" s="169">
        <f t="shared" si="5"/>
        <v>0.42820000000000003</v>
      </c>
      <c r="V33" s="169">
        <f t="shared" si="5"/>
        <v>0.42820000000000003</v>
      </c>
      <c r="W33" s="169">
        <f t="shared" si="5"/>
        <v>0.42820000000000003</v>
      </c>
      <c r="X33" s="169">
        <f t="shared" si="5"/>
        <v>0.42820000000000003</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ht="18" customHeight="1" x14ac:dyDescent="0.25">
      <c r="A34" s="579"/>
      <c r="B34" s="579"/>
      <c r="C34" s="579"/>
      <c r="D34" s="582"/>
      <c r="E34" s="579"/>
      <c r="F34" s="171" t="s">
        <v>268</v>
      </c>
      <c r="G34" s="418" t="s">
        <v>266</v>
      </c>
      <c r="H34" s="582"/>
      <c r="I34" s="169">
        <f>0.79*0.33+0.67*I36</f>
        <v>0.42820000000000003</v>
      </c>
      <c r="J34" s="169">
        <f t="shared" ref="J34:X34" si="6">0.79*0.33+0.67*J36</f>
        <v>0.42820000000000003</v>
      </c>
      <c r="K34" s="169">
        <f t="shared" si="6"/>
        <v>0.42820000000000003</v>
      </c>
      <c r="L34" s="169">
        <f t="shared" si="6"/>
        <v>0.42820000000000003</v>
      </c>
      <c r="M34" s="169">
        <f t="shared" si="6"/>
        <v>0.42820000000000003</v>
      </c>
      <c r="N34" s="169">
        <f t="shared" si="6"/>
        <v>0.42820000000000003</v>
      </c>
      <c r="O34" s="169">
        <f t="shared" si="6"/>
        <v>0.42820000000000003</v>
      </c>
      <c r="P34" s="169">
        <f t="shared" si="6"/>
        <v>0.42820000000000003</v>
      </c>
      <c r="Q34" s="169">
        <f t="shared" si="6"/>
        <v>0.42820000000000003</v>
      </c>
      <c r="R34" s="169">
        <f t="shared" si="6"/>
        <v>0.42820000000000003</v>
      </c>
      <c r="S34" s="169">
        <f t="shared" si="6"/>
        <v>0.42820000000000003</v>
      </c>
      <c r="T34" s="169">
        <f t="shared" si="6"/>
        <v>0.42820000000000003</v>
      </c>
      <c r="U34" s="169">
        <f t="shared" si="6"/>
        <v>0.42820000000000003</v>
      </c>
      <c r="V34" s="169">
        <f t="shared" si="6"/>
        <v>0.42820000000000003</v>
      </c>
      <c r="W34" s="169">
        <f t="shared" si="6"/>
        <v>0.42820000000000003</v>
      </c>
      <c r="X34" s="169">
        <f t="shared" si="6"/>
        <v>0.42820000000000003</v>
      </c>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ht="18" customHeight="1" x14ac:dyDescent="0.25">
      <c r="A35" s="579"/>
      <c r="B35" s="579"/>
      <c r="C35" s="579"/>
      <c r="D35" s="578" t="s">
        <v>289</v>
      </c>
      <c r="E35" s="579"/>
      <c r="F35" s="173" t="s">
        <v>270</v>
      </c>
      <c r="G35" s="165">
        <v>2001</v>
      </c>
      <c r="H35" s="405" t="s">
        <v>295</v>
      </c>
      <c r="I35" s="170">
        <v>0.43</v>
      </c>
      <c r="J35" s="170">
        <v>0.36</v>
      </c>
      <c r="K35" s="170">
        <v>0.55000000000000004</v>
      </c>
      <c r="L35" s="170">
        <v>0.55000000000000004</v>
      </c>
      <c r="M35" s="170">
        <v>0.55000000000000004</v>
      </c>
      <c r="N35" s="170">
        <v>0.61</v>
      </c>
      <c r="O35" s="170">
        <v>0.61</v>
      </c>
      <c r="P35" s="170">
        <v>0.61</v>
      </c>
      <c r="Q35" s="170">
        <v>0.61</v>
      </c>
      <c r="R35" s="170">
        <v>0.36</v>
      </c>
      <c r="S35" s="170">
        <v>0.36</v>
      </c>
      <c r="T35" s="170">
        <v>0.36</v>
      </c>
      <c r="U35" s="170">
        <v>0.36</v>
      </c>
      <c r="V35" s="170">
        <v>0.36</v>
      </c>
      <c r="W35" s="170">
        <v>0.36</v>
      </c>
      <c r="X35" s="170">
        <v>0.43</v>
      </c>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ht="18" customHeight="1" x14ac:dyDescent="0.25">
      <c r="A36" s="579"/>
      <c r="B36" s="579"/>
      <c r="C36" s="579"/>
      <c r="D36" s="579"/>
      <c r="E36" s="579"/>
      <c r="F36" s="398" t="s">
        <v>272</v>
      </c>
      <c r="G36" s="167">
        <v>2013</v>
      </c>
      <c r="H36" s="167" t="s">
        <v>280</v>
      </c>
      <c r="I36" s="167">
        <v>0.25</v>
      </c>
      <c r="J36" s="167">
        <v>0.25</v>
      </c>
      <c r="K36" s="167">
        <v>0.25</v>
      </c>
      <c r="L36" s="167">
        <v>0.25</v>
      </c>
      <c r="M36" s="167">
        <v>0.25</v>
      </c>
      <c r="N36" s="167">
        <v>0.25</v>
      </c>
      <c r="O36" s="167">
        <v>0.25</v>
      </c>
      <c r="P36" s="167">
        <v>0.25</v>
      </c>
      <c r="Q36" s="167">
        <v>0.25</v>
      </c>
      <c r="R36" s="167">
        <v>0.25</v>
      </c>
      <c r="S36" s="167">
        <v>0.25</v>
      </c>
      <c r="T36" s="167">
        <v>0.25</v>
      </c>
      <c r="U36" s="167">
        <v>0.25</v>
      </c>
      <c r="V36" s="167">
        <v>0.25</v>
      </c>
      <c r="W36" s="167">
        <v>0.25</v>
      </c>
      <c r="X36" s="167">
        <v>0.25</v>
      </c>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ht="18" customHeight="1" x14ac:dyDescent="0.25">
      <c r="A37" s="580"/>
      <c r="B37" s="580"/>
      <c r="C37" s="580"/>
      <c r="D37" s="580"/>
      <c r="E37" s="580"/>
      <c r="F37" s="399" t="s">
        <v>275</v>
      </c>
      <c r="G37" s="396">
        <v>2025</v>
      </c>
      <c r="H37" s="397" t="s">
        <v>280</v>
      </c>
      <c r="I37" s="396">
        <v>0.25</v>
      </c>
      <c r="J37" s="396">
        <v>0.25</v>
      </c>
      <c r="K37" s="396">
        <v>0.25</v>
      </c>
      <c r="L37" s="396">
        <v>0.25</v>
      </c>
      <c r="M37" s="396">
        <v>0.25</v>
      </c>
      <c r="N37" s="396">
        <v>0.25</v>
      </c>
      <c r="O37" s="396">
        <v>0.25</v>
      </c>
      <c r="P37" s="396">
        <v>0.25</v>
      </c>
      <c r="Q37" s="396">
        <v>0.22</v>
      </c>
      <c r="R37" s="396">
        <v>0.25</v>
      </c>
      <c r="S37" s="396">
        <v>0.22</v>
      </c>
      <c r="T37" s="396">
        <v>0.22</v>
      </c>
      <c r="U37" s="396">
        <v>0.22</v>
      </c>
      <c r="V37" s="396">
        <v>0.22</v>
      </c>
      <c r="W37" s="396">
        <v>0.22</v>
      </c>
      <c r="X37" s="396">
        <v>0.25</v>
      </c>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ht="22.9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ht="21" customHeight="1" x14ac:dyDescent="0.25">
      <c r="A39" s="3"/>
      <c r="B39" s="3"/>
      <c r="C39" s="574" t="s">
        <v>296</v>
      </c>
      <c r="D39" s="574"/>
      <c r="E39" s="574"/>
      <c r="F39" s="574"/>
      <c r="G39" s="574"/>
      <c r="H39" s="574"/>
      <c r="I39" s="574"/>
      <c r="J39" s="574"/>
      <c r="K39" s="574"/>
      <c r="L39" s="574"/>
      <c r="M39" s="574"/>
      <c r="N39" s="574"/>
      <c r="O39" s="574"/>
      <c r="P39" s="574"/>
      <c r="Q39" s="574"/>
      <c r="R39" s="574"/>
      <c r="S39" s="574"/>
      <c r="T39" s="574"/>
      <c r="U39" s="574"/>
      <c r="V39" s="574"/>
      <c r="W39" s="574"/>
      <c r="X39" s="574"/>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ht="39.6" customHeight="1" x14ac:dyDescent="0.25">
      <c r="A40" s="3"/>
      <c r="B40" s="3"/>
      <c r="C40" s="474"/>
      <c r="D40" s="474" t="s">
        <v>105</v>
      </c>
      <c r="E40" s="474" t="s">
        <v>297</v>
      </c>
      <c r="F40" s="52" t="s">
        <v>243</v>
      </c>
      <c r="G40" s="133" t="s">
        <v>298</v>
      </c>
      <c r="H40" s="133" t="s">
        <v>230</v>
      </c>
      <c r="I40" s="586" t="s">
        <v>299</v>
      </c>
      <c r="J40" s="587"/>
      <c r="K40" s="587"/>
      <c r="L40" s="587"/>
      <c r="M40" s="587"/>
      <c r="N40" s="587"/>
      <c r="O40" s="587"/>
      <c r="P40" s="587"/>
      <c r="Q40" s="587"/>
      <c r="R40" s="587"/>
      <c r="S40" s="587"/>
      <c r="T40" s="587"/>
      <c r="U40" s="587"/>
      <c r="V40" s="587"/>
      <c r="W40" s="587"/>
      <c r="X40" s="588"/>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ht="21.6" customHeight="1" x14ac:dyDescent="0.25">
      <c r="A41" s="3"/>
      <c r="B41" s="3"/>
      <c r="C41" s="571" t="s">
        <v>296</v>
      </c>
      <c r="D41" s="571" t="s">
        <v>60</v>
      </c>
      <c r="E41" s="571"/>
      <c r="F41" s="160" t="s">
        <v>265</v>
      </c>
      <c r="G41" s="160">
        <v>1.1000000000000001</v>
      </c>
      <c r="H41" s="174" t="s">
        <v>300</v>
      </c>
      <c r="I41" s="590">
        <v>0.31440000000000001</v>
      </c>
      <c r="J41" s="590"/>
      <c r="K41" s="590"/>
      <c r="L41" s="590"/>
      <c r="M41" s="590"/>
      <c r="N41" s="590"/>
      <c r="O41" s="590"/>
      <c r="P41" s="590"/>
      <c r="Q41" s="590"/>
      <c r="R41" s="590"/>
      <c r="S41" s="590"/>
      <c r="T41" s="590"/>
      <c r="U41" s="590"/>
      <c r="V41" s="590"/>
      <c r="W41" s="590"/>
      <c r="X41" s="590"/>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row r="42" spans="1:66" ht="21.6" customHeight="1" x14ac:dyDescent="0.25">
      <c r="A42" s="3"/>
      <c r="B42" s="3"/>
      <c r="C42" s="572"/>
      <c r="D42" s="572"/>
      <c r="E42" s="572"/>
      <c r="F42" s="160" t="s">
        <v>268</v>
      </c>
      <c r="G42" s="160">
        <v>1.1000000000000001</v>
      </c>
      <c r="H42" s="174" t="s">
        <v>300</v>
      </c>
      <c r="I42" s="590">
        <v>0.31440000000000001</v>
      </c>
      <c r="J42" s="590"/>
      <c r="K42" s="590"/>
      <c r="L42" s="590"/>
      <c r="M42" s="590"/>
      <c r="N42" s="590"/>
      <c r="O42" s="590"/>
      <c r="P42" s="590"/>
      <c r="Q42" s="590"/>
      <c r="R42" s="590"/>
      <c r="S42" s="590"/>
      <c r="T42" s="590"/>
      <c r="U42" s="590"/>
      <c r="V42" s="590"/>
      <c r="W42" s="590"/>
      <c r="X42" s="590"/>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row>
    <row r="43" spans="1:66" ht="21.6" customHeight="1" x14ac:dyDescent="0.25">
      <c r="A43" s="3"/>
      <c r="B43" s="3"/>
      <c r="C43" s="572"/>
      <c r="D43" s="572"/>
      <c r="E43" s="572"/>
      <c r="F43" s="160" t="s">
        <v>270</v>
      </c>
      <c r="G43" s="160">
        <v>1.1000000000000001</v>
      </c>
      <c r="H43" s="174" t="s">
        <v>300</v>
      </c>
      <c r="I43" s="590">
        <v>0.31440000000000001</v>
      </c>
      <c r="J43" s="590"/>
      <c r="K43" s="590"/>
      <c r="L43" s="590"/>
      <c r="M43" s="590"/>
      <c r="N43" s="590"/>
      <c r="O43" s="590"/>
      <c r="P43" s="590"/>
      <c r="Q43" s="590"/>
      <c r="R43" s="590"/>
      <c r="S43" s="590"/>
      <c r="T43" s="590"/>
      <c r="U43" s="590"/>
      <c r="V43" s="590"/>
      <c r="W43" s="590"/>
      <c r="X43" s="590"/>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row>
    <row r="44" spans="1:66" ht="34.200000000000003" customHeight="1" x14ac:dyDescent="0.25">
      <c r="A44" s="3"/>
      <c r="B44" s="3"/>
      <c r="C44" s="572"/>
      <c r="D44" s="572"/>
      <c r="E44" s="572"/>
      <c r="F44" s="160" t="s">
        <v>272</v>
      </c>
      <c r="G44" s="160" t="s">
        <v>301</v>
      </c>
      <c r="H44" s="421" t="s">
        <v>302</v>
      </c>
      <c r="I44" s="590">
        <v>0.28770000000000001</v>
      </c>
      <c r="J44" s="590"/>
      <c r="K44" s="590"/>
      <c r="L44" s="590"/>
      <c r="M44" s="590"/>
      <c r="N44" s="590"/>
      <c r="O44" s="590"/>
      <c r="P44" s="590"/>
      <c r="Q44" s="590"/>
      <c r="R44" s="590"/>
      <c r="S44" s="590"/>
      <c r="T44" s="590"/>
      <c r="U44" s="590"/>
      <c r="V44" s="590"/>
      <c r="W44" s="590"/>
      <c r="X44" s="590"/>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row>
    <row r="45" spans="1:66" ht="34.200000000000003" customHeight="1" x14ac:dyDescent="0.25">
      <c r="A45" s="3"/>
      <c r="B45" s="3"/>
      <c r="C45" s="573"/>
      <c r="D45" s="573"/>
      <c r="E45" s="573"/>
      <c r="F45" s="160" t="s">
        <v>275</v>
      </c>
      <c r="G45" s="160" t="s">
        <v>303</v>
      </c>
      <c r="H45" s="421" t="s">
        <v>304</v>
      </c>
      <c r="I45" s="590">
        <v>0.17150000000000001</v>
      </c>
      <c r="J45" s="590"/>
      <c r="K45" s="590"/>
      <c r="L45" s="590"/>
      <c r="M45" s="590"/>
      <c r="N45" s="590"/>
      <c r="O45" s="590"/>
      <c r="P45" s="590"/>
      <c r="Q45" s="590"/>
      <c r="R45" s="590"/>
      <c r="S45" s="590"/>
      <c r="T45" s="590"/>
      <c r="U45" s="590"/>
      <c r="V45" s="590"/>
      <c r="W45" s="590"/>
      <c r="X45" s="590"/>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row>
    <row r="46" spans="1:66" s="3" customFormat="1" ht="14.4" x14ac:dyDescent="0.3">
      <c r="B46" s="154"/>
      <c r="E46" s="577" t="s">
        <v>47</v>
      </c>
      <c r="F46" s="577"/>
      <c r="G46" s="577"/>
      <c r="H46" s="577"/>
      <c r="I46" s="577"/>
      <c r="J46" s="577"/>
      <c r="K46" s="577"/>
      <c r="L46" s="577"/>
      <c r="M46" s="577"/>
      <c r="N46" s="577"/>
      <c r="O46" s="577"/>
      <c r="P46" s="577"/>
      <c r="Q46" s="577"/>
      <c r="R46" s="577"/>
      <c r="S46" s="577"/>
      <c r="T46" s="577"/>
      <c r="U46" s="577"/>
      <c r="V46" s="577"/>
      <c r="W46" s="577"/>
      <c r="X46" s="577"/>
    </row>
    <row r="47" spans="1:66" s="143" customFormat="1" ht="22.2" customHeight="1" x14ac:dyDescent="0.3">
      <c r="B47" s="181"/>
      <c r="E47" s="555" t="s">
        <v>305</v>
      </c>
      <c r="F47" s="555"/>
      <c r="G47" s="555"/>
      <c r="H47" s="555"/>
      <c r="I47" s="555"/>
      <c r="J47" s="555"/>
      <c r="K47" s="555"/>
      <c r="L47" s="555"/>
      <c r="M47" s="555"/>
      <c r="N47" s="555"/>
      <c r="O47" s="555"/>
      <c r="P47" s="555"/>
      <c r="Q47" s="555"/>
      <c r="R47" s="555"/>
      <c r="S47" s="555"/>
      <c r="T47" s="555"/>
      <c r="U47" s="555"/>
      <c r="V47" s="555"/>
      <c r="W47" s="555"/>
      <c r="X47" s="555"/>
    </row>
    <row r="48" spans="1:66" s="3" customFormat="1" ht="83.4" customHeight="1" x14ac:dyDescent="0.25">
      <c r="B48" s="154"/>
      <c r="E48" s="576" t="s">
        <v>306</v>
      </c>
      <c r="F48" s="576"/>
      <c r="G48" s="576"/>
      <c r="H48" s="576"/>
      <c r="I48" s="576"/>
      <c r="J48" s="576"/>
      <c r="K48" s="576"/>
      <c r="L48" s="576"/>
      <c r="M48" s="576"/>
      <c r="N48" s="576"/>
      <c r="O48" s="576"/>
      <c r="P48" s="576"/>
      <c r="Q48" s="576"/>
      <c r="R48" s="576"/>
      <c r="S48" s="576"/>
      <c r="T48" s="576"/>
      <c r="U48" s="576"/>
      <c r="V48" s="576"/>
      <c r="W48" s="576"/>
      <c r="X48" s="576"/>
    </row>
    <row r="49" spans="1:66" s="3" customFormat="1" x14ac:dyDescent="0.25">
      <c r="B49" s="154"/>
      <c r="E49" s="555"/>
      <c r="F49" s="555"/>
      <c r="G49" s="555"/>
      <c r="H49" s="555"/>
      <c r="I49" s="555"/>
      <c r="J49" s="555"/>
      <c r="K49" s="555"/>
      <c r="L49" s="555"/>
      <c r="M49" s="555"/>
      <c r="N49" s="555"/>
      <c r="O49" s="555"/>
      <c r="P49" s="555"/>
      <c r="Q49" s="555"/>
      <c r="R49" s="555"/>
      <c r="S49" s="555"/>
      <c r="T49" s="555"/>
      <c r="U49" s="555"/>
      <c r="V49" s="555"/>
      <c r="W49" s="555"/>
      <c r="X49" s="555"/>
    </row>
    <row r="50" spans="1:66" s="3" customFormat="1" ht="14.4" customHeight="1" x14ac:dyDescent="0.25">
      <c r="B50" s="154"/>
      <c r="E50" s="575" t="s">
        <v>307</v>
      </c>
      <c r="F50" s="575"/>
      <c r="G50" s="575"/>
      <c r="H50" s="575"/>
      <c r="I50" s="575"/>
      <c r="J50" s="575"/>
      <c r="K50" s="575"/>
      <c r="L50" s="575"/>
      <c r="M50" s="575"/>
      <c r="N50" s="575"/>
      <c r="O50" s="575"/>
      <c r="P50" s="575"/>
      <c r="Q50" s="575"/>
      <c r="R50" s="575"/>
      <c r="S50" s="575"/>
      <c r="T50" s="575"/>
      <c r="U50" s="575"/>
      <c r="V50" s="575"/>
      <c r="W50" s="575"/>
      <c r="X50" s="575"/>
    </row>
    <row r="51" spans="1:66" x14ac:dyDescent="0.25">
      <c r="A51" s="3"/>
      <c r="B51" s="154"/>
      <c r="C51" s="3"/>
      <c r="D51" s="3"/>
      <c r="E51" s="12"/>
      <c r="F51" s="12"/>
      <c r="G51" s="12"/>
      <c r="H51" s="12"/>
      <c r="I51" s="12"/>
      <c r="J51" s="12"/>
      <c r="K51" s="12"/>
      <c r="L51" s="12"/>
      <c r="M51" s="12"/>
      <c r="N51" s="12"/>
      <c r="O51" s="12"/>
      <c r="P51" s="12"/>
      <c r="Q51" s="12"/>
      <c r="R51" s="12"/>
      <c r="S51" s="12"/>
      <c r="T51" s="12"/>
      <c r="U51" s="12"/>
      <c r="V51" s="12"/>
      <c r="W51" s="12"/>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row>
  </sheetData>
  <mergeCells count="54">
    <mergeCell ref="A1:X1"/>
    <mergeCell ref="D23:D24"/>
    <mergeCell ref="C13:C17"/>
    <mergeCell ref="B13:B17"/>
    <mergeCell ref="A13:A17"/>
    <mergeCell ref="A3:A7"/>
    <mergeCell ref="B3:B7"/>
    <mergeCell ref="H13:H14"/>
    <mergeCell ref="E8:E12"/>
    <mergeCell ref="A8:A12"/>
    <mergeCell ref="B8:B12"/>
    <mergeCell ref="C8:C12"/>
    <mergeCell ref="D8:D12"/>
    <mergeCell ref="E3:E7"/>
    <mergeCell ref="D3:D7"/>
    <mergeCell ref="C3:C7"/>
    <mergeCell ref="E13:E17"/>
    <mergeCell ref="D13:D17"/>
    <mergeCell ref="I40:X40"/>
    <mergeCell ref="E41:E45"/>
    <mergeCell ref="E28:E32"/>
    <mergeCell ref="D20:D22"/>
    <mergeCell ref="E18:E22"/>
    <mergeCell ref="D18:D19"/>
    <mergeCell ref="D28:D29"/>
    <mergeCell ref="D30:D32"/>
    <mergeCell ref="I44:X44"/>
    <mergeCell ref="I43:X43"/>
    <mergeCell ref="I42:X42"/>
    <mergeCell ref="I45:X45"/>
    <mergeCell ref="I41:X41"/>
    <mergeCell ref="H18:H19"/>
    <mergeCell ref="H23:H24"/>
    <mergeCell ref="H28:H29"/>
    <mergeCell ref="H33:H34"/>
    <mergeCell ref="D33:D34"/>
    <mergeCell ref="E23:E27"/>
    <mergeCell ref="D25:D27"/>
    <mergeCell ref="E33:E37"/>
    <mergeCell ref="D35:D37"/>
    <mergeCell ref="A28:A37"/>
    <mergeCell ref="A18:A27"/>
    <mergeCell ref="B18:B27"/>
    <mergeCell ref="C18:C27"/>
    <mergeCell ref="B28:B37"/>
    <mergeCell ref="C28:C37"/>
    <mergeCell ref="C41:C45"/>
    <mergeCell ref="D41:D45"/>
    <mergeCell ref="C39:X39"/>
    <mergeCell ref="E50:X50"/>
    <mergeCell ref="E47:X47"/>
    <mergeCell ref="E48:X48"/>
    <mergeCell ref="E46:X46"/>
    <mergeCell ref="E49:X49"/>
  </mergeCells>
  <phoneticPr fontId="5" type="noConversion"/>
  <hyperlinks>
    <hyperlink ref="H41" r:id="rId1" xr:uid="{8E627805-0D71-4CE0-8DCD-B56FF7F9D45D}"/>
    <hyperlink ref="E46"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789A677C-CF10-4A88-A0D2-CAFD5BCA875F}"/>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92"/>
  <sheetViews>
    <sheetView zoomScale="90" zoomScaleNormal="90" workbookViewId="0">
      <selection sqref="A1:F1"/>
    </sheetView>
  </sheetViews>
  <sheetFormatPr defaultColWidth="8.6640625" defaultRowHeight="13.2" x14ac:dyDescent="0.25"/>
  <cols>
    <col min="1" max="1" width="20.33203125" style="5" customWidth="1"/>
    <col min="2" max="2" width="28.33203125" style="5" customWidth="1"/>
    <col min="3" max="3" width="29.109375" style="5" customWidth="1"/>
    <col min="4" max="4" width="31" style="5" customWidth="1"/>
    <col min="5" max="5" width="27.5546875" style="5" customWidth="1"/>
    <col min="6" max="6" width="32.6640625" style="5" customWidth="1"/>
    <col min="7" max="7" width="81.6640625" style="5" bestFit="1" customWidth="1"/>
    <col min="8" max="8" width="36.109375" style="5" customWidth="1"/>
    <col min="9" max="11" width="12.6640625" style="5" customWidth="1"/>
    <col min="12" max="19" width="15.33203125" style="5" customWidth="1"/>
    <col min="20" max="20" width="14.6640625" style="5" customWidth="1"/>
    <col min="21" max="21" width="13.5546875" style="5" customWidth="1"/>
    <col min="22" max="22" width="15.6640625" style="5" customWidth="1"/>
    <col min="23" max="29" width="11" style="5" customWidth="1"/>
    <col min="30" max="38" width="6.5546875" style="5" customWidth="1"/>
    <col min="39" max="39" width="8.6640625" style="5" customWidth="1"/>
    <col min="40" max="16384" width="8.6640625" style="5"/>
  </cols>
  <sheetData>
    <row r="1" spans="1:9" ht="27" customHeight="1" x14ac:dyDescent="0.25">
      <c r="A1" s="591" t="str">
        <f>"HVAC system - "&amp;Prototype!A2</f>
        <v>HVAC system - HotelSmall</v>
      </c>
      <c r="B1" s="591"/>
      <c r="C1" s="591"/>
      <c r="D1" s="591"/>
      <c r="E1" s="591"/>
      <c r="F1" s="591"/>
      <c r="G1" s="420"/>
    </row>
    <row r="2" spans="1:9" ht="22.2" customHeight="1" x14ac:dyDescent="0.25">
      <c r="A2" s="52" t="s">
        <v>243</v>
      </c>
      <c r="B2" s="125" t="s">
        <v>297</v>
      </c>
      <c r="C2" s="125" t="s">
        <v>308</v>
      </c>
      <c r="D2" s="125" t="s">
        <v>309</v>
      </c>
      <c r="E2" s="125" t="s">
        <v>310</v>
      </c>
      <c r="F2" s="125" t="s">
        <v>230</v>
      </c>
      <c r="G2" s="125" t="s">
        <v>311</v>
      </c>
    </row>
    <row r="3" spans="1:9" ht="31.95" customHeight="1" x14ac:dyDescent="0.25">
      <c r="A3" s="590" t="s">
        <v>312</v>
      </c>
      <c r="B3" s="419" t="s">
        <v>313</v>
      </c>
      <c r="C3" s="426" t="s">
        <v>314</v>
      </c>
      <c r="D3" s="418" t="s">
        <v>315</v>
      </c>
      <c r="E3" s="418"/>
      <c r="F3" s="419" t="s">
        <v>316</v>
      </c>
      <c r="G3" s="418"/>
      <c r="H3" s="394"/>
      <c r="I3" s="394"/>
    </row>
    <row r="4" spans="1:9" ht="13.2" customHeight="1" x14ac:dyDescent="0.25">
      <c r="A4" s="590"/>
      <c r="B4" s="590" t="s">
        <v>317</v>
      </c>
      <c r="C4" s="610" t="s">
        <v>314</v>
      </c>
      <c r="D4" s="589" t="s">
        <v>315</v>
      </c>
      <c r="E4" s="604"/>
      <c r="F4" s="590" t="s">
        <v>316</v>
      </c>
      <c r="G4" s="590"/>
      <c r="H4" s="119"/>
      <c r="I4" s="119"/>
    </row>
    <row r="5" spans="1:9" ht="22.2" customHeight="1" x14ac:dyDescent="0.25">
      <c r="A5" s="590"/>
      <c r="B5" s="590"/>
      <c r="C5" s="610"/>
      <c r="D5" s="589"/>
      <c r="E5" s="604"/>
      <c r="F5" s="590"/>
      <c r="G5" s="590"/>
    </row>
    <row r="6" spans="1:9" ht="50.25" customHeight="1" x14ac:dyDescent="0.25">
      <c r="A6" s="589" t="s">
        <v>318</v>
      </c>
      <c r="B6" s="419" t="s">
        <v>313</v>
      </c>
      <c r="C6" s="257" t="s">
        <v>319</v>
      </c>
      <c r="D6" s="464" t="s">
        <v>319</v>
      </c>
      <c r="E6" s="418"/>
      <c r="F6" s="418" t="s">
        <v>320</v>
      </c>
      <c r="G6" s="419" t="s">
        <v>321</v>
      </c>
      <c r="H6" s="413"/>
    </row>
    <row r="7" spans="1:9" ht="31.95" customHeight="1" x14ac:dyDescent="0.25">
      <c r="A7" s="589"/>
      <c r="B7" s="419" t="s">
        <v>317</v>
      </c>
      <c r="C7" s="257" t="s">
        <v>322</v>
      </c>
      <c r="D7" s="424" t="s">
        <v>323</v>
      </c>
      <c r="E7" s="419" t="s">
        <v>324</v>
      </c>
      <c r="F7" s="418" t="s">
        <v>325</v>
      </c>
      <c r="G7" s="419" t="s">
        <v>326</v>
      </c>
    </row>
    <row r="8" spans="1:9" ht="17.7" customHeight="1" x14ac:dyDescent="0.25">
      <c r="A8" s="394"/>
    </row>
    <row r="9" spans="1:9" ht="17.7" customHeight="1" x14ac:dyDescent="0.25"/>
    <row r="10" spans="1:9" ht="17.7" customHeight="1" x14ac:dyDescent="0.25"/>
    <row r="11" spans="1:9" ht="48" customHeight="1" x14ac:dyDescent="0.25">
      <c r="A11" s="599" t="s">
        <v>327</v>
      </c>
      <c r="B11" s="600"/>
      <c r="C11" s="600"/>
      <c r="D11" s="600"/>
      <c r="E11" s="600"/>
      <c r="F11" s="600"/>
      <c r="G11" s="601"/>
      <c r="H11" s="146"/>
    </row>
    <row r="12" spans="1:9" ht="37.950000000000003" customHeight="1" x14ac:dyDescent="0.25">
      <c r="A12" s="52" t="s">
        <v>243</v>
      </c>
      <c r="B12" s="52" t="s">
        <v>328</v>
      </c>
      <c r="C12" s="141" t="s">
        <v>329</v>
      </c>
      <c r="D12" s="141" t="s">
        <v>330</v>
      </c>
      <c r="E12" s="436" t="s">
        <v>331</v>
      </c>
      <c r="F12" s="125" t="s">
        <v>332</v>
      </c>
      <c r="G12" s="52" t="s">
        <v>311</v>
      </c>
    </row>
    <row r="13" spans="1:9" ht="16.95" customHeight="1" x14ac:dyDescent="0.25">
      <c r="A13" s="160" t="s">
        <v>265</v>
      </c>
      <c r="B13" s="608">
        <v>2008</v>
      </c>
      <c r="C13" s="607" t="s">
        <v>333</v>
      </c>
      <c r="D13" s="602" t="s">
        <v>334</v>
      </c>
      <c r="E13" s="602" t="s">
        <v>334</v>
      </c>
      <c r="F13" s="603" t="s">
        <v>335</v>
      </c>
      <c r="G13" s="609"/>
    </row>
    <row r="14" spans="1:9" ht="21" customHeight="1" x14ac:dyDescent="0.25">
      <c r="A14" s="160" t="s">
        <v>268</v>
      </c>
      <c r="B14" s="608"/>
      <c r="C14" s="607"/>
      <c r="D14" s="602"/>
      <c r="E14" s="602"/>
      <c r="F14" s="603"/>
      <c r="G14" s="609"/>
    </row>
    <row r="15" spans="1:9" ht="21.6" customHeight="1" x14ac:dyDescent="0.25">
      <c r="A15" s="160" t="s">
        <v>270</v>
      </c>
      <c r="B15" s="608"/>
      <c r="C15" s="607"/>
      <c r="D15" s="602"/>
      <c r="E15" s="602"/>
      <c r="F15" s="603"/>
      <c r="G15" s="609"/>
    </row>
    <row r="16" spans="1:9" ht="33.6" customHeight="1" x14ac:dyDescent="0.25">
      <c r="A16" s="160" t="s">
        <v>272</v>
      </c>
      <c r="B16" s="139">
        <v>2013</v>
      </c>
      <c r="C16" s="160" t="s">
        <v>333</v>
      </c>
      <c r="D16" s="189" t="s">
        <v>334</v>
      </c>
      <c r="E16" s="190" t="s">
        <v>334</v>
      </c>
      <c r="F16" s="140" t="s">
        <v>336</v>
      </c>
      <c r="G16" s="475"/>
    </row>
    <row r="17" spans="1:8" ht="66" customHeight="1" x14ac:dyDescent="0.25">
      <c r="A17" s="391" t="s">
        <v>318</v>
      </c>
      <c r="B17" s="139">
        <v>2025</v>
      </c>
      <c r="C17" s="160" t="s">
        <v>333</v>
      </c>
      <c r="D17" s="421" t="s">
        <v>337</v>
      </c>
      <c r="E17" s="421" t="s">
        <v>338</v>
      </c>
      <c r="F17" s="140" t="s">
        <v>339</v>
      </c>
      <c r="G17" s="475" t="s">
        <v>340</v>
      </c>
    </row>
    <row r="18" spans="1:8" ht="20.399999999999999" customHeight="1" x14ac:dyDescent="0.25">
      <c r="A18" s="7"/>
      <c r="B18" s="7"/>
      <c r="C18" s="416"/>
      <c r="D18" s="416"/>
      <c r="E18" s="157"/>
      <c r="F18" s="158"/>
      <c r="G18" s="476"/>
    </row>
    <row r="19" spans="1:8" ht="20.399999999999999" customHeight="1" x14ac:dyDescent="0.25">
      <c r="A19" s="7"/>
      <c r="B19" s="7"/>
      <c r="C19" s="416"/>
      <c r="D19" s="416"/>
      <c r="E19" s="157"/>
      <c r="F19" s="158"/>
      <c r="G19" s="476"/>
    </row>
    <row r="20" spans="1:8" ht="20.399999999999999" customHeight="1" x14ac:dyDescent="0.25">
      <c r="D20" s="476"/>
    </row>
    <row r="21" spans="1:8" ht="32.4" customHeight="1" x14ac:dyDescent="0.25">
      <c r="A21" s="598" t="s">
        <v>341</v>
      </c>
      <c r="B21" s="598"/>
      <c r="C21" s="598"/>
      <c r="D21" s="598"/>
      <c r="E21" s="598"/>
      <c r="F21" s="598"/>
      <c r="G21" s="598"/>
      <c r="H21" s="598"/>
    </row>
    <row r="22" spans="1:8" ht="32.1" customHeight="1" x14ac:dyDescent="0.25">
      <c r="A22" s="392" t="s">
        <v>243</v>
      </c>
      <c r="B22" s="392" t="s">
        <v>342</v>
      </c>
      <c r="C22" s="392" t="s">
        <v>343</v>
      </c>
      <c r="D22" s="197" t="s">
        <v>344</v>
      </c>
      <c r="E22" s="197" t="s">
        <v>345</v>
      </c>
      <c r="F22" s="197" t="s">
        <v>346</v>
      </c>
      <c r="G22" s="197" t="s">
        <v>347</v>
      </c>
      <c r="H22" s="197" t="s">
        <v>348</v>
      </c>
    </row>
    <row r="23" spans="1:8" ht="110.1" customHeight="1" x14ac:dyDescent="0.25">
      <c r="A23" s="419" t="s">
        <v>274</v>
      </c>
      <c r="B23" s="464" t="s">
        <v>349</v>
      </c>
      <c r="C23" s="477" t="s">
        <v>350</v>
      </c>
      <c r="D23" s="477">
        <v>1.33</v>
      </c>
      <c r="E23" s="477">
        <v>0.65</v>
      </c>
      <c r="F23" s="477" t="s">
        <v>351</v>
      </c>
      <c r="G23" s="478"/>
      <c r="H23" s="479" t="s">
        <v>352</v>
      </c>
    </row>
    <row r="24" spans="1:8" x14ac:dyDescent="0.25">
      <c r="A24" s="184" t="s">
        <v>353</v>
      </c>
      <c r="B24" s="185"/>
      <c r="C24" s="480"/>
      <c r="D24" s="480"/>
      <c r="E24" s="480"/>
      <c r="F24" s="188"/>
      <c r="G24" s="188"/>
      <c r="H24" s="481"/>
    </row>
    <row r="25" spans="1:8" x14ac:dyDescent="0.25">
      <c r="A25" s="184" t="s">
        <v>354</v>
      </c>
      <c r="B25" s="185"/>
      <c r="C25" s="480"/>
      <c r="D25" s="480"/>
      <c r="E25" s="480"/>
      <c r="F25" s="188"/>
      <c r="G25" s="188"/>
      <c r="H25" s="481"/>
    </row>
    <row r="26" spans="1:8" ht="14.4" x14ac:dyDescent="0.3">
      <c r="A26" t="s">
        <v>355</v>
      </c>
      <c r="B26"/>
      <c r="C26"/>
      <c r="D26"/>
      <c r="E26"/>
      <c r="F26"/>
      <c r="G26"/>
      <c r="H26"/>
    </row>
    <row r="27" spans="1:8" ht="14.4" x14ac:dyDescent="0.3">
      <c r="A27" t="s">
        <v>356</v>
      </c>
      <c r="B27"/>
      <c r="C27"/>
      <c r="D27"/>
      <c r="E27"/>
      <c r="F27"/>
      <c r="G27"/>
      <c r="H27"/>
    </row>
    <row r="28" spans="1:8" ht="14.4" x14ac:dyDescent="0.3">
      <c r="A28" t="s">
        <v>357</v>
      </c>
      <c r="B28"/>
      <c r="C28"/>
      <c r="D28"/>
      <c r="E28"/>
      <c r="F28"/>
      <c r="G28"/>
      <c r="H28"/>
    </row>
    <row r="29" spans="1:8" ht="36" customHeight="1" x14ac:dyDescent="0.25">
      <c r="A29" s="597" t="s">
        <v>318</v>
      </c>
      <c r="B29" s="597" t="s">
        <v>358</v>
      </c>
      <c r="C29" s="465" t="s">
        <v>359</v>
      </c>
      <c r="D29" s="482" t="s">
        <v>360</v>
      </c>
      <c r="E29" s="597">
        <v>0.65</v>
      </c>
      <c r="F29" s="611" t="s">
        <v>361</v>
      </c>
      <c r="G29" s="465">
        <v>0.74399999999999999</v>
      </c>
      <c r="H29" s="596" t="s">
        <v>362</v>
      </c>
    </row>
    <row r="30" spans="1:8" ht="32.1" customHeight="1" x14ac:dyDescent="0.25">
      <c r="A30" s="597"/>
      <c r="B30" s="597"/>
      <c r="C30" s="465" t="s">
        <v>363</v>
      </c>
      <c r="D30" s="482" t="s">
        <v>360</v>
      </c>
      <c r="E30" s="597"/>
      <c r="F30" s="612"/>
      <c r="G30" s="465">
        <v>0.96399999999999997</v>
      </c>
      <c r="H30" s="597"/>
    </row>
    <row r="31" spans="1:8" ht="12.75" customHeight="1" x14ac:dyDescent="0.25">
      <c r="A31" s="7"/>
      <c r="B31" s="7"/>
      <c r="C31" s="483"/>
      <c r="D31" s="393"/>
      <c r="E31" s="7"/>
      <c r="F31" s="394"/>
      <c r="G31" s="476"/>
      <c r="H31" s="7"/>
    </row>
    <row r="32" spans="1:8" ht="36" customHeight="1" x14ac:dyDescent="0.25">
      <c r="A32" s="605" t="s">
        <v>364</v>
      </c>
      <c r="B32" s="606"/>
      <c r="C32" s="606"/>
      <c r="D32" s="606"/>
      <c r="E32" s="606"/>
      <c r="F32" s="606"/>
      <c r="G32" s="606"/>
      <c r="H32" s="606"/>
    </row>
    <row r="33" spans="1:40" ht="32.1" customHeight="1" x14ac:dyDescent="0.25">
      <c r="A33" s="605" t="s">
        <v>365</v>
      </c>
      <c r="B33" s="606"/>
      <c r="C33" s="606"/>
      <c r="D33" s="606"/>
      <c r="E33" s="606"/>
      <c r="F33" s="606"/>
      <c r="G33" s="606"/>
      <c r="H33" s="606"/>
    </row>
    <row r="34" spans="1:40" ht="16.95" customHeight="1" x14ac:dyDescent="0.25">
      <c r="A34" s="448"/>
      <c r="B34" s="483"/>
      <c r="C34" s="483"/>
      <c r="D34" s="395"/>
      <c r="E34" s="8"/>
      <c r="H34" s="191"/>
      <c r="I34" s="191"/>
      <c r="J34" s="191"/>
    </row>
    <row r="35" spans="1:40" x14ac:dyDescent="0.25">
      <c r="A35" s="425"/>
      <c r="B35" s="135"/>
      <c r="C35" s="135"/>
      <c r="D35" s="135"/>
      <c r="E35" s="136"/>
      <c r="F35" s="155"/>
      <c r="G35" s="155"/>
      <c r="U35" s="53"/>
      <c r="V35" s="53"/>
      <c r="W35" s="91"/>
      <c r="X35" s="91"/>
      <c r="Y35" s="91"/>
      <c r="Z35" s="91"/>
      <c r="AA35" s="91"/>
      <c r="AB35" s="91"/>
      <c r="AC35" s="91"/>
      <c r="AD35" s="91"/>
      <c r="AE35" s="91"/>
      <c r="AF35" s="91"/>
      <c r="AG35" s="91"/>
      <c r="AH35" s="91"/>
      <c r="AI35" s="91"/>
      <c r="AJ35" s="91"/>
      <c r="AK35" s="91"/>
      <c r="AL35" s="91"/>
    </row>
    <row r="36" spans="1:40" x14ac:dyDescent="0.25">
      <c r="A36" s="137"/>
      <c r="B36" s="96"/>
      <c r="C36" s="96"/>
      <c r="D36" s="96"/>
      <c r="E36" s="96"/>
      <c r="F36" s="431"/>
      <c r="G36" s="431"/>
      <c r="U36" s="53"/>
      <c r="V36" s="53"/>
      <c r="W36" s="91"/>
      <c r="X36" s="91"/>
      <c r="Y36" s="91"/>
      <c r="Z36" s="91"/>
      <c r="AA36" s="91"/>
      <c r="AB36" s="91"/>
      <c r="AC36" s="91"/>
      <c r="AD36" s="91"/>
      <c r="AE36" s="91"/>
      <c r="AF36" s="91"/>
      <c r="AG36" s="91"/>
      <c r="AH36" s="91"/>
      <c r="AI36" s="91"/>
      <c r="AJ36" s="91"/>
      <c r="AK36" s="91"/>
      <c r="AL36" s="91"/>
    </row>
    <row r="37" spans="1:40" x14ac:dyDescent="0.25">
      <c r="A37" s="137"/>
      <c r="B37" s="96"/>
      <c r="C37" s="96"/>
      <c r="E37" s="96"/>
      <c r="F37" s="96"/>
      <c r="G37" s="96"/>
      <c r="I37" s="431"/>
      <c r="W37" s="53"/>
      <c r="X37" s="53"/>
      <c r="Y37" s="91"/>
      <c r="Z37" s="91"/>
      <c r="AA37" s="91"/>
      <c r="AB37" s="91"/>
      <c r="AC37" s="91"/>
      <c r="AD37" s="91"/>
      <c r="AE37" s="91"/>
      <c r="AF37" s="91"/>
      <c r="AG37" s="91"/>
      <c r="AH37" s="91"/>
      <c r="AI37" s="91"/>
      <c r="AJ37" s="91"/>
      <c r="AK37" s="91"/>
      <c r="AL37" s="91"/>
      <c r="AM37" s="91"/>
      <c r="AN37" s="91"/>
    </row>
    <row r="38" spans="1:40" x14ac:dyDescent="0.25">
      <c r="A38" s="137"/>
      <c r="B38" s="96"/>
      <c r="C38" s="96"/>
      <c r="E38" s="96"/>
      <c r="F38" s="248"/>
      <c r="G38" s="96"/>
      <c r="H38" s="431"/>
      <c r="I38" s="431"/>
      <c r="W38" s="53"/>
      <c r="X38" s="138"/>
      <c r="Y38" s="91"/>
      <c r="Z38" s="91"/>
      <c r="AA38" s="91"/>
      <c r="AB38" s="91"/>
      <c r="AC38" s="91"/>
      <c r="AD38" s="91"/>
      <c r="AE38" s="91"/>
      <c r="AF38" s="91"/>
      <c r="AG38" s="91"/>
      <c r="AH38" s="91"/>
      <c r="AI38" s="91"/>
      <c r="AJ38" s="91"/>
      <c r="AK38" s="91"/>
      <c r="AL38" s="91"/>
      <c r="AM38" s="91"/>
      <c r="AN38" s="91"/>
    </row>
    <row r="39" spans="1:40" x14ac:dyDescent="0.25">
      <c r="A39" s="137"/>
      <c r="B39" s="96"/>
      <c r="C39" s="96"/>
      <c r="D39" s="96"/>
      <c r="E39" s="96"/>
      <c r="F39" s="96"/>
      <c r="G39" s="96"/>
      <c r="H39" s="431"/>
      <c r="I39" s="431"/>
      <c r="W39" s="394"/>
      <c r="X39" s="394"/>
      <c r="Y39" s="53"/>
      <c r="Z39" s="53"/>
      <c r="AA39" s="53"/>
      <c r="AB39" s="53"/>
      <c r="AC39" s="53"/>
      <c r="AD39" s="53"/>
      <c r="AE39" s="53"/>
      <c r="AF39" s="53"/>
      <c r="AG39" s="53"/>
      <c r="AH39" s="53"/>
      <c r="AI39" s="53"/>
      <c r="AJ39" s="53"/>
      <c r="AK39" s="53"/>
      <c r="AL39" s="53"/>
      <c r="AM39" s="53"/>
      <c r="AN39" s="53"/>
    </row>
    <row r="40" spans="1:40" x14ac:dyDescent="0.25">
      <c r="A40" s="137"/>
      <c r="B40" s="96"/>
      <c r="C40" s="96"/>
      <c r="D40" s="96"/>
      <c r="E40" s="96"/>
      <c r="F40" s="431"/>
      <c r="G40" s="431"/>
      <c r="W40" s="42"/>
      <c r="X40" s="42"/>
      <c r="Y40" s="42"/>
      <c r="Z40" s="42"/>
      <c r="AA40" s="42"/>
      <c r="AB40" s="42"/>
      <c r="AC40" s="42"/>
      <c r="AD40" s="42"/>
      <c r="AE40" s="42"/>
      <c r="AF40" s="42"/>
      <c r="AG40" s="42"/>
      <c r="AH40" s="42"/>
      <c r="AI40" s="42"/>
      <c r="AJ40" s="42"/>
      <c r="AK40" s="42"/>
      <c r="AL40" s="42"/>
    </row>
    <row r="41" spans="1:40" x14ac:dyDescent="0.25">
      <c r="A41" s="137"/>
      <c r="B41" s="249"/>
      <c r="C41" s="96"/>
      <c r="D41" s="96"/>
      <c r="E41" s="96"/>
      <c r="F41" s="431"/>
      <c r="G41" s="431"/>
    </row>
    <row r="42" spans="1:40" x14ac:dyDescent="0.25">
      <c r="A42" s="137"/>
      <c r="B42" s="96"/>
      <c r="C42" s="96"/>
      <c r="D42" s="96"/>
      <c r="E42" s="96"/>
      <c r="F42" s="431"/>
      <c r="G42" s="431"/>
      <c r="U42" s="40"/>
      <c r="V42" s="40"/>
      <c r="W42" s="92"/>
      <c r="X42" s="92"/>
      <c r="Y42" s="92"/>
      <c r="Z42" s="92"/>
      <c r="AA42" s="92"/>
      <c r="AB42" s="92"/>
      <c r="AC42" s="92"/>
      <c r="AD42" s="92"/>
      <c r="AE42" s="92"/>
      <c r="AF42" s="92"/>
      <c r="AG42" s="92"/>
      <c r="AH42" s="92"/>
      <c r="AI42" s="92"/>
      <c r="AJ42" s="92"/>
      <c r="AK42" s="92"/>
      <c r="AL42" s="92"/>
    </row>
    <row r="43" spans="1:40" ht="16.95" customHeight="1" x14ac:dyDescent="0.25">
      <c r="A43" s="137"/>
      <c r="B43" s="96"/>
      <c r="C43" s="96"/>
      <c r="D43" s="96"/>
      <c r="E43" s="96"/>
      <c r="F43" s="431"/>
      <c r="G43" s="431"/>
      <c r="V43" s="93"/>
      <c r="W43" s="94"/>
      <c r="X43" s="94"/>
      <c r="Y43" s="94"/>
      <c r="Z43" s="94"/>
      <c r="AA43" s="94"/>
      <c r="AB43" s="94"/>
      <c r="AC43" s="94"/>
      <c r="AD43" s="94"/>
      <c r="AE43" s="94"/>
      <c r="AF43" s="94"/>
      <c r="AG43" s="94"/>
      <c r="AH43" s="94"/>
      <c r="AI43" s="94"/>
      <c r="AJ43" s="94"/>
      <c r="AK43" s="94"/>
      <c r="AL43" s="94"/>
    </row>
    <row r="44" spans="1:40" x14ac:dyDescent="0.25">
      <c r="A44" s="137"/>
      <c r="B44" s="96"/>
      <c r="C44" s="96"/>
      <c r="D44" s="96"/>
      <c r="E44" s="96"/>
      <c r="F44" s="431"/>
      <c r="G44" s="431"/>
      <c r="T44" s="431"/>
      <c r="U44" s="42"/>
      <c r="V44" s="93"/>
      <c r="W44" s="94"/>
      <c r="X44" s="94"/>
      <c r="Y44" s="94"/>
      <c r="Z44" s="94"/>
      <c r="AA44" s="94"/>
      <c r="AB44" s="94"/>
      <c r="AC44" s="94"/>
      <c r="AD44" s="94"/>
      <c r="AE44" s="94"/>
      <c r="AF44" s="94"/>
      <c r="AG44" s="94"/>
      <c r="AH44" s="94"/>
      <c r="AI44" s="94"/>
      <c r="AJ44" s="94"/>
      <c r="AK44" s="94"/>
      <c r="AL44" s="94"/>
    </row>
    <row r="45" spans="1:40" x14ac:dyDescent="0.25">
      <c r="A45" s="137"/>
      <c r="B45" s="96"/>
      <c r="C45" s="96"/>
      <c r="D45" s="96"/>
      <c r="E45" s="96"/>
      <c r="F45" s="431"/>
      <c r="G45" s="431"/>
      <c r="T45" s="432"/>
      <c r="U45" s="42"/>
      <c r="V45" s="93"/>
      <c r="W45" s="94"/>
      <c r="X45" s="94"/>
      <c r="Y45" s="94"/>
      <c r="Z45" s="94"/>
      <c r="AA45" s="94"/>
      <c r="AB45" s="94"/>
      <c r="AC45" s="94"/>
      <c r="AD45" s="94"/>
      <c r="AE45" s="94"/>
      <c r="AF45" s="94"/>
      <c r="AG45" s="94"/>
      <c r="AH45" s="94"/>
      <c r="AI45" s="94"/>
      <c r="AJ45" s="94"/>
      <c r="AK45" s="94"/>
      <c r="AL45" s="94"/>
    </row>
    <row r="46" spans="1:40" x14ac:dyDescent="0.25">
      <c r="A46" s="137"/>
      <c r="B46" s="96"/>
      <c r="C46" s="96"/>
      <c r="D46" s="96"/>
      <c r="E46" s="96"/>
      <c r="F46" s="431"/>
      <c r="G46" s="431"/>
      <c r="T46" s="432"/>
      <c r="U46" s="42"/>
      <c r="V46" s="93"/>
      <c r="W46" s="94"/>
      <c r="X46" s="94"/>
      <c r="Y46" s="94"/>
      <c r="Z46" s="94"/>
      <c r="AA46" s="94"/>
      <c r="AB46" s="94"/>
      <c r="AC46" s="94"/>
      <c r="AD46" s="94"/>
      <c r="AE46" s="94"/>
      <c r="AF46" s="94"/>
      <c r="AG46" s="94"/>
      <c r="AH46" s="94"/>
      <c r="AI46" s="94"/>
      <c r="AJ46" s="94"/>
      <c r="AK46" s="94"/>
      <c r="AL46" s="94"/>
    </row>
    <row r="47" spans="1:40" x14ac:dyDescent="0.25">
      <c r="A47" s="137"/>
      <c r="B47" s="96"/>
      <c r="C47" s="96"/>
      <c r="D47" s="96"/>
      <c r="E47" s="96"/>
      <c r="F47" s="431"/>
      <c r="G47" s="431"/>
      <c r="U47" s="42"/>
      <c r="V47" s="93"/>
      <c r="W47" s="94"/>
      <c r="X47" s="94"/>
      <c r="Y47" s="94"/>
      <c r="Z47" s="94"/>
      <c r="AA47" s="94"/>
      <c r="AB47" s="94"/>
      <c r="AC47" s="94"/>
      <c r="AD47" s="94"/>
      <c r="AE47" s="94"/>
      <c r="AF47" s="94"/>
      <c r="AG47" s="94"/>
      <c r="AH47" s="94"/>
      <c r="AI47" s="94"/>
      <c r="AJ47" s="94"/>
      <c r="AK47" s="94"/>
      <c r="AL47" s="94"/>
    </row>
    <row r="48" spans="1:40" x14ac:dyDescent="0.25">
      <c r="A48" s="137"/>
      <c r="B48" s="96"/>
      <c r="C48" s="96"/>
      <c r="D48" s="96"/>
      <c r="E48" s="96"/>
      <c r="F48" s="431"/>
      <c r="G48" s="431"/>
      <c r="U48" s="42"/>
      <c r="V48" s="93"/>
      <c r="W48" s="94"/>
      <c r="X48" s="94"/>
      <c r="Y48" s="94"/>
      <c r="Z48" s="94"/>
      <c r="AA48" s="94"/>
      <c r="AB48" s="94"/>
      <c r="AC48" s="94"/>
      <c r="AD48" s="94"/>
      <c r="AE48" s="94"/>
      <c r="AF48" s="94"/>
      <c r="AG48" s="94"/>
      <c r="AH48" s="94"/>
      <c r="AI48" s="94"/>
      <c r="AJ48" s="94"/>
      <c r="AK48" s="94"/>
      <c r="AL48" s="94"/>
    </row>
    <row r="49" spans="1:38" x14ac:dyDescent="0.25">
      <c r="A49" s="137"/>
      <c r="B49" s="96"/>
      <c r="C49" s="96"/>
      <c r="D49" s="96"/>
      <c r="E49" s="96"/>
      <c r="F49" s="431"/>
      <c r="G49" s="431"/>
      <c r="U49" s="42"/>
      <c r="V49" s="93"/>
      <c r="W49" s="94"/>
      <c r="X49" s="94"/>
      <c r="Y49" s="94"/>
      <c r="Z49" s="94"/>
      <c r="AA49" s="94"/>
      <c r="AB49" s="94"/>
      <c r="AC49" s="94"/>
      <c r="AD49" s="94"/>
      <c r="AE49" s="94"/>
      <c r="AF49" s="94"/>
      <c r="AG49" s="94"/>
      <c r="AH49" s="94"/>
      <c r="AI49" s="94"/>
      <c r="AJ49" s="94"/>
      <c r="AK49" s="94"/>
      <c r="AL49" s="94"/>
    </row>
    <row r="50" spans="1:38" x14ac:dyDescent="0.25">
      <c r="A50" s="137"/>
      <c r="B50" s="96"/>
      <c r="C50" s="96"/>
      <c r="D50" s="96"/>
      <c r="E50" s="96"/>
      <c r="F50" s="431"/>
      <c r="G50" s="431"/>
      <c r="U50" s="42"/>
      <c r="V50" s="93"/>
      <c r="W50" s="94"/>
      <c r="X50" s="94"/>
      <c r="Y50" s="94"/>
      <c r="Z50" s="94"/>
      <c r="AA50" s="94"/>
      <c r="AB50" s="94"/>
      <c r="AC50" s="94"/>
      <c r="AD50" s="94"/>
      <c r="AE50" s="94"/>
      <c r="AF50" s="94"/>
      <c r="AG50" s="94"/>
      <c r="AH50" s="94"/>
      <c r="AI50" s="94"/>
      <c r="AJ50" s="94"/>
      <c r="AK50" s="94"/>
      <c r="AL50" s="94"/>
    </row>
    <row r="51" spans="1:38" x14ac:dyDescent="0.25">
      <c r="A51" s="137"/>
      <c r="B51" s="96"/>
      <c r="C51" s="96"/>
      <c r="D51" s="96"/>
      <c r="E51" s="96"/>
      <c r="F51" s="431"/>
      <c r="G51" s="431"/>
      <c r="U51" s="42"/>
      <c r="V51" s="93"/>
      <c r="W51" s="94"/>
      <c r="X51" s="94"/>
      <c r="Y51" s="94"/>
      <c r="Z51" s="94"/>
      <c r="AA51" s="94"/>
      <c r="AB51" s="94"/>
      <c r="AC51" s="94"/>
      <c r="AD51" s="94"/>
      <c r="AE51" s="94"/>
      <c r="AF51" s="94"/>
      <c r="AG51" s="94"/>
      <c r="AH51" s="94"/>
      <c r="AI51" s="94"/>
      <c r="AJ51" s="94"/>
      <c r="AK51" s="94"/>
      <c r="AL51" s="94"/>
    </row>
    <row r="52" spans="1:38" x14ac:dyDescent="0.25">
      <c r="U52" s="42"/>
      <c r="V52" s="93"/>
      <c r="W52" s="94"/>
      <c r="X52" s="94"/>
      <c r="Y52" s="94"/>
      <c r="Z52" s="94"/>
      <c r="AA52" s="94"/>
      <c r="AB52" s="94"/>
      <c r="AC52" s="94"/>
      <c r="AD52" s="94"/>
      <c r="AE52" s="94"/>
      <c r="AF52" s="94"/>
      <c r="AG52" s="94"/>
      <c r="AH52" s="94"/>
      <c r="AI52" s="94"/>
      <c r="AJ52" s="94"/>
      <c r="AK52" s="94"/>
      <c r="AL52" s="94"/>
    </row>
    <row r="53" spans="1:38" x14ac:dyDescent="0.25">
      <c r="N53" s="54"/>
      <c r="O53" s="54"/>
      <c r="U53" s="42"/>
      <c r="V53" s="93"/>
      <c r="W53" s="94"/>
      <c r="X53" s="94"/>
      <c r="Y53" s="94"/>
      <c r="Z53" s="94"/>
      <c r="AA53" s="94"/>
      <c r="AB53" s="94"/>
      <c r="AC53" s="94"/>
      <c r="AD53" s="94"/>
      <c r="AE53" s="94"/>
      <c r="AF53" s="94"/>
      <c r="AG53" s="94"/>
      <c r="AH53" s="94"/>
      <c r="AI53" s="94"/>
      <c r="AJ53" s="94"/>
      <c r="AK53" s="94"/>
      <c r="AL53" s="94"/>
    </row>
    <row r="54" spans="1:38" x14ac:dyDescent="0.25">
      <c r="U54" s="42"/>
      <c r="V54" s="93"/>
      <c r="W54" s="94"/>
      <c r="X54" s="94"/>
      <c r="Y54" s="94"/>
      <c r="Z54" s="94"/>
      <c r="AA54" s="94"/>
      <c r="AB54" s="94"/>
      <c r="AC54" s="94"/>
      <c r="AD54" s="94"/>
      <c r="AE54" s="94"/>
      <c r="AF54" s="94"/>
      <c r="AG54" s="94"/>
      <c r="AH54" s="94"/>
      <c r="AI54" s="94"/>
      <c r="AJ54" s="94"/>
      <c r="AK54" s="94"/>
      <c r="AL54" s="94"/>
    </row>
    <row r="56" spans="1:38" x14ac:dyDescent="0.25">
      <c r="U56" s="42"/>
      <c r="V56" s="93"/>
      <c r="W56" s="94"/>
      <c r="X56" s="94"/>
      <c r="Y56" s="94"/>
      <c r="Z56" s="94"/>
      <c r="AA56" s="94"/>
      <c r="AB56" s="94"/>
      <c r="AC56" s="94"/>
      <c r="AD56" s="94"/>
      <c r="AE56" s="94"/>
      <c r="AF56" s="94"/>
      <c r="AG56" s="94"/>
      <c r="AH56" s="94"/>
      <c r="AI56" s="94"/>
      <c r="AJ56" s="94"/>
      <c r="AK56" s="94"/>
      <c r="AL56" s="94"/>
    </row>
    <row r="57" spans="1:38" x14ac:dyDescent="0.25">
      <c r="U57" s="42"/>
      <c r="V57" s="93"/>
      <c r="W57" s="94"/>
      <c r="X57" s="94"/>
      <c r="Y57" s="94"/>
      <c r="Z57" s="94"/>
      <c r="AA57" s="94"/>
      <c r="AB57" s="94"/>
      <c r="AC57" s="94"/>
      <c r="AD57" s="94"/>
      <c r="AE57" s="94"/>
      <c r="AF57" s="94"/>
      <c r="AG57" s="94"/>
      <c r="AH57" s="94"/>
      <c r="AI57" s="94"/>
      <c r="AJ57" s="94"/>
      <c r="AK57" s="94"/>
      <c r="AL57" s="94"/>
    </row>
    <row r="58" spans="1:38" x14ac:dyDescent="0.25">
      <c r="U58" s="42"/>
      <c r="V58" s="93"/>
      <c r="W58" s="94"/>
      <c r="X58" s="94"/>
      <c r="Y58" s="94"/>
      <c r="Z58" s="94"/>
      <c r="AA58" s="94"/>
      <c r="AB58" s="94"/>
      <c r="AC58" s="94"/>
      <c r="AD58" s="94"/>
      <c r="AE58" s="94"/>
      <c r="AF58" s="94"/>
      <c r="AG58" s="94"/>
      <c r="AH58" s="94"/>
      <c r="AI58" s="94"/>
      <c r="AJ58" s="94"/>
      <c r="AK58" s="94"/>
      <c r="AL58" s="94"/>
    </row>
    <row r="59" spans="1:38" x14ac:dyDescent="0.25">
      <c r="U59" s="42"/>
      <c r="V59" s="93"/>
      <c r="W59" s="94"/>
      <c r="X59" s="94"/>
      <c r="Y59" s="94"/>
      <c r="Z59" s="94"/>
      <c r="AA59" s="94"/>
      <c r="AB59" s="94"/>
      <c r="AC59" s="94"/>
      <c r="AD59" s="94"/>
      <c r="AE59" s="94"/>
      <c r="AF59" s="94"/>
      <c r="AG59" s="94"/>
      <c r="AH59" s="94"/>
      <c r="AI59" s="94"/>
      <c r="AJ59" s="94"/>
      <c r="AK59" s="94"/>
      <c r="AL59" s="94"/>
    </row>
    <row r="60" spans="1:38" x14ac:dyDescent="0.25">
      <c r="U60" s="42"/>
      <c r="V60" s="93"/>
      <c r="W60" s="94"/>
      <c r="X60" s="94"/>
      <c r="Y60" s="94"/>
      <c r="Z60" s="94"/>
      <c r="AA60" s="94"/>
      <c r="AB60" s="94"/>
      <c r="AC60" s="94"/>
      <c r="AD60" s="94"/>
      <c r="AE60" s="94"/>
      <c r="AF60" s="94"/>
      <c r="AG60" s="94"/>
      <c r="AH60" s="94"/>
      <c r="AI60" s="94"/>
      <c r="AJ60" s="94"/>
      <c r="AK60" s="94"/>
      <c r="AL60" s="94"/>
    </row>
    <row r="61" spans="1:38" x14ac:dyDescent="0.25">
      <c r="U61" s="42"/>
      <c r="V61" s="93"/>
      <c r="W61" s="94"/>
      <c r="X61" s="94"/>
      <c r="Y61" s="94"/>
      <c r="Z61" s="94"/>
      <c r="AA61" s="94"/>
      <c r="AB61" s="94"/>
      <c r="AC61" s="94"/>
      <c r="AD61" s="94"/>
      <c r="AE61" s="94"/>
      <c r="AF61" s="94"/>
      <c r="AG61" s="94"/>
      <c r="AH61" s="94"/>
      <c r="AI61" s="94"/>
      <c r="AJ61" s="94"/>
      <c r="AK61" s="94"/>
      <c r="AL61" s="94"/>
    </row>
    <row r="62" spans="1:38" x14ac:dyDescent="0.25">
      <c r="U62" s="42"/>
      <c r="V62" s="93"/>
      <c r="W62" s="94"/>
      <c r="X62" s="94"/>
      <c r="Y62" s="94"/>
      <c r="Z62" s="94"/>
      <c r="AA62" s="94"/>
      <c r="AB62" s="94"/>
      <c r="AC62" s="94"/>
      <c r="AD62" s="94"/>
      <c r="AE62" s="94"/>
      <c r="AF62" s="94"/>
      <c r="AG62" s="94"/>
      <c r="AH62" s="94"/>
      <c r="AI62" s="94"/>
      <c r="AJ62" s="94"/>
      <c r="AK62" s="94"/>
      <c r="AL62" s="94"/>
    </row>
    <row r="63" spans="1:38" x14ac:dyDescent="0.25">
      <c r="U63" s="42"/>
      <c r="V63" s="93"/>
      <c r="W63" s="94"/>
      <c r="X63" s="94"/>
      <c r="Y63" s="94"/>
      <c r="Z63" s="94"/>
      <c r="AA63" s="94"/>
      <c r="AB63" s="94"/>
      <c r="AC63" s="94"/>
      <c r="AD63" s="94"/>
      <c r="AE63" s="94"/>
      <c r="AF63" s="94"/>
      <c r="AG63" s="94"/>
      <c r="AH63" s="94"/>
      <c r="AI63" s="94"/>
      <c r="AJ63" s="94"/>
      <c r="AK63" s="94"/>
      <c r="AL63" s="94"/>
    </row>
    <row r="64" spans="1:38" x14ac:dyDescent="0.25">
      <c r="U64" s="42"/>
      <c r="W64" s="41"/>
      <c r="X64" s="41"/>
      <c r="Y64" s="41"/>
      <c r="Z64" s="41"/>
      <c r="AA64" s="41"/>
      <c r="AB64" s="41"/>
      <c r="AC64" s="41"/>
      <c r="AD64" s="41"/>
      <c r="AE64" s="41"/>
      <c r="AF64" s="41"/>
      <c r="AG64" s="41"/>
      <c r="AH64" s="41"/>
      <c r="AI64" s="41"/>
      <c r="AJ64" s="41"/>
      <c r="AK64" s="41"/>
      <c r="AL64" s="41"/>
    </row>
    <row r="65" spans="21:38" x14ac:dyDescent="0.25">
      <c r="U65" s="50"/>
      <c r="W65" s="42"/>
      <c r="X65" s="42"/>
      <c r="Y65" s="42"/>
      <c r="Z65" s="42"/>
      <c r="AA65" s="42"/>
      <c r="AB65" s="42"/>
      <c r="AC65" s="42"/>
      <c r="AD65" s="42"/>
      <c r="AE65" s="42"/>
      <c r="AF65" s="42"/>
      <c r="AG65" s="42"/>
      <c r="AH65" s="42"/>
      <c r="AI65" s="42"/>
      <c r="AJ65" s="42"/>
      <c r="AK65" s="42"/>
      <c r="AL65" s="42"/>
    </row>
    <row r="66" spans="21:38" x14ac:dyDescent="0.25">
      <c r="U66" s="42"/>
    </row>
    <row r="69" spans="21:38" x14ac:dyDescent="0.25">
      <c r="U69" s="40"/>
      <c r="V69" s="40"/>
      <c r="W69" s="92"/>
      <c r="X69" s="92"/>
      <c r="Y69" s="92"/>
      <c r="Z69" s="92"/>
      <c r="AA69" s="92"/>
      <c r="AB69" s="92"/>
      <c r="AC69" s="92"/>
      <c r="AD69" s="92"/>
      <c r="AE69" s="92"/>
      <c r="AF69" s="92"/>
      <c r="AG69" s="92"/>
      <c r="AH69" s="92"/>
      <c r="AI69" s="92"/>
      <c r="AJ69" s="92"/>
      <c r="AK69" s="92"/>
      <c r="AL69" s="92"/>
    </row>
    <row r="70" spans="21:38" x14ac:dyDescent="0.25">
      <c r="V70" s="51"/>
    </row>
    <row r="71" spans="21:38" x14ac:dyDescent="0.25">
      <c r="U71" s="42"/>
      <c r="V71" s="51"/>
    </row>
    <row r="72" spans="21:38" x14ac:dyDescent="0.25">
      <c r="U72" s="42"/>
      <c r="V72" s="51"/>
    </row>
    <row r="73" spans="21:38" x14ac:dyDescent="0.25">
      <c r="U73" s="42"/>
      <c r="V73" s="51"/>
    </row>
    <row r="74" spans="21:38" x14ac:dyDescent="0.25">
      <c r="U74" s="42"/>
      <c r="V74" s="51"/>
    </row>
    <row r="75" spans="21:38" x14ac:dyDescent="0.25">
      <c r="U75" s="42"/>
      <c r="V75" s="51"/>
    </row>
    <row r="76" spans="21:38" x14ac:dyDescent="0.25">
      <c r="U76" s="42"/>
      <c r="V76" s="51"/>
    </row>
    <row r="77" spans="21:38" x14ac:dyDescent="0.25">
      <c r="U77" s="42"/>
      <c r="V77" s="51"/>
    </row>
    <row r="78" spans="21:38" x14ac:dyDescent="0.25">
      <c r="U78" s="42"/>
      <c r="V78" s="51"/>
    </row>
    <row r="79" spans="21:38" x14ac:dyDescent="0.25">
      <c r="U79" s="42"/>
      <c r="V79" s="51"/>
    </row>
    <row r="80" spans="21:38" x14ac:dyDescent="0.25">
      <c r="U80" s="42"/>
      <c r="V80" s="51"/>
    </row>
    <row r="81" spans="21:38" x14ac:dyDescent="0.25">
      <c r="U81" s="42"/>
      <c r="V81" s="51"/>
    </row>
    <row r="82" spans="21:38" x14ac:dyDescent="0.25">
      <c r="U82" s="42"/>
      <c r="V82" s="51"/>
    </row>
    <row r="83" spans="21:38" x14ac:dyDescent="0.25">
      <c r="U83" s="42"/>
      <c r="V83" s="51"/>
    </row>
    <row r="84" spans="21:38" x14ac:dyDescent="0.25">
      <c r="U84" s="42"/>
      <c r="V84" s="51"/>
    </row>
    <row r="85" spans="21:38" x14ac:dyDescent="0.25">
      <c r="U85" s="42"/>
      <c r="V85" s="51"/>
    </row>
    <row r="86" spans="21:38" x14ac:dyDescent="0.25">
      <c r="U86" s="42"/>
      <c r="V86" s="51"/>
    </row>
    <row r="87" spans="21:38" x14ac:dyDescent="0.25">
      <c r="U87" s="42"/>
      <c r="V87" s="51"/>
    </row>
    <row r="88" spans="21:38" x14ac:dyDescent="0.25">
      <c r="U88" s="42"/>
      <c r="V88" s="51"/>
    </row>
    <row r="89" spans="21:38" x14ac:dyDescent="0.25">
      <c r="U89" s="42"/>
      <c r="V89" s="51"/>
    </row>
    <row r="90" spans="21:38" x14ac:dyDescent="0.25">
      <c r="U90" s="42"/>
      <c r="V90" s="51"/>
    </row>
    <row r="91" spans="21:38" x14ac:dyDescent="0.25">
      <c r="U91" s="42"/>
      <c r="W91" s="41"/>
      <c r="X91" s="41"/>
      <c r="Y91" s="41"/>
      <c r="Z91" s="41"/>
      <c r="AA91" s="41"/>
      <c r="AB91" s="41"/>
      <c r="AC91" s="41"/>
      <c r="AD91" s="41"/>
      <c r="AE91" s="41"/>
      <c r="AF91" s="41"/>
      <c r="AG91" s="41"/>
      <c r="AH91" s="41"/>
      <c r="AI91" s="41"/>
      <c r="AJ91" s="41"/>
      <c r="AK91" s="41"/>
      <c r="AL91" s="41"/>
    </row>
    <row r="92" spans="21:38" x14ac:dyDescent="0.25">
      <c r="U92" s="50"/>
      <c r="W92" s="42"/>
      <c r="X92" s="42"/>
      <c r="Y92" s="42"/>
      <c r="Z92" s="42"/>
      <c r="AA92" s="42"/>
      <c r="AB92" s="42"/>
      <c r="AC92" s="42"/>
      <c r="AD92" s="42"/>
      <c r="AE92" s="42"/>
      <c r="AF92" s="42"/>
      <c r="AG92" s="42"/>
      <c r="AH92" s="42"/>
      <c r="AI92" s="42"/>
      <c r="AJ92" s="42"/>
      <c r="AK92" s="42"/>
      <c r="AL92" s="42"/>
    </row>
  </sheetData>
  <mergeCells count="24">
    <mergeCell ref="A32:H32"/>
    <mergeCell ref="A33:H33"/>
    <mergeCell ref="A1:F1"/>
    <mergeCell ref="A3:A5"/>
    <mergeCell ref="A6:A7"/>
    <mergeCell ref="C13:C15"/>
    <mergeCell ref="E13:E15"/>
    <mergeCell ref="B13:B15"/>
    <mergeCell ref="G13:G15"/>
    <mergeCell ref="B4:B5"/>
    <mergeCell ref="C4:C5"/>
    <mergeCell ref="D4:D5"/>
    <mergeCell ref="B29:B30"/>
    <mergeCell ref="A29:A30"/>
    <mergeCell ref="E29:E30"/>
    <mergeCell ref="F29:F30"/>
    <mergeCell ref="H29:H30"/>
    <mergeCell ref="A21:H21"/>
    <mergeCell ref="G4:G5"/>
    <mergeCell ref="A11:G11"/>
    <mergeCell ref="D13:D15"/>
    <mergeCell ref="F13:F15"/>
    <mergeCell ref="E4:E5"/>
    <mergeCell ref="F4:F5"/>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D73"/>
  <sheetViews>
    <sheetView zoomScale="70" zoomScaleNormal="70" workbookViewId="0">
      <pane ySplit="2" topLeftCell="A3" activePane="bottomLeft" state="frozen"/>
      <selection pane="bottomLeft" sqref="A1:K1"/>
    </sheetView>
  </sheetViews>
  <sheetFormatPr defaultColWidth="9.33203125" defaultRowHeight="13.8" x14ac:dyDescent="0.25"/>
  <cols>
    <col min="1" max="10" width="28.33203125" style="108" customWidth="1"/>
    <col min="11" max="11" width="42" style="108" customWidth="1"/>
    <col min="12" max="12" width="27.33203125" style="108" customWidth="1"/>
    <col min="13" max="13" width="13.6640625" style="108" customWidth="1"/>
    <col min="14" max="14" width="12.33203125" style="108" customWidth="1"/>
    <col min="15" max="15" width="13.6640625" style="108" customWidth="1"/>
    <col min="16" max="16" width="11.6640625" style="108" customWidth="1"/>
    <col min="17" max="17" width="13.6640625" style="108" customWidth="1"/>
    <col min="18" max="18" width="12.33203125" style="108" customWidth="1"/>
    <col min="19" max="19" width="13.6640625" style="108" customWidth="1"/>
    <col min="20" max="20" width="12.33203125" style="108" customWidth="1"/>
    <col min="21" max="21" width="13.6640625" style="108" customWidth="1"/>
    <col min="22" max="22" width="11.6640625" style="108" customWidth="1"/>
    <col min="23" max="24" width="10.6640625" style="108" customWidth="1"/>
    <col min="25" max="25" width="9.33203125" style="108"/>
    <col min="26" max="30" width="11.33203125" style="108" customWidth="1"/>
    <col min="31" max="16384" width="9.33203125" style="108"/>
  </cols>
  <sheetData>
    <row r="1" spans="1:30" ht="24.6" customHeight="1" x14ac:dyDescent="0.25">
      <c r="A1" s="614" t="s">
        <v>368</v>
      </c>
      <c r="B1" s="614"/>
      <c r="C1" s="614"/>
      <c r="D1" s="614"/>
      <c r="E1" s="614"/>
      <c r="F1" s="614"/>
      <c r="G1" s="614"/>
      <c r="H1" s="614"/>
      <c r="I1" s="614"/>
      <c r="J1" s="614"/>
      <c r="K1" s="614"/>
      <c r="L1" s="3"/>
      <c r="M1" s="3"/>
      <c r="N1" s="3"/>
      <c r="O1" s="3"/>
      <c r="P1" s="3"/>
      <c r="Q1" s="3"/>
      <c r="R1" s="3"/>
      <c r="S1" s="3"/>
      <c r="T1" s="3"/>
      <c r="U1" s="3"/>
      <c r="V1" s="3"/>
      <c r="W1" s="3"/>
      <c r="X1" s="3"/>
      <c r="Y1" s="3"/>
      <c r="Z1" s="3"/>
      <c r="AA1" s="3"/>
      <c r="AB1" s="3"/>
      <c r="AC1" s="3"/>
      <c r="AD1" s="3"/>
    </row>
    <row r="2" spans="1:30" s="109" customFormat="1" ht="66" x14ac:dyDescent="0.25">
      <c r="A2" s="196" t="s">
        <v>369</v>
      </c>
      <c r="B2" s="197" t="s">
        <v>370</v>
      </c>
      <c r="C2" s="198" t="s">
        <v>371</v>
      </c>
      <c r="D2" s="350" t="s">
        <v>372</v>
      </c>
      <c r="E2" s="351" t="s">
        <v>373</v>
      </c>
      <c r="F2" s="428" t="s">
        <v>374</v>
      </c>
      <c r="G2" s="428" t="s">
        <v>375</v>
      </c>
      <c r="H2" s="428" t="s">
        <v>376</v>
      </c>
      <c r="I2" s="428" t="s">
        <v>377</v>
      </c>
      <c r="J2" s="196" t="s">
        <v>378</v>
      </c>
      <c r="K2" s="196" t="s">
        <v>59</v>
      </c>
      <c r="L2" s="150"/>
      <c r="M2" s="5"/>
      <c r="N2" s="5"/>
      <c r="O2" s="5"/>
      <c r="P2" s="5"/>
      <c r="Q2" s="5"/>
      <c r="R2" s="5"/>
      <c r="S2" s="5"/>
      <c r="T2" s="5"/>
      <c r="U2" s="5"/>
      <c r="V2" s="5"/>
      <c r="W2" s="5"/>
      <c r="X2" s="5"/>
      <c r="Y2" s="5"/>
      <c r="Z2" s="5"/>
      <c r="AA2" s="5"/>
      <c r="AB2" s="5"/>
      <c r="AC2" s="5"/>
      <c r="AD2" s="5"/>
    </row>
    <row r="3" spans="1:30" s="109" customFormat="1" ht="14.4" customHeight="1" x14ac:dyDescent="0.25">
      <c r="A3" s="199" t="str">
        <f>Zones!B3</f>
        <v>Corridor_FloorG</v>
      </c>
      <c r="B3" s="200">
        <f>Zones!K3</f>
        <v>8.9110499999999995</v>
      </c>
      <c r="C3" s="201">
        <f>Zones!H3</f>
        <v>1782.21</v>
      </c>
      <c r="D3" s="390">
        <v>15</v>
      </c>
      <c r="E3" s="390">
        <v>0.15</v>
      </c>
      <c r="F3" s="202"/>
      <c r="G3" s="206">
        <f>B3*D3</f>
        <v>133.66575</v>
      </c>
      <c r="H3" s="206">
        <f>C3*E3</f>
        <v>267.33150000000001</v>
      </c>
      <c r="I3" s="247"/>
      <c r="J3" s="194">
        <f>MAX(G3:I3)</f>
        <v>267.33150000000001</v>
      </c>
      <c r="K3" s="203"/>
      <c r="L3" s="150"/>
      <c r="M3" s="5"/>
      <c r="N3" s="5"/>
      <c r="O3" s="5"/>
      <c r="P3" s="5"/>
      <c r="Q3" s="5"/>
      <c r="R3" s="5"/>
      <c r="S3" s="5"/>
      <c r="T3" s="5"/>
      <c r="U3" s="5"/>
      <c r="V3" s="5"/>
      <c r="W3" s="5"/>
      <c r="X3" s="5"/>
      <c r="Y3" s="5"/>
      <c r="Z3" s="5"/>
      <c r="AA3" s="5"/>
      <c r="AB3" s="5"/>
      <c r="AC3" s="5"/>
      <c r="AD3" s="5"/>
    </row>
    <row r="4" spans="1:30" s="109" customFormat="1" ht="14.4" customHeight="1" x14ac:dyDescent="0.25">
      <c r="A4" s="199" t="str">
        <f>Zones!B4</f>
        <v>Corridor_FloorM</v>
      </c>
      <c r="B4" s="200">
        <f>Zones!K4</f>
        <v>7.5608000000000004</v>
      </c>
      <c r="C4" s="201">
        <f>Zones!H4</f>
        <v>1512.16</v>
      </c>
      <c r="D4" s="390">
        <v>15</v>
      </c>
      <c r="E4" s="390">
        <v>0.15</v>
      </c>
      <c r="F4" s="202"/>
      <c r="G4" s="206">
        <f t="shared" ref="G4:G16" si="0">B4*D4</f>
        <v>113.41200000000001</v>
      </c>
      <c r="H4" s="206">
        <f t="shared" ref="H4:H16" si="1">C4*E4</f>
        <v>226.82400000000001</v>
      </c>
      <c r="I4" s="247"/>
      <c r="J4" s="194">
        <f t="shared" ref="J4:J50" si="2">MAX(G4:I4)</f>
        <v>226.82400000000001</v>
      </c>
      <c r="K4" s="203"/>
      <c r="L4" s="150"/>
      <c r="M4" s="5"/>
      <c r="N4" s="5"/>
      <c r="O4" s="5"/>
      <c r="P4" s="5"/>
      <c r="Q4" s="5"/>
      <c r="R4" s="5"/>
      <c r="S4" s="5"/>
      <c r="T4" s="5"/>
      <c r="U4" s="5"/>
      <c r="V4" s="5"/>
      <c r="W4" s="5"/>
      <c r="X4" s="5"/>
      <c r="Y4" s="5"/>
      <c r="Z4" s="5"/>
      <c r="AA4" s="5"/>
      <c r="AB4" s="5"/>
      <c r="AC4" s="5"/>
      <c r="AD4" s="5"/>
    </row>
    <row r="5" spans="1:30" s="109" customFormat="1" ht="14.4" customHeight="1" x14ac:dyDescent="0.25">
      <c r="A5" s="199" t="str">
        <f>Zones!B5</f>
        <v>Corridor_FloorT</v>
      </c>
      <c r="B5" s="200">
        <f>Zones!K5</f>
        <v>7.5608000000000004</v>
      </c>
      <c r="C5" s="201">
        <f>Zones!H5</f>
        <v>1512.16</v>
      </c>
      <c r="D5" s="390">
        <v>15</v>
      </c>
      <c r="E5" s="390">
        <v>0.15</v>
      </c>
      <c r="F5" s="202"/>
      <c r="G5" s="206">
        <f t="shared" si="0"/>
        <v>113.41200000000001</v>
      </c>
      <c r="H5" s="206">
        <f t="shared" si="1"/>
        <v>226.82400000000001</v>
      </c>
      <c r="I5" s="247"/>
      <c r="J5" s="194">
        <f t="shared" si="2"/>
        <v>226.82400000000001</v>
      </c>
      <c r="K5" s="203"/>
      <c r="L5" s="150"/>
      <c r="M5" s="5"/>
      <c r="N5" s="5"/>
      <c r="O5" s="5"/>
      <c r="P5" s="5"/>
      <c r="Q5" s="5"/>
      <c r="R5" s="5"/>
      <c r="S5" s="5"/>
      <c r="T5" s="5"/>
      <c r="U5" s="5"/>
      <c r="V5" s="5"/>
      <c r="W5" s="5"/>
      <c r="X5" s="5"/>
      <c r="Y5" s="5"/>
      <c r="Z5" s="5"/>
      <c r="AA5" s="5"/>
      <c r="AB5" s="5"/>
      <c r="AC5" s="5"/>
      <c r="AD5" s="5"/>
    </row>
    <row r="6" spans="1:30" s="109" customFormat="1" ht="14.4" customHeight="1" x14ac:dyDescent="0.25">
      <c r="A6" s="199" t="str">
        <f>Zones!B6</f>
        <v>Lounge_FloorG</v>
      </c>
      <c r="B6" s="200">
        <f>Zones!K6</f>
        <v>11.583989999999998</v>
      </c>
      <c r="C6" s="201">
        <f>Zones!H6</f>
        <v>351.03</v>
      </c>
      <c r="D6" s="390">
        <v>15</v>
      </c>
      <c r="E6" s="390">
        <v>0.15</v>
      </c>
      <c r="F6" s="202"/>
      <c r="G6" s="206">
        <f t="shared" ref="G6" si="3">B6*D6</f>
        <v>173.75984999999997</v>
      </c>
      <c r="H6" s="206">
        <f t="shared" ref="H6" si="4">C6*E6</f>
        <v>52.654499999999992</v>
      </c>
      <c r="I6" s="247"/>
      <c r="J6" s="194">
        <f t="shared" si="2"/>
        <v>173.75984999999997</v>
      </c>
      <c r="K6" s="203"/>
      <c r="L6" s="150"/>
      <c r="M6" s="5"/>
      <c r="N6" s="5"/>
      <c r="O6" s="5"/>
      <c r="P6" s="5"/>
      <c r="Q6" s="5"/>
      <c r="R6" s="5"/>
      <c r="S6" s="5"/>
      <c r="T6" s="5"/>
      <c r="U6" s="5"/>
      <c r="V6" s="5"/>
      <c r="W6" s="5"/>
      <c r="X6" s="5"/>
      <c r="Y6" s="5"/>
      <c r="Z6" s="5"/>
      <c r="AA6" s="5"/>
      <c r="AB6" s="5"/>
      <c r="AC6" s="5"/>
      <c r="AD6" s="5"/>
    </row>
    <row r="7" spans="1:30" s="109" customFormat="1" ht="14.4" customHeight="1" x14ac:dyDescent="0.25">
      <c r="A7" s="199" t="str">
        <f>Zones!B7</f>
        <v>Gym_FloorG</v>
      </c>
      <c r="B7" s="200">
        <f>Zones!K7</f>
        <v>3.5102999999999995</v>
      </c>
      <c r="C7" s="201">
        <f>Zones!H7</f>
        <v>351.03</v>
      </c>
      <c r="D7" s="390">
        <v>15</v>
      </c>
      <c r="E7" s="390">
        <v>0.15</v>
      </c>
      <c r="F7" s="202"/>
      <c r="G7" s="206">
        <f t="shared" si="0"/>
        <v>52.654499999999992</v>
      </c>
      <c r="H7" s="206">
        <f t="shared" si="1"/>
        <v>52.654499999999992</v>
      </c>
      <c r="I7" s="247"/>
      <c r="J7" s="194">
        <f t="shared" si="2"/>
        <v>52.654499999999992</v>
      </c>
      <c r="K7" s="203"/>
      <c r="L7" s="150"/>
      <c r="M7" s="5"/>
      <c r="N7" s="5"/>
      <c r="O7" s="5"/>
      <c r="P7" s="5"/>
      <c r="Q7" s="5"/>
      <c r="R7" s="5"/>
      <c r="S7" s="5"/>
      <c r="T7" s="5"/>
      <c r="U7" s="5"/>
      <c r="V7" s="5"/>
      <c r="W7" s="5"/>
      <c r="X7" s="5"/>
      <c r="Y7" s="5"/>
      <c r="Z7" s="5"/>
      <c r="AA7" s="5"/>
      <c r="AB7" s="5"/>
      <c r="AC7" s="5"/>
      <c r="AD7" s="5"/>
    </row>
    <row r="8" spans="1:30" s="109" customFormat="1" ht="14.4" customHeight="1" x14ac:dyDescent="0.25">
      <c r="A8" s="199" t="str">
        <f>Zones!B8</f>
        <v>Front_Lounge_FloorG</v>
      </c>
      <c r="B8" s="200">
        <f>Zones!K8</f>
        <v>26.329499999999999</v>
      </c>
      <c r="C8" s="201">
        <f>Zones!H8</f>
        <v>1755.3</v>
      </c>
      <c r="D8" s="390">
        <v>15</v>
      </c>
      <c r="E8" s="390">
        <v>0.15</v>
      </c>
      <c r="F8" s="202"/>
      <c r="G8" s="206">
        <f t="shared" si="0"/>
        <v>394.9425</v>
      </c>
      <c r="H8" s="206">
        <f t="shared" si="1"/>
        <v>263.29499999999996</v>
      </c>
      <c r="I8" s="247"/>
      <c r="J8" s="194">
        <f t="shared" si="2"/>
        <v>394.9425</v>
      </c>
      <c r="K8" s="203"/>
      <c r="L8" s="150"/>
      <c r="M8" s="5"/>
      <c r="N8" s="5"/>
      <c r="O8" s="5"/>
      <c r="P8" s="5"/>
      <c r="Q8" s="5"/>
      <c r="R8" s="5"/>
      <c r="S8" s="5"/>
      <c r="T8" s="5"/>
      <c r="U8" s="5"/>
      <c r="V8" s="5"/>
      <c r="W8" s="5"/>
      <c r="X8" s="5"/>
      <c r="Y8" s="5"/>
      <c r="Z8" s="5"/>
      <c r="AA8" s="5"/>
      <c r="AB8" s="5"/>
      <c r="AC8" s="5"/>
      <c r="AD8" s="5"/>
    </row>
    <row r="9" spans="1:30" s="109" customFormat="1" ht="14.4" customHeight="1" x14ac:dyDescent="0.25">
      <c r="A9" s="199" t="str">
        <f>Zones!B9</f>
        <v>Front_Office_FloorG</v>
      </c>
      <c r="B9" s="200">
        <f>Zones!K9</f>
        <v>7.0206999999999997</v>
      </c>
      <c r="C9" s="201">
        <f>Zones!H9</f>
        <v>1404.1399999999999</v>
      </c>
      <c r="D9" s="390">
        <v>15</v>
      </c>
      <c r="E9" s="390">
        <v>0.15</v>
      </c>
      <c r="F9" s="202"/>
      <c r="G9" s="206">
        <f t="shared" si="0"/>
        <v>105.31049999999999</v>
      </c>
      <c r="H9" s="206">
        <f t="shared" si="1"/>
        <v>210.62099999999998</v>
      </c>
      <c r="I9" s="247"/>
      <c r="J9" s="194">
        <f t="shared" si="2"/>
        <v>210.62099999999998</v>
      </c>
      <c r="K9" s="203"/>
      <c r="L9" s="150"/>
      <c r="M9" s="5"/>
      <c r="N9" s="5"/>
      <c r="O9" s="5"/>
      <c r="P9" s="5"/>
      <c r="Q9" s="5"/>
      <c r="R9" s="5"/>
      <c r="S9" s="5"/>
      <c r="T9" s="5"/>
      <c r="U9" s="5"/>
      <c r="V9" s="5"/>
      <c r="W9" s="5"/>
      <c r="X9" s="5"/>
      <c r="Y9" s="5"/>
      <c r="Z9" s="5"/>
      <c r="AA9" s="5"/>
      <c r="AB9" s="5"/>
      <c r="AC9" s="5"/>
      <c r="AD9" s="5"/>
    </row>
    <row r="10" spans="1:30" s="109" customFormat="1" ht="14.4" customHeight="1" x14ac:dyDescent="0.25">
      <c r="A10" s="199" t="str">
        <f>Zones!B10</f>
        <v>Front_Stair_FloorG</v>
      </c>
      <c r="B10" s="200">
        <f>Zones!K10</f>
        <v>0</v>
      </c>
      <c r="C10" s="201">
        <f>Zones!H10</f>
        <v>216.02</v>
      </c>
      <c r="D10" s="390">
        <v>15</v>
      </c>
      <c r="E10" s="390">
        <v>0.15</v>
      </c>
      <c r="F10" s="202"/>
      <c r="G10" s="206">
        <f t="shared" si="0"/>
        <v>0</v>
      </c>
      <c r="H10" s="206">
        <f t="shared" si="1"/>
        <v>32.402999999999999</v>
      </c>
      <c r="I10" s="247"/>
      <c r="J10" s="194">
        <f t="shared" si="2"/>
        <v>32.402999999999999</v>
      </c>
      <c r="K10" s="203"/>
      <c r="L10" s="150"/>
      <c r="M10" s="5"/>
      <c r="N10" s="5"/>
      <c r="O10" s="5"/>
      <c r="P10" s="5"/>
      <c r="Q10" s="5"/>
      <c r="R10" s="5"/>
      <c r="S10" s="5"/>
      <c r="T10" s="5"/>
      <c r="U10" s="5"/>
      <c r="V10" s="5"/>
      <c r="W10" s="5"/>
      <c r="X10" s="5"/>
      <c r="Y10" s="5"/>
      <c r="Z10" s="5"/>
      <c r="AA10" s="5"/>
      <c r="AB10" s="5"/>
      <c r="AC10" s="5"/>
      <c r="AD10" s="5"/>
    </row>
    <row r="11" spans="1:30" s="109" customFormat="1" ht="14.4" customHeight="1" x14ac:dyDescent="0.25">
      <c r="A11" s="199" t="str">
        <f>Zones!B11</f>
        <v>Front_Stair_FloorM</v>
      </c>
      <c r="B11" s="200">
        <f>Zones!K11</f>
        <v>0</v>
      </c>
      <c r="C11" s="201">
        <f>Zones!H11</f>
        <v>216.02</v>
      </c>
      <c r="D11" s="390">
        <v>15</v>
      </c>
      <c r="E11" s="390">
        <v>0.15</v>
      </c>
      <c r="F11" s="202"/>
      <c r="G11" s="206">
        <f t="shared" si="0"/>
        <v>0</v>
      </c>
      <c r="H11" s="206">
        <f t="shared" si="1"/>
        <v>32.402999999999999</v>
      </c>
      <c r="I11" s="247"/>
      <c r="J11" s="194">
        <f t="shared" si="2"/>
        <v>32.402999999999999</v>
      </c>
      <c r="K11" s="203"/>
      <c r="L11" s="150"/>
      <c r="M11" s="5"/>
      <c r="N11" s="5"/>
      <c r="O11" s="5"/>
      <c r="P11" s="5"/>
      <c r="Q11" s="5"/>
      <c r="R11" s="5"/>
      <c r="S11" s="5"/>
      <c r="T11" s="5"/>
      <c r="U11" s="5"/>
      <c r="V11" s="5"/>
      <c r="W11" s="5"/>
      <c r="X11" s="5"/>
      <c r="Y11" s="5"/>
      <c r="Z11" s="5"/>
      <c r="AA11" s="5"/>
      <c r="AB11" s="5"/>
      <c r="AC11" s="5"/>
      <c r="AD11" s="5"/>
    </row>
    <row r="12" spans="1:30" s="109" customFormat="1" ht="14.4" customHeight="1" x14ac:dyDescent="0.25">
      <c r="A12" s="199" t="str">
        <f>Zones!B12</f>
        <v>Front_Stair_FloorT</v>
      </c>
      <c r="B12" s="200">
        <f>Zones!K12</f>
        <v>0</v>
      </c>
      <c r="C12" s="201">
        <f>Zones!H12</f>
        <v>216.02</v>
      </c>
      <c r="D12" s="390">
        <v>15</v>
      </c>
      <c r="E12" s="390">
        <v>0.15</v>
      </c>
      <c r="F12" s="202"/>
      <c r="G12" s="206">
        <f t="shared" si="0"/>
        <v>0</v>
      </c>
      <c r="H12" s="206">
        <f t="shared" si="1"/>
        <v>32.402999999999999</v>
      </c>
      <c r="I12" s="247"/>
      <c r="J12" s="194">
        <f t="shared" si="2"/>
        <v>32.402999999999999</v>
      </c>
      <c r="K12" s="203"/>
      <c r="L12" s="150"/>
      <c r="M12" s="5"/>
      <c r="N12" s="5"/>
      <c r="O12" s="5"/>
      <c r="P12" s="5"/>
      <c r="Q12" s="5"/>
      <c r="R12" s="5"/>
      <c r="S12" s="5"/>
      <c r="T12" s="5"/>
      <c r="U12" s="5"/>
      <c r="V12" s="5"/>
      <c r="W12" s="5"/>
      <c r="X12" s="5"/>
      <c r="Y12" s="5"/>
      <c r="Z12" s="5"/>
      <c r="AA12" s="5"/>
      <c r="AB12" s="5"/>
      <c r="AC12" s="5"/>
      <c r="AD12" s="5"/>
    </row>
    <row r="13" spans="1:30" s="109" customFormat="1" ht="14.4" customHeight="1" x14ac:dyDescent="0.25">
      <c r="A13" s="199" t="str">
        <f>Zones!B13</f>
        <v>Front_Storage_FloorG</v>
      </c>
      <c r="B13" s="200">
        <f>Zones!K13</f>
        <v>0.27001999999999998</v>
      </c>
      <c r="C13" s="201">
        <f>Zones!H13</f>
        <v>135.01</v>
      </c>
      <c r="D13" s="390">
        <v>15</v>
      </c>
      <c r="E13" s="390">
        <v>0.15</v>
      </c>
      <c r="F13" s="202"/>
      <c r="G13" s="206">
        <f t="shared" si="0"/>
        <v>4.0503</v>
      </c>
      <c r="H13" s="206">
        <f t="shared" si="1"/>
        <v>20.251499999999997</v>
      </c>
      <c r="I13" s="247"/>
      <c r="J13" s="194">
        <f t="shared" si="2"/>
        <v>20.251499999999997</v>
      </c>
      <c r="K13" s="203"/>
      <c r="L13" s="150"/>
      <c r="M13" s="5"/>
      <c r="N13" s="5"/>
      <c r="O13" s="5"/>
      <c r="P13" s="5"/>
      <c r="Q13" s="5"/>
      <c r="R13" s="5"/>
      <c r="S13" s="5"/>
      <c r="T13" s="5"/>
      <c r="U13" s="5"/>
      <c r="V13" s="5"/>
      <c r="W13" s="5"/>
      <c r="X13" s="5"/>
      <c r="Y13" s="5"/>
      <c r="Z13" s="5"/>
      <c r="AA13" s="5"/>
      <c r="AB13" s="5"/>
      <c r="AC13" s="5"/>
      <c r="AD13" s="5"/>
    </row>
    <row r="14" spans="1:30" s="109" customFormat="1" ht="14.4" customHeight="1" x14ac:dyDescent="0.25">
      <c r="A14" s="199" t="str">
        <f>Zones!B14</f>
        <v>Front_Storage_FloorM</v>
      </c>
      <c r="B14" s="200">
        <f>Zones!K14</f>
        <v>0.27001999999999998</v>
      </c>
      <c r="C14" s="201">
        <f>Zones!H14</f>
        <v>135.01</v>
      </c>
      <c r="D14" s="390">
        <v>15</v>
      </c>
      <c r="E14" s="390">
        <v>0.15</v>
      </c>
      <c r="F14" s="187"/>
      <c r="G14" s="206">
        <f t="shared" si="0"/>
        <v>4.0503</v>
      </c>
      <c r="H14" s="206">
        <f t="shared" si="1"/>
        <v>20.251499999999997</v>
      </c>
      <c r="I14" s="247"/>
      <c r="J14" s="194">
        <f t="shared" si="2"/>
        <v>20.251499999999997</v>
      </c>
      <c r="K14" s="187"/>
      <c r="L14" s="5"/>
      <c r="M14" s="5"/>
      <c r="N14" s="5"/>
      <c r="O14" s="5"/>
      <c r="P14" s="5"/>
      <c r="Q14" s="5"/>
      <c r="R14" s="5"/>
      <c r="S14" s="5"/>
      <c r="T14" s="5"/>
      <c r="U14" s="5"/>
      <c r="V14" s="5"/>
      <c r="W14" s="5"/>
      <c r="X14" s="5"/>
      <c r="Y14" s="5"/>
      <c r="Z14" s="5"/>
      <c r="AA14" s="5"/>
      <c r="AB14" s="5"/>
      <c r="AC14" s="5"/>
      <c r="AD14" s="5"/>
    </row>
    <row r="15" spans="1:30" s="109" customFormat="1" ht="14.4" customHeight="1" x14ac:dyDescent="0.25">
      <c r="A15" s="199" t="str">
        <f>Zones!B15</f>
        <v>Front_Storage_FloorT</v>
      </c>
      <c r="B15" s="200">
        <f>Zones!K15</f>
        <v>0.27001999999999998</v>
      </c>
      <c r="C15" s="201">
        <f>Zones!H15</f>
        <v>135.01</v>
      </c>
      <c r="D15" s="390">
        <v>15</v>
      </c>
      <c r="E15" s="390">
        <v>0.15</v>
      </c>
      <c r="F15" s="187"/>
      <c r="G15" s="206">
        <f t="shared" si="0"/>
        <v>4.0503</v>
      </c>
      <c r="H15" s="206">
        <f t="shared" si="1"/>
        <v>20.251499999999997</v>
      </c>
      <c r="I15" s="247"/>
      <c r="J15" s="194">
        <f t="shared" si="2"/>
        <v>20.251499999999997</v>
      </c>
      <c r="K15" s="187"/>
      <c r="L15" s="5"/>
      <c r="M15" s="5"/>
      <c r="N15" s="5"/>
      <c r="O15" s="5"/>
      <c r="P15" s="5"/>
      <c r="Q15" s="5"/>
      <c r="R15" s="5"/>
      <c r="S15" s="5"/>
      <c r="T15" s="5"/>
      <c r="U15" s="5"/>
      <c r="V15" s="5"/>
      <c r="W15" s="5"/>
      <c r="X15" s="5"/>
      <c r="Y15" s="5"/>
      <c r="Z15" s="5"/>
      <c r="AA15" s="5"/>
      <c r="AB15" s="5"/>
      <c r="AC15" s="5"/>
      <c r="AD15" s="5"/>
    </row>
    <row r="16" spans="1:30" s="109" customFormat="1" ht="14.4" customHeight="1" x14ac:dyDescent="0.25">
      <c r="A16" s="199" t="str">
        <f>Zones!B16</f>
        <v>GuestRoom_1_FloorG</v>
      </c>
      <c r="B16" s="200">
        <f>Zones!K16</f>
        <v>1.05318</v>
      </c>
      <c r="C16" s="201">
        <f>Zones!H16</f>
        <v>351.06</v>
      </c>
      <c r="D16" s="484">
        <f>5*10/3</f>
        <v>16.666666666666668</v>
      </c>
      <c r="E16" s="485">
        <v>0.06</v>
      </c>
      <c r="F16" s="412" t="s">
        <v>379</v>
      </c>
      <c r="G16" s="486">
        <f t="shared" si="0"/>
        <v>17.553000000000001</v>
      </c>
      <c r="H16" s="486">
        <f t="shared" si="1"/>
        <v>21.063600000000001</v>
      </c>
      <c r="I16" s="247">
        <f>50</f>
        <v>50</v>
      </c>
      <c r="J16" s="194">
        <f>MAX(G16+H16,I16)</f>
        <v>50</v>
      </c>
      <c r="K16" s="615" t="s">
        <v>380</v>
      </c>
      <c r="L16" s="5"/>
      <c r="M16" s="5"/>
      <c r="N16" s="5"/>
      <c r="O16" s="5"/>
      <c r="P16" s="5"/>
      <c r="Q16" s="5"/>
      <c r="R16" s="5"/>
      <c r="S16" s="5"/>
      <c r="T16" s="5"/>
      <c r="U16" s="5"/>
      <c r="V16" s="5"/>
      <c r="W16" s="5"/>
      <c r="X16" s="5"/>
      <c r="Y16" s="5"/>
      <c r="Z16" s="5"/>
      <c r="AA16" s="5"/>
      <c r="AB16" s="5"/>
      <c r="AC16" s="5"/>
      <c r="AD16" s="5"/>
    </row>
    <row r="17" spans="1:30" s="109" customFormat="1" ht="14.4" customHeight="1" x14ac:dyDescent="0.25">
      <c r="A17" s="199" t="str">
        <f>Zones!B17</f>
        <v>GuestRoom_2_FloorG</v>
      </c>
      <c r="B17" s="200">
        <f>Zones!K17</f>
        <v>1.05318</v>
      </c>
      <c r="C17" s="201">
        <f>Zones!H17</f>
        <v>351.06</v>
      </c>
      <c r="D17" s="484">
        <f t="shared" ref="D17:D40" si="5">5*10/3</f>
        <v>16.666666666666668</v>
      </c>
      <c r="E17" s="485">
        <v>0.06</v>
      </c>
      <c r="F17" s="412" t="s">
        <v>379</v>
      </c>
      <c r="G17" s="486">
        <f t="shared" ref="G17:G33" si="6">B17*D17</f>
        <v>17.553000000000001</v>
      </c>
      <c r="H17" s="486">
        <f>C17*E17</f>
        <v>21.063600000000001</v>
      </c>
      <c r="I17" s="247">
        <f>50</f>
        <v>50</v>
      </c>
      <c r="J17" s="194">
        <f t="shared" ref="J17:J40" si="7">MAX(G17+H17,I17)</f>
        <v>50</v>
      </c>
      <c r="K17" s="615"/>
      <c r="L17" s="195"/>
      <c r="M17" s="195"/>
      <c r="N17" s="613"/>
      <c r="O17" s="613"/>
      <c r="P17" s="613"/>
      <c r="Q17" s="613"/>
      <c r="R17" s="613"/>
      <c r="S17" s="613"/>
      <c r="T17" s="5"/>
      <c r="U17" s="5"/>
      <c r="V17" s="5"/>
      <c r="W17" s="5"/>
      <c r="X17" s="5"/>
      <c r="Y17" s="5"/>
      <c r="Z17" s="5"/>
      <c r="AA17" s="5"/>
      <c r="AB17" s="5"/>
      <c r="AC17" s="5"/>
      <c r="AD17" s="5"/>
    </row>
    <row r="18" spans="1:30" s="109" customFormat="1" ht="14.4" customHeight="1" x14ac:dyDescent="0.25">
      <c r="A18" s="199" t="str">
        <f>Zones!B18</f>
        <v>GuestRoom_3_FloorG</v>
      </c>
      <c r="B18" s="200">
        <f>Zones!K18</f>
        <v>1.05318</v>
      </c>
      <c r="C18" s="201">
        <f>Zones!H18</f>
        <v>351.06</v>
      </c>
      <c r="D18" s="484">
        <f t="shared" si="5"/>
        <v>16.666666666666668</v>
      </c>
      <c r="E18" s="485">
        <v>0.06</v>
      </c>
      <c r="F18" s="412" t="s">
        <v>379</v>
      </c>
      <c r="G18" s="486">
        <f t="shared" si="6"/>
        <v>17.553000000000001</v>
      </c>
      <c r="H18" s="486">
        <f t="shared" ref="H18:H33" si="8">C18*E18</f>
        <v>21.063600000000001</v>
      </c>
      <c r="I18" s="247">
        <f>50</f>
        <v>50</v>
      </c>
      <c r="J18" s="194">
        <f t="shared" si="7"/>
        <v>50</v>
      </c>
      <c r="K18" s="615"/>
      <c r="L18" s="76"/>
      <c r="M18" s="76"/>
      <c r="N18" s="75"/>
      <c r="O18" s="75"/>
      <c r="P18" s="75"/>
      <c r="Q18" s="151"/>
      <c r="R18" s="76"/>
      <c r="S18" s="76"/>
      <c r="T18" s="5"/>
      <c r="U18" s="5"/>
      <c r="V18" s="5"/>
      <c r="W18" s="5"/>
      <c r="X18" s="5"/>
      <c r="Y18" s="5"/>
      <c r="Z18" s="5"/>
      <c r="AA18" s="5"/>
      <c r="AB18" s="5"/>
      <c r="AC18" s="5"/>
      <c r="AD18" s="5"/>
    </row>
    <row r="19" spans="1:30" s="109" customFormat="1" ht="14.4" customHeight="1" x14ac:dyDescent="0.25">
      <c r="A19" s="199" t="str">
        <f>Zones!B19</f>
        <v>GuestRoom_4_FloorG</v>
      </c>
      <c r="B19" s="200">
        <f>Zones!K19</f>
        <v>1.0530899999999999</v>
      </c>
      <c r="C19" s="201">
        <f>Zones!H19</f>
        <v>351.03</v>
      </c>
      <c r="D19" s="484">
        <f t="shared" si="5"/>
        <v>16.666666666666668</v>
      </c>
      <c r="E19" s="485">
        <v>0.06</v>
      </c>
      <c r="F19" s="412" t="s">
        <v>379</v>
      </c>
      <c r="G19" s="486">
        <f>B19*D19</f>
        <v>17.551499999999997</v>
      </c>
      <c r="H19" s="486">
        <f>C19*E19</f>
        <v>21.061799999999998</v>
      </c>
      <c r="I19" s="247">
        <f>50</f>
        <v>50</v>
      </c>
      <c r="J19" s="194">
        <f t="shared" si="7"/>
        <v>50</v>
      </c>
      <c r="K19" s="615"/>
      <c r="L19" s="150"/>
      <c r="M19" s="150"/>
      <c r="N19" s="150"/>
      <c r="O19" s="150"/>
      <c r="P19" s="150"/>
      <c r="Q19" s="150"/>
      <c r="R19" s="150"/>
      <c r="S19" s="150"/>
      <c r="T19" s="5"/>
      <c r="U19" s="5"/>
      <c r="V19" s="5"/>
      <c r="W19" s="5"/>
      <c r="X19" s="5"/>
      <c r="Y19" s="5"/>
      <c r="Z19" s="5"/>
      <c r="AA19" s="5"/>
      <c r="AB19" s="5"/>
      <c r="AC19" s="5"/>
      <c r="AD19" s="5"/>
    </row>
    <row r="20" spans="1:30" s="109" customFormat="1" ht="14.4" customHeight="1" x14ac:dyDescent="0.25">
      <c r="A20" s="199" t="str">
        <f>Zones!B20</f>
        <v>GuestRoom_5_FloorG</v>
      </c>
      <c r="B20" s="200">
        <f>Zones!K20</f>
        <v>1.0530899999999999</v>
      </c>
      <c r="C20" s="201">
        <f>Zones!H20</f>
        <v>351.03</v>
      </c>
      <c r="D20" s="484">
        <f t="shared" si="5"/>
        <v>16.666666666666668</v>
      </c>
      <c r="E20" s="485">
        <v>0.06</v>
      </c>
      <c r="F20" s="412" t="s">
        <v>379</v>
      </c>
      <c r="G20" s="486">
        <f t="shared" si="6"/>
        <v>17.551499999999997</v>
      </c>
      <c r="H20" s="486">
        <f t="shared" si="8"/>
        <v>21.061799999999998</v>
      </c>
      <c r="I20" s="247">
        <f>50</f>
        <v>50</v>
      </c>
      <c r="J20" s="194">
        <f t="shared" si="7"/>
        <v>50</v>
      </c>
      <c r="K20" s="615"/>
      <c r="L20" s="150"/>
      <c r="M20" s="150"/>
      <c r="N20" s="150"/>
      <c r="O20" s="150"/>
      <c r="P20" s="150"/>
      <c r="Q20" s="150"/>
      <c r="R20" s="150"/>
      <c r="S20" s="150"/>
      <c r="T20" s="5"/>
      <c r="U20" s="5"/>
      <c r="V20" s="5"/>
      <c r="W20" s="5"/>
      <c r="X20" s="5"/>
      <c r="Y20" s="5"/>
      <c r="Z20" s="5"/>
      <c r="AA20" s="5"/>
      <c r="AB20" s="5"/>
      <c r="AC20" s="5"/>
      <c r="AD20" s="5"/>
    </row>
    <row r="21" spans="1:30" s="109" customFormat="1" ht="14.4" customHeight="1" x14ac:dyDescent="0.25">
      <c r="A21" s="199" t="str">
        <f>Zones!B21</f>
        <v>GuestRoom_1_FloorM</v>
      </c>
      <c r="B21" s="200">
        <f>Zones!K21</f>
        <v>1.05318</v>
      </c>
      <c r="C21" s="201">
        <f>Zones!H21</f>
        <v>351.06</v>
      </c>
      <c r="D21" s="484">
        <f t="shared" si="5"/>
        <v>16.666666666666668</v>
      </c>
      <c r="E21" s="485">
        <v>0.06</v>
      </c>
      <c r="F21" s="412" t="s">
        <v>379</v>
      </c>
      <c r="G21" s="486">
        <f t="shared" si="6"/>
        <v>17.553000000000001</v>
      </c>
      <c r="H21" s="486">
        <f t="shared" si="8"/>
        <v>21.063600000000001</v>
      </c>
      <c r="I21" s="247">
        <f>50</f>
        <v>50</v>
      </c>
      <c r="J21" s="194">
        <f t="shared" si="7"/>
        <v>50</v>
      </c>
      <c r="K21" s="615"/>
      <c r="L21" s="150"/>
      <c r="M21" s="150"/>
      <c r="N21" s="150"/>
      <c r="O21" s="150"/>
      <c r="P21" s="150"/>
      <c r="Q21" s="150"/>
      <c r="R21" s="150"/>
      <c r="S21" s="150"/>
      <c r="T21" s="5"/>
      <c r="U21" s="5"/>
      <c r="V21" s="5"/>
      <c r="W21" s="5"/>
      <c r="X21" s="5"/>
      <c r="Y21" s="5"/>
      <c r="Z21" s="5"/>
      <c r="AA21" s="5"/>
      <c r="AB21" s="5"/>
      <c r="AC21" s="5"/>
      <c r="AD21" s="5"/>
    </row>
    <row r="22" spans="1:30" s="109" customFormat="1" ht="14.4" customHeight="1" x14ac:dyDescent="0.25">
      <c r="A22" s="199" t="str">
        <f>Zones!B22</f>
        <v>GuestRoom_2_5_FloorM</v>
      </c>
      <c r="B22" s="200">
        <f>Zones!K22</f>
        <v>4.21272</v>
      </c>
      <c r="C22" s="201">
        <f>Zones!H22</f>
        <v>1404.24</v>
      </c>
      <c r="D22" s="484">
        <f t="shared" si="5"/>
        <v>16.666666666666668</v>
      </c>
      <c r="E22" s="485">
        <v>0.06</v>
      </c>
      <c r="F22" s="412" t="s">
        <v>379</v>
      </c>
      <c r="G22" s="486">
        <f t="shared" si="6"/>
        <v>70.212000000000003</v>
      </c>
      <c r="H22" s="486">
        <f>C22*E22</f>
        <v>84.254400000000004</v>
      </c>
      <c r="I22" s="247">
        <f>50*B22</f>
        <v>210.636</v>
      </c>
      <c r="J22" s="194">
        <f t="shared" si="7"/>
        <v>210.636</v>
      </c>
      <c r="K22" s="615"/>
      <c r="L22" s="150"/>
      <c r="M22" s="150"/>
      <c r="N22" s="150"/>
      <c r="O22" s="150"/>
      <c r="P22" s="150"/>
      <c r="Q22" s="150"/>
      <c r="R22" s="150"/>
      <c r="S22" s="150"/>
      <c r="T22" s="5"/>
      <c r="U22" s="5"/>
      <c r="V22" s="5"/>
      <c r="W22" s="5"/>
      <c r="X22" s="5"/>
      <c r="Y22" s="5"/>
      <c r="Z22" s="5"/>
      <c r="AA22" s="5"/>
      <c r="AB22" s="5"/>
      <c r="AC22" s="5"/>
      <c r="AD22" s="5"/>
    </row>
    <row r="23" spans="1:30" s="109" customFormat="1" ht="14.4" customHeight="1" x14ac:dyDescent="0.25">
      <c r="A23" s="199" t="str">
        <f>Zones!B23</f>
        <v>GuestRoom_6_8_FloorM</v>
      </c>
      <c r="B23" s="200">
        <f>Zones!K23</f>
        <v>3.4026000000000005</v>
      </c>
      <c r="C23" s="201">
        <f>Zones!H23</f>
        <v>1134.2</v>
      </c>
      <c r="D23" s="484">
        <f t="shared" si="5"/>
        <v>16.666666666666668</v>
      </c>
      <c r="E23" s="485">
        <v>0.06</v>
      </c>
      <c r="F23" s="412" t="s">
        <v>379</v>
      </c>
      <c r="G23" s="486">
        <f t="shared" si="6"/>
        <v>56.710000000000015</v>
      </c>
      <c r="H23" s="486">
        <f t="shared" si="8"/>
        <v>68.052000000000007</v>
      </c>
      <c r="I23" s="247">
        <f t="shared" ref="I23:I40" si="9">50*B23</f>
        <v>170.13000000000002</v>
      </c>
      <c r="J23" s="194">
        <f t="shared" si="7"/>
        <v>170.13000000000002</v>
      </c>
      <c r="K23" s="615"/>
      <c r="L23" s="150"/>
      <c r="M23" s="150"/>
      <c r="N23" s="150"/>
      <c r="O23" s="150"/>
      <c r="P23" s="150"/>
      <c r="Q23" s="150"/>
      <c r="R23" s="150"/>
      <c r="S23" s="150"/>
      <c r="T23" s="5"/>
      <c r="U23" s="5"/>
      <c r="V23" s="5"/>
      <c r="W23" s="5"/>
      <c r="X23" s="5"/>
      <c r="Y23" s="5"/>
      <c r="Z23" s="5"/>
      <c r="AA23" s="5"/>
      <c r="AB23" s="5"/>
      <c r="AC23" s="5"/>
      <c r="AD23" s="5"/>
    </row>
    <row r="24" spans="1:30" s="109" customFormat="1" ht="14.4" customHeight="1" x14ac:dyDescent="0.25">
      <c r="A24" s="199" t="str">
        <f>Zones!B24</f>
        <v>GuestRoom_9_12_FloorM</v>
      </c>
      <c r="B24" s="200">
        <f>Zones!K24</f>
        <v>4.21272</v>
      </c>
      <c r="C24" s="201">
        <f>Zones!H24</f>
        <v>1404.24</v>
      </c>
      <c r="D24" s="484">
        <f t="shared" si="5"/>
        <v>16.666666666666668</v>
      </c>
      <c r="E24" s="485">
        <v>0.06</v>
      </c>
      <c r="F24" s="412" t="s">
        <v>379</v>
      </c>
      <c r="G24" s="486">
        <f t="shared" si="6"/>
        <v>70.212000000000003</v>
      </c>
      <c r="H24" s="486">
        <f>C24*E24</f>
        <v>84.254400000000004</v>
      </c>
      <c r="I24" s="247">
        <f>50*B24</f>
        <v>210.636</v>
      </c>
      <c r="J24" s="194">
        <f t="shared" si="7"/>
        <v>210.636</v>
      </c>
      <c r="K24" s="615"/>
      <c r="L24" s="150"/>
      <c r="M24" s="150"/>
      <c r="N24" s="150"/>
      <c r="O24" s="150"/>
      <c r="P24" s="150"/>
      <c r="Q24" s="150"/>
      <c r="R24" s="150"/>
      <c r="S24" s="150"/>
      <c r="T24" s="5"/>
      <c r="U24" s="5"/>
      <c r="V24" s="5"/>
      <c r="W24" s="5"/>
      <c r="X24" s="5"/>
      <c r="Y24" s="5"/>
      <c r="Z24" s="5"/>
      <c r="AA24" s="5"/>
      <c r="AB24" s="5"/>
      <c r="AC24" s="5"/>
      <c r="AD24" s="5"/>
    </row>
    <row r="25" spans="1:30" s="109" customFormat="1" ht="14.4" customHeight="1" x14ac:dyDescent="0.25">
      <c r="A25" s="199" t="str">
        <f>Zones!B25</f>
        <v>GuestRoom_13_FloorM</v>
      </c>
      <c r="B25" s="200">
        <f>Zones!K25</f>
        <v>1.05318</v>
      </c>
      <c r="C25" s="201">
        <f>Zones!H25</f>
        <v>351.06</v>
      </c>
      <c r="D25" s="484">
        <f t="shared" si="5"/>
        <v>16.666666666666668</v>
      </c>
      <c r="E25" s="485">
        <v>0.06</v>
      </c>
      <c r="F25" s="412" t="s">
        <v>379</v>
      </c>
      <c r="G25" s="486">
        <f t="shared" si="6"/>
        <v>17.553000000000001</v>
      </c>
      <c r="H25" s="486">
        <f t="shared" si="8"/>
        <v>21.063600000000001</v>
      </c>
      <c r="I25" s="247">
        <f>50*B25</f>
        <v>52.658999999999999</v>
      </c>
      <c r="J25" s="194">
        <f t="shared" si="7"/>
        <v>52.658999999999999</v>
      </c>
      <c r="K25" s="615"/>
      <c r="L25" s="150"/>
      <c r="M25" s="150"/>
      <c r="N25" s="150"/>
      <c r="O25" s="150"/>
      <c r="P25" s="150"/>
      <c r="Q25" s="150"/>
      <c r="R25" s="150"/>
      <c r="S25" s="150"/>
      <c r="T25" s="5"/>
      <c r="U25" s="5"/>
      <c r="V25" s="5"/>
      <c r="W25" s="5"/>
      <c r="X25" s="5"/>
      <c r="Y25" s="5"/>
      <c r="Z25" s="5"/>
      <c r="AA25" s="5"/>
      <c r="AB25" s="5"/>
      <c r="AC25" s="5"/>
      <c r="AD25" s="5"/>
    </row>
    <row r="26" spans="1:30" s="109" customFormat="1" ht="14.4" customHeight="1" x14ac:dyDescent="0.25">
      <c r="A26" s="199" t="str">
        <f>Zones!B26</f>
        <v>GuestRoom_14_FloorM</v>
      </c>
      <c r="B26" s="200">
        <f>Zones!K26</f>
        <v>1.0530899999999999</v>
      </c>
      <c r="C26" s="201">
        <f>Zones!H26</f>
        <v>351.03</v>
      </c>
      <c r="D26" s="484">
        <f t="shared" si="5"/>
        <v>16.666666666666668</v>
      </c>
      <c r="E26" s="485">
        <v>0.06</v>
      </c>
      <c r="F26" s="412" t="s">
        <v>379</v>
      </c>
      <c r="G26" s="486">
        <f t="shared" si="6"/>
        <v>17.551499999999997</v>
      </c>
      <c r="H26" s="486">
        <f t="shared" si="8"/>
        <v>21.061799999999998</v>
      </c>
      <c r="I26" s="247">
        <f t="shared" si="9"/>
        <v>52.654499999999992</v>
      </c>
      <c r="J26" s="194">
        <f t="shared" si="7"/>
        <v>52.654499999999992</v>
      </c>
      <c r="K26" s="615"/>
      <c r="L26" s="150"/>
      <c r="M26" s="150"/>
      <c r="N26" s="150"/>
      <c r="O26" s="150"/>
      <c r="P26" s="150"/>
      <c r="Q26" s="150"/>
      <c r="R26" s="150"/>
      <c r="S26" s="150"/>
      <c r="T26" s="5"/>
      <c r="U26" s="5"/>
      <c r="V26" s="5"/>
      <c r="W26" s="5"/>
      <c r="X26" s="5"/>
      <c r="Y26" s="5"/>
      <c r="Z26" s="5"/>
      <c r="AA26" s="5"/>
      <c r="AB26" s="5"/>
      <c r="AC26" s="5"/>
      <c r="AD26" s="5"/>
    </row>
    <row r="27" spans="1:30" s="109" customFormat="1" ht="14.4" customHeight="1" x14ac:dyDescent="0.25">
      <c r="A27" s="199" t="str">
        <f>Zones!B27</f>
        <v>GuestRoom_15_18_FloorM</v>
      </c>
      <c r="B27" s="200">
        <f>Zones!K27</f>
        <v>4.2124200000000007</v>
      </c>
      <c r="C27" s="201">
        <f>Zones!H27</f>
        <v>1404.14</v>
      </c>
      <c r="D27" s="484">
        <f t="shared" si="5"/>
        <v>16.666666666666668</v>
      </c>
      <c r="E27" s="485">
        <v>0.06</v>
      </c>
      <c r="F27" s="412" t="s">
        <v>379</v>
      </c>
      <c r="G27" s="486">
        <f t="shared" si="6"/>
        <v>70.207000000000022</v>
      </c>
      <c r="H27" s="486">
        <f t="shared" si="8"/>
        <v>84.248400000000004</v>
      </c>
      <c r="I27" s="247">
        <f t="shared" si="9"/>
        <v>210.62100000000004</v>
      </c>
      <c r="J27" s="194">
        <f t="shared" si="7"/>
        <v>210.62100000000004</v>
      </c>
      <c r="K27" s="615"/>
      <c r="L27" s="150"/>
      <c r="M27" s="150"/>
      <c r="N27" s="150"/>
      <c r="O27" s="150"/>
      <c r="P27" s="150"/>
      <c r="Q27" s="150"/>
      <c r="R27" s="150"/>
      <c r="S27" s="150"/>
      <c r="T27" s="5"/>
      <c r="U27" s="5"/>
      <c r="V27" s="5"/>
      <c r="W27" s="5"/>
      <c r="X27" s="5"/>
      <c r="Y27" s="5"/>
      <c r="Z27" s="5"/>
      <c r="AA27" s="5"/>
      <c r="AB27" s="5"/>
      <c r="AC27" s="5"/>
      <c r="AD27" s="5"/>
    </row>
    <row r="28" spans="1:30" s="109" customFormat="1" ht="14.4" customHeight="1" x14ac:dyDescent="0.25">
      <c r="A28" s="199" t="str">
        <f>Zones!B28</f>
        <v>GuestRoom_19_FloorM</v>
      </c>
      <c r="B28" s="200">
        <f>Zones!K28</f>
        <v>1.0531200000000001</v>
      </c>
      <c r="C28" s="201">
        <f>Zones!H28</f>
        <v>351.04</v>
      </c>
      <c r="D28" s="484">
        <f t="shared" si="5"/>
        <v>16.666666666666668</v>
      </c>
      <c r="E28" s="485">
        <v>0.06</v>
      </c>
      <c r="F28" s="412" t="s">
        <v>379</v>
      </c>
      <c r="G28" s="486">
        <f t="shared" si="6"/>
        <v>17.552000000000003</v>
      </c>
      <c r="H28" s="486">
        <f t="shared" si="8"/>
        <v>21.0624</v>
      </c>
      <c r="I28" s="247">
        <f t="shared" si="9"/>
        <v>52.656000000000006</v>
      </c>
      <c r="J28" s="194">
        <f t="shared" si="7"/>
        <v>52.656000000000006</v>
      </c>
      <c r="K28" s="615"/>
      <c r="L28" s="150"/>
      <c r="M28" s="150"/>
      <c r="N28" s="150"/>
      <c r="O28" s="150"/>
      <c r="P28" s="150"/>
      <c r="Q28" s="150"/>
      <c r="R28" s="150"/>
      <c r="S28" s="150"/>
      <c r="T28" s="5"/>
      <c r="U28" s="5"/>
      <c r="V28" s="5"/>
      <c r="W28" s="5"/>
      <c r="X28" s="5"/>
      <c r="Y28" s="5"/>
      <c r="Z28" s="5"/>
      <c r="AA28" s="5"/>
      <c r="AB28" s="5"/>
      <c r="AC28" s="5"/>
      <c r="AD28" s="5"/>
    </row>
    <row r="29" spans="1:30" s="109" customFormat="1" ht="14.4" customHeight="1" x14ac:dyDescent="0.25">
      <c r="A29" s="199" t="str">
        <f>Zones!B29</f>
        <v>GuestRoom_20_23_FloorM</v>
      </c>
      <c r="B29" s="200">
        <f>Zones!K29</f>
        <v>4.2124200000000007</v>
      </c>
      <c r="C29" s="201">
        <f>Zones!H29</f>
        <v>1404.14</v>
      </c>
      <c r="D29" s="484">
        <f t="shared" si="5"/>
        <v>16.666666666666668</v>
      </c>
      <c r="E29" s="485">
        <v>0.06</v>
      </c>
      <c r="F29" s="412" t="s">
        <v>379</v>
      </c>
      <c r="G29" s="486">
        <f t="shared" si="6"/>
        <v>70.207000000000022</v>
      </c>
      <c r="H29" s="486">
        <f>C29*E29</f>
        <v>84.248400000000004</v>
      </c>
      <c r="I29" s="247">
        <f t="shared" si="9"/>
        <v>210.62100000000004</v>
      </c>
      <c r="J29" s="194">
        <f t="shared" si="7"/>
        <v>210.62100000000004</v>
      </c>
      <c r="K29" s="615"/>
      <c r="L29" s="150"/>
      <c r="M29" s="150"/>
      <c r="N29" s="150"/>
      <c r="O29" s="150"/>
      <c r="P29" s="150"/>
      <c r="Q29" s="150"/>
      <c r="R29" s="150"/>
      <c r="S29" s="150"/>
      <c r="T29" s="5"/>
      <c r="U29" s="5"/>
      <c r="V29" s="5"/>
      <c r="W29" s="5"/>
      <c r="X29" s="5"/>
      <c r="Y29" s="5"/>
      <c r="Z29" s="5"/>
      <c r="AA29" s="5"/>
      <c r="AB29" s="5"/>
      <c r="AC29" s="5"/>
      <c r="AD29" s="5"/>
    </row>
    <row r="30" spans="1:30" s="109" customFormat="1" ht="14.4" customHeight="1" x14ac:dyDescent="0.25">
      <c r="A30" s="199" t="str">
        <f>Zones!B30</f>
        <v>GuestRoom_24_FloorM</v>
      </c>
      <c r="B30" s="200">
        <f>Zones!K30</f>
        <v>1.0530899999999999</v>
      </c>
      <c r="C30" s="201">
        <f>Zones!H30</f>
        <v>351.03</v>
      </c>
      <c r="D30" s="484">
        <f t="shared" si="5"/>
        <v>16.666666666666668</v>
      </c>
      <c r="E30" s="485">
        <v>0.06</v>
      </c>
      <c r="F30" s="412" t="s">
        <v>379</v>
      </c>
      <c r="G30" s="486">
        <f t="shared" si="6"/>
        <v>17.551499999999997</v>
      </c>
      <c r="H30" s="486">
        <f t="shared" si="8"/>
        <v>21.061799999999998</v>
      </c>
      <c r="I30" s="247">
        <f t="shared" si="9"/>
        <v>52.654499999999992</v>
      </c>
      <c r="J30" s="194">
        <f t="shared" si="7"/>
        <v>52.654499999999992</v>
      </c>
      <c r="K30" s="615"/>
      <c r="L30" s="150"/>
      <c r="M30" s="150"/>
      <c r="N30" s="150"/>
      <c r="O30" s="150"/>
      <c r="P30" s="150"/>
      <c r="Q30" s="150"/>
      <c r="R30" s="150"/>
      <c r="S30" s="150"/>
      <c r="T30" s="5"/>
      <c r="U30" s="5"/>
      <c r="V30" s="5"/>
      <c r="W30" s="5"/>
      <c r="X30" s="5"/>
      <c r="Y30" s="5"/>
      <c r="Z30" s="5"/>
      <c r="AA30" s="5"/>
      <c r="AB30" s="5"/>
      <c r="AC30" s="5"/>
      <c r="AD30" s="5"/>
    </row>
    <row r="31" spans="1:30" s="109" customFormat="1" ht="14.4" customHeight="1" x14ac:dyDescent="0.25">
      <c r="A31" s="199" t="str">
        <f>Zones!B31</f>
        <v>GuestRoom_1_FloorT</v>
      </c>
      <c r="B31" s="200">
        <f>Zones!K31</f>
        <v>1.05318</v>
      </c>
      <c r="C31" s="201">
        <f>Zones!H31</f>
        <v>351.06</v>
      </c>
      <c r="D31" s="484">
        <f t="shared" si="5"/>
        <v>16.666666666666668</v>
      </c>
      <c r="E31" s="485">
        <v>0.06</v>
      </c>
      <c r="F31" s="412" t="s">
        <v>379</v>
      </c>
      <c r="G31" s="486">
        <f t="shared" si="6"/>
        <v>17.553000000000001</v>
      </c>
      <c r="H31" s="486">
        <f t="shared" si="8"/>
        <v>21.063600000000001</v>
      </c>
      <c r="I31" s="247">
        <f t="shared" si="9"/>
        <v>52.658999999999999</v>
      </c>
      <c r="J31" s="194">
        <f t="shared" si="7"/>
        <v>52.658999999999999</v>
      </c>
      <c r="K31" s="615"/>
      <c r="L31" s="150"/>
      <c r="M31" s="150"/>
      <c r="N31" s="150"/>
      <c r="O31" s="150"/>
      <c r="P31" s="150"/>
      <c r="Q31" s="150"/>
      <c r="R31" s="150"/>
      <c r="S31" s="150"/>
      <c r="T31" s="5"/>
      <c r="U31" s="5"/>
      <c r="V31" s="5"/>
      <c r="W31" s="5"/>
      <c r="X31" s="5"/>
      <c r="Y31" s="5"/>
      <c r="Z31" s="5"/>
      <c r="AA31" s="5"/>
      <c r="AB31" s="5"/>
      <c r="AC31" s="5"/>
      <c r="AD31" s="5"/>
    </row>
    <row r="32" spans="1:30" s="109" customFormat="1" ht="14.4" customHeight="1" x14ac:dyDescent="0.25">
      <c r="A32" s="199" t="str">
        <f>Zones!B32</f>
        <v>GuestRoom_2_5_FloorT</v>
      </c>
      <c r="B32" s="200">
        <f>Zones!K32</f>
        <v>4.21272</v>
      </c>
      <c r="C32" s="201">
        <f>Zones!H32</f>
        <v>1404.24</v>
      </c>
      <c r="D32" s="484">
        <f t="shared" si="5"/>
        <v>16.666666666666668</v>
      </c>
      <c r="E32" s="485">
        <v>0.06</v>
      </c>
      <c r="F32" s="412" t="s">
        <v>379</v>
      </c>
      <c r="G32" s="486">
        <f t="shared" si="6"/>
        <v>70.212000000000003</v>
      </c>
      <c r="H32" s="486">
        <f t="shared" si="8"/>
        <v>84.254400000000004</v>
      </c>
      <c r="I32" s="247">
        <f t="shared" si="9"/>
        <v>210.636</v>
      </c>
      <c r="J32" s="194">
        <f t="shared" si="7"/>
        <v>210.636</v>
      </c>
      <c r="K32" s="615"/>
      <c r="L32" s="150"/>
      <c r="M32" s="150"/>
      <c r="N32" s="150"/>
      <c r="O32" s="150"/>
      <c r="P32" s="150"/>
      <c r="Q32" s="150"/>
      <c r="R32" s="150"/>
      <c r="S32" s="150"/>
      <c r="T32" s="5"/>
      <c r="U32" s="5"/>
      <c r="V32" s="5"/>
      <c r="W32" s="5"/>
      <c r="X32" s="5"/>
      <c r="Y32" s="5"/>
      <c r="Z32" s="5"/>
      <c r="AA32" s="5"/>
      <c r="AB32" s="5"/>
      <c r="AC32" s="5"/>
      <c r="AD32" s="5"/>
    </row>
    <row r="33" spans="1:30" s="109" customFormat="1" ht="14.4" customHeight="1" x14ac:dyDescent="0.25">
      <c r="A33" s="199" t="str">
        <f>Zones!B33</f>
        <v>GuestRoom_6_8_FloorT</v>
      </c>
      <c r="B33" s="200">
        <f>Zones!K33</f>
        <v>3.4026000000000005</v>
      </c>
      <c r="C33" s="201">
        <f>Zones!H33</f>
        <v>1134.2</v>
      </c>
      <c r="D33" s="484">
        <f t="shared" si="5"/>
        <v>16.666666666666668</v>
      </c>
      <c r="E33" s="485">
        <v>0.06</v>
      </c>
      <c r="F33" s="412" t="s">
        <v>379</v>
      </c>
      <c r="G33" s="486">
        <f t="shared" si="6"/>
        <v>56.710000000000015</v>
      </c>
      <c r="H33" s="486">
        <f t="shared" si="8"/>
        <v>68.052000000000007</v>
      </c>
      <c r="I33" s="247">
        <f t="shared" si="9"/>
        <v>170.13000000000002</v>
      </c>
      <c r="J33" s="194">
        <f t="shared" si="7"/>
        <v>170.13000000000002</v>
      </c>
      <c r="K33" s="615"/>
      <c r="L33" s="150"/>
      <c r="M33" s="150"/>
      <c r="N33" s="150"/>
      <c r="O33" s="150"/>
      <c r="P33" s="150"/>
      <c r="Q33" s="150"/>
      <c r="R33" s="150"/>
      <c r="S33" s="150"/>
      <c r="T33" s="5"/>
      <c r="U33" s="5"/>
      <c r="V33" s="5"/>
      <c r="W33" s="5"/>
      <c r="X33" s="5"/>
      <c r="Y33" s="5"/>
      <c r="Z33" s="5"/>
      <c r="AA33" s="5"/>
      <c r="AB33" s="5"/>
      <c r="AC33" s="5"/>
      <c r="AD33" s="5"/>
    </row>
    <row r="34" spans="1:30" s="109" customFormat="1" ht="14.4" customHeight="1" x14ac:dyDescent="0.25">
      <c r="A34" s="199" t="str">
        <f>Zones!B34</f>
        <v>GuestRoom_9_12_FloorT</v>
      </c>
      <c r="B34" s="200">
        <f>Zones!K34</f>
        <v>4.21272</v>
      </c>
      <c r="C34" s="201">
        <f>Zones!H34</f>
        <v>1404.24</v>
      </c>
      <c r="D34" s="484">
        <f t="shared" si="5"/>
        <v>16.666666666666668</v>
      </c>
      <c r="E34" s="485">
        <v>0.06</v>
      </c>
      <c r="F34" s="412" t="s">
        <v>379</v>
      </c>
      <c r="G34" s="486">
        <f t="shared" ref="G34:G50" si="10">B34*D34</f>
        <v>70.212000000000003</v>
      </c>
      <c r="H34" s="486">
        <f t="shared" ref="H34:H50" si="11">C34*E34</f>
        <v>84.254400000000004</v>
      </c>
      <c r="I34" s="247">
        <f t="shared" si="9"/>
        <v>210.636</v>
      </c>
      <c r="J34" s="194">
        <f t="shared" si="7"/>
        <v>210.636</v>
      </c>
      <c r="K34" s="615"/>
      <c r="L34" s="150"/>
      <c r="M34" s="150"/>
      <c r="N34" s="150"/>
      <c r="O34" s="150"/>
      <c r="P34" s="150"/>
      <c r="Q34" s="150"/>
      <c r="R34" s="150"/>
      <c r="S34" s="150"/>
      <c r="T34" s="5"/>
      <c r="U34" s="5"/>
      <c r="V34" s="5"/>
      <c r="W34" s="5"/>
      <c r="X34" s="5"/>
      <c r="Y34" s="5"/>
      <c r="Z34" s="5"/>
      <c r="AA34" s="5"/>
      <c r="AB34" s="5"/>
      <c r="AC34" s="5"/>
      <c r="AD34" s="5"/>
    </row>
    <row r="35" spans="1:30" s="109" customFormat="1" ht="14.4" customHeight="1" x14ac:dyDescent="0.25">
      <c r="A35" s="199" t="str">
        <f>Zones!B35</f>
        <v>GuestRoom_13_FloorT</v>
      </c>
      <c r="B35" s="200">
        <f>Zones!K35</f>
        <v>1.05318</v>
      </c>
      <c r="C35" s="201">
        <f>Zones!H35</f>
        <v>351.06</v>
      </c>
      <c r="D35" s="484">
        <f t="shared" si="5"/>
        <v>16.666666666666668</v>
      </c>
      <c r="E35" s="485">
        <v>0.06</v>
      </c>
      <c r="F35" s="412" t="s">
        <v>379</v>
      </c>
      <c r="G35" s="486">
        <f t="shared" si="10"/>
        <v>17.553000000000001</v>
      </c>
      <c r="H35" s="486">
        <f t="shared" si="11"/>
        <v>21.063600000000001</v>
      </c>
      <c r="I35" s="247">
        <f t="shared" si="9"/>
        <v>52.658999999999999</v>
      </c>
      <c r="J35" s="194">
        <f t="shared" si="7"/>
        <v>52.658999999999999</v>
      </c>
      <c r="K35" s="615"/>
      <c r="L35" s="150"/>
      <c r="M35" s="150"/>
      <c r="N35" s="150"/>
      <c r="O35" s="150"/>
      <c r="P35" s="150"/>
      <c r="Q35" s="150"/>
      <c r="R35" s="150"/>
      <c r="S35" s="150"/>
      <c r="T35" s="5"/>
      <c r="U35" s="5"/>
      <c r="V35" s="5"/>
      <c r="W35" s="5"/>
      <c r="X35" s="5"/>
      <c r="Y35" s="5"/>
      <c r="Z35" s="5"/>
      <c r="AA35" s="5"/>
      <c r="AB35" s="5"/>
      <c r="AC35" s="5"/>
      <c r="AD35" s="5"/>
    </row>
    <row r="36" spans="1:30" s="109" customFormat="1" ht="14.4" customHeight="1" x14ac:dyDescent="0.25">
      <c r="A36" s="199" t="str">
        <f>Zones!B36</f>
        <v>GuestRoom_14_FloorT</v>
      </c>
      <c r="B36" s="200">
        <f>Zones!K36</f>
        <v>1.0530899999999999</v>
      </c>
      <c r="C36" s="201">
        <f>Zones!H36</f>
        <v>351.03</v>
      </c>
      <c r="D36" s="484">
        <f t="shared" si="5"/>
        <v>16.666666666666668</v>
      </c>
      <c r="E36" s="485">
        <v>0.06</v>
      </c>
      <c r="F36" s="412" t="s">
        <v>379</v>
      </c>
      <c r="G36" s="486">
        <f t="shared" si="10"/>
        <v>17.551499999999997</v>
      </c>
      <c r="H36" s="486">
        <f t="shared" si="11"/>
        <v>21.061799999999998</v>
      </c>
      <c r="I36" s="247">
        <f t="shared" si="9"/>
        <v>52.654499999999992</v>
      </c>
      <c r="J36" s="194">
        <f t="shared" si="7"/>
        <v>52.654499999999992</v>
      </c>
      <c r="K36" s="615"/>
      <c r="L36" s="5"/>
      <c r="M36" s="5"/>
      <c r="N36" s="5"/>
      <c r="O36" s="5"/>
      <c r="P36" s="5"/>
      <c r="Q36" s="5"/>
      <c r="R36" s="5"/>
      <c r="S36" s="5"/>
      <c r="T36" s="5"/>
      <c r="U36" s="5"/>
      <c r="V36" s="5"/>
      <c r="W36" s="5"/>
      <c r="X36" s="5"/>
      <c r="Y36" s="5"/>
      <c r="Z36" s="5"/>
      <c r="AA36" s="5"/>
      <c r="AB36" s="5"/>
      <c r="AC36" s="5"/>
      <c r="AD36" s="5"/>
    </row>
    <row r="37" spans="1:30" s="109" customFormat="1" ht="14.4" customHeight="1" x14ac:dyDescent="0.25">
      <c r="A37" s="199" t="str">
        <f>Zones!B37</f>
        <v>GuestRoom_15_18_FloorT</v>
      </c>
      <c r="B37" s="200">
        <f>Zones!K37</f>
        <v>4.2124200000000007</v>
      </c>
      <c r="C37" s="201">
        <f>Zones!H37</f>
        <v>1404.14</v>
      </c>
      <c r="D37" s="484">
        <f t="shared" si="5"/>
        <v>16.666666666666668</v>
      </c>
      <c r="E37" s="485">
        <v>0.06</v>
      </c>
      <c r="F37" s="412" t="s">
        <v>379</v>
      </c>
      <c r="G37" s="486">
        <f t="shared" si="10"/>
        <v>70.207000000000022</v>
      </c>
      <c r="H37" s="486">
        <f t="shared" si="11"/>
        <v>84.248400000000004</v>
      </c>
      <c r="I37" s="247">
        <f>50*B37</f>
        <v>210.62100000000004</v>
      </c>
      <c r="J37" s="194">
        <f t="shared" si="7"/>
        <v>210.62100000000004</v>
      </c>
      <c r="K37" s="615"/>
      <c r="L37" s="5"/>
      <c r="M37" s="5"/>
      <c r="N37" s="5"/>
      <c r="O37" s="5"/>
      <c r="P37" s="5"/>
      <c r="Q37" s="5"/>
      <c r="R37" s="5"/>
      <c r="S37" s="5"/>
      <c r="T37" s="5"/>
      <c r="U37" s="5"/>
      <c r="V37" s="5"/>
      <c r="W37" s="5"/>
      <c r="X37" s="5"/>
      <c r="Y37" s="5"/>
      <c r="Z37" s="5"/>
      <c r="AA37" s="5"/>
      <c r="AB37" s="5"/>
      <c r="AC37" s="5"/>
      <c r="AD37" s="5"/>
    </row>
    <row r="38" spans="1:30" s="109" customFormat="1" ht="14.4" customHeight="1" x14ac:dyDescent="0.25">
      <c r="A38" s="199" t="str">
        <f>Zones!B38</f>
        <v>GuestRoom_19_FloorT</v>
      </c>
      <c r="B38" s="200">
        <f>Zones!K38</f>
        <v>1.0531200000000001</v>
      </c>
      <c r="C38" s="201">
        <f>Zones!H38</f>
        <v>351.04</v>
      </c>
      <c r="D38" s="484">
        <f t="shared" si="5"/>
        <v>16.666666666666668</v>
      </c>
      <c r="E38" s="485">
        <v>0.06</v>
      </c>
      <c r="F38" s="412" t="s">
        <v>379</v>
      </c>
      <c r="G38" s="486">
        <f t="shared" si="10"/>
        <v>17.552000000000003</v>
      </c>
      <c r="H38" s="486">
        <f t="shared" si="11"/>
        <v>21.0624</v>
      </c>
      <c r="I38" s="247">
        <f t="shared" si="9"/>
        <v>52.656000000000006</v>
      </c>
      <c r="J38" s="194">
        <f t="shared" si="7"/>
        <v>52.656000000000006</v>
      </c>
      <c r="K38" s="615"/>
      <c r="L38" s="5"/>
      <c r="M38" s="5"/>
      <c r="N38" s="5"/>
      <c r="O38" s="5"/>
      <c r="P38" s="5"/>
      <c r="Q38" s="5"/>
      <c r="R38" s="5"/>
      <c r="S38" s="5"/>
      <c r="T38" s="5"/>
      <c r="U38" s="5"/>
      <c r="V38" s="5"/>
      <c r="W38" s="5"/>
      <c r="X38" s="5"/>
      <c r="Y38" s="5"/>
      <c r="Z38" s="5"/>
      <c r="AA38" s="5"/>
      <c r="AB38" s="5"/>
      <c r="AC38" s="5"/>
      <c r="AD38" s="5"/>
    </row>
    <row r="39" spans="1:30" s="109" customFormat="1" ht="14.4" customHeight="1" x14ac:dyDescent="0.25">
      <c r="A39" s="199" t="str">
        <f>Zones!B39</f>
        <v>GuestRoom_20_23_FloorT</v>
      </c>
      <c r="B39" s="200">
        <f>Zones!K39</f>
        <v>4.2124200000000007</v>
      </c>
      <c r="C39" s="201">
        <f>Zones!H39</f>
        <v>1404.14</v>
      </c>
      <c r="D39" s="484">
        <f>5*10/3</f>
        <v>16.666666666666668</v>
      </c>
      <c r="E39" s="485">
        <v>0.06</v>
      </c>
      <c r="F39" s="412" t="s">
        <v>379</v>
      </c>
      <c r="G39" s="486">
        <f t="shared" si="10"/>
        <v>70.207000000000022</v>
      </c>
      <c r="H39" s="486">
        <f t="shared" si="11"/>
        <v>84.248400000000004</v>
      </c>
      <c r="I39" s="247">
        <f t="shared" si="9"/>
        <v>210.62100000000004</v>
      </c>
      <c r="J39" s="194">
        <f t="shared" si="7"/>
        <v>210.62100000000004</v>
      </c>
      <c r="K39" s="615"/>
      <c r="L39" s="76"/>
      <c r="M39" s="76"/>
      <c r="N39" s="76"/>
      <c r="O39" s="76"/>
      <c r="P39" s="76"/>
      <c r="Q39" s="76"/>
      <c r="R39" s="76"/>
      <c r="S39" s="76"/>
      <c r="T39" s="76"/>
      <c r="U39" s="76"/>
      <c r="V39" s="131"/>
      <c r="W39" s="131"/>
      <c r="X39" s="5"/>
      <c r="Y39" s="5"/>
      <c r="Z39" s="5"/>
      <c r="AA39" s="5"/>
      <c r="AB39" s="5"/>
      <c r="AC39" s="5"/>
      <c r="AD39" s="5"/>
    </row>
    <row r="40" spans="1:30" s="109" customFormat="1" ht="14.4" customHeight="1" x14ac:dyDescent="0.25">
      <c r="A40" s="199" t="str">
        <f>Zones!B40</f>
        <v>GuestRoom_24_FloorT</v>
      </c>
      <c r="B40" s="200">
        <f>Zones!K40</f>
        <v>1.0530899999999999</v>
      </c>
      <c r="C40" s="201">
        <f>Zones!H40</f>
        <v>351.03</v>
      </c>
      <c r="D40" s="484">
        <f t="shared" si="5"/>
        <v>16.666666666666668</v>
      </c>
      <c r="E40" s="485">
        <v>0.06</v>
      </c>
      <c r="F40" s="412" t="s">
        <v>379</v>
      </c>
      <c r="G40" s="486">
        <f t="shared" si="10"/>
        <v>17.551499999999997</v>
      </c>
      <c r="H40" s="486">
        <f t="shared" si="11"/>
        <v>21.061799999999998</v>
      </c>
      <c r="I40" s="247">
        <f t="shared" si="9"/>
        <v>52.654499999999992</v>
      </c>
      <c r="J40" s="194">
        <f t="shared" si="7"/>
        <v>52.654499999999992</v>
      </c>
      <c r="K40" s="615"/>
      <c r="L40" s="77"/>
      <c r="M40" s="77"/>
      <c r="N40" s="77"/>
      <c r="O40" s="77"/>
      <c r="P40" s="77"/>
      <c r="Q40" s="77"/>
      <c r="R40" s="77"/>
      <c r="S40" s="77"/>
      <c r="T40" s="77"/>
      <c r="U40" s="77"/>
      <c r="V40" s="5"/>
      <c r="W40" s="5"/>
      <c r="X40" s="5"/>
      <c r="Y40" s="5"/>
      <c r="Z40" s="5"/>
      <c r="AA40" s="5"/>
      <c r="AB40" s="5"/>
      <c r="AC40" s="5"/>
      <c r="AD40" s="5"/>
    </row>
    <row r="41" spans="1:30" s="109" customFormat="1" ht="26.4" customHeight="1" x14ac:dyDescent="0.25">
      <c r="A41" s="199" t="str">
        <f>Zones!B41</f>
        <v>Laundry_FloorG</v>
      </c>
      <c r="B41" s="200">
        <f>Zones!K41</f>
        <v>5.2655500000000002</v>
      </c>
      <c r="C41" s="201">
        <f>Zones!H41</f>
        <v>1053.1099999999999</v>
      </c>
      <c r="D41" s="390">
        <v>15</v>
      </c>
      <c r="E41" s="390">
        <v>0.15</v>
      </c>
      <c r="F41" s="412" t="s">
        <v>381</v>
      </c>
      <c r="G41" s="206">
        <f>B41*D41</f>
        <v>78.983249999999998</v>
      </c>
      <c r="H41" s="206">
        <f t="shared" si="11"/>
        <v>157.96649999999997</v>
      </c>
      <c r="I41" s="247">
        <f>1*0.2*C41</f>
        <v>210.62199999999999</v>
      </c>
      <c r="J41" s="194">
        <f t="shared" si="2"/>
        <v>210.62199999999999</v>
      </c>
      <c r="K41" s="204" t="s">
        <v>382</v>
      </c>
      <c r="L41" s="77"/>
      <c r="M41" s="77"/>
      <c r="N41" s="77"/>
      <c r="O41" s="77"/>
      <c r="P41" s="77"/>
      <c r="Q41" s="77"/>
      <c r="R41" s="77"/>
      <c r="S41" s="77"/>
      <c r="T41" s="77"/>
      <c r="U41" s="77"/>
      <c r="V41" s="5"/>
      <c r="W41" s="5"/>
      <c r="X41" s="5"/>
      <c r="Y41" s="5"/>
      <c r="Z41" s="5"/>
      <c r="AA41" s="5"/>
      <c r="AB41" s="5"/>
      <c r="AC41" s="5"/>
      <c r="AD41" s="5"/>
    </row>
    <row r="42" spans="1:30" s="109" customFormat="1" ht="14.4" customHeight="1" x14ac:dyDescent="0.25">
      <c r="A42" s="199" t="str">
        <f>Zones!B42</f>
        <v>Mech_FloorG</v>
      </c>
      <c r="B42" s="200">
        <f>Zones!K42</f>
        <v>0</v>
      </c>
      <c r="C42" s="201">
        <f>Zones!H42</f>
        <v>351.06</v>
      </c>
      <c r="D42" s="390">
        <v>15</v>
      </c>
      <c r="E42" s="390">
        <v>0.15</v>
      </c>
      <c r="F42" s="205"/>
      <c r="G42" s="206">
        <f t="shared" si="10"/>
        <v>0</v>
      </c>
      <c r="H42" s="206">
        <f t="shared" si="11"/>
        <v>52.658999999999999</v>
      </c>
      <c r="I42" s="247"/>
      <c r="J42" s="194">
        <f t="shared" si="2"/>
        <v>52.658999999999999</v>
      </c>
      <c r="K42" s="205"/>
      <c r="L42" s="77"/>
      <c r="M42" s="77"/>
      <c r="N42" s="77"/>
      <c r="O42" s="77"/>
      <c r="P42" s="77"/>
      <c r="Q42" s="77"/>
      <c r="R42" s="77"/>
      <c r="S42" s="77"/>
      <c r="T42" s="77"/>
      <c r="U42" s="77"/>
      <c r="V42" s="5"/>
      <c r="W42" s="5"/>
      <c r="X42" s="5"/>
      <c r="Y42" s="5"/>
      <c r="Z42" s="5"/>
      <c r="AA42" s="5"/>
      <c r="AB42" s="5"/>
      <c r="AC42" s="5"/>
      <c r="AD42" s="5"/>
    </row>
    <row r="43" spans="1:30" s="109" customFormat="1" ht="14.4" customHeight="1" x14ac:dyDescent="0.25">
      <c r="A43" s="199" t="str">
        <f>Zones!B43</f>
        <v>Conference_FloorG</v>
      </c>
      <c r="B43" s="200">
        <f>Zones!K43</f>
        <v>28.516949999999998</v>
      </c>
      <c r="C43" s="201">
        <f>Zones!H43</f>
        <v>864.15</v>
      </c>
      <c r="D43" s="390">
        <v>15</v>
      </c>
      <c r="E43" s="390">
        <v>0.15</v>
      </c>
      <c r="F43" s="205"/>
      <c r="G43" s="206">
        <f t="shared" si="10"/>
        <v>427.75424999999996</v>
      </c>
      <c r="H43" s="206">
        <f t="shared" si="11"/>
        <v>129.6225</v>
      </c>
      <c r="I43" s="247"/>
      <c r="J43" s="194">
        <f t="shared" si="2"/>
        <v>427.75424999999996</v>
      </c>
      <c r="K43" s="205"/>
      <c r="L43" s="77"/>
      <c r="M43" s="77"/>
      <c r="N43" s="77"/>
      <c r="O43" s="77"/>
      <c r="P43" s="77"/>
      <c r="Q43" s="77"/>
      <c r="R43" s="77"/>
      <c r="S43" s="77"/>
      <c r="T43" s="77"/>
      <c r="U43" s="77"/>
      <c r="V43" s="5"/>
      <c r="W43" s="5"/>
      <c r="X43" s="5"/>
      <c r="Y43" s="5"/>
      <c r="Z43" s="5"/>
      <c r="AA43" s="5"/>
      <c r="AB43" s="5"/>
      <c r="AC43" s="5"/>
      <c r="AD43" s="5"/>
    </row>
    <row r="44" spans="1:30" s="109" customFormat="1" ht="14.4" customHeight="1" x14ac:dyDescent="0.25">
      <c r="A44" s="199" t="str">
        <f>Zones!B44</f>
        <v>Rear_Stair_FloorG</v>
      </c>
      <c r="B44" s="200">
        <f>Zones!K44</f>
        <v>1.0804</v>
      </c>
      <c r="C44" s="201">
        <f>Zones!H44</f>
        <v>216.08</v>
      </c>
      <c r="D44" s="390">
        <v>15</v>
      </c>
      <c r="E44" s="390">
        <v>0.15</v>
      </c>
      <c r="F44" s="390"/>
      <c r="G44" s="206">
        <f t="shared" si="10"/>
        <v>16.206</v>
      </c>
      <c r="H44" s="206">
        <f t="shared" si="11"/>
        <v>32.411999999999999</v>
      </c>
      <c r="I44" s="247"/>
      <c r="J44" s="194">
        <f t="shared" si="2"/>
        <v>32.411999999999999</v>
      </c>
      <c r="K44" s="205"/>
      <c r="L44" s="77"/>
      <c r="M44" s="77"/>
      <c r="N44" s="77"/>
      <c r="O44" s="77"/>
      <c r="P44" s="77"/>
      <c r="Q44" s="77"/>
      <c r="R44" s="77"/>
      <c r="S44" s="77"/>
      <c r="T44" s="77"/>
      <c r="U44" s="77"/>
      <c r="V44" s="5"/>
      <c r="W44" s="5"/>
      <c r="X44" s="5"/>
      <c r="Y44" s="5"/>
      <c r="Z44" s="5"/>
      <c r="AA44" s="5"/>
      <c r="AB44" s="5"/>
      <c r="AC44" s="5"/>
      <c r="AD44" s="5"/>
    </row>
    <row r="45" spans="1:30" s="109" customFormat="1" ht="14.4" customHeight="1" x14ac:dyDescent="0.25">
      <c r="A45" s="199" t="str">
        <f>Zones!B45</f>
        <v>Rear_Stair_FloorT</v>
      </c>
      <c r="B45" s="200">
        <f>Zones!K45</f>
        <v>1.0804</v>
      </c>
      <c r="C45" s="201">
        <f>Zones!H45</f>
        <v>216.08</v>
      </c>
      <c r="D45" s="390">
        <v>15</v>
      </c>
      <c r="E45" s="390">
        <v>0.15</v>
      </c>
      <c r="F45" s="390"/>
      <c r="G45" s="206">
        <f t="shared" si="10"/>
        <v>16.206</v>
      </c>
      <c r="H45" s="206">
        <f t="shared" si="11"/>
        <v>32.411999999999999</v>
      </c>
      <c r="I45" s="247"/>
      <c r="J45" s="194">
        <f t="shared" si="2"/>
        <v>32.411999999999999</v>
      </c>
      <c r="K45" s="205"/>
      <c r="L45" s="77"/>
      <c r="M45" s="77"/>
      <c r="N45" s="77"/>
      <c r="O45" s="77"/>
      <c r="P45" s="77"/>
      <c r="Q45" s="77"/>
      <c r="R45" s="77"/>
      <c r="S45" s="77"/>
      <c r="T45" s="77"/>
      <c r="U45" s="77"/>
      <c r="V45" s="5"/>
      <c r="W45" s="5"/>
      <c r="X45" s="5"/>
      <c r="Y45" s="5"/>
      <c r="Z45" s="5"/>
      <c r="AA45" s="5"/>
      <c r="AB45" s="5"/>
      <c r="AC45" s="5"/>
      <c r="AD45" s="5"/>
    </row>
    <row r="46" spans="1:30" s="109" customFormat="1" ht="14.4" customHeight="1" x14ac:dyDescent="0.25">
      <c r="A46" s="199" t="str">
        <f>Zones!B46</f>
        <v>Rear_Stair_FloorM</v>
      </c>
      <c r="B46" s="200">
        <f>Zones!K46</f>
        <v>1.0804</v>
      </c>
      <c r="C46" s="201">
        <f>Zones!H46</f>
        <v>216.08</v>
      </c>
      <c r="D46" s="390">
        <v>15</v>
      </c>
      <c r="E46" s="390">
        <v>0.15</v>
      </c>
      <c r="F46" s="390"/>
      <c r="G46" s="206">
        <f t="shared" si="10"/>
        <v>16.206</v>
      </c>
      <c r="H46" s="206">
        <f t="shared" si="11"/>
        <v>32.411999999999999</v>
      </c>
      <c r="I46" s="247"/>
      <c r="J46" s="194">
        <f t="shared" si="2"/>
        <v>32.411999999999999</v>
      </c>
      <c r="K46" s="205"/>
      <c r="L46" s="77"/>
      <c r="M46" s="77"/>
      <c r="N46" s="77"/>
      <c r="O46" s="77"/>
      <c r="P46" s="77"/>
      <c r="Q46" s="77"/>
      <c r="R46" s="77"/>
      <c r="S46" s="77"/>
      <c r="T46" s="77"/>
      <c r="U46" s="77"/>
      <c r="V46" s="5"/>
      <c r="W46" s="5"/>
      <c r="X46" s="5"/>
      <c r="Y46" s="5"/>
      <c r="Z46" s="5"/>
      <c r="AA46" s="5"/>
      <c r="AB46" s="5"/>
      <c r="AC46" s="5"/>
      <c r="AD46" s="5"/>
    </row>
    <row r="47" spans="1:30" s="109" customFormat="1" ht="14.4" customHeight="1" x14ac:dyDescent="0.25">
      <c r="A47" s="199" t="str">
        <f>Zones!B47</f>
        <v>Rear_Storage_FloorG</v>
      </c>
      <c r="B47" s="200">
        <f>Zones!K47</f>
        <v>0.43218000000000001</v>
      </c>
      <c r="C47" s="201">
        <f>Zones!H47</f>
        <v>216.09</v>
      </c>
      <c r="D47" s="390">
        <v>15</v>
      </c>
      <c r="E47" s="390">
        <v>0.15</v>
      </c>
      <c r="F47" s="390"/>
      <c r="G47" s="206">
        <f t="shared" si="10"/>
        <v>6.4827000000000004</v>
      </c>
      <c r="H47" s="206">
        <f t="shared" si="11"/>
        <v>32.413499999999999</v>
      </c>
      <c r="I47" s="247"/>
      <c r="J47" s="194">
        <f t="shared" si="2"/>
        <v>32.413499999999999</v>
      </c>
      <c r="K47" s="205"/>
      <c r="L47" s="77"/>
      <c r="M47" s="77"/>
      <c r="N47" s="77"/>
      <c r="O47" s="77"/>
      <c r="P47" s="77"/>
      <c r="Q47" s="77"/>
      <c r="R47" s="77"/>
      <c r="S47" s="77"/>
      <c r="T47" s="77"/>
      <c r="U47" s="77"/>
      <c r="V47" s="5"/>
      <c r="W47" s="5"/>
      <c r="X47" s="5"/>
      <c r="Y47" s="5"/>
      <c r="Z47" s="5"/>
      <c r="AA47" s="5"/>
      <c r="AB47" s="5"/>
      <c r="AC47" s="5"/>
      <c r="AD47" s="5"/>
    </row>
    <row r="48" spans="1:30" s="109" customFormat="1" ht="14.4" customHeight="1" x14ac:dyDescent="0.25">
      <c r="A48" s="199" t="str">
        <f>Zones!B48</f>
        <v>Rear_Storage_FloorM</v>
      </c>
      <c r="B48" s="200">
        <f>Zones!K48</f>
        <v>0.43218000000000001</v>
      </c>
      <c r="C48" s="201">
        <f>Zones!H48</f>
        <v>216.09</v>
      </c>
      <c r="D48" s="390">
        <v>15</v>
      </c>
      <c r="E48" s="390">
        <v>0.15</v>
      </c>
      <c r="F48" s="390"/>
      <c r="G48" s="206">
        <f t="shared" si="10"/>
        <v>6.4827000000000004</v>
      </c>
      <c r="H48" s="206">
        <f t="shared" si="11"/>
        <v>32.413499999999999</v>
      </c>
      <c r="I48" s="247"/>
      <c r="J48" s="194">
        <f t="shared" si="2"/>
        <v>32.413499999999999</v>
      </c>
      <c r="K48" s="205"/>
      <c r="L48" s="77"/>
      <c r="M48" s="77"/>
      <c r="N48" s="77"/>
      <c r="O48" s="77"/>
      <c r="P48" s="77"/>
      <c r="Q48" s="77"/>
      <c r="R48" s="77"/>
      <c r="S48" s="77"/>
      <c r="T48" s="77"/>
      <c r="U48" s="77"/>
      <c r="V48" s="5"/>
      <c r="W48" s="5"/>
      <c r="X48" s="5"/>
      <c r="Y48" s="5"/>
      <c r="Z48" s="5"/>
      <c r="AA48" s="5"/>
      <c r="AB48" s="5"/>
      <c r="AC48" s="5"/>
      <c r="AD48" s="5"/>
    </row>
    <row r="49" spans="1:30" s="109" customFormat="1" ht="14.4" customHeight="1" x14ac:dyDescent="0.25">
      <c r="A49" s="199" t="str">
        <f>Zones!B49</f>
        <v>Rear_Storage_FloorT</v>
      </c>
      <c r="B49" s="200">
        <f>Zones!K49</f>
        <v>0.43218000000000001</v>
      </c>
      <c r="C49" s="201">
        <f>Zones!H49</f>
        <v>216.09</v>
      </c>
      <c r="D49" s="390">
        <v>15</v>
      </c>
      <c r="E49" s="390">
        <v>0.15</v>
      </c>
      <c r="F49" s="390"/>
      <c r="G49" s="206">
        <f t="shared" si="10"/>
        <v>6.4827000000000004</v>
      </c>
      <c r="H49" s="206">
        <f t="shared" si="11"/>
        <v>32.413499999999999</v>
      </c>
      <c r="I49" s="247"/>
      <c r="J49" s="194">
        <f t="shared" si="2"/>
        <v>32.413499999999999</v>
      </c>
      <c r="K49" s="205"/>
      <c r="L49" s="77"/>
      <c r="M49" s="77"/>
      <c r="N49" s="77"/>
      <c r="O49" s="77"/>
      <c r="P49" s="77"/>
      <c r="Q49" s="77"/>
      <c r="R49" s="77"/>
      <c r="S49" s="77"/>
      <c r="T49" s="77"/>
      <c r="U49" s="77"/>
      <c r="V49" s="5"/>
      <c r="W49" s="5"/>
      <c r="X49" s="5"/>
      <c r="Y49" s="5"/>
      <c r="Z49" s="5"/>
      <c r="AA49" s="5"/>
      <c r="AB49" s="5"/>
      <c r="AC49" s="5"/>
      <c r="AD49" s="5"/>
    </row>
    <row r="50" spans="1:30" s="109" customFormat="1" ht="17.399999999999999" customHeight="1" x14ac:dyDescent="0.25">
      <c r="A50" s="199" t="str">
        <f>Zones!B50</f>
        <v>Restroom_FloorG</v>
      </c>
      <c r="B50" s="200">
        <f>Zones!K50</f>
        <v>1.7552999999999999</v>
      </c>
      <c r="C50" s="201">
        <f>Zones!H50</f>
        <v>351.06</v>
      </c>
      <c r="D50" s="390">
        <v>15</v>
      </c>
      <c r="E50" s="390">
        <v>0.15</v>
      </c>
      <c r="F50" s="390" t="s">
        <v>383</v>
      </c>
      <c r="G50" s="206">
        <f t="shared" si="10"/>
        <v>26.329499999999999</v>
      </c>
      <c r="H50" s="206">
        <f t="shared" si="11"/>
        <v>52.658999999999999</v>
      </c>
      <c r="I50" s="247">
        <f>50*B50</f>
        <v>87.764999999999986</v>
      </c>
      <c r="J50" s="194">
        <f t="shared" si="2"/>
        <v>87.764999999999986</v>
      </c>
      <c r="K50" s="205"/>
      <c r="L50" s="77"/>
      <c r="M50" s="77"/>
      <c r="N50" s="77"/>
      <c r="O50" s="77"/>
      <c r="P50" s="77"/>
      <c r="Q50" s="77"/>
      <c r="R50" s="77"/>
      <c r="S50" s="77"/>
      <c r="T50" s="77"/>
      <c r="U50" s="77"/>
      <c r="V50" s="5"/>
      <c r="W50" s="5"/>
      <c r="X50" s="5"/>
      <c r="Y50" s="5"/>
      <c r="Z50" s="5"/>
      <c r="AA50" s="5"/>
      <c r="AB50" s="5"/>
      <c r="AC50" s="5"/>
      <c r="AD50" s="5"/>
    </row>
    <row r="51" spans="1:30" s="109" customFormat="1" ht="13.2" x14ac:dyDescent="0.25">
      <c r="A51" s="488"/>
      <c r="B51" s="488"/>
      <c r="C51" s="488"/>
      <c r="D51" s="449"/>
      <c r="E51" s="449"/>
      <c r="F51" s="77"/>
      <c r="G51" s="77"/>
      <c r="H51" s="77"/>
      <c r="I51" s="77"/>
      <c r="J51" s="77"/>
      <c r="K51" s="77"/>
      <c r="L51" s="77"/>
      <c r="M51" s="77"/>
      <c r="N51" s="77"/>
      <c r="O51" s="77"/>
      <c r="P51" s="77"/>
      <c r="Q51" s="77"/>
      <c r="R51" s="77"/>
      <c r="S51" s="77"/>
      <c r="T51" s="77"/>
      <c r="U51" s="5"/>
      <c r="V51" s="5"/>
      <c r="W51" s="5"/>
      <c r="X51" s="5"/>
      <c r="Y51" s="5"/>
      <c r="Z51" s="5"/>
      <c r="AA51" s="5"/>
      <c r="AB51" s="5"/>
      <c r="AC51" s="5"/>
      <c r="AD51" s="5"/>
    </row>
    <row r="52" spans="1:30" ht="20.7" customHeight="1" x14ac:dyDescent="0.25">
      <c r="A52" s="3" t="s">
        <v>384</v>
      </c>
      <c r="B52" s="132"/>
      <c r="C52" s="144"/>
      <c r="D52" s="4"/>
      <c r="E52" s="4"/>
      <c r="F52" s="4"/>
      <c r="G52" s="4"/>
      <c r="H52" s="148"/>
      <c r="I52" s="148"/>
      <c r="J52" s="149"/>
      <c r="K52" s="3"/>
      <c r="L52" s="3"/>
      <c r="M52" s="3"/>
      <c r="N52" s="3"/>
      <c r="O52" s="3"/>
      <c r="P52" s="3"/>
      <c r="Q52" s="3"/>
      <c r="R52" s="3"/>
      <c r="S52" s="3"/>
      <c r="T52" s="3"/>
      <c r="U52" s="3"/>
      <c r="V52" s="3"/>
      <c r="W52" s="3"/>
      <c r="X52" s="3"/>
      <c r="Y52" s="3"/>
      <c r="Z52" s="3"/>
      <c r="AA52" s="3"/>
      <c r="AB52" s="3"/>
      <c r="AC52" s="3"/>
      <c r="AD52" s="3"/>
    </row>
    <row r="53" spans="1:30" s="109" customFormat="1" ht="13.2" x14ac:dyDescent="0.25">
      <c r="A53" s="488"/>
      <c r="B53" s="488"/>
      <c r="C53" s="488"/>
      <c r="D53" s="449"/>
      <c r="E53" s="449"/>
      <c r="F53" s="77"/>
      <c r="G53" s="77"/>
      <c r="H53" s="77"/>
      <c r="I53" s="77"/>
      <c r="J53" s="77"/>
      <c r="K53" s="77"/>
      <c r="L53" s="77"/>
      <c r="M53" s="77"/>
      <c r="N53" s="77"/>
      <c r="O53" s="77"/>
      <c r="P53" s="77"/>
      <c r="Q53" s="77"/>
      <c r="R53" s="77"/>
      <c r="S53" s="77"/>
      <c r="T53" s="77"/>
      <c r="U53" s="5"/>
      <c r="V53" s="5"/>
      <c r="W53" s="5"/>
      <c r="X53" s="5"/>
      <c r="Y53" s="5"/>
      <c r="Z53" s="5"/>
      <c r="AA53" s="5"/>
      <c r="AB53" s="5"/>
      <c r="AC53" s="5"/>
      <c r="AD53" s="5"/>
    </row>
    <row r="54" spans="1:30" s="109" customFormat="1" ht="43.2" customHeight="1" x14ac:dyDescent="0.25">
      <c r="A54" s="74"/>
      <c r="B54" s="74"/>
      <c r="C54" s="74"/>
      <c r="D54" s="74"/>
      <c r="E54" s="74"/>
      <c r="F54" s="76"/>
      <c r="G54" s="76"/>
      <c r="H54" s="76"/>
      <c r="I54" s="76"/>
      <c r="J54" s="76"/>
      <c r="K54" s="76"/>
      <c r="L54" s="76"/>
      <c r="M54" s="76"/>
      <c r="N54" s="76"/>
      <c r="O54" s="76"/>
      <c r="P54" s="76"/>
      <c r="Q54" s="76"/>
      <c r="R54" s="76"/>
      <c r="S54" s="76"/>
      <c r="T54" s="76"/>
      <c r="U54" s="131"/>
      <c r="V54" s="131"/>
      <c r="W54" s="5"/>
      <c r="X54" s="5"/>
      <c r="Y54" s="5"/>
      <c r="Z54" s="5"/>
      <c r="AA54" s="5"/>
      <c r="AB54" s="5"/>
      <c r="AC54" s="5"/>
      <c r="AD54" s="5"/>
    </row>
    <row r="55" spans="1:30" s="109" customFormat="1" ht="13.2" x14ac:dyDescent="0.25">
      <c r="A55" s="488"/>
      <c r="B55" s="488"/>
      <c r="C55" s="488"/>
      <c r="D55" s="449"/>
      <c r="E55" s="449"/>
      <c r="F55" s="152"/>
      <c r="G55" s="152"/>
      <c r="H55" s="152"/>
      <c r="I55" s="152"/>
      <c r="J55" s="152"/>
      <c r="K55" s="152"/>
      <c r="L55" s="152"/>
      <c r="M55" s="152"/>
      <c r="N55" s="152"/>
      <c r="O55" s="152"/>
      <c r="P55" s="152"/>
      <c r="Q55" s="152"/>
      <c r="R55" s="152"/>
      <c r="S55" s="152"/>
      <c r="T55" s="152"/>
      <c r="U55" s="5"/>
      <c r="V55" s="5"/>
      <c r="W55" s="5"/>
      <c r="X55" s="5"/>
      <c r="Y55" s="5"/>
      <c r="Z55" s="5"/>
      <c r="AA55" s="5"/>
      <c r="AB55" s="5"/>
      <c r="AC55" s="5"/>
      <c r="AD55" s="5"/>
    </row>
    <row r="56" spans="1:30" s="109" customFormat="1" ht="13.2" x14ac:dyDescent="0.25">
      <c r="A56" s="488"/>
      <c r="B56" s="488"/>
      <c r="C56" s="488"/>
      <c r="D56" s="449"/>
      <c r="E56" s="449"/>
      <c r="F56" s="152"/>
      <c r="G56" s="152"/>
      <c r="H56" s="152"/>
      <c r="I56" s="152"/>
      <c r="J56" s="152"/>
      <c r="K56" s="152"/>
      <c r="L56" s="152"/>
      <c r="M56" s="152"/>
      <c r="N56" s="152"/>
      <c r="O56" s="152"/>
      <c r="P56" s="152"/>
      <c r="Q56" s="152"/>
      <c r="R56" s="152"/>
      <c r="S56" s="152"/>
      <c r="T56" s="152"/>
      <c r="U56" s="5"/>
      <c r="V56" s="5"/>
      <c r="W56" s="5"/>
      <c r="X56" s="5"/>
      <c r="Y56" s="5"/>
      <c r="Z56" s="5"/>
      <c r="AA56" s="5"/>
      <c r="AB56" s="5"/>
      <c r="AC56" s="5"/>
      <c r="AD56" s="5"/>
    </row>
    <row r="57" spans="1:30" s="109" customFormat="1" ht="13.2" x14ac:dyDescent="0.25">
      <c r="A57" s="488"/>
      <c r="B57" s="488"/>
      <c r="C57" s="488"/>
      <c r="D57" s="449"/>
      <c r="E57" s="449"/>
      <c r="F57" s="152"/>
      <c r="G57" s="152"/>
      <c r="H57" s="152"/>
      <c r="I57" s="152"/>
      <c r="J57" s="152"/>
      <c r="K57" s="152"/>
      <c r="L57" s="152"/>
      <c r="M57" s="152"/>
      <c r="N57" s="152"/>
      <c r="O57" s="152"/>
      <c r="P57" s="152"/>
      <c r="Q57" s="152"/>
      <c r="R57" s="152"/>
      <c r="S57" s="152"/>
      <c r="T57" s="152"/>
      <c r="U57" s="5"/>
      <c r="V57" s="5"/>
      <c r="W57" s="5"/>
      <c r="X57" s="5"/>
      <c r="Y57" s="5"/>
      <c r="Z57" s="5"/>
      <c r="AA57" s="5"/>
      <c r="AB57" s="5"/>
      <c r="AC57" s="5"/>
      <c r="AD57" s="5"/>
    </row>
    <row r="58" spans="1:30" s="109" customFormat="1" ht="13.2" x14ac:dyDescent="0.25">
      <c r="A58" s="488"/>
      <c r="B58" s="488"/>
      <c r="C58" s="488"/>
      <c r="D58" s="449"/>
      <c r="E58" s="449"/>
      <c r="F58" s="152"/>
      <c r="G58" s="152"/>
      <c r="H58" s="152"/>
      <c r="I58" s="152"/>
      <c r="J58" s="152"/>
      <c r="K58" s="152"/>
      <c r="L58" s="152"/>
      <c r="M58" s="152"/>
      <c r="N58" s="152"/>
      <c r="O58" s="152"/>
      <c r="P58" s="152"/>
      <c r="Q58" s="152"/>
      <c r="R58" s="152"/>
      <c r="S58" s="152"/>
      <c r="T58" s="152"/>
      <c r="U58" s="5"/>
      <c r="V58" s="5"/>
      <c r="W58" s="5"/>
      <c r="X58" s="5"/>
      <c r="Y58" s="5"/>
      <c r="Z58" s="5"/>
      <c r="AA58" s="5"/>
      <c r="AB58" s="5"/>
      <c r="AC58" s="5"/>
      <c r="AD58" s="5"/>
    </row>
    <row r="59" spans="1:30" s="109" customFormat="1" ht="13.2" x14ac:dyDescent="0.25">
      <c r="A59" s="488"/>
      <c r="B59" s="488"/>
      <c r="C59" s="488"/>
      <c r="D59" s="449"/>
      <c r="E59" s="449"/>
      <c r="F59" s="152"/>
      <c r="G59" s="152"/>
      <c r="H59" s="152"/>
      <c r="I59" s="152"/>
      <c r="J59" s="152"/>
      <c r="K59" s="152"/>
      <c r="L59" s="152"/>
      <c r="M59" s="152"/>
      <c r="N59" s="152"/>
      <c r="O59" s="152"/>
      <c r="P59" s="152"/>
      <c r="Q59" s="152"/>
      <c r="R59" s="152"/>
      <c r="S59" s="152"/>
      <c r="T59" s="152"/>
      <c r="U59" s="5"/>
      <c r="V59" s="5"/>
      <c r="W59" s="5"/>
      <c r="X59" s="5"/>
      <c r="Y59" s="5"/>
      <c r="Z59" s="5"/>
      <c r="AA59" s="5"/>
      <c r="AB59" s="5"/>
      <c r="AC59" s="5"/>
      <c r="AD59" s="5"/>
    </row>
    <row r="60" spans="1:30" s="109" customFormat="1" ht="13.2" x14ac:dyDescent="0.25">
      <c r="A60" s="488"/>
      <c r="B60" s="488"/>
      <c r="C60" s="488"/>
      <c r="D60" s="449"/>
      <c r="E60" s="449"/>
      <c r="F60" s="152"/>
      <c r="G60" s="152"/>
      <c r="H60" s="152"/>
      <c r="I60" s="152"/>
      <c r="J60" s="152"/>
      <c r="K60" s="152"/>
      <c r="L60" s="152"/>
      <c r="M60" s="152"/>
      <c r="N60" s="152"/>
      <c r="O60" s="152"/>
      <c r="P60" s="152"/>
      <c r="Q60" s="152"/>
      <c r="R60" s="152"/>
      <c r="S60" s="152"/>
      <c r="T60" s="152"/>
      <c r="U60" s="5"/>
      <c r="V60" s="5"/>
      <c r="W60" s="5"/>
      <c r="X60" s="5"/>
      <c r="Y60" s="5"/>
      <c r="Z60" s="5"/>
      <c r="AA60" s="5"/>
      <c r="AB60" s="5"/>
      <c r="AC60" s="5"/>
      <c r="AD60" s="5"/>
    </row>
    <row r="61" spans="1:30" s="109" customFormat="1" ht="13.2" x14ac:dyDescent="0.25">
      <c r="A61" s="488"/>
      <c r="B61" s="488"/>
      <c r="C61" s="488"/>
      <c r="D61" s="449"/>
      <c r="E61" s="449"/>
      <c r="F61" s="152"/>
      <c r="G61" s="152"/>
      <c r="H61" s="152"/>
      <c r="I61" s="152"/>
      <c r="J61" s="152"/>
      <c r="K61" s="152"/>
      <c r="L61" s="152"/>
      <c r="M61" s="152"/>
      <c r="N61" s="152"/>
      <c r="O61" s="152"/>
      <c r="P61" s="152"/>
      <c r="Q61" s="152"/>
      <c r="R61" s="152"/>
      <c r="S61" s="152"/>
      <c r="T61" s="152"/>
      <c r="U61" s="5"/>
      <c r="V61" s="5"/>
      <c r="W61" s="5"/>
      <c r="X61" s="5"/>
      <c r="Y61" s="5"/>
      <c r="Z61" s="5"/>
      <c r="AA61" s="5"/>
      <c r="AB61" s="5"/>
      <c r="AC61" s="5"/>
      <c r="AD61" s="5"/>
    </row>
    <row r="62" spans="1:30" s="109" customFormat="1" ht="13.2" x14ac:dyDescent="0.25">
      <c r="A62" s="488"/>
      <c r="B62" s="488"/>
      <c r="C62" s="488"/>
      <c r="D62" s="449"/>
      <c r="E62" s="449"/>
      <c r="F62" s="152"/>
      <c r="G62" s="152"/>
      <c r="H62" s="152"/>
      <c r="I62" s="152"/>
      <c r="J62" s="152"/>
      <c r="K62" s="152"/>
      <c r="L62" s="152"/>
      <c r="M62" s="152"/>
      <c r="N62" s="152"/>
      <c r="O62" s="152"/>
      <c r="P62" s="152"/>
      <c r="Q62" s="152"/>
      <c r="R62" s="152"/>
      <c r="S62" s="152"/>
      <c r="T62" s="152"/>
      <c r="U62" s="5"/>
      <c r="V62" s="5"/>
      <c r="W62" s="5"/>
      <c r="X62" s="5"/>
      <c r="Y62" s="5"/>
      <c r="Z62" s="5"/>
      <c r="AA62" s="5"/>
      <c r="AB62" s="5"/>
      <c r="AC62" s="5"/>
      <c r="AD62" s="5"/>
    </row>
    <row r="63" spans="1:30" s="109" customFormat="1" ht="13.2" x14ac:dyDescent="0.25">
      <c r="A63" s="488"/>
      <c r="B63" s="488"/>
      <c r="C63" s="488"/>
      <c r="D63" s="449"/>
      <c r="E63" s="449"/>
      <c r="F63" s="152"/>
      <c r="G63" s="152"/>
      <c r="H63" s="152"/>
      <c r="I63" s="152"/>
      <c r="J63" s="152"/>
      <c r="K63" s="152"/>
      <c r="L63" s="152"/>
      <c r="M63" s="152"/>
      <c r="N63" s="152"/>
      <c r="O63" s="152"/>
      <c r="P63" s="152"/>
      <c r="Q63" s="152"/>
      <c r="R63" s="152"/>
      <c r="S63" s="152"/>
      <c r="T63" s="152"/>
      <c r="U63" s="5"/>
      <c r="V63" s="5"/>
      <c r="W63" s="5"/>
      <c r="X63" s="5"/>
      <c r="Y63" s="5"/>
      <c r="Z63" s="5"/>
      <c r="AA63" s="5"/>
      <c r="AB63" s="5"/>
      <c r="AC63" s="5"/>
      <c r="AD63" s="5"/>
    </row>
    <row r="64" spans="1:30" s="109" customFormat="1" ht="13.2" x14ac:dyDescent="0.25">
      <c r="A64" s="488"/>
      <c r="B64" s="488"/>
      <c r="C64" s="488"/>
      <c r="D64" s="449"/>
      <c r="E64" s="449"/>
      <c r="F64" s="152"/>
      <c r="G64" s="152"/>
      <c r="H64" s="152"/>
      <c r="I64" s="152"/>
      <c r="J64" s="152"/>
      <c r="K64" s="152"/>
      <c r="L64" s="152"/>
      <c r="M64" s="152"/>
      <c r="N64" s="152"/>
      <c r="O64" s="152"/>
      <c r="P64" s="152"/>
      <c r="Q64" s="152"/>
      <c r="R64" s="152"/>
      <c r="S64" s="152"/>
      <c r="T64" s="152"/>
      <c r="U64" s="5"/>
      <c r="V64" s="5"/>
      <c r="W64" s="5"/>
      <c r="X64" s="5"/>
      <c r="Y64" s="5"/>
      <c r="Z64" s="5"/>
      <c r="AA64" s="5"/>
      <c r="AB64" s="5"/>
      <c r="AC64" s="5"/>
      <c r="AD64" s="5"/>
    </row>
    <row r="65" spans="1:30" s="109" customFormat="1" ht="13.2" x14ac:dyDescent="0.25">
      <c r="A65" s="488"/>
      <c r="B65" s="488"/>
      <c r="C65" s="488"/>
      <c r="D65" s="449"/>
      <c r="E65" s="449"/>
      <c r="F65" s="152"/>
      <c r="G65" s="152"/>
      <c r="H65" s="152"/>
      <c r="I65" s="152"/>
      <c r="J65" s="152"/>
      <c r="K65" s="152"/>
      <c r="L65" s="152"/>
      <c r="M65" s="152"/>
      <c r="N65" s="152"/>
      <c r="O65" s="152"/>
      <c r="P65" s="152"/>
      <c r="Q65" s="152"/>
      <c r="R65" s="152"/>
      <c r="S65" s="152"/>
      <c r="T65" s="152"/>
      <c r="U65" s="5"/>
      <c r="V65" s="5"/>
      <c r="W65" s="5"/>
      <c r="X65" s="5"/>
      <c r="Y65" s="5"/>
      <c r="Z65" s="5"/>
      <c r="AA65" s="5"/>
      <c r="AB65" s="5"/>
      <c r="AC65" s="5"/>
      <c r="AD65" s="5"/>
    </row>
    <row r="66" spans="1:30" s="109" customFormat="1" ht="13.2" x14ac:dyDescent="0.25">
      <c r="A66" s="488"/>
      <c r="B66" s="488"/>
      <c r="C66" s="488"/>
      <c r="D66" s="449"/>
      <c r="E66" s="449"/>
      <c r="F66" s="152"/>
      <c r="G66" s="152"/>
      <c r="H66" s="152"/>
      <c r="I66" s="152"/>
      <c r="J66" s="152"/>
      <c r="K66" s="152"/>
      <c r="L66" s="152"/>
      <c r="M66" s="152"/>
      <c r="N66" s="152"/>
      <c r="O66" s="152"/>
      <c r="P66" s="152"/>
      <c r="Q66" s="152"/>
      <c r="R66" s="152"/>
      <c r="S66" s="152"/>
      <c r="T66" s="152"/>
      <c r="U66" s="5"/>
      <c r="V66" s="5"/>
      <c r="W66" s="5"/>
      <c r="X66" s="5"/>
      <c r="Y66" s="5"/>
      <c r="Z66" s="5"/>
      <c r="AA66" s="5"/>
      <c r="AB66" s="5"/>
      <c r="AC66" s="5"/>
      <c r="AD66" s="5"/>
    </row>
    <row r="67" spans="1:30" s="109" customFormat="1" ht="13.2" x14ac:dyDescent="0.25">
      <c r="A67" s="488"/>
      <c r="B67" s="488"/>
      <c r="C67" s="488"/>
      <c r="D67" s="449"/>
      <c r="E67" s="449"/>
      <c r="F67" s="152"/>
      <c r="G67" s="152"/>
      <c r="H67" s="152"/>
      <c r="I67" s="152"/>
      <c r="J67" s="152"/>
      <c r="K67" s="152"/>
      <c r="L67" s="152"/>
      <c r="M67" s="152"/>
      <c r="N67" s="152"/>
      <c r="O67" s="152"/>
      <c r="P67" s="152"/>
      <c r="Q67" s="152"/>
      <c r="R67" s="152"/>
      <c r="S67" s="152"/>
      <c r="T67" s="152"/>
      <c r="U67" s="5"/>
      <c r="V67" s="5"/>
      <c r="W67" s="5"/>
      <c r="X67" s="5"/>
      <c r="Y67" s="5"/>
      <c r="Z67" s="5"/>
      <c r="AA67" s="5"/>
      <c r="AB67" s="5"/>
      <c r="AC67" s="5"/>
      <c r="AD67" s="5"/>
    </row>
    <row r="68" spans="1:30" s="109" customFormat="1" ht="13.2" x14ac:dyDescent="0.25">
      <c r="A68" s="488"/>
      <c r="B68" s="488"/>
      <c r="C68" s="488"/>
      <c r="D68" s="449"/>
      <c r="E68" s="449"/>
      <c r="F68" s="152"/>
      <c r="G68" s="152"/>
      <c r="H68" s="152"/>
      <c r="I68" s="152"/>
      <c r="J68" s="152"/>
      <c r="K68" s="152"/>
      <c r="L68" s="152"/>
      <c r="M68" s="152"/>
      <c r="N68" s="152"/>
      <c r="O68" s="152"/>
      <c r="P68" s="152"/>
      <c r="Q68" s="152"/>
      <c r="R68" s="152"/>
      <c r="S68" s="152"/>
      <c r="T68" s="152"/>
      <c r="U68" s="5"/>
      <c r="V68" s="5"/>
      <c r="W68" s="5"/>
      <c r="X68" s="5"/>
      <c r="Y68" s="5"/>
      <c r="Z68" s="5"/>
      <c r="AA68" s="5"/>
      <c r="AB68" s="5"/>
      <c r="AC68" s="5"/>
      <c r="AD68" s="5"/>
    </row>
    <row r="69" spans="1:30" s="109" customFormat="1" ht="13.2" x14ac:dyDescent="0.25">
      <c r="A69" s="488"/>
      <c r="B69" s="488"/>
      <c r="C69" s="488"/>
      <c r="D69" s="449"/>
      <c r="E69" s="449"/>
      <c r="F69" s="152"/>
      <c r="G69" s="152"/>
      <c r="H69" s="152"/>
      <c r="I69" s="152"/>
      <c r="J69" s="152"/>
      <c r="K69" s="152"/>
      <c r="L69" s="152"/>
      <c r="M69" s="152"/>
      <c r="N69" s="152"/>
      <c r="O69" s="152"/>
      <c r="P69" s="152"/>
      <c r="Q69" s="152"/>
      <c r="R69" s="152"/>
      <c r="S69" s="152"/>
      <c r="T69" s="152"/>
      <c r="U69" s="5"/>
      <c r="V69" s="5"/>
      <c r="W69" s="5"/>
      <c r="X69" s="5"/>
      <c r="Y69" s="5"/>
      <c r="Z69" s="5"/>
      <c r="AA69" s="5"/>
      <c r="AB69" s="5"/>
      <c r="AC69" s="5"/>
      <c r="AD69" s="5"/>
    </row>
    <row r="70" spans="1:30" s="109" customFormat="1" ht="13.2" x14ac:dyDescent="0.25">
      <c r="A70" s="488"/>
      <c r="B70" s="488"/>
      <c r="C70" s="488"/>
      <c r="D70" s="449"/>
      <c r="E70" s="449"/>
      <c r="F70" s="152"/>
      <c r="G70" s="152"/>
      <c r="H70" s="152"/>
      <c r="I70" s="152"/>
      <c r="J70" s="152"/>
      <c r="K70" s="152"/>
      <c r="L70" s="152"/>
      <c r="M70" s="152"/>
      <c r="N70" s="152"/>
      <c r="O70" s="152"/>
      <c r="P70" s="152"/>
      <c r="Q70" s="152"/>
      <c r="R70" s="152"/>
      <c r="S70" s="152"/>
      <c r="T70" s="152"/>
      <c r="U70" s="5"/>
      <c r="V70" s="5"/>
      <c r="W70" s="5"/>
      <c r="X70" s="5"/>
      <c r="Y70" s="5"/>
      <c r="Z70" s="5"/>
      <c r="AA70" s="5"/>
      <c r="AB70" s="5"/>
      <c r="AC70" s="5"/>
      <c r="AD70" s="5"/>
    </row>
    <row r="71" spans="1:30" s="109" customFormat="1" ht="13.2" x14ac:dyDescent="0.25">
      <c r="A71" s="488"/>
      <c r="B71" s="488"/>
      <c r="C71" s="488"/>
      <c r="D71" s="449"/>
      <c r="E71" s="449"/>
      <c r="F71" s="152"/>
      <c r="G71" s="152"/>
      <c r="H71" s="152"/>
      <c r="I71" s="152"/>
      <c r="J71" s="152"/>
      <c r="K71" s="152"/>
      <c r="L71" s="152"/>
      <c r="M71" s="152"/>
      <c r="N71" s="152"/>
      <c r="O71" s="152"/>
      <c r="P71" s="152"/>
      <c r="Q71" s="152"/>
      <c r="R71" s="152"/>
      <c r="S71" s="152"/>
      <c r="T71" s="152"/>
      <c r="U71" s="5"/>
      <c r="V71" s="5"/>
      <c r="W71" s="5"/>
      <c r="X71" s="5"/>
      <c r="Y71" s="5"/>
      <c r="Z71" s="5"/>
      <c r="AA71" s="5"/>
      <c r="AB71" s="5"/>
      <c r="AC71" s="5"/>
      <c r="AD71" s="5"/>
    </row>
    <row r="72" spans="1:30" s="109" customFormat="1" ht="13.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sheetData>
  <mergeCells count="3">
    <mergeCell ref="N17:S17"/>
    <mergeCell ref="A1:K1"/>
    <mergeCell ref="K16:K40"/>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C53F-1807-4559-8373-63C735E89DB9}">
  <sheetPr codeName="Sheet7"/>
  <dimension ref="A1:R25"/>
  <sheetViews>
    <sheetView zoomScale="70" zoomScaleNormal="70" workbookViewId="0">
      <selection sqref="A1:R1"/>
    </sheetView>
  </sheetViews>
  <sheetFormatPr defaultRowHeight="14.4" x14ac:dyDescent="0.3"/>
  <cols>
    <col min="1" max="1" width="57.88671875" customWidth="1"/>
    <col min="18" max="18" width="35.33203125" customWidth="1"/>
  </cols>
  <sheetData>
    <row r="1" spans="1:18" ht="31.2" customHeight="1" x14ac:dyDescent="0.3">
      <c r="A1" s="591" t="s">
        <v>385</v>
      </c>
      <c r="B1" s="591"/>
      <c r="C1" s="591"/>
      <c r="D1" s="591"/>
      <c r="E1" s="591"/>
      <c r="F1" s="591"/>
      <c r="G1" s="591"/>
      <c r="H1" s="591"/>
      <c r="I1" s="591"/>
      <c r="J1" s="591"/>
      <c r="K1" s="591"/>
      <c r="L1" s="591"/>
      <c r="M1" s="591"/>
      <c r="N1" s="591"/>
      <c r="O1" s="591"/>
      <c r="P1" s="591"/>
      <c r="Q1" s="591"/>
      <c r="R1" s="591"/>
    </row>
    <row r="2" spans="1:18" ht="25.95" customHeight="1" thickBot="1" x14ac:dyDescent="0.35">
      <c r="A2" s="125" t="s">
        <v>386</v>
      </c>
      <c r="B2" s="126" t="s">
        <v>245</v>
      </c>
      <c r="C2" s="126" t="s">
        <v>246</v>
      </c>
      <c r="D2" s="126" t="s">
        <v>247</v>
      </c>
      <c r="E2" s="126" t="s">
        <v>248</v>
      </c>
      <c r="F2" s="126" t="s">
        <v>249</v>
      </c>
      <c r="G2" s="126" t="s">
        <v>250</v>
      </c>
      <c r="H2" s="126" t="s">
        <v>251</v>
      </c>
      <c r="I2" s="126" t="s">
        <v>252</v>
      </c>
      <c r="J2" s="126" t="s">
        <v>253</v>
      </c>
      <c r="K2" s="126" t="s">
        <v>254</v>
      </c>
      <c r="L2" s="126" t="s">
        <v>255</v>
      </c>
      <c r="M2" s="126" t="s">
        <v>256</v>
      </c>
      <c r="N2" s="126" t="s">
        <v>257</v>
      </c>
      <c r="O2" s="126" t="s">
        <v>258</v>
      </c>
      <c r="P2" s="126" t="s">
        <v>259</v>
      </c>
      <c r="Q2" s="126" t="s">
        <v>260</v>
      </c>
      <c r="R2" s="126" t="s">
        <v>230</v>
      </c>
    </row>
    <row r="3" spans="1:18" ht="26.4" customHeight="1" x14ac:dyDescent="0.3">
      <c r="A3" s="127" t="s">
        <v>387</v>
      </c>
      <c r="B3" s="124">
        <v>70</v>
      </c>
      <c r="C3" s="124">
        <v>70</v>
      </c>
      <c r="D3" s="124">
        <v>70</v>
      </c>
      <c r="E3" s="124">
        <v>70</v>
      </c>
      <c r="F3" s="124">
        <v>70</v>
      </c>
      <c r="G3" s="124">
        <v>70</v>
      </c>
      <c r="H3" s="124">
        <v>70</v>
      </c>
      <c r="I3" s="124">
        <v>70</v>
      </c>
      <c r="J3" s="124">
        <v>70</v>
      </c>
      <c r="K3" s="124">
        <v>70</v>
      </c>
      <c r="L3" s="124">
        <v>70</v>
      </c>
      <c r="M3" s="124">
        <v>70</v>
      </c>
      <c r="N3" s="124">
        <v>70</v>
      </c>
      <c r="O3" s="124">
        <v>70</v>
      </c>
      <c r="P3" s="124">
        <v>70</v>
      </c>
      <c r="Q3" s="124">
        <v>70</v>
      </c>
      <c r="R3" s="616" t="s">
        <v>388</v>
      </c>
    </row>
    <row r="4" spans="1:18" ht="26.4" customHeight="1" x14ac:dyDescent="0.3">
      <c r="A4" s="128" t="s">
        <v>389</v>
      </c>
      <c r="B4" s="423">
        <v>60</v>
      </c>
      <c r="C4" s="423">
        <v>60</v>
      </c>
      <c r="D4" s="423">
        <v>60</v>
      </c>
      <c r="E4" s="423">
        <v>60</v>
      </c>
      <c r="F4" s="423">
        <v>60</v>
      </c>
      <c r="G4" s="423">
        <v>60</v>
      </c>
      <c r="H4" s="423">
        <v>60</v>
      </c>
      <c r="I4" s="423">
        <v>60</v>
      </c>
      <c r="J4" s="423">
        <v>60</v>
      </c>
      <c r="K4" s="423">
        <v>60</v>
      </c>
      <c r="L4" s="423">
        <v>60</v>
      </c>
      <c r="M4" s="423">
        <v>60</v>
      </c>
      <c r="N4" s="423">
        <v>60</v>
      </c>
      <c r="O4" s="423">
        <v>60</v>
      </c>
      <c r="P4" s="423">
        <v>60</v>
      </c>
      <c r="Q4" s="423">
        <v>60</v>
      </c>
      <c r="R4" s="617"/>
    </row>
    <row r="5" spans="1:18" ht="26.4" customHeight="1" x14ac:dyDescent="0.3">
      <c r="A5" s="128" t="s">
        <v>390</v>
      </c>
      <c r="B5" s="423">
        <v>75</v>
      </c>
      <c r="C5" s="423">
        <v>75</v>
      </c>
      <c r="D5" s="423">
        <v>75</v>
      </c>
      <c r="E5" s="423">
        <v>75</v>
      </c>
      <c r="F5" s="423">
        <v>75</v>
      </c>
      <c r="G5" s="423">
        <v>75</v>
      </c>
      <c r="H5" s="423">
        <v>75</v>
      </c>
      <c r="I5" s="423">
        <v>75</v>
      </c>
      <c r="J5" s="423">
        <v>75</v>
      </c>
      <c r="K5" s="423">
        <v>75</v>
      </c>
      <c r="L5" s="423">
        <v>75</v>
      </c>
      <c r="M5" s="423">
        <v>75</v>
      </c>
      <c r="N5" s="423">
        <v>75</v>
      </c>
      <c r="O5" s="423">
        <v>75</v>
      </c>
      <c r="P5" s="423">
        <v>75</v>
      </c>
      <c r="Q5" s="423">
        <v>75</v>
      </c>
      <c r="R5" s="617"/>
    </row>
    <row r="6" spans="1:18" ht="26.4" customHeight="1" thickBot="1" x14ac:dyDescent="0.35">
      <c r="A6" s="130" t="s">
        <v>391</v>
      </c>
      <c r="B6" s="373">
        <v>85</v>
      </c>
      <c r="C6" s="373">
        <v>85</v>
      </c>
      <c r="D6" s="373">
        <v>85</v>
      </c>
      <c r="E6" s="373">
        <v>85</v>
      </c>
      <c r="F6" s="373">
        <v>85</v>
      </c>
      <c r="G6" s="373">
        <v>85</v>
      </c>
      <c r="H6" s="373">
        <v>85</v>
      </c>
      <c r="I6" s="373">
        <v>85</v>
      </c>
      <c r="J6" s="373">
        <v>85</v>
      </c>
      <c r="K6" s="373">
        <v>85</v>
      </c>
      <c r="L6" s="373">
        <v>85</v>
      </c>
      <c r="M6" s="373">
        <v>85</v>
      </c>
      <c r="N6" s="373">
        <v>85</v>
      </c>
      <c r="O6" s="373">
        <v>85</v>
      </c>
      <c r="P6" s="373">
        <v>85</v>
      </c>
      <c r="Q6" s="373">
        <v>85</v>
      </c>
      <c r="R6" s="618"/>
    </row>
    <row r="7" spans="1:18" ht="26.4" customHeight="1" x14ac:dyDescent="0.3">
      <c r="A7" s="127" t="s">
        <v>392</v>
      </c>
      <c r="B7" s="124">
        <v>68</v>
      </c>
      <c r="C7" s="124">
        <v>68</v>
      </c>
      <c r="D7" s="124">
        <v>68</v>
      </c>
      <c r="E7" s="124">
        <v>68</v>
      </c>
      <c r="F7" s="124">
        <v>68</v>
      </c>
      <c r="G7" s="124">
        <v>68</v>
      </c>
      <c r="H7" s="124">
        <v>68</v>
      </c>
      <c r="I7" s="124">
        <v>68</v>
      </c>
      <c r="J7" s="124">
        <v>68</v>
      </c>
      <c r="K7" s="124">
        <v>68</v>
      </c>
      <c r="L7" s="124">
        <v>68</v>
      </c>
      <c r="M7" s="124">
        <v>68</v>
      </c>
      <c r="N7" s="124">
        <v>68</v>
      </c>
      <c r="O7" s="124">
        <v>68</v>
      </c>
      <c r="P7" s="124">
        <v>68</v>
      </c>
      <c r="Q7" s="124">
        <v>68</v>
      </c>
      <c r="R7" s="616" t="s">
        <v>393</v>
      </c>
    </row>
    <row r="8" spans="1:18" ht="26.4" customHeight="1" x14ac:dyDescent="0.3">
      <c r="A8" s="128" t="s">
        <v>394</v>
      </c>
      <c r="B8" s="423">
        <v>68</v>
      </c>
      <c r="C8" s="423">
        <v>68</v>
      </c>
      <c r="D8" s="423">
        <v>68</v>
      </c>
      <c r="E8" s="423">
        <v>68</v>
      </c>
      <c r="F8" s="423">
        <v>68</v>
      </c>
      <c r="G8" s="423">
        <v>68</v>
      </c>
      <c r="H8" s="423">
        <v>68</v>
      </c>
      <c r="I8" s="423">
        <v>68</v>
      </c>
      <c r="J8" s="423">
        <v>68</v>
      </c>
      <c r="K8" s="423">
        <v>68</v>
      </c>
      <c r="L8" s="423">
        <v>68</v>
      </c>
      <c r="M8" s="423">
        <v>68</v>
      </c>
      <c r="N8" s="423">
        <v>68</v>
      </c>
      <c r="O8" s="423">
        <v>68</v>
      </c>
      <c r="P8" s="423">
        <v>68</v>
      </c>
      <c r="Q8" s="423">
        <v>68</v>
      </c>
      <c r="R8" s="617"/>
    </row>
    <row r="9" spans="1:18" ht="26.4" customHeight="1" x14ac:dyDescent="0.3">
      <c r="A9" s="128" t="s">
        <v>395</v>
      </c>
      <c r="B9" s="423">
        <v>78</v>
      </c>
      <c r="C9" s="423">
        <v>78</v>
      </c>
      <c r="D9" s="423">
        <v>78</v>
      </c>
      <c r="E9" s="423">
        <v>78</v>
      </c>
      <c r="F9" s="423">
        <v>78</v>
      </c>
      <c r="G9" s="423">
        <v>78</v>
      </c>
      <c r="H9" s="423">
        <v>78</v>
      </c>
      <c r="I9" s="423">
        <v>78</v>
      </c>
      <c r="J9" s="423">
        <v>78</v>
      </c>
      <c r="K9" s="423">
        <v>78</v>
      </c>
      <c r="L9" s="423">
        <v>78</v>
      </c>
      <c r="M9" s="423">
        <v>78</v>
      </c>
      <c r="N9" s="423">
        <v>78</v>
      </c>
      <c r="O9" s="423">
        <v>78</v>
      </c>
      <c r="P9" s="423">
        <v>78</v>
      </c>
      <c r="Q9" s="423">
        <v>78</v>
      </c>
      <c r="R9" s="617"/>
    </row>
    <row r="10" spans="1:18" ht="26.4" customHeight="1" thickBot="1" x14ac:dyDescent="0.35">
      <c r="A10" s="130" t="s">
        <v>396</v>
      </c>
      <c r="B10" s="373">
        <v>78</v>
      </c>
      <c r="C10" s="373">
        <v>78</v>
      </c>
      <c r="D10" s="373">
        <v>78</v>
      </c>
      <c r="E10" s="373">
        <v>78</v>
      </c>
      <c r="F10" s="373">
        <v>78</v>
      </c>
      <c r="G10" s="373">
        <v>78</v>
      </c>
      <c r="H10" s="373">
        <v>78</v>
      </c>
      <c r="I10" s="373">
        <v>78</v>
      </c>
      <c r="J10" s="373">
        <v>78</v>
      </c>
      <c r="K10" s="373">
        <v>78</v>
      </c>
      <c r="L10" s="373">
        <v>78</v>
      </c>
      <c r="M10" s="373">
        <v>78</v>
      </c>
      <c r="N10" s="373">
        <v>78</v>
      </c>
      <c r="O10" s="373">
        <v>78</v>
      </c>
      <c r="P10" s="373">
        <v>78</v>
      </c>
      <c r="Q10" s="373">
        <v>78</v>
      </c>
      <c r="R10" s="618"/>
    </row>
    <row r="11" spans="1:18" ht="27" customHeight="1" x14ac:dyDescent="0.3">
      <c r="A11" s="127" t="s">
        <v>397</v>
      </c>
      <c r="B11" s="124">
        <v>70</v>
      </c>
      <c r="C11" s="124">
        <v>70</v>
      </c>
      <c r="D11" s="124">
        <v>70</v>
      </c>
      <c r="E11" s="124">
        <v>70</v>
      </c>
      <c r="F11" s="124">
        <v>70</v>
      </c>
      <c r="G11" s="124">
        <v>70</v>
      </c>
      <c r="H11" s="124">
        <v>70</v>
      </c>
      <c r="I11" s="124">
        <v>70</v>
      </c>
      <c r="J11" s="124">
        <v>70</v>
      </c>
      <c r="K11" s="124">
        <v>70</v>
      </c>
      <c r="L11" s="124">
        <v>70</v>
      </c>
      <c r="M11" s="124">
        <v>70</v>
      </c>
      <c r="N11" s="124">
        <v>70</v>
      </c>
      <c r="O11" s="124">
        <v>70</v>
      </c>
      <c r="P11" s="124">
        <v>70</v>
      </c>
      <c r="Q11" s="124">
        <v>70</v>
      </c>
      <c r="R11" s="236"/>
    </row>
    <row r="12" spans="1:18" ht="27" customHeight="1" x14ac:dyDescent="0.3">
      <c r="A12" s="128" t="s">
        <v>398</v>
      </c>
      <c r="B12" s="423">
        <v>70</v>
      </c>
      <c r="C12" s="423">
        <v>70</v>
      </c>
      <c r="D12" s="423">
        <v>70</v>
      </c>
      <c r="E12" s="423">
        <v>70</v>
      </c>
      <c r="F12" s="423">
        <v>70</v>
      </c>
      <c r="G12" s="423">
        <v>70</v>
      </c>
      <c r="H12" s="423">
        <v>70</v>
      </c>
      <c r="I12" s="423">
        <v>70</v>
      </c>
      <c r="J12" s="423">
        <v>70</v>
      </c>
      <c r="K12" s="423">
        <v>70</v>
      </c>
      <c r="L12" s="423">
        <v>70</v>
      </c>
      <c r="M12" s="423">
        <v>70</v>
      </c>
      <c r="N12" s="423">
        <v>70</v>
      </c>
      <c r="O12" s="423">
        <v>70</v>
      </c>
      <c r="P12" s="423">
        <v>70</v>
      </c>
      <c r="Q12" s="423">
        <v>70</v>
      </c>
      <c r="R12" s="237"/>
    </row>
    <row r="13" spans="1:18" ht="27" customHeight="1" x14ac:dyDescent="0.3">
      <c r="A13" s="128" t="s">
        <v>399</v>
      </c>
      <c r="B13" s="423">
        <v>72</v>
      </c>
      <c r="C13" s="423">
        <v>72</v>
      </c>
      <c r="D13" s="423">
        <v>72</v>
      </c>
      <c r="E13" s="423">
        <v>72</v>
      </c>
      <c r="F13" s="423">
        <v>72</v>
      </c>
      <c r="G13" s="423">
        <v>72</v>
      </c>
      <c r="H13" s="423">
        <v>72</v>
      </c>
      <c r="I13" s="423">
        <v>72</v>
      </c>
      <c r="J13" s="423">
        <v>72</v>
      </c>
      <c r="K13" s="423">
        <v>72</v>
      </c>
      <c r="L13" s="423">
        <v>72</v>
      </c>
      <c r="M13" s="423">
        <v>72</v>
      </c>
      <c r="N13" s="423">
        <v>72</v>
      </c>
      <c r="O13" s="423">
        <v>72</v>
      </c>
      <c r="P13" s="423">
        <v>72</v>
      </c>
      <c r="Q13" s="423">
        <v>72</v>
      </c>
      <c r="R13" s="238" t="s">
        <v>400</v>
      </c>
    </row>
    <row r="14" spans="1:18" ht="27" customHeight="1" thickBot="1" x14ac:dyDescent="0.35">
      <c r="A14" s="129" t="s">
        <v>401</v>
      </c>
      <c r="B14" s="235">
        <v>72</v>
      </c>
      <c r="C14" s="235">
        <v>72</v>
      </c>
      <c r="D14" s="235">
        <v>72</v>
      </c>
      <c r="E14" s="235">
        <v>72</v>
      </c>
      <c r="F14" s="235">
        <v>72</v>
      </c>
      <c r="G14" s="235">
        <v>72</v>
      </c>
      <c r="H14" s="235">
        <v>72</v>
      </c>
      <c r="I14" s="235">
        <v>72</v>
      </c>
      <c r="J14" s="235">
        <v>72</v>
      </c>
      <c r="K14" s="235">
        <v>72</v>
      </c>
      <c r="L14" s="235">
        <v>72</v>
      </c>
      <c r="M14" s="235">
        <v>72</v>
      </c>
      <c r="N14" s="235">
        <v>72</v>
      </c>
      <c r="O14" s="235">
        <v>72</v>
      </c>
      <c r="P14" s="235">
        <v>72</v>
      </c>
      <c r="Q14" s="235">
        <v>72</v>
      </c>
      <c r="R14" s="239" t="s">
        <v>402</v>
      </c>
    </row>
    <row r="15" spans="1:18" s="890" customFormat="1" ht="27" customHeight="1" x14ac:dyDescent="0.3">
      <c r="A15" s="886" t="s">
        <v>932</v>
      </c>
      <c r="B15" s="887">
        <v>60</v>
      </c>
      <c r="C15" s="887">
        <v>60</v>
      </c>
      <c r="D15" s="887">
        <v>60</v>
      </c>
      <c r="E15" s="887">
        <v>60</v>
      </c>
      <c r="F15" s="887">
        <v>60</v>
      </c>
      <c r="G15" s="887">
        <v>60</v>
      </c>
      <c r="H15" s="887">
        <v>60</v>
      </c>
      <c r="I15" s="887">
        <v>60</v>
      </c>
      <c r="J15" s="887">
        <v>60</v>
      </c>
      <c r="K15" s="887">
        <v>60</v>
      </c>
      <c r="L15" s="887">
        <v>60</v>
      </c>
      <c r="M15" s="887">
        <v>60</v>
      </c>
      <c r="N15" s="887">
        <v>60</v>
      </c>
      <c r="O15" s="887">
        <v>60</v>
      </c>
      <c r="P15" s="887">
        <v>60</v>
      </c>
      <c r="Q15" s="888">
        <v>60</v>
      </c>
      <c r="R15" s="889" t="s">
        <v>924</v>
      </c>
    </row>
    <row r="16" spans="1:18" s="890" customFormat="1" ht="27" customHeight="1" x14ac:dyDescent="0.3">
      <c r="A16" s="891" t="s">
        <v>931</v>
      </c>
      <c r="B16" s="892">
        <v>60</v>
      </c>
      <c r="C16" s="892">
        <v>60</v>
      </c>
      <c r="D16" s="892">
        <v>60</v>
      </c>
      <c r="E16" s="892">
        <v>60</v>
      </c>
      <c r="F16" s="892">
        <v>60</v>
      </c>
      <c r="G16" s="892">
        <v>60</v>
      </c>
      <c r="H16" s="892">
        <v>60</v>
      </c>
      <c r="I16" s="892">
        <v>60</v>
      </c>
      <c r="J16" s="892">
        <v>60</v>
      </c>
      <c r="K16" s="892">
        <v>60</v>
      </c>
      <c r="L16" s="892">
        <v>60</v>
      </c>
      <c r="M16" s="892">
        <v>60</v>
      </c>
      <c r="N16" s="892">
        <v>60</v>
      </c>
      <c r="O16" s="892">
        <v>60</v>
      </c>
      <c r="P16" s="892">
        <v>60</v>
      </c>
      <c r="Q16" s="893">
        <v>60</v>
      </c>
      <c r="R16" s="894"/>
    </row>
    <row r="17" spans="1:18" s="890" customFormat="1" ht="27" customHeight="1" x14ac:dyDescent="0.3">
      <c r="A17" s="891" t="s">
        <v>930</v>
      </c>
      <c r="B17" s="892">
        <v>85</v>
      </c>
      <c r="C17" s="892">
        <v>85</v>
      </c>
      <c r="D17" s="892">
        <v>85</v>
      </c>
      <c r="E17" s="892">
        <v>85</v>
      </c>
      <c r="F17" s="892">
        <v>85</v>
      </c>
      <c r="G17" s="892">
        <v>85</v>
      </c>
      <c r="H17" s="892">
        <v>85</v>
      </c>
      <c r="I17" s="892">
        <v>85</v>
      </c>
      <c r="J17" s="892">
        <v>85</v>
      </c>
      <c r="K17" s="892">
        <v>85</v>
      </c>
      <c r="L17" s="892">
        <v>85</v>
      </c>
      <c r="M17" s="892">
        <v>85</v>
      </c>
      <c r="N17" s="892">
        <v>85</v>
      </c>
      <c r="O17" s="892">
        <v>85</v>
      </c>
      <c r="P17" s="892">
        <v>85</v>
      </c>
      <c r="Q17" s="893">
        <v>85</v>
      </c>
      <c r="R17" s="894"/>
    </row>
    <row r="18" spans="1:18" s="890" customFormat="1" ht="27" customHeight="1" thickBot="1" x14ac:dyDescent="0.35">
      <c r="A18" s="895" t="s">
        <v>933</v>
      </c>
      <c r="B18" s="896">
        <v>85</v>
      </c>
      <c r="C18" s="896">
        <v>85</v>
      </c>
      <c r="D18" s="896">
        <v>85</v>
      </c>
      <c r="E18" s="896">
        <v>85</v>
      </c>
      <c r="F18" s="896">
        <v>85</v>
      </c>
      <c r="G18" s="896">
        <v>85</v>
      </c>
      <c r="H18" s="896">
        <v>85</v>
      </c>
      <c r="I18" s="896">
        <v>85</v>
      </c>
      <c r="J18" s="896">
        <v>85</v>
      </c>
      <c r="K18" s="896">
        <v>85</v>
      </c>
      <c r="L18" s="896">
        <v>85</v>
      </c>
      <c r="M18" s="896">
        <v>85</v>
      </c>
      <c r="N18" s="896">
        <v>85</v>
      </c>
      <c r="O18" s="896">
        <v>85</v>
      </c>
      <c r="P18" s="896">
        <v>85</v>
      </c>
      <c r="Q18" s="897">
        <v>85</v>
      </c>
      <c r="R18" s="898"/>
    </row>
    <row r="19" spans="1:18" ht="27" customHeight="1" x14ac:dyDescent="0.3">
      <c r="A19" s="799"/>
      <c r="B19" s="800"/>
      <c r="C19" s="800"/>
      <c r="D19" s="800"/>
      <c r="E19" s="800"/>
      <c r="F19" s="800"/>
      <c r="G19" s="800"/>
      <c r="H19" s="800"/>
      <c r="I19" s="800"/>
      <c r="J19" s="800"/>
      <c r="K19" s="800"/>
      <c r="L19" s="800"/>
      <c r="M19" s="800"/>
      <c r="N19" s="800"/>
      <c r="O19" s="800"/>
      <c r="P19" s="800"/>
      <c r="Q19" s="800"/>
      <c r="R19" s="801"/>
    </row>
    <row r="20" spans="1:18" ht="27" customHeight="1" x14ac:dyDescent="0.3">
      <c r="A20" s="799"/>
      <c r="B20" s="800"/>
      <c r="C20" s="800"/>
      <c r="D20" s="800"/>
      <c r="E20" s="800"/>
      <c r="F20" s="800"/>
      <c r="G20" s="800"/>
      <c r="H20" s="800"/>
      <c r="I20" s="800"/>
      <c r="J20" s="800"/>
      <c r="K20" s="800"/>
      <c r="L20" s="800"/>
      <c r="M20" s="800"/>
      <c r="N20" s="800"/>
      <c r="O20" s="800"/>
      <c r="P20" s="800"/>
      <c r="Q20" s="800"/>
      <c r="R20" s="801"/>
    </row>
    <row r="21" spans="1:18" ht="32.25" customHeight="1" x14ac:dyDescent="0.3">
      <c r="A21" s="451" t="s">
        <v>403</v>
      </c>
      <c r="B21" s="414"/>
      <c r="C21" s="414"/>
      <c r="D21" s="414"/>
      <c r="E21" s="414"/>
      <c r="F21" s="414"/>
      <c r="G21" s="414"/>
      <c r="H21" s="414"/>
      <c r="I21" s="414"/>
      <c r="J21" s="414"/>
      <c r="K21" s="414"/>
      <c r="L21" s="414"/>
      <c r="M21" s="414"/>
      <c r="N21" s="414"/>
      <c r="O21" s="414"/>
      <c r="P21" s="414"/>
      <c r="Q21" s="414"/>
      <c r="R21" s="3"/>
    </row>
    <row r="22" spans="1:18" x14ac:dyDescent="0.3">
      <c r="A22" s="5" t="s">
        <v>404</v>
      </c>
      <c r="B22" s="5"/>
      <c r="C22" s="5"/>
      <c r="D22" s="5"/>
      <c r="E22" s="5"/>
      <c r="F22" s="5"/>
      <c r="G22" s="5"/>
      <c r="H22" s="5"/>
      <c r="I22" s="5"/>
      <c r="J22" s="5"/>
      <c r="K22" s="5"/>
      <c r="L22" s="5"/>
      <c r="M22" s="5"/>
      <c r="N22" s="3"/>
      <c r="O22" s="3"/>
      <c r="P22" s="3"/>
      <c r="Q22" s="3"/>
      <c r="R22" s="3"/>
    </row>
    <row r="23" spans="1:18" ht="20.25" customHeight="1" x14ac:dyDescent="0.3">
      <c r="A23" s="5" t="s">
        <v>405</v>
      </c>
      <c r="B23" s="5"/>
      <c r="C23" s="5"/>
      <c r="D23" s="5"/>
      <c r="E23" s="5"/>
      <c r="F23" s="5"/>
      <c r="G23" s="5"/>
      <c r="H23" s="5"/>
      <c r="I23" s="5"/>
      <c r="J23" s="5"/>
      <c r="K23" s="5"/>
      <c r="L23" s="5"/>
      <c r="M23" s="5"/>
      <c r="N23" s="3"/>
      <c r="O23" s="3"/>
      <c r="P23" s="3"/>
      <c r="Q23" s="3"/>
      <c r="R23" s="3"/>
    </row>
    <row r="24" spans="1:18" x14ac:dyDescent="0.3">
      <c r="A24" s="394" t="s">
        <v>406</v>
      </c>
      <c r="B24" s="5"/>
      <c r="C24" s="5"/>
      <c r="D24" s="5"/>
      <c r="E24" s="5"/>
      <c r="F24" s="5"/>
      <c r="G24" s="5"/>
      <c r="H24" s="5"/>
      <c r="I24" s="5"/>
      <c r="J24" s="5"/>
      <c r="K24" s="5"/>
      <c r="L24" s="5"/>
      <c r="M24" s="5"/>
      <c r="N24" s="3"/>
      <c r="O24" s="3"/>
      <c r="P24" s="3"/>
      <c r="Q24" s="3"/>
      <c r="R24" s="3"/>
    </row>
    <row r="25" spans="1:18" x14ac:dyDescent="0.3">
      <c r="A25" s="339"/>
      <c r="B25" s="214"/>
      <c r="C25" s="214"/>
      <c r="D25" s="214"/>
      <c r="E25" s="214"/>
      <c r="F25" s="214"/>
      <c r="G25" s="214"/>
      <c r="H25" s="214"/>
      <c r="I25" s="214"/>
      <c r="J25" s="214"/>
      <c r="K25" s="214"/>
      <c r="L25" s="214"/>
      <c r="M25" s="214"/>
    </row>
  </sheetData>
  <mergeCells count="4">
    <mergeCell ref="A1:R1"/>
    <mergeCell ref="R3:R6"/>
    <mergeCell ref="R7:R10"/>
    <mergeCell ref="R15:R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5790-0C35-4913-885D-5C56A06EADAC}">
  <dimension ref="A1:AS127"/>
  <sheetViews>
    <sheetView zoomScaleNormal="100" workbookViewId="0">
      <selection sqref="A1:G1"/>
    </sheetView>
  </sheetViews>
  <sheetFormatPr defaultColWidth="8.6640625" defaultRowHeight="13.2" x14ac:dyDescent="0.25"/>
  <cols>
    <col min="1" max="1" width="35.88671875" style="5" customWidth="1"/>
    <col min="2" max="2" width="29.6640625" style="5" customWidth="1"/>
    <col min="3" max="3" width="23.109375" style="5" customWidth="1"/>
    <col min="4" max="4" width="33" style="5" customWidth="1"/>
    <col min="5" max="5" width="32.44140625" style="5" customWidth="1"/>
    <col min="6" max="6" width="25.5546875" style="5" customWidth="1"/>
    <col min="7" max="7" width="23" style="5" customWidth="1"/>
    <col min="8" max="8" width="27.44140625" style="5" customWidth="1"/>
    <col min="9" max="10" width="23" style="5" customWidth="1"/>
    <col min="11" max="11" width="19" style="5" customWidth="1"/>
    <col min="12" max="12" width="8.6640625" style="5" customWidth="1"/>
    <col min="13" max="13" width="12.33203125" style="5" customWidth="1"/>
    <col min="14" max="14" width="13.33203125" style="5" customWidth="1"/>
    <col min="15" max="15" width="15.33203125" style="5" customWidth="1"/>
    <col min="16" max="16" width="11" style="5" customWidth="1"/>
    <col min="17" max="20" width="15.33203125" style="5" customWidth="1"/>
    <col min="21" max="21" width="7.6640625" style="5" hidden="1" customWidth="1"/>
    <col min="22" max="22" width="12.44140625" style="5" hidden="1" customWidth="1"/>
    <col min="23" max="38" width="6.5546875" style="5" hidden="1" customWidth="1"/>
    <col min="39" max="39" width="15.33203125" style="5" customWidth="1"/>
    <col min="40" max="40" width="11.33203125" style="5" customWidth="1"/>
    <col min="41" max="41" width="6.33203125" style="5" customWidth="1"/>
    <col min="42" max="45" width="4.6640625" style="5" customWidth="1"/>
    <col min="46" max="46" width="6.33203125" style="5" customWidth="1"/>
    <col min="47" max="61" width="4.6640625" style="5" customWidth="1"/>
    <col min="62" max="16384" width="8.6640625" style="5"/>
  </cols>
  <sheetData>
    <row r="1" spans="1:45" ht="24" customHeight="1" x14ac:dyDescent="0.25">
      <c r="A1" s="621" t="s">
        <v>410</v>
      </c>
      <c r="B1" s="622"/>
      <c r="C1" s="622"/>
      <c r="D1" s="622"/>
      <c r="E1" s="622"/>
      <c r="F1" s="622"/>
      <c r="G1" s="622"/>
    </row>
    <row r="2" spans="1:45" ht="22.35" customHeight="1" x14ac:dyDescent="0.25">
      <c r="A2" s="332" t="s">
        <v>243</v>
      </c>
      <c r="B2" s="332" t="s">
        <v>411</v>
      </c>
      <c r="C2" s="332" t="s">
        <v>412</v>
      </c>
      <c r="D2" s="467" t="s">
        <v>413</v>
      </c>
      <c r="E2" s="467" t="s">
        <v>414</v>
      </c>
      <c r="F2" s="467" t="s">
        <v>415</v>
      </c>
      <c r="G2" s="467" t="s">
        <v>230</v>
      </c>
      <c r="H2" s="353"/>
    </row>
    <row r="3" spans="1:45" ht="61.5" customHeight="1" x14ac:dyDescent="0.25">
      <c r="A3" s="422" t="s">
        <v>416</v>
      </c>
      <c r="B3" s="422" t="s">
        <v>366</v>
      </c>
      <c r="C3" s="354">
        <v>0.8</v>
      </c>
      <c r="D3" s="489">
        <v>1</v>
      </c>
      <c r="E3" s="465" t="s">
        <v>417</v>
      </c>
      <c r="F3" s="465" t="s">
        <v>418</v>
      </c>
      <c r="G3" s="465" t="s">
        <v>419</v>
      </c>
      <c r="H3" s="490"/>
    </row>
    <row r="4" spans="1:45" ht="63.75" customHeight="1" x14ac:dyDescent="0.25">
      <c r="A4" s="422" t="s">
        <v>318</v>
      </c>
      <c r="B4" s="422" t="s">
        <v>366</v>
      </c>
      <c r="C4" s="354">
        <v>0.8</v>
      </c>
      <c r="D4" s="489">
        <v>1</v>
      </c>
      <c r="E4" s="465" t="s">
        <v>417</v>
      </c>
      <c r="F4" s="465" t="s">
        <v>420</v>
      </c>
      <c r="G4" s="465" t="s">
        <v>419</v>
      </c>
      <c r="H4" s="490"/>
    </row>
    <row r="5" spans="1:45" ht="27" customHeight="1" x14ac:dyDescent="0.25"/>
    <row r="6" spans="1:45" ht="16.2" customHeight="1" x14ac:dyDescent="0.25">
      <c r="A6" s="629" t="s">
        <v>421</v>
      </c>
      <c r="B6" s="630"/>
      <c r="C6" s="630"/>
      <c r="D6" s="630"/>
      <c r="E6" s="630"/>
      <c r="F6" s="630"/>
      <c r="G6" s="630"/>
      <c r="H6" s="631"/>
    </row>
    <row r="7" spans="1:45" ht="54.6" customHeight="1" x14ac:dyDescent="0.3">
      <c r="A7" s="370" t="s">
        <v>369</v>
      </c>
      <c r="B7" s="207" t="s">
        <v>422</v>
      </c>
      <c r="C7" s="208" t="s">
        <v>423</v>
      </c>
      <c r="D7" s="208" t="s">
        <v>370</v>
      </c>
      <c r="E7" s="208" t="s">
        <v>424</v>
      </c>
      <c r="F7" s="208" t="s">
        <v>425</v>
      </c>
      <c r="G7" s="208" t="s">
        <v>426</v>
      </c>
      <c r="H7" s="125" t="s">
        <v>311</v>
      </c>
      <c r="I7"/>
      <c r="J7"/>
      <c r="K7"/>
      <c r="L7"/>
      <c r="M7"/>
      <c r="N7"/>
      <c r="O7"/>
      <c r="P7"/>
      <c r="Q7"/>
      <c r="R7"/>
      <c r="S7"/>
      <c r="T7"/>
      <c r="AM7"/>
      <c r="AN7"/>
      <c r="AO7"/>
      <c r="AP7"/>
      <c r="AQ7"/>
      <c r="AR7"/>
      <c r="AS7"/>
    </row>
    <row r="8" spans="1:45" x14ac:dyDescent="0.25">
      <c r="A8" s="371" t="str">
        <f>Zones!B3</f>
        <v>Corridor_FloorG</v>
      </c>
      <c r="B8" s="187" t="s">
        <v>366</v>
      </c>
      <c r="C8" s="209">
        <f>Zones!H3</f>
        <v>1782.21</v>
      </c>
      <c r="D8" s="210">
        <f>Zones!K3</f>
        <v>8.9110499999999995</v>
      </c>
      <c r="E8" s="255">
        <v>0</v>
      </c>
      <c r="F8" s="256">
        <f>E8*D8</f>
        <v>0</v>
      </c>
      <c r="G8" s="355">
        <f>F8/60</f>
        <v>0</v>
      </c>
      <c r="H8" s="632" t="s">
        <v>427</v>
      </c>
    </row>
    <row r="9" spans="1:45" x14ac:dyDescent="0.25">
      <c r="A9" s="371" t="str">
        <f>Zones!B4</f>
        <v>Corridor_FloorM</v>
      </c>
      <c r="B9" s="187" t="s">
        <v>366</v>
      </c>
      <c r="C9" s="209">
        <f>Zones!H4</f>
        <v>1512.16</v>
      </c>
      <c r="D9" s="210">
        <f>Zones!K4</f>
        <v>7.5608000000000004</v>
      </c>
      <c r="E9" s="255">
        <v>0</v>
      </c>
      <c r="F9" s="256">
        <f t="shared" ref="F9:F55" si="0">E9*D9</f>
        <v>0</v>
      </c>
      <c r="G9" s="355">
        <f t="shared" ref="G9:G55" si="1">F9/60</f>
        <v>0</v>
      </c>
      <c r="H9" s="633"/>
    </row>
    <row r="10" spans="1:45" x14ac:dyDescent="0.25">
      <c r="A10" s="371" t="str">
        <f>Zones!B5</f>
        <v>Corridor_FloorT</v>
      </c>
      <c r="B10" s="187" t="s">
        <v>366</v>
      </c>
      <c r="C10" s="209">
        <f>Zones!H5</f>
        <v>1512.16</v>
      </c>
      <c r="D10" s="210">
        <f>Zones!K5</f>
        <v>7.5608000000000004</v>
      </c>
      <c r="E10" s="255">
        <v>0</v>
      </c>
      <c r="F10" s="256">
        <f t="shared" si="0"/>
        <v>0</v>
      </c>
      <c r="G10" s="355">
        <f t="shared" si="1"/>
        <v>0</v>
      </c>
      <c r="H10" s="634"/>
    </row>
    <row r="11" spans="1:45" x14ac:dyDescent="0.25">
      <c r="A11" s="371" t="str">
        <f>Zones!B6</f>
        <v>Lounge_FloorG</v>
      </c>
      <c r="B11" s="187" t="s">
        <v>366</v>
      </c>
      <c r="C11" s="209">
        <f>Zones!H6</f>
        <v>351.03</v>
      </c>
      <c r="D11" s="210">
        <f>Zones!K6</f>
        <v>11.583989999999998</v>
      </c>
      <c r="E11" s="211">
        <v>0.09</v>
      </c>
      <c r="F11" s="256">
        <f t="shared" ref="F11" si="2">E11*D11</f>
        <v>1.0425590999999998</v>
      </c>
      <c r="G11" s="355">
        <f t="shared" ref="G11" si="3">F11/60</f>
        <v>1.7375984999999997E-2</v>
      </c>
      <c r="H11" s="813"/>
    </row>
    <row r="12" spans="1:45" ht="12.75" customHeight="1" x14ac:dyDescent="0.25">
      <c r="A12" s="371" t="str">
        <f>Zones!B7</f>
        <v>Gym_FloorG</v>
      </c>
      <c r="B12" s="187" t="s">
        <v>366</v>
      </c>
      <c r="C12" s="209">
        <v>351.03</v>
      </c>
      <c r="D12" s="210">
        <v>3.5102999999999995</v>
      </c>
      <c r="E12" s="211">
        <v>0.18</v>
      </c>
      <c r="F12" s="256">
        <f>E12*D12</f>
        <v>0.63185399999999992</v>
      </c>
      <c r="G12" s="258">
        <f>F12/60</f>
        <v>1.0530899999999999E-2</v>
      </c>
      <c r="H12" s="635"/>
    </row>
    <row r="13" spans="1:45" ht="12.75" customHeight="1" x14ac:dyDescent="0.25">
      <c r="A13" s="371" t="str">
        <f>Zones!B8</f>
        <v>Front_Lounge_FloorG</v>
      </c>
      <c r="B13" s="187" t="s">
        <v>366</v>
      </c>
      <c r="C13" s="209">
        <v>1755.3</v>
      </c>
      <c r="D13" s="210">
        <v>57.924899999999994</v>
      </c>
      <c r="E13" s="211">
        <v>0.09</v>
      </c>
      <c r="F13" s="256">
        <f t="shared" si="0"/>
        <v>5.2132409999999991</v>
      </c>
      <c r="G13" s="258">
        <f t="shared" si="1"/>
        <v>8.6887349999999988E-2</v>
      </c>
      <c r="H13" s="635"/>
    </row>
    <row r="14" spans="1:45" ht="12.75" customHeight="1" x14ac:dyDescent="0.25">
      <c r="A14" s="371" t="str">
        <f>Zones!B9</f>
        <v>Front_Office_FloorG</v>
      </c>
      <c r="B14" s="187" t="s">
        <v>366</v>
      </c>
      <c r="C14" s="209">
        <v>1404.14</v>
      </c>
      <c r="D14" s="210">
        <v>7.0207000000000006</v>
      </c>
      <c r="E14" s="211">
        <v>0.18</v>
      </c>
      <c r="F14" s="256">
        <f t="shared" si="0"/>
        <v>1.2637260000000001</v>
      </c>
      <c r="G14" s="258">
        <f t="shared" si="1"/>
        <v>2.1062100000000004E-2</v>
      </c>
      <c r="H14" s="635"/>
    </row>
    <row r="15" spans="1:45" x14ac:dyDescent="0.25">
      <c r="A15" s="371" t="str">
        <f>Zones!B10</f>
        <v>Front_Stair_FloorG</v>
      </c>
      <c r="B15" s="187" t="s">
        <v>366</v>
      </c>
      <c r="C15" s="209">
        <f>Zones!H10</f>
        <v>216.02</v>
      </c>
      <c r="D15" s="210">
        <f>Zones!K10</f>
        <v>0</v>
      </c>
      <c r="E15" s="255">
        <v>0</v>
      </c>
      <c r="F15" s="256">
        <f t="shared" si="0"/>
        <v>0</v>
      </c>
      <c r="G15" s="356">
        <f t="shared" si="1"/>
        <v>0</v>
      </c>
      <c r="H15" s="632"/>
    </row>
    <row r="16" spans="1:45" x14ac:dyDescent="0.25">
      <c r="A16" s="371" t="str">
        <f>Zones!B11</f>
        <v>Front_Stair_FloorM</v>
      </c>
      <c r="B16" s="187" t="s">
        <v>366</v>
      </c>
      <c r="C16" s="209">
        <f>Zones!H11</f>
        <v>216.02</v>
      </c>
      <c r="D16" s="210">
        <f>Zones!K11</f>
        <v>0</v>
      </c>
      <c r="E16" s="255">
        <v>0</v>
      </c>
      <c r="F16" s="256">
        <f t="shared" si="0"/>
        <v>0</v>
      </c>
      <c r="G16" s="356">
        <f t="shared" si="1"/>
        <v>0</v>
      </c>
      <c r="H16" s="633"/>
    </row>
    <row r="17" spans="1:8" x14ac:dyDescent="0.25">
      <c r="A17" s="371" t="str">
        <f>Zones!B12</f>
        <v>Front_Stair_FloorT</v>
      </c>
      <c r="B17" s="187" t="s">
        <v>366</v>
      </c>
      <c r="C17" s="209">
        <f>Zones!H12</f>
        <v>216.02</v>
      </c>
      <c r="D17" s="210">
        <f>Zones!K12</f>
        <v>0</v>
      </c>
      <c r="E17" s="255">
        <v>0</v>
      </c>
      <c r="F17" s="256">
        <f t="shared" si="0"/>
        <v>0</v>
      </c>
      <c r="G17" s="356">
        <f t="shared" si="1"/>
        <v>0</v>
      </c>
      <c r="H17" s="633"/>
    </row>
    <row r="18" spans="1:8" x14ac:dyDescent="0.25">
      <c r="A18" s="371" t="str">
        <f>Zones!B13</f>
        <v>Front_Storage_FloorG</v>
      </c>
      <c r="B18" s="187" t="s">
        <v>366</v>
      </c>
      <c r="C18" s="209">
        <f>Zones!H13</f>
        <v>135.01</v>
      </c>
      <c r="D18" s="210">
        <f>Zones!K13</f>
        <v>0.27001999999999998</v>
      </c>
      <c r="E18" s="255">
        <v>0</v>
      </c>
      <c r="F18" s="256">
        <f t="shared" si="0"/>
        <v>0</v>
      </c>
      <c r="G18" s="356">
        <f t="shared" si="1"/>
        <v>0</v>
      </c>
      <c r="H18" s="633"/>
    </row>
    <row r="19" spans="1:8" x14ac:dyDescent="0.25">
      <c r="A19" s="371" t="str">
        <f>Zones!B14</f>
        <v>Front_Storage_FloorM</v>
      </c>
      <c r="B19" s="187" t="s">
        <v>366</v>
      </c>
      <c r="C19" s="209">
        <f>Zones!H14</f>
        <v>135.01</v>
      </c>
      <c r="D19" s="210">
        <f>Zones!K14</f>
        <v>0.27001999999999998</v>
      </c>
      <c r="E19" s="255">
        <v>0</v>
      </c>
      <c r="F19" s="256">
        <f t="shared" si="0"/>
        <v>0</v>
      </c>
      <c r="G19" s="356">
        <f t="shared" si="1"/>
        <v>0</v>
      </c>
      <c r="H19" s="633"/>
    </row>
    <row r="20" spans="1:8" x14ac:dyDescent="0.25">
      <c r="A20" s="371" t="str">
        <f>Zones!B15</f>
        <v>Front_Storage_FloorT</v>
      </c>
      <c r="B20" s="187" t="s">
        <v>366</v>
      </c>
      <c r="C20" s="209">
        <f>Zones!H15</f>
        <v>135.01</v>
      </c>
      <c r="D20" s="210">
        <f>Zones!K15</f>
        <v>0.27001999999999998</v>
      </c>
      <c r="E20" s="255">
        <v>0</v>
      </c>
      <c r="F20" s="256">
        <f t="shared" si="0"/>
        <v>0</v>
      </c>
      <c r="G20" s="356">
        <f t="shared" si="1"/>
        <v>0</v>
      </c>
      <c r="H20" s="634"/>
    </row>
    <row r="21" spans="1:8" ht="12.75" customHeight="1" x14ac:dyDescent="0.25">
      <c r="A21" s="371" t="str">
        <f>Zones!B16</f>
        <v>GuestRoom_1_FloorG</v>
      </c>
      <c r="B21" s="187" t="s">
        <v>366</v>
      </c>
      <c r="C21" s="209">
        <v>351.06</v>
      </c>
      <c r="D21" s="210">
        <v>1.05318</v>
      </c>
      <c r="E21" s="211">
        <v>4.4800000000000004</v>
      </c>
      <c r="F21" s="256">
        <f t="shared" si="0"/>
        <v>4.7182464000000008</v>
      </c>
      <c r="G21" s="254">
        <f t="shared" si="1"/>
        <v>7.8637440000000017E-2</v>
      </c>
      <c r="H21" s="635"/>
    </row>
    <row r="22" spans="1:8" ht="12.75" customHeight="1" x14ac:dyDescent="0.25">
      <c r="A22" s="371" t="str">
        <f>Zones!B17</f>
        <v>GuestRoom_2_FloorG</v>
      </c>
      <c r="B22" s="187" t="s">
        <v>366</v>
      </c>
      <c r="C22" s="209">
        <v>351.06</v>
      </c>
      <c r="D22" s="210">
        <v>1.05318</v>
      </c>
      <c r="E22" s="211">
        <v>4.4800000000000004</v>
      </c>
      <c r="F22" s="256">
        <f t="shared" si="0"/>
        <v>4.7182464000000008</v>
      </c>
      <c r="G22" s="254">
        <f t="shared" si="1"/>
        <v>7.8637440000000017E-2</v>
      </c>
      <c r="H22" s="635"/>
    </row>
    <row r="23" spans="1:8" ht="12.75" customHeight="1" x14ac:dyDescent="0.25">
      <c r="A23" s="371" t="str">
        <f>Zones!B18</f>
        <v>GuestRoom_3_FloorG</v>
      </c>
      <c r="B23" s="187" t="s">
        <v>366</v>
      </c>
      <c r="C23" s="209">
        <v>351.06</v>
      </c>
      <c r="D23" s="210">
        <v>1.05318</v>
      </c>
      <c r="E23" s="211">
        <v>4.4800000000000004</v>
      </c>
      <c r="F23" s="256">
        <f t="shared" si="0"/>
        <v>4.7182464000000008</v>
      </c>
      <c r="G23" s="254">
        <f t="shared" si="1"/>
        <v>7.8637440000000017E-2</v>
      </c>
      <c r="H23" s="635"/>
    </row>
    <row r="24" spans="1:8" ht="12.75" customHeight="1" x14ac:dyDescent="0.25">
      <c r="A24" s="371" t="str">
        <f>Zones!B19</f>
        <v>GuestRoom_4_FloorG</v>
      </c>
      <c r="B24" s="187" t="s">
        <v>366</v>
      </c>
      <c r="C24" s="209">
        <v>351.03</v>
      </c>
      <c r="D24" s="210">
        <v>1.0530899999999999</v>
      </c>
      <c r="E24" s="211">
        <v>4.4800000000000004</v>
      </c>
      <c r="F24" s="256">
        <f t="shared" si="0"/>
        <v>4.7178431999999999</v>
      </c>
      <c r="G24" s="254">
        <f t="shared" si="1"/>
        <v>7.8630720000000001E-2</v>
      </c>
      <c r="H24" s="635"/>
    </row>
    <row r="25" spans="1:8" ht="12.75" customHeight="1" x14ac:dyDescent="0.25">
      <c r="A25" s="371" t="str">
        <f>Zones!B20</f>
        <v>GuestRoom_5_FloorG</v>
      </c>
      <c r="B25" s="187" t="s">
        <v>366</v>
      </c>
      <c r="C25" s="209">
        <v>351.03</v>
      </c>
      <c r="D25" s="210">
        <v>1.0530899999999999</v>
      </c>
      <c r="E25" s="211">
        <v>4.4800000000000004</v>
      </c>
      <c r="F25" s="256">
        <f t="shared" si="0"/>
        <v>4.7178431999999999</v>
      </c>
      <c r="G25" s="254">
        <f t="shared" si="1"/>
        <v>7.8630720000000001E-2</v>
      </c>
      <c r="H25" s="635"/>
    </row>
    <row r="26" spans="1:8" ht="12.75" customHeight="1" x14ac:dyDescent="0.25">
      <c r="A26" s="371" t="str">
        <f>Zones!B21</f>
        <v>GuestRoom_1_FloorM</v>
      </c>
      <c r="B26" s="187" t="s">
        <v>366</v>
      </c>
      <c r="C26" s="209">
        <v>351.06</v>
      </c>
      <c r="D26" s="210">
        <v>1.05318</v>
      </c>
      <c r="E26" s="211">
        <v>4.4800000000000004</v>
      </c>
      <c r="F26" s="256">
        <f t="shared" si="0"/>
        <v>4.7182464000000008</v>
      </c>
      <c r="G26" s="254">
        <f t="shared" si="1"/>
        <v>7.8637440000000017E-2</v>
      </c>
      <c r="H26" s="635"/>
    </row>
    <row r="27" spans="1:8" ht="12.75" customHeight="1" x14ac:dyDescent="0.25">
      <c r="A27" s="371" t="str">
        <f>Zones!B22</f>
        <v>GuestRoom_2_5_FloorM</v>
      </c>
      <c r="B27" s="187" t="s">
        <v>366</v>
      </c>
      <c r="C27" s="209">
        <v>1404.24</v>
      </c>
      <c r="D27" s="210">
        <v>4.21272</v>
      </c>
      <c r="E27" s="211">
        <v>4.4800000000000004</v>
      </c>
      <c r="F27" s="256">
        <f t="shared" si="0"/>
        <v>18.872985600000003</v>
      </c>
      <c r="G27" s="254">
        <f t="shared" si="1"/>
        <v>0.31454976000000007</v>
      </c>
      <c r="H27" s="635"/>
    </row>
    <row r="28" spans="1:8" ht="12.75" customHeight="1" x14ac:dyDescent="0.25">
      <c r="A28" s="371" t="str">
        <f>Zones!B23</f>
        <v>GuestRoom_6_8_FloorM</v>
      </c>
      <c r="B28" s="187" t="s">
        <v>366</v>
      </c>
      <c r="C28" s="209">
        <v>1134.2</v>
      </c>
      <c r="D28" s="210">
        <v>3.4026000000000005</v>
      </c>
      <c r="E28" s="211">
        <v>4.4800000000000004</v>
      </c>
      <c r="F28" s="256">
        <f t="shared" si="0"/>
        <v>15.243648000000004</v>
      </c>
      <c r="G28" s="254">
        <f t="shared" si="1"/>
        <v>0.25406080000000009</v>
      </c>
      <c r="H28" s="635"/>
    </row>
    <row r="29" spans="1:8" ht="12.75" customHeight="1" x14ac:dyDescent="0.25">
      <c r="A29" s="371" t="str">
        <f>Zones!B24</f>
        <v>GuestRoom_9_12_FloorM</v>
      </c>
      <c r="B29" s="187" t="s">
        <v>366</v>
      </c>
      <c r="C29" s="209">
        <v>1404.24</v>
      </c>
      <c r="D29" s="210">
        <v>4.21272</v>
      </c>
      <c r="E29" s="211">
        <v>4.4800000000000004</v>
      </c>
      <c r="F29" s="256">
        <f t="shared" si="0"/>
        <v>18.872985600000003</v>
      </c>
      <c r="G29" s="254">
        <f t="shared" si="1"/>
        <v>0.31454976000000007</v>
      </c>
      <c r="H29" s="635"/>
    </row>
    <row r="30" spans="1:8" ht="12.75" customHeight="1" x14ac:dyDescent="0.25">
      <c r="A30" s="371" t="str">
        <f>Zones!B25</f>
        <v>GuestRoom_13_FloorM</v>
      </c>
      <c r="B30" s="187" t="s">
        <v>366</v>
      </c>
      <c r="C30" s="209">
        <v>351.06</v>
      </c>
      <c r="D30" s="210">
        <v>1.05318</v>
      </c>
      <c r="E30" s="211">
        <v>4.4800000000000004</v>
      </c>
      <c r="F30" s="256">
        <f t="shared" si="0"/>
        <v>4.7182464000000008</v>
      </c>
      <c r="G30" s="254">
        <f t="shared" si="1"/>
        <v>7.8637440000000017E-2</v>
      </c>
      <c r="H30" s="635"/>
    </row>
    <row r="31" spans="1:8" ht="12.75" customHeight="1" x14ac:dyDescent="0.25">
      <c r="A31" s="371" t="str">
        <f>Zones!B26</f>
        <v>GuestRoom_14_FloorM</v>
      </c>
      <c r="B31" s="187" t="s">
        <v>366</v>
      </c>
      <c r="C31" s="209">
        <v>351.03</v>
      </c>
      <c r="D31" s="210">
        <v>1.0530899999999999</v>
      </c>
      <c r="E31" s="211">
        <v>4.4800000000000004</v>
      </c>
      <c r="F31" s="256">
        <f t="shared" si="0"/>
        <v>4.7178431999999999</v>
      </c>
      <c r="G31" s="254">
        <f t="shared" si="1"/>
        <v>7.8630720000000001E-2</v>
      </c>
      <c r="H31" s="635"/>
    </row>
    <row r="32" spans="1:8" ht="12.75" customHeight="1" x14ac:dyDescent="0.25">
      <c r="A32" s="371" t="str">
        <f>Zones!B27</f>
        <v>GuestRoom_15_18_FloorM</v>
      </c>
      <c r="B32" s="187" t="s">
        <v>366</v>
      </c>
      <c r="C32" s="209">
        <v>1404.14</v>
      </c>
      <c r="D32" s="210">
        <v>4.2124200000000007</v>
      </c>
      <c r="E32" s="211">
        <v>4.4800000000000004</v>
      </c>
      <c r="F32" s="256">
        <f t="shared" si="0"/>
        <v>18.871641600000004</v>
      </c>
      <c r="G32" s="254">
        <f t="shared" si="1"/>
        <v>0.31452736000000009</v>
      </c>
      <c r="H32" s="635"/>
    </row>
    <row r="33" spans="1:8" ht="12.75" customHeight="1" x14ac:dyDescent="0.25">
      <c r="A33" s="371" t="str">
        <f>Zones!B28</f>
        <v>GuestRoom_19_FloorM</v>
      </c>
      <c r="B33" s="187" t="s">
        <v>366</v>
      </c>
      <c r="C33" s="209">
        <v>351.04</v>
      </c>
      <c r="D33" s="210">
        <v>1.0531200000000001</v>
      </c>
      <c r="E33" s="211">
        <v>4.4800000000000004</v>
      </c>
      <c r="F33" s="256">
        <f t="shared" si="0"/>
        <v>4.7179776000000011</v>
      </c>
      <c r="G33" s="254">
        <f t="shared" si="1"/>
        <v>7.8632960000000016E-2</v>
      </c>
      <c r="H33" s="635"/>
    </row>
    <row r="34" spans="1:8" ht="12.75" customHeight="1" x14ac:dyDescent="0.25">
      <c r="A34" s="371" t="str">
        <f>Zones!B29</f>
        <v>GuestRoom_20_23_FloorM</v>
      </c>
      <c r="B34" s="187" t="s">
        <v>366</v>
      </c>
      <c r="C34" s="209">
        <v>1404.14</v>
      </c>
      <c r="D34" s="210">
        <v>4.2124200000000007</v>
      </c>
      <c r="E34" s="211">
        <v>4.4800000000000004</v>
      </c>
      <c r="F34" s="256">
        <f t="shared" si="0"/>
        <v>18.871641600000004</v>
      </c>
      <c r="G34" s="254">
        <f t="shared" si="1"/>
        <v>0.31452736000000009</v>
      </c>
      <c r="H34" s="635"/>
    </row>
    <row r="35" spans="1:8" ht="12.75" customHeight="1" x14ac:dyDescent="0.25">
      <c r="A35" s="371" t="str">
        <f>Zones!B30</f>
        <v>GuestRoom_24_FloorM</v>
      </c>
      <c r="B35" s="187" t="s">
        <v>366</v>
      </c>
      <c r="C35" s="209">
        <v>351.03</v>
      </c>
      <c r="D35" s="210">
        <v>1.0530899999999999</v>
      </c>
      <c r="E35" s="211">
        <v>4.4800000000000004</v>
      </c>
      <c r="F35" s="256">
        <f t="shared" si="0"/>
        <v>4.7178431999999999</v>
      </c>
      <c r="G35" s="254">
        <f t="shared" si="1"/>
        <v>7.8630720000000001E-2</v>
      </c>
      <c r="H35" s="635"/>
    </row>
    <row r="36" spans="1:8" ht="12.75" customHeight="1" x14ac:dyDescent="0.25">
      <c r="A36" s="371" t="str">
        <f>Zones!B31</f>
        <v>GuestRoom_1_FloorT</v>
      </c>
      <c r="B36" s="187" t="s">
        <v>366</v>
      </c>
      <c r="C36" s="209">
        <v>351.06</v>
      </c>
      <c r="D36" s="210">
        <v>1.05318</v>
      </c>
      <c r="E36" s="211">
        <v>4.4800000000000004</v>
      </c>
      <c r="F36" s="256">
        <f t="shared" si="0"/>
        <v>4.7182464000000008</v>
      </c>
      <c r="G36" s="254">
        <f t="shared" si="1"/>
        <v>7.8637440000000017E-2</v>
      </c>
      <c r="H36" s="635"/>
    </row>
    <row r="37" spans="1:8" ht="12.75" customHeight="1" x14ac:dyDescent="0.25">
      <c r="A37" s="371" t="str">
        <f>Zones!B32</f>
        <v>GuestRoom_2_5_FloorT</v>
      </c>
      <c r="B37" s="187" t="s">
        <v>366</v>
      </c>
      <c r="C37" s="209">
        <v>1404.24</v>
      </c>
      <c r="D37" s="210">
        <v>4.21272</v>
      </c>
      <c r="E37" s="211">
        <v>4.4800000000000004</v>
      </c>
      <c r="F37" s="256">
        <f t="shared" si="0"/>
        <v>18.872985600000003</v>
      </c>
      <c r="G37" s="254">
        <f t="shared" si="1"/>
        <v>0.31454976000000007</v>
      </c>
      <c r="H37" s="635"/>
    </row>
    <row r="38" spans="1:8" ht="12.75" customHeight="1" x14ac:dyDescent="0.25">
      <c r="A38" s="371" t="str">
        <f>Zones!B33</f>
        <v>GuestRoom_6_8_FloorT</v>
      </c>
      <c r="B38" s="187" t="s">
        <v>366</v>
      </c>
      <c r="C38" s="209">
        <v>1134.2</v>
      </c>
      <c r="D38" s="210">
        <v>3.4026000000000005</v>
      </c>
      <c r="E38" s="211">
        <v>4.4800000000000004</v>
      </c>
      <c r="F38" s="256">
        <f t="shared" si="0"/>
        <v>15.243648000000004</v>
      </c>
      <c r="G38" s="254">
        <f t="shared" si="1"/>
        <v>0.25406080000000009</v>
      </c>
      <c r="H38" s="635"/>
    </row>
    <row r="39" spans="1:8" ht="12.75" customHeight="1" x14ac:dyDescent="0.25">
      <c r="A39" s="371" t="str">
        <f>Zones!B34</f>
        <v>GuestRoom_9_12_FloorT</v>
      </c>
      <c r="B39" s="187" t="s">
        <v>366</v>
      </c>
      <c r="C39" s="209">
        <v>1404.24</v>
      </c>
      <c r="D39" s="210">
        <v>4.21272</v>
      </c>
      <c r="E39" s="211">
        <v>4.4800000000000004</v>
      </c>
      <c r="F39" s="256">
        <f t="shared" si="0"/>
        <v>18.872985600000003</v>
      </c>
      <c r="G39" s="254">
        <f t="shared" si="1"/>
        <v>0.31454976000000007</v>
      </c>
      <c r="H39" s="635"/>
    </row>
    <row r="40" spans="1:8" ht="12.75" customHeight="1" x14ac:dyDescent="0.25">
      <c r="A40" s="371" t="str">
        <f>Zones!B35</f>
        <v>GuestRoom_13_FloorT</v>
      </c>
      <c r="B40" s="187" t="s">
        <v>366</v>
      </c>
      <c r="C40" s="209">
        <v>351.06</v>
      </c>
      <c r="D40" s="210">
        <v>1.05318</v>
      </c>
      <c r="E40" s="211">
        <v>4.4800000000000004</v>
      </c>
      <c r="F40" s="256">
        <f t="shared" si="0"/>
        <v>4.7182464000000008</v>
      </c>
      <c r="G40" s="254">
        <f t="shared" si="1"/>
        <v>7.8637440000000017E-2</v>
      </c>
      <c r="H40" s="635"/>
    </row>
    <row r="41" spans="1:8" ht="12.75" customHeight="1" x14ac:dyDescent="0.25">
      <c r="A41" s="371" t="str">
        <f>Zones!B36</f>
        <v>GuestRoom_14_FloorT</v>
      </c>
      <c r="B41" s="187" t="s">
        <v>366</v>
      </c>
      <c r="C41" s="209">
        <v>351.03</v>
      </c>
      <c r="D41" s="210">
        <v>1.0530899999999999</v>
      </c>
      <c r="E41" s="211">
        <v>4.4800000000000004</v>
      </c>
      <c r="F41" s="256">
        <f t="shared" si="0"/>
        <v>4.7178431999999999</v>
      </c>
      <c r="G41" s="254">
        <f t="shared" si="1"/>
        <v>7.8630720000000001E-2</v>
      </c>
      <c r="H41" s="635"/>
    </row>
    <row r="42" spans="1:8" ht="12.75" customHeight="1" x14ac:dyDescent="0.25">
      <c r="A42" s="371" t="str">
        <f>Zones!B37</f>
        <v>GuestRoom_15_18_FloorT</v>
      </c>
      <c r="B42" s="187" t="s">
        <v>366</v>
      </c>
      <c r="C42" s="209">
        <v>1404.14</v>
      </c>
      <c r="D42" s="210">
        <v>4.2124200000000007</v>
      </c>
      <c r="E42" s="211">
        <v>4.4800000000000004</v>
      </c>
      <c r="F42" s="256">
        <f t="shared" si="0"/>
        <v>18.871641600000004</v>
      </c>
      <c r="G42" s="254">
        <f t="shared" si="1"/>
        <v>0.31452736000000009</v>
      </c>
      <c r="H42" s="635"/>
    </row>
    <row r="43" spans="1:8" ht="12.75" customHeight="1" x14ac:dyDescent="0.25">
      <c r="A43" s="371" t="str">
        <f>Zones!B38</f>
        <v>GuestRoom_19_FloorT</v>
      </c>
      <c r="B43" s="187" t="s">
        <v>366</v>
      </c>
      <c r="C43" s="209">
        <v>351.04</v>
      </c>
      <c r="D43" s="210">
        <v>1.0531200000000001</v>
      </c>
      <c r="E43" s="211">
        <v>4.4800000000000004</v>
      </c>
      <c r="F43" s="256">
        <f t="shared" si="0"/>
        <v>4.7179776000000011</v>
      </c>
      <c r="G43" s="254">
        <f t="shared" si="1"/>
        <v>7.8632960000000016E-2</v>
      </c>
      <c r="H43" s="635"/>
    </row>
    <row r="44" spans="1:8" ht="12.75" customHeight="1" x14ac:dyDescent="0.25">
      <c r="A44" s="371" t="str">
        <f>Zones!B39</f>
        <v>GuestRoom_20_23_FloorT</v>
      </c>
      <c r="B44" s="187" t="s">
        <v>366</v>
      </c>
      <c r="C44" s="209">
        <v>1404.14</v>
      </c>
      <c r="D44" s="210">
        <v>4.2124200000000007</v>
      </c>
      <c r="E44" s="211">
        <v>4.4800000000000004</v>
      </c>
      <c r="F44" s="256">
        <f t="shared" si="0"/>
        <v>18.871641600000004</v>
      </c>
      <c r="G44" s="254">
        <f t="shared" si="1"/>
        <v>0.31452736000000009</v>
      </c>
      <c r="H44" s="635"/>
    </row>
    <row r="45" spans="1:8" ht="12.75" customHeight="1" x14ac:dyDescent="0.25">
      <c r="A45" s="371" t="str">
        <f>Zones!B40</f>
        <v>GuestRoom_24_FloorT</v>
      </c>
      <c r="B45" s="187" t="s">
        <v>366</v>
      </c>
      <c r="C45" s="209">
        <v>351.03</v>
      </c>
      <c r="D45" s="210">
        <v>1.0530899999999999</v>
      </c>
      <c r="E45" s="211">
        <v>4.4800000000000004</v>
      </c>
      <c r="F45" s="256">
        <f t="shared" si="0"/>
        <v>4.7178431999999999</v>
      </c>
      <c r="G45" s="254">
        <f t="shared" si="1"/>
        <v>7.8630720000000001E-2</v>
      </c>
      <c r="H45" s="635"/>
    </row>
    <row r="46" spans="1:8" ht="12.75" customHeight="1" x14ac:dyDescent="0.25">
      <c r="A46" s="371" t="str">
        <f>Zones!B41</f>
        <v>Laundry_FloorG</v>
      </c>
      <c r="B46" s="187" t="s">
        <v>366</v>
      </c>
      <c r="C46" s="209">
        <v>1053.1099999999999</v>
      </c>
      <c r="D46" s="210">
        <v>5.2655500000000002</v>
      </c>
      <c r="E46" s="211">
        <v>0.57799999999999996</v>
      </c>
      <c r="F46" s="256">
        <f t="shared" si="0"/>
        <v>3.0434878999999997</v>
      </c>
      <c r="G46" s="254">
        <f t="shared" si="1"/>
        <v>5.0724798333333328E-2</v>
      </c>
      <c r="H46" s="635"/>
    </row>
    <row r="47" spans="1:8" x14ac:dyDescent="0.25">
      <c r="A47" s="371" t="str">
        <f>Zones!B42</f>
        <v>Mech_FloorG</v>
      </c>
      <c r="B47" s="187" t="s">
        <v>366</v>
      </c>
      <c r="C47" s="209">
        <f>Zones!H42</f>
        <v>351.06</v>
      </c>
      <c r="D47" s="210">
        <f>Zones!K42</f>
        <v>0</v>
      </c>
      <c r="E47" s="211">
        <v>0.18</v>
      </c>
      <c r="F47" s="256">
        <f t="shared" si="0"/>
        <v>0</v>
      </c>
      <c r="G47" s="356">
        <f t="shared" si="1"/>
        <v>0</v>
      </c>
      <c r="H47" s="636"/>
    </row>
    <row r="48" spans="1:8" ht="12.75" customHeight="1" x14ac:dyDescent="0.25">
      <c r="A48" s="371" t="str">
        <f>Zones!B43</f>
        <v>Conference_FloorG</v>
      </c>
      <c r="B48" s="187" t="s">
        <v>366</v>
      </c>
      <c r="C48" s="209">
        <v>864.15</v>
      </c>
      <c r="D48" s="210">
        <v>28.516949999999998</v>
      </c>
      <c r="E48" s="211">
        <v>0.09</v>
      </c>
      <c r="F48" s="256">
        <f t="shared" si="0"/>
        <v>2.5665254999999996</v>
      </c>
      <c r="G48" s="254">
        <f t="shared" si="1"/>
        <v>4.2775424999999992E-2</v>
      </c>
      <c r="H48" s="635"/>
    </row>
    <row r="49" spans="1:10" x14ac:dyDescent="0.25">
      <c r="A49" s="371" t="str">
        <f>Zones!B44</f>
        <v>Rear_Stair_FloorG</v>
      </c>
      <c r="B49" s="187" t="s">
        <v>366</v>
      </c>
      <c r="C49" s="209">
        <f>Zones!H44</f>
        <v>216.08</v>
      </c>
      <c r="D49" s="210">
        <f>Zones!K44</f>
        <v>1.0804</v>
      </c>
      <c r="E49" s="187">
        <v>0</v>
      </c>
      <c r="F49" s="256">
        <f t="shared" si="0"/>
        <v>0</v>
      </c>
      <c r="G49" s="356">
        <f t="shared" si="1"/>
        <v>0</v>
      </c>
      <c r="H49" s="632"/>
    </row>
    <row r="50" spans="1:10" x14ac:dyDescent="0.25">
      <c r="A50" s="371" t="str">
        <f>Zones!B45</f>
        <v>Rear_Stair_FloorT</v>
      </c>
      <c r="B50" s="187" t="s">
        <v>366</v>
      </c>
      <c r="C50" s="209">
        <f>Zones!H45</f>
        <v>216.08</v>
      </c>
      <c r="D50" s="210">
        <f>Zones!K45</f>
        <v>1.0804</v>
      </c>
      <c r="E50" s="187">
        <v>0</v>
      </c>
      <c r="F50" s="256">
        <f t="shared" si="0"/>
        <v>0</v>
      </c>
      <c r="G50" s="356">
        <f t="shared" si="1"/>
        <v>0</v>
      </c>
      <c r="H50" s="633"/>
    </row>
    <row r="51" spans="1:10" x14ac:dyDescent="0.25">
      <c r="A51" s="371" t="str">
        <f>Zones!B46</f>
        <v>Rear_Stair_FloorM</v>
      </c>
      <c r="B51" s="187" t="s">
        <v>366</v>
      </c>
      <c r="C51" s="209">
        <f>Zones!H46</f>
        <v>216.08</v>
      </c>
      <c r="D51" s="210">
        <f>Zones!K46</f>
        <v>1.0804</v>
      </c>
      <c r="E51" s="187">
        <v>0</v>
      </c>
      <c r="F51" s="256">
        <f t="shared" si="0"/>
        <v>0</v>
      </c>
      <c r="G51" s="356">
        <f t="shared" si="1"/>
        <v>0</v>
      </c>
      <c r="H51" s="633"/>
    </row>
    <row r="52" spans="1:10" x14ac:dyDescent="0.25">
      <c r="A52" s="371" t="str">
        <f>Zones!B47</f>
        <v>Rear_Storage_FloorG</v>
      </c>
      <c r="B52" s="187" t="s">
        <v>366</v>
      </c>
      <c r="C52" s="209">
        <f>Zones!H47</f>
        <v>216.09</v>
      </c>
      <c r="D52" s="210">
        <f>Zones!K47</f>
        <v>0.43218000000000001</v>
      </c>
      <c r="E52" s="187">
        <v>0</v>
      </c>
      <c r="F52" s="256">
        <f t="shared" si="0"/>
        <v>0</v>
      </c>
      <c r="G52" s="356">
        <f t="shared" si="1"/>
        <v>0</v>
      </c>
      <c r="H52" s="633"/>
    </row>
    <row r="53" spans="1:10" x14ac:dyDescent="0.25">
      <c r="A53" s="371" t="str">
        <f>Zones!B48</f>
        <v>Rear_Storage_FloorM</v>
      </c>
      <c r="B53" s="187" t="s">
        <v>366</v>
      </c>
      <c r="C53" s="209">
        <f>Zones!H48</f>
        <v>216.09</v>
      </c>
      <c r="D53" s="210">
        <f>Zones!K48</f>
        <v>0.43218000000000001</v>
      </c>
      <c r="E53" s="187">
        <v>0</v>
      </c>
      <c r="F53" s="256">
        <f t="shared" si="0"/>
        <v>0</v>
      </c>
      <c r="G53" s="356">
        <f t="shared" si="1"/>
        <v>0</v>
      </c>
      <c r="H53" s="633"/>
    </row>
    <row r="54" spans="1:10" x14ac:dyDescent="0.25">
      <c r="A54" s="371" t="str">
        <f>Zones!B49</f>
        <v>Rear_Storage_FloorT</v>
      </c>
      <c r="B54" s="187" t="s">
        <v>366</v>
      </c>
      <c r="C54" s="209">
        <f>Zones!H49</f>
        <v>216.09</v>
      </c>
      <c r="D54" s="210">
        <f>Zones!K49</f>
        <v>0.43218000000000001</v>
      </c>
      <c r="E54" s="187">
        <v>0</v>
      </c>
      <c r="F54" s="256">
        <f t="shared" si="0"/>
        <v>0</v>
      </c>
      <c r="G54" s="356">
        <f t="shared" si="1"/>
        <v>0</v>
      </c>
      <c r="H54" s="633"/>
    </row>
    <row r="55" spans="1:10" x14ac:dyDescent="0.25">
      <c r="A55" s="371" t="str">
        <f>Zones!B50</f>
        <v>Restroom_FloorG</v>
      </c>
      <c r="B55" s="187" t="s">
        <v>366</v>
      </c>
      <c r="C55" s="209">
        <f>Zones!H50</f>
        <v>351.06</v>
      </c>
      <c r="D55" s="210">
        <f>Zones!K50</f>
        <v>1.7552999999999999</v>
      </c>
      <c r="E55" s="187">
        <v>0</v>
      </c>
      <c r="F55" s="256">
        <f t="shared" si="0"/>
        <v>0</v>
      </c>
      <c r="G55" s="356">
        <f t="shared" si="1"/>
        <v>0</v>
      </c>
      <c r="H55" s="634"/>
    </row>
    <row r="56" spans="1:10" ht="20.25" customHeight="1" x14ac:dyDescent="0.25">
      <c r="A56" s="357" t="s">
        <v>428</v>
      </c>
      <c r="B56" s="637" t="s">
        <v>429</v>
      </c>
      <c r="C56" s="638"/>
      <c r="D56" s="638"/>
      <c r="E56" s="639"/>
      <c r="F56" s="411">
        <f>SUM(F8:F55)</f>
        <v>265.99793750000003</v>
      </c>
      <c r="G56" s="358"/>
      <c r="H56" s="640" t="s">
        <v>430</v>
      </c>
    </row>
    <row r="57" spans="1:10" ht="19.5" customHeight="1" x14ac:dyDescent="0.3">
      <c r="A57" s="357" t="s">
        <v>431</v>
      </c>
      <c r="B57" s="637" t="s">
        <v>314</v>
      </c>
      <c r="C57" s="638"/>
      <c r="D57" s="638"/>
      <c r="E57" s="639"/>
      <c r="F57" s="408">
        <v>0</v>
      </c>
      <c r="G57" s="358"/>
      <c r="H57" s="641"/>
    </row>
    <row r="58" spans="1:10" s="359" customFormat="1" ht="14.4" x14ac:dyDescent="0.3">
      <c r="A58"/>
      <c r="B58"/>
      <c r="C58"/>
      <c r="D58"/>
      <c r="E58"/>
      <c r="G58"/>
      <c r="H58"/>
      <c r="I58"/>
      <c r="J58"/>
    </row>
    <row r="59" spans="1:10" s="359" customFormat="1" ht="14.4" x14ac:dyDescent="0.3">
      <c r="A59" s="491" t="s">
        <v>413</v>
      </c>
      <c r="B59" s="491">
        <f>MAX(1,ROUNDUP(MAX(30,$F$56*$B$64)/MAX($E$88:$E$106),0))</f>
        <v>1</v>
      </c>
      <c r="C59"/>
      <c r="D59"/>
      <c r="E59"/>
      <c r="F59"/>
      <c r="G59"/>
      <c r="H59"/>
      <c r="I59"/>
      <c r="J59"/>
    </row>
    <row r="60" spans="1:10" s="359" customFormat="1" ht="14.4" x14ac:dyDescent="0.3">
      <c r="A60"/>
      <c r="B60"/>
      <c r="C60"/>
      <c r="D60"/>
      <c r="E60"/>
      <c r="F60"/>
      <c r="G60"/>
      <c r="H60"/>
      <c r="I60"/>
      <c r="J60"/>
    </row>
    <row r="61" spans="1:10" s="359" customFormat="1" ht="15" customHeight="1" x14ac:dyDescent="0.3">
      <c r="A61" s="492" t="s">
        <v>432</v>
      </c>
      <c r="B61" s="493">
        <v>135</v>
      </c>
      <c r="C61" s="494" t="s">
        <v>433</v>
      </c>
      <c r="D61" s="360"/>
      <c r="E61" s="360"/>
      <c r="F61"/>
      <c r="G61"/>
      <c r="H61"/>
      <c r="I61"/>
      <c r="J61"/>
    </row>
    <row r="62" spans="1:10" s="359" customFormat="1" ht="15" customHeight="1" x14ac:dyDescent="0.3">
      <c r="A62" s="360" t="s">
        <v>434</v>
      </c>
      <c r="B62" s="495">
        <v>0.6</v>
      </c>
      <c r="C62" s="494" t="s">
        <v>435</v>
      </c>
      <c r="D62" s="361"/>
      <c r="E62" s="361"/>
      <c r="F62"/>
      <c r="G62" cm="1">
        <f t="array" ref="G62">_xlfn.LET(  _xlpm.g,SUMIF($B$8:$B$55,"Gas*",$F$8:$F$55),  _xlpm.e,SUMIF($B$8:$B$55,"Electric*",$F$8:$F$55),   IF(AND(_xlpm.g&gt;0,_xlpm.e&gt;0),_xlpm.g,IF(_xlpm.g&gt;0,MAX(75,_xlpm.g),0)))</f>
        <v>265.99793750000003</v>
      </c>
      <c r="H62"/>
      <c r="I62"/>
      <c r="J62"/>
    </row>
    <row r="63" spans="1:10" s="359" customFormat="1" ht="14.4" x14ac:dyDescent="0.3">
      <c r="A63" s="496" t="s">
        <v>436</v>
      </c>
      <c r="B63" s="497">
        <v>8.2876999999999992</v>
      </c>
      <c r="C63" s="494" t="s">
        <v>435</v>
      </c>
      <c r="D63" s="494"/>
      <c r="E63" s="494"/>
      <c r="F63"/>
      <c r="G63"/>
      <c r="H63"/>
      <c r="I63"/>
      <c r="J63"/>
    </row>
    <row r="64" spans="1:10" s="359" customFormat="1" ht="14.4" x14ac:dyDescent="0.3">
      <c r="A64" s="359" t="s">
        <v>437</v>
      </c>
      <c r="B64" s="362">
        <v>0.4</v>
      </c>
      <c r="C64" s="363" t="s">
        <v>438</v>
      </c>
      <c r="D64" s="363"/>
      <c r="F64" s="363"/>
      <c r="G64" s="363"/>
    </row>
    <row r="65" spans="1:12" s="359" customFormat="1" ht="26.1" customHeight="1" x14ac:dyDescent="0.25">
      <c r="A65" s="623" t="s">
        <v>439</v>
      </c>
      <c r="B65" s="624"/>
      <c r="C65" s="624"/>
      <c r="D65" s="624"/>
      <c r="E65" s="624"/>
      <c r="F65" s="624"/>
      <c r="G65" s="624"/>
      <c r="H65" s="624"/>
      <c r="I65" s="624"/>
      <c r="J65" s="624"/>
      <c r="K65" s="624"/>
    </row>
    <row r="66" spans="1:12" s="359" customFormat="1" ht="48.75" customHeight="1" x14ac:dyDescent="0.3">
      <c r="A66" s="498" t="s">
        <v>440</v>
      </c>
      <c r="B66" s="498" t="s">
        <v>441</v>
      </c>
      <c r="C66" s="498" t="s">
        <v>442</v>
      </c>
      <c r="D66" s="498" t="s">
        <v>443</v>
      </c>
      <c r="E66" s="498" t="s">
        <v>444</v>
      </c>
      <c r="F66" s="498" t="s">
        <v>445</v>
      </c>
      <c r="G66" s="625" t="s">
        <v>446</v>
      </c>
      <c r="H66" s="625"/>
      <c r="I66" s="625" t="s">
        <v>447</v>
      </c>
      <c r="J66" s="625"/>
      <c r="K66" s="499" t="s">
        <v>448</v>
      </c>
      <c r="L66"/>
    </row>
    <row r="67" spans="1:12" s="359" customFormat="1" ht="18.75" customHeight="1" x14ac:dyDescent="0.25">
      <c r="A67" s="500" t="s">
        <v>449</v>
      </c>
      <c r="B67" s="501">
        <v>47.9</v>
      </c>
      <c r="C67" s="502">
        <f>$F$56*($B$61-B67)*$B$63</f>
        <v>192012.91738649312</v>
      </c>
      <c r="D67" s="502">
        <f t="shared" ref="D67:D82" si="4">C67*$B$62</f>
        <v>115207.75043189587</v>
      </c>
      <c r="E67" s="502">
        <f t="shared" ref="E67:E82" si="5">_xlfn.LET(_xlpm.x,_xlfn.XLOOKUP(D67/$C$3,$A$88:$A$118,$A$88:$A$118,"",1),IF(_xlpm.x="",ROUNDUP(D67/$C$3,0),_xlpm.x))</f>
        <v>145000</v>
      </c>
      <c r="F67" s="502">
        <f t="shared" ref="F67:F82" si="6">_xlfn.LET(_xlpm.v,MAX(30,$F$56*$B$64),_xlpm.x,_xlfn.XLOOKUP(_xlpm.v,$E$88:$E$106,$E$88:$E$106,"",1),IF(_xlpm.x="",ROUNDUP(_xlpm.v,0),_xlpm.x))</f>
        <v>110</v>
      </c>
      <c r="G67" s="502">
        <f>(E67/800)+110*SQRT(F67)</f>
        <v>1334.9397329871667</v>
      </c>
      <c r="H67" s="502" t="s">
        <v>450</v>
      </c>
      <c r="I67" s="503">
        <f>G67/70</f>
        <v>19.070567614102384</v>
      </c>
      <c r="J67" s="504" t="s">
        <v>451</v>
      </c>
      <c r="K67" s="626" t="s">
        <v>452</v>
      </c>
    </row>
    <row r="68" spans="1:12" s="359" customFormat="1" ht="18.75" customHeight="1" x14ac:dyDescent="0.25">
      <c r="A68" s="500" t="s">
        <v>453</v>
      </c>
      <c r="B68" s="501">
        <v>50.8</v>
      </c>
      <c r="C68" s="502">
        <f t="shared" ref="C68:C82" si="7">$F$56*($B$61-B68)*$B$63</f>
        <v>185619.83517729875</v>
      </c>
      <c r="D68" s="502">
        <f t="shared" si="4"/>
        <v>111371.90110637924</v>
      </c>
      <c r="E68" s="502">
        <f t="shared" si="5"/>
        <v>145000</v>
      </c>
      <c r="F68" s="502">
        <f t="shared" si="6"/>
        <v>110</v>
      </c>
      <c r="G68" s="502">
        <f t="shared" ref="G68:G82" si="8">(E68/800)+110*SQRT(F68)</f>
        <v>1334.9397329871667</v>
      </c>
      <c r="H68" s="502" t="s">
        <v>450</v>
      </c>
      <c r="I68" s="503">
        <f t="shared" ref="I68:I82" si="9">G68/70</f>
        <v>19.070567614102384</v>
      </c>
      <c r="J68" s="504" t="s">
        <v>451</v>
      </c>
      <c r="K68" s="627"/>
    </row>
    <row r="69" spans="1:12" s="359" customFormat="1" ht="18.75" customHeight="1" x14ac:dyDescent="0.25">
      <c r="A69" s="500" t="s">
        <v>454</v>
      </c>
      <c r="B69" s="501">
        <v>52.2</v>
      </c>
      <c r="C69" s="502">
        <f t="shared" si="7"/>
        <v>182533.51962803249</v>
      </c>
      <c r="D69" s="502">
        <f t="shared" si="4"/>
        <v>109520.1117768195</v>
      </c>
      <c r="E69" s="502">
        <f t="shared" si="5"/>
        <v>145000</v>
      </c>
      <c r="F69" s="502">
        <f t="shared" si="6"/>
        <v>110</v>
      </c>
      <c r="G69" s="502">
        <f t="shared" si="8"/>
        <v>1334.9397329871667</v>
      </c>
      <c r="H69" s="502" t="s">
        <v>450</v>
      </c>
      <c r="I69" s="503">
        <f t="shared" si="9"/>
        <v>19.070567614102384</v>
      </c>
      <c r="J69" s="504" t="s">
        <v>451</v>
      </c>
      <c r="K69" s="627"/>
    </row>
    <row r="70" spans="1:12" s="359" customFormat="1" ht="18.75" customHeight="1" x14ac:dyDescent="0.25">
      <c r="A70" s="500" t="s">
        <v>455</v>
      </c>
      <c r="B70" s="501">
        <v>52.7</v>
      </c>
      <c r="C70" s="502">
        <f t="shared" si="7"/>
        <v>181431.26407472312</v>
      </c>
      <c r="D70" s="502">
        <f t="shared" si="4"/>
        <v>108858.75844483387</v>
      </c>
      <c r="E70" s="502">
        <f t="shared" si="5"/>
        <v>145000</v>
      </c>
      <c r="F70" s="502">
        <f t="shared" si="6"/>
        <v>110</v>
      </c>
      <c r="G70" s="502">
        <f t="shared" si="8"/>
        <v>1334.9397329871667</v>
      </c>
      <c r="H70" s="502" t="s">
        <v>450</v>
      </c>
      <c r="I70" s="503">
        <f t="shared" si="9"/>
        <v>19.070567614102384</v>
      </c>
      <c r="J70" s="504" t="s">
        <v>451</v>
      </c>
      <c r="K70" s="627"/>
    </row>
    <row r="71" spans="1:12" s="359" customFormat="1" ht="18.75" customHeight="1" x14ac:dyDescent="0.25">
      <c r="A71" s="500" t="s">
        <v>456</v>
      </c>
      <c r="B71" s="501">
        <v>51.6</v>
      </c>
      <c r="C71" s="502">
        <f t="shared" si="7"/>
        <v>183856.22629200379</v>
      </c>
      <c r="D71" s="502">
        <f t="shared" si="4"/>
        <v>110313.73577520227</v>
      </c>
      <c r="E71" s="502">
        <f t="shared" si="5"/>
        <v>145000</v>
      </c>
      <c r="F71" s="502">
        <f t="shared" si="6"/>
        <v>110</v>
      </c>
      <c r="G71" s="502">
        <f t="shared" si="8"/>
        <v>1334.9397329871667</v>
      </c>
      <c r="H71" s="502" t="s">
        <v>450</v>
      </c>
      <c r="I71" s="503">
        <f t="shared" si="9"/>
        <v>19.070567614102384</v>
      </c>
      <c r="J71" s="504" t="s">
        <v>451</v>
      </c>
      <c r="K71" s="627"/>
    </row>
    <row r="72" spans="1:12" s="359" customFormat="1" ht="18.75" customHeight="1" x14ac:dyDescent="0.25">
      <c r="A72" s="500" t="s">
        <v>457</v>
      </c>
      <c r="B72" s="501">
        <v>56.8</v>
      </c>
      <c r="C72" s="502">
        <f t="shared" si="7"/>
        <v>172392.76853758626</v>
      </c>
      <c r="D72" s="502">
        <f t="shared" si="4"/>
        <v>103435.66112255176</v>
      </c>
      <c r="E72" s="502">
        <f t="shared" si="5"/>
        <v>130000</v>
      </c>
      <c r="F72" s="502">
        <f t="shared" si="6"/>
        <v>110</v>
      </c>
      <c r="G72" s="502">
        <f t="shared" si="8"/>
        <v>1316.1897329871667</v>
      </c>
      <c r="H72" s="502" t="s">
        <v>450</v>
      </c>
      <c r="I72" s="503">
        <f t="shared" si="9"/>
        <v>18.802710471245238</v>
      </c>
      <c r="J72" s="504" t="s">
        <v>451</v>
      </c>
      <c r="K72" s="627"/>
    </row>
    <row r="73" spans="1:12" s="359" customFormat="1" ht="18.75" customHeight="1" x14ac:dyDescent="0.25">
      <c r="A73" s="500" t="s">
        <v>458</v>
      </c>
      <c r="B73" s="501">
        <v>58.4</v>
      </c>
      <c r="C73" s="502">
        <f t="shared" si="7"/>
        <v>168865.55076699622</v>
      </c>
      <c r="D73" s="502">
        <f t="shared" si="4"/>
        <v>101319.33046019773</v>
      </c>
      <c r="E73" s="502">
        <f t="shared" si="5"/>
        <v>130000</v>
      </c>
      <c r="F73" s="502">
        <f t="shared" si="6"/>
        <v>110</v>
      </c>
      <c r="G73" s="502">
        <f t="shared" si="8"/>
        <v>1316.1897329871667</v>
      </c>
      <c r="H73" s="502" t="s">
        <v>450</v>
      </c>
      <c r="I73" s="503">
        <f t="shared" si="9"/>
        <v>18.802710471245238</v>
      </c>
      <c r="J73" s="504" t="s">
        <v>451</v>
      </c>
      <c r="K73" s="627"/>
    </row>
    <row r="74" spans="1:12" s="359" customFormat="1" ht="18.75" customHeight="1" x14ac:dyDescent="0.25">
      <c r="A74" s="500" t="s">
        <v>459</v>
      </c>
      <c r="B74" s="501">
        <v>58.4</v>
      </c>
      <c r="C74" s="502">
        <f t="shared" si="7"/>
        <v>168865.55076699622</v>
      </c>
      <c r="D74" s="502">
        <f t="shared" si="4"/>
        <v>101319.33046019773</v>
      </c>
      <c r="E74" s="502">
        <f t="shared" si="5"/>
        <v>130000</v>
      </c>
      <c r="F74" s="502">
        <f t="shared" si="6"/>
        <v>110</v>
      </c>
      <c r="G74" s="502">
        <f t="shared" si="8"/>
        <v>1316.1897329871667</v>
      </c>
      <c r="H74" s="502" t="s">
        <v>450</v>
      </c>
      <c r="I74" s="503">
        <f t="shared" si="9"/>
        <v>18.802710471245238</v>
      </c>
      <c r="J74" s="504" t="s">
        <v>451</v>
      </c>
      <c r="K74" s="627"/>
    </row>
    <row r="75" spans="1:12" s="359" customFormat="1" ht="18.75" customHeight="1" x14ac:dyDescent="0.25">
      <c r="A75" s="500" t="s">
        <v>460</v>
      </c>
      <c r="B75" s="501">
        <v>57.6</v>
      </c>
      <c r="C75" s="502">
        <f t="shared" si="7"/>
        <v>170629.15965229127</v>
      </c>
      <c r="D75" s="502">
        <f t="shared" si="4"/>
        <v>102377.49579137476</v>
      </c>
      <c r="E75" s="502">
        <f t="shared" si="5"/>
        <v>130000</v>
      </c>
      <c r="F75" s="502">
        <f t="shared" si="6"/>
        <v>110</v>
      </c>
      <c r="G75" s="502">
        <f t="shared" si="8"/>
        <v>1316.1897329871667</v>
      </c>
      <c r="H75" s="502" t="s">
        <v>450</v>
      </c>
      <c r="I75" s="503">
        <f t="shared" si="9"/>
        <v>18.802710471245238</v>
      </c>
      <c r="J75" s="504" t="s">
        <v>451</v>
      </c>
      <c r="K75" s="627"/>
    </row>
    <row r="76" spans="1:12" s="359" customFormat="1" ht="18.75" customHeight="1" x14ac:dyDescent="0.25">
      <c r="A76" s="500" t="s">
        <v>254</v>
      </c>
      <c r="B76" s="501">
        <v>57.1</v>
      </c>
      <c r="C76" s="502">
        <f t="shared" si="7"/>
        <v>171731.41520560064</v>
      </c>
      <c r="D76" s="502">
        <f t="shared" si="4"/>
        <v>103038.84912336039</v>
      </c>
      <c r="E76" s="502">
        <f t="shared" si="5"/>
        <v>130000</v>
      </c>
      <c r="F76" s="502">
        <f t="shared" si="6"/>
        <v>110</v>
      </c>
      <c r="G76" s="502">
        <f t="shared" si="8"/>
        <v>1316.1897329871667</v>
      </c>
      <c r="H76" s="502" t="s">
        <v>450</v>
      </c>
      <c r="I76" s="503">
        <f t="shared" si="9"/>
        <v>18.802710471245238</v>
      </c>
      <c r="J76" s="504" t="s">
        <v>451</v>
      </c>
      <c r="K76" s="627"/>
    </row>
    <row r="77" spans="1:12" s="359" customFormat="1" ht="18.75" customHeight="1" x14ac:dyDescent="0.25">
      <c r="A77" s="500" t="s">
        <v>255</v>
      </c>
      <c r="B77" s="501">
        <v>50.5</v>
      </c>
      <c r="C77" s="502">
        <f t="shared" si="7"/>
        <v>186281.18850928437</v>
      </c>
      <c r="D77" s="502">
        <f t="shared" si="4"/>
        <v>111768.71310557063</v>
      </c>
      <c r="E77" s="502">
        <f t="shared" si="5"/>
        <v>145000</v>
      </c>
      <c r="F77" s="502">
        <f t="shared" si="6"/>
        <v>110</v>
      </c>
      <c r="G77" s="502">
        <f t="shared" si="8"/>
        <v>1334.9397329871667</v>
      </c>
      <c r="H77" s="502" t="s">
        <v>450</v>
      </c>
      <c r="I77" s="503">
        <f t="shared" si="9"/>
        <v>19.070567614102384</v>
      </c>
      <c r="J77" s="504" t="s">
        <v>451</v>
      </c>
      <c r="K77" s="627"/>
    </row>
    <row r="78" spans="1:12" s="359" customFormat="1" ht="18.75" customHeight="1" x14ac:dyDescent="0.25">
      <c r="A78" s="500" t="s">
        <v>256</v>
      </c>
      <c r="B78" s="501">
        <v>51.4</v>
      </c>
      <c r="C78" s="502">
        <f t="shared" si="7"/>
        <v>184297.12851332751</v>
      </c>
      <c r="D78" s="502">
        <f t="shared" si="4"/>
        <v>110578.2771079965</v>
      </c>
      <c r="E78" s="502">
        <f t="shared" si="5"/>
        <v>145000</v>
      </c>
      <c r="F78" s="502">
        <f t="shared" si="6"/>
        <v>110</v>
      </c>
      <c r="G78" s="502">
        <f t="shared" si="8"/>
        <v>1334.9397329871667</v>
      </c>
      <c r="H78" s="502" t="s">
        <v>450</v>
      </c>
      <c r="I78" s="503">
        <f t="shared" si="9"/>
        <v>19.070567614102384</v>
      </c>
      <c r="J78" s="504" t="s">
        <v>451</v>
      </c>
      <c r="K78" s="627"/>
    </row>
    <row r="79" spans="1:12" s="359" customFormat="1" ht="18.75" customHeight="1" x14ac:dyDescent="0.25">
      <c r="A79" s="500" t="s">
        <v>257</v>
      </c>
      <c r="B79" s="501">
        <v>51.7</v>
      </c>
      <c r="C79" s="502">
        <f t="shared" si="7"/>
        <v>183635.77518134189</v>
      </c>
      <c r="D79" s="502">
        <f t="shared" si="4"/>
        <v>110181.46510880513</v>
      </c>
      <c r="E79" s="502">
        <f t="shared" si="5"/>
        <v>145000</v>
      </c>
      <c r="F79" s="502">
        <f t="shared" si="6"/>
        <v>110</v>
      </c>
      <c r="G79" s="502">
        <f t="shared" si="8"/>
        <v>1334.9397329871667</v>
      </c>
      <c r="H79" s="502" t="s">
        <v>450</v>
      </c>
      <c r="I79" s="503">
        <f t="shared" si="9"/>
        <v>19.070567614102384</v>
      </c>
      <c r="J79" s="504" t="s">
        <v>451</v>
      </c>
      <c r="K79" s="627"/>
    </row>
    <row r="80" spans="1:12" s="359" customFormat="1" ht="18.75" customHeight="1" x14ac:dyDescent="0.25">
      <c r="A80" s="500" t="s">
        <v>258</v>
      </c>
      <c r="B80" s="501">
        <v>50.1</v>
      </c>
      <c r="C80" s="502">
        <f t="shared" si="7"/>
        <v>187162.9929519319</v>
      </c>
      <c r="D80" s="502">
        <f t="shared" si="4"/>
        <v>112297.79577115913</v>
      </c>
      <c r="E80" s="502">
        <f t="shared" si="5"/>
        <v>145000</v>
      </c>
      <c r="F80" s="502">
        <f t="shared" si="6"/>
        <v>110</v>
      </c>
      <c r="G80" s="502">
        <f t="shared" si="8"/>
        <v>1334.9397329871667</v>
      </c>
      <c r="H80" s="502" t="s">
        <v>450</v>
      </c>
      <c r="I80" s="503">
        <f t="shared" si="9"/>
        <v>19.070567614102384</v>
      </c>
      <c r="J80" s="504" t="s">
        <v>451</v>
      </c>
      <c r="K80" s="627"/>
    </row>
    <row r="81" spans="1:11" s="359" customFormat="1" ht="18.75" customHeight="1" x14ac:dyDescent="0.25">
      <c r="A81" s="500" t="s">
        <v>259</v>
      </c>
      <c r="B81" s="501">
        <v>63.2</v>
      </c>
      <c r="C81" s="502">
        <f t="shared" si="7"/>
        <v>158283.89745522625</v>
      </c>
      <c r="D81" s="502">
        <f t="shared" si="4"/>
        <v>94970.338473135751</v>
      </c>
      <c r="E81" s="502">
        <f t="shared" si="5"/>
        <v>120000</v>
      </c>
      <c r="F81" s="502">
        <f t="shared" si="6"/>
        <v>110</v>
      </c>
      <c r="G81" s="502">
        <f t="shared" si="8"/>
        <v>1303.6897329871667</v>
      </c>
      <c r="H81" s="502" t="s">
        <v>450</v>
      </c>
      <c r="I81" s="503">
        <f t="shared" si="9"/>
        <v>18.624139042673811</v>
      </c>
      <c r="J81" s="504" t="s">
        <v>451</v>
      </c>
      <c r="K81" s="627"/>
    </row>
    <row r="82" spans="1:11" s="359" customFormat="1" ht="18.75" customHeight="1" x14ac:dyDescent="0.25">
      <c r="A82" s="500" t="s">
        <v>260</v>
      </c>
      <c r="B82" s="501">
        <v>41.4</v>
      </c>
      <c r="C82" s="502">
        <f t="shared" si="7"/>
        <v>206342.23957951498</v>
      </c>
      <c r="D82" s="502">
        <f t="shared" si="4"/>
        <v>123805.34374770898</v>
      </c>
      <c r="E82" s="502">
        <f t="shared" si="5"/>
        <v>156000</v>
      </c>
      <c r="F82" s="502">
        <f t="shared" si="6"/>
        <v>110</v>
      </c>
      <c r="G82" s="502">
        <f t="shared" si="8"/>
        <v>1348.6897329871667</v>
      </c>
      <c r="H82" s="502" t="s">
        <v>450</v>
      </c>
      <c r="I82" s="503">
        <f t="shared" si="9"/>
        <v>19.266996185530953</v>
      </c>
      <c r="J82" s="504" t="s">
        <v>451</v>
      </c>
      <c r="K82" s="628"/>
    </row>
    <row r="83" spans="1:11" s="359" customFormat="1" ht="14.4" x14ac:dyDescent="0.3">
      <c r="C83" s="363"/>
      <c r="D83" s="363"/>
      <c r="F83" s="363"/>
      <c r="G83" s="363"/>
    </row>
    <row r="84" spans="1:11" s="359" customFormat="1" ht="14.4" x14ac:dyDescent="0.3">
      <c r="C84" s="363"/>
      <c r="D84" s="363"/>
      <c r="F84" s="363"/>
      <c r="G84" s="363"/>
    </row>
    <row r="85" spans="1:11" s="359" customFormat="1" ht="14.4" x14ac:dyDescent="0.3">
      <c r="C85" s="363"/>
      <c r="D85" s="363"/>
      <c r="F85" s="363"/>
      <c r="G85" s="363"/>
    </row>
    <row r="86" spans="1:11" s="359" customFormat="1" ht="24.75" customHeight="1" x14ac:dyDescent="0.25">
      <c r="A86" s="619" t="s">
        <v>461</v>
      </c>
      <c r="B86" s="620"/>
      <c r="C86" s="591"/>
      <c r="D86" s="591"/>
      <c r="E86" s="591"/>
      <c r="F86" s="591"/>
      <c r="G86" s="591"/>
      <c r="H86" s="591"/>
    </row>
    <row r="87" spans="1:11" s="365" customFormat="1" ht="31.5" customHeight="1" x14ac:dyDescent="0.25">
      <c r="A87" s="505" t="s">
        <v>462</v>
      </c>
      <c r="B87" s="506" t="s">
        <v>463</v>
      </c>
      <c r="C87" s="507" t="s">
        <v>464</v>
      </c>
      <c r="D87" s="508" t="s">
        <v>465</v>
      </c>
      <c r="E87" s="509" t="s">
        <v>466</v>
      </c>
      <c r="F87" s="508" t="s">
        <v>467</v>
      </c>
      <c r="G87" s="510" t="s">
        <v>468</v>
      </c>
      <c r="H87" s="511" t="s">
        <v>469</v>
      </c>
      <c r="I87" s="364" t="str">
        <f>HYPERLINK("#'Note'!A1","Sources and links → Note tab")</f>
        <v>Sources and links → Note tab</v>
      </c>
    </row>
    <row r="88" spans="1:11" s="359" customFormat="1" ht="13.8" x14ac:dyDescent="0.25">
      <c r="A88" s="512">
        <v>60000</v>
      </c>
      <c r="B88" s="513" t="s">
        <v>470</v>
      </c>
      <c r="C88" s="514">
        <v>1.5</v>
      </c>
      <c r="D88" s="515">
        <v>5118</v>
      </c>
      <c r="E88" s="516">
        <v>34</v>
      </c>
      <c r="F88" s="516" t="s">
        <v>471</v>
      </c>
      <c r="G88" s="516">
        <v>6</v>
      </c>
      <c r="H88" s="517" t="s">
        <v>470</v>
      </c>
    </row>
    <row r="89" spans="1:11" s="359" customFormat="1" ht="13.8" x14ac:dyDescent="0.25">
      <c r="A89" s="518">
        <v>75100</v>
      </c>
      <c r="B89" s="519" t="s">
        <v>470</v>
      </c>
      <c r="C89" s="520">
        <v>2</v>
      </c>
      <c r="D89" s="521">
        <v>6824</v>
      </c>
      <c r="E89" s="522">
        <v>35</v>
      </c>
      <c r="F89" s="522" t="s">
        <v>470</v>
      </c>
      <c r="G89" s="522">
        <v>10</v>
      </c>
      <c r="H89" s="523" t="s">
        <v>470</v>
      </c>
    </row>
    <row r="90" spans="1:11" s="359" customFormat="1" ht="13.8" x14ac:dyDescent="0.25">
      <c r="A90" s="518">
        <v>76000</v>
      </c>
      <c r="B90" s="524" t="s">
        <v>472</v>
      </c>
      <c r="C90" s="520">
        <v>3</v>
      </c>
      <c r="D90" s="521">
        <v>10236</v>
      </c>
      <c r="E90" s="522">
        <v>48</v>
      </c>
      <c r="F90" s="522" t="s">
        <v>470</v>
      </c>
      <c r="G90" s="522">
        <v>15</v>
      </c>
      <c r="H90" s="523" t="s">
        <v>470</v>
      </c>
    </row>
    <row r="91" spans="1:11" s="359" customFormat="1" ht="13.8" x14ac:dyDescent="0.25">
      <c r="A91" s="518">
        <v>80000</v>
      </c>
      <c r="B91" s="524" t="s">
        <v>470</v>
      </c>
      <c r="C91" s="520">
        <v>4.5</v>
      </c>
      <c r="D91" s="521">
        <v>15355</v>
      </c>
      <c r="E91" s="522">
        <v>50</v>
      </c>
      <c r="F91" s="522" t="s">
        <v>472</v>
      </c>
      <c r="G91" s="522">
        <v>20</v>
      </c>
      <c r="H91" s="523" t="s">
        <v>470</v>
      </c>
    </row>
    <row r="92" spans="1:11" s="359" customFormat="1" ht="13.8" x14ac:dyDescent="0.25">
      <c r="A92" s="518">
        <v>99900</v>
      </c>
      <c r="B92" s="524" t="s">
        <v>471</v>
      </c>
      <c r="C92" s="520">
        <v>6</v>
      </c>
      <c r="D92" s="521">
        <v>20473</v>
      </c>
      <c r="E92" s="522">
        <v>55</v>
      </c>
      <c r="F92" s="522" t="s">
        <v>471</v>
      </c>
      <c r="G92" s="522">
        <v>28</v>
      </c>
      <c r="H92" s="523" t="s">
        <v>470</v>
      </c>
    </row>
    <row r="93" spans="1:11" s="359" customFormat="1" ht="13.8" x14ac:dyDescent="0.25">
      <c r="A93" s="518">
        <v>100000</v>
      </c>
      <c r="B93" s="524" t="s">
        <v>472</v>
      </c>
      <c r="C93" s="520">
        <v>8</v>
      </c>
      <c r="D93" s="521">
        <v>27297</v>
      </c>
      <c r="E93" s="522">
        <v>60</v>
      </c>
      <c r="F93" s="522" t="s">
        <v>471</v>
      </c>
      <c r="G93" s="522">
        <v>30</v>
      </c>
      <c r="H93" s="523" t="s">
        <v>470</v>
      </c>
    </row>
    <row r="94" spans="1:11" s="359" customFormat="1" ht="13.8" x14ac:dyDescent="0.25">
      <c r="A94" s="518">
        <v>120000</v>
      </c>
      <c r="B94" s="524" t="s">
        <v>471</v>
      </c>
      <c r="C94" s="520">
        <v>9</v>
      </c>
      <c r="D94" s="522">
        <v>30709</v>
      </c>
      <c r="E94" s="522">
        <v>65</v>
      </c>
      <c r="F94" s="522" t="s">
        <v>472</v>
      </c>
      <c r="G94" s="522">
        <v>36</v>
      </c>
      <c r="H94" s="523" t="s">
        <v>470</v>
      </c>
    </row>
    <row r="95" spans="1:11" s="359" customFormat="1" ht="13.8" x14ac:dyDescent="0.25">
      <c r="A95" s="518">
        <v>125000</v>
      </c>
      <c r="B95" s="524" t="s">
        <v>472</v>
      </c>
      <c r="C95" s="520">
        <v>10</v>
      </c>
      <c r="D95" s="522">
        <v>34121</v>
      </c>
      <c r="E95" s="522">
        <v>72</v>
      </c>
      <c r="F95" s="522" t="s">
        <v>470</v>
      </c>
      <c r="G95" s="522">
        <v>40</v>
      </c>
      <c r="H95" s="523" t="s">
        <v>470</v>
      </c>
    </row>
    <row r="96" spans="1:11" s="359" customFormat="1" ht="13.8" x14ac:dyDescent="0.25">
      <c r="A96" s="518">
        <v>130000</v>
      </c>
      <c r="B96" s="524" t="s">
        <v>472</v>
      </c>
      <c r="C96" s="520">
        <v>12</v>
      </c>
      <c r="D96" s="522">
        <v>40946</v>
      </c>
      <c r="E96" s="522">
        <v>75</v>
      </c>
      <c r="F96" s="522" t="s">
        <v>472</v>
      </c>
      <c r="G96" s="522">
        <v>47</v>
      </c>
      <c r="H96" s="523"/>
    </row>
    <row r="97" spans="1:8" s="359" customFormat="1" ht="13.8" x14ac:dyDescent="0.25">
      <c r="A97" s="518">
        <v>145000</v>
      </c>
      <c r="B97" s="524" t="s">
        <v>471</v>
      </c>
      <c r="C97" s="520">
        <v>12.1</v>
      </c>
      <c r="D97" s="522">
        <v>41287</v>
      </c>
      <c r="E97" s="522">
        <v>76</v>
      </c>
      <c r="F97" s="522" t="s">
        <v>470</v>
      </c>
      <c r="G97" s="522">
        <v>50</v>
      </c>
      <c r="H97" s="523"/>
    </row>
    <row r="98" spans="1:8" s="359" customFormat="1" ht="13.8" x14ac:dyDescent="0.25">
      <c r="A98" s="518">
        <v>150000</v>
      </c>
      <c r="B98" s="524" t="s">
        <v>471</v>
      </c>
      <c r="C98" s="520">
        <v>18</v>
      </c>
      <c r="D98" s="522">
        <v>61419</v>
      </c>
      <c r="E98" s="522">
        <v>80</v>
      </c>
      <c r="F98" s="522" t="s">
        <v>472</v>
      </c>
      <c r="G98" s="522">
        <v>65</v>
      </c>
      <c r="H98" s="523"/>
    </row>
    <row r="99" spans="1:8" s="359" customFormat="1" x14ac:dyDescent="0.25">
      <c r="A99" s="518">
        <v>156000</v>
      </c>
      <c r="B99" s="525" t="s">
        <v>470</v>
      </c>
      <c r="C99" s="520">
        <v>24</v>
      </c>
      <c r="D99" s="522">
        <v>81891</v>
      </c>
      <c r="E99" s="522">
        <v>82</v>
      </c>
      <c r="F99" s="522" t="s">
        <v>470</v>
      </c>
      <c r="G99" s="522">
        <v>80</v>
      </c>
      <c r="H99" s="523"/>
    </row>
    <row r="100" spans="1:8" s="359" customFormat="1" x14ac:dyDescent="0.25">
      <c r="A100" s="518">
        <v>160000</v>
      </c>
      <c r="B100" s="525" t="s">
        <v>472</v>
      </c>
      <c r="C100" s="520">
        <v>27</v>
      </c>
      <c r="D100" s="522">
        <v>92128</v>
      </c>
      <c r="E100" s="522">
        <v>85</v>
      </c>
      <c r="F100" s="522" t="s">
        <v>470</v>
      </c>
      <c r="G100" s="522">
        <v>85</v>
      </c>
      <c r="H100" s="523"/>
    </row>
    <row r="101" spans="1:8" s="359" customFormat="1" x14ac:dyDescent="0.25">
      <c r="A101" s="518">
        <v>175000</v>
      </c>
      <c r="B101" s="525" t="s">
        <v>471</v>
      </c>
      <c r="C101" s="520">
        <v>36</v>
      </c>
      <c r="D101" s="522">
        <v>122837</v>
      </c>
      <c r="E101" s="522">
        <v>90</v>
      </c>
      <c r="F101" s="522" t="s">
        <v>472</v>
      </c>
      <c r="G101" s="522">
        <v>105</v>
      </c>
      <c r="H101" s="523"/>
    </row>
    <row r="102" spans="1:8" s="359" customFormat="1" x14ac:dyDescent="0.25">
      <c r="A102" s="518">
        <v>180000</v>
      </c>
      <c r="B102" s="525" t="s">
        <v>470</v>
      </c>
      <c r="C102" s="520">
        <v>54</v>
      </c>
      <c r="D102" s="522">
        <v>184256</v>
      </c>
      <c r="E102" s="522">
        <v>91</v>
      </c>
      <c r="F102" s="522" t="s">
        <v>470</v>
      </c>
      <c r="G102" s="522">
        <v>120</v>
      </c>
      <c r="H102" s="523"/>
    </row>
    <row r="103" spans="1:8" s="359" customFormat="1" x14ac:dyDescent="0.25">
      <c r="A103" s="518">
        <v>199000</v>
      </c>
      <c r="B103" s="525" t="s">
        <v>471</v>
      </c>
      <c r="C103" s="520"/>
      <c r="D103" s="522"/>
      <c r="E103" s="522">
        <v>100</v>
      </c>
      <c r="F103" s="522" t="s">
        <v>472</v>
      </c>
      <c r="G103" s="522"/>
      <c r="H103" s="523"/>
    </row>
    <row r="104" spans="1:8" s="359" customFormat="1" x14ac:dyDescent="0.25">
      <c r="A104" s="518">
        <v>199900</v>
      </c>
      <c r="B104" s="525" t="s">
        <v>472</v>
      </c>
      <c r="C104" s="520"/>
      <c r="D104" s="522"/>
      <c r="E104" s="522">
        <v>110</v>
      </c>
      <c r="F104" s="522" t="s">
        <v>471</v>
      </c>
      <c r="G104" s="522"/>
      <c r="H104" s="523"/>
    </row>
    <row r="105" spans="1:8" s="359" customFormat="1" x14ac:dyDescent="0.25">
      <c r="A105" s="518">
        <v>200000</v>
      </c>
      <c r="B105" s="525" t="s">
        <v>471</v>
      </c>
      <c r="C105" s="520"/>
      <c r="D105" s="522"/>
      <c r="E105" s="522">
        <v>119</v>
      </c>
      <c r="F105" s="522" t="s">
        <v>472</v>
      </c>
      <c r="G105" s="522"/>
      <c r="H105" s="523"/>
    </row>
    <row r="106" spans="1:8" s="359" customFormat="1" x14ac:dyDescent="0.25">
      <c r="A106" s="518">
        <v>250000</v>
      </c>
      <c r="B106" s="525" t="s">
        <v>472</v>
      </c>
      <c r="C106" s="526"/>
      <c r="D106" s="527"/>
      <c r="E106" s="527">
        <v>125</v>
      </c>
      <c r="F106" s="527" t="s">
        <v>471</v>
      </c>
      <c r="G106" s="527"/>
      <c r="H106" s="528"/>
    </row>
    <row r="107" spans="1:8" s="359" customFormat="1" ht="14.4" x14ac:dyDescent="0.25">
      <c r="A107" s="518">
        <v>251000</v>
      </c>
      <c r="B107" s="529" t="s">
        <v>471</v>
      </c>
      <c r="C107" s="367"/>
      <c r="D107" s="367"/>
      <c r="E107" s="368"/>
      <c r="F107" s="367"/>
      <c r="G107" s="367"/>
    </row>
    <row r="108" spans="1:8" s="359" customFormat="1" ht="14.4" x14ac:dyDescent="0.25">
      <c r="A108" s="518">
        <v>270000</v>
      </c>
      <c r="B108" s="529" t="s">
        <v>470</v>
      </c>
      <c r="C108" s="367"/>
      <c r="D108" s="367"/>
      <c r="E108" s="368"/>
      <c r="F108" s="367"/>
      <c r="G108" s="367"/>
    </row>
    <row r="109" spans="1:8" s="359" customFormat="1" ht="14.4" x14ac:dyDescent="0.25">
      <c r="A109" s="518">
        <v>285000</v>
      </c>
      <c r="B109" s="529" t="s">
        <v>471</v>
      </c>
      <c r="C109" s="367"/>
      <c r="D109" s="367"/>
      <c r="E109" s="368"/>
      <c r="F109" s="367"/>
      <c r="G109" s="367"/>
    </row>
    <row r="110" spans="1:8" s="359" customFormat="1" ht="14.4" x14ac:dyDescent="0.25">
      <c r="A110" s="518">
        <v>300000</v>
      </c>
      <c r="B110" s="529" t="s">
        <v>472</v>
      </c>
      <c r="C110" s="367"/>
      <c r="D110" s="367"/>
      <c r="E110" s="368"/>
      <c r="F110" s="367"/>
      <c r="G110" s="367"/>
    </row>
    <row r="111" spans="1:8" s="359" customFormat="1" ht="14.4" x14ac:dyDescent="0.25">
      <c r="A111" s="518">
        <v>320000</v>
      </c>
      <c r="B111" s="529" t="s">
        <v>471</v>
      </c>
      <c r="C111" s="367"/>
      <c r="D111" s="367"/>
      <c r="E111" s="368"/>
      <c r="F111" s="367"/>
      <c r="G111" s="367"/>
    </row>
    <row r="112" spans="1:8" s="359" customFormat="1" ht="14.4" x14ac:dyDescent="0.25">
      <c r="A112" s="518">
        <v>360000</v>
      </c>
      <c r="B112" s="529" t="s">
        <v>470</v>
      </c>
      <c r="C112" s="367"/>
      <c r="D112" s="367"/>
      <c r="E112" s="368"/>
      <c r="F112" s="367"/>
      <c r="G112" s="367"/>
    </row>
    <row r="113" spans="1:38" s="359" customFormat="1" ht="14.4" x14ac:dyDescent="0.25">
      <c r="A113" s="518">
        <v>398000</v>
      </c>
      <c r="B113" s="529" t="s">
        <v>471</v>
      </c>
      <c r="C113" s="367"/>
      <c r="D113" s="367"/>
      <c r="E113" s="368"/>
      <c r="F113" s="367"/>
      <c r="G113" s="367"/>
    </row>
    <row r="114" spans="1:38" s="359" customFormat="1" ht="14.4" x14ac:dyDescent="0.25">
      <c r="A114" s="518">
        <v>399000</v>
      </c>
      <c r="B114" s="529" t="s">
        <v>471</v>
      </c>
      <c r="C114" s="367"/>
      <c r="D114" s="367"/>
      <c r="E114" s="368"/>
      <c r="F114" s="367"/>
      <c r="G114" s="367"/>
    </row>
    <row r="115" spans="1:38" s="359" customFormat="1" ht="14.4" x14ac:dyDescent="0.25">
      <c r="A115" s="518">
        <v>399900</v>
      </c>
      <c r="B115" s="529" t="s">
        <v>472</v>
      </c>
      <c r="C115" s="367"/>
      <c r="D115" s="367"/>
      <c r="E115" s="368"/>
      <c r="F115" s="367"/>
      <c r="G115" s="367"/>
    </row>
    <row r="116" spans="1:38" s="359" customFormat="1" ht="14.4" x14ac:dyDescent="0.25">
      <c r="A116" s="518">
        <v>499900</v>
      </c>
      <c r="B116" s="529" t="s">
        <v>470</v>
      </c>
      <c r="C116" s="367"/>
      <c r="D116" s="367"/>
      <c r="E116" s="368"/>
      <c r="F116" s="367"/>
      <c r="G116" s="367"/>
    </row>
    <row r="117" spans="1:38" s="359" customFormat="1" ht="14.4" x14ac:dyDescent="0.25">
      <c r="A117" s="518">
        <v>550000</v>
      </c>
      <c r="B117" s="529" t="s">
        <v>470</v>
      </c>
      <c r="C117" s="367"/>
      <c r="D117" s="367"/>
      <c r="E117" s="368"/>
      <c r="F117" s="367"/>
      <c r="G117" s="367"/>
    </row>
    <row r="118" spans="1:38" s="359" customFormat="1" ht="14.4" x14ac:dyDescent="0.25">
      <c r="A118" s="518">
        <v>715000</v>
      </c>
      <c r="B118" s="529" t="s">
        <v>470</v>
      </c>
      <c r="C118" s="367"/>
      <c r="D118" s="367"/>
      <c r="E118" s="368"/>
      <c r="F118" s="367"/>
      <c r="G118" s="367"/>
    </row>
    <row r="119" spans="1:38" s="359" customFormat="1" ht="14.4" x14ac:dyDescent="0.25">
      <c r="A119" s="409"/>
      <c r="B119" s="366"/>
      <c r="C119" s="367"/>
      <c r="D119" s="367"/>
      <c r="E119" s="368"/>
      <c r="F119" s="367"/>
      <c r="G119" s="367"/>
    </row>
    <row r="120" spans="1:38" s="359" customFormat="1" ht="14.4" x14ac:dyDescent="0.25">
      <c r="A120" s="409"/>
      <c r="B120" s="366"/>
      <c r="C120" s="367"/>
      <c r="D120" s="367"/>
      <c r="E120" s="368"/>
      <c r="F120" s="367"/>
      <c r="G120" s="367"/>
    </row>
    <row r="121" spans="1:38" s="359" customFormat="1" ht="14.4" x14ac:dyDescent="0.25">
      <c r="A121" s="409"/>
      <c r="B121" s="366"/>
      <c r="C121" s="367"/>
      <c r="D121" s="367"/>
      <c r="E121" s="368"/>
      <c r="F121" s="367"/>
      <c r="G121" s="367"/>
    </row>
    <row r="122" spans="1:38" s="359" customFormat="1" ht="14.4" x14ac:dyDescent="0.25">
      <c r="A122" s="409"/>
      <c r="B122" s="366"/>
      <c r="C122" s="367"/>
      <c r="D122" s="367"/>
      <c r="E122" s="368"/>
      <c r="F122" s="367"/>
      <c r="G122" s="367"/>
    </row>
    <row r="123" spans="1:38" s="359" customFormat="1" ht="14.4" x14ac:dyDescent="0.25">
      <c r="A123" s="409"/>
      <c r="B123" s="366"/>
      <c r="C123" s="367"/>
      <c r="D123" s="367"/>
      <c r="E123" s="368"/>
      <c r="F123" s="367"/>
      <c r="G123" s="367"/>
    </row>
    <row r="124" spans="1:38" s="359" customFormat="1" ht="14.4" x14ac:dyDescent="0.25">
      <c r="A124" s="410"/>
      <c r="B124" s="369"/>
      <c r="C124" s="367"/>
      <c r="D124" s="367"/>
      <c r="E124" s="368"/>
      <c r="F124" s="367"/>
      <c r="G124" s="367"/>
    </row>
    <row r="125" spans="1:38" customFormat="1" ht="14.4" x14ac:dyDescent="0.3">
      <c r="U125" s="359"/>
      <c r="V125" s="359"/>
      <c r="W125" s="359"/>
      <c r="X125" s="359"/>
      <c r="Y125" s="359"/>
      <c r="Z125" s="359"/>
      <c r="AA125" s="359"/>
      <c r="AB125" s="359"/>
      <c r="AC125" s="359"/>
      <c r="AD125" s="359"/>
      <c r="AE125" s="359"/>
      <c r="AF125" s="359"/>
      <c r="AG125" s="359"/>
      <c r="AH125" s="359"/>
      <c r="AI125" s="359"/>
      <c r="AJ125" s="359"/>
      <c r="AK125" s="359"/>
      <c r="AL125" s="359"/>
    </row>
    <row r="126" spans="1:38" customFormat="1" ht="14.4" x14ac:dyDescent="0.3">
      <c r="U126" s="359"/>
      <c r="V126" s="359"/>
      <c r="W126" s="359"/>
      <c r="X126" s="359"/>
      <c r="Y126" s="359"/>
      <c r="Z126" s="359"/>
      <c r="AA126" s="359"/>
      <c r="AB126" s="359"/>
      <c r="AC126" s="359"/>
      <c r="AD126" s="359"/>
      <c r="AE126" s="359"/>
      <c r="AF126" s="359"/>
      <c r="AG126" s="359"/>
      <c r="AH126" s="359"/>
      <c r="AI126" s="359"/>
      <c r="AJ126" s="359"/>
      <c r="AK126" s="359"/>
      <c r="AL126" s="359"/>
    </row>
    <row r="127" spans="1:38" customFormat="1" ht="14.4" x14ac:dyDescent="0.3">
      <c r="A127" s="5"/>
      <c r="B127" s="5"/>
      <c r="U127" s="359"/>
      <c r="V127" s="359"/>
      <c r="W127" s="359"/>
      <c r="X127" s="359"/>
      <c r="Y127" s="359"/>
      <c r="Z127" s="359"/>
      <c r="AA127" s="359"/>
      <c r="AB127" s="359"/>
      <c r="AC127" s="359"/>
      <c r="AD127" s="359"/>
      <c r="AE127" s="359"/>
      <c r="AF127" s="359"/>
      <c r="AG127" s="359"/>
      <c r="AH127" s="359"/>
      <c r="AI127" s="359"/>
      <c r="AJ127" s="359"/>
      <c r="AK127" s="359"/>
      <c r="AL127" s="359"/>
    </row>
  </sheetData>
  <mergeCells count="11">
    <mergeCell ref="A86:H86"/>
    <mergeCell ref="A1:G1"/>
    <mergeCell ref="A65:K65"/>
    <mergeCell ref="G66:H66"/>
    <mergeCell ref="I66:J66"/>
    <mergeCell ref="K67:K82"/>
    <mergeCell ref="A6:H6"/>
    <mergeCell ref="H8:H55"/>
    <mergeCell ref="B56:E56"/>
    <mergeCell ref="H56:H57"/>
    <mergeCell ref="B57:E5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79"/>
  <sheetViews>
    <sheetView zoomScaleNormal="100" workbookViewId="0">
      <selection activeCell="A5" sqref="A5"/>
    </sheetView>
  </sheetViews>
  <sheetFormatPr defaultColWidth="8.6640625" defaultRowHeight="13.2" x14ac:dyDescent="0.25"/>
  <cols>
    <col min="1" max="1" width="48.5546875" style="5" bestFit="1" customWidth="1"/>
    <col min="2" max="2" width="20.33203125" style="5" customWidth="1"/>
    <col min="3" max="3" width="23.33203125" style="5" customWidth="1"/>
    <col min="4" max="4" width="24.33203125" style="5" customWidth="1"/>
    <col min="5" max="5" width="21" style="5" customWidth="1"/>
    <col min="6" max="6" width="24.33203125" style="5" customWidth="1"/>
    <col min="7" max="7" width="24.6640625" style="5" customWidth="1"/>
    <col min="8" max="8" width="40.88671875" style="5" customWidth="1"/>
    <col min="9" max="9" width="9.6640625" style="5" customWidth="1"/>
    <col min="10" max="10" width="9.44140625" style="5" customWidth="1"/>
    <col min="11" max="11" width="12.6640625" style="5" customWidth="1"/>
    <col min="12" max="12" width="14.6640625" style="5" customWidth="1"/>
    <col min="13" max="13" width="20.6640625" style="5" customWidth="1"/>
    <col min="14" max="14" width="19.6640625" style="5" customWidth="1"/>
    <col min="15" max="20" width="8.6640625" style="5"/>
    <col min="21" max="21" width="13.6640625" style="5" bestFit="1" customWidth="1"/>
    <col min="22" max="16384" width="8.6640625" style="5"/>
  </cols>
  <sheetData>
    <row r="1" spans="1:8" ht="25.95" customHeight="1" x14ac:dyDescent="0.25">
      <c r="A1" s="642" t="s">
        <v>473</v>
      </c>
      <c r="B1" s="614"/>
      <c r="C1" s="614"/>
      <c r="D1" s="614"/>
      <c r="E1" s="614"/>
      <c r="F1" s="614"/>
      <c r="G1" s="614"/>
      <c r="H1" s="614"/>
    </row>
    <row r="2" spans="1:8" ht="25.95" customHeight="1" x14ac:dyDescent="0.25">
      <c r="A2" s="652" t="s">
        <v>474</v>
      </c>
      <c r="B2" s="653" t="s">
        <v>475</v>
      </c>
      <c r="C2" s="653"/>
      <c r="D2" s="653"/>
      <c r="E2" s="653" t="s">
        <v>274</v>
      </c>
      <c r="F2" s="653"/>
      <c r="G2" s="653"/>
      <c r="H2" s="647" t="s">
        <v>311</v>
      </c>
    </row>
    <row r="3" spans="1:8" ht="31.2" customHeight="1" x14ac:dyDescent="0.25">
      <c r="A3" s="652"/>
      <c r="B3" s="429" t="s">
        <v>476</v>
      </c>
      <c r="C3" s="429" t="s">
        <v>477</v>
      </c>
      <c r="D3" s="429" t="s">
        <v>230</v>
      </c>
      <c r="E3" s="429" t="s">
        <v>478</v>
      </c>
      <c r="F3" s="429" t="s">
        <v>477</v>
      </c>
      <c r="G3" s="429" t="s">
        <v>230</v>
      </c>
      <c r="H3" s="648"/>
    </row>
    <row r="4" spans="1:8" ht="20.7" customHeight="1" x14ac:dyDescent="0.25">
      <c r="A4" s="199" t="s">
        <v>118</v>
      </c>
      <c r="B4" s="412">
        <v>0.4</v>
      </c>
      <c r="C4" s="187"/>
      <c r="D4" s="649" t="s">
        <v>479</v>
      </c>
      <c r="E4" s="487">
        <v>0.6</v>
      </c>
      <c r="F4" s="187"/>
      <c r="G4" s="643" t="s">
        <v>480</v>
      </c>
      <c r="H4" s="341"/>
    </row>
    <row r="5" spans="1:8" ht="19.95" customHeight="1" x14ac:dyDescent="0.25">
      <c r="A5" s="233" t="s">
        <v>130</v>
      </c>
      <c r="B5" s="412">
        <v>0.55000000000000004</v>
      </c>
      <c r="C5" s="547">
        <f>0.25*0.5</f>
        <v>0.125</v>
      </c>
      <c r="D5" s="650"/>
      <c r="E5" s="487">
        <v>0.85</v>
      </c>
      <c r="F5" s="547">
        <v>0.25</v>
      </c>
      <c r="G5" s="644"/>
      <c r="H5" s="341"/>
    </row>
    <row r="6" spans="1:8" ht="19.95" customHeight="1" x14ac:dyDescent="0.25">
      <c r="A6" s="182" t="s">
        <v>127</v>
      </c>
      <c r="B6" s="412">
        <v>0.5</v>
      </c>
      <c r="C6" s="547"/>
      <c r="D6" s="650"/>
      <c r="E6" s="530">
        <v>0.5</v>
      </c>
      <c r="F6" s="187"/>
      <c r="G6" s="644"/>
      <c r="H6" s="341"/>
    </row>
    <row r="7" spans="1:8" ht="19.2" customHeight="1" x14ac:dyDescent="0.25">
      <c r="A7" s="199" t="s">
        <v>133</v>
      </c>
      <c r="B7" s="412">
        <v>0.6</v>
      </c>
      <c r="C7" s="390">
        <v>0.1</v>
      </c>
      <c r="D7" s="650"/>
      <c r="E7" s="412">
        <v>0.7</v>
      </c>
      <c r="F7" s="187"/>
      <c r="G7" s="644"/>
      <c r="H7" s="341"/>
    </row>
    <row r="8" spans="1:8" ht="19.95" customHeight="1" x14ac:dyDescent="0.25">
      <c r="A8" s="199" t="s">
        <v>136</v>
      </c>
      <c r="B8" s="412">
        <v>0.6</v>
      </c>
      <c r="C8" s="547"/>
      <c r="D8" s="650"/>
      <c r="E8" s="412">
        <v>0.5</v>
      </c>
      <c r="F8" s="187"/>
      <c r="G8" s="644"/>
      <c r="H8" s="341"/>
    </row>
    <row r="9" spans="1:8" ht="19.95" customHeight="1" x14ac:dyDescent="0.25">
      <c r="A9" s="199" t="s">
        <v>141</v>
      </c>
      <c r="B9" s="412">
        <v>0.4</v>
      </c>
      <c r="C9" s="187"/>
      <c r="D9" s="650"/>
      <c r="E9" s="487">
        <v>0.4</v>
      </c>
      <c r="F9" s="187"/>
      <c r="G9" s="644"/>
      <c r="H9" s="341"/>
    </row>
    <row r="10" spans="1:8" ht="19.2" customHeight="1" x14ac:dyDescent="0.25">
      <c r="A10" s="252" t="s">
        <v>145</v>
      </c>
      <c r="B10" s="212">
        <v>0.41</v>
      </c>
      <c r="C10" s="187"/>
      <c r="D10" s="650"/>
      <c r="E10" s="487">
        <v>0.77</v>
      </c>
      <c r="F10" s="187"/>
      <c r="G10" s="644"/>
      <c r="H10" s="341"/>
    </row>
    <row r="11" spans="1:8" ht="19.95" customHeight="1" x14ac:dyDescent="0.25">
      <c r="A11" s="199" t="s">
        <v>211</v>
      </c>
      <c r="B11" s="412">
        <v>0.45</v>
      </c>
      <c r="C11" s="187"/>
      <c r="D11" s="650"/>
      <c r="E11" s="412">
        <v>0.45</v>
      </c>
      <c r="F11" s="187"/>
      <c r="G11" s="644"/>
      <c r="H11" s="341"/>
    </row>
    <row r="12" spans="1:8" ht="19.95" customHeight="1" x14ac:dyDescent="0.25">
      <c r="A12" s="199" t="s">
        <v>213</v>
      </c>
      <c r="B12" s="412">
        <v>0.4</v>
      </c>
      <c r="C12" s="187"/>
      <c r="D12" s="650"/>
      <c r="E12" s="487">
        <v>0.4</v>
      </c>
      <c r="F12" s="187"/>
      <c r="G12" s="644"/>
      <c r="H12" s="341"/>
    </row>
    <row r="13" spans="1:8" ht="19.95" customHeight="1" x14ac:dyDescent="0.25">
      <c r="A13" s="199" t="s">
        <v>215</v>
      </c>
      <c r="B13" s="412">
        <v>0.75</v>
      </c>
      <c r="C13" s="390">
        <f>0.25*0.5</f>
        <v>0.125</v>
      </c>
      <c r="D13" s="650"/>
      <c r="E13" s="487">
        <v>0.85</v>
      </c>
      <c r="F13" s="390">
        <v>0.25</v>
      </c>
      <c r="G13" s="644"/>
      <c r="H13" s="341"/>
    </row>
    <row r="14" spans="1:8" ht="19.95" customHeight="1" x14ac:dyDescent="0.25">
      <c r="A14" s="199" t="s">
        <v>223</v>
      </c>
      <c r="B14" s="412">
        <v>0.65</v>
      </c>
      <c r="C14" s="187"/>
      <c r="D14" s="651"/>
      <c r="E14" s="487">
        <v>0.65</v>
      </c>
      <c r="F14" s="187"/>
      <c r="G14" s="645"/>
      <c r="H14" s="341"/>
    </row>
    <row r="15" spans="1:8" ht="12.75" customHeight="1" x14ac:dyDescent="0.25">
      <c r="A15" s="157"/>
      <c r="B15" s="416"/>
      <c r="D15" s="158"/>
      <c r="E15" s="476"/>
      <c r="G15" s="8"/>
    </row>
    <row r="16" spans="1:8" ht="73.95" customHeight="1" x14ac:dyDescent="0.25">
      <c r="A16" s="646" t="s">
        <v>481</v>
      </c>
      <c r="B16" s="646"/>
      <c r="C16" s="646"/>
      <c r="D16" s="646"/>
      <c r="E16" s="646"/>
      <c r="F16" s="646"/>
      <c r="G16" s="646"/>
    </row>
    <row r="17" spans="1:7" ht="13.2" customHeight="1" x14ac:dyDescent="0.25">
      <c r="A17" s="427"/>
      <c r="B17" s="427"/>
      <c r="C17" s="427"/>
      <c r="D17" s="427"/>
      <c r="E17" s="427"/>
      <c r="F17" s="427"/>
      <c r="G17" s="427"/>
    </row>
    <row r="18" spans="1:7" ht="13.2" customHeight="1" x14ac:dyDescent="0.25">
      <c r="A18" s="427"/>
      <c r="B18" s="427"/>
      <c r="C18" s="427"/>
      <c r="D18" s="427"/>
      <c r="E18" s="427"/>
      <c r="F18" s="427"/>
      <c r="G18" s="427"/>
    </row>
    <row r="19" spans="1:7" ht="13.2" customHeight="1" x14ac:dyDescent="0.25">
      <c r="A19" s="427"/>
      <c r="B19" s="427"/>
      <c r="C19" s="427"/>
      <c r="D19" s="427"/>
      <c r="E19" s="427"/>
      <c r="F19" s="427"/>
      <c r="G19" s="427"/>
    </row>
    <row r="20" spans="1:7" ht="13.2" customHeight="1" x14ac:dyDescent="0.25">
      <c r="A20" s="427"/>
      <c r="B20" s="427"/>
      <c r="C20" s="427"/>
      <c r="D20" s="427"/>
      <c r="E20" s="427"/>
      <c r="F20" s="427"/>
      <c r="G20" s="427"/>
    </row>
    <row r="21" spans="1:7" ht="13.2" customHeight="1" x14ac:dyDescent="0.25">
      <c r="A21" s="427"/>
      <c r="B21" s="427"/>
      <c r="C21" s="427"/>
      <c r="D21" s="427"/>
      <c r="E21" s="427"/>
      <c r="F21" s="427"/>
      <c r="G21" s="427"/>
    </row>
    <row r="22" spans="1:7" s="153" customFormat="1" ht="21" hidden="1" customHeight="1" x14ac:dyDescent="0.3">
      <c r="A22" s="153" t="s">
        <v>237</v>
      </c>
    </row>
    <row r="23" spans="1:7" hidden="1" x14ac:dyDescent="0.25"/>
    <row r="24" spans="1:7" hidden="1" x14ac:dyDescent="0.25"/>
    <row r="25" spans="1:7" hidden="1" x14ac:dyDescent="0.25"/>
    <row r="26" spans="1:7" hidden="1" x14ac:dyDescent="0.25"/>
    <row r="27" spans="1:7" hidden="1" x14ac:dyDescent="0.25"/>
    <row r="28" spans="1:7" hidden="1" x14ac:dyDescent="0.25"/>
    <row r="29" spans="1:7" hidden="1" x14ac:dyDescent="0.25"/>
    <row r="30" spans="1:7" hidden="1" x14ac:dyDescent="0.25"/>
    <row r="31" spans="1:7" hidden="1" x14ac:dyDescent="0.25"/>
    <row r="32" spans="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6" spans="7:7" ht="13.2" customHeight="1" x14ac:dyDescent="0.25">
      <c r="G66" s="347"/>
    </row>
    <row r="67" spans="7:7" ht="13.2" customHeight="1" x14ac:dyDescent="0.25">
      <c r="G67" s="348"/>
    </row>
    <row r="68" spans="7:7" ht="13.2" customHeight="1" x14ac:dyDescent="0.25">
      <c r="G68" s="348"/>
    </row>
    <row r="69" spans="7:7" ht="13.2" customHeight="1" x14ac:dyDescent="0.25">
      <c r="G69" s="348"/>
    </row>
    <row r="70" spans="7:7" ht="13.2" customHeight="1" x14ac:dyDescent="0.25">
      <c r="G70" s="348"/>
    </row>
    <row r="71" spans="7:7" ht="13.2" customHeight="1" x14ac:dyDescent="0.25">
      <c r="G71" s="348"/>
    </row>
    <row r="72" spans="7:7" ht="13.2" customHeight="1" x14ac:dyDescent="0.25">
      <c r="G72" s="348"/>
    </row>
    <row r="73" spans="7:7" ht="13.2" customHeight="1" x14ac:dyDescent="0.25">
      <c r="G73" s="348"/>
    </row>
    <row r="74" spans="7:7" ht="13.2" customHeight="1" x14ac:dyDescent="0.25">
      <c r="G74" s="348"/>
    </row>
    <row r="75" spans="7:7" ht="13.2" customHeight="1" x14ac:dyDescent="0.25">
      <c r="G75" s="348"/>
    </row>
    <row r="76" spans="7:7" ht="13.2" customHeight="1" x14ac:dyDescent="0.25">
      <c r="G76" s="348"/>
    </row>
    <row r="77" spans="7:7" ht="13.2" customHeight="1" x14ac:dyDescent="0.25">
      <c r="G77" s="348"/>
    </row>
    <row r="78" spans="7:7" ht="13.2" customHeight="1" x14ac:dyDescent="0.25">
      <c r="G78" s="348"/>
    </row>
    <row r="79" spans="7:7" ht="13.2" customHeight="1" x14ac:dyDescent="0.25">
      <c r="G79" s="349"/>
    </row>
  </sheetData>
  <mergeCells count="8">
    <mergeCell ref="A1:H1"/>
    <mergeCell ref="G4:G14"/>
    <mergeCell ref="A16:G16"/>
    <mergeCell ref="H2:H3"/>
    <mergeCell ref="D4:D14"/>
    <mergeCell ref="A2:A3"/>
    <mergeCell ref="B2:D2"/>
    <mergeCell ref="E2:G2"/>
  </mergeCells>
  <phoneticPr fontId="5"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2959138-2769-4911-B3AB-DDA295328464}">
          <x14:formula1>
            <xm:f>Data!$A$2:$A$200</xm:f>
          </x14:formula1>
          <xm:sqref>A5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5"/>
  <sheetViews>
    <sheetView topLeftCell="A3" zoomScaleNormal="100" workbookViewId="0">
      <selection activeCell="B15" sqref="B15"/>
    </sheetView>
  </sheetViews>
  <sheetFormatPr defaultColWidth="8.6640625" defaultRowHeight="13.2" x14ac:dyDescent="0.25"/>
  <cols>
    <col min="1" max="1" width="30.5546875" style="5" customWidth="1"/>
    <col min="2" max="2" width="38.44140625" style="5" customWidth="1"/>
    <col min="3" max="3" width="14.5546875" style="5" customWidth="1"/>
    <col min="4" max="4" width="15" style="5" customWidth="1"/>
    <col min="5" max="5" width="32.109375" style="5" customWidth="1"/>
    <col min="6" max="6" width="11.88671875" style="5" customWidth="1"/>
    <col min="7" max="7" width="15.109375" style="5" customWidth="1"/>
    <col min="8" max="8" width="15.5546875" style="5" customWidth="1"/>
    <col min="9" max="9" width="13.33203125" style="5" customWidth="1"/>
    <col min="10" max="10" width="17.109375" style="5" customWidth="1"/>
    <col min="11" max="16384" width="8.6640625" style="5"/>
  </cols>
  <sheetData>
    <row r="1" spans="1:7" ht="25.2" customHeight="1" x14ac:dyDescent="0.25">
      <c r="A1" s="655" t="s">
        <v>482</v>
      </c>
      <c r="B1" s="655"/>
      <c r="C1" s="655"/>
      <c r="D1" s="655"/>
    </row>
    <row r="2" spans="1:7" ht="37.200000000000003" customHeight="1" x14ac:dyDescent="0.25">
      <c r="A2" s="430" t="s">
        <v>483</v>
      </c>
      <c r="B2" s="430" t="s">
        <v>484</v>
      </c>
      <c r="C2" s="430" t="s">
        <v>485</v>
      </c>
      <c r="D2" s="430" t="s">
        <v>230</v>
      </c>
      <c r="F2" s="8"/>
      <c r="G2" s="8"/>
    </row>
    <row r="3" spans="1:7" ht="26.4" customHeight="1" x14ac:dyDescent="0.25">
      <c r="A3" s="200">
        <f>G16</f>
        <v>979.85732222222248</v>
      </c>
      <c r="B3" s="200">
        <f>G17</f>
        <v>742.68322699999999</v>
      </c>
      <c r="C3" s="200">
        <f>A3+B3</f>
        <v>1722.5405492222226</v>
      </c>
      <c r="D3" s="390" t="s">
        <v>486</v>
      </c>
      <c r="F3" s="12"/>
      <c r="G3" s="12"/>
    </row>
    <row r="4" spans="1:7" ht="17.399999999999999" customHeight="1" x14ac:dyDescent="0.25">
      <c r="A4" s="97"/>
      <c r="B4" s="97"/>
      <c r="C4" s="97"/>
    </row>
    <row r="5" spans="1:7" ht="17.399999999999999" customHeight="1" x14ac:dyDescent="0.25">
      <c r="A5" s="97"/>
      <c r="B5" s="97"/>
      <c r="C5" s="97"/>
    </row>
    <row r="6" spans="1:7" ht="17.399999999999999" customHeight="1" x14ac:dyDescent="0.25">
      <c r="A6" s="97"/>
      <c r="B6" s="97"/>
      <c r="C6" s="97"/>
    </row>
    <row r="8" spans="1:7" ht="21" customHeight="1" x14ac:dyDescent="0.25">
      <c r="A8" s="552" t="s">
        <v>487</v>
      </c>
      <c r="B8" s="552"/>
      <c r="C8" s="552"/>
      <c r="D8" s="552"/>
      <c r="E8" s="552"/>
      <c r="F8" s="552"/>
      <c r="G8" s="552"/>
    </row>
    <row r="9" spans="1:7" ht="39.6" x14ac:dyDescent="0.25">
      <c r="A9" s="240" t="s">
        <v>488</v>
      </c>
      <c r="B9" s="656" t="s">
        <v>489</v>
      </c>
      <c r="C9" s="656"/>
      <c r="D9" s="430" t="s">
        <v>490</v>
      </c>
      <c r="E9" s="430" t="s">
        <v>491</v>
      </c>
      <c r="F9" s="430" t="s">
        <v>490</v>
      </c>
      <c r="G9" s="430" t="s">
        <v>492</v>
      </c>
    </row>
    <row r="10" spans="1:7" ht="16.95" customHeight="1" x14ac:dyDescent="0.25">
      <c r="A10" s="182" t="s">
        <v>493</v>
      </c>
      <c r="B10" s="182"/>
      <c r="C10" s="241"/>
      <c r="D10" s="390"/>
      <c r="E10" s="390">
        <v>200</v>
      </c>
      <c r="F10" s="390" t="s">
        <v>494</v>
      </c>
      <c r="G10" s="242">
        <f>$E10</f>
        <v>200</v>
      </c>
    </row>
    <row r="11" spans="1:7" ht="52.8" x14ac:dyDescent="0.25">
      <c r="A11" s="186" t="s">
        <v>495</v>
      </c>
      <c r="B11" s="531" t="s">
        <v>496</v>
      </c>
      <c r="C11" s="243">
        <f>B23/360*400</f>
        <v>36005.122222222235</v>
      </c>
      <c r="D11" s="390" t="s">
        <v>497</v>
      </c>
      <c r="E11" s="390">
        <v>1.9E-2</v>
      </c>
      <c r="F11" s="390" t="s">
        <v>498</v>
      </c>
      <c r="G11" s="242">
        <f>$E11*C11</f>
        <v>684.09732222222249</v>
      </c>
    </row>
    <row r="12" spans="1:7" ht="26.4" x14ac:dyDescent="0.25">
      <c r="A12" s="182" t="s">
        <v>499</v>
      </c>
      <c r="B12" s="532" t="s">
        <v>500</v>
      </c>
      <c r="C12" s="241">
        <f>2</f>
        <v>2</v>
      </c>
      <c r="D12" s="390" t="s">
        <v>501</v>
      </c>
      <c r="E12" s="390">
        <v>15</v>
      </c>
      <c r="F12" s="390" t="s">
        <v>502</v>
      </c>
      <c r="G12" s="242">
        <f>E12*2</f>
        <v>30</v>
      </c>
    </row>
    <row r="13" spans="1:7" ht="26.4" x14ac:dyDescent="0.25">
      <c r="A13" s="182" t="s">
        <v>503</v>
      </c>
      <c r="B13" s="532" t="s">
        <v>504</v>
      </c>
      <c r="C13" s="244">
        <f>B23*0.1</f>
        <v>3240.4610000000011</v>
      </c>
      <c r="D13" s="390" t="s">
        <v>497</v>
      </c>
      <c r="E13" s="390">
        <v>7.0000000000000001E-3</v>
      </c>
      <c r="F13" s="390" t="s">
        <v>498</v>
      </c>
      <c r="G13" s="245">
        <f>E13*C13</f>
        <v>22.683227000000009</v>
      </c>
    </row>
    <row r="14" spans="1:7" ht="92.4" x14ac:dyDescent="0.25">
      <c r="A14" s="182" t="s">
        <v>505</v>
      </c>
      <c r="B14" s="186" t="s">
        <v>506</v>
      </c>
      <c r="C14" s="244">
        <f>B22*0.5*30</f>
        <v>7200</v>
      </c>
      <c r="D14" s="390" t="s">
        <v>497</v>
      </c>
      <c r="E14" s="390">
        <v>0.1</v>
      </c>
      <c r="F14" s="390" t="s">
        <v>498</v>
      </c>
      <c r="G14" s="245">
        <f>E14*C14</f>
        <v>720</v>
      </c>
    </row>
    <row r="15" spans="1:7" ht="26.4" x14ac:dyDescent="0.25">
      <c r="A15" s="182" t="s">
        <v>507</v>
      </c>
      <c r="B15" s="533" t="s">
        <v>508</v>
      </c>
      <c r="C15" s="244">
        <f>(40*12)</f>
        <v>480</v>
      </c>
      <c r="D15" s="390" t="s">
        <v>497</v>
      </c>
      <c r="E15" s="390">
        <v>0.13700000000000001</v>
      </c>
      <c r="F15" s="390" t="s">
        <v>498</v>
      </c>
      <c r="G15" s="245">
        <f>E15*C15</f>
        <v>65.760000000000005</v>
      </c>
    </row>
    <row r="16" spans="1:7" x14ac:dyDescent="0.25">
      <c r="A16" s="654" t="s">
        <v>509</v>
      </c>
      <c r="B16" s="654"/>
      <c r="C16" s="654"/>
      <c r="D16" s="654"/>
      <c r="E16" s="654"/>
      <c r="F16" s="654"/>
      <c r="G16" s="246">
        <f>G11+G10+G15+G12</f>
        <v>979.85732222222248</v>
      </c>
    </row>
    <row r="17" spans="1:7" x14ac:dyDescent="0.25">
      <c r="A17" s="654" t="s">
        <v>510</v>
      </c>
      <c r="B17" s="654"/>
      <c r="C17" s="654"/>
      <c r="D17" s="654"/>
      <c r="E17" s="654"/>
      <c r="F17" s="654"/>
      <c r="G17" s="246">
        <f>G13+G14</f>
        <v>742.68322699999999</v>
      </c>
    </row>
    <row r="18" spans="1:7" x14ac:dyDescent="0.25">
      <c r="A18" s="654" t="s">
        <v>428</v>
      </c>
      <c r="B18" s="654"/>
      <c r="C18" s="654"/>
      <c r="D18" s="654"/>
      <c r="E18" s="654"/>
      <c r="F18" s="654"/>
      <c r="G18" s="246">
        <f>G16+G17</f>
        <v>1722.5405492222226</v>
      </c>
    </row>
    <row r="19" spans="1:7" ht="14.4" x14ac:dyDescent="0.25">
      <c r="A19" s="159"/>
      <c r="B19" s="159"/>
      <c r="C19" s="159"/>
      <c r="D19" s="159"/>
      <c r="E19" s="159"/>
      <c r="F19" s="159"/>
      <c r="G19" s="213"/>
    </row>
    <row r="20" spans="1:7" ht="14.4" x14ac:dyDescent="0.3">
      <c r="A20" s="5" t="s">
        <v>511</v>
      </c>
      <c r="C20" s="431"/>
      <c r="D20" s="214"/>
      <c r="F20" s="215"/>
    </row>
    <row r="21" spans="1:7" ht="14.4" x14ac:dyDescent="0.3">
      <c r="C21" s="431"/>
      <c r="D21" s="214"/>
      <c r="F21" s="215"/>
    </row>
    <row r="22" spans="1:7" ht="14.4" x14ac:dyDescent="0.3">
      <c r="A22" s="5" t="s">
        <v>512</v>
      </c>
      <c r="B22" s="432">
        <f>(180+60)*2</f>
        <v>480</v>
      </c>
      <c r="C22" s="431"/>
      <c r="D22" s="214"/>
      <c r="F22" s="215"/>
    </row>
    <row r="23" spans="1:7" ht="14.4" x14ac:dyDescent="0.3">
      <c r="A23" s="5" t="s">
        <v>513</v>
      </c>
      <c r="B23" s="72">
        <f>Zones!H51</f>
        <v>32404.610000000011</v>
      </c>
      <c r="D23" s="214"/>
      <c r="F23" s="215"/>
    </row>
    <row r="24" spans="1:7" ht="14.4" x14ac:dyDescent="0.3">
      <c r="A24" s="5" t="s">
        <v>514</v>
      </c>
      <c r="B24" s="432">
        <v>3</v>
      </c>
      <c r="D24" s="214"/>
      <c r="F24" s="215"/>
    </row>
    <row r="25" spans="1:7" ht="14.4" x14ac:dyDescent="0.3">
      <c r="B25" s="2"/>
      <c r="D25" s="214"/>
      <c r="F25" s="215"/>
    </row>
  </sheetData>
  <mergeCells count="6">
    <mergeCell ref="A18:F18"/>
    <mergeCell ref="A1:D1"/>
    <mergeCell ref="A8:G8"/>
    <mergeCell ref="B9:C9"/>
    <mergeCell ref="A16:F16"/>
    <mergeCell ref="A17:F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M274"/>
  <sheetViews>
    <sheetView topLeftCell="A2" zoomScale="85" zoomScaleNormal="85" workbookViewId="0">
      <selection activeCell="A3" sqref="A3:A13"/>
    </sheetView>
  </sheetViews>
  <sheetFormatPr defaultColWidth="8.6640625" defaultRowHeight="13.2" x14ac:dyDescent="0.25"/>
  <cols>
    <col min="1" max="1" width="49.33203125" style="5" bestFit="1" customWidth="1"/>
    <col min="2" max="2" width="24" style="5" bestFit="1" customWidth="1"/>
    <col min="3" max="3" width="21.88671875" style="5" customWidth="1"/>
    <col min="4" max="4" width="27.6640625" style="5" customWidth="1"/>
    <col min="5" max="5" width="23.6640625" style="5" customWidth="1"/>
    <col min="6" max="6" width="47.6640625" style="5" customWidth="1"/>
    <col min="7" max="7" width="44.33203125" style="5" customWidth="1"/>
    <col min="8" max="8" width="19.33203125" style="5" customWidth="1"/>
    <col min="9" max="9" width="19.44140625" style="5" customWidth="1"/>
    <col min="10" max="10" width="10.5546875" style="5" bestFit="1" customWidth="1"/>
    <col min="11" max="11" width="16.33203125" style="5" customWidth="1"/>
    <col min="12" max="12" width="36.109375" style="5" customWidth="1"/>
    <col min="13" max="13" width="10.5546875" style="5" bestFit="1" customWidth="1"/>
    <col min="14" max="16384" width="8.6640625" style="5"/>
  </cols>
  <sheetData>
    <row r="1" spans="1:12" ht="23.4" customHeight="1" x14ac:dyDescent="0.25">
      <c r="A1" s="657" t="s">
        <v>515</v>
      </c>
      <c r="B1" s="658"/>
      <c r="C1" s="658"/>
      <c r="D1" s="658"/>
      <c r="E1" s="658"/>
      <c r="F1" s="658"/>
    </row>
    <row r="2" spans="1:12" ht="34.950000000000003" customHeight="1" x14ac:dyDescent="0.25">
      <c r="A2" s="183" t="s">
        <v>474</v>
      </c>
      <c r="B2" s="253" t="s">
        <v>516</v>
      </c>
      <c r="C2" s="253" t="s">
        <v>517</v>
      </c>
      <c r="D2" s="253" t="s">
        <v>518</v>
      </c>
      <c r="E2" s="183" t="s">
        <v>230</v>
      </c>
      <c r="F2" s="183" t="s">
        <v>311</v>
      </c>
    </row>
    <row r="3" spans="1:12" ht="18" customHeight="1" x14ac:dyDescent="0.25">
      <c r="A3" s="192" t="s">
        <v>118</v>
      </c>
      <c r="B3" s="390">
        <v>0</v>
      </c>
      <c r="C3" s="390"/>
      <c r="D3" s="390"/>
      <c r="E3" s="615" t="s">
        <v>519</v>
      </c>
      <c r="F3" s="182"/>
    </row>
    <row r="4" spans="1:12" ht="18" customHeight="1" x14ac:dyDescent="0.25">
      <c r="A4" s="233" t="s">
        <v>130</v>
      </c>
      <c r="B4" s="390">
        <v>1</v>
      </c>
      <c r="C4" s="390"/>
      <c r="D4" s="390"/>
      <c r="E4" s="615"/>
      <c r="F4" s="182"/>
      <c r="G4" s="103"/>
    </row>
    <row r="5" spans="1:12" ht="18" customHeight="1" x14ac:dyDescent="0.25">
      <c r="A5" s="193" t="s">
        <v>127</v>
      </c>
      <c r="B5" s="390">
        <v>0.5</v>
      </c>
      <c r="C5" s="390"/>
      <c r="D5" s="390"/>
      <c r="E5" s="615"/>
      <c r="F5" s="182"/>
      <c r="G5" s="103"/>
    </row>
    <row r="6" spans="1:12" ht="27" customHeight="1" x14ac:dyDescent="0.25">
      <c r="A6" s="192" t="s">
        <v>133</v>
      </c>
      <c r="B6" s="390">
        <v>0.7</v>
      </c>
      <c r="C6" s="390"/>
      <c r="D6" s="390"/>
      <c r="E6" s="412" t="s">
        <v>520</v>
      </c>
      <c r="F6" s="216"/>
      <c r="G6" s="103"/>
    </row>
    <row r="7" spans="1:12" ht="18" customHeight="1" x14ac:dyDescent="0.25">
      <c r="A7" s="192" t="s">
        <v>136</v>
      </c>
      <c r="B7" s="390">
        <v>0</v>
      </c>
      <c r="C7" s="390"/>
      <c r="D7" s="390"/>
      <c r="E7" s="615" t="s">
        <v>519</v>
      </c>
      <c r="F7" s="217"/>
      <c r="G7" s="103"/>
    </row>
    <row r="8" spans="1:12" ht="18" customHeight="1" x14ac:dyDescent="0.25">
      <c r="A8" s="192" t="s">
        <v>141</v>
      </c>
      <c r="B8" s="390">
        <v>0.2</v>
      </c>
      <c r="C8" s="390"/>
      <c r="D8" s="390"/>
      <c r="E8" s="615"/>
      <c r="F8" s="217"/>
      <c r="G8" s="103"/>
    </row>
    <row r="9" spans="1:12" ht="30.6" customHeight="1" x14ac:dyDescent="0.25">
      <c r="A9" s="193" t="s">
        <v>145</v>
      </c>
      <c r="B9" s="390">
        <v>0.5</v>
      </c>
      <c r="C9" s="390"/>
      <c r="D9" s="390"/>
      <c r="E9" s="412" t="s">
        <v>520</v>
      </c>
      <c r="F9" s="182"/>
      <c r="G9" s="103"/>
    </row>
    <row r="10" spans="1:12" ht="25.95" customHeight="1" x14ac:dyDescent="0.25">
      <c r="A10" s="192" t="s">
        <v>211</v>
      </c>
      <c r="B10" s="390">
        <v>3</v>
      </c>
      <c r="C10" s="390">
        <v>0.75</v>
      </c>
      <c r="D10" s="390"/>
      <c r="E10" s="615" t="s">
        <v>519</v>
      </c>
      <c r="F10" s="186" t="s">
        <v>521</v>
      </c>
      <c r="G10" s="25"/>
    </row>
    <row r="11" spans="1:12" ht="18" customHeight="1" x14ac:dyDescent="0.25">
      <c r="A11" s="192" t="s">
        <v>213</v>
      </c>
      <c r="B11" s="390">
        <v>3</v>
      </c>
      <c r="C11" s="390"/>
      <c r="D11" s="390"/>
      <c r="E11" s="615"/>
      <c r="F11" s="182"/>
      <c r="G11" s="25"/>
    </row>
    <row r="12" spans="1:12" ht="18" customHeight="1" x14ac:dyDescent="0.25">
      <c r="A12" s="192" t="s">
        <v>215</v>
      </c>
      <c r="B12" s="390">
        <v>1</v>
      </c>
      <c r="C12" s="390"/>
      <c r="D12" s="390"/>
      <c r="E12" s="615"/>
      <c r="F12" s="182"/>
      <c r="G12" s="25"/>
    </row>
    <row r="13" spans="1:12" ht="19.95" customHeight="1" x14ac:dyDescent="0.25">
      <c r="A13" s="192" t="s">
        <v>223</v>
      </c>
      <c r="B13" s="390">
        <v>0</v>
      </c>
      <c r="C13" s="390"/>
      <c r="D13" s="390"/>
      <c r="E13" s="615"/>
      <c r="F13" s="187"/>
    </row>
    <row r="14" spans="1:12" ht="19.95" customHeight="1" x14ac:dyDescent="0.25">
      <c r="A14" s="142"/>
      <c r="B14" s="7"/>
      <c r="C14" s="416"/>
      <c r="D14" s="7"/>
    </row>
    <row r="15" spans="1:12" ht="19.95" customHeight="1" x14ac:dyDescent="0.25">
      <c r="A15" s="146"/>
      <c r="B15" s="146"/>
      <c r="C15" s="146"/>
      <c r="D15" s="146"/>
      <c r="E15" s="146"/>
      <c r="F15" s="146"/>
      <c r="G15" s="146"/>
      <c r="H15" s="146"/>
      <c r="I15" s="146"/>
    </row>
    <row r="16" spans="1:12" ht="27.6" customHeight="1" x14ac:dyDescent="0.3">
      <c r="A16" s="664" t="s">
        <v>522</v>
      </c>
      <c r="B16" s="664"/>
      <c r="C16" s="664"/>
      <c r="D16" s="664"/>
      <c r="E16" s="664"/>
      <c r="F16" s="664"/>
      <c r="G16" s="664"/>
      <c r="H16" s="664"/>
      <c r="I16" s="664"/>
      <c r="J16" s="664"/>
      <c r="K16" s="664"/>
      <c r="L16"/>
    </row>
    <row r="17" spans="1:12" ht="40.200000000000003" customHeight="1" x14ac:dyDescent="0.25">
      <c r="A17" s="372" t="s">
        <v>243</v>
      </c>
      <c r="B17" s="372" t="s">
        <v>523</v>
      </c>
      <c r="C17" s="372" t="s">
        <v>524</v>
      </c>
      <c r="D17" s="372" t="s">
        <v>525</v>
      </c>
      <c r="E17" s="372" t="s">
        <v>526</v>
      </c>
      <c r="F17" s="372" t="s">
        <v>527</v>
      </c>
      <c r="G17" s="372" t="s">
        <v>528</v>
      </c>
      <c r="H17" s="372" t="s">
        <v>529</v>
      </c>
      <c r="I17" s="372" t="s">
        <v>530</v>
      </c>
      <c r="J17" s="372" t="s">
        <v>531</v>
      </c>
      <c r="K17" s="372" t="s">
        <v>311</v>
      </c>
    </row>
    <row r="18" spans="1:12" ht="60" customHeight="1" x14ac:dyDescent="0.25">
      <c r="A18" s="534" t="s">
        <v>274</v>
      </c>
      <c r="B18" s="534" t="s">
        <v>532</v>
      </c>
      <c r="C18" s="534">
        <v>2</v>
      </c>
      <c r="D18" s="535">
        <v>1.1399999999999999</v>
      </c>
      <c r="E18" s="535">
        <v>0.33</v>
      </c>
      <c r="F18" s="534" t="s">
        <v>533</v>
      </c>
      <c r="G18" s="535">
        <f>ROUND(INDEX($C:$C,MATCH("Annual energy consumption of the elevator - Existing",$B:$B,0))/INDEX($C:$C,MATCH("Equivalent full load hours",$B:$B,0))*1000,2)</f>
        <v>16434.2</v>
      </c>
      <c r="H18" s="535">
        <f>ROUND(C18*INDEX($C:$C,MATCH("Cab fan airflow",$B:$B,0))*E18,2)</f>
        <v>165</v>
      </c>
      <c r="I18" s="535">
        <f>ROUND(C18*INDEX($C:$C,MATCH("Cab floor area",$B:$B,0))*D18,2)</f>
        <v>68.17</v>
      </c>
      <c r="J18" s="535">
        <f>ROUND(SUM(G18:I18),2)</f>
        <v>16667.37</v>
      </c>
      <c r="K18" s="534" t="s">
        <v>534</v>
      </c>
    </row>
    <row r="19" spans="1:12" ht="74.400000000000006" customHeight="1" x14ac:dyDescent="0.25">
      <c r="A19" s="534" t="s">
        <v>318</v>
      </c>
      <c r="B19" s="534" t="s">
        <v>535</v>
      </c>
      <c r="C19" s="534">
        <v>2</v>
      </c>
      <c r="D19" s="535">
        <v>0.6</v>
      </c>
      <c r="E19" s="535">
        <v>0.33</v>
      </c>
      <c r="F19" s="534" t="s">
        <v>536</v>
      </c>
      <c r="G19" s="535">
        <f>ROUND(INDEX($C:$C,MATCH("Annual energy consumption of the elevator - New Construction",$B:$B,0))/INDEX($C:$C,MATCH("Equivalent full load hours",$B:$B,0))*1000,2)</f>
        <v>8753.8799999999992</v>
      </c>
      <c r="H19" s="535">
        <f>ROUND(C19*INDEX($C:$C,MATCH("Cab fan airflow",$B:$B,0))*E19,2)</f>
        <v>165</v>
      </c>
      <c r="I19" s="535">
        <f>ROUND(C19*INDEX($C:$C,MATCH("Cab floor area",$B:$B,0))*D19,2)</f>
        <v>35.880000000000003</v>
      </c>
      <c r="J19" s="535">
        <f>ROUND(SUM(G19:I19),2)</f>
        <v>8954.76</v>
      </c>
      <c r="K19" s="534" t="s">
        <v>537</v>
      </c>
    </row>
    <row r="20" spans="1:12" ht="14.4" x14ac:dyDescent="0.3">
      <c r="A20"/>
      <c r="B20"/>
      <c r="C20"/>
      <c r="D20"/>
      <c r="E20"/>
      <c r="F20"/>
      <c r="G20"/>
      <c r="H20"/>
      <c r="I20"/>
      <c r="J20"/>
      <c r="K20"/>
      <c r="L20"/>
    </row>
    <row r="21" spans="1:12" ht="14.4" x14ac:dyDescent="0.3">
      <c r="A21"/>
      <c r="B21"/>
      <c r="C21"/>
      <c r="D21"/>
      <c r="E21"/>
      <c r="F21"/>
      <c r="G21"/>
      <c r="H21"/>
      <c r="I21"/>
      <c r="J21"/>
      <c r="K21"/>
      <c r="L21"/>
    </row>
    <row r="22" spans="1:12" ht="14.4" x14ac:dyDescent="0.3">
      <c r="A22" s="661" t="s">
        <v>538</v>
      </c>
      <c r="B22" s="662"/>
      <c r="C22" s="662"/>
      <c r="D22" s="662"/>
      <c r="E22" s="662"/>
      <c r="F22"/>
      <c r="G22"/>
      <c r="H22"/>
      <c r="I22"/>
      <c r="J22"/>
      <c r="K22"/>
      <c r="L22"/>
    </row>
    <row r="23" spans="1:12" ht="14.4" x14ac:dyDescent="0.3">
      <c r="A23" s="372" t="s">
        <v>539</v>
      </c>
      <c r="B23" s="372" t="s">
        <v>540</v>
      </c>
      <c r="C23" s="372" t="s">
        <v>68</v>
      </c>
      <c r="D23" s="372" t="s">
        <v>541</v>
      </c>
      <c r="E23" s="372" t="s">
        <v>230</v>
      </c>
      <c r="F23"/>
      <c r="G23"/>
      <c r="H23"/>
      <c r="I23"/>
      <c r="J23"/>
      <c r="K23"/>
      <c r="L23"/>
    </row>
    <row r="24" spans="1:12" ht="28.8" x14ac:dyDescent="0.3">
      <c r="A24" s="663" t="s">
        <v>535</v>
      </c>
      <c r="B24" s="534" t="s">
        <v>542</v>
      </c>
      <c r="C24" s="534">
        <v>33291.589999999997</v>
      </c>
      <c r="D24" s="534" t="s">
        <v>543</v>
      </c>
      <c r="E24" s="534" t="s">
        <v>544</v>
      </c>
      <c r="F24"/>
      <c r="G24"/>
      <c r="H24"/>
      <c r="I24"/>
      <c r="J24"/>
      <c r="K24"/>
      <c r="L24"/>
    </row>
    <row r="25" spans="1:12" ht="43.2" x14ac:dyDescent="0.3">
      <c r="A25" s="663"/>
      <c r="B25" s="534" t="s">
        <v>545</v>
      </c>
      <c r="C25" s="534">
        <v>17733.18</v>
      </c>
      <c r="D25" s="534" t="s">
        <v>543</v>
      </c>
      <c r="E25" s="534" t="s">
        <v>544</v>
      </c>
      <c r="F25"/>
      <c r="G25"/>
      <c r="H25"/>
      <c r="I25"/>
      <c r="J25"/>
      <c r="K25"/>
      <c r="L25"/>
    </row>
    <row r="26" spans="1:12" ht="28.8" x14ac:dyDescent="0.3">
      <c r="A26" s="534" t="s">
        <v>546</v>
      </c>
      <c r="B26" s="534" t="s">
        <v>547</v>
      </c>
      <c r="C26" s="534" t="s">
        <v>548</v>
      </c>
      <c r="D26" s="534" t="s">
        <v>549</v>
      </c>
      <c r="E26" s="534" t="s">
        <v>550</v>
      </c>
      <c r="F26"/>
      <c r="G26"/>
      <c r="H26"/>
      <c r="I26"/>
      <c r="J26"/>
      <c r="K26"/>
      <c r="L26"/>
    </row>
    <row r="27" spans="1:12" ht="28.8" x14ac:dyDescent="0.3">
      <c r="A27" s="534" t="s">
        <v>551</v>
      </c>
      <c r="B27" s="534" t="s">
        <v>552</v>
      </c>
      <c r="C27" s="534" t="s">
        <v>553</v>
      </c>
      <c r="D27" s="534" t="s">
        <v>549</v>
      </c>
      <c r="E27" s="534" t="s">
        <v>550</v>
      </c>
      <c r="F27"/>
      <c r="G27"/>
      <c r="H27"/>
      <c r="I27"/>
      <c r="J27"/>
      <c r="K27"/>
      <c r="L27"/>
    </row>
    <row r="28" spans="1:12" ht="14.4" x14ac:dyDescent="0.3">
      <c r="A28" s="534" t="s">
        <v>554</v>
      </c>
      <c r="B28" s="534" t="s">
        <v>555</v>
      </c>
      <c r="C28" s="534">
        <v>1361</v>
      </c>
      <c r="D28" s="534" t="s">
        <v>556</v>
      </c>
      <c r="E28" s="534" t="s">
        <v>557</v>
      </c>
      <c r="F28"/>
      <c r="G28"/>
      <c r="H28"/>
      <c r="I28"/>
      <c r="J28"/>
      <c r="K28"/>
      <c r="L28"/>
    </row>
    <row r="29" spans="1:12" ht="57.6" x14ac:dyDescent="0.3">
      <c r="A29" s="534" t="s">
        <v>558</v>
      </c>
      <c r="B29" s="534" t="s">
        <v>559</v>
      </c>
      <c r="C29" s="534">
        <v>29.9</v>
      </c>
      <c r="D29" s="534" t="s">
        <v>560</v>
      </c>
      <c r="E29" s="534" t="s">
        <v>561</v>
      </c>
      <c r="F29"/>
      <c r="G29"/>
      <c r="H29"/>
      <c r="I29"/>
      <c r="J29"/>
      <c r="K29"/>
      <c r="L29"/>
    </row>
    <row r="30" spans="1:12" ht="43.2" x14ac:dyDescent="0.3">
      <c r="A30" s="534" t="s">
        <v>562</v>
      </c>
      <c r="B30" s="534" t="s">
        <v>563</v>
      </c>
      <c r="C30" s="534">
        <v>250</v>
      </c>
      <c r="D30" s="534" t="s">
        <v>564</v>
      </c>
      <c r="E30" s="534" t="s">
        <v>565</v>
      </c>
      <c r="F30"/>
      <c r="G30"/>
      <c r="H30"/>
      <c r="I30"/>
      <c r="J30"/>
      <c r="K30"/>
      <c r="L30"/>
    </row>
    <row r="31" spans="1:12" ht="14.4" x14ac:dyDescent="0.3">
      <c r="A31" s="534" t="s">
        <v>566</v>
      </c>
      <c r="B31" s="534" t="s">
        <v>567</v>
      </c>
      <c r="C31" s="534">
        <v>3</v>
      </c>
      <c r="D31" s="534" t="s">
        <v>334</v>
      </c>
      <c r="E31" s="534" t="s">
        <v>568</v>
      </c>
      <c r="F31"/>
      <c r="G31"/>
      <c r="H31"/>
      <c r="I31"/>
      <c r="J31"/>
      <c r="K31"/>
      <c r="L31"/>
    </row>
    <row r="32" spans="1:12" ht="14.4" x14ac:dyDescent="0.3">
      <c r="A32" s="534" t="s">
        <v>569</v>
      </c>
      <c r="B32" s="534" t="s">
        <v>570</v>
      </c>
      <c r="C32" s="534">
        <v>360</v>
      </c>
      <c r="D32" s="534" t="s">
        <v>571</v>
      </c>
      <c r="E32" s="534" t="s">
        <v>568</v>
      </c>
      <c r="F32"/>
      <c r="G32"/>
      <c r="H32"/>
      <c r="I32"/>
      <c r="J32"/>
      <c r="K32"/>
      <c r="L32"/>
    </row>
    <row r="33" spans="1:12" ht="14.4" x14ac:dyDescent="0.3">
      <c r="A33" s="534" t="s">
        <v>572</v>
      </c>
      <c r="B33" s="534" t="s">
        <v>573</v>
      </c>
      <c r="C33" s="534">
        <v>3</v>
      </c>
      <c r="D33" s="534" t="s">
        <v>574</v>
      </c>
      <c r="E33" s="534" t="s">
        <v>575</v>
      </c>
      <c r="F33"/>
      <c r="G33"/>
      <c r="H33"/>
      <c r="I33"/>
      <c r="J33"/>
      <c r="K33"/>
      <c r="L33"/>
    </row>
    <row r="34" spans="1:12" ht="14.4" x14ac:dyDescent="0.3">
      <c r="A34" s="534" t="s">
        <v>576</v>
      </c>
      <c r="B34" s="534" t="s">
        <v>577</v>
      </c>
      <c r="C34" s="534">
        <v>2.75</v>
      </c>
      <c r="D34" s="534" t="s">
        <v>578</v>
      </c>
      <c r="E34" s="534" t="s">
        <v>575</v>
      </c>
      <c r="F34"/>
      <c r="G34"/>
      <c r="H34"/>
      <c r="I34"/>
      <c r="J34"/>
      <c r="K34"/>
      <c r="L34"/>
    </row>
    <row r="35" spans="1:12" ht="14.4" x14ac:dyDescent="0.3">
      <c r="A35" s="534" t="s">
        <v>579</v>
      </c>
      <c r="B35" s="534" t="s">
        <v>580</v>
      </c>
      <c r="C35" s="534">
        <v>1.6</v>
      </c>
      <c r="D35" s="534" t="s">
        <v>581</v>
      </c>
      <c r="E35" s="534" t="s">
        <v>568</v>
      </c>
      <c r="F35"/>
      <c r="G35"/>
      <c r="H35"/>
      <c r="I35"/>
      <c r="J35"/>
      <c r="K35"/>
      <c r="L35"/>
    </row>
    <row r="36" spans="1:12" ht="14.4" x14ac:dyDescent="0.3">
      <c r="A36" s="534" t="s">
        <v>582</v>
      </c>
      <c r="B36" s="534" t="s">
        <v>583</v>
      </c>
      <c r="C36" s="534">
        <v>300</v>
      </c>
      <c r="D36" s="534" t="s">
        <v>584</v>
      </c>
      <c r="E36" s="534" t="s">
        <v>568</v>
      </c>
      <c r="F36"/>
      <c r="G36"/>
      <c r="H36"/>
      <c r="I36"/>
      <c r="J36"/>
      <c r="K36"/>
      <c r="L36"/>
    </row>
    <row r="37" spans="1:12" ht="28.8" x14ac:dyDescent="0.3">
      <c r="A37" s="534" t="s">
        <v>585</v>
      </c>
      <c r="B37" s="534" t="s">
        <v>586</v>
      </c>
      <c r="C37" s="534">
        <v>0.49</v>
      </c>
      <c r="D37" s="534" t="s">
        <v>587</v>
      </c>
      <c r="E37" s="534" t="s">
        <v>588</v>
      </c>
      <c r="F37"/>
      <c r="G37"/>
      <c r="H37"/>
      <c r="I37"/>
      <c r="J37"/>
      <c r="K37"/>
      <c r="L37"/>
    </row>
    <row r="38" spans="1:12" ht="14.4" x14ac:dyDescent="0.3">
      <c r="A38" s="534" t="s">
        <v>589</v>
      </c>
      <c r="B38" s="534" t="s">
        <v>590</v>
      </c>
      <c r="C38" s="534">
        <v>1</v>
      </c>
      <c r="D38" s="534" t="s">
        <v>591</v>
      </c>
      <c r="E38" s="534" t="s">
        <v>592</v>
      </c>
      <c r="F38"/>
      <c r="G38"/>
      <c r="H38"/>
      <c r="I38"/>
      <c r="J38"/>
      <c r="K38"/>
      <c r="L38"/>
    </row>
    <row r="39" spans="1:12" ht="14.4" x14ac:dyDescent="0.3">
      <c r="A39" s="534" t="s">
        <v>593</v>
      </c>
      <c r="B39" s="534" t="s">
        <v>594</v>
      </c>
      <c r="C39" s="534">
        <v>1.25</v>
      </c>
      <c r="D39" s="534" t="s">
        <v>595</v>
      </c>
      <c r="E39" s="534" t="s">
        <v>592</v>
      </c>
      <c r="F39"/>
      <c r="G39"/>
      <c r="H39"/>
      <c r="I39"/>
      <c r="J39"/>
      <c r="K39"/>
      <c r="L39"/>
    </row>
    <row r="40" spans="1:12" ht="14.4" x14ac:dyDescent="0.3">
      <c r="A40" s="534" t="s">
        <v>596</v>
      </c>
      <c r="B40" s="534" t="s">
        <v>597</v>
      </c>
      <c r="C40" s="534">
        <v>8</v>
      </c>
      <c r="D40" s="534" t="s">
        <v>598</v>
      </c>
      <c r="E40" s="534" t="s">
        <v>592</v>
      </c>
      <c r="F40"/>
      <c r="G40"/>
      <c r="H40"/>
      <c r="I40"/>
      <c r="J40"/>
      <c r="K40"/>
      <c r="L40"/>
    </row>
    <row r="41" spans="1:12" ht="28.8" x14ac:dyDescent="0.3">
      <c r="A41" s="534" t="s">
        <v>599</v>
      </c>
      <c r="B41" s="534" t="s">
        <v>600</v>
      </c>
      <c r="C41" s="534">
        <v>4.04</v>
      </c>
      <c r="D41" s="534" t="s">
        <v>601</v>
      </c>
      <c r="E41" s="534" t="s">
        <v>602</v>
      </c>
      <c r="F41"/>
      <c r="G41"/>
      <c r="H41"/>
      <c r="I41"/>
      <c r="J41"/>
      <c r="K41"/>
      <c r="L41"/>
    </row>
    <row r="42" spans="1:12" ht="28.8" x14ac:dyDescent="0.3">
      <c r="A42" s="534" t="s">
        <v>603</v>
      </c>
      <c r="B42" s="534" t="s">
        <v>604</v>
      </c>
      <c r="C42" s="534">
        <v>12.93</v>
      </c>
      <c r="D42" s="534" t="s">
        <v>605</v>
      </c>
      <c r="E42" s="534" t="s">
        <v>606</v>
      </c>
      <c r="F42"/>
      <c r="G42"/>
      <c r="H42"/>
      <c r="I42"/>
      <c r="J42"/>
      <c r="K42"/>
      <c r="L42"/>
    </row>
    <row r="43" spans="1:12" ht="14.4" x14ac:dyDescent="0.3">
      <c r="A43" s="534" t="s">
        <v>607</v>
      </c>
      <c r="B43" s="534" t="s">
        <v>608</v>
      </c>
      <c r="C43" s="534">
        <v>22.92</v>
      </c>
      <c r="D43" s="534" t="s">
        <v>609</v>
      </c>
      <c r="E43" s="534" t="s">
        <v>610</v>
      </c>
      <c r="F43"/>
      <c r="G43"/>
      <c r="H43"/>
      <c r="I43"/>
      <c r="J43"/>
      <c r="K43"/>
      <c r="L43"/>
    </row>
    <row r="44" spans="1:12" ht="28.8" x14ac:dyDescent="0.3">
      <c r="A44" s="534" t="s">
        <v>611</v>
      </c>
      <c r="B44" s="534" t="s">
        <v>612</v>
      </c>
      <c r="C44" s="534">
        <v>8372.2000000000007</v>
      </c>
      <c r="D44" s="534" t="s">
        <v>613</v>
      </c>
      <c r="E44" s="534" t="s">
        <v>614</v>
      </c>
      <c r="F44"/>
      <c r="G44"/>
      <c r="H44"/>
      <c r="I44"/>
      <c r="J44"/>
      <c r="K44"/>
      <c r="L44"/>
    </row>
    <row r="45" spans="1:12" ht="14.4" x14ac:dyDescent="0.3">
      <c r="A45" s="534" t="s">
        <v>615</v>
      </c>
      <c r="B45" s="534" t="s">
        <v>615</v>
      </c>
      <c r="C45" s="534">
        <v>40</v>
      </c>
      <c r="D45" s="534" t="s">
        <v>616</v>
      </c>
      <c r="E45" s="534" t="s">
        <v>617</v>
      </c>
      <c r="F45"/>
      <c r="G45"/>
      <c r="H45"/>
      <c r="I45"/>
      <c r="J45"/>
      <c r="K45"/>
      <c r="L45"/>
    </row>
    <row r="46" spans="1:12" ht="28.8" x14ac:dyDescent="0.3">
      <c r="A46" s="534" t="s">
        <v>618</v>
      </c>
      <c r="B46" s="534" t="s">
        <v>619</v>
      </c>
      <c r="C46" s="536">
        <f>Schedules!AD107</f>
        <v>2025.75</v>
      </c>
      <c r="D46" s="534" t="s">
        <v>620</v>
      </c>
      <c r="E46" s="534" t="s">
        <v>621</v>
      </c>
      <c r="F46"/>
      <c r="G46"/>
      <c r="H46"/>
      <c r="I46"/>
      <c r="J46"/>
      <c r="K46"/>
      <c r="L46"/>
    </row>
    <row r="47" spans="1:12" x14ac:dyDescent="0.25">
      <c r="A47" s="142"/>
    </row>
    <row r="48" spans="1:12" x14ac:dyDescent="0.25">
      <c r="A48" s="142"/>
    </row>
    <row r="49" spans="1:1" x14ac:dyDescent="0.25">
      <c r="A49" s="142"/>
    </row>
    <row r="50" spans="1:1" x14ac:dyDescent="0.25">
      <c r="A50" s="142"/>
    </row>
    <row r="51" spans="1:1" x14ac:dyDescent="0.25">
      <c r="A51" s="142"/>
    </row>
    <row r="52" spans="1:1" x14ac:dyDescent="0.25">
      <c r="A52" s="142"/>
    </row>
    <row r="53" spans="1:1" x14ac:dyDescent="0.25">
      <c r="A53" s="142"/>
    </row>
    <row r="54" spans="1:1" x14ac:dyDescent="0.25">
      <c r="A54" s="142"/>
    </row>
    <row r="55" spans="1:1" x14ac:dyDescent="0.25">
      <c r="A55" s="142"/>
    </row>
    <row r="56" spans="1:1" x14ac:dyDescent="0.25">
      <c r="A56" s="142"/>
    </row>
    <row r="57" spans="1:1" x14ac:dyDescent="0.25">
      <c r="A57" s="142"/>
    </row>
    <row r="58" spans="1:1" x14ac:dyDescent="0.25">
      <c r="A58" s="142"/>
    </row>
    <row r="59" spans="1:1" x14ac:dyDescent="0.25">
      <c r="A59" s="142"/>
    </row>
    <row r="60" spans="1:1" x14ac:dyDescent="0.25">
      <c r="A60" s="142"/>
    </row>
    <row r="61" spans="1:1" x14ac:dyDescent="0.25">
      <c r="A61" s="142"/>
    </row>
    <row r="62" spans="1:1" x14ac:dyDescent="0.25">
      <c r="A62" s="142"/>
    </row>
    <row r="63" spans="1:1" x14ac:dyDescent="0.25">
      <c r="A63" s="142"/>
    </row>
    <row r="64" spans="1:1" x14ac:dyDescent="0.25">
      <c r="A64" s="142"/>
    </row>
    <row r="65" spans="1:1" x14ac:dyDescent="0.25">
      <c r="A65" s="142"/>
    </row>
    <row r="66" spans="1:1" x14ac:dyDescent="0.25">
      <c r="A66" s="142"/>
    </row>
    <row r="67" spans="1:1" x14ac:dyDescent="0.25">
      <c r="A67" s="142"/>
    </row>
    <row r="68" spans="1:1" x14ac:dyDescent="0.25">
      <c r="A68" s="142"/>
    </row>
    <row r="69" spans="1:1" x14ac:dyDescent="0.25">
      <c r="A69" s="142"/>
    </row>
    <row r="70" spans="1:1" x14ac:dyDescent="0.25">
      <c r="A70" s="142"/>
    </row>
    <row r="71" spans="1:1" x14ac:dyDescent="0.25">
      <c r="A71" s="142"/>
    </row>
    <row r="72" spans="1:1" x14ac:dyDescent="0.25">
      <c r="A72" s="142"/>
    </row>
    <row r="73" spans="1:1" x14ac:dyDescent="0.25">
      <c r="A73" s="142"/>
    </row>
    <row r="74" spans="1:1" x14ac:dyDescent="0.25">
      <c r="A74" s="142"/>
    </row>
    <row r="75" spans="1:1" x14ac:dyDescent="0.25">
      <c r="A75" s="142"/>
    </row>
    <row r="76" spans="1:1" x14ac:dyDescent="0.25">
      <c r="A76" s="142"/>
    </row>
    <row r="77" spans="1:1" x14ac:dyDescent="0.25">
      <c r="A77" s="142"/>
    </row>
    <row r="78" spans="1:1" x14ac:dyDescent="0.25">
      <c r="A78" s="142"/>
    </row>
    <row r="79" spans="1:1" x14ac:dyDescent="0.25">
      <c r="A79" s="142"/>
    </row>
    <row r="80" spans="1:1" x14ac:dyDescent="0.25">
      <c r="A80" s="142"/>
    </row>
    <row r="81" spans="1:6" x14ac:dyDescent="0.25">
      <c r="A81" s="142"/>
    </row>
    <row r="83" spans="1:6" s="29" customFormat="1" hidden="1" x14ac:dyDescent="0.25">
      <c r="A83" s="29" t="s">
        <v>237</v>
      </c>
      <c r="D83" s="30"/>
      <c r="E83" s="31"/>
      <c r="F83" s="32"/>
    </row>
    <row r="84" spans="1:6" s="6" customFormat="1" ht="14.7" hidden="1" customHeight="1" x14ac:dyDescent="0.25">
      <c r="C84" s="660" t="s">
        <v>622</v>
      </c>
      <c r="D84" s="660"/>
      <c r="E84" s="660"/>
      <c r="F84" s="660"/>
    </row>
    <row r="85" spans="1:6" ht="27" hidden="1" customHeight="1" x14ac:dyDescent="0.25">
      <c r="C85" s="104" t="s">
        <v>297</v>
      </c>
      <c r="D85" s="104" t="s">
        <v>623</v>
      </c>
      <c r="E85" s="104" t="s">
        <v>624</v>
      </c>
      <c r="F85" s="107" t="s">
        <v>625</v>
      </c>
    </row>
    <row r="86" spans="1:6" hidden="1" x14ac:dyDescent="0.25">
      <c r="C86" s="23" t="s">
        <v>626</v>
      </c>
      <c r="D86" s="22">
        <v>913.68642025429153</v>
      </c>
      <c r="E86" s="423">
        <v>1.5</v>
      </c>
      <c r="F86" s="106">
        <f>E86*D86/SUM($D$86:$D$95)</f>
        <v>0.2491872055238977</v>
      </c>
    </row>
    <row r="87" spans="1:6" hidden="1" x14ac:dyDescent="0.25">
      <c r="C87" s="23" t="s">
        <v>627</v>
      </c>
      <c r="D87" s="22">
        <v>909.75658618868067</v>
      </c>
      <c r="E87" s="423">
        <v>1.5</v>
      </c>
      <c r="F87" s="106">
        <f t="shared" ref="F87:F95" si="0">E87*D87/SUM($D$86:$D$95)</f>
        <v>0.24811543259691293</v>
      </c>
    </row>
    <row r="88" spans="1:6" hidden="1" x14ac:dyDescent="0.25">
      <c r="C88" s="23" t="s">
        <v>628</v>
      </c>
      <c r="D88" s="22">
        <v>909.75658618868067</v>
      </c>
      <c r="E88" s="423">
        <v>1.5</v>
      </c>
      <c r="F88" s="106">
        <f t="shared" si="0"/>
        <v>0.24811543259691293</v>
      </c>
    </row>
    <row r="89" spans="1:6" hidden="1" x14ac:dyDescent="0.25">
      <c r="C89" s="105" t="s">
        <v>192</v>
      </c>
      <c r="D89" s="22">
        <v>456.84321012714531</v>
      </c>
      <c r="E89" s="423">
        <v>1</v>
      </c>
      <c r="F89" s="106">
        <f t="shared" si="0"/>
        <v>8.3062401841299149E-2</v>
      </c>
    </row>
    <row r="90" spans="1:6" hidden="1" x14ac:dyDescent="0.25">
      <c r="C90" s="105" t="s">
        <v>629</v>
      </c>
      <c r="D90" s="22">
        <v>456.84321012714531</v>
      </c>
      <c r="E90" s="423">
        <v>0.5</v>
      </c>
      <c r="F90" s="106">
        <f t="shared" si="0"/>
        <v>4.1531200920649575E-2</v>
      </c>
    </row>
    <row r="91" spans="1:6" hidden="1" x14ac:dyDescent="0.25">
      <c r="C91" s="105" t="s">
        <v>201</v>
      </c>
      <c r="D91" s="22">
        <v>763.37881036224758</v>
      </c>
      <c r="E91" s="423">
        <v>0.2</v>
      </c>
      <c r="F91" s="106">
        <f t="shared" si="0"/>
        <v>2.7759229467718093E-2</v>
      </c>
    </row>
    <row r="92" spans="1:6" ht="15" hidden="1" customHeight="1" x14ac:dyDescent="0.25">
      <c r="C92" s="23" t="s">
        <v>630</v>
      </c>
      <c r="D92" s="22">
        <v>118.61264384114607</v>
      </c>
      <c r="E92" s="423">
        <v>3</v>
      </c>
      <c r="F92" s="106">
        <f t="shared" si="0"/>
        <v>6.4697805731534219E-2</v>
      </c>
    </row>
    <row r="93" spans="1:6" hidden="1" x14ac:dyDescent="0.25">
      <c r="C93" s="23" t="s">
        <v>204</v>
      </c>
      <c r="D93" s="22">
        <v>237.22528768229213</v>
      </c>
      <c r="E93" s="423">
        <v>0</v>
      </c>
      <c r="F93" s="95">
        <f t="shared" si="0"/>
        <v>0</v>
      </c>
    </row>
    <row r="94" spans="1:6" hidden="1" x14ac:dyDescent="0.25">
      <c r="C94" s="23" t="s">
        <v>631</v>
      </c>
      <c r="D94" s="22">
        <v>118.61264384114607</v>
      </c>
      <c r="E94" s="423">
        <v>1</v>
      </c>
      <c r="F94" s="106">
        <f t="shared" si="0"/>
        <v>2.1565935243844741E-2</v>
      </c>
    </row>
    <row r="95" spans="1:6" hidden="1" x14ac:dyDescent="0.25">
      <c r="C95" s="23" t="s">
        <v>184</v>
      </c>
      <c r="D95" s="99">
        <v>615.28460138722585</v>
      </c>
      <c r="E95" s="423">
        <v>0</v>
      </c>
      <c r="F95" s="95">
        <f t="shared" si="0"/>
        <v>0</v>
      </c>
    </row>
    <row r="96" spans="1:6" hidden="1" x14ac:dyDescent="0.25">
      <c r="F96" s="9">
        <f>SUM(F86:F95)</f>
        <v>0.98403464392276929</v>
      </c>
    </row>
    <row r="97" spans="1:12" hidden="1" x14ac:dyDescent="0.25"/>
    <row r="98" spans="1:12" hidden="1" x14ac:dyDescent="0.25"/>
    <row r="99" spans="1:12" ht="21.6" hidden="1" customHeight="1" x14ac:dyDescent="0.25">
      <c r="B99" s="659" t="s">
        <v>632</v>
      </c>
      <c r="C99" s="659"/>
      <c r="D99" s="659"/>
      <c r="E99" s="659"/>
      <c r="F99" s="659"/>
      <c r="G99" s="659"/>
      <c r="H99" s="659"/>
      <c r="I99" s="659"/>
      <c r="J99" s="659"/>
    </row>
    <row r="100" spans="1:12" ht="21" hidden="1" customHeight="1" x14ac:dyDescent="0.25">
      <c r="B100" s="52" t="s">
        <v>490</v>
      </c>
      <c r="C100" s="55" t="s">
        <v>633</v>
      </c>
      <c r="D100" s="55" t="s">
        <v>634</v>
      </c>
      <c r="E100" s="55" t="s">
        <v>635</v>
      </c>
      <c r="F100" s="55" t="s">
        <v>636</v>
      </c>
      <c r="G100" s="666" t="s">
        <v>311</v>
      </c>
      <c r="H100" s="667"/>
      <c r="I100" s="667"/>
      <c r="J100" s="667"/>
    </row>
    <row r="101" spans="1:12" ht="27" hidden="1" customHeight="1" x14ac:dyDescent="0.25">
      <c r="B101" s="421" t="s">
        <v>637</v>
      </c>
      <c r="C101" s="56">
        <v>16.1458656</v>
      </c>
      <c r="D101" s="57">
        <v>16.1458656</v>
      </c>
      <c r="E101" s="58">
        <v>6.78</v>
      </c>
      <c r="F101" s="100"/>
      <c r="G101" s="668" t="s">
        <v>638</v>
      </c>
      <c r="H101" s="668"/>
      <c r="I101" s="668"/>
      <c r="J101" s="668"/>
    </row>
    <row r="102" spans="1:12" hidden="1" x14ac:dyDescent="0.25">
      <c r="B102" s="421" t="s">
        <v>639</v>
      </c>
      <c r="C102" s="59">
        <f>B145*249+C145*52+D145*(364-249-52)</f>
        <v>2835.7000000000003</v>
      </c>
      <c r="D102" s="59">
        <f>K145*249+L145*52+M145*(364-249-52)</f>
        <v>2835.7000000000003</v>
      </c>
      <c r="E102" s="59">
        <f>F145*249+G145*52+I145*(364-249-52)</f>
        <v>3837.8149797799215</v>
      </c>
      <c r="F102" s="101"/>
      <c r="G102" s="669"/>
      <c r="H102" s="669"/>
      <c r="I102" s="669"/>
      <c r="J102" s="669"/>
      <c r="K102" s="5">
        <f>D101*D102</f>
        <v>45784.831081920005</v>
      </c>
      <c r="L102" s="5">
        <f>E101*E102</f>
        <v>26020.385562907868</v>
      </c>
    </row>
    <row r="103" spans="1:12" hidden="1" x14ac:dyDescent="0.25">
      <c r="B103" s="416"/>
      <c r="C103" s="25"/>
      <c r="D103" s="25"/>
      <c r="E103" s="25"/>
    </row>
    <row r="104" spans="1:12" hidden="1" x14ac:dyDescent="0.25">
      <c r="B104" s="416"/>
      <c r="C104" s="7"/>
      <c r="D104" s="60"/>
      <c r="F104" s="61"/>
      <c r="G104" s="61"/>
      <c r="H104" s="61"/>
    </row>
    <row r="105" spans="1:12" hidden="1" x14ac:dyDescent="0.25">
      <c r="A105" s="7"/>
      <c r="C105" s="61"/>
      <c r="D105" s="61"/>
    </row>
    <row r="106" spans="1:12" hidden="1" x14ac:dyDescent="0.25">
      <c r="A106" s="7"/>
      <c r="C106" s="61"/>
      <c r="D106" s="61"/>
    </row>
    <row r="107" spans="1:12" hidden="1" x14ac:dyDescent="0.25"/>
    <row r="108" spans="1:12" hidden="1" x14ac:dyDescent="0.25"/>
    <row r="109" spans="1:12" hidden="1" x14ac:dyDescent="0.25"/>
    <row r="110" spans="1:12" hidden="1" x14ac:dyDescent="0.25"/>
    <row r="111" spans="1:12" hidden="1" x14ac:dyDescent="0.25"/>
    <row r="112" spans="1:12" hidden="1" x14ac:dyDescent="0.25"/>
    <row r="113" spans="1:13" hidden="1" x14ac:dyDescent="0.25"/>
    <row r="114" spans="1:13" hidden="1" x14ac:dyDescent="0.25"/>
    <row r="115" spans="1:13" hidden="1" x14ac:dyDescent="0.25"/>
    <row r="116" spans="1:13" hidden="1" x14ac:dyDescent="0.25"/>
    <row r="117" spans="1:13" hidden="1" x14ac:dyDescent="0.25"/>
    <row r="118" spans="1:13" hidden="1" x14ac:dyDescent="0.25"/>
    <row r="119" spans="1:13" hidden="1" x14ac:dyDescent="0.25">
      <c r="B119" s="665"/>
      <c r="C119" s="665"/>
      <c r="D119" s="431"/>
      <c r="F119" s="665" t="s">
        <v>640</v>
      </c>
      <c r="G119" s="665"/>
      <c r="H119" s="665"/>
      <c r="I119" s="665"/>
      <c r="K119" s="665" t="s">
        <v>641</v>
      </c>
      <c r="L119" s="665"/>
      <c r="M119" s="665"/>
    </row>
    <row r="120" spans="1:13" hidden="1" x14ac:dyDescent="0.25">
      <c r="B120" s="5" t="s">
        <v>642</v>
      </c>
      <c r="C120" s="5" t="s">
        <v>643</v>
      </c>
      <c r="D120" s="5" t="s">
        <v>644</v>
      </c>
      <c r="F120" s="98" t="s">
        <v>645</v>
      </c>
      <c r="G120" s="5" t="s">
        <v>646</v>
      </c>
      <c r="I120" s="5" t="s">
        <v>647</v>
      </c>
      <c r="K120" s="5" t="s">
        <v>648</v>
      </c>
      <c r="L120" s="5" t="s">
        <v>649</v>
      </c>
      <c r="M120" s="5" t="s">
        <v>650</v>
      </c>
    </row>
    <row r="121" spans="1:13" hidden="1" x14ac:dyDescent="0.25">
      <c r="A121" s="5">
        <v>1</v>
      </c>
      <c r="B121" s="5">
        <v>0.05</v>
      </c>
      <c r="C121" s="5">
        <v>0.05</v>
      </c>
      <c r="D121" s="5">
        <v>0.05</v>
      </c>
      <c r="F121" s="9">
        <v>0.40947755650000001</v>
      </c>
      <c r="G121" s="9">
        <v>0.1637910226</v>
      </c>
      <c r="H121" s="9"/>
      <c r="I121" s="9">
        <v>0.1637910226</v>
      </c>
      <c r="K121" s="5">
        <v>0.05</v>
      </c>
      <c r="L121" s="5">
        <v>0.05</v>
      </c>
      <c r="M121" s="5">
        <v>0.05</v>
      </c>
    </row>
    <row r="122" spans="1:13" hidden="1" x14ac:dyDescent="0.25">
      <c r="A122" s="5">
        <f>A121+1</f>
        <v>2</v>
      </c>
      <c r="B122" s="5">
        <v>0.05</v>
      </c>
      <c r="C122" s="5">
        <v>0.05</v>
      </c>
      <c r="D122" s="5">
        <v>0.05</v>
      </c>
      <c r="F122" s="9">
        <v>0.40947755650000001</v>
      </c>
      <c r="G122" s="9">
        <v>0.1637910226</v>
      </c>
      <c r="H122" s="9"/>
      <c r="I122" s="9">
        <v>0.1637910226</v>
      </c>
      <c r="K122" s="5">
        <v>0.05</v>
      </c>
      <c r="L122" s="5">
        <v>0.05</v>
      </c>
      <c r="M122" s="5">
        <v>0.05</v>
      </c>
    </row>
    <row r="123" spans="1:13" hidden="1" x14ac:dyDescent="0.25">
      <c r="A123" s="5">
        <f t="shared" ref="A123:A144" si="1">A122+1</f>
        <v>3</v>
      </c>
      <c r="B123" s="5">
        <v>0.05</v>
      </c>
      <c r="C123" s="5">
        <v>0.05</v>
      </c>
      <c r="D123" s="5">
        <v>0.05</v>
      </c>
      <c r="F123" s="9">
        <v>0.40947755650000001</v>
      </c>
      <c r="G123" s="9">
        <v>0.1637910226</v>
      </c>
      <c r="H123" s="9"/>
      <c r="I123" s="9">
        <v>0.1637910226</v>
      </c>
      <c r="K123" s="5">
        <v>0.05</v>
      </c>
      <c r="L123" s="5">
        <v>0.05</v>
      </c>
      <c r="M123" s="5">
        <v>0.05</v>
      </c>
    </row>
    <row r="124" spans="1:13" hidden="1" x14ac:dyDescent="0.25">
      <c r="A124" s="5">
        <f t="shared" si="1"/>
        <v>4</v>
      </c>
      <c r="B124" s="5">
        <v>0.05</v>
      </c>
      <c r="C124" s="5">
        <v>0.05</v>
      </c>
      <c r="D124" s="5">
        <v>0.05</v>
      </c>
      <c r="F124" s="9">
        <v>0.40947755650000001</v>
      </c>
      <c r="G124" s="9">
        <v>0.1637910226</v>
      </c>
      <c r="H124" s="9"/>
      <c r="I124" s="9">
        <v>0.1637910226</v>
      </c>
      <c r="K124" s="5">
        <v>0.05</v>
      </c>
      <c r="L124" s="5">
        <v>0.05</v>
      </c>
      <c r="M124" s="5">
        <v>0.05</v>
      </c>
    </row>
    <row r="125" spans="1:13" hidden="1" x14ac:dyDescent="0.25">
      <c r="A125" s="5">
        <f t="shared" si="1"/>
        <v>5</v>
      </c>
      <c r="B125" s="5">
        <v>0.05</v>
      </c>
      <c r="C125" s="5">
        <v>0.05</v>
      </c>
      <c r="D125" s="5">
        <v>0.05</v>
      </c>
      <c r="F125" s="9">
        <v>0.40947755650000001</v>
      </c>
      <c r="G125" s="9">
        <v>0.1637910226</v>
      </c>
      <c r="H125" s="9"/>
      <c r="I125" s="9">
        <v>0.1637910226</v>
      </c>
      <c r="K125" s="5">
        <v>0.05</v>
      </c>
      <c r="L125" s="5">
        <v>0.05</v>
      </c>
      <c r="M125" s="5">
        <v>0.05</v>
      </c>
    </row>
    <row r="126" spans="1:13" hidden="1" x14ac:dyDescent="0.25">
      <c r="A126" s="5">
        <f t="shared" si="1"/>
        <v>6</v>
      </c>
      <c r="B126" s="5">
        <v>0.1</v>
      </c>
      <c r="C126" s="5">
        <v>0.05</v>
      </c>
      <c r="D126" s="5">
        <v>0.05</v>
      </c>
      <c r="F126" s="9">
        <v>0.40947755650000001</v>
      </c>
      <c r="G126" s="9">
        <v>0.1637910226</v>
      </c>
      <c r="H126" s="9"/>
      <c r="I126" s="9">
        <v>0.1637910226</v>
      </c>
      <c r="K126" s="5">
        <v>0.1</v>
      </c>
      <c r="L126" s="5">
        <v>0.05</v>
      </c>
      <c r="M126" s="5">
        <v>0.05</v>
      </c>
    </row>
    <row r="127" spans="1:13" hidden="1" x14ac:dyDescent="0.25">
      <c r="A127" s="5">
        <f t="shared" si="1"/>
        <v>7</v>
      </c>
      <c r="B127" s="5">
        <v>0.1</v>
      </c>
      <c r="C127" s="5">
        <v>0.1</v>
      </c>
      <c r="D127" s="5">
        <v>0.05</v>
      </c>
      <c r="F127" s="9">
        <v>0.47975263350000003</v>
      </c>
      <c r="G127" s="9">
        <v>0.1637910226</v>
      </c>
      <c r="H127" s="9"/>
      <c r="I127" s="9">
        <v>0.1637910226</v>
      </c>
      <c r="K127" s="5">
        <v>0.1</v>
      </c>
      <c r="L127" s="5">
        <v>0.1</v>
      </c>
      <c r="M127" s="5">
        <v>0.05</v>
      </c>
    </row>
    <row r="128" spans="1:13" hidden="1" x14ac:dyDescent="0.25">
      <c r="A128" s="5">
        <f t="shared" si="1"/>
        <v>8</v>
      </c>
      <c r="B128" s="5">
        <v>0.3</v>
      </c>
      <c r="C128" s="5">
        <v>0.1</v>
      </c>
      <c r="D128" s="5">
        <v>0.05</v>
      </c>
      <c r="F128" s="9">
        <v>0.47975263350000003</v>
      </c>
      <c r="G128" s="9">
        <v>0.1637910226</v>
      </c>
      <c r="H128" s="9"/>
      <c r="I128" s="9">
        <v>0.1637910226</v>
      </c>
      <c r="K128" s="5">
        <v>0.3</v>
      </c>
      <c r="L128" s="5">
        <v>0.1</v>
      </c>
      <c r="M128" s="5">
        <v>0.05</v>
      </c>
    </row>
    <row r="129" spans="1:13" hidden="1" x14ac:dyDescent="0.25">
      <c r="A129" s="5">
        <f t="shared" si="1"/>
        <v>9</v>
      </c>
      <c r="B129" s="5">
        <v>0.9</v>
      </c>
      <c r="C129" s="5">
        <v>0.3</v>
      </c>
      <c r="D129" s="5">
        <v>0.05</v>
      </c>
      <c r="F129" s="9">
        <v>0.95950526700000005</v>
      </c>
      <c r="G129" s="9">
        <v>0.1637910226</v>
      </c>
      <c r="H129" s="9"/>
      <c r="I129" s="9">
        <v>0.1637910226</v>
      </c>
      <c r="K129" s="5">
        <v>0.9</v>
      </c>
      <c r="L129" s="5">
        <v>0.3</v>
      </c>
      <c r="M129" s="5">
        <v>0.05</v>
      </c>
    </row>
    <row r="130" spans="1:13" hidden="1" x14ac:dyDescent="0.25">
      <c r="A130" s="5">
        <f t="shared" si="1"/>
        <v>10</v>
      </c>
      <c r="B130" s="5">
        <v>0.9</v>
      </c>
      <c r="C130" s="5">
        <v>0.3</v>
      </c>
      <c r="D130" s="5">
        <v>0.05</v>
      </c>
      <c r="F130" s="9">
        <v>0.95950526700000005</v>
      </c>
      <c r="G130" s="9">
        <v>0.1637910226</v>
      </c>
      <c r="H130" s="9"/>
      <c r="I130" s="9">
        <v>0.1637910226</v>
      </c>
      <c r="K130" s="5">
        <v>0.9</v>
      </c>
      <c r="L130" s="5">
        <v>0.3</v>
      </c>
      <c r="M130" s="5">
        <v>0.05</v>
      </c>
    </row>
    <row r="131" spans="1:13" hidden="1" x14ac:dyDescent="0.25">
      <c r="A131" s="5">
        <f t="shared" si="1"/>
        <v>11</v>
      </c>
      <c r="B131" s="5">
        <v>0.9</v>
      </c>
      <c r="C131" s="5">
        <v>0.3</v>
      </c>
      <c r="D131" s="5">
        <v>0.05</v>
      </c>
      <c r="F131" s="9">
        <v>0.95950526700000005</v>
      </c>
      <c r="G131" s="9">
        <v>0.1637910226</v>
      </c>
      <c r="H131" s="9"/>
      <c r="I131" s="9">
        <v>0.1637910226</v>
      </c>
      <c r="K131" s="5">
        <v>0.9</v>
      </c>
      <c r="L131" s="5">
        <v>0.3</v>
      </c>
      <c r="M131" s="5">
        <v>0.05</v>
      </c>
    </row>
    <row r="132" spans="1:13" hidden="1" x14ac:dyDescent="0.25">
      <c r="A132" s="5">
        <f t="shared" si="1"/>
        <v>12</v>
      </c>
      <c r="B132" s="5">
        <v>0.9</v>
      </c>
      <c r="C132" s="5">
        <v>0.3</v>
      </c>
      <c r="D132" s="5">
        <v>0.05</v>
      </c>
      <c r="F132" s="9">
        <v>0.95950526700000005</v>
      </c>
      <c r="G132" s="9">
        <v>0.1637910226</v>
      </c>
      <c r="H132" s="9"/>
      <c r="I132" s="9">
        <v>0.1637910226</v>
      </c>
      <c r="K132" s="5">
        <v>0.9</v>
      </c>
      <c r="L132" s="5">
        <v>0.3</v>
      </c>
      <c r="M132" s="5">
        <v>0.05</v>
      </c>
    </row>
    <row r="133" spans="1:13" hidden="1" x14ac:dyDescent="0.25">
      <c r="A133" s="5">
        <f t="shared" si="1"/>
        <v>13</v>
      </c>
      <c r="B133" s="5">
        <v>0.9</v>
      </c>
      <c r="C133" s="5">
        <v>0.15</v>
      </c>
      <c r="D133" s="5">
        <v>0.05</v>
      </c>
      <c r="F133" s="9">
        <v>0.90193495097999998</v>
      </c>
      <c r="G133" s="9">
        <v>0.1637910226</v>
      </c>
      <c r="H133" s="9"/>
      <c r="I133" s="9">
        <v>0.1637910226</v>
      </c>
      <c r="K133" s="5">
        <v>0.9</v>
      </c>
      <c r="L133" s="5">
        <v>0.15</v>
      </c>
      <c r="M133" s="5">
        <v>0.05</v>
      </c>
    </row>
    <row r="134" spans="1:13" hidden="1" x14ac:dyDescent="0.25">
      <c r="A134" s="5">
        <f t="shared" si="1"/>
        <v>14</v>
      </c>
      <c r="B134" s="5">
        <v>0.9</v>
      </c>
      <c r="C134" s="5">
        <v>0.15</v>
      </c>
      <c r="D134" s="5">
        <v>0.05</v>
      </c>
      <c r="F134" s="9">
        <v>0.95950526700000005</v>
      </c>
      <c r="G134" s="9">
        <v>0.1637910226</v>
      </c>
      <c r="H134" s="9"/>
      <c r="I134" s="9">
        <v>0.1637910226</v>
      </c>
      <c r="K134" s="5">
        <v>0.9</v>
      </c>
      <c r="L134" s="5">
        <v>0.15</v>
      </c>
      <c r="M134" s="5">
        <v>0.05</v>
      </c>
    </row>
    <row r="135" spans="1:13" hidden="1" x14ac:dyDescent="0.25">
      <c r="A135" s="5">
        <f t="shared" si="1"/>
        <v>15</v>
      </c>
      <c r="B135" s="5">
        <v>0.9</v>
      </c>
      <c r="C135" s="5">
        <v>0.15</v>
      </c>
      <c r="D135" s="5">
        <v>0.05</v>
      </c>
      <c r="F135" s="9">
        <v>0.95950526700000005</v>
      </c>
      <c r="G135" s="9">
        <v>0.1637910226</v>
      </c>
      <c r="H135" s="9"/>
      <c r="I135" s="9">
        <v>0.1637910226</v>
      </c>
      <c r="K135" s="5">
        <v>0.9</v>
      </c>
      <c r="L135" s="5">
        <v>0.15</v>
      </c>
      <c r="M135" s="5">
        <v>0.05</v>
      </c>
    </row>
    <row r="136" spans="1:13" hidden="1" x14ac:dyDescent="0.25">
      <c r="A136" s="5">
        <f t="shared" si="1"/>
        <v>16</v>
      </c>
      <c r="B136" s="5">
        <v>0.9</v>
      </c>
      <c r="C136" s="5">
        <v>0.15</v>
      </c>
      <c r="D136" s="5">
        <v>0.05</v>
      </c>
      <c r="F136" s="9">
        <v>0.95950526700000005</v>
      </c>
      <c r="G136" s="9">
        <v>0.1637910226</v>
      </c>
      <c r="H136" s="9"/>
      <c r="I136" s="9">
        <v>0.1637910226</v>
      </c>
      <c r="K136" s="5">
        <v>0.9</v>
      </c>
      <c r="L136" s="5">
        <v>0.15</v>
      </c>
      <c r="M136" s="5">
        <v>0.05</v>
      </c>
    </row>
    <row r="137" spans="1:13" hidden="1" x14ac:dyDescent="0.25">
      <c r="A137" s="5">
        <f t="shared" si="1"/>
        <v>17</v>
      </c>
      <c r="B137" s="5">
        <v>0.9</v>
      </c>
      <c r="C137" s="5">
        <v>0.15</v>
      </c>
      <c r="D137" s="5">
        <v>0.05</v>
      </c>
      <c r="F137" s="9">
        <v>0.95950526700000005</v>
      </c>
      <c r="G137" s="9">
        <v>0.1637910226</v>
      </c>
      <c r="H137" s="9"/>
      <c r="I137" s="9">
        <v>0.1637910226</v>
      </c>
      <c r="K137" s="5">
        <v>0.9</v>
      </c>
      <c r="L137" s="5">
        <v>0.15</v>
      </c>
      <c r="M137" s="5">
        <v>0.05</v>
      </c>
    </row>
    <row r="138" spans="1:13" hidden="1" x14ac:dyDescent="0.25">
      <c r="A138" s="5">
        <f t="shared" si="1"/>
        <v>18</v>
      </c>
      <c r="B138" s="5">
        <v>0.5</v>
      </c>
      <c r="C138" s="5">
        <v>0.05</v>
      </c>
      <c r="D138" s="5">
        <v>0.05</v>
      </c>
      <c r="F138" s="9">
        <v>0.47975263350000003</v>
      </c>
      <c r="G138" s="9">
        <v>0.1637910226</v>
      </c>
      <c r="H138" s="9"/>
      <c r="I138" s="9">
        <v>0.1637910226</v>
      </c>
      <c r="K138" s="5">
        <v>0.5</v>
      </c>
      <c r="L138" s="5">
        <v>0.05</v>
      </c>
      <c r="M138" s="5">
        <v>0.05</v>
      </c>
    </row>
    <row r="139" spans="1:13" hidden="1" x14ac:dyDescent="0.25">
      <c r="A139" s="5">
        <f t="shared" si="1"/>
        <v>19</v>
      </c>
      <c r="B139" s="5">
        <v>0.3</v>
      </c>
      <c r="C139" s="5">
        <v>0.05</v>
      </c>
      <c r="D139" s="5">
        <v>0.05</v>
      </c>
      <c r="F139" s="9">
        <v>0.19190105339999999</v>
      </c>
      <c r="G139" s="9">
        <v>0.1637910226</v>
      </c>
      <c r="H139" s="9"/>
      <c r="I139" s="9">
        <v>0.1637910226</v>
      </c>
      <c r="K139" s="5">
        <v>0.3</v>
      </c>
      <c r="L139" s="5">
        <v>0.05</v>
      </c>
      <c r="M139" s="5">
        <v>0.05</v>
      </c>
    </row>
    <row r="140" spans="1:13" hidden="1" x14ac:dyDescent="0.25">
      <c r="A140" s="5">
        <f t="shared" si="1"/>
        <v>20</v>
      </c>
      <c r="B140" s="5">
        <v>0.3</v>
      </c>
      <c r="C140" s="5">
        <v>0.05</v>
      </c>
      <c r="D140" s="5">
        <v>0.05</v>
      </c>
      <c r="F140" s="9">
        <v>0.19190105339999999</v>
      </c>
      <c r="G140" s="9">
        <v>0.1637910226</v>
      </c>
      <c r="H140" s="9"/>
      <c r="I140" s="9">
        <v>0.1637910226</v>
      </c>
      <c r="K140" s="5">
        <v>0.3</v>
      </c>
      <c r="L140" s="5">
        <v>0.05</v>
      </c>
      <c r="M140" s="5">
        <v>0.05</v>
      </c>
    </row>
    <row r="141" spans="1:13" hidden="1" x14ac:dyDescent="0.25">
      <c r="A141" s="5">
        <f>A140+1</f>
        <v>21</v>
      </c>
      <c r="B141" s="5">
        <v>0.2</v>
      </c>
      <c r="C141" s="5">
        <v>0.05</v>
      </c>
      <c r="D141" s="5">
        <v>0.05</v>
      </c>
      <c r="F141" s="9">
        <v>0.19190105339999999</v>
      </c>
      <c r="G141" s="9">
        <v>0.1637910226</v>
      </c>
      <c r="H141" s="9"/>
      <c r="I141" s="9">
        <v>0.1637910226</v>
      </c>
      <c r="K141" s="5">
        <v>0.2</v>
      </c>
      <c r="L141" s="5">
        <v>0.05</v>
      </c>
      <c r="M141" s="5">
        <v>0.05</v>
      </c>
    </row>
    <row r="142" spans="1:13" hidden="1" x14ac:dyDescent="0.25">
      <c r="A142" s="5">
        <f t="shared" si="1"/>
        <v>22</v>
      </c>
      <c r="B142" s="5">
        <v>0.2</v>
      </c>
      <c r="C142" s="5">
        <v>0.05</v>
      </c>
      <c r="D142" s="5">
        <v>0.05</v>
      </c>
      <c r="F142" s="9">
        <v>0.19190105339999999</v>
      </c>
      <c r="G142" s="9">
        <v>0.1637910226</v>
      </c>
      <c r="H142" s="9"/>
      <c r="I142" s="9">
        <v>0.1637910226</v>
      </c>
      <c r="K142" s="5">
        <v>0.2</v>
      </c>
      <c r="L142" s="5">
        <v>0.05</v>
      </c>
      <c r="M142" s="5">
        <v>0.05</v>
      </c>
    </row>
    <row r="143" spans="1:13" hidden="1" x14ac:dyDescent="0.25">
      <c r="A143" s="5">
        <f t="shared" si="1"/>
        <v>23</v>
      </c>
      <c r="B143" s="5">
        <v>0.1</v>
      </c>
      <c r="C143" s="5">
        <v>0.05</v>
      </c>
      <c r="D143" s="5">
        <v>0.05</v>
      </c>
      <c r="F143" s="9">
        <v>0.19190105339999999</v>
      </c>
      <c r="G143" s="9">
        <v>0.1637910226</v>
      </c>
      <c r="H143" s="9"/>
      <c r="I143" s="9">
        <v>0.1637910226</v>
      </c>
      <c r="K143" s="5">
        <v>0.1</v>
      </c>
      <c r="L143" s="5">
        <v>0.05</v>
      </c>
      <c r="M143" s="5">
        <v>0.05</v>
      </c>
    </row>
    <row r="144" spans="1:13" hidden="1" x14ac:dyDescent="0.25">
      <c r="A144" s="5">
        <f t="shared" si="1"/>
        <v>24</v>
      </c>
      <c r="B144" s="5">
        <v>0.05</v>
      </c>
      <c r="C144" s="5">
        <v>0.05</v>
      </c>
      <c r="D144" s="5">
        <v>0.05</v>
      </c>
      <c r="F144" s="9">
        <v>0.1637910226</v>
      </c>
      <c r="G144" s="9">
        <v>0.1637910226</v>
      </c>
      <c r="H144" s="9"/>
      <c r="I144" s="9">
        <v>0.1637910226</v>
      </c>
      <c r="K144" s="5">
        <v>0.05</v>
      </c>
      <c r="L144" s="5">
        <v>0.05</v>
      </c>
      <c r="M144" s="5">
        <v>0.05</v>
      </c>
    </row>
    <row r="145" spans="1:13" hidden="1" x14ac:dyDescent="0.25">
      <c r="B145" s="5">
        <f>SUM(B121:B144)</f>
        <v>10.500000000000002</v>
      </c>
      <c r="C145" s="5">
        <f>SUM(C121:C144)</f>
        <v>2.7999999999999985</v>
      </c>
      <c r="D145" s="5">
        <f>SUM(D121:D144)</f>
        <v>1.2000000000000004</v>
      </c>
      <c r="F145" s="10">
        <f>SUM(F121:F144)</f>
        <v>13.597396616080006</v>
      </c>
      <c r="G145" s="10">
        <f>SUM(G121:G144)</f>
        <v>3.9309845423999983</v>
      </c>
      <c r="H145" s="10"/>
      <c r="I145" s="10">
        <f>SUM(I121:I144)</f>
        <v>3.9309845423999983</v>
      </c>
      <c r="K145" s="5">
        <f>SUM(K121:K144)</f>
        <v>10.500000000000002</v>
      </c>
      <c r="L145" s="5">
        <f>SUM(L121:L144)</f>
        <v>2.7999999999999985</v>
      </c>
      <c r="M145" s="5">
        <f>SUM(M121:M144)</f>
        <v>1.2000000000000004</v>
      </c>
    </row>
    <row r="146" spans="1:13" hidden="1" x14ac:dyDescent="0.25">
      <c r="M146" s="10">
        <f>SUM(K145:M145)</f>
        <v>14.500000000000002</v>
      </c>
    </row>
    <row r="147" spans="1:13" hidden="1" x14ac:dyDescent="0.25"/>
    <row r="148" spans="1:13" s="39" customFormat="1" hidden="1" x14ac:dyDescent="0.25">
      <c r="A148" s="38" t="s">
        <v>651</v>
      </c>
    </row>
    <row r="149" spans="1:13" hidden="1" x14ac:dyDescent="0.25"/>
    <row r="150" spans="1:13" hidden="1" x14ac:dyDescent="0.25">
      <c r="A150" s="5" t="s">
        <v>652</v>
      </c>
    </row>
    <row r="151" spans="1:13" hidden="1" x14ac:dyDescent="0.25">
      <c r="B151" s="5" t="s">
        <v>653</v>
      </c>
    </row>
    <row r="152" spans="1:13" hidden="1" x14ac:dyDescent="0.25">
      <c r="B152" s="5" t="s">
        <v>654</v>
      </c>
    </row>
    <row r="153" spans="1:13" hidden="1" x14ac:dyDescent="0.25">
      <c r="B153" s="5" t="s">
        <v>655</v>
      </c>
    </row>
    <row r="154" spans="1:13" hidden="1" x14ac:dyDescent="0.25">
      <c r="B154" s="5" t="s">
        <v>656</v>
      </c>
    </row>
    <row r="155" spans="1:13" hidden="1" x14ac:dyDescent="0.25">
      <c r="B155" s="5" t="s">
        <v>657</v>
      </c>
    </row>
    <row r="156" spans="1:13" hidden="1" x14ac:dyDescent="0.25">
      <c r="B156" s="5" t="s">
        <v>658</v>
      </c>
    </row>
    <row r="157" spans="1:13" hidden="1" x14ac:dyDescent="0.25">
      <c r="B157" s="5" t="s">
        <v>659</v>
      </c>
    </row>
    <row r="158" spans="1:13" hidden="1" x14ac:dyDescent="0.25">
      <c r="B158" s="5" t="s">
        <v>660</v>
      </c>
    </row>
    <row r="159" spans="1:13" hidden="1" x14ac:dyDescent="0.25">
      <c r="B159" s="5" t="s">
        <v>661</v>
      </c>
    </row>
    <row r="160" spans="1:13" hidden="1" x14ac:dyDescent="0.25">
      <c r="B160" s="5" t="s">
        <v>662</v>
      </c>
    </row>
    <row r="161" spans="2:2" hidden="1" x14ac:dyDescent="0.25">
      <c r="B161" s="5" t="s">
        <v>663</v>
      </c>
    </row>
    <row r="162" spans="2:2" hidden="1" x14ac:dyDescent="0.25">
      <c r="B162" s="5" t="s">
        <v>664</v>
      </c>
    </row>
    <row r="163" spans="2:2" hidden="1" x14ac:dyDescent="0.25">
      <c r="B163" s="5" t="s">
        <v>665</v>
      </c>
    </row>
    <row r="164" spans="2:2" hidden="1" x14ac:dyDescent="0.25">
      <c r="B164" s="5" t="s">
        <v>666</v>
      </c>
    </row>
    <row r="165" spans="2:2" hidden="1" x14ac:dyDescent="0.25">
      <c r="B165" s="5" t="s">
        <v>667</v>
      </c>
    </row>
    <row r="166" spans="2:2" hidden="1" x14ac:dyDescent="0.25">
      <c r="B166" s="5" t="s">
        <v>668</v>
      </c>
    </row>
    <row r="167" spans="2:2" hidden="1" x14ac:dyDescent="0.25">
      <c r="B167" s="5" t="s">
        <v>669</v>
      </c>
    </row>
    <row r="168" spans="2:2" hidden="1" x14ac:dyDescent="0.25">
      <c r="B168" s="5" t="s">
        <v>670</v>
      </c>
    </row>
    <row r="169" spans="2:2" hidden="1" x14ac:dyDescent="0.25">
      <c r="B169" s="5" t="s">
        <v>671</v>
      </c>
    </row>
    <row r="170" spans="2:2" hidden="1" x14ac:dyDescent="0.25">
      <c r="B170" s="5" t="s">
        <v>672</v>
      </c>
    </row>
    <row r="171" spans="2:2" hidden="1" x14ac:dyDescent="0.25">
      <c r="B171" s="5" t="s">
        <v>673</v>
      </c>
    </row>
    <row r="172" spans="2:2" hidden="1" x14ac:dyDescent="0.25">
      <c r="B172" s="5" t="s">
        <v>674</v>
      </c>
    </row>
    <row r="173" spans="2:2" hidden="1" x14ac:dyDescent="0.25">
      <c r="B173" s="5" t="s">
        <v>669</v>
      </c>
    </row>
    <row r="174" spans="2:2" hidden="1" x14ac:dyDescent="0.25">
      <c r="B174" s="5" t="s">
        <v>675</v>
      </c>
    </row>
    <row r="175" spans="2:2" hidden="1" x14ac:dyDescent="0.25">
      <c r="B175" s="5" t="s">
        <v>676</v>
      </c>
    </row>
    <row r="176" spans="2:2" hidden="1" x14ac:dyDescent="0.25"/>
    <row r="177" spans="1:1" hidden="1" x14ac:dyDescent="0.25"/>
    <row r="178" spans="1:1" hidden="1" x14ac:dyDescent="0.25"/>
    <row r="179" spans="1:1" hidden="1" x14ac:dyDescent="0.25"/>
    <row r="180" spans="1:1" s="39" customFormat="1" hidden="1" x14ac:dyDescent="0.25">
      <c r="A180" s="38" t="s">
        <v>640</v>
      </c>
    </row>
    <row r="181" spans="1:1" hidden="1" x14ac:dyDescent="0.25"/>
    <row r="182" spans="1:1" hidden="1" x14ac:dyDescent="0.25"/>
    <row r="183" spans="1:1" hidden="1" x14ac:dyDescent="0.25">
      <c r="A183" s="8"/>
    </row>
    <row r="184" spans="1:1" hidden="1" x14ac:dyDescent="0.25">
      <c r="A184" s="8"/>
    </row>
    <row r="185" spans="1:1" hidden="1" x14ac:dyDescent="0.25">
      <c r="A185" s="8" t="s">
        <v>652</v>
      </c>
    </row>
    <row r="186" spans="1:1" hidden="1" x14ac:dyDescent="0.25">
      <c r="A186" s="8" t="s">
        <v>677</v>
      </c>
    </row>
    <row r="187" spans="1:1" hidden="1" x14ac:dyDescent="0.25">
      <c r="A187" s="8" t="s">
        <v>678</v>
      </c>
    </row>
    <row r="188" spans="1:1" hidden="1" x14ac:dyDescent="0.25">
      <c r="A188" s="8" t="s">
        <v>679</v>
      </c>
    </row>
    <row r="189" spans="1:1" hidden="1" x14ac:dyDescent="0.25">
      <c r="A189" s="8" t="s">
        <v>680</v>
      </c>
    </row>
    <row r="190" spans="1:1" hidden="1" x14ac:dyDescent="0.25">
      <c r="A190" s="8" t="s">
        <v>681</v>
      </c>
    </row>
    <row r="191" spans="1:1" hidden="1" x14ac:dyDescent="0.25">
      <c r="A191" s="8" t="s">
        <v>682</v>
      </c>
    </row>
    <row r="192" spans="1:1" hidden="1" x14ac:dyDescent="0.25">
      <c r="A192" s="8" t="s">
        <v>683</v>
      </c>
    </row>
    <row r="193" spans="1:1" hidden="1" x14ac:dyDescent="0.25">
      <c r="A193" s="8" t="s">
        <v>684</v>
      </c>
    </row>
    <row r="194" spans="1:1" hidden="1" x14ac:dyDescent="0.25">
      <c r="A194" s="8" t="s">
        <v>685</v>
      </c>
    </row>
    <row r="195" spans="1:1" hidden="1" x14ac:dyDescent="0.25">
      <c r="A195" s="8" t="s">
        <v>686</v>
      </c>
    </row>
    <row r="196" spans="1:1" hidden="1" x14ac:dyDescent="0.25">
      <c r="A196" s="8" t="s">
        <v>687</v>
      </c>
    </row>
    <row r="197" spans="1:1" hidden="1" x14ac:dyDescent="0.25">
      <c r="A197" s="8" t="s">
        <v>688</v>
      </c>
    </row>
    <row r="198" spans="1:1" hidden="1" x14ac:dyDescent="0.25">
      <c r="A198" s="8" t="s">
        <v>689</v>
      </c>
    </row>
    <row r="199" spans="1:1" hidden="1" x14ac:dyDescent="0.25">
      <c r="A199" s="8" t="s">
        <v>690</v>
      </c>
    </row>
    <row r="200" spans="1:1" hidden="1" x14ac:dyDescent="0.25">
      <c r="A200" s="8" t="s">
        <v>691</v>
      </c>
    </row>
    <row r="201" spans="1:1" hidden="1" x14ac:dyDescent="0.25">
      <c r="A201" s="8" t="s">
        <v>692</v>
      </c>
    </row>
    <row r="202" spans="1:1" hidden="1" x14ac:dyDescent="0.25">
      <c r="A202" s="8" t="s">
        <v>693</v>
      </c>
    </row>
    <row r="203" spans="1:1" hidden="1" x14ac:dyDescent="0.25">
      <c r="A203" s="8" t="s">
        <v>694</v>
      </c>
    </row>
    <row r="204" spans="1:1" hidden="1" x14ac:dyDescent="0.25">
      <c r="A204" s="8" t="s">
        <v>695</v>
      </c>
    </row>
    <row r="205" spans="1:1" hidden="1" x14ac:dyDescent="0.25">
      <c r="A205" s="8" t="s">
        <v>696</v>
      </c>
    </row>
    <row r="206" spans="1:1" hidden="1" x14ac:dyDescent="0.25">
      <c r="A206" s="8" t="s">
        <v>697</v>
      </c>
    </row>
    <row r="207" spans="1:1" hidden="1" x14ac:dyDescent="0.25">
      <c r="A207" s="8" t="s">
        <v>698</v>
      </c>
    </row>
    <row r="208" spans="1:1" hidden="1" x14ac:dyDescent="0.25">
      <c r="A208" s="8" t="s">
        <v>699</v>
      </c>
    </row>
    <row r="209" spans="1:6" hidden="1" x14ac:dyDescent="0.25">
      <c r="A209" s="8" t="s">
        <v>700</v>
      </c>
    </row>
    <row r="210" spans="1:6" hidden="1" x14ac:dyDescent="0.25"/>
    <row r="211" spans="1:6" hidden="1" x14ac:dyDescent="0.25"/>
    <row r="212" spans="1:6" hidden="1" x14ac:dyDescent="0.25"/>
    <row r="213" spans="1:6" s="39" customFormat="1" hidden="1" x14ac:dyDescent="0.25">
      <c r="A213" s="38" t="s">
        <v>701</v>
      </c>
    </row>
    <row r="214" spans="1:6" hidden="1" x14ac:dyDescent="0.25"/>
    <row r="215" spans="1:6" hidden="1" x14ac:dyDescent="0.25">
      <c r="A215" s="5" t="s">
        <v>702</v>
      </c>
      <c r="C215" s="5" t="s">
        <v>702</v>
      </c>
      <c r="F215" s="5" t="s">
        <v>702</v>
      </c>
    </row>
    <row r="216" spans="1:6" hidden="1" x14ac:dyDescent="0.25">
      <c r="A216" s="5" t="s">
        <v>703</v>
      </c>
      <c r="C216" s="5" t="s">
        <v>704</v>
      </c>
      <c r="F216" s="5" t="s">
        <v>705</v>
      </c>
    </row>
    <row r="217" spans="1:6" hidden="1" x14ac:dyDescent="0.25">
      <c r="A217" s="5" t="s">
        <v>706</v>
      </c>
      <c r="C217" s="5" t="s">
        <v>706</v>
      </c>
      <c r="F217" s="5" t="s">
        <v>706</v>
      </c>
    </row>
    <row r="218" spans="1:6" hidden="1" x14ac:dyDescent="0.25">
      <c r="A218" s="5" t="s">
        <v>707</v>
      </c>
      <c r="C218" s="5" t="s">
        <v>707</v>
      </c>
      <c r="F218" s="5" t="s">
        <v>707</v>
      </c>
    </row>
    <row r="219" spans="1:6" hidden="1" x14ac:dyDescent="0.25">
      <c r="A219" s="5" t="s">
        <v>708</v>
      </c>
      <c r="C219" s="5" t="s">
        <v>708</v>
      </c>
      <c r="F219" s="5" t="s">
        <v>708</v>
      </c>
    </row>
    <row r="220" spans="1:6" hidden="1" x14ac:dyDescent="0.25">
      <c r="A220" s="5" t="s">
        <v>709</v>
      </c>
      <c r="C220" s="5" t="s">
        <v>709</v>
      </c>
      <c r="F220" s="5" t="s">
        <v>709</v>
      </c>
    </row>
    <row r="221" spans="1:6" hidden="1" x14ac:dyDescent="0.25">
      <c r="A221" s="5" t="s">
        <v>710</v>
      </c>
      <c r="C221" s="5" t="s">
        <v>710</v>
      </c>
      <c r="F221" s="5" t="s">
        <v>710</v>
      </c>
    </row>
    <row r="222" spans="1:6" hidden="1" x14ac:dyDescent="0.25">
      <c r="A222" s="5" t="s">
        <v>709</v>
      </c>
      <c r="C222" s="5" t="s">
        <v>709</v>
      </c>
      <c r="F222" s="5" t="s">
        <v>709</v>
      </c>
    </row>
    <row r="223" spans="1:6" hidden="1" x14ac:dyDescent="0.25">
      <c r="A223" s="5" t="s">
        <v>711</v>
      </c>
      <c r="C223" s="5" t="s">
        <v>711</v>
      </c>
      <c r="F223" s="5" t="s">
        <v>711</v>
      </c>
    </row>
    <row r="224" spans="1:6" hidden="1" x14ac:dyDescent="0.25">
      <c r="A224" s="5" t="s">
        <v>709</v>
      </c>
      <c r="C224" s="5" t="s">
        <v>709</v>
      </c>
      <c r="F224" s="5" t="s">
        <v>709</v>
      </c>
    </row>
    <row r="225" spans="1:6" hidden="1" x14ac:dyDescent="0.25">
      <c r="A225" s="5" t="s">
        <v>712</v>
      </c>
      <c r="C225" s="5" t="s">
        <v>712</v>
      </c>
      <c r="F225" s="5" t="s">
        <v>712</v>
      </c>
    </row>
    <row r="226" spans="1:6" hidden="1" x14ac:dyDescent="0.25">
      <c r="A226" s="5" t="s">
        <v>709</v>
      </c>
      <c r="C226" s="5" t="s">
        <v>709</v>
      </c>
      <c r="F226" s="5" t="s">
        <v>709</v>
      </c>
    </row>
    <row r="227" spans="1:6" hidden="1" x14ac:dyDescent="0.25">
      <c r="A227" s="5" t="s">
        <v>713</v>
      </c>
      <c r="C227" s="5" t="s">
        <v>713</v>
      </c>
      <c r="F227" s="5" t="s">
        <v>713</v>
      </c>
    </row>
    <row r="228" spans="1:6" hidden="1" x14ac:dyDescent="0.25">
      <c r="A228" s="5" t="s">
        <v>709</v>
      </c>
      <c r="C228" s="5" t="s">
        <v>709</v>
      </c>
      <c r="F228" s="5" t="s">
        <v>709</v>
      </c>
    </row>
    <row r="229" spans="1:6" hidden="1" x14ac:dyDescent="0.25">
      <c r="A229" s="5" t="s">
        <v>714</v>
      </c>
      <c r="C229" s="5" t="s">
        <v>714</v>
      </c>
      <c r="F229" s="5" t="s">
        <v>714</v>
      </c>
    </row>
    <row r="230" spans="1:6" hidden="1" x14ac:dyDescent="0.25">
      <c r="A230" s="5" t="s">
        <v>715</v>
      </c>
      <c r="C230" s="5" t="s">
        <v>709</v>
      </c>
      <c r="F230" s="5" t="s">
        <v>709</v>
      </c>
    </row>
    <row r="231" spans="1:6" hidden="1" x14ac:dyDescent="0.25">
      <c r="A231" s="5" t="s">
        <v>716</v>
      </c>
      <c r="C231" s="5" t="s">
        <v>716</v>
      </c>
      <c r="F231" s="5" t="s">
        <v>716</v>
      </c>
    </row>
    <row r="232" spans="1:6" hidden="1" x14ac:dyDescent="0.25">
      <c r="A232" s="5" t="s">
        <v>715</v>
      </c>
      <c r="C232" s="5" t="s">
        <v>715</v>
      </c>
      <c r="F232" s="5" t="s">
        <v>709</v>
      </c>
    </row>
    <row r="233" spans="1:6" hidden="1" x14ac:dyDescent="0.25">
      <c r="A233" s="5" t="s">
        <v>717</v>
      </c>
      <c r="C233" s="5" t="s">
        <v>717</v>
      </c>
      <c r="F233" s="5" t="s">
        <v>717</v>
      </c>
    </row>
    <row r="234" spans="1:6" hidden="1" x14ac:dyDescent="0.25">
      <c r="A234" s="5" t="s">
        <v>718</v>
      </c>
      <c r="C234" s="5" t="s">
        <v>715</v>
      </c>
      <c r="F234" s="5" t="s">
        <v>709</v>
      </c>
    </row>
    <row r="235" spans="1:6" hidden="1" x14ac:dyDescent="0.25">
      <c r="A235" s="5" t="s">
        <v>719</v>
      </c>
      <c r="C235" s="5" t="s">
        <v>719</v>
      </c>
      <c r="F235" s="5" t="s">
        <v>719</v>
      </c>
    </row>
    <row r="236" spans="1:6" hidden="1" x14ac:dyDescent="0.25">
      <c r="A236" s="5" t="s">
        <v>720</v>
      </c>
      <c r="C236" s="5" t="s">
        <v>718</v>
      </c>
      <c r="F236" s="5" t="s">
        <v>709</v>
      </c>
    </row>
    <row r="237" spans="1:6" hidden="1" x14ac:dyDescent="0.25">
      <c r="A237" s="5" t="s">
        <v>721</v>
      </c>
      <c r="C237" s="5" t="s">
        <v>721</v>
      </c>
      <c r="F237" s="5" t="s">
        <v>721</v>
      </c>
    </row>
    <row r="238" spans="1:6" hidden="1" x14ac:dyDescent="0.25">
      <c r="A238" s="5" t="s">
        <v>720</v>
      </c>
      <c r="C238" s="5" t="s">
        <v>718</v>
      </c>
      <c r="F238" s="5" t="s">
        <v>709</v>
      </c>
    </row>
    <row r="239" spans="1:6" hidden="1" x14ac:dyDescent="0.25">
      <c r="A239" s="5" t="s">
        <v>722</v>
      </c>
      <c r="C239" s="5" t="s">
        <v>722</v>
      </c>
      <c r="F239" s="5" t="s">
        <v>722</v>
      </c>
    </row>
    <row r="240" spans="1:6" hidden="1" x14ac:dyDescent="0.25">
      <c r="A240" s="5" t="s">
        <v>720</v>
      </c>
      <c r="C240" s="5" t="s">
        <v>718</v>
      </c>
      <c r="F240" s="5" t="s">
        <v>709</v>
      </c>
    </row>
    <row r="241" spans="1:6" hidden="1" x14ac:dyDescent="0.25">
      <c r="A241" s="5" t="s">
        <v>723</v>
      </c>
      <c r="C241" s="5" t="s">
        <v>723</v>
      </c>
      <c r="F241" s="5" t="s">
        <v>723</v>
      </c>
    </row>
    <row r="242" spans="1:6" hidden="1" x14ac:dyDescent="0.25">
      <c r="A242" s="5" t="s">
        <v>720</v>
      </c>
      <c r="C242" s="5" t="s">
        <v>718</v>
      </c>
      <c r="F242" s="5" t="s">
        <v>709</v>
      </c>
    </row>
    <row r="243" spans="1:6" hidden="1" x14ac:dyDescent="0.25">
      <c r="A243" s="5" t="s">
        <v>724</v>
      </c>
      <c r="C243" s="5" t="s">
        <v>724</v>
      </c>
      <c r="F243" s="5" t="s">
        <v>724</v>
      </c>
    </row>
    <row r="244" spans="1:6" hidden="1" x14ac:dyDescent="0.25">
      <c r="A244" s="5" t="s">
        <v>720</v>
      </c>
      <c r="C244" s="5" t="s">
        <v>725</v>
      </c>
      <c r="F244" s="5" t="s">
        <v>709</v>
      </c>
    </row>
    <row r="245" spans="1:6" hidden="1" x14ac:dyDescent="0.25">
      <c r="A245" s="5" t="s">
        <v>726</v>
      </c>
      <c r="C245" s="5" t="s">
        <v>726</v>
      </c>
      <c r="F245" s="5" t="s">
        <v>726</v>
      </c>
    </row>
    <row r="246" spans="1:6" hidden="1" x14ac:dyDescent="0.25">
      <c r="A246" s="5" t="s">
        <v>720</v>
      </c>
      <c r="C246" s="5" t="s">
        <v>725</v>
      </c>
      <c r="F246" s="5" t="s">
        <v>709</v>
      </c>
    </row>
    <row r="247" spans="1:6" hidden="1" x14ac:dyDescent="0.25">
      <c r="A247" s="5" t="s">
        <v>727</v>
      </c>
      <c r="C247" s="5" t="s">
        <v>727</v>
      </c>
      <c r="F247" s="5" t="s">
        <v>727</v>
      </c>
    </row>
    <row r="248" spans="1:6" hidden="1" x14ac:dyDescent="0.25">
      <c r="A248" s="5" t="s">
        <v>720</v>
      </c>
      <c r="C248" s="5" t="s">
        <v>725</v>
      </c>
      <c r="F248" s="5" t="s">
        <v>709</v>
      </c>
    </row>
    <row r="249" spans="1:6" hidden="1" x14ac:dyDescent="0.25">
      <c r="A249" s="5" t="s">
        <v>728</v>
      </c>
      <c r="C249" s="5" t="s">
        <v>728</v>
      </c>
      <c r="F249" s="5" t="s">
        <v>728</v>
      </c>
    </row>
    <row r="250" spans="1:6" hidden="1" x14ac:dyDescent="0.25">
      <c r="A250" s="5" t="s">
        <v>720</v>
      </c>
      <c r="C250" s="5" t="s">
        <v>725</v>
      </c>
      <c r="F250" s="5" t="s">
        <v>709</v>
      </c>
    </row>
    <row r="251" spans="1:6" hidden="1" x14ac:dyDescent="0.25">
      <c r="A251" s="5" t="s">
        <v>729</v>
      </c>
      <c r="C251" s="5" t="s">
        <v>729</v>
      </c>
      <c r="F251" s="5" t="s">
        <v>729</v>
      </c>
    </row>
    <row r="252" spans="1:6" hidden="1" x14ac:dyDescent="0.25">
      <c r="A252" s="5" t="s">
        <v>720</v>
      </c>
      <c r="C252" s="5" t="s">
        <v>725</v>
      </c>
      <c r="F252" s="5" t="s">
        <v>709</v>
      </c>
    </row>
    <row r="253" spans="1:6" hidden="1" x14ac:dyDescent="0.25">
      <c r="A253" s="5" t="s">
        <v>730</v>
      </c>
      <c r="C253" s="5" t="s">
        <v>730</v>
      </c>
      <c r="F253" s="5" t="s">
        <v>730</v>
      </c>
    </row>
    <row r="254" spans="1:6" hidden="1" x14ac:dyDescent="0.25">
      <c r="A254" s="5" t="s">
        <v>731</v>
      </c>
      <c r="C254" s="5" t="s">
        <v>709</v>
      </c>
      <c r="F254" s="5" t="s">
        <v>709</v>
      </c>
    </row>
    <row r="255" spans="1:6" hidden="1" x14ac:dyDescent="0.25">
      <c r="A255" s="5" t="s">
        <v>732</v>
      </c>
      <c r="C255" s="5" t="s">
        <v>732</v>
      </c>
      <c r="F255" s="5" t="s">
        <v>732</v>
      </c>
    </row>
    <row r="256" spans="1:6" hidden="1" x14ac:dyDescent="0.25">
      <c r="A256" s="5" t="s">
        <v>718</v>
      </c>
      <c r="C256" s="5" t="s">
        <v>709</v>
      </c>
      <c r="F256" s="5" t="s">
        <v>709</v>
      </c>
    </row>
    <row r="257" spans="1:6" hidden="1" x14ac:dyDescent="0.25">
      <c r="A257" s="5" t="s">
        <v>733</v>
      </c>
      <c r="C257" s="5" t="s">
        <v>733</v>
      </c>
      <c r="F257" s="5" t="s">
        <v>733</v>
      </c>
    </row>
    <row r="258" spans="1:6" hidden="1" x14ac:dyDescent="0.25">
      <c r="A258" s="5" t="s">
        <v>718</v>
      </c>
      <c r="C258" s="5" t="s">
        <v>709</v>
      </c>
      <c r="F258" s="5" t="s">
        <v>709</v>
      </c>
    </row>
    <row r="259" spans="1:6" hidden="1" x14ac:dyDescent="0.25">
      <c r="A259" s="5" t="s">
        <v>734</v>
      </c>
      <c r="C259" s="5" t="s">
        <v>734</v>
      </c>
      <c r="F259" s="5" t="s">
        <v>734</v>
      </c>
    </row>
    <row r="260" spans="1:6" hidden="1" x14ac:dyDescent="0.25">
      <c r="A260" s="5" t="s">
        <v>735</v>
      </c>
      <c r="C260" s="5" t="s">
        <v>709</v>
      </c>
      <c r="F260" s="5" t="s">
        <v>709</v>
      </c>
    </row>
    <row r="261" spans="1:6" hidden="1" x14ac:dyDescent="0.25">
      <c r="A261" s="5" t="s">
        <v>736</v>
      </c>
      <c r="C261" s="5" t="s">
        <v>736</v>
      </c>
      <c r="F261" s="5" t="s">
        <v>736</v>
      </c>
    </row>
    <row r="262" spans="1:6" hidden="1" x14ac:dyDescent="0.25">
      <c r="A262" s="5" t="s">
        <v>735</v>
      </c>
      <c r="C262" s="5" t="s">
        <v>709</v>
      </c>
      <c r="F262" s="5" t="s">
        <v>709</v>
      </c>
    </row>
    <row r="263" spans="1:6" hidden="1" x14ac:dyDescent="0.25">
      <c r="A263" s="5" t="s">
        <v>737</v>
      </c>
      <c r="C263" s="5" t="s">
        <v>737</v>
      </c>
      <c r="F263" s="5" t="s">
        <v>737</v>
      </c>
    </row>
    <row r="264" spans="1:6" hidden="1" x14ac:dyDescent="0.25">
      <c r="A264" s="5" t="s">
        <v>715</v>
      </c>
      <c r="C264" s="5" t="s">
        <v>709</v>
      </c>
      <c r="F264" s="5" t="s">
        <v>709</v>
      </c>
    </row>
    <row r="265" spans="1:6" hidden="1" x14ac:dyDescent="0.25">
      <c r="A265" s="5" t="s">
        <v>738</v>
      </c>
      <c r="C265" s="5" t="s">
        <v>738</v>
      </c>
      <c r="F265" s="5" t="s">
        <v>738</v>
      </c>
    </row>
    <row r="266" spans="1:6" hidden="1" x14ac:dyDescent="0.25">
      <c r="A266" s="5" t="s">
        <v>739</v>
      </c>
      <c r="C266" s="5" t="s">
        <v>739</v>
      </c>
      <c r="F266" s="5" t="s">
        <v>739</v>
      </c>
    </row>
    <row r="267" spans="1:6" hidden="1" x14ac:dyDescent="0.25">
      <c r="A267" s="670"/>
      <c r="B267" s="670"/>
      <c r="C267" s="670"/>
      <c r="D267" s="670"/>
      <c r="E267" s="670"/>
    </row>
    <row r="268" spans="1:6" x14ac:dyDescent="0.25">
      <c r="A268" s="555"/>
      <c r="B268" s="555"/>
      <c r="C268" s="555"/>
      <c r="D268" s="555"/>
      <c r="E268" s="555"/>
    </row>
    <row r="269" spans="1:6" x14ac:dyDescent="0.25">
      <c r="A269" s="555"/>
      <c r="B269" s="555"/>
      <c r="C269" s="555"/>
      <c r="D269" s="555"/>
      <c r="E269" s="555"/>
    </row>
    <row r="270" spans="1:6" x14ac:dyDescent="0.25">
      <c r="A270" s="553"/>
      <c r="B270" s="553"/>
      <c r="C270" s="553"/>
      <c r="D270" s="553"/>
      <c r="E270" s="553"/>
    </row>
    <row r="271" spans="1:6" x14ac:dyDescent="0.25">
      <c r="A271" s="553"/>
      <c r="B271" s="553"/>
      <c r="C271" s="7"/>
      <c r="D271" s="555"/>
      <c r="E271" s="555"/>
    </row>
    <row r="272" spans="1:6" x14ac:dyDescent="0.25">
      <c r="A272" s="553"/>
      <c r="B272" s="553"/>
      <c r="C272" s="7"/>
      <c r="D272" s="555"/>
      <c r="E272" s="555"/>
    </row>
    <row r="273" spans="1:5" x14ac:dyDescent="0.25">
      <c r="A273" s="553"/>
      <c r="B273" s="553"/>
      <c r="C273" s="7"/>
      <c r="D273" s="555"/>
      <c r="E273" s="555"/>
    </row>
    <row r="274" spans="1:5" x14ac:dyDescent="0.25">
      <c r="A274" s="671"/>
      <c r="B274" s="671"/>
      <c r="C274" s="671"/>
      <c r="D274" s="671"/>
      <c r="E274" s="671"/>
    </row>
  </sheetData>
  <mergeCells count="26">
    <mergeCell ref="A272:B272"/>
    <mergeCell ref="D272:E272"/>
    <mergeCell ref="A273:B273"/>
    <mergeCell ref="D273:E273"/>
    <mergeCell ref="A274:E274"/>
    <mergeCell ref="A267:E267"/>
    <mergeCell ref="A268:E268"/>
    <mergeCell ref="A269:E269"/>
    <mergeCell ref="A270:E270"/>
    <mergeCell ref="A271:B271"/>
    <mergeCell ref="D271:E271"/>
    <mergeCell ref="K119:M119"/>
    <mergeCell ref="B119:C119"/>
    <mergeCell ref="F119:I119"/>
    <mergeCell ref="G100:J100"/>
    <mergeCell ref="G101:J101"/>
    <mergeCell ref="G102:J102"/>
    <mergeCell ref="A1:F1"/>
    <mergeCell ref="B99:J99"/>
    <mergeCell ref="C84:F84"/>
    <mergeCell ref="E3:E5"/>
    <mergeCell ref="E7:E8"/>
    <mergeCell ref="E10:E13"/>
    <mergeCell ref="A22:E22"/>
    <mergeCell ref="A24:A25"/>
    <mergeCell ref="A16:K1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827D664-5953-45D6-9A6D-E478EB842E5D}">
          <x14:formula1>
            <xm:f>Data!$A$2:$A$200</xm:f>
          </x14:formula1>
          <xm:sqref>A4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N258"/>
  <sheetViews>
    <sheetView zoomScale="85" zoomScaleNormal="85" workbookViewId="0">
      <pane xSplit="5" ySplit="3" topLeftCell="F4" activePane="bottomRight" state="frozen"/>
      <selection pane="topRight" activeCell="F1" sqref="F1"/>
      <selection pane="bottomLeft" activeCell="A4" sqref="A4"/>
      <selection pane="bottomRight" sqref="A1:AC1"/>
    </sheetView>
  </sheetViews>
  <sheetFormatPr defaultColWidth="9.33203125" defaultRowHeight="11.4" x14ac:dyDescent="0.3"/>
  <cols>
    <col min="1" max="1" width="18" style="62" customWidth="1"/>
    <col min="2" max="3" width="18.33203125" style="62" customWidth="1"/>
    <col min="4" max="4" width="19.6640625" style="62" customWidth="1"/>
    <col min="5" max="5" width="12.44140625" style="62" customWidth="1"/>
    <col min="6" max="6" width="6" style="62" customWidth="1"/>
    <col min="7" max="29" width="5.6640625" style="62" customWidth="1"/>
    <col min="30" max="30" width="10.109375" style="62" customWidth="1"/>
    <col min="31" max="16384" width="9.33203125" style="62"/>
  </cols>
  <sheetData>
    <row r="1" spans="1:39" ht="24" customHeight="1" x14ac:dyDescent="0.3">
      <c r="A1" s="737" t="s">
        <v>740</v>
      </c>
      <c r="B1" s="737"/>
      <c r="C1" s="737"/>
      <c r="D1" s="737"/>
      <c r="E1" s="737"/>
      <c r="F1" s="737"/>
      <c r="G1" s="737"/>
      <c r="H1" s="737"/>
      <c r="I1" s="737"/>
      <c r="J1" s="737"/>
      <c r="K1" s="737"/>
      <c r="L1" s="737"/>
      <c r="M1" s="737"/>
      <c r="N1" s="737"/>
      <c r="O1" s="737"/>
      <c r="P1" s="737"/>
      <c r="Q1" s="737"/>
      <c r="R1" s="737"/>
      <c r="S1" s="737"/>
      <c r="T1" s="737"/>
      <c r="U1" s="737"/>
      <c r="V1" s="737"/>
      <c r="W1" s="737"/>
      <c r="X1" s="737"/>
      <c r="Y1" s="737"/>
      <c r="Z1" s="737"/>
      <c r="AA1" s="737"/>
      <c r="AB1" s="737"/>
      <c r="AC1" s="738"/>
      <c r="AD1" s="69"/>
      <c r="AE1" s="69"/>
      <c r="AF1" s="69"/>
      <c r="AG1" s="69"/>
      <c r="AH1" s="69"/>
      <c r="AI1" s="70"/>
      <c r="AJ1" s="70"/>
      <c r="AK1" s="70"/>
    </row>
    <row r="2" spans="1:39" ht="24" customHeight="1" x14ac:dyDescent="0.3">
      <c r="A2" s="735" t="s">
        <v>741</v>
      </c>
      <c r="B2" s="735" t="s">
        <v>109</v>
      </c>
      <c r="C2" s="735" t="s">
        <v>742</v>
      </c>
      <c r="D2" s="735" t="s">
        <v>230</v>
      </c>
      <c r="E2" s="735" t="s">
        <v>743</v>
      </c>
      <c r="F2" s="734" t="s">
        <v>744</v>
      </c>
      <c r="G2" s="734"/>
      <c r="H2" s="734"/>
      <c r="I2" s="734"/>
      <c r="J2" s="734"/>
      <c r="K2" s="734"/>
      <c r="L2" s="734"/>
      <c r="M2" s="734"/>
      <c r="N2" s="734"/>
      <c r="O2" s="734"/>
      <c r="P2" s="734"/>
      <c r="Q2" s="734"/>
      <c r="R2" s="734"/>
      <c r="S2" s="734"/>
      <c r="T2" s="734"/>
      <c r="U2" s="734"/>
      <c r="V2" s="734"/>
      <c r="W2" s="734"/>
      <c r="X2" s="734"/>
      <c r="Y2" s="734"/>
      <c r="Z2" s="734"/>
      <c r="AA2" s="734"/>
      <c r="AB2" s="734"/>
      <c r="AC2" s="734"/>
      <c r="AD2" s="69"/>
      <c r="AE2" s="69"/>
      <c r="AF2" s="69"/>
      <c r="AG2" s="69"/>
      <c r="AH2" s="69"/>
      <c r="AI2" s="70"/>
      <c r="AJ2" s="70"/>
      <c r="AK2" s="70"/>
    </row>
    <row r="3" spans="1:39" ht="25.2" customHeight="1" thickBot="1" x14ac:dyDescent="0.35">
      <c r="A3" s="736"/>
      <c r="B3" s="736"/>
      <c r="C3" s="736"/>
      <c r="D3" s="736"/>
      <c r="E3" s="736"/>
      <c r="F3" s="438">
        <v>1</v>
      </c>
      <c r="G3" s="438">
        <v>2</v>
      </c>
      <c r="H3" s="438">
        <v>3</v>
      </c>
      <c r="I3" s="438">
        <v>4</v>
      </c>
      <c r="J3" s="438">
        <v>5</v>
      </c>
      <c r="K3" s="438">
        <v>6</v>
      </c>
      <c r="L3" s="438">
        <v>7</v>
      </c>
      <c r="M3" s="438">
        <v>8</v>
      </c>
      <c r="N3" s="438">
        <v>9</v>
      </c>
      <c r="O3" s="438">
        <v>10</v>
      </c>
      <c r="P3" s="438">
        <v>11</v>
      </c>
      <c r="Q3" s="438">
        <v>12</v>
      </c>
      <c r="R3" s="438">
        <v>13</v>
      </c>
      <c r="S3" s="438">
        <v>14</v>
      </c>
      <c r="T3" s="438">
        <v>15</v>
      </c>
      <c r="U3" s="438">
        <v>16</v>
      </c>
      <c r="V3" s="438">
        <v>17</v>
      </c>
      <c r="W3" s="438">
        <v>18</v>
      </c>
      <c r="X3" s="438">
        <v>19</v>
      </c>
      <c r="Y3" s="438">
        <v>20</v>
      </c>
      <c r="Z3" s="438">
        <v>21</v>
      </c>
      <c r="AA3" s="438">
        <v>22</v>
      </c>
      <c r="AB3" s="438">
        <v>23</v>
      </c>
      <c r="AC3" s="438">
        <v>24</v>
      </c>
      <c r="AD3" s="70"/>
      <c r="AE3" s="70"/>
      <c r="AF3" s="70"/>
      <c r="AG3" s="70"/>
      <c r="AH3" s="70"/>
      <c r="AI3" s="70"/>
      <c r="AJ3" s="70"/>
      <c r="AK3" s="70"/>
    </row>
    <row r="4" spans="1:39" ht="25.2" customHeight="1" x14ac:dyDescent="0.3">
      <c r="A4" s="728" t="s">
        <v>745</v>
      </c>
      <c r="B4" s="731" t="s">
        <v>128</v>
      </c>
      <c r="C4" s="751" t="s">
        <v>746</v>
      </c>
      <c r="D4" s="712" t="s">
        <v>388</v>
      </c>
      <c r="E4" s="287" t="s">
        <v>407</v>
      </c>
      <c r="F4" s="288">
        <v>0</v>
      </c>
      <c r="G4" s="288">
        <v>0</v>
      </c>
      <c r="H4" s="288">
        <v>0</v>
      </c>
      <c r="I4" s="288">
        <v>0</v>
      </c>
      <c r="J4" s="288">
        <v>0</v>
      </c>
      <c r="K4" s="288">
        <v>0</v>
      </c>
      <c r="L4" s="288">
        <v>0</v>
      </c>
      <c r="M4" s="288">
        <v>0</v>
      </c>
      <c r="N4" s="288">
        <v>0.2</v>
      </c>
      <c r="O4" s="288">
        <v>0.2</v>
      </c>
      <c r="P4" s="288">
        <v>0.2</v>
      </c>
      <c r="Q4" s="288">
        <v>0.8</v>
      </c>
      <c r="R4" s="288">
        <v>0.8</v>
      </c>
      <c r="S4" s="288">
        <v>0.8</v>
      </c>
      <c r="T4" s="288">
        <v>0.8</v>
      </c>
      <c r="U4" s="288">
        <v>0.8</v>
      </c>
      <c r="V4" s="288">
        <v>0.8</v>
      </c>
      <c r="W4" s="288">
        <v>0.8</v>
      </c>
      <c r="X4" s="288">
        <v>0.2</v>
      </c>
      <c r="Y4" s="288">
        <v>0.2</v>
      </c>
      <c r="Z4" s="288">
        <v>0.2</v>
      </c>
      <c r="AA4" s="288">
        <v>0.2</v>
      </c>
      <c r="AB4" s="288">
        <v>0.1</v>
      </c>
      <c r="AC4" s="289">
        <v>0</v>
      </c>
      <c r="AD4" s="70"/>
      <c r="AE4" s="70"/>
      <c r="AF4" s="70"/>
      <c r="AG4" s="70"/>
      <c r="AH4" s="70"/>
      <c r="AI4" s="70"/>
      <c r="AJ4" s="70"/>
      <c r="AK4" s="70"/>
    </row>
    <row r="5" spans="1:39" ht="33" customHeight="1" x14ac:dyDescent="0.3">
      <c r="A5" s="729"/>
      <c r="B5" s="732"/>
      <c r="C5" s="747"/>
      <c r="D5" s="689"/>
      <c r="E5" s="219" t="s">
        <v>408</v>
      </c>
      <c r="F5" s="218">
        <v>0</v>
      </c>
      <c r="G5" s="218">
        <v>0</v>
      </c>
      <c r="H5" s="218">
        <v>0</v>
      </c>
      <c r="I5" s="218">
        <v>0</v>
      </c>
      <c r="J5" s="218">
        <v>0</v>
      </c>
      <c r="K5" s="218">
        <v>0</v>
      </c>
      <c r="L5" s="218">
        <v>0</v>
      </c>
      <c r="M5" s="218">
        <v>0</v>
      </c>
      <c r="N5" s="218">
        <v>0.2</v>
      </c>
      <c r="O5" s="218">
        <v>0.2</v>
      </c>
      <c r="P5" s="218">
        <v>0.2</v>
      </c>
      <c r="Q5" s="218">
        <v>0.6</v>
      </c>
      <c r="R5" s="218">
        <v>0.6</v>
      </c>
      <c r="S5" s="218">
        <v>0.6</v>
      </c>
      <c r="T5" s="218">
        <v>0.6</v>
      </c>
      <c r="U5" s="218">
        <v>0.6</v>
      </c>
      <c r="V5" s="218">
        <v>0.6</v>
      </c>
      <c r="W5" s="218">
        <v>0.6</v>
      </c>
      <c r="X5" s="218">
        <v>0.6</v>
      </c>
      <c r="Y5" s="218">
        <v>0.6</v>
      </c>
      <c r="Z5" s="218">
        <v>0.6</v>
      </c>
      <c r="AA5" s="218">
        <v>0.8</v>
      </c>
      <c r="AB5" s="218">
        <v>0.1</v>
      </c>
      <c r="AC5" s="290">
        <v>0</v>
      </c>
      <c r="AD5" s="70"/>
      <c r="AE5" s="70"/>
      <c r="AF5" s="70"/>
      <c r="AG5" s="70"/>
      <c r="AH5" s="70"/>
      <c r="AI5" s="70"/>
      <c r="AJ5" s="70"/>
      <c r="AK5" s="70"/>
    </row>
    <row r="6" spans="1:39" ht="33" customHeight="1" thickBot="1" x14ac:dyDescent="0.35">
      <c r="A6" s="753"/>
      <c r="B6" s="763"/>
      <c r="C6" s="750"/>
      <c r="D6" s="713"/>
      <c r="E6" s="291" t="s">
        <v>409</v>
      </c>
      <c r="F6" s="292">
        <v>0</v>
      </c>
      <c r="G6" s="292">
        <v>0</v>
      </c>
      <c r="H6" s="292">
        <v>0</v>
      </c>
      <c r="I6" s="292">
        <v>0</v>
      </c>
      <c r="J6" s="292">
        <v>0</v>
      </c>
      <c r="K6" s="292">
        <v>0</v>
      </c>
      <c r="L6" s="292">
        <v>0</v>
      </c>
      <c r="M6" s="292">
        <v>0</v>
      </c>
      <c r="N6" s="292">
        <v>0.1</v>
      </c>
      <c r="O6" s="292">
        <v>0.1</v>
      </c>
      <c r="P6" s="292">
        <v>0.1</v>
      </c>
      <c r="Q6" s="292">
        <v>0.1</v>
      </c>
      <c r="R6" s="292">
        <v>0.1</v>
      </c>
      <c r="S6" s="292">
        <v>0.7</v>
      </c>
      <c r="T6" s="292">
        <v>0.7</v>
      </c>
      <c r="U6" s="292">
        <v>0.7</v>
      </c>
      <c r="V6" s="292">
        <v>0.7</v>
      </c>
      <c r="W6" s="292">
        <v>0.7</v>
      </c>
      <c r="X6" s="292">
        <v>0.7</v>
      </c>
      <c r="Y6" s="292">
        <v>0.7</v>
      </c>
      <c r="Z6" s="292">
        <v>0.7</v>
      </c>
      <c r="AA6" s="292">
        <v>0.7</v>
      </c>
      <c r="AB6" s="292">
        <v>0.2</v>
      </c>
      <c r="AC6" s="293">
        <v>0</v>
      </c>
      <c r="AD6" s="70"/>
      <c r="AE6" s="70"/>
      <c r="AF6" s="70"/>
      <c r="AG6" s="70"/>
      <c r="AH6" s="70"/>
      <c r="AI6" s="70"/>
      <c r="AJ6" s="70"/>
      <c r="AK6" s="70"/>
    </row>
    <row r="7" spans="1:39" ht="38.700000000000003" customHeight="1" x14ac:dyDescent="0.3">
      <c r="A7" s="760" t="s">
        <v>747</v>
      </c>
      <c r="B7" s="752" t="s">
        <v>128</v>
      </c>
      <c r="C7" s="752" t="s">
        <v>748</v>
      </c>
      <c r="D7" s="744" t="s">
        <v>388</v>
      </c>
      <c r="E7" s="232" t="s">
        <v>407</v>
      </c>
      <c r="F7" s="220">
        <v>0.05</v>
      </c>
      <c r="G7" s="220">
        <v>0.05</v>
      </c>
      <c r="H7" s="220">
        <v>0.05</v>
      </c>
      <c r="I7" s="220">
        <v>0.05</v>
      </c>
      <c r="J7" s="220">
        <v>0.05</v>
      </c>
      <c r="K7" s="220">
        <v>0.05</v>
      </c>
      <c r="L7" s="220">
        <v>0.35</v>
      </c>
      <c r="M7" s="220">
        <v>0.35</v>
      </c>
      <c r="N7" s="220">
        <v>0.35</v>
      </c>
      <c r="O7" s="220">
        <v>0.65</v>
      </c>
      <c r="P7" s="220">
        <v>0.65</v>
      </c>
      <c r="Q7" s="220">
        <v>0.65</v>
      </c>
      <c r="R7" s="220">
        <v>0.65</v>
      </c>
      <c r="S7" s="220">
        <v>0.65</v>
      </c>
      <c r="T7" s="220">
        <v>0.65</v>
      </c>
      <c r="U7" s="220">
        <v>0.65</v>
      </c>
      <c r="V7" s="220">
        <v>0.65</v>
      </c>
      <c r="W7" s="220">
        <v>0.65</v>
      </c>
      <c r="X7" s="220">
        <v>0.65</v>
      </c>
      <c r="Y7" s="220">
        <v>0.65</v>
      </c>
      <c r="Z7" s="220">
        <v>0.65</v>
      </c>
      <c r="AA7" s="220">
        <v>0.65</v>
      </c>
      <c r="AB7" s="220">
        <v>0.25</v>
      </c>
      <c r="AC7" s="228">
        <v>0.05</v>
      </c>
      <c r="AD7" s="70"/>
      <c r="AE7" s="70"/>
      <c r="AF7" s="70"/>
      <c r="AG7" s="70"/>
      <c r="AH7" s="70"/>
      <c r="AI7" s="70"/>
      <c r="AJ7" s="70"/>
      <c r="AK7" s="70"/>
      <c r="AM7" s="102"/>
    </row>
    <row r="8" spans="1:39" ht="38.700000000000003" customHeight="1" x14ac:dyDescent="0.3">
      <c r="A8" s="729"/>
      <c r="B8" s="747"/>
      <c r="C8" s="747"/>
      <c r="D8" s="689"/>
      <c r="E8" s="219" t="s">
        <v>408</v>
      </c>
      <c r="F8" s="218">
        <v>0.05</v>
      </c>
      <c r="G8" s="218">
        <v>0.05</v>
      </c>
      <c r="H8" s="218">
        <v>0.05</v>
      </c>
      <c r="I8" s="218">
        <v>0.05</v>
      </c>
      <c r="J8" s="218">
        <v>0.05</v>
      </c>
      <c r="K8" s="218">
        <v>0.05</v>
      </c>
      <c r="L8" s="218">
        <v>0.05</v>
      </c>
      <c r="M8" s="218">
        <v>0.3</v>
      </c>
      <c r="N8" s="218">
        <v>0.3</v>
      </c>
      <c r="O8" s="218">
        <v>0.4</v>
      </c>
      <c r="P8" s="218">
        <v>0.4</v>
      </c>
      <c r="Q8" s="218">
        <v>0.4</v>
      </c>
      <c r="R8" s="218">
        <v>0.4</v>
      </c>
      <c r="S8" s="218">
        <v>0.4</v>
      </c>
      <c r="T8" s="218">
        <v>0.4</v>
      </c>
      <c r="U8" s="218">
        <v>0.4</v>
      </c>
      <c r="V8" s="218">
        <v>0.4</v>
      </c>
      <c r="W8" s="218">
        <v>0.4</v>
      </c>
      <c r="X8" s="218">
        <v>0.4</v>
      </c>
      <c r="Y8" s="218">
        <v>0.4</v>
      </c>
      <c r="Z8" s="218">
        <v>0.4</v>
      </c>
      <c r="AA8" s="218">
        <v>0.4</v>
      </c>
      <c r="AB8" s="218">
        <v>0.4</v>
      </c>
      <c r="AC8" s="223">
        <v>0.05</v>
      </c>
      <c r="AD8" s="70"/>
      <c r="AE8" s="70"/>
      <c r="AF8" s="70"/>
      <c r="AG8" s="70"/>
      <c r="AH8" s="70"/>
      <c r="AI8" s="70"/>
      <c r="AJ8" s="70"/>
      <c r="AK8" s="70"/>
      <c r="AM8" s="102"/>
    </row>
    <row r="9" spans="1:39" ht="38.700000000000003" customHeight="1" thickBot="1" x14ac:dyDescent="0.35">
      <c r="A9" s="761"/>
      <c r="B9" s="749"/>
      <c r="C9" s="749"/>
      <c r="D9" s="690"/>
      <c r="E9" s="231" t="s">
        <v>409</v>
      </c>
      <c r="F9" s="224">
        <v>0.05</v>
      </c>
      <c r="G9" s="224">
        <v>0.05</v>
      </c>
      <c r="H9" s="224">
        <v>0.05</v>
      </c>
      <c r="I9" s="224">
        <v>0.05</v>
      </c>
      <c r="J9" s="224">
        <v>0.05</v>
      </c>
      <c r="K9" s="224">
        <v>0.05</v>
      </c>
      <c r="L9" s="224">
        <v>0.05</v>
      </c>
      <c r="M9" s="224">
        <v>0.3</v>
      </c>
      <c r="N9" s="224">
        <v>0.3</v>
      </c>
      <c r="O9" s="224">
        <v>0.3</v>
      </c>
      <c r="P9" s="224">
        <v>0.3</v>
      </c>
      <c r="Q9" s="224">
        <v>0.3</v>
      </c>
      <c r="R9" s="224">
        <v>0.55000000000000004</v>
      </c>
      <c r="S9" s="224">
        <v>0.55000000000000004</v>
      </c>
      <c r="T9" s="224">
        <v>0.55000000000000004</v>
      </c>
      <c r="U9" s="224">
        <v>0.55000000000000004</v>
      </c>
      <c r="V9" s="224">
        <v>0.55000000000000004</v>
      </c>
      <c r="W9" s="224">
        <v>0.55000000000000004</v>
      </c>
      <c r="X9" s="224">
        <v>0.55000000000000004</v>
      </c>
      <c r="Y9" s="224">
        <v>0.55000000000000004</v>
      </c>
      <c r="Z9" s="224">
        <v>0.55000000000000004</v>
      </c>
      <c r="AA9" s="224">
        <v>0.55000000000000004</v>
      </c>
      <c r="AB9" s="224">
        <v>0.05</v>
      </c>
      <c r="AC9" s="225">
        <v>0.05</v>
      </c>
      <c r="AD9" s="70"/>
      <c r="AE9" s="70"/>
      <c r="AF9" s="70"/>
      <c r="AG9" s="70"/>
      <c r="AH9" s="70"/>
      <c r="AI9" s="70"/>
      <c r="AJ9" s="70"/>
      <c r="AK9" s="70"/>
      <c r="AM9" s="102"/>
    </row>
    <row r="10" spans="1:39" ht="36" customHeight="1" x14ac:dyDescent="0.3">
      <c r="A10" s="762" t="s">
        <v>749</v>
      </c>
      <c r="B10" s="746" t="s">
        <v>128</v>
      </c>
      <c r="C10" s="681" t="s">
        <v>750</v>
      </c>
      <c r="D10" s="744" t="s">
        <v>388</v>
      </c>
      <c r="E10" s="229" t="s">
        <v>407</v>
      </c>
      <c r="F10" s="221">
        <v>0.05</v>
      </c>
      <c r="G10" s="221">
        <v>0.05</v>
      </c>
      <c r="H10" s="221">
        <v>0.05</v>
      </c>
      <c r="I10" s="221">
        <v>0.05</v>
      </c>
      <c r="J10" s="221">
        <v>0.05</v>
      </c>
      <c r="K10" s="221">
        <v>0.05</v>
      </c>
      <c r="L10" s="221">
        <v>0.4</v>
      </c>
      <c r="M10" s="221">
        <v>0.4</v>
      </c>
      <c r="N10" s="221">
        <v>0.4</v>
      </c>
      <c r="O10" s="221">
        <v>0.75</v>
      </c>
      <c r="P10" s="221">
        <v>0.75</v>
      </c>
      <c r="Q10" s="221">
        <v>0.75</v>
      </c>
      <c r="R10" s="221">
        <v>0.75</v>
      </c>
      <c r="S10" s="221">
        <v>0.75</v>
      </c>
      <c r="T10" s="221">
        <v>0.75</v>
      </c>
      <c r="U10" s="221">
        <v>0.75</v>
      </c>
      <c r="V10" s="221">
        <v>0.75</v>
      </c>
      <c r="W10" s="221">
        <v>0.75</v>
      </c>
      <c r="X10" s="221">
        <v>0.75</v>
      </c>
      <c r="Y10" s="221">
        <v>0.75</v>
      </c>
      <c r="Z10" s="221">
        <v>0.75</v>
      </c>
      <c r="AA10" s="221">
        <v>0.75</v>
      </c>
      <c r="AB10" s="221">
        <v>0.25</v>
      </c>
      <c r="AC10" s="222">
        <v>0.05</v>
      </c>
      <c r="AD10" s="71"/>
      <c r="AE10" s="70"/>
      <c r="AF10" s="70"/>
      <c r="AG10" s="70"/>
      <c r="AH10" s="70"/>
      <c r="AI10" s="70"/>
      <c r="AJ10" s="70"/>
      <c r="AK10" s="70"/>
      <c r="AM10" s="102"/>
    </row>
    <row r="11" spans="1:39" ht="36" customHeight="1" x14ac:dyDescent="0.3">
      <c r="A11" s="729"/>
      <c r="B11" s="747"/>
      <c r="C11" s="686"/>
      <c r="D11" s="689"/>
      <c r="E11" s="219" t="s">
        <v>408</v>
      </c>
      <c r="F11" s="218">
        <v>0.05</v>
      </c>
      <c r="G11" s="218">
        <v>0.05</v>
      </c>
      <c r="H11" s="218">
        <v>0.05</v>
      </c>
      <c r="I11" s="218">
        <v>0.05</v>
      </c>
      <c r="J11" s="218">
        <v>0.05</v>
      </c>
      <c r="K11" s="218">
        <v>0.05</v>
      </c>
      <c r="L11" s="218">
        <v>0.05</v>
      </c>
      <c r="M11" s="218">
        <v>0.3</v>
      </c>
      <c r="N11" s="218">
        <v>0.3</v>
      </c>
      <c r="O11" s="218">
        <v>0.5</v>
      </c>
      <c r="P11" s="218">
        <v>0.5</v>
      </c>
      <c r="Q11" s="218">
        <v>0.5</v>
      </c>
      <c r="R11" s="218">
        <v>0.5</v>
      </c>
      <c r="S11" s="218">
        <v>0.5</v>
      </c>
      <c r="T11" s="218">
        <v>0.5</v>
      </c>
      <c r="U11" s="218">
        <v>0.5</v>
      </c>
      <c r="V11" s="218">
        <v>0.5</v>
      </c>
      <c r="W11" s="218">
        <v>0.5</v>
      </c>
      <c r="X11" s="218">
        <v>0.5</v>
      </c>
      <c r="Y11" s="218">
        <v>0.5</v>
      </c>
      <c r="Z11" s="218">
        <v>0.5</v>
      </c>
      <c r="AA11" s="218">
        <v>0.5</v>
      </c>
      <c r="AB11" s="218">
        <v>0.5</v>
      </c>
      <c r="AC11" s="223">
        <v>0.05</v>
      </c>
      <c r="AD11" s="71"/>
      <c r="AE11" s="70"/>
      <c r="AF11" s="70"/>
      <c r="AG11" s="70"/>
      <c r="AH11" s="70"/>
      <c r="AI11" s="70"/>
      <c r="AJ11" s="70"/>
      <c r="AK11" s="70"/>
      <c r="AM11" s="102"/>
    </row>
    <row r="12" spans="1:39" ht="36" customHeight="1" thickBot="1" x14ac:dyDescent="0.35">
      <c r="A12" s="761"/>
      <c r="B12" s="749"/>
      <c r="C12" s="687"/>
      <c r="D12" s="690"/>
      <c r="E12" s="231" t="s">
        <v>409</v>
      </c>
      <c r="F12" s="224">
        <v>0.05</v>
      </c>
      <c r="G12" s="224">
        <v>0.05</v>
      </c>
      <c r="H12" s="224">
        <v>0.05</v>
      </c>
      <c r="I12" s="224">
        <v>0.05</v>
      </c>
      <c r="J12" s="224">
        <v>0.05</v>
      </c>
      <c r="K12" s="224">
        <v>0.05</v>
      </c>
      <c r="L12" s="224">
        <v>0.05</v>
      </c>
      <c r="M12" s="224">
        <v>0.3</v>
      </c>
      <c r="N12" s="224">
        <v>0.3</v>
      </c>
      <c r="O12" s="224">
        <v>0.3</v>
      </c>
      <c r="P12" s="224">
        <v>0.3</v>
      </c>
      <c r="Q12" s="224">
        <v>0.3</v>
      </c>
      <c r="R12" s="224">
        <v>0.65</v>
      </c>
      <c r="S12" s="224">
        <v>0.65</v>
      </c>
      <c r="T12" s="224">
        <v>0.65</v>
      </c>
      <c r="U12" s="224">
        <v>0.65</v>
      </c>
      <c r="V12" s="224">
        <v>0.65</v>
      </c>
      <c r="W12" s="224">
        <v>0.65</v>
      </c>
      <c r="X12" s="224">
        <v>0.65</v>
      </c>
      <c r="Y12" s="224">
        <v>0.65</v>
      </c>
      <c r="Z12" s="224">
        <v>0.65</v>
      </c>
      <c r="AA12" s="224">
        <v>0.65</v>
      </c>
      <c r="AB12" s="224">
        <v>0.05</v>
      </c>
      <c r="AC12" s="225">
        <v>0.05</v>
      </c>
      <c r="AD12" s="71"/>
      <c r="AE12" s="70"/>
      <c r="AF12" s="70"/>
      <c r="AG12" s="70"/>
      <c r="AH12" s="70"/>
      <c r="AI12" s="70"/>
      <c r="AJ12" s="70"/>
      <c r="AK12" s="70"/>
      <c r="AM12" s="102"/>
    </row>
    <row r="13" spans="1:39" ht="36" customHeight="1" x14ac:dyDescent="0.3">
      <c r="A13" s="762" t="s">
        <v>749</v>
      </c>
      <c r="B13" s="746" t="s">
        <v>128</v>
      </c>
      <c r="C13" s="685" t="s">
        <v>751</v>
      </c>
      <c r="D13" s="744" t="s">
        <v>388</v>
      </c>
      <c r="E13" s="232" t="s">
        <v>407</v>
      </c>
      <c r="F13" s="220">
        <v>0</v>
      </c>
      <c r="G13" s="220">
        <v>0</v>
      </c>
      <c r="H13" s="220">
        <v>0</v>
      </c>
      <c r="I13" s="220">
        <v>0</v>
      </c>
      <c r="J13" s="220">
        <v>0</v>
      </c>
      <c r="K13" s="220">
        <v>0</v>
      </c>
      <c r="L13" s="220">
        <v>0</v>
      </c>
      <c r="M13" s="220">
        <v>1</v>
      </c>
      <c r="N13" s="220">
        <v>1</v>
      </c>
      <c r="O13" s="220">
        <v>1</v>
      </c>
      <c r="P13" s="220">
        <v>1</v>
      </c>
      <c r="Q13" s="220">
        <v>1</v>
      </c>
      <c r="R13" s="220">
        <v>1</v>
      </c>
      <c r="S13" s="220">
        <v>1</v>
      </c>
      <c r="T13" s="220">
        <v>1</v>
      </c>
      <c r="U13" s="220">
        <v>1</v>
      </c>
      <c r="V13" s="220">
        <v>1</v>
      </c>
      <c r="W13" s="220">
        <v>1</v>
      </c>
      <c r="X13" s="220">
        <v>1</v>
      </c>
      <c r="Y13" s="220">
        <v>1</v>
      </c>
      <c r="Z13" s="220">
        <v>1</v>
      </c>
      <c r="AA13" s="220">
        <v>1</v>
      </c>
      <c r="AB13" s="220">
        <v>1</v>
      </c>
      <c r="AC13" s="228">
        <v>0</v>
      </c>
      <c r="AD13" s="71"/>
      <c r="AE13" s="70"/>
      <c r="AF13" s="70"/>
      <c r="AG13" s="70"/>
      <c r="AH13" s="70"/>
      <c r="AI13" s="70"/>
      <c r="AJ13" s="70"/>
      <c r="AK13" s="70"/>
    </row>
    <row r="14" spans="1:39" ht="33" customHeight="1" x14ac:dyDescent="0.3">
      <c r="A14" s="729"/>
      <c r="B14" s="747"/>
      <c r="C14" s="686"/>
      <c r="D14" s="689"/>
      <c r="E14" s="219" t="s">
        <v>408</v>
      </c>
      <c r="F14" s="218">
        <v>0</v>
      </c>
      <c r="G14" s="218">
        <v>0</v>
      </c>
      <c r="H14" s="218">
        <v>0</v>
      </c>
      <c r="I14" s="218">
        <v>0</v>
      </c>
      <c r="J14" s="218">
        <v>0</v>
      </c>
      <c r="K14" s="218">
        <v>0</v>
      </c>
      <c r="L14" s="218">
        <v>0</v>
      </c>
      <c r="M14" s="218">
        <v>1</v>
      </c>
      <c r="N14" s="218">
        <v>1</v>
      </c>
      <c r="O14" s="218">
        <v>1</v>
      </c>
      <c r="P14" s="218">
        <v>1</v>
      </c>
      <c r="Q14" s="218">
        <v>1</v>
      </c>
      <c r="R14" s="218">
        <v>1</v>
      </c>
      <c r="S14" s="218">
        <v>1</v>
      </c>
      <c r="T14" s="218">
        <v>1</v>
      </c>
      <c r="U14" s="218">
        <v>1</v>
      </c>
      <c r="V14" s="218">
        <v>1</v>
      </c>
      <c r="W14" s="218">
        <v>1</v>
      </c>
      <c r="X14" s="218">
        <v>1</v>
      </c>
      <c r="Y14" s="218">
        <v>1</v>
      </c>
      <c r="Z14" s="218">
        <v>1</v>
      </c>
      <c r="AA14" s="218">
        <v>1</v>
      </c>
      <c r="AB14" s="218">
        <v>1</v>
      </c>
      <c r="AC14" s="223">
        <v>0</v>
      </c>
      <c r="AD14" s="70"/>
      <c r="AE14" s="70"/>
      <c r="AF14" s="70"/>
      <c r="AG14" s="70"/>
      <c r="AH14" s="70"/>
      <c r="AI14" s="70"/>
      <c r="AJ14" s="70"/>
      <c r="AK14" s="70"/>
    </row>
    <row r="15" spans="1:39" ht="33" customHeight="1" thickBot="1" x14ac:dyDescent="0.35">
      <c r="A15" s="761"/>
      <c r="B15" s="749"/>
      <c r="C15" s="722"/>
      <c r="D15" s="690"/>
      <c r="E15" s="230" t="s">
        <v>409</v>
      </c>
      <c r="F15" s="226">
        <v>0</v>
      </c>
      <c r="G15" s="226">
        <v>0</v>
      </c>
      <c r="H15" s="226">
        <v>0</v>
      </c>
      <c r="I15" s="226">
        <v>0</v>
      </c>
      <c r="J15" s="226">
        <v>0</v>
      </c>
      <c r="K15" s="226">
        <v>0</v>
      </c>
      <c r="L15" s="226">
        <v>0</v>
      </c>
      <c r="M15" s="226">
        <v>1</v>
      </c>
      <c r="N15" s="226">
        <v>1</v>
      </c>
      <c r="O15" s="226">
        <v>1</v>
      </c>
      <c r="P15" s="226">
        <v>1</v>
      </c>
      <c r="Q15" s="226">
        <v>1</v>
      </c>
      <c r="R15" s="226">
        <v>1</v>
      </c>
      <c r="S15" s="226">
        <v>1</v>
      </c>
      <c r="T15" s="226">
        <v>1</v>
      </c>
      <c r="U15" s="226">
        <v>1</v>
      </c>
      <c r="V15" s="226">
        <v>1</v>
      </c>
      <c r="W15" s="226">
        <v>1</v>
      </c>
      <c r="X15" s="226">
        <v>1</v>
      </c>
      <c r="Y15" s="226">
        <v>1</v>
      </c>
      <c r="Z15" s="226">
        <v>1</v>
      </c>
      <c r="AA15" s="226">
        <v>1</v>
      </c>
      <c r="AB15" s="226">
        <v>1</v>
      </c>
      <c r="AC15" s="227">
        <v>0</v>
      </c>
      <c r="AD15" s="70"/>
      <c r="AE15" s="70"/>
      <c r="AF15" s="70"/>
      <c r="AG15" s="70"/>
      <c r="AH15" s="70"/>
      <c r="AI15" s="70"/>
      <c r="AJ15" s="70"/>
      <c r="AK15" s="70"/>
    </row>
    <row r="16" spans="1:39" ht="38.700000000000003" customHeight="1" x14ac:dyDescent="0.3">
      <c r="A16" s="762" t="s">
        <v>749</v>
      </c>
      <c r="B16" s="746" t="s">
        <v>128</v>
      </c>
      <c r="C16" s="681" t="s">
        <v>752</v>
      </c>
      <c r="D16" s="744" t="s">
        <v>388</v>
      </c>
      <c r="E16" s="229" t="s">
        <v>407</v>
      </c>
      <c r="F16" s="221">
        <v>0</v>
      </c>
      <c r="G16" s="221">
        <v>0</v>
      </c>
      <c r="H16" s="221">
        <v>0</v>
      </c>
      <c r="I16" s="221">
        <v>0</v>
      </c>
      <c r="J16" s="221">
        <v>0</v>
      </c>
      <c r="K16" s="221">
        <v>0</v>
      </c>
      <c r="L16" s="221">
        <v>0</v>
      </c>
      <c r="M16" s="221">
        <v>0</v>
      </c>
      <c r="N16" s="221">
        <v>0</v>
      </c>
      <c r="O16" s="221">
        <v>0.05</v>
      </c>
      <c r="P16" s="221">
        <v>0.05</v>
      </c>
      <c r="Q16" s="221">
        <v>0.35</v>
      </c>
      <c r="R16" s="221">
        <v>0.05</v>
      </c>
      <c r="S16" s="221">
        <v>0.05</v>
      </c>
      <c r="T16" s="221">
        <v>0.05</v>
      </c>
      <c r="U16" s="221">
        <v>0.05</v>
      </c>
      <c r="V16" s="221">
        <v>0.05</v>
      </c>
      <c r="W16" s="221">
        <v>0</v>
      </c>
      <c r="X16" s="221">
        <v>0</v>
      </c>
      <c r="Y16" s="221">
        <v>0</v>
      </c>
      <c r="Z16" s="221">
        <v>0</v>
      </c>
      <c r="AA16" s="221">
        <v>0</v>
      </c>
      <c r="AB16" s="221">
        <v>0</v>
      </c>
      <c r="AC16" s="222">
        <v>0</v>
      </c>
      <c r="AD16" s="70"/>
      <c r="AE16" s="70"/>
      <c r="AF16" s="70"/>
      <c r="AG16" s="70"/>
      <c r="AH16" s="70"/>
      <c r="AI16" s="70"/>
      <c r="AJ16" s="70"/>
      <c r="AK16" s="70"/>
    </row>
    <row r="17" spans="1:37" ht="33" customHeight="1" x14ac:dyDescent="0.3">
      <c r="A17" s="729"/>
      <c r="B17" s="747"/>
      <c r="C17" s="686"/>
      <c r="D17" s="689"/>
      <c r="E17" s="219" t="s">
        <v>408</v>
      </c>
      <c r="F17" s="218">
        <v>0</v>
      </c>
      <c r="G17" s="218">
        <v>0</v>
      </c>
      <c r="H17" s="218">
        <v>0</v>
      </c>
      <c r="I17" s="218">
        <v>0</v>
      </c>
      <c r="J17" s="218">
        <v>0</v>
      </c>
      <c r="K17" s="218">
        <v>0</v>
      </c>
      <c r="L17" s="218">
        <v>0</v>
      </c>
      <c r="M17" s="218">
        <v>0</v>
      </c>
      <c r="N17" s="218">
        <v>0</v>
      </c>
      <c r="O17" s="218">
        <v>0.05</v>
      </c>
      <c r="P17" s="218">
        <v>0.05</v>
      </c>
      <c r="Q17" s="218">
        <v>0.2</v>
      </c>
      <c r="R17" s="218">
        <v>0</v>
      </c>
      <c r="S17" s="218">
        <v>0</v>
      </c>
      <c r="T17" s="218">
        <v>0</v>
      </c>
      <c r="U17" s="218">
        <v>0</v>
      </c>
      <c r="V17" s="218">
        <v>0</v>
      </c>
      <c r="W17" s="218">
        <v>0</v>
      </c>
      <c r="X17" s="218">
        <v>0</v>
      </c>
      <c r="Y17" s="218">
        <v>0.65</v>
      </c>
      <c r="Z17" s="218">
        <v>0.3</v>
      </c>
      <c r="AA17" s="218">
        <v>0</v>
      </c>
      <c r="AB17" s="218">
        <v>0</v>
      </c>
      <c r="AC17" s="223">
        <v>0</v>
      </c>
      <c r="AD17" s="70"/>
      <c r="AE17" s="70"/>
      <c r="AF17" s="70"/>
      <c r="AG17" s="70"/>
      <c r="AH17" s="70"/>
      <c r="AI17" s="70"/>
      <c r="AJ17" s="70"/>
      <c r="AK17" s="70"/>
    </row>
    <row r="18" spans="1:37" ht="33" customHeight="1" thickBot="1" x14ac:dyDescent="0.35">
      <c r="A18" s="761"/>
      <c r="B18" s="749"/>
      <c r="C18" s="687"/>
      <c r="D18" s="690"/>
      <c r="E18" s="231" t="s">
        <v>409</v>
      </c>
      <c r="F18" s="224">
        <v>0</v>
      </c>
      <c r="G18" s="224">
        <v>0</v>
      </c>
      <c r="H18" s="224">
        <v>0</v>
      </c>
      <c r="I18" s="224">
        <v>0</v>
      </c>
      <c r="J18" s="224">
        <v>0</v>
      </c>
      <c r="K18" s="224">
        <v>0</v>
      </c>
      <c r="L18" s="224">
        <v>0</v>
      </c>
      <c r="M18" s="224">
        <v>0</v>
      </c>
      <c r="N18" s="224">
        <v>0</v>
      </c>
      <c r="O18" s="224">
        <v>0.05</v>
      </c>
      <c r="P18" s="224">
        <v>0.05</v>
      </c>
      <c r="Q18" s="224">
        <v>0.1</v>
      </c>
      <c r="R18" s="224">
        <v>0</v>
      </c>
      <c r="S18" s="224">
        <v>0</v>
      </c>
      <c r="T18" s="224">
        <v>0</v>
      </c>
      <c r="U18" s="224">
        <v>0</v>
      </c>
      <c r="V18" s="224">
        <v>0</v>
      </c>
      <c r="W18" s="224">
        <v>0</v>
      </c>
      <c r="X18" s="224">
        <v>0</v>
      </c>
      <c r="Y18" s="224">
        <v>0.65</v>
      </c>
      <c r="Z18" s="224">
        <v>0.3</v>
      </c>
      <c r="AA18" s="224">
        <v>0</v>
      </c>
      <c r="AB18" s="224">
        <v>0</v>
      </c>
      <c r="AC18" s="225">
        <v>0</v>
      </c>
      <c r="AD18" s="70"/>
      <c r="AE18" s="70"/>
      <c r="AF18" s="70"/>
      <c r="AG18" s="70"/>
      <c r="AH18" s="70"/>
      <c r="AI18" s="70"/>
      <c r="AJ18" s="70"/>
      <c r="AK18" s="70"/>
    </row>
    <row r="19" spans="1:37" ht="33" customHeight="1" x14ac:dyDescent="0.3">
      <c r="A19" s="762" t="s">
        <v>749</v>
      </c>
      <c r="B19" s="746" t="s">
        <v>128</v>
      </c>
      <c r="C19" s="681" t="s">
        <v>296</v>
      </c>
      <c r="D19" s="744" t="s">
        <v>388</v>
      </c>
      <c r="E19" s="229" t="s">
        <v>407</v>
      </c>
      <c r="F19" s="221">
        <v>1</v>
      </c>
      <c r="G19" s="221">
        <v>1</v>
      </c>
      <c r="H19" s="221">
        <v>1</v>
      </c>
      <c r="I19" s="221">
        <v>1</v>
      </c>
      <c r="J19" s="221">
        <v>1</v>
      </c>
      <c r="K19" s="221">
        <v>1</v>
      </c>
      <c r="L19" s="221">
        <v>1</v>
      </c>
      <c r="M19" s="221">
        <v>0.25</v>
      </c>
      <c r="N19" s="221">
        <v>0.25</v>
      </c>
      <c r="O19" s="221">
        <v>0.25</v>
      </c>
      <c r="P19" s="221">
        <v>0.25</v>
      </c>
      <c r="Q19" s="221">
        <v>0.25</v>
      </c>
      <c r="R19" s="221">
        <v>0.25</v>
      </c>
      <c r="S19" s="221">
        <v>0.25</v>
      </c>
      <c r="T19" s="221">
        <v>0.25</v>
      </c>
      <c r="U19" s="221">
        <v>0.25</v>
      </c>
      <c r="V19" s="221">
        <v>0.25</v>
      </c>
      <c r="W19" s="221">
        <v>0.25</v>
      </c>
      <c r="X19" s="221">
        <v>0.25</v>
      </c>
      <c r="Y19" s="221">
        <v>0.25</v>
      </c>
      <c r="Z19" s="221">
        <v>0.25</v>
      </c>
      <c r="AA19" s="221">
        <v>0.25</v>
      </c>
      <c r="AB19" s="221">
        <v>0.25</v>
      </c>
      <c r="AC19" s="222">
        <v>1</v>
      </c>
      <c r="AD19" s="70"/>
      <c r="AE19" s="70"/>
      <c r="AF19" s="70"/>
      <c r="AG19" s="70"/>
      <c r="AH19" s="70"/>
      <c r="AI19" s="70"/>
      <c r="AJ19" s="70"/>
      <c r="AK19" s="70"/>
    </row>
    <row r="20" spans="1:37" ht="28.95" customHeight="1" x14ac:dyDescent="0.3">
      <c r="A20" s="729"/>
      <c r="B20" s="747"/>
      <c r="C20" s="686"/>
      <c r="D20" s="689"/>
      <c r="E20" s="219" t="s">
        <v>408</v>
      </c>
      <c r="F20" s="218">
        <v>1</v>
      </c>
      <c r="G20" s="218">
        <v>1</v>
      </c>
      <c r="H20" s="218">
        <v>1</v>
      </c>
      <c r="I20" s="218">
        <v>1</v>
      </c>
      <c r="J20" s="218">
        <v>1</v>
      </c>
      <c r="K20" s="218">
        <v>1</v>
      </c>
      <c r="L20" s="218">
        <v>1</v>
      </c>
      <c r="M20" s="218">
        <v>0.25</v>
      </c>
      <c r="N20" s="218">
        <v>0.25</v>
      </c>
      <c r="O20" s="218">
        <v>0.25</v>
      </c>
      <c r="P20" s="218">
        <v>0.25</v>
      </c>
      <c r="Q20" s="218">
        <v>0.25</v>
      </c>
      <c r="R20" s="218">
        <v>0.25</v>
      </c>
      <c r="S20" s="218">
        <v>0.25</v>
      </c>
      <c r="T20" s="218">
        <v>0.25</v>
      </c>
      <c r="U20" s="218">
        <v>0.25</v>
      </c>
      <c r="V20" s="218">
        <v>0.25</v>
      </c>
      <c r="W20" s="218">
        <v>0.25</v>
      </c>
      <c r="X20" s="218">
        <v>0.25</v>
      </c>
      <c r="Y20" s="218">
        <v>0.25</v>
      </c>
      <c r="Z20" s="218">
        <v>0.25</v>
      </c>
      <c r="AA20" s="218">
        <v>0.25</v>
      </c>
      <c r="AB20" s="218">
        <v>0.25</v>
      </c>
      <c r="AC20" s="223">
        <v>1</v>
      </c>
    </row>
    <row r="21" spans="1:37" ht="35.4" customHeight="1" thickBot="1" x14ac:dyDescent="0.35">
      <c r="A21" s="761"/>
      <c r="B21" s="749"/>
      <c r="C21" s="687"/>
      <c r="D21" s="690"/>
      <c r="E21" s="231" t="s">
        <v>409</v>
      </c>
      <c r="F21" s="224">
        <v>1</v>
      </c>
      <c r="G21" s="224">
        <v>1</v>
      </c>
      <c r="H21" s="224">
        <v>1</v>
      </c>
      <c r="I21" s="224">
        <v>1</v>
      </c>
      <c r="J21" s="224">
        <v>1</v>
      </c>
      <c r="K21" s="224">
        <v>1</v>
      </c>
      <c r="L21" s="224">
        <v>1</v>
      </c>
      <c r="M21" s="224">
        <v>0.25</v>
      </c>
      <c r="N21" s="224">
        <v>0.25</v>
      </c>
      <c r="O21" s="224">
        <v>0.25</v>
      </c>
      <c r="P21" s="224">
        <v>0.25</v>
      </c>
      <c r="Q21" s="224">
        <v>0.25</v>
      </c>
      <c r="R21" s="224">
        <v>0.25</v>
      </c>
      <c r="S21" s="224">
        <v>0.25</v>
      </c>
      <c r="T21" s="224">
        <v>0.25</v>
      </c>
      <c r="U21" s="224">
        <v>0.25</v>
      </c>
      <c r="V21" s="224">
        <v>0.25</v>
      </c>
      <c r="W21" s="224">
        <v>0.25</v>
      </c>
      <c r="X21" s="224">
        <v>0.25</v>
      </c>
      <c r="Y21" s="224">
        <v>0.25</v>
      </c>
      <c r="Z21" s="224">
        <v>0.25</v>
      </c>
      <c r="AA21" s="224">
        <v>0.25</v>
      </c>
      <c r="AB21" s="224">
        <v>0.25</v>
      </c>
      <c r="AC21" s="225">
        <v>1</v>
      </c>
    </row>
    <row r="22" spans="1:37" ht="25.95" customHeight="1" x14ac:dyDescent="0.3">
      <c r="A22" s="762" t="s">
        <v>198</v>
      </c>
      <c r="B22" s="746" t="s">
        <v>128</v>
      </c>
      <c r="C22" s="685" t="s">
        <v>753</v>
      </c>
      <c r="D22" s="744" t="s">
        <v>388</v>
      </c>
      <c r="E22" s="232" t="s">
        <v>407</v>
      </c>
      <c r="F22" s="220">
        <v>0</v>
      </c>
      <c r="G22" s="220">
        <v>0</v>
      </c>
      <c r="H22" s="220">
        <v>0</v>
      </c>
      <c r="I22" s="220">
        <v>0</v>
      </c>
      <c r="J22" s="220">
        <v>0</v>
      </c>
      <c r="K22" s="220">
        <v>0</v>
      </c>
      <c r="L22" s="220">
        <v>0</v>
      </c>
      <c r="M22" s="220">
        <v>0</v>
      </c>
      <c r="N22" s="220">
        <v>0.3</v>
      </c>
      <c r="O22" s="220">
        <v>0.3</v>
      </c>
      <c r="P22" s="220">
        <v>0.2</v>
      </c>
      <c r="Q22" s="220">
        <v>0.9</v>
      </c>
      <c r="R22" s="220">
        <v>0.9</v>
      </c>
      <c r="S22" s="220">
        <v>0.9</v>
      </c>
      <c r="T22" s="220">
        <v>0.2</v>
      </c>
      <c r="U22" s="220">
        <v>0.2</v>
      </c>
      <c r="V22" s="220">
        <v>0.2</v>
      </c>
      <c r="W22" s="220">
        <v>0.5</v>
      </c>
      <c r="X22" s="220">
        <v>0.5</v>
      </c>
      <c r="Y22" s="220">
        <v>0.1</v>
      </c>
      <c r="Z22" s="220">
        <v>0.1</v>
      </c>
      <c r="AA22" s="220">
        <v>0.1</v>
      </c>
      <c r="AB22" s="220">
        <v>0</v>
      </c>
      <c r="AC22" s="228">
        <v>0</v>
      </c>
    </row>
    <row r="23" spans="1:37" ht="29.4" customHeight="1" x14ac:dyDescent="0.3">
      <c r="A23" s="729"/>
      <c r="B23" s="747"/>
      <c r="C23" s="686"/>
      <c r="D23" s="689"/>
      <c r="E23" s="219" t="s">
        <v>408</v>
      </c>
      <c r="F23" s="218">
        <v>0</v>
      </c>
      <c r="G23" s="218">
        <v>0</v>
      </c>
      <c r="H23" s="218">
        <v>0</v>
      </c>
      <c r="I23" s="218">
        <v>0</v>
      </c>
      <c r="J23" s="218">
        <v>0</v>
      </c>
      <c r="K23" s="218">
        <v>0</v>
      </c>
      <c r="L23" s="218">
        <v>0</v>
      </c>
      <c r="M23" s="218">
        <v>0</v>
      </c>
      <c r="N23" s="218">
        <v>0.3</v>
      </c>
      <c r="O23" s="218">
        <v>0.3</v>
      </c>
      <c r="P23" s="218">
        <v>0.2</v>
      </c>
      <c r="Q23" s="218">
        <v>0.7</v>
      </c>
      <c r="R23" s="218">
        <v>0.7</v>
      </c>
      <c r="S23" s="218">
        <v>0.7</v>
      </c>
      <c r="T23" s="218">
        <v>0.2</v>
      </c>
      <c r="U23" s="218">
        <v>0.2</v>
      </c>
      <c r="V23" s="218">
        <v>0.2</v>
      </c>
      <c r="W23" s="218">
        <v>0.4</v>
      </c>
      <c r="X23" s="218">
        <v>0.4</v>
      </c>
      <c r="Y23" s="218">
        <v>0.1</v>
      </c>
      <c r="Z23" s="218">
        <v>0.1</v>
      </c>
      <c r="AA23" s="218">
        <v>0.1</v>
      </c>
      <c r="AB23" s="218">
        <v>0</v>
      </c>
      <c r="AC23" s="223">
        <v>0</v>
      </c>
    </row>
    <row r="24" spans="1:37" ht="33.6" customHeight="1" thickBot="1" x14ac:dyDescent="0.35">
      <c r="A24" s="761"/>
      <c r="B24" s="749"/>
      <c r="C24" s="687"/>
      <c r="D24" s="690"/>
      <c r="E24" s="230" t="s">
        <v>409</v>
      </c>
      <c r="F24" s="226">
        <v>0</v>
      </c>
      <c r="G24" s="226">
        <v>0</v>
      </c>
      <c r="H24" s="226">
        <v>0</v>
      </c>
      <c r="I24" s="226">
        <v>0</v>
      </c>
      <c r="J24" s="226">
        <v>0</v>
      </c>
      <c r="K24" s="226">
        <v>0</v>
      </c>
      <c r="L24" s="226">
        <v>0</v>
      </c>
      <c r="M24" s="226">
        <v>0</v>
      </c>
      <c r="N24" s="226">
        <v>0.2</v>
      </c>
      <c r="O24" s="226">
        <v>0.2</v>
      </c>
      <c r="P24" s="226">
        <v>0.1</v>
      </c>
      <c r="Q24" s="226">
        <v>0.1</v>
      </c>
      <c r="R24" s="226">
        <v>0.3</v>
      </c>
      <c r="S24" s="226">
        <v>0.8</v>
      </c>
      <c r="T24" s="226">
        <v>0.2</v>
      </c>
      <c r="U24" s="226">
        <v>0.2</v>
      </c>
      <c r="V24" s="226">
        <v>0.2</v>
      </c>
      <c r="W24" s="226">
        <v>0.5</v>
      </c>
      <c r="X24" s="226">
        <v>0.5</v>
      </c>
      <c r="Y24" s="226">
        <v>0.1</v>
      </c>
      <c r="Z24" s="226">
        <v>0.1</v>
      </c>
      <c r="AA24" s="226">
        <v>0.1</v>
      </c>
      <c r="AB24" s="226">
        <v>0</v>
      </c>
      <c r="AC24" s="227">
        <v>0</v>
      </c>
    </row>
    <row r="25" spans="1:37" ht="33.6" customHeight="1" x14ac:dyDescent="0.3">
      <c r="A25" s="762" t="s">
        <v>749</v>
      </c>
      <c r="B25" s="746" t="s">
        <v>128</v>
      </c>
      <c r="C25" s="746" t="s">
        <v>754</v>
      </c>
      <c r="D25" s="688" t="s">
        <v>755</v>
      </c>
      <c r="E25" s="280" t="s">
        <v>407</v>
      </c>
      <c r="F25" s="260">
        <f>IF((F13=1),Thermostat!$B$3,Thermostat!$B$4)</f>
        <v>60</v>
      </c>
      <c r="G25" s="260">
        <f>IF((G13=1),Thermostat!$B$3,Thermostat!$B$4)</f>
        <v>60</v>
      </c>
      <c r="H25" s="260">
        <f>IF((H13=1),Thermostat!$B$3,Thermostat!$B$4)</f>
        <v>60</v>
      </c>
      <c r="I25" s="260">
        <f>IF((I13=1),Thermostat!$B$3,Thermostat!$B$4)</f>
        <v>60</v>
      </c>
      <c r="J25" s="260">
        <f>IF((J13=1),Thermostat!$B$3,Thermostat!$B$4)</f>
        <v>60</v>
      </c>
      <c r="K25" s="260">
        <f>IF((K13=1),Thermostat!$B$3,Thermostat!$B$4)</f>
        <v>60</v>
      </c>
      <c r="L25" s="260">
        <f>IF((L13=1),Thermostat!$B$3,Thermostat!$B$4)</f>
        <v>60</v>
      </c>
      <c r="M25" s="260">
        <f>IF((M13=1),Thermostat!$B$3,Thermostat!$B$4)</f>
        <v>70</v>
      </c>
      <c r="N25" s="260">
        <f>IF((N13=1),Thermostat!$B$3,Thermostat!$B$4)</f>
        <v>70</v>
      </c>
      <c r="O25" s="260">
        <f>IF((O13=1),Thermostat!$B$3,Thermostat!$B$4)</f>
        <v>70</v>
      </c>
      <c r="P25" s="260">
        <f>IF((P13=1),Thermostat!$B$3,Thermostat!$B$4)</f>
        <v>70</v>
      </c>
      <c r="Q25" s="260">
        <f>IF((Q13=1),Thermostat!$B$3,Thermostat!$B$4)</f>
        <v>70</v>
      </c>
      <c r="R25" s="260">
        <f>IF((R13=1),Thermostat!$B$3,Thermostat!$B$4)</f>
        <v>70</v>
      </c>
      <c r="S25" s="260">
        <f>IF((S13=1),Thermostat!$B$3,Thermostat!$B$4)</f>
        <v>70</v>
      </c>
      <c r="T25" s="260">
        <f>IF((T13=1),Thermostat!$B$3,Thermostat!$B$4)</f>
        <v>70</v>
      </c>
      <c r="U25" s="260">
        <f>IF((U13=1),Thermostat!$B$3,Thermostat!$B$4)</f>
        <v>70</v>
      </c>
      <c r="V25" s="260">
        <f>IF((V13=1),Thermostat!$B$3,Thermostat!$B$4)</f>
        <v>70</v>
      </c>
      <c r="W25" s="260">
        <f>IF((W13=1),Thermostat!$B$3,Thermostat!$B$4)</f>
        <v>70</v>
      </c>
      <c r="X25" s="260">
        <f>IF((X13=1),Thermostat!$B$3,Thermostat!$B$4)</f>
        <v>70</v>
      </c>
      <c r="Y25" s="260">
        <f>IF((Y13=1),Thermostat!$B$3,Thermostat!$B$4)</f>
        <v>70</v>
      </c>
      <c r="Z25" s="260">
        <f>IF((Z13=1),Thermostat!$B$3,Thermostat!$B$4)</f>
        <v>70</v>
      </c>
      <c r="AA25" s="260">
        <f>IF((AA13=1),Thermostat!$B$3,Thermostat!$B$4)</f>
        <v>70</v>
      </c>
      <c r="AB25" s="260">
        <f>IF((AB13=1),Thermostat!$B$3,Thermostat!$B$4)</f>
        <v>70</v>
      </c>
      <c r="AC25" s="261">
        <f>IF((AC13=1),Thermostat!$B$3,Thermostat!$B$4)</f>
        <v>60</v>
      </c>
    </row>
    <row r="26" spans="1:37" ht="33.6" customHeight="1" x14ac:dyDescent="0.3">
      <c r="A26" s="729"/>
      <c r="B26" s="747"/>
      <c r="C26" s="747"/>
      <c r="D26" s="689"/>
      <c r="E26" s="281" t="s">
        <v>408</v>
      </c>
      <c r="F26" s="259">
        <f>IF((F14=1),Thermostat!$B$3,Thermostat!$B$4)</f>
        <v>60</v>
      </c>
      <c r="G26" s="259">
        <f>IF((G14=1),Thermostat!$B$3,Thermostat!$B$4)</f>
        <v>60</v>
      </c>
      <c r="H26" s="259">
        <f>IF((H14=1),Thermostat!$B$3,Thermostat!$B$4)</f>
        <v>60</v>
      </c>
      <c r="I26" s="259">
        <f>IF((I14=1),Thermostat!$B$3,Thermostat!$B$4)</f>
        <v>60</v>
      </c>
      <c r="J26" s="259">
        <f>IF((J14=1),Thermostat!$B$3,Thermostat!$B$4)</f>
        <v>60</v>
      </c>
      <c r="K26" s="259">
        <f>IF((K14=1),Thermostat!$B$3,Thermostat!$B$4)</f>
        <v>60</v>
      </c>
      <c r="L26" s="259">
        <f>IF((L14=1),Thermostat!$B$3,Thermostat!$B$4)</f>
        <v>60</v>
      </c>
      <c r="M26" s="259">
        <f>IF((M14=1),Thermostat!$B$3,Thermostat!$B$4)</f>
        <v>70</v>
      </c>
      <c r="N26" s="259">
        <f>IF((N14=1),Thermostat!$B$3,Thermostat!$B$4)</f>
        <v>70</v>
      </c>
      <c r="O26" s="259">
        <f>IF((O14=1),Thermostat!$B$3,Thermostat!$B$4)</f>
        <v>70</v>
      </c>
      <c r="P26" s="259">
        <f>IF((P14=1),Thermostat!$B$3,Thermostat!$B$4)</f>
        <v>70</v>
      </c>
      <c r="Q26" s="259">
        <f>IF((Q14=1),Thermostat!$B$3,Thermostat!$B$4)</f>
        <v>70</v>
      </c>
      <c r="R26" s="259">
        <f>IF((R14=1),Thermostat!$B$3,Thermostat!$B$4)</f>
        <v>70</v>
      </c>
      <c r="S26" s="259">
        <f>IF((S14=1),Thermostat!$B$3,Thermostat!$B$4)</f>
        <v>70</v>
      </c>
      <c r="T26" s="259">
        <f>IF((T14=1),Thermostat!$B$3,Thermostat!$B$4)</f>
        <v>70</v>
      </c>
      <c r="U26" s="259">
        <f>IF((U14=1),Thermostat!$B$3,Thermostat!$B$4)</f>
        <v>70</v>
      </c>
      <c r="V26" s="259">
        <f>IF((V14=1),Thermostat!$B$3,Thermostat!$B$4)</f>
        <v>70</v>
      </c>
      <c r="W26" s="259">
        <f>IF((W14=1),Thermostat!$B$3,Thermostat!$B$4)</f>
        <v>70</v>
      </c>
      <c r="X26" s="259">
        <f>IF((X14=1),Thermostat!$B$3,Thermostat!$B$4)</f>
        <v>70</v>
      </c>
      <c r="Y26" s="259">
        <f>IF((Y14=1),Thermostat!$B$3,Thermostat!$B$4)</f>
        <v>70</v>
      </c>
      <c r="Z26" s="259">
        <f>IF((Z14=1),Thermostat!$B$3,Thermostat!$B$4)</f>
        <v>70</v>
      </c>
      <c r="AA26" s="259">
        <f>IF((AA14=1),Thermostat!$B$3,Thermostat!$B$4)</f>
        <v>70</v>
      </c>
      <c r="AB26" s="259">
        <f>IF((AB14=1),Thermostat!$B$3,Thermostat!$B$4)</f>
        <v>70</v>
      </c>
      <c r="AC26" s="262">
        <f>IF((AC14=1),Thermostat!$B$3,Thermostat!$B$4)</f>
        <v>60</v>
      </c>
    </row>
    <row r="27" spans="1:37" ht="33.6" customHeight="1" thickBot="1" x14ac:dyDescent="0.35">
      <c r="A27" s="761"/>
      <c r="B27" s="749"/>
      <c r="C27" s="748"/>
      <c r="D27" s="723"/>
      <c r="E27" s="282" t="s">
        <v>409</v>
      </c>
      <c r="F27" s="263">
        <f>IF((F15=1),Thermostat!$B$3,Thermostat!$B$4)</f>
        <v>60</v>
      </c>
      <c r="G27" s="263">
        <f>IF((G15=1),Thermostat!$B$3,Thermostat!$B$4)</f>
        <v>60</v>
      </c>
      <c r="H27" s="263">
        <f>IF((H15=1),Thermostat!$B$3,Thermostat!$B$4)</f>
        <v>60</v>
      </c>
      <c r="I27" s="263">
        <f>IF((I15=1),Thermostat!$B$3,Thermostat!$B$4)</f>
        <v>60</v>
      </c>
      <c r="J27" s="263">
        <f>IF((J15=1),Thermostat!$B$3,Thermostat!$B$4)</f>
        <v>60</v>
      </c>
      <c r="K27" s="263">
        <f>IF((K15=1),Thermostat!$B$3,Thermostat!$B$4)</f>
        <v>60</v>
      </c>
      <c r="L27" s="263">
        <f>IF((L15=1),Thermostat!$B$3,Thermostat!$B$4)</f>
        <v>60</v>
      </c>
      <c r="M27" s="263">
        <f>IF((M15=1),Thermostat!$B$3,Thermostat!$B$4)</f>
        <v>70</v>
      </c>
      <c r="N27" s="263">
        <f>IF((N15=1),Thermostat!$B$3,Thermostat!$B$4)</f>
        <v>70</v>
      </c>
      <c r="O27" s="263">
        <f>IF((O15=1),Thermostat!$B$3,Thermostat!$B$4)</f>
        <v>70</v>
      </c>
      <c r="P27" s="263">
        <f>IF((P15=1),Thermostat!$B$3,Thermostat!$B$4)</f>
        <v>70</v>
      </c>
      <c r="Q27" s="263">
        <f>IF((Q15=1),Thermostat!$B$3,Thermostat!$B$4)</f>
        <v>70</v>
      </c>
      <c r="R27" s="263">
        <f>IF((R15=1),Thermostat!$B$3,Thermostat!$B$4)</f>
        <v>70</v>
      </c>
      <c r="S27" s="263">
        <f>IF((S15=1),Thermostat!$B$3,Thermostat!$B$4)</f>
        <v>70</v>
      </c>
      <c r="T27" s="263">
        <f>IF((T15=1),Thermostat!$B$3,Thermostat!$B$4)</f>
        <v>70</v>
      </c>
      <c r="U27" s="263">
        <f>IF((U15=1),Thermostat!$B$3,Thermostat!$B$4)</f>
        <v>70</v>
      </c>
      <c r="V27" s="263">
        <f>IF((V15=1),Thermostat!$B$3,Thermostat!$B$4)</f>
        <v>70</v>
      </c>
      <c r="W27" s="263">
        <f>IF((W15=1),Thermostat!$B$3,Thermostat!$B$4)</f>
        <v>70</v>
      </c>
      <c r="X27" s="263">
        <f>IF((X15=1),Thermostat!$B$3,Thermostat!$B$4)</f>
        <v>70</v>
      </c>
      <c r="Y27" s="263">
        <f>IF((Y15=1),Thermostat!$B$3,Thermostat!$B$4)</f>
        <v>70</v>
      </c>
      <c r="Z27" s="263">
        <f>IF((Z15=1),Thermostat!$B$3,Thermostat!$B$4)</f>
        <v>70</v>
      </c>
      <c r="AA27" s="263">
        <f>IF((AA15=1),Thermostat!$B$3,Thermostat!$B$4)</f>
        <v>70</v>
      </c>
      <c r="AB27" s="263">
        <f>IF((AB15=1),Thermostat!$B$3,Thermostat!$B$4)</f>
        <v>70</v>
      </c>
      <c r="AC27" s="264">
        <f>IF((AC15=1),Thermostat!$B$3,Thermostat!$B$4)</f>
        <v>60</v>
      </c>
    </row>
    <row r="28" spans="1:37" ht="33.6" customHeight="1" x14ac:dyDescent="0.3">
      <c r="A28" s="728" t="s">
        <v>749</v>
      </c>
      <c r="B28" s="746" t="s">
        <v>128</v>
      </c>
      <c r="C28" s="751" t="s">
        <v>756</v>
      </c>
      <c r="D28" s="712" t="s">
        <v>755</v>
      </c>
      <c r="E28" s="283" t="s">
        <v>407</v>
      </c>
      <c r="F28" s="265">
        <f>IF((F13=1),Thermostat!$B$5,Thermostat!$B$6)</f>
        <v>85</v>
      </c>
      <c r="G28" s="265">
        <f>IF((G13=1),Thermostat!$B$5,Thermostat!$B$6)</f>
        <v>85</v>
      </c>
      <c r="H28" s="265">
        <f>IF((H13=1),Thermostat!$B$5,Thermostat!$B$6)</f>
        <v>85</v>
      </c>
      <c r="I28" s="265">
        <f>IF((I13=1),Thermostat!$B$5,Thermostat!$B$6)</f>
        <v>85</v>
      </c>
      <c r="J28" s="265">
        <f>IF((J13=1),Thermostat!$B$5,Thermostat!$B$6)</f>
        <v>85</v>
      </c>
      <c r="K28" s="265">
        <f>IF((K13=1),Thermostat!$B$5,Thermostat!$B$6)</f>
        <v>85</v>
      </c>
      <c r="L28" s="265">
        <f>IF((L13=1),Thermostat!$B$5,Thermostat!$B$6)</f>
        <v>85</v>
      </c>
      <c r="M28" s="265">
        <f>IF((M13=1),Thermostat!$B$5,Thermostat!$B$6)</f>
        <v>75</v>
      </c>
      <c r="N28" s="265">
        <f>IF((N13=1),Thermostat!$B$5,Thermostat!$B$6)</f>
        <v>75</v>
      </c>
      <c r="O28" s="265">
        <f>IF((O13=1),Thermostat!$B$5,Thermostat!$B$6)</f>
        <v>75</v>
      </c>
      <c r="P28" s="265">
        <f>IF((P13=1),Thermostat!$B$5,Thermostat!$B$6)</f>
        <v>75</v>
      </c>
      <c r="Q28" s="265">
        <f>IF((Q13=1),Thermostat!$B$5,Thermostat!$B$6)</f>
        <v>75</v>
      </c>
      <c r="R28" s="265">
        <f>IF((R13=1),Thermostat!$B$5,Thermostat!$B$6)</f>
        <v>75</v>
      </c>
      <c r="S28" s="265">
        <f>IF((S13=1),Thermostat!$B$5,Thermostat!$B$6)</f>
        <v>75</v>
      </c>
      <c r="T28" s="265">
        <f>IF((T13=1),Thermostat!$B$5,Thermostat!$B$6)</f>
        <v>75</v>
      </c>
      <c r="U28" s="265">
        <f>IF((U13=1),Thermostat!$B$5,Thermostat!$B$6)</f>
        <v>75</v>
      </c>
      <c r="V28" s="265">
        <f>IF((V13=1),Thermostat!$B$5,Thermostat!$B$6)</f>
        <v>75</v>
      </c>
      <c r="W28" s="265">
        <f>IF((W13=1),Thermostat!$B$5,Thermostat!$B$6)</f>
        <v>75</v>
      </c>
      <c r="X28" s="265">
        <f>IF((X13=1),Thermostat!$B$5,Thermostat!$B$6)</f>
        <v>75</v>
      </c>
      <c r="Y28" s="265">
        <f>IF((Y13=1),Thermostat!$B$5,Thermostat!$B$6)</f>
        <v>75</v>
      </c>
      <c r="Z28" s="265">
        <f>IF((Z13=1),Thermostat!$B$5,Thermostat!$B$6)</f>
        <v>75</v>
      </c>
      <c r="AA28" s="265">
        <f>IF((AA13=1),Thermostat!$B$5,Thermostat!$B$6)</f>
        <v>75</v>
      </c>
      <c r="AB28" s="265">
        <f>IF((AB13=1),Thermostat!$B$5,Thermostat!$B$6)</f>
        <v>75</v>
      </c>
      <c r="AC28" s="266">
        <f>IF((AC13=1),Thermostat!$B$5,Thermostat!$B$6)</f>
        <v>85</v>
      </c>
    </row>
    <row r="29" spans="1:37" ht="33.6" customHeight="1" x14ac:dyDescent="0.3">
      <c r="A29" s="729"/>
      <c r="B29" s="747"/>
      <c r="C29" s="747"/>
      <c r="D29" s="689"/>
      <c r="E29" s="278" t="s">
        <v>408</v>
      </c>
      <c r="F29" s="259">
        <f>IF((F14=1),Thermostat!$B$5,Thermostat!$B$6)</f>
        <v>85</v>
      </c>
      <c r="G29" s="259">
        <f>IF((G14=1),Thermostat!$B$5,Thermostat!$B$6)</f>
        <v>85</v>
      </c>
      <c r="H29" s="259">
        <f>IF((H14=1),Thermostat!$B$5,Thermostat!$B$6)</f>
        <v>85</v>
      </c>
      <c r="I29" s="259">
        <f>IF((I14=1),Thermostat!$B$5,Thermostat!$B$6)</f>
        <v>85</v>
      </c>
      <c r="J29" s="259">
        <f>IF((J14=1),Thermostat!$B$5,Thermostat!$B$6)</f>
        <v>85</v>
      </c>
      <c r="K29" s="259">
        <f>IF((K14=1),Thermostat!$B$5,Thermostat!$B$6)</f>
        <v>85</v>
      </c>
      <c r="L29" s="259">
        <f>IF((L14=1),Thermostat!$B$5,Thermostat!$B$6)</f>
        <v>85</v>
      </c>
      <c r="M29" s="259">
        <f>IF((M14=1),Thermostat!$B$5,Thermostat!$B$6)</f>
        <v>75</v>
      </c>
      <c r="N29" s="259">
        <f>IF((N14=1),Thermostat!$B$5,Thermostat!$B$6)</f>
        <v>75</v>
      </c>
      <c r="O29" s="259">
        <f>IF((O14=1),Thermostat!$B$5,Thermostat!$B$6)</f>
        <v>75</v>
      </c>
      <c r="P29" s="259">
        <f>IF((P14=1),Thermostat!$B$5,Thermostat!$B$6)</f>
        <v>75</v>
      </c>
      <c r="Q29" s="259">
        <f>IF((Q14=1),Thermostat!$B$5,Thermostat!$B$6)</f>
        <v>75</v>
      </c>
      <c r="R29" s="259">
        <f>IF((R14=1),Thermostat!$B$5,Thermostat!$B$6)</f>
        <v>75</v>
      </c>
      <c r="S29" s="259">
        <f>IF((S14=1),Thermostat!$B$5,Thermostat!$B$6)</f>
        <v>75</v>
      </c>
      <c r="T29" s="259">
        <f>IF((T14=1),Thermostat!$B$5,Thermostat!$B$6)</f>
        <v>75</v>
      </c>
      <c r="U29" s="259">
        <f>IF((U14=1),Thermostat!$B$5,Thermostat!$B$6)</f>
        <v>75</v>
      </c>
      <c r="V29" s="259">
        <f>IF((V14=1),Thermostat!$B$5,Thermostat!$B$6)</f>
        <v>75</v>
      </c>
      <c r="W29" s="259">
        <f>IF((W14=1),Thermostat!$B$5,Thermostat!$B$6)</f>
        <v>75</v>
      </c>
      <c r="X29" s="259">
        <f>IF((X14=1),Thermostat!$B$5,Thermostat!$B$6)</f>
        <v>75</v>
      </c>
      <c r="Y29" s="259">
        <f>IF((Y14=1),Thermostat!$B$5,Thermostat!$B$6)</f>
        <v>75</v>
      </c>
      <c r="Z29" s="259">
        <f>IF((Z14=1),Thermostat!$B$5,Thermostat!$B$6)</f>
        <v>75</v>
      </c>
      <c r="AA29" s="259">
        <f>IF((AA14=1),Thermostat!$B$5,Thermostat!$B$6)</f>
        <v>75</v>
      </c>
      <c r="AB29" s="259">
        <f>IF((AB14=1),Thermostat!$B$5,Thermostat!$B$6)</f>
        <v>75</v>
      </c>
      <c r="AC29" s="262">
        <f>IF((AC14=1),Thermostat!$B$5,Thermostat!$B$6)</f>
        <v>85</v>
      </c>
    </row>
    <row r="30" spans="1:37" ht="33.6" customHeight="1" thickBot="1" x14ac:dyDescent="0.35">
      <c r="A30" s="753"/>
      <c r="B30" s="750"/>
      <c r="C30" s="750"/>
      <c r="D30" s="713"/>
      <c r="E30" s="284" t="s">
        <v>409</v>
      </c>
      <c r="F30" s="263">
        <f>IF((F15=1),Thermostat!$B$5,Thermostat!$B$6)</f>
        <v>85</v>
      </c>
      <c r="G30" s="263">
        <f>IF((G15=1),Thermostat!$B$5,Thermostat!$B$6)</f>
        <v>85</v>
      </c>
      <c r="H30" s="263">
        <f>IF((H15=1),Thermostat!$B$5,Thermostat!$B$6)</f>
        <v>85</v>
      </c>
      <c r="I30" s="263">
        <f>IF((I15=1),Thermostat!$B$5,Thermostat!$B$6)</f>
        <v>85</v>
      </c>
      <c r="J30" s="263">
        <f>IF((J15=1),Thermostat!$B$5,Thermostat!$B$6)</f>
        <v>85</v>
      </c>
      <c r="K30" s="263">
        <f>IF((K15=1),Thermostat!$B$5,Thermostat!$B$6)</f>
        <v>85</v>
      </c>
      <c r="L30" s="263">
        <f>IF((L15=1),Thermostat!$B$5,Thermostat!$B$6)</f>
        <v>85</v>
      </c>
      <c r="M30" s="263">
        <f>IF((M15=1),Thermostat!$B$5,Thermostat!$B$6)</f>
        <v>75</v>
      </c>
      <c r="N30" s="263">
        <f>IF((N15=1),Thermostat!$B$5,Thermostat!$B$6)</f>
        <v>75</v>
      </c>
      <c r="O30" s="263">
        <f>IF((O15=1),Thermostat!$B$5,Thermostat!$B$6)</f>
        <v>75</v>
      </c>
      <c r="P30" s="263">
        <f>IF((P15=1),Thermostat!$B$5,Thermostat!$B$6)</f>
        <v>75</v>
      </c>
      <c r="Q30" s="263">
        <f>IF((Q15=1),Thermostat!$B$5,Thermostat!$B$6)</f>
        <v>75</v>
      </c>
      <c r="R30" s="263">
        <f>IF((R15=1),Thermostat!$B$5,Thermostat!$B$6)</f>
        <v>75</v>
      </c>
      <c r="S30" s="263">
        <f>IF((S15=1),Thermostat!$B$5,Thermostat!$B$6)</f>
        <v>75</v>
      </c>
      <c r="T30" s="263">
        <f>IF((T15=1),Thermostat!$B$5,Thermostat!$B$6)</f>
        <v>75</v>
      </c>
      <c r="U30" s="263">
        <f>IF((U15=1),Thermostat!$B$5,Thermostat!$B$6)</f>
        <v>75</v>
      </c>
      <c r="V30" s="263">
        <f>IF((V15=1),Thermostat!$B$5,Thermostat!$B$6)</f>
        <v>75</v>
      </c>
      <c r="W30" s="263">
        <f>IF((W15=1),Thermostat!$B$5,Thermostat!$B$6)</f>
        <v>75</v>
      </c>
      <c r="X30" s="263">
        <f>IF((X15=1),Thermostat!$B$5,Thermostat!$B$6)</f>
        <v>75</v>
      </c>
      <c r="Y30" s="263">
        <f>IF((Y15=1),Thermostat!$B$5,Thermostat!$B$6)</f>
        <v>75</v>
      </c>
      <c r="Z30" s="263">
        <f>IF((Z15=1),Thermostat!$B$5,Thermostat!$B$6)</f>
        <v>75</v>
      </c>
      <c r="AA30" s="263">
        <f>IF((AA15=1),Thermostat!$B$5,Thermostat!$B$6)</f>
        <v>75</v>
      </c>
      <c r="AB30" s="263">
        <f>IF((AB15=1),Thermostat!$B$5,Thermostat!$B$6)</f>
        <v>75</v>
      </c>
      <c r="AC30" s="264">
        <f>IF((AC15=1),Thermostat!$B$5,Thermostat!$B$6)</f>
        <v>85</v>
      </c>
    </row>
    <row r="31" spans="1:37" ht="24.6" customHeight="1" thickBot="1" x14ac:dyDescent="0.35">
      <c r="A31" s="726" t="s">
        <v>120</v>
      </c>
      <c r="B31" s="726"/>
      <c r="C31" s="726"/>
      <c r="D31" s="726"/>
      <c r="E31" s="758"/>
      <c r="F31" s="758"/>
      <c r="G31" s="758"/>
      <c r="H31" s="758"/>
      <c r="I31" s="758"/>
      <c r="J31" s="758"/>
      <c r="K31" s="758"/>
      <c r="L31" s="758"/>
      <c r="M31" s="758"/>
      <c r="N31" s="758"/>
      <c r="O31" s="758"/>
      <c r="P31" s="758"/>
      <c r="Q31" s="758"/>
      <c r="R31" s="758"/>
      <c r="S31" s="758"/>
      <c r="T31" s="758"/>
      <c r="U31" s="758"/>
      <c r="V31" s="758"/>
      <c r="W31" s="758"/>
      <c r="X31" s="758"/>
      <c r="Y31" s="758"/>
      <c r="Z31" s="758"/>
      <c r="AA31" s="758"/>
      <c r="AB31" s="758"/>
      <c r="AC31" s="759"/>
    </row>
    <row r="32" spans="1:37" ht="34.200000000000003" customHeight="1" x14ac:dyDescent="0.3">
      <c r="A32" s="754" t="s">
        <v>757</v>
      </c>
      <c r="B32" s="705" t="s">
        <v>120</v>
      </c>
      <c r="C32" s="745" t="s">
        <v>746</v>
      </c>
      <c r="D32" s="702" t="s">
        <v>393</v>
      </c>
      <c r="E32" s="229" t="s">
        <v>407</v>
      </c>
      <c r="F32" s="221">
        <v>0.1</v>
      </c>
      <c r="G32" s="221">
        <v>0.1</v>
      </c>
      <c r="H32" s="221">
        <v>0.1</v>
      </c>
      <c r="I32" s="221">
        <v>0.1</v>
      </c>
      <c r="J32" s="221">
        <v>0.1</v>
      </c>
      <c r="K32" s="221">
        <v>0.3</v>
      </c>
      <c r="L32" s="221">
        <v>0.45</v>
      </c>
      <c r="M32" s="221">
        <v>0.45</v>
      </c>
      <c r="N32" s="221">
        <v>0.45</v>
      </c>
      <c r="O32" s="221">
        <v>0.45</v>
      </c>
      <c r="P32" s="221">
        <v>0.3</v>
      </c>
      <c r="Q32" s="221">
        <v>0.3</v>
      </c>
      <c r="R32" s="221">
        <v>0.3</v>
      </c>
      <c r="S32" s="221">
        <v>0.3</v>
      </c>
      <c r="T32" s="221">
        <v>0.3</v>
      </c>
      <c r="U32" s="221">
        <v>0.3</v>
      </c>
      <c r="V32" s="221">
        <v>0.3</v>
      </c>
      <c r="W32" s="221">
        <v>0.3</v>
      </c>
      <c r="X32" s="221">
        <v>0.6</v>
      </c>
      <c r="Y32" s="221">
        <v>0.8</v>
      </c>
      <c r="Z32" s="221">
        <v>0.9</v>
      </c>
      <c r="AA32" s="221">
        <v>0.8</v>
      </c>
      <c r="AB32" s="221">
        <v>0.6</v>
      </c>
      <c r="AC32" s="222">
        <v>0.3</v>
      </c>
    </row>
    <row r="33" spans="1:29" ht="34.200000000000003" customHeight="1" x14ac:dyDescent="0.3">
      <c r="A33" s="755"/>
      <c r="B33" s="706"/>
      <c r="C33" s="740"/>
      <c r="D33" s="703"/>
      <c r="E33" s="219" t="s">
        <v>408</v>
      </c>
      <c r="F33" s="218">
        <v>0.1</v>
      </c>
      <c r="G33" s="218">
        <v>0.1</v>
      </c>
      <c r="H33" s="218">
        <v>0.1</v>
      </c>
      <c r="I33" s="218">
        <v>0.1</v>
      </c>
      <c r="J33" s="218">
        <v>0.1</v>
      </c>
      <c r="K33" s="218">
        <v>0.3</v>
      </c>
      <c r="L33" s="218">
        <v>0.45</v>
      </c>
      <c r="M33" s="218">
        <v>0.45</v>
      </c>
      <c r="N33" s="218">
        <v>0.45</v>
      </c>
      <c r="O33" s="218">
        <v>0.45</v>
      </c>
      <c r="P33" s="218">
        <v>0.3</v>
      </c>
      <c r="Q33" s="218">
        <v>0.3</v>
      </c>
      <c r="R33" s="218">
        <v>0.3</v>
      </c>
      <c r="S33" s="218">
        <v>0.3</v>
      </c>
      <c r="T33" s="218">
        <v>0.3</v>
      </c>
      <c r="U33" s="218">
        <v>0.3</v>
      </c>
      <c r="V33" s="218">
        <v>0.3</v>
      </c>
      <c r="W33" s="218">
        <v>0.3</v>
      </c>
      <c r="X33" s="218">
        <v>0.6</v>
      </c>
      <c r="Y33" s="218">
        <v>0.8</v>
      </c>
      <c r="Z33" s="218">
        <v>0.9</v>
      </c>
      <c r="AA33" s="218">
        <v>0.8</v>
      </c>
      <c r="AB33" s="218">
        <v>0.6</v>
      </c>
      <c r="AC33" s="223">
        <v>0.3</v>
      </c>
    </row>
    <row r="34" spans="1:29" ht="34.200000000000003" customHeight="1" thickBot="1" x14ac:dyDescent="0.35">
      <c r="A34" s="756"/>
      <c r="B34" s="776"/>
      <c r="C34" s="743"/>
      <c r="D34" s="704"/>
      <c r="E34" s="230" t="s">
        <v>409</v>
      </c>
      <c r="F34" s="226">
        <v>0.1</v>
      </c>
      <c r="G34" s="226">
        <v>0.1</v>
      </c>
      <c r="H34" s="226">
        <v>0.1</v>
      </c>
      <c r="I34" s="226">
        <v>0.1</v>
      </c>
      <c r="J34" s="226">
        <v>0.1</v>
      </c>
      <c r="K34" s="226">
        <v>0.3</v>
      </c>
      <c r="L34" s="226">
        <v>0.45</v>
      </c>
      <c r="M34" s="226">
        <v>0.45</v>
      </c>
      <c r="N34" s="226">
        <v>0.45</v>
      </c>
      <c r="O34" s="226">
        <v>0.45</v>
      </c>
      <c r="P34" s="226">
        <v>0.3</v>
      </c>
      <c r="Q34" s="226">
        <v>0.3</v>
      </c>
      <c r="R34" s="226">
        <v>0.3</v>
      </c>
      <c r="S34" s="226">
        <v>0.3</v>
      </c>
      <c r="T34" s="226">
        <v>0.3</v>
      </c>
      <c r="U34" s="226">
        <v>0.3</v>
      </c>
      <c r="V34" s="226">
        <v>0.3</v>
      </c>
      <c r="W34" s="226">
        <v>0.3</v>
      </c>
      <c r="X34" s="226">
        <v>0.6</v>
      </c>
      <c r="Y34" s="226">
        <v>0.8</v>
      </c>
      <c r="Z34" s="226">
        <v>0.9</v>
      </c>
      <c r="AA34" s="226">
        <v>0.8</v>
      </c>
      <c r="AB34" s="226">
        <v>0.6</v>
      </c>
      <c r="AC34" s="227">
        <v>0.3</v>
      </c>
    </row>
    <row r="35" spans="1:29" ht="34.200000000000003" customHeight="1" x14ac:dyDescent="0.3">
      <c r="A35" s="757" t="s">
        <v>757</v>
      </c>
      <c r="B35" s="775" t="s">
        <v>120</v>
      </c>
      <c r="C35" s="742" t="s">
        <v>748</v>
      </c>
      <c r="D35" s="702" t="s">
        <v>393</v>
      </c>
      <c r="E35" s="229" t="s">
        <v>407</v>
      </c>
      <c r="F35" s="221">
        <v>1</v>
      </c>
      <c r="G35" s="221">
        <v>1</v>
      </c>
      <c r="H35" s="221">
        <v>1</v>
      </c>
      <c r="I35" s="221">
        <v>1</v>
      </c>
      <c r="J35" s="221">
        <v>1</v>
      </c>
      <c r="K35" s="221">
        <v>1</v>
      </c>
      <c r="L35" s="221">
        <v>1</v>
      </c>
      <c r="M35" s="221">
        <v>1</v>
      </c>
      <c r="N35" s="221">
        <v>1</v>
      </c>
      <c r="O35" s="221">
        <v>1</v>
      </c>
      <c r="P35" s="221">
        <v>1</v>
      </c>
      <c r="Q35" s="221">
        <v>1</v>
      </c>
      <c r="R35" s="221">
        <v>1</v>
      </c>
      <c r="S35" s="221">
        <v>1</v>
      </c>
      <c r="T35" s="221">
        <v>1</v>
      </c>
      <c r="U35" s="221">
        <v>1</v>
      </c>
      <c r="V35" s="221">
        <v>1</v>
      </c>
      <c r="W35" s="221">
        <v>1</v>
      </c>
      <c r="X35" s="221">
        <v>1</v>
      </c>
      <c r="Y35" s="221">
        <v>1</v>
      </c>
      <c r="Z35" s="221">
        <v>1</v>
      </c>
      <c r="AA35" s="221">
        <v>1</v>
      </c>
      <c r="AB35" s="221">
        <v>1</v>
      </c>
      <c r="AC35" s="222">
        <v>1</v>
      </c>
    </row>
    <row r="36" spans="1:29" ht="34.200000000000003" customHeight="1" x14ac:dyDescent="0.3">
      <c r="A36" s="755"/>
      <c r="B36" s="706"/>
      <c r="C36" s="740"/>
      <c r="D36" s="703"/>
      <c r="E36" s="219" t="s">
        <v>408</v>
      </c>
      <c r="F36" s="218">
        <v>1</v>
      </c>
      <c r="G36" s="218">
        <v>1</v>
      </c>
      <c r="H36" s="218">
        <v>1</v>
      </c>
      <c r="I36" s="218">
        <v>1</v>
      </c>
      <c r="J36" s="218">
        <v>1</v>
      </c>
      <c r="K36" s="218">
        <v>1</v>
      </c>
      <c r="L36" s="218">
        <v>1</v>
      </c>
      <c r="M36" s="218">
        <v>1</v>
      </c>
      <c r="N36" s="218">
        <v>1</v>
      </c>
      <c r="O36" s="218">
        <v>1</v>
      </c>
      <c r="P36" s="218">
        <v>1</v>
      </c>
      <c r="Q36" s="218">
        <v>1</v>
      </c>
      <c r="R36" s="218">
        <v>1</v>
      </c>
      <c r="S36" s="218">
        <v>1</v>
      </c>
      <c r="T36" s="218">
        <v>1</v>
      </c>
      <c r="U36" s="218">
        <v>1</v>
      </c>
      <c r="V36" s="218">
        <v>1</v>
      </c>
      <c r="W36" s="218">
        <v>1</v>
      </c>
      <c r="X36" s="218">
        <v>1</v>
      </c>
      <c r="Y36" s="218">
        <v>1</v>
      </c>
      <c r="Z36" s="218">
        <v>1</v>
      </c>
      <c r="AA36" s="218">
        <v>1</v>
      </c>
      <c r="AB36" s="218">
        <v>1</v>
      </c>
      <c r="AC36" s="223">
        <v>1</v>
      </c>
    </row>
    <row r="37" spans="1:29" ht="34.200000000000003" customHeight="1" thickBot="1" x14ac:dyDescent="0.35">
      <c r="A37" s="756"/>
      <c r="B37" s="776"/>
      <c r="C37" s="743"/>
      <c r="D37" s="704"/>
      <c r="E37" s="230" t="s">
        <v>409</v>
      </c>
      <c r="F37" s="226">
        <v>1</v>
      </c>
      <c r="G37" s="226">
        <v>1</v>
      </c>
      <c r="H37" s="226">
        <v>1</v>
      </c>
      <c r="I37" s="226">
        <v>1</v>
      </c>
      <c r="J37" s="226">
        <v>1</v>
      </c>
      <c r="K37" s="226">
        <v>1</v>
      </c>
      <c r="L37" s="226">
        <v>1</v>
      </c>
      <c r="M37" s="226">
        <v>1</v>
      </c>
      <c r="N37" s="226">
        <v>1</v>
      </c>
      <c r="O37" s="226">
        <v>1</v>
      </c>
      <c r="P37" s="226">
        <v>1</v>
      </c>
      <c r="Q37" s="226">
        <v>1</v>
      </c>
      <c r="R37" s="226">
        <v>1</v>
      </c>
      <c r="S37" s="226">
        <v>1</v>
      </c>
      <c r="T37" s="226">
        <v>1</v>
      </c>
      <c r="U37" s="226">
        <v>1</v>
      </c>
      <c r="V37" s="226">
        <v>1</v>
      </c>
      <c r="W37" s="226">
        <v>1</v>
      </c>
      <c r="X37" s="226">
        <v>1</v>
      </c>
      <c r="Y37" s="226">
        <v>1</v>
      </c>
      <c r="Z37" s="226">
        <v>1</v>
      </c>
      <c r="AA37" s="226">
        <v>1</v>
      </c>
      <c r="AB37" s="226">
        <v>1</v>
      </c>
      <c r="AC37" s="227">
        <v>1</v>
      </c>
    </row>
    <row r="38" spans="1:29" ht="34.200000000000003" customHeight="1" x14ac:dyDescent="0.3">
      <c r="A38" s="757" t="s">
        <v>757</v>
      </c>
      <c r="B38" s="775" t="s">
        <v>120</v>
      </c>
      <c r="C38" s="742" t="s">
        <v>750</v>
      </c>
      <c r="D38" s="702" t="s">
        <v>393</v>
      </c>
      <c r="E38" s="229" t="s">
        <v>407</v>
      </c>
      <c r="F38" s="221">
        <v>0.1</v>
      </c>
      <c r="G38" s="221">
        <v>0.1</v>
      </c>
      <c r="H38" s="221">
        <v>0.1</v>
      </c>
      <c r="I38" s="221">
        <v>0.1</v>
      </c>
      <c r="J38" s="221">
        <v>0.1</v>
      </c>
      <c r="K38" s="221">
        <v>0.3</v>
      </c>
      <c r="L38" s="221">
        <v>0.45</v>
      </c>
      <c r="M38" s="221">
        <v>0.45</v>
      </c>
      <c r="N38" s="221">
        <v>0.45</v>
      </c>
      <c r="O38" s="221">
        <v>0.45</v>
      </c>
      <c r="P38" s="221">
        <v>0.3</v>
      </c>
      <c r="Q38" s="221">
        <v>0.3</v>
      </c>
      <c r="R38" s="221">
        <v>0.3</v>
      </c>
      <c r="S38" s="221">
        <v>0.3</v>
      </c>
      <c r="T38" s="221">
        <v>0.3</v>
      </c>
      <c r="U38" s="221">
        <v>0.3</v>
      </c>
      <c r="V38" s="221">
        <v>0.3</v>
      </c>
      <c r="W38" s="221">
        <v>0.3</v>
      </c>
      <c r="X38" s="221">
        <v>0.6</v>
      </c>
      <c r="Y38" s="221">
        <v>0.8</v>
      </c>
      <c r="Z38" s="221">
        <v>0.9</v>
      </c>
      <c r="AA38" s="221">
        <v>0.8</v>
      </c>
      <c r="AB38" s="221">
        <v>0.6</v>
      </c>
      <c r="AC38" s="222">
        <v>0.3</v>
      </c>
    </row>
    <row r="39" spans="1:29" ht="34.200000000000003" customHeight="1" x14ac:dyDescent="0.3">
      <c r="A39" s="755"/>
      <c r="B39" s="706"/>
      <c r="C39" s="740"/>
      <c r="D39" s="703"/>
      <c r="E39" s="219" t="s">
        <v>408</v>
      </c>
      <c r="F39" s="218">
        <v>0.1</v>
      </c>
      <c r="G39" s="218">
        <v>0.1</v>
      </c>
      <c r="H39" s="218">
        <v>0.1</v>
      </c>
      <c r="I39" s="218">
        <v>0.1</v>
      </c>
      <c r="J39" s="218">
        <v>0.1</v>
      </c>
      <c r="K39" s="218">
        <v>0.3</v>
      </c>
      <c r="L39" s="218">
        <v>0.45</v>
      </c>
      <c r="M39" s="218">
        <v>0.45</v>
      </c>
      <c r="N39" s="218">
        <v>0.45</v>
      </c>
      <c r="O39" s="218">
        <v>0.45</v>
      </c>
      <c r="P39" s="218">
        <v>0.3</v>
      </c>
      <c r="Q39" s="218">
        <v>0.3</v>
      </c>
      <c r="R39" s="218">
        <v>0.3</v>
      </c>
      <c r="S39" s="218">
        <v>0.3</v>
      </c>
      <c r="T39" s="218">
        <v>0.3</v>
      </c>
      <c r="U39" s="218">
        <v>0.3</v>
      </c>
      <c r="V39" s="218">
        <v>0.3</v>
      </c>
      <c r="W39" s="218">
        <v>0.3</v>
      </c>
      <c r="X39" s="218">
        <v>0.6</v>
      </c>
      <c r="Y39" s="218">
        <v>0.8</v>
      </c>
      <c r="Z39" s="218">
        <v>0.9</v>
      </c>
      <c r="AA39" s="218">
        <v>0.8</v>
      </c>
      <c r="AB39" s="218">
        <v>0.6</v>
      </c>
      <c r="AC39" s="223">
        <v>0.3</v>
      </c>
    </row>
    <row r="40" spans="1:29" ht="34.200000000000003" customHeight="1" thickBot="1" x14ac:dyDescent="0.35">
      <c r="A40" s="756"/>
      <c r="B40" s="776"/>
      <c r="C40" s="741"/>
      <c r="D40" s="704"/>
      <c r="E40" s="231" t="s">
        <v>409</v>
      </c>
      <c r="F40" s="224">
        <v>0.1</v>
      </c>
      <c r="G40" s="224">
        <v>0.1</v>
      </c>
      <c r="H40" s="224">
        <v>0.1</v>
      </c>
      <c r="I40" s="224">
        <v>0.1</v>
      </c>
      <c r="J40" s="224">
        <v>0.1</v>
      </c>
      <c r="K40" s="224">
        <v>0.3</v>
      </c>
      <c r="L40" s="224">
        <v>0.45</v>
      </c>
      <c r="M40" s="224">
        <v>0.45</v>
      </c>
      <c r="N40" s="224">
        <v>0.45</v>
      </c>
      <c r="O40" s="224">
        <v>0.45</v>
      </c>
      <c r="P40" s="224">
        <v>0.3</v>
      </c>
      <c r="Q40" s="224">
        <v>0.3</v>
      </c>
      <c r="R40" s="224">
        <v>0.3</v>
      </c>
      <c r="S40" s="224">
        <v>0.3</v>
      </c>
      <c r="T40" s="224">
        <v>0.3</v>
      </c>
      <c r="U40" s="224">
        <v>0.3</v>
      </c>
      <c r="V40" s="224">
        <v>0.3</v>
      </c>
      <c r="W40" s="224">
        <v>0.3</v>
      </c>
      <c r="X40" s="224">
        <v>0.6</v>
      </c>
      <c r="Y40" s="224">
        <v>0.8</v>
      </c>
      <c r="Z40" s="224">
        <v>0.9</v>
      </c>
      <c r="AA40" s="224">
        <v>0.8</v>
      </c>
      <c r="AB40" s="224">
        <v>0.6</v>
      </c>
      <c r="AC40" s="225">
        <v>0.3</v>
      </c>
    </row>
    <row r="41" spans="1:29" ht="34.200000000000003" customHeight="1" x14ac:dyDescent="0.3">
      <c r="A41" s="757" t="s">
        <v>757</v>
      </c>
      <c r="B41" s="775" t="s">
        <v>120</v>
      </c>
      <c r="C41" s="739" t="s">
        <v>751</v>
      </c>
      <c r="D41" s="702" t="s">
        <v>393</v>
      </c>
      <c r="E41" s="232" t="s">
        <v>407</v>
      </c>
      <c r="F41" s="220">
        <v>1</v>
      </c>
      <c r="G41" s="220">
        <v>1</v>
      </c>
      <c r="H41" s="220">
        <v>1</v>
      </c>
      <c r="I41" s="220">
        <v>1</v>
      </c>
      <c r="J41" s="220">
        <v>1</v>
      </c>
      <c r="K41" s="220">
        <v>1</v>
      </c>
      <c r="L41" s="220">
        <v>1</v>
      </c>
      <c r="M41" s="220">
        <v>1</v>
      </c>
      <c r="N41" s="220">
        <v>1</v>
      </c>
      <c r="O41" s="220">
        <v>1</v>
      </c>
      <c r="P41" s="220">
        <v>1</v>
      </c>
      <c r="Q41" s="220">
        <v>1</v>
      </c>
      <c r="R41" s="220">
        <v>1</v>
      </c>
      <c r="S41" s="220">
        <v>1</v>
      </c>
      <c r="T41" s="220">
        <v>1</v>
      </c>
      <c r="U41" s="220">
        <v>1</v>
      </c>
      <c r="V41" s="220">
        <v>1</v>
      </c>
      <c r="W41" s="220">
        <v>1</v>
      </c>
      <c r="X41" s="220">
        <v>1</v>
      </c>
      <c r="Y41" s="220">
        <v>1</v>
      </c>
      <c r="Z41" s="220">
        <v>1</v>
      </c>
      <c r="AA41" s="220">
        <v>1</v>
      </c>
      <c r="AB41" s="220">
        <v>1</v>
      </c>
      <c r="AC41" s="228">
        <v>1</v>
      </c>
    </row>
    <row r="42" spans="1:29" ht="34.200000000000003" customHeight="1" x14ac:dyDescent="0.3">
      <c r="A42" s="755"/>
      <c r="B42" s="706"/>
      <c r="C42" s="740"/>
      <c r="D42" s="703"/>
      <c r="E42" s="219" t="s">
        <v>408</v>
      </c>
      <c r="F42" s="218">
        <v>1</v>
      </c>
      <c r="G42" s="218">
        <v>1</v>
      </c>
      <c r="H42" s="218">
        <v>1</v>
      </c>
      <c r="I42" s="218">
        <v>1</v>
      </c>
      <c r="J42" s="218">
        <v>1</v>
      </c>
      <c r="K42" s="218">
        <v>1</v>
      </c>
      <c r="L42" s="218">
        <v>1</v>
      </c>
      <c r="M42" s="218">
        <v>1</v>
      </c>
      <c r="N42" s="218">
        <v>1</v>
      </c>
      <c r="O42" s="218">
        <v>1</v>
      </c>
      <c r="P42" s="218">
        <v>1</v>
      </c>
      <c r="Q42" s="218">
        <v>1</v>
      </c>
      <c r="R42" s="218">
        <v>1</v>
      </c>
      <c r="S42" s="218">
        <v>1</v>
      </c>
      <c r="T42" s="218">
        <v>1</v>
      </c>
      <c r="U42" s="218">
        <v>1</v>
      </c>
      <c r="V42" s="218">
        <v>1</v>
      </c>
      <c r="W42" s="218">
        <v>1</v>
      </c>
      <c r="X42" s="218">
        <v>1</v>
      </c>
      <c r="Y42" s="218">
        <v>1</v>
      </c>
      <c r="Z42" s="218">
        <v>1</v>
      </c>
      <c r="AA42" s="218">
        <v>1</v>
      </c>
      <c r="AB42" s="218">
        <v>1</v>
      </c>
      <c r="AC42" s="223">
        <v>1</v>
      </c>
    </row>
    <row r="43" spans="1:29" ht="34.200000000000003" customHeight="1" thickBot="1" x14ac:dyDescent="0.35">
      <c r="A43" s="756"/>
      <c r="B43" s="776"/>
      <c r="C43" s="741"/>
      <c r="D43" s="704"/>
      <c r="E43" s="231" t="s">
        <v>409</v>
      </c>
      <c r="F43" s="224">
        <v>1</v>
      </c>
      <c r="G43" s="224">
        <v>1</v>
      </c>
      <c r="H43" s="224">
        <v>1</v>
      </c>
      <c r="I43" s="224">
        <v>1</v>
      </c>
      <c r="J43" s="224">
        <v>1</v>
      </c>
      <c r="K43" s="224">
        <v>1</v>
      </c>
      <c r="L43" s="224">
        <v>1</v>
      </c>
      <c r="M43" s="224">
        <v>1</v>
      </c>
      <c r="N43" s="224">
        <v>1</v>
      </c>
      <c r="O43" s="224">
        <v>1</v>
      </c>
      <c r="P43" s="224">
        <v>1</v>
      </c>
      <c r="Q43" s="224">
        <v>1</v>
      </c>
      <c r="R43" s="224">
        <v>1</v>
      </c>
      <c r="S43" s="224">
        <v>1</v>
      </c>
      <c r="T43" s="224">
        <v>1</v>
      </c>
      <c r="U43" s="224">
        <v>1</v>
      </c>
      <c r="V43" s="224">
        <v>1</v>
      </c>
      <c r="W43" s="224">
        <v>1</v>
      </c>
      <c r="X43" s="224">
        <v>1</v>
      </c>
      <c r="Y43" s="224">
        <v>1</v>
      </c>
      <c r="Z43" s="224">
        <v>1</v>
      </c>
      <c r="AA43" s="224">
        <v>1</v>
      </c>
      <c r="AB43" s="224">
        <v>1</v>
      </c>
      <c r="AC43" s="225">
        <v>1</v>
      </c>
    </row>
    <row r="44" spans="1:29" ht="34.200000000000003" customHeight="1" x14ac:dyDescent="0.3">
      <c r="A44" s="757" t="s">
        <v>757</v>
      </c>
      <c r="B44" s="775" t="s">
        <v>120</v>
      </c>
      <c r="C44" s="739" t="s">
        <v>752</v>
      </c>
      <c r="D44" s="702" t="s">
        <v>393</v>
      </c>
      <c r="E44" s="232" t="s">
        <v>407</v>
      </c>
      <c r="F44" s="220">
        <v>0</v>
      </c>
      <c r="G44" s="220">
        <v>0</v>
      </c>
      <c r="H44" s="220">
        <v>0</v>
      </c>
      <c r="I44" s="220">
        <v>0.05</v>
      </c>
      <c r="J44" s="220">
        <v>0.05</v>
      </c>
      <c r="K44" s="220">
        <v>0.05</v>
      </c>
      <c r="L44" s="220">
        <v>0.8</v>
      </c>
      <c r="M44" s="220">
        <v>0.7</v>
      </c>
      <c r="N44" s="220">
        <v>0.5</v>
      </c>
      <c r="O44" s="220">
        <v>0.4</v>
      </c>
      <c r="P44" s="220">
        <v>0.25</v>
      </c>
      <c r="Q44" s="220">
        <v>0.25</v>
      </c>
      <c r="R44" s="220">
        <v>0.25</v>
      </c>
      <c r="S44" s="220">
        <v>0.25</v>
      </c>
      <c r="T44" s="220">
        <v>0.5</v>
      </c>
      <c r="U44" s="220">
        <v>0.6</v>
      </c>
      <c r="V44" s="220">
        <v>0.7</v>
      </c>
      <c r="W44" s="220">
        <v>0.7</v>
      </c>
      <c r="X44" s="220">
        <v>0.4</v>
      </c>
      <c r="Y44" s="220">
        <v>0.25</v>
      </c>
      <c r="Z44" s="220">
        <v>0.2</v>
      </c>
      <c r="AA44" s="220">
        <v>0.2</v>
      </c>
      <c r="AB44" s="220">
        <v>0.05</v>
      </c>
      <c r="AC44" s="228">
        <v>0.05</v>
      </c>
    </row>
    <row r="45" spans="1:29" ht="34.200000000000003" customHeight="1" x14ac:dyDescent="0.3">
      <c r="A45" s="755"/>
      <c r="B45" s="706"/>
      <c r="C45" s="740"/>
      <c r="D45" s="703"/>
      <c r="E45" s="219" t="s">
        <v>408</v>
      </c>
      <c r="F45" s="218">
        <v>0</v>
      </c>
      <c r="G45" s="218">
        <v>0</v>
      </c>
      <c r="H45" s="218">
        <v>0</v>
      </c>
      <c r="I45" s="218">
        <v>0.05</v>
      </c>
      <c r="J45" s="218">
        <v>0.05</v>
      </c>
      <c r="K45" s="218">
        <v>0.05</v>
      </c>
      <c r="L45" s="218">
        <v>0.8</v>
      </c>
      <c r="M45" s="218">
        <v>0.7</v>
      </c>
      <c r="N45" s="218">
        <v>0.5</v>
      </c>
      <c r="O45" s="218">
        <v>0.4</v>
      </c>
      <c r="P45" s="218">
        <v>0.25</v>
      </c>
      <c r="Q45" s="218">
        <v>0.25</v>
      </c>
      <c r="R45" s="218">
        <v>0.25</v>
      </c>
      <c r="S45" s="218">
        <v>0.25</v>
      </c>
      <c r="T45" s="218">
        <v>0.5</v>
      </c>
      <c r="U45" s="218">
        <v>0.6</v>
      </c>
      <c r="V45" s="218">
        <v>0.7</v>
      </c>
      <c r="W45" s="218">
        <v>0.7</v>
      </c>
      <c r="X45" s="218">
        <v>0.4</v>
      </c>
      <c r="Y45" s="218">
        <v>0.25</v>
      </c>
      <c r="Z45" s="218">
        <v>0.2</v>
      </c>
      <c r="AA45" s="218">
        <v>0.2</v>
      </c>
      <c r="AB45" s="218">
        <v>0.05</v>
      </c>
      <c r="AC45" s="223">
        <v>0.05</v>
      </c>
    </row>
    <row r="46" spans="1:29" ht="34.200000000000003" customHeight="1" thickBot="1" x14ac:dyDescent="0.35">
      <c r="A46" s="756"/>
      <c r="B46" s="776"/>
      <c r="C46" s="741"/>
      <c r="D46" s="704"/>
      <c r="E46" s="231" t="s">
        <v>409</v>
      </c>
      <c r="F46" s="224">
        <v>0</v>
      </c>
      <c r="G46" s="224">
        <v>0</v>
      </c>
      <c r="H46" s="224">
        <v>0</v>
      </c>
      <c r="I46" s="224">
        <v>0.05</v>
      </c>
      <c r="J46" s="224">
        <v>0.05</v>
      </c>
      <c r="K46" s="224">
        <v>0.05</v>
      </c>
      <c r="L46" s="224">
        <v>0.8</v>
      </c>
      <c r="M46" s="224">
        <v>0.7</v>
      </c>
      <c r="N46" s="224">
        <v>0.5</v>
      </c>
      <c r="O46" s="224">
        <v>0.4</v>
      </c>
      <c r="P46" s="224">
        <v>0.25</v>
      </c>
      <c r="Q46" s="224">
        <v>0.25</v>
      </c>
      <c r="R46" s="224">
        <v>0.25</v>
      </c>
      <c r="S46" s="224">
        <v>0.25</v>
      </c>
      <c r="T46" s="224">
        <v>0.5</v>
      </c>
      <c r="U46" s="224">
        <v>0.6</v>
      </c>
      <c r="V46" s="224">
        <v>0.7</v>
      </c>
      <c r="W46" s="224">
        <v>0.7</v>
      </c>
      <c r="X46" s="224">
        <v>0.4</v>
      </c>
      <c r="Y46" s="224">
        <v>0.25</v>
      </c>
      <c r="Z46" s="224">
        <v>0.2</v>
      </c>
      <c r="AA46" s="224">
        <v>0.2</v>
      </c>
      <c r="AB46" s="224">
        <v>0.05</v>
      </c>
      <c r="AC46" s="225">
        <v>0.05</v>
      </c>
    </row>
    <row r="47" spans="1:29" ht="34.200000000000003" customHeight="1" x14ac:dyDescent="0.3">
      <c r="A47" s="757" t="s">
        <v>757</v>
      </c>
      <c r="B47" s="775" t="s">
        <v>120</v>
      </c>
      <c r="C47" s="742" t="s">
        <v>296</v>
      </c>
      <c r="D47" s="702" t="s">
        <v>393</v>
      </c>
      <c r="E47" s="229" t="s">
        <v>407</v>
      </c>
      <c r="F47" s="221">
        <v>0.25</v>
      </c>
      <c r="G47" s="221">
        <v>0.25</v>
      </c>
      <c r="H47" s="221">
        <v>0.25</v>
      </c>
      <c r="I47" s="221">
        <v>0.25</v>
      </c>
      <c r="J47" s="221">
        <v>0.25</v>
      </c>
      <c r="K47" s="221">
        <v>0.25</v>
      </c>
      <c r="L47" s="221">
        <v>0.25</v>
      </c>
      <c r="M47" s="221">
        <v>0.25</v>
      </c>
      <c r="N47" s="221">
        <v>0.25</v>
      </c>
      <c r="O47" s="221">
        <v>0.25</v>
      </c>
      <c r="P47" s="221">
        <v>0.25</v>
      </c>
      <c r="Q47" s="221">
        <v>0.25</v>
      </c>
      <c r="R47" s="221">
        <v>0.25</v>
      </c>
      <c r="S47" s="221">
        <v>0.25</v>
      </c>
      <c r="T47" s="221">
        <v>0.25</v>
      </c>
      <c r="U47" s="221">
        <v>0.25</v>
      </c>
      <c r="V47" s="221">
        <v>0.25</v>
      </c>
      <c r="W47" s="221">
        <v>0.25</v>
      </c>
      <c r="X47" s="221">
        <v>0.25</v>
      </c>
      <c r="Y47" s="221">
        <v>0.25</v>
      </c>
      <c r="Z47" s="221">
        <v>0.25</v>
      </c>
      <c r="AA47" s="221">
        <v>0.25</v>
      </c>
      <c r="AB47" s="221">
        <v>0.25</v>
      </c>
      <c r="AC47" s="222">
        <v>0.25</v>
      </c>
    </row>
    <row r="48" spans="1:29" ht="34.200000000000003" customHeight="1" x14ac:dyDescent="0.3">
      <c r="A48" s="755"/>
      <c r="B48" s="706"/>
      <c r="C48" s="740"/>
      <c r="D48" s="703"/>
      <c r="E48" s="219" t="s">
        <v>408</v>
      </c>
      <c r="F48" s="218">
        <v>0.25</v>
      </c>
      <c r="G48" s="218">
        <v>0.25</v>
      </c>
      <c r="H48" s="218">
        <v>0.25</v>
      </c>
      <c r="I48" s="218">
        <v>0.25</v>
      </c>
      <c r="J48" s="218">
        <v>0.25</v>
      </c>
      <c r="K48" s="218">
        <v>0.25</v>
      </c>
      <c r="L48" s="218">
        <v>0.25</v>
      </c>
      <c r="M48" s="218">
        <v>0.25</v>
      </c>
      <c r="N48" s="218">
        <v>0.25</v>
      </c>
      <c r="O48" s="218">
        <v>0.25</v>
      </c>
      <c r="P48" s="218">
        <v>0.25</v>
      </c>
      <c r="Q48" s="218">
        <v>0.25</v>
      </c>
      <c r="R48" s="218">
        <v>0.25</v>
      </c>
      <c r="S48" s="218">
        <v>0.25</v>
      </c>
      <c r="T48" s="218">
        <v>0.25</v>
      </c>
      <c r="U48" s="218">
        <v>0.25</v>
      </c>
      <c r="V48" s="218">
        <v>0.25</v>
      </c>
      <c r="W48" s="218">
        <v>0.25</v>
      </c>
      <c r="X48" s="218">
        <v>0.25</v>
      </c>
      <c r="Y48" s="218">
        <v>0.25</v>
      </c>
      <c r="Z48" s="218">
        <v>0.25</v>
      </c>
      <c r="AA48" s="218">
        <v>0.25</v>
      </c>
      <c r="AB48" s="218">
        <v>0.25</v>
      </c>
      <c r="AC48" s="223">
        <v>0.25</v>
      </c>
    </row>
    <row r="49" spans="1:29" ht="34.200000000000003" customHeight="1" thickBot="1" x14ac:dyDescent="0.35">
      <c r="A49" s="756"/>
      <c r="B49" s="707"/>
      <c r="C49" s="743"/>
      <c r="D49" s="709"/>
      <c r="E49" s="230" t="s">
        <v>409</v>
      </c>
      <c r="F49" s="226">
        <v>0.25</v>
      </c>
      <c r="G49" s="226">
        <v>0.25</v>
      </c>
      <c r="H49" s="226">
        <v>0.25</v>
      </c>
      <c r="I49" s="226">
        <v>0.25</v>
      </c>
      <c r="J49" s="226">
        <v>0.25</v>
      </c>
      <c r="K49" s="226">
        <v>0.25</v>
      </c>
      <c r="L49" s="226">
        <v>0.25</v>
      </c>
      <c r="M49" s="226">
        <v>0.25</v>
      </c>
      <c r="N49" s="226">
        <v>0.25</v>
      </c>
      <c r="O49" s="226">
        <v>0.25</v>
      </c>
      <c r="P49" s="226">
        <v>0.25</v>
      </c>
      <c r="Q49" s="226">
        <v>0.25</v>
      </c>
      <c r="R49" s="226">
        <v>0.25</v>
      </c>
      <c r="S49" s="226">
        <v>0.25</v>
      </c>
      <c r="T49" s="226">
        <v>0.25</v>
      </c>
      <c r="U49" s="226">
        <v>0.25</v>
      </c>
      <c r="V49" s="226">
        <v>0.25</v>
      </c>
      <c r="W49" s="226">
        <v>0.25</v>
      </c>
      <c r="X49" s="226">
        <v>0.25</v>
      </c>
      <c r="Y49" s="226">
        <v>0.25</v>
      </c>
      <c r="Z49" s="226">
        <v>0.25</v>
      </c>
      <c r="AA49" s="226">
        <v>0.25</v>
      </c>
      <c r="AB49" s="226">
        <v>0.25</v>
      </c>
      <c r="AC49" s="227">
        <v>0.25</v>
      </c>
    </row>
    <row r="50" spans="1:29" ht="34.200000000000003" customHeight="1" x14ac:dyDescent="0.3">
      <c r="A50" s="754" t="s">
        <v>757</v>
      </c>
      <c r="B50" s="705" t="s">
        <v>120</v>
      </c>
      <c r="C50" s="705" t="s">
        <v>754</v>
      </c>
      <c r="D50" s="708" t="s">
        <v>755</v>
      </c>
      <c r="E50" s="322" t="s">
        <v>407</v>
      </c>
      <c r="F50" s="442">
        <f>IF((F41=1),Thermostat!$B$7,Thermostat!$B$8)</f>
        <v>68</v>
      </c>
      <c r="G50" s="442">
        <f>IF((G41=1),Thermostat!$B$7,Thermostat!$B$8)</f>
        <v>68</v>
      </c>
      <c r="H50" s="442">
        <f>IF((H41=1),Thermostat!$B$7,Thermostat!$B$8)</f>
        <v>68</v>
      </c>
      <c r="I50" s="442">
        <f>IF((I41=1),Thermostat!$B$7,Thermostat!$B$8)</f>
        <v>68</v>
      </c>
      <c r="J50" s="442">
        <f>IF((J41=1),Thermostat!$B$7,Thermostat!$B$8)</f>
        <v>68</v>
      </c>
      <c r="K50" s="442">
        <f>IF((K41=1),Thermostat!$B$7,Thermostat!$B$8)</f>
        <v>68</v>
      </c>
      <c r="L50" s="442">
        <f>IF((L41=1),Thermostat!$B$7,Thermostat!$B$8)</f>
        <v>68</v>
      </c>
      <c r="M50" s="442">
        <f>IF((M41=1),Thermostat!$B$7,Thermostat!$B$8)</f>
        <v>68</v>
      </c>
      <c r="N50" s="442">
        <f>IF((N41=1),Thermostat!$B$7,Thermostat!$B$8)</f>
        <v>68</v>
      </c>
      <c r="O50" s="442">
        <f>IF((O41=1),Thermostat!$B$7,Thermostat!$B$8)</f>
        <v>68</v>
      </c>
      <c r="P50" s="442">
        <f>IF((P41=1),Thermostat!$B$7,Thermostat!$B$8)</f>
        <v>68</v>
      </c>
      <c r="Q50" s="442">
        <f>IF((Q41=1),Thermostat!$B$7,Thermostat!$B$8)</f>
        <v>68</v>
      </c>
      <c r="R50" s="442">
        <f>IF((R41=1),Thermostat!$B$7,Thermostat!$B$8)</f>
        <v>68</v>
      </c>
      <c r="S50" s="442">
        <f>IF((S41=1),Thermostat!$B$7,Thermostat!$B$8)</f>
        <v>68</v>
      </c>
      <c r="T50" s="442">
        <f>IF((T41=1),Thermostat!$B$7,Thermostat!$B$8)</f>
        <v>68</v>
      </c>
      <c r="U50" s="442">
        <f>IF((U41=1),Thermostat!$B$7,Thermostat!$B$8)</f>
        <v>68</v>
      </c>
      <c r="V50" s="442">
        <f>IF((V41=1),Thermostat!$B$7,Thermostat!$B$8)</f>
        <v>68</v>
      </c>
      <c r="W50" s="442">
        <f>IF((W41=1),Thermostat!$B$7,Thermostat!$B$8)</f>
        <v>68</v>
      </c>
      <c r="X50" s="442">
        <f>IF((X41=1),Thermostat!$B$7,Thermostat!$B$8)</f>
        <v>68</v>
      </c>
      <c r="Y50" s="442">
        <f>IF((Y41=1),Thermostat!$B$7,Thermostat!$B$8)</f>
        <v>68</v>
      </c>
      <c r="Z50" s="442">
        <f>IF((Z41=1),Thermostat!$B$7,Thermostat!$B$8)</f>
        <v>68</v>
      </c>
      <c r="AA50" s="442">
        <f>IF((AA41=1),Thermostat!$B$7,Thermostat!$B$8)</f>
        <v>68</v>
      </c>
      <c r="AB50" s="442">
        <f>IF((AB41=1),Thermostat!$B$7,Thermostat!$B$8)</f>
        <v>68</v>
      </c>
      <c r="AC50" s="323">
        <f>IF((AC41=1),Thermostat!$B$7,Thermostat!$B$8)</f>
        <v>68</v>
      </c>
    </row>
    <row r="51" spans="1:29" ht="34.200000000000003" customHeight="1" x14ac:dyDescent="0.3">
      <c r="A51" s="755"/>
      <c r="B51" s="706"/>
      <c r="C51" s="706"/>
      <c r="D51" s="703"/>
      <c r="E51" s="278" t="s">
        <v>408</v>
      </c>
      <c r="F51" s="439">
        <f>IF((F42=1),Thermostat!$B$7,Thermostat!$B$8)</f>
        <v>68</v>
      </c>
      <c r="G51" s="439">
        <f>IF((G42=1),Thermostat!$B$7,Thermostat!$B$8)</f>
        <v>68</v>
      </c>
      <c r="H51" s="439">
        <f>IF((H42=1),Thermostat!$B$7,Thermostat!$B$8)</f>
        <v>68</v>
      </c>
      <c r="I51" s="439">
        <f>IF((I42=1),Thermostat!$B$7,Thermostat!$B$8)</f>
        <v>68</v>
      </c>
      <c r="J51" s="439">
        <f>IF((J42=1),Thermostat!$B$7,Thermostat!$B$8)</f>
        <v>68</v>
      </c>
      <c r="K51" s="439">
        <f>IF((K42=1),Thermostat!$B$7,Thermostat!$B$8)</f>
        <v>68</v>
      </c>
      <c r="L51" s="439">
        <f>IF((L42=1),Thermostat!$B$7,Thermostat!$B$8)</f>
        <v>68</v>
      </c>
      <c r="M51" s="439">
        <f>IF((M42=1),Thermostat!$B$7,Thermostat!$B$8)</f>
        <v>68</v>
      </c>
      <c r="N51" s="439">
        <f>IF((N42=1),Thermostat!$B$7,Thermostat!$B$8)</f>
        <v>68</v>
      </c>
      <c r="O51" s="439">
        <f>IF((O42=1),Thermostat!$B$7,Thermostat!$B$8)</f>
        <v>68</v>
      </c>
      <c r="P51" s="439">
        <f>IF((P42=1),Thermostat!$B$7,Thermostat!$B$8)</f>
        <v>68</v>
      </c>
      <c r="Q51" s="439">
        <f>IF((Q42=1),Thermostat!$B$7,Thermostat!$B$8)</f>
        <v>68</v>
      </c>
      <c r="R51" s="439">
        <f>IF((R42=1),Thermostat!$B$7,Thermostat!$B$8)</f>
        <v>68</v>
      </c>
      <c r="S51" s="439">
        <f>IF((S42=1),Thermostat!$B$7,Thermostat!$B$8)</f>
        <v>68</v>
      </c>
      <c r="T51" s="439">
        <f>IF((T42=1),Thermostat!$B$7,Thermostat!$B$8)</f>
        <v>68</v>
      </c>
      <c r="U51" s="439">
        <f>IF((U42=1),Thermostat!$B$7,Thermostat!$B$8)</f>
        <v>68</v>
      </c>
      <c r="V51" s="439">
        <f>IF((V42=1),Thermostat!$B$7,Thermostat!$B$8)</f>
        <v>68</v>
      </c>
      <c r="W51" s="439">
        <f>IF((W42=1),Thermostat!$B$7,Thermostat!$B$8)</f>
        <v>68</v>
      </c>
      <c r="X51" s="439">
        <f>IF((X42=1),Thermostat!$B$7,Thermostat!$B$8)</f>
        <v>68</v>
      </c>
      <c r="Y51" s="439">
        <f>IF((Y42=1),Thermostat!$B$7,Thermostat!$B$8)</f>
        <v>68</v>
      </c>
      <c r="Z51" s="439">
        <f>IF((Z42=1),Thermostat!$B$7,Thermostat!$B$8)</f>
        <v>68</v>
      </c>
      <c r="AA51" s="439">
        <f>IF((AA42=1),Thermostat!$B$7,Thermostat!$B$8)</f>
        <v>68</v>
      </c>
      <c r="AB51" s="439">
        <f>IF((AB42=1),Thermostat!$B$7,Thermostat!$B$8)</f>
        <v>68</v>
      </c>
      <c r="AC51" s="324">
        <f>IF((AC42=1),Thermostat!$B$7,Thermostat!$B$8)</f>
        <v>68</v>
      </c>
    </row>
    <row r="52" spans="1:29" ht="34.200000000000003" customHeight="1" thickBot="1" x14ac:dyDescent="0.35">
      <c r="A52" s="756"/>
      <c r="B52" s="707"/>
      <c r="C52" s="707"/>
      <c r="D52" s="709"/>
      <c r="E52" s="279" t="s">
        <v>409</v>
      </c>
      <c r="F52" s="440">
        <f>IF((F43=1),Thermostat!$B$7,Thermostat!$B$8)</f>
        <v>68</v>
      </c>
      <c r="G52" s="440">
        <f>IF((G43=1),Thermostat!$B$7,Thermostat!$B$8)</f>
        <v>68</v>
      </c>
      <c r="H52" s="440">
        <f>IF((H43=1),Thermostat!$B$7,Thermostat!$B$8)</f>
        <v>68</v>
      </c>
      <c r="I52" s="440">
        <f>IF((I43=1),Thermostat!$B$7,Thermostat!$B$8)</f>
        <v>68</v>
      </c>
      <c r="J52" s="440">
        <f>IF((J43=1),Thermostat!$B$7,Thermostat!$B$8)</f>
        <v>68</v>
      </c>
      <c r="K52" s="440">
        <f>IF((K43=1),Thermostat!$B$7,Thermostat!$B$8)</f>
        <v>68</v>
      </c>
      <c r="L52" s="440">
        <f>IF((L43=1),Thermostat!$B$7,Thermostat!$B$8)</f>
        <v>68</v>
      </c>
      <c r="M52" s="440">
        <f>IF((M43=1),Thermostat!$B$7,Thermostat!$B$8)</f>
        <v>68</v>
      </c>
      <c r="N52" s="440">
        <f>IF((N43=1),Thermostat!$B$7,Thermostat!$B$8)</f>
        <v>68</v>
      </c>
      <c r="O52" s="440">
        <f>IF((O43=1),Thermostat!$B$7,Thermostat!$B$8)</f>
        <v>68</v>
      </c>
      <c r="P52" s="440">
        <f>IF((P43=1),Thermostat!$B$7,Thermostat!$B$8)</f>
        <v>68</v>
      </c>
      <c r="Q52" s="440">
        <f>IF((Q43=1),Thermostat!$B$7,Thermostat!$B$8)</f>
        <v>68</v>
      </c>
      <c r="R52" s="440">
        <f>IF((R43=1),Thermostat!$B$7,Thermostat!$B$8)</f>
        <v>68</v>
      </c>
      <c r="S52" s="440">
        <f>IF((S43=1),Thermostat!$B$7,Thermostat!$B$8)</f>
        <v>68</v>
      </c>
      <c r="T52" s="440">
        <f>IF((T43=1),Thermostat!$B$7,Thermostat!$B$8)</f>
        <v>68</v>
      </c>
      <c r="U52" s="440">
        <f>IF((U43=1),Thermostat!$B$7,Thermostat!$B$8)</f>
        <v>68</v>
      </c>
      <c r="V52" s="440">
        <f>IF((V43=1),Thermostat!$B$7,Thermostat!$B$8)</f>
        <v>68</v>
      </c>
      <c r="W52" s="440">
        <f>IF((W43=1),Thermostat!$B$7,Thermostat!$B$8)</f>
        <v>68</v>
      </c>
      <c r="X52" s="440">
        <f>IF((X43=1),Thermostat!$B$7,Thermostat!$B$8)</f>
        <v>68</v>
      </c>
      <c r="Y52" s="440">
        <f>IF((Y43=1),Thermostat!$B$7,Thermostat!$B$8)</f>
        <v>68</v>
      </c>
      <c r="Z52" s="440">
        <f>IF((Z43=1),Thermostat!$B$7,Thermostat!$B$8)</f>
        <v>68</v>
      </c>
      <c r="AA52" s="440">
        <f>IF((AA43=1),Thermostat!$B$7,Thermostat!$B$8)</f>
        <v>68</v>
      </c>
      <c r="AB52" s="440">
        <f>IF((AB43=1),Thermostat!$B$7,Thermostat!$B$8)</f>
        <v>68</v>
      </c>
      <c r="AC52" s="325">
        <f>IF((AC43=1),Thermostat!$B$7,Thermostat!$B$8)</f>
        <v>68</v>
      </c>
    </row>
    <row r="53" spans="1:29" ht="34.200000000000003" customHeight="1" x14ac:dyDescent="0.3">
      <c r="A53" s="754" t="s">
        <v>757</v>
      </c>
      <c r="B53" s="705" t="s">
        <v>120</v>
      </c>
      <c r="C53" s="705" t="s">
        <v>756</v>
      </c>
      <c r="D53" s="708" t="s">
        <v>755</v>
      </c>
      <c r="E53" s="275" t="s">
        <v>407</v>
      </c>
      <c r="F53" s="443">
        <f>IF((F41=1),Thermostat!$B$9,Thermostat!$B$10)</f>
        <v>78</v>
      </c>
      <c r="G53" s="443">
        <f>IF((G41=1),Thermostat!$B$9,Thermostat!$B$10)</f>
        <v>78</v>
      </c>
      <c r="H53" s="443">
        <f>IF((H41=1),Thermostat!$B$9,Thermostat!$B$10)</f>
        <v>78</v>
      </c>
      <c r="I53" s="443">
        <f>IF((I41=1),Thermostat!$B$9,Thermostat!$B$10)</f>
        <v>78</v>
      </c>
      <c r="J53" s="443">
        <f>IF((J41=1),Thermostat!$B$9,Thermostat!$B$10)</f>
        <v>78</v>
      </c>
      <c r="K53" s="443">
        <f>IF((K41=1),Thermostat!$B$9,Thermostat!$B$10)</f>
        <v>78</v>
      </c>
      <c r="L53" s="443">
        <f>IF((L41=1),Thermostat!$B$9,Thermostat!$B$10)</f>
        <v>78</v>
      </c>
      <c r="M53" s="443">
        <f>IF((M41=1),Thermostat!$B$9,Thermostat!$B$10)</f>
        <v>78</v>
      </c>
      <c r="N53" s="443">
        <f>IF((N41=1),Thermostat!$B$9,Thermostat!$B$10)</f>
        <v>78</v>
      </c>
      <c r="O53" s="443">
        <f>IF((O41=1),Thermostat!$B$9,Thermostat!$B$10)</f>
        <v>78</v>
      </c>
      <c r="P53" s="443">
        <f>IF((P41=1),Thermostat!$B$9,Thermostat!$B$10)</f>
        <v>78</v>
      </c>
      <c r="Q53" s="443">
        <f>IF((Q41=1),Thermostat!$B$9,Thermostat!$B$10)</f>
        <v>78</v>
      </c>
      <c r="R53" s="443">
        <f>IF((R41=1),Thermostat!$B$9,Thermostat!$B$10)</f>
        <v>78</v>
      </c>
      <c r="S53" s="443">
        <f>IF((S41=1),Thermostat!$B$9,Thermostat!$B$10)</f>
        <v>78</v>
      </c>
      <c r="T53" s="443">
        <f>IF((T41=1),Thermostat!$B$9,Thermostat!$B$10)</f>
        <v>78</v>
      </c>
      <c r="U53" s="443">
        <f>IF((U41=1),Thermostat!$B$9,Thermostat!$B$10)</f>
        <v>78</v>
      </c>
      <c r="V53" s="443">
        <f>IF((V41=1),Thermostat!$B$9,Thermostat!$B$10)</f>
        <v>78</v>
      </c>
      <c r="W53" s="443">
        <f>IF((W41=1),Thermostat!$B$9,Thermostat!$B$10)</f>
        <v>78</v>
      </c>
      <c r="X53" s="443">
        <f>IF((X41=1),Thermostat!$B$9,Thermostat!$B$10)</f>
        <v>78</v>
      </c>
      <c r="Y53" s="443">
        <f>IF((Y41=1),Thermostat!$B$9,Thermostat!$B$10)</f>
        <v>78</v>
      </c>
      <c r="Z53" s="443">
        <f>IF((Z41=1),Thermostat!$B$9,Thermostat!$B$10)</f>
        <v>78</v>
      </c>
      <c r="AA53" s="443">
        <f>IF((AA41=1),Thermostat!$B$9,Thermostat!$B$10)</f>
        <v>78</v>
      </c>
      <c r="AB53" s="443">
        <f>IF((AB41=1),Thermostat!$B$9,Thermostat!$B$10)</f>
        <v>78</v>
      </c>
      <c r="AC53" s="326">
        <f>IF((AC41=1),Thermostat!$B$9,Thermostat!$B$10)</f>
        <v>78</v>
      </c>
    </row>
    <row r="54" spans="1:29" ht="34.200000000000003" customHeight="1" x14ac:dyDescent="0.3">
      <c r="A54" s="755"/>
      <c r="B54" s="706"/>
      <c r="C54" s="706"/>
      <c r="D54" s="703"/>
      <c r="E54" s="276" t="s">
        <v>408</v>
      </c>
      <c r="F54" s="439">
        <f>IF((F42=1),Thermostat!$B$9,Thermostat!$B$10)</f>
        <v>78</v>
      </c>
      <c r="G54" s="439">
        <f>IF((G42=1),Thermostat!$B$9,Thermostat!$B$10)</f>
        <v>78</v>
      </c>
      <c r="H54" s="439">
        <f>IF((H42=1),Thermostat!$B$9,Thermostat!$B$10)</f>
        <v>78</v>
      </c>
      <c r="I54" s="439">
        <f>IF((I42=1),Thermostat!$B$9,Thermostat!$B$10)</f>
        <v>78</v>
      </c>
      <c r="J54" s="439">
        <f>IF((J42=1),Thermostat!$B$9,Thermostat!$B$10)</f>
        <v>78</v>
      </c>
      <c r="K54" s="439">
        <f>IF((K42=1),Thermostat!$B$9,Thermostat!$B$10)</f>
        <v>78</v>
      </c>
      <c r="L54" s="439">
        <f>IF((L42=1),Thermostat!$B$9,Thermostat!$B$10)</f>
        <v>78</v>
      </c>
      <c r="M54" s="439">
        <f>IF((M42=1),Thermostat!$B$9,Thermostat!$B$10)</f>
        <v>78</v>
      </c>
      <c r="N54" s="439">
        <f>IF((N42=1),Thermostat!$B$9,Thermostat!$B$10)</f>
        <v>78</v>
      </c>
      <c r="O54" s="439">
        <f>IF((O42=1),Thermostat!$B$9,Thermostat!$B$10)</f>
        <v>78</v>
      </c>
      <c r="P54" s="439">
        <f>IF((P42=1),Thermostat!$B$9,Thermostat!$B$10)</f>
        <v>78</v>
      </c>
      <c r="Q54" s="439">
        <f>IF((Q42=1),Thermostat!$B$9,Thermostat!$B$10)</f>
        <v>78</v>
      </c>
      <c r="R54" s="439">
        <f>IF((R42=1),Thermostat!$B$9,Thermostat!$B$10)</f>
        <v>78</v>
      </c>
      <c r="S54" s="439">
        <f>IF((S42=1),Thermostat!$B$9,Thermostat!$B$10)</f>
        <v>78</v>
      </c>
      <c r="T54" s="439">
        <f>IF((T42=1),Thermostat!$B$9,Thermostat!$B$10)</f>
        <v>78</v>
      </c>
      <c r="U54" s="439">
        <f>IF((U42=1),Thermostat!$B$9,Thermostat!$B$10)</f>
        <v>78</v>
      </c>
      <c r="V54" s="439">
        <f>IF((V42=1),Thermostat!$B$9,Thermostat!$B$10)</f>
        <v>78</v>
      </c>
      <c r="W54" s="439">
        <f>IF((W42=1),Thermostat!$B$9,Thermostat!$B$10)</f>
        <v>78</v>
      </c>
      <c r="X54" s="439">
        <f>IF((X42=1),Thermostat!$B$9,Thermostat!$B$10)</f>
        <v>78</v>
      </c>
      <c r="Y54" s="439">
        <f>IF((Y42=1),Thermostat!$B$9,Thermostat!$B$10)</f>
        <v>78</v>
      </c>
      <c r="Z54" s="439">
        <f>IF((Z42=1),Thermostat!$B$9,Thermostat!$B$10)</f>
        <v>78</v>
      </c>
      <c r="AA54" s="439">
        <f>IF((AA42=1),Thermostat!$B$9,Thermostat!$B$10)</f>
        <v>78</v>
      </c>
      <c r="AB54" s="439">
        <f>IF((AB42=1),Thermostat!$B$9,Thermostat!$B$10)</f>
        <v>78</v>
      </c>
      <c r="AC54" s="324">
        <f>IF((AC42=1),Thermostat!$B$9,Thermostat!$B$10)</f>
        <v>78</v>
      </c>
    </row>
    <row r="55" spans="1:29" ht="34.200000000000003" customHeight="1" thickBot="1" x14ac:dyDescent="0.35">
      <c r="A55" s="764"/>
      <c r="B55" s="714"/>
      <c r="C55" s="714"/>
      <c r="D55" s="715"/>
      <c r="E55" s="314" t="s">
        <v>409</v>
      </c>
      <c r="F55" s="441">
        <f>IF((F43=1),Thermostat!$B$9,Thermostat!$B$10)</f>
        <v>78</v>
      </c>
      <c r="G55" s="441">
        <f>IF((G43=1),Thermostat!$B$9,Thermostat!$B$10)</f>
        <v>78</v>
      </c>
      <c r="H55" s="441">
        <f>IF((H43=1),Thermostat!$B$9,Thermostat!$B$10)</f>
        <v>78</v>
      </c>
      <c r="I55" s="441">
        <f>IF((I43=1),Thermostat!$B$9,Thermostat!$B$10)</f>
        <v>78</v>
      </c>
      <c r="J55" s="441">
        <f>IF((J43=1),Thermostat!$B$9,Thermostat!$B$10)</f>
        <v>78</v>
      </c>
      <c r="K55" s="441">
        <f>IF((K43=1),Thermostat!$B$9,Thermostat!$B$10)</f>
        <v>78</v>
      </c>
      <c r="L55" s="441">
        <f>IF((L43=1),Thermostat!$B$9,Thermostat!$B$10)</f>
        <v>78</v>
      </c>
      <c r="M55" s="441">
        <f>IF((M43=1),Thermostat!$B$9,Thermostat!$B$10)</f>
        <v>78</v>
      </c>
      <c r="N55" s="441">
        <f>IF((N43=1),Thermostat!$B$9,Thermostat!$B$10)</f>
        <v>78</v>
      </c>
      <c r="O55" s="441">
        <f>IF((O43=1),Thermostat!$B$9,Thermostat!$B$10)</f>
        <v>78</v>
      </c>
      <c r="P55" s="441">
        <f>IF((P43=1),Thermostat!$B$9,Thermostat!$B$10)</f>
        <v>78</v>
      </c>
      <c r="Q55" s="441">
        <f>IF((Q43=1),Thermostat!$B$9,Thermostat!$B$10)</f>
        <v>78</v>
      </c>
      <c r="R55" s="441">
        <f>IF((R43=1),Thermostat!$B$9,Thermostat!$B$10)</f>
        <v>78</v>
      </c>
      <c r="S55" s="441">
        <f>IF((S43=1),Thermostat!$B$9,Thermostat!$B$10)</f>
        <v>78</v>
      </c>
      <c r="T55" s="441">
        <f>IF((T43=1),Thermostat!$B$9,Thermostat!$B$10)</f>
        <v>78</v>
      </c>
      <c r="U55" s="441">
        <f>IF((U43=1),Thermostat!$B$9,Thermostat!$B$10)</f>
        <v>78</v>
      </c>
      <c r="V55" s="441">
        <f>IF((V43=1),Thermostat!$B$9,Thermostat!$B$10)</f>
        <v>78</v>
      </c>
      <c r="W55" s="441">
        <f>IF((W43=1),Thermostat!$B$9,Thermostat!$B$10)</f>
        <v>78</v>
      </c>
      <c r="X55" s="441">
        <f>IF((X43=1),Thermostat!$B$9,Thermostat!$B$10)</f>
        <v>78</v>
      </c>
      <c r="Y55" s="441">
        <f>IF((Y43=1),Thermostat!$B$9,Thermostat!$B$10)</f>
        <v>78</v>
      </c>
      <c r="Z55" s="441">
        <f>IF((Z43=1),Thermostat!$B$9,Thermostat!$B$10)</f>
        <v>78</v>
      </c>
      <c r="AA55" s="441">
        <f>IF((AA43=1),Thermostat!$B$9,Thermostat!$B$10)</f>
        <v>78</v>
      </c>
      <c r="AB55" s="441">
        <f>IF((AB43=1),Thermostat!$B$9,Thermostat!$B$10)</f>
        <v>78</v>
      </c>
      <c r="AC55" s="327">
        <f>IF((AC43=1),Thermostat!$B$9,Thermostat!$B$10)</f>
        <v>78</v>
      </c>
    </row>
    <row r="56" spans="1:29" ht="25.2" customHeight="1" thickBot="1" x14ac:dyDescent="0.35">
      <c r="A56" s="726" t="s">
        <v>147</v>
      </c>
      <c r="B56" s="726"/>
      <c r="C56" s="726" t="s">
        <v>758</v>
      </c>
      <c r="D56" s="726"/>
      <c r="E56" s="758"/>
      <c r="F56" s="758"/>
      <c r="G56" s="758"/>
      <c r="H56" s="758"/>
      <c r="I56" s="758"/>
      <c r="J56" s="758"/>
      <c r="K56" s="758"/>
      <c r="L56" s="758"/>
      <c r="M56" s="758"/>
      <c r="N56" s="758"/>
      <c r="O56" s="758"/>
      <c r="P56" s="758"/>
      <c r="Q56" s="758"/>
      <c r="R56" s="758"/>
      <c r="S56" s="758"/>
      <c r="T56" s="758"/>
      <c r="U56" s="758"/>
      <c r="V56" s="758"/>
      <c r="W56" s="758"/>
      <c r="X56" s="758"/>
      <c r="Y56" s="758"/>
      <c r="Z56" s="758"/>
      <c r="AA56" s="758"/>
      <c r="AB56" s="758"/>
      <c r="AC56" s="759"/>
    </row>
    <row r="57" spans="1:29" ht="34.200000000000003" customHeight="1" x14ac:dyDescent="0.3">
      <c r="A57" s="728" t="s">
        <v>313</v>
      </c>
      <c r="B57" s="751" t="s">
        <v>147</v>
      </c>
      <c r="C57" s="710" t="s">
        <v>746</v>
      </c>
      <c r="D57" s="712" t="s">
        <v>759</v>
      </c>
      <c r="E57" s="229" t="s">
        <v>407</v>
      </c>
      <c r="F57" s="221">
        <v>0.9</v>
      </c>
      <c r="G57" s="221">
        <v>0.9</v>
      </c>
      <c r="H57" s="221">
        <v>0.9</v>
      </c>
      <c r="I57" s="221">
        <v>0.9</v>
      </c>
      <c r="J57" s="221">
        <v>0.9</v>
      </c>
      <c r="K57" s="221">
        <v>0.9</v>
      </c>
      <c r="L57" s="221">
        <v>0.7</v>
      </c>
      <c r="M57" s="221">
        <v>0.4</v>
      </c>
      <c r="N57" s="221">
        <v>0.4</v>
      </c>
      <c r="O57" s="221">
        <v>0.2</v>
      </c>
      <c r="P57" s="221">
        <v>0.2</v>
      </c>
      <c r="Q57" s="221">
        <v>0.2</v>
      </c>
      <c r="R57" s="221">
        <v>0.2</v>
      </c>
      <c r="S57" s="221">
        <v>0.2</v>
      </c>
      <c r="T57" s="221">
        <v>0.2</v>
      </c>
      <c r="U57" s="221">
        <v>0.3</v>
      </c>
      <c r="V57" s="221">
        <v>0.5</v>
      </c>
      <c r="W57" s="221">
        <v>0.5</v>
      </c>
      <c r="X57" s="221">
        <v>0.5</v>
      </c>
      <c r="Y57" s="221">
        <v>0.7</v>
      </c>
      <c r="Z57" s="221">
        <v>0.7</v>
      </c>
      <c r="AA57" s="221">
        <v>0.8</v>
      </c>
      <c r="AB57" s="221">
        <v>0.9</v>
      </c>
      <c r="AC57" s="222">
        <v>0.9</v>
      </c>
    </row>
    <row r="58" spans="1:29" ht="34.200000000000003" customHeight="1" x14ac:dyDescent="0.3">
      <c r="A58" s="729"/>
      <c r="B58" s="747"/>
      <c r="C58" s="686"/>
      <c r="D58" s="689"/>
      <c r="E58" s="219" t="s">
        <v>408</v>
      </c>
      <c r="F58" s="218">
        <v>0.9</v>
      </c>
      <c r="G58" s="218">
        <v>0.9</v>
      </c>
      <c r="H58" s="218">
        <v>0.9</v>
      </c>
      <c r="I58" s="218">
        <v>0.9</v>
      </c>
      <c r="J58" s="218">
        <v>0.9</v>
      </c>
      <c r="K58" s="218">
        <v>0.9</v>
      </c>
      <c r="L58" s="218">
        <v>0.7</v>
      </c>
      <c r="M58" s="218">
        <v>0.4</v>
      </c>
      <c r="N58" s="218">
        <v>0.4</v>
      </c>
      <c r="O58" s="218">
        <v>0.2</v>
      </c>
      <c r="P58" s="218">
        <v>0.2</v>
      </c>
      <c r="Q58" s="218">
        <v>0.2</v>
      </c>
      <c r="R58" s="218">
        <v>0.2</v>
      </c>
      <c r="S58" s="218">
        <v>0.2</v>
      </c>
      <c r="T58" s="218">
        <v>0.2</v>
      </c>
      <c r="U58" s="218">
        <v>0.3</v>
      </c>
      <c r="V58" s="218">
        <v>0.5</v>
      </c>
      <c r="W58" s="218">
        <v>0.5</v>
      </c>
      <c r="X58" s="218">
        <v>0.5</v>
      </c>
      <c r="Y58" s="218">
        <v>0.7</v>
      </c>
      <c r="Z58" s="218">
        <v>0.7</v>
      </c>
      <c r="AA58" s="218">
        <v>0.8</v>
      </c>
      <c r="AB58" s="218">
        <v>0.9</v>
      </c>
      <c r="AC58" s="223">
        <v>0.9</v>
      </c>
    </row>
    <row r="59" spans="1:29" ht="34.200000000000003" customHeight="1" thickBot="1" x14ac:dyDescent="0.35">
      <c r="A59" s="730"/>
      <c r="B59" s="749"/>
      <c r="C59" s="722"/>
      <c r="D59" s="723"/>
      <c r="E59" s="230" t="s">
        <v>409</v>
      </c>
      <c r="F59" s="226">
        <v>0.9</v>
      </c>
      <c r="G59" s="226">
        <v>0.9</v>
      </c>
      <c r="H59" s="226">
        <v>0.9</v>
      </c>
      <c r="I59" s="226">
        <v>0.9</v>
      </c>
      <c r="J59" s="226">
        <v>0.9</v>
      </c>
      <c r="K59" s="226">
        <v>0.9</v>
      </c>
      <c r="L59" s="226">
        <v>0.7</v>
      </c>
      <c r="M59" s="226">
        <v>0.4</v>
      </c>
      <c r="N59" s="226">
        <v>0.4</v>
      </c>
      <c r="O59" s="226">
        <v>0.2</v>
      </c>
      <c r="P59" s="226">
        <v>0.2</v>
      </c>
      <c r="Q59" s="226">
        <v>0.2</v>
      </c>
      <c r="R59" s="226">
        <v>0.2</v>
      </c>
      <c r="S59" s="226">
        <v>0.2</v>
      </c>
      <c r="T59" s="226">
        <v>0.2</v>
      </c>
      <c r="U59" s="226">
        <v>0.3</v>
      </c>
      <c r="V59" s="226">
        <v>0.5</v>
      </c>
      <c r="W59" s="226">
        <v>0.5</v>
      </c>
      <c r="X59" s="226">
        <v>0.5</v>
      </c>
      <c r="Y59" s="226">
        <v>0.7</v>
      </c>
      <c r="Z59" s="226">
        <v>0.7</v>
      </c>
      <c r="AA59" s="226">
        <v>0.8</v>
      </c>
      <c r="AB59" s="226">
        <v>0.9</v>
      </c>
      <c r="AC59" s="227">
        <v>0.9</v>
      </c>
    </row>
    <row r="60" spans="1:29" ht="34.200000000000003" customHeight="1" x14ac:dyDescent="0.3">
      <c r="A60" s="762" t="str">
        <f>A57</f>
        <v>Guest Rooms</v>
      </c>
      <c r="B60" s="746" t="s">
        <v>147</v>
      </c>
      <c r="C60" s="681" t="s">
        <v>748</v>
      </c>
      <c r="D60" s="712" t="s">
        <v>759</v>
      </c>
      <c r="E60" s="229" t="s">
        <v>407</v>
      </c>
      <c r="F60" s="221">
        <v>0.1</v>
      </c>
      <c r="G60" s="221">
        <v>0.1</v>
      </c>
      <c r="H60" s="221">
        <v>0.1</v>
      </c>
      <c r="I60" s="221">
        <v>0.1</v>
      </c>
      <c r="J60" s="221">
        <v>0.1</v>
      </c>
      <c r="K60" s="221">
        <v>0.3</v>
      </c>
      <c r="L60" s="221">
        <v>0.45</v>
      </c>
      <c r="M60" s="221">
        <v>0.45</v>
      </c>
      <c r="N60" s="221">
        <v>0.45</v>
      </c>
      <c r="O60" s="221">
        <v>0.45</v>
      </c>
      <c r="P60" s="221">
        <v>0.3</v>
      </c>
      <c r="Q60" s="221">
        <v>0.3</v>
      </c>
      <c r="R60" s="221">
        <v>0.3</v>
      </c>
      <c r="S60" s="221">
        <v>0.3</v>
      </c>
      <c r="T60" s="221">
        <v>0.3</v>
      </c>
      <c r="U60" s="221">
        <v>0.3</v>
      </c>
      <c r="V60" s="221">
        <v>0.3</v>
      </c>
      <c r="W60" s="221">
        <v>0.3</v>
      </c>
      <c r="X60" s="221">
        <v>0.6</v>
      </c>
      <c r="Y60" s="221">
        <v>0.8</v>
      </c>
      <c r="Z60" s="221">
        <v>0.9</v>
      </c>
      <c r="AA60" s="221">
        <v>0.8</v>
      </c>
      <c r="AB60" s="221">
        <v>0.6</v>
      </c>
      <c r="AC60" s="222">
        <v>0.3</v>
      </c>
    </row>
    <row r="61" spans="1:29" ht="34.200000000000003" customHeight="1" x14ac:dyDescent="0.3">
      <c r="A61" s="729"/>
      <c r="B61" s="747"/>
      <c r="C61" s="686"/>
      <c r="D61" s="689"/>
      <c r="E61" s="219" t="s">
        <v>408</v>
      </c>
      <c r="F61" s="218">
        <v>0.1</v>
      </c>
      <c r="G61" s="218">
        <v>0.1</v>
      </c>
      <c r="H61" s="218">
        <v>0.1</v>
      </c>
      <c r="I61" s="218">
        <v>0.1</v>
      </c>
      <c r="J61" s="218">
        <v>0.1</v>
      </c>
      <c r="K61" s="218">
        <v>0.3</v>
      </c>
      <c r="L61" s="218">
        <v>0.45</v>
      </c>
      <c r="M61" s="218">
        <v>0.45</v>
      </c>
      <c r="N61" s="218">
        <v>0.45</v>
      </c>
      <c r="O61" s="218">
        <v>0.45</v>
      </c>
      <c r="P61" s="218">
        <v>0.3</v>
      </c>
      <c r="Q61" s="218">
        <v>0.3</v>
      </c>
      <c r="R61" s="218">
        <v>0.3</v>
      </c>
      <c r="S61" s="218">
        <v>0.3</v>
      </c>
      <c r="T61" s="218">
        <v>0.3</v>
      </c>
      <c r="U61" s="218">
        <v>0.3</v>
      </c>
      <c r="V61" s="218">
        <v>0.3</v>
      </c>
      <c r="W61" s="218">
        <v>0.3</v>
      </c>
      <c r="X61" s="218">
        <v>0.6</v>
      </c>
      <c r="Y61" s="218">
        <v>0.8</v>
      </c>
      <c r="Z61" s="218">
        <v>0.9</v>
      </c>
      <c r="AA61" s="218">
        <v>0.8</v>
      </c>
      <c r="AB61" s="218">
        <v>0.6</v>
      </c>
      <c r="AC61" s="223">
        <v>0.3</v>
      </c>
    </row>
    <row r="62" spans="1:29" ht="34.200000000000003" customHeight="1" thickBot="1" x14ac:dyDescent="0.35">
      <c r="A62" s="730"/>
      <c r="B62" s="749"/>
      <c r="C62" s="722"/>
      <c r="D62" s="723"/>
      <c r="E62" s="230" t="s">
        <v>409</v>
      </c>
      <c r="F62" s="226">
        <v>0.1</v>
      </c>
      <c r="G62" s="226">
        <v>0.1</v>
      </c>
      <c r="H62" s="226">
        <v>0.1</v>
      </c>
      <c r="I62" s="226">
        <v>0.1</v>
      </c>
      <c r="J62" s="226">
        <v>0.1</v>
      </c>
      <c r="K62" s="226">
        <v>0.3</v>
      </c>
      <c r="L62" s="226">
        <v>0.45</v>
      </c>
      <c r="M62" s="226">
        <v>0.45</v>
      </c>
      <c r="N62" s="226">
        <v>0.45</v>
      </c>
      <c r="O62" s="226">
        <v>0.45</v>
      </c>
      <c r="P62" s="226">
        <v>0.3</v>
      </c>
      <c r="Q62" s="226">
        <v>0.3</v>
      </c>
      <c r="R62" s="226">
        <v>0.3</v>
      </c>
      <c r="S62" s="226">
        <v>0.3</v>
      </c>
      <c r="T62" s="226">
        <v>0.3</v>
      </c>
      <c r="U62" s="226">
        <v>0.3</v>
      </c>
      <c r="V62" s="226">
        <v>0.3</v>
      </c>
      <c r="W62" s="226">
        <v>0.3</v>
      </c>
      <c r="X62" s="226">
        <v>0.6</v>
      </c>
      <c r="Y62" s="226">
        <v>0.8</v>
      </c>
      <c r="Z62" s="226">
        <v>0.9</v>
      </c>
      <c r="AA62" s="226">
        <v>0.8</v>
      </c>
      <c r="AB62" s="226">
        <v>0.6</v>
      </c>
      <c r="AC62" s="227">
        <v>0.3</v>
      </c>
    </row>
    <row r="63" spans="1:29" ht="34.200000000000003" customHeight="1" x14ac:dyDescent="0.3">
      <c r="A63" s="762" t="str">
        <f>A57</f>
        <v>Guest Rooms</v>
      </c>
      <c r="B63" s="746" t="s">
        <v>147</v>
      </c>
      <c r="C63" s="681" t="s">
        <v>760</v>
      </c>
      <c r="D63" s="772" t="s">
        <v>520</v>
      </c>
      <c r="E63" s="229" t="s">
        <v>407</v>
      </c>
      <c r="F63" s="221">
        <v>0.1</v>
      </c>
      <c r="G63" s="221">
        <v>0.1</v>
      </c>
      <c r="H63" s="221">
        <v>0.1</v>
      </c>
      <c r="I63" s="221">
        <v>0.1</v>
      </c>
      <c r="J63" s="221">
        <v>0.1</v>
      </c>
      <c r="K63" s="221">
        <v>0.3</v>
      </c>
      <c r="L63" s="221">
        <v>0.45</v>
      </c>
      <c r="M63" s="221">
        <v>0.45</v>
      </c>
      <c r="N63" s="221">
        <v>0.45</v>
      </c>
      <c r="O63" s="221">
        <v>0.45</v>
      </c>
      <c r="P63" s="221">
        <v>0.2</v>
      </c>
      <c r="Q63" s="221">
        <v>0.2</v>
      </c>
      <c r="R63" s="221">
        <v>0.2</v>
      </c>
      <c r="S63" s="221">
        <v>0.2</v>
      </c>
      <c r="T63" s="221">
        <v>0.2</v>
      </c>
      <c r="U63" s="221">
        <v>0.2</v>
      </c>
      <c r="V63" s="221">
        <v>0.2</v>
      </c>
      <c r="W63" s="221">
        <v>0.2</v>
      </c>
      <c r="X63" s="221">
        <v>0.4</v>
      </c>
      <c r="Y63" s="221">
        <v>0.5</v>
      </c>
      <c r="Z63" s="221">
        <v>0.6</v>
      </c>
      <c r="AA63" s="221">
        <v>0.5</v>
      </c>
      <c r="AB63" s="221">
        <v>0.4</v>
      </c>
      <c r="AC63" s="222">
        <v>0.25</v>
      </c>
    </row>
    <row r="64" spans="1:29" ht="34.200000000000003" customHeight="1" x14ac:dyDescent="0.3">
      <c r="A64" s="729"/>
      <c r="B64" s="747"/>
      <c r="C64" s="686"/>
      <c r="D64" s="773"/>
      <c r="E64" s="219" t="s">
        <v>408</v>
      </c>
      <c r="F64" s="218">
        <f>F63</f>
        <v>0.1</v>
      </c>
      <c r="G64" s="218">
        <f t="shared" ref="G64:AC64" si="0">G63</f>
        <v>0.1</v>
      </c>
      <c r="H64" s="218">
        <f t="shared" si="0"/>
        <v>0.1</v>
      </c>
      <c r="I64" s="218">
        <f t="shared" si="0"/>
        <v>0.1</v>
      </c>
      <c r="J64" s="218">
        <f t="shared" si="0"/>
        <v>0.1</v>
      </c>
      <c r="K64" s="218">
        <f t="shared" si="0"/>
        <v>0.3</v>
      </c>
      <c r="L64" s="218">
        <f t="shared" si="0"/>
        <v>0.45</v>
      </c>
      <c r="M64" s="218">
        <f t="shared" si="0"/>
        <v>0.45</v>
      </c>
      <c r="N64" s="218">
        <f t="shared" si="0"/>
        <v>0.45</v>
      </c>
      <c r="O64" s="218">
        <f t="shared" si="0"/>
        <v>0.45</v>
      </c>
      <c r="P64" s="218">
        <f t="shared" si="0"/>
        <v>0.2</v>
      </c>
      <c r="Q64" s="218">
        <f t="shared" si="0"/>
        <v>0.2</v>
      </c>
      <c r="R64" s="218">
        <f t="shared" si="0"/>
        <v>0.2</v>
      </c>
      <c r="S64" s="218">
        <f t="shared" si="0"/>
        <v>0.2</v>
      </c>
      <c r="T64" s="218">
        <f t="shared" si="0"/>
        <v>0.2</v>
      </c>
      <c r="U64" s="218">
        <f t="shared" si="0"/>
        <v>0.2</v>
      </c>
      <c r="V64" s="218">
        <f t="shared" si="0"/>
        <v>0.2</v>
      </c>
      <c r="W64" s="218">
        <f t="shared" si="0"/>
        <v>0.2</v>
      </c>
      <c r="X64" s="218">
        <f t="shared" si="0"/>
        <v>0.4</v>
      </c>
      <c r="Y64" s="218">
        <f t="shared" si="0"/>
        <v>0.5</v>
      </c>
      <c r="Z64" s="218">
        <f t="shared" si="0"/>
        <v>0.6</v>
      </c>
      <c r="AA64" s="218">
        <f t="shared" si="0"/>
        <v>0.5</v>
      </c>
      <c r="AB64" s="218">
        <f t="shared" si="0"/>
        <v>0.4</v>
      </c>
      <c r="AC64" s="223">
        <f t="shared" si="0"/>
        <v>0.25</v>
      </c>
    </row>
    <row r="65" spans="1:29" ht="34.200000000000003" customHeight="1" thickBot="1" x14ac:dyDescent="0.35">
      <c r="A65" s="761"/>
      <c r="B65" s="749"/>
      <c r="C65" s="687"/>
      <c r="D65" s="774"/>
      <c r="E65" s="231" t="s">
        <v>409</v>
      </c>
      <c r="F65" s="224">
        <f>F63</f>
        <v>0.1</v>
      </c>
      <c r="G65" s="224">
        <f t="shared" ref="G65:AC65" si="1">G63</f>
        <v>0.1</v>
      </c>
      <c r="H65" s="224">
        <f t="shared" si="1"/>
        <v>0.1</v>
      </c>
      <c r="I65" s="224">
        <f t="shared" si="1"/>
        <v>0.1</v>
      </c>
      <c r="J65" s="224">
        <f t="shared" si="1"/>
        <v>0.1</v>
      </c>
      <c r="K65" s="224">
        <f t="shared" si="1"/>
        <v>0.3</v>
      </c>
      <c r="L65" s="224">
        <f t="shared" si="1"/>
        <v>0.45</v>
      </c>
      <c r="M65" s="224">
        <f t="shared" si="1"/>
        <v>0.45</v>
      </c>
      <c r="N65" s="224">
        <f t="shared" si="1"/>
        <v>0.45</v>
      </c>
      <c r="O65" s="224">
        <f t="shared" si="1"/>
        <v>0.45</v>
      </c>
      <c r="P65" s="224">
        <f t="shared" si="1"/>
        <v>0.2</v>
      </c>
      <c r="Q65" s="224">
        <f t="shared" si="1"/>
        <v>0.2</v>
      </c>
      <c r="R65" s="224">
        <f t="shared" si="1"/>
        <v>0.2</v>
      </c>
      <c r="S65" s="224">
        <f t="shared" si="1"/>
        <v>0.2</v>
      </c>
      <c r="T65" s="224">
        <f t="shared" si="1"/>
        <v>0.2</v>
      </c>
      <c r="U65" s="224">
        <f t="shared" si="1"/>
        <v>0.2</v>
      </c>
      <c r="V65" s="224">
        <f t="shared" si="1"/>
        <v>0.2</v>
      </c>
      <c r="W65" s="224">
        <f t="shared" si="1"/>
        <v>0.2</v>
      </c>
      <c r="X65" s="224">
        <f t="shared" si="1"/>
        <v>0.4</v>
      </c>
      <c r="Y65" s="224">
        <f t="shared" si="1"/>
        <v>0.5</v>
      </c>
      <c r="Z65" s="224">
        <f t="shared" si="1"/>
        <v>0.6</v>
      </c>
      <c r="AA65" s="224">
        <f t="shared" si="1"/>
        <v>0.5</v>
      </c>
      <c r="AB65" s="224">
        <f t="shared" si="1"/>
        <v>0.4</v>
      </c>
      <c r="AC65" s="225">
        <f t="shared" si="1"/>
        <v>0.25</v>
      </c>
    </row>
    <row r="66" spans="1:29" ht="23.4" customHeight="1" x14ac:dyDescent="0.3">
      <c r="A66" s="760" t="str">
        <f>A57</f>
        <v>Guest Rooms</v>
      </c>
      <c r="B66" s="746" t="s">
        <v>147</v>
      </c>
      <c r="C66" s="685" t="s">
        <v>751</v>
      </c>
      <c r="D66" s="712" t="s">
        <v>759</v>
      </c>
      <c r="E66" s="232" t="s">
        <v>407</v>
      </c>
      <c r="F66" s="220">
        <v>1</v>
      </c>
      <c r="G66" s="220">
        <v>1</v>
      </c>
      <c r="H66" s="220">
        <v>1</v>
      </c>
      <c r="I66" s="220">
        <v>1</v>
      </c>
      <c r="J66" s="220">
        <v>1</v>
      </c>
      <c r="K66" s="220">
        <v>1</v>
      </c>
      <c r="L66" s="220">
        <v>1</v>
      </c>
      <c r="M66" s="220">
        <v>1</v>
      </c>
      <c r="N66" s="220">
        <v>1</v>
      </c>
      <c r="O66" s="220">
        <v>1</v>
      </c>
      <c r="P66" s="220">
        <v>1</v>
      </c>
      <c r="Q66" s="220">
        <v>1</v>
      </c>
      <c r="R66" s="220">
        <v>1</v>
      </c>
      <c r="S66" s="220">
        <v>1</v>
      </c>
      <c r="T66" s="220">
        <v>1</v>
      </c>
      <c r="U66" s="220">
        <v>1</v>
      </c>
      <c r="V66" s="220">
        <v>1</v>
      </c>
      <c r="W66" s="220">
        <v>1</v>
      </c>
      <c r="X66" s="220">
        <v>1</v>
      </c>
      <c r="Y66" s="220">
        <v>1</v>
      </c>
      <c r="Z66" s="220">
        <v>1</v>
      </c>
      <c r="AA66" s="220">
        <v>1</v>
      </c>
      <c r="AB66" s="220">
        <v>1</v>
      </c>
      <c r="AC66" s="228">
        <v>1</v>
      </c>
    </row>
    <row r="67" spans="1:29" ht="34.200000000000003" customHeight="1" x14ac:dyDescent="0.3">
      <c r="A67" s="729"/>
      <c r="B67" s="747"/>
      <c r="C67" s="686"/>
      <c r="D67" s="689"/>
      <c r="E67" s="219" t="s">
        <v>408</v>
      </c>
      <c r="F67" s="218">
        <v>1</v>
      </c>
      <c r="G67" s="218">
        <v>1</v>
      </c>
      <c r="H67" s="218">
        <v>1</v>
      </c>
      <c r="I67" s="218">
        <v>1</v>
      </c>
      <c r="J67" s="218">
        <v>1</v>
      </c>
      <c r="K67" s="218">
        <v>1</v>
      </c>
      <c r="L67" s="218">
        <v>1</v>
      </c>
      <c r="M67" s="218">
        <v>1</v>
      </c>
      <c r="N67" s="218">
        <v>1</v>
      </c>
      <c r="O67" s="218">
        <v>1</v>
      </c>
      <c r="P67" s="218">
        <v>1</v>
      </c>
      <c r="Q67" s="218">
        <v>1</v>
      </c>
      <c r="R67" s="218">
        <v>1</v>
      </c>
      <c r="S67" s="218">
        <v>1</v>
      </c>
      <c r="T67" s="218">
        <v>1</v>
      </c>
      <c r="U67" s="218">
        <v>1</v>
      </c>
      <c r="V67" s="218">
        <v>1</v>
      </c>
      <c r="W67" s="218">
        <v>1</v>
      </c>
      <c r="X67" s="218">
        <v>1</v>
      </c>
      <c r="Y67" s="218">
        <v>1</v>
      </c>
      <c r="Z67" s="218">
        <v>1</v>
      </c>
      <c r="AA67" s="218">
        <v>1</v>
      </c>
      <c r="AB67" s="218">
        <v>1</v>
      </c>
      <c r="AC67" s="223">
        <v>1</v>
      </c>
    </row>
    <row r="68" spans="1:29" ht="34.200000000000003" customHeight="1" thickBot="1" x14ac:dyDescent="0.35">
      <c r="A68" s="761"/>
      <c r="B68" s="749"/>
      <c r="C68" s="687"/>
      <c r="D68" s="723"/>
      <c r="E68" s="231" t="s">
        <v>409</v>
      </c>
      <c r="F68" s="224">
        <v>1</v>
      </c>
      <c r="G68" s="224">
        <v>1</v>
      </c>
      <c r="H68" s="224">
        <v>1</v>
      </c>
      <c r="I68" s="224">
        <v>1</v>
      </c>
      <c r="J68" s="224">
        <v>1</v>
      </c>
      <c r="K68" s="224">
        <v>1</v>
      </c>
      <c r="L68" s="224">
        <v>1</v>
      </c>
      <c r="M68" s="224">
        <v>1</v>
      </c>
      <c r="N68" s="224">
        <v>1</v>
      </c>
      <c r="O68" s="224">
        <v>1</v>
      </c>
      <c r="P68" s="224">
        <v>1</v>
      </c>
      <c r="Q68" s="224">
        <v>1</v>
      </c>
      <c r="R68" s="224">
        <v>1</v>
      </c>
      <c r="S68" s="224">
        <v>1</v>
      </c>
      <c r="T68" s="224">
        <v>1</v>
      </c>
      <c r="U68" s="224">
        <v>1</v>
      </c>
      <c r="V68" s="224">
        <v>1</v>
      </c>
      <c r="W68" s="224">
        <v>1</v>
      </c>
      <c r="X68" s="224">
        <v>1</v>
      </c>
      <c r="Y68" s="224">
        <v>1</v>
      </c>
      <c r="Z68" s="224">
        <v>1</v>
      </c>
      <c r="AA68" s="224">
        <v>1</v>
      </c>
      <c r="AB68" s="224">
        <v>1</v>
      </c>
      <c r="AC68" s="225">
        <v>1</v>
      </c>
    </row>
    <row r="69" spans="1:29" ht="34.200000000000003" customHeight="1" x14ac:dyDescent="0.3">
      <c r="A69" s="762" t="str">
        <f>A57</f>
        <v>Guest Rooms</v>
      </c>
      <c r="B69" s="746" t="s">
        <v>147</v>
      </c>
      <c r="C69" s="685" t="s">
        <v>752</v>
      </c>
      <c r="D69" s="712" t="s">
        <v>759</v>
      </c>
      <c r="E69" s="232" t="s">
        <v>407</v>
      </c>
      <c r="F69" s="220">
        <v>0.13100000000000001</v>
      </c>
      <c r="G69" s="220">
        <v>7.4999999999999997E-2</v>
      </c>
      <c r="H69" s="220">
        <v>8.4000000000000005E-2</v>
      </c>
      <c r="I69" s="220">
        <v>0.10299999999999999</v>
      </c>
      <c r="J69" s="220">
        <v>0.187</v>
      </c>
      <c r="K69" s="220">
        <v>0.41099999999999998</v>
      </c>
      <c r="L69" s="220">
        <v>0.83199999999999996</v>
      </c>
      <c r="M69" s="220">
        <v>1</v>
      </c>
      <c r="N69" s="220">
        <v>0.83199999999999996</v>
      </c>
      <c r="O69" s="220">
        <v>0.61699999999999999</v>
      </c>
      <c r="P69" s="220">
        <v>0.48599999999999999</v>
      </c>
      <c r="Q69" s="220">
        <v>0.35499999999999998</v>
      </c>
      <c r="R69" s="220">
        <v>0.33600000000000002</v>
      </c>
      <c r="S69" s="220">
        <v>0.308</v>
      </c>
      <c r="T69" s="220">
        <v>0.29899999999999999</v>
      </c>
      <c r="U69" s="220">
        <v>0.24299999999999999</v>
      </c>
      <c r="V69" s="220">
        <v>0.39300000000000002</v>
      </c>
      <c r="W69" s="220">
        <v>0.44900000000000001</v>
      </c>
      <c r="X69" s="220">
        <v>0.48599999999999999</v>
      </c>
      <c r="Y69" s="220">
        <v>0.439</v>
      </c>
      <c r="Z69" s="220">
        <v>0.39300000000000002</v>
      </c>
      <c r="AA69" s="220">
        <v>0.36399999999999999</v>
      </c>
      <c r="AB69" s="220">
        <v>0.33600000000000002</v>
      </c>
      <c r="AC69" s="228">
        <v>0.20599999999999999</v>
      </c>
    </row>
    <row r="70" spans="1:29" ht="34.200000000000003" customHeight="1" x14ac:dyDescent="0.3">
      <c r="A70" s="729"/>
      <c r="B70" s="747"/>
      <c r="C70" s="686"/>
      <c r="D70" s="689"/>
      <c r="E70" s="219" t="s">
        <v>408</v>
      </c>
      <c r="F70" s="218">
        <v>0.217</v>
      </c>
      <c r="G70" s="218">
        <v>0.12</v>
      </c>
      <c r="H70" s="218">
        <v>0.108</v>
      </c>
      <c r="I70" s="218">
        <v>9.6000000000000002E-2</v>
      </c>
      <c r="J70" s="218">
        <v>0.18099999999999999</v>
      </c>
      <c r="K70" s="218">
        <v>0.27700000000000002</v>
      </c>
      <c r="L70" s="218">
        <v>0.313</v>
      </c>
      <c r="M70" s="218">
        <v>0.56599999999999995</v>
      </c>
      <c r="N70" s="218">
        <v>0.92800000000000005</v>
      </c>
      <c r="O70" s="218">
        <v>1</v>
      </c>
      <c r="P70" s="218">
        <v>0.89200000000000002</v>
      </c>
      <c r="Q70" s="218">
        <v>0.73499999999999999</v>
      </c>
      <c r="R70" s="218">
        <v>0.61399999999999999</v>
      </c>
      <c r="S70" s="218">
        <v>0.51800000000000002</v>
      </c>
      <c r="T70" s="218">
        <v>0.47</v>
      </c>
      <c r="U70" s="218">
        <v>0.47</v>
      </c>
      <c r="V70" s="218">
        <v>0.627</v>
      </c>
      <c r="W70" s="218">
        <v>0.69899999999999995</v>
      </c>
      <c r="X70" s="218">
        <v>0.67500000000000004</v>
      </c>
      <c r="Y70" s="218">
        <v>0.627</v>
      </c>
      <c r="Z70" s="218">
        <v>0.56599999999999995</v>
      </c>
      <c r="AA70" s="218">
        <v>0.53</v>
      </c>
      <c r="AB70" s="218">
        <v>0.48199999999999998</v>
      </c>
      <c r="AC70" s="223">
        <v>0.33700000000000002</v>
      </c>
    </row>
    <row r="71" spans="1:29" ht="34.200000000000003" customHeight="1" thickBot="1" x14ac:dyDescent="0.35">
      <c r="A71" s="761"/>
      <c r="B71" s="749"/>
      <c r="C71" s="687"/>
      <c r="D71" s="723"/>
      <c r="E71" s="231" t="s">
        <v>409</v>
      </c>
      <c r="F71" s="224">
        <v>0.217</v>
      </c>
      <c r="G71" s="224">
        <v>0.12</v>
      </c>
      <c r="H71" s="224">
        <v>0.108</v>
      </c>
      <c r="I71" s="224">
        <v>9.6000000000000002E-2</v>
      </c>
      <c r="J71" s="224">
        <v>0.18099999999999999</v>
      </c>
      <c r="K71" s="224">
        <v>0.27700000000000002</v>
      </c>
      <c r="L71" s="224">
        <v>0.313</v>
      </c>
      <c r="M71" s="224">
        <v>0.56599999999999995</v>
      </c>
      <c r="N71" s="224">
        <v>0.92800000000000005</v>
      </c>
      <c r="O71" s="224">
        <v>1</v>
      </c>
      <c r="P71" s="224">
        <v>0.89200000000000002</v>
      </c>
      <c r="Q71" s="224">
        <v>0.73499999999999999</v>
      </c>
      <c r="R71" s="224">
        <v>0.61399999999999999</v>
      </c>
      <c r="S71" s="224">
        <v>0.51800000000000002</v>
      </c>
      <c r="T71" s="224">
        <v>0.47</v>
      </c>
      <c r="U71" s="224">
        <v>0.47</v>
      </c>
      <c r="V71" s="224">
        <v>0.627</v>
      </c>
      <c r="W71" s="224">
        <v>0.69899999999999995</v>
      </c>
      <c r="X71" s="224">
        <v>0.67500000000000004</v>
      </c>
      <c r="Y71" s="224">
        <v>0.627</v>
      </c>
      <c r="Z71" s="224">
        <v>0.56599999999999995</v>
      </c>
      <c r="AA71" s="224">
        <v>0.53</v>
      </c>
      <c r="AB71" s="224">
        <v>0.48199999999999998</v>
      </c>
      <c r="AC71" s="225">
        <v>0.33700000000000002</v>
      </c>
    </row>
    <row r="72" spans="1:29" ht="34.200000000000003" customHeight="1" x14ac:dyDescent="0.3">
      <c r="A72" s="762" t="str">
        <f>A57</f>
        <v>Guest Rooms</v>
      </c>
      <c r="B72" s="746" t="s">
        <v>147</v>
      </c>
      <c r="C72" s="681" t="s">
        <v>296</v>
      </c>
      <c r="D72" s="712" t="s">
        <v>759</v>
      </c>
      <c r="E72" s="229" t="s">
        <v>407</v>
      </c>
      <c r="F72" s="221">
        <v>1</v>
      </c>
      <c r="G72" s="221">
        <v>1</v>
      </c>
      <c r="H72" s="221">
        <v>1</v>
      </c>
      <c r="I72" s="221">
        <v>1</v>
      </c>
      <c r="J72" s="221">
        <v>1</v>
      </c>
      <c r="K72" s="221">
        <v>1</v>
      </c>
      <c r="L72" s="221">
        <v>1</v>
      </c>
      <c r="M72" s="221">
        <v>1</v>
      </c>
      <c r="N72" s="221">
        <v>1</v>
      </c>
      <c r="O72" s="221">
        <v>1</v>
      </c>
      <c r="P72" s="221">
        <v>1</v>
      </c>
      <c r="Q72" s="221">
        <v>1</v>
      </c>
      <c r="R72" s="221">
        <v>1</v>
      </c>
      <c r="S72" s="221">
        <v>1</v>
      </c>
      <c r="T72" s="221">
        <v>1</v>
      </c>
      <c r="U72" s="221">
        <v>1</v>
      </c>
      <c r="V72" s="221">
        <v>1</v>
      </c>
      <c r="W72" s="221">
        <v>1</v>
      </c>
      <c r="X72" s="221">
        <v>1</v>
      </c>
      <c r="Y72" s="221">
        <v>1</v>
      </c>
      <c r="Z72" s="221">
        <v>1</v>
      </c>
      <c r="AA72" s="221">
        <v>1</v>
      </c>
      <c r="AB72" s="221">
        <v>1</v>
      </c>
      <c r="AC72" s="222">
        <v>1</v>
      </c>
    </row>
    <row r="73" spans="1:29" ht="34.200000000000003" customHeight="1" x14ac:dyDescent="0.3">
      <c r="A73" s="729"/>
      <c r="B73" s="747"/>
      <c r="C73" s="686"/>
      <c r="D73" s="689"/>
      <c r="E73" s="219" t="s">
        <v>408</v>
      </c>
      <c r="F73" s="218">
        <v>1</v>
      </c>
      <c r="G73" s="218">
        <v>1</v>
      </c>
      <c r="H73" s="218">
        <v>1</v>
      </c>
      <c r="I73" s="218">
        <v>1</v>
      </c>
      <c r="J73" s="218">
        <v>1</v>
      </c>
      <c r="K73" s="218">
        <v>1</v>
      </c>
      <c r="L73" s="218">
        <v>1</v>
      </c>
      <c r="M73" s="218">
        <v>1</v>
      </c>
      <c r="N73" s="218">
        <v>1</v>
      </c>
      <c r="O73" s="218">
        <v>1</v>
      </c>
      <c r="P73" s="218">
        <v>1</v>
      </c>
      <c r="Q73" s="218">
        <v>1</v>
      </c>
      <c r="R73" s="218">
        <v>1</v>
      </c>
      <c r="S73" s="218">
        <v>1</v>
      </c>
      <c r="T73" s="218">
        <v>1</v>
      </c>
      <c r="U73" s="218">
        <v>1</v>
      </c>
      <c r="V73" s="218">
        <v>1</v>
      </c>
      <c r="W73" s="218">
        <v>1</v>
      </c>
      <c r="X73" s="218">
        <v>1</v>
      </c>
      <c r="Y73" s="218">
        <v>1</v>
      </c>
      <c r="Z73" s="218">
        <v>1</v>
      </c>
      <c r="AA73" s="218">
        <v>1</v>
      </c>
      <c r="AB73" s="218">
        <v>1</v>
      </c>
      <c r="AC73" s="223">
        <v>1</v>
      </c>
    </row>
    <row r="74" spans="1:29" ht="34.200000000000003" customHeight="1" thickBot="1" x14ac:dyDescent="0.35">
      <c r="A74" s="730"/>
      <c r="B74" s="748"/>
      <c r="C74" s="722"/>
      <c r="D74" s="723"/>
      <c r="E74" s="230" t="s">
        <v>409</v>
      </c>
      <c r="F74" s="226">
        <v>1</v>
      </c>
      <c r="G74" s="226">
        <v>1</v>
      </c>
      <c r="H74" s="226">
        <v>1</v>
      </c>
      <c r="I74" s="226">
        <v>1</v>
      </c>
      <c r="J74" s="226">
        <v>1</v>
      </c>
      <c r="K74" s="226">
        <v>1</v>
      </c>
      <c r="L74" s="226">
        <v>1</v>
      </c>
      <c r="M74" s="226">
        <v>1</v>
      </c>
      <c r="N74" s="226">
        <v>1</v>
      </c>
      <c r="O74" s="226">
        <v>1</v>
      </c>
      <c r="P74" s="226">
        <v>1</v>
      </c>
      <c r="Q74" s="226">
        <v>1</v>
      </c>
      <c r="R74" s="226">
        <v>1</v>
      </c>
      <c r="S74" s="226">
        <v>1</v>
      </c>
      <c r="T74" s="226">
        <v>1</v>
      </c>
      <c r="U74" s="226">
        <v>1</v>
      </c>
      <c r="V74" s="226">
        <v>1</v>
      </c>
      <c r="W74" s="226">
        <v>1</v>
      </c>
      <c r="X74" s="226">
        <v>1</v>
      </c>
      <c r="Y74" s="226">
        <v>1</v>
      </c>
      <c r="Z74" s="226">
        <v>1</v>
      </c>
      <c r="AA74" s="226">
        <v>1</v>
      </c>
      <c r="AB74" s="226">
        <v>1</v>
      </c>
      <c r="AC74" s="227">
        <v>1</v>
      </c>
    </row>
    <row r="75" spans="1:29" ht="34.200000000000003" customHeight="1" x14ac:dyDescent="0.3">
      <c r="A75" s="765" t="str">
        <f>A57</f>
        <v>Guest Rooms</v>
      </c>
      <c r="B75" s="751" t="s">
        <v>147</v>
      </c>
      <c r="C75" s="716" t="s">
        <v>754</v>
      </c>
      <c r="D75" s="719" t="s">
        <v>755</v>
      </c>
      <c r="E75" s="313" t="s">
        <v>407</v>
      </c>
      <c r="F75" s="315">
        <f>IF((F66=1),Thermostat!$B$11,Thermostat!$B$12)</f>
        <v>70</v>
      </c>
      <c r="G75" s="315">
        <f>IF((G66=1),Thermostat!$B$11,Thermostat!$B$12)</f>
        <v>70</v>
      </c>
      <c r="H75" s="315">
        <f>IF((H66=1),Thermostat!$B$11,Thermostat!$B$12)</f>
        <v>70</v>
      </c>
      <c r="I75" s="315">
        <f>IF((I66=1),Thermostat!$B$11,Thermostat!$B$12)</f>
        <v>70</v>
      </c>
      <c r="J75" s="315">
        <f>IF((J66=1),Thermostat!$B$11,Thermostat!$B$12)</f>
        <v>70</v>
      </c>
      <c r="K75" s="315">
        <f>IF((K66=1),Thermostat!$B$11,Thermostat!$B$12)</f>
        <v>70</v>
      </c>
      <c r="L75" s="315">
        <f>IF((L66=1),Thermostat!$B$11,Thermostat!$B$12)</f>
        <v>70</v>
      </c>
      <c r="M75" s="315">
        <f>IF((M66=1),Thermostat!$B$11,Thermostat!$B$12)</f>
        <v>70</v>
      </c>
      <c r="N75" s="315">
        <f>IF((N66=1),Thermostat!$B$11,Thermostat!$B$12)</f>
        <v>70</v>
      </c>
      <c r="O75" s="315">
        <f>IF((O66=1),Thermostat!$B$11,Thermostat!$B$12)</f>
        <v>70</v>
      </c>
      <c r="P75" s="315">
        <f>IF((P66=1),Thermostat!$B$11,Thermostat!$B$12)</f>
        <v>70</v>
      </c>
      <c r="Q75" s="315">
        <f>IF((Q66=1),Thermostat!$B$11,Thermostat!$B$12)</f>
        <v>70</v>
      </c>
      <c r="R75" s="315">
        <f>IF((R66=1),Thermostat!$B$11,Thermostat!$B$12)</f>
        <v>70</v>
      </c>
      <c r="S75" s="315">
        <f>IF((S66=1),Thermostat!$B$11,Thermostat!$B$12)</f>
        <v>70</v>
      </c>
      <c r="T75" s="315">
        <f>IF((T66=1),Thermostat!$B$11,Thermostat!$B$12)</f>
        <v>70</v>
      </c>
      <c r="U75" s="315">
        <f>IF((U66=1),Thermostat!$B$11,Thermostat!$B$12)</f>
        <v>70</v>
      </c>
      <c r="V75" s="315">
        <f>IF((V66=1),Thermostat!$B$11,Thermostat!$B$12)</f>
        <v>70</v>
      </c>
      <c r="W75" s="315">
        <f>IF((W66=1),Thermostat!$B$11,Thermostat!$B$12)</f>
        <v>70</v>
      </c>
      <c r="X75" s="315">
        <f>IF((X66=1),Thermostat!$B$11,Thermostat!$B$12)</f>
        <v>70</v>
      </c>
      <c r="Y75" s="315">
        <f>IF((Y66=1),Thermostat!$B$11,Thermostat!$B$12)</f>
        <v>70</v>
      </c>
      <c r="Z75" s="315">
        <f>IF((Z66=1),Thermostat!$B$11,Thermostat!$B$12)</f>
        <v>70</v>
      </c>
      <c r="AA75" s="315">
        <f>IF((AA66=1),Thermostat!$B$11,Thermostat!$B$12)</f>
        <v>70</v>
      </c>
      <c r="AB75" s="315">
        <f>IF((AB66=1),Thermostat!$B$11,Thermostat!$B$12)</f>
        <v>70</v>
      </c>
      <c r="AC75" s="316">
        <f>IF((AC66=1),Thermostat!$B$11,Thermostat!$B$12)</f>
        <v>70</v>
      </c>
    </row>
    <row r="76" spans="1:29" ht="34.200000000000003" customHeight="1" x14ac:dyDescent="0.3">
      <c r="A76" s="766"/>
      <c r="B76" s="747"/>
      <c r="C76" s="717"/>
      <c r="D76" s="720"/>
      <c r="E76" s="276" t="s">
        <v>408</v>
      </c>
      <c r="F76" s="269">
        <f>IF((F67=1),Thermostat!$B$11,Thermostat!$B$12)</f>
        <v>70</v>
      </c>
      <c r="G76" s="269">
        <f>IF((G67=1),Thermostat!$B$11,Thermostat!$B$12)</f>
        <v>70</v>
      </c>
      <c r="H76" s="269">
        <f>IF((H67=1),Thermostat!$B$11,Thermostat!$B$12)</f>
        <v>70</v>
      </c>
      <c r="I76" s="269">
        <f>IF((I67=1),Thermostat!$B$11,Thermostat!$B$12)</f>
        <v>70</v>
      </c>
      <c r="J76" s="269">
        <f>IF((J67=1),Thermostat!$B$11,Thermostat!$B$12)</f>
        <v>70</v>
      </c>
      <c r="K76" s="269">
        <f>IF((K67=1),Thermostat!$B$11,Thermostat!$B$12)</f>
        <v>70</v>
      </c>
      <c r="L76" s="269">
        <f>IF((L67=1),Thermostat!$B$11,Thermostat!$B$12)</f>
        <v>70</v>
      </c>
      <c r="M76" s="269">
        <f>IF((M67=1),Thermostat!$B$11,Thermostat!$B$12)</f>
        <v>70</v>
      </c>
      <c r="N76" s="269">
        <f>IF((N67=1),Thermostat!$B$11,Thermostat!$B$12)</f>
        <v>70</v>
      </c>
      <c r="O76" s="269">
        <f>IF((O67=1),Thermostat!$B$11,Thermostat!$B$12)</f>
        <v>70</v>
      </c>
      <c r="P76" s="269">
        <f>IF((P67=1),Thermostat!$B$11,Thermostat!$B$12)</f>
        <v>70</v>
      </c>
      <c r="Q76" s="269">
        <f>IF((Q67=1),Thermostat!$B$11,Thermostat!$B$12)</f>
        <v>70</v>
      </c>
      <c r="R76" s="269">
        <f>IF((R67=1),Thermostat!$B$11,Thermostat!$B$12)</f>
        <v>70</v>
      </c>
      <c r="S76" s="269">
        <f>IF((S67=1),Thermostat!$B$11,Thermostat!$B$12)</f>
        <v>70</v>
      </c>
      <c r="T76" s="269">
        <f>IF((T67=1),Thermostat!$B$11,Thermostat!$B$12)</f>
        <v>70</v>
      </c>
      <c r="U76" s="269">
        <f>IF((U67=1),Thermostat!$B$11,Thermostat!$B$12)</f>
        <v>70</v>
      </c>
      <c r="V76" s="269">
        <f>IF((V67=1),Thermostat!$B$11,Thermostat!$B$12)</f>
        <v>70</v>
      </c>
      <c r="W76" s="269">
        <f>IF((W67=1),Thermostat!$B$11,Thermostat!$B$12)</f>
        <v>70</v>
      </c>
      <c r="X76" s="269">
        <f>IF((X67=1),Thermostat!$B$11,Thermostat!$B$12)</f>
        <v>70</v>
      </c>
      <c r="Y76" s="269">
        <f>IF((Y67=1),Thermostat!$B$11,Thermostat!$B$12)</f>
        <v>70</v>
      </c>
      <c r="Z76" s="269">
        <f>IF((Z67=1),Thermostat!$B$11,Thermostat!$B$12)</f>
        <v>70</v>
      </c>
      <c r="AA76" s="269">
        <f>IF((AA67=1),Thermostat!$B$11,Thermostat!$B$12)</f>
        <v>70</v>
      </c>
      <c r="AB76" s="269">
        <f>IF((AB67=1),Thermostat!$B$11,Thermostat!$B$12)</f>
        <v>70</v>
      </c>
      <c r="AC76" s="317">
        <f>IF((AC67=1),Thermostat!$B$11,Thermostat!$B$12)</f>
        <v>70</v>
      </c>
    </row>
    <row r="77" spans="1:29" ht="34.200000000000003" customHeight="1" thickBot="1" x14ac:dyDescent="0.35">
      <c r="A77" s="767"/>
      <c r="B77" s="749"/>
      <c r="C77" s="718"/>
      <c r="D77" s="721"/>
      <c r="E77" s="277" t="s">
        <v>409</v>
      </c>
      <c r="F77" s="270">
        <f>IF((F68=1),Thermostat!$B$11,Thermostat!$B$12)</f>
        <v>70</v>
      </c>
      <c r="G77" s="270">
        <f>IF((G68=1),Thermostat!$B$11,Thermostat!$B$12)</f>
        <v>70</v>
      </c>
      <c r="H77" s="270">
        <f>IF((H68=1),Thermostat!$B$11,Thermostat!$B$12)</f>
        <v>70</v>
      </c>
      <c r="I77" s="270">
        <f>IF((I68=1),Thermostat!$B$11,Thermostat!$B$12)</f>
        <v>70</v>
      </c>
      <c r="J77" s="270">
        <f>IF((J68=1),Thermostat!$B$11,Thermostat!$B$12)</f>
        <v>70</v>
      </c>
      <c r="K77" s="270">
        <f>IF((K68=1),Thermostat!$B$11,Thermostat!$B$12)</f>
        <v>70</v>
      </c>
      <c r="L77" s="270">
        <f>IF((L68=1),Thermostat!$B$11,Thermostat!$B$12)</f>
        <v>70</v>
      </c>
      <c r="M77" s="270">
        <f>IF((M68=1),Thermostat!$B$11,Thermostat!$B$12)</f>
        <v>70</v>
      </c>
      <c r="N77" s="270">
        <f>IF((N68=1),Thermostat!$B$11,Thermostat!$B$12)</f>
        <v>70</v>
      </c>
      <c r="O77" s="270">
        <f>IF((O68=1),Thermostat!$B$11,Thermostat!$B$12)</f>
        <v>70</v>
      </c>
      <c r="P77" s="270">
        <f>IF((P68=1),Thermostat!$B$11,Thermostat!$B$12)</f>
        <v>70</v>
      </c>
      <c r="Q77" s="270">
        <f>IF((Q68=1),Thermostat!$B$11,Thermostat!$B$12)</f>
        <v>70</v>
      </c>
      <c r="R77" s="270">
        <f>IF((R68=1),Thermostat!$B$11,Thermostat!$B$12)</f>
        <v>70</v>
      </c>
      <c r="S77" s="270">
        <f>IF((S68=1),Thermostat!$B$11,Thermostat!$B$12)</f>
        <v>70</v>
      </c>
      <c r="T77" s="270">
        <f>IF((T68=1),Thermostat!$B$11,Thermostat!$B$12)</f>
        <v>70</v>
      </c>
      <c r="U77" s="270">
        <f>IF((U68=1),Thermostat!$B$11,Thermostat!$B$12)</f>
        <v>70</v>
      </c>
      <c r="V77" s="270">
        <f>IF((V68=1),Thermostat!$B$11,Thermostat!$B$12)</f>
        <v>70</v>
      </c>
      <c r="W77" s="270">
        <f>IF((W68=1),Thermostat!$B$11,Thermostat!$B$12)</f>
        <v>70</v>
      </c>
      <c r="X77" s="270">
        <f>IF((X68=1),Thermostat!$B$11,Thermostat!$B$12)</f>
        <v>70</v>
      </c>
      <c r="Y77" s="270">
        <f>IF((Y68=1),Thermostat!$B$11,Thermostat!$B$12)</f>
        <v>70</v>
      </c>
      <c r="Z77" s="270">
        <f>IF((Z68=1),Thermostat!$B$11,Thermostat!$B$12)</f>
        <v>70</v>
      </c>
      <c r="AA77" s="270">
        <f>IF((AA68=1),Thermostat!$B$11,Thermostat!$B$12)</f>
        <v>70</v>
      </c>
      <c r="AB77" s="270">
        <f>IF((AB68=1),Thermostat!$B$11,Thermostat!$B$12)</f>
        <v>70</v>
      </c>
      <c r="AC77" s="321">
        <f>IF((AC68=1),Thermostat!$B$11,Thermostat!$B$12)</f>
        <v>70</v>
      </c>
    </row>
    <row r="78" spans="1:29" ht="34.200000000000003" customHeight="1" x14ac:dyDescent="0.3">
      <c r="A78" s="765" t="str">
        <f>A57</f>
        <v>Guest Rooms</v>
      </c>
      <c r="B78" s="746" t="s">
        <v>147</v>
      </c>
      <c r="C78" s="716" t="s">
        <v>756</v>
      </c>
      <c r="D78" s="719" t="s">
        <v>755</v>
      </c>
      <c r="E78" s="275" t="s">
        <v>407</v>
      </c>
      <c r="F78" s="285">
        <f>IF((F66=1),Thermostat!$B$13,Thermostat!$B$14)</f>
        <v>72</v>
      </c>
      <c r="G78" s="285">
        <f>IF((G66=1),Thermostat!$B$13,Thermostat!$B$14)</f>
        <v>72</v>
      </c>
      <c r="H78" s="285">
        <f>IF((H66=1),Thermostat!$B$13,Thermostat!$B$14)</f>
        <v>72</v>
      </c>
      <c r="I78" s="285">
        <f>IF((I66=1),Thermostat!$B$13,Thermostat!$B$14)</f>
        <v>72</v>
      </c>
      <c r="J78" s="285">
        <f>IF((J66=1),Thermostat!$B$13,Thermostat!$B$14)</f>
        <v>72</v>
      </c>
      <c r="K78" s="285">
        <f>IF((K66=1),Thermostat!$B$13,Thermostat!$B$14)</f>
        <v>72</v>
      </c>
      <c r="L78" s="285">
        <f>IF((L66=1),Thermostat!$B$13,Thermostat!$B$14)</f>
        <v>72</v>
      </c>
      <c r="M78" s="285">
        <f>IF((M66=1),Thermostat!$B$13,Thermostat!$B$14)</f>
        <v>72</v>
      </c>
      <c r="N78" s="285">
        <f>IF((N66=1),Thermostat!$B$13,Thermostat!$B$14)</f>
        <v>72</v>
      </c>
      <c r="O78" s="285">
        <f>IF((O66=1),Thermostat!$B$13,Thermostat!$B$14)</f>
        <v>72</v>
      </c>
      <c r="P78" s="285">
        <f>IF((P66=1),Thermostat!$B$13,Thermostat!$B$14)</f>
        <v>72</v>
      </c>
      <c r="Q78" s="285">
        <f>IF((Q66=1),Thermostat!$B$13,Thermostat!$B$14)</f>
        <v>72</v>
      </c>
      <c r="R78" s="285">
        <f>IF((R66=1),Thermostat!$B$13,Thermostat!$B$14)</f>
        <v>72</v>
      </c>
      <c r="S78" s="285">
        <f>IF((S66=1),Thermostat!$B$13,Thermostat!$B$14)</f>
        <v>72</v>
      </c>
      <c r="T78" s="285">
        <f>IF((T66=1),Thermostat!$B$13,Thermostat!$B$14)</f>
        <v>72</v>
      </c>
      <c r="U78" s="285">
        <f>IF((U66=1),Thermostat!$B$13,Thermostat!$B$14)</f>
        <v>72</v>
      </c>
      <c r="V78" s="285">
        <f>IF((V66=1),Thermostat!$B$13,Thermostat!$B$14)</f>
        <v>72</v>
      </c>
      <c r="W78" s="285">
        <f>IF((W66=1),Thermostat!$B$13,Thermostat!$B$14)</f>
        <v>72</v>
      </c>
      <c r="X78" s="285">
        <f>IF((X66=1),Thermostat!$B$13,Thermostat!$B$14)</f>
        <v>72</v>
      </c>
      <c r="Y78" s="285">
        <f>IF((Y66=1),Thermostat!$B$13,Thermostat!$B$14)</f>
        <v>72</v>
      </c>
      <c r="Z78" s="285">
        <f>IF((Z66=1),Thermostat!$B$13,Thermostat!$B$14)</f>
        <v>72</v>
      </c>
      <c r="AA78" s="285">
        <f>IF((AA66=1),Thermostat!$B$13,Thermostat!$B$14)</f>
        <v>72</v>
      </c>
      <c r="AB78" s="285">
        <f>IF((AB66=1),Thermostat!$B$13,Thermostat!$B$14)</f>
        <v>72</v>
      </c>
      <c r="AC78" s="320">
        <f>IF((AC66=1),Thermostat!$B$13,Thermostat!$B$14)</f>
        <v>72</v>
      </c>
    </row>
    <row r="79" spans="1:29" ht="34.200000000000003" customHeight="1" x14ac:dyDescent="0.3">
      <c r="A79" s="766"/>
      <c r="B79" s="747"/>
      <c r="C79" s="717"/>
      <c r="D79" s="720"/>
      <c r="E79" s="276" t="s">
        <v>408</v>
      </c>
      <c r="F79" s="269">
        <f>IF((F67=1),Thermostat!$B$13,Thermostat!$B$14)</f>
        <v>72</v>
      </c>
      <c r="G79" s="269">
        <f>IF((G67=1),Thermostat!$B$13,Thermostat!$B$14)</f>
        <v>72</v>
      </c>
      <c r="H79" s="269">
        <f>IF((H67=1),Thermostat!$B$13,Thermostat!$B$14)</f>
        <v>72</v>
      </c>
      <c r="I79" s="269">
        <f>IF((I67=1),Thermostat!$B$13,Thermostat!$B$14)</f>
        <v>72</v>
      </c>
      <c r="J79" s="269">
        <f>IF((J67=1),Thermostat!$B$13,Thermostat!$B$14)</f>
        <v>72</v>
      </c>
      <c r="K79" s="269">
        <f>IF((K67=1),Thermostat!$B$13,Thermostat!$B$14)</f>
        <v>72</v>
      </c>
      <c r="L79" s="269">
        <f>IF((L67=1),Thermostat!$B$13,Thermostat!$B$14)</f>
        <v>72</v>
      </c>
      <c r="M79" s="269">
        <f>IF((M67=1),Thermostat!$B$13,Thermostat!$B$14)</f>
        <v>72</v>
      </c>
      <c r="N79" s="269">
        <f>IF((N67=1),Thermostat!$B$13,Thermostat!$B$14)</f>
        <v>72</v>
      </c>
      <c r="O79" s="269">
        <f>IF((O67=1),Thermostat!$B$13,Thermostat!$B$14)</f>
        <v>72</v>
      </c>
      <c r="P79" s="269">
        <f>IF((P67=1),Thermostat!$B$13,Thermostat!$B$14)</f>
        <v>72</v>
      </c>
      <c r="Q79" s="269">
        <f>IF((Q67=1),Thermostat!$B$13,Thermostat!$B$14)</f>
        <v>72</v>
      </c>
      <c r="R79" s="269">
        <f>IF((R67=1),Thermostat!$B$13,Thermostat!$B$14)</f>
        <v>72</v>
      </c>
      <c r="S79" s="269">
        <f>IF((S67=1),Thermostat!$B$13,Thermostat!$B$14)</f>
        <v>72</v>
      </c>
      <c r="T79" s="269">
        <f>IF((T67=1),Thermostat!$B$13,Thermostat!$B$14)</f>
        <v>72</v>
      </c>
      <c r="U79" s="269">
        <f>IF((U67=1),Thermostat!$B$13,Thermostat!$B$14)</f>
        <v>72</v>
      </c>
      <c r="V79" s="269">
        <f>IF((V67=1),Thermostat!$B$13,Thermostat!$B$14)</f>
        <v>72</v>
      </c>
      <c r="W79" s="269">
        <f>IF((W67=1),Thermostat!$B$13,Thermostat!$B$14)</f>
        <v>72</v>
      </c>
      <c r="X79" s="269">
        <f>IF((X67=1),Thermostat!$B$13,Thermostat!$B$14)</f>
        <v>72</v>
      </c>
      <c r="Y79" s="269">
        <f>IF((Y67=1),Thermostat!$B$13,Thermostat!$B$14)</f>
        <v>72</v>
      </c>
      <c r="Z79" s="269">
        <f>IF((Z67=1),Thermostat!$B$13,Thermostat!$B$14)</f>
        <v>72</v>
      </c>
      <c r="AA79" s="269">
        <f>IF((AA67=1),Thermostat!$B$13,Thermostat!$B$14)</f>
        <v>72</v>
      </c>
      <c r="AB79" s="269">
        <f>IF((AB67=1),Thermostat!$B$13,Thermostat!$B$14)</f>
        <v>72</v>
      </c>
      <c r="AC79" s="317">
        <f>IF((AC67=1),Thermostat!$B$13,Thermostat!$B$14)</f>
        <v>72</v>
      </c>
    </row>
    <row r="80" spans="1:29" ht="34.200000000000003" customHeight="1" thickBot="1" x14ac:dyDescent="0.35">
      <c r="A80" s="768"/>
      <c r="B80" s="750"/>
      <c r="C80" s="724"/>
      <c r="D80" s="725"/>
      <c r="E80" s="314" t="s">
        <v>409</v>
      </c>
      <c r="F80" s="318">
        <f>IF((F68=1),Thermostat!$B$13,Thermostat!$B$14)</f>
        <v>72</v>
      </c>
      <c r="G80" s="318">
        <f>IF((G68=1),Thermostat!$B$13,Thermostat!$B$14)</f>
        <v>72</v>
      </c>
      <c r="H80" s="318">
        <f>IF((H68=1),Thermostat!$B$13,Thermostat!$B$14)</f>
        <v>72</v>
      </c>
      <c r="I80" s="318">
        <f>IF((I68=1),Thermostat!$B$13,Thermostat!$B$14)</f>
        <v>72</v>
      </c>
      <c r="J80" s="318">
        <f>IF((J68=1),Thermostat!$B$13,Thermostat!$B$14)</f>
        <v>72</v>
      </c>
      <c r="K80" s="318">
        <f>IF((K68=1),Thermostat!$B$13,Thermostat!$B$14)</f>
        <v>72</v>
      </c>
      <c r="L80" s="318">
        <f>IF((L68=1),Thermostat!$B$13,Thermostat!$B$14)</f>
        <v>72</v>
      </c>
      <c r="M80" s="318">
        <f>IF((M68=1),Thermostat!$B$13,Thermostat!$B$14)</f>
        <v>72</v>
      </c>
      <c r="N80" s="318">
        <f>IF((N68=1),Thermostat!$B$13,Thermostat!$B$14)</f>
        <v>72</v>
      </c>
      <c r="O80" s="318">
        <f>IF((O68=1),Thermostat!$B$13,Thermostat!$B$14)</f>
        <v>72</v>
      </c>
      <c r="P80" s="318">
        <f>IF((P68=1),Thermostat!$B$13,Thermostat!$B$14)</f>
        <v>72</v>
      </c>
      <c r="Q80" s="318">
        <f>IF((Q68=1),Thermostat!$B$13,Thermostat!$B$14)</f>
        <v>72</v>
      </c>
      <c r="R80" s="318">
        <f>IF((R68=1),Thermostat!$B$13,Thermostat!$B$14)</f>
        <v>72</v>
      </c>
      <c r="S80" s="318">
        <f>IF((S68=1),Thermostat!$B$13,Thermostat!$B$14)</f>
        <v>72</v>
      </c>
      <c r="T80" s="318">
        <f>IF((T68=1),Thermostat!$B$13,Thermostat!$B$14)</f>
        <v>72</v>
      </c>
      <c r="U80" s="318">
        <f>IF((U68=1),Thermostat!$B$13,Thermostat!$B$14)</f>
        <v>72</v>
      </c>
      <c r="V80" s="318">
        <f>IF((V68=1),Thermostat!$B$13,Thermostat!$B$14)</f>
        <v>72</v>
      </c>
      <c r="W80" s="318">
        <f>IF((W68=1),Thermostat!$B$13,Thermostat!$B$14)</f>
        <v>72</v>
      </c>
      <c r="X80" s="318">
        <f>IF((X68=1),Thermostat!$B$13,Thermostat!$B$14)</f>
        <v>72</v>
      </c>
      <c r="Y80" s="318">
        <f>IF((Y68=1),Thermostat!$B$13,Thermostat!$B$14)</f>
        <v>72</v>
      </c>
      <c r="Z80" s="318">
        <f>IF((Z68=1),Thermostat!$B$13,Thermostat!$B$14)</f>
        <v>72</v>
      </c>
      <c r="AA80" s="318">
        <f>IF((AA68=1),Thermostat!$B$13,Thermostat!$B$14)</f>
        <v>72</v>
      </c>
      <c r="AB80" s="318">
        <f>IF((AB68=1),Thermostat!$B$13,Thermostat!$B$14)</f>
        <v>72</v>
      </c>
      <c r="AC80" s="319">
        <f>IF((AC68=1),Thermostat!$B$13,Thermostat!$B$14)</f>
        <v>72</v>
      </c>
    </row>
    <row r="81" spans="1:29" ht="20.399999999999999" customHeight="1" thickBot="1" x14ac:dyDescent="0.35">
      <c r="A81" s="726" t="s">
        <v>134</v>
      </c>
      <c r="B81" s="726"/>
      <c r="C81" s="726" t="s">
        <v>761</v>
      </c>
      <c r="D81" s="726"/>
      <c r="E81" s="726"/>
      <c r="F81" s="726"/>
      <c r="G81" s="726"/>
      <c r="H81" s="726"/>
      <c r="I81" s="726"/>
      <c r="J81" s="726"/>
      <c r="K81" s="726"/>
      <c r="L81" s="726"/>
      <c r="M81" s="726"/>
      <c r="N81" s="726"/>
      <c r="O81" s="726"/>
      <c r="P81" s="726"/>
      <c r="Q81" s="726"/>
      <c r="R81" s="726"/>
      <c r="S81" s="726"/>
      <c r="T81" s="726"/>
      <c r="U81" s="726"/>
      <c r="V81" s="726"/>
      <c r="W81" s="726"/>
      <c r="X81" s="726"/>
      <c r="Y81" s="726"/>
      <c r="Z81" s="726"/>
      <c r="AA81" s="726"/>
      <c r="AB81" s="726"/>
      <c r="AC81" s="727"/>
    </row>
    <row r="82" spans="1:29" ht="34.200000000000003" customHeight="1" x14ac:dyDescent="0.3">
      <c r="A82" s="728" t="s">
        <v>134</v>
      </c>
      <c r="B82" s="731" t="s">
        <v>134</v>
      </c>
      <c r="C82" s="710" t="s">
        <v>746</v>
      </c>
      <c r="D82" s="712" t="s">
        <v>762</v>
      </c>
      <c r="E82" s="280" t="s">
        <v>407</v>
      </c>
      <c r="F82" s="294">
        <v>0</v>
      </c>
      <c r="G82" s="294">
        <v>0</v>
      </c>
      <c r="H82" s="294">
        <v>0</v>
      </c>
      <c r="I82" s="294">
        <v>0</v>
      </c>
      <c r="J82" s="294">
        <v>0</v>
      </c>
      <c r="K82" s="294">
        <v>0</v>
      </c>
      <c r="L82" s="294">
        <v>0.1</v>
      </c>
      <c r="M82" s="294">
        <v>0.2</v>
      </c>
      <c r="N82" s="294">
        <v>0.95</v>
      </c>
      <c r="O82" s="294">
        <v>0.95</v>
      </c>
      <c r="P82" s="294">
        <v>0.95</v>
      </c>
      <c r="Q82" s="294">
        <v>0.95</v>
      </c>
      <c r="R82" s="294">
        <v>0.5</v>
      </c>
      <c r="S82" s="294">
        <v>0.95</v>
      </c>
      <c r="T82" s="294">
        <v>0.95</v>
      </c>
      <c r="U82" s="294">
        <v>0.95</v>
      </c>
      <c r="V82" s="294">
        <v>0.95</v>
      </c>
      <c r="W82" s="294">
        <v>0.3</v>
      </c>
      <c r="X82" s="294">
        <v>0.1</v>
      </c>
      <c r="Y82" s="294">
        <v>0.1</v>
      </c>
      <c r="Z82" s="294">
        <v>0.1</v>
      </c>
      <c r="AA82" s="294">
        <v>0.1</v>
      </c>
      <c r="AB82" s="294">
        <v>0.05</v>
      </c>
      <c r="AC82" s="295">
        <v>0.05</v>
      </c>
    </row>
    <row r="83" spans="1:29" ht="34.200000000000003" customHeight="1" x14ac:dyDescent="0.3">
      <c r="A83" s="729"/>
      <c r="B83" s="732"/>
      <c r="C83" s="686"/>
      <c r="D83" s="689"/>
      <c r="E83" s="281" t="s">
        <v>408</v>
      </c>
      <c r="F83" s="296">
        <v>0</v>
      </c>
      <c r="G83" s="296">
        <v>0</v>
      </c>
      <c r="H83" s="296">
        <v>0</v>
      </c>
      <c r="I83" s="296">
        <v>0</v>
      </c>
      <c r="J83" s="296">
        <v>0</v>
      </c>
      <c r="K83" s="296">
        <v>0</v>
      </c>
      <c r="L83" s="311">
        <v>0.05</v>
      </c>
      <c r="M83" s="311">
        <v>0.05</v>
      </c>
      <c r="N83" s="311">
        <v>0.05</v>
      </c>
      <c r="O83" s="311">
        <v>0.05</v>
      </c>
      <c r="P83" s="311">
        <v>0.05</v>
      </c>
      <c r="Q83" s="311">
        <v>0.05</v>
      </c>
      <c r="R83" s="311">
        <v>0.05</v>
      </c>
      <c r="S83" s="311">
        <v>0.05</v>
      </c>
      <c r="T83" s="311">
        <v>0.05</v>
      </c>
      <c r="U83" s="311">
        <v>0.05</v>
      </c>
      <c r="V83" s="311">
        <v>0.05</v>
      </c>
      <c r="W83" s="311">
        <v>0.05</v>
      </c>
      <c r="X83" s="312">
        <v>0</v>
      </c>
      <c r="Y83" s="296">
        <v>0</v>
      </c>
      <c r="Z83" s="296">
        <v>0</v>
      </c>
      <c r="AA83" s="296">
        <v>0</v>
      </c>
      <c r="AB83" s="296">
        <v>0</v>
      </c>
      <c r="AC83" s="297">
        <v>0</v>
      </c>
    </row>
    <row r="84" spans="1:29" ht="34.200000000000003" customHeight="1" thickBot="1" x14ac:dyDescent="0.35">
      <c r="A84" s="730"/>
      <c r="B84" s="733"/>
      <c r="C84" s="722"/>
      <c r="D84" s="723"/>
      <c r="E84" s="298" t="s">
        <v>409</v>
      </c>
      <c r="F84" s="299">
        <v>0</v>
      </c>
      <c r="G84" s="299">
        <v>0</v>
      </c>
      <c r="H84" s="299">
        <v>0</v>
      </c>
      <c r="I84" s="299">
        <v>0</v>
      </c>
      <c r="J84" s="299">
        <v>0</v>
      </c>
      <c r="K84" s="299">
        <v>0</v>
      </c>
      <c r="L84" s="299">
        <v>0.05</v>
      </c>
      <c r="M84" s="299">
        <v>0.05</v>
      </c>
      <c r="N84" s="299">
        <v>0.05</v>
      </c>
      <c r="O84" s="299">
        <v>0.05</v>
      </c>
      <c r="P84" s="299">
        <v>0.05</v>
      </c>
      <c r="Q84" s="299">
        <v>0.05</v>
      </c>
      <c r="R84" s="299">
        <v>0.05</v>
      </c>
      <c r="S84" s="299">
        <v>0.05</v>
      </c>
      <c r="T84" s="299">
        <v>0.05</v>
      </c>
      <c r="U84" s="299">
        <v>0.05</v>
      </c>
      <c r="V84" s="299">
        <v>0.05</v>
      </c>
      <c r="W84" s="299">
        <v>0.05</v>
      </c>
      <c r="X84" s="299">
        <v>0</v>
      </c>
      <c r="Y84" s="299">
        <v>0</v>
      </c>
      <c r="Z84" s="299">
        <v>0</v>
      </c>
      <c r="AA84" s="299">
        <v>0</v>
      </c>
      <c r="AB84" s="299">
        <v>0</v>
      </c>
      <c r="AC84" s="300">
        <v>0</v>
      </c>
    </row>
    <row r="85" spans="1:29" ht="34.200000000000003" customHeight="1" x14ac:dyDescent="0.3">
      <c r="A85" s="728" t="s">
        <v>134</v>
      </c>
      <c r="B85" s="731" t="s">
        <v>134</v>
      </c>
      <c r="C85" s="681" t="s">
        <v>748</v>
      </c>
      <c r="D85" s="712" t="s">
        <v>762</v>
      </c>
      <c r="E85" s="229" t="s">
        <v>407</v>
      </c>
      <c r="F85" s="294">
        <v>0.05</v>
      </c>
      <c r="G85" s="294">
        <v>0.05</v>
      </c>
      <c r="H85" s="294">
        <v>0.05</v>
      </c>
      <c r="I85" s="294">
        <v>0.05</v>
      </c>
      <c r="J85" s="294">
        <v>0.05</v>
      </c>
      <c r="K85" s="294">
        <v>0.1</v>
      </c>
      <c r="L85" s="294">
        <v>0.1</v>
      </c>
      <c r="M85" s="294">
        <v>0.3</v>
      </c>
      <c r="N85" s="294">
        <v>0.65</v>
      </c>
      <c r="O85" s="294">
        <v>0.65</v>
      </c>
      <c r="P85" s="294">
        <v>0.65</v>
      </c>
      <c r="Q85" s="294">
        <v>0.65</v>
      </c>
      <c r="R85" s="294">
        <v>0.65</v>
      </c>
      <c r="S85" s="294">
        <v>0.65</v>
      </c>
      <c r="T85" s="294">
        <v>0.65</v>
      </c>
      <c r="U85" s="294">
        <v>0.65</v>
      </c>
      <c r="V85" s="294">
        <v>0.65</v>
      </c>
      <c r="W85" s="294">
        <v>0.35</v>
      </c>
      <c r="X85" s="294">
        <v>0.3</v>
      </c>
      <c r="Y85" s="294">
        <v>0.3</v>
      </c>
      <c r="Z85" s="294">
        <v>0.2</v>
      </c>
      <c r="AA85" s="294">
        <v>0.2</v>
      </c>
      <c r="AB85" s="294">
        <v>0.1</v>
      </c>
      <c r="AC85" s="295">
        <v>0.05</v>
      </c>
    </row>
    <row r="86" spans="1:29" ht="34.200000000000003" customHeight="1" x14ac:dyDescent="0.3">
      <c r="A86" s="729"/>
      <c r="B86" s="732"/>
      <c r="C86" s="686"/>
      <c r="D86" s="689"/>
      <c r="E86" s="219" t="s">
        <v>408</v>
      </c>
      <c r="F86" s="296">
        <v>0.05</v>
      </c>
      <c r="G86" s="296">
        <v>0.05</v>
      </c>
      <c r="H86" s="296">
        <v>0.05</v>
      </c>
      <c r="I86" s="296">
        <v>0.05</v>
      </c>
      <c r="J86" s="296">
        <v>0.05</v>
      </c>
      <c r="K86" s="296">
        <v>0.05</v>
      </c>
      <c r="L86" s="296">
        <v>0.1</v>
      </c>
      <c r="M86" s="296">
        <v>0.1</v>
      </c>
      <c r="N86" s="296">
        <v>0.3</v>
      </c>
      <c r="O86" s="296">
        <v>0.3</v>
      </c>
      <c r="P86" s="296">
        <v>0.3</v>
      </c>
      <c r="Q86" s="296">
        <v>0.3</v>
      </c>
      <c r="R86" s="296">
        <v>0.15</v>
      </c>
      <c r="S86" s="296">
        <v>0.15</v>
      </c>
      <c r="T86" s="296">
        <v>0.15</v>
      </c>
      <c r="U86" s="296">
        <v>0.15</v>
      </c>
      <c r="V86" s="296">
        <v>0.15</v>
      </c>
      <c r="W86" s="296">
        <v>0.05</v>
      </c>
      <c r="X86" s="296">
        <v>0.05</v>
      </c>
      <c r="Y86" s="296">
        <v>0.05</v>
      </c>
      <c r="Z86" s="296">
        <v>0.05</v>
      </c>
      <c r="AA86" s="296">
        <v>0.05</v>
      </c>
      <c r="AB86" s="296">
        <v>0.05</v>
      </c>
      <c r="AC86" s="297">
        <v>0.05</v>
      </c>
    </row>
    <row r="87" spans="1:29" ht="34.200000000000003" customHeight="1" thickBot="1" x14ac:dyDescent="0.35">
      <c r="A87" s="730"/>
      <c r="B87" s="733"/>
      <c r="C87" s="722"/>
      <c r="D87" s="723"/>
      <c r="E87" s="230" t="s">
        <v>409</v>
      </c>
      <c r="F87" s="307">
        <v>0.05</v>
      </c>
      <c r="G87" s="307">
        <v>0.05</v>
      </c>
      <c r="H87" s="307">
        <v>0.05</v>
      </c>
      <c r="I87" s="307">
        <v>0.05</v>
      </c>
      <c r="J87" s="307">
        <v>0.05</v>
      </c>
      <c r="K87" s="307">
        <v>0.05</v>
      </c>
      <c r="L87" s="307">
        <v>0.05</v>
      </c>
      <c r="M87" s="307">
        <v>0.05</v>
      </c>
      <c r="N87" s="307">
        <v>0.05</v>
      </c>
      <c r="O87" s="307">
        <v>0.05</v>
      </c>
      <c r="P87" s="307">
        <v>0.05</v>
      </c>
      <c r="Q87" s="307">
        <v>0.05</v>
      </c>
      <c r="R87" s="307">
        <v>0.05</v>
      </c>
      <c r="S87" s="307">
        <v>0.05</v>
      </c>
      <c r="T87" s="307">
        <v>0.05</v>
      </c>
      <c r="U87" s="307">
        <v>0.05</v>
      </c>
      <c r="V87" s="307">
        <v>0.05</v>
      </c>
      <c r="W87" s="307">
        <v>0.05</v>
      </c>
      <c r="X87" s="307">
        <v>0.05</v>
      </c>
      <c r="Y87" s="307">
        <v>0.05</v>
      </c>
      <c r="Z87" s="307">
        <v>0.05</v>
      </c>
      <c r="AA87" s="307">
        <v>0.05</v>
      </c>
      <c r="AB87" s="307">
        <v>0.05</v>
      </c>
      <c r="AC87" s="308">
        <v>0.05</v>
      </c>
    </row>
    <row r="88" spans="1:29" ht="34.200000000000003" customHeight="1" x14ac:dyDescent="0.3">
      <c r="A88" s="728" t="s">
        <v>134</v>
      </c>
      <c r="B88" s="731" t="s">
        <v>134</v>
      </c>
      <c r="C88" s="681" t="s">
        <v>760</v>
      </c>
      <c r="D88" s="772" t="s">
        <v>520</v>
      </c>
      <c r="E88" s="229" t="s">
        <v>407</v>
      </c>
      <c r="F88" s="301">
        <v>0.45</v>
      </c>
      <c r="G88" s="301">
        <v>0.45</v>
      </c>
      <c r="H88" s="301">
        <v>0.45</v>
      </c>
      <c r="I88" s="301">
        <v>0.45</v>
      </c>
      <c r="J88" s="301">
        <v>0.45</v>
      </c>
      <c r="K88" s="301">
        <v>0.45</v>
      </c>
      <c r="L88" s="301">
        <v>0.45</v>
      </c>
      <c r="M88" s="301">
        <v>0.74</v>
      </c>
      <c r="N88" s="301">
        <v>0.87</v>
      </c>
      <c r="O88" s="301">
        <v>0.9</v>
      </c>
      <c r="P88" s="301">
        <v>0.9</v>
      </c>
      <c r="Q88" s="301">
        <v>0.9</v>
      </c>
      <c r="R88" s="301">
        <v>0.9</v>
      </c>
      <c r="S88" s="301">
        <v>0.9</v>
      </c>
      <c r="T88" s="301">
        <v>0.9</v>
      </c>
      <c r="U88" s="301">
        <v>0.9</v>
      </c>
      <c r="V88" s="301">
        <v>0.9</v>
      </c>
      <c r="W88" s="301">
        <v>0.7</v>
      </c>
      <c r="X88" s="301">
        <v>0.5</v>
      </c>
      <c r="Y88" s="301">
        <v>0.5</v>
      </c>
      <c r="Z88" s="301">
        <v>0.5</v>
      </c>
      <c r="AA88" s="301">
        <v>0.45</v>
      </c>
      <c r="AB88" s="301">
        <v>0.45</v>
      </c>
      <c r="AC88" s="302">
        <v>0.45</v>
      </c>
    </row>
    <row r="89" spans="1:29" ht="34.200000000000003" customHeight="1" x14ac:dyDescent="0.3">
      <c r="A89" s="729"/>
      <c r="B89" s="732"/>
      <c r="C89" s="686"/>
      <c r="D89" s="773"/>
      <c r="E89" s="219" t="s">
        <v>408</v>
      </c>
      <c r="F89" s="303">
        <v>0.43</v>
      </c>
      <c r="G89" s="303">
        <v>0.43</v>
      </c>
      <c r="H89" s="303">
        <v>0.43</v>
      </c>
      <c r="I89" s="303">
        <v>0.43</v>
      </c>
      <c r="J89" s="303">
        <v>0.43</v>
      </c>
      <c r="K89" s="303">
        <v>0.43</v>
      </c>
      <c r="L89" s="303">
        <v>0.43</v>
      </c>
      <c r="M89" s="303">
        <v>0.43</v>
      </c>
      <c r="N89" s="303">
        <v>0.43</v>
      </c>
      <c r="O89" s="303">
        <v>0.43</v>
      </c>
      <c r="P89" s="303">
        <v>0.43</v>
      </c>
      <c r="Q89" s="303">
        <v>0.43</v>
      </c>
      <c r="R89" s="303">
        <v>0.43</v>
      </c>
      <c r="S89" s="303">
        <v>0.43</v>
      </c>
      <c r="T89" s="303">
        <v>0.43</v>
      </c>
      <c r="U89" s="303">
        <v>0.43</v>
      </c>
      <c r="V89" s="303">
        <v>0.43</v>
      </c>
      <c r="W89" s="303">
        <v>0.43</v>
      </c>
      <c r="X89" s="303">
        <v>0.43</v>
      </c>
      <c r="Y89" s="303">
        <v>0.43</v>
      </c>
      <c r="Z89" s="303">
        <v>0.43</v>
      </c>
      <c r="AA89" s="303">
        <v>0.43</v>
      </c>
      <c r="AB89" s="303">
        <v>0.43</v>
      </c>
      <c r="AC89" s="304">
        <v>0.43</v>
      </c>
    </row>
    <row r="90" spans="1:29" ht="34.200000000000003" customHeight="1" thickBot="1" x14ac:dyDescent="0.35">
      <c r="A90" s="730"/>
      <c r="B90" s="733"/>
      <c r="C90" s="687"/>
      <c r="D90" s="774"/>
      <c r="E90" s="231" t="s">
        <v>409</v>
      </c>
      <c r="F90" s="305">
        <v>0.43</v>
      </c>
      <c r="G90" s="305">
        <v>0.43</v>
      </c>
      <c r="H90" s="305">
        <v>0.43</v>
      </c>
      <c r="I90" s="305">
        <v>0.43</v>
      </c>
      <c r="J90" s="305">
        <v>0.43</v>
      </c>
      <c r="K90" s="305">
        <v>0.43</v>
      </c>
      <c r="L90" s="305">
        <v>0.43</v>
      </c>
      <c r="M90" s="305">
        <v>0.43</v>
      </c>
      <c r="N90" s="305">
        <v>0.43</v>
      </c>
      <c r="O90" s="305">
        <v>0.43</v>
      </c>
      <c r="P90" s="305">
        <v>0.43</v>
      </c>
      <c r="Q90" s="305">
        <v>0.43</v>
      </c>
      <c r="R90" s="305">
        <v>0.43</v>
      </c>
      <c r="S90" s="305">
        <v>0.43</v>
      </c>
      <c r="T90" s="305">
        <v>0.43</v>
      </c>
      <c r="U90" s="305">
        <v>0.43</v>
      </c>
      <c r="V90" s="305">
        <v>0.43</v>
      </c>
      <c r="W90" s="305">
        <v>0.43</v>
      </c>
      <c r="X90" s="305">
        <v>0.43</v>
      </c>
      <c r="Y90" s="305">
        <v>0.43</v>
      </c>
      <c r="Z90" s="305">
        <v>0.43</v>
      </c>
      <c r="AA90" s="305">
        <v>0.43</v>
      </c>
      <c r="AB90" s="305">
        <v>0.43</v>
      </c>
      <c r="AC90" s="306">
        <v>0.43</v>
      </c>
    </row>
    <row r="91" spans="1:29" ht="23.4" customHeight="1" x14ac:dyDescent="0.3">
      <c r="A91" s="728" t="s">
        <v>134</v>
      </c>
      <c r="B91" s="731" t="s">
        <v>134</v>
      </c>
      <c r="C91" s="685" t="s">
        <v>751</v>
      </c>
      <c r="D91" s="712" t="s">
        <v>762</v>
      </c>
      <c r="E91" s="232" t="s">
        <v>407</v>
      </c>
      <c r="F91" s="309">
        <v>0</v>
      </c>
      <c r="G91" s="309">
        <v>0</v>
      </c>
      <c r="H91" s="309">
        <v>0</v>
      </c>
      <c r="I91" s="309">
        <v>0</v>
      </c>
      <c r="J91" s="309">
        <v>0</v>
      </c>
      <c r="K91" s="309">
        <v>1</v>
      </c>
      <c r="L91" s="309">
        <v>1</v>
      </c>
      <c r="M91" s="309">
        <v>1</v>
      </c>
      <c r="N91" s="309">
        <v>1</v>
      </c>
      <c r="O91" s="309">
        <v>1</v>
      </c>
      <c r="P91" s="309">
        <v>1</v>
      </c>
      <c r="Q91" s="309">
        <v>1</v>
      </c>
      <c r="R91" s="309">
        <v>1</v>
      </c>
      <c r="S91" s="309">
        <v>1</v>
      </c>
      <c r="T91" s="309">
        <v>1</v>
      </c>
      <c r="U91" s="309">
        <v>1</v>
      </c>
      <c r="V91" s="309">
        <v>1</v>
      </c>
      <c r="W91" s="309">
        <v>1</v>
      </c>
      <c r="X91" s="309">
        <v>1</v>
      </c>
      <c r="Y91" s="309">
        <v>1</v>
      </c>
      <c r="Z91" s="309">
        <v>1</v>
      </c>
      <c r="AA91" s="309">
        <v>1</v>
      </c>
      <c r="AB91" s="309">
        <v>1</v>
      </c>
      <c r="AC91" s="310">
        <v>1</v>
      </c>
    </row>
    <row r="92" spans="1:29" ht="34.200000000000003" customHeight="1" x14ac:dyDescent="0.3">
      <c r="A92" s="729"/>
      <c r="B92" s="732"/>
      <c r="C92" s="686"/>
      <c r="D92" s="689"/>
      <c r="E92" s="219" t="s">
        <v>408</v>
      </c>
      <c r="F92" s="296">
        <v>0</v>
      </c>
      <c r="G92" s="296">
        <v>0</v>
      </c>
      <c r="H92" s="296">
        <v>0</v>
      </c>
      <c r="I92" s="296">
        <v>0</v>
      </c>
      <c r="J92" s="296">
        <v>0</v>
      </c>
      <c r="K92" s="296">
        <v>1</v>
      </c>
      <c r="L92" s="296">
        <v>1</v>
      </c>
      <c r="M92" s="296">
        <v>1</v>
      </c>
      <c r="N92" s="296">
        <v>1</v>
      </c>
      <c r="O92" s="296">
        <v>1</v>
      </c>
      <c r="P92" s="296">
        <v>1</v>
      </c>
      <c r="Q92" s="296">
        <v>1</v>
      </c>
      <c r="R92" s="296">
        <v>1</v>
      </c>
      <c r="S92" s="296">
        <v>1</v>
      </c>
      <c r="T92" s="296">
        <v>1</v>
      </c>
      <c r="U92" s="296">
        <v>1</v>
      </c>
      <c r="V92" s="296">
        <v>1</v>
      </c>
      <c r="W92" s="296">
        <v>1</v>
      </c>
      <c r="X92" s="296">
        <v>1</v>
      </c>
      <c r="Y92" s="296">
        <v>0</v>
      </c>
      <c r="Z92" s="296">
        <v>0</v>
      </c>
      <c r="AA92" s="296">
        <v>0</v>
      </c>
      <c r="AB92" s="296">
        <v>0</v>
      </c>
      <c r="AC92" s="297">
        <v>0</v>
      </c>
    </row>
    <row r="93" spans="1:29" ht="34.200000000000003" customHeight="1" thickBot="1" x14ac:dyDescent="0.35">
      <c r="A93" s="730"/>
      <c r="B93" s="733"/>
      <c r="C93" s="687"/>
      <c r="D93" s="723"/>
      <c r="E93" s="231" t="s">
        <v>409</v>
      </c>
      <c r="F93" s="307">
        <v>0</v>
      </c>
      <c r="G93" s="307">
        <v>0</v>
      </c>
      <c r="H93" s="307">
        <v>0</v>
      </c>
      <c r="I93" s="307">
        <v>0</v>
      </c>
      <c r="J93" s="307">
        <v>0</v>
      </c>
      <c r="K93" s="307">
        <v>0</v>
      </c>
      <c r="L93" s="307">
        <v>0</v>
      </c>
      <c r="M93" s="307">
        <v>0</v>
      </c>
      <c r="N93" s="307">
        <v>0</v>
      </c>
      <c r="O93" s="307">
        <v>0</v>
      </c>
      <c r="P93" s="307">
        <v>0</v>
      </c>
      <c r="Q93" s="307">
        <v>0</v>
      </c>
      <c r="R93" s="307">
        <v>0</v>
      </c>
      <c r="S93" s="307">
        <v>0</v>
      </c>
      <c r="T93" s="307">
        <v>0</v>
      </c>
      <c r="U93" s="307">
        <v>0</v>
      </c>
      <c r="V93" s="307">
        <v>0</v>
      </c>
      <c r="W93" s="307">
        <v>0</v>
      </c>
      <c r="X93" s="307">
        <v>0</v>
      </c>
      <c r="Y93" s="307">
        <v>0</v>
      </c>
      <c r="Z93" s="307">
        <v>0</v>
      </c>
      <c r="AA93" s="307">
        <v>0</v>
      </c>
      <c r="AB93" s="307">
        <v>0</v>
      </c>
      <c r="AC93" s="308">
        <v>0</v>
      </c>
    </row>
    <row r="94" spans="1:29" ht="34.200000000000003" customHeight="1" x14ac:dyDescent="0.3">
      <c r="A94" s="728" t="s">
        <v>134</v>
      </c>
      <c r="B94" s="731" t="s">
        <v>134</v>
      </c>
      <c r="C94" s="685" t="s">
        <v>752</v>
      </c>
      <c r="D94" s="712" t="s">
        <v>762</v>
      </c>
      <c r="E94" s="232" t="s">
        <v>407</v>
      </c>
      <c r="F94" s="220">
        <v>0.05</v>
      </c>
      <c r="G94" s="220">
        <v>0.05</v>
      </c>
      <c r="H94" s="220">
        <v>0.05</v>
      </c>
      <c r="I94" s="220">
        <v>0.05</v>
      </c>
      <c r="J94" s="220">
        <v>0.05</v>
      </c>
      <c r="K94" s="220">
        <v>0.08</v>
      </c>
      <c r="L94" s="220">
        <v>7.0000000000000007E-2</v>
      </c>
      <c r="M94" s="220">
        <v>0.19</v>
      </c>
      <c r="N94" s="220">
        <v>0.35</v>
      </c>
      <c r="O94" s="220">
        <v>0.38</v>
      </c>
      <c r="P94" s="220">
        <v>0.39</v>
      </c>
      <c r="Q94" s="220">
        <v>0.47</v>
      </c>
      <c r="R94" s="220">
        <v>0.56999999999999995</v>
      </c>
      <c r="S94" s="220">
        <v>0.54</v>
      </c>
      <c r="T94" s="220">
        <v>0.34</v>
      </c>
      <c r="U94" s="220">
        <v>0.33</v>
      </c>
      <c r="V94" s="220">
        <v>0.44</v>
      </c>
      <c r="W94" s="220">
        <v>0.26</v>
      </c>
      <c r="X94" s="220">
        <v>0.21</v>
      </c>
      <c r="Y94" s="220">
        <v>0.15</v>
      </c>
      <c r="Z94" s="220">
        <v>0.17</v>
      </c>
      <c r="AA94" s="220">
        <v>0.08</v>
      </c>
      <c r="AB94" s="220">
        <v>0.05</v>
      </c>
      <c r="AC94" s="228">
        <v>0.05</v>
      </c>
    </row>
    <row r="95" spans="1:29" ht="34.200000000000003" customHeight="1" x14ac:dyDescent="0.3">
      <c r="A95" s="729"/>
      <c r="B95" s="732"/>
      <c r="C95" s="686"/>
      <c r="D95" s="689"/>
      <c r="E95" s="219" t="s">
        <v>408</v>
      </c>
      <c r="F95" s="218">
        <v>0.05</v>
      </c>
      <c r="G95" s="218">
        <v>0.05</v>
      </c>
      <c r="H95" s="218">
        <v>0.05</v>
      </c>
      <c r="I95" s="218">
        <v>0.05</v>
      </c>
      <c r="J95" s="218">
        <v>0.05</v>
      </c>
      <c r="K95" s="218">
        <v>0.08</v>
      </c>
      <c r="L95" s="218">
        <v>7.0000000000000007E-2</v>
      </c>
      <c r="M95" s="218">
        <v>0.11</v>
      </c>
      <c r="N95" s="218">
        <v>0.15</v>
      </c>
      <c r="O95" s="218">
        <v>0.21</v>
      </c>
      <c r="P95" s="218">
        <v>0.19</v>
      </c>
      <c r="Q95" s="218">
        <v>0.23</v>
      </c>
      <c r="R95" s="218">
        <v>0.2</v>
      </c>
      <c r="S95" s="218">
        <v>0.19</v>
      </c>
      <c r="T95" s="218">
        <v>0.15</v>
      </c>
      <c r="U95" s="218">
        <v>0.12</v>
      </c>
      <c r="V95" s="218">
        <v>0.14000000000000001</v>
      </c>
      <c r="W95" s="218">
        <v>7.0000000000000007E-2</v>
      </c>
      <c r="X95" s="218">
        <v>7.0000000000000007E-2</v>
      </c>
      <c r="Y95" s="218">
        <v>7.0000000000000007E-2</v>
      </c>
      <c r="Z95" s="218">
        <v>7.0000000000000007E-2</v>
      </c>
      <c r="AA95" s="218">
        <v>0.09</v>
      </c>
      <c r="AB95" s="218">
        <v>0.05</v>
      </c>
      <c r="AC95" s="223">
        <v>0.05</v>
      </c>
    </row>
    <row r="96" spans="1:29" ht="34.200000000000003" customHeight="1" thickBot="1" x14ac:dyDescent="0.35">
      <c r="A96" s="730"/>
      <c r="B96" s="733"/>
      <c r="C96" s="687"/>
      <c r="D96" s="723"/>
      <c r="E96" s="231" t="s">
        <v>409</v>
      </c>
      <c r="F96" s="224">
        <v>0.04</v>
      </c>
      <c r="G96" s="224">
        <v>0.04</v>
      </c>
      <c r="H96" s="224">
        <v>0.04</v>
      </c>
      <c r="I96" s="224">
        <v>0.04</v>
      </c>
      <c r="J96" s="224">
        <v>0.04</v>
      </c>
      <c r="K96" s="224">
        <v>7.0000000000000007E-2</v>
      </c>
      <c r="L96" s="224">
        <v>0.04</v>
      </c>
      <c r="M96" s="224">
        <v>0.04</v>
      </c>
      <c r="N96" s="224">
        <v>0.04</v>
      </c>
      <c r="O96" s="224">
        <v>0.04</v>
      </c>
      <c r="P96" s="224">
        <v>0.04</v>
      </c>
      <c r="Q96" s="224">
        <v>0.06</v>
      </c>
      <c r="R96" s="224">
        <v>0.06</v>
      </c>
      <c r="S96" s="224">
        <v>0.09</v>
      </c>
      <c r="T96" s="224">
        <v>0.06</v>
      </c>
      <c r="U96" s="224">
        <v>0.04</v>
      </c>
      <c r="V96" s="224">
        <v>0.04</v>
      </c>
      <c r="W96" s="224">
        <v>0.04</v>
      </c>
      <c r="X96" s="224">
        <v>0.04</v>
      </c>
      <c r="Y96" s="224">
        <v>0.04</v>
      </c>
      <c r="Z96" s="224">
        <v>0.04</v>
      </c>
      <c r="AA96" s="224">
        <v>7.0000000000000007E-2</v>
      </c>
      <c r="AB96" s="224">
        <v>0.04</v>
      </c>
      <c r="AC96" s="225">
        <v>0.04</v>
      </c>
    </row>
    <row r="97" spans="1:30" ht="34.200000000000003" customHeight="1" x14ac:dyDescent="0.3">
      <c r="A97" s="728" t="s">
        <v>134</v>
      </c>
      <c r="B97" s="731" t="s">
        <v>134</v>
      </c>
      <c r="C97" s="681" t="s">
        <v>296</v>
      </c>
      <c r="D97" s="712" t="s">
        <v>762</v>
      </c>
      <c r="E97" s="229" t="s">
        <v>407</v>
      </c>
      <c r="F97" s="309">
        <v>1</v>
      </c>
      <c r="G97" s="309">
        <v>1</v>
      </c>
      <c r="H97" s="309">
        <v>1</v>
      </c>
      <c r="I97" s="309">
        <v>1</v>
      </c>
      <c r="J97" s="309">
        <v>1</v>
      </c>
      <c r="K97" s="309">
        <v>0.25</v>
      </c>
      <c r="L97" s="309">
        <v>0.25</v>
      </c>
      <c r="M97" s="309">
        <v>0.25</v>
      </c>
      <c r="N97" s="309">
        <v>0.25</v>
      </c>
      <c r="O97" s="309">
        <v>0.25</v>
      </c>
      <c r="P97" s="309">
        <v>0.25</v>
      </c>
      <c r="Q97" s="309">
        <v>0.25</v>
      </c>
      <c r="R97" s="309">
        <v>0.25</v>
      </c>
      <c r="S97" s="309">
        <v>0.25</v>
      </c>
      <c r="T97" s="309">
        <v>0.25</v>
      </c>
      <c r="U97" s="309">
        <v>0.25</v>
      </c>
      <c r="V97" s="309">
        <v>0.25</v>
      </c>
      <c r="W97" s="309">
        <v>0.25</v>
      </c>
      <c r="X97" s="309">
        <v>0.25</v>
      </c>
      <c r="Y97" s="309">
        <v>0.25</v>
      </c>
      <c r="Z97" s="309">
        <v>0.25</v>
      </c>
      <c r="AA97" s="309">
        <v>0.25</v>
      </c>
      <c r="AB97" s="309">
        <v>0.25</v>
      </c>
      <c r="AC97" s="310">
        <v>0.25</v>
      </c>
    </row>
    <row r="98" spans="1:30" ht="34.200000000000003" customHeight="1" x14ac:dyDescent="0.3">
      <c r="A98" s="729"/>
      <c r="B98" s="732"/>
      <c r="C98" s="686"/>
      <c r="D98" s="689"/>
      <c r="E98" s="219" t="s">
        <v>408</v>
      </c>
      <c r="F98" s="296">
        <v>1</v>
      </c>
      <c r="G98" s="296">
        <v>1</v>
      </c>
      <c r="H98" s="296">
        <v>1</v>
      </c>
      <c r="I98" s="296">
        <v>1</v>
      </c>
      <c r="J98" s="296">
        <v>1</v>
      </c>
      <c r="K98" s="296">
        <v>0.25</v>
      </c>
      <c r="L98" s="296">
        <v>0.25</v>
      </c>
      <c r="M98" s="296">
        <v>0.25</v>
      </c>
      <c r="N98" s="296">
        <v>0.25</v>
      </c>
      <c r="O98" s="296">
        <v>0.25</v>
      </c>
      <c r="P98" s="296">
        <v>0.25</v>
      </c>
      <c r="Q98" s="296">
        <v>0.25</v>
      </c>
      <c r="R98" s="296">
        <v>0.25</v>
      </c>
      <c r="S98" s="296">
        <v>0.25</v>
      </c>
      <c r="T98" s="296">
        <v>0.25</v>
      </c>
      <c r="U98" s="296">
        <v>0.25</v>
      </c>
      <c r="V98" s="296">
        <v>0.25</v>
      </c>
      <c r="W98" s="296">
        <v>0.25</v>
      </c>
      <c r="X98" s="296">
        <v>0.25</v>
      </c>
      <c r="Y98" s="296">
        <v>1</v>
      </c>
      <c r="Z98" s="296">
        <v>1</v>
      </c>
      <c r="AA98" s="296">
        <v>1</v>
      </c>
      <c r="AB98" s="296">
        <v>1</v>
      </c>
      <c r="AC98" s="297">
        <v>1</v>
      </c>
    </row>
    <row r="99" spans="1:30" ht="34.200000000000003" customHeight="1" thickBot="1" x14ac:dyDescent="0.35">
      <c r="A99" s="730"/>
      <c r="B99" s="733"/>
      <c r="C99" s="722"/>
      <c r="D99" s="723"/>
      <c r="E99" s="230" t="s">
        <v>409</v>
      </c>
      <c r="F99" s="299">
        <v>1</v>
      </c>
      <c r="G99" s="299">
        <v>1</v>
      </c>
      <c r="H99" s="299">
        <v>1</v>
      </c>
      <c r="I99" s="299">
        <v>1</v>
      </c>
      <c r="J99" s="299">
        <v>1</v>
      </c>
      <c r="K99" s="299">
        <v>1</v>
      </c>
      <c r="L99" s="299">
        <v>1</v>
      </c>
      <c r="M99" s="299">
        <v>1</v>
      </c>
      <c r="N99" s="299">
        <v>1</v>
      </c>
      <c r="O99" s="299">
        <v>1</v>
      </c>
      <c r="P99" s="299">
        <v>1</v>
      </c>
      <c r="Q99" s="299">
        <v>1</v>
      </c>
      <c r="R99" s="299">
        <v>1</v>
      </c>
      <c r="S99" s="299">
        <v>1</v>
      </c>
      <c r="T99" s="299">
        <v>1</v>
      </c>
      <c r="U99" s="299">
        <v>1</v>
      </c>
      <c r="V99" s="299">
        <v>1</v>
      </c>
      <c r="W99" s="299">
        <v>1</v>
      </c>
      <c r="X99" s="299">
        <v>1</v>
      </c>
      <c r="Y99" s="299">
        <v>1</v>
      </c>
      <c r="Z99" s="299">
        <v>1</v>
      </c>
      <c r="AA99" s="299">
        <v>1</v>
      </c>
      <c r="AB99" s="299">
        <v>1</v>
      </c>
      <c r="AC99" s="300">
        <v>1</v>
      </c>
    </row>
    <row r="100" spans="1:30" ht="34.200000000000003" customHeight="1" x14ac:dyDescent="0.3">
      <c r="A100" s="728" t="s">
        <v>134</v>
      </c>
      <c r="B100" s="731" t="s">
        <v>134</v>
      </c>
      <c r="C100" s="716" t="s">
        <v>754</v>
      </c>
      <c r="D100" s="719" t="s">
        <v>755</v>
      </c>
      <c r="E100" s="313" t="s">
        <v>407</v>
      </c>
      <c r="F100" s="315">
        <f>IF((F91=1),Thermostat!$B$3,Thermostat!$B$4)</f>
        <v>60</v>
      </c>
      <c r="G100" s="315">
        <f>IF((G91=1),Thermostat!$B$3,Thermostat!$B$4)</f>
        <v>60</v>
      </c>
      <c r="H100" s="315">
        <f>IF((H91=1),Thermostat!$B$3,Thermostat!$B$4)</f>
        <v>60</v>
      </c>
      <c r="I100" s="315">
        <f>IF((I91=1),Thermostat!$B$3,Thermostat!$B$4)</f>
        <v>60</v>
      </c>
      <c r="J100" s="315">
        <f>IF((J91=1),Thermostat!$B$3,Thermostat!$B$4)</f>
        <v>60</v>
      </c>
      <c r="K100" s="315">
        <f>IF((K91=1),Thermostat!$B$3,Thermostat!$B$4)</f>
        <v>70</v>
      </c>
      <c r="L100" s="315">
        <f>IF((L91=1),Thermostat!$B$3,Thermostat!$B$4)</f>
        <v>70</v>
      </c>
      <c r="M100" s="315">
        <f>IF((M91=1),Thermostat!$B$3,Thermostat!$B$4)</f>
        <v>70</v>
      </c>
      <c r="N100" s="315">
        <f>IF((N91=1),Thermostat!$B$3,Thermostat!$B$4)</f>
        <v>70</v>
      </c>
      <c r="O100" s="315">
        <f>IF((O91=1),Thermostat!$B$3,Thermostat!$B$4)</f>
        <v>70</v>
      </c>
      <c r="P100" s="315">
        <f>IF((P91=1),Thermostat!$B$3,Thermostat!$B$4)</f>
        <v>70</v>
      </c>
      <c r="Q100" s="315">
        <f>IF((Q91=1),Thermostat!$B$3,Thermostat!$B$4)</f>
        <v>70</v>
      </c>
      <c r="R100" s="315">
        <f>IF((R91=1),Thermostat!$B$3,Thermostat!$B$4)</f>
        <v>70</v>
      </c>
      <c r="S100" s="315">
        <f>IF((S91=1),Thermostat!$B$3,Thermostat!$B$4)</f>
        <v>70</v>
      </c>
      <c r="T100" s="315">
        <f>IF((T91=1),Thermostat!$B$3,Thermostat!$B$4)</f>
        <v>70</v>
      </c>
      <c r="U100" s="315">
        <f>IF((U91=1),Thermostat!$B$3,Thermostat!$B$4)</f>
        <v>70</v>
      </c>
      <c r="V100" s="315">
        <f>IF((V91=1),Thermostat!$B$3,Thermostat!$B$4)</f>
        <v>70</v>
      </c>
      <c r="W100" s="315">
        <f>IF((W91=1),Thermostat!$B$3,Thermostat!$B$4)</f>
        <v>70</v>
      </c>
      <c r="X100" s="315">
        <f>IF((X91=1),Thermostat!$B$3,Thermostat!$B$4)</f>
        <v>70</v>
      </c>
      <c r="Y100" s="315">
        <f>IF((Y91=1),Thermostat!$B$3,Thermostat!$B$4)</f>
        <v>70</v>
      </c>
      <c r="Z100" s="315">
        <f>IF((Z91=1),Thermostat!$B$3,Thermostat!$B$4)</f>
        <v>70</v>
      </c>
      <c r="AA100" s="315">
        <f>IF((AA91=1),Thermostat!$B$3,Thermostat!$B$4)</f>
        <v>70</v>
      </c>
      <c r="AB100" s="315">
        <f>IF((AB91=1),Thermostat!$B$3,Thermostat!$B$4)</f>
        <v>70</v>
      </c>
      <c r="AC100" s="316">
        <f>IF((AC91=1),Thermostat!$B$3,Thermostat!$B$4)</f>
        <v>70</v>
      </c>
    </row>
    <row r="101" spans="1:30" ht="34.200000000000003" customHeight="1" x14ac:dyDescent="0.3">
      <c r="A101" s="729"/>
      <c r="B101" s="732"/>
      <c r="C101" s="717"/>
      <c r="D101" s="720"/>
      <c r="E101" s="276" t="s">
        <v>408</v>
      </c>
      <c r="F101" s="269">
        <f>IF((F92=1),Thermostat!$B$3,Thermostat!$B$4)</f>
        <v>60</v>
      </c>
      <c r="G101" s="269">
        <f>IF((G92=1),Thermostat!$B$3,Thermostat!$B$4)</f>
        <v>60</v>
      </c>
      <c r="H101" s="269">
        <f>IF((H92=1),Thermostat!$B$3,Thermostat!$B$4)</f>
        <v>60</v>
      </c>
      <c r="I101" s="269">
        <f>IF((I92=1),Thermostat!$B$3,Thermostat!$B$4)</f>
        <v>60</v>
      </c>
      <c r="J101" s="269">
        <f>IF((J92=1),Thermostat!$B$3,Thermostat!$B$4)</f>
        <v>60</v>
      </c>
      <c r="K101" s="269">
        <f>IF((K92=1),Thermostat!$B$3,Thermostat!$B$4)</f>
        <v>70</v>
      </c>
      <c r="L101" s="269">
        <f>IF((L92=1),Thermostat!$B$3,Thermostat!$B$4)</f>
        <v>70</v>
      </c>
      <c r="M101" s="269">
        <f>IF((M92=1),Thermostat!$B$3,Thermostat!$B$4)</f>
        <v>70</v>
      </c>
      <c r="N101" s="269">
        <f>IF((N92=1),Thermostat!$B$3,Thermostat!$B$4)</f>
        <v>70</v>
      </c>
      <c r="O101" s="269">
        <f>IF((O92=1),Thermostat!$B$3,Thermostat!$B$4)</f>
        <v>70</v>
      </c>
      <c r="P101" s="269">
        <f>IF((P92=1),Thermostat!$B$3,Thermostat!$B$4)</f>
        <v>70</v>
      </c>
      <c r="Q101" s="269">
        <f>IF((Q92=1),Thermostat!$B$3,Thermostat!$B$4)</f>
        <v>70</v>
      </c>
      <c r="R101" s="269">
        <f>IF((R92=1),Thermostat!$B$3,Thermostat!$B$4)</f>
        <v>70</v>
      </c>
      <c r="S101" s="269">
        <f>IF((S92=1),Thermostat!$B$3,Thermostat!$B$4)</f>
        <v>70</v>
      </c>
      <c r="T101" s="269">
        <f>IF((T92=1),Thermostat!$B$3,Thermostat!$B$4)</f>
        <v>70</v>
      </c>
      <c r="U101" s="269">
        <f>IF((U92=1),Thermostat!$B$3,Thermostat!$B$4)</f>
        <v>70</v>
      </c>
      <c r="V101" s="269">
        <f>IF((V92=1),Thermostat!$B$3,Thermostat!$B$4)</f>
        <v>70</v>
      </c>
      <c r="W101" s="269">
        <f>IF((W92=1),Thermostat!$B$3,Thermostat!$B$4)</f>
        <v>70</v>
      </c>
      <c r="X101" s="269">
        <f>IF((X92=1),Thermostat!$B$3,Thermostat!$B$4)</f>
        <v>70</v>
      </c>
      <c r="Y101" s="269">
        <f>IF((Y92=1),Thermostat!$B$3,Thermostat!$B$4)</f>
        <v>60</v>
      </c>
      <c r="Z101" s="269">
        <f>IF((Z92=1),Thermostat!$B$3,Thermostat!$B$4)</f>
        <v>60</v>
      </c>
      <c r="AA101" s="269">
        <f>IF((AA92=1),Thermostat!$B$3,Thermostat!$B$4)</f>
        <v>60</v>
      </c>
      <c r="AB101" s="269">
        <f>IF((AB92=1),Thermostat!$B$3,Thermostat!$B$4)</f>
        <v>60</v>
      </c>
      <c r="AC101" s="317">
        <f>IF((AC92=1),Thermostat!$B$3,Thermostat!$B$4)</f>
        <v>60</v>
      </c>
    </row>
    <row r="102" spans="1:30" ht="34.200000000000003" customHeight="1" thickBot="1" x14ac:dyDescent="0.35">
      <c r="A102" s="753"/>
      <c r="B102" s="733"/>
      <c r="C102" s="724"/>
      <c r="D102" s="725"/>
      <c r="E102" s="314" t="s">
        <v>409</v>
      </c>
      <c r="F102" s="318">
        <f>IF((F93=1),Thermostat!$B$3,Thermostat!$B$4)</f>
        <v>60</v>
      </c>
      <c r="G102" s="318">
        <f>IF((G93=1),Thermostat!$B$3,Thermostat!$B$4)</f>
        <v>60</v>
      </c>
      <c r="H102" s="318">
        <f>IF((H93=1),Thermostat!$B$3,Thermostat!$B$4)</f>
        <v>60</v>
      </c>
      <c r="I102" s="318">
        <f>IF((I93=1),Thermostat!$B$3,Thermostat!$B$4)</f>
        <v>60</v>
      </c>
      <c r="J102" s="318">
        <f>IF((J93=1),Thermostat!$B$3,Thermostat!$B$4)</f>
        <v>60</v>
      </c>
      <c r="K102" s="318">
        <f>IF((K93=1),Thermostat!$B$3,Thermostat!$B$4)</f>
        <v>60</v>
      </c>
      <c r="L102" s="318">
        <f>IF((L93=1),Thermostat!$B$3,Thermostat!$B$4)</f>
        <v>60</v>
      </c>
      <c r="M102" s="318">
        <f>IF((M93=1),Thermostat!$B$3,Thermostat!$B$4)</f>
        <v>60</v>
      </c>
      <c r="N102" s="318">
        <f>IF((N93=1),Thermostat!$B$3,Thermostat!$B$4)</f>
        <v>60</v>
      </c>
      <c r="O102" s="318">
        <f>IF((O93=1),Thermostat!$B$3,Thermostat!$B$4)</f>
        <v>60</v>
      </c>
      <c r="P102" s="318">
        <f>IF((P93=1),Thermostat!$B$3,Thermostat!$B$4)</f>
        <v>60</v>
      </c>
      <c r="Q102" s="318">
        <f>IF((Q93=1),Thermostat!$B$3,Thermostat!$B$4)</f>
        <v>60</v>
      </c>
      <c r="R102" s="318">
        <f>IF((R93=1),Thermostat!$B$3,Thermostat!$B$4)</f>
        <v>60</v>
      </c>
      <c r="S102" s="318">
        <f>IF((S93=1),Thermostat!$B$3,Thermostat!$B$4)</f>
        <v>60</v>
      </c>
      <c r="T102" s="318">
        <f>IF((T93=1),Thermostat!$B$3,Thermostat!$B$4)</f>
        <v>60</v>
      </c>
      <c r="U102" s="318">
        <f>IF((U93=1),Thermostat!$B$3,Thermostat!$B$4)</f>
        <v>60</v>
      </c>
      <c r="V102" s="318">
        <f>IF((V93=1),Thermostat!$B$3,Thermostat!$B$4)</f>
        <v>60</v>
      </c>
      <c r="W102" s="318">
        <f>IF((W93=1),Thermostat!$B$3,Thermostat!$B$4)</f>
        <v>60</v>
      </c>
      <c r="X102" s="318">
        <f>IF((X93=1),Thermostat!$B$3,Thermostat!$B$4)</f>
        <v>60</v>
      </c>
      <c r="Y102" s="318">
        <f>IF((Y93=1),Thermostat!$B$3,Thermostat!$B$4)</f>
        <v>60</v>
      </c>
      <c r="Z102" s="318">
        <f>IF((Z93=1),Thermostat!$B$3,Thermostat!$B$4)</f>
        <v>60</v>
      </c>
      <c r="AA102" s="318">
        <f>IF((AA93=1),Thermostat!$B$3,Thermostat!$B$4)</f>
        <v>60</v>
      </c>
      <c r="AB102" s="318">
        <f>IF((AB93=1),Thermostat!$B$3,Thermostat!$B$4)</f>
        <v>60</v>
      </c>
      <c r="AC102" s="319">
        <f>IF((AC93=1),Thermostat!$B$3,Thermostat!$B$4)</f>
        <v>60</v>
      </c>
    </row>
    <row r="103" spans="1:30" ht="34.200000000000003" customHeight="1" x14ac:dyDescent="0.3">
      <c r="A103" s="760" t="s">
        <v>134</v>
      </c>
      <c r="B103" s="731" t="s">
        <v>134</v>
      </c>
      <c r="C103" s="777" t="s">
        <v>756</v>
      </c>
      <c r="D103" s="778" t="s">
        <v>755</v>
      </c>
      <c r="E103" s="275" t="s">
        <v>407</v>
      </c>
      <c r="F103" s="285">
        <f>IF((F91=1),Thermostat!$B$5,Thermostat!$B$6)</f>
        <v>85</v>
      </c>
      <c r="G103" s="285">
        <f>IF((G91=1),Thermostat!$B$5,Thermostat!$B$6)</f>
        <v>85</v>
      </c>
      <c r="H103" s="285">
        <f>IF((H91=1),Thermostat!$B$5,Thermostat!$B$6)</f>
        <v>85</v>
      </c>
      <c r="I103" s="285">
        <f>IF((I91=1),Thermostat!$B$5,Thermostat!$B$6)</f>
        <v>85</v>
      </c>
      <c r="J103" s="285">
        <f>IF((J91=1),Thermostat!$B$5,Thermostat!$B$6)</f>
        <v>85</v>
      </c>
      <c r="K103" s="285">
        <f>IF((K91=1),Thermostat!$B$5,Thermostat!$B$6)</f>
        <v>75</v>
      </c>
      <c r="L103" s="285">
        <f>IF((L91=1),Thermostat!$B$5,Thermostat!$B$6)</f>
        <v>75</v>
      </c>
      <c r="M103" s="285">
        <f>IF((M91=1),Thermostat!$B$5,Thermostat!$B$6)</f>
        <v>75</v>
      </c>
      <c r="N103" s="285">
        <f>IF((N91=1),Thermostat!$B$5,Thermostat!$B$6)</f>
        <v>75</v>
      </c>
      <c r="O103" s="285">
        <f>IF((O91=1),Thermostat!$B$5,Thermostat!$B$6)</f>
        <v>75</v>
      </c>
      <c r="P103" s="285">
        <f>IF((P91=1),Thermostat!$B$5,Thermostat!$B$6)</f>
        <v>75</v>
      </c>
      <c r="Q103" s="285">
        <f>IF((Q91=1),Thermostat!$B$5,Thermostat!$B$6)</f>
        <v>75</v>
      </c>
      <c r="R103" s="285">
        <f>IF((R91=1),Thermostat!$B$5,Thermostat!$B$6)</f>
        <v>75</v>
      </c>
      <c r="S103" s="285">
        <f>IF((S91=1),Thermostat!$B$5,Thermostat!$B$6)</f>
        <v>75</v>
      </c>
      <c r="T103" s="285">
        <f>IF((T91=1),Thermostat!$B$5,Thermostat!$B$6)</f>
        <v>75</v>
      </c>
      <c r="U103" s="285">
        <f>IF((U91=1),Thermostat!$B$5,Thermostat!$B$6)</f>
        <v>75</v>
      </c>
      <c r="V103" s="285">
        <f>IF((V91=1),Thermostat!$B$5,Thermostat!$B$6)</f>
        <v>75</v>
      </c>
      <c r="W103" s="285">
        <f>IF((W91=1),Thermostat!$B$5,Thermostat!$B$6)</f>
        <v>75</v>
      </c>
      <c r="X103" s="285">
        <f>IF((X91=1),Thermostat!$B$5,Thermostat!$B$6)</f>
        <v>75</v>
      </c>
      <c r="Y103" s="285">
        <f>IF((Y91=1),Thermostat!$B$5,Thermostat!$B$6)</f>
        <v>75</v>
      </c>
      <c r="Z103" s="285">
        <f>IF((Z91=1),Thermostat!$B$5,Thermostat!$B$6)</f>
        <v>75</v>
      </c>
      <c r="AA103" s="285">
        <f>IF((AA91=1),Thermostat!$B$5,Thermostat!$B$6)</f>
        <v>75</v>
      </c>
      <c r="AB103" s="285">
        <f>IF((AB91=1),Thermostat!$B$5,Thermostat!$B$6)</f>
        <v>75</v>
      </c>
      <c r="AC103" s="320">
        <f>IF((AC91=1),Thermostat!$B$5,Thermostat!$B$6)</f>
        <v>75</v>
      </c>
    </row>
    <row r="104" spans="1:30" ht="34.200000000000003" customHeight="1" x14ac:dyDescent="0.3">
      <c r="A104" s="729"/>
      <c r="B104" s="732"/>
      <c r="C104" s="717"/>
      <c r="D104" s="720"/>
      <c r="E104" s="276" t="s">
        <v>408</v>
      </c>
      <c r="F104" s="269">
        <f>IF((F92=1),Thermostat!$B$5,Thermostat!$B$6)</f>
        <v>85</v>
      </c>
      <c r="G104" s="269">
        <f>IF((G92=1),Thermostat!$B$5,Thermostat!$B$6)</f>
        <v>85</v>
      </c>
      <c r="H104" s="269">
        <f>IF((H92=1),Thermostat!$B$5,Thermostat!$B$6)</f>
        <v>85</v>
      </c>
      <c r="I104" s="269">
        <f>IF((I92=1),Thermostat!$B$5,Thermostat!$B$6)</f>
        <v>85</v>
      </c>
      <c r="J104" s="269">
        <f>IF((J92=1),Thermostat!$B$5,Thermostat!$B$6)</f>
        <v>85</v>
      </c>
      <c r="K104" s="269">
        <f>IF((K92=1),Thermostat!$B$5,Thermostat!$B$6)</f>
        <v>75</v>
      </c>
      <c r="L104" s="269">
        <f>IF((L92=1),Thermostat!$B$5,Thermostat!$B$6)</f>
        <v>75</v>
      </c>
      <c r="M104" s="269">
        <f>IF((M92=1),Thermostat!$B$5,Thermostat!$B$6)</f>
        <v>75</v>
      </c>
      <c r="N104" s="269">
        <f>IF((N92=1),Thermostat!$B$5,Thermostat!$B$6)</f>
        <v>75</v>
      </c>
      <c r="O104" s="269">
        <f>IF((O92=1),Thermostat!$B$5,Thermostat!$B$6)</f>
        <v>75</v>
      </c>
      <c r="P104" s="269">
        <f>IF((P92=1),Thermostat!$B$5,Thermostat!$B$6)</f>
        <v>75</v>
      </c>
      <c r="Q104" s="269">
        <f>IF((Q92=1),Thermostat!$B$5,Thermostat!$B$6)</f>
        <v>75</v>
      </c>
      <c r="R104" s="269">
        <f>IF((R92=1),Thermostat!$B$5,Thermostat!$B$6)</f>
        <v>75</v>
      </c>
      <c r="S104" s="269">
        <f>IF((S92=1),Thermostat!$B$5,Thermostat!$B$6)</f>
        <v>75</v>
      </c>
      <c r="T104" s="269">
        <f>IF((T92=1),Thermostat!$B$5,Thermostat!$B$6)</f>
        <v>75</v>
      </c>
      <c r="U104" s="269">
        <f>IF((U92=1),Thermostat!$B$5,Thermostat!$B$6)</f>
        <v>75</v>
      </c>
      <c r="V104" s="269">
        <f>IF((V92=1),Thermostat!$B$5,Thermostat!$B$6)</f>
        <v>75</v>
      </c>
      <c r="W104" s="269">
        <f>IF((W92=1),Thermostat!$B$5,Thermostat!$B$6)</f>
        <v>75</v>
      </c>
      <c r="X104" s="269">
        <f>IF((X92=1),Thermostat!$B$5,Thermostat!$B$6)</f>
        <v>75</v>
      </c>
      <c r="Y104" s="269">
        <f>IF((Y92=1),Thermostat!$B$5,Thermostat!$B$6)</f>
        <v>85</v>
      </c>
      <c r="Z104" s="269">
        <f>IF((Z92=1),Thermostat!$B$5,Thermostat!$B$6)</f>
        <v>85</v>
      </c>
      <c r="AA104" s="269">
        <f>IF((AA92=1),Thermostat!$B$5,Thermostat!$B$6)</f>
        <v>85</v>
      </c>
      <c r="AB104" s="269">
        <f>IF((AB92=1),Thermostat!$B$5,Thermostat!$B$6)</f>
        <v>85</v>
      </c>
      <c r="AC104" s="317">
        <f>IF((AC92=1),Thermostat!$B$5,Thermostat!$B$6)</f>
        <v>85</v>
      </c>
    </row>
    <row r="105" spans="1:30" ht="34.200000000000003" customHeight="1" thickBot="1" x14ac:dyDescent="0.35">
      <c r="A105" s="753"/>
      <c r="B105" s="733"/>
      <c r="C105" s="724"/>
      <c r="D105" s="725"/>
      <c r="E105" s="314" t="s">
        <v>409</v>
      </c>
      <c r="F105" s="318">
        <f>IF((F93=1),Thermostat!$B$5,Thermostat!$B$6)</f>
        <v>85</v>
      </c>
      <c r="G105" s="318">
        <f>IF((G93=1),Thermostat!$B$5,Thermostat!$B$6)</f>
        <v>85</v>
      </c>
      <c r="H105" s="318">
        <f>IF((H93=1),Thermostat!$B$5,Thermostat!$B$6)</f>
        <v>85</v>
      </c>
      <c r="I105" s="318">
        <f>IF((I93=1),Thermostat!$B$5,Thermostat!$B$6)</f>
        <v>85</v>
      </c>
      <c r="J105" s="318">
        <f>IF((J93=1),Thermostat!$B$5,Thermostat!$B$6)</f>
        <v>85</v>
      </c>
      <c r="K105" s="318">
        <f>IF((K93=1),Thermostat!$B$5,Thermostat!$B$6)</f>
        <v>85</v>
      </c>
      <c r="L105" s="318">
        <f>IF((L93=1),Thermostat!$B$5,Thermostat!$B$6)</f>
        <v>85</v>
      </c>
      <c r="M105" s="318">
        <f>IF((M93=1),Thermostat!$B$5,Thermostat!$B$6)</f>
        <v>85</v>
      </c>
      <c r="N105" s="318">
        <f>IF((N93=1),Thermostat!$B$5,Thermostat!$B$6)</f>
        <v>85</v>
      </c>
      <c r="O105" s="318">
        <f>IF((O93=1),Thermostat!$B$5,Thermostat!$B$6)</f>
        <v>85</v>
      </c>
      <c r="P105" s="318">
        <f>IF((P93=1),Thermostat!$B$5,Thermostat!$B$6)</f>
        <v>85</v>
      </c>
      <c r="Q105" s="318">
        <f>IF((Q93=1),Thermostat!$B$5,Thermostat!$B$6)</f>
        <v>85</v>
      </c>
      <c r="R105" s="318">
        <f>IF((R93=1),Thermostat!$B$5,Thermostat!$B$6)</f>
        <v>85</v>
      </c>
      <c r="S105" s="318">
        <f>IF((S93=1),Thermostat!$B$5,Thermostat!$B$6)</f>
        <v>85</v>
      </c>
      <c r="T105" s="318">
        <f>IF((T93=1),Thermostat!$B$5,Thermostat!$B$6)</f>
        <v>85</v>
      </c>
      <c r="U105" s="318">
        <f>IF((U93=1),Thermostat!$B$5,Thermostat!$B$6)</f>
        <v>85</v>
      </c>
      <c r="V105" s="318">
        <f>IF((V93=1),Thermostat!$B$5,Thermostat!$B$6)</f>
        <v>85</v>
      </c>
      <c r="W105" s="318">
        <f>IF((W93=1),Thermostat!$B$5,Thermostat!$B$6)</f>
        <v>85</v>
      </c>
      <c r="X105" s="318">
        <f>IF((X93=1),Thermostat!$B$5,Thermostat!$B$6)</f>
        <v>85</v>
      </c>
      <c r="Y105" s="318">
        <f>IF((Y93=1),Thermostat!$B$5,Thermostat!$B$6)</f>
        <v>85</v>
      </c>
      <c r="Z105" s="318">
        <f>IF((Z93=1),Thermostat!$B$5,Thermostat!$B$6)</f>
        <v>85</v>
      </c>
      <c r="AA105" s="318">
        <f>IF((AA93=1),Thermostat!$B$5,Thermostat!$B$6)</f>
        <v>85</v>
      </c>
      <c r="AB105" s="318">
        <f>IF((AB93=1),Thermostat!$B$5,Thermostat!$B$6)</f>
        <v>85</v>
      </c>
      <c r="AC105" s="319">
        <f>IF((AC93=1),Thermostat!$B$5,Thermostat!$B$6)</f>
        <v>85</v>
      </c>
    </row>
    <row r="106" spans="1:30" s="329" customFormat="1" ht="20.399999999999999" customHeight="1" thickBot="1" x14ac:dyDescent="0.35">
      <c r="A106" s="726" t="s">
        <v>761</v>
      </c>
      <c r="B106" s="726"/>
      <c r="C106" s="726" t="s">
        <v>761</v>
      </c>
      <c r="D106" s="726"/>
      <c r="E106" s="726"/>
      <c r="F106" s="726"/>
      <c r="G106" s="726"/>
      <c r="H106" s="726"/>
      <c r="I106" s="726"/>
      <c r="J106" s="726"/>
      <c r="K106" s="726"/>
      <c r="L106" s="726"/>
      <c r="M106" s="726"/>
      <c r="N106" s="726"/>
      <c r="O106" s="726"/>
      <c r="P106" s="726"/>
      <c r="Q106" s="726"/>
      <c r="R106" s="726"/>
      <c r="S106" s="726"/>
      <c r="T106" s="726"/>
      <c r="U106" s="726"/>
      <c r="V106" s="726"/>
      <c r="W106" s="726"/>
      <c r="X106" s="726"/>
      <c r="Y106" s="726"/>
      <c r="Z106" s="726"/>
      <c r="AA106" s="726"/>
      <c r="AB106" s="726"/>
      <c r="AC106" s="727"/>
      <c r="AD106" s="343" t="s">
        <v>618</v>
      </c>
    </row>
    <row r="107" spans="1:30" ht="34.200000000000003" customHeight="1" x14ac:dyDescent="0.3">
      <c r="A107" s="728"/>
      <c r="B107" s="710" t="s">
        <v>105</v>
      </c>
      <c r="C107" s="710" t="s">
        <v>522</v>
      </c>
      <c r="D107" s="712" t="s">
        <v>763</v>
      </c>
      <c r="E107" s="287" t="s">
        <v>407</v>
      </c>
      <c r="F107" s="288">
        <v>0</v>
      </c>
      <c r="G107" s="288">
        <v>0</v>
      </c>
      <c r="H107" s="288">
        <v>0</v>
      </c>
      <c r="I107" s="288">
        <v>0</v>
      </c>
      <c r="J107" s="288">
        <v>0</v>
      </c>
      <c r="K107" s="288">
        <v>0</v>
      </c>
      <c r="L107" s="288">
        <v>0</v>
      </c>
      <c r="M107" s="288">
        <v>0.35</v>
      </c>
      <c r="N107" s="288">
        <v>0.69</v>
      </c>
      <c r="O107" s="288">
        <v>0.43</v>
      </c>
      <c r="P107" s="288">
        <v>0.37</v>
      </c>
      <c r="Q107" s="288">
        <v>0.43</v>
      </c>
      <c r="R107" s="288">
        <v>0.57999999999999996</v>
      </c>
      <c r="S107" s="288">
        <v>0.48</v>
      </c>
      <c r="T107" s="288">
        <v>0.37</v>
      </c>
      <c r="U107" s="288">
        <v>0.37</v>
      </c>
      <c r="V107" s="288">
        <v>0.46</v>
      </c>
      <c r="W107" s="288">
        <v>0.62</v>
      </c>
      <c r="X107" s="288">
        <v>0.2</v>
      </c>
      <c r="Y107" s="288">
        <v>0.12</v>
      </c>
      <c r="Z107" s="288">
        <v>0.04</v>
      </c>
      <c r="AA107" s="288">
        <v>0.04</v>
      </c>
      <c r="AB107" s="288">
        <v>0</v>
      </c>
      <c r="AC107" s="289">
        <v>0</v>
      </c>
      <c r="AD107" s="344">
        <f>SUM(G107:AC107)*261+ SUM(G108:AC108)*52+ SUM(G109:AC109)*52</f>
        <v>2025.75</v>
      </c>
    </row>
    <row r="108" spans="1:30" ht="34.200000000000003" customHeight="1" x14ac:dyDescent="0.3">
      <c r="A108" s="729"/>
      <c r="B108" s="686"/>
      <c r="C108" s="686"/>
      <c r="D108" s="689"/>
      <c r="E108" s="219" t="s">
        <v>408</v>
      </c>
      <c r="F108" s="218">
        <v>0</v>
      </c>
      <c r="G108" s="218">
        <v>0</v>
      </c>
      <c r="H108" s="218">
        <v>0</v>
      </c>
      <c r="I108" s="218">
        <v>0</v>
      </c>
      <c r="J108" s="218">
        <v>0</v>
      </c>
      <c r="K108" s="218">
        <v>0</v>
      </c>
      <c r="L108" s="218">
        <v>0</v>
      </c>
      <c r="M108" s="218">
        <v>0.35</v>
      </c>
      <c r="N108" s="218">
        <v>0.69</v>
      </c>
      <c r="O108" s="218">
        <v>0.43</v>
      </c>
      <c r="P108" s="218">
        <v>0.37</v>
      </c>
      <c r="Q108" s="218">
        <v>0.43</v>
      </c>
      <c r="R108" s="218">
        <v>0.57999999999999996</v>
      </c>
      <c r="S108" s="218">
        <v>0.48</v>
      </c>
      <c r="T108" s="218">
        <v>0.37</v>
      </c>
      <c r="U108" s="218">
        <v>0.37</v>
      </c>
      <c r="V108" s="218">
        <v>0.46</v>
      </c>
      <c r="W108" s="218">
        <v>0.62</v>
      </c>
      <c r="X108" s="218">
        <v>0.2</v>
      </c>
      <c r="Y108" s="218">
        <v>0.12</v>
      </c>
      <c r="Z108" s="218">
        <v>0.04</v>
      </c>
      <c r="AA108" s="218">
        <v>0.04</v>
      </c>
      <c r="AB108" s="218">
        <v>0</v>
      </c>
      <c r="AC108" s="290">
        <v>0</v>
      </c>
    </row>
    <row r="109" spans="1:30" ht="34.200000000000003" customHeight="1" thickBot="1" x14ac:dyDescent="0.35">
      <c r="A109" s="753"/>
      <c r="B109" s="711"/>
      <c r="C109" s="711"/>
      <c r="D109" s="713"/>
      <c r="E109" s="291" t="s">
        <v>409</v>
      </c>
      <c r="F109" s="292">
        <v>0</v>
      </c>
      <c r="G109" s="292">
        <v>0</v>
      </c>
      <c r="H109" s="292">
        <v>0</v>
      </c>
      <c r="I109" s="292">
        <v>0</v>
      </c>
      <c r="J109" s="292">
        <v>0</v>
      </c>
      <c r="K109" s="292">
        <v>0</v>
      </c>
      <c r="L109" s="292">
        <v>0</v>
      </c>
      <c r="M109" s="292">
        <v>0.35</v>
      </c>
      <c r="N109" s="292">
        <v>0.69</v>
      </c>
      <c r="O109" s="292">
        <v>0.43</v>
      </c>
      <c r="P109" s="292">
        <v>0.37</v>
      </c>
      <c r="Q109" s="292">
        <v>0.43</v>
      </c>
      <c r="R109" s="292">
        <v>0.57999999999999996</v>
      </c>
      <c r="S109" s="292">
        <v>0.48</v>
      </c>
      <c r="T109" s="292">
        <v>0.37</v>
      </c>
      <c r="U109" s="292">
        <v>0.37</v>
      </c>
      <c r="V109" s="292">
        <v>0.46</v>
      </c>
      <c r="W109" s="292">
        <v>0.62</v>
      </c>
      <c r="X109" s="292">
        <v>0.2</v>
      </c>
      <c r="Y109" s="292">
        <v>0.12</v>
      </c>
      <c r="Z109" s="292">
        <v>0.04</v>
      </c>
      <c r="AA109" s="292">
        <v>0.04</v>
      </c>
      <c r="AB109" s="292">
        <v>0</v>
      </c>
      <c r="AC109" s="293">
        <v>0</v>
      </c>
    </row>
    <row r="110" spans="1:30" ht="24.6" customHeight="1" x14ac:dyDescent="0.3">
      <c r="A110" s="760"/>
      <c r="B110" s="685" t="s">
        <v>105</v>
      </c>
      <c r="C110" s="685" t="s">
        <v>764</v>
      </c>
      <c r="D110" s="683" t="s">
        <v>765</v>
      </c>
      <c r="E110" s="232" t="s">
        <v>407</v>
      </c>
      <c r="F110" s="285">
        <v>1</v>
      </c>
      <c r="G110" s="285">
        <v>1</v>
      </c>
      <c r="H110" s="285">
        <v>1</v>
      </c>
      <c r="I110" s="285">
        <v>1</v>
      </c>
      <c r="J110" s="285">
        <v>1</v>
      </c>
      <c r="K110" s="285">
        <v>1</v>
      </c>
      <c r="L110" s="285">
        <v>1</v>
      </c>
      <c r="M110" s="285">
        <v>1</v>
      </c>
      <c r="N110" s="285">
        <v>1</v>
      </c>
      <c r="O110" s="285">
        <v>1</v>
      </c>
      <c r="P110" s="285">
        <v>1</v>
      </c>
      <c r="Q110" s="285">
        <v>1</v>
      </c>
      <c r="R110" s="285">
        <v>1</v>
      </c>
      <c r="S110" s="285">
        <v>1</v>
      </c>
      <c r="T110" s="285">
        <v>1</v>
      </c>
      <c r="U110" s="285">
        <v>1</v>
      </c>
      <c r="V110" s="285">
        <v>1</v>
      </c>
      <c r="W110" s="285">
        <v>1</v>
      </c>
      <c r="X110" s="285">
        <v>1</v>
      </c>
      <c r="Y110" s="285">
        <v>1</v>
      </c>
      <c r="Z110" s="285">
        <v>1</v>
      </c>
      <c r="AA110" s="285">
        <v>1</v>
      </c>
      <c r="AB110" s="285">
        <v>1</v>
      </c>
      <c r="AC110" s="286">
        <v>1</v>
      </c>
    </row>
    <row r="111" spans="1:30" ht="24.6" customHeight="1" x14ac:dyDescent="0.3">
      <c r="A111" s="769"/>
      <c r="B111" s="676"/>
      <c r="C111" s="676"/>
      <c r="D111" s="683"/>
      <c r="E111" s="219" t="s">
        <v>408</v>
      </c>
      <c r="F111" s="269">
        <v>1</v>
      </c>
      <c r="G111" s="269">
        <v>1</v>
      </c>
      <c r="H111" s="269">
        <v>1</v>
      </c>
      <c r="I111" s="269">
        <v>1</v>
      </c>
      <c r="J111" s="269">
        <v>1</v>
      </c>
      <c r="K111" s="269">
        <v>1</v>
      </c>
      <c r="L111" s="269">
        <v>1</v>
      </c>
      <c r="M111" s="269">
        <v>1</v>
      </c>
      <c r="N111" s="269">
        <v>1</v>
      </c>
      <c r="O111" s="269">
        <v>1</v>
      </c>
      <c r="P111" s="269">
        <v>1</v>
      </c>
      <c r="Q111" s="269">
        <v>1</v>
      </c>
      <c r="R111" s="269">
        <v>1</v>
      </c>
      <c r="S111" s="269">
        <v>1</v>
      </c>
      <c r="T111" s="269">
        <v>1</v>
      </c>
      <c r="U111" s="269">
        <v>1</v>
      </c>
      <c r="V111" s="269">
        <v>1</v>
      </c>
      <c r="W111" s="269">
        <v>1</v>
      </c>
      <c r="X111" s="269">
        <v>1</v>
      </c>
      <c r="Y111" s="269">
        <v>1</v>
      </c>
      <c r="Z111" s="269">
        <v>1</v>
      </c>
      <c r="AA111" s="269">
        <v>1</v>
      </c>
      <c r="AB111" s="269">
        <v>1</v>
      </c>
      <c r="AC111" s="272">
        <v>1</v>
      </c>
    </row>
    <row r="112" spans="1:30" ht="24.6" customHeight="1" thickBot="1" x14ac:dyDescent="0.35">
      <c r="A112" s="771"/>
      <c r="B112" s="677"/>
      <c r="C112" s="677"/>
      <c r="D112" s="684"/>
      <c r="E112" s="231" t="s">
        <v>409</v>
      </c>
      <c r="F112" s="270">
        <v>1</v>
      </c>
      <c r="G112" s="270">
        <v>1</v>
      </c>
      <c r="H112" s="270">
        <v>1</v>
      </c>
      <c r="I112" s="270">
        <v>1</v>
      </c>
      <c r="J112" s="270">
        <v>1</v>
      </c>
      <c r="K112" s="270">
        <v>1</v>
      </c>
      <c r="L112" s="270">
        <v>1</v>
      </c>
      <c r="M112" s="270">
        <v>1</v>
      </c>
      <c r="N112" s="270">
        <v>1</v>
      </c>
      <c r="O112" s="270">
        <v>1</v>
      </c>
      <c r="P112" s="270">
        <v>1</v>
      </c>
      <c r="Q112" s="270">
        <v>1</v>
      </c>
      <c r="R112" s="270">
        <v>1</v>
      </c>
      <c r="S112" s="270">
        <v>1</v>
      </c>
      <c r="T112" s="270">
        <v>1</v>
      </c>
      <c r="U112" s="270">
        <v>1</v>
      </c>
      <c r="V112" s="270">
        <v>1</v>
      </c>
      <c r="W112" s="270">
        <v>1</v>
      </c>
      <c r="X112" s="270">
        <v>1</v>
      </c>
      <c r="Y112" s="270">
        <v>1</v>
      </c>
      <c r="Z112" s="270">
        <v>1</v>
      </c>
      <c r="AA112" s="270">
        <v>1</v>
      </c>
      <c r="AB112" s="270">
        <v>1</v>
      </c>
      <c r="AC112" s="273">
        <v>1</v>
      </c>
    </row>
    <row r="113" spans="1:29" ht="24.6" customHeight="1" x14ac:dyDescent="0.3">
      <c r="A113" s="762"/>
      <c r="B113" s="681" t="s">
        <v>105</v>
      </c>
      <c r="C113" s="681" t="s">
        <v>766</v>
      </c>
      <c r="D113" s="682" t="s">
        <v>767</v>
      </c>
      <c r="E113" s="229" t="s">
        <v>407</v>
      </c>
      <c r="F113" s="268">
        <v>0</v>
      </c>
      <c r="G113" s="268">
        <v>0</v>
      </c>
      <c r="H113" s="268">
        <v>0</v>
      </c>
      <c r="I113" s="268">
        <v>0</v>
      </c>
      <c r="J113" s="268">
        <v>0</v>
      </c>
      <c r="K113" s="268">
        <v>1</v>
      </c>
      <c r="L113" s="268">
        <v>1</v>
      </c>
      <c r="M113" s="268">
        <v>1</v>
      </c>
      <c r="N113" s="268">
        <v>1</v>
      </c>
      <c r="O113" s="268">
        <v>1</v>
      </c>
      <c r="P113" s="268">
        <v>1</v>
      </c>
      <c r="Q113" s="268">
        <v>1</v>
      </c>
      <c r="R113" s="268">
        <v>1</v>
      </c>
      <c r="S113" s="268">
        <v>1</v>
      </c>
      <c r="T113" s="268">
        <v>1</v>
      </c>
      <c r="U113" s="268">
        <v>1</v>
      </c>
      <c r="V113" s="268">
        <v>1</v>
      </c>
      <c r="W113" s="268">
        <v>1</v>
      </c>
      <c r="X113" s="268">
        <v>1</v>
      </c>
      <c r="Y113" s="268">
        <v>1</v>
      </c>
      <c r="Z113" s="268">
        <v>1</v>
      </c>
      <c r="AA113" s="268">
        <v>1</v>
      </c>
      <c r="AB113" s="268">
        <v>0</v>
      </c>
      <c r="AC113" s="271">
        <v>0</v>
      </c>
    </row>
    <row r="114" spans="1:29" ht="24.6" customHeight="1" x14ac:dyDescent="0.3">
      <c r="A114" s="769"/>
      <c r="B114" s="676"/>
      <c r="C114" s="676"/>
      <c r="D114" s="683"/>
      <c r="E114" s="219" t="s">
        <v>408</v>
      </c>
      <c r="F114" s="269">
        <v>0</v>
      </c>
      <c r="G114" s="269">
        <v>0</v>
      </c>
      <c r="H114" s="269">
        <v>0</v>
      </c>
      <c r="I114" s="269">
        <v>0</v>
      </c>
      <c r="J114" s="269">
        <v>0</v>
      </c>
      <c r="K114" s="269">
        <v>1</v>
      </c>
      <c r="L114" s="269">
        <v>1</v>
      </c>
      <c r="M114" s="269">
        <v>1</v>
      </c>
      <c r="N114" s="269">
        <v>1</v>
      </c>
      <c r="O114" s="269">
        <v>1</v>
      </c>
      <c r="P114" s="269">
        <v>1</v>
      </c>
      <c r="Q114" s="269">
        <v>1</v>
      </c>
      <c r="R114" s="269">
        <v>1</v>
      </c>
      <c r="S114" s="269">
        <v>1</v>
      </c>
      <c r="T114" s="269">
        <v>1</v>
      </c>
      <c r="U114" s="269">
        <v>1</v>
      </c>
      <c r="V114" s="269">
        <v>1</v>
      </c>
      <c r="W114" s="269">
        <v>1</v>
      </c>
      <c r="X114" s="269">
        <v>1</v>
      </c>
      <c r="Y114" s="269">
        <v>1</v>
      </c>
      <c r="Z114" s="269">
        <v>1</v>
      </c>
      <c r="AA114" s="269">
        <v>1</v>
      </c>
      <c r="AB114" s="269">
        <v>1</v>
      </c>
      <c r="AC114" s="272">
        <v>1</v>
      </c>
    </row>
    <row r="115" spans="1:29" ht="24.6" customHeight="1" thickBot="1" x14ac:dyDescent="0.35">
      <c r="A115" s="771"/>
      <c r="B115" s="677"/>
      <c r="C115" s="677"/>
      <c r="D115" s="684"/>
      <c r="E115" s="231" t="s">
        <v>409</v>
      </c>
      <c r="F115" s="270">
        <v>0</v>
      </c>
      <c r="G115" s="270">
        <v>0</v>
      </c>
      <c r="H115" s="270">
        <v>0</v>
      </c>
      <c r="I115" s="270">
        <v>0</v>
      </c>
      <c r="J115" s="270">
        <v>0</v>
      </c>
      <c r="K115" s="270">
        <v>1</v>
      </c>
      <c r="L115" s="270">
        <v>1</v>
      </c>
      <c r="M115" s="270">
        <v>1</v>
      </c>
      <c r="N115" s="270">
        <v>1</v>
      </c>
      <c r="O115" s="270">
        <v>1</v>
      </c>
      <c r="P115" s="270">
        <v>1</v>
      </c>
      <c r="Q115" s="270">
        <v>1</v>
      </c>
      <c r="R115" s="270">
        <v>1</v>
      </c>
      <c r="S115" s="270">
        <v>1</v>
      </c>
      <c r="T115" s="270">
        <v>1</v>
      </c>
      <c r="U115" s="270">
        <v>1</v>
      </c>
      <c r="V115" s="270">
        <v>1</v>
      </c>
      <c r="W115" s="270">
        <v>1</v>
      </c>
      <c r="X115" s="270">
        <v>1</v>
      </c>
      <c r="Y115" s="270">
        <v>1</v>
      </c>
      <c r="Z115" s="270">
        <v>1</v>
      </c>
      <c r="AA115" s="270">
        <v>1</v>
      </c>
      <c r="AB115" s="270">
        <v>1</v>
      </c>
      <c r="AC115" s="273">
        <v>1</v>
      </c>
    </row>
    <row r="116" spans="1:29" ht="22.95" customHeight="1" x14ac:dyDescent="0.3">
      <c r="A116" s="762" t="s">
        <v>768</v>
      </c>
      <c r="B116" s="681" t="s">
        <v>105</v>
      </c>
      <c r="C116" s="681" t="s">
        <v>769</v>
      </c>
      <c r="D116" s="688" t="s">
        <v>770</v>
      </c>
      <c r="E116" s="229" t="s">
        <v>407</v>
      </c>
      <c r="F116" s="268">
        <v>146.5</v>
      </c>
      <c r="G116" s="268">
        <v>146.5</v>
      </c>
      <c r="H116" s="268">
        <v>146.5</v>
      </c>
      <c r="I116" s="268">
        <v>146.5</v>
      </c>
      <c r="J116" s="268">
        <v>146.5</v>
      </c>
      <c r="K116" s="268">
        <v>146.5</v>
      </c>
      <c r="L116" s="268">
        <v>146.5</v>
      </c>
      <c r="M116" s="268">
        <v>146.5</v>
      </c>
      <c r="N116" s="268">
        <v>146.5</v>
      </c>
      <c r="O116" s="268">
        <v>146.5</v>
      </c>
      <c r="P116" s="268">
        <v>146.5</v>
      </c>
      <c r="Q116" s="268">
        <v>146.5</v>
      </c>
      <c r="R116" s="268">
        <v>146.5</v>
      </c>
      <c r="S116" s="268">
        <v>146.5</v>
      </c>
      <c r="T116" s="268">
        <v>146.5</v>
      </c>
      <c r="U116" s="268">
        <v>146.5</v>
      </c>
      <c r="V116" s="268">
        <v>146.5</v>
      </c>
      <c r="W116" s="268">
        <v>146.5</v>
      </c>
      <c r="X116" s="268">
        <v>146.5</v>
      </c>
      <c r="Y116" s="268">
        <v>146.5</v>
      </c>
      <c r="Z116" s="268">
        <v>146.5</v>
      </c>
      <c r="AA116" s="268">
        <v>146.5</v>
      </c>
      <c r="AB116" s="268">
        <v>146.5</v>
      </c>
      <c r="AC116" s="268">
        <v>146.5</v>
      </c>
    </row>
    <row r="117" spans="1:29" ht="22.95" customHeight="1" x14ac:dyDescent="0.3">
      <c r="A117" s="729"/>
      <c r="B117" s="676"/>
      <c r="C117" s="686"/>
      <c r="D117" s="689"/>
      <c r="E117" s="219" t="s">
        <v>408</v>
      </c>
      <c r="F117" s="269">
        <v>146.5</v>
      </c>
      <c r="G117" s="269">
        <v>146.5</v>
      </c>
      <c r="H117" s="269">
        <v>146.5</v>
      </c>
      <c r="I117" s="269">
        <v>146.5</v>
      </c>
      <c r="J117" s="269">
        <v>146.5</v>
      </c>
      <c r="K117" s="269">
        <v>146.5</v>
      </c>
      <c r="L117" s="269">
        <v>146.5</v>
      </c>
      <c r="M117" s="269">
        <v>146.5</v>
      </c>
      <c r="N117" s="269">
        <v>146.5</v>
      </c>
      <c r="O117" s="269">
        <v>146.5</v>
      </c>
      <c r="P117" s="269">
        <v>146.5</v>
      </c>
      <c r="Q117" s="269">
        <v>146.5</v>
      </c>
      <c r="R117" s="269">
        <v>146.5</v>
      </c>
      <c r="S117" s="269">
        <v>146.5</v>
      </c>
      <c r="T117" s="269">
        <v>146.5</v>
      </c>
      <c r="U117" s="269">
        <v>146.5</v>
      </c>
      <c r="V117" s="269">
        <v>146.5</v>
      </c>
      <c r="W117" s="269">
        <v>146.5</v>
      </c>
      <c r="X117" s="269">
        <v>146.5</v>
      </c>
      <c r="Y117" s="269">
        <v>146.5</v>
      </c>
      <c r="Z117" s="269">
        <v>146.5</v>
      </c>
      <c r="AA117" s="269">
        <v>146.5</v>
      </c>
      <c r="AB117" s="269">
        <v>146.5</v>
      </c>
      <c r="AC117" s="269">
        <v>146.5</v>
      </c>
    </row>
    <row r="118" spans="1:29" ht="22.95" customHeight="1" thickBot="1" x14ac:dyDescent="0.35">
      <c r="A118" s="761"/>
      <c r="B118" s="677"/>
      <c r="C118" s="687"/>
      <c r="D118" s="690"/>
      <c r="E118" s="231" t="s">
        <v>409</v>
      </c>
      <c r="F118" s="270">
        <v>146.5</v>
      </c>
      <c r="G118" s="270">
        <v>146.5</v>
      </c>
      <c r="H118" s="270">
        <v>146.5</v>
      </c>
      <c r="I118" s="270">
        <v>146.5</v>
      </c>
      <c r="J118" s="270">
        <v>146.5</v>
      </c>
      <c r="K118" s="270">
        <v>146.5</v>
      </c>
      <c r="L118" s="270">
        <v>146.5</v>
      </c>
      <c r="M118" s="270">
        <v>146.5</v>
      </c>
      <c r="N118" s="270">
        <v>146.5</v>
      </c>
      <c r="O118" s="270">
        <v>146.5</v>
      </c>
      <c r="P118" s="270">
        <v>146.5</v>
      </c>
      <c r="Q118" s="270">
        <v>146.5</v>
      </c>
      <c r="R118" s="270">
        <v>146.5</v>
      </c>
      <c r="S118" s="270">
        <v>146.5</v>
      </c>
      <c r="T118" s="270">
        <v>146.5</v>
      </c>
      <c r="U118" s="270">
        <v>146.5</v>
      </c>
      <c r="V118" s="270">
        <v>146.5</v>
      </c>
      <c r="W118" s="270">
        <v>146.5</v>
      </c>
      <c r="X118" s="270">
        <v>146.5</v>
      </c>
      <c r="Y118" s="270">
        <v>146.5</v>
      </c>
      <c r="Z118" s="270">
        <v>146.5</v>
      </c>
      <c r="AA118" s="270">
        <v>146.5</v>
      </c>
      <c r="AB118" s="270">
        <v>146.5</v>
      </c>
      <c r="AC118" s="270">
        <v>146.5</v>
      </c>
    </row>
    <row r="119" spans="1:29" ht="21.6" customHeight="1" x14ac:dyDescent="0.3">
      <c r="A119" s="762" t="s">
        <v>771</v>
      </c>
      <c r="B119" s="681" t="s">
        <v>105</v>
      </c>
      <c r="C119" s="681" t="s">
        <v>772</v>
      </c>
      <c r="D119" s="688" t="s">
        <v>770</v>
      </c>
      <c r="E119" s="229" t="s">
        <v>407</v>
      </c>
      <c r="F119" s="268">
        <v>117.2</v>
      </c>
      <c r="G119" s="268">
        <v>117.2</v>
      </c>
      <c r="H119" s="268">
        <v>117.2</v>
      </c>
      <c r="I119" s="268">
        <v>117.2</v>
      </c>
      <c r="J119" s="268">
        <v>117.2</v>
      </c>
      <c r="K119" s="268">
        <v>117.2</v>
      </c>
      <c r="L119" s="268">
        <v>117.2</v>
      </c>
      <c r="M119" s="268">
        <v>117.2</v>
      </c>
      <c r="N119" s="268">
        <v>117.2</v>
      </c>
      <c r="O119" s="268">
        <v>117.2</v>
      </c>
      <c r="P119" s="268">
        <v>117.2</v>
      </c>
      <c r="Q119" s="268">
        <v>117.2</v>
      </c>
      <c r="R119" s="268">
        <v>117.2</v>
      </c>
      <c r="S119" s="268">
        <v>117.2</v>
      </c>
      <c r="T119" s="268">
        <v>117.2</v>
      </c>
      <c r="U119" s="268">
        <v>117.2</v>
      </c>
      <c r="V119" s="268">
        <v>117.2</v>
      </c>
      <c r="W119" s="268">
        <v>117.2</v>
      </c>
      <c r="X119" s="268">
        <v>117.2</v>
      </c>
      <c r="Y119" s="268">
        <v>117.2</v>
      </c>
      <c r="Z119" s="268">
        <v>117.2</v>
      </c>
      <c r="AA119" s="268">
        <v>117.2</v>
      </c>
      <c r="AB119" s="268">
        <v>117.2</v>
      </c>
      <c r="AC119" s="271">
        <v>117.2</v>
      </c>
    </row>
    <row r="120" spans="1:29" ht="21.6" customHeight="1" x14ac:dyDescent="0.3">
      <c r="A120" s="729"/>
      <c r="B120" s="676"/>
      <c r="C120" s="686"/>
      <c r="D120" s="689"/>
      <c r="E120" s="219" t="s">
        <v>408</v>
      </c>
      <c r="F120" s="269">
        <v>117.2</v>
      </c>
      <c r="G120" s="269">
        <v>117.2</v>
      </c>
      <c r="H120" s="269">
        <v>117.2</v>
      </c>
      <c r="I120" s="269">
        <v>117.2</v>
      </c>
      <c r="J120" s="269">
        <v>117.2</v>
      </c>
      <c r="K120" s="269">
        <v>117.2</v>
      </c>
      <c r="L120" s="269">
        <v>117.2</v>
      </c>
      <c r="M120" s="269">
        <v>117.2</v>
      </c>
      <c r="N120" s="269">
        <v>117.2</v>
      </c>
      <c r="O120" s="269">
        <v>117.2</v>
      </c>
      <c r="P120" s="269">
        <v>117.2</v>
      </c>
      <c r="Q120" s="269">
        <v>117.2</v>
      </c>
      <c r="R120" s="269">
        <v>117.2</v>
      </c>
      <c r="S120" s="269">
        <v>117.2</v>
      </c>
      <c r="T120" s="269">
        <v>117.2</v>
      </c>
      <c r="U120" s="269">
        <v>117.2</v>
      </c>
      <c r="V120" s="269">
        <v>117.2</v>
      </c>
      <c r="W120" s="269">
        <v>117.2</v>
      </c>
      <c r="X120" s="269">
        <v>117.2</v>
      </c>
      <c r="Y120" s="269">
        <v>117.2</v>
      </c>
      <c r="Z120" s="269">
        <v>117.2</v>
      </c>
      <c r="AA120" s="269">
        <v>117.2</v>
      </c>
      <c r="AB120" s="269">
        <v>117.2</v>
      </c>
      <c r="AC120" s="272">
        <v>117.2</v>
      </c>
    </row>
    <row r="121" spans="1:29" ht="21.6" customHeight="1" thickBot="1" x14ac:dyDescent="0.35">
      <c r="A121" s="761"/>
      <c r="B121" s="677"/>
      <c r="C121" s="687"/>
      <c r="D121" s="690"/>
      <c r="E121" s="231" t="s">
        <v>409</v>
      </c>
      <c r="F121" s="270">
        <v>117.2</v>
      </c>
      <c r="G121" s="270">
        <v>117.2</v>
      </c>
      <c r="H121" s="270">
        <v>117.2</v>
      </c>
      <c r="I121" s="270">
        <v>117.2</v>
      </c>
      <c r="J121" s="270">
        <v>117.2</v>
      </c>
      <c r="K121" s="270">
        <v>117.2</v>
      </c>
      <c r="L121" s="270">
        <v>117.2</v>
      </c>
      <c r="M121" s="270">
        <v>117.2</v>
      </c>
      <c r="N121" s="270">
        <v>117.2</v>
      </c>
      <c r="O121" s="270">
        <v>117.2</v>
      </c>
      <c r="P121" s="270">
        <v>117.2</v>
      </c>
      <c r="Q121" s="270">
        <v>117.2</v>
      </c>
      <c r="R121" s="270">
        <v>117.2</v>
      </c>
      <c r="S121" s="270">
        <v>117.2</v>
      </c>
      <c r="T121" s="270">
        <v>117.2</v>
      </c>
      <c r="U121" s="270">
        <v>117.2</v>
      </c>
      <c r="V121" s="270">
        <v>117.2</v>
      </c>
      <c r="W121" s="270">
        <v>117.2</v>
      </c>
      <c r="X121" s="270">
        <v>117.2</v>
      </c>
      <c r="Y121" s="270">
        <v>117.2</v>
      </c>
      <c r="Z121" s="270">
        <v>117.2</v>
      </c>
      <c r="AA121" s="270">
        <v>117.2</v>
      </c>
      <c r="AB121" s="270">
        <v>117.2</v>
      </c>
      <c r="AC121" s="273">
        <v>117.2</v>
      </c>
    </row>
    <row r="122" spans="1:29" ht="21.6" customHeight="1" x14ac:dyDescent="0.3">
      <c r="A122" s="762" t="s">
        <v>773</v>
      </c>
      <c r="B122" s="681" t="s">
        <v>105</v>
      </c>
      <c r="C122" s="681" t="s">
        <v>774</v>
      </c>
      <c r="D122" s="682" t="s">
        <v>770</v>
      </c>
      <c r="E122" s="229" t="s">
        <v>407</v>
      </c>
      <c r="F122" s="268">
        <v>131.9</v>
      </c>
      <c r="G122" s="268">
        <v>131.9</v>
      </c>
      <c r="H122" s="268">
        <v>131.9</v>
      </c>
      <c r="I122" s="268">
        <v>131.9</v>
      </c>
      <c r="J122" s="268">
        <v>131.9</v>
      </c>
      <c r="K122" s="268">
        <v>131.9</v>
      </c>
      <c r="L122" s="268">
        <v>131.9</v>
      </c>
      <c r="M122" s="268">
        <v>131.9</v>
      </c>
      <c r="N122" s="268">
        <v>131.9</v>
      </c>
      <c r="O122" s="268">
        <v>131.9</v>
      </c>
      <c r="P122" s="268">
        <v>131.9</v>
      </c>
      <c r="Q122" s="268">
        <v>131.9</v>
      </c>
      <c r="R122" s="268">
        <v>131.9</v>
      </c>
      <c r="S122" s="268">
        <v>131.9</v>
      </c>
      <c r="T122" s="268">
        <v>131.9</v>
      </c>
      <c r="U122" s="268">
        <v>131.9</v>
      </c>
      <c r="V122" s="268">
        <v>131.9</v>
      </c>
      <c r="W122" s="268">
        <v>131.9</v>
      </c>
      <c r="X122" s="268">
        <v>131.9</v>
      </c>
      <c r="Y122" s="268">
        <v>131.9</v>
      </c>
      <c r="Z122" s="268">
        <v>131.9</v>
      </c>
      <c r="AA122" s="268">
        <v>131.9</v>
      </c>
      <c r="AB122" s="268">
        <v>131.9</v>
      </c>
      <c r="AC122" s="271">
        <v>131.9</v>
      </c>
    </row>
    <row r="123" spans="1:29" ht="21.6" customHeight="1" x14ac:dyDescent="0.3">
      <c r="A123" s="769"/>
      <c r="B123" s="676"/>
      <c r="C123" s="676"/>
      <c r="D123" s="683"/>
      <c r="E123" s="219" t="s">
        <v>408</v>
      </c>
      <c r="F123" s="269">
        <v>131.9</v>
      </c>
      <c r="G123" s="269">
        <v>131.9</v>
      </c>
      <c r="H123" s="269">
        <v>131.9</v>
      </c>
      <c r="I123" s="269">
        <v>131.9</v>
      </c>
      <c r="J123" s="269">
        <v>131.9</v>
      </c>
      <c r="K123" s="269">
        <v>131.9</v>
      </c>
      <c r="L123" s="269">
        <v>131.9</v>
      </c>
      <c r="M123" s="269">
        <v>131.9</v>
      </c>
      <c r="N123" s="269">
        <v>131.9</v>
      </c>
      <c r="O123" s="269">
        <v>131.9</v>
      </c>
      <c r="P123" s="269">
        <v>131.9</v>
      </c>
      <c r="Q123" s="269">
        <v>131.9</v>
      </c>
      <c r="R123" s="269">
        <v>131.9</v>
      </c>
      <c r="S123" s="269">
        <v>131.9</v>
      </c>
      <c r="T123" s="269">
        <v>131.9</v>
      </c>
      <c r="U123" s="269">
        <v>131.9</v>
      </c>
      <c r="V123" s="269">
        <v>131.9</v>
      </c>
      <c r="W123" s="269">
        <v>131.9</v>
      </c>
      <c r="X123" s="269">
        <v>131.9</v>
      </c>
      <c r="Y123" s="269">
        <v>131.9</v>
      </c>
      <c r="Z123" s="269">
        <v>131.9</v>
      </c>
      <c r="AA123" s="269">
        <v>131.9</v>
      </c>
      <c r="AB123" s="269">
        <v>131.9</v>
      </c>
      <c r="AC123" s="272">
        <v>131.9</v>
      </c>
    </row>
    <row r="124" spans="1:29" ht="21.6" customHeight="1" thickBot="1" x14ac:dyDescent="0.35">
      <c r="A124" s="770"/>
      <c r="B124" s="677"/>
      <c r="C124" s="691"/>
      <c r="D124" s="692"/>
      <c r="E124" s="231" t="s">
        <v>409</v>
      </c>
      <c r="F124" s="270">
        <v>131.9</v>
      </c>
      <c r="G124" s="270">
        <v>131.9</v>
      </c>
      <c r="H124" s="270">
        <v>131.9</v>
      </c>
      <c r="I124" s="270">
        <v>131.9</v>
      </c>
      <c r="J124" s="270">
        <v>131.9</v>
      </c>
      <c r="K124" s="270">
        <v>131.9</v>
      </c>
      <c r="L124" s="270">
        <v>131.9</v>
      </c>
      <c r="M124" s="270">
        <v>131.9</v>
      </c>
      <c r="N124" s="270">
        <v>131.9</v>
      </c>
      <c r="O124" s="270">
        <v>131.9</v>
      </c>
      <c r="P124" s="270">
        <v>131.9</v>
      </c>
      <c r="Q124" s="270">
        <v>131.9</v>
      </c>
      <c r="R124" s="270">
        <v>131.9</v>
      </c>
      <c r="S124" s="270">
        <v>131.9</v>
      </c>
      <c r="T124" s="270">
        <v>131.9</v>
      </c>
      <c r="U124" s="270">
        <v>131.9</v>
      </c>
      <c r="V124" s="270">
        <v>131.9</v>
      </c>
      <c r="W124" s="270">
        <v>131.9</v>
      </c>
      <c r="X124" s="270">
        <v>131.9</v>
      </c>
      <c r="Y124" s="270">
        <v>131.9</v>
      </c>
      <c r="Z124" s="270">
        <v>131.9</v>
      </c>
      <c r="AA124" s="270">
        <v>131.9</v>
      </c>
      <c r="AB124" s="270">
        <v>131.9</v>
      </c>
      <c r="AC124" s="273">
        <v>131.9</v>
      </c>
    </row>
    <row r="125" spans="1:29" ht="18.600000000000001" customHeight="1" thickBot="1" x14ac:dyDescent="0.35">
      <c r="A125" s="814" t="s">
        <v>925</v>
      </c>
      <c r="B125" s="815"/>
      <c r="C125" s="815"/>
      <c r="D125" s="815"/>
      <c r="E125" s="815"/>
      <c r="F125" s="815"/>
      <c r="G125" s="815"/>
      <c r="H125" s="815"/>
      <c r="I125" s="815"/>
      <c r="J125" s="815"/>
      <c r="K125" s="815"/>
      <c r="L125" s="815"/>
      <c r="M125" s="815"/>
      <c r="N125" s="815"/>
      <c r="O125" s="815"/>
      <c r="P125" s="815"/>
      <c r="Q125" s="815"/>
      <c r="R125" s="815"/>
      <c r="S125" s="815"/>
      <c r="T125" s="815"/>
      <c r="U125" s="815"/>
      <c r="V125" s="815"/>
      <c r="W125" s="815"/>
      <c r="X125" s="815"/>
      <c r="Y125" s="815"/>
      <c r="Z125" s="815"/>
      <c r="AA125" s="815"/>
      <c r="AB125" s="815"/>
      <c r="AC125" s="816"/>
    </row>
    <row r="126" spans="1:29" ht="18.600000000000001" customHeight="1" x14ac:dyDescent="0.3">
      <c r="A126" s="817" t="s">
        <v>926</v>
      </c>
      <c r="B126" s="818" t="s">
        <v>925</v>
      </c>
      <c r="C126" s="818" t="s">
        <v>746</v>
      </c>
      <c r="D126" s="819" t="s">
        <v>388</v>
      </c>
      <c r="E126" s="820" t="s">
        <v>407</v>
      </c>
      <c r="F126" s="821">
        <v>0</v>
      </c>
      <c r="G126" s="821">
        <v>0</v>
      </c>
      <c r="H126" s="821">
        <v>0</v>
      </c>
      <c r="I126" s="821">
        <v>0</v>
      </c>
      <c r="J126" s="821">
        <v>0</v>
      </c>
      <c r="K126" s="821">
        <v>0</v>
      </c>
      <c r="L126" s="821">
        <v>0</v>
      </c>
      <c r="M126" s="821">
        <v>0</v>
      </c>
      <c r="N126" s="821">
        <v>0.2</v>
      </c>
      <c r="O126" s="821">
        <v>0.2</v>
      </c>
      <c r="P126" s="821">
        <v>0.2</v>
      </c>
      <c r="Q126" s="821">
        <v>0.8</v>
      </c>
      <c r="R126" s="821">
        <v>0.8</v>
      </c>
      <c r="S126" s="821">
        <v>0.8</v>
      </c>
      <c r="T126" s="821">
        <v>0.8</v>
      </c>
      <c r="U126" s="821">
        <v>0.8</v>
      </c>
      <c r="V126" s="821">
        <v>0.8</v>
      </c>
      <c r="W126" s="821">
        <v>0.8</v>
      </c>
      <c r="X126" s="821">
        <v>0.2</v>
      </c>
      <c r="Y126" s="821">
        <v>0.2</v>
      </c>
      <c r="Z126" s="821">
        <v>0.2</v>
      </c>
      <c r="AA126" s="821">
        <v>0.2</v>
      </c>
      <c r="AB126" s="821">
        <v>0.1</v>
      </c>
      <c r="AC126" s="822">
        <v>0</v>
      </c>
    </row>
    <row r="127" spans="1:29" ht="18.600000000000001" customHeight="1" x14ac:dyDescent="0.3">
      <c r="A127" s="823"/>
      <c r="B127" s="824"/>
      <c r="C127" s="824"/>
      <c r="D127" s="825"/>
      <c r="E127" s="826" t="s">
        <v>408</v>
      </c>
      <c r="F127" s="827">
        <v>0</v>
      </c>
      <c r="G127" s="827">
        <v>0</v>
      </c>
      <c r="H127" s="827">
        <v>0</v>
      </c>
      <c r="I127" s="827">
        <v>0</v>
      </c>
      <c r="J127" s="827">
        <v>0</v>
      </c>
      <c r="K127" s="827">
        <v>0</v>
      </c>
      <c r="L127" s="827">
        <v>0</v>
      </c>
      <c r="M127" s="827">
        <v>0</v>
      </c>
      <c r="N127" s="827">
        <v>0.2</v>
      </c>
      <c r="O127" s="827">
        <v>0.2</v>
      </c>
      <c r="P127" s="827">
        <v>0.2</v>
      </c>
      <c r="Q127" s="827">
        <v>0.6</v>
      </c>
      <c r="R127" s="827">
        <v>0.6</v>
      </c>
      <c r="S127" s="827">
        <v>0.6</v>
      </c>
      <c r="T127" s="827">
        <v>0.6</v>
      </c>
      <c r="U127" s="827">
        <v>0.6</v>
      </c>
      <c r="V127" s="827">
        <v>0.6</v>
      </c>
      <c r="W127" s="827">
        <v>0.6</v>
      </c>
      <c r="X127" s="827">
        <v>0.6</v>
      </c>
      <c r="Y127" s="827">
        <v>0.6</v>
      </c>
      <c r="Z127" s="827">
        <v>0.6</v>
      </c>
      <c r="AA127" s="827">
        <v>0.8</v>
      </c>
      <c r="AB127" s="827">
        <v>0.1</v>
      </c>
      <c r="AC127" s="828">
        <v>0</v>
      </c>
    </row>
    <row r="128" spans="1:29" ht="18.600000000000001" customHeight="1" thickBot="1" x14ac:dyDescent="0.35">
      <c r="A128" s="829"/>
      <c r="B128" s="830"/>
      <c r="C128" s="830"/>
      <c r="D128" s="831"/>
      <c r="E128" s="832" t="s">
        <v>409</v>
      </c>
      <c r="F128" s="833">
        <v>0</v>
      </c>
      <c r="G128" s="833">
        <v>0</v>
      </c>
      <c r="H128" s="833">
        <v>0</v>
      </c>
      <c r="I128" s="833">
        <v>0</v>
      </c>
      <c r="J128" s="833">
        <v>0</v>
      </c>
      <c r="K128" s="833">
        <v>0</v>
      </c>
      <c r="L128" s="833">
        <v>0</v>
      </c>
      <c r="M128" s="833">
        <v>0</v>
      </c>
      <c r="N128" s="833">
        <v>0.1</v>
      </c>
      <c r="O128" s="833">
        <v>0.1</v>
      </c>
      <c r="P128" s="833">
        <v>0.1</v>
      </c>
      <c r="Q128" s="833">
        <v>0.1</v>
      </c>
      <c r="R128" s="833">
        <v>0.1</v>
      </c>
      <c r="S128" s="833">
        <v>0.7</v>
      </c>
      <c r="T128" s="833">
        <v>0.7</v>
      </c>
      <c r="U128" s="833">
        <v>0.7</v>
      </c>
      <c r="V128" s="833">
        <v>0.7</v>
      </c>
      <c r="W128" s="833">
        <v>0.7</v>
      </c>
      <c r="X128" s="833">
        <v>0.7</v>
      </c>
      <c r="Y128" s="833">
        <v>0.7</v>
      </c>
      <c r="Z128" s="833">
        <v>0.7</v>
      </c>
      <c r="AA128" s="833">
        <v>0.7</v>
      </c>
      <c r="AB128" s="833">
        <v>0.2</v>
      </c>
      <c r="AC128" s="834">
        <v>0</v>
      </c>
    </row>
    <row r="129" spans="1:29" ht="18.600000000000001" customHeight="1" x14ac:dyDescent="0.3">
      <c r="A129" s="817" t="s">
        <v>926</v>
      </c>
      <c r="B129" s="835" t="str">
        <f>B126</f>
        <v>AncillaryAssembly</v>
      </c>
      <c r="C129" s="836" t="s">
        <v>748</v>
      </c>
      <c r="D129" s="837" t="str">
        <f>D126</f>
        <v>T24 2022 - Appendix 5.4B, [Assembly]</v>
      </c>
      <c r="E129" s="838" t="s">
        <v>407</v>
      </c>
      <c r="F129" s="839">
        <v>0.05</v>
      </c>
      <c r="G129" s="839">
        <v>0.05</v>
      </c>
      <c r="H129" s="839">
        <v>0.05</v>
      </c>
      <c r="I129" s="839">
        <v>0.05</v>
      </c>
      <c r="J129" s="839">
        <v>0.05</v>
      </c>
      <c r="K129" s="839">
        <v>0.05</v>
      </c>
      <c r="L129" s="839">
        <v>0.35</v>
      </c>
      <c r="M129" s="839">
        <v>0.35</v>
      </c>
      <c r="N129" s="839">
        <v>0.35</v>
      </c>
      <c r="O129" s="839">
        <v>0.65</v>
      </c>
      <c r="P129" s="839">
        <v>0.65</v>
      </c>
      <c r="Q129" s="839">
        <v>0.65</v>
      </c>
      <c r="R129" s="839">
        <v>0.65</v>
      </c>
      <c r="S129" s="839">
        <v>0.65</v>
      </c>
      <c r="T129" s="839">
        <v>0.65</v>
      </c>
      <c r="U129" s="839">
        <v>0.65</v>
      </c>
      <c r="V129" s="839">
        <v>0.65</v>
      </c>
      <c r="W129" s="839">
        <v>0.65</v>
      </c>
      <c r="X129" s="839">
        <v>0.65</v>
      </c>
      <c r="Y129" s="839">
        <v>0.65</v>
      </c>
      <c r="Z129" s="839">
        <v>0.65</v>
      </c>
      <c r="AA129" s="839">
        <v>0.65</v>
      </c>
      <c r="AB129" s="839">
        <v>0.25</v>
      </c>
      <c r="AC129" s="840">
        <v>0.05</v>
      </c>
    </row>
    <row r="130" spans="1:29" ht="18.600000000000001" customHeight="1" x14ac:dyDescent="0.3">
      <c r="A130" s="823"/>
      <c r="B130" s="841"/>
      <c r="C130" s="824"/>
      <c r="D130" s="825"/>
      <c r="E130" s="826" t="s">
        <v>408</v>
      </c>
      <c r="F130" s="827">
        <v>0.05</v>
      </c>
      <c r="G130" s="827">
        <v>0.05</v>
      </c>
      <c r="H130" s="827">
        <v>0.05</v>
      </c>
      <c r="I130" s="827">
        <v>0.05</v>
      </c>
      <c r="J130" s="827">
        <v>0.05</v>
      </c>
      <c r="K130" s="827">
        <v>0.05</v>
      </c>
      <c r="L130" s="827">
        <v>0.05</v>
      </c>
      <c r="M130" s="827">
        <v>0.3</v>
      </c>
      <c r="N130" s="827">
        <v>0.3</v>
      </c>
      <c r="O130" s="827">
        <v>0.4</v>
      </c>
      <c r="P130" s="827">
        <v>0.4</v>
      </c>
      <c r="Q130" s="827">
        <v>0.4</v>
      </c>
      <c r="R130" s="827">
        <v>0.4</v>
      </c>
      <c r="S130" s="827">
        <v>0.4</v>
      </c>
      <c r="T130" s="827">
        <v>0.4</v>
      </c>
      <c r="U130" s="827">
        <v>0.4</v>
      </c>
      <c r="V130" s="827">
        <v>0.4</v>
      </c>
      <c r="W130" s="827">
        <v>0.4</v>
      </c>
      <c r="X130" s="827">
        <v>0.4</v>
      </c>
      <c r="Y130" s="827">
        <v>0.4</v>
      </c>
      <c r="Z130" s="827">
        <v>0.4</v>
      </c>
      <c r="AA130" s="827">
        <v>0.4</v>
      </c>
      <c r="AB130" s="827">
        <v>0.4</v>
      </c>
      <c r="AC130" s="842">
        <v>0.05</v>
      </c>
    </row>
    <row r="131" spans="1:29" ht="18.600000000000001" customHeight="1" thickBot="1" x14ac:dyDescent="0.35">
      <c r="A131" s="829"/>
      <c r="B131" s="843"/>
      <c r="C131" s="844"/>
      <c r="D131" s="845"/>
      <c r="E131" s="846" t="s">
        <v>409</v>
      </c>
      <c r="F131" s="847">
        <v>0.05</v>
      </c>
      <c r="G131" s="847">
        <v>0.05</v>
      </c>
      <c r="H131" s="847">
        <v>0.05</v>
      </c>
      <c r="I131" s="847">
        <v>0.05</v>
      </c>
      <c r="J131" s="847">
        <v>0.05</v>
      </c>
      <c r="K131" s="847">
        <v>0.05</v>
      </c>
      <c r="L131" s="847">
        <v>0.05</v>
      </c>
      <c r="M131" s="847">
        <v>0.3</v>
      </c>
      <c r="N131" s="847">
        <v>0.3</v>
      </c>
      <c r="O131" s="847">
        <v>0.3</v>
      </c>
      <c r="P131" s="847">
        <v>0.3</v>
      </c>
      <c r="Q131" s="847">
        <v>0.3</v>
      </c>
      <c r="R131" s="847">
        <v>0.55000000000000004</v>
      </c>
      <c r="S131" s="847">
        <v>0.55000000000000004</v>
      </c>
      <c r="T131" s="847">
        <v>0.55000000000000004</v>
      </c>
      <c r="U131" s="847">
        <v>0.55000000000000004</v>
      </c>
      <c r="V131" s="847">
        <v>0.55000000000000004</v>
      </c>
      <c r="W131" s="847">
        <v>0.55000000000000004</v>
      </c>
      <c r="X131" s="847">
        <v>0.55000000000000004</v>
      </c>
      <c r="Y131" s="847">
        <v>0.55000000000000004</v>
      </c>
      <c r="Z131" s="847">
        <v>0.55000000000000004</v>
      </c>
      <c r="AA131" s="847">
        <v>0.55000000000000004</v>
      </c>
      <c r="AB131" s="847">
        <v>0.05</v>
      </c>
      <c r="AC131" s="848">
        <v>0.05</v>
      </c>
    </row>
    <row r="132" spans="1:29" ht="18.600000000000001" customHeight="1" x14ac:dyDescent="0.3">
      <c r="A132" s="817" t="s">
        <v>926</v>
      </c>
      <c r="B132" s="849" t="str">
        <f>B129</f>
        <v>AncillaryAssembly</v>
      </c>
      <c r="C132" s="850" t="s">
        <v>750</v>
      </c>
      <c r="D132" s="837" t="str">
        <f>D129</f>
        <v>T24 2022 - Appendix 5.4B, [Assembly]</v>
      </c>
      <c r="E132" s="851" t="s">
        <v>407</v>
      </c>
      <c r="F132" s="852">
        <v>0.05</v>
      </c>
      <c r="G132" s="852">
        <v>0.05</v>
      </c>
      <c r="H132" s="852">
        <v>0.05</v>
      </c>
      <c r="I132" s="852">
        <v>0.05</v>
      </c>
      <c r="J132" s="852">
        <v>0.05</v>
      </c>
      <c r="K132" s="852">
        <v>0.05</v>
      </c>
      <c r="L132" s="852">
        <v>0.4</v>
      </c>
      <c r="M132" s="852">
        <v>0.4</v>
      </c>
      <c r="N132" s="852">
        <v>0.4</v>
      </c>
      <c r="O132" s="852">
        <v>0.75</v>
      </c>
      <c r="P132" s="852">
        <v>0.75</v>
      </c>
      <c r="Q132" s="852">
        <v>0.75</v>
      </c>
      <c r="R132" s="852">
        <v>0.75</v>
      </c>
      <c r="S132" s="852">
        <v>0.75</v>
      </c>
      <c r="T132" s="852">
        <v>0.75</v>
      </c>
      <c r="U132" s="852">
        <v>0.75</v>
      </c>
      <c r="V132" s="852">
        <v>0.75</v>
      </c>
      <c r="W132" s="852">
        <v>0.75</v>
      </c>
      <c r="X132" s="852">
        <v>0.75</v>
      </c>
      <c r="Y132" s="852">
        <v>0.75</v>
      </c>
      <c r="Z132" s="852">
        <v>0.75</v>
      </c>
      <c r="AA132" s="852">
        <v>0.75</v>
      </c>
      <c r="AB132" s="852">
        <v>0.25</v>
      </c>
      <c r="AC132" s="853">
        <v>0.05</v>
      </c>
    </row>
    <row r="133" spans="1:29" ht="18.600000000000001" customHeight="1" x14ac:dyDescent="0.3">
      <c r="A133" s="823"/>
      <c r="B133" s="841"/>
      <c r="C133" s="854"/>
      <c r="D133" s="825"/>
      <c r="E133" s="826" t="s">
        <v>408</v>
      </c>
      <c r="F133" s="827">
        <v>0.05</v>
      </c>
      <c r="G133" s="827">
        <v>0.05</v>
      </c>
      <c r="H133" s="827">
        <v>0.05</v>
      </c>
      <c r="I133" s="827">
        <v>0.05</v>
      </c>
      <c r="J133" s="827">
        <v>0.05</v>
      </c>
      <c r="K133" s="827">
        <v>0.05</v>
      </c>
      <c r="L133" s="827">
        <v>0.05</v>
      </c>
      <c r="M133" s="827">
        <v>0.3</v>
      </c>
      <c r="N133" s="827">
        <v>0.3</v>
      </c>
      <c r="O133" s="827">
        <v>0.5</v>
      </c>
      <c r="P133" s="827">
        <v>0.5</v>
      </c>
      <c r="Q133" s="827">
        <v>0.5</v>
      </c>
      <c r="R133" s="827">
        <v>0.5</v>
      </c>
      <c r="S133" s="827">
        <v>0.5</v>
      </c>
      <c r="T133" s="827">
        <v>0.5</v>
      </c>
      <c r="U133" s="827">
        <v>0.5</v>
      </c>
      <c r="V133" s="827">
        <v>0.5</v>
      </c>
      <c r="W133" s="827">
        <v>0.5</v>
      </c>
      <c r="X133" s="827">
        <v>0.5</v>
      </c>
      <c r="Y133" s="827">
        <v>0.5</v>
      </c>
      <c r="Z133" s="827">
        <v>0.5</v>
      </c>
      <c r="AA133" s="827">
        <v>0.5</v>
      </c>
      <c r="AB133" s="827">
        <v>0.5</v>
      </c>
      <c r="AC133" s="842">
        <v>0.05</v>
      </c>
    </row>
    <row r="134" spans="1:29" ht="18.600000000000001" customHeight="1" thickBot="1" x14ac:dyDescent="0.35">
      <c r="A134" s="829"/>
      <c r="B134" s="843"/>
      <c r="C134" s="855"/>
      <c r="D134" s="845"/>
      <c r="E134" s="856" t="s">
        <v>409</v>
      </c>
      <c r="F134" s="857">
        <v>0.05</v>
      </c>
      <c r="G134" s="857">
        <v>0.05</v>
      </c>
      <c r="H134" s="857">
        <v>0.05</v>
      </c>
      <c r="I134" s="857">
        <v>0.05</v>
      </c>
      <c r="J134" s="857">
        <v>0.05</v>
      </c>
      <c r="K134" s="857">
        <v>0.05</v>
      </c>
      <c r="L134" s="857">
        <v>0.05</v>
      </c>
      <c r="M134" s="857">
        <v>0.3</v>
      </c>
      <c r="N134" s="857">
        <v>0.3</v>
      </c>
      <c r="O134" s="857">
        <v>0.3</v>
      </c>
      <c r="P134" s="857">
        <v>0.3</v>
      </c>
      <c r="Q134" s="857">
        <v>0.3</v>
      </c>
      <c r="R134" s="857">
        <v>0.65</v>
      </c>
      <c r="S134" s="857">
        <v>0.65</v>
      </c>
      <c r="T134" s="857">
        <v>0.65</v>
      </c>
      <c r="U134" s="857">
        <v>0.65</v>
      </c>
      <c r="V134" s="857">
        <v>0.65</v>
      </c>
      <c r="W134" s="857">
        <v>0.65</v>
      </c>
      <c r="X134" s="857">
        <v>0.65</v>
      </c>
      <c r="Y134" s="857">
        <v>0.65</v>
      </c>
      <c r="Z134" s="857">
        <v>0.65</v>
      </c>
      <c r="AA134" s="857">
        <v>0.65</v>
      </c>
      <c r="AB134" s="857">
        <v>0.05</v>
      </c>
      <c r="AC134" s="858">
        <v>0.05</v>
      </c>
    </row>
    <row r="135" spans="1:29" ht="18.600000000000001" customHeight="1" x14ac:dyDescent="0.3">
      <c r="A135" s="817" t="s">
        <v>926</v>
      </c>
      <c r="B135" s="859" t="str">
        <f>B132</f>
        <v>AncillaryAssembly</v>
      </c>
      <c r="C135" s="850" t="s">
        <v>751</v>
      </c>
      <c r="D135" s="837" t="str">
        <f>D132</f>
        <v>T24 2022 - Appendix 5.4B, [Assembly]</v>
      </c>
      <c r="E135" s="851" t="s">
        <v>407</v>
      </c>
      <c r="F135" s="852">
        <v>0</v>
      </c>
      <c r="G135" s="852">
        <v>0</v>
      </c>
      <c r="H135" s="852">
        <v>0</v>
      </c>
      <c r="I135" s="852">
        <v>0</v>
      </c>
      <c r="J135" s="852">
        <v>0</v>
      </c>
      <c r="K135" s="852">
        <v>0</v>
      </c>
      <c r="L135" s="852">
        <v>0</v>
      </c>
      <c r="M135" s="852">
        <v>1</v>
      </c>
      <c r="N135" s="852">
        <v>1</v>
      </c>
      <c r="O135" s="852">
        <v>1</v>
      </c>
      <c r="P135" s="852">
        <v>1</v>
      </c>
      <c r="Q135" s="852">
        <v>1</v>
      </c>
      <c r="R135" s="852">
        <v>1</v>
      </c>
      <c r="S135" s="852">
        <v>1</v>
      </c>
      <c r="T135" s="852">
        <v>1</v>
      </c>
      <c r="U135" s="852">
        <v>1</v>
      </c>
      <c r="V135" s="852">
        <v>1</v>
      </c>
      <c r="W135" s="852">
        <v>1</v>
      </c>
      <c r="X135" s="852">
        <v>1</v>
      </c>
      <c r="Y135" s="852">
        <v>1</v>
      </c>
      <c r="Z135" s="852">
        <v>1</v>
      </c>
      <c r="AA135" s="852">
        <v>1</v>
      </c>
      <c r="AB135" s="852">
        <v>1</v>
      </c>
      <c r="AC135" s="853">
        <v>0</v>
      </c>
    </row>
    <row r="136" spans="1:29" ht="18.600000000000001" customHeight="1" x14ac:dyDescent="0.3">
      <c r="A136" s="823"/>
      <c r="B136" s="824"/>
      <c r="C136" s="854"/>
      <c r="D136" s="825"/>
      <c r="E136" s="826" t="s">
        <v>408</v>
      </c>
      <c r="F136" s="827">
        <v>0</v>
      </c>
      <c r="G136" s="827">
        <v>0</v>
      </c>
      <c r="H136" s="827">
        <v>0</v>
      </c>
      <c r="I136" s="827">
        <v>0</v>
      </c>
      <c r="J136" s="827">
        <v>0</v>
      </c>
      <c r="K136" s="827">
        <v>0</v>
      </c>
      <c r="L136" s="827">
        <v>0</v>
      </c>
      <c r="M136" s="827">
        <v>1</v>
      </c>
      <c r="N136" s="827">
        <v>1</v>
      </c>
      <c r="O136" s="827">
        <v>1</v>
      </c>
      <c r="P136" s="827">
        <v>1</v>
      </c>
      <c r="Q136" s="827">
        <v>1</v>
      </c>
      <c r="R136" s="827">
        <v>1</v>
      </c>
      <c r="S136" s="827">
        <v>1</v>
      </c>
      <c r="T136" s="827">
        <v>1</v>
      </c>
      <c r="U136" s="827">
        <v>1</v>
      </c>
      <c r="V136" s="827">
        <v>1</v>
      </c>
      <c r="W136" s="827">
        <v>1</v>
      </c>
      <c r="X136" s="827">
        <v>1</v>
      </c>
      <c r="Y136" s="827">
        <v>1</v>
      </c>
      <c r="Z136" s="827">
        <v>1</v>
      </c>
      <c r="AA136" s="827">
        <v>1</v>
      </c>
      <c r="AB136" s="827">
        <v>1</v>
      </c>
      <c r="AC136" s="842">
        <v>0</v>
      </c>
    </row>
    <row r="137" spans="1:29" ht="18.600000000000001" customHeight="1" thickBot="1" x14ac:dyDescent="0.35">
      <c r="A137" s="829"/>
      <c r="B137" s="844"/>
      <c r="C137" s="860"/>
      <c r="D137" s="845"/>
      <c r="E137" s="846" t="s">
        <v>409</v>
      </c>
      <c r="F137" s="847">
        <v>0</v>
      </c>
      <c r="G137" s="847">
        <v>0</v>
      </c>
      <c r="H137" s="847">
        <v>0</v>
      </c>
      <c r="I137" s="847">
        <v>0</v>
      </c>
      <c r="J137" s="847">
        <v>0</v>
      </c>
      <c r="K137" s="847">
        <v>0</v>
      </c>
      <c r="L137" s="847">
        <v>0</v>
      </c>
      <c r="M137" s="847">
        <v>1</v>
      </c>
      <c r="N137" s="847">
        <v>1</v>
      </c>
      <c r="O137" s="847">
        <v>1</v>
      </c>
      <c r="P137" s="847">
        <v>1</v>
      </c>
      <c r="Q137" s="847">
        <v>1</v>
      </c>
      <c r="R137" s="847">
        <v>1</v>
      </c>
      <c r="S137" s="847">
        <v>1</v>
      </c>
      <c r="T137" s="847">
        <v>1</v>
      </c>
      <c r="U137" s="847">
        <v>1</v>
      </c>
      <c r="V137" s="847">
        <v>1</v>
      </c>
      <c r="W137" s="847">
        <v>1</v>
      </c>
      <c r="X137" s="847">
        <v>1</v>
      </c>
      <c r="Y137" s="847">
        <v>1</v>
      </c>
      <c r="Z137" s="847">
        <v>1</v>
      </c>
      <c r="AA137" s="847">
        <v>1</v>
      </c>
      <c r="AB137" s="847">
        <v>1</v>
      </c>
      <c r="AC137" s="848">
        <v>0</v>
      </c>
    </row>
    <row r="138" spans="1:29" ht="18.600000000000001" customHeight="1" x14ac:dyDescent="0.3">
      <c r="A138" s="817" t="s">
        <v>926</v>
      </c>
      <c r="B138" s="859" t="str">
        <f>B135</f>
        <v>AncillaryAssembly</v>
      </c>
      <c r="C138" s="861" t="s">
        <v>752</v>
      </c>
      <c r="D138" s="837" t="str">
        <f>D135</f>
        <v>T24 2022 - Appendix 5.4B, [Assembly]</v>
      </c>
      <c r="E138" s="838" t="s">
        <v>407</v>
      </c>
      <c r="F138" s="839">
        <v>0</v>
      </c>
      <c r="G138" s="839">
        <v>0</v>
      </c>
      <c r="H138" s="839">
        <v>0</v>
      </c>
      <c r="I138" s="839">
        <v>0</v>
      </c>
      <c r="J138" s="839">
        <v>0</v>
      </c>
      <c r="K138" s="839">
        <v>0</v>
      </c>
      <c r="L138" s="839">
        <v>0</v>
      </c>
      <c r="M138" s="839">
        <v>0</v>
      </c>
      <c r="N138" s="839">
        <v>0</v>
      </c>
      <c r="O138" s="839">
        <v>0.05</v>
      </c>
      <c r="P138" s="839">
        <v>0.05</v>
      </c>
      <c r="Q138" s="839">
        <v>0.35</v>
      </c>
      <c r="R138" s="839">
        <v>0.05</v>
      </c>
      <c r="S138" s="839">
        <v>0.05</v>
      </c>
      <c r="T138" s="839">
        <v>0.05</v>
      </c>
      <c r="U138" s="839">
        <v>0.05</v>
      </c>
      <c r="V138" s="839">
        <v>0.05</v>
      </c>
      <c r="W138" s="839">
        <v>0</v>
      </c>
      <c r="X138" s="839">
        <v>0</v>
      </c>
      <c r="Y138" s="839">
        <v>0</v>
      </c>
      <c r="Z138" s="839">
        <v>0</v>
      </c>
      <c r="AA138" s="839">
        <v>0</v>
      </c>
      <c r="AB138" s="839">
        <v>0</v>
      </c>
      <c r="AC138" s="840">
        <v>0</v>
      </c>
    </row>
    <row r="139" spans="1:29" ht="18.600000000000001" customHeight="1" x14ac:dyDescent="0.3">
      <c r="A139" s="823"/>
      <c r="B139" s="824"/>
      <c r="C139" s="854"/>
      <c r="D139" s="825"/>
      <c r="E139" s="826" t="s">
        <v>408</v>
      </c>
      <c r="F139" s="827">
        <v>0</v>
      </c>
      <c r="G139" s="827">
        <v>0</v>
      </c>
      <c r="H139" s="827">
        <v>0</v>
      </c>
      <c r="I139" s="827">
        <v>0</v>
      </c>
      <c r="J139" s="827">
        <v>0</v>
      </c>
      <c r="K139" s="827">
        <v>0</v>
      </c>
      <c r="L139" s="827">
        <v>0</v>
      </c>
      <c r="M139" s="827">
        <v>0</v>
      </c>
      <c r="N139" s="827">
        <v>0</v>
      </c>
      <c r="O139" s="827">
        <v>0.05</v>
      </c>
      <c r="P139" s="827">
        <v>0.05</v>
      </c>
      <c r="Q139" s="827">
        <v>0.2</v>
      </c>
      <c r="R139" s="827">
        <v>0</v>
      </c>
      <c r="S139" s="827">
        <v>0</v>
      </c>
      <c r="T139" s="827">
        <v>0</v>
      </c>
      <c r="U139" s="827">
        <v>0</v>
      </c>
      <c r="V139" s="827">
        <v>0</v>
      </c>
      <c r="W139" s="827">
        <v>0</v>
      </c>
      <c r="X139" s="827">
        <v>0</v>
      </c>
      <c r="Y139" s="827">
        <v>0.65</v>
      </c>
      <c r="Z139" s="827">
        <v>0.3</v>
      </c>
      <c r="AA139" s="827">
        <v>0</v>
      </c>
      <c r="AB139" s="827">
        <v>0</v>
      </c>
      <c r="AC139" s="842">
        <v>0</v>
      </c>
    </row>
    <row r="140" spans="1:29" ht="18.600000000000001" customHeight="1" thickBot="1" x14ac:dyDescent="0.35">
      <c r="A140" s="829"/>
      <c r="B140" s="844"/>
      <c r="C140" s="860"/>
      <c r="D140" s="845"/>
      <c r="E140" s="846" t="s">
        <v>409</v>
      </c>
      <c r="F140" s="847">
        <v>0</v>
      </c>
      <c r="G140" s="847">
        <v>0</v>
      </c>
      <c r="H140" s="847">
        <v>0</v>
      </c>
      <c r="I140" s="847">
        <v>0</v>
      </c>
      <c r="J140" s="847">
        <v>0</v>
      </c>
      <c r="K140" s="847">
        <v>0</v>
      </c>
      <c r="L140" s="847">
        <v>0</v>
      </c>
      <c r="M140" s="847">
        <v>0</v>
      </c>
      <c r="N140" s="847">
        <v>0</v>
      </c>
      <c r="O140" s="847">
        <v>0.05</v>
      </c>
      <c r="P140" s="847">
        <v>0.05</v>
      </c>
      <c r="Q140" s="847">
        <v>0.1</v>
      </c>
      <c r="R140" s="847">
        <v>0</v>
      </c>
      <c r="S140" s="847">
        <v>0</v>
      </c>
      <c r="T140" s="847">
        <v>0</v>
      </c>
      <c r="U140" s="847">
        <v>0</v>
      </c>
      <c r="V140" s="847">
        <v>0</v>
      </c>
      <c r="W140" s="847">
        <v>0</v>
      </c>
      <c r="X140" s="847">
        <v>0</v>
      </c>
      <c r="Y140" s="847">
        <v>0.65</v>
      </c>
      <c r="Z140" s="847">
        <v>0.3</v>
      </c>
      <c r="AA140" s="847">
        <v>0</v>
      </c>
      <c r="AB140" s="847">
        <v>0</v>
      </c>
      <c r="AC140" s="848">
        <v>0</v>
      </c>
    </row>
    <row r="141" spans="1:29" ht="18.600000000000001" customHeight="1" x14ac:dyDescent="0.3">
      <c r="A141" s="817" t="s">
        <v>926</v>
      </c>
      <c r="B141" s="859" t="str">
        <f>B138</f>
        <v>AncillaryAssembly</v>
      </c>
      <c r="C141" s="861" t="s">
        <v>296</v>
      </c>
      <c r="D141" s="837" t="str">
        <f>D138</f>
        <v>T24 2022 - Appendix 5.4B, [Assembly]</v>
      </c>
      <c r="E141" s="838" t="s">
        <v>407</v>
      </c>
      <c r="F141" s="839">
        <v>1</v>
      </c>
      <c r="G141" s="839">
        <v>1</v>
      </c>
      <c r="H141" s="839">
        <v>1</v>
      </c>
      <c r="I141" s="839">
        <v>1</v>
      </c>
      <c r="J141" s="839">
        <v>1</v>
      </c>
      <c r="K141" s="839">
        <v>1</v>
      </c>
      <c r="L141" s="839">
        <v>1</v>
      </c>
      <c r="M141" s="839">
        <v>0.25</v>
      </c>
      <c r="N141" s="839">
        <v>0.25</v>
      </c>
      <c r="O141" s="839">
        <v>0.25</v>
      </c>
      <c r="P141" s="839">
        <v>0.25</v>
      </c>
      <c r="Q141" s="839">
        <v>0.25</v>
      </c>
      <c r="R141" s="839">
        <v>0.25</v>
      </c>
      <c r="S141" s="839">
        <v>0.25</v>
      </c>
      <c r="T141" s="839">
        <v>0.25</v>
      </c>
      <c r="U141" s="839">
        <v>0.25</v>
      </c>
      <c r="V141" s="839">
        <v>0.25</v>
      </c>
      <c r="W141" s="839">
        <v>0.25</v>
      </c>
      <c r="X141" s="839">
        <v>0.25</v>
      </c>
      <c r="Y141" s="839">
        <v>0.25</v>
      </c>
      <c r="Z141" s="839">
        <v>0.25</v>
      </c>
      <c r="AA141" s="839">
        <v>0.25</v>
      </c>
      <c r="AB141" s="839">
        <v>0.25</v>
      </c>
      <c r="AC141" s="840">
        <v>1</v>
      </c>
    </row>
    <row r="142" spans="1:29" ht="18.600000000000001" customHeight="1" x14ac:dyDescent="0.3">
      <c r="A142" s="823"/>
      <c r="B142" s="824"/>
      <c r="C142" s="854"/>
      <c r="D142" s="825"/>
      <c r="E142" s="826" t="s">
        <v>408</v>
      </c>
      <c r="F142" s="827">
        <v>1</v>
      </c>
      <c r="G142" s="827">
        <v>1</v>
      </c>
      <c r="H142" s="827">
        <v>1</v>
      </c>
      <c r="I142" s="827">
        <v>1</v>
      </c>
      <c r="J142" s="827">
        <v>1</v>
      </c>
      <c r="K142" s="827">
        <v>1</v>
      </c>
      <c r="L142" s="827">
        <v>1</v>
      </c>
      <c r="M142" s="827">
        <v>0.25</v>
      </c>
      <c r="N142" s="827">
        <v>0.25</v>
      </c>
      <c r="O142" s="827">
        <v>0.25</v>
      </c>
      <c r="P142" s="827">
        <v>0.25</v>
      </c>
      <c r="Q142" s="827">
        <v>0.25</v>
      </c>
      <c r="R142" s="827">
        <v>0.25</v>
      </c>
      <c r="S142" s="827">
        <v>0.25</v>
      </c>
      <c r="T142" s="827">
        <v>0.25</v>
      </c>
      <c r="U142" s="827">
        <v>0.25</v>
      </c>
      <c r="V142" s="827">
        <v>0.25</v>
      </c>
      <c r="W142" s="827">
        <v>0.25</v>
      </c>
      <c r="X142" s="827">
        <v>0.25</v>
      </c>
      <c r="Y142" s="827">
        <v>0.25</v>
      </c>
      <c r="Z142" s="827">
        <v>0.25</v>
      </c>
      <c r="AA142" s="827">
        <v>0.25</v>
      </c>
      <c r="AB142" s="827">
        <v>0.25</v>
      </c>
      <c r="AC142" s="842">
        <v>1</v>
      </c>
    </row>
    <row r="143" spans="1:29" ht="18.600000000000001" customHeight="1" thickBot="1" x14ac:dyDescent="0.35">
      <c r="A143" s="829"/>
      <c r="B143" s="844"/>
      <c r="C143" s="855"/>
      <c r="D143" s="845"/>
      <c r="E143" s="856" t="s">
        <v>409</v>
      </c>
      <c r="F143" s="857">
        <v>1</v>
      </c>
      <c r="G143" s="857">
        <v>1</v>
      </c>
      <c r="H143" s="857">
        <v>1</v>
      </c>
      <c r="I143" s="857">
        <v>1</v>
      </c>
      <c r="J143" s="857">
        <v>1</v>
      </c>
      <c r="K143" s="857">
        <v>1</v>
      </c>
      <c r="L143" s="857">
        <v>1</v>
      </c>
      <c r="M143" s="857">
        <v>0.25</v>
      </c>
      <c r="N143" s="857">
        <v>0.25</v>
      </c>
      <c r="O143" s="857">
        <v>0.25</v>
      </c>
      <c r="P143" s="857">
        <v>0.25</v>
      </c>
      <c r="Q143" s="857">
        <v>0.25</v>
      </c>
      <c r="R143" s="857">
        <v>0.25</v>
      </c>
      <c r="S143" s="857">
        <v>0.25</v>
      </c>
      <c r="T143" s="857">
        <v>0.25</v>
      </c>
      <c r="U143" s="857">
        <v>0.25</v>
      </c>
      <c r="V143" s="857">
        <v>0.25</v>
      </c>
      <c r="W143" s="857">
        <v>0.25</v>
      </c>
      <c r="X143" s="857">
        <v>0.25</v>
      </c>
      <c r="Y143" s="857">
        <v>0.25</v>
      </c>
      <c r="Z143" s="857">
        <v>0.25</v>
      </c>
      <c r="AA143" s="857">
        <v>0.25</v>
      </c>
      <c r="AB143" s="857">
        <v>0.25</v>
      </c>
      <c r="AC143" s="858">
        <v>1</v>
      </c>
    </row>
    <row r="144" spans="1:29" ht="18.600000000000001" customHeight="1" x14ac:dyDescent="0.3">
      <c r="A144" s="817" t="s">
        <v>926</v>
      </c>
      <c r="B144" s="859" t="str">
        <f>B141</f>
        <v>AncillaryAssembly</v>
      </c>
      <c r="C144" s="850" t="s">
        <v>753</v>
      </c>
      <c r="D144" s="837" t="str">
        <f>D141</f>
        <v>T24 2022 - Appendix 5.4B, [Assembly]</v>
      </c>
      <c r="E144" s="851" t="s">
        <v>407</v>
      </c>
      <c r="F144" s="852">
        <v>0</v>
      </c>
      <c r="G144" s="852">
        <v>0</v>
      </c>
      <c r="H144" s="852">
        <v>0</v>
      </c>
      <c r="I144" s="852">
        <v>0</v>
      </c>
      <c r="J144" s="852">
        <v>0</v>
      </c>
      <c r="K144" s="852">
        <v>0</v>
      </c>
      <c r="L144" s="852">
        <v>0</v>
      </c>
      <c r="M144" s="852">
        <v>0</v>
      </c>
      <c r="N144" s="852">
        <v>0.3</v>
      </c>
      <c r="O144" s="852">
        <v>0.3</v>
      </c>
      <c r="P144" s="852">
        <v>0.2</v>
      </c>
      <c r="Q144" s="852">
        <v>0.9</v>
      </c>
      <c r="R144" s="852">
        <v>0.9</v>
      </c>
      <c r="S144" s="852">
        <v>0.9</v>
      </c>
      <c r="T144" s="852">
        <v>0.2</v>
      </c>
      <c r="U144" s="852">
        <v>0.2</v>
      </c>
      <c r="V144" s="852">
        <v>0.2</v>
      </c>
      <c r="W144" s="852">
        <v>0.5</v>
      </c>
      <c r="X144" s="852">
        <v>0.5</v>
      </c>
      <c r="Y144" s="852">
        <v>0.1</v>
      </c>
      <c r="Z144" s="852">
        <v>0.1</v>
      </c>
      <c r="AA144" s="852">
        <v>0.1</v>
      </c>
      <c r="AB144" s="852">
        <v>0</v>
      </c>
      <c r="AC144" s="853">
        <v>0</v>
      </c>
    </row>
    <row r="145" spans="1:29" ht="18.600000000000001" customHeight="1" x14ac:dyDescent="0.3">
      <c r="A145" s="823"/>
      <c r="B145" s="824"/>
      <c r="C145" s="854"/>
      <c r="D145" s="825"/>
      <c r="E145" s="826" t="s">
        <v>408</v>
      </c>
      <c r="F145" s="827">
        <v>0</v>
      </c>
      <c r="G145" s="827">
        <v>0</v>
      </c>
      <c r="H145" s="827">
        <v>0</v>
      </c>
      <c r="I145" s="827">
        <v>0</v>
      </c>
      <c r="J145" s="827">
        <v>0</v>
      </c>
      <c r="K145" s="827">
        <v>0</v>
      </c>
      <c r="L145" s="827">
        <v>0</v>
      </c>
      <c r="M145" s="827">
        <v>0</v>
      </c>
      <c r="N145" s="827">
        <v>0.3</v>
      </c>
      <c r="O145" s="827">
        <v>0.3</v>
      </c>
      <c r="P145" s="827">
        <v>0.2</v>
      </c>
      <c r="Q145" s="827">
        <v>0.7</v>
      </c>
      <c r="R145" s="827">
        <v>0.7</v>
      </c>
      <c r="S145" s="827">
        <v>0.7</v>
      </c>
      <c r="T145" s="827">
        <v>0.2</v>
      </c>
      <c r="U145" s="827">
        <v>0.2</v>
      </c>
      <c r="V145" s="827">
        <v>0.2</v>
      </c>
      <c r="W145" s="827">
        <v>0.4</v>
      </c>
      <c r="X145" s="827">
        <v>0.4</v>
      </c>
      <c r="Y145" s="827">
        <v>0.1</v>
      </c>
      <c r="Z145" s="827">
        <v>0.1</v>
      </c>
      <c r="AA145" s="827">
        <v>0.1</v>
      </c>
      <c r="AB145" s="827">
        <v>0</v>
      </c>
      <c r="AC145" s="842">
        <v>0</v>
      </c>
    </row>
    <row r="146" spans="1:29" ht="18.600000000000001" customHeight="1" thickBot="1" x14ac:dyDescent="0.35">
      <c r="A146" s="829"/>
      <c r="B146" s="862"/>
      <c r="C146" s="855"/>
      <c r="D146" s="863"/>
      <c r="E146" s="856" t="s">
        <v>409</v>
      </c>
      <c r="F146" s="857">
        <v>0</v>
      </c>
      <c r="G146" s="857">
        <v>0</v>
      </c>
      <c r="H146" s="857">
        <v>0</v>
      </c>
      <c r="I146" s="857">
        <v>0</v>
      </c>
      <c r="J146" s="857">
        <v>0</v>
      </c>
      <c r="K146" s="857">
        <v>0</v>
      </c>
      <c r="L146" s="857">
        <v>0</v>
      </c>
      <c r="M146" s="857">
        <v>0</v>
      </c>
      <c r="N146" s="857">
        <v>0.2</v>
      </c>
      <c r="O146" s="857">
        <v>0.2</v>
      </c>
      <c r="P146" s="857">
        <v>0.1</v>
      </c>
      <c r="Q146" s="857">
        <v>0.1</v>
      </c>
      <c r="R146" s="857">
        <v>0.3</v>
      </c>
      <c r="S146" s="857">
        <v>0.8</v>
      </c>
      <c r="T146" s="857">
        <v>0.2</v>
      </c>
      <c r="U146" s="857">
        <v>0.2</v>
      </c>
      <c r="V146" s="857">
        <v>0.2</v>
      </c>
      <c r="W146" s="857">
        <v>0.5</v>
      </c>
      <c r="X146" s="857">
        <v>0.5</v>
      </c>
      <c r="Y146" s="857">
        <v>0.1</v>
      </c>
      <c r="Z146" s="857">
        <v>0.1</v>
      </c>
      <c r="AA146" s="857">
        <v>0.1</v>
      </c>
      <c r="AB146" s="857">
        <v>0</v>
      </c>
      <c r="AC146" s="858">
        <v>0</v>
      </c>
    </row>
    <row r="147" spans="1:29" ht="18.600000000000001" customHeight="1" x14ac:dyDescent="0.3">
      <c r="A147" s="817" t="s">
        <v>926</v>
      </c>
      <c r="B147" s="864" t="str">
        <f>B144</f>
        <v>AncillaryAssembly</v>
      </c>
      <c r="C147" s="864" t="s">
        <v>754</v>
      </c>
      <c r="D147" s="899" t="str">
        <f>D144</f>
        <v>T24 2022 - Appendix 5.4B, [Assembly]</v>
      </c>
      <c r="E147" s="904" t="s">
        <v>407</v>
      </c>
      <c r="F147" s="905">
        <f>IF((F135=1),Thermostat!$B$15,Thermostat!$B$16)</f>
        <v>60</v>
      </c>
      <c r="G147" s="905">
        <f>IF((G135=1),Thermostat!$B$15,Thermostat!$B$16)</f>
        <v>60</v>
      </c>
      <c r="H147" s="905">
        <f>IF((H135=1),Thermostat!$B$15,Thermostat!$B$16)</f>
        <v>60</v>
      </c>
      <c r="I147" s="905">
        <f>IF((I135=1),Thermostat!$B$15,Thermostat!$B$16)</f>
        <v>60</v>
      </c>
      <c r="J147" s="905">
        <f>IF((J135=1),Thermostat!$B$15,Thermostat!$B$16)</f>
        <v>60</v>
      </c>
      <c r="K147" s="905">
        <f>IF((K135=1),Thermostat!$B$15,Thermostat!$B$16)</f>
        <v>60</v>
      </c>
      <c r="L147" s="905">
        <f>IF((L135=1),Thermostat!$B$15,Thermostat!$B$16)</f>
        <v>60</v>
      </c>
      <c r="M147" s="905">
        <f>IF((M135=1),Thermostat!$B$15,Thermostat!$B$16)</f>
        <v>60</v>
      </c>
      <c r="N147" s="905">
        <f>IF((N135=1),Thermostat!$B$15,Thermostat!$B$16)</f>
        <v>60</v>
      </c>
      <c r="O147" s="905">
        <f>IF((O135=1),Thermostat!$B$15,Thermostat!$B$16)</f>
        <v>60</v>
      </c>
      <c r="P147" s="905">
        <f>IF((P135=1),Thermostat!$B$15,Thermostat!$B$16)</f>
        <v>60</v>
      </c>
      <c r="Q147" s="905">
        <f>IF((Q135=1),Thermostat!$B$15,Thermostat!$B$16)</f>
        <v>60</v>
      </c>
      <c r="R147" s="905">
        <f>IF((R135=1),Thermostat!$B$15,Thermostat!$B$16)</f>
        <v>60</v>
      </c>
      <c r="S147" s="905">
        <f>IF((S135=1),Thermostat!$B$15,Thermostat!$B$16)</f>
        <v>60</v>
      </c>
      <c r="T147" s="905">
        <f>IF((T135=1),Thermostat!$B$15,Thermostat!$B$16)</f>
        <v>60</v>
      </c>
      <c r="U147" s="905">
        <f>IF((U135=1),Thermostat!$B$15,Thermostat!$B$16)</f>
        <v>60</v>
      </c>
      <c r="V147" s="905">
        <f>IF((V135=1),Thermostat!$B$15,Thermostat!$B$16)</f>
        <v>60</v>
      </c>
      <c r="W147" s="905">
        <f>IF((W135=1),Thermostat!$B$15,Thermostat!$B$16)</f>
        <v>60</v>
      </c>
      <c r="X147" s="905">
        <f>IF((X135=1),Thermostat!$B$15,Thermostat!$B$16)</f>
        <v>60</v>
      </c>
      <c r="Y147" s="905">
        <f>IF((Y135=1),Thermostat!$B$15,Thermostat!$B$16)</f>
        <v>60</v>
      </c>
      <c r="Z147" s="905">
        <f>IF((Z135=1),Thermostat!$B$15,Thermostat!$B$16)</f>
        <v>60</v>
      </c>
      <c r="AA147" s="905">
        <f>IF((AA135=1),Thermostat!$B$15,Thermostat!$B$16)</f>
        <v>60</v>
      </c>
      <c r="AB147" s="905">
        <f>IF((AB135=1),Thermostat!$B$15,Thermostat!$B$16)</f>
        <v>60</v>
      </c>
      <c r="AC147" s="906">
        <f>IF((AC135=1),Thermostat!$B$15,Thermostat!$B$16)</f>
        <v>60</v>
      </c>
    </row>
    <row r="148" spans="1:29" ht="18.600000000000001" customHeight="1" x14ac:dyDescent="0.3">
      <c r="A148" s="823"/>
      <c r="B148" s="824"/>
      <c r="C148" s="824"/>
      <c r="D148" s="900"/>
      <c r="E148" s="907" t="s">
        <v>408</v>
      </c>
      <c r="F148" s="903">
        <f>IF((F136=1),Thermostat!$B$15,Thermostat!$B$16)</f>
        <v>60</v>
      </c>
      <c r="G148" s="903">
        <f>IF((G136=1),Thermostat!$B$15,Thermostat!$B$16)</f>
        <v>60</v>
      </c>
      <c r="H148" s="903">
        <f>IF((H136=1),Thermostat!$B$15,Thermostat!$B$16)</f>
        <v>60</v>
      </c>
      <c r="I148" s="903">
        <f>IF((I136=1),Thermostat!$B$15,Thermostat!$B$16)</f>
        <v>60</v>
      </c>
      <c r="J148" s="903">
        <f>IF((J136=1),Thermostat!$B$15,Thermostat!$B$16)</f>
        <v>60</v>
      </c>
      <c r="K148" s="903">
        <f>IF((K136=1),Thermostat!$B$15,Thermostat!$B$16)</f>
        <v>60</v>
      </c>
      <c r="L148" s="903">
        <f>IF((L136=1),Thermostat!$B$15,Thermostat!$B$16)</f>
        <v>60</v>
      </c>
      <c r="M148" s="903">
        <f>IF((M136=1),Thermostat!$B$15,Thermostat!$B$16)</f>
        <v>60</v>
      </c>
      <c r="N148" s="903">
        <f>IF((N136=1),Thermostat!$B$15,Thermostat!$B$16)</f>
        <v>60</v>
      </c>
      <c r="O148" s="903">
        <f>IF((O136=1),Thermostat!$B$15,Thermostat!$B$16)</f>
        <v>60</v>
      </c>
      <c r="P148" s="903">
        <f>IF((P136=1),Thermostat!$B$15,Thermostat!$B$16)</f>
        <v>60</v>
      </c>
      <c r="Q148" s="903">
        <f>IF((Q136=1),Thermostat!$B$15,Thermostat!$B$16)</f>
        <v>60</v>
      </c>
      <c r="R148" s="903">
        <f>IF((R136=1),Thermostat!$B$15,Thermostat!$B$16)</f>
        <v>60</v>
      </c>
      <c r="S148" s="903">
        <f>IF((S136=1),Thermostat!$B$15,Thermostat!$B$16)</f>
        <v>60</v>
      </c>
      <c r="T148" s="903">
        <f>IF((T136=1),Thermostat!$B$15,Thermostat!$B$16)</f>
        <v>60</v>
      </c>
      <c r="U148" s="903">
        <f>IF((U136=1),Thermostat!$B$15,Thermostat!$B$16)</f>
        <v>60</v>
      </c>
      <c r="V148" s="903">
        <f>IF((V136=1),Thermostat!$B$15,Thermostat!$B$16)</f>
        <v>60</v>
      </c>
      <c r="W148" s="903">
        <f>IF((W136=1),Thermostat!$B$15,Thermostat!$B$16)</f>
        <v>60</v>
      </c>
      <c r="X148" s="903">
        <f>IF((X136=1),Thermostat!$B$15,Thermostat!$B$16)</f>
        <v>60</v>
      </c>
      <c r="Y148" s="903">
        <f>IF((Y136=1),Thermostat!$B$15,Thermostat!$B$16)</f>
        <v>60</v>
      </c>
      <c r="Z148" s="903">
        <f>IF((Z136=1),Thermostat!$B$15,Thermostat!$B$16)</f>
        <v>60</v>
      </c>
      <c r="AA148" s="903">
        <f>IF((AA136=1),Thermostat!$B$15,Thermostat!$B$16)</f>
        <v>60</v>
      </c>
      <c r="AB148" s="903">
        <f>IF((AB136=1),Thermostat!$B$15,Thermostat!$B$16)</f>
        <v>60</v>
      </c>
      <c r="AC148" s="908">
        <f>IF((AC136=1),Thermostat!$B$15,Thermostat!$B$16)</f>
        <v>60</v>
      </c>
    </row>
    <row r="149" spans="1:29" ht="18.600000000000001" customHeight="1" thickBot="1" x14ac:dyDescent="0.35">
      <c r="A149" s="829"/>
      <c r="B149" s="865"/>
      <c r="C149" s="865"/>
      <c r="D149" s="901"/>
      <c r="E149" s="909" t="s">
        <v>409</v>
      </c>
      <c r="F149" s="910">
        <f>IF((F137=1),Thermostat!$B$15,Thermostat!$B$16)</f>
        <v>60</v>
      </c>
      <c r="G149" s="910">
        <f>IF((G137=1),Thermostat!$B$15,Thermostat!$B$16)</f>
        <v>60</v>
      </c>
      <c r="H149" s="910">
        <f>IF((H137=1),Thermostat!$B$15,Thermostat!$B$16)</f>
        <v>60</v>
      </c>
      <c r="I149" s="910">
        <f>IF((I137=1),Thermostat!$B$15,Thermostat!$B$16)</f>
        <v>60</v>
      </c>
      <c r="J149" s="910">
        <f>IF((J137=1),Thermostat!$B$15,Thermostat!$B$16)</f>
        <v>60</v>
      </c>
      <c r="K149" s="910">
        <f>IF((K137=1),Thermostat!$B$15,Thermostat!$B$16)</f>
        <v>60</v>
      </c>
      <c r="L149" s="910">
        <f>IF((L137=1),Thermostat!$B$15,Thermostat!$B$16)</f>
        <v>60</v>
      </c>
      <c r="M149" s="910">
        <f>IF((M137=1),Thermostat!$B$15,Thermostat!$B$16)</f>
        <v>60</v>
      </c>
      <c r="N149" s="910">
        <f>IF((N137=1),Thermostat!$B$15,Thermostat!$B$16)</f>
        <v>60</v>
      </c>
      <c r="O149" s="910">
        <f>IF((O137=1),Thermostat!$B$15,Thermostat!$B$16)</f>
        <v>60</v>
      </c>
      <c r="P149" s="910">
        <f>IF((P137=1),Thermostat!$B$15,Thermostat!$B$16)</f>
        <v>60</v>
      </c>
      <c r="Q149" s="910">
        <f>IF((Q137=1),Thermostat!$B$15,Thermostat!$B$16)</f>
        <v>60</v>
      </c>
      <c r="R149" s="910">
        <f>IF((R137=1),Thermostat!$B$15,Thermostat!$B$16)</f>
        <v>60</v>
      </c>
      <c r="S149" s="910">
        <f>IF((S137=1),Thermostat!$B$15,Thermostat!$B$16)</f>
        <v>60</v>
      </c>
      <c r="T149" s="910">
        <f>IF((T137=1),Thermostat!$B$15,Thermostat!$B$16)</f>
        <v>60</v>
      </c>
      <c r="U149" s="910">
        <f>IF((U137=1),Thermostat!$B$15,Thermostat!$B$16)</f>
        <v>60</v>
      </c>
      <c r="V149" s="910">
        <f>IF((V137=1),Thermostat!$B$15,Thermostat!$B$16)</f>
        <v>60</v>
      </c>
      <c r="W149" s="910">
        <f>IF((W137=1),Thermostat!$B$15,Thermostat!$B$16)</f>
        <v>60</v>
      </c>
      <c r="X149" s="910">
        <f>IF((X137=1),Thermostat!$B$15,Thermostat!$B$16)</f>
        <v>60</v>
      </c>
      <c r="Y149" s="910">
        <f>IF((Y137=1),Thermostat!$B$15,Thermostat!$B$16)</f>
        <v>60</v>
      </c>
      <c r="Z149" s="910">
        <f>IF((Z137=1),Thermostat!$B$15,Thermostat!$B$16)</f>
        <v>60</v>
      </c>
      <c r="AA149" s="910">
        <f>IF((AA137=1),Thermostat!$B$15,Thermostat!$B$16)</f>
        <v>60</v>
      </c>
      <c r="AB149" s="910">
        <f>IF((AB137=1),Thermostat!$B$15,Thermostat!$B$16)</f>
        <v>60</v>
      </c>
      <c r="AC149" s="911">
        <f>IF((AC137=1),Thermostat!$B$15,Thermostat!$B$16)</f>
        <v>60</v>
      </c>
    </row>
    <row r="150" spans="1:29" ht="18.600000000000001" customHeight="1" x14ac:dyDescent="0.3">
      <c r="A150" s="817" t="s">
        <v>926</v>
      </c>
      <c r="B150" s="836" t="str">
        <f>B147</f>
        <v>AncillaryAssembly</v>
      </c>
      <c r="C150" s="836" t="s">
        <v>756</v>
      </c>
      <c r="D150" s="902" t="str">
        <f>D147</f>
        <v>T24 2022 - Appendix 5.4B, [Assembly]</v>
      </c>
      <c r="E150" s="912" t="s">
        <v>407</v>
      </c>
      <c r="F150" s="913">
        <f>IF((F135=1),Thermostat!$B$17,Thermostat!$B$18)</f>
        <v>85</v>
      </c>
      <c r="G150" s="913">
        <f>IF((G135=1),Thermostat!$B$17,Thermostat!$B$18)</f>
        <v>85</v>
      </c>
      <c r="H150" s="913">
        <f>IF((H135=1),Thermostat!$B$17,Thermostat!$B$18)</f>
        <v>85</v>
      </c>
      <c r="I150" s="913">
        <f>IF((I135=1),Thermostat!$B$17,Thermostat!$B$18)</f>
        <v>85</v>
      </c>
      <c r="J150" s="913">
        <f>IF((J135=1),Thermostat!$B$17,Thermostat!$B$18)</f>
        <v>85</v>
      </c>
      <c r="K150" s="913">
        <f>IF((K135=1),Thermostat!$B$17,Thermostat!$B$18)</f>
        <v>85</v>
      </c>
      <c r="L150" s="913">
        <f>IF((L135=1),Thermostat!$B$17,Thermostat!$B$18)</f>
        <v>85</v>
      </c>
      <c r="M150" s="913">
        <f>IF((M135=1),Thermostat!$B$17,Thermostat!$B$18)</f>
        <v>85</v>
      </c>
      <c r="N150" s="913">
        <f>IF((N135=1),Thermostat!$B$17,Thermostat!$B$18)</f>
        <v>85</v>
      </c>
      <c r="O150" s="913">
        <f>IF((O135=1),Thermostat!$B$17,Thermostat!$B$18)</f>
        <v>85</v>
      </c>
      <c r="P150" s="913">
        <f>IF((P135=1),Thermostat!$B$17,Thermostat!$B$18)</f>
        <v>85</v>
      </c>
      <c r="Q150" s="913">
        <f>IF((Q135=1),Thermostat!$B$17,Thermostat!$B$18)</f>
        <v>85</v>
      </c>
      <c r="R150" s="913">
        <f>IF((R135=1),Thermostat!$B$17,Thermostat!$B$18)</f>
        <v>85</v>
      </c>
      <c r="S150" s="913">
        <f>IF((S135=1),Thermostat!$B$17,Thermostat!$B$18)</f>
        <v>85</v>
      </c>
      <c r="T150" s="913">
        <f>IF((T135=1),Thermostat!$B$17,Thermostat!$B$18)</f>
        <v>85</v>
      </c>
      <c r="U150" s="913">
        <f>IF((U135=1),Thermostat!$B$17,Thermostat!$B$18)</f>
        <v>85</v>
      </c>
      <c r="V150" s="913">
        <f>IF((V135=1),Thermostat!$B$17,Thermostat!$B$18)</f>
        <v>85</v>
      </c>
      <c r="W150" s="913">
        <f>IF((W135=1),Thermostat!$B$17,Thermostat!$B$18)</f>
        <v>85</v>
      </c>
      <c r="X150" s="913">
        <f>IF((X135=1),Thermostat!$B$17,Thermostat!$B$18)</f>
        <v>85</v>
      </c>
      <c r="Y150" s="913">
        <f>IF((Y135=1),Thermostat!$B$17,Thermostat!$B$18)</f>
        <v>85</v>
      </c>
      <c r="Z150" s="913">
        <f>IF((Z135=1),Thermostat!$B$17,Thermostat!$B$18)</f>
        <v>85</v>
      </c>
      <c r="AA150" s="913">
        <f>IF((AA135=1),Thermostat!$B$17,Thermostat!$B$18)</f>
        <v>85</v>
      </c>
      <c r="AB150" s="913">
        <f>IF((AB135=1),Thermostat!$B$17,Thermostat!$B$18)</f>
        <v>85</v>
      </c>
      <c r="AC150" s="914">
        <f>IF((AC135=1),Thermostat!$B$17,Thermostat!$B$18)</f>
        <v>85</v>
      </c>
    </row>
    <row r="151" spans="1:29" ht="18.600000000000001" customHeight="1" x14ac:dyDescent="0.3">
      <c r="A151" s="823"/>
      <c r="B151" s="824"/>
      <c r="C151" s="824"/>
      <c r="D151" s="900"/>
      <c r="E151" s="907" t="s">
        <v>408</v>
      </c>
      <c r="F151" s="903">
        <f>IF((F136=1),Thermostat!$B$17,Thermostat!$B$18)</f>
        <v>85</v>
      </c>
      <c r="G151" s="903">
        <f>IF((G136=1),Thermostat!$B$17,Thermostat!$B$18)</f>
        <v>85</v>
      </c>
      <c r="H151" s="903">
        <f>IF((H136=1),Thermostat!$B$17,Thermostat!$B$18)</f>
        <v>85</v>
      </c>
      <c r="I151" s="903">
        <f>IF((I136=1),Thermostat!$B$17,Thermostat!$B$18)</f>
        <v>85</v>
      </c>
      <c r="J151" s="903">
        <f>IF((J136=1),Thermostat!$B$17,Thermostat!$B$18)</f>
        <v>85</v>
      </c>
      <c r="K151" s="903">
        <f>IF((K136=1),Thermostat!$B$17,Thermostat!$B$18)</f>
        <v>85</v>
      </c>
      <c r="L151" s="903">
        <f>IF((L136=1),Thermostat!$B$17,Thermostat!$B$18)</f>
        <v>85</v>
      </c>
      <c r="M151" s="903">
        <f>IF((M136=1),Thermostat!$B$17,Thermostat!$B$18)</f>
        <v>85</v>
      </c>
      <c r="N151" s="903">
        <f>IF((N136=1),Thermostat!$B$17,Thermostat!$B$18)</f>
        <v>85</v>
      </c>
      <c r="O151" s="903">
        <f>IF((O136=1),Thermostat!$B$17,Thermostat!$B$18)</f>
        <v>85</v>
      </c>
      <c r="P151" s="903">
        <f>IF((P136=1),Thermostat!$B$17,Thermostat!$B$18)</f>
        <v>85</v>
      </c>
      <c r="Q151" s="903">
        <f>IF((Q136=1),Thermostat!$B$17,Thermostat!$B$18)</f>
        <v>85</v>
      </c>
      <c r="R151" s="903">
        <f>IF((R136=1),Thermostat!$B$17,Thermostat!$B$18)</f>
        <v>85</v>
      </c>
      <c r="S151" s="903">
        <f>IF((S136=1),Thermostat!$B$17,Thermostat!$B$18)</f>
        <v>85</v>
      </c>
      <c r="T151" s="903">
        <f>IF((T136=1),Thermostat!$B$17,Thermostat!$B$18)</f>
        <v>85</v>
      </c>
      <c r="U151" s="903">
        <f>IF((U136=1),Thermostat!$B$17,Thermostat!$B$18)</f>
        <v>85</v>
      </c>
      <c r="V151" s="903">
        <f>IF((V136=1),Thermostat!$B$17,Thermostat!$B$18)</f>
        <v>85</v>
      </c>
      <c r="W151" s="903">
        <f>IF((W136=1),Thermostat!$B$17,Thermostat!$B$18)</f>
        <v>85</v>
      </c>
      <c r="X151" s="903">
        <f>IF((X136=1),Thermostat!$B$17,Thermostat!$B$18)</f>
        <v>85</v>
      </c>
      <c r="Y151" s="903">
        <f>IF((Y136=1),Thermostat!$B$17,Thermostat!$B$18)</f>
        <v>85</v>
      </c>
      <c r="Z151" s="903">
        <f>IF((Z136=1),Thermostat!$B$17,Thermostat!$B$18)</f>
        <v>85</v>
      </c>
      <c r="AA151" s="903">
        <f>IF((AA136=1),Thermostat!$B$17,Thermostat!$B$18)</f>
        <v>85</v>
      </c>
      <c r="AB151" s="903">
        <f>IF((AB136=1),Thermostat!$B$17,Thermostat!$B$18)</f>
        <v>85</v>
      </c>
      <c r="AC151" s="908">
        <f>IF((AC136=1),Thermostat!$B$17,Thermostat!$B$18)</f>
        <v>85</v>
      </c>
    </row>
    <row r="152" spans="1:29" ht="18.600000000000001" customHeight="1" thickBot="1" x14ac:dyDescent="0.35">
      <c r="A152" s="829"/>
      <c r="B152" s="865"/>
      <c r="C152" s="865"/>
      <c r="D152" s="901"/>
      <c r="E152" s="909" t="s">
        <v>409</v>
      </c>
      <c r="F152" s="910">
        <f>IF((F137=1),Thermostat!$B$17,Thermostat!$B$18)</f>
        <v>85</v>
      </c>
      <c r="G152" s="910">
        <f>IF((G137=1),Thermostat!$B$17,Thermostat!$B$18)</f>
        <v>85</v>
      </c>
      <c r="H152" s="910">
        <f>IF((H137=1),Thermostat!$B$17,Thermostat!$B$18)</f>
        <v>85</v>
      </c>
      <c r="I152" s="910">
        <f>IF((I137=1),Thermostat!$B$17,Thermostat!$B$18)</f>
        <v>85</v>
      </c>
      <c r="J152" s="910">
        <f>IF((J137=1),Thermostat!$B$17,Thermostat!$B$18)</f>
        <v>85</v>
      </c>
      <c r="K152" s="910">
        <f>IF((K137=1),Thermostat!$B$17,Thermostat!$B$18)</f>
        <v>85</v>
      </c>
      <c r="L152" s="910">
        <f>IF((L137=1),Thermostat!$B$17,Thermostat!$B$18)</f>
        <v>85</v>
      </c>
      <c r="M152" s="910">
        <f>IF((M137=1),Thermostat!$B$17,Thermostat!$B$18)</f>
        <v>85</v>
      </c>
      <c r="N152" s="910">
        <f>IF((N137=1),Thermostat!$B$17,Thermostat!$B$18)</f>
        <v>85</v>
      </c>
      <c r="O152" s="910">
        <f>IF((O137=1),Thermostat!$B$17,Thermostat!$B$18)</f>
        <v>85</v>
      </c>
      <c r="P152" s="910">
        <f>IF((P137=1),Thermostat!$B$17,Thermostat!$B$18)</f>
        <v>85</v>
      </c>
      <c r="Q152" s="910">
        <f>IF((Q137=1),Thermostat!$B$17,Thermostat!$B$18)</f>
        <v>85</v>
      </c>
      <c r="R152" s="910">
        <f>IF((R137=1),Thermostat!$B$17,Thermostat!$B$18)</f>
        <v>85</v>
      </c>
      <c r="S152" s="910">
        <f>IF((S137=1),Thermostat!$B$17,Thermostat!$B$18)</f>
        <v>85</v>
      </c>
      <c r="T152" s="910">
        <f>IF((T137=1),Thermostat!$B$17,Thermostat!$B$18)</f>
        <v>85</v>
      </c>
      <c r="U152" s="910">
        <f>IF((U137=1),Thermostat!$B$17,Thermostat!$B$18)</f>
        <v>85</v>
      </c>
      <c r="V152" s="910">
        <f>IF((V137=1),Thermostat!$B$17,Thermostat!$B$18)</f>
        <v>85</v>
      </c>
      <c r="W152" s="910">
        <f>IF((W137=1),Thermostat!$B$17,Thermostat!$B$18)</f>
        <v>85</v>
      </c>
      <c r="X152" s="910">
        <f>IF((X137=1),Thermostat!$B$17,Thermostat!$B$18)</f>
        <v>85</v>
      </c>
      <c r="Y152" s="910">
        <f>IF((Y137=1),Thermostat!$B$17,Thermostat!$B$18)</f>
        <v>85</v>
      </c>
      <c r="Z152" s="910">
        <f>IF((Z137=1),Thermostat!$B$17,Thermostat!$B$18)</f>
        <v>85</v>
      </c>
      <c r="AA152" s="910">
        <f>IF((AA137=1),Thermostat!$B$17,Thermostat!$B$18)</f>
        <v>85</v>
      </c>
      <c r="AB152" s="910">
        <f>IF((AB137=1),Thermostat!$B$17,Thermostat!$B$18)</f>
        <v>85</v>
      </c>
      <c r="AC152" s="911">
        <f>IF((AC137=1),Thermostat!$B$17,Thermostat!$B$18)</f>
        <v>85</v>
      </c>
    </row>
    <row r="153" spans="1:29" ht="18.600000000000001" customHeight="1" thickBot="1" x14ac:dyDescent="0.35">
      <c r="A153" s="726" t="s">
        <v>927</v>
      </c>
      <c r="B153" s="726"/>
      <c r="C153" s="726"/>
      <c r="D153" s="726"/>
      <c r="E153" s="758"/>
      <c r="F153" s="758"/>
      <c r="G153" s="758"/>
      <c r="H153" s="758"/>
      <c r="I153" s="758"/>
      <c r="J153" s="758"/>
      <c r="K153" s="758"/>
      <c r="L153" s="758"/>
      <c r="M153" s="758"/>
      <c r="N153" s="758"/>
      <c r="O153" s="758"/>
      <c r="P153" s="758"/>
      <c r="Q153" s="758"/>
      <c r="R153" s="758"/>
      <c r="S153" s="758"/>
      <c r="T153" s="758"/>
      <c r="U153" s="758"/>
      <c r="V153" s="758"/>
      <c r="W153" s="758"/>
      <c r="X153" s="758"/>
      <c r="Y153" s="758"/>
      <c r="Z153" s="758"/>
      <c r="AA153" s="758"/>
      <c r="AB153" s="758"/>
      <c r="AC153" s="759"/>
    </row>
    <row r="154" spans="1:29" ht="18.600000000000001" customHeight="1" x14ac:dyDescent="0.3">
      <c r="A154" s="866" t="s">
        <v>928</v>
      </c>
      <c r="B154" s="867" t="s">
        <v>927</v>
      </c>
      <c r="C154" s="867" t="s">
        <v>746</v>
      </c>
      <c r="D154" s="868" t="s">
        <v>393</v>
      </c>
      <c r="E154" s="851" t="s">
        <v>407</v>
      </c>
      <c r="F154" s="852">
        <v>0.1</v>
      </c>
      <c r="G154" s="852">
        <v>0.1</v>
      </c>
      <c r="H154" s="852">
        <v>0.1</v>
      </c>
      <c r="I154" s="852">
        <v>0.1</v>
      </c>
      <c r="J154" s="852">
        <v>0.1</v>
      </c>
      <c r="K154" s="852">
        <v>0.3</v>
      </c>
      <c r="L154" s="852">
        <v>0.45</v>
      </c>
      <c r="M154" s="852">
        <v>0.45</v>
      </c>
      <c r="N154" s="852">
        <v>0.45</v>
      </c>
      <c r="O154" s="852">
        <v>0.45</v>
      </c>
      <c r="P154" s="852">
        <v>0.3</v>
      </c>
      <c r="Q154" s="852">
        <v>0.3</v>
      </c>
      <c r="R154" s="852">
        <v>0.3</v>
      </c>
      <c r="S154" s="852">
        <v>0.3</v>
      </c>
      <c r="T154" s="852">
        <v>0.3</v>
      </c>
      <c r="U154" s="852">
        <v>0.3</v>
      </c>
      <c r="V154" s="852">
        <v>0.3</v>
      </c>
      <c r="W154" s="852">
        <v>0.3</v>
      </c>
      <c r="X154" s="852">
        <v>0.6</v>
      </c>
      <c r="Y154" s="852">
        <v>0.8</v>
      </c>
      <c r="Z154" s="852">
        <v>0.9</v>
      </c>
      <c r="AA154" s="852">
        <v>0.8</v>
      </c>
      <c r="AB154" s="852">
        <v>0.6</v>
      </c>
      <c r="AC154" s="853">
        <v>0.3</v>
      </c>
    </row>
    <row r="155" spans="1:29" ht="18.600000000000001" customHeight="1" x14ac:dyDescent="0.3">
      <c r="A155" s="869"/>
      <c r="B155" s="870"/>
      <c r="C155" s="870"/>
      <c r="D155" s="871"/>
      <c r="E155" s="826" t="s">
        <v>408</v>
      </c>
      <c r="F155" s="827">
        <v>0.1</v>
      </c>
      <c r="G155" s="827">
        <v>0.1</v>
      </c>
      <c r="H155" s="827">
        <v>0.1</v>
      </c>
      <c r="I155" s="827">
        <v>0.1</v>
      </c>
      <c r="J155" s="827">
        <v>0.1</v>
      </c>
      <c r="K155" s="827">
        <v>0.3</v>
      </c>
      <c r="L155" s="827">
        <v>0.45</v>
      </c>
      <c r="M155" s="827">
        <v>0.45</v>
      </c>
      <c r="N155" s="827">
        <v>0.45</v>
      </c>
      <c r="O155" s="827">
        <v>0.45</v>
      </c>
      <c r="P155" s="827">
        <v>0.3</v>
      </c>
      <c r="Q155" s="827">
        <v>0.3</v>
      </c>
      <c r="R155" s="827">
        <v>0.3</v>
      </c>
      <c r="S155" s="827">
        <v>0.3</v>
      </c>
      <c r="T155" s="827">
        <v>0.3</v>
      </c>
      <c r="U155" s="827">
        <v>0.3</v>
      </c>
      <c r="V155" s="827">
        <v>0.3</v>
      </c>
      <c r="W155" s="827">
        <v>0.3</v>
      </c>
      <c r="X155" s="827">
        <v>0.6</v>
      </c>
      <c r="Y155" s="827">
        <v>0.8</v>
      </c>
      <c r="Z155" s="827">
        <v>0.9</v>
      </c>
      <c r="AA155" s="827">
        <v>0.8</v>
      </c>
      <c r="AB155" s="827">
        <v>0.6</v>
      </c>
      <c r="AC155" s="842">
        <v>0.3</v>
      </c>
    </row>
    <row r="156" spans="1:29" ht="18.600000000000001" customHeight="1" thickBot="1" x14ac:dyDescent="0.35">
      <c r="A156" s="872"/>
      <c r="B156" s="873"/>
      <c r="C156" s="873"/>
      <c r="D156" s="874"/>
      <c r="E156" s="856" t="s">
        <v>409</v>
      </c>
      <c r="F156" s="857">
        <v>0.1</v>
      </c>
      <c r="G156" s="857">
        <v>0.1</v>
      </c>
      <c r="H156" s="857">
        <v>0.1</v>
      </c>
      <c r="I156" s="857">
        <v>0.1</v>
      </c>
      <c r="J156" s="857">
        <v>0.1</v>
      </c>
      <c r="K156" s="857">
        <v>0.3</v>
      </c>
      <c r="L156" s="857">
        <v>0.45</v>
      </c>
      <c r="M156" s="857">
        <v>0.45</v>
      </c>
      <c r="N156" s="857">
        <v>0.45</v>
      </c>
      <c r="O156" s="857">
        <v>0.45</v>
      </c>
      <c r="P156" s="857">
        <v>0.3</v>
      </c>
      <c r="Q156" s="857">
        <v>0.3</v>
      </c>
      <c r="R156" s="857">
        <v>0.3</v>
      </c>
      <c r="S156" s="857">
        <v>0.3</v>
      </c>
      <c r="T156" s="857">
        <v>0.3</v>
      </c>
      <c r="U156" s="857">
        <v>0.3</v>
      </c>
      <c r="V156" s="857">
        <v>0.3</v>
      </c>
      <c r="W156" s="857">
        <v>0.3</v>
      </c>
      <c r="X156" s="857">
        <v>0.6</v>
      </c>
      <c r="Y156" s="857">
        <v>0.8</v>
      </c>
      <c r="Z156" s="857">
        <v>0.9</v>
      </c>
      <c r="AA156" s="857">
        <v>0.8</v>
      </c>
      <c r="AB156" s="857">
        <v>0.6</v>
      </c>
      <c r="AC156" s="858">
        <v>0.3</v>
      </c>
    </row>
    <row r="157" spans="1:29" ht="18.600000000000001" customHeight="1" x14ac:dyDescent="0.3">
      <c r="A157" s="866" t="s">
        <v>928</v>
      </c>
      <c r="B157" s="867" t="str">
        <f>B154</f>
        <v>AncillaryResidentialCommon</v>
      </c>
      <c r="C157" s="875" t="s">
        <v>748</v>
      </c>
      <c r="D157" s="868" t="s">
        <v>393</v>
      </c>
      <c r="E157" s="851" t="s">
        <v>407</v>
      </c>
      <c r="F157" s="852">
        <v>1</v>
      </c>
      <c r="G157" s="852">
        <v>1</v>
      </c>
      <c r="H157" s="852">
        <v>1</v>
      </c>
      <c r="I157" s="852">
        <v>1</v>
      </c>
      <c r="J157" s="852">
        <v>1</v>
      </c>
      <c r="K157" s="852">
        <v>1</v>
      </c>
      <c r="L157" s="852">
        <v>1</v>
      </c>
      <c r="M157" s="852">
        <v>1</v>
      </c>
      <c r="N157" s="852">
        <v>1</v>
      </c>
      <c r="O157" s="852">
        <v>1</v>
      </c>
      <c r="P157" s="852">
        <v>1</v>
      </c>
      <c r="Q157" s="852">
        <v>1</v>
      </c>
      <c r="R157" s="852">
        <v>1</v>
      </c>
      <c r="S157" s="852">
        <v>1</v>
      </c>
      <c r="T157" s="852">
        <v>1</v>
      </c>
      <c r="U157" s="852">
        <v>1</v>
      </c>
      <c r="V157" s="852">
        <v>1</v>
      </c>
      <c r="W157" s="852">
        <v>1</v>
      </c>
      <c r="X157" s="852">
        <v>1</v>
      </c>
      <c r="Y157" s="852">
        <v>1</v>
      </c>
      <c r="Z157" s="852">
        <v>1</v>
      </c>
      <c r="AA157" s="852">
        <v>1</v>
      </c>
      <c r="AB157" s="852">
        <v>1</v>
      </c>
      <c r="AC157" s="853">
        <v>1</v>
      </c>
    </row>
    <row r="158" spans="1:29" ht="18.600000000000001" customHeight="1" x14ac:dyDescent="0.3">
      <c r="A158" s="869"/>
      <c r="B158" s="870"/>
      <c r="C158" s="870"/>
      <c r="D158" s="871"/>
      <c r="E158" s="826" t="s">
        <v>408</v>
      </c>
      <c r="F158" s="827">
        <v>1</v>
      </c>
      <c r="G158" s="827">
        <v>1</v>
      </c>
      <c r="H158" s="827">
        <v>1</v>
      </c>
      <c r="I158" s="827">
        <v>1</v>
      </c>
      <c r="J158" s="827">
        <v>1</v>
      </c>
      <c r="K158" s="827">
        <v>1</v>
      </c>
      <c r="L158" s="827">
        <v>1</v>
      </c>
      <c r="M158" s="827">
        <v>1</v>
      </c>
      <c r="N158" s="827">
        <v>1</v>
      </c>
      <c r="O158" s="827">
        <v>1</v>
      </c>
      <c r="P158" s="827">
        <v>1</v>
      </c>
      <c r="Q158" s="827">
        <v>1</v>
      </c>
      <c r="R158" s="827">
        <v>1</v>
      </c>
      <c r="S158" s="827">
        <v>1</v>
      </c>
      <c r="T158" s="827">
        <v>1</v>
      </c>
      <c r="U158" s="827">
        <v>1</v>
      </c>
      <c r="V158" s="827">
        <v>1</v>
      </c>
      <c r="W158" s="827">
        <v>1</v>
      </c>
      <c r="X158" s="827">
        <v>1</v>
      </c>
      <c r="Y158" s="827">
        <v>1</v>
      </c>
      <c r="Z158" s="827">
        <v>1</v>
      </c>
      <c r="AA158" s="827">
        <v>1</v>
      </c>
      <c r="AB158" s="827">
        <v>1</v>
      </c>
      <c r="AC158" s="842">
        <v>1</v>
      </c>
    </row>
    <row r="159" spans="1:29" ht="18.600000000000001" customHeight="1" thickBot="1" x14ac:dyDescent="0.35">
      <c r="A159" s="872"/>
      <c r="B159" s="873"/>
      <c r="C159" s="873"/>
      <c r="D159" s="874"/>
      <c r="E159" s="856" t="s">
        <v>409</v>
      </c>
      <c r="F159" s="857">
        <v>1</v>
      </c>
      <c r="G159" s="857">
        <v>1</v>
      </c>
      <c r="H159" s="857">
        <v>1</v>
      </c>
      <c r="I159" s="857">
        <v>1</v>
      </c>
      <c r="J159" s="857">
        <v>1</v>
      </c>
      <c r="K159" s="857">
        <v>1</v>
      </c>
      <c r="L159" s="857">
        <v>1</v>
      </c>
      <c r="M159" s="857">
        <v>1</v>
      </c>
      <c r="N159" s="857">
        <v>1</v>
      </c>
      <c r="O159" s="857">
        <v>1</v>
      </c>
      <c r="P159" s="857">
        <v>1</v>
      </c>
      <c r="Q159" s="857">
        <v>1</v>
      </c>
      <c r="R159" s="857">
        <v>1</v>
      </c>
      <c r="S159" s="857">
        <v>1</v>
      </c>
      <c r="T159" s="857">
        <v>1</v>
      </c>
      <c r="U159" s="857">
        <v>1</v>
      </c>
      <c r="V159" s="857">
        <v>1</v>
      </c>
      <c r="W159" s="857">
        <v>1</v>
      </c>
      <c r="X159" s="857">
        <v>1</v>
      </c>
      <c r="Y159" s="857">
        <v>1</v>
      </c>
      <c r="Z159" s="857">
        <v>1</v>
      </c>
      <c r="AA159" s="857">
        <v>1</v>
      </c>
      <c r="AB159" s="857">
        <v>1</v>
      </c>
      <c r="AC159" s="858">
        <v>1</v>
      </c>
    </row>
    <row r="160" spans="1:29" ht="18.600000000000001" customHeight="1" x14ac:dyDescent="0.3">
      <c r="A160" s="866" t="s">
        <v>928</v>
      </c>
      <c r="B160" s="867" t="str">
        <f>B157</f>
        <v>AncillaryResidentialCommon</v>
      </c>
      <c r="C160" s="875" t="s">
        <v>750</v>
      </c>
      <c r="D160" s="868" t="s">
        <v>393</v>
      </c>
      <c r="E160" s="851" t="s">
        <v>407</v>
      </c>
      <c r="F160" s="852">
        <v>0.1</v>
      </c>
      <c r="G160" s="852">
        <v>0.1</v>
      </c>
      <c r="H160" s="852">
        <v>0.1</v>
      </c>
      <c r="I160" s="852">
        <v>0.1</v>
      </c>
      <c r="J160" s="852">
        <v>0.1</v>
      </c>
      <c r="K160" s="852">
        <v>0.3</v>
      </c>
      <c r="L160" s="852">
        <v>0.45</v>
      </c>
      <c r="M160" s="852">
        <v>0.45</v>
      </c>
      <c r="N160" s="852">
        <v>0.45</v>
      </c>
      <c r="O160" s="852">
        <v>0.45</v>
      </c>
      <c r="P160" s="852">
        <v>0.3</v>
      </c>
      <c r="Q160" s="852">
        <v>0.3</v>
      </c>
      <c r="R160" s="852">
        <v>0.3</v>
      </c>
      <c r="S160" s="852">
        <v>0.3</v>
      </c>
      <c r="T160" s="852">
        <v>0.3</v>
      </c>
      <c r="U160" s="852">
        <v>0.3</v>
      </c>
      <c r="V160" s="852">
        <v>0.3</v>
      </c>
      <c r="W160" s="852">
        <v>0.3</v>
      </c>
      <c r="X160" s="852">
        <v>0.6</v>
      </c>
      <c r="Y160" s="852">
        <v>0.8</v>
      </c>
      <c r="Z160" s="852">
        <v>0.9</v>
      </c>
      <c r="AA160" s="852">
        <v>0.8</v>
      </c>
      <c r="AB160" s="852">
        <v>0.6</v>
      </c>
      <c r="AC160" s="853">
        <v>0.3</v>
      </c>
    </row>
    <row r="161" spans="1:29" ht="18.600000000000001" customHeight="1" x14ac:dyDescent="0.3">
      <c r="A161" s="869"/>
      <c r="B161" s="870"/>
      <c r="C161" s="870"/>
      <c r="D161" s="871"/>
      <c r="E161" s="826" t="s">
        <v>408</v>
      </c>
      <c r="F161" s="827">
        <v>0.1</v>
      </c>
      <c r="G161" s="827">
        <v>0.1</v>
      </c>
      <c r="H161" s="827">
        <v>0.1</v>
      </c>
      <c r="I161" s="827">
        <v>0.1</v>
      </c>
      <c r="J161" s="827">
        <v>0.1</v>
      </c>
      <c r="K161" s="827">
        <v>0.3</v>
      </c>
      <c r="L161" s="827">
        <v>0.45</v>
      </c>
      <c r="M161" s="827">
        <v>0.45</v>
      </c>
      <c r="N161" s="827">
        <v>0.45</v>
      </c>
      <c r="O161" s="827">
        <v>0.45</v>
      </c>
      <c r="P161" s="827">
        <v>0.3</v>
      </c>
      <c r="Q161" s="827">
        <v>0.3</v>
      </c>
      <c r="R161" s="827">
        <v>0.3</v>
      </c>
      <c r="S161" s="827">
        <v>0.3</v>
      </c>
      <c r="T161" s="827">
        <v>0.3</v>
      </c>
      <c r="U161" s="827">
        <v>0.3</v>
      </c>
      <c r="V161" s="827">
        <v>0.3</v>
      </c>
      <c r="W161" s="827">
        <v>0.3</v>
      </c>
      <c r="X161" s="827">
        <v>0.6</v>
      </c>
      <c r="Y161" s="827">
        <v>0.8</v>
      </c>
      <c r="Z161" s="827">
        <v>0.9</v>
      </c>
      <c r="AA161" s="827">
        <v>0.8</v>
      </c>
      <c r="AB161" s="827">
        <v>0.6</v>
      </c>
      <c r="AC161" s="842">
        <v>0.3</v>
      </c>
    </row>
    <row r="162" spans="1:29" ht="18.600000000000001" customHeight="1" thickBot="1" x14ac:dyDescent="0.35">
      <c r="A162" s="872"/>
      <c r="B162" s="873"/>
      <c r="C162" s="876"/>
      <c r="D162" s="874"/>
      <c r="E162" s="846" t="s">
        <v>409</v>
      </c>
      <c r="F162" s="847">
        <v>0.1</v>
      </c>
      <c r="G162" s="847">
        <v>0.1</v>
      </c>
      <c r="H162" s="847">
        <v>0.1</v>
      </c>
      <c r="I162" s="847">
        <v>0.1</v>
      </c>
      <c r="J162" s="847">
        <v>0.1</v>
      </c>
      <c r="K162" s="847">
        <v>0.3</v>
      </c>
      <c r="L162" s="847">
        <v>0.45</v>
      </c>
      <c r="M162" s="847">
        <v>0.45</v>
      </c>
      <c r="N162" s="847">
        <v>0.45</v>
      </c>
      <c r="O162" s="847">
        <v>0.45</v>
      </c>
      <c r="P162" s="847">
        <v>0.3</v>
      </c>
      <c r="Q162" s="847">
        <v>0.3</v>
      </c>
      <c r="R162" s="847">
        <v>0.3</v>
      </c>
      <c r="S162" s="847">
        <v>0.3</v>
      </c>
      <c r="T162" s="847">
        <v>0.3</v>
      </c>
      <c r="U162" s="847">
        <v>0.3</v>
      </c>
      <c r="V162" s="847">
        <v>0.3</v>
      </c>
      <c r="W162" s="847">
        <v>0.3</v>
      </c>
      <c r="X162" s="847">
        <v>0.6</v>
      </c>
      <c r="Y162" s="847">
        <v>0.8</v>
      </c>
      <c r="Z162" s="847">
        <v>0.9</v>
      </c>
      <c r="AA162" s="847">
        <v>0.8</v>
      </c>
      <c r="AB162" s="847">
        <v>0.6</v>
      </c>
      <c r="AC162" s="848">
        <v>0.3</v>
      </c>
    </row>
    <row r="163" spans="1:29" ht="18.600000000000001" customHeight="1" x14ac:dyDescent="0.3">
      <c r="A163" s="866" t="s">
        <v>928</v>
      </c>
      <c r="B163" s="867" t="str">
        <f>B160</f>
        <v>AncillaryResidentialCommon</v>
      </c>
      <c r="C163" s="877" t="s">
        <v>751</v>
      </c>
      <c r="D163" s="868" t="s">
        <v>393</v>
      </c>
      <c r="E163" s="838" t="s">
        <v>407</v>
      </c>
      <c r="F163" s="839">
        <v>1</v>
      </c>
      <c r="G163" s="839">
        <v>1</v>
      </c>
      <c r="H163" s="839">
        <v>1</v>
      </c>
      <c r="I163" s="839">
        <v>1</v>
      </c>
      <c r="J163" s="839">
        <v>1</v>
      </c>
      <c r="K163" s="839">
        <v>1</v>
      </c>
      <c r="L163" s="839">
        <v>1</v>
      </c>
      <c r="M163" s="839">
        <v>1</v>
      </c>
      <c r="N163" s="839">
        <v>1</v>
      </c>
      <c r="O163" s="839">
        <v>1</v>
      </c>
      <c r="P163" s="839">
        <v>1</v>
      </c>
      <c r="Q163" s="839">
        <v>1</v>
      </c>
      <c r="R163" s="839">
        <v>1</v>
      </c>
      <c r="S163" s="839">
        <v>1</v>
      </c>
      <c r="T163" s="839">
        <v>1</v>
      </c>
      <c r="U163" s="839">
        <v>1</v>
      </c>
      <c r="V163" s="839">
        <v>1</v>
      </c>
      <c r="W163" s="839">
        <v>1</v>
      </c>
      <c r="X163" s="839">
        <v>1</v>
      </c>
      <c r="Y163" s="839">
        <v>1</v>
      </c>
      <c r="Z163" s="839">
        <v>1</v>
      </c>
      <c r="AA163" s="839">
        <v>1</v>
      </c>
      <c r="AB163" s="839">
        <v>1</v>
      </c>
      <c r="AC163" s="840">
        <v>1</v>
      </c>
    </row>
    <row r="164" spans="1:29" ht="18.600000000000001" customHeight="1" x14ac:dyDescent="0.3">
      <c r="A164" s="869"/>
      <c r="B164" s="870"/>
      <c r="C164" s="870"/>
      <c r="D164" s="871"/>
      <c r="E164" s="826" t="s">
        <v>408</v>
      </c>
      <c r="F164" s="827">
        <v>1</v>
      </c>
      <c r="G164" s="827">
        <v>1</v>
      </c>
      <c r="H164" s="827">
        <v>1</v>
      </c>
      <c r="I164" s="827">
        <v>1</v>
      </c>
      <c r="J164" s="827">
        <v>1</v>
      </c>
      <c r="K164" s="827">
        <v>1</v>
      </c>
      <c r="L164" s="827">
        <v>1</v>
      </c>
      <c r="M164" s="827">
        <v>1</v>
      </c>
      <c r="N164" s="827">
        <v>1</v>
      </c>
      <c r="O164" s="827">
        <v>1</v>
      </c>
      <c r="P164" s="827">
        <v>1</v>
      </c>
      <c r="Q164" s="827">
        <v>1</v>
      </c>
      <c r="R164" s="827">
        <v>1</v>
      </c>
      <c r="S164" s="827">
        <v>1</v>
      </c>
      <c r="T164" s="827">
        <v>1</v>
      </c>
      <c r="U164" s="827">
        <v>1</v>
      </c>
      <c r="V164" s="827">
        <v>1</v>
      </c>
      <c r="W164" s="827">
        <v>1</v>
      </c>
      <c r="X164" s="827">
        <v>1</v>
      </c>
      <c r="Y164" s="827">
        <v>1</v>
      </c>
      <c r="Z164" s="827">
        <v>1</v>
      </c>
      <c r="AA164" s="827">
        <v>1</v>
      </c>
      <c r="AB164" s="827">
        <v>1</v>
      </c>
      <c r="AC164" s="842">
        <v>1</v>
      </c>
    </row>
    <row r="165" spans="1:29" ht="18.600000000000001" customHeight="1" thickBot="1" x14ac:dyDescent="0.35">
      <c r="A165" s="872"/>
      <c r="B165" s="873"/>
      <c r="C165" s="876"/>
      <c r="D165" s="874"/>
      <c r="E165" s="846" t="s">
        <v>409</v>
      </c>
      <c r="F165" s="847">
        <v>1</v>
      </c>
      <c r="G165" s="847">
        <v>1</v>
      </c>
      <c r="H165" s="847">
        <v>1</v>
      </c>
      <c r="I165" s="847">
        <v>1</v>
      </c>
      <c r="J165" s="847">
        <v>1</v>
      </c>
      <c r="K165" s="847">
        <v>1</v>
      </c>
      <c r="L165" s="847">
        <v>1</v>
      </c>
      <c r="M165" s="847">
        <v>1</v>
      </c>
      <c r="N165" s="847">
        <v>1</v>
      </c>
      <c r="O165" s="847">
        <v>1</v>
      </c>
      <c r="P165" s="847">
        <v>1</v>
      </c>
      <c r="Q165" s="847">
        <v>1</v>
      </c>
      <c r="R165" s="847">
        <v>1</v>
      </c>
      <c r="S165" s="847">
        <v>1</v>
      </c>
      <c r="T165" s="847">
        <v>1</v>
      </c>
      <c r="U165" s="847">
        <v>1</v>
      </c>
      <c r="V165" s="847">
        <v>1</v>
      </c>
      <c r="W165" s="847">
        <v>1</v>
      </c>
      <c r="X165" s="847">
        <v>1</v>
      </c>
      <c r="Y165" s="847">
        <v>1</v>
      </c>
      <c r="Z165" s="847">
        <v>1</v>
      </c>
      <c r="AA165" s="847">
        <v>1</v>
      </c>
      <c r="AB165" s="847">
        <v>1</v>
      </c>
      <c r="AC165" s="848">
        <v>1</v>
      </c>
    </row>
    <row r="166" spans="1:29" ht="18.600000000000001" customHeight="1" x14ac:dyDescent="0.3">
      <c r="A166" s="866" t="s">
        <v>928</v>
      </c>
      <c r="B166" s="867" t="str">
        <f>B163</f>
        <v>AncillaryResidentialCommon</v>
      </c>
      <c r="C166" s="877" t="s">
        <v>752</v>
      </c>
      <c r="D166" s="868" t="s">
        <v>393</v>
      </c>
      <c r="E166" s="838" t="s">
        <v>407</v>
      </c>
      <c r="F166" s="839">
        <v>0</v>
      </c>
      <c r="G166" s="839">
        <v>0</v>
      </c>
      <c r="H166" s="839">
        <v>0</v>
      </c>
      <c r="I166" s="839">
        <v>0.05</v>
      </c>
      <c r="J166" s="839">
        <v>0.05</v>
      </c>
      <c r="K166" s="839">
        <v>0.05</v>
      </c>
      <c r="L166" s="839">
        <v>0.8</v>
      </c>
      <c r="M166" s="839">
        <v>0.7</v>
      </c>
      <c r="N166" s="839">
        <v>0.5</v>
      </c>
      <c r="O166" s="839">
        <v>0.4</v>
      </c>
      <c r="P166" s="839">
        <v>0.25</v>
      </c>
      <c r="Q166" s="839">
        <v>0.25</v>
      </c>
      <c r="R166" s="839">
        <v>0.25</v>
      </c>
      <c r="S166" s="839">
        <v>0.25</v>
      </c>
      <c r="T166" s="839">
        <v>0.5</v>
      </c>
      <c r="U166" s="839">
        <v>0.6</v>
      </c>
      <c r="V166" s="839">
        <v>0.7</v>
      </c>
      <c r="W166" s="839">
        <v>0.7</v>
      </c>
      <c r="X166" s="839">
        <v>0.4</v>
      </c>
      <c r="Y166" s="839">
        <v>0.25</v>
      </c>
      <c r="Z166" s="839">
        <v>0.2</v>
      </c>
      <c r="AA166" s="839">
        <v>0.2</v>
      </c>
      <c r="AB166" s="839">
        <v>0.05</v>
      </c>
      <c r="AC166" s="840">
        <v>0.05</v>
      </c>
    </row>
    <row r="167" spans="1:29" ht="18.600000000000001" customHeight="1" x14ac:dyDescent="0.3">
      <c r="A167" s="869"/>
      <c r="B167" s="870"/>
      <c r="C167" s="870"/>
      <c r="D167" s="871"/>
      <c r="E167" s="826" t="s">
        <v>408</v>
      </c>
      <c r="F167" s="827">
        <v>0</v>
      </c>
      <c r="G167" s="827">
        <v>0</v>
      </c>
      <c r="H167" s="827">
        <v>0</v>
      </c>
      <c r="I167" s="827">
        <v>0.05</v>
      </c>
      <c r="J167" s="827">
        <v>0.05</v>
      </c>
      <c r="K167" s="827">
        <v>0.05</v>
      </c>
      <c r="L167" s="827">
        <v>0.8</v>
      </c>
      <c r="M167" s="827">
        <v>0.7</v>
      </c>
      <c r="N167" s="827">
        <v>0.5</v>
      </c>
      <c r="O167" s="827">
        <v>0.4</v>
      </c>
      <c r="P167" s="827">
        <v>0.25</v>
      </c>
      <c r="Q167" s="827">
        <v>0.25</v>
      </c>
      <c r="R167" s="827">
        <v>0.25</v>
      </c>
      <c r="S167" s="827">
        <v>0.25</v>
      </c>
      <c r="T167" s="827">
        <v>0.5</v>
      </c>
      <c r="U167" s="827">
        <v>0.6</v>
      </c>
      <c r="V167" s="827">
        <v>0.7</v>
      </c>
      <c r="W167" s="827">
        <v>0.7</v>
      </c>
      <c r="X167" s="827">
        <v>0.4</v>
      </c>
      <c r="Y167" s="827">
        <v>0.25</v>
      </c>
      <c r="Z167" s="827">
        <v>0.2</v>
      </c>
      <c r="AA167" s="827">
        <v>0.2</v>
      </c>
      <c r="AB167" s="827">
        <v>0.05</v>
      </c>
      <c r="AC167" s="842">
        <v>0.05</v>
      </c>
    </row>
    <row r="168" spans="1:29" ht="18.600000000000001" customHeight="1" thickBot="1" x14ac:dyDescent="0.35">
      <c r="A168" s="872"/>
      <c r="B168" s="873"/>
      <c r="C168" s="876"/>
      <c r="D168" s="874"/>
      <c r="E168" s="846" t="s">
        <v>409</v>
      </c>
      <c r="F168" s="847">
        <v>0</v>
      </c>
      <c r="G168" s="847">
        <v>0</v>
      </c>
      <c r="H168" s="847">
        <v>0</v>
      </c>
      <c r="I168" s="847">
        <v>0.05</v>
      </c>
      <c r="J168" s="847">
        <v>0.05</v>
      </c>
      <c r="K168" s="847">
        <v>0.05</v>
      </c>
      <c r="L168" s="847">
        <v>0.8</v>
      </c>
      <c r="M168" s="847">
        <v>0.7</v>
      </c>
      <c r="N168" s="847">
        <v>0.5</v>
      </c>
      <c r="O168" s="847">
        <v>0.4</v>
      </c>
      <c r="P168" s="847">
        <v>0.25</v>
      </c>
      <c r="Q168" s="847">
        <v>0.25</v>
      </c>
      <c r="R168" s="847">
        <v>0.25</v>
      </c>
      <c r="S168" s="847">
        <v>0.25</v>
      </c>
      <c r="T168" s="847">
        <v>0.5</v>
      </c>
      <c r="U168" s="847">
        <v>0.6</v>
      </c>
      <c r="V168" s="847">
        <v>0.7</v>
      </c>
      <c r="W168" s="847">
        <v>0.7</v>
      </c>
      <c r="X168" s="847">
        <v>0.4</v>
      </c>
      <c r="Y168" s="847">
        <v>0.25</v>
      </c>
      <c r="Z168" s="847">
        <v>0.2</v>
      </c>
      <c r="AA168" s="847">
        <v>0.2</v>
      </c>
      <c r="AB168" s="847">
        <v>0.05</v>
      </c>
      <c r="AC168" s="848">
        <v>0.05</v>
      </c>
    </row>
    <row r="169" spans="1:29" ht="18.600000000000001" customHeight="1" x14ac:dyDescent="0.3">
      <c r="A169" s="866" t="s">
        <v>928</v>
      </c>
      <c r="B169" s="867" t="str">
        <f>B166</f>
        <v>AncillaryResidentialCommon</v>
      </c>
      <c r="C169" s="875" t="s">
        <v>296</v>
      </c>
      <c r="D169" s="868" t="s">
        <v>393</v>
      </c>
      <c r="E169" s="851" t="s">
        <v>407</v>
      </c>
      <c r="F169" s="852">
        <v>0.25</v>
      </c>
      <c r="G169" s="852">
        <v>0.25</v>
      </c>
      <c r="H169" s="852">
        <v>0.25</v>
      </c>
      <c r="I169" s="852">
        <v>0.25</v>
      </c>
      <c r="J169" s="852">
        <v>0.25</v>
      </c>
      <c r="K169" s="852">
        <v>0.25</v>
      </c>
      <c r="L169" s="852">
        <v>0.25</v>
      </c>
      <c r="M169" s="852">
        <v>0.25</v>
      </c>
      <c r="N169" s="852">
        <v>0.25</v>
      </c>
      <c r="O169" s="852">
        <v>0.25</v>
      </c>
      <c r="P169" s="852">
        <v>0.25</v>
      </c>
      <c r="Q169" s="852">
        <v>0.25</v>
      </c>
      <c r="R169" s="852">
        <v>0.25</v>
      </c>
      <c r="S169" s="852">
        <v>0.25</v>
      </c>
      <c r="T169" s="852">
        <v>0.25</v>
      </c>
      <c r="U169" s="852">
        <v>0.25</v>
      </c>
      <c r="V169" s="852">
        <v>0.25</v>
      </c>
      <c r="W169" s="852">
        <v>0.25</v>
      </c>
      <c r="X169" s="852">
        <v>0.25</v>
      </c>
      <c r="Y169" s="852">
        <v>0.25</v>
      </c>
      <c r="Z169" s="852">
        <v>0.25</v>
      </c>
      <c r="AA169" s="852">
        <v>0.25</v>
      </c>
      <c r="AB169" s="852">
        <v>0.25</v>
      </c>
      <c r="AC169" s="853">
        <v>0.25</v>
      </c>
    </row>
    <row r="170" spans="1:29" ht="18.600000000000001" customHeight="1" x14ac:dyDescent="0.3">
      <c r="A170" s="869"/>
      <c r="B170" s="870"/>
      <c r="C170" s="870"/>
      <c r="D170" s="871"/>
      <c r="E170" s="826" t="s">
        <v>408</v>
      </c>
      <c r="F170" s="827">
        <v>0.25</v>
      </c>
      <c r="G170" s="827">
        <v>0.25</v>
      </c>
      <c r="H170" s="827">
        <v>0.25</v>
      </c>
      <c r="I170" s="827">
        <v>0.25</v>
      </c>
      <c r="J170" s="827">
        <v>0.25</v>
      </c>
      <c r="K170" s="827">
        <v>0.25</v>
      </c>
      <c r="L170" s="827">
        <v>0.25</v>
      </c>
      <c r="M170" s="827">
        <v>0.25</v>
      </c>
      <c r="N170" s="827">
        <v>0.25</v>
      </c>
      <c r="O170" s="827">
        <v>0.25</v>
      </c>
      <c r="P170" s="827">
        <v>0.25</v>
      </c>
      <c r="Q170" s="827">
        <v>0.25</v>
      </c>
      <c r="R170" s="827">
        <v>0.25</v>
      </c>
      <c r="S170" s="827">
        <v>0.25</v>
      </c>
      <c r="T170" s="827">
        <v>0.25</v>
      </c>
      <c r="U170" s="827">
        <v>0.25</v>
      </c>
      <c r="V170" s="827">
        <v>0.25</v>
      </c>
      <c r="W170" s="827">
        <v>0.25</v>
      </c>
      <c r="X170" s="827">
        <v>0.25</v>
      </c>
      <c r="Y170" s="827">
        <v>0.25</v>
      </c>
      <c r="Z170" s="827">
        <v>0.25</v>
      </c>
      <c r="AA170" s="827">
        <v>0.25</v>
      </c>
      <c r="AB170" s="827">
        <v>0.25</v>
      </c>
      <c r="AC170" s="842">
        <v>0.25</v>
      </c>
    </row>
    <row r="171" spans="1:29" ht="18.600000000000001" customHeight="1" thickBot="1" x14ac:dyDescent="0.35">
      <c r="A171" s="872"/>
      <c r="B171" s="873"/>
      <c r="C171" s="873"/>
      <c r="D171" s="878"/>
      <c r="E171" s="856" t="s">
        <v>409</v>
      </c>
      <c r="F171" s="857">
        <v>0.25</v>
      </c>
      <c r="G171" s="857">
        <v>0.25</v>
      </c>
      <c r="H171" s="857">
        <v>0.25</v>
      </c>
      <c r="I171" s="857">
        <v>0.25</v>
      </c>
      <c r="J171" s="857">
        <v>0.25</v>
      </c>
      <c r="K171" s="857">
        <v>0.25</v>
      </c>
      <c r="L171" s="857">
        <v>0.25</v>
      </c>
      <c r="M171" s="857">
        <v>0.25</v>
      </c>
      <c r="N171" s="857">
        <v>0.25</v>
      </c>
      <c r="O171" s="857">
        <v>0.25</v>
      </c>
      <c r="P171" s="857">
        <v>0.25</v>
      </c>
      <c r="Q171" s="857">
        <v>0.25</v>
      </c>
      <c r="R171" s="857">
        <v>0.25</v>
      </c>
      <c r="S171" s="857">
        <v>0.25</v>
      </c>
      <c r="T171" s="857">
        <v>0.25</v>
      </c>
      <c r="U171" s="857">
        <v>0.25</v>
      </c>
      <c r="V171" s="857">
        <v>0.25</v>
      </c>
      <c r="W171" s="857">
        <v>0.25</v>
      </c>
      <c r="X171" s="857">
        <v>0.25</v>
      </c>
      <c r="Y171" s="857">
        <v>0.25</v>
      </c>
      <c r="Z171" s="857">
        <v>0.25</v>
      </c>
      <c r="AA171" s="857">
        <v>0.25</v>
      </c>
      <c r="AB171" s="857">
        <v>0.25</v>
      </c>
      <c r="AC171" s="858">
        <v>0.25</v>
      </c>
    </row>
    <row r="172" spans="1:29" ht="18.600000000000001" customHeight="1" x14ac:dyDescent="0.3">
      <c r="A172" s="866" t="s">
        <v>928</v>
      </c>
      <c r="B172" s="867" t="str">
        <f>B169</f>
        <v>AncillaryResidentialCommon</v>
      </c>
      <c r="C172" s="879" t="s">
        <v>754</v>
      </c>
      <c r="D172" s="915" t="s">
        <v>755</v>
      </c>
      <c r="E172" s="904" t="s">
        <v>407</v>
      </c>
      <c r="F172" s="905">
        <f>IF((F163=1),Thermostat!$B$15,Thermostat!$B$16)</f>
        <v>60</v>
      </c>
      <c r="G172" s="905">
        <f>IF((G163=1),Thermostat!$B$15,Thermostat!$B$16)</f>
        <v>60</v>
      </c>
      <c r="H172" s="905">
        <f>IF((H163=1),Thermostat!$B$15,Thermostat!$B$16)</f>
        <v>60</v>
      </c>
      <c r="I172" s="905">
        <f>IF((I163=1),Thermostat!$B$15,Thermostat!$B$16)</f>
        <v>60</v>
      </c>
      <c r="J172" s="905">
        <f>IF((J163=1),Thermostat!$B$15,Thermostat!$B$16)</f>
        <v>60</v>
      </c>
      <c r="K172" s="905">
        <f>IF((K163=1),Thermostat!$B$15,Thermostat!$B$16)</f>
        <v>60</v>
      </c>
      <c r="L172" s="905">
        <f>IF((L163=1),Thermostat!$B$15,Thermostat!$B$16)</f>
        <v>60</v>
      </c>
      <c r="M172" s="905">
        <f>IF((M163=1),Thermostat!$B$15,Thermostat!$B$16)</f>
        <v>60</v>
      </c>
      <c r="N172" s="905">
        <f>IF((N163=1),Thermostat!$B$15,Thermostat!$B$16)</f>
        <v>60</v>
      </c>
      <c r="O172" s="905">
        <f>IF((O163=1),Thermostat!$B$15,Thermostat!$B$16)</f>
        <v>60</v>
      </c>
      <c r="P172" s="905">
        <f>IF((P163=1),Thermostat!$B$15,Thermostat!$B$16)</f>
        <v>60</v>
      </c>
      <c r="Q172" s="905">
        <f>IF((Q163=1),Thermostat!$B$15,Thermostat!$B$16)</f>
        <v>60</v>
      </c>
      <c r="R172" s="905">
        <f>IF((R163=1),Thermostat!$B$15,Thermostat!$B$16)</f>
        <v>60</v>
      </c>
      <c r="S172" s="905">
        <f>IF((S163=1),Thermostat!$B$15,Thermostat!$B$16)</f>
        <v>60</v>
      </c>
      <c r="T172" s="905">
        <f>IF((T163=1),Thermostat!$B$15,Thermostat!$B$16)</f>
        <v>60</v>
      </c>
      <c r="U172" s="905">
        <f>IF((U163=1),Thermostat!$B$15,Thermostat!$B$16)</f>
        <v>60</v>
      </c>
      <c r="V172" s="905">
        <f>IF((V163=1),Thermostat!$B$15,Thermostat!$B$16)</f>
        <v>60</v>
      </c>
      <c r="W172" s="905">
        <f>IF((W163=1),Thermostat!$B$15,Thermostat!$B$16)</f>
        <v>60</v>
      </c>
      <c r="X172" s="905">
        <f>IF((X163=1),Thermostat!$B$15,Thermostat!$B$16)</f>
        <v>60</v>
      </c>
      <c r="Y172" s="905">
        <f>IF((Y163=1),Thermostat!$B$15,Thermostat!$B$16)</f>
        <v>60</v>
      </c>
      <c r="Z172" s="905">
        <f>IF((Z163=1),Thermostat!$B$15,Thermostat!$B$16)</f>
        <v>60</v>
      </c>
      <c r="AA172" s="905">
        <f>IF((AA163=1),Thermostat!$B$15,Thermostat!$B$16)</f>
        <v>60</v>
      </c>
      <c r="AB172" s="905">
        <f>IF((AB163=1),Thermostat!$B$15,Thermostat!$B$16)</f>
        <v>60</v>
      </c>
      <c r="AC172" s="906">
        <f>IF((AC163=1),Thermostat!$B$15,Thermostat!$B$16)</f>
        <v>60</v>
      </c>
    </row>
    <row r="173" spans="1:29" ht="18.600000000000001" customHeight="1" x14ac:dyDescent="0.3">
      <c r="A173" s="869"/>
      <c r="B173" s="870"/>
      <c r="C173" s="880"/>
      <c r="D173" s="916"/>
      <c r="E173" s="907" t="s">
        <v>408</v>
      </c>
      <c r="F173" s="903">
        <f>IF((F164=1),Thermostat!$B$15,Thermostat!$B$16)</f>
        <v>60</v>
      </c>
      <c r="G173" s="903">
        <f>IF((G164=1),Thermostat!$B$15,Thermostat!$B$16)</f>
        <v>60</v>
      </c>
      <c r="H173" s="903">
        <f>IF((H164=1),Thermostat!$B$15,Thermostat!$B$16)</f>
        <v>60</v>
      </c>
      <c r="I173" s="903">
        <f>IF((I164=1),Thermostat!$B$15,Thermostat!$B$16)</f>
        <v>60</v>
      </c>
      <c r="J173" s="903">
        <f>IF((J164=1),Thermostat!$B$15,Thermostat!$B$16)</f>
        <v>60</v>
      </c>
      <c r="K173" s="903">
        <f>IF((K164=1),Thermostat!$B$15,Thermostat!$B$16)</f>
        <v>60</v>
      </c>
      <c r="L173" s="903">
        <f>IF((L164=1),Thermostat!$B$15,Thermostat!$B$16)</f>
        <v>60</v>
      </c>
      <c r="M173" s="903">
        <f>IF((M164=1),Thermostat!$B$15,Thermostat!$B$16)</f>
        <v>60</v>
      </c>
      <c r="N173" s="903">
        <f>IF((N164=1),Thermostat!$B$15,Thermostat!$B$16)</f>
        <v>60</v>
      </c>
      <c r="O173" s="903">
        <f>IF((O164=1),Thermostat!$B$15,Thermostat!$B$16)</f>
        <v>60</v>
      </c>
      <c r="P173" s="903">
        <f>IF((P164=1),Thermostat!$B$15,Thermostat!$B$16)</f>
        <v>60</v>
      </c>
      <c r="Q173" s="903">
        <f>IF((Q164=1),Thermostat!$B$15,Thermostat!$B$16)</f>
        <v>60</v>
      </c>
      <c r="R173" s="903">
        <f>IF((R164=1),Thermostat!$B$15,Thermostat!$B$16)</f>
        <v>60</v>
      </c>
      <c r="S173" s="903">
        <f>IF((S164=1),Thermostat!$B$15,Thermostat!$B$16)</f>
        <v>60</v>
      </c>
      <c r="T173" s="903">
        <f>IF((T164=1),Thermostat!$B$15,Thermostat!$B$16)</f>
        <v>60</v>
      </c>
      <c r="U173" s="903">
        <f>IF((U164=1),Thermostat!$B$15,Thermostat!$B$16)</f>
        <v>60</v>
      </c>
      <c r="V173" s="903">
        <f>IF((V164=1),Thermostat!$B$15,Thermostat!$B$16)</f>
        <v>60</v>
      </c>
      <c r="W173" s="903">
        <f>IF((W164=1),Thermostat!$B$15,Thermostat!$B$16)</f>
        <v>60</v>
      </c>
      <c r="X173" s="903">
        <f>IF((X164=1),Thermostat!$B$15,Thermostat!$B$16)</f>
        <v>60</v>
      </c>
      <c r="Y173" s="903">
        <f>IF((Y164=1),Thermostat!$B$15,Thermostat!$B$16)</f>
        <v>60</v>
      </c>
      <c r="Z173" s="903">
        <f>IF((Z164=1),Thermostat!$B$15,Thermostat!$B$16)</f>
        <v>60</v>
      </c>
      <c r="AA173" s="903">
        <f>IF((AA164=1),Thermostat!$B$15,Thermostat!$B$16)</f>
        <v>60</v>
      </c>
      <c r="AB173" s="903">
        <f>IF((AB164=1),Thermostat!$B$15,Thermostat!$B$16)</f>
        <v>60</v>
      </c>
      <c r="AC173" s="908">
        <f>IF((AC164=1),Thermostat!$B$15,Thermostat!$B$16)</f>
        <v>60</v>
      </c>
    </row>
    <row r="174" spans="1:29" ht="18.600000000000001" customHeight="1" thickBot="1" x14ac:dyDescent="0.35">
      <c r="A174" s="872"/>
      <c r="B174" s="873"/>
      <c r="C174" s="881"/>
      <c r="D174" s="917"/>
      <c r="E174" s="909" t="s">
        <v>409</v>
      </c>
      <c r="F174" s="910">
        <f>IF((F165=1),Thermostat!$B$15,Thermostat!$B$16)</f>
        <v>60</v>
      </c>
      <c r="G174" s="910">
        <f>IF((G165=1),Thermostat!$B$15,Thermostat!$B$16)</f>
        <v>60</v>
      </c>
      <c r="H174" s="910">
        <f>IF((H165=1),Thermostat!$B$15,Thermostat!$B$16)</f>
        <v>60</v>
      </c>
      <c r="I174" s="910">
        <f>IF((I165=1),Thermostat!$B$15,Thermostat!$B$16)</f>
        <v>60</v>
      </c>
      <c r="J174" s="910">
        <f>IF((J165=1),Thermostat!$B$15,Thermostat!$B$16)</f>
        <v>60</v>
      </c>
      <c r="K174" s="910">
        <f>IF((K165=1),Thermostat!$B$15,Thermostat!$B$16)</f>
        <v>60</v>
      </c>
      <c r="L174" s="910">
        <f>IF((L165=1),Thermostat!$B$15,Thermostat!$B$16)</f>
        <v>60</v>
      </c>
      <c r="M174" s="910">
        <f>IF((M165=1),Thermostat!$B$15,Thermostat!$B$16)</f>
        <v>60</v>
      </c>
      <c r="N174" s="910">
        <f>IF((N165=1),Thermostat!$B$15,Thermostat!$B$16)</f>
        <v>60</v>
      </c>
      <c r="O174" s="910">
        <f>IF((O165=1),Thermostat!$B$15,Thermostat!$B$16)</f>
        <v>60</v>
      </c>
      <c r="P174" s="910">
        <f>IF((P165=1),Thermostat!$B$15,Thermostat!$B$16)</f>
        <v>60</v>
      </c>
      <c r="Q174" s="910">
        <f>IF((Q165=1),Thermostat!$B$15,Thermostat!$B$16)</f>
        <v>60</v>
      </c>
      <c r="R174" s="910">
        <f>IF((R165=1),Thermostat!$B$15,Thermostat!$B$16)</f>
        <v>60</v>
      </c>
      <c r="S174" s="910">
        <f>IF((S165=1),Thermostat!$B$15,Thermostat!$B$16)</f>
        <v>60</v>
      </c>
      <c r="T174" s="910">
        <f>IF((T165=1),Thermostat!$B$15,Thermostat!$B$16)</f>
        <v>60</v>
      </c>
      <c r="U174" s="910">
        <f>IF((U165=1),Thermostat!$B$15,Thermostat!$B$16)</f>
        <v>60</v>
      </c>
      <c r="V174" s="910">
        <f>IF((V165=1),Thermostat!$B$15,Thermostat!$B$16)</f>
        <v>60</v>
      </c>
      <c r="W174" s="910">
        <f>IF((W165=1),Thermostat!$B$15,Thermostat!$B$16)</f>
        <v>60</v>
      </c>
      <c r="X174" s="910">
        <f>IF((X165=1),Thermostat!$B$15,Thermostat!$B$16)</f>
        <v>60</v>
      </c>
      <c r="Y174" s="910">
        <f>IF((Y165=1),Thermostat!$B$15,Thermostat!$B$16)</f>
        <v>60</v>
      </c>
      <c r="Z174" s="910">
        <f>IF((Z165=1),Thermostat!$B$15,Thermostat!$B$16)</f>
        <v>60</v>
      </c>
      <c r="AA174" s="910">
        <f>IF((AA165=1),Thermostat!$B$15,Thermostat!$B$16)</f>
        <v>60</v>
      </c>
      <c r="AB174" s="910">
        <f>IF((AB165=1),Thermostat!$B$15,Thermostat!$B$16)</f>
        <v>60</v>
      </c>
      <c r="AC174" s="911">
        <f>IF((AC165=1),Thermostat!$B$15,Thermostat!$B$16)</f>
        <v>60</v>
      </c>
    </row>
    <row r="175" spans="1:29" ht="18.600000000000001" customHeight="1" x14ac:dyDescent="0.3">
      <c r="A175" s="882" t="s">
        <v>928</v>
      </c>
      <c r="B175" s="867" t="str">
        <f>B172</f>
        <v>AncillaryResidentialCommon</v>
      </c>
      <c r="C175" s="879" t="s">
        <v>756</v>
      </c>
      <c r="D175" s="915" t="s">
        <v>755</v>
      </c>
      <c r="E175" s="904" t="s">
        <v>407</v>
      </c>
      <c r="F175" s="905">
        <f>IF((F166=1),Thermostat!$B$17,Thermostat!$B$18)</f>
        <v>85</v>
      </c>
      <c r="G175" s="905">
        <f>IF((G166=1),Thermostat!$B$17,Thermostat!$B$18)</f>
        <v>85</v>
      </c>
      <c r="H175" s="905">
        <f>IF((H166=1),Thermostat!$B$17,Thermostat!$B$18)</f>
        <v>85</v>
      </c>
      <c r="I175" s="905">
        <f>IF((I166=1),Thermostat!$B$17,Thermostat!$B$18)</f>
        <v>85</v>
      </c>
      <c r="J175" s="905">
        <f>IF((J166=1),Thermostat!$B$17,Thermostat!$B$18)</f>
        <v>85</v>
      </c>
      <c r="K175" s="905">
        <f>IF((K166=1),Thermostat!$B$17,Thermostat!$B$18)</f>
        <v>85</v>
      </c>
      <c r="L175" s="905">
        <f>IF((L166=1),Thermostat!$B$17,Thermostat!$B$18)</f>
        <v>85</v>
      </c>
      <c r="M175" s="905">
        <f>IF((M166=1),Thermostat!$B$17,Thermostat!$B$18)</f>
        <v>85</v>
      </c>
      <c r="N175" s="905">
        <f>IF((N166=1),Thermostat!$B$17,Thermostat!$B$18)</f>
        <v>85</v>
      </c>
      <c r="O175" s="905">
        <f>IF((O166=1),Thermostat!$B$17,Thermostat!$B$18)</f>
        <v>85</v>
      </c>
      <c r="P175" s="905">
        <f>IF((P166=1),Thermostat!$B$17,Thermostat!$B$18)</f>
        <v>85</v>
      </c>
      <c r="Q175" s="905">
        <f>IF((Q166=1),Thermostat!$B$17,Thermostat!$B$18)</f>
        <v>85</v>
      </c>
      <c r="R175" s="905">
        <f>IF((R166=1),Thermostat!$B$17,Thermostat!$B$18)</f>
        <v>85</v>
      </c>
      <c r="S175" s="905">
        <f>IF((S166=1),Thermostat!$B$17,Thermostat!$B$18)</f>
        <v>85</v>
      </c>
      <c r="T175" s="905">
        <f>IF((T166=1),Thermostat!$B$17,Thermostat!$B$18)</f>
        <v>85</v>
      </c>
      <c r="U175" s="905">
        <f>IF((U166=1),Thermostat!$B$17,Thermostat!$B$18)</f>
        <v>85</v>
      </c>
      <c r="V175" s="905">
        <f>IF((V166=1),Thermostat!$B$17,Thermostat!$B$18)</f>
        <v>85</v>
      </c>
      <c r="W175" s="905">
        <f>IF((W166=1),Thermostat!$B$17,Thermostat!$B$18)</f>
        <v>85</v>
      </c>
      <c r="X175" s="905">
        <f>IF((X166=1),Thermostat!$B$17,Thermostat!$B$18)</f>
        <v>85</v>
      </c>
      <c r="Y175" s="905">
        <f>IF((Y166=1),Thermostat!$B$17,Thermostat!$B$18)</f>
        <v>85</v>
      </c>
      <c r="Z175" s="905">
        <f>IF((Z166=1),Thermostat!$B$17,Thermostat!$B$18)</f>
        <v>85</v>
      </c>
      <c r="AA175" s="905">
        <f>IF((AA166=1),Thermostat!$B$17,Thermostat!$B$18)</f>
        <v>85</v>
      </c>
      <c r="AB175" s="905">
        <f>IF((AB166=1),Thermostat!$B$17,Thermostat!$B$18)</f>
        <v>85</v>
      </c>
      <c r="AC175" s="906">
        <f>IF((AC166=1),Thermostat!$B$17,Thermostat!$B$18)</f>
        <v>85</v>
      </c>
    </row>
    <row r="176" spans="1:29" ht="18.600000000000001" customHeight="1" x14ac:dyDescent="0.3">
      <c r="A176" s="869"/>
      <c r="B176" s="870"/>
      <c r="C176" s="880"/>
      <c r="D176" s="916"/>
      <c r="E176" s="907" t="s">
        <v>408</v>
      </c>
      <c r="F176" s="903">
        <f>IF((F167=1),Thermostat!$B$17,Thermostat!$B$18)</f>
        <v>85</v>
      </c>
      <c r="G176" s="903">
        <f>IF((G167=1),Thermostat!$B$17,Thermostat!$B$18)</f>
        <v>85</v>
      </c>
      <c r="H176" s="903">
        <f>IF((H167=1),Thermostat!$B$17,Thermostat!$B$18)</f>
        <v>85</v>
      </c>
      <c r="I176" s="903">
        <f>IF((I167=1),Thermostat!$B$17,Thermostat!$B$18)</f>
        <v>85</v>
      </c>
      <c r="J176" s="903">
        <f>IF((J167=1),Thermostat!$B$17,Thermostat!$B$18)</f>
        <v>85</v>
      </c>
      <c r="K176" s="903">
        <f>IF((K167=1),Thermostat!$B$17,Thermostat!$B$18)</f>
        <v>85</v>
      </c>
      <c r="L176" s="903">
        <f>IF((L167=1),Thermostat!$B$17,Thermostat!$B$18)</f>
        <v>85</v>
      </c>
      <c r="M176" s="903">
        <f>IF((M167=1),Thermostat!$B$17,Thermostat!$B$18)</f>
        <v>85</v>
      </c>
      <c r="N176" s="903">
        <f>IF((N167=1),Thermostat!$B$17,Thermostat!$B$18)</f>
        <v>85</v>
      </c>
      <c r="O176" s="903">
        <f>IF((O167=1),Thermostat!$B$17,Thermostat!$B$18)</f>
        <v>85</v>
      </c>
      <c r="P176" s="903">
        <f>IF((P167=1),Thermostat!$B$17,Thermostat!$B$18)</f>
        <v>85</v>
      </c>
      <c r="Q176" s="903">
        <f>IF((Q167=1),Thermostat!$B$17,Thermostat!$B$18)</f>
        <v>85</v>
      </c>
      <c r="R176" s="903">
        <f>IF((R167=1),Thermostat!$B$17,Thermostat!$B$18)</f>
        <v>85</v>
      </c>
      <c r="S176" s="903">
        <f>IF((S167=1),Thermostat!$B$17,Thermostat!$B$18)</f>
        <v>85</v>
      </c>
      <c r="T176" s="903">
        <f>IF((T167=1),Thermostat!$B$17,Thermostat!$B$18)</f>
        <v>85</v>
      </c>
      <c r="U176" s="903">
        <f>IF((U167=1),Thermostat!$B$17,Thermostat!$B$18)</f>
        <v>85</v>
      </c>
      <c r="V176" s="903">
        <f>IF((V167=1),Thermostat!$B$17,Thermostat!$B$18)</f>
        <v>85</v>
      </c>
      <c r="W176" s="903">
        <f>IF((W167=1),Thermostat!$B$17,Thermostat!$B$18)</f>
        <v>85</v>
      </c>
      <c r="X176" s="903">
        <f>IF((X167=1),Thermostat!$B$17,Thermostat!$B$18)</f>
        <v>85</v>
      </c>
      <c r="Y176" s="903">
        <f>IF((Y167=1),Thermostat!$B$17,Thermostat!$B$18)</f>
        <v>85</v>
      </c>
      <c r="Z176" s="903">
        <f>IF((Z167=1),Thermostat!$B$17,Thermostat!$B$18)</f>
        <v>85</v>
      </c>
      <c r="AA176" s="903">
        <f>IF((AA167=1),Thermostat!$B$17,Thermostat!$B$18)</f>
        <v>85</v>
      </c>
      <c r="AB176" s="903">
        <f>IF((AB167=1),Thermostat!$B$17,Thermostat!$B$18)</f>
        <v>85</v>
      </c>
      <c r="AC176" s="908">
        <f>IF((AC167=1),Thermostat!$B$17,Thermostat!$B$18)</f>
        <v>85</v>
      </c>
    </row>
    <row r="177" spans="1:29" ht="18.600000000000001" customHeight="1" thickBot="1" x14ac:dyDescent="0.35">
      <c r="A177" s="883"/>
      <c r="B177" s="884"/>
      <c r="C177" s="885"/>
      <c r="D177" s="918"/>
      <c r="E177" s="909" t="s">
        <v>409</v>
      </c>
      <c r="F177" s="910">
        <f>IF((F168=1),Thermostat!$B$17,Thermostat!$B$18)</f>
        <v>85</v>
      </c>
      <c r="G177" s="910">
        <f>IF((G168=1),Thermostat!$B$17,Thermostat!$B$18)</f>
        <v>85</v>
      </c>
      <c r="H177" s="910">
        <f>IF((H168=1),Thermostat!$B$17,Thermostat!$B$18)</f>
        <v>85</v>
      </c>
      <c r="I177" s="910">
        <f>IF((I168=1),Thermostat!$B$17,Thermostat!$B$18)</f>
        <v>85</v>
      </c>
      <c r="J177" s="910">
        <f>IF((J168=1),Thermostat!$B$17,Thermostat!$B$18)</f>
        <v>85</v>
      </c>
      <c r="K177" s="910">
        <f>IF((K168=1),Thermostat!$B$17,Thermostat!$B$18)</f>
        <v>85</v>
      </c>
      <c r="L177" s="910">
        <f>IF((L168=1),Thermostat!$B$17,Thermostat!$B$18)</f>
        <v>85</v>
      </c>
      <c r="M177" s="910">
        <f>IF((M168=1),Thermostat!$B$17,Thermostat!$B$18)</f>
        <v>85</v>
      </c>
      <c r="N177" s="910">
        <f>IF((N168=1),Thermostat!$B$17,Thermostat!$B$18)</f>
        <v>85</v>
      </c>
      <c r="O177" s="910">
        <f>IF((O168=1),Thermostat!$B$17,Thermostat!$B$18)</f>
        <v>85</v>
      </c>
      <c r="P177" s="910">
        <f>IF((P168=1),Thermostat!$B$17,Thermostat!$B$18)</f>
        <v>85</v>
      </c>
      <c r="Q177" s="910">
        <f>IF((Q168=1),Thermostat!$B$17,Thermostat!$B$18)</f>
        <v>85</v>
      </c>
      <c r="R177" s="910">
        <f>IF((R168=1),Thermostat!$B$17,Thermostat!$B$18)</f>
        <v>85</v>
      </c>
      <c r="S177" s="910">
        <f>IF((S168=1),Thermostat!$B$17,Thermostat!$B$18)</f>
        <v>85</v>
      </c>
      <c r="T177" s="910">
        <f>IF((T168=1),Thermostat!$B$17,Thermostat!$B$18)</f>
        <v>85</v>
      </c>
      <c r="U177" s="910">
        <f>IF((U168=1),Thermostat!$B$17,Thermostat!$B$18)</f>
        <v>85</v>
      </c>
      <c r="V177" s="910">
        <f>IF((V168=1),Thermostat!$B$17,Thermostat!$B$18)</f>
        <v>85</v>
      </c>
      <c r="W177" s="910">
        <f>IF((W168=1),Thermostat!$B$17,Thermostat!$B$18)</f>
        <v>85</v>
      </c>
      <c r="X177" s="910">
        <f>IF((X168=1),Thermostat!$B$17,Thermostat!$B$18)</f>
        <v>85</v>
      </c>
      <c r="Y177" s="910">
        <f>IF((Y168=1),Thermostat!$B$17,Thermostat!$B$18)</f>
        <v>85</v>
      </c>
      <c r="Z177" s="910">
        <f>IF((Z168=1),Thermostat!$B$17,Thermostat!$B$18)</f>
        <v>85</v>
      </c>
      <c r="AA177" s="910">
        <f>IF((AA168=1),Thermostat!$B$17,Thermostat!$B$18)</f>
        <v>85</v>
      </c>
      <c r="AB177" s="910">
        <f>IF((AB168=1),Thermostat!$B$17,Thermostat!$B$18)</f>
        <v>85</v>
      </c>
      <c r="AC177" s="911">
        <f>IF((AC168=1),Thermostat!$B$17,Thermostat!$B$18)</f>
        <v>85</v>
      </c>
    </row>
    <row r="246" spans="1:40" s="29" customFormat="1" ht="13.2" hidden="1" x14ac:dyDescent="0.25">
      <c r="A246" s="29" t="s">
        <v>237</v>
      </c>
      <c r="I246" s="30"/>
      <c r="J246" s="32"/>
    </row>
    <row r="247" spans="1:40" ht="21.6" hidden="1" customHeight="1" thickBot="1" x14ac:dyDescent="0.35"/>
    <row r="248" spans="1:40" ht="34.950000000000003" hidden="1" customHeight="1" x14ac:dyDescent="0.3">
      <c r="C248" s="693" t="s">
        <v>775</v>
      </c>
      <c r="D248" s="696" t="s">
        <v>776</v>
      </c>
      <c r="E248" s="699" t="s">
        <v>777</v>
      </c>
      <c r="F248" s="433" t="s">
        <v>407</v>
      </c>
      <c r="G248" s="64">
        <v>0.40947755650000001</v>
      </c>
      <c r="H248" s="64">
        <v>0.40947755650000001</v>
      </c>
      <c r="I248" s="64">
        <v>0.40947755650000001</v>
      </c>
      <c r="J248" s="64">
        <v>0.40947755650000001</v>
      </c>
      <c r="K248" s="64">
        <v>0.40947755650000001</v>
      </c>
      <c r="L248" s="64">
        <v>0.40947755650000001</v>
      </c>
      <c r="M248" s="64">
        <v>0.47975263350000003</v>
      </c>
      <c r="N248" s="64">
        <v>0.47975263350000003</v>
      </c>
      <c r="O248" s="64">
        <v>0.95950526700000005</v>
      </c>
      <c r="P248" s="64">
        <v>0.95950526700000005</v>
      </c>
      <c r="Q248" s="64">
        <v>0.95950526700000005</v>
      </c>
      <c r="R248" s="64">
        <v>0.95950526700000005</v>
      </c>
      <c r="S248" s="64">
        <v>0.90193495097999998</v>
      </c>
      <c r="T248" s="64">
        <v>0.95950526700000005</v>
      </c>
      <c r="U248" s="64">
        <v>0.95950526700000005</v>
      </c>
      <c r="V248" s="64">
        <v>0.95950526700000005</v>
      </c>
      <c r="W248" s="64">
        <v>0.95950526700000005</v>
      </c>
      <c r="X248" s="64">
        <v>0.47975263350000003</v>
      </c>
      <c r="Y248" s="64">
        <v>0.19190105339999999</v>
      </c>
      <c r="Z248" s="64">
        <v>0.19190105339999999</v>
      </c>
      <c r="AA248" s="64">
        <v>0.19190105339999999</v>
      </c>
      <c r="AB248" s="64">
        <v>0.19190105339999999</v>
      </c>
      <c r="AC248" s="64">
        <v>0.19190105339999999</v>
      </c>
      <c r="AD248" s="65">
        <v>0.1637910226</v>
      </c>
      <c r="AN248" s="102"/>
    </row>
    <row r="249" spans="1:40" ht="34.950000000000003" hidden="1" customHeight="1" x14ac:dyDescent="0.3">
      <c r="C249" s="694"/>
      <c r="D249" s="697"/>
      <c r="E249" s="700"/>
      <c r="F249" s="434" t="s">
        <v>408</v>
      </c>
      <c r="G249" s="63">
        <v>0.1637910226</v>
      </c>
      <c r="H249" s="63">
        <v>0.1637910226</v>
      </c>
      <c r="I249" s="63">
        <v>0.1637910226</v>
      </c>
      <c r="J249" s="63">
        <v>0.1637910226</v>
      </c>
      <c r="K249" s="63">
        <v>0.1637910226</v>
      </c>
      <c r="L249" s="63">
        <v>0.1637910226</v>
      </c>
      <c r="M249" s="63">
        <v>0.1637910226</v>
      </c>
      <c r="N249" s="63">
        <v>0.1637910226</v>
      </c>
      <c r="O249" s="63">
        <v>0.1637910226</v>
      </c>
      <c r="P249" s="63">
        <v>0.1637910226</v>
      </c>
      <c r="Q249" s="63">
        <v>0.1637910226</v>
      </c>
      <c r="R249" s="63">
        <v>0.1637910226</v>
      </c>
      <c r="S249" s="63">
        <v>0.1637910226</v>
      </c>
      <c r="T249" s="63">
        <v>0.1637910226</v>
      </c>
      <c r="U249" s="63">
        <v>0.1637910226</v>
      </c>
      <c r="V249" s="63">
        <v>0.1637910226</v>
      </c>
      <c r="W249" s="63">
        <v>0.1637910226</v>
      </c>
      <c r="X249" s="63">
        <v>0.1637910226</v>
      </c>
      <c r="Y249" s="63">
        <v>0.1637910226</v>
      </c>
      <c r="Z249" s="63">
        <v>0.1637910226</v>
      </c>
      <c r="AA249" s="63">
        <v>0.1637910226</v>
      </c>
      <c r="AB249" s="63">
        <v>0.1637910226</v>
      </c>
      <c r="AC249" s="63">
        <v>0.1637910226</v>
      </c>
      <c r="AD249" s="66">
        <v>0.1637910226</v>
      </c>
      <c r="AN249" s="102"/>
    </row>
    <row r="250" spans="1:40" ht="34.950000000000003" hidden="1" customHeight="1" thickBot="1" x14ac:dyDescent="0.35">
      <c r="C250" s="695"/>
      <c r="D250" s="698"/>
      <c r="E250" s="701"/>
      <c r="F250" s="435" t="s">
        <v>409</v>
      </c>
      <c r="G250" s="67">
        <v>0.1637910226</v>
      </c>
      <c r="H250" s="67">
        <v>0.1637910226</v>
      </c>
      <c r="I250" s="67">
        <v>0.1637910226</v>
      </c>
      <c r="J250" s="67">
        <v>0.1637910226</v>
      </c>
      <c r="K250" s="67">
        <v>0.1637910226</v>
      </c>
      <c r="L250" s="67">
        <v>0.1637910226</v>
      </c>
      <c r="M250" s="67">
        <v>0.1637910226</v>
      </c>
      <c r="N250" s="67">
        <v>0.1637910226</v>
      </c>
      <c r="O250" s="67">
        <v>0.1637910226</v>
      </c>
      <c r="P250" s="67">
        <v>0.1637910226</v>
      </c>
      <c r="Q250" s="67">
        <v>0.1637910226</v>
      </c>
      <c r="R250" s="67">
        <v>0.1637910226</v>
      </c>
      <c r="S250" s="67">
        <v>0.1637910226</v>
      </c>
      <c r="T250" s="67">
        <v>0.1637910226</v>
      </c>
      <c r="U250" s="67">
        <v>0.1637910226</v>
      </c>
      <c r="V250" s="67">
        <v>0.1637910226</v>
      </c>
      <c r="W250" s="67">
        <v>0.1637910226</v>
      </c>
      <c r="X250" s="67">
        <v>0.1637910226</v>
      </c>
      <c r="Y250" s="67">
        <v>0.1637910226</v>
      </c>
      <c r="Z250" s="67">
        <v>0.1637910226</v>
      </c>
      <c r="AA250" s="67">
        <v>0.1637910226</v>
      </c>
      <c r="AB250" s="67">
        <v>0.1637910226</v>
      </c>
      <c r="AC250" s="67">
        <v>0.1637910226</v>
      </c>
      <c r="AD250" s="68">
        <v>0.1637910226</v>
      </c>
      <c r="AN250" s="102"/>
    </row>
    <row r="251" spans="1:40" ht="12" hidden="1" thickBot="1" x14ac:dyDescent="0.35"/>
    <row r="252" spans="1:40" hidden="1" x14ac:dyDescent="0.3">
      <c r="C252" s="672" t="s">
        <v>778</v>
      </c>
      <c r="D252" s="675" t="s">
        <v>640</v>
      </c>
      <c r="E252" s="678"/>
      <c r="F252" s="229" t="s">
        <v>407</v>
      </c>
      <c r="G252" s="268">
        <v>1</v>
      </c>
      <c r="H252" s="268">
        <v>1</v>
      </c>
      <c r="I252" s="268">
        <v>1</v>
      </c>
      <c r="J252" s="268">
        <v>1</v>
      </c>
      <c r="K252" s="268">
        <v>1</v>
      </c>
      <c r="L252" s="268">
        <v>1</v>
      </c>
      <c r="M252" s="268">
        <v>1</v>
      </c>
      <c r="N252" s="268">
        <v>1</v>
      </c>
      <c r="O252" s="268">
        <v>1</v>
      </c>
      <c r="P252" s="268">
        <v>1</v>
      </c>
      <c r="Q252" s="268">
        <v>1</v>
      </c>
      <c r="R252" s="268">
        <v>1</v>
      </c>
      <c r="S252" s="268">
        <v>1</v>
      </c>
      <c r="T252" s="268">
        <v>1</v>
      </c>
      <c r="U252" s="268">
        <v>1</v>
      </c>
      <c r="V252" s="268">
        <v>1</v>
      </c>
      <c r="W252" s="268">
        <v>1</v>
      </c>
      <c r="X252" s="268">
        <v>1</v>
      </c>
      <c r="Y252" s="268">
        <v>1</v>
      </c>
      <c r="Z252" s="268">
        <v>1</v>
      </c>
      <c r="AA252" s="268">
        <v>1</v>
      </c>
      <c r="AB252" s="268">
        <v>1</v>
      </c>
      <c r="AC252" s="268">
        <v>1</v>
      </c>
      <c r="AD252" s="271">
        <v>1</v>
      </c>
    </row>
    <row r="253" spans="1:40" hidden="1" x14ac:dyDescent="0.3">
      <c r="C253" s="673"/>
      <c r="D253" s="676"/>
      <c r="E253" s="679"/>
      <c r="F253" s="219" t="s">
        <v>408</v>
      </c>
      <c r="G253" s="269">
        <v>1</v>
      </c>
      <c r="H253" s="269">
        <v>1</v>
      </c>
      <c r="I253" s="269">
        <v>1</v>
      </c>
      <c r="J253" s="269">
        <v>1</v>
      </c>
      <c r="K253" s="269">
        <v>1</v>
      </c>
      <c r="L253" s="269">
        <v>1</v>
      </c>
      <c r="M253" s="269">
        <v>1</v>
      </c>
      <c r="N253" s="269">
        <v>1</v>
      </c>
      <c r="O253" s="269">
        <v>1</v>
      </c>
      <c r="P253" s="269">
        <v>1</v>
      </c>
      <c r="Q253" s="269">
        <v>1</v>
      </c>
      <c r="R253" s="269">
        <v>1</v>
      </c>
      <c r="S253" s="269">
        <v>1</v>
      </c>
      <c r="T253" s="269">
        <v>1</v>
      </c>
      <c r="U253" s="269">
        <v>1</v>
      </c>
      <c r="V253" s="269">
        <v>1</v>
      </c>
      <c r="W253" s="269">
        <v>1</v>
      </c>
      <c r="X253" s="269">
        <v>1</v>
      </c>
      <c r="Y253" s="269">
        <v>1</v>
      </c>
      <c r="Z253" s="269">
        <v>1</v>
      </c>
      <c r="AA253" s="269">
        <v>1</v>
      </c>
      <c r="AB253" s="269">
        <v>1</v>
      </c>
      <c r="AC253" s="269">
        <v>1</v>
      </c>
      <c r="AD253" s="272">
        <v>1</v>
      </c>
    </row>
    <row r="254" spans="1:40" ht="12" hidden="1" thickBot="1" x14ac:dyDescent="0.35">
      <c r="C254" s="674"/>
      <c r="D254" s="677"/>
      <c r="E254" s="680"/>
      <c r="F254" s="231" t="s">
        <v>409</v>
      </c>
      <c r="G254" s="270">
        <v>1</v>
      </c>
      <c r="H254" s="270">
        <v>1</v>
      </c>
      <c r="I254" s="270">
        <v>1</v>
      </c>
      <c r="J254" s="270">
        <v>1</v>
      </c>
      <c r="K254" s="270">
        <v>1</v>
      </c>
      <c r="L254" s="270">
        <v>1</v>
      </c>
      <c r="M254" s="270">
        <v>1</v>
      </c>
      <c r="N254" s="270">
        <v>1</v>
      </c>
      <c r="O254" s="270">
        <v>1</v>
      </c>
      <c r="P254" s="270">
        <v>1</v>
      </c>
      <c r="Q254" s="270">
        <v>1</v>
      </c>
      <c r="R254" s="270">
        <v>1</v>
      </c>
      <c r="S254" s="270">
        <v>1</v>
      </c>
      <c r="T254" s="270">
        <v>1</v>
      </c>
      <c r="U254" s="270">
        <v>1</v>
      </c>
      <c r="V254" s="270">
        <v>1</v>
      </c>
      <c r="W254" s="270">
        <v>1</v>
      </c>
      <c r="X254" s="270">
        <v>1</v>
      </c>
      <c r="Y254" s="270">
        <v>1</v>
      </c>
      <c r="Z254" s="270">
        <v>1</v>
      </c>
      <c r="AA254" s="270">
        <v>1</v>
      </c>
      <c r="AB254" s="270">
        <v>1</v>
      </c>
      <c r="AC254" s="270">
        <v>1</v>
      </c>
      <c r="AD254" s="273">
        <v>1</v>
      </c>
    </row>
    <row r="255" spans="1:40" hidden="1" x14ac:dyDescent="0.3"/>
    <row r="256" spans="1:40" hidden="1" x14ac:dyDescent="0.3"/>
    <row r="257" hidden="1" x14ac:dyDescent="0.3"/>
    <row r="258" hidden="1" x14ac:dyDescent="0.3"/>
  </sheetData>
  <mergeCells count="243">
    <mergeCell ref="A172:A174"/>
    <mergeCell ref="B172:B174"/>
    <mergeCell ref="C172:C174"/>
    <mergeCell ref="D172:D174"/>
    <mergeCell ref="A175:A177"/>
    <mergeCell ref="B175:B177"/>
    <mergeCell ref="C175:C177"/>
    <mergeCell ref="D175:D177"/>
    <mergeCell ref="A163:A165"/>
    <mergeCell ref="B163:B165"/>
    <mergeCell ref="C163:C165"/>
    <mergeCell ref="D163:D165"/>
    <mergeCell ref="A166:A168"/>
    <mergeCell ref="B166:B168"/>
    <mergeCell ref="C166:C168"/>
    <mergeCell ref="D166:D168"/>
    <mergeCell ref="A169:A171"/>
    <mergeCell ref="B169:B171"/>
    <mergeCell ref="C169:C171"/>
    <mergeCell ref="D169:D171"/>
    <mergeCell ref="A154:A156"/>
    <mergeCell ref="B154:B156"/>
    <mergeCell ref="C154:C156"/>
    <mergeCell ref="D154:D156"/>
    <mergeCell ref="A157:A159"/>
    <mergeCell ref="B157:B159"/>
    <mergeCell ref="C157:C159"/>
    <mergeCell ref="D157:D159"/>
    <mergeCell ref="A160:A162"/>
    <mergeCell ref="B160:B162"/>
    <mergeCell ref="C160:C162"/>
    <mergeCell ref="D160:D162"/>
    <mergeCell ref="A147:A149"/>
    <mergeCell ref="B147:B149"/>
    <mergeCell ref="C147:C149"/>
    <mergeCell ref="D147:D149"/>
    <mergeCell ref="A150:A152"/>
    <mergeCell ref="B150:B152"/>
    <mergeCell ref="C150:C152"/>
    <mergeCell ref="D150:D152"/>
    <mergeCell ref="A153:AC153"/>
    <mergeCell ref="A138:A140"/>
    <mergeCell ref="B138:B140"/>
    <mergeCell ref="C138:C140"/>
    <mergeCell ref="D138:D140"/>
    <mergeCell ref="A141:A143"/>
    <mergeCell ref="B141:B143"/>
    <mergeCell ref="C141:C143"/>
    <mergeCell ref="D141:D143"/>
    <mergeCell ref="A144:A146"/>
    <mergeCell ref="B144:B146"/>
    <mergeCell ref="C144:C146"/>
    <mergeCell ref="D144:D146"/>
    <mergeCell ref="D129:D131"/>
    <mergeCell ref="A132:A134"/>
    <mergeCell ref="B132:B134"/>
    <mergeCell ref="C132:C134"/>
    <mergeCell ref="D132:D134"/>
    <mergeCell ref="A135:A137"/>
    <mergeCell ref="B135:B137"/>
    <mergeCell ref="C135:C137"/>
    <mergeCell ref="D135:D137"/>
    <mergeCell ref="A103:A105"/>
    <mergeCell ref="B103:B105"/>
    <mergeCell ref="C103:C105"/>
    <mergeCell ref="D103:D105"/>
    <mergeCell ref="A94:A96"/>
    <mergeCell ref="B94:B96"/>
    <mergeCell ref="C94:C96"/>
    <mergeCell ref="D94:D96"/>
    <mergeCell ref="A97:A99"/>
    <mergeCell ref="B97:B99"/>
    <mergeCell ref="C97:C99"/>
    <mergeCell ref="D97:D99"/>
    <mergeCell ref="A100:A102"/>
    <mergeCell ref="B100:B102"/>
    <mergeCell ref="C100:C102"/>
    <mergeCell ref="D100:D102"/>
    <mergeCell ref="A85:A87"/>
    <mergeCell ref="B85:B87"/>
    <mergeCell ref="C85:C87"/>
    <mergeCell ref="D85:D87"/>
    <mergeCell ref="A88:A90"/>
    <mergeCell ref="B88:B90"/>
    <mergeCell ref="C88:C90"/>
    <mergeCell ref="D88:D90"/>
    <mergeCell ref="A91:A93"/>
    <mergeCell ref="B91:B93"/>
    <mergeCell ref="C91:C93"/>
    <mergeCell ref="D91:D93"/>
    <mergeCell ref="B53:B55"/>
    <mergeCell ref="B47:B49"/>
    <mergeCell ref="B50:B52"/>
    <mergeCell ref="B44:B46"/>
    <mergeCell ref="B41:B43"/>
    <mergeCell ref="B38:B40"/>
    <mergeCell ref="B35:B37"/>
    <mergeCell ref="B32:B34"/>
    <mergeCell ref="B75:B77"/>
    <mergeCell ref="B78:B80"/>
    <mergeCell ref="B72:B74"/>
    <mergeCell ref="B69:B71"/>
    <mergeCell ref="B66:B68"/>
    <mergeCell ref="B63:B65"/>
    <mergeCell ref="B60:B62"/>
    <mergeCell ref="B57:B59"/>
    <mergeCell ref="A56:AC56"/>
    <mergeCell ref="A81:AC81"/>
    <mergeCell ref="C63:C65"/>
    <mergeCell ref="D63:D65"/>
    <mergeCell ref="C66:C68"/>
    <mergeCell ref="D66:D68"/>
    <mergeCell ref="A116:A118"/>
    <mergeCell ref="A119:A121"/>
    <mergeCell ref="A122:A124"/>
    <mergeCell ref="B116:B118"/>
    <mergeCell ref="B119:B121"/>
    <mergeCell ref="B122:B124"/>
    <mergeCell ref="A107:A109"/>
    <mergeCell ref="A110:A112"/>
    <mergeCell ref="A113:A115"/>
    <mergeCell ref="B107:B109"/>
    <mergeCell ref="B110:B112"/>
    <mergeCell ref="B113:B115"/>
    <mergeCell ref="A53:A55"/>
    <mergeCell ref="A57:A59"/>
    <mergeCell ref="A60:A62"/>
    <mergeCell ref="A63:A65"/>
    <mergeCell ref="A66:A68"/>
    <mergeCell ref="A69:A71"/>
    <mergeCell ref="A72:A74"/>
    <mergeCell ref="A75:A77"/>
    <mergeCell ref="A78:A80"/>
    <mergeCell ref="A28:A30"/>
    <mergeCell ref="B2:B3"/>
    <mergeCell ref="A32:A34"/>
    <mergeCell ref="A35:A37"/>
    <mergeCell ref="A38:A40"/>
    <mergeCell ref="A41:A43"/>
    <mergeCell ref="A44:A46"/>
    <mergeCell ref="A47:A49"/>
    <mergeCell ref="A50:A52"/>
    <mergeCell ref="A31:AC31"/>
    <mergeCell ref="A2:A3"/>
    <mergeCell ref="A4:A6"/>
    <mergeCell ref="A7:A9"/>
    <mergeCell ref="A10:A12"/>
    <mergeCell ref="A13:A15"/>
    <mergeCell ref="A16:A18"/>
    <mergeCell ref="A19:A21"/>
    <mergeCell ref="A22:A24"/>
    <mergeCell ref="A25:A27"/>
    <mergeCell ref="B4:B6"/>
    <mergeCell ref="B7:B9"/>
    <mergeCell ref="B10:B12"/>
    <mergeCell ref="B13:B15"/>
    <mergeCell ref="B16:B18"/>
    <mergeCell ref="B19:B21"/>
    <mergeCell ref="B22:B24"/>
    <mergeCell ref="B25:B27"/>
    <mergeCell ref="B28:B30"/>
    <mergeCell ref="C4:C6"/>
    <mergeCell ref="C7:C9"/>
    <mergeCell ref="C2:C3"/>
    <mergeCell ref="D10:D12"/>
    <mergeCell ref="D7:D9"/>
    <mergeCell ref="D25:D27"/>
    <mergeCell ref="C28:C30"/>
    <mergeCell ref="D28:D30"/>
    <mergeCell ref="D22:D24"/>
    <mergeCell ref="C22:C24"/>
    <mergeCell ref="F2:AC2"/>
    <mergeCell ref="E2:E3"/>
    <mergeCell ref="D2:D3"/>
    <mergeCell ref="D4:D6"/>
    <mergeCell ref="C10:C12"/>
    <mergeCell ref="A1:AC1"/>
    <mergeCell ref="C41:C43"/>
    <mergeCell ref="D41:D43"/>
    <mergeCell ref="C47:C49"/>
    <mergeCell ref="D47:D49"/>
    <mergeCell ref="C44:C46"/>
    <mergeCell ref="C13:C15"/>
    <mergeCell ref="D16:D18"/>
    <mergeCell ref="C19:C21"/>
    <mergeCell ref="D19:D21"/>
    <mergeCell ref="D13:D15"/>
    <mergeCell ref="C16:C18"/>
    <mergeCell ref="C32:C34"/>
    <mergeCell ref="D32:D34"/>
    <mergeCell ref="C35:C37"/>
    <mergeCell ref="D35:D37"/>
    <mergeCell ref="C38:C40"/>
    <mergeCell ref="D38:D40"/>
    <mergeCell ref="C25:C27"/>
    <mergeCell ref="D44:D46"/>
    <mergeCell ref="C50:C52"/>
    <mergeCell ref="D50:D52"/>
    <mergeCell ref="C107:C109"/>
    <mergeCell ref="D107:D109"/>
    <mergeCell ref="C53:C55"/>
    <mergeCell ref="D53:D55"/>
    <mergeCell ref="C75:C77"/>
    <mergeCell ref="D75:D77"/>
    <mergeCell ref="C57:C59"/>
    <mergeCell ref="D57:D59"/>
    <mergeCell ref="C60:C62"/>
    <mergeCell ref="D60:D62"/>
    <mergeCell ref="C78:C80"/>
    <mergeCell ref="D78:D80"/>
    <mergeCell ref="C72:C74"/>
    <mergeCell ref="D72:D74"/>
    <mergeCell ref="C69:C71"/>
    <mergeCell ref="D69:D71"/>
    <mergeCell ref="A106:AC106"/>
    <mergeCell ref="A82:A84"/>
    <mergeCell ref="B82:B84"/>
    <mergeCell ref="C82:C84"/>
    <mergeCell ref="D82:D84"/>
    <mergeCell ref="C252:C254"/>
    <mergeCell ref="D252:D254"/>
    <mergeCell ref="E252:E254"/>
    <mergeCell ref="C113:C115"/>
    <mergeCell ref="D113:D115"/>
    <mergeCell ref="C110:C112"/>
    <mergeCell ref="D110:D112"/>
    <mergeCell ref="C119:C121"/>
    <mergeCell ref="D119:D121"/>
    <mergeCell ref="C122:C124"/>
    <mergeCell ref="D122:D124"/>
    <mergeCell ref="C116:C118"/>
    <mergeCell ref="D116:D118"/>
    <mergeCell ref="C248:C250"/>
    <mergeCell ref="D248:D250"/>
    <mergeCell ref="E248:E250"/>
    <mergeCell ref="A125:AC125"/>
    <mergeCell ref="A126:A128"/>
    <mergeCell ref="B126:B128"/>
    <mergeCell ref="C126:C128"/>
    <mergeCell ref="D126:D128"/>
    <mergeCell ref="A129:A131"/>
    <mergeCell ref="B129:B131"/>
    <mergeCell ref="C129:C1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2"/>
  <sheetViews>
    <sheetView topLeftCell="R15" zoomScaleNormal="55" workbookViewId="0">
      <selection activeCell="AT19" sqref="AT19"/>
    </sheetView>
  </sheetViews>
  <sheetFormatPr defaultColWidth="8.6640625" defaultRowHeight="15" customHeight="1" x14ac:dyDescent="0.25"/>
  <cols>
    <col min="1" max="1" width="14.44140625" style="5" customWidth="1"/>
    <col min="2" max="2" width="9.33203125" style="5" customWidth="1"/>
    <col min="3" max="3" width="13.6640625" style="5" customWidth="1"/>
    <col min="4" max="4" width="15.33203125" style="5" customWidth="1"/>
    <col min="5" max="5" width="13.6640625" style="5" customWidth="1"/>
    <col min="6" max="6" width="20.5546875" style="5" customWidth="1"/>
    <col min="7" max="7" width="16.5546875" style="5" bestFit="1" customWidth="1"/>
    <col min="8" max="8" width="16.88671875" style="5" bestFit="1" customWidth="1"/>
    <col min="9" max="9" width="10.6640625" style="5" customWidth="1"/>
    <col min="10" max="11" width="13.44140625" style="5" bestFit="1" customWidth="1"/>
    <col min="12" max="12" width="19.44140625" style="5" bestFit="1" customWidth="1"/>
    <col min="13" max="13" width="8.6640625" style="5"/>
    <col min="14" max="14" width="21.6640625" style="5" customWidth="1"/>
    <col min="15" max="15" width="13.6640625" style="5" customWidth="1"/>
    <col min="16" max="16" width="17.88671875" style="5" customWidth="1"/>
    <col min="17" max="19" width="20.88671875" style="5" customWidth="1"/>
    <col min="20" max="23" width="12.44140625" style="5" customWidth="1"/>
    <col min="24" max="16384" width="8.6640625" style="5"/>
  </cols>
  <sheetData>
    <row r="1" spans="1:22" ht="27" customHeight="1" x14ac:dyDescent="0.25">
      <c r="A1" s="779" t="s">
        <v>779</v>
      </c>
      <c r="B1" s="779"/>
      <c r="C1" s="779"/>
      <c r="D1" s="779"/>
      <c r="E1" s="779"/>
      <c r="F1" s="779"/>
      <c r="G1" s="779"/>
      <c r="H1" s="779"/>
      <c r="I1" s="779"/>
      <c r="J1" s="779"/>
      <c r="K1" s="779"/>
      <c r="L1" s="779"/>
      <c r="N1" s="780" t="s">
        <v>780</v>
      </c>
      <c r="O1" s="780"/>
      <c r="P1" s="780"/>
      <c r="Q1" s="780"/>
      <c r="R1" s="780"/>
      <c r="S1" s="780"/>
      <c r="T1" s="780"/>
      <c r="U1" s="780"/>
      <c r="V1" s="780"/>
    </row>
    <row r="2" spans="1:22" ht="54" customHeight="1" x14ac:dyDescent="0.25">
      <c r="A2" s="330" t="s">
        <v>9</v>
      </c>
      <c r="B2" s="330" t="s">
        <v>781</v>
      </c>
      <c r="C2" s="334" t="s">
        <v>782</v>
      </c>
      <c r="D2" s="334" t="s">
        <v>783</v>
      </c>
      <c r="E2" s="334" t="s">
        <v>784</v>
      </c>
      <c r="F2" s="334" t="s">
        <v>785</v>
      </c>
      <c r="G2" s="334" t="s">
        <v>786</v>
      </c>
      <c r="H2" s="334" t="s">
        <v>787</v>
      </c>
      <c r="I2" s="335" t="s">
        <v>788</v>
      </c>
      <c r="J2" s="335" t="s">
        <v>789</v>
      </c>
      <c r="K2" s="335" t="s">
        <v>790</v>
      </c>
      <c r="L2" s="335" t="s">
        <v>791</v>
      </c>
      <c r="N2" s="330" t="s">
        <v>9</v>
      </c>
      <c r="O2" s="436" t="s">
        <v>781</v>
      </c>
      <c r="P2" s="436" t="s">
        <v>792</v>
      </c>
      <c r="Q2" s="332" t="s">
        <v>793</v>
      </c>
      <c r="R2" s="332" t="s">
        <v>794</v>
      </c>
      <c r="S2" s="332" t="s">
        <v>795</v>
      </c>
      <c r="T2" s="332" t="s">
        <v>789</v>
      </c>
      <c r="U2" s="332" t="s">
        <v>790</v>
      </c>
      <c r="V2" s="332" t="s">
        <v>796</v>
      </c>
    </row>
    <row r="3" spans="1:22" ht="19.2" customHeight="1" x14ac:dyDescent="0.25">
      <c r="A3" s="611" t="s">
        <v>60</v>
      </c>
      <c r="B3" s="459">
        <v>1</v>
      </c>
      <c r="C3" s="459"/>
      <c r="D3" s="459"/>
      <c r="E3" s="459"/>
      <c r="F3" s="537"/>
      <c r="G3" s="537"/>
      <c r="H3" s="537"/>
      <c r="I3" s="459">
        <v>63.9</v>
      </c>
      <c r="J3" s="537">
        <f>(I3*1.25)</f>
        <v>79.875</v>
      </c>
      <c r="K3" s="537">
        <f>(I3*0.75)</f>
        <v>47.924999999999997</v>
      </c>
      <c r="L3" s="537">
        <f>J3-K3</f>
        <v>31.950000000000003</v>
      </c>
      <c r="N3" s="612" t="s">
        <v>367</v>
      </c>
      <c r="O3" s="331">
        <v>1</v>
      </c>
      <c r="P3" s="333">
        <v>9588</v>
      </c>
      <c r="Q3" s="99">
        <v>10.07</v>
      </c>
      <c r="R3" s="99">
        <v>6.41</v>
      </c>
      <c r="S3" s="99">
        <f>(Q3+R3)*3.412</f>
        <v>56.229759999999999</v>
      </c>
      <c r="T3" s="99">
        <f>S3*1.25</f>
        <v>70.287199999999999</v>
      </c>
      <c r="U3" s="99">
        <f>S3*0.75</f>
        <v>42.172319999999999</v>
      </c>
      <c r="V3" s="336">
        <f>T3-U3</f>
        <v>28.114879999999999</v>
      </c>
    </row>
    <row r="4" spans="1:22" ht="19.2" customHeight="1" x14ac:dyDescent="0.25">
      <c r="A4" s="611"/>
      <c r="B4" s="459">
        <v>2</v>
      </c>
      <c r="C4" s="459"/>
      <c r="D4" s="459"/>
      <c r="E4" s="459"/>
      <c r="F4" s="537"/>
      <c r="G4" s="537"/>
      <c r="H4" s="537"/>
      <c r="I4" s="459">
        <v>59.3</v>
      </c>
      <c r="J4" s="537">
        <f t="shared" ref="J4:J18" si="0">(I4*1.25)</f>
        <v>74.125</v>
      </c>
      <c r="K4" s="537">
        <f t="shared" ref="K4:K18" si="1">(I4*0.75)</f>
        <v>44.474999999999994</v>
      </c>
      <c r="L4" s="537">
        <f t="shared" ref="L4:L18" si="2">J4-K4</f>
        <v>29.650000000000006</v>
      </c>
      <c r="N4" s="612"/>
      <c r="O4" s="331">
        <v>2</v>
      </c>
      <c r="P4" s="333">
        <v>42372</v>
      </c>
      <c r="Q4" s="99">
        <v>9.11</v>
      </c>
      <c r="R4" s="99">
        <v>5.42</v>
      </c>
      <c r="S4" s="99">
        <f t="shared" ref="S4:S18" si="3">(Q4+R4)*3.412</f>
        <v>49.576359999999994</v>
      </c>
      <c r="T4" s="99">
        <f t="shared" ref="T4:T18" si="4">S4*1.25</f>
        <v>61.970449999999992</v>
      </c>
      <c r="U4" s="99">
        <f t="shared" ref="U4:U18" si="5">S4*0.75</f>
        <v>37.182269999999995</v>
      </c>
      <c r="V4" s="336">
        <f t="shared" ref="V4:V18" si="6">T4-U4</f>
        <v>24.788179999999997</v>
      </c>
    </row>
    <row r="5" spans="1:22" ht="19.2" customHeight="1" x14ac:dyDescent="0.25">
      <c r="A5" s="611"/>
      <c r="B5" s="459">
        <v>3</v>
      </c>
      <c r="C5" s="459"/>
      <c r="D5" s="459"/>
      <c r="E5" s="459"/>
      <c r="F5" s="537"/>
      <c r="G5" s="537"/>
      <c r="H5" s="537"/>
      <c r="I5" s="459">
        <v>57.3</v>
      </c>
      <c r="J5" s="537">
        <f t="shared" si="0"/>
        <v>71.625</v>
      </c>
      <c r="K5" s="537">
        <f t="shared" si="1"/>
        <v>42.974999999999994</v>
      </c>
      <c r="L5" s="537">
        <f t="shared" si="2"/>
        <v>28.650000000000006</v>
      </c>
      <c r="N5" s="612"/>
      <c r="O5" s="331">
        <v>3</v>
      </c>
      <c r="P5" s="333">
        <v>61013</v>
      </c>
      <c r="Q5" s="99">
        <v>8.06</v>
      </c>
      <c r="R5" s="99">
        <v>8.35</v>
      </c>
      <c r="S5" s="99">
        <f t="shared" si="3"/>
        <v>55.990920000000003</v>
      </c>
      <c r="T5" s="99">
        <f t="shared" si="4"/>
        <v>69.988650000000007</v>
      </c>
      <c r="U5" s="99">
        <f t="shared" si="5"/>
        <v>41.993189999999998</v>
      </c>
      <c r="V5" s="336">
        <f t="shared" si="6"/>
        <v>27.995460000000008</v>
      </c>
    </row>
    <row r="6" spans="1:22" ht="19.2" customHeight="1" x14ac:dyDescent="0.25">
      <c r="A6" s="611"/>
      <c r="B6" s="459">
        <v>4</v>
      </c>
      <c r="C6" s="459"/>
      <c r="D6" s="459"/>
      <c r="E6" s="459"/>
      <c r="F6" s="537"/>
      <c r="G6" s="537"/>
      <c r="H6" s="537"/>
      <c r="I6" s="459">
        <v>61.3</v>
      </c>
      <c r="J6" s="537">
        <f t="shared" si="0"/>
        <v>76.625</v>
      </c>
      <c r="K6" s="537">
        <f t="shared" si="1"/>
        <v>45.974999999999994</v>
      </c>
      <c r="L6" s="537">
        <f t="shared" si="2"/>
        <v>30.650000000000006</v>
      </c>
      <c r="N6" s="612"/>
      <c r="O6" s="331">
        <v>4</v>
      </c>
      <c r="P6" s="333">
        <v>28798</v>
      </c>
      <c r="Q6" s="99">
        <v>7.94</v>
      </c>
      <c r="R6" s="99">
        <v>7.84</v>
      </c>
      <c r="S6" s="99">
        <f t="shared" si="3"/>
        <v>53.841360000000002</v>
      </c>
      <c r="T6" s="99">
        <f t="shared" si="4"/>
        <v>67.301699999999997</v>
      </c>
      <c r="U6" s="99">
        <f t="shared" si="5"/>
        <v>40.381019999999999</v>
      </c>
      <c r="V6" s="336">
        <f t="shared" si="6"/>
        <v>26.920679999999997</v>
      </c>
    </row>
    <row r="7" spans="1:22" ht="19.2" customHeight="1" x14ac:dyDescent="0.25">
      <c r="A7" s="611"/>
      <c r="B7" s="459">
        <v>5</v>
      </c>
      <c r="C7" s="459"/>
      <c r="D7" s="459"/>
      <c r="E7" s="459"/>
      <c r="F7" s="537"/>
      <c r="G7" s="537"/>
      <c r="H7" s="537"/>
      <c r="I7" s="459">
        <v>56.3</v>
      </c>
      <c r="J7" s="537">
        <f t="shared" si="0"/>
        <v>70.375</v>
      </c>
      <c r="K7" s="537">
        <f t="shared" si="1"/>
        <v>42.224999999999994</v>
      </c>
      <c r="L7" s="537">
        <f t="shared" si="2"/>
        <v>28.150000000000006</v>
      </c>
      <c r="N7" s="612"/>
      <c r="O7" s="331">
        <v>5</v>
      </c>
      <c r="P7" s="333">
        <v>9409</v>
      </c>
      <c r="Q7" s="99">
        <v>7.94</v>
      </c>
      <c r="R7" s="99">
        <v>11.86</v>
      </c>
      <c r="S7" s="99">
        <f t="shared" si="3"/>
        <v>67.557600000000008</v>
      </c>
      <c r="T7" s="99">
        <f t="shared" si="4"/>
        <v>84.447000000000003</v>
      </c>
      <c r="U7" s="99">
        <f t="shared" si="5"/>
        <v>50.668200000000006</v>
      </c>
      <c r="V7" s="336">
        <f t="shared" si="6"/>
        <v>33.778799999999997</v>
      </c>
    </row>
    <row r="8" spans="1:22" ht="19.2" customHeight="1" x14ac:dyDescent="0.25">
      <c r="A8" s="611"/>
      <c r="B8" s="459">
        <v>6</v>
      </c>
      <c r="C8" s="459"/>
      <c r="D8" s="459"/>
      <c r="E8" s="459"/>
      <c r="F8" s="537"/>
      <c r="G8" s="537"/>
      <c r="H8" s="537"/>
      <c r="I8" s="459">
        <v>55.7</v>
      </c>
      <c r="J8" s="537">
        <f t="shared" si="0"/>
        <v>69.625</v>
      </c>
      <c r="K8" s="537">
        <f t="shared" si="1"/>
        <v>41.775000000000006</v>
      </c>
      <c r="L8" s="537">
        <f t="shared" si="2"/>
        <v>27.849999999999994</v>
      </c>
      <c r="N8" s="612"/>
      <c r="O8" s="331">
        <v>6</v>
      </c>
      <c r="P8" s="333">
        <v>34023</v>
      </c>
      <c r="Q8" s="99">
        <v>9.0299999999999994</v>
      </c>
      <c r="R8" s="99">
        <v>10.6</v>
      </c>
      <c r="S8" s="99">
        <f t="shared" si="3"/>
        <v>66.977559999999997</v>
      </c>
      <c r="T8" s="99">
        <f t="shared" si="4"/>
        <v>83.721949999999993</v>
      </c>
      <c r="U8" s="99">
        <f t="shared" si="5"/>
        <v>50.233170000000001</v>
      </c>
      <c r="V8" s="336">
        <f t="shared" si="6"/>
        <v>33.488779999999991</v>
      </c>
    </row>
    <row r="9" spans="1:22" ht="19.2" customHeight="1" x14ac:dyDescent="0.25">
      <c r="A9" s="611"/>
      <c r="B9" s="459">
        <v>7</v>
      </c>
      <c r="C9" s="459"/>
      <c r="D9" s="459"/>
      <c r="E9" s="459"/>
      <c r="F9" s="537"/>
      <c r="G9" s="537"/>
      <c r="H9" s="537"/>
      <c r="I9" s="459">
        <v>55.9</v>
      </c>
      <c r="J9" s="537">
        <f t="shared" si="0"/>
        <v>69.875</v>
      </c>
      <c r="K9" s="537">
        <f t="shared" si="1"/>
        <v>41.924999999999997</v>
      </c>
      <c r="L9" s="537">
        <f t="shared" si="2"/>
        <v>27.950000000000003</v>
      </c>
      <c r="N9" s="612"/>
      <c r="O9" s="331">
        <v>7</v>
      </c>
      <c r="P9" s="333">
        <v>37336</v>
      </c>
      <c r="Q9" s="99">
        <v>11.69</v>
      </c>
      <c r="R9" s="99">
        <v>8.98</v>
      </c>
      <c r="S9" s="99">
        <f t="shared" si="3"/>
        <v>70.526040000000009</v>
      </c>
      <c r="T9" s="99">
        <f t="shared" si="4"/>
        <v>88.157550000000015</v>
      </c>
      <c r="U9" s="99">
        <f t="shared" si="5"/>
        <v>52.894530000000003</v>
      </c>
      <c r="V9" s="336">
        <f t="shared" si="6"/>
        <v>35.263020000000012</v>
      </c>
    </row>
    <row r="10" spans="1:22" ht="19.2" customHeight="1" x14ac:dyDescent="0.25">
      <c r="A10" s="611"/>
      <c r="B10" s="459">
        <v>8</v>
      </c>
      <c r="C10" s="459"/>
      <c r="D10" s="459"/>
      <c r="E10" s="459"/>
      <c r="F10" s="537"/>
      <c r="G10" s="537"/>
      <c r="H10" s="537"/>
      <c r="I10" s="459">
        <v>58.5</v>
      </c>
      <c r="J10" s="537">
        <f t="shared" si="0"/>
        <v>73.125</v>
      </c>
      <c r="K10" s="537">
        <f t="shared" si="1"/>
        <v>43.875</v>
      </c>
      <c r="L10" s="537">
        <f t="shared" si="2"/>
        <v>29.25</v>
      </c>
      <c r="N10" s="612"/>
      <c r="O10" s="331">
        <v>8</v>
      </c>
      <c r="P10" s="333">
        <v>50599</v>
      </c>
      <c r="Q10" s="99">
        <v>8.92</v>
      </c>
      <c r="R10" s="99">
        <v>10.37</v>
      </c>
      <c r="S10" s="99">
        <f t="shared" si="3"/>
        <v>65.817479999999989</v>
      </c>
      <c r="T10" s="99">
        <f t="shared" si="4"/>
        <v>82.271849999999986</v>
      </c>
      <c r="U10" s="99">
        <f t="shared" si="5"/>
        <v>49.363109999999992</v>
      </c>
      <c r="V10" s="336">
        <f t="shared" si="6"/>
        <v>32.908739999999995</v>
      </c>
    </row>
    <row r="11" spans="1:22" ht="19.2" customHeight="1" x14ac:dyDescent="0.25">
      <c r="A11" s="611"/>
      <c r="B11" s="459">
        <v>9</v>
      </c>
      <c r="C11" s="459"/>
      <c r="D11" s="459"/>
      <c r="E11" s="459"/>
      <c r="F11" s="537"/>
      <c r="G11" s="537"/>
      <c r="H11" s="537"/>
      <c r="I11" s="459">
        <v>58.9</v>
      </c>
      <c r="J11" s="537">
        <f t="shared" si="0"/>
        <v>73.625</v>
      </c>
      <c r="K11" s="537">
        <f t="shared" si="1"/>
        <v>44.174999999999997</v>
      </c>
      <c r="L11" s="537">
        <f t="shared" si="2"/>
        <v>29.450000000000003</v>
      </c>
      <c r="N11" s="612"/>
      <c r="O11" s="331">
        <v>9</v>
      </c>
      <c r="P11" s="333">
        <v>56761</v>
      </c>
      <c r="Q11" s="99">
        <v>8.94</v>
      </c>
      <c r="R11" s="99">
        <v>9.98</v>
      </c>
      <c r="S11" s="99">
        <f t="shared" si="3"/>
        <v>64.555040000000005</v>
      </c>
      <c r="T11" s="99">
        <f t="shared" si="4"/>
        <v>80.69380000000001</v>
      </c>
      <c r="U11" s="99">
        <f t="shared" si="5"/>
        <v>48.41628</v>
      </c>
      <c r="V11" s="336">
        <f t="shared" si="6"/>
        <v>32.27752000000001</v>
      </c>
    </row>
    <row r="12" spans="1:22" ht="19.2" customHeight="1" x14ac:dyDescent="0.25">
      <c r="A12" s="611"/>
      <c r="B12" s="459">
        <v>10</v>
      </c>
      <c r="C12" s="459"/>
      <c r="D12" s="459"/>
      <c r="E12" s="459"/>
      <c r="F12" s="537"/>
      <c r="G12" s="537"/>
      <c r="H12" s="537"/>
      <c r="I12" s="459">
        <v>60.6</v>
      </c>
      <c r="J12" s="537">
        <f t="shared" si="0"/>
        <v>75.75</v>
      </c>
      <c r="K12" s="537">
        <f t="shared" si="1"/>
        <v>45.45</v>
      </c>
      <c r="L12" s="537">
        <f t="shared" si="2"/>
        <v>30.299999999999997</v>
      </c>
      <c r="N12" s="612"/>
      <c r="O12" s="331">
        <v>10</v>
      </c>
      <c r="P12" s="333">
        <v>48383</v>
      </c>
      <c r="Q12" s="99">
        <v>10.61</v>
      </c>
      <c r="R12" s="99">
        <v>13.05</v>
      </c>
      <c r="S12" s="99">
        <f t="shared" si="3"/>
        <v>80.727919999999997</v>
      </c>
      <c r="T12" s="99">
        <f t="shared" si="4"/>
        <v>100.90989999999999</v>
      </c>
      <c r="U12" s="99">
        <f t="shared" si="5"/>
        <v>60.545940000000002</v>
      </c>
      <c r="V12" s="336">
        <f t="shared" si="6"/>
        <v>40.363959999999992</v>
      </c>
    </row>
    <row r="13" spans="1:22" ht="19.2" customHeight="1" x14ac:dyDescent="0.25">
      <c r="A13" s="611"/>
      <c r="B13" s="459">
        <v>11</v>
      </c>
      <c r="C13" s="459"/>
      <c r="D13" s="459"/>
      <c r="E13" s="459"/>
      <c r="F13" s="537"/>
      <c r="G13" s="537"/>
      <c r="H13" s="537"/>
      <c r="I13" s="459">
        <v>64.7</v>
      </c>
      <c r="J13" s="537">
        <f t="shared" si="0"/>
        <v>80.875</v>
      </c>
      <c r="K13" s="537">
        <f t="shared" si="1"/>
        <v>48.525000000000006</v>
      </c>
      <c r="L13" s="537">
        <f t="shared" si="2"/>
        <v>32.349999999999994</v>
      </c>
      <c r="N13" s="612"/>
      <c r="O13" s="331">
        <v>11</v>
      </c>
      <c r="P13" s="333">
        <v>13807</v>
      </c>
      <c r="Q13" s="99">
        <v>13.42</v>
      </c>
      <c r="R13" s="99">
        <v>12.06</v>
      </c>
      <c r="S13" s="99">
        <f t="shared" si="3"/>
        <v>86.937759999999997</v>
      </c>
      <c r="T13" s="99">
        <f t="shared" si="4"/>
        <v>108.6722</v>
      </c>
      <c r="U13" s="99">
        <f t="shared" si="5"/>
        <v>65.203319999999991</v>
      </c>
      <c r="V13" s="336">
        <f t="shared" si="6"/>
        <v>43.468880000000013</v>
      </c>
    </row>
    <row r="14" spans="1:22" ht="19.2" customHeight="1" x14ac:dyDescent="0.25">
      <c r="A14" s="611"/>
      <c r="B14" s="459">
        <v>12</v>
      </c>
      <c r="C14" s="459"/>
      <c r="D14" s="459"/>
      <c r="E14" s="459"/>
      <c r="F14" s="537"/>
      <c r="G14" s="537"/>
      <c r="H14" s="537"/>
      <c r="I14" s="459">
        <v>62</v>
      </c>
      <c r="J14" s="537">
        <f t="shared" si="0"/>
        <v>77.5</v>
      </c>
      <c r="K14" s="537">
        <f t="shared" si="1"/>
        <v>46.5</v>
      </c>
      <c r="L14" s="537">
        <f t="shared" si="2"/>
        <v>31</v>
      </c>
      <c r="N14" s="612"/>
      <c r="O14" s="331">
        <v>12</v>
      </c>
      <c r="P14" s="333">
        <v>54244</v>
      </c>
      <c r="Q14" s="99">
        <v>11.8</v>
      </c>
      <c r="R14" s="99">
        <v>11.49</v>
      </c>
      <c r="S14" s="99">
        <f t="shared" si="3"/>
        <v>79.465479999999999</v>
      </c>
      <c r="T14" s="99">
        <f t="shared" si="4"/>
        <v>99.331850000000003</v>
      </c>
      <c r="U14" s="99">
        <f t="shared" si="5"/>
        <v>59.599109999999996</v>
      </c>
      <c r="V14" s="336">
        <f t="shared" si="6"/>
        <v>39.732740000000007</v>
      </c>
    </row>
    <row r="15" spans="1:22" ht="19.2" customHeight="1" x14ac:dyDescent="0.25">
      <c r="A15" s="611"/>
      <c r="B15" s="459">
        <v>13</v>
      </c>
      <c r="C15" s="459"/>
      <c r="D15" s="459"/>
      <c r="E15" s="459"/>
      <c r="F15" s="537"/>
      <c r="G15" s="537"/>
      <c r="H15" s="537"/>
      <c r="I15" s="459">
        <v>65.099999999999994</v>
      </c>
      <c r="J15" s="537">
        <f t="shared" si="0"/>
        <v>81.375</v>
      </c>
      <c r="K15" s="537">
        <f t="shared" si="1"/>
        <v>48.824999999999996</v>
      </c>
      <c r="L15" s="537">
        <f t="shared" si="2"/>
        <v>32.550000000000004</v>
      </c>
      <c r="N15" s="612"/>
      <c r="O15" s="331">
        <v>13</v>
      </c>
      <c r="P15" s="333">
        <v>16296</v>
      </c>
      <c r="Q15" s="99">
        <v>11.83</v>
      </c>
      <c r="R15" s="99">
        <v>8.98</v>
      </c>
      <c r="S15" s="99">
        <f t="shared" si="3"/>
        <v>71.003720000000001</v>
      </c>
      <c r="T15" s="99">
        <f t="shared" si="4"/>
        <v>88.754649999999998</v>
      </c>
      <c r="U15" s="99">
        <f t="shared" si="5"/>
        <v>53.252790000000005</v>
      </c>
      <c r="V15" s="336">
        <f t="shared" si="6"/>
        <v>35.501859999999994</v>
      </c>
    </row>
    <row r="16" spans="1:22" ht="19.2" customHeight="1" x14ac:dyDescent="0.25">
      <c r="A16" s="611"/>
      <c r="B16" s="459">
        <v>14</v>
      </c>
      <c r="C16" s="459"/>
      <c r="D16" s="459"/>
      <c r="E16" s="459"/>
      <c r="F16" s="537"/>
      <c r="G16" s="537"/>
      <c r="H16" s="537"/>
      <c r="I16" s="459">
        <v>65.599999999999994</v>
      </c>
      <c r="J16" s="537">
        <f t="shared" si="0"/>
        <v>82</v>
      </c>
      <c r="K16" s="537">
        <f t="shared" si="1"/>
        <v>49.199999999999996</v>
      </c>
      <c r="L16" s="537">
        <f t="shared" si="2"/>
        <v>32.800000000000004</v>
      </c>
      <c r="N16" s="612"/>
      <c r="O16" s="331">
        <v>14</v>
      </c>
      <c r="P16" s="333">
        <v>9753</v>
      </c>
      <c r="Q16" s="99">
        <v>10.38</v>
      </c>
      <c r="R16" s="99">
        <v>13</v>
      </c>
      <c r="S16" s="99">
        <f t="shared" si="3"/>
        <v>79.772560000000013</v>
      </c>
      <c r="T16" s="99">
        <f t="shared" si="4"/>
        <v>99.715700000000012</v>
      </c>
      <c r="U16" s="99">
        <f t="shared" si="5"/>
        <v>59.829420000000013</v>
      </c>
      <c r="V16" s="336">
        <f t="shared" si="6"/>
        <v>39.886279999999999</v>
      </c>
    </row>
    <row r="17" spans="1:22" ht="19.2" customHeight="1" x14ac:dyDescent="0.25">
      <c r="A17" s="611"/>
      <c r="B17" s="459">
        <v>15</v>
      </c>
      <c r="C17" s="459"/>
      <c r="D17" s="459"/>
      <c r="E17" s="459"/>
      <c r="F17" s="537"/>
      <c r="G17" s="537"/>
      <c r="H17" s="537"/>
      <c r="I17" s="459">
        <v>70.400000000000006</v>
      </c>
      <c r="J17" s="537">
        <f t="shared" si="0"/>
        <v>88</v>
      </c>
      <c r="K17" s="537">
        <f t="shared" si="1"/>
        <v>52.800000000000004</v>
      </c>
      <c r="L17" s="537">
        <f t="shared" si="2"/>
        <v>35.199999999999996</v>
      </c>
      <c r="N17" s="612"/>
      <c r="O17" s="331">
        <v>15</v>
      </c>
      <c r="P17" s="333">
        <v>24241</v>
      </c>
      <c r="Q17" s="99">
        <v>8.52</v>
      </c>
      <c r="R17" s="99">
        <v>14.2</v>
      </c>
      <c r="S17" s="99">
        <f t="shared" si="3"/>
        <v>77.52064</v>
      </c>
      <c r="T17" s="99">
        <f t="shared" si="4"/>
        <v>96.900800000000004</v>
      </c>
      <c r="U17" s="99">
        <f t="shared" si="5"/>
        <v>58.140479999999997</v>
      </c>
      <c r="V17" s="336">
        <f t="shared" si="6"/>
        <v>38.760320000000007</v>
      </c>
    </row>
    <row r="18" spans="1:22" ht="19.2" customHeight="1" x14ac:dyDescent="0.25">
      <c r="A18" s="611"/>
      <c r="B18" s="459">
        <v>16</v>
      </c>
      <c r="C18" s="459"/>
      <c r="D18" s="459"/>
      <c r="E18" s="459"/>
      <c r="F18" s="537"/>
      <c r="G18" s="537"/>
      <c r="H18" s="537"/>
      <c r="I18" s="459">
        <v>66.599999999999994</v>
      </c>
      <c r="J18" s="537">
        <f t="shared" si="0"/>
        <v>83.25</v>
      </c>
      <c r="K18" s="537">
        <f t="shared" si="1"/>
        <v>49.949999999999996</v>
      </c>
      <c r="L18" s="537">
        <f t="shared" si="2"/>
        <v>33.300000000000004</v>
      </c>
      <c r="N18" s="612"/>
      <c r="O18" s="331">
        <v>16</v>
      </c>
      <c r="P18" s="333">
        <v>33483</v>
      </c>
      <c r="Q18" s="99">
        <v>12.32</v>
      </c>
      <c r="R18" s="99">
        <v>13.6</v>
      </c>
      <c r="S18" s="99">
        <f t="shared" si="3"/>
        <v>88.439040000000006</v>
      </c>
      <c r="T18" s="99">
        <f t="shared" si="4"/>
        <v>110.5488</v>
      </c>
      <c r="U18" s="99">
        <f t="shared" si="5"/>
        <v>66.329280000000011</v>
      </c>
      <c r="V18" s="336">
        <f t="shared" si="6"/>
        <v>44.219519999999989</v>
      </c>
    </row>
    <row r="20" spans="1:22" ht="13.2" x14ac:dyDescent="0.25">
      <c r="A20" s="5" t="s">
        <v>797</v>
      </c>
    </row>
    <row r="21" spans="1:22" ht="13.2" x14ac:dyDescent="0.25">
      <c r="A21" s="5" t="s">
        <v>798</v>
      </c>
    </row>
    <row r="22" spans="1:22" ht="13.2" x14ac:dyDescent="0.25">
      <c r="A22" s="5" t="s">
        <v>799</v>
      </c>
    </row>
  </sheetData>
  <mergeCells count="4">
    <mergeCell ref="A3:A18"/>
    <mergeCell ref="N3:N18"/>
    <mergeCell ref="A1:L1"/>
    <mergeCell ref="N1:V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5"/>
  <sheetViews>
    <sheetView zoomScaleNormal="100" workbookViewId="0">
      <selection activeCell="C5" sqref="C5:G5"/>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8.6640625" style="5"/>
    <col min="10" max="10" width="12" style="5" customWidth="1"/>
    <col min="11" max="11" width="14.109375" style="5" customWidth="1"/>
    <col min="12" max="12" width="10.33203125" style="5" customWidth="1"/>
    <col min="13" max="27" width="5.6640625" style="5" customWidth="1"/>
    <col min="28" max="16384" width="8.6640625" style="5"/>
  </cols>
  <sheetData>
    <row r="1" spans="1:28" ht="28.95" customHeight="1" x14ac:dyDescent="0.25">
      <c r="A1" s="791" t="s">
        <v>802</v>
      </c>
      <c r="B1" s="791"/>
      <c r="C1" s="791"/>
      <c r="D1" s="791"/>
      <c r="E1" s="791"/>
      <c r="F1" s="791"/>
      <c r="G1" s="791"/>
      <c r="J1" s="785" t="s">
        <v>803</v>
      </c>
      <c r="K1" s="785"/>
      <c r="L1" s="785"/>
      <c r="M1" s="785"/>
      <c r="N1" s="785"/>
      <c r="O1" s="785"/>
      <c r="P1" s="785"/>
      <c r="Q1" s="785"/>
      <c r="R1" s="785"/>
      <c r="S1" s="785"/>
      <c r="T1" s="785"/>
      <c r="U1" s="785"/>
      <c r="V1" s="785"/>
      <c r="W1" s="785"/>
      <c r="X1" s="785"/>
      <c r="Y1" s="785"/>
      <c r="Z1" s="785"/>
      <c r="AA1" s="785"/>
    </row>
    <row r="2" spans="1:28" ht="21" customHeight="1" x14ac:dyDescent="0.25">
      <c r="A2" s="789" t="s">
        <v>9</v>
      </c>
      <c r="B2" s="340" t="s">
        <v>781</v>
      </c>
      <c r="C2" s="786" t="s">
        <v>804</v>
      </c>
      <c r="D2" s="787"/>
      <c r="E2" s="787"/>
      <c r="F2" s="787"/>
      <c r="G2" s="788"/>
      <c r="J2" s="789" t="s">
        <v>9</v>
      </c>
      <c r="K2" s="789" t="s">
        <v>804</v>
      </c>
      <c r="L2" s="786" t="s">
        <v>781</v>
      </c>
      <c r="M2" s="787"/>
      <c r="N2" s="787"/>
      <c r="O2" s="787"/>
      <c r="P2" s="787"/>
      <c r="Q2" s="787"/>
      <c r="R2" s="787"/>
      <c r="S2" s="787"/>
      <c r="T2" s="787"/>
      <c r="U2" s="787"/>
      <c r="V2" s="787"/>
      <c r="W2" s="787"/>
      <c r="X2" s="787"/>
      <c r="Y2" s="787"/>
      <c r="Z2" s="787"/>
      <c r="AA2" s="788"/>
    </row>
    <row r="3" spans="1:28" ht="21" customHeight="1" x14ac:dyDescent="0.25">
      <c r="A3" s="790"/>
      <c r="B3" s="340"/>
      <c r="C3" s="444" t="s">
        <v>805</v>
      </c>
      <c r="D3" s="444" t="s">
        <v>268</v>
      </c>
      <c r="E3" s="444" t="s">
        <v>270</v>
      </c>
      <c r="F3" s="444" t="s">
        <v>272</v>
      </c>
      <c r="G3" s="444" t="s">
        <v>806</v>
      </c>
      <c r="J3" s="790"/>
      <c r="K3" s="790"/>
      <c r="L3" s="156">
        <v>1</v>
      </c>
      <c r="M3" s="156">
        <v>2</v>
      </c>
      <c r="N3" s="156">
        <v>3</v>
      </c>
      <c r="O3" s="156">
        <v>4</v>
      </c>
      <c r="P3" s="156">
        <v>5</v>
      </c>
      <c r="Q3" s="156">
        <v>6</v>
      </c>
      <c r="R3" s="156">
        <v>7</v>
      </c>
      <c r="S3" s="156">
        <v>8</v>
      </c>
      <c r="T3" s="156">
        <v>9</v>
      </c>
      <c r="U3" s="156">
        <v>10</v>
      </c>
      <c r="V3" s="156">
        <v>11</v>
      </c>
      <c r="W3" s="156">
        <v>12</v>
      </c>
      <c r="X3" s="156">
        <v>13</v>
      </c>
      <c r="Y3" s="156">
        <v>14</v>
      </c>
      <c r="Z3" s="156">
        <v>15</v>
      </c>
      <c r="AA3" s="156">
        <v>16</v>
      </c>
    </row>
    <row r="4" spans="1:28" ht="16.95" customHeight="1" x14ac:dyDescent="0.25">
      <c r="A4" s="783" t="s">
        <v>807</v>
      </c>
      <c r="B4" s="538">
        <v>1</v>
      </c>
      <c r="C4" s="539"/>
      <c r="D4" s="539"/>
      <c r="E4" s="539"/>
      <c r="F4" s="539"/>
      <c r="G4" s="540"/>
      <c r="H4" s="115">
        <f t="shared" ref="H4:H19" si="0">SUM(C4:F4)</f>
        <v>0</v>
      </c>
      <c r="J4" s="781" t="s">
        <v>807</v>
      </c>
      <c r="K4" s="541" t="s">
        <v>805</v>
      </c>
      <c r="L4" s="542"/>
      <c r="M4" s="542"/>
      <c r="N4" s="542"/>
      <c r="O4" s="542"/>
      <c r="P4" s="542"/>
      <c r="Q4" s="542"/>
      <c r="R4" s="542"/>
      <c r="S4" s="542"/>
      <c r="T4" s="542"/>
      <c r="U4" s="542"/>
      <c r="V4" s="542"/>
      <c r="W4" s="542"/>
      <c r="X4" s="542"/>
      <c r="Y4" s="542"/>
      <c r="Z4" s="542"/>
      <c r="AA4" s="542"/>
      <c r="AB4" s="115">
        <f>SUM(L4:AA4)</f>
        <v>0</v>
      </c>
    </row>
    <row r="5" spans="1:28" ht="16.95" customHeight="1" x14ac:dyDescent="0.25">
      <c r="A5" s="784"/>
      <c r="B5" s="541">
        <v>2</v>
      </c>
      <c r="C5" s="542"/>
      <c r="D5" s="542"/>
      <c r="E5" s="542"/>
      <c r="F5" s="542"/>
      <c r="G5" s="543"/>
      <c r="H5" s="115">
        <f t="shared" si="0"/>
        <v>0</v>
      </c>
      <c r="J5" s="782"/>
      <c r="K5" s="541" t="s">
        <v>268</v>
      </c>
      <c r="L5" s="542"/>
      <c r="M5" s="542"/>
      <c r="N5" s="542"/>
      <c r="O5" s="542"/>
      <c r="P5" s="542"/>
      <c r="Q5" s="542"/>
      <c r="R5" s="542"/>
      <c r="S5" s="542"/>
      <c r="T5" s="542"/>
      <c r="U5" s="542"/>
      <c r="V5" s="542"/>
      <c r="W5" s="542"/>
      <c r="X5" s="542"/>
      <c r="Y5" s="542"/>
      <c r="Z5" s="542"/>
      <c r="AA5" s="542"/>
      <c r="AB5" s="115">
        <f>SUM(L5:AA5)</f>
        <v>0</v>
      </c>
    </row>
    <row r="6" spans="1:28" ht="16.95" customHeight="1" x14ac:dyDescent="0.25">
      <c r="A6" s="784"/>
      <c r="B6" s="541">
        <v>3</v>
      </c>
      <c r="C6" s="542"/>
      <c r="D6" s="542"/>
      <c r="E6" s="542"/>
      <c r="F6" s="542"/>
      <c r="G6" s="543"/>
      <c r="H6" s="115">
        <f t="shared" si="0"/>
        <v>0</v>
      </c>
      <c r="J6" s="782"/>
      <c r="K6" s="541" t="s">
        <v>270</v>
      </c>
      <c r="L6" s="542"/>
      <c r="M6" s="542"/>
      <c r="N6" s="542"/>
      <c r="O6" s="542"/>
      <c r="P6" s="542"/>
      <c r="Q6" s="542"/>
      <c r="R6" s="542"/>
      <c r="S6" s="542"/>
      <c r="T6" s="542"/>
      <c r="U6" s="542"/>
      <c r="V6" s="542"/>
      <c r="W6" s="542"/>
      <c r="X6" s="542"/>
      <c r="Y6" s="542"/>
      <c r="Z6" s="542"/>
      <c r="AA6" s="542"/>
      <c r="AB6" s="115">
        <f>SUM(L6:AA6)</f>
        <v>0</v>
      </c>
    </row>
    <row r="7" spans="1:28" ht="16.95" customHeight="1" x14ac:dyDescent="0.25">
      <c r="A7" s="784"/>
      <c r="B7" s="541">
        <v>4</v>
      </c>
      <c r="C7" s="542"/>
      <c r="D7" s="542"/>
      <c r="E7" s="542"/>
      <c r="F7" s="542"/>
      <c r="G7" s="543"/>
      <c r="H7" s="115">
        <f t="shared" si="0"/>
        <v>0</v>
      </c>
      <c r="J7" s="782"/>
      <c r="K7" s="541" t="s">
        <v>272</v>
      </c>
      <c r="L7" s="542"/>
      <c r="M7" s="542"/>
      <c r="N7" s="542"/>
      <c r="O7" s="542"/>
      <c r="P7" s="542"/>
      <c r="Q7" s="542"/>
      <c r="R7" s="542"/>
      <c r="S7" s="542"/>
      <c r="T7" s="542"/>
      <c r="U7" s="542"/>
      <c r="V7" s="542"/>
      <c r="W7" s="542"/>
      <c r="X7" s="542"/>
      <c r="Y7" s="542"/>
      <c r="Z7" s="542"/>
      <c r="AA7" s="542"/>
      <c r="AB7" s="115">
        <f>SUM(L7:AA7)</f>
        <v>0</v>
      </c>
    </row>
    <row r="8" spans="1:28" ht="16.95" customHeight="1" x14ac:dyDescent="0.25">
      <c r="A8" s="784"/>
      <c r="B8" s="541">
        <v>5</v>
      </c>
      <c r="C8" s="542"/>
      <c r="D8" s="542"/>
      <c r="E8" s="542"/>
      <c r="F8" s="542"/>
      <c r="G8" s="543"/>
      <c r="H8" s="115">
        <f t="shared" si="0"/>
        <v>0</v>
      </c>
      <c r="J8" s="782"/>
      <c r="K8" s="541" t="s">
        <v>806</v>
      </c>
      <c r="L8" s="542"/>
      <c r="M8" s="542"/>
      <c r="N8" s="542"/>
      <c r="O8" s="542"/>
      <c r="P8" s="542"/>
      <c r="Q8" s="542"/>
      <c r="R8" s="542"/>
      <c r="S8" s="542"/>
      <c r="T8" s="542"/>
      <c r="U8" s="542"/>
      <c r="V8" s="542"/>
      <c r="W8" s="542"/>
      <c r="X8" s="542"/>
      <c r="Y8" s="542"/>
      <c r="Z8" s="542"/>
      <c r="AA8" s="542"/>
      <c r="AB8" s="115">
        <f>SUM(L8:AA8)</f>
        <v>0</v>
      </c>
    </row>
    <row r="9" spans="1:28" ht="16.95" customHeight="1" x14ac:dyDescent="0.25">
      <c r="A9" s="784"/>
      <c r="B9" s="541">
        <v>6</v>
      </c>
      <c r="C9" s="542"/>
      <c r="D9" s="542"/>
      <c r="E9" s="542"/>
      <c r="F9" s="542"/>
      <c r="G9" s="543"/>
      <c r="H9" s="115">
        <f t="shared" si="0"/>
        <v>0</v>
      </c>
      <c r="J9" s="782"/>
      <c r="K9" s="541" t="s">
        <v>428</v>
      </c>
      <c r="L9" s="542"/>
      <c r="M9" s="542"/>
      <c r="N9" s="542"/>
      <c r="O9" s="542"/>
      <c r="P9" s="542"/>
      <c r="Q9" s="542"/>
      <c r="R9" s="542"/>
      <c r="S9" s="542"/>
      <c r="T9" s="542"/>
      <c r="U9" s="542"/>
      <c r="V9" s="542"/>
      <c r="W9" s="542"/>
      <c r="X9" s="542"/>
      <c r="Y9" s="542"/>
      <c r="Z9" s="542"/>
      <c r="AA9" s="542"/>
      <c r="AB9" s="43"/>
    </row>
    <row r="10" spans="1:28" ht="16.95" customHeight="1" x14ac:dyDescent="0.25">
      <c r="A10" s="784"/>
      <c r="B10" s="541">
        <v>7</v>
      </c>
      <c r="C10" s="542"/>
      <c r="D10" s="542"/>
      <c r="E10" s="542"/>
      <c r="F10" s="542"/>
      <c r="G10" s="543"/>
      <c r="H10" s="115">
        <f t="shared" si="0"/>
        <v>0</v>
      </c>
      <c r="J10" s="8"/>
      <c r="K10" s="114"/>
      <c r="L10" s="37"/>
      <c r="M10" s="37"/>
      <c r="N10" s="37"/>
      <c r="O10" s="37"/>
      <c r="P10" s="96"/>
    </row>
    <row r="11" spans="1:28" ht="16.95" customHeight="1" x14ac:dyDescent="0.25">
      <c r="A11" s="784"/>
      <c r="B11" s="541">
        <v>8</v>
      </c>
      <c r="C11" s="542"/>
      <c r="D11" s="542"/>
      <c r="E11" s="542"/>
      <c r="F11" s="542"/>
      <c r="G11" s="543"/>
      <c r="H11" s="115">
        <f t="shared" si="0"/>
        <v>0</v>
      </c>
      <c r="N11" s="37"/>
      <c r="O11" s="37"/>
      <c r="P11" s="96"/>
    </row>
    <row r="12" spans="1:28" ht="16.95" customHeight="1" x14ac:dyDescent="0.25">
      <c r="A12" s="784"/>
      <c r="B12" s="541">
        <v>9</v>
      </c>
      <c r="C12" s="542"/>
      <c r="D12" s="542"/>
      <c r="E12" s="542"/>
      <c r="F12" s="542"/>
      <c r="G12" s="543"/>
      <c r="H12" s="115">
        <f t="shared" si="0"/>
        <v>0</v>
      </c>
      <c r="N12" s="37"/>
      <c r="O12" s="37"/>
      <c r="P12" s="96"/>
    </row>
    <row r="13" spans="1:28" ht="16.95" customHeight="1" x14ac:dyDescent="0.25">
      <c r="A13" s="784"/>
      <c r="B13" s="541">
        <v>10</v>
      </c>
      <c r="C13" s="542"/>
      <c r="D13" s="542"/>
      <c r="E13" s="542"/>
      <c r="F13" s="542"/>
      <c r="G13" s="543"/>
      <c r="H13" s="115">
        <f t="shared" si="0"/>
        <v>0</v>
      </c>
      <c r="N13" s="37"/>
      <c r="O13" s="37"/>
      <c r="P13" s="96"/>
    </row>
    <row r="14" spans="1:28" ht="16.95" customHeight="1" x14ac:dyDescent="0.25">
      <c r="A14" s="784"/>
      <c r="B14" s="541">
        <v>11</v>
      </c>
      <c r="C14" s="542"/>
      <c r="D14" s="542"/>
      <c r="E14" s="542"/>
      <c r="F14" s="542"/>
      <c r="G14" s="543"/>
      <c r="H14" s="115">
        <f t="shared" si="0"/>
        <v>0</v>
      </c>
      <c r="N14" s="37"/>
      <c r="O14" s="37"/>
      <c r="P14" s="96"/>
    </row>
    <row r="15" spans="1:28" ht="16.95" customHeight="1" x14ac:dyDescent="0.25">
      <c r="A15" s="784"/>
      <c r="B15" s="541">
        <v>12</v>
      </c>
      <c r="C15" s="542"/>
      <c r="D15" s="542"/>
      <c r="E15" s="542"/>
      <c r="F15" s="542"/>
      <c r="G15" s="543"/>
      <c r="H15" s="115">
        <f t="shared" si="0"/>
        <v>0</v>
      </c>
      <c r="N15" s="37"/>
      <c r="O15" s="37"/>
      <c r="P15" s="96"/>
    </row>
    <row r="16" spans="1:28" ht="16.95" customHeight="1" x14ac:dyDescent="0.25">
      <c r="A16" s="784"/>
      <c r="B16" s="541">
        <v>13</v>
      </c>
      <c r="C16" s="542"/>
      <c r="D16" s="542"/>
      <c r="E16" s="542"/>
      <c r="F16" s="542"/>
      <c r="G16" s="543"/>
      <c r="H16" s="115">
        <f t="shared" si="0"/>
        <v>0</v>
      </c>
      <c r="N16" s="37"/>
      <c r="O16" s="37"/>
      <c r="P16" s="96"/>
    </row>
    <row r="17" spans="1:16" ht="16.95" customHeight="1" x14ac:dyDescent="0.25">
      <c r="A17" s="784"/>
      <c r="B17" s="541">
        <v>14</v>
      </c>
      <c r="C17" s="542"/>
      <c r="D17" s="542"/>
      <c r="E17" s="542"/>
      <c r="F17" s="542"/>
      <c r="G17" s="543"/>
      <c r="H17" s="115">
        <f t="shared" si="0"/>
        <v>0</v>
      </c>
      <c r="N17" s="37"/>
      <c r="O17" s="37"/>
      <c r="P17" s="96"/>
    </row>
    <row r="18" spans="1:16" ht="16.95" customHeight="1" x14ac:dyDescent="0.25">
      <c r="A18" s="784"/>
      <c r="B18" s="541">
        <v>15</v>
      </c>
      <c r="C18" s="542"/>
      <c r="D18" s="542"/>
      <c r="E18" s="542"/>
      <c r="F18" s="542"/>
      <c r="G18" s="543"/>
      <c r="H18" s="115">
        <f t="shared" si="0"/>
        <v>0</v>
      </c>
      <c r="N18" s="37"/>
      <c r="O18" s="37"/>
      <c r="P18" s="96"/>
    </row>
    <row r="19" spans="1:16" ht="16.95" customHeight="1" x14ac:dyDescent="0.25">
      <c r="A19" s="784"/>
      <c r="B19" s="541">
        <v>16</v>
      </c>
      <c r="C19" s="543"/>
      <c r="D19" s="543"/>
      <c r="E19" s="543"/>
      <c r="F19" s="543"/>
      <c r="G19" s="543"/>
      <c r="H19" s="115">
        <f t="shared" si="0"/>
        <v>0</v>
      </c>
      <c r="N19" s="37"/>
      <c r="O19" s="37"/>
      <c r="P19" s="96"/>
    </row>
    <row r="20" spans="1:16" x14ac:dyDescent="0.25">
      <c r="A20" s="784"/>
      <c r="B20" s="544" t="s">
        <v>801</v>
      </c>
      <c r="C20" s="543"/>
      <c r="D20" s="543"/>
      <c r="E20" s="543"/>
      <c r="F20" s="543"/>
      <c r="G20" s="543"/>
    </row>
    <row r="22" spans="1:16" x14ac:dyDescent="0.25">
      <c r="A22" s="5" t="s">
        <v>808</v>
      </c>
    </row>
    <row r="23" spans="1:16" x14ac:dyDescent="0.25">
      <c r="A23" s="5" t="s">
        <v>798</v>
      </c>
    </row>
    <row r="24" spans="1:16" x14ac:dyDescent="0.25">
      <c r="A24" s="5" t="s">
        <v>799</v>
      </c>
    </row>
    <row r="26" spans="1:16" x14ac:dyDescent="0.25">
      <c r="C26" s="151"/>
      <c r="D26" s="151"/>
      <c r="E26" s="151"/>
      <c r="F26" s="151"/>
    </row>
    <row r="27" spans="1:16" x14ac:dyDescent="0.25">
      <c r="B27" s="483"/>
      <c r="C27" s="43"/>
      <c r="D27" s="43"/>
      <c r="E27" s="43"/>
      <c r="F27" s="43"/>
    </row>
    <row r="28" spans="1:16" x14ac:dyDescent="0.25">
      <c r="B28" s="483"/>
      <c r="C28" s="43"/>
      <c r="D28" s="43"/>
      <c r="E28" s="43"/>
      <c r="F28" s="43"/>
      <c r="I28" s="483"/>
      <c r="J28" s="43"/>
      <c r="K28" s="43"/>
      <c r="L28" s="43"/>
      <c r="M28" s="43"/>
    </row>
    <row r="29" spans="1:16" x14ac:dyDescent="0.25">
      <c r="B29" s="483"/>
      <c r="C29" s="43"/>
      <c r="D29" s="43"/>
      <c r="E29" s="43"/>
      <c r="F29" s="43"/>
      <c r="I29" s="483"/>
      <c r="J29" s="43"/>
      <c r="K29" s="43"/>
      <c r="L29" s="43"/>
      <c r="M29" s="43"/>
    </row>
    <row r="30" spans="1:16" x14ac:dyDescent="0.25">
      <c r="B30" s="483"/>
      <c r="C30" s="43"/>
      <c r="D30" s="43"/>
      <c r="E30" s="43"/>
      <c r="F30" s="43"/>
      <c r="I30" s="483"/>
      <c r="J30" s="43"/>
      <c r="K30" s="43"/>
      <c r="L30" s="43"/>
      <c r="M30" s="43"/>
    </row>
    <row r="31" spans="1:16" x14ac:dyDescent="0.25">
      <c r="B31" s="483"/>
      <c r="C31" s="43"/>
      <c r="D31" s="43"/>
      <c r="E31" s="43"/>
      <c r="F31" s="43"/>
      <c r="I31" s="483"/>
      <c r="J31" s="43"/>
      <c r="K31" s="43"/>
      <c r="L31" s="43"/>
      <c r="M31" s="43"/>
    </row>
    <row r="32" spans="1:16" x14ac:dyDescent="0.25">
      <c r="B32" s="483"/>
      <c r="C32" s="43"/>
      <c r="D32" s="43"/>
      <c r="E32" s="43"/>
      <c r="F32" s="43"/>
      <c r="I32" s="483"/>
      <c r="J32" s="43"/>
      <c r="K32" s="43"/>
      <c r="L32" s="43"/>
      <c r="M32" s="43"/>
    </row>
    <row r="33" spans="2:13" x14ac:dyDescent="0.25">
      <c r="B33" s="483"/>
      <c r="C33" s="43"/>
      <c r="D33" s="43"/>
      <c r="E33" s="43"/>
      <c r="F33" s="43"/>
      <c r="I33" s="483"/>
      <c r="J33" s="43"/>
      <c r="K33" s="43"/>
      <c r="L33" s="43"/>
      <c r="M33" s="43"/>
    </row>
    <row r="34" spans="2:13" x14ac:dyDescent="0.25">
      <c r="B34" s="483"/>
      <c r="C34" s="43"/>
      <c r="D34" s="43"/>
      <c r="E34" s="43"/>
      <c r="F34" s="43"/>
      <c r="I34" s="483"/>
      <c r="J34" s="43"/>
      <c r="K34" s="43"/>
      <c r="L34" s="43"/>
      <c r="M34" s="43"/>
    </row>
    <row r="35" spans="2:13" x14ac:dyDescent="0.25">
      <c r="B35" s="483"/>
      <c r="C35" s="43"/>
      <c r="D35" s="43"/>
      <c r="E35" s="43"/>
      <c r="F35" s="43"/>
      <c r="I35" s="483"/>
      <c r="J35" s="43"/>
      <c r="K35" s="43"/>
      <c r="L35" s="43"/>
      <c r="M35" s="43"/>
    </row>
    <row r="36" spans="2:13" x14ac:dyDescent="0.25">
      <c r="B36" s="483"/>
      <c r="C36" s="43"/>
      <c r="D36" s="43"/>
      <c r="E36" s="43"/>
      <c r="F36" s="43"/>
      <c r="I36" s="483"/>
      <c r="J36" s="43"/>
      <c r="K36" s="43"/>
      <c r="L36" s="43"/>
      <c r="M36" s="43"/>
    </row>
    <row r="37" spans="2:13" x14ac:dyDescent="0.25">
      <c r="B37" s="483"/>
      <c r="C37" s="43"/>
      <c r="D37" s="43"/>
      <c r="E37" s="43"/>
      <c r="F37" s="43"/>
      <c r="I37" s="483"/>
      <c r="J37" s="43"/>
      <c r="K37" s="43"/>
      <c r="L37" s="43"/>
      <c r="M37" s="43"/>
    </row>
    <row r="38" spans="2:13" x14ac:dyDescent="0.25">
      <c r="B38" s="483"/>
      <c r="C38" s="43"/>
      <c r="D38" s="43"/>
      <c r="E38" s="43"/>
      <c r="F38" s="43"/>
      <c r="I38" s="483"/>
      <c r="J38" s="43"/>
      <c r="K38" s="43"/>
      <c r="L38" s="43"/>
      <c r="M38" s="43"/>
    </row>
    <row r="39" spans="2:13" x14ac:dyDescent="0.25">
      <c r="B39" s="483"/>
      <c r="C39" s="43"/>
      <c r="D39" s="43"/>
      <c r="E39" s="43"/>
      <c r="F39" s="43"/>
      <c r="I39" s="483"/>
      <c r="J39" s="43"/>
      <c r="K39" s="43"/>
      <c r="L39" s="43"/>
      <c r="M39" s="43"/>
    </row>
    <row r="40" spans="2:13" x14ac:dyDescent="0.25">
      <c r="B40" s="483"/>
      <c r="C40" s="43"/>
      <c r="D40" s="43"/>
      <c r="E40" s="43"/>
      <c r="F40" s="43"/>
      <c r="I40" s="483"/>
      <c r="J40" s="43"/>
      <c r="K40" s="43"/>
      <c r="L40" s="43"/>
      <c r="M40" s="43"/>
    </row>
    <row r="41" spans="2:13" x14ac:dyDescent="0.25">
      <c r="B41" s="483"/>
      <c r="C41" s="43"/>
      <c r="D41" s="43"/>
      <c r="E41" s="43"/>
      <c r="F41" s="43"/>
      <c r="I41" s="483"/>
      <c r="J41" s="43"/>
      <c r="K41" s="43"/>
      <c r="L41" s="43"/>
      <c r="M41" s="43"/>
    </row>
    <row r="42" spans="2:13" x14ac:dyDescent="0.25">
      <c r="B42" s="483"/>
      <c r="C42" s="43"/>
      <c r="D42" s="43"/>
      <c r="E42" s="43"/>
      <c r="F42" s="43"/>
      <c r="I42" s="483"/>
      <c r="J42" s="43"/>
      <c r="K42" s="43"/>
      <c r="L42" s="43"/>
      <c r="M42" s="43"/>
    </row>
    <row r="43" spans="2:13" x14ac:dyDescent="0.25">
      <c r="I43" s="483"/>
      <c r="J43" s="43"/>
      <c r="K43" s="43"/>
      <c r="L43" s="43"/>
      <c r="M43" s="43"/>
    </row>
    <row r="44" spans="2:13" x14ac:dyDescent="0.25">
      <c r="I44" s="483"/>
      <c r="J44" s="43"/>
      <c r="K44" s="43"/>
      <c r="L44" s="43"/>
      <c r="M44" s="43"/>
    </row>
    <row r="45" spans="2:13" x14ac:dyDescent="0.25">
      <c r="I45" s="483"/>
      <c r="J45" s="43"/>
      <c r="K45" s="43"/>
      <c r="L45" s="43"/>
      <c r="M45" s="43"/>
    </row>
  </sheetData>
  <mergeCells count="9">
    <mergeCell ref="J4:J9"/>
    <mergeCell ref="A4:A20"/>
    <mergeCell ref="J1:AA1"/>
    <mergeCell ref="C2:G2"/>
    <mergeCell ref="L2:AA2"/>
    <mergeCell ref="K2:K3"/>
    <mergeCell ref="J2:J3"/>
    <mergeCell ref="A1:G1"/>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 x14ac:dyDescent="0.3"/>
  <sheetData>
    <row r="1" spans="1:10" ht="15.6" customHeight="1" x14ac:dyDescent="0.3">
      <c r="A1" s="591" t="str">
        <f>"PV - "&amp;Prototype!A2</f>
        <v>PV - HotelSmall</v>
      </c>
      <c r="B1" s="591"/>
      <c r="C1" s="591"/>
      <c r="D1" s="591"/>
      <c r="E1" s="591"/>
      <c r="F1" s="591"/>
      <c r="G1" s="591"/>
      <c r="H1" s="591"/>
      <c r="I1" s="591"/>
      <c r="J1" s="591"/>
    </row>
    <row r="2" spans="1:10" x14ac:dyDescent="0.3">
      <c r="A2" s="3" t="s">
        <v>826</v>
      </c>
      <c r="B2" s="3"/>
      <c r="C2" s="3"/>
      <c r="D2" s="3"/>
      <c r="E2" s="3"/>
      <c r="F2" s="3"/>
      <c r="G2" s="3"/>
      <c r="H2" s="3"/>
      <c r="I2" s="3"/>
      <c r="J2" s="3"/>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activeCell="K36" sqref="K36"/>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55" ht="15.6" x14ac:dyDescent="0.25">
      <c r="A1" s="591" t="str">
        <f>"EV Charger - "&amp;Prototype!A2</f>
        <v>EV Charger - HotelSmall</v>
      </c>
      <c r="B1" s="591"/>
      <c r="C1" s="591"/>
      <c r="D1" s="591"/>
      <c r="E1" s="591"/>
      <c r="F1" s="591"/>
      <c r="G1" s="591"/>
      <c r="H1" s="591"/>
    </row>
    <row r="2" spans="1:55" x14ac:dyDescent="0.25">
      <c r="A2" s="5" t="s">
        <v>826</v>
      </c>
      <c r="B2" s="74"/>
      <c r="C2" s="75"/>
      <c r="D2" s="76"/>
      <c r="E2" s="76"/>
    </row>
    <row r="3" spans="1:55" x14ac:dyDescent="0.25">
      <c r="A3" s="448"/>
      <c r="B3" s="449"/>
      <c r="C3" s="432"/>
      <c r="D3" s="77"/>
      <c r="E3" s="77"/>
    </row>
    <row r="11" spans="1:55" s="29" customFormat="1" hidden="1" x14ac:dyDescent="0.25">
      <c r="A11" s="29" t="s">
        <v>237</v>
      </c>
      <c r="E11" s="30"/>
      <c r="F11" s="31"/>
      <c r="G11" s="32"/>
    </row>
    <row r="12" spans="1:55" hidden="1" x14ac:dyDescent="0.25"/>
    <row r="13" spans="1:55" hidden="1" x14ac:dyDescent="0.25"/>
    <row r="14" spans="1:55" s="79" customFormat="1" ht="13.8" hidden="1" thickBot="1" x14ac:dyDescent="0.3">
      <c r="A14" s="78" t="s">
        <v>827</v>
      </c>
      <c r="K14" s="79" t="s">
        <v>828</v>
      </c>
    </row>
    <row r="15" spans="1:55" ht="13.8" hidden="1" thickBot="1" x14ac:dyDescent="0.3">
      <c r="A15" s="6"/>
      <c r="B15" s="6"/>
      <c r="C15" s="6"/>
      <c r="D15" s="795" t="s">
        <v>829</v>
      </c>
      <c r="E15" s="796"/>
      <c r="F15" s="797"/>
      <c r="I15" s="73"/>
      <c r="J15" s="80"/>
      <c r="K15" s="792" t="s">
        <v>830</v>
      </c>
      <c r="L15" s="793"/>
      <c r="M15" s="793"/>
      <c r="N15" s="793"/>
      <c r="O15" s="793"/>
      <c r="P15" s="793"/>
      <c r="Q15" s="793"/>
      <c r="R15" s="793"/>
      <c r="S15" s="794"/>
      <c r="T15" s="793" t="s">
        <v>831</v>
      </c>
      <c r="U15" s="793"/>
      <c r="V15" s="793"/>
      <c r="W15" s="793"/>
      <c r="X15" s="793"/>
      <c r="Y15" s="793"/>
      <c r="Z15" s="793"/>
      <c r="AA15" s="793"/>
      <c r="AB15" s="794"/>
      <c r="AC15" s="792" t="s">
        <v>832</v>
      </c>
      <c r="AD15" s="793"/>
      <c r="AE15" s="793"/>
      <c r="AF15" s="793"/>
      <c r="AG15" s="793"/>
      <c r="AH15" s="793"/>
      <c r="AI15" s="793"/>
      <c r="AJ15" s="793"/>
      <c r="AK15" s="794"/>
      <c r="AL15" s="792" t="s">
        <v>833</v>
      </c>
      <c r="AM15" s="793"/>
      <c r="AN15" s="793"/>
      <c r="AO15" s="793"/>
      <c r="AP15" s="793"/>
      <c r="AQ15" s="793"/>
      <c r="AR15" s="793"/>
      <c r="AS15" s="793"/>
      <c r="AT15" s="794"/>
      <c r="AU15" s="792" t="s">
        <v>834</v>
      </c>
      <c r="AV15" s="793"/>
      <c r="AW15" s="793"/>
      <c r="AX15" s="793"/>
      <c r="AY15" s="793"/>
      <c r="AZ15" s="793"/>
      <c r="BA15" s="793"/>
      <c r="BB15" s="793"/>
      <c r="BC15" s="794"/>
    </row>
    <row r="16" spans="1:55" ht="39.6" hidden="1" x14ac:dyDescent="0.25">
      <c r="A16" s="44" t="s">
        <v>835</v>
      </c>
      <c r="B16" s="44" t="s">
        <v>809</v>
      </c>
      <c r="C16" s="45" t="s">
        <v>69</v>
      </c>
      <c r="D16" s="81" t="s">
        <v>836</v>
      </c>
      <c r="E16" s="81" t="s">
        <v>121</v>
      </c>
      <c r="F16" s="81" t="s">
        <v>428</v>
      </c>
      <c r="I16" s="82" t="s">
        <v>809</v>
      </c>
      <c r="J16" s="83" t="s">
        <v>69</v>
      </c>
      <c r="K16" s="84" t="s">
        <v>837</v>
      </c>
      <c r="L16" s="85" t="s">
        <v>838</v>
      </c>
      <c r="M16" s="85" t="s">
        <v>839</v>
      </c>
      <c r="N16" s="85" t="s">
        <v>840</v>
      </c>
      <c r="O16" s="85" t="s">
        <v>841</v>
      </c>
      <c r="P16" s="85" t="s">
        <v>842</v>
      </c>
      <c r="Q16" s="85" t="s">
        <v>843</v>
      </c>
      <c r="R16" s="85" t="s">
        <v>844</v>
      </c>
      <c r="S16" s="86" t="s">
        <v>845</v>
      </c>
      <c r="T16" s="87" t="s">
        <v>837</v>
      </c>
      <c r="U16" s="85" t="s">
        <v>838</v>
      </c>
      <c r="V16" s="85" t="s">
        <v>839</v>
      </c>
      <c r="W16" s="85" t="s">
        <v>840</v>
      </c>
      <c r="X16" s="85" t="s">
        <v>841</v>
      </c>
      <c r="Y16" s="85" t="s">
        <v>842</v>
      </c>
      <c r="Z16" s="85" t="s">
        <v>843</v>
      </c>
      <c r="AA16" s="85" t="s">
        <v>844</v>
      </c>
      <c r="AB16" s="85" t="s">
        <v>846</v>
      </c>
      <c r="AC16" s="85" t="s">
        <v>837</v>
      </c>
      <c r="AD16" s="85" t="s">
        <v>838</v>
      </c>
      <c r="AE16" s="85" t="s">
        <v>839</v>
      </c>
      <c r="AF16" s="85" t="s">
        <v>840</v>
      </c>
      <c r="AG16" s="85" t="s">
        <v>841</v>
      </c>
      <c r="AH16" s="85" t="s">
        <v>842</v>
      </c>
      <c r="AI16" s="85" t="s">
        <v>843</v>
      </c>
      <c r="AJ16" s="85" t="s">
        <v>844</v>
      </c>
      <c r="AK16" s="85" t="s">
        <v>847</v>
      </c>
      <c r="AL16" s="85" t="s">
        <v>837</v>
      </c>
      <c r="AM16" s="85" t="s">
        <v>838</v>
      </c>
      <c r="AN16" s="85" t="s">
        <v>839</v>
      </c>
      <c r="AO16" s="85" t="s">
        <v>840</v>
      </c>
      <c r="AP16" s="85" t="s">
        <v>841</v>
      </c>
      <c r="AQ16" s="85" t="s">
        <v>842</v>
      </c>
      <c r="AR16" s="85" t="s">
        <v>843</v>
      </c>
      <c r="AS16" s="85" t="s">
        <v>844</v>
      </c>
      <c r="AT16" s="85" t="s">
        <v>848</v>
      </c>
      <c r="AU16" s="85" t="s">
        <v>837</v>
      </c>
      <c r="AV16" s="85" t="s">
        <v>838</v>
      </c>
      <c r="AW16" s="85" t="s">
        <v>839</v>
      </c>
      <c r="AX16" s="85" t="s">
        <v>840</v>
      </c>
      <c r="AY16" s="85" t="s">
        <v>841</v>
      </c>
      <c r="AZ16" s="85" t="s">
        <v>842</v>
      </c>
      <c r="BA16" s="85" t="s">
        <v>843</v>
      </c>
      <c r="BB16" s="85" t="s">
        <v>844</v>
      </c>
      <c r="BC16" s="85" t="s">
        <v>428</v>
      </c>
    </row>
    <row r="17" spans="1:55" hidden="1" x14ac:dyDescent="0.25">
      <c r="A17" s="545" t="s">
        <v>849</v>
      </c>
      <c r="B17" s="546" t="s">
        <v>801</v>
      </c>
      <c r="C17" s="46" t="s">
        <v>800</v>
      </c>
      <c r="D17" s="48">
        <v>0.91629083545529211</v>
      </c>
      <c r="E17" s="47">
        <v>8.3709164544707934E-2</v>
      </c>
      <c r="F17" s="49">
        <v>1</v>
      </c>
      <c r="I17" s="546" t="s">
        <v>801</v>
      </c>
      <c r="J17" s="46" t="s">
        <v>800</v>
      </c>
      <c r="K17" s="88">
        <v>234.63109419938075</v>
      </c>
      <c r="L17" s="89">
        <v>257.26071009531398</v>
      </c>
      <c r="M17" s="89">
        <v>0</v>
      </c>
      <c r="N17" s="89">
        <v>514.26458157647869</v>
      </c>
      <c r="O17" s="89">
        <v>0</v>
      </c>
      <c r="P17" s="89">
        <v>22.221663997801063</v>
      </c>
      <c r="Q17" s="89">
        <v>197.98307335443729</v>
      </c>
      <c r="R17" s="89">
        <v>0</v>
      </c>
      <c r="S17" s="90">
        <v>1226.3611232234116</v>
      </c>
      <c r="T17" s="88">
        <v>108.94502133589977</v>
      </c>
      <c r="U17" s="89">
        <v>831.31991634954227</v>
      </c>
      <c r="V17" s="89">
        <v>0</v>
      </c>
      <c r="W17" s="89">
        <v>1332.4399257375558</v>
      </c>
      <c r="X17" s="89">
        <v>101.16411121740421</v>
      </c>
      <c r="Y17" s="89">
        <v>78.502372667385458</v>
      </c>
      <c r="Z17" s="89">
        <v>360.40603758226268</v>
      </c>
      <c r="AA17" s="89">
        <v>0</v>
      </c>
      <c r="AB17" s="90">
        <v>2812.7773848900501</v>
      </c>
      <c r="AC17" s="88">
        <v>21.375883128638311</v>
      </c>
      <c r="AD17" s="89">
        <v>0</v>
      </c>
      <c r="AE17" s="89">
        <v>0</v>
      </c>
      <c r="AF17" s="89">
        <v>15.713800739862089</v>
      </c>
      <c r="AG17" s="89">
        <v>0</v>
      </c>
      <c r="AH17" s="89">
        <v>0</v>
      </c>
      <c r="AI17" s="89">
        <v>0</v>
      </c>
      <c r="AJ17" s="89">
        <v>0</v>
      </c>
      <c r="AK17" s="90">
        <v>37.089683868500401</v>
      </c>
      <c r="AL17" s="88">
        <v>56.949890324869315</v>
      </c>
      <c r="AM17" s="89">
        <v>42.147584318104094</v>
      </c>
      <c r="AN17" s="89">
        <v>0</v>
      </c>
      <c r="AO17" s="89">
        <v>212.11012713552492</v>
      </c>
      <c r="AP17" s="89">
        <v>0</v>
      </c>
      <c r="AQ17" s="89">
        <v>25.7419607619861</v>
      </c>
      <c r="AR17" s="89">
        <v>0</v>
      </c>
      <c r="AS17" s="89">
        <v>0</v>
      </c>
      <c r="AT17" s="90">
        <v>336.94956254048441</v>
      </c>
      <c r="AU17" s="88">
        <v>421.90188898878813</v>
      </c>
      <c r="AV17" s="89">
        <v>1130.7282107629603</v>
      </c>
      <c r="AW17" s="89">
        <v>0</v>
      </c>
      <c r="AX17" s="89">
        <v>2074.5284351894215</v>
      </c>
      <c r="AY17" s="89">
        <v>101.16411121740421</v>
      </c>
      <c r="AZ17" s="89">
        <v>126.46599742717262</v>
      </c>
      <c r="BA17" s="89">
        <v>558.38911093670004</v>
      </c>
      <c r="BB17" s="89">
        <v>0</v>
      </c>
      <c r="BC17" s="90">
        <v>4413.1777545224468</v>
      </c>
    </row>
    <row r="18" spans="1:55" hidden="1" x14ac:dyDescent="0.25">
      <c r="A18" s="545" t="s">
        <v>849</v>
      </c>
      <c r="B18" s="546" t="s">
        <v>810</v>
      </c>
      <c r="C18" s="46" t="s">
        <v>800</v>
      </c>
      <c r="D18" s="48">
        <v>0.88474891999606764</v>
      </c>
      <c r="E18" s="47">
        <v>0.11525108000393226</v>
      </c>
      <c r="F18" s="49">
        <v>1</v>
      </c>
      <c r="I18" s="546" t="s">
        <v>810</v>
      </c>
      <c r="J18" s="46" t="s">
        <v>800</v>
      </c>
      <c r="K18" s="88">
        <v>0</v>
      </c>
      <c r="L18" s="89">
        <v>0</v>
      </c>
      <c r="M18" s="89">
        <v>0</v>
      </c>
      <c r="N18" s="89">
        <v>92.114773643401861</v>
      </c>
      <c r="O18" s="89">
        <v>0</v>
      </c>
      <c r="P18" s="89">
        <v>0</v>
      </c>
      <c r="Q18" s="89">
        <v>5.6273316566652944</v>
      </c>
      <c r="R18" s="89">
        <v>0</v>
      </c>
      <c r="S18" s="90">
        <v>97.742105300067152</v>
      </c>
      <c r="T18" s="88">
        <v>0</v>
      </c>
      <c r="U18" s="89">
        <v>290.15374486882479</v>
      </c>
      <c r="V18" s="89">
        <v>0</v>
      </c>
      <c r="W18" s="89">
        <v>73.027736781594768</v>
      </c>
      <c r="X18" s="89">
        <v>95.664638163310002</v>
      </c>
      <c r="Y18" s="89">
        <v>65.739866280452532</v>
      </c>
      <c r="Z18" s="89">
        <v>24.342578927198254</v>
      </c>
      <c r="AA18" s="89">
        <v>0</v>
      </c>
      <c r="AB18" s="90">
        <v>548.92856502138034</v>
      </c>
      <c r="AC18" s="88">
        <v>0</v>
      </c>
      <c r="AD18" s="89">
        <v>0</v>
      </c>
      <c r="AE18" s="89">
        <v>0</v>
      </c>
      <c r="AF18" s="89">
        <v>0</v>
      </c>
      <c r="AG18" s="89">
        <v>0</v>
      </c>
      <c r="AH18" s="89">
        <v>0</v>
      </c>
      <c r="AI18" s="89">
        <v>0</v>
      </c>
      <c r="AJ18" s="89">
        <v>0</v>
      </c>
      <c r="AK18" s="90">
        <v>0</v>
      </c>
      <c r="AL18" s="88">
        <v>0</v>
      </c>
      <c r="AM18" s="89">
        <v>0</v>
      </c>
      <c r="AN18" s="89">
        <v>0</v>
      </c>
      <c r="AO18" s="89">
        <v>27.974784997679031</v>
      </c>
      <c r="AP18" s="89">
        <v>0</v>
      </c>
      <c r="AQ18" s="89">
        <v>24.342578927198254</v>
      </c>
      <c r="AR18" s="89">
        <v>0</v>
      </c>
      <c r="AS18" s="89">
        <v>0</v>
      </c>
      <c r="AT18" s="90">
        <v>52.317363924877284</v>
      </c>
      <c r="AU18" s="88">
        <v>0</v>
      </c>
      <c r="AV18" s="89">
        <v>290.15374486882479</v>
      </c>
      <c r="AW18" s="89">
        <v>0</v>
      </c>
      <c r="AX18" s="89">
        <v>193.11729542267565</v>
      </c>
      <c r="AY18" s="89">
        <v>95.664638163310002</v>
      </c>
      <c r="AZ18" s="89">
        <v>90.082445207650778</v>
      </c>
      <c r="BA18" s="89">
        <v>29.969910583863548</v>
      </c>
      <c r="BB18" s="89">
        <v>0</v>
      </c>
      <c r="BC18" s="90">
        <v>698.98803424632479</v>
      </c>
    </row>
    <row r="19" spans="1:55" hidden="1" x14ac:dyDescent="0.25">
      <c r="A19" s="545" t="s">
        <v>849</v>
      </c>
      <c r="B19" s="546" t="s">
        <v>811</v>
      </c>
      <c r="C19" s="46" t="s">
        <v>800</v>
      </c>
      <c r="D19" s="48">
        <v>0.87664054902524069</v>
      </c>
      <c r="E19" s="47">
        <v>0.12335945097475935</v>
      </c>
      <c r="F19" s="49">
        <v>1</v>
      </c>
      <c r="I19" s="546" t="s">
        <v>811</v>
      </c>
      <c r="J19" s="46" t="s">
        <v>800</v>
      </c>
      <c r="K19" s="88">
        <v>0</v>
      </c>
      <c r="L19" s="89">
        <v>0</v>
      </c>
      <c r="M19" s="89">
        <v>0</v>
      </c>
      <c r="N19" s="89">
        <v>0</v>
      </c>
      <c r="O19" s="89">
        <v>0</v>
      </c>
      <c r="P19" s="89">
        <v>21.013652175205049</v>
      </c>
      <c r="Q19" s="89">
        <v>0</v>
      </c>
      <c r="R19" s="89">
        <v>0</v>
      </c>
      <c r="S19" s="90">
        <v>21.013652175205049</v>
      </c>
      <c r="T19" s="88">
        <v>0</v>
      </c>
      <c r="U19" s="89">
        <v>189.12286957684543</v>
      </c>
      <c r="V19" s="89">
        <v>0</v>
      </c>
      <c r="W19" s="89">
        <v>21.156124021741039</v>
      </c>
      <c r="X19" s="89">
        <v>0</v>
      </c>
      <c r="Y19" s="89">
        <v>0</v>
      </c>
      <c r="Z19" s="89">
        <v>0</v>
      </c>
      <c r="AA19" s="89">
        <v>0</v>
      </c>
      <c r="AB19" s="90">
        <v>210.27899359858648</v>
      </c>
      <c r="AC19" s="88">
        <v>0</v>
      </c>
      <c r="AD19" s="89">
        <v>0</v>
      </c>
      <c r="AE19" s="89">
        <v>0</v>
      </c>
      <c r="AF19" s="89">
        <v>0</v>
      </c>
      <c r="AG19" s="89">
        <v>0</v>
      </c>
      <c r="AH19" s="89">
        <v>0</v>
      </c>
      <c r="AI19" s="89">
        <v>0</v>
      </c>
      <c r="AJ19" s="89">
        <v>0</v>
      </c>
      <c r="AK19" s="90">
        <v>0</v>
      </c>
      <c r="AL19" s="88">
        <v>0</v>
      </c>
      <c r="AM19" s="89">
        <v>0</v>
      </c>
      <c r="AN19" s="89">
        <v>0</v>
      </c>
      <c r="AO19" s="89">
        <v>0</v>
      </c>
      <c r="AP19" s="89">
        <v>0</v>
      </c>
      <c r="AQ19" s="89">
        <v>0</v>
      </c>
      <c r="AR19" s="89">
        <v>0</v>
      </c>
      <c r="AS19" s="89">
        <v>0</v>
      </c>
      <c r="AT19" s="90">
        <v>0</v>
      </c>
      <c r="AU19" s="88">
        <v>0</v>
      </c>
      <c r="AV19" s="89">
        <v>189.12286957684543</v>
      </c>
      <c r="AW19" s="89">
        <v>0</v>
      </c>
      <c r="AX19" s="89">
        <v>21.156124021741039</v>
      </c>
      <c r="AY19" s="89">
        <v>0</v>
      </c>
      <c r="AZ19" s="89">
        <v>21.013652175205049</v>
      </c>
      <c r="BA19" s="89">
        <v>0</v>
      </c>
      <c r="BB19" s="89">
        <v>0</v>
      </c>
      <c r="BC19" s="90">
        <v>231.29264577379152</v>
      </c>
    </row>
    <row r="20" spans="1:55" hidden="1" x14ac:dyDescent="0.25">
      <c r="A20" s="545" t="s">
        <v>849</v>
      </c>
      <c r="B20" s="546" t="s">
        <v>812</v>
      </c>
      <c r="C20" s="46" t="s">
        <v>800</v>
      </c>
      <c r="D20" s="48">
        <v>0.93389783863693032</v>
      </c>
      <c r="E20" s="47">
        <v>6.6102161363069678E-2</v>
      </c>
      <c r="F20" s="49">
        <v>1</v>
      </c>
      <c r="I20" s="546" t="s">
        <v>812</v>
      </c>
      <c r="J20" s="46" t="s">
        <v>800</v>
      </c>
      <c r="K20" s="88">
        <v>0</v>
      </c>
      <c r="L20" s="89">
        <v>78.750981979029874</v>
      </c>
      <c r="M20" s="89">
        <v>0</v>
      </c>
      <c r="N20" s="89">
        <v>0</v>
      </c>
      <c r="O20" s="89">
        <v>0</v>
      </c>
      <c r="P20" s="89">
        <v>0</v>
      </c>
      <c r="Q20" s="89">
        <v>0</v>
      </c>
      <c r="R20" s="89">
        <v>0</v>
      </c>
      <c r="S20" s="90">
        <v>78.750981979029874</v>
      </c>
      <c r="T20" s="88">
        <v>0</v>
      </c>
      <c r="U20" s="89">
        <v>0</v>
      </c>
      <c r="V20" s="89">
        <v>0</v>
      </c>
      <c r="W20" s="89">
        <v>0</v>
      </c>
      <c r="X20" s="89">
        <v>0</v>
      </c>
      <c r="Y20" s="89">
        <v>0</v>
      </c>
      <c r="Z20" s="89">
        <v>0</v>
      </c>
      <c r="AA20" s="89">
        <v>0</v>
      </c>
      <c r="AB20" s="90">
        <v>0</v>
      </c>
      <c r="AC20" s="88">
        <v>0</v>
      </c>
      <c r="AD20" s="89">
        <v>0</v>
      </c>
      <c r="AE20" s="89">
        <v>0</v>
      </c>
      <c r="AF20" s="89">
        <v>0</v>
      </c>
      <c r="AG20" s="89">
        <v>0</v>
      </c>
      <c r="AH20" s="89">
        <v>0</v>
      </c>
      <c r="AI20" s="89">
        <v>0</v>
      </c>
      <c r="AJ20" s="89">
        <v>0</v>
      </c>
      <c r="AK20" s="90">
        <v>0</v>
      </c>
      <c r="AL20" s="88">
        <v>0</v>
      </c>
      <c r="AM20" s="89">
        <v>12.871851042494857</v>
      </c>
      <c r="AN20" s="89">
        <v>0</v>
      </c>
      <c r="AO20" s="89">
        <v>0</v>
      </c>
      <c r="AP20" s="89">
        <v>0</v>
      </c>
      <c r="AQ20" s="89">
        <v>0</v>
      </c>
      <c r="AR20" s="89">
        <v>0</v>
      </c>
      <c r="AS20" s="89">
        <v>0</v>
      </c>
      <c r="AT20" s="90">
        <v>12.871851042494857</v>
      </c>
      <c r="AU20" s="88">
        <v>0</v>
      </c>
      <c r="AV20" s="89">
        <v>91.622833021524727</v>
      </c>
      <c r="AW20" s="89">
        <v>0</v>
      </c>
      <c r="AX20" s="89">
        <v>0</v>
      </c>
      <c r="AY20" s="89">
        <v>0</v>
      </c>
      <c r="AZ20" s="89">
        <v>0</v>
      </c>
      <c r="BA20" s="89">
        <v>0</v>
      </c>
      <c r="BB20" s="89">
        <v>0</v>
      </c>
      <c r="BC20" s="90">
        <v>91.622833021524727</v>
      </c>
    </row>
    <row r="21" spans="1:55" hidden="1" x14ac:dyDescent="0.25">
      <c r="A21" s="545" t="s">
        <v>849</v>
      </c>
      <c r="B21" s="546" t="s">
        <v>813</v>
      </c>
      <c r="C21" s="46" t="s">
        <v>800</v>
      </c>
      <c r="D21" s="48">
        <v>0.82696528750038811</v>
      </c>
      <c r="E21" s="47">
        <v>0.1730347124996118</v>
      </c>
      <c r="F21" s="49">
        <v>1</v>
      </c>
      <c r="I21" s="546" t="s">
        <v>813</v>
      </c>
      <c r="J21" s="46" t="s">
        <v>800</v>
      </c>
      <c r="K21" s="88">
        <v>0</v>
      </c>
      <c r="L21" s="89">
        <v>0</v>
      </c>
      <c r="M21" s="89">
        <v>0</v>
      </c>
      <c r="N21" s="89">
        <v>0</v>
      </c>
      <c r="O21" s="89">
        <v>0</v>
      </c>
      <c r="P21" s="89">
        <v>0</v>
      </c>
      <c r="Q21" s="89">
        <v>0</v>
      </c>
      <c r="R21" s="89">
        <v>0</v>
      </c>
      <c r="S21" s="90">
        <v>0</v>
      </c>
      <c r="T21" s="88">
        <v>0</v>
      </c>
      <c r="U21" s="89">
        <v>0</v>
      </c>
      <c r="V21" s="89">
        <v>0</v>
      </c>
      <c r="W21" s="89">
        <v>44.110009786486408</v>
      </c>
      <c r="X21" s="89">
        <v>0</v>
      </c>
      <c r="Y21" s="89">
        <v>0</v>
      </c>
      <c r="Z21" s="89">
        <v>0</v>
      </c>
      <c r="AA21" s="89">
        <v>0</v>
      </c>
      <c r="AB21" s="90">
        <v>44.110009786486408</v>
      </c>
      <c r="AC21" s="88">
        <v>0</v>
      </c>
      <c r="AD21" s="89">
        <v>0</v>
      </c>
      <c r="AE21" s="89">
        <v>0</v>
      </c>
      <c r="AF21" s="89">
        <v>0</v>
      </c>
      <c r="AG21" s="89">
        <v>0</v>
      </c>
      <c r="AH21" s="89">
        <v>0</v>
      </c>
      <c r="AI21" s="89">
        <v>0</v>
      </c>
      <c r="AJ21" s="89">
        <v>0</v>
      </c>
      <c r="AK21" s="90">
        <v>0</v>
      </c>
      <c r="AL21" s="88">
        <v>0</v>
      </c>
      <c r="AM21" s="89">
        <v>26.98451061311329</v>
      </c>
      <c r="AN21" s="89">
        <v>0</v>
      </c>
      <c r="AO21" s="89">
        <v>0</v>
      </c>
      <c r="AP21" s="89">
        <v>0</v>
      </c>
      <c r="AQ21" s="89">
        <v>0</v>
      </c>
      <c r="AR21" s="89">
        <v>0</v>
      </c>
      <c r="AS21" s="89">
        <v>0</v>
      </c>
      <c r="AT21" s="90">
        <v>26.98451061311329</v>
      </c>
      <c r="AU21" s="88">
        <v>0</v>
      </c>
      <c r="AV21" s="89">
        <v>26.98451061311329</v>
      </c>
      <c r="AW21" s="89">
        <v>0</v>
      </c>
      <c r="AX21" s="89">
        <v>44.110009786486408</v>
      </c>
      <c r="AY21" s="89">
        <v>0</v>
      </c>
      <c r="AZ21" s="89">
        <v>0</v>
      </c>
      <c r="BA21" s="89">
        <v>0</v>
      </c>
      <c r="BB21" s="89">
        <v>0</v>
      </c>
      <c r="BC21" s="90">
        <v>71.094520399599702</v>
      </c>
    </row>
    <row r="22" spans="1:55" hidden="1" x14ac:dyDescent="0.25">
      <c r="A22" s="545" t="s">
        <v>849</v>
      </c>
      <c r="B22" s="546" t="s">
        <v>814</v>
      </c>
      <c r="C22" s="46" t="s">
        <v>800</v>
      </c>
      <c r="D22" s="48">
        <v>0.9639940765832945</v>
      </c>
      <c r="E22" s="47">
        <v>3.6005923416705561E-2</v>
      </c>
      <c r="F22" s="49">
        <v>1</v>
      </c>
      <c r="I22" s="546" t="s">
        <v>814</v>
      </c>
      <c r="J22" s="46" t="s">
        <v>800</v>
      </c>
      <c r="K22" s="88">
        <v>0</v>
      </c>
      <c r="L22" s="89">
        <v>0</v>
      </c>
      <c r="M22" s="89">
        <v>0</v>
      </c>
      <c r="N22" s="89">
        <v>0</v>
      </c>
      <c r="O22" s="89">
        <v>0</v>
      </c>
      <c r="P22" s="89">
        <v>0</v>
      </c>
      <c r="Q22" s="89">
        <v>0</v>
      </c>
      <c r="R22" s="89">
        <v>0</v>
      </c>
      <c r="S22" s="90">
        <v>0</v>
      </c>
      <c r="T22" s="88">
        <v>0</v>
      </c>
      <c r="U22" s="89">
        <v>0</v>
      </c>
      <c r="V22" s="89">
        <v>0</v>
      </c>
      <c r="W22" s="89">
        <v>19.634672986614149</v>
      </c>
      <c r="X22" s="89">
        <v>0</v>
      </c>
      <c r="Y22" s="89">
        <v>0</v>
      </c>
      <c r="Z22" s="89">
        <v>0</v>
      </c>
      <c r="AA22" s="89">
        <v>0</v>
      </c>
      <c r="AB22" s="90">
        <v>19.634672986614149</v>
      </c>
      <c r="AC22" s="88">
        <v>0</v>
      </c>
      <c r="AD22" s="89">
        <v>0</v>
      </c>
      <c r="AE22" s="89">
        <v>0</v>
      </c>
      <c r="AF22" s="89">
        <v>0</v>
      </c>
      <c r="AG22" s="89">
        <v>0</v>
      </c>
      <c r="AH22" s="89">
        <v>0</v>
      </c>
      <c r="AI22" s="89">
        <v>0</v>
      </c>
      <c r="AJ22" s="89">
        <v>0</v>
      </c>
      <c r="AK22" s="90">
        <v>0</v>
      </c>
      <c r="AL22" s="88">
        <v>0</v>
      </c>
      <c r="AM22" s="89">
        <v>0</v>
      </c>
      <c r="AN22" s="89">
        <v>0</v>
      </c>
      <c r="AO22" s="89">
        <v>0</v>
      </c>
      <c r="AP22" s="89">
        <v>0</v>
      </c>
      <c r="AQ22" s="89">
        <v>0</v>
      </c>
      <c r="AR22" s="89">
        <v>0</v>
      </c>
      <c r="AS22" s="89">
        <v>0</v>
      </c>
      <c r="AT22" s="90">
        <v>0</v>
      </c>
      <c r="AU22" s="88">
        <v>0</v>
      </c>
      <c r="AV22" s="89">
        <v>0</v>
      </c>
      <c r="AW22" s="89">
        <v>0</v>
      </c>
      <c r="AX22" s="89">
        <v>19.634672986614149</v>
      </c>
      <c r="AY22" s="89">
        <v>0</v>
      </c>
      <c r="AZ22" s="89">
        <v>0</v>
      </c>
      <c r="BA22" s="89">
        <v>0</v>
      </c>
      <c r="BB22" s="89">
        <v>0</v>
      </c>
      <c r="BC22" s="90">
        <v>19.634672986614149</v>
      </c>
    </row>
    <row r="23" spans="1:55" hidden="1" x14ac:dyDescent="0.25">
      <c r="A23" s="545" t="s">
        <v>849</v>
      </c>
      <c r="B23" s="546" t="s">
        <v>815</v>
      </c>
      <c r="C23" s="46" t="s">
        <v>800</v>
      </c>
      <c r="D23" s="48">
        <v>0.93408299941780015</v>
      </c>
      <c r="E23" s="47">
        <v>6.5917000582199917E-2</v>
      </c>
      <c r="F23" s="49">
        <v>1</v>
      </c>
      <c r="I23" s="546" t="s">
        <v>815</v>
      </c>
      <c r="J23" s="46" t="s">
        <v>800</v>
      </c>
      <c r="K23" s="88">
        <v>0</v>
      </c>
      <c r="L23" s="89">
        <v>0</v>
      </c>
      <c r="M23" s="89">
        <v>0</v>
      </c>
      <c r="N23" s="89">
        <v>0</v>
      </c>
      <c r="O23" s="89">
        <v>0</v>
      </c>
      <c r="P23" s="89">
        <v>0</v>
      </c>
      <c r="Q23" s="89">
        <v>0</v>
      </c>
      <c r="R23" s="89">
        <v>0</v>
      </c>
      <c r="S23" s="90">
        <v>0</v>
      </c>
      <c r="T23" s="88">
        <v>0</v>
      </c>
      <c r="U23" s="89">
        <v>0</v>
      </c>
      <c r="V23" s="89">
        <v>0</v>
      </c>
      <c r="W23" s="89">
        <v>0</v>
      </c>
      <c r="X23" s="89">
        <v>0</v>
      </c>
      <c r="Y23" s="89">
        <v>0</v>
      </c>
      <c r="Z23" s="89">
        <v>0</v>
      </c>
      <c r="AA23" s="89">
        <v>0</v>
      </c>
      <c r="AB23" s="90">
        <v>0</v>
      </c>
      <c r="AC23" s="88">
        <v>0</v>
      </c>
      <c r="AD23" s="89">
        <v>0</v>
      </c>
      <c r="AE23" s="89">
        <v>0</v>
      </c>
      <c r="AF23" s="89">
        <v>0</v>
      </c>
      <c r="AG23" s="89">
        <v>0</v>
      </c>
      <c r="AH23" s="89">
        <v>0</v>
      </c>
      <c r="AI23" s="89">
        <v>0</v>
      </c>
      <c r="AJ23" s="89">
        <v>0</v>
      </c>
      <c r="AK23" s="90">
        <v>0</v>
      </c>
      <c r="AL23" s="88">
        <v>0</v>
      </c>
      <c r="AM23" s="89">
        <v>0</v>
      </c>
      <c r="AN23" s="89">
        <v>0</v>
      </c>
      <c r="AO23" s="89">
        <v>50.284769574735037</v>
      </c>
      <c r="AP23" s="89">
        <v>0</v>
      </c>
      <c r="AQ23" s="89">
        <v>0</v>
      </c>
      <c r="AR23" s="89">
        <v>0</v>
      </c>
      <c r="AS23" s="89">
        <v>0</v>
      </c>
      <c r="AT23" s="90">
        <v>50.284769574735037</v>
      </c>
      <c r="AU23" s="88">
        <v>0</v>
      </c>
      <c r="AV23" s="89">
        <v>0</v>
      </c>
      <c r="AW23" s="89">
        <v>0</v>
      </c>
      <c r="AX23" s="89">
        <v>50.284769574735037</v>
      </c>
      <c r="AY23" s="89">
        <v>0</v>
      </c>
      <c r="AZ23" s="89">
        <v>0</v>
      </c>
      <c r="BA23" s="89">
        <v>0</v>
      </c>
      <c r="BB23" s="89">
        <v>0</v>
      </c>
      <c r="BC23" s="90">
        <v>50.284769574735037</v>
      </c>
    </row>
    <row r="24" spans="1:55" hidden="1" x14ac:dyDescent="0.25">
      <c r="A24" s="545" t="s">
        <v>849</v>
      </c>
      <c r="B24" s="546" t="s">
        <v>816</v>
      </c>
      <c r="C24" s="46" t="s">
        <v>800</v>
      </c>
      <c r="D24" s="48">
        <v>0.91769059534017872</v>
      </c>
      <c r="E24" s="47">
        <v>8.23094046598212E-2</v>
      </c>
      <c r="F24" s="49">
        <v>1</v>
      </c>
      <c r="I24" s="546" t="s">
        <v>816</v>
      </c>
      <c r="J24" s="46" t="s">
        <v>800</v>
      </c>
      <c r="K24" s="88">
        <v>0</v>
      </c>
      <c r="L24" s="89">
        <v>0</v>
      </c>
      <c r="M24" s="89">
        <v>0</v>
      </c>
      <c r="N24" s="89">
        <v>199.11719821988763</v>
      </c>
      <c r="O24" s="89">
        <v>0</v>
      </c>
      <c r="P24" s="89">
        <v>0</v>
      </c>
      <c r="Q24" s="89">
        <v>0</v>
      </c>
      <c r="R24" s="89">
        <v>0</v>
      </c>
      <c r="S24" s="90">
        <v>199.11719821988763</v>
      </c>
      <c r="T24" s="88">
        <v>0</v>
      </c>
      <c r="U24" s="89">
        <v>229.22224785316547</v>
      </c>
      <c r="V24" s="89">
        <v>0</v>
      </c>
      <c r="W24" s="89">
        <v>397.49954616357195</v>
      </c>
      <c r="X24" s="89">
        <v>0</v>
      </c>
      <c r="Y24" s="89">
        <v>0</v>
      </c>
      <c r="Z24" s="89">
        <v>0</v>
      </c>
      <c r="AA24" s="89">
        <v>0</v>
      </c>
      <c r="AB24" s="90">
        <v>626.72179401673748</v>
      </c>
      <c r="AC24" s="88">
        <v>0</v>
      </c>
      <c r="AD24" s="89">
        <v>0</v>
      </c>
      <c r="AE24" s="89">
        <v>0</v>
      </c>
      <c r="AF24" s="89">
        <v>0</v>
      </c>
      <c r="AG24" s="89">
        <v>0</v>
      </c>
      <c r="AH24" s="89">
        <v>0</v>
      </c>
      <c r="AI24" s="89">
        <v>0</v>
      </c>
      <c r="AJ24" s="89">
        <v>0</v>
      </c>
      <c r="AK24" s="90">
        <v>0</v>
      </c>
      <c r="AL24" s="88">
        <v>0</v>
      </c>
      <c r="AM24" s="89">
        <v>0</v>
      </c>
      <c r="AN24" s="89">
        <v>0</v>
      </c>
      <c r="AO24" s="89">
        <v>0</v>
      </c>
      <c r="AP24" s="89">
        <v>0</v>
      </c>
      <c r="AQ24" s="89">
        <v>0</v>
      </c>
      <c r="AR24" s="89">
        <v>0</v>
      </c>
      <c r="AS24" s="89">
        <v>0</v>
      </c>
      <c r="AT24" s="90">
        <v>0</v>
      </c>
      <c r="AU24" s="88">
        <v>0</v>
      </c>
      <c r="AV24" s="89">
        <v>229.22224785316547</v>
      </c>
      <c r="AW24" s="89">
        <v>0</v>
      </c>
      <c r="AX24" s="89">
        <v>596.6167443834596</v>
      </c>
      <c r="AY24" s="89">
        <v>0</v>
      </c>
      <c r="AZ24" s="89">
        <v>0</v>
      </c>
      <c r="BA24" s="89">
        <v>0</v>
      </c>
      <c r="BB24" s="89">
        <v>0</v>
      </c>
      <c r="BC24" s="90">
        <v>825.83899223662513</v>
      </c>
    </row>
    <row r="25" spans="1:55" hidden="1" x14ac:dyDescent="0.25">
      <c r="A25" s="545" t="s">
        <v>849</v>
      </c>
      <c r="B25" s="546" t="s">
        <v>817</v>
      </c>
      <c r="C25" s="46" t="s">
        <v>800</v>
      </c>
      <c r="D25" s="48">
        <v>0.86719579734784979</v>
      </c>
      <c r="E25" s="47">
        <v>0.13280420265215021</v>
      </c>
      <c r="F25" s="49">
        <v>1</v>
      </c>
      <c r="I25" s="546" t="s">
        <v>817</v>
      </c>
      <c r="J25" s="46" t="s">
        <v>800</v>
      </c>
      <c r="K25" s="88">
        <v>0</v>
      </c>
      <c r="L25" s="89">
        <v>0</v>
      </c>
      <c r="M25" s="89">
        <v>0</v>
      </c>
      <c r="N25" s="89">
        <v>0</v>
      </c>
      <c r="O25" s="89">
        <v>0</v>
      </c>
      <c r="P25" s="89">
        <v>0</v>
      </c>
      <c r="Q25" s="89">
        <v>0</v>
      </c>
      <c r="R25" s="89">
        <v>0</v>
      </c>
      <c r="S25" s="90">
        <v>0</v>
      </c>
      <c r="T25" s="88">
        <v>0</v>
      </c>
      <c r="U25" s="89">
        <v>77.628925891035308</v>
      </c>
      <c r="V25" s="89">
        <v>0</v>
      </c>
      <c r="W25" s="89">
        <v>0</v>
      </c>
      <c r="X25" s="89">
        <v>0</v>
      </c>
      <c r="Y25" s="89">
        <v>0</v>
      </c>
      <c r="Z25" s="89">
        <v>0</v>
      </c>
      <c r="AA25" s="89">
        <v>0</v>
      </c>
      <c r="AB25" s="90">
        <v>77.628925891035308</v>
      </c>
      <c r="AC25" s="88">
        <v>0</v>
      </c>
      <c r="AD25" s="89">
        <v>0</v>
      </c>
      <c r="AE25" s="89">
        <v>0</v>
      </c>
      <c r="AF25" s="89">
        <v>14.859568713243839</v>
      </c>
      <c r="AG25" s="89">
        <v>0</v>
      </c>
      <c r="AH25" s="89">
        <v>0</v>
      </c>
      <c r="AI25" s="89">
        <v>0</v>
      </c>
      <c r="AJ25" s="89">
        <v>0</v>
      </c>
      <c r="AK25" s="90">
        <v>14.859568713243839</v>
      </c>
      <c r="AL25" s="88">
        <v>0</v>
      </c>
      <c r="AM25" s="89">
        <v>0</v>
      </c>
      <c r="AN25" s="89">
        <v>0</v>
      </c>
      <c r="AO25" s="89">
        <v>0</v>
      </c>
      <c r="AP25" s="89">
        <v>0</v>
      </c>
      <c r="AQ25" s="89">
        <v>0</v>
      </c>
      <c r="AR25" s="89">
        <v>0</v>
      </c>
      <c r="AS25" s="89">
        <v>0</v>
      </c>
      <c r="AT25" s="90">
        <v>0</v>
      </c>
      <c r="AU25" s="88">
        <v>0</v>
      </c>
      <c r="AV25" s="89">
        <v>77.628925891035308</v>
      </c>
      <c r="AW25" s="89">
        <v>0</v>
      </c>
      <c r="AX25" s="89">
        <v>14.859568713243839</v>
      </c>
      <c r="AY25" s="89">
        <v>0</v>
      </c>
      <c r="AZ25" s="89">
        <v>0</v>
      </c>
      <c r="BA25" s="89">
        <v>0</v>
      </c>
      <c r="BB25" s="89">
        <v>0</v>
      </c>
      <c r="BC25" s="90">
        <v>92.48849460427914</v>
      </c>
    </row>
    <row r="26" spans="1:55" hidden="1" x14ac:dyDescent="0.25">
      <c r="A26" s="545" t="s">
        <v>849</v>
      </c>
      <c r="B26" s="546" t="s">
        <v>818</v>
      </c>
      <c r="C26" s="46" t="s">
        <v>800</v>
      </c>
      <c r="D26" s="48">
        <v>0.90936489436209378</v>
      </c>
      <c r="E26" s="47">
        <v>9.063510563790618E-2</v>
      </c>
      <c r="F26" s="49">
        <v>1</v>
      </c>
      <c r="I26" s="546" t="s">
        <v>818</v>
      </c>
      <c r="J26" s="46" t="s">
        <v>800</v>
      </c>
      <c r="K26" s="88">
        <v>0</v>
      </c>
      <c r="L26" s="89">
        <v>0</v>
      </c>
      <c r="M26" s="89">
        <v>0</v>
      </c>
      <c r="N26" s="89">
        <v>0</v>
      </c>
      <c r="O26" s="89">
        <v>0</v>
      </c>
      <c r="P26" s="89">
        <v>0</v>
      </c>
      <c r="Q26" s="89">
        <v>0</v>
      </c>
      <c r="R26" s="89">
        <v>0</v>
      </c>
      <c r="S26" s="90">
        <v>0</v>
      </c>
      <c r="T26" s="88">
        <v>0</v>
      </c>
      <c r="U26" s="89">
        <v>0</v>
      </c>
      <c r="V26" s="89">
        <v>0</v>
      </c>
      <c r="W26" s="89">
        <v>0</v>
      </c>
      <c r="X26" s="89">
        <v>0</v>
      </c>
      <c r="Y26" s="89">
        <v>0</v>
      </c>
      <c r="Z26" s="89">
        <v>0</v>
      </c>
      <c r="AA26" s="89">
        <v>0</v>
      </c>
      <c r="AB26" s="90">
        <v>0</v>
      </c>
      <c r="AC26" s="88">
        <v>0</v>
      </c>
      <c r="AD26" s="89">
        <v>0</v>
      </c>
      <c r="AE26" s="89">
        <v>0</v>
      </c>
      <c r="AF26" s="89">
        <v>0</v>
      </c>
      <c r="AG26" s="89">
        <v>0</v>
      </c>
      <c r="AH26" s="89">
        <v>0</v>
      </c>
      <c r="AI26" s="89">
        <v>0</v>
      </c>
      <c r="AJ26" s="89">
        <v>0</v>
      </c>
      <c r="AK26" s="90">
        <v>0</v>
      </c>
      <c r="AL26" s="88">
        <v>0</v>
      </c>
      <c r="AM26" s="89">
        <v>0</v>
      </c>
      <c r="AN26" s="89">
        <v>0</v>
      </c>
      <c r="AO26" s="89">
        <v>0</v>
      </c>
      <c r="AP26" s="89">
        <v>0</v>
      </c>
      <c r="AQ26" s="89">
        <v>0</v>
      </c>
      <c r="AR26" s="89">
        <v>0</v>
      </c>
      <c r="AS26" s="89">
        <v>0</v>
      </c>
      <c r="AT26" s="90">
        <v>0</v>
      </c>
      <c r="AU26" s="88">
        <v>0</v>
      </c>
      <c r="AV26" s="89">
        <v>0</v>
      </c>
      <c r="AW26" s="89">
        <v>0</v>
      </c>
      <c r="AX26" s="89">
        <v>0</v>
      </c>
      <c r="AY26" s="89">
        <v>0</v>
      </c>
      <c r="AZ26" s="89">
        <v>0</v>
      </c>
      <c r="BA26" s="89">
        <v>0</v>
      </c>
      <c r="BB26" s="89">
        <v>0</v>
      </c>
      <c r="BC26" s="90">
        <v>0</v>
      </c>
    </row>
    <row r="27" spans="1:55" hidden="1" x14ac:dyDescent="0.25">
      <c r="A27" s="545" t="s">
        <v>849</v>
      </c>
      <c r="B27" s="546" t="s">
        <v>819</v>
      </c>
      <c r="C27" s="46" t="s">
        <v>800</v>
      </c>
      <c r="D27" s="48">
        <v>0.95601441298306766</v>
      </c>
      <c r="E27" s="47">
        <v>4.3985587016932386E-2</v>
      </c>
      <c r="F27" s="49">
        <v>1</v>
      </c>
      <c r="I27" s="546" t="s">
        <v>819</v>
      </c>
      <c r="J27" s="46" t="s">
        <v>800</v>
      </c>
      <c r="K27" s="88">
        <v>0</v>
      </c>
      <c r="L27" s="89">
        <v>0</v>
      </c>
      <c r="M27" s="89">
        <v>0</v>
      </c>
      <c r="N27" s="89">
        <v>27.526762610065123</v>
      </c>
      <c r="O27" s="89">
        <v>0</v>
      </c>
      <c r="P27" s="89">
        <v>0</v>
      </c>
      <c r="Q27" s="89">
        <v>0</v>
      </c>
      <c r="R27" s="89">
        <v>0</v>
      </c>
      <c r="S27" s="90">
        <v>27.526762610065123</v>
      </c>
      <c r="T27" s="88">
        <v>0</v>
      </c>
      <c r="U27" s="89">
        <v>0</v>
      </c>
      <c r="V27" s="89">
        <v>0</v>
      </c>
      <c r="W27" s="89">
        <v>0</v>
      </c>
      <c r="X27" s="89">
        <v>0</v>
      </c>
      <c r="Y27" s="89">
        <v>0</v>
      </c>
      <c r="Z27" s="89">
        <v>0</v>
      </c>
      <c r="AA27" s="89">
        <v>0</v>
      </c>
      <c r="AB27" s="90">
        <v>0</v>
      </c>
      <c r="AC27" s="88">
        <v>0</v>
      </c>
      <c r="AD27" s="89">
        <v>0</v>
      </c>
      <c r="AE27" s="89">
        <v>0</v>
      </c>
      <c r="AF27" s="89">
        <v>0</v>
      </c>
      <c r="AG27" s="89">
        <v>0</v>
      </c>
      <c r="AH27" s="89">
        <v>0</v>
      </c>
      <c r="AI27" s="89">
        <v>0</v>
      </c>
      <c r="AJ27" s="89">
        <v>0</v>
      </c>
      <c r="AK27" s="90">
        <v>0</v>
      </c>
      <c r="AL27" s="88">
        <v>0</v>
      </c>
      <c r="AM27" s="89">
        <v>0</v>
      </c>
      <c r="AN27" s="89">
        <v>0</v>
      </c>
      <c r="AO27" s="89">
        <v>50.160792280915594</v>
      </c>
      <c r="AP27" s="89">
        <v>0</v>
      </c>
      <c r="AQ27" s="89">
        <v>0</v>
      </c>
      <c r="AR27" s="89">
        <v>0</v>
      </c>
      <c r="AS27" s="89">
        <v>0</v>
      </c>
      <c r="AT27" s="90">
        <v>50.160792280915594</v>
      </c>
      <c r="AU27" s="88">
        <v>0</v>
      </c>
      <c r="AV27" s="89">
        <v>0</v>
      </c>
      <c r="AW27" s="89">
        <v>0</v>
      </c>
      <c r="AX27" s="89">
        <v>77.687554890980721</v>
      </c>
      <c r="AY27" s="89">
        <v>0</v>
      </c>
      <c r="AZ27" s="89">
        <v>0</v>
      </c>
      <c r="BA27" s="89">
        <v>0</v>
      </c>
      <c r="BB27" s="89">
        <v>0</v>
      </c>
      <c r="BC27" s="90">
        <v>77.687554890980721</v>
      </c>
    </row>
    <row r="28" spans="1:55" hidden="1" x14ac:dyDescent="0.25">
      <c r="A28" s="545" t="s">
        <v>849</v>
      </c>
      <c r="B28" s="546" t="s">
        <v>820</v>
      </c>
      <c r="C28" s="46" t="s">
        <v>800</v>
      </c>
      <c r="D28" s="48">
        <v>0.87588518856182296</v>
      </c>
      <c r="E28" s="47">
        <v>0.124114811438177</v>
      </c>
      <c r="F28" s="49">
        <v>1</v>
      </c>
      <c r="I28" s="546" t="s">
        <v>820</v>
      </c>
      <c r="J28" s="46" t="s">
        <v>800</v>
      </c>
      <c r="K28" s="88">
        <v>0</v>
      </c>
      <c r="L28" s="89">
        <v>0</v>
      </c>
      <c r="M28" s="89">
        <v>0</v>
      </c>
      <c r="N28" s="89">
        <v>0</v>
      </c>
      <c r="O28" s="89">
        <v>0</v>
      </c>
      <c r="P28" s="89">
        <v>0</v>
      </c>
      <c r="Q28" s="89">
        <v>0</v>
      </c>
      <c r="R28" s="89">
        <v>0</v>
      </c>
      <c r="S28" s="90">
        <v>0</v>
      </c>
      <c r="T28" s="88">
        <v>0</v>
      </c>
      <c r="U28" s="89">
        <v>0</v>
      </c>
      <c r="V28" s="89">
        <v>0</v>
      </c>
      <c r="W28" s="89">
        <v>89.176218358381661</v>
      </c>
      <c r="X28" s="89">
        <v>0</v>
      </c>
      <c r="Y28" s="89">
        <v>0</v>
      </c>
      <c r="Z28" s="89">
        <v>0</v>
      </c>
      <c r="AA28" s="89">
        <v>0</v>
      </c>
      <c r="AB28" s="90">
        <v>89.176218358381661</v>
      </c>
      <c r="AC28" s="88">
        <v>0</v>
      </c>
      <c r="AD28" s="89">
        <v>0</v>
      </c>
      <c r="AE28" s="89">
        <v>0</v>
      </c>
      <c r="AF28" s="89">
        <v>0</v>
      </c>
      <c r="AG28" s="89">
        <v>0</v>
      </c>
      <c r="AH28" s="89">
        <v>0</v>
      </c>
      <c r="AI28" s="89">
        <v>0</v>
      </c>
      <c r="AJ28" s="89">
        <v>0</v>
      </c>
      <c r="AK28" s="90">
        <v>0</v>
      </c>
      <c r="AL28" s="88">
        <v>0</v>
      </c>
      <c r="AM28" s="89">
        <v>0</v>
      </c>
      <c r="AN28" s="89">
        <v>0</v>
      </c>
      <c r="AO28" s="89">
        <v>0</v>
      </c>
      <c r="AP28" s="89">
        <v>0</v>
      </c>
      <c r="AQ28" s="89">
        <v>0</v>
      </c>
      <c r="AR28" s="89">
        <v>0</v>
      </c>
      <c r="AS28" s="89">
        <v>0</v>
      </c>
      <c r="AT28" s="90">
        <v>0</v>
      </c>
      <c r="AU28" s="88">
        <v>0</v>
      </c>
      <c r="AV28" s="89">
        <v>0</v>
      </c>
      <c r="AW28" s="89">
        <v>0</v>
      </c>
      <c r="AX28" s="89">
        <v>89.176218358381661</v>
      </c>
      <c r="AY28" s="89">
        <v>0</v>
      </c>
      <c r="AZ28" s="89">
        <v>0</v>
      </c>
      <c r="BA28" s="89">
        <v>0</v>
      </c>
      <c r="BB28" s="89">
        <v>0</v>
      </c>
      <c r="BC28" s="90">
        <v>89.176218358381661</v>
      </c>
    </row>
    <row r="29" spans="1:55" hidden="1" x14ac:dyDescent="0.25">
      <c r="A29" s="545" t="s">
        <v>849</v>
      </c>
      <c r="B29" s="546" t="s">
        <v>821</v>
      </c>
      <c r="C29" s="46" t="s">
        <v>800</v>
      </c>
      <c r="D29" s="48">
        <v>0.84944115724381652</v>
      </c>
      <c r="E29" s="47">
        <v>0.15055884275618342</v>
      </c>
      <c r="F29" s="49">
        <v>1</v>
      </c>
      <c r="I29" s="546" t="s">
        <v>821</v>
      </c>
      <c r="J29" s="46" t="s">
        <v>800</v>
      </c>
      <c r="K29" s="88">
        <v>148.2735501254345</v>
      </c>
      <c r="L29" s="89">
        <v>164.52454773936284</v>
      </c>
      <c r="M29" s="89">
        <v>0</v>
      </c>
      <c r="N29" s="89">
        <v>144.74774163312946</v>
      </c>
      <c r="O29" s="89">
        <v>0</v>
      </c>
      <c r="P29" s="89">
        <v>0</v>
      </c>
      <c r="Q29" s="89">
        <v>181.59300613891733</v>
      </c>
      <c r="R29" s="89">
        <v>0</v>
      </c>
      <c r="S29" s="90">
        <v>639.13884563684417</v>
      </c>
      <c r="T29" s="88">
        <v>6.1824646651855133</v>
      </c>
      <c r="U29" s="89">
        <v>0</v>
      </c>
      <c r="V29" s="89">
        <v>0</v>
      </c>
      <c r="W29" s="89">
        <v>246.20211949089779</v>
      </c>
      <c r="X29" s="89">
        <v>0</v>
      </c>
      <c r="Y29" s="89">
        <v>8.4949684431757166</v>
      </c>
      <c r="Z29" s="89">
        <v>316.47110254809434</v>
      </c>
      <c r="AA29" s="89">
        <v>0</v>
      </c>
      <c r="AB29" s="90">
        <v>577.35065514735334</v>
      </c>
      <c r="AC29" s="88">
        <v>0</v>
      </c>
      <c r="AD29" s="89">
        <v>0</v>
      </c>
      <c r="AE29" s="89">
        <v>0</v>
      </c>
      <c r="AF29" s="89">
        <v>0</v>
      </c>
      <c r="AG29" s="89">
        <v>0</v>
      </c>
      <c r="AH29" s="89">
        <v>0</v>
      </c>
      <c r="AI29" s="89">
        <v>0</v>
      </c>
      <c r="AJ29" s="89">
        <v>0</v>
      </c>
      <c r="AK29" s="90">
        <v>0</v>
      </c>
      <c r="AL29" s="88">
        <v>0</v>
      </c>
      <c r="AM29" s="89">
        <v>0</v>
      </c>
      <c r="AN29" s="89">
        <v>0</v>
      </c>
      <c r="AO29" s="89">
        <v>49.357364321808859</v>
      </c>
      <c r="AP29" s="89">
        <v>0</v>
      </c>
      <c r="AQ29" s="89">
        <v>0</v>
      </c>
      <c r="AR29" s="89">
        <v>0</v>
      </c>
      <c r="AS29" s="89">
        <v>0</v>
      </c>
      <c r="AT29" s="90">
        <v>49.357364321808859</v>
      </c>
      <c r="AU29" s="88">
        <v>154.45601479062</v>
      </c>
      <c r="AV29" s="89">
        <v>164.52454773936284</v>
      </c>
      <c r="AW29" s="89">
        <v>0</v>
      </c>
      <c r="AX29" s="89">
        <v>440.30722544583614</v>
      </c>
      <c r="AY29" s="89">
        <v>0</v>
      </c>
      <c r="AZ29" s="89">
        <v>8.4949684431757166</v>
      </c>
      <c r="BA29" s="89">
        <v>498.06410868701164</v>
      </c>
      <c r="BB29" s="89">
        <v>0</v>
      </c>
      <c r="BC29" s="90">
        <v>1265.8468651060061</v>
      </c>
    </row>
    <row r="30" spans="1:55" hidden="1" x14ac:dyDescent="0.25">
      <c r="A30" s="545" t="s">
        <v>849</v>
      </c>
      <c r="B30" s="546" t="s">
        <v>822</v>
      </c>
      <c r="C30" s="46" t="s">
        <v>800</v>
      </c>
      <c r="D30" s="48">
        <v>0.94563669068213607</v>
      </c>
      <c r="E30" s="47">
        <v>5.436330931786388E-2</v>
      </c>
      <c r="F30" s="49">
        <v>1</v>
      </c>
      <c r="I30" s="546" t="s">
        <v>822</v>
      </c>
      <c r="J30" s="46" t="s">
        <v>800</v>
      </c>
      <c r="K30" s="88">
        <v>73.602552558930171</v>
      </c>
      <c r="L30" s="89">
        <v>0</v>
      </c>
      <c r="M30" s="89">
        <v>0</v>
      </c>
      <c r="N30" s="89">
        <v>0</v>
      </c>
      <c r="O30" s="89">
        <v>0</v>
      </c>
      <c r="P30" s="89">
        <v>0</v>
      </c>
      <c r="Q30" s="89">
        <v>0</v>
      </c>
      <c r="R30" s="89">
        <v>0</v>
      </c>
      <c r="S30" s="90">
        <v>73.602552558930171</v>
      </c>
      <c r="T30" s="88">
        <v>0</v>
      </c>
      <c r="U30" s="89">
        <v>0</v>
      </c>
      <c r="V30" s="89">
        <v>0</v>
      </c>
      <c r="W30" s="89">
        <v>369.19953535640911</v>
      </c>
      <c r="X30" s="89">
        <v>0</v>
      </c>
      <c r="Y30" s="89">
        <v>0</v>
      </c>
      <c r="Z30" s="89">
        <v>0</v>
      </c>
      <c r="AA30" s="89">
        <v>0</v>
      </c>
      <c r="AB30" s="90">
        <v>369.19953535640911</v>
      </c>
      <c r="AC30" s="88">
        <v>0</v>
      </c>
      <c r="AD30" s="89">
        <v>0</v>
      </c>
      <c r="AE30" s="89">
        <v>0</v>
      </c>
      <c r="AF30" s="89">
        <v>0</v>
      </c>
      <c r="AG30" s="89">
        <v>0</v>
      </c>
      <c r="AH30" s="89">
        <v>0</v>
      </c>
      <c r="AI30" s="89">
        <v>0</v>
      </c>
      <c r="AJ30" s="89">
        <v>0</v>
      </c>
      <c r="AK30" s="90">
        <v>0</v>
      </c>
      <c r="AL30" s="88">
        <v>53.853986219092349</v>
      </c>
      <c r="AM30" s="89">
        <v>0</v>
      </c>
      <c r="AN30" s="89">
        <v>0</v>
      </c>
      <c r="AO30" s="89">
        <v>0</v>
      </c>
      <c r="AP30" s="89">
        <v>0</v>
      </c>
      <c r="AQ30" s="89">
        <v>0</v>
      </c>
      <c r="AR30" s="89">
        <v>0</v>
      </c>
      <c r="AS30" s="89">
        <v>0</v>
      </c>
      <c r="AT30" s="90">
        <v>53.853986219092349</v>
      </c>
      <c r="AU30" s="88">
        <v>127.45653877802252</v>
      </c>
      <c r="AV30" s="89">
        <v>0</v>
      </c>
      <c r="AW30" s="89">
        <v>0</v>
      </c>
      <c r="AX30" s="89">
        <v>369.19953535640911</v>
      </c>
      <c r="AY30" s="89">
        <v>0</v>
      </c>
      <c r="AZ30" s="89">
        <v>0</v>
      </c>
      <c r="BA30" s="89">
        <v>0</v>
      </c>
      <c r="BB30" s="89">
        <v>0</v>
      </c>
      <c r="BC30" s="90">
        <v>496.65607413443161</v>
      </c>
    </row>
    <row r="31" spans="1:55" hidden="1" x14ac:dyDescent="0.25">
      <c r="A31" s="545" t="s">
        <v>849</v>
      </c>
      <c r="B31" s="546" t="s">
        <v>823</v>
      </c>
      <c r="C31" s="46" t="s">
        <v>800</v>
      </c>
      <c r="D31" s="48">
        <v>0.96480768386842664</v>
      </c>
      <c r="E31" s="47">
        <v>3.5192316131573469E-2</v>
      </c>
      <c r="F31" s="49">
        <v>1</v>
      </c>
      <c r="I31" s="546" t="s">
        <v>823</v>
      </c>
      <c r="J31" s="46" t="s">
        <v>800</v>
      </c>
      <c r="K31" s="88">
        <v>0</v>
      </c>
      <c r="L31" s="89">
        <v>0</v>
      </c>
      <c r="M31" s="89">
        <v>0</v>
      </c>
      <c r="N31" s="89">
        <v>22.8017069505925</v>
      </c>
      <c r="O31" s="89">
        <v>0</v>
      </c>
      <c r="P31" s="89">
        <v>0</v>
      </c>
      <c r="Q31" s="89">
        <v>0</v>
      </c>
      <c r="R31" s="89">
        <v>0</v>
      </c>
      <c r="S31" s="90">
        <v>22.8017069505925</v>
      </c>
      <c r="T31" s="88">
        <v>36.198549900463831</v>
      </c>
      <c r="U31" s="89">
        <v>0</v>
      </c>
      <c r="V31" s="89">
        <v>0</v>
      </c>
      <c r="W31" s="89">
        <v>0</v>
      </c>
      <c r="X31" s="89">
        <v>0</v>
      </c>
      <c r="Y31" s="89">
        <v>0</v>
      </c>
      <c r="Z31" s="89">
        <v>0</v>
      </c>
      <c r="AA31" s="89">
        <v>0</v>
      </c>
      <c r="AB31" s="90">
        <v>36.198549900463831</v>
      </c>
      <c r="AC31" s="88">
        <v>0</v>
      </c>
      <c r="AD31" s="89">
        <v>0</v>
      </c>
      <c r="AE31" s="89">
        <v>0</v>
      </c>
      <c r="AF31" s="89">
        <v>0</v>
      </c>
      <c r="AG31" s="89">
        <v>0</v>
      </c>
      <c r="AH31" s="89">
        <v>0</v>
      </c>
      <c r="AI31" s="89">
        <v>0</v>
      </c>
      <c r="AJ31" s="89">
        <v>0</v>
      </c>
      <c r="AK31" s="90">
        <v>0</v>
      </c>
      <c r="AL31" s="88">
        <v>0</v>
      </c>
      <c r="AM31" s="89">
        <v>0</v>
      </c>
      <c r="AN31" s="89">
        <v>0</v>
      </c>
      <c r="AO31" s="89">
        <v>22.8017069505925</v>
      </c>
      <c r="AP31" s="89">
        <v>0</v>
      </c>
      <c r="AQ31" s="89">
        <v>0</v>
      </c>
      <c r="AR31" s="89">
        <v>0</v>
      </c>
      <c r="AS31" s="89">
        <v>0</v>
      </c>
      <c r="AT31" s="90">
        <v>22.8017069505925</v>
      </c>
      <c r="AU31" s="88">
        <v>36.198549900463831</v>
      </c>
      <c r="AV31" s="89">
        <v>0</v>
      </c>
      <c r="AW31" s="89">
        <v>0</v>
      </c>
      <c r="AX31" s="89">
        <v>45.603413901185</v>
      </c>
      <c r="AY31" s="89">
        <v>0</v>
      </c>
      <c r="AZ31" s="89">
        <v>0</v>
      </c>
      <c r="BA31" s="89">
        <v>0</v>
      </c>
      <c r="BB31" s="89">
        <v>0</v>
      </c>
      <c r="BC31" s="90">
        <v>81.801963801648839</v>
      </c>
    </row>
    <row r="32" spans="1:55" hidden="1" x14ac:dyDescent="0.25">
      <c r="A32" s="545" t="s">
        <v>849</v>
      </c>
      <c r="B32" s="546" t="s">
        <v>824</v>
      </c>
      <c r="C32" s="46" t="s">
        <v>800</v>
      </c>
      <c r="D32" s="48">
        <v>0.99338694798732041</v>
      </c>
      <c r="E32" s="47">
        <v>6.6130520126795201E-3</v>
      </c>
      <c r="F32" s="49">
        <v>1</v>
      </c>
      <c r="I32" s="546" t="s">
        <v>824</v>
      </c>
      <c r="J32" s="46" t="s">
        <v>800</v>
      </c>
      <c r="K32" s="88">
        <v>0</v>
      </c>
      <c r="L32" s="89">
        <v>0</v>
      </c>
      <c r="M32" s="89">
        <v>0</v>
      </c>
      <c r="N32" s="89">
        <v>0</v>
      </c>
      <c r="O32" s="89">
        <v>0</v>
      </c>
      <c r="P32" s="89">
        <v>0</v>
      </c>
      <c r="Q32" s="89">
        <v>0</v>
      </c>
      <c r="R32" s="89">
        <v>0</v>
      </c>
      <c r="S32" s="90">
        <v>0</v>
      </c>
      <c r="T32" s="88">
        <v>60.64154867711369</v>
      </c>
      <c r="U32" s="89">
        <v>0</v>
      </c>
      <c r="V32" s="89">
        <v>0</v>
      </c>
      <c r="W32" s="89">
        <v>0</v>
      </c>
      <c r="X32" s="89">
        <v>0</v>
      </c>
      <c r="Y32" s="89">
        <v>0</v>
      </c>
      <c r="Z32" s="89">
        <v>0</v>
      </c>
      <c r="AA32" s="89">
        <v>0</v>
      </c>
      <c r="AB32" s="90">
        <v>60.64154867711369</v>
      </c>
      <c r="AC32" s="88">
        <v>20.213849559037897</v>
      </c>
      <c r="AD32" s="89">
        <v>0</v>
      </c>
      <c r="AE32" s="89">
        <v>0</v>
      </c>
      <c r="AF32" s="89">
        <v>0</v>
      </c>
      <c r="AG32" s="89">
        <v>0</v>
      </c>
      <c r="AH32" s="89">
        <v>0</v>
      </c>
      <c r="AI32" s="89">
        <v>0</v>
      </c>
      <c r="AJ32" s="89">
        <v>0</v>
      </c>
      <c r="AK32" s="90">
        <v>20.213849559037897</v>
      </c>
      <c r="AL32" s="88">
        <v>0</v>
      </c>
      <c r="AM32" s="89">
        <v>0</v>
      </c>
      <c r="AN32" s="89">
        <v>0</v>
      </c>
      <c r="AO32" s="89">
        <v>0</v>
      </c>
      <c r="AP32" s="89">
        <v>0</v>
      </c>
      <c r="AQ32" s="89">
        <v>0</v>
      </c>
      <c r="AR32" s="89">
        <v>0</v>
      </c>
      <c r="AS32" s="89">
        <v>0</v>
      </c>
      <c r="AT32" s="90">
        <v>0</v>
      </c>
      <c r="AU32" s="88">
        <v>80.855398236151586</v>
      </c>
      <c r="AV32" s="89">
        <v>0</v>
      </c>
      <c r="AW32" s="89">
        <v>0</v>
      </c>
      <c r="AX32" s="89">
        <v>0</v>
      </c>
      <c r="AY32" s="89">
        <v>0</v>
      </c>
      <c r="AZ32" s="89">
        <v>0</v>
      </c>
      <c r="BA32" s="89">
        <v>0</v>
      </c>
      <c r="BB32" s="89">
        <v>0</v>
      </c>
      <c r="BC32" s="90">
        <v>80.855398236151586</v>
      </c>
    </row>
    <row r="33" spans="1:55" hidden="1" x14ac:dyDescent="0.25">
      <c r="A33" s="545" t="s">
        <v>849</v>
      </c>
      <c r="B33" s="546" t="s">
        <v>825</v>
      </c>
      <c r="C33" s="46" t="s">
        <v>800</v>
      </c>
      <c r="D33" s="48">
        <v>0.98526125005623133</v>
      </c>
      <c r="E33" s="47">
        <v>1.4738749943768739E-2</v>
      </c>
      <c r="F33" s="49">
        <v>1</v>
      </c>
      <c r="I33" s="546" t="s">
        <v>825</v>
      </c>
      <c r="J33" s="46" t="s">
        <v>800</v>
      </c>
      <c r="K33" s="88">
        <v>0</v>
      </c>
      <c r="L33" s="89">
        <v>0</v>
      </c>
      <c r="M33" s="89">
        <v>0</v>
      </c>
      <c r="N33" s="89">
        <v>0</v>
      </c>
      <c r="O33" s="89">
        <v>0</v>
      </c>
      <c r="P33" s="89">
        <v>0</v>
      </c>
      <c r="Q33" s="89">
        <v>0</v>
      </c>
      <c r="R33" s="89">
        <v>0</v>
      </c>
      <c r="S33" s="90">
        <v>0</v>
      </c>
      <c r="T33" s="88">
        <v>0</v>
      </c>
      <c r="U33" s="89">
        <v>0</v>
      </c>
      <c r="V33" s="89">
        <v>0</v>
      </c>
      <c r="W33" s="89">
        <v>0</v>
      </c>
      <c r="X33" s="89">
        <v>0</v>
      </c>
      <c r="Y33" s="89">
        <v>0</v>
      </c>
      <c r="Z33" s="89">
        <v>0</v>
      </c>
      <c r="AA33" s="89">
        <v>0</v>
      </c>
      <c r="AB33" s="90">
        <v>0</v>
      </c>
      <c r="AC33" s="88">
        <v>0</v>
      </c>
      <c r="AD33" s="89">
        <v>0</v>
      </c>
      <c r="AE33" s="89">
        <v>0</v>
      </c>
      <c r="AF33" s="89">
        <v>0</v>
      </c>
      <c r="AG33" s="89">
        <v>0</v>
      </c>
      <c r="AH33" s="89">
        <v>0</v>
      </c>
      <c r="AI33" s="89">
        <v>0</v>
      </c>
      <c r="AJ33" s="89">
        <v>0</v>
      </c>
      <c r="AK33" s="90">
        <v>0</v>
      </c>
      <c r="AL33" s="88">
        <v>0</v>
      </c>
      <c r="AM33" s="89">
        <v>0</v>
      </c>
      <c r="AN33" s="89">
        <v>0</v>
      </c>
      <c r="AO33" s="89">
        <v>0</v>
      </c>
      <c r="AP33" s="89">
        <v>0</v>
      </c>
      <c r="AQ33" s="89">
        <v>0</v>
      </c>
      <c r="AR33" s="89">
        <v>0</v>
      </c>
      <c r="AS33" s="89">
        <v>0</v>
      </c>
      <c r="AT33" s="90">
        <v>0</v>
      </c>
      <c r="AU33" s="88">
        <v>0</v>
      </c>
      <c r="AV33" s="89">
        <v>0</v>
      </c>
      <c r="AW33" s="89">
        <v>0</v>
      </c>
      <c r="AX33" s="89">
        <v>0</v>
      </c>
      <c r="AY33" s="89">
        <v>0</v>
      </c>
      <c r="AZ33" s="89">
        <v>0</v>
      </c>
      <c r="BA33" s="89">
        <v>0</v>
      </c>
      <c r="BB33" s="89">
        <v>0</v>
      </c>
      <c r="BC33" s="90">
        <v>0</v>
      </c>
    </row>
    <row r="34" spans="1:55" hidden="1" x14ac:dyDescent="0.25"/>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E9CE-8058-48E9-8425-F0C86C07BAAA}">
  <sheetPr codeName="Sheet16"/>
  <dimension ref="A1:G83"/>
  <sheetViews>
    <sheetView workbookViewId="0">
      <selection activeCell="A5" sqref="A5"/>
    </sheetView>
  </sheetViews>
  <sheetFormatPr defaultRowHeight="14.4" x14ac:dyDescent="0.3"/>
  <cols>
    <col min="1" max="1" width="58.6640625" customWidth="1"/>
    <col min="2" max="2" width="30.88671875" customWidth="1"/>
    <col min="3" max="3" width="30.33203125" customWidth="1"/>
  </cols>
  <sheetData>
    <row r="1" spans="1:7" x14ac:dyDescent="0.3">
      <c r="A1" t="s">
        <v>850</v>
      </c>
      <c r="B1" t="s">
        <v>851</v>
      </c>
      <c r="C1" t="s">
        <v>851</v>
      </c>
      <c r="D1" s="798" t="s">
        <v>852</v>
      </c>
      <c r="E1" s="798"/>
      <c r="F1" s="798"/>
      <c r="G1" s="798"/>
    </row>
    <row r="2" spans="1:7" x14ac:dyDescent="0.3">
      <c r="A2" s="394" t="s">
        <v>853</v>
      </c>
      <c r="D2">
        <v>2013</v>
      </c>
      <c r="E2">
        <v>2016</v>
      </c>
      <c r="F2">
        <v>2019</v>
      </c>
      <c r="G2">
        <v>2025</v>
      </c>
    </row>
    <row r="3" spans="1:7" x14ac:dyDescent="0.3">
      <c r="A3" s="394" t="s">
        <v>854</v>
      </c>
    </row>
    <row r="4" spans="1:7" x14ac:dyDescent="0.3">
      <c r="A4" t="s">
        <v>855</v>
      </c>
    </row>
    <row r="5" spans="1:7" x14ac:dyDescent="0.3">
      <c r="A5" t="s">
        <v>856</v>
      </c>
    </row>
    <row r="6" spans="1:7" x14ac:dyDescent="0.3">
      <c r="A6" t="s">
        <v>857</v>
      </c>
    </row>
    <row r="7" spans="1:7" x14ac:dyDescent="0.3">
      <c r="A7" t="s">
        <v>858</v>
      </c>
    </row>
    <row r="8" spans="1:7" x14ac:dyDescent="0.3">
      <c r="A8" t="s">
        <v>859</v>
      </c>
    </row>
    <row r="9" spans="1:7" x14ac:dyDescent="0.3">
      <c r="A9" t="s">
        <v>860</v>
      </c>
    </row>
    <row r="10" spans="1:7" x14ac:dyDescent="0.3">
      <c r="A10" t="s">
        <v>861</v>
      </c>
    </row>
    <row r="11" spans="1:7" x14ac:dyDescent="0.3">
      <c r="A11" t="s">
        <v>862</v>
      </c>
    </row>
    <row r="12" spans="1:7" x14ac:dyDescent="0.3">
      <c r="A12" t="s">
        <v>863</v>
      </c>
    </row>
    <row r="13" spans="1:7" x14ac:dyDescent="0.3">
      <c r="A13" t="s">
        <v>864</v>
      </c>
    </row>
    <row r="14" spans="1:7" x14ac:dyDescent="0.3">
      <c r="A14" t="s">
        <v>865</v>
      </c>
    </row>
    <row r="15" spans="1:7" x14ac:dyDescent="0.3">
      <c r="A15" t="s">
        <v>866</v>
      </c>
    </row>
    <row r="16" spans="1:7" x14ac:dyDescent="0.3">
      <c r="A16" t="s">
        <v>867</v>
      </c>
    </row>
    <row r="17" spans="1:1" x14ac:dyDescent="0.3">
      <c r="A17" t="s">
        <v>215</v>
      </c>
    </row>
    <row r="18" spans="1:1" x14ac:dyDescent="0.3">
      <c r="A18" t="s">
        <v>868</v>
      </c>
    </row>
    <row r="19" spans="1:1" x14ac:dyDescent="0.3">
      <c r="A19" t="s">
        <v>118</v>
      </c>
    </row>
    <row r="20" spans="1:1" x14ac:dyDescent="0.3">
      <c r="A20" t="s">
        <v>869</v>
      </c>
    </row>
    <row r="21" spans="1:1" x14ac:dyDescent="0.3">
      <c r="A21" t="s">
        <v>870</v>
      </c>
    </row>
    <row r="22" spans="1:1" x14ac:dyDescent="0.3">
      <c r="A22" t="s">
        <v>871</v>
      </c>
    </row>
    <row r="23" spans="1:1" x14ac:dyDescent="0.3">
      <c r="A23" t="s">
        <v>213</v>
      </c>
    </row>
    <row r="24" spans="1:1" x14ac:dyDescent="0.3">
      <c r="A24" t="s">
        <v>127</v>
      </c>
    </row>
    <row r="25" spans="1:1" x14ac:dyDescent="0.3">
      <c r="A25" t="s">
        <v>872</v>
      </c>
    </row>
    <row r="26" spans="1:1" x14ac:dyDescent="0.3">
      <c r="A26" t="s">
        <v>873</v>
      </c>
    </row>
    <row r="27" spans="1:1" x14ac:dyDescent="0.3">
      <c r="A27" t="s">
        <v>874</v>
      </c>
    </row>
    <row r="28" spans="1:1" x14ac:dyDescent="0.3">
      <c r="A28" t="s">
        <v>875</v>
      </c>
    </row>
    <row r="29" spans="1:1" x14ac:dyDescent="0.3">
      <c r="A29" t="s">
        <v>876</v>
      </c>
    </row>
    <row r="30" spans="1:1" x14ac:dyDescent="0.3">
      <c r="A30" t="s">
        <v>877</v>
      </c>
    </row>
    <row r="31" spans="1:1" x14ac:dyDescent="0.3">
      <c r="A31" t="s">
        <v>878</v>
      </c>
    </row>
    <row r="32" spans="1:1" x14ac:dyDescent="0.3">
      <c r="A32" t="s">
        <v>879</v>
      </c>
    </row>
    <row r="33" spans="1:1" x14ac:dyDescent="0.3">
      <c r="A33" t="s">
        <v>880</v>
      </c>
    </row>
    <row r="34" spans="1:1" x14ac:dyDescent="0.3">
      <c r="A34" t="s">
        <v>881</v>
      </c>
    </row>
    <row r="35" spans="1:1" x14ac:dyDescent="0.3">
      <c r="A35" t="s">
        <v>882</v>
      </c>
    </row>
    <row r="36" spans="1:1" x14ac:dyDescent="0.3">
      <c r="A36" t="s">
        <v>883</v>
      </c>
    </row>
    <row r="37" spans="1:1" x14ac:dyDescent="0.3">
      <c r="A37" t="s">
        <v>884</v>
      </c>
    </row>
    <row r="38" spans="1:1" x14ac:dyDescent="0.3">
      <c r="A38" t="s">
        <v>885</v>
      </c>
    </row>
    <row r="39" spans="1:1" x14ac:dyDescent="0.3">
      <c r="A39" t="s">
        <v>211</v>
      </c>
    </row>
    <row r="40" spans="1:1" x14ac:dyDescent="0.3">
      <c r="A40" t="s">
        <v>886</v>
      </c>
    </row>
    <row r="41" spans="1:1" x14ac:dyDescent="0.3">
      <c r="A41" t="s">
        <v>887</v>
      </c>
    </row>
    <row r="42" spans="1:1" x14ac:dyDescent="0.3">
      <c r="A42" t="s">
        <v>888</v>
      </c>
    </row>
    <row r="43" spans="1:1" x14ac:dyDescent="0.3">
      <c r="A43" t="s">
        <v>889</v>
      </c>
    </row>
    <row r="44" spans="1:1" x14ac:dyDescent="0.3">
      <c r="A44" t="s">
        <v>130</v>
      </c>
    </row>
    <row r="45" spans="1:1" x14ac:dyDescent="0.3">
      <c r="A45" t="s">
        <v>890</v>
      </c>
    </row>
    <row r="46" spans="1:1" x14ac:dyDescent="0.3">
      <c r="A46" t="s">
        <v>891</v>
      </c>
    </row>
    <row r="47" spans="1:1" x14ac:dyDescent="0.3">
      <c r="A47" t="s">
        <v>892</v>
      </c>
    </row>
    <row r="48" spans="1:1" x14ac:dyDescent="0.3">
      <c r="A48" t="s">
        <v>893</v>
      </c>
    </row>
    <row r="49" spans="1:1" x14ac:dyDescent="0.3">
      <c r="A49" t="s">
        <v>894</v>
      </c>
    </row>
    <row r="50" spans="1:1" x14ac:dyDescent="0.3">
      <c r="A50" t="s">
        <v>133</v>
      </c>
    </row>
    <row r="51" spans="1:1" x14ac:dyDescent="0.3">
      <c r="A51" t="s">
        <v>895</v>
      </c>
    </row>
    <row r="52" spans="1:1" x14ac:dyDescent="0.3">
      <c r="A52" t="s">
        <v>896</v>
      </c>
    </row>
    <row r="53" spans="1:1" x14ac:dyDescent="0.3">
      <c r="A53" t="s">
        <v>897</v>
      </c>
    </row>
    <row r="54" spans="1:1" x14ac:dyDescent="0.3">
      <c r="A54" t="s">
        <v>898</v>
      </c>
    </row>
    <row r="55" spans="1:1" x14ac:dyDescent="0.3">
      <c r="A55" t="s">
        <v>899</v>
      </c>
    </row>
    <row r="56" spans="1:1" x14ac:dyDescent="0.3">
      <c r="A56" t="s">
        <v>900</v>
      </c>
    </row>
    <row r="57" spans="1:1" x14ac:dyDescent="0.3">
      <c r="A57" t="s">
        <v>901</v>
      </c>
    </row>
    <row r="58" spans="1:1" x14ac:dyDescent="0.3">
      <c r="A58" t="s">
        <v>902</v>
      </c>
    </row>
    <row r="59" spans="1:1" x14ac:dyDescent="0.3">
      <c r="A59" t="s">
        <v>223</v>
      </c>
    </row>
    <row r="60" spans="1:1" x14ac:dyDescent="0.3">
      <c r="A60" t="s">
        <v>136</v>
      </c>
    </row>
    <row r="61" spans="1:1" x14ac:dyDescent="0.3">
      <c r="A61" t="s">
        <v>903</v>
      </c>
    </row>
    <row r="62" spans="1:1" x14ac:dyDescent="0.3">
      <c r="A62" t="s">
        <v>904</v>
      </c>
    </row>
    <row r="63" spans="1:1" x14ac:dyDescent="0.3">
      <c r="A63" t="s">
        <v>905</v>
      </c>
    </row>
    <row r="64" spans="1:1" x14ac:dyDescent="0.3">
      <c r="A64" t="s">
        <v>141</v>
      </c>
    </row>
    <row r="65" spans="1:1" x14ac:dyDescent="0.3">
      <c r="A65" t="s">
        <v>906</v>
      </c>
    </row>
    <row r="66" spans="1:1" x14ac:dyDescent="0.3">
      <c r="A66" t="s">
        <v>907</v>
      </c>
    </row>
    <row r="67" spans="1:1" x14ac:dyDescent="0.3">
      <c r="A67" t="s">
        <v>908</v>
      </c>
    </row>
    <row r="68" spans="1:1" x14ac:dyDescent="0.3">
      <c r="A68" t="s">
        <v>909</v>
      </c>
    </row>
    <row r="69" spans="1:1" x14ac:dyDescent="0.3">
      <c r="A69" t="s">
        <v>910</v>
      </c>
    </row>
    <row r="70" spans="1:1" x14ac:dyDescent="0.3">
      <c r="A70" t="s">
        <v>911</v>
      </c>
    </row>
    <row r="71" spans="1:1" x14ac:dyDescent="0.3">
      <c r="A71" t="s">
        <v>912</v>
      </c>
    </row>
    <row r="72" spans="1:1" x14ac:dyDescent="0.3">
      <c r="A72" t="s">
        <v>913</v>
      </c>
    </row>
    <row r="73" spans="1:1" x14ac:dyDescent="0.3">
      <c r="A73" t="s">
        <v>914</v>
      </c>
    </row>
    <row r="74" spans="1:1" x14ac:dyDescent="0.3">
      <c r="A74" t="s">
        <v>915</v>
      </c>
    </row>
    <row r="75" spans="1:1" x14ac:dyDescent="0.3">
      <c r="A75" t="s">
        <v>145</v>
      </c>
    </row>
    <row r="76" spans="1:1" x14ac:dyDescent="0.3">
      <c r="A76" t="s">
        <v>916</v>
      </c>
    </row>
    <row r="77" spans="1:1" x14ac:dyDescent="0.3">
      <c r="A77" t="s">
        <v>917</v>
      </c>
    </row>
    <row r="78" spans="1:1" x14ac:dyDescent="0.3">
      <c r="A78" t="s">
        <v>918</v>
      </c>
    </row>
    <row r="79" spans="1:1" x14ac:dyDescent="0.3">
      <c r="A79" t="s">
        <v>522</v>
      </c>
    </row>
    <row r="80" spans="1:1" x14ac:dyDescent="0.3">
      <c r="A80" t="s">
        <v>919</v>
      </c>
    </row>
    <row r="81" spans="1:1" x14ac:dyDescent="0.3">
      <c r="A81" t="s">
        <v>920</v>
      </c>
    </row>
    <row r="82" spans="1:1" x14ac:dyDescent="0.3">
      <c r="A82" t="s">
        <v>921</v>
      </c>
    </row>
    <row r="83" spans="1:1" x14ac:dyDescent="0.3">
      <c r="A83" t="s">
        <v>922</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41613948-0554-4f13-babe-277410c056ca"/>
    <ds:schemaRef ds:uri="http://purl.org/dc/elements/1.1/"/>
    <ds:schemaRef ds:uri="http://schemas.microsoft.com/office/2006/documentManagement/types"/>
    <ds:schemaRef ds:uri="http://purl.org/dc/dcmitype/"/>
    <ds:schemaRef ds:uri="http://schemas.openxmlformats.org/package/2006/metadata/core-properties"/>
    <ds:schemaRef ds:uri="http://purl.org/dc/term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C87273A-89B1-4911-B2DB-C5ACFEB0E2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2026-10-09T07:52:33Z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