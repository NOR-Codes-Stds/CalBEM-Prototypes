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drawings/drawing5.xml" ContentType="application/vnd.openxmlformats-officedocument.drawing+xml"/>
  <Override PartName="/xl/charts/chart74.xml" ContentType="application/vnd.openxmlformats-officedocument.drawingml.chart+xml"/>
  <Override PartName="/xl/charts/style1.xml" ContentType="application/vnd.ms-office.chartstyle+xml"/>
  <Override PartName="/xl/charts/colors1.xml" ContentType="application/vnd.ms-office.chartcolorstyle+xml"/>
  <Override PartName="/xl/charts/chart75.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66925"/>
  <mc:AlternateContent xmlns:mc="http://schemas.openxmlformats.org/markup-compatibility/2006">
    <mc:Choice Requires="x15">
      <x15ac:absPath xmlns:x15ac="http://schemas.microsoft.com/office/spreadsheetml/2010/11/ac" url="C:\Cursor\Scorecards cleanup- dictation and Spelling\V2.0-10272026\"/>
    </mc:Choice>
  </mc:AlternateContent>
  <xr:revisionPtr revIDLastSave="0" documentId="13_ncr:1_{498D0E84-A4FE-4A4B-906F-9B536E7DB95A}" xr6:coauthVersionLast="47" xr6:coauthVersionMax="47" xr10:uidLastSave="{00000000-0000-0000-0000-000000000000}"/>
  <bookViews>
    <workbookView xWindow="-108" yWindow="-108" windowWidth="23256" windowHeight="13896" tabRatio="890" firstSheet="1" activeTab="1" xr2:uid="{EAC23EE3-0CA0-4FF8-990D-9B21A59FA3E0}"/>
  </bookViews>
  <sheets>
    <sheet name="Notes" sheetId="23" r:id="rId1"/>
    <sheet name="Prototype" sheetId="2" r:id="rId2"/>
    <sheet name="Zones" sheetId="13" r:id="rId3"/>
    <sheet name="Envelope" sheetId="1" r:id="rId4"/>
    <sheet name="HVAC System" sheetId="14" r:id="rId5"/>
    <sheet name="Thermostat" sheetId="31" r:id="rId6"/>
    <sheet name="Ventilation" sheetId="18" r:id="rId7"/>
    <sheet name="Water Heater" sheetId="7" r:id="rId8"/>
    <sheet name="Interior Lights" sheetId="25" r:id="rId9"/>
    <sheet name="Ext Lighting" sheetId="9" r:id="rId10"/>
    <sheet name="Equipment" sheetId="29" r:id="rId11"/>
    <sheet name="Schedules" sheetId="34" r:id="rId12"/>
    <sheet name="Energy Usage" sheetId="20" r:id="rId13"/>
    <sheet name="PV" sheetId="27" state="hidden" r:id="rId14"/>
    <sheet name="EV Charger" sheetId="22" state="hidden" r:id="rId15"/>
    <sheet name="Data" sheetId="33" state="hidden" r:id="rId16"/>
    <sheet name="Weights" sheetId="21" r:id="rId17"/>
  </sheets>
  <externalReferences>
    <externalReference r:id="rId18"/>
  </externalReferences>
  <definedNames>
    <definedName name="_xlnm._FilterDatabase" localSheetId="15" hidden="1">Data!$D$1:$G$1</definedName>
    <definedName name="_xlnm._FilterDatabase" localSheetId="10" hidden="1">Equipment!$A$2:$E$21</definedName>
    <definedName name="_xlnm._FilterDatabase" localSheetId="8" hidden="1">'Interior Lights'!$A$2:$G$18</definedName>
    <definedName name="_xlnm._FilterDatabase" localSheetId="11" hidden="1">Schedules!$A$2:$AP$241</definedName>
    <definedName name="_xlnm._FilterDatabase" localSheetId="2" hidden="1">Zones!$A$2:$AC$2</definedName>
    <definedName name="nonparticipating_forecastzone_scale_factor" localSheetId="15">#REF!</definedName>
    <definedName name="nonparticipating_forecastzone_scale_factor" localSheetId="11">#REF!</definedName>
    <definedName name="nonparticipating_forecastzone_scale_factor">'Energy Usage'!#REF!</definedName>
    <definedName name="Space_Function">Data!$A$2:$A$76</definedName>
  </definedNames>
  <calcPr calcId="191028"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13" l="1"/>
  <c r="F11" i="25"/>
  <c r="C11" i="25"/>
  <c r="F17" i="25"/>
  <c r="C17" i="25"/>
  <c r="F16" i="25"/>
  <c r="C16" i="25"/>
  <c r="C12" i="25"/>
  <c r="C10" i="25"/>
  <c r="C6" i="25"/>
  <c r="F6" i="25"/>
  <c r="F4" i="25"/>
  <c r="F5" i="25"/>
  <c r="F255" i="34"/>
  <c r="G255" i="34"/>
  <c r="H255" i="34"/>
  <c r="F252" i="34"/>
  <c r="G252" i="34"/>
  <c r="H252" i="34"/>
  <c r="I252" i="34"/>
  <c r="J252" i="34"/>
  <c r="K252" i="34"/>
  <c r="L252" i="34"/>
  <c r="M252" i="34"/>
  <c r="N252" i="34"/>
  <c r="O252" i="34"/>
  <c r="P252" i="34"/>
  <c r="Q252" i="34"/>
  <c r="R252" i="34"/>
  <c r="S252" i="34"/>
  <c r="T252" i="34"/>
  <c r="U252" i="34"/>
  <c r="V252" i="34"/>
  <c r="W252" i="34"/>
  <c r="X252" i="34"/>
  <c r="Y252" i="34"/>
  <c r="Z252" i="34"/>
  <c r="AA252" i="34"/>
  <c r="AB252" i="34"/>
  <c r="AC252" i="34"/>
  <c r="H352" i="34"/>
  <c r="H350" i="34"/>
  <c r="H349" i="34"/>
  <c r="H339" i="34"/>
  <c r="H338" i="34"/>
  <c r="A1" i="21"/>
  <c r="J1" i="21"/>
  <c r="AB5" i="21"/>
  <c r="AB6" i="21"/>
  <c r="AB7" i="21"/>
  <c r="AB9" i="21"/>
  <c r="AB4" i="21"/>
  <c r="J3" i="1"/>
  <c r="K3" i="1"/>
  <c r="L3" i="1"/>
  <c r="M3" i="1"/>
  <c r="N3" i="1"/>
  <c r="O3" i="1"/>
  <c r="P3" i="1"/>
  <c r="Q3" i="1"/>
  <c r="R3" i="1"/>
  <c r="S3" i="1"/>
  <c r="T3" i="1"/>
  <c r="U3" i="1"/>
  <c r="V3" i="1"/>
  <c r="W3" i="1"/>
  <c r="X3" i="1"/>
  <c r="I3" i="1"/>
  <c r="H45" i="13"/>
  <c r="AC263" i="34"/>
  <c r="AB263" i="34"/>
  <c r="AA263" i="34"/>
  <c r="Z263" i="34"/>
  <c r="Y263" i="34"/>
  <c r="X263" i="34"/>
  <c r="W263" i="34"/>
  <c r="V263" i="34"/>
  <c r="U263" i="34"/>
  <c r="T263" i="34"/>
  <c r="S263" i="34"/>
  <c r="R263" i="34"/>
  <c r="Q263" i="34"/>
  <c r="P263" i="34"/>
  <c r="O263" i="34"/>
  <c r="N263" i="34"/>
  <c r="M263" i="34"/>
  <c r="L263" i="34"/>
  <c r="K263" i="34"/>
  <c r="J263" i="34"/>
  <c r="I263" i="34"/>
  <c r="H263" i="34"/>
  <c r="G263" i="34"/>
  <c r="F263" i="34"/>
  <c r="AC262" i="34"/>
  <c r="AB262" i="34"/>
  <c r="AA262" i="34"/>
  <c r="Z262" i="34"/>
  <c r="Y262" i="34"/>
  <c r="X262" i="34"/>
  <c r="W262" i="34"/>
  <c r="V262" i="34"/>
  <c r="U262" i="34"/>
  <c r="T262" i="34"/>
  <c r="S262" i="34"/>
  <c r="R262" i="34"/>
  <c r="Q262" i="34"/>
  <c r="P262" i="34"/>
  <c r="O262" i="34"/>
  <c r="N262" i="34"/>
  <c r="M262" i="34"/>
  <c r="L262" i="34"/>
  <c r="K262" i="34"/>
  <c r="J262" i="34"/>
  <c r="I262" i="34"/>
  <c r="H262" i="34"/>
  <c r="G262" i="34"/>
  <c r="F262" i="34"/>
  <c r="AC261" i="34"/>
  <c r="AB261" i="34"/>
  <c r="AA261" i="34"/>
  <c r="Z261" i="34"/>
  <c r="Y261" i="34"/>
  <c r="X261" i="34"/>
  <c r="W261" i="34"/>
  <c r="V261" i="34"/>
  <c r="U261" i="34"/>
  <c r="T261" i="34"/>
  <c r="S261" i="34"/>
  <c r="R261" i="34"/>
  <c r="Q261" i="34"/>
  <c r="P261" i="34"/>
  <c r="O261" i="34"/>
  <c r="N261" i="34"/>
  <c r="M261" i="34"/>
  <c r="L261" i="34"/>
  <c r="K261" i="34"/>
  <c r="J261" i="34"/>
  <c r="I261" i="34"/>
  <c r="H261" i="34"/>
  <c r="G261" i="34"/>
  <c r="F261" i="34"/>
  <c r="AC260" i="34"/>
  <c r="AB260" i="34"/>
  <c r="AA260" i="34"/>
  <c r="Z260" i="34"/>
  <c r="Y260" i="34"/>
  <c r="X260" i="34"/>
  <c r="W260" i="34"/>
  <c r="V260" i="34"/>
  <c r="U260" i="34"/>
  <c r="T260" i="34"/>
  <c r="S260" i="34"/>
  <c r="R260" i="34"/>
  <c r="Q260" i="34"/>
  <c r="P260" i="34"/>
  <c r="O260" i="34"/>
  <c r="N260" i="34"/>
  <c r="M260" i="34"/>
  <c r="L260" i="34"/>
  <c r="K260" i="34"/>
  <c r="J260" i="34"/>
  <c r="I260" i="34"/>
  <c r="H260" i="34"/>
  <c r="G260" i="34"/>
  <c r="F260" i="34"/>
  <c r="AC259" i="34"/>
  <c r="AB259" i="34"/>
  <c r="AA259" i="34"/>
  <c r="Z259" i="34"/>
  <c r="Y259" i="34"/>
  <c r="X259" i="34"/>
  <c r="W259" i="34"/>
  <c r="V259" i="34"/>
  <c r="U259" i="34"/>
  <c r="T259" i="34"/>
  <c r="S259" i="34"/>
  <c r="R259" i="34"/>
  <c r="Q259" i="34"/>
  <c r="P259" i="34"/>
  <c r="O259" i="34"/>
  <c r="N259" i="34"/>
  <c r="M259" i="34"/>
  <c r="L259" i="34"/>
  <c r="K259" i="34"/>
  <c r="J259" i="34"/>
  <c r="I259" i="34"/>
  <c r="H259" i="34"/>
  <c r="G259" i="34"/>
  <c r="F259" i="34"/>
  <c r="AC258" i="34"/>
  <c r="AB258" i="34"/>
  <c r="AA258" i="34"/>
  <c r="Z258" i="34"/>
  <c r="Y258" i="34"/>
  <c r="X258" i="34"/>
  <c r="W258" i="34"/>
  <c r="V258" i="34"/>
  <c r="U258" i="34"/>
  <c r="T258" i="34"/>
  <c r="S258" i="34"/>
  <c r="R258" i="34"/>
  <c r="Q258" i="34"/>
  <c r="P258" i="34"/>
  <c r="O258" i="34"/>
  <c r="N258" i="34"/>
  <c r="M258" i="34"/>
  <c r="L258" i="34"/>
  <c r="K258" i="34"/>
  <c r="J258" i="34"/>
  <c r="I258" i="34"/>
  <c r="H258" i="34"/>
  <c r="G258" i="34"/>
  <c r="F258" i="34"/>
  <c r="AC257" i="34"/>
  <c r="AB257" i="34"/>
  <c r="AA257" i="34"/>
  <c r="Z257" i="34"/>
  <c r="Y257" i="34"/>
  <c r="X257" i="34"/>
  <c r="W257" i="34"/>
  <c r="V257" i="34"/>
  <c r="U257" i="34"/>
  <c r="T257" i="34"/>
  <c r="S257" i="34"/>
  <c r="R257" i="34"/>
  <c r="Q257" i="34"/>
  <c r="P257" i="34"/>
  <c r="O257" i="34"/>
  <c r="N257" i="34"/>
  <c r="M257" i="34"/>
  <c r="L257" i="34"/>
  <c r="K257" i="34"/>
  <c r="J257" i="34"/>
  <c r="I257" i="34"/>
  <c r="H257" i="34"/>
  <c r="G257" i="34"/>
  <c r="F257" i="34"/>
  <c r="AC256" i="34"/>
  <c r="AB256" i="34"/>
  <c r="AA256" i="34"/>
  <c r="Z256" i="34"/>
  <c r="Y256" i="34"/>
  <c r="X256" i="34"/>
  <c r="W256" i="34"/>
  <c r="V256" i="34"/>
  <c r="U256" i="34"/>
  <c r="T256" i="34"/>
  <c r="S256" i="34"/>
  <c r="R256" i="34"/>
  <c r="Q256" i="34"/>
  <c r="P256" i="34"/>
  <c r="O256" i="34"/>
  <c r="N256" i="34"/>
  <c r="M256" i="34"/>
  <c r="L256" i="34"/>
  <c r="K256" i="34"/>
  <c r="J256" i="34"/>
  <c r="I256" i="34"/>
  <c r="H256" i="34"/>
  <c r="G256" i="34"/>
  <c r="F256" i="34"/>
  <c r="AC255" i="34"/>
  <c r="AB255" i="34"/>
  <c r="AA255" i="34"/>
  <c r="Z255" i="34"/>
  <c r="Y255" i="34"/>
  <c r="X255" i="34"/>
  <c r="W255" i="34"/>
  <c r="V255" i="34"/>
  <c r="U255" i="34"/>
  <c r="T255" i="34"/>
  <c r="S255" i="34"/>
  <c r="R255" i="34"/>
  <c r="Q255" i="34"/>
  <c r="P255" i="34"/>
  <c r="O255" i="34"/>
  <c r="N255" i="34"/>
  <c r="M255" i="34"/>
  <c r="L255" i="34"/>
  <c r="K255" i="34"/>
  <c r="J255" i="34"/>
  <c r="I255" i="34"/>
  <c r="AC254" i="34"/>
  <c r="AB254" i="34"/>
  <c r="AA254" i="34"/>
  <c r="Z254" i="34"/>
  <c r="Y254" i="34"/>
  <c r="X254" i="34"/>
  <c r="W254" i="34"/>
  <c r="V254" i="34"/>
  <c r="U254" i="34"/>
  <c r="T254" i="34"/>
  <c r="S254" i="34"/>
  <c r="R254" i="34"/>
  <c r="Q254" i="34"/>
  <c r="P254" i="34"/>
  <c r="O254" i="34"/>
  <c r="N254" i="34"/>
  <c r="M254" i="34"/>
  <c r="L254" i="34"/>
  <c r="K254" i="34"/>
  <c r="J254" i="34"/>
  <c r="I254" i="34"/>
  <c r="H254" i="34"/>
  <c r="G254" i="34"/>
  <c r="F254" i="34"/>
  <c r="AC253" i="34"/>
  <c r="AB253" i="34"/>
  <c r="AA253" i="34"/>
  <c r="Z253" i="34"/>
  <c r="Y253" i="34"/>
  <c r="X253" i="34"/>
  <c r="W253" i="34"/>
  <c r="V253" i="34"/>
  <c r="U253" i="34"/>
  <c r="T253" i="34"/>
  <c r="S253" i="34"/>
  <c r="R253" i="34"/>
  <c r="Q253" i="34"/>
  <c r="P253" i="34"/>
  <c r="O253" i="34"/>
  <c r="N253" i="34"/>
  <c r="M253" i="34"/>
  <c r="L253" i="34"/>
  <c r="K253" i="34"/>
  <c r="J253" i="34"/>
  <c r="I253" i="34"/>
  <c r="H253" i="34"/>
  <c r="G253" i="34"/>
  <c r="F253" i="34"/>
  <c r="G47" i="18"/>
  <c r="M44" i="18"/>
  <c r="M43" i="18"/>
  <c r="M42" i="18"/>
  <c r="M41" i="18"/>
  <c r="M40" i="18"/>
  <c r="M39" i="18"/>
  <c r="M38" i="18"/>
  <c r="M37" i="18"/>
  <c r="M36" i="18"/>
  <c r="M35" i="18"/>
  <c r="M34" i="18"/>
  <c r="M33" i="18"/>
  <c r="M32" i="18"/>
  <c r="M31" i="18"/>
  <c r="M30" i="18"/>
  <c r="M29" i="18"/>
  <c r="M28" i="18"/>
  <c r="M27" i="18"/>
  <c r="M26" i="18"/>
  <c r="M25" i="18"/>
  <c r="M24" i="18"/>
  <c r="M23" i="18"/>
  <c r="M22" i="18"/>
  <c r="M21" i="18"/>
  <c r="M20" i="18"/>
  <c r="M19" i="18"/>
  <c r="M18" i="18"/>
  <c r="M17" i="18"/>
  <c r="M16" i="18"/>
  <c r="M15" i="18"/>
  <c r="M14" i="18"/>
  <c r="M13" i="18"/>
  <c r="M12" i="18"/>
  <c r="M11" i="18"/>
  <c r="M10" i="18"/>
  <c r="M9" i="18"/>
  <c r="M8" i="18"/>
  <c r="M7" i="18"/>
  <c r="M6" i="18"/>
  <c r="M5" i="18"/>
  <c r="M4" i="18"/>
  <c r="M3" i="18"/>
  <c r="A136" i="7"/>
  <c r="A137" i="7"/>
  <c r="A138" i="7"/>
  <c r="A139" i="7"/>
  <c r="A140" i="7"/>
  <c r="A141" i="7"/>
  <c r="A142" i="7"/>
  <c r="A143" i="7"/>
  <c r="A144" i="7"/>
  <c r="A145" i="7"/>
  <c r="A146" i="7"/>
  <c r="A147" i="7"/>
  <c r="A148" i="7"/>
  <c r="A149" i="7"/>
  <c r="A150" i="7"/>
  <c r="A120" i="7"/>
  <c r="A121" i="7"/>
  <c r="A122" i="7"/>
  <c r="A123" i="7"/>
  <c r="A124" i="7"/>
  <c r="A125" i="7"/>
  <c r="A126" i="7"/>
  <c r="A127" i="7"/>
  <c r="A128" i="7"/>
  <c r="A129" i="7"/>
  <c r="A130" i="7"/>
  <c r="A131" i="7"/>
  <c r="A132" i="7"/>
  <c r="A133" i="7"/>
  <c r="A134" i="7"/>
  <c r="A104" i="7"/>
  <c r="A105" i="7"/>
  <c r="A106" i="7"/>
  <c r="A107" i="7"/>
  <c r="A108" i="7"/>
  <c r="A109" i="7"/>
  <c r="A110" i="7"/>
  <c r="A111" i="7"/>
  <c r="A112" i="7"/>
  <c r="A113" i="7"/>
  <c r="A114" i="7"/>
  <c r="A115" i="7"/>
  <c r="A116" i="7"/>
  <c r="A117" i="7"/>
  <c r="A118" i="7"/>
  <c r="A88" i="7"/>
  <c r="A89" i="7"/>
  <c r="A90" i="7"/>
  <c r="A91" i="7"/>
  <c r="A92" i="7"/>
  <c r="A93" i="7"/>
  <c r="A94" i="7"/>
  <c r="A95" i="7"/>
  <c r="A96" i="7"/>
  <c r="A97" i="7"/>
  <c r="A98" i="7"/>
  <c r="A99" i="7"/>
  <c r="A100" i="7"/>
  <c r="A101" i="7"/>
  <c r="A102" i="7"/>
  <c r="A72" i="7"/>
  <c r="A73" i="7"/>
  <c r="A74" i="7"/>
  <c r="A75" i="7"/>
  <c r="A76" i="7"/>
  <c r="A77" i="7"/>
  <c r="A78" i="7"/>
  <c r="A79" i="7"/>
  <c r="A80" i="7"/>
  <c r="A81" i="7"/>
  <c r="A82" i="7"/>
  <c r="A83" i="7"/>
  <c r="A84" i="7"/>
  <c r="A85" i="7"/>
  <c r="A86" i="7"/>
  <c r="A135" i="7"/>
  <c r="A119" i="7"/>
  <c r="A103" i="7"/>
  <c r="A87" i="7"/>
  <c r="A71" i="7"/>
  <c r="A302" i="34"/>
  <c r="A306" i="34" s="1"/>
  <c r="A310" i="34" s="1"/>
  <c r="A314" i="34" s="1"/>
  <c r="A318" i="34" s="1"/>
  <c r="A322" i="34" s="1"/>
  <c r="A326" i="34" s="1"/>
  <c r="G285" i="34"/>
  <c r="H285" i="34"/>
  <c r="I285" i="34"/>
  <c r="J285" i="34"/>
  <c r="K285" i="34"/>
  <c r="L285" i="34"/>
  <c r="M285" i="34"/>
  <c r="N285" i="34"/>
  <c r="O285" i="34"/>
  <c r="P285" i="34"/>
  <c r="Q285" i="34"/>
  <c r="R285" i="34"/>
  <c r="S285" i="34"/>
  <c r="T285" i="34"/>
  <c r="U285" i="34"/>
  <c r="V285" i="34"/>
  <c r="W285" i="34"/>
  <c r="X285" i="34"/>
  <c r="Y285" i="34"/>
  <c r="Z285" i="34"/>
  <c r="AA285" i="34"/>
  <c r="AB285" i="34"/>
  <c r="AC285" i="34"/>
  <c r="G286" i="34"/>
  <c r="H286" i="34"/>
  <c r="I286" i="34"/>
  <c r="J286" i="34"/>
  <c r="K286" i="34"/>
  <c r="L286" i="34"/>
  <c r="M286" i="34"/>
  <c r="N286" i="34"/>
  <c r="O286" i="34"/>
  <c r="P286" i="34"/>
  <c r="Q286" i="34"/>
  <c r="R286" i="34"/>
  <c r="S286" i="34"/>
  <c r="T286" i="34"/>
  <c r="U286" i="34"/>
  <c r="V286" i="34"/>
  <c r="W286" i="34"/>
  <c r="X286" i="34"/>
  <c r="Y286" i="34"/>
  <c r="Z286" i="34"/>
  <c r="AA286" i="34"/>
  <c r="AB286" i="34"/>
  <c r="AC286" i="34"/>
  <c r="G287" i="34"/>
  <c r="H287" i="34"/>
  <c r="I287" i="34"/>
  <c r="J287" i="34"/>
  <c r="K287" i="34"/>
  <c r="L287" i="34"/>
  <c r="M287" i="34"/>
  <c r="N287" i="34"/>
  <c r="O287" i="34"/>
  <c r="P287" i="34"/>
  <c r="Q287" i="34"/>
  <c r="R287" i="34"/>
  <c r="S287" i="34"/>
  <c r="T287" i="34"/>
  <c r="U287" i="34"/>
  <c r="V287" i="34"/>
  <c r="W287" i="34"/>
  <c r="X287" i="34"/>
  <c r="Y287" i="34"/>
  <c r="Z287" i="34"/>
  <c r="AA287" i="34"/>
  <c r="AB287" i="34"/>
  <c r="AC287" i="34"/>
  <c r="G289" i="34"/>
  <c r="H289" i="34"/>
  <c r="I289" i="34"/>
  <c r="J289" i="34"/>
  <c r="K289" i="34"/>
  <c r="L289" i="34"/>
  <c r="M289" i="34"/>
  <c r="N289" i="34"/>
  <c r="O289" i="34"/>
  <c r="P289" i="34"/>
  <c r="Q289" i="34"/>
  <c r="R289" i="34"/>
  <c r="S289" i="34"/>
  <c r="T289" i="34"/>
  <c r="U289" i="34"/>
  <c r="V289" i="34"/>
  <c r="W289" i="34"/>
  <c r="X289" i="34"/>
  <c r="Y289" i="34"/>
  <c r="Z289" i="34"/>
  <c r="AA289" i="34"/>
  <c r="AB289" i="34"/>
  <c r="AC289" i="34"/>
  <c r="G290" i="34"/>
  <c r="H290" i="34"/>
  <c r="I290" i="34"/>
  <c r="J290" i="34"/>
  <c r="K290" i="34"/>
  <c r="L290" i="34"/>
  <c r="M290" i="34"/>
  <c r="N290" i="34"/>
  <c r="O290" i="34"/>
  <c r="P290" i="34"/>
  <c r="Q290" i="34"/>
  <c r="R290" i="34"/>
  <c r="S290" i="34"/>
  <c r="T290" i="34"/>
  <c r="U290" i="34"/>
  <c r="V290" i="34"/>
  <c r="W290" i="34"/>
  <c r="X290" i="34"/>
  <c r="Y290" i="34"/>
  <c r="Z290" i="34"/>
  <c r="AA290" i="34"/>
  <c r="AB290" i="34"/>
  <c r="AC290" i="34"/>
  <c r="G291" i="34"/>
  <c r="H291" i="34"/>
  <c r="I291" i="34"/>
  <c r="J291" i="34"/>
  <c r="K291" i="34"/>
  <c r="L291" i="34"/>
  <c r="M291" i="34"/>
  <c r="N291" i="34"/>
  <c r="O291" i="34"/>
  <c r="P291" i="34"/>
  <c r="Q291" i="34"/>
  <c r="R291" i="34"/>
  <c r="S291" i="34"/>
  <c r="T291" i="34"/>
  <c r="U291" i="34"/>
  <c r="V291" i="34"/>
  <c r="W291" i="34"/>
  <c r="X291" i="34"/>
  <c r="Y291" i="34"/>
  <c r="Z291" i="34"/>
  <c r="AA291" i="34"/>
  <c r="AB291" i="34"/>
  <c r="AC291" i="34"/>
  <c r="F290" i="34"/>
  <c r="F291" i="34"/>
  <c r="F286" i="34"/>
  <c r="F287" i="34"/>
  <c r="F285" i="34"/>
  <c r="F289" i="34"/>
  <c r="H5" i="21"/>
  <c r="H6" i="21"/>
  <c r="H7" i="21"/>
  <c r="H8" i="21"/>
  <c r="H9" i="21"/>
  <c r="H10" i="21"/>
  <c r="H11" i="21"/>
  <c r="H12" i="21"/>
  <c r="H13" i="21"/>
  <c r="H14" i="21"/>
  <c r="H15" i="21"/>
  <c r="H16" i="21"/>
  <c r="H17" i="21"/>
  <c r="H18" i="21"/>
  <c r="H19" i="21"/>
  <c r="H20" i="21"/>
  <c r="H4" i="21"/>
  <c r="D44" i="18"/>
  <c r="J44" i="18" s="1"/>
  <c r="B44" i="18"/>
  <c r="A44" i="18"/>
  <c r="D43" i="18"/>
  <c r="J43" i="18" s="1"/>
  <c r="B43" i="18"/>
  <c r="A43" i="18"/>
  <c r="D42" i="18"/>
  <c r="J42" i="18" s="1"/>
  <c r="B42" i="18"/>
  <c r="A42" i="18"/>
  <c r="D41" i="18"/>
  <c r="I41" i="18" s="1"/>
  <c r="B41" i="18"/>
  <c r="A41" i="18"/>
  <c r="D40" i="18"/>
  <c r="I40" i="18" s="1"/>
  <c r="B40" i="18"/>
  <c r="A40" i="18"/>
  <c r="D39" i="18"/>
  <c r="I39" i="18" s="1"/>
  <c r="B39" i="18"/>
  <c r="A39" i="18"/>
  <c r="D38" i="18"/>
  <c r="J38" i="18" s="1"/>
  <c r="B38" i="18"/>
  <c r="A38" i="18"/>
  <c r="D37" i="18"/>
  <c r="I37" i="18" s="1"/>
  <c r="B37" i="18"/>
  <c r="A37" i="18"/>
  <c r="D36" i="18"/>
  <c r="J36" i="18" s="1"/>
  <c r="B36" i="18"/>
  <c r="A36" i="18"/>
  <c r="D35" i="18"/>
  <c r="I35" i="18" s="1"/>
  <c r="B35" i="18"/>
  <c r="A35" i="18"/>
  <c r="D34" i="18"/>
  <c r="J34" i="18" s="1"/>
  <c r="B34" i="18"/>
  <c r="A34" i="18"/>
  <c r="D33" i="18"/>
  <c r="J33" i="18" s="1"/>
  <c r="B33" i="18"/>
  <c r="A33" i="18"/>
  <c r="D32" i="18"/>
  <c r="I32" i="18" s="1"/>
  <c r="B32" i="18"/>
  <c r="A32" i="18"/>
  <c r="D31" i="18"/>
  <c r="I31" i="18" s="1"/>
  <c r="B31" i="18"/>
  <c r="A31" i="18"/>
  <c r="D30" i="18"/>
  <c r="I30" i="18" s="1"/>
  <c r="B30" i="18"/>
  <c r="A30" i="18"/>
  <c r="D29" i="18"/>
  <c r="J29" i="18" s="1"/>
  <c r="B29" i="18"/>
  <c r="A29" i="18"/>
  <c r="D28" i="18"/>
  <c r="J28" i="18" s="1"/>
  <c r="B28" i="18"/>
  <c r="A28" i="18"/>
  <c r="D27" i="18"/>
  <c r="J27" i="18" s="1"/>
  <c r="B27" i="18"/>
  <c r="A27" i="18"/>
  <c r="D26" i="18"/>
  <c r="J26" i="18" s="1"/>
  <c r="B26" i="18"/>
  <c r="A26" i="18"/>
  <c r="D25" i="18"/>
  <c r="I25" i="18" s="1"/>
  <c r="B25" i="18"/>
  <c r="A25" i="18"/>
  <c r="D24" i="18"/>
  <c r="J24" i="18" s="1"/>
  <c r="B24" i="18"/>
  <c r="A24" i="18"/>
  <c r="D23" i="18"/>
  <c r="I23" i="18" s="1"/>
  <c r="B23" i="18"/>
  <c r="A23" i="18"/>
  <c r="D22" i="18"/>
  <c r="J22" i="18" s="1"/>
  <c r="B22" i="18"/>
  <c r="A22" i="18"/>
  <c r="D21" i="18"/>
  <c r="J21" i="18" s="1"/>
  <c r="B21" i="18"/>
  <c r="A21" i="18"/>
  <c r="D20" i="18"/>
  <c r="B20" i="18"/>
  <c r="A20" i="18"/>
  <c r="D19" i="18"/>
  <c r="B19" i="18"/>
  <c r="A19" i="18"/>
  <c r="D18" i="18"/>
  <c r="B18" i="18"/>
  <c r="A18" i="18"/>
  <c r="D17" i="18"/>
  <c r="B17" i="18"/>
  <c r="A17" i="18"/>
  <c r="D16" i="18"/>
  <c r="B16" i="18"/>
  <c r="A16" i="18"/>
  <c r="D15" i="18"/>
  <c r="B15" i="18"/>
  <c r="A15" i="18"/>
  <c r="D14" i="18"/>
  <c r="B14" i="18"/>
  <c r="A14" i="18"/>
  <c r="D13" i="18"/>
  <c r="B13" i="18"/>
  <c r="A13" i="18"/>
  <c r="D12" i="18"/>
  <c r="B12" i="18"/>
  <c r="A12" i="18"/>
  <c r="D9" i="18"/>
  <c r="D47" i="18" s="1"/>
  <c r="B9" i="18"/>
  <c r="B47" i="18" s="1"/>
  <c r="A9" i="18"/>
  <c r="D8" i="18"/>
  <c r="B8" i="18"/>
  <c r="A8" i="18"/>
  <c r="D7" i="18"/>
  <c r="B7" i="18"/>
  <c r="A7" i="18"/>
  <c r="J47" i="18" l="1"/>
  <c r="K47" i="18" s="1"/>
  <c r="N34" i="18"/>
  <c r="N13" i="18"/>
  <c r="N35" i="18"/>
  <c r="J35" i="18"/>
  <c r="N41" i="18"/>
  <c r="N19" i="18"/>
  <c r="N22" i="18"/>
  <c r="N44" i="18"/>
  <c r="N12" i="18"/>
  <c r="N33" i="18"/>
  <c r="N28" i="18"/>
  <c r="N20" i="18"/>
  <c r="N42" i="18"/>
  <c r="N26" i="18"/>
  <c r="N7" i="18"/>
  <c r="N29" i="18"/>
  <c r="N14" i="18"/>
  <c r="N36" i="18"/>
  <c r="N40" i="18"/>
  <c r="N25" i="18"/>
  <c r="N8" i="18"/>
  <c r="N15" i="18"/>
  <c r="N23" i="18"/>
  <c r="N30" i="18"/>
  <c r="N37" i="18"/>
  <c r="N17" i="18"/>
  <c r="N9" i="18"/>
  <c r="N24" i="18"/>
  <c r="N31" i="18"/>
  <c r="N18" i="18"/>
  <c r="N39" i="18"/>
  <c r="N21" i="18"/>
  <c r="N32" i="18"/>
  <c r="N43" i="18"/>
  <c r="N16" i="18"/>
  <c r="N27" i="18"/>
  <c r="N38" i="18"/>
  <c r="I36" i="18"/>
  <c r="I33" i="18"/>
  <c r="J30" i="18"/>
  <c r="I21" i="18"/>
  <c r="J32" i="18"/>
  <c r="I42" i="18"/>
  <c r="I28" i="18"/>
  <c r="J31" i="18"/>
  <c r="I34" i="18"/>
  <c r="J37" i="18"/>
  <c r="J23" i="18"/>
  <c r="I26" i="18"/>
  <c r="J40" i="18"/>
  <c r="I43" i="18"/>
  <c r="I29" i="18"/>
  <c r="I22" i="18"/>
  <c r="J25" i="18"/>
  <c r="I27" i="18"/>
  <c r="J41" i="18"/>
  <c r="I44" i="18"/>
  <c r="J39" i="18"/>
  <c r="I38" i="18"/>
  <c r="I24" i="18"/>
  <c r="I13" i="1" a="1"/>
  <c r="I13" i="1" s="1"/>
  <c r="I31" i="1" a="1"/>
  <c r="I31" i="1" s="1"/>
  <c r="I37" i="1" a="1"/>
  <c r="I37" i="1" s="1"/>
  <c r="I7" i="1" a="1"/>
  <c r="I7" i="1" s="1"/>
  <c r="AC251" i="34"/>
  <c r="AB251" i="34"/>
  <c r="AA251" i="34"/>
  <c r="Z251" i="34"/>
  <c r="Y251" i="34"/>
  <c r="X251" i="34"/>
  <c r="W251" i="34"/>
  <c r="V251" i="34"/>
  <c r="U251" i="34"/>
  <c r="T251" i="34"/>
  <c r="S251" i="34"/>
  <c r="R251" i="34"/>
  <c r="Q251" i="34"/>
  <c r="P251" i="34"/>
  <c r="O251" i="34"/>
  <c r="N251" i="34"/>
  <c r="M251" i="34"/>
  <c r="L251" i="34"/>
  <c r="K251" i="34"/>
  <c r="J251" i="34"/>
  <c r="I251" i="34"/>
  <c r="H251" i="34"/>
  <c r="G251" i="34"/>
  <c r="F251" i="34"/>
  <c r="AC250" i="34"/>
  <c r="AB250" i="34"/>
  <c r="AA250" i="34"/>
  <c r="Z250" i="34"/>
  <c r="Y250" i="34"/>
  <c r="X250" i="34"/>
  <c r="W250" i="34"/>
  <c r="V250" i="34"/>
  <c r="U250" i="34"/>
  <c r="T250" i="34"/>
  <c r="S250" i="34"/>
  <c r="R250" i="34"/>
  <c r="Q250" i="34"/>
  <c r="P250" i="34"/>
  <c r="O250" i="34"/>
  <c r="N250" i="34"/>
  <c r="M250" i="34"/>
  <c r="L250" i="34"/>
  <c r="K250" i="34"/>
  <c r="J250" i="34"/>
  <c r="I250" i="34"/>
  <c r="H250" i="34"/>
  <c r="G250" i="34"/>
  <c r="F250" i="34"/>
  <c r="AC249" i="34"/>
  <c r="AB249" i="34"/>
  <c r="AA249" i="34"/>
  <c r="Z249" i="34"/>
  <c r="Y249" i="34"/>
  <c r="X249" i="34"/>
  <c r="W249" i="34"/>
  <c r="V249" i="34"/>
  <c r="U249" i="34"/>
  <c r="T249" i="34"/>
  <c r="S249" i="34"/>
  <c r="R249" i="34"/>
  <c r="Q249" i="34"/>
  <c r="P249" i="34"/>
  <c r="O249" i="34"/>
  <c r="N249" i="34"/>
  <c r="M249" i="34"/>
  <c r="L249" i="34"/>
  <c r="K249" i="34"/>
  <c r="J249" i="34"/>
  <c r="I249" i="34"/>
  <c r="H249" i="34"/>
  <c r="G249" i="34"/>
  <c r="F249" i="34"/>
  <c r="AC248" i="34"/>
  <c r="AB248" i="34"/>
  <c r="AA248" i="34"/>
  <c r="Z248" i="34"/>
  <c r="Y248" i="34"/>
  <c r="X248" i="34"/>
  <c r="W248" i="34"/>
  <c r="V248" i="34"/>
  <c r="U248" i="34"/>
  <c r="T248" i="34"/>
  <c r="S248" i="34"/>
  <c r="R248" i="34"/>
  <c r="Q248" i="34"/>
  <c r="P248" i="34"/>
  <c r="O248" i="34"/>
  <c r="N248" i="34"/>
  <c r="M248" i="34"/>
  <c r="L248" i="34"/>
  <c r="K248" i="34"/>
  <c r="J248" i="34"/>
  <c r="I248" i="34"/>
  <c r="H248" i="34"/>
  <c r="G248" i="34"/>
  <c r="F248" i="34"/>
  <c r="AC247" i="34"/>
  <c r="AB247" i="34"/>
  <c r="AA247" i="34"/>
  <c r="Z247" i="34"/>
  <c r="Y247" i="34"/>
  <c r="X247" i="34"/>
  <c r="W247" i="34"/>
  <c r="V247" i="34"/>
  <c r="U247" i="34"/>
  <c r="T247" i="34"/>
  <c r="S247" i="34"/>
  <c r="R247" i="34"/>
  <c r="Q247" i="34"/>
  <c r="P247" i="34"/>
  <c r="O247" i="34"/>
  <c r="N247" i="34"/>
  <c r="M247" i="34"/>
  <c r="L247" i="34"/>
  <c r="K247" i="34"/>
  <c r="J247" i="34"/>
  <c r="I247" i="34"/>
  <c r="H247" i="34"/>
  <c r="G247" i="34"/>
  <c r="F247" i="34"/>
  <c r="AC246" i="34"/>
  <c r="AB246" i="34"/>
  <c r="AA246" i="34"/>
  <c r="Z246" i="34"/>
  <c r="Y246" i="34"/>
  <c r="X246" i="34"/>
  <c r="W246" i="34"/>
  <c r="V246" i="34"/>
  <c r="U246" i="34"/>
  <c r="T246" i="34"/>
  <c r="S246" i="34"/>
  <c r="R246" i="34"/>
  <c r="Q246" i="34"/>
  <c r="P246" i="34"/>
  <c r="O246" i="34"/>
  <c r="N246" i="34"/>
  <c r="M246" i="34"/>
  <c r="L246" i="34"/>
  <c r="K246" i="34"/>
  <c r="J246" i="34"/>
  <c r="I246" i="34"/>
  <c r="H246" i="34"/>
  <c r="G246" i="34"/>
  <c r="F246" i="34"/>
  <c r="AC67" i="34"/>
  <c r="AB67" i="34"/>
  <c r="AA67" i="34"/>
  <c r="Z67" i="34"/>
  <c r="Y67" i="34"/>
  <c r="X67" i="34"/>
  <c r="W67" i="34"/>
  <c r="V67" i="34"/>
  <c r="U67" i="34"/>
  <c r="T67" i="34"/>
  <c r="S67" i="34"/>
  <c r="R67" i="34"/>
  <c r="Q67" i="34"/>
  <c r="P67" i="34"/>
  <c r="O67" i="34"/>
  <c r="N67" i="34"/>
  <c r="M67" i="34"/>
  <c r="L67" i="34"/>
  <c r="K67" i="34"/>
  <c r="J67" i="34"/>
  <c r="I67" i="34"/>
  <c r="H67" i="34"/>
  <c r="G67" i="34"/>
  <c r="F67" i="34"/>
  <c r="AC66" i="34"/>
  <c r="AB66" i="34"/>
  <c r="AA66" i="34"/>
  <c r="Z66" i="34"/>
  <c r="Y66" i="34"/>
  <c r="X66" i="34"/>
  <c r="W66" i="34"/>
  <c r="V66" i="34"/>
  <c r="U66" i="34"/>
  <c r="T66" i="34"/>
  <c r="S66" i="34"/>
  <c r="R66" i="34"/>
  <c r="Q66" i="34"/>
  <c r="P66" i="34"/>
  <c r="O66" i="34"/>
  <c r="N66" i="34"/>
  <c r="M66" i="34"/>
  <c r="L66" i="34"/>
  <c r="K66" i="34"/>
  <c r="J66" i="34"/>
  <c r="I66" i="34"/>
  <c r="H66" i="34"/>
  <c r="G66" i="34"/>
  <c r="F66" i="34"/>
  <c r="AC65" i="34"/>
  <c r="AB65" i="34"/>
  <c r="AA65" i="34"/>
  <c r="Z65" i="34"/>
  <c r="Y65" i="34"/>
  <c r="X65" i="34"/>
  <c r="W65" i="34"/>
  <c r="V65" i="34"/>
  <c r="U65" i="34"/>
  <c r="T65" i="34"/>
  <c r="S65" i="34"/>
  <c r="R65" i="34"/>
  <c r="Q65" i="34"/>
  <c r="P65" i="34"/>
  <c r="O65" i="34"/>
  <c r="N65" i="34"/>
  <c r="M65" i="34"/>
  <c r="L65" i="34"/>
  <c r="K65" i="34"/>
  <c r="J65" i="34"/>
  <c r="I65" i="34"/>
  <c r="H65" i="34"/>
  <c r="G65" i="34"/>
  <c r="F65" i="34"/>
  <c r="AC63" i="34"/>
  <c r="AB63" i="34"/>
  <c r="AA63" i="34"/>
  <c r="Z63" i="34"/>
  <c r="Y63" i="34"/>
  <c r="X63" i="34"/>
  <c r="W63" i="34"/>
  <c r="V63" i="34"/>
  <c r="U63" i="34"/>
  <c r="T63" i="34"/>
  <c r="S63" i="34"/>
  <c r="R63" i="34"/>
  <c r="Q63" i="34"/>
  <c r="P63" i="34"/>
  <c r="O63" i="34"/>
  <c r="N63" i="34"/>
  <c r="M63" i="34"/>
  <c r="L63" i="34"/>
  <c r="K63" i="34"/>
  <c r="J63" i="34"/>
  <c r="I63" i="34"/>
  <c r="H63" i="34"/>
  <c r="G63" i="34"/>
  <c r="F63" i="34"/>
  <c r="AC62" i="34"/>
  <c r="AB62" i="34"/>
  <c r="AA62" i="34"/>
  <c r="Z62" i="34"/>
  <c r="Y62" i="34"/>
  <c r="X62" i="34"/>
  <c r="W62" i="34"/>
  <c r="V62" i="34"/>
  <c r="U62" i="34"/>
  <c r="T62" i="34"/>
  <c r="S62" i="34"/>
  <c r="R62" i="34"/>
  <c r="Q62" i="34"/>
  <c r="P62" i="34"/>
  <c r="O62" i="34"/>
  <c r="N62" i="34"/>
  <c r="M62" i="34"/>
  <c r="L62" i="34"/>
  <c r="K62" i="34"/>
  <c r="J62" i="34"/>
  <c r="I62" i="34"/>
  <c r="H62" i="34"/>
  <c r="G62" i="34"/>
  <c r="F62" i="34"/>
  <c r="AC61" i="34"/>
  <c r="AB61" i="34"/>
  <c r="AA61" i="34"/>
  <c r="Z61" i="34"/>
  <c r="Y61" i="34"/>
  <c r="X61" i="34"/>
  <c r="W61" i="34"/>
  <c r="V61" i="34"/>
  <c r="U61" i="34"/>
  <c r="T61" i="34"/>
  <c r="S61" i="34"/>
  <c r="R61" i="34"/>
  <c r="Q61" i="34"/>
  <c r="P61" i="34"/>
  <c r="O61" i="34"/>
  <c r="N61" i="34"/>
  <c r="M61" i="34"/>
  <c r="L61" i="34"/>
  <c r="K61" i="34"/>
  <c r="J61" i="34"/>
  <c r="I61" i="34"/>
  <c r="H61" i="34"/>
  <c r="G61" i="34"/>
  <c r="F61" i="34"/>
  <c r="F25" i="9" a="1"/>
  <c r="F25" i="9" s="1"/>
  <c r="E25" i="9" a="1"/>
  <c r="E25" i="9" s="1"/>
  <c r="D25" i="9" a="1"/>
  <c r="D25" i="9" s="1"/>
  <c r="C25" i="9" a="1"/>
  <c r="C25" i="9" s="1"/>
  <c r="B25" i="9" a="1"/>
  <c r="B25" i="9" s="1"/>
  <c r="AA71" i="1" l="1"/>
  <c r="AA70" i="1"/>
  <c r="N4" i="13"/>
  <c r="N5" i="13"/>
  <c r="N6" i="13"/>
  <c r="N7" i="13"/>
  <c r="N8" i="13"/>
  <c r="N9" i="13"/>
  <c r="N10" i="13"/>
  <c r="N11" i="13"/>
  <c r="N12" i="13"/>
  <c r="N13" i="13"/>
  <c r="N14" i="13"/>
  <c r="N15" i="13"/>
  <c r="N16" i="13"/>
  <c r="N17" i="13"/>
  <c r="N18" i="13"/>
  <c r="N19" i="13"/>
  <c r="N20" i="13"/>
  <c r="N21" i="13"/>
  <c r="N22" i="13"/>
  <c r="N23" i="13"/>
  <c r="N24" i="13"/>
  <c r="N25" i="13"/>
  <c r="N26" i="13"/>
  <c r="N27" i="13"/>
  <c r="N28" i="13"/>
  <c r="N29" i="13"/>
  <c r="N30" i="13"/>
  <c r="N31" i="13"/>
  <c r="N32" i="13"/>
  <c r="N33" i="13"/>
  <c r="N34" i="13"/>
  <c r="N35" i="13"/>
  <c r="N36" i="13"/>
  <c r="N37" i="13"/>
  <c r="N38" i="13"/>
  <c r="N39" i="13"/>
  <c r="N40" i="13"/>
  <c r="N41" i="13"/>
  <c r="N42" i="13"/>
  <c r="N43" i="13"/>
  <c r="N44" i="13"/>
  <c r="N3" i="13"/>
  <c r="F26" i="9"/>
  <c r="E26" i="9"/>
  <c r="D26" i="9"/>
  <c r="C26" i="9"/>
  <c r="B26" i="9"/>
  <c r="AA65" i="1"/>
  <c r="AA64" i="1"/>
  <c r="AA59" i="1"/>
  <c r="AA58" i="1"/>
  <c r="AA53" i="1"/>
  <c r="AA52" i="1"/>
  <c r="AA47" i="1"/>
  <c r="AA46" i="1"/>
  <c r="C22" i="23"/>
  <c r="C21" i="23"/>
  <c r="C20" i="23"/>
  <c r="AA73" i="1" l="1"/>
  <c r="AA49" i="1"/>
  <c r="AA55" i="1"/>
  <c r="AA67" i="1"/>
  <c r="AA61" i="1"/>
  <c r="I67" i="1" l="1"/>
  <c r="I62" i="1"/>
  <c r="I63" i="1"/>
  <c r="I65" i="1"/>
  <c r="I64" i="1"/>
  <c r="I66" i="1" s="1"/>
  <c r="I51" i="1"/>
  <c r="I55" i="1"/>
  <c r="I52" i="1"/>
  <c r="I54" i="1" s="1"/>
  <c r="I53" i="1"/>
  <c r="I50" i="1"/>
  <c r="I56" i="1"/>
  <c r="I61" i="1"/>
  <c r="I57" i="1"/>
  <c r="I58" i="1"/>
  <c r="I60" i="1" s="1"/>
  <c r="I59" i="1"/>
  <c r="I44" i="1"/>
  <c r="I45" i="1"/>
  <c r="I46" i="1"/>
  <c r="I48" i="1" s="1"/>
  <c r="I49" i="1"/>
  <c r="I47" i="1"/>
  <c r="I73" i="1"/>
  <c r="I70" i="1"/>
  <c r="I72" i="1" s="1"/>
  <c r="I68" i="1"/>
  <c r="I71" i="1"/>
  <c r="I69" i="1"/>
  <c r="B67" i="7" l="1"/>
  <c r="C4" i="7" s="1"/>
  <c r="C13" i="9"/>
  <c r="R67" i="13"/>
  <c r="R66" i="13"/>
  <c r="R65" i="13"/>
  <c r="R64" i="13"/>
  <c r="R63" i="13"/>
  <c r="R62" i="13"/>
  <c r="R61" i="13"/>
  <c r="R60" i="13"/>
  <c r="R59" i="13"/>
  <c r="R58" i="13"/>
  <c r="R57" i="13"/>
  <c r="R56" i="13"/>
  <c r="R55" i="13"/>
  <c r="R54" i="13"/>
  <c r="R53" i="13"/>
  <c r="R52" i="13"/>
  <c r="R51" i="13"/>
  <c r="R50" i="13"/>
  <c r="R68" i="13" l="1"/>
  <c r="AD212" i="34"/>
  <c r="C54" i="29" s="1"/>
  <c r="G27" i="29" s="1"/>
  <c r="I27" i="29"/>
  <c r="H27" i="29"/>
  <c r="I26" i="29"/>
  <c r="H26" i="29"/>
  <c r="J15" i="1"/>
  <c r="K15" i="1"/>
  <c r="L15" i="1"/>
  <c r="M15" i="1"/>
  <c r="N15" i="1"/>
  <c r="O15" i="1"/>
  <c r="P15" i="1"/>
  <c r="Q15" i="1"/>
  <c r="R15" i="1"/>
  <c r="S15" i="1"/>
  <c r="T15" i="1"/>
  <c r="U15" i="1"/>
  <c r="V15" i="1"/>
  <c r="W15" i="1"/>
  <c r="X15" i="1"/>
  <c r="J16" i="1"/>
  <c r="K16" i="1"/>
  <c r="L16" i="1"/>
  <c r="M16" i="1"/>
  <c r="N16" i="1"/>
  <c r="O16" i="1"/>
  <c r="P16" i="1"/>
  <c r="Q16" i="1"/>
  <c r="R16" i="1"/>
  <c r="S16" i="1"/>
  <c r="T16" i="1"/>
  <c r="U16" i="1"/>
  <c r="V16" i="1"/>
  <c r="W16" i="1"/>
  <c r="X16" i="1"/>
  <c r="I16" i="1"/>
  <c r="I15" i="1"/>
  <c r="I19" i="1" l="1" a="1"/>
  <c r="I19" i="1" s="1"/>
  <c r="G26" i="29"/>
  <c r="J26" i="29" s="1"/>
  <c r="J27" i="29"/>
  <c r="G9" i="9" l="1"/>
  <c r="D3" i="18"/>
  <c r="N3" i="18" s="1"/>
  <c r="C8" i="7" l="1"/>
  <c r="C39" i="7"/>
  <c r="C40" i="7"/>
  <c r="C41" i="7"/>
  <c r="C42" i="7"/>
  <c r="C43" i="7"/>
  <c r="C44" i="7"/>
  <c r="C45" i="7"/>
  <c r="C46" i="7"/>
  <c r="C47" i="7"/>
  <c r="C48" i="7"/>
  <c r="C49" i="7"/>
  <c r="A49" i="7"/>
  <c r="A48" i="7"/>
  <c r="A39" i="7"/>
  <c r="A40" i="7"/>
  <c r="A41" i="7"/>
  <c r="A42" i="7"/>
  <c r="A43" i="7"/>
  <c r="A44" i="7"/>
  <c r="A45" i="7"/>
  <c r="A46" i="7"/>
  <c r="A47" i="7"/>
  <c r="D11" i="18" l="1"/>
  <c r="N11" i="18" s="1"/>
  <c r="D10" i="18"/>
  <c r="N10" i="18" s="1"/>
  <c r="D6" i="18"/>
  <c r="N6" i="18" s="1"/>
  <c r="D5" i="18"/>
  <c r="N5" i="18" s="1"/>
  <c r="D4" i="18"/>
  <c r="N4" i="18" s="1"/>
  <c r="B3" i="18"/>
  <c r="B4" i="18"/>
  <c r="B5" i="18"/>
  <c r="B6" i="18"/>
  <c r="B10" i="18"/>
  <c r="B11" i="18"/>
  <c r="B45" i="18"/>
  <c r="A11" i="18"/>
  <c r="A10" i="18"/>
  <c r="A6" i="18"/>
  <c r="A5" i="18"/>
  <c r="A4" i="18"/>
  <c r="A3" i="18"/>
  <c r="N45" i="18" l="1"/>
  <c r="G11" i="9"/>
  <c r="B27" i="9"/>
  <c r="B28" i="9"/>
  <c r="C10" i="9" l="1"/>
  <c r="G10" i="9" s="1"/>
  <c r="G15" i="9" s="1"/>
  <c r="C12" i="9"/>
  <c r="A3" i="9" l="1"/>
  <c r="G4" i="13"/>
  <c r="S51" i="13" s="1"/>
  <c r="G5" i="13"/>
  <c r="S52" i="13" s="1"/>
  <c r="G6" i="13"/>
  <c r="S53" i="13" s="1"/>
  <c r="G7" i="13"/>
  <c r="G8" i="13"/>
  <c r="G9" i="13"/>
  <c r="S55" i="13" s="1"/>
  <c r="G10" i="13"/>
  <c r="S56" i="13" s="1"/>
  <c r="G11" i="13"/>
  <c r="G12" i="13"/>
  <c r="G13" i="13"/>
  <c r="G14" i="13"/>
  <c r="S60" i="13" s="1"/>
  <c r="G15" i="13"/>
  <c r="S61" i="13" s="1"/>
  <c r="G16" i="13"/>
  <c r="G17" i="13"/>
  <c r="G18" i="13"/>
  <c r="G19" i="13"/>
  <c r="S63" i="13" s="1"/>
  <c r="G20" i="13"/>
  <c r="G21" i="13"/>
  <c r="G22" i="13"/>
  <c r="G23" i="13"/>
  <c r="G24" i="13"/>
  <c r="G25" i="13"/>
  <c r="G26" i="13"/>
  <c r="G27" i="13"/>
  <c r="G28" i="13"/>
  <c r="G29" i="13"/>
  <c r="G30" i="13"/>
  <c r="G31" i="13"/>
  <c r="G32" i="13"/>
  <c r="G33" i="13"/>
  <c r="G34" i="13"/>
  <c r="G35" i="13"/>
  <c r="G36" i="13"/>
  <c r="G37" i="13"/>
  <c r="G38" i="13"/>
  <c r="G39" i="13"/>
  <c r="G40" i="13"/>
  <c r="G41" i="13"/>
  <c r="G42" i="13"/>
  <c r="G43" i="13"/>
  <c r="S67" i="13" s="1"/>
  <c r="G44" i="13"/>
  <c r="G3" i="13"/>
  <c r="S50" i="13" s="1"/>
  <c r="K4" i="13"/>
  <c r="C4" i="18" s="1"/>
  <c r="O4" i="18" s="1"/>
  <c r="K5" i="13"/>
  <c r="K6" i="13"/>
  <c r="K7" i="13"/>
  <c r="C7" i="18" s="1"/>
  <c r="O7" i="18" s="1"/>
  <c r="K8" i="13"/>
  <c r="C8" i="18" s="1"/>
  <c r="O8" i="18" s="1"/>
  <c r="K9" i="13"/>
  <c r="C9" i="18" s="1"/>
  <c r="O9" i="18" s="1"/>
  <c r="K10" i="13"/>
  <c r="K11" i="13"/>
  <c r="K12" i="13"/>
  <c r="C12" i="18" s="1"/>
  <c r="O12" i="18" s="1"/>
  <c r="K13" i="13"/>
  <c r="C13" i="18" s="1"/>
  <c r="O13" i="18" s="1"/>
  <c r="K14" i="13"/>
  <c r="C14" i="18" s="1"/>
  <c r="O14" i="18" s="1"/>
  <c r="K15" i="13"/>
  <c r="C15" i="18" s="1"/>
  <c r="O15" i="18" s="1"/>
  <c r="K16" i="13"/>
  <c r="C16" i="18" s="1"/>
  <c r="O16" i="18" s="1"/>
  <c r="K17" i="13"/>
  <c r="C17" i="18" s="1"/>
  <c r="O17" i="18" s="1"/>
  <c r="K18" i="13"/>
  <c r="C18" i="18" s="1"/>
  <c r="O18" i="18" s="1"/>
  <c r="K19" i="13"/>
  <c r="C19" i="18" s="1"/>
  <c r="O19" i="18" s="1"/>
  <c r="K20" i="13"/>
  <c r="C20" i="18" s="1"/>
  <c r="O20" i="18" s="1"/>
  <c r="K21" i="13"/>
  <c r="C21" i="18" s="1"/>
  <c r="K22" i="13"/>
  <c r="C22" i="18" s="1"/>
  <c r="K23" i="13"/>
  <c r="C23" i="18" s="1"/>
  <c r="K24" i="13"/>
  <c r="C24" i="18" s="1"/>
  <c r="K25" i="13"/>
  <c r="C25" i="18" s="1"/>
  <c r="K26" i="13"/>
  <c r="C26" i="18" s="1"/>
  <c r="K27" i="13"/>
  <c r="C27" i="18" s="1"/>
  <c r="K28" i="13"/>
  <c r="C28" i="18" s="1"/>
  <c r="K29" i="13"/>
  <c r="C29" i="18" s="1"/>
  <c r="K30" i="13"/>
  <c r="C30" i="18" s="1"/>
  <c r="K31" i="13"/>
  <c r="C31" i="18" s="1"/>
  <c r="K32" i="13"/>
  <c r="C32" i="18" s="1"/>
  <c r="K33" i="13"/>
  <c r="C33" i="18" s="1"/>
  <c r="K34" i="13"/>
  <c r="K35" i="13"/>
  <c r="K36" i="13"/>
  <c r="K37" i="13"/>
  <c r="K38" i="13"/>
  <c r="C38" i="18" s="1"/>
  <c r="K39" i="13"/>
  <c r="K40" i="13"/>
  <c r="K41" i="13"/>
  <c r="C41" i="18" s="1"/>
  <c r="K42" i="13"/>
  <c r="K43" i="13"/>
  <c r="K44" i="13"/>
  <c r="C44" i="18" s="1"/>
  <c r="T4" i="20"/>
  <c r="U4" i="20"/>
  <c r="T5" i="20"/>
  <c r="U5" i="20"/>
  <c r="T6" i="20"/>
  <c r="U6" i="20"/>
  <c r="T7" i="20"/>
  <c r="U7" i="20"/>
  <c r="V7" i="20" s="1"/>
  <c r="T8" i="20"/>
  <c r="U8" i="20"/>
  <c r="T9" i="20"/>
  <c r="U9" i="20"/>
  <c r="T10" i="20"/>
  <c r="U10" i="20"/>
  <c r="T11" i="20"/>
  <c r="U11" i="20"/>
  <c r="T12" i="20"/>
  <c r="U12" i="20"/>
  <c r="T13" i="20"/>
  <c r="U13" i="20"/>
  <c r="T14" i="20"/>
  <c r="U14" i="20"/>
  <c r="T15" i="20"/>
  <c r="U15" i="20"/>
  <c r="T16" i="20"/>
  <c r="U16" i="20"/>
  <c r="T17" i="20"/>
  <c r="U17" i="20"/>
  <c r="V17" i="20" s="1"/>
  <c r="T18" i="20"/>
  <c r="U18" i="20"/>
  <c r="U3" i="20"/>
  <c r="T3" i="20"/>
  <c r="V3" i="20" s="1"/>
  <c r="J4" i="20"/>
  <c r="K4" i="20"/>
  <c r="J5" i="20"/>
  <c r="K5" i="20"/>
  <c r="J6" i="20"/>
  <c r="K6" i="20"/>
  <c r="J7" i="20"/>
  <c r="K7" i="20"/>
  <c r="J8" i="20"/>
  <c r="K8" i="20"/>
  <c r="J9" i="20"/>
  <c r="K9" i="20"/>
  <c r="J10" i="20"/>
  <c r="K10" i="20"/>
  <c r="J11" i="20"/>
  <c r="K11" i="20"/>
  <c r="J12" i="20"/>
  <c r="K12" i="20"/>
  <c r="J13" i="20"/>
  <c r="K13" i="20"/>
  <c r="J14" i="20"/>
  <c r="K14" i="20"/>
  <c r="J15" i="20"/>
  <c r="K15" i="20"/>
  <c r="J16" i="20"/>
  <c r="K16" i="20"/>
  <c r="J17" i="20"/>
  <c r="K17" i="20"/>
  <c r="J18" i="20"/>
  <c r="K18" i="20"/>
  <c r="K3" i="20"/>
  <c r="J3" i="20"/>
  <c r="N3" i="20"/>
  <c r="A3" i="20"/>
  <c r="N1" i="20"/>
  <c r="A1" i="20"/>
  <c r="V6" i="20" l="1"/>
  <c r="H23" i="18"/>
  <c r="K23" i="18" s="1"/>
  <c r="P23" i="18" s="1"/>
  <c r="O23" i="18"/>
  <c r="H44" i="18"/>
  <c r="K44" i="18" s="1"/>
  <c r="P44" i="18" s="1"/>
  <c r="O44" i="18"/>
  <c r="H41" i="18"/>
  <c r="K41" i="18" s="1"/>
  <c r="P41" i="18" s="1"/>
  <c r="O41" i="18"/>
  <c r="H30" i="18"/>
  <c r="K30" i="18" s="1"/>
  <c r="P30" i="18" s="1"/>
  <c r="O30" i="18"/>
  <c r="H24" i="18"/>
  <c r="K24" i="18" s="1"/>
  <c r="P24" i="18" s="1"/>
  <c r="O24" i="18"/>
  <c r="H31" i="18"/>
  <c r="K31" i="18" s="1"/>
  <c r="P31" i="18" s="1"/>
  <c r="O31" i="18"/>
  <c r="H22" i="18"/>
  <c r="K22" i="18" s="1"/>
  <c r="P22" i="18" s="1"/>
  <c r="O22" i="18"/>
  <c r="H21" i="18"/>
  <c r="K21" i="18" s="1"/>
  <c r="P21" i="18" s="1"/>
  <c r="O21" i="18"/>
  <c r="H38" i="18"/>
  <c r="K38" i="18" s="1"/>
  <c r="P38" i="18" s="1"/>
  <c r="O38" i="18"/>
  <c r="H26" i="18"/>
  <c r="K26" i="18" s="1"/>
  <c r="P26" i="18" s="1"/>
  <c r="O26" i="18"/>
  <c r="H25" i="18"/>
  <c r="K25" i="18" s="1"/>
  <c r="P25" i="18" s="1"/>
  <c r="O25" i="18"/>
  <c r="H33" i="18"/>
  <c r="K33" i="18" s="1"/>
  <c r="P33" i="18" s="1"/>
  <c r="O33" i="18"/>
  <c r="H32" i="18"/>
  <c r="K32" i="18" s="1"/>
  <c r="P32" i="18" s="1"/>
  <c r="O32" i="18"/>
  <c r="H29" i="18"/>
  <c r="K29" i="18" s="1"/>
  <c r="P29" i="18" s="1"/>
  <c r="O29" i="18"/>
  <c r="H28" i="18"/>
  <c r="K28" i="18" s="1"/>
  <c r="P28" i="18" s="1"/>
  <c r="O28" i="18"/>
  <c r="V5" i="20"/>
  <c r="H27" i="18"/>
  <c r="K27" i="18" s="1"/>
  <c r="P27" i="18" s="1"/>
  <c r="O27" i="18"/>
  <c r="V11" i="20"/>
  <c r="V4" i="20"/>
  <c r="V8" i="20"/>
  <c r="V15" i="20"/>
  <c r="V9" i="20"/>
  <c r="L11" i="20"/>
  <c r="V16" i="20"/>
  <c r="V14" i="20"/>
  <c r="D48" i="7"/>
  <c r="F48" i="7" s="1"/>
  <c r="G48" i="7" s="1"/>
  <c r="C43" i="18"/>
  <c r="L17" i="20"/>
  <c r="L16" i="20"/>
  <c r="L18" i="20"/>
  <c r="D39" i="7"/>
  <c r="F39" i="7" s="1"/>
  <c r="G39" i="7" s="1"/>
  <c r="C34" i="18"/>
  <c r="V10" i="20"/>
  <c r="D40" i="7"/>
  <c r="F40" i="7" s="1"/>
  <c r="G40" i="7" s="1"/>
  <c r="C35" i="18"/>
  <c r="D44" i="7"/>
  <c r="F44" i="7" s="1"/>
  <c r="G44" i="7" s="1"/>
  <c r="C39" i="18"/>
  <c r="L5" i="20"/>
  <c r="D42" i="7"/>
  <c r="F42" i="7" s="1"/>
  <c r="G42" i="7" s="1"/>
  <c r="C37" i="18"/>
  <c r="V13" i="20"/>
  <c r="D47" i="7"/>
  <c r="F47" i="7" s="1"/>
  <c r="G47" i="7" s="1"/>
  <c r="C42" i="18"/>
  <c r="D41" i="7"/>
  <c r="F41" i="7" s="1"/>
  <c r="G41" i="7" s="1"/>
  <c r="C36" i="18"/>
  <c r="L7" i="20"/>
  <c r="V18" i="20"/>
  <c r="L12" i="20"/>
  <c r="V12" i="20"/>
  <c r="D45" i="7"/>
  <c r="F45" i="7" s="1"/>
  <c r="G45" i="7" s="1"/>
  <c r="C40" i="18"/>
  <c r="L15" i="20"/>
  <c r="L13" i="20"/>
  <c r="S64" i="13"/>
  <c r="S62" i="13"/>
  <c r="S57" i="13"/>
  <c r="S65" i="13"/>
  <c r="S59" i="13"/>
  <c r="S66" i="13"/>
  <c r="S58" i="13"/>
  <c r="S54" i="13"/>
  <c r="G45" i="13"/>
  <c r="D49" i="7"/>
  <c r="F49" i="7" s="1"/>
  <c r="G49" i="7" s="1"/>
  <c r="D46" i="7"/>
  <c r="F46" i="7" s="1"/>
  <c r="D43" i="7"/>
  <c r="F43" i="7" s="1"/>
  <c r="G43" i="7" s="1"/>
  <c r="L10" i="20"/>
  <c r="L4" i="20"/>
  <c r="L3" i="20"/>
  <c r="L8" i="20"/>
  <c r="L6" i="20"/>
  <c r="L14" i="20"/>
  <c r="L9" i="20"/>
  <c r="H36" i="18" l="1"/>
  <c r="K36" i="18" s="1"/>
  <c r="P36" i="18" s="1"/>
  <c r="O36" i="18"/>
  <c r="H39" i="18"/>
  <c r="K39" i="18" s="1"/>
  <c r="P39" i="18" s="1"/>
  <c r="O39" i="18"/>
  <c r="H43" i="18"/>
  <c r="K43" i="18" s="1"/>
  <c r="P43" i="18" s="1"/>
  <c r="O43" i="18"/>
  <c r="H37" i="18"/>
  <c r="K37" i="18" s="1"/>
  <c r="P37" i="18" s="1"/>
  <c r="O37" i="18"/>
  <c r="H35" i="18"/>
  <c r="K35" i="18" s="1"/>
  <c r="P35" i="18" s="1"/>
  <c r="O35" i="18"/>
  <c r="H42" i="18"/>
  <c r="K42" i="18" s="1"/>
  <c r="P42" i="18" s="1"/>
  <c r="O42" i="18"/>
  <c r="H34" i="18"/>
  <c r="K34" i="18" s="1"/>
  <c r="P34" i="18" s="1"/>
  <c r="O34" i="18"/>
  <c r="H40" i="18"/>
  <c r="K40" i="18" s="1"/>
  <c r="P40" i="18" s="1"/>
  <c r="O40" i="18"/>
  <c r="C57" i="7"/>
  <c r="S68" i="13"/>
  <c r="C56" i="7"/>
  <c r="G46" i="7"/>
  <c r="G112" i="34"/>
  <c r="H112" i="34"/>
  <c r="I112" i="34"/>
  <c r="J112" i="34"/>
  <c r="K112" i="34"/>
  <c r="L112" i="34"/>
  <c r="M112" i="34"/>
  <c r="N112" i="34"/>
  <c r="O112" i="34"/>
  <c r="P112" i="34"/>
  <c r="Q112" i="34"/>
  <c r="R112" i="34"/>
  <c r="S112" i="34"/>
  <c r="T112" i="34"/>
  <c r="U112" i="34"/>
  <c r="V112" i="34"/>
  <c r="W112" i="34"/>
  <c r="X112" i="34"/>
  <c r="Y112" i="34"/>
  <c r="Z112" i="34"/>
  <c r="AA112" i="34"/>
  <c r="AB112" i="34"/>
  <c r="AC112" i="34"/>
  <c r="F112" i="34"/>
  <c r="G108" i="34"/>
  <c r="H108" i="34"/>
  <c r="I108" i="34"/>
  <c r="J108" i="34"/>
  <c r="K108" i="34"/>
  <c r="L108" i="34"/>
  <c r="M108" i="34"/>
  <c r="N108" i="34"/>
  <c r="O108" i="34"/>
  <c r="P108" i="34"/>
  <c r="Q108" i="34"/>
  <c r="R108" i="34"/>
  <c r="S108" i="34"/>
  <c r="T108" i="34"/>
  <c r="U108" i="34"/>
  <c r="V108" i="34"/>
  <c r="W108" i="34"/>
  <c r="X108" i="34"/>
  <c r="Y108" i="34"/>
  <c r="Z108" i="34"/>
  <c r="AA108" i="34"/>
  <c r="AB108" i="34"/>
  <c r="AC108" i="34"/>
  <c r="F108" i="34"/>
  <c r="G282" i="7" l="1"/>
  <c r="G281" i="7"/>
  <c r="G275" i="7"/>
  <c r="G287" i="7"/>
  <c r="G276" i="7"/>
  <c r="G286" i="7"/>
  <c r="G279" i="7"/>
  <c r="G285" i="7"/>
  <c r="G277" i="7"/>
  <c r="G284" i="7"/>
  <c r="G273" i="7"/>
  <c r="G274" i="7"/>
  <c r="G278" i="7"/>
  <c r="G283" i="7"/>
  <c r="G272" i="7"/>
  <c r="G280" i="7"/>
  <c r="G271" i="7"/>
  <c r="G260" i="7"/>
  <c r="G264" i="7"/>
  <c r="G265" i="7"/>
  <c r="G270" i="7"/>
  <c r="G259" i="7"/>
  <c r="G268" i="7"/>
  <c r="G257" i="7"/>
  <c r="G258" i="7"/>
  <c r="G267" i="7"/>
  <c r="G266" i="7"/>
  <c r="G256" i="7"/>
  <c r="G263" i="7"/>
  <c r="G261" i="7"/>
  <c r="G262" i="7"/>
  <c r="G269" i="7"/>
  <c r="G119" i="7"/>
  <c r="H119" i="7" s="1"/>
  <c r="D270" i="7"/>
  <c r="E270" i="7" s="1"/>
  <c r="F270" i="7" s="1"/>
  <c r="D259" i="7"/>
  <c r="E259" i="7" s="1"/>
  <c r="F259" i="7" s="1"/>
  <c r="D262" i="7"/>
  <c r="E262" i="7" s="1"/>
  <c r="F262" i="7" s="1"/>
  <c r="D269" i="7"/>
  <c r="E269" i="7" s="1"/>
  <c r="F269" i="7" s="1"/>
  <c r="D266" i="7"/>
  <c r="E266" i="7" s="1"/>
  <c r="F266" i="7" s="1"/>
  <c r="D258" i="7"/>
  <c r="E258" i="7" s="1"/>
  <c r="F258" i="7" s="1"/>
  <c r="D257" i="7"/>
  <c r="E257" i="7" s="1"/>
  <c r="F257" i="7" s="1"/>
  <c r="D268" i="7"/>
  <c r="E268" i="7" s="1"/>
  <c r="F268" i="7" s="1"/>
  <c r="D264" i="7"/>
  <c r="E264" i="7" s="1"/>
  <c r="F264" i="7" s="1"/>
  <c r="D263" i="7"/>
  <c r="E263" i="7" s="1"/>
  <c r="F263" i="7" s="1"/>
  <c r="D260" i="7"/>
  <c r="E260" i="7" s="1"/>
  <c r="F260" i="7" s="1"/>
  <c r="D271" i="7"/>
  <c r="E271" i="7" s="1"/>
  <c r="F271" i="7" s="1"/>
  <c r="D256" i="7"/>
  <c r="E256" i="7" s="1"/>
  <c r="F256" i="7" s="1"/>
  <c r="D267" i="7"/>
  <c r="E267" i="7" s="1"/>
  <c r="F267" i="7" s="1"/>
  <c r="D265" i="7"/>
  <c r="E265" i="7" s="1"/>
  <c r="F265" i="7" s="1"/>
  <c r="D261" i="7"/>
  <c r="E261" i="7" s="1"/>
  <c r="F261" i="7" s="1"/>
  <c r="G139" i="7"/>
  <c r="H139" i="7" s="1"/>
  <c r="D281" i="7"/>
  <c r="E281" i="7" s="1"/>
  <c r="F281" i="7" s="1"/>
  <c r="D284" i="7"/>
  <c r="E284" i="7" s="1"/>
  <c r="F284" i="7" s="1"/>
  <c r="D280" i="7"/>
  <c r="E280" i="7" s="1"/>
  <c r="F280" i="7" s="1"/>
  <c r="D277" i="7"/>
  <c r="E277" i="7" s="1"/>
  <c r="F277" i="7" s="1"/>
  <c r="D273" i="7"/>
  <c r="E273" i="7" s="1"/>
  <c r="F273" i="7" s="1"/>
  <c r="D274" i="7"/>
  <c r="E274" i="7" s="1"/>
  <c r="F274" i="7" s="1"/>
  <c r="D287" i="7"/>
  <c r="E287" i="7" s="1"/>
  <c r="F287" i="7" s="1"/>
  <c r="D282" i="7"/>
  <c r="E282" i="7" s="1"/>
  <c r="F282" i="7" s="1"/>
  <c r="D286" i="7"/>
  <c r="E286" i="7" s="1"/>
  <c r="F286" i="7" s="1"/>
  <c r="D275" i="7"/>
  <c r="E275" i="7" s="1"/>
  <c r="F275" i="7" s="1"/>
  <c r="D279" i="7"/>
  <c r="E279" i="7" s="1"/>
  <c r="F279" i="7" s="1"/>
  <c r="D285" i="7"/>
  <c r="E285" i="7" s="1"/>
  <c r="F285" i="7" s="1"/>
  <c r="D283" i="7"/>
  <c r="E283" i="7" s="1"/>
  <c r="F283" i="7" s="1"/>
  <c r="D278" i="7"/>
  <c r="E278" i="7" s="1"/>
  <c r="F278" i="7" s="1"/>
  <c r="D276" i="7"/>
  <c r="E276" i="7" s="1"/>
  <c r="F276" i="7" s="1"/>
  <c r="D272" i="7"/>
  <c r="E272" i="7" s="1"/>
  <c r="F272" i="7" s="1"/>
  <c r="D129" i="7"/>
  <c r="E129" i="7" s="1"/>
  <c r="F129" i="7" s="1"/>
  <c r="D134" i="7"/>
  <c r="E134" i="7" s="1"/>
  <c r="F134" i="7" s="1"/>
  <c r="G148" i="7"/>
  <c r="H148" i="7" s="1"/>
  <c r="D130" i="7"/>
  <c r="E130" i="7" s="1"/>
  <c r="F130" i="7" s="1"/>
  <c r="G134" i="7"/>
  <c r="H134" i="7" s="1"/>
  <c r="G129" i="7"/>
  <c r="H129" i="7" s="1"/>
  <c r="D124" i="7"/>
  <c r="E124" i="7" s="1"/>
  <c r="F124" i="7" s="1"/>
  <c r="D148" i="7"/>
  <c r="E148" i="7" s="1"/>
  <c r="F148" i="7" s="1"/>
  <c r="G142" i="7"/>
  <c r="H142" i="7" s="1"/>
  <c r="G138" i="7"/>
  <c r="H138" i="7" s="1"/>
  <c r="G143" i="7"/>
  <c r="H143" i="7" s="1"/>
  <c r="D135" i="7"/>
  <c r="E135" i="7" s="1"/>
  <c r="F135" i="7" s="1"/>
  <c r="D143" i="7"/>
  <c r="E143" i="7" s="1"/>
  <c r="F143" i="7" s="1"/>
  <c r="D144" i="7"/>
  <c r="E144" i="7" s="1"/>
  <c r="F144" i="7" s="1"/>
  <c r="G144" i="7"/>
  <c r="H144" i="7" s="1"/>
  <c r="D149" i="7"/>
  <c r="E149" i="7" s="1"/>
  <c r="F149" i="7" s="1"/>
  <c r="G125" i="7"/>
  <c r="H125" i="7" s="1"/>
  <c r="D145" i="7"/>
  <c r="E145" i="7" s="1"/>
  <c r="F145" i="7" s="1"/>
  <c r="G136" i="7"/>
  <c r="H136" i="7" s="1"/>
  <c r="G140" i="7"/>
  <c r="H140" i="7" s="1"/>
  <c r="G133" i="7"/>
  <c r="H133" i="7" s="1"/>
  <c r="G132" i="7"/>
  <c r="H132" i="7" s="1"/>
  <c r="D133" i="7"/>
  <c r="E133" i="7" s="1"/>
  <c r="F133" i="7" s="1"/>
  <c r="G141" i="7"/>
  <c r="H141" i="7" s="1"/>
  <c r="G149" i="7"/>
  <c r="H149" i="7" s="1"/>
  <c r="D120" i="7"/>
  <c r="E120" i="7" s="1"/>
  <c r="F120" i="7" s="1"/>
  <c r="G146" i="7"/>
  <c r="H146" i="7" s="1"/>
  <c r="G147" i="7"/>
  <c r="H147" i="7" s="1"/>
  <c r="D138" i="7"/>
  <c r="E138" i="7" s="1"/>
  <c r="F138" i="7" s="1"/>
  <c r="D136" i="7"/>
  <c r="E136" i="7" s="1"/>
  <c r="F136" i="7" s="1"/>
  <c r="G128" i="7"/>
  <c r="H128" i="7" s="1"/>
  <c r="D125" i="7"/>
  <c r="E125" i="7" s="1"/>
  <c r="F125" i="7" s="1"/>
  <c r="G126" i="7"/>
  <c r="H126" i="7" s="1"/>
  <c r="D141" i="7"/>
  <c r="E141" i="7" s="1"/>
  <c r="F141" i="7" s="1"/>
  <c r="G145" i="7"/>
  <c r="H145" i="7" s="1"/>
  <c r="D150" i="7"/>
  <c r="E150" i="7" s="1"/>
  <c r="F150" i="7" s="1"/>
  <c r="D137" i="7"/>
  <c r="E137" i="7" s="1"/>
  <c r="F137" i="7" s="1"/>
  <c r="D147" i="7"/>
  <c r="E147" i="7" s="1"/>
  <c r="F147" i="7" s="1"/>
  <c r="D139" i="7"/>
  <c r="E139" i="7" s="1"/>
  <c r="F139" i="7" s="1"/>
  <c r="D131" i="7"/>
  <c r="E131" i="7" s="1"/>
  <c r="F131" i="7" s="1"/>
  <c r="G121" i="7"/>
  <c r="H121" i="7" s="1"/>
  <c r="D146" i="7"/>
  <c r="E146" i="7" s="1"/>
  <c r="F146" i="7" s="1"/>
  <c r="G135" i="7"/>
  <c r="H135" i="7" s="1"/>
  <c r="D140" i="7"/>
  <c r="E140" i="7" s="1"/>
  <c r="F140" i="7" s="1"/>
  <c r="D121" i="7"/>
  <c r="E121" i="7" s="1"/>
  <c r="F121" i="7" s="1"/>
  <c r="D122" i="7"/>
  <c r="E122" i="7" s="1"/>
  <c r="F122" i="7" s="1"/>
  <c r="G150" i="7"/>
  <c r="H150" i="7" s="1"/>
  <c r="G122" i="7"/>
  <c r="H122" i="7" s="1"/>
  <c r="D126" i="7"/>
  <c r="E126" i="7" s="1"/>
  <c r="F126" i="7" s="1"/>
  <c r="G130" i="7"/>
  <c r="H130" i="7" s="1"/>
  <c r="G127" i="7"/>
  <c r="H127" i="7" s="1"/>
  <c r="G137" i="7"/>
  <c r="H137" i="7" s="1"/>
  <c r="D132" i="7"/>
  <c r="E132" i="7" s="1"/>
  <c r="F132" i="7" s="1"/>
  <c r="D142" i="7"/>
  <c r="E142" i="7" s="1"/>
  <c r="F142" i="7" s="1"/>
  <c r="G131" i="7"/>
  <c r="H131" i="7" s="1"/>
  <c r="D119" i="7"/>
  <c r="E119" i="7" s="1"/>
  <c r="F119" i="7" s="1"/>
  <c r="G123" i="7"/>
  <c r="H123" i="7" s="1"/>
  <c r="D127" i="7"/>
  <c r="E127" i="7" s="1"/>
  <c r="F127" i="7" s="1"/>
  <c r="D123" i="7"/>
  <c r="E123" i="7" s="1"/>
  <c r="F123" i="7" s="1"/>
  <c r="D128" i="7"/>
  <c r="E128" i="7" s="1"/>
  <c r="F128" i="7" s="1"/>
  <c r="G120" i="7"/>
  <c r="H120" i="7" s="1"/>
  <c r="G124" i="7"/>
  <c r="H124" i="7" s="1"/>
  <c r="A1" i="22"/>
  <c r="A1" i="27"/>
  <c r="A1" i="29"/>
  <c r="A1" i="9"/>
  <c r="A1" i="25"/>
  <c r="A1" i="7"/>
  <c r="A1" i="14"/>
  <c r="A1" i="1"/>
  <c r="H272" i="7" l="1"/>
  <c r="J272" i="7" s="1"/>
  <c r="H283" i="7"/>
  <c r="J283" i="7" s="1"/>
  <c r="H273" i="7"/>
  <c r="J273" i="7" s="1"/>
  <c r="H277" i="7"/>
  <c r="J277" i="7" s="1"/>
  <c r="H263" i="7"/>
  <c r="J263" i="7" s="1"/>
  <c r="H278" i="7"/>
  <c r="J278" i="7" s="1"/>
  <c r="H264" i="7"/>
  <c r="J264" i="7" s="1"/>
  <c r="H285" i="7"/>
  <c r="J285" i="7" s="1"/>
  <c r="H279" i="7"/>
  <c r="J279" i="7" s="1"/>
  <c r="H286" i="7"/>
  <c r="J286" i="7" s="1"/>
  <c r="H269" i="7"/>
  <c r="J269" i="7" s="1"/>
  <c r="H262" i="7"/>
  <c r="J262" i="7" s="1"/>
  <c r="H274" i="7"/>
  <c r="J274" i="7" s="1"/>
  <c r="H267" i="7"/>
  <c r="J267" i="7" s="1"/>
  <c r="H258" i="7"/>
  <c r="J258" i="7" s="1"/>
  <c r="H282" i="7"/>
  <c r="J282" i="7" s="1"/>
  <c r="H260" i="7"/>
  <c r="J260" i="7" s="1"/>
  <c r="H287" i="7"/>
  <c r="J287" i="7" s="1"/>
  <c r="H268" i="7"/>
  <c r="J268" i="7" s="1"/>
  <c r="H275" i="7"/>
  <c r="J275" i="7" s="1"/>
  <c r="H257" i="7"/>
  <c r="J257" i="7" s="1"/>
  <c r="H266" i="7"/>
  <c r="J266" i="7" s="1"/>
  <c r="H276" i="7"/>
  <c r="J276" i="7" s="1"/>
  <c r="H281" i="7"/>
  <c r="J281" i="7" s="1"/>
  <c r="H280" i="7"/>
  <c r="J280" i="7" s="1"/>
  <c r="H261" i="7"/>
  <c r="J261" i="7" s="1"/>
  <c r="H259" i="7"/>
  <c r="J259" i="7" s="1"/>
  <c r="H284" i="7"/>
  <c r="J284" i="7" s="1"/>
  <c r="H265" i="7"/>
  <c r="J265" i="7" s="1"/>
  <c r="H270" i="7"/>
  <c r="J270" i="7" s="1"/>
  <c r="H256" i="7"/>
  <c r="J256" i="7" s="1"/>
  <c r="H271" i="7"/>
  <c r="J271" i="7" s="1"/>
  <c r="B3" i="1"/>
  <c r="X22" i="1"/>
  <c r="W22" i="1"/>
  <c r="V22" i="1"/>
  <c r="U22" i="1"/>
  <c r="T22" i="1"/>
  <c r="S22" i="1"/>
  <c r="R22" i="1"/>
  <c r="Q22" i="1"/>
  <c r="P22" i="1"/>
  <c r="O22" i="1"/>
  <c r="N22" i="1"/>
  <c r="M22" i="1"/>
  <c r="L22" i="1"/>
  <c r="K22" i="1"/>
  <c r="J22" i="1"/>
  <c r="I22" i="1"/>
  <c r="X21" i="1"/>
  <c r="W21" i="1"/>
  <c r="V21" i="1"/>
  <c r="U21" i="1"/>
  <c r="T21" i="1"/>
  <c r="S21" i="1"/>
  <c r="R21" i="1"/>
  <c r="Q21" i="1"/>
  <c r="P21" i="1"/>
  <c r="O21" i="1"/>
  <c r="N21" i="1"/>
  <c r="M21" i="1"/>
  <c r="L21" i="1"/>
  <c r="K21" i="1"/>
  <c r="J21" i="1"/>
  <c r="I21" i="1"/>
  <c r="I25" i="1" l="1" a="1"/>
  <c r="I25" i="1" s="1"/>
  <c r="B9" i="1"/>
  <c r="B15" i="1"/>
  <c r="B21" i="1"/>
  <c r="K3" i="13" l="1"/>
  <c r="C3" i="18" l="1"/>
  <c r="O3" i="18" s="1"/>
  <c r="D8" i="7"/>
  <c r="F8" i="7" s="1"/>
  <c r="G8" i="7" l="1"/>
  <c r="A9" i="7"/>
  <c r="A10" i="7"/>
  <c r="A11" i="7"/>
  <c r="A12" i="7"/>
  <c r="A13" i="7"/>
  <c r="A14" i="7"/>
  <c r="A15" i="7"/>
  <c r="A16" i="7"/>
  <c r="A17" i="7"/>
  <c r="A18" i="7"/>
  <c r="A19" i="7"/>
  <c r="A20" i="7"/>
  <c r="A21" i="7"/>
  <c r="A22" i="7"/>
  <c r="A23" i="7"/>
  <c r="A24" i="7"/>
  <c r="A25" i="7"/>
  <c r="A26" i="7"/>
  <c r="A27" i="7"/>
  <c r="A28" i="7"/>
  <c r="A29" i="7"/>
  <c r="A30" i="7"/>
  <c r="A31" i="7"/>
  <c r="A32" i="7"/>
  <c r="A33" i="7"/>
  <c r="A34" i="7"/>
  <c r="A35" i="7"/>
  <c r="A36" i="7"/>
  <c r="A37" i="7"/>
  <c r="A38" i="7"/>
  <c r="A8" i="7"/>
  <c r="G12" i="9" l="1"/>
  <c r="C9" i="7" l="1"/>
  <c r="D9" i="7"/>
  <c r="F9" i="7" s="1"/>
  <c r="C10" i="7"/>
  <c r="D10" i="7"/>
  <c r="F10" i="7" s="1"/>
  <c r="G10" i="7" s="1"/>
  <c r="C11" i="7"/>
  <c r="D11" i="7"/>
  <c r="F11" i="7" s="1"/>
  <c r="G11" i="7" s="1"/>
  <c r="C12" i="7"/>
  <c r="D12" i="7"/>
  <c r="F12" i="7" s="1"/>
  <c r="G12" i="7" s="1"/>
  <c r="C13" i="7"/>
  <c r="D13" i="7"/>
  <c r="F13" i="7" s="1"/>
  <c r="G13" i="7" s="1"/>
  <c r="C14" i="7"/>
  <c r="D14" i="7"/>
  <c r="F14" i="7" s="1"/>
  <c r="G14" i="7" s="1"/>
  <c r="C15" i="7"/>
  <c r="D15" i="7"/>
  <c r="F15" i="7" s="1"/>
  <c r="G15" i="7" s="1"/>
  <c r="C16" i="7"/>
  <c r="D16" i="7"/>
  <c r="F16" i="7" s="1"/>
  <c r="G16" i="7" s="1"/>
  <c r="C17" i="7"/>
  <c r="D17" i="7"/>
  <c r="F17" i="7" s="1"/>
  <c r="G17" i="7" s="1"/>
  <c r="C18" i="7"/>
  <c r="D18" i="7"/>
  <c r="F18" i="7" s="1"/>
  <c r="G18" i="7" s="1"/>
  <c r="C19" i="7"/>
  <c r="D19" i="7"/>
  <c r="F19" i="7" s="1"/>
  <c r="G19" i="7" s="1"/>
  <c r="C20" i="7"/>
  <c r="D20" i="7"/>
  <c r="F20" i="7" s="1"/>
  <c r="G20" i="7" s="1"/>
  <c r="C21" i="7"/>
  <c r="D21" i="7"/>
  <c r="F21" i="7" s="1"/>
  <c r="C22" i="7"/>
  <c r="D22" i="7"/>
  <c r="F22" i="7" s="1"/>
  <c r="G22" i="7" s="1"/>
  <c r="C23" i="7"/>
  <c r="D23" i="7"/>
  <c r="F23" i="7" s="1"/>
  <c r="G23" i="7" s="1"/>
  <c r="C24" i="7"/>
  <c r="D24" i="7"/>
  <c r="F24" i="7" s="1"/>
  <c r="G24" i="7" s="1"/>
  <c r="C25" i="7"/>
  <c r="D25" i="7"/>
  <c r="F25" i="7" s="1"/>
  <c r="G25" i="7" s="1"/>
  <c r="C26" i="7"/>
  <c r="D26" i="7"/>
  <c r="F26" i="7" s="1"/>
  <c r="G26" i="7" s="1"/>
  <c r="C27" i="7"/>
  <c r="D27" i="7"/>
  <c r="F27" i="7" s="1"/>
  <c r="G27" i="7" s="1"/>
  <c r="C28" i="7"/>
  <c r="D28" i="7"/>
  <c r="F28" i="7" s="1"/>
  <c r="G28" i="7" s="1"/>
  <c r="C29" i="7"/>
  <c r="D29" i="7"/>
  <c r="F29" i="7" s="1"/>
  <c r="C30" i="7"/>
  <c r="D30" i="7"/>
  <c r="F30" i="7" s="1"/>
  <c r="G30" i="7" s="1"/>
  <c r="C31" i="7"/>
  <c r="D31" i="7"/>
  <c r="F31" i="7" s="1"/>
  <c r="G31" i="7" s="1"/>
  <c r="C32" i="7"/>
  <c r="D32" i="7"/>
  <c r="F32" i="7" s="1"/>
  <c r="C33" i="7"/>
  <c r="D33" i="7"/>
  <c r="F33" i="7" s="1"/>
  <c r="G33" i="7" s="1"/>
  <c r="C34" i="7"/>
  <c r="D34" i="7"/>
  <c r="F34" i="7" s="1"/>
  <c r="G34" i="7" s="1"/>
  <c r="C35" i="7"/>
  <c r="D35" i="7"/>
  <c r="F35" i="7" s="1"/>
  <c r="G35" i="7" s="1"/>
  <c r="C36" i="7"/>
  <c r="D36" i="7"/>
  <c r="F36" i="7" s="1"/>
  <c r="G36" i="7" s="1"/>
  <c r="C37" i="7"/>
  <c r="D37" i="7"/>
  <c r="F37" i="7" s="1"/>
  <c r="G37" i="7" s="1"/>
  <c r="C38" i="7"/>
  <c r="D38" i="7"/>
  <c r="F38" i="7" s="1"/>
  <c r="G38" i="7" s="1"/>
  <c r="H4" i="18"/>
  <c r="J4" i="18"/>
  <c r="C5" i="18"/>
  <c r="I5" i="18"/>
  <c r="C6" i="18"/>
  <c r="J6" i="18"/>
  <c r="H7" i="18"/>
  <c r="I7" i="18"/>
  <c r="H8" i="18"/>
  <c r="I8" i="18"/>
  <c r="H9" i="18"/>
  <c r="J9" i="18"/>
  <c r="C10" i="18"/>
  <c r="I10" i="18"/>
  <c r="C11" i="18"/>
  <c r="I11" i="18"/>
  <c r="H12" i="18"/>
  <c r="I12" i="18"/>
  <c r="H13" i="18"/>
  <c r="I13" i="18"/>
  <c r="H14" i="18"/>
  <c r="J14" i="18"/>
  <c r="H15" i="18"/>
  <c r="I15" i="18"/>
  <c r="H16" i="18"/>
  <c r="I16" i="18"/>
  <c r="H17" i="18"/>
  <c r="J17" i="18"/>
  <c r="H18" i="18"/>
  <c r="I18" i="18"/>
  <c r="H19" i="18"/>
  <c r="J19" i="18"/>
  <c r="H20" i="18"/>
  <c r="J20" i="18"/>
  <c r="H6" i="18" l="1"/>
  <c r="O6" i="18"/>
  <c r="H5" i="18"/>
  <c r="O5" i="18"/>
  <c r="H11" i="18"/>
  <c r="O11" i="18"/>
  <c r="H10" i="18"/>
  <c r="O10" i="18"/>
  <c r="C53" i="7"/>
  <c r="C54" i="7"/>
  <c r="C55" i="7"/>
  <c r="G32" i="7"/>
  <c r="G9" i="7"/>
  <c r="I14" i="18"/>
  <c r="K14" i="18" s="1"/>
  <c r="P14" i="18" s="1"/>
  <c r="J15" i="18"/>
  <c r="K15" i="18" s="1"/>
  <c r="P15" i="18" s="1"/>
  <c r="I19" i="18"/>
  <c r="K19" i="18" s="1"/>
  <c r="P19" i="18" s="1"/>
  <c r="J7" i="18"/>
  <c r="K7" i="18" s="1"/>
  <c r="P7" i="18" s="1"/>
  <c r="J12" i="18"/>
  <c r="K12" i="18" s="1"/>
  <c r="P12" i="18" s="1"/>
  <c r="I4" i="18"/>
  <c r="K4" i="18" s="1"/>
  <c r="P4" i="18" s="1"/>
  <c r="I17" i="18"/>
  <c r="K17" i="18" s="1"/>
  <c r="P17" i="18" s="1"/>
  <c r="I20" i="18"/>
  <c r="K20" i="18" s="1"/>
  <c r="P20" i="18" s="1"/>
  <c r="I9" i="18"/>
  <c r="K9" i="18" s="1"/>
  <c r="P9" i="18" s="1"/>
  <c r="J8" i="18"/>
  <c r="K8" i="18" s="1"/>
  <c r="P8" i="18" s="1"/>
  <c r="I6" i="18"/>
  <c r="J18" i="18"/>
  <c r="K18" i="18" s="1"/>
  <c r="P18" i="18" s="1"/>
  <c r="J13" i="18"/>
  <c r="K13" i="18" s="1"/>
  <c r="P13" i="18" s="1"/>
  <c r="G21" i="7"/>
  <c r="G29" i="7"/>
  <c r="J10" i="18"/>
  <c r="K10" i="18" s="1"/>
  <c r="P10" i="18" s="1"/>
  <c r="J16" i="18"/>
  <c r="K16" i="18" s="1"/>
  <c r="P16" i="18" s="1"/>
  <c r="J5" i="18"/>
  <c r="K5" i="18" s="1"/>
  <c r="P5" i="18" s="1"/>
  <c r="J11" i="18"/>
  <c r="K11" i="18" s="1"/>
  <c r="P11" i="18" s="1"/>
  <c r="K6" i="18" l="1"/>
  <c r="P6" i="18" s="1"/>
  <c r="O45" i="18"/>
  <c r="G216" i="7"/>
  <c r="G221" i="7"/>
  <c r="G210" i="7"/>
  <c r="G215" i="7"/>
  <c r="G220" i="7"/>
  <c r="G209" i="7"/>
  <c r="G208" i="7"/>
  <c r="G214" i="7"/>
  <c r="G223" i="7"/>
  <c r="G222" i="7"/>
  <c r="G217" i="7"/>
  <c r="G213" i="7"/>
  <c r="G212" i="7"/>
  <c r="G219" i="7"/>
  <c r="G218" i="7"/>
  <c r="G211" i="7"/>
  <c r="G249" i="7"/>
  <c r="G254" i="7"/>
  <c r="G243" i="7"/>
  <c r="G248" i="7"/>
  <c r="G253" i="7"/>
  <c r="G242" i="7"/>
  <c r="G246" i="7"/>
  <c r="G241" i="7"/>
  <c r="G250" i="7"/>
  <c r="G240" i="7"/>
  <c r="G244" i="7"/>
  <c r="G247" i="7"/>
  <c r="G255" i="7"/>
  <c r="G245" i="7"/>
  <c r="G252" i="7"/>
  <c r="G251" i="7"/>
  <c r="G238" i="7"/>
  <c r="G227" i="7"/>
  <c r="G226" i="7"/>
  <c r="G232" i="7"/>
  <c r="G237" i="7"/>
  <c r="G231" i="7"/>
  <c r="G235" i="7"/>
  <c r="G224" i="7"/>
  <c r="G233" i="7"/>
  <c r="G239" i="7"/>
  <c r="G234" i="7"/>
  <c r="G225" i="7"/>
  <c r="G230" i="7"/>
  <c r="G229" i="7"/>
  <c r="G236" i="7"/>
  <c r="G228" i="7"/>
  <c r="G71" i="7"/>
  <c r="H71" i="7" s="1"/>
  <c r="D208" i="7"/>
  <c r="E208" i="7" s="1"/>
  <c r="F208" i="7" s="1"/>
  <c r="D248" i="7"/>
  <c r="E248" i="7" s="1"/>
  <c r="F248" i="7" s="1"/>
  <c r="D251" i="7"/>
  <c r="E251" i="7" s="1"/>
  <c r="F251" i="7" s="1"/>
  <c r="D247" i="7"/>
  <c r="E247" i="7" s="1"/>
  <c r="F247" i="7" s="1"/>
  <c r="D255" i="7"/>
  <c r="E255" i="7" s="1"/>
  <c r="F255" i="7" s="1"/>
  <c r="D244" i="7"/>
  <c r="E244" i="7" s="1"/>
  <c r="F244" i="7" s="1"/>
  <c r="H244" i="7" s="1"/>
  <c r="J244" i="7" s="1"/>
  <c r="D240" i="7"/>
  <c r="E240" i="7" s="1"/>
  <c r="F240" i="7" s="1"/>
  <c r="H240" i="7" s="1"/>
  <c r="J240" i="7" s="1"/>
  <c r="D242" i="7"/>
  <c r="E242" i="7" s="1"/>
  <c r="F242" i="7" s="1"/>
  <c r="D246" i="7"/>
  <c r="E246" i="7" s="1"/>
  <c r="F246" i="7" s="1"/>
  <c r="H246" i="7" s="1"/>
  <c r="J246" i="7" s="1"/>
  <c r="D253" i="7"/>
  <c r="E253" i="7" s="1"/>
  <c r="F253" i="7" s="1"/>
  <c r="D241" i="7"/>
  <c r="E241" i="7" s="1"/>
  <c r="F241" i="7" s="1"/>
  <c r="H241" i="7" s="1"/>
  <c r="J241" i="7" s="1"/>
  <c r="D252" i="7"/>
  <c r="E252" i="7" s="1"/>
  <c r="F252" i="7" s="1"/>
  <c r="H252" i="7" s="1"/>
  <c r="J252" i="7" s="1"/>
  <c r="D250" i="7"/>
  <c r="E250" i="7" s="1"/>
  <c r="F250" i="7" s="1"/>
  <c r="H250" i="7" s="1"/>
  <c r="J250" i="7" s="1"/>
  <c r="D249" i="7"/>
  <c r="E249" i="7" s="1"/>
  <c r="F249" i="7" s="1"/>
  <c r="H249" i="7" s="1"/>
  <c r="J249" i="7" s="1"/>
  <c r="D245" i="7"/>
  <c r="E245" i="7" s="1"/>
  <c r="F245" i="7" s="1"/>
  <c r="H245" i="7" s="1"/>
  <c r="J245" i="7" s="1"/>
  <c r="D243" i="7"/>
  <c r="E243" i="7" s="1"/>
  <c r="F243" i="7" s="1"/>
  <c r="D254" i="7"/>
  <c r="E254" i="7" s="1"/>
  <c r="F254" i="7" s="1"/>
  <c r="D237" i="7"/>
  <c r="E237" i="7" s="1"/>
  <c r="F237" i="7" s="1"/>
  <c r="D226" i="7"/>
  <c r="E226" i="7" s="1"/>
  <c r="F226" i="7" s="1"/>
  <c r="D236" i="7"/>
  <c r="E236" i="7" s="1"/>
  <c r="F236" i="7" s="1"/>
  <c r="H236" i="7" s="1"/>
  <c r="J236" i="7" s="1"/>
  <c r="D233" i="7"/>
  <c r="E233" i="7" s="1"/>
  <c r="F233" i="7" s="1"/>
  <c r="D229" i="7"/>
  <c r="E229" i="7" s="1"/>
  <c r="F229" i="7" s="1"/>
  <c r="D225" i="7"/>
  <c r="E225" i="7" s="1"/>
  <c r="F225" i="7" s="1"/>
  <c r="D231" i="7"/>
  <c r="E231" i="7" s="1"/>
  <c r="F231" i="7" s="1"/>
  <c r="D235" i="7"/>
  <c r="E235" i="7" s="1"/>
  <c r="F235" i="7" s="1"/>
  <c r="D230" i="7"/>
  <c r="E230" i="7" s="1"/>
  <c r="F230" i="7" s="1"/>
  <c r="H230" i="7" s="1"/>
  <c r="J230" i="7" s="1"/>
  <c r="D224" i="7"/>
  <c r="E224" i="7" s="1"/>
  <c r="F224" i="7" s="1"/>
  <c r="D239" i="7"/>
  <c r="E239" i="7" s="1"/>
  <c r="F239" i="7" s="1"/>
  <c r="D227" i="7"/>
  <c r="E227" i="7" s="1"/>
  <c r="F227" i="7" s="1"/>
  <c r="H227" i="7" s="1"/>
  <c r="J227" i="7" s="1"/>
  <c r="D234" i="7"/>
  <c r="E234" i="7" s="1"/>
  <c r="F234" i="7" s="1"/>
  <c r="D228" i="7"/>
  <c r="E228" i="7" s="1"/>
  <c r="F228" i="7" s="1"/>
  <c r="H228" i="7" s="1"/>
  <c r="J228" i="7" s="1"/>
  <c r="D232" i="7"/>
  <c r="E232" i="7" s="1"/>
  <c r="F232" i="7" s="1"/>
  <c r="D238" i="7"/>
  <c r="E238" i="7" s="1"/>
  <c r="F238" i="7" s="1"/>
  <c r="H238" i="7" s="1"/>
  <c r="J238" i="7" s="1"/>
  <c r="D76" i="7"/>
  <c r="E76" i="7" s="1"/>
  <c r="F76" i="7" s="1"/>
  <c r="D215" i="7"/>
  <c r="E215" i="7" s="1"/>
  <c r="F215" i="7" s="1"/>
  <c r="H215" i="7" s="1"/>
  <c r="J215" i="7" s="1"/>
  <c r="D222" i="7"/>
  <c r="E222" i="7" s="1"/>
  <c r="F222" i="7" s="1"/>
  <c r="H222" i="7" s="1"/>
  <c r="J222" i="7" s="1"/>
  <c r="D218" i="7"/>
  <c r="E218" i="7" s="1"/>
  <c r="F218" i="7" s="1"/>
  <c r="H218" i="7" s="1"/>
  <c r="J218" i="7" s="1"/>
  <c r="D211" i="7"/>
  <c r="E211" i="7" s="1"/>
  <c r="F211" i="7" s="1"/>
  <c r="D214" i="7"/>
  <c r="E214" i="7" s="1"/>
  <c r="F214" i="7" s="1"/>
  <c r="D220" i="7"/>
  <c r="E220" i="7" s="1"/>
  <c r="F220" i="7" s="1"/>
  <c r="D219" i="7"/>
  <c r="E219" i="7" s="1"/>
  <c r="F219" i="7" s="1"/>
  <c r="D209" i="7"/>
  <c r="E209" i="7" s="1"/>
  <c r="F209" i="7" s="1"/>
  <c r="D213" i="7"/>
  <c r="E213" i="7" s="1"/>
  <c r="F213" i="7" s="1"/>
  <c r="D217" i="7"/>
  <c r="E217" i="7" s="1"/>
  <c r="F217" i="7" s="1"/>
  <c r="D216" i="7"/>
  <c r="E216" i="7" s="1"/>
  <c r="F216" i="7" s="1"/>
  <c r="H216" i="7" s="1"/>
  <c r="J216" i="7" s="1"/>
  <c r="D223" i="7"/>
  <c r="E223" i="7" s="1"/>
  <c r="F223" i="7" s="1"/>
  <c r="D212" i="7"/>
  <c r="E212" i="7" s="1"/>
  <c r="F212" i="7" s="1"/>
  <c r="D221" i="7"/>
  <c r="E221" i="7" s="1"/>
  <c r="F221" i="7" s="1"/>
  <c r="H221" i="7" s="1"/>
  <c r="J221" i="7" s="1"/>
  <c r="D210" i="7"/>
  <c r="E210" i="7" s="1"/>
  <c r="F210" i="7" s="1"/>
  <c r="G80" i="7"/>
  <c r="H80" i="7" s="1"/>
  <c r="D79" i="7"/>
  <c r="E79" i="7" s="1"/>
  <c r="F79" i="7" s="1"/>
  <c r="D81" i="7"/>
  <c r="E81" i="7" s="1"/>
  <c r="F81" i="7" s="1"/>
  <c r="G76" i="7"/>
  <c r="H76" i="7" s="1"/>
  <c r="D77" i="7"/>
  <c r="E77" i="7" s="1"/>
  <c r="F77" i="7" s="1"/>
  <c r="G81" i="7"/>
  <c r="H81" i="7" s="1"/>
  <c r="G73" i="7"/>
  <c r="H73" i="7" s="1"/>
  <c r="D78" i="7"/>
  <c r="E78" i="7" s="1"/>
  <c r="F78" i="7" s="1"/>
  <c r="G78" i="7"/>
  <c r="H78" i="7" s="1"/>
  <c r="D83" i="7"/>
  <c r="E83" i="7" s="1"/>
  <c r="F83" i="7" s="1"/>
  <c r="G83" i="7"/>
  <c r="H83" i="7" s="1"/>
  <c r="G79" i="7"/>
  <c r="H79" i="7" s="1"/>
  <c r="D75" i="7"/>
  <c r="E75" i="7" s="1"/>
  <c r="F75" i="7" s="1"/>
  <c r="G74" i="7"/>
  <c r="H74" i="7" s="1"/>
  <c r="D84" i="7"/>
  <c r="E84" i="7" s="1"/>
  <c r="F84" i="7" s="1"/>
  <c r="G82" i="7"/>
  <c r="H82" i="7" s="1"/>
  <c r="D85" i="7"/>
  <c r="E85" i="7" s="1"/>
  <c r="F85" i="7" s="1"/>
  <c r="D80" i="7"/>
  <c r="E80" i="7" s="1"/>
  <c r="F80" i="7" s="1"/>
  <c r="D73" i="7"/>
  <c r="E73" i="7" s="1"/>
  <c r="F73" i="7" s="1"/>
  <c r="D72" i="7"/>
  <c r="E72" i="7" s="1"/>
  <c r="F72" i="7" s="1"/>
  <c r="G85" i="7"/>
  <c r="H85" i="7" s="1"/>
  <c r="D74" i="7"/>
  <c r="E74" i="7" s="1"/>
  <c r="F74" i="7" s="1"/>
  <c r="G72" i="7"/>
  <c r="H72" i="7" s="1"/>
  <c r="D71" i="7"/>
  <c r="E71" i="7" s="1"/>
  <c r="F71" i="7" s="1" a="1"/>
  <c r="F71" i="7" s="1"/>
  <c r="D86" i="7"/>
  <c r="E86" i="7" s="1"/>
  <c r="F86" i="7" s="1"/>
  <c r="G75" i="7"/>
  <c r="H75" i="7" s="1"/>
  <c r="G77" i="7"/>
  <c r="H77" i="7" s="1"/>
  <c r="G84" i="7"/>
  <c r="H84" i="7" s="1"/>
  <c r="D82" i="7"/>
  <c r="E82" i="7" s="1"/>
  <c r="F82" i="7" s="1"/>
  <c r="G86" i="7"/>
  <c r="H86" i="7" s="1"/>
  <c r="D98" i="7"/>
  <c r="E98" i="7" s="1"/>
  <c r="F98" i="7" s="1"/>
  <c r="G93" i="7"/>
  <c r="H93" i="7" s="1"/>
  <c r="D102" i="7"/>
  <c r="E102" i="7" s="1"/>
  <c r="F102" i="7" s="1"/>
  <c r="D93" i="7"/>
  <c r="E93" i="7" s="1"/>
  <c r="F93" i="7" s="1"/>
  <c r="G88" i="7"/>
  <c r="H88" i="7" s="1"/>
  <c r="G91" i="7"/>
  <c r="H91" i="7" s="1"/>
  <c r="D89" i="7"/>
  <c r="E89" i="7" s="1"/>
  <c r="F89" i="7" s="1"/>
  <c r="D92" i="7"/>
  <c r="E92" i="7" s="1"/>
  <c r="F92" i="7" s="1"/>
  <c r="D94" i="7"/>
  <c r="E94" i="7" s="1"/>
  <c r="F94" i="7" s="1"/>
  <c r="G97" i="7"/>
  <c r="H97" i="7" s="1"/>
  <c r="D96" i="7"/>
  <c r="E96" i="7" s="1"/>
  <c r="F96" i="7" s="1"/>
  <c r="G101" i="7"/>
  <c r="H101" i="7" s="1"/>
  <c r="G87" i="7"/>
  <c r="H87" i="7" s="1"/>
  <c r="D97" i="7"/>
  <c r="E97" i="7" s="1"/>
  <c r="F97" i="7" s="1"/>
  <c r="G92" i="7"/>
  <c r="H92" i="7" s="1"/>
  <c r="D88" i="7"/>
  <c r="E88" i="7" s="1"/>
  <c r="F88" i="7" s="1"/>
  <c r="D101" i="7"/>
  <c r="E101" i="7" s="1"/>
  <c r="F101" i="7" s="1"/>
  <c r="G96" i="7"/>
  <c r="H96" i="7" s="1"/>
  <c r="D87" i="7"/>
  <c r="E87" i="7" s="1"/>
  <c r="F87" i="7" s="1"/>
  <c r="G89" i="7"/>
  <c r="H89" i="7" s="1"/>
  <c r="G100" i="7"/>
  <c r="H100" i="7" s="1"/>
  <c r="D100" i="7"/>
  <c r="E100" i="7" s="1"/>
  <c r="F100" i="7" s="1"/>
  <c r="G95" i="7"/>
  <c r="H95" i="7" s="1"/>
  <c r="G94" i="7"/>
  <c r="H94" i="7" s="1"/>
  <c r="G98" i="7"/>
  <c r="H98" i="7" s="1"/>
  <c r="D91" i="7"/>
  <c r="E91" i="7" s="1"/>
  <c r="F91" i="7" s="1"/>
  <c r="G99" i="7"/>
  <c r="H99" i="7" s="1"/>
  <c r="D99" i="7"/>
  <c r="E99" i="7" s="1"/>
  <c r="F99" i="7" s="1"/>
  <c r="D95" i="7"/>
  <c r="E95" i="7" s="1"/>
  <c r="F95" i="7" s="1"/>
  <c r="G90" i="7"/>
  <c r="H90" i="7" s="1"/>
  <c r="D90" i="7"/>
  <c r="E90" i="7" s="1"/>
  <c r="F90" i="7" s="1"/>
  <c r="G102" i="7"/>
  <c r="H102" i="7" s="1"/>
  <c r="G115" i="7"/>
  <c r="H115" i="7" s="1"/>
  <c r="D111" i="7"/>
  <c r="E111" i="7" s="1"/>
  <c r="F111" i="7" s="1"/>
  <c r="G106" i="7"/>
  <c r="H106" i="7" s="1"/>
  <c r="G110" i="7"/>
  <c r="H110" i="7" s="1"/>
  <c r="D118" i="7"/>
  <c r="E118" i="7" s="1"/>
  <c r="F118" i="7" s="1"/>
  <c r="D109" i="7"/>
  <c r="E109" i="7" s="1"/>
  <c r="F109" i="7" s="1"/>
  <c r="G104" i="7"/>
  <c r="H104" i="7" s="1"/>
  <c r="G113" i="7"/>
  <c r="H113" i="7" s="1"/>
  <c r="D115" i="7"/>
  <c r="E115" i="7" s="1"/>
  <c r="F115" i="7" s="1"/>
  <c r="D106" i="7"/>
  <c r="E106" i="7" s="1"/>
  <c r="F106" i="7" s="1"/>
  <c r="D114" i="7"/>
  <c r="E114" i="7" s="1"/>
  <c r="F114" i="7" s="1"/>
  <c r="G109" i="7"/>
  <c r="H109" i="7" s="1"/>
  <c r="G114" i="7"/>
  <c r="H114" i="7" s="1"/>
  <c r="D110" i="7"/>
  <c r="E110" i="7" s="1"/>
  <c r="F110" i="7" s="1"/>
  <c r="G105" i="7"/>
  <c r="H105" i="7" s="1"/>
  <c r="G118" i="7"/>
  <c r="H118" i="7" s="1"/>
  <c r="D105" i="7"/>
  <c r="E105" i="7" s="1"/>
  <c r="F105" i="7" s="1"/>
  <c r="G117" i="7"/>
  <c r="H117" i="7" s="1"/>
  <c r="G107" i="7"/>
  <c r="H107" i="7" s="1"/>
  <c r="G111" i="7"/>
  <c r="H111" i="7" s="1"/>
  <c r="D113" i="7"/>
  <c r="E113" i="7" s="1"/>
  <c r="F113" i="7" s="1"/>
  <c r="G108" i="7"/>
  <c r="H108" i="7" s="1"/>
  <c r="D104" i="7"/>
  <c r="E104" i="7" s="1"/>
  <c r="F104" i="7" s="1"/>
  <c r="G103" i="7"/>
  <c r="H103" i="7" s="1"/>
  <c r="G116" i="7"/>
  <c r="H116" i="7" s="1"/>
  <c r="D112" i="7"/>
  <c r="E112" i="7" s="1"/>
  <c r="F112" i="7" s="1"/>
  <c r="D116" i="7"/>
  <c r="E116" i="7" s="1"/>
  <c r="F116" i="7" s="1"/>
  <c r="D117" i="7"/>
  <c r="E117" i="7" s="1"/>
  <c r="F117" i="7" s="1"/>
  <c r="G112" i="7"/>
  <c r="H112" i="7" s="1"/>
  <c r="D108" i="7"/>
  <c r="E108" i="7" s="1"/>
  <c r="F108" i="7" s="1"/>
  <c r="D103" i="7"/>
  <c r="E103" i="7" s="1"/>
  <c r="F103" i="7" s="1"/>
  <c r="D107" i="7"/>
  <c r="E107" i="7" s="1"/>
  <c r="F107" i="7" s="1"/>
  <c r="I45" i="13"/>
  <c r="D45" i="18"/>
  <c r="K45" i="13"/>
  <c r="C45" i="18" s="1"/>
  <c r="H247" i="7" l="1"/>
  <c r="J247" i="7" s="1"/>
  <c r="H209" i="7"/>
  <c r="J209" i="7" s="1"/>
  <c r="H255" i="7"/>
  <c r="J255" i="7" s="1"/>
  <c r="H208" i="7"/>
  <c r="J208" i="7" s="1"/>
  <c r="H220" i="7"/>
  <c r="J220" i="7" s="1"/>
  <c r="H214" i="7"/>
  <c r="J214" i="7" s="1"/>
  <c r="H254" i="7"/>
  <c r="J254" i="7" s="1"/>
  <c r="H211" i="7"/>
  <c r="J211" i="7" s="1"/>
  <c r="H243" i="7"/>
  <c r="J243" i="7" s="1"/>
  <c r="H232" i="7"/>
  <c r="J232" i="7" s="1"/>
  <c r="H253" i="7"/>
  <c r="J253" i="7" s="1"/>
  <c r="H235" i="7"/>
  <c r="J235" i="7" s="1"/>
  <c r="H223" i="7"/>
  <c r="J223" i="7" s="1"/>
  <c r="H231" i="7"/>
  <c r="J231" i="7" s="1"/>
  <c r="H248" i="7"/>
  <c r="J248" i="7" s="1"/>
  <c r="H242" i="7"/>
  <c r="J242" i="7" s="1"/>
  <c r="H225" i="7"/>
  <c r="J225" i="7" s="1"/>
  <c r="H239" i="7"/>
  <c r="J239" i="7" s="1"/>
  <c r="H210" i="7"/>
  <c r="J210" i="7" s="1"/>
  <c r="H251" i="7"/>
  <c r="J251" i="7" s="1"/>
  <c r="H217" i="7"/>
  <c r="J217" i="7" s="1"/>
  <c r="H229" i="7"/>
  <c r="J229" i="7" s="1"/>
  <c r="H234" i="7"/>
  <c r="J234" i="7" s="1"/>
  <c r="H224" i="7"/>
  <c r="J224" i="7" s="1"/>
  <c r="H212" i="7"/>
  <c r="J212" i="7" s="1"/>
  <c r="H213" i="7"/>
  <c r="J213" i="7" s="1"/>
  <c r="H233" i="7"/>
  <c r="J233" i="7" s="1"/>
  <c r="H219" i="7"/>
  <c r="J219" i="7" s="1"/>
  <c r="H226" i="7"/>
  <c r="J226" i="7" s="1"/>
  <c r="H237" i="7"/>
  <c r="J237" i="7" s="1"/>
  <c r="G13" i="9"/>
  <c r="G16" i="9" s="1"/>
  <c r="B3" i="9" l="1"/>
  <c r="G17" i="9"/>
  <c r="A7" i="9"/>
  <c r="A1" i="18"/>
  <c r="A1" i="31" l="1"/>
  <c r="C3" i="9" l="1"/>
  <c r="J3" i="18"/>
  <c r="J45" i="18" s="1"/>
  <c r="I3" i="18" l="1"/>
  <c r="I45" i="18" s="1"/>
  <c r="H3" i="18"/>
  <c r="H45" i="18" s="1"/>
  <c r="K3" i="18" l="1"/>
  <c r="K45" i="18" l="1"/>
  <c r="P3" i="18"/>
  <c r="P45" i="18"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<sst xmlns="http://schemas.openxmlformats.org/spreadsheetml/2006/main" count="2768" uniqueCount="909">
  <si>
    <t>Data Sources</t>
  </si>
  <si>
    <t>Dataset</t>
  </si>
  <si>
    <t>Dodge 2023</t>
  </si>
  <si>
    <t>CEUS 2022</t>
  </si>
  <si>
    <t>ComStock 2023</t>
  </si>
  <si>
    <t>Prototype</t>
  </si>
  <si>
    <r>
      <t xml:space="preserve">CEC </t>
    </r>
    <r>
      <rPr>
        <sz val="10"/>
        <color rgb="FF000000"/>
        <rFont val="Arial"/>
        <family val="2"/>
      </rPr>
      <t>2028</t>
    </r>
    <r>
      <rPr>
        <sz val="10"/>
        <color theme="1"/>
        <rFont val="Arial"/>
        <family val="2"/>
      </rPr>
      <t xml:space="preserve"> School prototype</t>
    </r>
  </si>
  <si>
    <t>https://efiling.energy.ca.gov/GetDocument.aspx?tn=265691&amp;DocumentContentId=102542</t>
  </si>
  <si>
    <t>Codes</t>
  </si>
  <si>
    <t xml:space="preserve">Title 24, part 6, referred to as T24 (1984, 2001, 2007, 2013, 2016, 2022, 2025) </t>
  </si>
  <si>
    <t>ASHRAE 90.1 (2022)</t>
  </si>
  <si>
    <t>CFR Title 10 (2008, 2010, 2025)</t>
  </si>
  <si>
    <t>ACM 2022</t>
  </si>
  <si>
    <t>T24 2022 - Appendix 5.4A and Appendix 5.4B</t>
  </si>
  <si>
    <t>https://www.energy.ca.gov/publications/2022/2022-nonresidential-and-multifamily-alternative-calculation-method-reference</t>
  </si>
  <si>
    <t xml:space="preserve"> </t>
  </si>
  <si>
    <t>Other</t>
  </si>
  <si>
    <t xml:space="preserve">2022 Reduced infiltration CASE report </t>
  </si>
  <si>
    <t>https://title24stakeholders.com/wp-content/uploads/2020/10/2022-T24-Final-CASE-Report_Reduce-Infiltration.pdf</t>
  </si>
  <si>
    <t>2019 Outdoor Lighting CASE Report</t>
  </si>
  <si>
    <t>https://title24stakeholders.com/wp-content/uploads/2016/10/T24-2019-CASE-Study-Results-Report-Outdoor-Sources_Final_with-Attachments.pdf</t>
  </si>
  <si>
    <t>2019 High Efficiency Fume Hoods in Laboratory Spaces CASE Report</t>
  </si>
  <si>
    <t>https://title24stakeholders.com/wp-content/uploads/2017/09/2019-T24-CASE-Report_Fume-Hoods_Final_September-2017.pdf?</t>
  </si>
  <si>
    <t>PNNL 20405, 2011</t>
  </si>
  <si>
    <t>https://www.pnnl.gov/main/publications/external/technical_reports/PNNL-20405.pdf</t>
  </si>
  <si>
    <t>Air leakage Memo, NORESCO, 2025</t>
  </si>
  <si>
    <t>Infiltration_rate_report_14May2025-Short-Version.docx — internal NORESCO project memo (not a public URL). See Prototype basis / Source access below.</t>
  </si>
  <si>
    <t>ENERGY STAR certified commercial water heaters (electric heat pump; integrated commercial HPWH)</t>
  </si>
  <si>
    <t>ENERGY STAR commercial WH dataset (download)</t>
  </si>
  <si>
    <t>ENERGY STAR commercial WH eligibility (electric heat pump, min COPh 3)</t>
  </si>
  <si>
    <t>Construction Rate</t>
  </si>
  <si>
    <t>Dodge 2023 construction rates used in the SCE vintage-bin analysis. Legend labels STC 41 and STC 49 are Dodge structure-type series identifiers from that analysis (Prototype D6, NonRes-Vintage bins-Draft Report-30Nov2023). They are not Title 24 climate zones.</t>
  </si>
  <si>
    <t>Notes</t>
  </si>
  <si>
    <t>2025 T24</t>
  </si>
  <si>
    <t>School includes five buildings: north classroom, lab classroom, shop classroom, MPR/Admin, and gym/courts/locker.</t>
  </si>
  <si>
    <t>Geometry</t>
  </si>
  <si>
    <t>Geometry is CEC SchoolHigh as implemented in CBECC (Prototype C7:C16; five buildings in B34: north classroom, lab classroom, shop classroom, MPR/Admin, gym/courts/locker). Floor area 174,819 ft². Prototype comparison columns (CalBEM SchoolLarge, DEER Education-Secondary, PNNL SchoolSecondary) are reference only.</t>
  </si>
  <si>
    <t>Vintage bins</t>
  </si>
  <si>
    <t>Existing vintages Pre-1978, 1978-1997, 1998-2007, 2008-2018 plus New Construction 2019+ follow the SCE Enhanced Prototypes vintage-bin analysis (Prototype D6). Dodge 2023 construction rates inform stock weighting; they are not a Title 24 prescriptive requirement.</t>
  </si>
  <si>
    <t>Curriculum and stock</t>
  </si>
  <si>
    <t>Comprehensive high school program (classrooms, labs, shops, gym/lockers, MPR, kitchen, library, administration). The prototype represents average California high-school stock. Funding/condition variation is carried in vintage envelope/HVAC/lighting assumptions (including Envelope H8 30-year roof replacement).</t>
  </si>
  <si>
    <t>WWR, heights, energy</t>
  </si>
  <si>
    <t>WWR 6.86%, no exterior shades (CEC). Floor-to-floor 14 ft except MPR/Admin 14–25 ft and Court 22–34 ft. Existing HVAC: PSZAC + gas furnace (MPR SZVAV). New construction: SZHP. Service water: existing electric resistance; NC heat-pump water heater (Water Heater B3:B4).</t>
  </si>
  <si>
    <t>Abbreviations</t>
  </si>
  <si>
    <t>T24 = California Title 24, Part 6. ACM = Nonresidential/Multifamily Alternative Calculation Method Reference Manual. CEC = California Energy Commission. CBECC = California Building Energy Code Compliance software. CEUS = California Commercial End-Use Survey. PSZAC = packaged single-zone air conditioner. SZHP = single-zone heat pump. SZVAV = single-zone VAV. HPWH = heat-pump water heater. SRR = skylight-to-roof ratio. WWR = window-to-wall ratio. IWA = initial wattage allowance.</t>
  </si>
  <si>
    <t>Source access</t>
  </si>
  <si>
    <t>Column C lists public links where they exist. Dodge 2023 is a licensed dataset with no public URL. The NORESCO air-leakage memo is an internal file (C19), not a webpage. ENERGY STAR water-heater rows use the commercial electric (heat pump) Product Finder and dataset xmq6-bm79. Schedule fractions that cite the Plug Loads and Schedules project with CEC (2025) do not have an external link yet; an ASHRAE paper has been submitted and the citation will be updated when that paper is published or when ACM 2028 is released.</t>
  </si>
  <si>
    <t>Sources used</t>
  </si>
  <si>
    <t>CEC SchoolHigh (efiling tn=265691); T24 2022 App. 5.4A/5.4B; ACM 2025 §5.9.2 and fan tables; T24 Tables 140.3-B, 110.2-A/B, 140.6-C, 140.7-A/B, 120.1-A/B; 2022 Reduced Infiltration CASE; 2019 Outdoor Lighting CASE; 2019 Fume-hood CASE (labs present); PNNL 20405; ASHRAE 90.1-2022 Appendix A; ASHRAE Handbook of Fundamentals; ENERGY STAR commercial HPWH list. Reviewer-suggested references that do not support a retained assumption are not added.</t>
  </si>
  <si>
    <t>SchoolHigh</t>
  </si>
  <si>
    <t>Characteristic</t>
  </si>
  <si>
    <t>Value</t>
  </si>
  <si>
    <t>Building Type</t>
  </si>
  <si>
    <t>High School</t>
  </si>
  <si>
    <t>Building Category</t>
  </si>
  <si>
    <t>Nonresidential</t>
  </si>
  <si>
    <t>Version</t>
  </si>
  <si>
    <t>v2-0</t>
  </si>
  <si>
    <t>Vintages</t>
  </si>
  <si>
    <t>4 Vintages: Pre-1978, 1978-1997,1998-2007, 2008-2018
New Construction (2019+)</t>
  </si>
  <si>
    <r>
      <rPr>
        <sz val="10"/>
        <color rgb="FF000000"/>
        <rFont val="Arial"/>
        <family val="2"/>
      </rPr>
      <t xml:space="preserve">Based on the vintage bin analysis. 
</t>
    </r>
    <r>
      <rPr>
        <sz val="10"/>
        <color rgb="FF000000"/>
        <rFont val="Arial"/>
        <family val="2"/>
      </rPr>
      <t>A summary of the findings is presented in the following paper, with a link provided in the Notes tab:
Yousefi, F., Athalye, R. (2025). “Determining Vintage Bins for Prototype Development: An Analysis of California Commercial Buildings.” ASHRAE Annual Conference.</t>
    </r>
  </si>
  <si>
    <t>Shape</t>
  </si>
  <si>
    <t xml:space="preserve">The analysis uses prototype geometry originally developed by CEC  approved 2028 SchoolK-8 prototype. </t>
  </si>
  <si>
    <t>Total Floor Area (ft²)</t>
  </si>
  <si>
    <t>CEC SchoolKto8 / CBECC (same as Prototype comparison column C).</t>
  </si>
  <si>
    <t>Aspect Ratio</t>
  </si>
  <si>
    <t>It varies for different buildings.</t>
  </si>
  <si>
    <t>Same as the CEC approved 2028 SchoolK-8 prototype</t>
  </si>
  <si>
    <t>Number of Floors</t>
  </si>
  <si>
    <t>Roof type</t>
  </si>
  <si>
    <t>Flat</t>
  </si>
  <si>
    <t>WWR</t>
  </si>
  <si>
    <t>Shading Geometry</t>
  </si>
  <si>
    <t xml:space="preserve">No Shades </t>
  </si>
  <si>
    <t>Floor to floor height (feet)</t>
  </si>
  <si>
    <t>It varies for different buildings:
MPR/Admin: 14-25
Court: 22-34
Other buildings: 14 ft</t>
  </si>
  <si>
    <t>Floor to ceiling height (feet)</t>
  </si>
  <si>
    <t>Glazing sill height (feet)</t>
  </si>
  <si>
    <t>Above grade wall area (ft²)</t>
  </si>
  <si>
    <t>Gross wall area  (ft²)</t>
  </si>
  <si>
    <t>Roof area  (ft²)</t>
  </si>
  <si>
    <t>Underground Gross Wall Area  (ft²)</t>
  </si>
  <si>
    <t>CEC (SchoolHigh)</t>
  </si>
  <si>
    <t>DEER (Education-Secondary School)</t>
  </si>
  <si>
    <t>PNNL (SchoolSecondary)</t>
  </si>
  <si>
    <t>Building</t>
  </si>
  <si>
    <t>Space/Thermal Zone</t>
  </si>
  <si>
    <r>
      <rPr>
        <b/>
        <sz val="10"/>
        <color rgb="FF000000"/>
        <rFont val="Arial"/>
        <family val="2"/>
      </rPr>
      <t xml:space="preserve">Space Type
</t>
    </r>
    <r>
      <rPr>
        <b/>
        <sz val="10"/>
        <color rgb="FF000000"/>
        <rFont val="Arial"/>
        <family val="2"/>
      </rPr>
      <t>[Primarily from: T24, 2022 Appendix 5.4A] - See Notes column</t>
    </r>
  </si>
  <si>
    <t>HVAC System Name/AHU Name</t>
  </si>
  <si>
    <t>Schedule Category</t>
  </si>
  <si>
    <t>Conditioned (Y/N)</t>
  </si>
  <si>
    <t>Area Fraction</t>
  </si>
  <si>
    <t>Area (ft²)</t>
  </si>
  <si>
    <t>Volume (ft³)</t>
  </si>
  <si>
    <t>Multipliers</t>
  </si>
  <si>
    <t>Number of People</t>
  </si>
  <si>
    <t xml:space="preserve">People 
(Persons/1,000 ft²)
[T24, 2025,Table 120.1-A] </t>
  </si>
  <si>
    <t>Total Floor area (multiper applied)</t>
  </si>
  <si>
    <t>SchoolHigh Admin/MPR</t>
  </si>
  <si>
    <t>ADMIN/MPR_BREAKROOM_ZN</t>
  </si>
  <si>
    <t>Lounge, Breakroom, or Waiting Area</t>
  </si>
  <si>
    <t>AHU-1</t>
  </si>
  <si>
    <t>MPR</t>
  </si>
  <si>
    <t>Y</t>
  </si>
  <si>
    <t>ADMIN/MPR_CAFETERIA ZNS 3_ZN</t>
  </si>
  <si>
    <t>Dining Area (Cafeteria/Fast Food)</t>
  </si>
  <si>
    <t>AHU-2</t>
  </si>
  <si>
    <t>ADMIN/MPR_CONFERENCE ROOM ZNS 3_ZN</t>
  </si>
  <si>
    <t>Convention, Conference, Multipurpose and Meeting Area</t>
  </si>
  <si>
    <t>AHU-3</t>
  </si>
  <si>
    <t>ADMIN/MPR_CORRIDOR_ZN</t>
  </si>
  <si>
    <t>Corridor Area</t>
  </si>
  <si>
    <t>AHU-4</t>
  </si>
  <si>
    <t>ADMIN/MPR_EMT_ZN</t>
  </si>
  <si>
    <t>Electrical, Mechanical, Telephone Rooms</t>
  </si>
  <si>
    <t>AHU-5</t>
  </si>
  <si>
    <t>Ancillary</t>
  </si>
  <si>
    <t>ADMIN/MPR_IDF ROOM_ZN</t>
  </si>
  <si>
    <t>AHU-6</t>
  </si>
  <si>
    <t>ADMIN/MPR_KITCHEN_ZN</t>
  </si>
  <si>
    <t>Kitchen/Food Preparation Area</t>
  </si>
  <si>
    <t>AHU-7</t>
  </si>
  <si>
    <t>Kitchen</t>
  </si>
  <si>
    <t>ADMIN/MPR_LOBBY_ZN</t>
  </si>
  <si>
    <t>Lobby, Main Entry</t>
  </si>
  <si>
    <t>AHU-8</t>
  </si>
  <si>
    <t>ADMIN/MPR_OFFICE - LT 250 SF ZNS 6_ZN</t>
  </si>
  <si>
    <t>Office Area (&lt;250 square feet)</t>
  </si>
  <si>
    <t>AHU-9</t>
  </si>
  <si>
    <t>ADMIN/MPR_RESTROOM ZNS 3_ZN</t>
  </si>
  <si>
    <t>Restrooms</t>
  </si>
  <si>
    <t>AHU-10</t>
  </si>
  <si>
    <t>AncillaryRestroom</t>
  </si>
  <si>
    <t>ADMIN/MPR_STORAGE - GENERAL_ZN</t>
  </si>
  <si>
    <t>Storage (General)</t>
  </si>
  <si>
    <t>AHU-11</t>
  </si>
  <si>
    <t>ADMIN/MPR_STORAGE - REFRIGERATED_ZN</t>
  </si>
  <si>
    <t>Storage, Commercial/Industrial (Refrigerated)</t>
  </si>
  <si>
    <t>AHU-12</t>
  </si>
  <si>
    <t>ADMIN/MPR_THEATER - PERFORMANCE_ZN</t>
  </si>
  <si>
    <t>Theater Area (Performance)</t>
  </si>
  <si>
    <t>AHU-13</t>
  </si>
  <si>
    <t>SchoolHigh Lab Classrooms</t>
  </si>
  <si>
    <t>CLASSRM LAB_FLR 1_EMT-01_ZN</t>
  </si>
  <si>
    <t>AHU-14</t>
  </si>
  <si>
    <t>CLASSRM LAB_FLR 1_EMT-02_ZN</t>
  </si>
  <si>
    <t>AHU-15</t>
  </si>
  <si>
    <t>CLASSRM LAB_FLR 1_LAB ZNS 2_ZN</t>
  </si>
  <si>
    <t>Laboratory, Scientific</t>
  </si>
  <si>
    <t>AHU-16</t>
  </si>
  <si>
    <t>Classroom</t>
  </si>
  <si>
    <t>CLASSRM LAB_FLR 1_LIBRARY - READING AREA_ZN</t>
  </si>
  <si>
    <t>Library (Reading Area)</t>
  </si>
  <si>
    <t>AHU-17</t>
  </si>
  <si>
    <t>CLASSRM LAB_FLR 1_RESTROOM_ZN</t>
  </si>
  <si>
    <t>AHU-18</t>
  </si>
  <si>
    <t>CLASSRM LAB_FLR 1_STORAGE - GENERAL_ZN</t>
  </si>
  <si>
    <t>AHU-19</t>
  </si>
  <si>
    <t>CLASSRM LAB_FLR 2_CLASSROOM_ZN</t>
  </si>
  <si>
    <t>Classroom, Lecture, Training, Vocational Areas</t>
  </si>
  <si>
    <t>AHU-20</t>
  </si>
  <si>
    <t>CLASSRM LAB_FLR 2_IDF ROOM_ZN</t>
  </si>
  <si>
    <t>AHU-21</t>
  </si>
  <si>
    <t>CLASSRM LAB_FLR 2_LAB ZNS 3_ZN</t>
  </si>
  <si>
    <t>AHU-22</t>
  </si>
  <si>
    <t>CLASSRM LAB_FLR 2_RESTROOM_ZN</t>
  </si>
  <si>
    <t>AHU-23</t>
  </si>
  <si>
    <t>CLASSRM LAB_FLR 2_STORAGE - GENERAL_ZN</t>
  </si>
  <si>
    <t>AHU-24</t>
  </si>
  <si>
    <t>SchoolHigh North Classrooms</t>
  </si>
  <si>
    <t>CLASSRM N_FLR 1_CLASSROOM-01_ZN</t>
  </si>
  <si>
    <t>AHU-25</t>
  </si>
  <si>
    <t>CLASSRM N_FLR 1_CLASSROOM-02 ZNS 6_ZN</t>
  </si>
  <si>
    <t>AHU-26</t>
  </si>
  <si>
    <t>CLASSRM N_FLR 1_OFFICE - LT 250 SF_ZN</t>
  </si>
  <si>
    <t>AHU-27</t>
  </si>
  <si>
    <t>CLASSRM N_FLR 1_RESTROOM_ZN</t>
  </si>
  <si>
    <t>AHU-28</t>
  </si>
  <si>
    <t>CLASSRM N_FLR 2_CLASSROOM-01 ZNS 6_ZN</t>
  </si>
  <si>
    <t>AHU-29</t>
  </si>
  <si>
    <t>CLASSRM N_FLR 2_CLASSROOM-02_ZN</t>
  </si>
  <si>
    <t>AHU-30</t>
  </si>
  <si>
    <t>CLASSRM N_FLR 2_OFFICE - LT 250 SF_ZN</t>
  </si>
  <si>
    <t>AHU-31</t>
  </si>
  <si>
    <t>CLASSRM N_FLR 2_RESTROOM_ZN</t>
  </si>
  <si>
    <t>AHU-32</t>
  </si>
  <si>
    <t>SchoolHigh Shop Classrooms</t>
  </si>
  <si>
    <t>CLASSRM SHOP_EMT_ZN</t>
  </si>
  <si>
    <t>AHU-33</t>
  </si>
  <si>
    <t>CLASSRM SHOP_IDF ROOM_ZN</t>
  </si>
  <si>
    <t>AHU-34</t>
  </si>
  <si>
    <t>CLASSRM SHOP_RESTROOM_ZN</t>
  </si>
  <si>
    <t>AHU-35</t>
  </si>
  <si>
    <t>CLASSRM SHOP_SHOP-01 ZNS 4_ZN</t>
  </si>
  <si>
    <t>Wood/Metal Shop Classroom</t>
  </si>
  <si>
    <t>AHU-36</t>
  </si>
  <si>
    <t>CLASSRM SHOP_SHOP-02_ZN</t>
  </si>
  <si>
    <t>AHU-37</t>
  </si>
  <si>
    <t>CLASSRM SHOP_STORAGE - GENERAL_ZN</t>
  </si>
  <si>
    <t>AHU-38</t>
  </si>
  <si>
    <t>SchoolHigh Sports</t>
  </si>
  <si>
    <t>COURTS - AUX ZN</t>
  </si>
  <si>
    <t>Exercise/Fitness Center and Gymnasium Areas</t>
  </si>
  <si>
    <t>AHU-39</t>
  </si>
  <si>
    <t>Gym</t>
  </si>
  <si>
    <t>COURTS ZN</t>
  </si>
  <si>
    <t>AHU-40</t>
  </si>
  <si>
    <t>LOCKERS ZN</t>
  </si>
  <si>
    <t>Locker Room</t>
  </si>
  <si>
    <t>AHU-41</t>
  </si>
  <si>
    <t>ROOMS &amp; STUDIOS ZN</t>
  </si>
  <si>
    <t>AHU-42</t>
  </si>
  <si>
    <t>Total (5 Buildings)</t>
  </si>
  <si>
    <t>Total (42 spaces)</t>
  </si>
  <si>
    <t>Total (18 Space types)</t>
  </si>
  <si>
    <t>Total (42 HVAC Systems)</t>
  </si>
  <si>
    <t>Total (4 Schedule categories)</t>
  </si>
  <si>
    <t xml:space="preserve"> Total (42 Conditioned zones)</t>
  </si>
  <si>
    <t>Area Distribution By Space Type</t>
  </si>
  <si>
    <t>Space Type</t>
  </si>
  <si>
    <t>% Area</t>
  </si>
  <si>
    <t>Total</t>
  </si>
  <si>
    <t>Background Data [To be deleted prior to publication]</t>
  </si>
  <si>
    <t>Element</t>
  </si>
  <si>
    <t>Assembly Type</t>
  </si>
  <si>
    <t>Construction</t>
  </si>
  <si>
    <t>Thermal properties</t>
  </si>
  <si>
    <t>Vintage</t>
  </si>
  <si>
    <t>Selected T24</t>
  </si>
  <si>
    <t>CZ1</t>
  </si>
  <si>
    <t>CZ2</t>
  </si>
  <si>
    <t>CZ3</t>
  </si>
  <si>
    <t>CZ4</t>
  </si>
  <si>
    <t>CZ5</t>
  </si>
  <si>
    <t>CZ6</t>
  </si>
  <si>
    <t>CZ7</t>
  </si>
  <si>
    <t>CZ8</t>
  </si>
  <si>
    <t>CZ9</t>
  </si>
  <si>
    <t>CZ10</t>
  </si>
  <si>
    <t>CZ11</t>
  </si>
  <si>
    <t>CZ12</t>
  </si>
  <si>
    <t>CZ13</t>
  </si>
  <si>
    <t>CZ14</t>
  </si>
  <si>
    <t>CZ15</t>
  </si>
  <si>
    <t>CZ16</t>
  </si>
  <si>
    <t xml:space="preserve">External Wall </t>
  </si>
  <si>
    <t>ExtWall_MetalFramed_NonRes</t>
  </si>
  <si>
    <t>Metal framed wall: 
Metal frame + insulation + Gypsum board</t>
  </si>
  <si>
    <t>U-value IP</t>
  </si>
  <si>
    <t>Pre 1978</t>
  </si>
  <si>
    <t>N/A</t>
  </si>
  <si>
    <t>Using DOE pre-1980 U-value of 0.227 and a 9.2% cumulative wall renovation rate through 2028, based on the average annual rate from CBECS 2003 and 2012 projected over 48 years.</t>
  </si>
  <si>
    <t>1978-1997</t>
  </si>
  <si>
    <t>TABLE NO. 1-I</t>
  </si>
  <si>
    <t>1998-2007</t>
  </si>
  <si>
    <t>Table 1-H metal frame</t>
  </si>
  <si>
    <t>2008-2018</t>
  </si>
  <si>
    <t>Table 140.3-B metal-framed</t>
  </si>
  <si>
    <t>Existing</t>
  </si>
  <si>
    <t>Weighted average of all 4 vintages</t>
  </si>
  <si>
    <t>2019+</t>
  </si>
  <si>
    <t>Table 140.3-B (2025) Metal-framed walls</t>
  </si>
  <si>
    <t>Roof</t>
  </si>
  <si>
    <t>FlatRoof_WoodFramedAndOther_NonRes</t>
  </si>
  <si>
    <t>Metal deck roof
roof membrane+roof insulation+metal decking</t>
  </si>
  <si>
    <t>Considering 30 years for roof/insulation replacement</t>
  </si>
  <si>
    <t>Table 1-H</t>
  </si>
  <si>
    <t>Table 140.3-B</t>
  </si>
  <si>
    <t>Windows</t>
  </si>
  <si>
    <t>FixedWindow_NonRes</t>
  </si>
  <si>
    <t xml:space="preserve">Single pane </t>
  </si>
  <si>
    <t>ASHRAE Handbook of Fundamentals (Table 4-Ch15) for single pane &amp; T24, 2013  for double pane (33%-67%)*</t>
  </si>
  <si>
    <t>Double pane</t>
  </si>
  <si>
    <t>SHGC</t>
  </si>
  <si>
    <t>ASHRAE Handbook of Fundamentals (Table 10-Ch15) for single pane &amp; T24, 2013  for double pane (33%-67%)*</t>
  </si>
  <si>
    <t>Table 1-H — WWR ≤10% (prototype 6.86%), SHGC non-north.</t>
  </si>
  <si>
    <t>Skylight</t>
  </si>
  <si>
    <t>Plastic curb-mounted</t>
  </si>
  <si>
    <t>U-factor IP</t>
  </si>
  <si>
    <t>Table 1-I Translucent (1992 term for this plastic curb product). CalBEM skylight 1,825 ft² vs CEC 547 ft²; SRR ~0.4–1.4% (0–2% bin).</t>
  </si>
  <si>
    <t>Table 1-H plastic w/curb U-factor (U does not vary by SRR).</t>
  </si>
  <si>
    <t>Table 1-I Translucent SHGC (1992 term; same plastic curb product).</t>
  </si>
  <si>
    <t>Table 1-H plastic w/curb, SRR 0–2% (High ~0.4% CEC / ~1.4% CalBEM). Not 2.1–5%.</t>
  </si>
  <si>
    <t>Table 140.3-B plastic curb SHGC = NR; used 2001 Table 1-H 0–2% SRR.</t>
  </si>
  <si>
    <t>Table 140.3-B (2025) plastic curb SHGC = NR; same 2001 0–2% SRR values.</t>
  </si>
  <si>
    <t>Floor: SlabOnGrade_Unheated_NonRes is a 4 in. concrete slab-on-grade with no insulation. It is the same for every vintage (F-factor 0.73), so it is documented here instead of as a table row.</t>
  </si>
  <si>
    <t>Infiltration</t>
  </si>
  <si>
    <t>Zones</t>
  </si>
  <si>
    <t>I_75
6-Sided Infiltration rate 
@ 75 pa</t>
  </si>
  <si>
    <t>Note</t>
  </si>
  <si>
    <t xml:space="preserve"> I-design (cfm/ft²) 
(4-sided Infiltration rate at normal pressure) 
(Design flow rate approach and Flow/Exterior Wall Area calculation method) </t>
  </si>
  <si>
    <t>2022 CASE report (Table 38)</t>
  </si>
  <si>
    <t>Floor or roof area (ft2)</t>
  </si>
  <si>
    <t>Walls area (ft2)</t>
  </si>
  <si>
    <t>Building 4 sided area (ft2)=</t>
  </si>
  <si>
    <t>2022 CASE report (Table 38) &amp;
T24, 2008-2016 (Table 140.3-B)--Air barrier is required in CZ 10-16</t>
  </si>
  <si>
    <t>Building 6 sided area (ft2)=</t>
  </si>
  <si>
    <t>Same as Pre 2008 because of their higher weights</t>
  </si>
  <si>
    <t>2022 CASE report (Table 38) &amp;  
T24, 2025 (Table 140.3-B)--Air barrier is required in all CZs</t>
  </si>
  <si>
    <t>6 sided /4 sided factor=</t>
  </si>
  <si>
    <t>Source:  T24 air barrier requirements (all editions) and the standardized infiltration rate reported in the 2022 CASE report and Dodge 2023 data</t>
  </si>
  <si>
    <t xml:space="preserve">Air Leakage Memo: </t>
  </si>
  <si>
    <t>Infiltration_rate_report_14May2025-Short-Version.docx</t>
  </si>
  <si>
    <t>Pre-1978 exterior wall U value calculation:</t>
  </si>
  <si>
    <t>Metal framed wall:
Metal frame + insulation + Gypsum board</t>
  </si>
  <si>
    <t>ASHRAE 90.1-2022 Table A3.3.3.1 (metal-framed), 3.5 in., R-0</t>
  </si>
  <si>
    <t>T24 2008 (U value): Metal framed wall Nonres</t>
  </si>
  <si>
    <t>DOE pre 1980 prototype LA (U value)</t>
  </si>
  <si>
    <t xml:space="preserve">Renovation rate since 1980  (yearly renovation rate was calculated from CBECS 2003 and 2012 and then projected over 48 years) </t>
  </si>
  <si>
    <t>All Space Types except MPR/refrigerated storage</t>
  </si>
  <si>
    <t>Gas Furnace</t>
  </si>
  <si>
    <t>PSZAC (DX cooling)</t>
  </si>
  <si>
    <t>CAV</t>
  </si>
  <si>
    <t>OA mixing. Air-side economizer: not modeled (see Economizer / ERV).</t>
  </si>
  <si>
    <t>Engineering Judgement</t>
  </si>
  <si>
    <t>System 3a</t>
  </si>
  <si>
    <t>Admin/MPR Multipurpose Room / Cafeteria</t>
  </si>
  <si>
    <t>SZHP (DX heating)</t>
  </si>
  <si>
    <t>SZHP (DX cooling)</t>
  </si>
  <si>
    <t>SZVAV (single-zone VAV)</t>
  </si>
  <si>
    <t>VAV with no reheat and a variable-volume fan for the tall MPR/cafeteria volume. Theater and other Admin zones remain CAV.</t>
  </si>
  <si>
    <t>Admin/MPR_Storage - Refrigerated</t>
  </si>
  <si>
    <t>n/a (walk-in refrigeration)</t>
  </si>
  <si>
    <t>Walk-in cooler (not PSZ DX)</t>
  </si>
  <si>
    <t>n/a</t>
  </si>
  <si>
    <t>n/a — walk-in refrigeration, not an air-side HVAC OA system.</t>
  </si>
  <si>
    <t>Refrigeration system; 35°F product; equipment W/ft² on Equipment tab.</t>
  </si>
  <si>
    <t>New Construction</t>
  </si>
  <si>
    <t>All Space Types except MPR and refrigerated storage</t>
  </si>
  <si>
    <t>SZHP</t>
  </si>
  <si>
    <t>ACM 2025</t>
  </si>
  <si>
    <t>System 3b</t>
  </si>
  <si>
    <r>
      <rPr>
        <b/>
        <sz val="12"/>
        <color rgb="FFFFFFFF"/>
        <rFont val="Arial"/>
        <family val="2"/>
      </rPr>
      <t xml:space="preserve">Efficiency of HVAC system 
</t>
    </r>
    <r>
      <rPr>
        <sz val="10"/>
        <color rgb="FFFFFFFF"/>
        <rFont val="Arial"/>
        <family val="2"/>
      </rPr>
      <t xml:space="preserve"> (Efficiency is capacity-dependent. The following table provides a general estimate of system efficiency based on preliminary simulations in one climate zone, or assuming cooling load based on rule of thumb)</t>
    </r>
  </si>
  <si>
    <t>Upgrade/Installed year</t>
  </si>
  <si>
    <t>Heating DX</t>
  </si>
  <si>
    <t>Cooling DX</t>
  </si>
  <si>
    <t xml:space="preserve">Sources </t>
  </si>
  <si>
    <t xml:space="preserve">Thermal Efficiency of 80%
</t>
  </si>
  <si>
    <t xml:space="preserve"> EER 11.2 for &lt;65 kBtu/h
EER 10.3 for 65-135 kBtu/h
</t>
  </si>
  <si>
    <t>2005 Title 20 Appliance Efficiency Regulations, 2005 T24 Standards, Tables 112-A, 112-B</t>
  </si>
  <si>
    <t>EER 11.2 for &lt;65 kBtu/h
EER 11.2 for 65–135 kBtu/h</t>
  </si>
  <si>
    <t>2013 Title 20 Appliance Efficiency Regulations, 2013 T24 Tables 110.2</t>
  </si>
  <si>
    <t>2013 T24 Table 110.2-A (air-cooled packaged AC). Existing vintage is PSZAC + gas furnace, not HP.</t>
  </si>
  <si>
    <t>Heating @ 47°F:
&lt;65 kBtu/h (AHRI 210/240): federal minimum HSPF2 / 10 CFR 430
65–135 kBtu/h: COP 3.40 (10 CFR 431 / T24 Table 110.2-B)
Heating @ 17°F: COP 2.25 (Table 110.2-B)</t>
  </si>
  <si>
    <t>&lt;65 kBtu/h packaged HP (10 CFR 430.32): SEER2 13.4 (pair to HSPF2 6.7)
65–135 kBtu/h: EER 11.0 + federal min IEER (Table 110.2-B)
135–240 kBtu/h: EER 10.6 + federal min IEER (MPR bin)
≥240 kBtu/h: EER 9.5 + federal min IEER</t>
  </si>
  <si>
    <t>T24 2025 Table 110.2-B; 10 CFR 431.97 (COP @ 47°F); 10 CFR 430.32 (HSPF2/SEER2 &lt;65 kBtu/h); AHRI 340/360 (≥65) / AHRI 210/240 (&lt;65)</t>
  </si>
  <si>
    <t>* Et = Combustion efficiency</t>
  </si>
  <si>
    <t>* Et = Thermal efficiency</t>
  </si>
  <si>
    <t>Fan power</t>
  </si>
  <si>
    <t>Approach</t>
  </si>
  <si>
    <t>System</t>
  </si>
  <si>
    <t>Total Static Pressure (TSP)
(in w.c.)</t>
  </si>
  <si>
    <t>Fan Efficiency
[ACM 2025]</t>
  </si>
  <si>
    <t xml:space="preserve">Motor Efficiency </t>
  </si>
  <si>
    <t xml:space="preserve"> Fan Power Index 
(W/cfm)</t>
  </si>
  <si>
    <t>Data Source</t>
  </si>
  <si>
    <t>PNNL 90.1-2011, TSP</t>
  </si>
  <si>
    <t>CAV, PSZ classrooms/admin (except MPR/cafeteria), design airflow &lt; 7,437 cfm</t>
  </si>
  <si>
    <t>ASHRAE 90.1, 2004, Table 10.8 *</t>
  </si>
  <si>
    <t>Fan power formula: PNNL 20405, 2010, section 5.2.2.5
TSP and fan efficiency: PNNL 20405, 2010, Table 5.11, 90.1-04ac values
Motor and drive efficiency: ASHRAE 90.1, 2004, Table 10.8</t>
  </si>
  <si>
    <t>PNNL 20405, 2010, Table 5.11</t>
  </si>
  <si>
    <t>SZVAV, Admin/MPR Multipurpose Room / Cafeteria, VAV &gt; 4,648 cfm</t>
  </si>
  <si>
    <t>Brake horsepower (bhp) = (Supply cfm × TSP in w.c.) / (6356 × fan efficiency)</t>
  </si>
  <si>
    <t>Fan power (w/cfm) = (bhp ×  746) / ( supply cfm × motor efficiency )</t>
  </si>
  <si>
    <t>SZHP (System 3b), CAV classrooms/admin, ≤5,000 cfm</t>
  </si>
  <si>
    <t>TSP = fan power × motor efficiency × fan efficiency × 6356 / 746</t>
  </si>
  <si>
    <t>2025 ACM Table 12 **</t>
  </si>
  <si>
    <t>Fan power index: [ACM 2025, Table 13]
Motor efficiency: [ACM 2025, Table 12]</t>
  </si>
  <si>
    <t>SZVAVHP (System 7b), MPR/cafeteria, &gt;10,000 cfm</t>
  </si>
  <si>
    <t>*    According to PNNL 20405 section 5.2.2.5, the full-load efficiency of the motor serving the fan is taken from  ASHRAE 90.1, 2004, Table 10.8, based on motor nameplate and assuming enclosed motors operating at 1,800 rotations per minute (rpm)
      Motor nameplate size (bhp) = brake horsepower (bhp) × 1.1 ( using a 10% oversizing factor)</t>
  </si>
  <si>
    <t>**   The full‑load efficiency of the motor serving the fan is taken from ACM 2025 Table 12 based on the cfm of the fan.
     Brake horsepower  (bhp) = (Supply cfm from sizing run × fan power in W/cfm) / 746.
     Note: Packaged SZHP. Same index as Hotel Small System 3b ≤5,000 cfm.
     Note: Single-zone VAV heat pump, not System 6. ACM System 7b &gt;10,000 cfm = 0.676; &gt;5,000–10,000 cfm = 0.720. PNNL row was VAV &gt;4,648 cfm.</t>
  </si>
  <si>
    <t>Economizer / ERV</t>
  </si>
  <si>
    <t>Air-side economizer: not modeled. ERV: not modeled. T24 §140.4(e) would require an air economizer when cooling capacity ≥ 54,000 Btu/h (with listed exceptions); CBECC Standard Design uses FixedDryBulb on units that meet that threshold. This prototype does not include economizers.</t>
  </si>
  <si>
    <t>Setpoint</t>
  </si>
  <si>
    <t>Source</t>
  </si>
  <si>
    <t>School Heating Setpoint (F)</t>
  </si>
  <si>
    <t>T24 2022 - Appendix 5.4B</t>
  </si>
  <si>
    <t>School Heating Setback (F)</t>
  </si>
  <si>
    <t>School Cooling Setpoint (F)</t>
  </si>
  <si>
    <t>School Cooling Setback (F)</t>
  </si>
  <si>
    <t>Kitchen Heating Setpoint (F)</t>
  </si>
  <si>
    <t>T24 2022 - Appendix 5.4B (school kitchen occupied 70/75; not commercial restaurant 66–79)</t>
  </si>
  <si>
    <t>Kitchen Heating Setback (F)</t>
  </si>
  <si>
    <t>Kitchen Cooling Setpoint (F)</t>
  </si>
  <si>
    <t>Kitchen Cooling Setback (F)</t>
  </si>
  <si>
    <t>Restrooms Heating Setpoint (F)</t>
  </si>
  <si>
    <t>T24 2022 - Appendix 5.4B [School]. Restrooms use the school setpoints (70/75 °F occupied, 60/85 °F setback) on the school HVAC hours; same as the CEC 2028 SchoolHigh prototype 'Offices &amp; Other' setpoint schedules.</t>
  </si>
  <si>
    <t>Restrooms Heating Setback (F)</t>
  </si>
  <si>
    <t>Restrooms Cooling Setpoint (F)</t>
  </si>
  <si>
    <t>Restrooms Cooling Setback (F)</t>
  </si>
  <si>
    <t>Electrical/Mechanical (non-refrigerated) Heating Setpoint (F)</t>
  </si>
  <si>
    <t>Engineering Judgment (semi-conditioned storage / electrical-mechanical)</t>
  </si>
  <si>
    <t>Electrical/Mechanical (non-refrigerated) Heating Setback (F)</t>
  </si>
  <si>
    <t>Electrical/Mechanical (non-refrigerated) Cooling Setpoint (F)</t>
  </si>
  <si>
    <t>Electrical/Mechanical (non-refrigerated) Cooling Setback (F)</t>
  </si>
  <si>
    <t>Refrigerated storage setpoint (F)</t>
  </si>
  <si>
    <t>Engineering judgment, medium-temp cooler within T24 28–55°F</t>
  </si>
  <si>
    <t>Refrigerated storage setback (F)</t>
  </si>
  <si>
    <t>Floor Area (ft²)</t>
  </si>
  <si>
    <t>cfm/person [T24, 2025, Equation 120.1-F and Table 120.1-A]</t>
  </si>
  <si>
    <t>cfm/ft² [T24, 2025, Equation 120.1-F and Table 120.1-A]</t>
  </si>
  <si>
    <t>Required exhaust rate-CFM/ft²- [T24, 2025, Table 120.1-B – minimum exhaust rates]</t>
  </si>
  <si>
    <t>Total cfm driven by people</t>
  </si>
  <si>
    <t>Total cfm driven by area</t>
  </si>
  <si>
    <t>Total cfm driven by exhaust</t>
  </si>
  <si>
    <t>Total cfm</t>
  </si>
  <si>
    <t>Zone Multiplier [Zones tab]</t>
  </si>
  <si>
    <t>Floor Area × Multiplier (ft²)</t>
  </si>
  <si>
    <t>Number of People × Multiplier</t>
  </si>
  <si>
    <t>Total cfm × Multiplier</t>
  </si>
  <si>
    <t>Table 120.1-B commercial kitchen exhaust, 0.70 cfm/ft². This is the kitchen hood rate.</t>
  </si>
  <si>
    <t>Exhaust 0.50 cfm/ft² on every restroom, same as School K-8.</t>
  </si>
  <si>
    <t>Table 120.1-B educational science laboratories, 1.00 cfm/ft².</t>
  </si>
  <si>
    <t>Table 120.1-B woodwork shop/classrooms, 0.50 cfm/ft².</t>
  </si>
  <si>
    <t>Table 120.1-B locker rooms for athletic facilities, 0.50 cfm/ft².</t>
  </si>
  <si>
    <t>Kitchen exhaust hood (Type I)</t>
  </si>
  <si>
    <t>Kitchen hood exhaust, Table 120.1-B commercial kitchen 0.70 cfm/ft² (about 1,020 cfm). Matches the CEC 2028 SchoolHigh prototype kitchen zone exhaust fan (0.481 m³/s), run on the 'RestaurantExhaustHoodEqualOrLessThan5000cfm' schedule. Already counted in row 9 (K9 = exhaust-driven), so it is not added to the totals.</t>
  </si>
  <si>
    <t>All 42 thermal zones of the SchoolHigh model are listed. Zones that stand for several identical rooms carry a zone multiplier (column M, from the Zones tab), e.g. ADMIN/MPR_CORRIDOR_ZN ×17 and ADMIN/MPR_EMT_ZN ×5. Columns N–P give the multiplied whole-building totals.</t>
  </si>
  <si>
    <t>WH Type</t>
  </si>
  <si>
    <t>Efficiency</t>
  </si>
  <si>
    <t>Number of WH</t>
  </si>
  <si>
    <t>Tank Volume (gal)</t>
  </si>
  <si>
    <t>Tank Loss</t>
  </si>
  <si>
    <t xml:space="preserve">Existing  </t>
  </si>
  <si>
    <t>Gas</t>
  </si>
  <si>
    <t>See Existing gas storage CZ tables, Storage Volume (col G)</t>
  </si>
  <si>
    <t>See Existing gas storage CZ tables, Standby Loss (col H). Title 20 §1605.1 Table F-4: Q/800 + 110√V.</t>
  </si>
  <si>
    <t>Input = capacity / 0.80 thermal efficiency, next catalog gas input. Not the HPWH COPh path.</t>
  </si>
  <si>
    <t>Gas storage: CEUS 2022 shows school water heating is mainly natural gas (about 72% gas, about 26% electric; Figures 38–39). 5 plants, one per building: Admin/MPR, North Classroom, Lab Classroom, Shop Classroom, Sports (peaks in rows 53–57, each sized in the CZ tables). The CEC 2028 SchoolHigh prototype instead models 2 campus loops sized per T24 5.4A baseline fuel by space: a gas storage heater (about 82 gal, 102 kBtu/h) for classrooms, labs, shops, cafeteria, kitchen, theater and breakroom, and a small electric heater for offices, library, conference, lobby and EMT/IDF rooms. Plant count to be confirmed with Nasim.</t>
  </si>
  <si>
    <t>HPWH</t>
  </si>
  <si>
    <t>See New Construction HPWH CZ tables, Storage Volume (col G)</t>
  </si>
  <si>
    <t>See New Construction HPWH CZ tables. Tank UA is 4.37 Btu/h·°F (DEER), not Table F-4.</t>
  </si>
  <si>
    <t>Input = capacity / COPh 4.3.</t>
  </si>
  <si>
    <t>5 plants, one per building: Admin/MPR, North Classroom, Lab Classroom, Shop Classroom, Sports (peaks in rows 53–57, each sized in the CZ tables). The CEC 2028 SchoolHigh prototype instead models 2 campus loops sized per T24 5.4A baseline fuel by space: a gas storage heater (about 82 gal, 102 kBtu/h) for classrooms, labs, shops, cafeteria, kitchen, theater and breakroom, and a small electric heater for offices, library, conference, lobby and EMT/IDF rooms. Plant count to be confirmed with Nasim.</t>
  </si>
  <si>
    <t>Peak Hot Water Consumption</t>
  </si>
  <si>
    <t>Space Name</t>
  </si>
  <si>
    <t>Water heater plant (sizing tag) / [NC: HPWH; Existing: gas storage on the same 5 plants]</t>
  </si>
  <si>
    <t xml:space="preserve"> Total Area (ft²) </t>
  </si>
  <si>
    <t xml:space="preserve"> Number of People </t>
  </si>
  <si>
    <t xml:space="preserve"> Hot Water Usage Specification
(gal/hr per person) 
[T24, 2022, Appendix 5.4A , sheet: "2022 SpaceFuncData-Input"] </t>
  </si>
  <si>
    <t>Peak Hot Water Usage
(gal/hr)</t>
  </si>
  <si>
    <t xml:space="preserve"> Peak Hot Water Usage
(gal/min) </t>
  </si>
  <si>
    <t>Plant peak hot water (gal/hr)</t>
  </si>
  <si>
    <t>Water Heater Name</t>
  </si>
  <si>
    <t>WH type</t>
  </si>
  <si>
    <t>HPWH - Admin</t>
  </si>
  <si>
    <t>Minimum peak hot water usage is 75 gal/hr according to ACM 2025</t>
  </si>
  <si>
    <t>HPWH - North Classroom</t>
  </si>
  <si>
    <t>HPWH - Lab Classroom</t>
  </si>
  <si>
    <t>HPWH - Shop Classroom</t>
  </si>
  <si>
    <t>HPWH - Sports</t>
  </si>
  <si>
    <t>Design supply temperature (°F)</t>
  </si>
  <si>
    <t>Title 24 2022 Reference Appendices, Appendix 5.4B</t>
  </si>
  <si>
    <t>Design supply temperature used in CZ tables (°F)</t>
  </si>
  <si>
    <t>WH system factor</t>
  </si>
  <si>
    <t>2025 ACM §5.9.2 Rated Capacity</t>
  </si>
  <si>
    <t>Water mass conversion (lb/gal)</t>
  </si>
  <si>
    <t>Reheat multiplier</t>
  </si>
  <si>
    <t>2025 ACM §5.9.2 Storage Volume</t>
  </si>
  <si>
    <t>Commercial HPWH configuration</t>
  </si>
  <si>
    <t>Unitary storage HPWH (integrated)</t>
  </si>
  <si>
    <t>Distributed unitary storage HPWH, one plant per building (5 buildings). The CEC 2028 prototype models 2 campus loops instead; see note in H3.</t>
  </si>
  <si>
    <t>Selected commercial COPh</t>
  </si>
  <si>
    <t>ENERGY STAR Certified Commercial Water Heaters, integrated commercial 119-gal CHP family COPh = 4.3.</t>
  </si>
  <si>
    <t>ENERGY STAR minimum commercial COPh</t>
  </si>
  <si>
    <t>ENERGY STAR commercial electric heat pump water-heater criterion.</t>
  </si>
  <si>
    <t>Design COPh</t>
  </si>
  <si>
    <t>Use commercial COPh directly.</t>
  </si>
  <si>
    <t>Climate Zone Water Heater Sizing and Loss Coefficients — New Construction HPWH</t>
  </si>
  <si>
    <t>Water Heater name</t>
  </si>
  <si>
    <t>Climate Zone</t>
  </si>
  <si>
    <t>Minimum Monthly Mains Temp (°F)
[T24 2022 - Appendix 5.4B]</t>
  </si>
  <si>
    <t>Heat Output (Btu/hr)
[ACM, 2025, 5.9.2: Rated capacity section]</t>
  </si>
  <si>
    <t>WH Capacity (Btu/hr)
[ACM, 2025, 5.9.2: Rated capacity section]</t>
  </si>
  <si>
    <t>Required Electric Input (Btu/hr)
[WH Capacity ÷ commercial COPh]</t>
  </si>
  <si>
    <t>Storage Volume (gal)
[prototype unitary-storage sizing bin]</t>
  </si>
  <si>
    <t>Standby Loss (%/hr) / 
[= UA ÷ (0.0834 × Storage Volume); 
UA = DEER HPWH default 4.37 Btu/h·°F]</t>
  </si>
  <si>
    <t>Tank UA – Off/On-Cycle Loss Coefficient to Ambient (Btu/h·°F) / [DEER default for all HPWHs: 4.37; DEER Water Heater Calculator documentation v5.0 (2022), §1.7.2, citing NLR 64904]</t>
  </si>
  <si>
    <t>Source / Method Note</t>
  </si>
  <si>
    <t>CZ01</t>
  </si>
  <si>
    <t>%/hr</t>
  </si>
  <si>
    <t>Btu/h·°F</t>
  </si>
  <si>
    <t>Approach: distributed unitary storage HPWH. One plant per building (5 plants); see note in H3.
Efficiency: commercial COPh = 4.3 from ENERGY STAR certified integrated commercial HPWH. Electric input = WH Capacity / COPh.
Tank UA = 4.37 Btu/h·°F (DEER default for all HPWHs; DEER Water Heater Calculator documentation v5.0, §1.7.2).</t>
  </si>
  <si>
    <t>CZ02</t>
  </si>
  <si>
    <t>CZ03</t>
  </si>
  <si>
    <t>CZ04</t>
  </si>
  <si>
    <t>CZ05</t>
  </si>
  <si>
    <t>CZ06</t>
  </si>
  <si>
    <t>CZ07</t>
  </si>
  <si>
    <t>CZ08</t>
  </si>
  <si>
    <t>CZ09</t>
  </si>
  <si>
    <t>Same DEER HPWH UA method as the Admin plant table. Peak cell $C$54.</t>
  </si>
  <si>
    <t>Same DEER HPWH UA method as the Admin plant table. Peak cell $C$55.</t>
  </si>
  <si>
    <t>Same DEER HPWH UA method as the Admin plant table. Peak cell $C$56.</t>
  </si>
  <si>
    <t>Same DEER HPWH UA method as the Admin plant table. Peak cell $C$57.</t>
  </si>
  <si>
    <t>Market data — integrated HPWH</t>
  </si>
  <si>
    <t>Catalog tank (gal)</t>
  </si>
  <si>
    <t>Tank source</t>
  </si>
  <si>
    <t>Heating output (Btu/h)</t>
  </si>
  <si>
    <t>Output source</t>
  </si>
  <si>
    <t>ENERGY STAR</t>
  </si>
  <si>
    <t>ENERGY STAR integrated HPWH</t>
  </si>
  <si>
    <t>Existing gas storage and new-construction HPWH use the same ACM 2025 §5.9.2 heat output, capacity (x 0.60), and storage (peak x 0.40, 30 gal floor). They diverge after that. Gas input is capacity / 0.80 thermal efficiency, taken to the next catalog gas input rating, and standby loss is Title 20 §1605.1 Table F-4: Q/800 + 110√V (Btu/h). HPWH input is capacity / COPh 4.3, and tank UA is the DEER value 4.37 Btu/h·°F, not Table F-4.</t>
  </si>
  <si>
    <t>Market data — commercial gas storage water heaters (Existing)</t>
  </si>
  <si>
    <t>Catalog gas input (Btu/h)</t>
  </si>
  <si>
    <t>Input source</t>
  </si>
  <si>
    <t>Catalog gas tank (gal)</t>
  </si>
  <si>
    <t>Grainger</t>
  </si>
  <si>
    <t>Both</t>
  </si>
  <si>
    <t>Climate Zone Water Heater Sizing — Existing gas storage</t>
  </si>
  <si>
    <t>Required Energy Input (Btu/hr) / [Capacity / 0.80 thermal efficiency, next catalog gas input]</t>
  </si>
  <si>
    <t>Storage Volume (gal) / [ACM §5.9.2: MAX(30, peak × 0.40), next catalog gas tank]</t>
  </si>
  <si>
    <t>Standby Loss (Btu/hr) / [Title 20 §1605.1 Table F-4: Q/800 + 110√V]</t>
  </si>
  <si>
    <t>Off/On Cycle Loss Coefficient to Ambient Temp (Btu/h·°F) / [standby loss / 70 °F]</t>
  </si>
  <si>
    <t>Gas - Admin</t>
  </si>
  <si>
    <t>Btu/hr</t>
  </si>
  <si>
    <t>Same ACM §5.9.2 heat output and capacity as the HPWH plant. Input and standby loss follow the gas storage path (thermal efficiency 0.80; Title 20 Table F-4), as in the SchoolLarge scorecard.</t>
  </si>
  <si>
    <t>Gas - North Classroom</t>
  </si>
  <si>
    <t>Same ACM §5.9.2 heat output and capacity as the HPWH plant. Input and standby loss follow the electric resistance path.</t>
  </si>
  <si>
    <t>Gas - Lab Classroom</t>
  </si>
  <si>
    <t>Gas - Shop Classroom</t>
  </si>
  <si>
    <t>Gas - Sports</t>
  </si>
  <si>
    <t xml:space="preserve">New Construction </t>
  </si>
  <si>
    <t>Lighting density 
(W/ft²)</t>
  </si>
  <si>
    <t>Additional lighting power allowance (W/ft²) [Table 140.6-C footnoted allowance]</t>
  </si>
  <si>
    <t xml:space="preserve">LPD (W/ft²) </t>
  </si>
  <si>
    <t xml:space="preserve">T24, 2025, Table 140.6 C  (Area category method) </t>
  </si>
  <si>
    <t xml:space="preserve">T24, 2016, Table 140.6 C  (Area category method) </t>
  </si>
  <si>
    <t>Additional allowances are the full Table 140.6-C value for the footnoted lighting system (New Construction: T24 2025; Existing: T24 2016). The allowance only applies where that lighting system is installed. White board/chalk board allowances are per linear foot and are not included.</t>
  </si>
  <si>
    <t>Motion Controlled Luminaires (W)</t>
  </si>
  <si>
    <t>Non-motion Controlled Luminaires (W)</t>
  </si>
  <si>
    <t>Total (W)</t>
  </si>
  <si>
    <t>T24, 2022 &amp; 2025
2019 Outdoor Lighting CASE report 
 PNNL 90.1-2010 TSD</t>
  </si>
  <si>
    <t>Items (Assume LZ2)</t>
  </si>
  <si>
    <t>Assumptions
[2019 Outdoor Lighting CASE Report &amp; PNNL 90.1-2010 TS]</t>
  </si>
  <si>
    <t>Unit</t>
  </si>
  <si>
    <t>Lighting Power Allowance 
[T24, 2025, Table 140.7-A &amp; 140.7-B]</t>
  </si>
  <si>
    <t>Exterior Lighting Power (W)</t>
  </si>
  <si>
    <t>IWA (Initial Wattage Allowance)</t>
  </si>
  <si>
    <t>(W)</t>
  </si>
  <si>
    <t>Parking area</t>
  </si>
  <si>
    <t>400 ft² for every parking space
1 parking space per 360 ft² of gross building area</t>
  </si>
  <si>
    <t>(ft²)</t>
  </si>
  <si>
    <t>(W/ft²)</t>
  </si>
  <si>
    <t>Building Entrance</t>
  </si>
  <si>
    <t>Two required exits per building (5 buildings). Exterior classroom access</t>
  </si>
  <si>
    <t>(count)</t>
  </si>
  <si>
    <t>(W/ea)</t>
  </si>
  <si>
    <t>Hardscape Ornamental Light</t>
  </si>
  <si>
    <t>Hardscape ornamental: 0.1 ft² per 1 ft² GFA, then 25% of that area</t>
  </si>
  <si>
    <t>Building façade</t>
  </si>
  <si>
    <t>0.1 W per 1 ft² of facade area 
Façade Area = Perimeter × 0.25 × max ( height and 34) (34 ft is the max height that is lit) * 
The 0.25 factor assumes that only half of the perimeter walls are lit.
-Formula is developed based on the 2019 Outdoor Lighting CASE report</t>
  </si>
  <si>
    <t>Student pickup / drop-off (walkway)</t>
  </si>
  <si>
    <t>Allowance: walkway LPD on assumed 4,000 ft² loading loop (site program does not list a separate canopy). T24 2025 Table 140.7-B walkways.</t>
  </si>
  <si>
    <t>Non-motion-controlled Luminaires</t>
  </si>
  <si>
    <t>North Classroom</t>
  </si>
  <si>
    <t>Lab Classroom</t>
  </si>
  <si>
    <t>Shop Classroom</t>
  </si>
  <si>
    <t>MPR/Admin</t>
  </si>
  <si>
    <t>Gym / Courts / Locker</t>
  </si>
  <si>
    <t>Perimeter of each buildings (ft)</t>
  </si>
  <si>
    <t>Max Height that is lit for each buildings (ft)</t>
  </si>
  <si>
    <t>Each building footprint</t>
  </si>
  <si>
    <t>Floors</t>
  </si>
  <si>
    <t>Floor area of each building (ft²)</t>
  </si>
  <si>
    <t>Wall area of each building (ft²)</t>
  </si>
  <si>
    <t>Total Perimeter (ft)</t>
  </si>
  <si>
    <t>Total floor area (ft²)</t>
  </si>
  <si>
    <t>Plug load Power Density (W/ft²)</t>
  </si>
  <si>
    <t>Gas Power Density (Btu/hr-ft²)</t>
  </si>
  <si>
    <t>Refrigeration Power Density (W/ft²)</t>
  </si>
  <si>
    <t>T24 2022 / current NRMFACM Appendix 5.4A</t>
  </si>
  <si>
    <t>Plug 3.0 W/ft² — T24 2022 Appendix 5.4A. Gas 0 and refrigeration 0 per Appendix 5.4A.</t>
  </si>
  <si>
    <t>Plug 1.5 W/ft²; gas 17.54 Btu/h-ft²; refrigeration 1.12 W/ft² — all T24 2022 Appendix 5.4A (ACM 2025 table unchanged). Not from the Plug Loads and Schedules project.</t>
  </si>
  <si>
    <t>Plug load and schedules project with CEC, 2025</t>
  </si>
  <si>
    <t>Plug 0.7 W/ft² — Plug Loads and Schedules project with CEC, 2025 (Appendix 5.4A office ≤250 ft² is 1.5 W/ft²). Gas 0 and refrigeration 0 — Appendix 5.4A has no process gas or commercial refrigeration for this space.</t>
  </si>
  <si>
    <t>Elevator</t>
  </si>
  <si>
    <t>Class</t>
  </si>
  <si>
    <t>Number of
elevators
(ne)</t>
  </si>
  <si>
    <t>Cab Lighting
Power Limit
(W/ft2)</t>
  </si>
  <si>
    <t>Fan Power
Limit (W/CFM)</t>
  </si>
  <si>
    <t>Cab Ventilation Fan &amp; Lighting Shutoff</t>
  </si>
  <si>
    <t>Design
Motor Load (W)</t>
  </si>
  <si>
    <t>Fan Load
(W)</t>
  </si>
  <si>
    <t>Lighting Load
(W)</t>
  </si>
  <si>
    <t>Total
(W)</t>
  </si>
  <si>
    <t>F/G</t>
  </si>
  <si>
    <t>When stopped and unoccupied with doors closed for over 15 minutes, cab interior lighting and ventilation shall be de-energized until required for operation.</t>
  </si>
  <si>
    <t>Design load is calculated according to ISO 25745-2 method using Class F/G. Cab lighting and fan requirements are based on ASHRAE 90.1 2013.</t>
  </si>
  <si>
    <t>E</t>
  </si>
  <si>
    <t>When the elevator cab is stopped and unoccupied with doors closed for over 15 minutes, the cab interior lighting and ventilation fans shall be switched off until elevator cab operation resumes.</t>
  </si>
  <si>
    <t>Design load is calculated according to ISO 25745-2 method using Class E. Cab lighting and fan requirements are based on T24 2025 §120.6 (f).</t>
  </si>
  <si>
    <t>Elevator count (C25:C26 = 2) is one elevator per two-story classroom building (North Classroom and Lab) from the CEC SchoolHigh layout. F24 is the cab lighting/ventilation shutoff requirement, not a count source.</t>
  </si>
  <si>
    <t>School High Elevator Calculations</t>
  </si>
  <si>
    <t>Symbol</t>
  </si>
  <si>
    <t>Definition</t>
  </si>
  <si>
    <t>Units</t>
  </si>
  <si>
    <t>Annual energy consumption of the elevator - Existing</t>
  </si>
  <si>
    <t>kWh/year</t>
  </si>
  <si>
    <t>Calculated</t>
  </si>
  <si>
    <t>Annual energy consumption of the elevator - New Construction</t>
  </si>
  <si>
    <t>C1</t>
  </si>
  <si>
    <t>Running-energy coefficient</t>
  </si>
  <si>
    <t>3.65 for Class E; 5.47 for Class F</t>
  </si>
  <si>
    <t>Coefficient</t>
  </si>
  <si>
    <t>ISO 25745-2 Table 7</t>
  </si>
  <si>
    <t>C2</t>
  </si>
  <si>
    <t>Idle/standby coefficient</t>
  </si>
  <si>
    <t>800 for Class E; 1,600 for Class F</t>
  </si>
  <si>
    <t>Q</t>
  </si>
  <si>
    <t>Rated load of elevator</t>
  </si>
  <si>
    <t>kg</t>
  </si>
  <si>
    <t>Assumed for all prototypes</t>
  </si>
  <si>
    <t>Elevator Size</t>
  </si>
  <si>
    <t>Cab floor area</t>
  </si>
  <si>
    <t>ft^2</t>
  </si>
  <si>
    <t>W=6.781 ft, L=4.406 ft; assumed based on representative manufacturer</t>
  </si>
  <si>
    <t>CFM</t>
  </si>
  <si>
    <t>Cab fan airflow</t>
  </si>
  <si>
    <t>cfm</t>
  </si>
  <si>
    <t>Assumed for multifamily and commercial prototypes</t>
  </si>
  <si>
    <t>cat</t>
  </si>
  <si>
    <t>Usage category</t>
  </si>
  <si>
    <t>-</t>
  </si>
  <si>
    <t>ISO 25745-2 Table A.1</t>
  </si>
  <si>
    <t>d</t>
  </si>
  <si>
    <t>Operating days per year</t>
  </si>
  <si>
    <t>days/year</t>
  </si>
  <si>
    <t>nf</t>
  </si>
  <si>
    <t>Number of floors</t>
  </si>
  <si>
    <t>floors</t>
  </si>
  <si>
    <t>Prototype assumptions</t>
  </si>
  <si>
    <t>h</t>
  </si>
  <si>
    <t>Floor-to-floor height</t>
  </si>
  <si>
    <t>m</t>
  </si>
  <si>
    <t>v</t>
  </si>
  <si>
    <t>Elevator lift speed</t>
  </si>
  <si>
    <t>m/s</t>
  </si>
  <si>
    <t>nd</t>
  </si>
  <si>
    <t>Number of trips per day</t>
  </si>
  <si>
    <t>trips/day</t>
  </si>
  <si>
    <t>S_pct</t>
  </si>
  <si>
    <t>Percent of average travel distance</t>
  </si>
  <si>
    <t>%</t>
  </si>
  <si>
    <t>ISO 25745-2 Table 2</t>
  </si>
  <si>
    <t>a</t>
  </si>
  <si>
    <t>Acceleration</t>
  </si>
  <si>
    <t>m/s^2</t>
  </si>
  <si>
    <t>Annex B of ISO 25745-2</t>
  </si>
  <si>
    <t>j</t>
  </si>
  <si>
    <t>Jerk</t>
  </si>
  <si>
    <t>m/s^3</t>
  </si>
  <si>
    <t>td</t>
  </si>
  <si>
    <t>Door time</t>
  </si>
  <si>
    <t>seconds</t>
  </si>
  <si>
    <t>S_av</t>
  </si>
  <si>
    <t>Average distance traveled per trip</t>
  </si>
  <si>
    <t>m/trip</t>
  </si>
  <si>
    <t>Calculated (nf * h * S_pct)</t>
  </si>
  <si>
    <t>t_av</t>
  </si>
  <si>
    <t>Average trip time</t>
  </si>
  <si>
    <t>seconds/trip</t>
  </si>
  <si>
    <t>Calculated (S_av/v + v/a + a/j + td)</t>
  </si>
  <si>
    <t>t_nr</t>
  </si>
  <si>
    <t>Time not running per day</t>
  </si>
  <si>
    <t>hours/day</t>
  </si>
  <si>
    <t>Calculated (24 - nd * t_av)</t>
  </si>
  <si>
    <t>Standby Hours</t>
  </si>
  <si>
    <t>Annual standby hours</t>
  </si>
  <si>
    <t>hours/year</t>
  </si>
  <si>
    <t>Calculated (24*(365-d)+t_nr*d)</t>
  </si>
  <si>
    <t>Total light level</t>
  </si>
  <si>
    <t>lm/ft2</t>
  </si>
  <si>
    <t>PNNL Prototypes</t>
  </si>
  <si>
    <t>EFLH</t>
  </si>
  <si>
    <t>Equivalent full load hours</t>
  </si>
  <si>
    <t>hours</t>
  </si>
  <si>
    <t>Calculated using the elevator schedule</t>
  </si>
  <si>
    <t>Schedules - SchoolHigh</t>
  </si>
  <si>
    <t>Zone</t>
  </si>
  <si>
    <t>Schedule</t>
  </si>
  <si>
    <t>Type</t>
  </si>
  <si>
    <t>Hour</t>
  </si>
  <si>
    <t>Classroom zones (Zones tab, Schedule Category = Classroom): classrooms, labs, shops, library, and their storage rooms and small offices</t>
  </si>
  <si>
    <t xml:space="preserve"> Classroom</t>
  </si>
  <si>
    <t>Occupancy</t>
  </si>
  <si>
    <t>CEC 2028 school schedules</t>
  </si>
  <si>
    <t>Unoccupied</t>
  </si>
  <si>
    <t>Mon-Thu</t>
  </si>
  <si>
    <t>Friday</t>
  </si>
  <si>
    <t>Summer School</t>
  </si>
  <si>
    <t>Lights</t>
  </si>
  <si>
    <t>ElecEquipment</t>
  </si>
  <si>
    <t>ServiceHotWater</t>
  </si>
  <si>
    <t>T24 2022 - Appendix 5.4B [School], aligned to the CEC 2028 day types. School days use the weekday profile; unoccupied days use the Sunday profile.</t>
  </si>
  <si>
    <t>GasEquipment</t>
  </si>
  <si>
    <t>Refrigeration</t>
  </si>
  <si>
    <t>HVACAvail</t>
  </si>
  <si>
    <t>HtgSetpt</t>
  </si>
  <si>
    <t>ClgSetpt</t>
  </si>
  <si>
    <t>Kitchen Zone</t>
  </si>
  <si>
    <t>CEC 2028 school schedules. Saturday, Sunday, and summer use the unoccupied profile.</t>
  </si>
  <si>
    <t>Weekday</t>
  </si>
  <si>
    <t>Saturday</t>
  </si>
  <si>
    <t>Sunday</t>
  </si>
  <si>
    <t>SummerUnoccupied</t>
  </si>
  <si>
    <t>OAControl</t>
  </si>
  <si>
    <t>MPR Zone</t>
  </si>
  <si>
    <t>Gym Zone</t>
  </si>
  <si>
    <t>Practice-WD-Winter</t>
  </si>
  <si>
    <t>Practice-WD-Fall&amp;Spring</t>
  </si>
  <si>
    <t>Game-WD-Winter</t>
  </si>
  <si>
    <t>Game-WD-Fall&amp;Spring</t>
  </si>
  <si>
    <t>All-WE-Winter</t>
  </si>
  <si>
    <t>All-WE-Fall&amp;Spring</t>
  </si>
  <si>
    <t>SummerCamp</t>
  </si>
  <si>
    <t>All-WE-Fall &amp; Spring</t>
  </si>
  <si>
    <t>T24 2022 - Appendix 5.4B [School] (0.9 constant, same for every gym day type)</t>
  </si>
  <si>
    <t>All WE-Winter</t>
  </si>
  <si>
    <t>All WE-Fall &amp; Spring</t>
  </si>
  <si>
    <t>Summer Camp</t>
  </si>
  <si>
    <t>Engineering judgment: follows the gym occupancy for each day type, 0.05 minimum while the gym is open and 0.03 when closed (T24 5.4B school base values). The CEC 2028 prototype has no gym service hot water load.</t>
  </si>
  <si>
    <t>All WE - Winter</t>
  </si>
  <si>
    <t>All WE - Fall &amp; Spring</t>
  </si>
  <si>
    <t>T24 2022 Appendix 5.4B [School]. Updated based on Plug load and schedules project with CEC, 2025 (no public link yet; ASHRAE paper submitted — update when published or when ACM 2028 is released).</t>
  </si>
  <si>
    <t>ExtLightingNonMotionCtrl</t>
  </si>
  <si>
    <t>ExtLightingMotionCtrl</t>
  </si>
  <si>
    <t>Auditorium</t>
  </si>
  <si>
    <t>PerformanceSpcPeopleActivityLevel</t>
  </si>
  <si>
    <t>Constant activity level from the CEC prototype schedule library (as used in the SCE K-8 model, SchoolK8.idf)</t>
  </si>
  <si>
    <t>GymPeopleActivityLevel</t>
  </si>
  <si>
    <t>CEC 2028 school schedules, activity level (W/person).</t>
  </si>
  <si>
    <t>Restroom, Corridor, Lobby, Mechanical RM, Lounge, Storage, Theater</t>
  </si>
  <si>
    <t>CommonAreaPeopleActivityLevel</t>
  </si>
  <si>
    <t>MeetingPeopleActivityLevel</t>
  </si>
  <si>
    <t>DiningArea</t>
  </si>
  <si>
    <t>DiningAreaPeopleActivityLevel</t>
  </si>
  <si>
    <t>Library, office, MultiMeetingRm</t>
  </si>
  <si>
    <t>FunctionalAreaPeopleActivityLevel</t>
  </si>
  <si>
    <t>RefStorage</t>
  </si>
  <si>
    <t>RefStoragePeopleActivityLevel</t>
  </si>
  <si>
    <t>Refrigerated storage (walk-in)</t>
  </si>
  <si>
    <t>Refrigerated storage zone</t>
  </si>
  <si>
    <t>T24 2025 §100.1 cooler: ≥28°F and &lt;55°F. Engineering judgment, medium-temp. Compressor available every hour</t>
  </si>
  <si>
    <t>Follows the Classroom Lights schedule (CEC 2028 school schedules).</t>
  </si>
  <si>
    <t>SummerSchool</t>
  </si>
  <si>
    <t>Follows the Classroom ElecEquipment schedule (CEC 2028 school schedules).</t>
  </si>
  <si>
    <t>Follows the Classroom refrigeration schedule. Those rows stay on the T24 2022 Appendix 5.4B profile (0.9).</t>
  </si>
  <si>
    <t>Mechanical room</t>
  </si>
  <si>
    <t>T24 2022 - Appendix 5.4B [School]</t>
  </si>
  <si>
    <t>Engineering judgment: 60/85 °F constant for electrical/mechanical rooms (see Thermostat tab rows 15–18)</t>
  </si>
  <si>
    <t>T24 2022 - Appendix 5.4B [School] (0.25 while the HVAC is on, 1.0 otherwise)</t>
  </si>
  <si>
    <t>Restroom</t>
  </si>
  <si>
    <t>T24 2022 - Appendix 5.4B [School] (restrooms use the school setpoints; see Thermostat tab)</t>
  </si>
  <si>
    <t>Annual calendar (day each date)</t>
  </si>
  <si>
    <t>Period</t>
  </si>
  <si>
    <t>Date</t>
  </si>
  <si>
    <t>Classrooms</t>
  </si>
  <si>
    <t>Admin/MPR_Storage-Refrigerated</t>
  </si>
  <si>
    <t xml:space="preserve">All the schedule </t>
  </si>
  <si>
    <t>HVACAvail, ClgSetpt, HtgSetpt</t>
  </si>
  <si>
    <t>Lights, ElecEquipment, Refrigeration</t>
  </si>
  <si>
    <t>Winter break</t>
  </si>
  <si>
    <t>Jan 1 – Jan 3</t>
  </si>
  <si>
    <t>ClassroomsUnoccupied for all the days</t>
  </si>
  <si>
    <t>AncillarySunday for all the days</t>
  </si>
  <si>
    <t>AncillaryRestroomSunday for all the days</t>
  </si>
  <si>
    <t>KitchenSunday for all the days</t>
  </si>
  <si>
    <t>MPRSunday for all the days</t>
  </si>
  <si>
    <t>GymUnoccupied for all the days</t>
  </si>
  <si>
    <t>Admin/MPR_Storage-RefrigeratedWeekday for Weekday
Admin/MPR_Storage-RefrigeratedSaturday for Saturday
Admin/MPR_Storage-RefrigeratedSunday for Sunday</t>
  </si>
  <si>
    <t>Admin/MPR_Storage-RefrigeratedMon-Thu for Monday through Thursday
Admin/MPR_Storage-RefrigeratedFriday for Friday
Admin/MPR_Storage-RefrigeratedUnoccupied for Saturday and Sunday</t>
  </si>
  <si>
    <t>School term (gym winter season)</t>
  </si>
  <si>
    <t>Jan 4 – Feb 28</t>
  </si>
  <si>
    <t>ClassroomMon-Thu for Monday through Thursday,
ClassroomFriday for Friday,  ClassroomUnoccupied for Saturday and Sunday</t>
  </si>
  <si>
    <t>AncillaryWeekday for Monday through Friday 
AcillarySaturdday for Saturday 
AcillarySunday for Sunday</t>
  </si>
  <si>
    <t>AncillaryRestroomWeekday for Monday through Friday 
AcillaryRestroomSaturdday for Saturday 
AcillaryRestroomSunday for Sunday</t>
  </si>
  <si>
    <t>KitchenWeekday for Monday through Friday
KitchenSummerUnoccupied for Saturday and Sunday</t>
  </si>
  <si>
    <t>MPRWeekday for Monday through Friday
MPRSummerUnoccupied for Saturday and Sunday</t>
  </si>
  <si>
    <t>GYMPractice WD-Winter for Monday
GymGame-WD-Winter for Tuesday through Friday, 
GymAll-WE-Winter for Saturday and Sunday</t>
  </si>
  <si>
    <t>School term (gym fall &amp; spring season)</t>
  </si>
  <si>
    <t>Mar 1 – Apr 4</t>
  </si>
  <si>
    <t>GYMPractice WD-fall&amp;Spring for Monday through Wednesday 
GymGame-WD-Fall&amp;Spring for Thursday through Friday, 
GymAll-WE-Fall&amp;Spring for Saturday and Sunday</t>
  </si>
  <si>
    <t>Spring break</t>
  </si>
  <si>
    <t>Apr 5 – Apr 11</t>
  </si>
  <si>
    <t>Apr 12 – May 30</t>
  </si>
  <si>
    <t>School term (gym closed)</t>
  </si>
  <si>
    <t>May 31 – Jun 6</t>
  </si>
  <si>
    <t>Summer</t>
  </si>
  <si>
    <t>Jun 7 – Jun 20</t>
  </si>
  <si>
    <t>ClassroomUnoccupied for all the days</t>
  </si>
  <si>
    <t xml:space="preserve">AncillaryRestroomSunday for all the days </t>
  </si>
  <si>
    <t>KitchenSummerUnoccupied for all the days</t>
  </si>
  <si>
    <t>MPRSummerUnoccupied for all the days</t>
  </si>
  <si>
    <t>GymSummerCamp for Monday through Friday
GymUnoccupied for Saturday and Sunday</t>
  </si>
  <si>
    <t>Admin/MPR_Storage-RefrigeratedSummerSchool</t>
  </si>
  <si>
    <t>Jun 21-Jun 27</t>
  </si>
  <si>
    <t>ClassroomSummerSchool for all the days</t>
  </si>
  <si>
    <t>AncillarySummerSchool  for all the days</t>
  </si>
  <si>
    <t>AncillaryRestroomSummerSchool for all the days</t>
  </si>
  <si>
    <t>Jun 28-Jul 4</t>
  </si>
  <si>
    <t>Jul 5- Jul 11</t>
  </si>
  <si>
    <t>Jul 12- Jul 18</t>
  </si>
  <si>
    <t>Jul 19-Jul 25</t>
  </si>
  <si>
    <t>AncillarySummerSchool for all the days</t>
  </si>
  <si>
    <t>Jul 26-Aug 8</t>
  </si>
  <si>
    <t>ClassroomUnoccupied  for all the days</t>
  </si>
  <si>
    <t>Aug 9 – Aug 15</t>
  </si>
  <si>
    <t>Aug 16 – Nov 14</t>
  </si>
  <si>
    <t>Nov 15 – Nov 21</t>
  </si>
  <si>
    <t>Thanksgiving break</t>
  </si>
  <si>
    <t>Nov 22 – Nov 28</t>
  </si>
  <si>
    <t>Nov 29 – Dec 19</t>
  </si>
  <si>
    <t>Dec 20 – Dec 31</t>
  </si>
  <si>
    <t>CZ</t>
  </si>
  <si>
    <t>CalBEM Electricity EUI (KBTU/ft²)</t>
  </si>
  <si>
    <t>CalBEM Gas EUI (KBTU/ft²)</t>
  </si>
  <si>
    <t>CalBEM Total  EUI (KBTU/ft²)</t>
  </si>
  <si>
    <t>New Construction  Electricity EUI (KBTU/ft²)</t>
  </si>
  <si>
    <t>New Construction  Gas EUI (KBTU/ft²)</t>
  </si>
  <si>
    <t>New Construction  Total EUI (KBTU/ft²)</t>
  </si>
  <si>
    <t>National Average</t>
  </si>
  <si>
    <t>Acceptable Range
 (25% Higher)</t>
  </si>
  <si>
    <t>Acceptable Range 
(25% Lower)</t>
  </si>
  <si>
    <t>National Average Acceptable EUI Range</t>
  </si>
  <si>
    <t>Total Floorspace (Thousand of ft²)</t>
  </si>
  <si>
    <t>CEUS 2023 Electricity EUI (kBtu/ft²)</t>
  </si>
  <si>
    <t>CEUS 2023 Gas EUI  (kBtu/ft²)</t>
  </si>
  <si>
    <t>CEUS 2023 Total EUI (kBtu/ft²)</t>
  </si>
  <si>
    <t>Acceptable Range (25% Higher)</t>
  </si>
  <si>
    <t>Acceptable Range (25% Lower)</t>
  </si>
  <si>
    <t xml:space="preserve">CEUS 2022 Acceptable EUI Range </t>
  </si>
  <si>
    <r>
      <rPr>
        <b/>
        <sz val="10"/>
        <color theme="1"/>
        <rFont val="Arial"/>
        <family val="2"/>
      </rPr>
      <t xml:space="preserve">Ref: </t>
    </r>
    <r>
      <rPr>
        <sz val="10"/>
        <color theme="1"/>
        <rFont val="Arial"/>
        <family val="2"/>
      </rPr>
      <t xml:space="preserve">CEUS 2022 Report </t>
    </r>
  </si>
  <si>
    <t xml:space="preserve">And by applying FZ-CZ multipliers for converting  FZ  data to  CZ  data </t>
  </si>
  <si>
    <t>TBD</t>
  </si>
  <si>
    <t>Space Function</t>
  </si>
  <si>
    <t>Electric Equipment Load Intensity</t>
  </si>
  <si>
    <t>LPD</t>
  </si>
  <si>
    <t>Aging Eye/Low-vision (Corridor Area)</t>
  </si>
  <si>
    <t>Aging Eye/Low-vision (Dining)</t>
  </si>
  <si>
    <t>Aging Eye/Low-vision (Lobby, Main Entry)</t>
  </si>
  <si>
    <t>Aging Eye/Low-vision (Lounge/Waiting Area)</t>
  </si>
  <si>
    <t>Aging Eye/Low-vision (Multipurpose Room)</t>
  </si>
  <si>
    <t>Aging Eye/Low-vision (Religious Worship Area)</t>
  </si>
  <si>
    <t>Aging Eye/Low-vision (Restroom)</t>
  </si>
  <si>
    <t>Aging Eye/Low-vision (Stairwell)</t>
  </si>
  <si>
    <t>Audience Seating Area</t>
  </si>
  <si>
    <t>Auditorium Area</t>
  </si>
  <si>
    <t>Auto Repair / Maintenance Area</t>
  </si>
  <si>
    <t>Barber, Beauty Salon, Spa Area</t>
  </si>
  <si>
    <t>Civic Meeting Place Area</t>
  </si>
  <si>
    <t>Concourse and Atria Area</t>
  </si>
  <si>
    <t>Copy Room</t>
  </si>
  <si>
    <t>Dining Area (Bar/Lounge and Fine Dining)</t>
  </si>
  <si>
    <t>Dining Area (Family and Leisure)</t>
  </si>
  <si>
    <t>Financial Transaction Area</t>
  </si>
  <si>
    <t>Healthcare Facility and Hospitals (Exam/Treatment Room)</t>
  </si>
  <si>
    <t>Healthcare Facility and Hospitals (Imaging Room)</t>
  </si>
  <si>
    <t>Healthcare Facility and Hospitals (Medical Supply Room)</t>
  </si>
  <si>
    <t>Healthcare Facility and Hospitals (Nursery)</t>
  </si>
  <si>
    <t>Healthcare Facility and Hospitals (Nurse's Station)</t>
  </si>
  <si>
    <t>Healthcare Facility and Hospitals (Operating Room)</t>
  </si>
  <si>
    <t>Healthcare Facility and Hospitals (Patient Room)</t>
  </si>
  <si>
    <t>Healthcare Facility and Hospitals (Physical Therapy Room)</t>
  </si>
  <si>
    <t>Healthcare Facility and Hospitals (Recovery Room)</t>
  </si>
  <si>
    <t>Hotel Function Area</t>
  </si>
  <si>
    <t>Kitchenette or Residential Kitchen</t>
  </si>
  <si>
    <t xml:space="preserve">Laundry Area </t>
  </si>
  <si>
    <t>Library (Stacks Area)</t>
  </si>
  <si>
    <t>Manufacturing, Commercial &amp; Industrial Work Area (Low Bay)</t>
  </si>
  <si>
    <t>Manufacturing, Commercial &amp; Industrial Work Area (High Bay)</t>
  </si>
  <si>
    <t>Manufacturing, Commercial &amp; Industrial Work Area (Precision)</t>
  </si>
  <si>
    <t>Museum Area (Exhibition/Display)</t>
  </si>
  <si>
    <t>Museum Area (Restoration Room)</t>
  </si>
  <si>
    <t>Office Area (&gt;250 square feet)</t>
  </si>
  <si>
    <t>Parking Garage Area (Parking Zone and Ramps)</t>
  </si>
  <si>
    <t>Parking Garage Area (Daylight Adaptation Zones)</t>
  </si>
  <si>
    <t>Pharmacy Area</t>
  </si>
  <si>
    <t>Retail Sales Area (Grocery Sales)</t>
  </si>
  <si>
    <t>Retail Sales Area (Retail Merchandise Sales)</t>
  </si>
  <si>
    <t>Retail Sales Area (Fitting Room)</t>
  </si>
  <si>
    <t>Religious Worship Area</t>
  </si>
  <si>
    <t>Stairwell</t>
  </si>
  <si>
    <t>Storage, Commercial/Industrial (Warehouse)</t>
  </si>
  <si>
    <t>Storage, Commercial/Industrial (Shipping &amp; Handling)</t>
  </si>
  <si>
    <t>Sports Arena - Playing Area (&gt; 5,000 Spectators)</t>
  </si>
  <si>
    <t>Sports Arena - Playing Area (2,000 - 5,000 Spectators)</t>
  </si>
  <si>
    <t>Sports Arena - Playing Area (&lt; 2,000 Spectators)</t>
  </si>
  <si>
    <t>Sports Arena - Playing Area (Recreational)</t>
  </si>
  <si>
    <t>Theater Area (Motion Picture)</t>
  </si>
  <si>
    <t>Transportation Function (Baggage Area)</t>
  </si>
  <si>
    <t>Transportation Function (Ticketing Area)</t>
  </si>
  <si>
    <t>Videoconferencing Studio</t>
  </si>
  <si>
    <t>High-Rise Residential Living Spaces</t>
  </si>
  <si>
    <t>Hotel/Motel Guest Room</t>
  </si>
  <si>
    <t>All other</t>
  </si>
  <si>
    <t>Attic</t>
  </si>
  <si>
    <t>Reception Area</t>
  </si>
  <si>
    <t>Plenum</t>
  </si>
  <si>
    <t>Computer Room</t>
  </si>
  <si>
    <t>Server Room</t>
  </si>
  <si>
    <t>Vintage Bin</t>
  </si>
  <si>
    <t>Pre-1978</t>
  </si>
  <si>
    <t>School</t>
  </si>
  <si>
    <t>Statewide</t>
  </si>
  <si>
    <t>Ref: CEUS 2022 dataset: School group</t>
  </si>
  <si>
    <t>Existing Porotypes:</t>
  </si>
  <si>
    <t>NORESCO, Updated September 2026</t>
  </si>
  <si>
    <t>Prototype basis: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</si>
</sst>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_(* \(#,##0.00\);_(* &quot;-&quot;??_);_(@_)"/>
    <numFmt numFmtId="164" formatCode="0.0%"/>
    <numFmt numFmtId="165" formatCode="0.0"/>
    <numFmt numFmtId="166" formatCode="#,##0.0"/>
    <numFmt numFmtId="167" formatCode="0.000"/>
    <numFmt numFmtId="168" formatCode="_(* #,##0_);_(* \(#,##0\);_(* &quot;-&quot;??_);_(@_)"/>
    <numFmt numFmtId="169" formatCode="#,##0;\-0;[Color15]0"/>
    <numFmt numFmtId="170" formatCode="_(* #,##0.0_);_(* \(#,##0.0\);_(* &quot;-&quot;??_);_(@_)"/>
    <numFmt numFmtId="171" formatCode="0.0000"/>
  </numFmts>
  <fonts count="64" x14ac:knownFonts="1">
    <font>
      <sz val="11"/>
      <color theme="1"/>
      <name val="Calibri"/>
      <family val="2"/>
      <scheme val="minor"/>
    </font>
    <font>
      <sz val="10"/>
      <name val="Arial"/>
      <family val="2"/>
    </font>
    <font>
      <sz val="11"/>
      <color theme="1"/>
      <name val="Calibri"/>
      <family val="2"/>
      <scheme val="minor"/>
    </font>
    <font>
      <sz val="8"/>
      <color indexed="8"/>
      <name val="MS Sans Serif"/>
      <family val="2"/>
    </font>
    <font>
      <sz val="8"/>
      <name val="Calibri"/>
      <family val="2"/>
      <scheme val="minor"/>
    </font>
    <font>
      <sz val="10"/>
      <color theme="1"/>
      <name val="Arial"/>
      <family val="2"/>
    </font>
    <font>
      <b/>
      <sz val="10"/>
      <color theme="1"/>
      <name val="Arial"/>
      <family val="2"/>
    </font>
    <font>
      <u/>
      <sz val="11"/>
      <color theme="10"/>
      <name val="Calibri"/>
      <family val="2"/>
      <scheme val="minor"/>
    </font>
    <font>
      <sz val="10"/>
      <color indexed="8"/>
      <name val="Arial"/>
      <family val="2"/>
    </font>
    <font>
      <sz val="11"/>
      <color theme="1"/>
      <name val="Arial"/>
      <family val="2"/>
    </font>
    <font>
      <b/>
      <sz val="12"/>
      <color theme="0"/>
      <name val="Arial"/>
      <family val="2"/>
    </font>
    <font>
      <sz val="11"/>
      <color rgb="FF000000"/>
      <name val="Calibri"/>
      <family val="2"/>
      <scheme val="minor"/>
    </font>
    <font>
      <b/>
      <sz val="14"/>
      <color theme="1"/>
      <name val="Arial"/>
      <family val="2"/>
    </font>
    <font>
      <u/>
      <sz val="10"/>
      <color theme="10"/>
      <name val="Arial"/>
      <family val="2"/>
    </font>
    <font>
      <sz val="10"/>
      <color rgb="FF000000"/>
      <name val="Calibri"/>
      <family val="2"/>
      <scheme val="minor"/>
    </font>
    <font>
      <sz val="10"/>
      <color theme="1"/>
      <name val="Calibri"/>
      <family val="2"/>
      <scheme val="minor"/>
    </font>
    <font>
      <sz val="11"/>
      <color rgb="FF0070C0"/>
      <name val="Arial"/>
      <family val="2"/>
    </font>
    <font>
      <b/>
      <sz val="10"/>
      <name val="Arial"/>
      <family val="2"/>
    </font>
    <font>
      <b/>
      <sz val="10"/>
      <color indexed="8"/>
      <name val="Arial"/>
      <family val="2"/>
    </font>
    <font>
      <sz val="10"/>
      <color rgb="FF000000"/>
      <name val="Arial"/>
      <family val="2"/>
    </font>
    <font>
      <sz val="10"/>
      <color rgb="FF000000"/>
      <name val="Arial"/>
      <family val="2"/>
    </font>
    <font>
      <sz val="9"/>
      <color theme="1"/>
      <name val="Arial"/>
      <family val="2"/>
    </font>
    <font>
      <sz val="10"/>
      <color rgb="FF000000"/>
      <name val="Arial"/>
      <family val="2"/>
    </font>
    <font>
      <b/>
      <sz val="10"/>
      <color rgb="FF000000"/>
      <name val="Arial"/>
      <family val="2"/>
    </font>
    <font>
      <b/>
      <sz val="9"/>
      <color theme="0"/>
      <name val="Arial"/>
      <family val="2"/>
    </font>
    <font>
      <sz val="11"/>
      <color theme="1"/>
      <name val="Arial"/>
      <family val="2"/>
    </font>
    <font>
      <b/>
      <sz val="10"/>
      <color rgb="FF002F8E"/>
      <name val="Arial"/>
      <family val="2"/>
    </font>
    <font>
      <sz val="10"/>
      <color theme="0"/>
      <name val="Arial"/>
      <family val="2"/>
    </font>
    <font>
      <b/>
      <sz val="12"/>
      <color rgb="FFFFFFFF"/>
      <name val="Arial"/>
      <family val="2"/>
    </font>
    <font>
      <u/>
      <sz val="10"/>
      <color rgb="FF0563C1"/>
      <name val="Arial"/>
      <family val="2"/>
    </font>
    <font>
      <sz val="11"/>
      <name val="Calibri"/>
      <family val="2"/>
      <scheme val="minor"/>
    </font>
    <font>
      <sz val="10"/>
      <color rgb="FFA6A6A6"/>
      <name val="Arial"/>
      <family val="2"/>
    </font>
    <font>
      <sz val="10"/>
      <color rgb="FF0070C0"/>
      <name val="Arial"/>
      <family val="2"/>
    </font>
    <font>
      <sz val="14"/>
      <color rgb="FF000000"/>
      <name val="Times New Roman"/>
      <family val="1"/>
    </font>
    <font>
      <b/>
      <sz val="9"/>
      <color theme="1"/>
      <name val="Arial"/>
      <family val="2"/>
    </font>
    <font>
      <sz val="9"/>
      <name val="Arial"/>
      <family val="2"/>
    </font>
    <font>
      <b/>
      <sz val="9"/>
      <name val="Arial"/>
      <family val="2"/>
    </font>
    <font>
      <sz val="9"/>
      <color theme="1"/>
      <name val="Calibri"/>
      <family val="2"/>
      <scheme val="minor"/>
    </font>
    <font>
      <b/>
      <sz val="11"/>
      <name val="Calibri"/>
      <family val="2"/>
    </font>
    <font>
      <sz val="11"/>
      <color rgb="FF000000"/>
      <name val="Calibri"/>
      <family val="2"/>
    </font>
    <font>
      <b/>
      <sz val="14"/>
      <color rgb="FFFFFFFF"/>
      <name val="Calibri"/>
      <family val="2"/>
    </font>
    <font>
      <b/>
      <sz val="11"/>
      <color rgb="FF000000"/>
      <name val="Calibri"/>
      <family val="2"/>
    </font>
    <font>
      <sz val="11"/>
      <color rgb="FF000000"/>
      <name val="Calibri"/>
      <family val="2"/>
      <scheme val="minor"/>
    </font>
    <font>
      <b/>
      <sz val="10"/>
      <color rgb="FF000000"/>
      <name val="Arial"/>
      <family val="2"/>
    </font>
    <font>
      <sz val="10"/>
      <color rgb="FFFFFFFF"/>
      <name val="Arial"/>
      <family val="2"/>
    </font>
    <font>
      <sz val="9"/>
      <color rgb="FF000000"/>
      <name val="Arial"/>
      <family val="2"/>
    </font>
    <font>
      <sz val="11"/>
      <color theme="1"/>
      <name val="Calibri"/>
      <family val="2"/>
    </font>
    <font>
      <u/>
      <sz val="10"/>
      <color rgb="FF000000"/>
      <name val="Arial"/>
      <family val="2"/>
    </font>
    <font>
      <u/>
      <sz val="11"/>
      <color rgb="FF000000"/>
      <name val="Calibri"/>
      <family val="2"/>
      <scheme val="minor"/>
    </font>
    <font>
      <sz val="11"/>
      <color rgb="FF000000"/>
      <name val="Arial"/>
      <family val="2"/>
    </font>
    <font>
      <sz val="11"/>
      <color rgb="FF0563C1"/>
      <name val="Calibri"/>
      <family val="2"/>
    </font>
    <font>
      <sz val="11"/>
      <color rgb="FF000000"/>
      <name val="Calibri"/>
      <family val="2"/>
    </font>
    <font>
      <sz val="11"/>
      <color rgb="FF0563C1"/>
      <name val="Calibri"/>
      <family val="2"/>
      <scheme val="minor"/>
    </font>
    <font>
      <sz val="10"/>
      <color rgb="FF000000"/>
      <name val="Arial"/>
      <family val="2"/>
    </font>
    <font>
      <sz val="10"/>
      <color theme="1"/>
      <name val="Arial"/>
      <family val="2"/>
    </font>
    <font>
      <sz val="11"/>
      <color rgb="FF000000"/>
      <name val="Aptos Narrow"/>
      <family val="2"/>
    </font>
    <font>
      <sz val="9"/>
      <color rgb="FF000000"/>
      <name val="Arial"/>
      <family val="2"/>
    </font>
    <font>
      <sz val="9"/>
      <color theme="1"/>
      <name val="Arial"/>
      <family val="2"/>
    </font>
    <font>
      <sz val="10"/>
      <color rgb="FF000000"/>
      <name val="Arial"/>
      <family val="2"/>
    </font>
    <font>
      <b/>
      <sz val="10"/>
      <color rgb="FF000000"/>
      <name val="Arial"/>
      <family val="2"/>
    </font>
    <font>
      <b/>
      <sz val="11"/>
      <color rgb="FFFFFFFF"/>
      <name val="Calibri"/>
      <family val="2"/>
    </font>
    <font>
      <b/>
      <sz val="12"/>
      <color rgb="FFFFFFFF"/>
      <name val="Calibri"/>
      <family val="2"/>
      <scheme val="minor"/>
    </font>
    <font>
      <b/>
      <sz val="10"/>
      <color rgb="FFFFFFFF"/>
      <name val="Arial"/>
      <family val="2"/>
    </font>
    <font>
      <b/>
      <sz val="14"/>
      <color rgb="FF0070C0"/>
      <name val="Calibri"/>
      <family val="2"/>
    </font>
  </fonts>
  <fills count="33">
    <fill>
      <patternFill patternType="none"/>
    </fill>
    <fill>
      <patternFill patternType="gray125"/>
    </fill>
    <fill>
      <patternFill patternType="solid">
        <fgColor rgb="FF92D050"/>
        <bgColor indexed="64"/>
      </patternFill>
    </fill>
    <fill>
      <patternFill patternType="solid">
        <fgColor theme="0"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4" tint="-0.499984740745262"/>
        <bgColor indexed="64"/>
      </patternFill>
    </fill>
    <fill>
      <patternFill patternType="solid">
        <fgColor rgb="FFD9E1F2"/>
        <bgColor rgb="FF000000"/>
      </patternFill>
    </fill>
    <fill>
      <patternFill patternType="solid">
        <fgColor theme="0" tint="-0.34998626667073579"/>
        <bgColor indexed="64"/>
      </patternFill>
    </fill>
    <fill>
      <patternFill patternType="solid">
        <fgColor rgb="FF203764"/>
        <bgColor rgb="FF000000"/>
      </patternFill>
    </fill>
    <fill>
      <patternFill patternType="solid">
        <fgColor rgb="FFF2F2F2"/>
        <bgColor rgb="FF000000"/>
      </patternFill>
    </fill>
    <fill>
      <patternFill patternType="solid">
        <fgColor rgb="FFD9D9D9"/>
        <bgColor rgb="FF000000"/>
      </patternFill>
    </fill>
    <fill>
      <patternFill patternType="solid">
        <fgColor rgb="FFBFBFBF"/>
        <bgColor rgb="FF000000"/>
      </patternFill>
    </fill>
    <fill>
      <patternFill patternType="solid">
        <fgColor rgb="FF244062"/>
      </patternFill>
    </fill>
    <fill>
      <patternFill patternType="solid">
        <fgColor rgb="FFD9E1F2"/>
      </patternFill>
    </fill>
    <fill>
      <patternFill patternType="solid">
        <fgColor theme="2" tint="-9.9978637043366805E-2"/>
        <bgColor indexed="64"/>
      </patternFill>
    </fill>
    <fill>
      <patternFill patternType="solid">
        <fgColor rgb="FF203864"/>
      </patternFill>
    </fill>
    <fill>
      <patternFill patternType="solid">
        <fgColor rgb="FFEAF1F8"/>
      </patternFill>
    </fill>
    <fill>
      <patternFill patternType="solid">
        <fgColor theme="8" tint="0.79998168889431442"/>
        <bgColor indexed="64"/>
      </patternFill>
    </fill>
    <fill>
      <patternFill patternType="solid">
        <fgColor rgb="FFF5F8FA"/>
        <bgColor indexed="64"/>
      </patternFill>
    </fill>
    <fill>
      <patternFill patternType="solid">
        <fgColor rgb="FFFFFFFF"/>
        <bgColor indexed="64"/>
      </patternFill>
    </fill>
    <fill>
      <patternFill patternType="solid">
        <fgColor rgb="FF203764"/>
        <bgColor indexed="64"/>
      </patternFill>
    </fill>
    <fill>
      <patternFill patternType="solid">
        <fgColor rgb="FFD9E1F2"/>
        <bgColor indexed="64"/>
      </patternFill>
    </fill>
    <fill>
      <patternFill patternType="solid">
        <fgColor rgb="FFFFFFFF"/>
        <bgColor rgb="FF000000"/>
      </patternFill>
    </fill>
    <fill>
      <patternFill patternType="solid">
        <fgColor rgb="FFC2BCBC"/>
        <bgColor indexed="64"/>
      </patternFill>
    </fill>
    <fill>
      <patternFill patternType="solid">
        <fgColor rgb="FFA6A6A6"/>
        <bgColor indexed="64"/>
      </patternFill>
    </fill>
    <fill>
      <patternFill patternType="solid">
        <fgColor rgb="FF8C8C8C"/>
        <bgColor indexed="64"/>
      </patternFill>
    </fill>
    <fill>
      <patternFill patternType="solid">
        <fgColor theme="6" tint="0.39997558519241921"/>
        <bgColor indexed="64"/>
      </patternFill>
    </fill>
    <fill>
      <patternFill patternType="solid">
        <fgColor theme="4" tint="0.59999389629810485"/>
        <bgColor indexed="64"/>
      </patternFill>
    </fill>
    <fill>
      <patternFill patternType="solid">
        <fgColor rgb="FF002060"/>
        <bgColor indexed="64"/>
      </patternFill>
    </fill>
  </fills>
  <borders count="208">
    <border>
      <left/>
      <right/>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medium">
        <color indexed="64"/>
      </bottom>
      <diagonal/>
    </border>
    <border>
      <left style="thin">
        <color theme="0" tint="-0.499984740745262"/>
      </left>
      <right style="thin">
        <color theme="0" tint="-0.499984740745262"/>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medium">
        <color indexed="64"/>
      </right>
      <top style="medium">
        <color indexed="64"/>
      </top>
      <bottom/>
      <diagonal/>
    </border>
    <border>
      <left style="thin">
        <color theme="0" tint="-0.499984740745262"/>
      </left>
      <right style="thin">
        <color rgb="FF808080"/>
      </right>
      <top style="thin">
        <color theme="0" tint="-0.499984740745262"/>
      </top>
      <bottom/>
      <diagonal/>
    </border>
    <border>
      <left style="thin">
        <color rgb="FF808080"/>
      </left>
      <right style="thin">
        <color rgb="FF808080"/>
      </right>
      <top style="thin">
        <color rgb="FF808080"/>
      </top>
      <bottom/>
      <diagonal/>
    </border>
    <border>
      <left style="thin">
        <color theme="0" tint="-0.499984740745262"/>
      </left>
      <right style="thin">
        <color rgb="FF808080"/>
      </right>
      <top/>
      <bottom/>
      <diagonal/>
    </border>
    <border>
      <left style="thin">
        <color rgb="FF808080"/>
      </left>
      <right style="thin">
        <color rgb="FF808080"/>
      </right>
      <top/>
      <bottom/>
      <diagonal/>
    </border>
    <border>
      <left style="thin">
        <color theme="0" tint="-0.499984740745262"/>
      </left>
      <right style="thin">
        <color rgb="FF808080"/>
      </right>
      <top/>
      <bottom style="thin">
        <color theme="0" tint="-0.499984740745262"/>
      </bottom>
      <diagonal/>
    </border>
    <border>
      <left style="thin">
        <color rgb="FF808080"/>
      </left>
      <right style="thin">
        <color rgb="FF808080"/>
      </right>
      <top/>
      <bottom style="thin">
        <color rgb="FF808080"/>
      </bottom>
      <diagonal/>
    </border>
    <border>
      <left style="thin">
        <color rgb="FF808080"/>
      </left>
      <right style="thin">
        <color rgb="FF808080"/>
      </right>
      <top style="thin">
        <color rgb="FF808080"/>
      </top>
      <bottom style="thin">
        <color rgb="FF808080"/>
      </bottom>
      <diagonal/>
    </border>
    <border>
      <left style="thin">
        <color rgb="FF595959"/>
      </left>
      <right style="thin">
        <color rgb="FF595959"/>
      </right>
      <top style="thin">
        <color indexed="64"/>
      </top>
      <bottom style="thin">
        <color rgb="FF595959"/>
      </bottom>
      <diagonal/>
    </border>
    <border>
      <left style="thin">
        <color indexed="64"/>
      </left>
      <right style="thin">
        <color theme="0" tint="-0.499984740745262"/>
      </right>
      <top style="thin">
        <color indexed="64"/>
      </top>
      <bottom style="thin">
        <color theme="0" tint="-0.499984740745262"/>
      </bottom>
      <diagonal/>
    </border>
    <border>
      <left style="thin">
        <color theme="0" tint="-0.499984740745262"/>
      </left>
      <right style="thin">
        <color theme="0" tint="-0.499984740745262"/>
      </right>
      <top style="thin">
        <color indexed="64"/>
      </top>
      <bottom style="thin">
        <color theme="0" tint="-0.499984740745262"/>
      </bottom>
      <diagonal/>
    </border>
    <border>
      <left style="thin">
        <color theme="0" tint="-0.499984740745262"/>
      </left>
      <right/>
      <top style="thin">
        <color indexed="64"/>
      </top>
      <bottom style="thin">
        <color theme="0" tint="-0.499984740745262"/>
      </bottom>
      <diagonal/>
    </border>
    <border>
      <left style="thin">
        <color theme="0" tint="-0.499984740745262"/>
      </left>
      <right style="thin">
        <color indexed="64"/>
      </right>
      <top style="thin">
        <color indexed="64"/>
      </top>
      <bottom style="thin">
        <color theme="0" tint="-0.499984740745262"/>
      </bottom>
      <diagonal/>
    </border>
    <border>
      <left style="thin">
        <color indexed="64"/>
      </left>
      <right style="thin">
        <color theme="0" tint="-0.499984740745262"/>
      </right>
      <top style="thin">
        <color theme="0" tint="-0.499984740745262"/>
      </top>
      <bottom style="thin">
        <color theme="0" tint="-0.499984740745262"/>
      </bottom>
      <diagonal/>
    </border>
    <border>
      <left style="thin">
        <color rgb="FF808080"/>
      </left>
      <right style="thin">
        <color indexed="64"/>
      </right>
      <top style="thin">
        <color theme="0" tint="-0.499984740745262"/>
      </top>
      <bottom/>
      <diagonal/>
    </border>
    <border>
      <left style="thin">
        <color rgb="FF808080"/>
      </left>
      <right style="thin">
        <color indexed="64"/>
      </right>
      <top/>
      <bottom/>
      <diagonal/>
    </border>
    <border>
      <left style="thin">
        <color rgb="FF808080"/>
      </left>
      <right style="thin">
        <color indexed="64"/>
      </right>
      <top/>
      <bottom style="thin">
        <color rgb="FF808080"/>
      </bottom>
      <diagonal/>
    </border>
    <border>
      <left style="thin">
        <color rgb="FF808080"/>
      </left>
      <right style="thin">
        <color indexed="64"/>
      </right>
      <top style="thin">
        <color rgb="FF808080"/>
      </top>
      <bottom style="thin">
        <color rgb="FF808080"/>
      </bottom>
      <diagonal/>
    </border>
    <border>
      <left style="thin">
        <color indexed="64"/>
      </left>
      <right style="thin">
        <color theme="0" tint="-0.499984740745262"/>
      </right>
      <top/>
      <bottom style="thin">
        <color indexed="64"/>
      </bottom>
      <diagonal/>
    </border>
    <border>
      <left style="thin">
        <color theme="0" tint="-0.499984740745262"/>
      </left>
      <right style="thin">
        <color theme="0" tint="-0.499984740745262"/>
      </right>
      <top style="thin">
        <color theme="0" tint="-0.499984740745262"/>
      </top>
      <bottom style="thin">
        <color indexed="64"/>
      </bottom>
      <diagonal/>
    </border>
    <border>
      <left style="thin">
        <color rgb="FF808080"/>
      </left>
      <right style="thin">
        <color rgb="FF808080"/>
      </right>
      <top style="thin">
        <color rgb="FF808080"/>
      </top>
      <bottom style="thin">
        <color indexed="64"/>
      </bottom>
      <diagonal/>
    </border>
    <border>
      <left style="thin">
        <color rgb="FF808080"/>
      </left>
      <right style="thin">
        <color indexed="64"/>
      </right>
      <top style="thin">
        <color rgb="FF808080"/>
      </top>
      <bottom style="thin">
        <color indexed="64"/>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theme="0" tint="-0.499984740745262"/>
      </left>
      <right style="thin">
        <color rgb="FF808080"/>
      </right>
      <top style="thin">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rgb="FF000000"/>
      </left>
      <right style="thin">
        <color rgb="FF000000"/>
      </right>
      <top style="thin">
        <color rgb="FF000000"/>
      </top>
      <bottom/>
      <diagonal/>
    </border>
    <border>
      <left style="thin">
        <color indexed="64"/>
      </left>
      <right/>
      <top style="thin">
        <color indexed="64"/>
      </top>
      <bottom style="thin">
        <color rgb="FF000000"/>
      </bottom>
      <diagonal/>
    </border>
    <border>
      <left/>
      <right style="thin">
        <color indexed="64"/>
      </right>
      <top style="thin">
        <color indexed="64"/>
      </top>
      <bottom style="thin">
        <color rgb="FF000000"/>
      </bottom>
      <diagonal/>
    </border>
    <border>
      <left style="thin">
        <color theme="1" tint="0.34998626667073579"/>
      </left>
      <right style="thin">
        <color theme="1" tint="0.34998626667073579"/>
      </right>
      <top style="medium">
        <color theme="1" tint="0.34998626667073579"/>
      </top>
      <bottom style="thin">
        <color theme="1" tint="0.34998626667073579"/>
      </bottom>
      <diagonal/>
    </border>
    <border>
      <left style="thin">
        <color theme="1" tint="0.34998626667073579"/>
      </left>
      <right style="medium">
        <color theme="1" tint="0.34998626667073579"/>
      </right>
      <top style="medium">
        <color theme="1" tint="0.34998626667073579"/>
      </top>
      <bottom style="thin">
        <color theme="1" tint="0.34998626667073579"/>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style="thin">
        <color theme="1" tint="0.34998626667073579"/>
      </left>
      <right style="medium">
        <color theme="1" tint="0.34998626667073579"/>
      </right>
      <top style="thin">
        <color theme="1" tint="0.34998626667073579"/>
      </top>
      <bottom style="thin">
        <color theme="1" tint="0.34998626667073579"/>
      </bottom>
      <diagonal/>
    </border>
    <border>
      <left style="thin">
        <color theme="1" tint="0.34998626667073579"/>
      </left>
      <right style="thin">
        <color theme="1" tint="0.34998626667073579"/>
      </right>
      <top style="thin">
        <color theme="1" tint="0.34998626667073579"/>
      </top>
      <bottom style="medium">
        <color theme="1" tint="0.34998626667073579"/>
      </bottom>
      <diagonal/>
    </border>
    <border>
      <left style="thin">
        <color theme="1" tint="0.34998626667073579"/>
      </left>
      <right style="medium">
        <color theme="1" tint="0.34998626667073579"/>
      </right>
      <top style="thin">
        <color theme="1" tint="0.34998626667073579"/>
      </top>
      <bottom style="medium">
        <color theme="1" tint="0.34998626667073579"/>
      </bottom>
      <diagonal/>
    </border>
    <border>
      <left/>
      <right style="thin">
        <color theme="1" tint="0.34998626667073579"/>
      </right>
      <top style="thin">
        <color theme="1" tint="0.34998626667073579"/>
      </top>
      <bottom style="medium">
        <color theme="1" tint="0.34998626667073579"/>
      </bottom>
      <diagonal/>
    </border>
    <border>
      <left style="thin">
        <color theme="1" tint="0.34998626667073579"/>
      </left>
      <right style="medium">
        <color indexed="64"/>
      </right>
      <top/>
      <bottom style="medium">
        <color theme="1" tint="0.34998626667073579"/>
      </bottom>
      <diagonal/>
    </border>
    <border>
      <left style="thin">
        <color theme="1" tint="0.34998626667073579"/>
      </left>
      <right style="thin">
        <color theme="1" tint="0.34998626667073579"/>
      </right>
      <top/>
      <bottom style="medium">
        <color theme="1" tint="0.34998626667073579"/>
      </bottom>
      <diagonal/>
    </border>
    <border>
      <left style="medium">
        <color theme="1" tint="0.34998626667073579"/>
      </left>
      <right style="thin">
        <color theme="1" tint="0.34998626667073579"/>
      </right>
      <top/>
      <bottom style="medium">
        <color theme="1" tint="0.34998626667073579"/>
      </bottom>
      <diagonal/>
    </border>
    <border>
      <left/>
      <right style="thin">
        <color theme="1" tint="0.34998626667073579"/>
      </right>
      <top style="thin">
        <color theme="1" tint="0.34998626667073579"/>
      </top>
      <bottom style="thin">
        <color theme="1" tint="0.34998626667073579"/>
      </bottom>
      <diagonal/>
    </border>
    <border>
      <left style="thin">
        <color theme="1" tint="0.34998626667073579"/>
      </left>
      <right style="medium">
        <color indexed="64"/>
      </right>
      <top/>
      <bottom/>
      <diagonal/>
    </border>
    <border>
      <left style="thin">
        <color theme="1" tint="0.34998626667073579"/>
      </left>
      <right style="thin">
        <color theme="1" tint="0.34998626667073579"/>
      </right>
      <top/>
      <bottom/>
      <diagonal/>
    </border>
    <border>
      <left style="medium">
        <color theme="1" tint="0.34998626667073579"/>
      </left>
      <right style="thin">
        <color theme="1" tint="0.34998626667073579"/>
      </right>
      <top/>
      <bottom/>
      <diagonal/>
    </border>
    <border>
      <left/>
      <right style="thin">
        <color theme="1" tint="0.34998626667073579"/>
      </right>
      <top style="medium">
        <color theme="1" tint="0.34998626667073579"/>
      </top>
      <bottom style="thin">
        <color theme="1" tint="0.34998626667073579"/>
      </bottom>
      <diagonal/>
    </border>
    <border>
      <left style="thin">
        <color theme="1" tint="0.34998626667073579"/>
      </left>
      <right style="medium">
        <color indexed="64"/>
      </right>
      <top style="medium">
        <color theme="1" tint="0.34998626667073579"/>
      </top>
      <bottom/>
      <diagonal/>
    </border>
    <border>
      <left style="thin">
        <color theme="1" tint="0.34998626667073579"/>
      </left>
      <right style="thin">
        <color theme="1" tint="0.34998626667073579"/>
      </right>
      <top style="medium">
        <color theme="1" tint="0.34998626667073579"/>
      </top>
      <bottom/>
      <diagonal/>
    </border>
    <border>
      <left style="medium">
        <color theme="1" tint="0.34998626667073579"/>
      </left>
      <right style="thin">
        <color theme="1" tint="0.34998626667073579"/>
      </right>
      <top style="medium">
        <color theme="1" tint="0.34998626667073579"/>
      </top>
      <bottom/>
      <diagonal/>
    </border>
    <border>
      <left style="medium">
        <color theme="1" tint="0.34998626667073579"/>
      </left>
      <right style="thin">
        <color theme="1" tint="0.34998626667073579"/>
      </right>
      <top style="thin">
        <color theme="1" tint="0.34998626667073579"/>
      </top>
      <bottom style="medium">
        <color theme="1" tint="0.34998626667073579"/>
      </bottom>
      <diagonal/>
    </border>
    <border>
      <left style="medium">
        <color theme="1" tint="0.34998626667073579"/>
      </left>
      <right style="thin">
        <color theme="1" tint="0.34998626667073579"/>
      </right>
      <top style="thin">
        <color theme="1" tint="0.34998626667073579"/>
      </top>
      <bottom style="thin">
        <color theme="1" tint="0.34998626667073579"/>
      </bottom>
      <diagonal/>
    </border>
    <border>
      <left style="medium">
        <color theme="1" tint="0.34998626667073579"/>
      </left>
      <right style="thin">
        <color theme="1" tint="0.34998626667073579"/>
      </right>
      <top style="medium">
        <color theme="1" tint="0.34998626667073579"/>
      </top>
      <bottom style="thin">
        <color theme="1" tint="0.34998626667073579"/>
      </bottom>
      <diagonal/>
    </border>
    <border>
      <left/>
      <right style="thin">
        <color theme="1" tint="0.34998626667073579"/>
      </right>
      <top/>
      <bottom/>
      <diagonal/>
    </border>
    <border>
      <left style="thin">
        <color indexed="64"/>
      </left>
      <right style="thin">
        <color indexed="64"/>
      </right>
      <top/>
      <bottom style="medium">
        <color indexed="64"/>
      </bottom>
      <diagonal/>
    </border>
    <border>
      <left style="thin">
        <color theme="1" tint="0.34998626667073579"/>
      </left>
      <right style="thin">
        <color theme="1" tint="0.34998626667073579"/>
      </right>
      <top style="medium">
        <color rgb="FF000000"/>
      </top>
      <bottom style="thin">
        <color theme="1" tint="0.34998626667073579"/>
      </bottom>
      <diagonal/>
    </border>
    <border>
      <left style="thin">
        <color theme="1" tint="0.34998626667073579"/>
      </left>
      <right style="medium">
        <color indexed="64"/>
      </right>
      <top style="medium">
        <color rgb="FF000000"/>
      </top>
      <bottom/>
      <diagonal/>
    </border>
    <border>
      <left/>
      <right style="thin">
        <color theme="1" tint="0.34998626667073579"/>
      </right>
      <top style="medium">
        <color rgb="FF000000"/>
      </top>
      <bottom style="thin">
        <color theme="1" tint="0.34998626667073579"/>
      </bottom>
      <diagonal/>
    </border>
    <border>
      <left style="thin">
        <color theme="1" tint="0.34998626667073579"/>
      </left>
      <right style="medium">
        <color rgb="FF000000"/>
      </right>
      <top style="medium">
        <color rgb="FF000000"/>
      </top>
      <bottom style="thin">
        <color theme="1" tint="0.34998626667073579"/>
      </bottom>
      <diagonal/>
    </border>
    <border>
      <left style="thin">
        <color theme="1" tint="0.34998626667073579"/>
      </left>
      <right style="medium">
        <color rgb="FF000000"/>
      </right>
      <top style="thin">
        <color theme="1" tint="0.34998626667073579"/>
      </top>
      <bottom style="thin">
        <color theme="1" tint="0.34998626667073579"/>
      </bottom>
      <diagonal/>
    </border>
    <border>
      <left style="thin">
        <color theme="1" tint="0.34998626667073579"/>
      </left>
      <right style="thin">
        <color theme="1" tint="0.34998626667073579"/>
      </right>
      <top style="thin">
        <color theme="1" tint="0.34998626667073579"/>
      </top>
      <bottom style="medium">
        <color rgb="FF000000"/>
      </bottom>
      <diagonal/>
    </border>
    <border>
      <left style="thin">
        <color theme="1" tint="0.34998626667073579"/>
      </left>
      <right style="thin">
        <color theme="1" tint="0.34998626667073579"/>
      </right>
      <top/>
      <bottom style="medium">
        <color rgb="FF000000"/>
      </bottom>
      <diagonal/>
    </border>
    <border>
      <left style="thin">
        <color theme="1" tint="0.34998626667073579"/>
      </left>
      <right style="medium">
        <color indexed="64"/>
      </right>
      <top/>
      <bottom style="medium">
        <color rgb="FF000000"/>
      </bottom>
      <diagonal/>
    </border>
    <border>
      <left/>
      <right style="thin">
        <color theme="1" tint="0.34998626667073579"/>
      </right>
      <top style="thin">
        <color theme="1" tint="0.34998626667073579"/>
      </top>
      <bottom style="medium">
        <color rgb="FF000000"/>
      </bottom>
      <diagonal/>
    </border>
    <border>
      <left style="thin">
        <color theme="1" tint="0.34998626667073579"/>
      </left>
      <right style="medium">
        <color rgb="FF000000"/>
      </right>
      <top style="thin">
        <color theme="1" tint="0.34998626667073579"/>
      </top>
      <bottom style="medium">
        <color rgb="FF000000"/>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bottom style="thin">
        <color indexed="64"/>
      </bottom>
      <diagonal/>
    </border>
    <border>
      <left style="thin">
        <color theme="1" tint="0.34998626667073579"/>
      </left>
      <right style="thin">
        <color theme="1" tint="0.34998626667073579"/>
      </right>
      <top style="medium">
        <color rgb="FF000000"/>
      </top>
      <bottom/>
      <diagonal/>
    </border>
    <border>
      <left style="medium">
        <color rgb="FF000000"/>
      </left>
      <right style="thin">
        <color theme="1" tint="0.34998626667073579"/>
      </right>
      <top style="medium">
        <color rgb="FF000000"/>
      </top>
      <bottom/>
      <diagonal/>
    </border>
    <border>
      <left style="medium">
        <color rgb="FF000000"/>
      </left>
      <right style="thin">
        <color theme="1" tint="0.34998626667073579"/>
      </right>
      <top/>
      <bottom/>
      <diagonal/>
    </border>
    <border>
      <left style="medium">
        <color rgb="FF000000"/>
      </left>
      <right style="thin">
        <color theme="1" tint="0.34998626667073579"/>
      </right>
      <top/>
      <bottom style="medium">
        <color rgb="FF000000"/>
      </bottom>
      <diagonal/>
    </border>
    <border>
      <left/>
      <right/>
      <top style="medium">
        <color indexed="64"/>
      </top>
      <bottom style="medium">
        <color rgb="FF000000"/>
      </bottom>
      <diagonal/>
    </border>
    <border>
      <left/>
      <right style="thin">
        <color theme="1" tint="0.34998626667073579"/>
      </right>
      <top style="medium">
        <color indexed="64"/>
      </top>
      <bottom style="medium">
        <color rgb="FF000000"/>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top style="thin">
        <color rgb="FF000000"/>
      </top>
      <bottom style="thin">
        <color rgb="FF000000"/>
      </bottom>
      <diagonal/>
    </border>
    <border>
      <left/>
      <right/>
      <top style="thin">
        <color rgb="FF000000"/>
      </top>
      <bottom/>
      <diagonal/>
    </border>
    <border>
      <left/>
      <right style="thin">
        <color theme="1" tint="0.34998626667073579"/>
      </right>
      <top/>
      <bottom style="thin">
        <color theme="1" tint="0.34998626667073579"/>
      </bottom>
      <diagonal/>
    </border>
    <border>
      <left style="thin">
        <color theme="1" tint="0.34998626667073579"/>
      </left>
      <right style="thin">
        <color theme="1" tint="0.34998626667073579"/>
      </right>
      <top/>
      <bottom style="thin">
        <color theme="1" tint="0.34998626667073579"/>
      </bottom>
      <diagonal/>
    </border>
    <border>
      <left style="thin">
        <color theme="1" tint="0.34998626667073579"/>
      </left>
      <right style="medium">
        <color theme="1" tint="0.34998626667073579"/>
      </right>
      <top/>
      <bottom style="thin">
        <color theme="1" tint="0.34998626667073579"/>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rgb="FF808080"/>
      </left>
      <right/>
      <top/>
      <bottom/>
      <diagonal/>
    </border>
    <border>
      <left style="thin">
        <color rgb="FF808080"/>
      </left>
      <right/>
      <top/>
      <bottom style="thin">
        <color rgb="FF808080"/>
      </bottom>
      <diagonal/>
    </border>
    <border>
      <left/>
      <right style="thin">
        <color indexed="64"/>
      </right>
      <top/>
      <bottom/>
      <diagonal/>
    </border>
    <border>
      <left style="thin">
        <color theme="1" tint="0.249977111117893"/>
      </left>
      <right style="thin">
        <color theme="1" tint="0.249977111117893"/>
      </right>
      <top style="thin">
        <color theme="1" tint="0.249977111117893"/>
      </top>
      <bottom style="thin">
        <color theme="1" tint="0.249977111117893"/>
      </bottom>
      <diagonal/>
    </border>
    <border>
      <left/>
      <right style="medium">
        <color indexed="64"/>
      </right>
      <top/>
      <bottom style="thin">
        <color indexed="64"/>
      </bottom>
      <diagonal/>
    </border>
    <border>
      <left style="thin">
        <color rgb="FF808080"/>
      </left>
      <right/>
      <top style="thin">
        <color rgb="FF808080"/>
      </top>
      <bottom/>
      <diagonal/>
    </border>
    <border>
      <left/>
      <right style="thin">
        <color indexed="64"/>
      </right>
      <top style="thin">
        <color rgb="FF808080"/>
      </top>
      <bottom/>
      <diagonal/>
    </border>
    <border>
      <left style="thin">
        <color theme="1" tint="0.34998626667073579"/>
      </left>
      <right style="thin">
        <color theme="1" tint="0.34998626667073579"/>
      </right>
      <top style="thin">
        <color theme="1" tint="0.34998626667073579"/>
      </top>
      <bottom/>
      <diagonal/>
    </border>
    <border>
      <left style="thin">
        <color rgb="FF000000"/>
      </left>
      <right/>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indexed="64"/>
      </bottom>
      <diagonal/>
    </border>
    <border>
      <left style="thin">
        <color rgb="FF000000"/>
      </left>
      <right/>
      <top style="thin">
        <color rgb="FF000000"/>
      </top>
      <bottom style="thin">
        <color indexed="64"/>
      </bottom>
      <diagonal/>
    </border>
    <border>
      <left style="thin">
        <color theme="1" tint="0.249977111117893"/>
      </left>
      <right style="thin">
        <color theme="1" tint="0.249977111117893"/>
      </right>
      <top style="thin">
        <color theme="1" tint="0.249977111117893"/>
      </top>
      <bottom/>
      <diagonal/>
    </border>
    <border>
      <left style="thin">
        <color theme="1" tint="0.249977111117893"/>
      </left>
      <right style="thin">
        <color theme="1" tint="0.249977111117893"/>
      </right>
      <top/>
      <bottom/>
      <diagonal/>
    </border>
    <border>
      <left style="thin">
        <color theme="1" tint="0.249977111117893"/>
      </left>
      <right style="thin">
        <color theme="1" tint="0.249977111117893"/>
      </right>
      <top/>
      <bottom style="thin">
        <color theme="1" tint="0.249977111117893"/>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diagonal/>
    </border>
    <border>
      <left style="thin">
        <color indexed="64"/>
      </left>
      <right style="thin">
        <color indexed="64"/>
      </right>
      <top style="thin">
        <color indexed="64"/>
      </top>
      <bottom style="medium">
        <color rgb="FF000000"/>
      </bottom>
      <diagonal/>
    </border>
    <border>
      <left style="thin">
        <color rgb="FF000000"/>
      </left>
      <right style="medium">
        <color rgb="FF000000"/>
      </right>
      <top style="thin">
        <color rgb="FF000000"/>
      </top>
      <bottom style="medium">
        <color rgb="FF000000"/>
      </bottom>
      <diagonal/>
    </border>
    <border>
      <left/>
      <right/>
      <top style="medium">
        <color indexed="64"/>
      </top>
      <bottom style="medium">
        <color indexed="64"/>
      </bottom>
      <diagonal/>
    </border>
    <border>
      <left style="medium">
        <color rgb="FF000000"/>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thin">
        <color indexed="64"/>
      </right>
      <top/>
      <bottom/>
      <diagonal/>
    </border>
    <border>
      <left style="thin">
        <color indexed="64"/>
      </left>
      <right style="medium">
        <color rgb="FF000000"/>
      </right>
      <top/>
      <bottom/>
      <diagonal/>
    </border>
    <border>
      <left style="thin">
        <color indexed="64"/>
      </left>
      <right style="medium">
        <color rgb="FF000000"/>
      </right>
      <top/>
      <bottom style="medium">
        <color rgb="FF000000"/>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medium">
        <color rgb="FF000000"/>
      </left>
      <right style="thin">
        <color indexed="64"/>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medium">
        <color rgb="FF000000"/>
      </left>
      <right style="thin">
        <color indexed="64"/>
      </right>
      <top style="thin">
        <color indexed="64"/>
      </top>
      <bottom/>
      <diagonal/>
    </border>
    <border>
      <left style="medium">
        <color rgb="FF000000"/>
      </left>
      <right style="thin">
        <color indexed="64"/>
      </right>
      <top/>
      <bottom style="thin">
        <color indexed="64"/>
      </bottom>
      <diagonal/>
    </border>
    <border>
      <left style="thin">
        <color indexed="64"/>
      </left>
      <right/>
      <top style="medium">
        <color rgb="FF000000"/>
      </top>
      <bottom style="thin">
        <color indexed="64"/>
      </bottom>
      <diagonal/>
    </border>
    <border>
      <left style="thin">
        <color indexed="64"/>
      </left>
      <right/>
      <top style="thin">
        <color indexed="64"/>
      </top>
      <bottom style="medium">
        <color rgb="FF000000"/>
      </bottom>
      <diagonal/>
    </border>
    <border>
      <left style="thin">
        <color rgb="FF000000"/>
      </left>
      <right style="thin">
        <color rgb="FF808080"/>
      </right>
      <top style="thin">
        <color rgb="FF000000"/>
      </top>
      <bottom/>
      <diagonal/>
    </border>
    <border>
      <left style="thin">
        <color rgb="FF808080"/>
      </left>
      <right style="thin">
        <color rgb="FF808080"/>
      </right>
      <top style="thin">
        <color rgb="FF000000"/>
      </top>
      <bottom/>
      <diagonal/>
    </border>
    <border>
      <left style="thin">
        <color rgb="FF808080"/>
      </left>
      <right style="thin">
        <color rgb="FF000000"/>
      </right>
      <top style="thin">
        <color rgb="FF000000"/>
      </top>
      <bottom/>
      <diagonal/>
    </border>
    <border>
      <left style="medium">
        <color rgb="FF000000"/>
      </left>
      <right/>
      <top style="medium">
        <color rgb="FF000000"/>
      </top>
      <bottom style="thin">
        <color theme="2" tint="-0.249977111117893"/>
      </bottom>
      <diagonal/>
    </border>
    <border>
      <left style="thin">
        <color rgb="FF808080"/>
      </left>
      <right style="thin">
        <color rgb="FF808080"/>
      </right>
      <top style="medium">
        <color rgb="FF000000"/>
      </top>
      <bottom style="thin">
        <color rgb="FF808080"/>
      </bottom>
      <diagonal/>
    </border>
    <border>
      <left style="thin">
        <color rgb="FF808080"/>
      </left>
      <right/>
      <top style="medium">
        <color rgb="FF000000"/>
      </top>
      <bottom style="thin">
        <color rgb="FF808080"/>
      </bottom>
      <diagonal/>
    </border>
    <border>
      <left style="thin">
        <color rgb="FF000000"/>
      </left>
      <right style="medium">
        <color rgb="FF000000"/>
      </right>
      <top style="medium">
        <color rgb="FF000000"/>
      </top>
      <bottom/>
      <diagonal/>
    </border>
    <border>
      <left style="medium">
        <color rgb="FF000000"/>
      </left>
      <right/>
      <top style="thin">
        <color theme="2" tint="-0.249977111117893"/>
      </top>
      <bottom style="thin">
        <color theme="2" tint="-0.249977111117893"/>
      </bottom>
      <diagonal/>
    </border>
    <border>
      <left style="thin">
        <color rgb="FF000000"/>
      </left>
      <right style="medium">
        <color rgb="FF000000"/>
      </right>
      <top/>
      <bottom/>
      <diagonal/>
    </border>
    <border>
      <left style="medium">
        <color rgb="FF000000"/>
      </left>
      <right/>
      <top style="thin">
        <color theme="2" tint="-0.249977111117893"/>
      </top>
      <bottom style="medium">
        <color rgb="FF000000"/>
      </bottom>
      <diagonal/>
    </border>
    <border>
      <left style="thin">
        <color rgb="FF808080"/>
      </left>
      <right style="thin">
        <color rgb="FF808080"/>
      </right>
      <top style="thin">
        <color rgb="FF808080"/>
      </top>
      <bottom style="medium">
        <color rgb="FF000000"/>
      </bottom>
      <diagonal/>
    </border>
    <border>
      <left style="thin">
        <color rgb="FF808080"/>
      </left>
      <right style="thin">
        <color rgb="FF808080"/>
      </right>
      <top/>
      <bottom style="medium">
        <color rgb="FF000000"/>
      </bottom>
      <diagonal/>
    </border>
    <border>
      <left style="thin">
        <color rgb="FF808080"/>
      </left>
      <right/>
      <top/>
      <bottom style="medium">
        <color rgb="FF000000"/>
      </bottom>
      <diagonal/>
    </border>
    <border>
      <left style="thin">
        <color rgb="FF000000"/>
      </left>
      <right style="medium">
        <color rgb="FF000000"/>
      </right>
      <top/>
      <bottom style="medium">
        <color rgb="FF000000"/>
      </bottom>
      <diagonal/>
    </border>
    <border>
      <left style="medium">
        <color rgb="FF000000"/>
      </left>
      <right/>
      <top style="thin">
        <color theme="2" tint="-0.249977111117893"/>
      </top>
      <bottom/>
      <diagonal/>
    </border>
    <border>
      <left style="thin">
        <color rgb="FF000000"/>
      </left>
      <right style="thin">
        <color indexed="64"/>
      </right>
      <top style="thin">
        <color rgb="FF000000"/>
      </top>
      <bottom style="thin">
        <color rgb="FF000000"/>
      </bottom>
      <diagonal/>
    </border>
    <border>
      <left/>
      <right/>
      <top style="medium">
        <color indexed="64"/>
      </top>
      <bottom style="thin">
        <color indexed="64"/>
      </bottom>
      <diagonal/>
    </border>
    <border>
      <left/>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595959"/>
      </left>
      <right style="thin">
        <color rgb="FF595959"/>
      </right>
      <top style="thin">
        <color rgb="FF595959"/>
      </top>
      <bottom/>
      <diagonal/>
    </border>
    <border>
      <left style="thin">
        <color rgb="FF595959"/>
      </left>
      <right/>
      <top style="thin">
        <color rgb="FF595959"/>
      </top>
      <bottom/>
      <diagonal/>
    </border>
    <border>
      <left style="thin">
        <color rgb="FF595959"/>
      </left>
      <right style="thin">
        <color rgb="FF595959"/>
      </right>
      <top style="thin">
        <color rgb="FF595959"/>
      </top>
      <bottom style="thin">
        <color rgb="FF595959"/>
      </bottom>
      <diagonal/>
    </border>
    <border>
      <left style="thin">
        <color rgb="FF595959"/>
      </left>
      <right style="thin">
        <color rgb="FF595959"/>
      </right>
      <top/>
      <bottom/>
      <diagonal/>
    </border>
    <border>
      <left style="thin">
        <color rgb="FF595959"/>
      </left>
      <right/>
      <top/>
      <bottom/>
      <diagonal/>
    </border>
    <border>
      <left style="thin">
        <color rgb="FF595959"/>
      </left>
      <right style="thin">
        <color rgb="FF595959"/>
      </right>
      <top/>
      <bottom style="thin">
        <color indexed="64"/>
      </bottom>
      <diagonal/>
    </border>
    <border>
      <left style="thin">
        <color rgb="FF595959"/>
      </left>
      <right/>
      <top/>
      <bottom style="thin">
        <color indexed="64"/>
      </bottom>
      <diagonal/>
    </border>
    <border>
      <left/>
      <right/>
      <top/>
      <bottom style="thin">
        <color rgb="FF000000"/>
      </bottom>
      <diagonal/>
    </border>
    <border>
      <left style="thin">
        <color rgb="FF808080"/>
      </left>
      <right style="thin">
        <color rgb="FF808080"/>
      </right>
      <top style="thin">
        <color indexed="64"/>
      </top>
      <bottom/>
      <diagonal/>
    </border>
    <border>
      <left style="thin">
        <color rgb="FF808080"/>
      </left>
      <right style="thin">
        <color rgb="FF808080"/>
      </right>
      <top/>
      <bottom style="thin">
        <color rgb="FF000000"/>
      </bottom>
      <diagonal/>
    </border>
    <border>
      <left/>
      <right style="thin">
        <color rgb="FF808080"/>
      </right>
      <top style="thin">
        <color rgb="FF808080"/>
      </top>
      <bottom style="thin">
        <color rgb="FF808080"/>
      </bottom>
      <diagonal/>
    </border>
    <border>
      <left/>
      <right style="thin">
        <color rgb="FF000000"/>
      </right>
      <top style="thin">
        <color rgb="FF000000"/>
      </top>
      <bottom style="thin">
        <color rgb="FF000000"/>
      </bottom>
      <diagonal/>
    </border>
    <border>
      <left/>
      <right/>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medium">
        <color indexed="64"/>
      </left>
      <right style="medium">
        <color indexed="64"/>
      </right>
      <top style="thin">
        <color indexed="64"/>
      </top>
      <bottom/>
      <diagonal/>
    </border>
    <border>
      <left style="medium">
        <color indexed="64"/>
      </left>
      <right style="medium">
        <color indexed="64"/>
      </right>
      <top style="medium">
        <color indexed="64"/>
      </top>
      <bottom style="thin">
        <color rgb="FF000000"/>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theme="1" tint="0.34998626667073579"/>
      </bottom>
      <diagonal/>
    </border>
    <border>
      <left style="medium">
        <color indexed="64"/>
      </left>
      <right style="medium">
        <color indexed="64"/>
      </right>
      <top style="thin">
        <color theme="1" tint="0.34998626667073579"/>
      </top>
      <bottom style="thin">
        <color theme="1" tint="0.34998626667073579"/>
      </bottom>
      <diagonal/>
    </border>
    <border>
      <left style="medium">
        <color indexed="64"/>
      </left>
      <right style="medium">
        <color indexed="64"/>
      </right>
      <top style="thin">
        <color theme="1" tint="0.34998626667073579"/>
      </top>
      <bottom style="medium">
        <color rgb="FF000000"/>
      </bottom>
      <diagonal/>
    </border>
    <border>
      <left style="medium">
        <color indexed="64"/>
      </left>
      <right style="medium">
        <color indexed="64"/>
      </right>
      <top style="medium">
        <color rgb="FF000000"/>
      </top>
      <bottom style="thin">
        <color theme="1" tint="0.34998626667073579"/>
      </bottom>
      <diagonal/>
    </border>
    <border>
      <left style="medium">
        <color indexed="64"/>
      </left>
      <right style="medium">
        <color indexed="64"/>
      </right>
      <top style="medium">
        <color theme="1" tint="0.34998626667073579"/>
      </top>
      <bottom style="thin">
        <color theme="1" tint="0.34998626667073579"/>
      </bottom>
      <diagonal/>
    </border>
    <border>
      <left style="medium">
        <color indexed="64"/>
      </left>
      <right style="medium">
        <color indexed="64"/>
      </right>
      <top style="thin">
        <color theme="1" tint="0.34998626667073579"/>
      </top>
      <bottom style="medium">
        <color theme="1" tint="0.34998626667073579"/>
      </bottom>
      <diagonal/>
    </border>
    <border>
      <left style="medium">
        <color indexed="64"/>
      </left>
      <right style="medium">
        <color indexed="64"/>
      </right>
      <top style="thin">
        <color theme="1" tint="0.34998626667073579"/>
      </top>
      <bottom style="medium">
        <color indexed="64"/>
      </bottom>
      <diagonal/>
    </border>
    <border>
      <left/>
      <right style="thin">
        <color theme="1" tint="0.34998626667073579"/>
      </right>
      <top style="medium">
        <color indexed="64"/>
      </top>
      <bottom/>
      <diagonal/>
    </border>
    <border>
      <left style="thin">
        <color indexed="64"/>
      </left>
      <right/>
      <top/>
      <bottom/>
      <diagonal/>
    </border>
  </borders>
  <cellStyleXfs count="16">
    <xf numFmtId="0" fontId="0" fillId="0" borderId="0"/>
    <xf numFmtId="0" fontId="1" fillId="0" borderId="0"/>
    <xf numFmtId="9" fontId="2" fillId="0" borderId="0" applyFont="0" applyFill="0" applyBorder="0" applyAlignment="0" applyProtection="0"/>
    <xf numFmtId="0" fontId="3" fillId="0" borderId="0" applyNumberFormat="0" applyFill="0" applyBorder="0" applyAlignment="0" applyProtection="0"/>
    <xf numFmtId="0" fontId="5" fillId="0" borderId="0"/>
    <xf numFmtId="0" fontId="7" fillId="0" borderId="0" applyNumberFormat="0" applyFill="0" applyBorder="0" applyAlignment="0" applyProtection="0"/>
    <xf numFmtId="43" fontId="2" fillId="0" borderId="0" applyFont="0" applyFill="0" applyBorder="0" applyAlignment="0" applyProtection="0"/>
    <xf numFmtId="0" fontId="2" fillId="0" borderId="0"/>
    <xf numFmtId="9" fontId="5" fillId="0" borderId="0" applyFont="0" applyFill="0" applyBorder="0" applyAlignment="0" applyProtection="0"/>
    <xf numFmtId="0" fontId="11" fillId="0" borderId="0"/>
    <xf numFmtId="0" fontId="13" fillId="0" borderId="0" applyNumberFormat="0" applyFill="0" applyBorder="0" applyAlignment="0" applyProtection="0"/>
    <xf numFmtId="0" fontId="5" fillId="0" borderId="0"/>
    <xf numFmtId="0" fontId="5" fillId="0" borderId="0"/>
    <xf numFmtId="0" fontId="46" fillId="0" borderId="0"/>
    <xf numFmtId="0" fontId="7" fillId="0" borderId="0"/>
    <xf numFmtId="43" fontId="2" fillId="0" borderId="0"/>
  </cellStyleXfs>
  <cellXfs count="925">
    <xf numFmtId="0" fontId="0" fillId="0" borderId="0" xfId="0"/>
    <xf numFmtId="0" fontId="7" fillId="0" borderId="0" xfId="5"/>
    <xf numFmtId="0" fontId="9" fillId="0" borderId="0" xfId="0" applyFont="1"/>
    <xf numFmtId="0" fontId="9" fillId="0" borderId="0" xfId="0" applyFont="1" applyAlignment="1">
      <alignment horizontal="center" vertical="center"/>
    </xf>
    <xf numFmtId="0" fontId="5" fillId="0" borderId="0" xfId="0" applyFont="1"/>
    <xf numFmtId="0" fontId="6" fillId="0" borderId="0" xfId="0" applyFont="1"/>
    <xf numFmtId="0" fontId="5"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vertical="center" wrapText="1"/>
    </xf>
    <xf numFmtId="0" fontId="13" fillId="0" borderId="0" xfId="5" applyFont="1"/>
    <xf numFmtId="0" fontId="5" fillId="0" borderId="0" xfId="0" applyFont="1" applyAlignment="1">
      <alignment wrapText="1"/>
    </xf>
    <xf numFmtId="0" fontId="12" fillId="0" borderId="0" xfId="0" applyFont="1" applyAlignment="1">
      <alignment vertical="center"/>
    </xf>
    <xf numFmtId="0" fontId="1" fillId="0" borderId="2" xfId="1" applyBorder="1" applyAlignment="1">
      <alignment horizontal="center" vertical="center" wrapText="1"/>
    </xf>
    <xf numFmtId="0" fontId="5" fillId="0" borderId="2" xfId="0" applyFont="1" applyBorder="1" applyAlignment="1">
      <alignment vertical="center"/>
    </xf>
    <xf numFmtId="3" fontId="5" fillId="0" borderId="2" xfId="7" applyNumberFormat="1" applyFont="1" applyBorder="1" applyAlignment="1">
      <alignment horizontal="center" vertical="center"/>
    </xf>
    <xf numFmtId="0" fontId="1" fillId="0" borderId="0" xfId="0" applyFont="1" applyAlignment="1">
      <alignment vertical="top"/>
    </xf>
    <xf numFmtId="0" fontId="5" fillId="0" borderId="0" xfId="0" applyFont="1" applyAlignment="1">
      <alignment horizontal="center" vertical="top" wrapText="1"/>
    </xf>
    <xf numFmtId="0" fontId="5" fillId="0" borderId="0" xfId="0" applyFont="1" applyAlignment="1">
      <alignment horizontal="left" vertical="top" wrapText="1"/>
    </xf>
    <xf numFmtId="0" fontId="6" fillId="2" borderId="0" xfId="0" applyFont="1" applyFill="1"/>
    <xf numFmtId="0" fontId="6" fillId="2" borderId="0" xfId="0" applyFont="1" applyFill="1" applyAlignment="1">
      <alignment wrapText="1"/>
    </xf>
    <xf numFmtId="0" fontId="6" fillId="2" borderId="0" xfId="0" applyFont="1" applyFill="1" applyAlignment="1">
      <alignment horizontal="left"/>
    </xf>
    <xf numFmtId="0" fontId="6" fillId="2" borderId="0" xfId="0" applyFont="1" applyFill="1" applyAlignment="1">
      <alignment horizontal="center"/>
    </xf>
    <xf numFmtId="0" fontId="18" fillId="6" borderId="2" xfId="0" applyFont="1" applyFill="1" applyBorder="1" applyAlignment="1">
      <alignment horizontal="center" vertical="center" wrapText="1"/>
    </xf>
    <xf numFmtId="0" fontId="17" fillId="6" borderId="2" xfId="0" applyFont="1" applyFill="1" applyBorder="1" applyAlignment="1">
      <alignment horizontal="center" vertical="center"/>
    </xf>
    <xf numFmtId="9" fontId="5" fillId="0" borderId="0" xfId="2" applyFont="1" applyFill="1" applyBorder="1" applyAlignment="1">
      <alignment horizontal="center" vertical="center"/>
    </xf>
    <xf numFmtId="0" fontId="6" fillId="0" borderId="0" xfId="0" applyFont="1" applyAlignment="1">
      <alignment horizontal="left" vertical="center" wrapText="1"/>
    </xf>
    <xf numFmtId="1" fontId="5" fillId="0" borderId="0" xfId="0" applyNumberFormat="1" applyFont="1"/>
    <xf numFmtId="9" fontId="5" fillId="0" borderId="0" xfId="2" applyFont="1" applyFill="1" applyBorder="1"/>
    <xf numFmtId="9" fontId="6" fillId="0" borderId="0" xfId="2" applyFont="1" applyFill="1" applyBorder="1"/>
    <xf numFmtId="164" fontId="5" fillId="0" borderId="0" xfId="0" applyNumberFormat="1" applyFont="1"/>
    <xf numFmtId="9" fontId="5" fillId="0" borderId="0" xfId="0" applyNumberFormat="1" applyFont="1" applyAlignment="1">
      <alignment vertical="center"/>
    </xf>
    <xf numFmtId="0" fontId="6" fillId="0" borderId="0" xfId="0" applyFont="1" applyAlignment="1">
      <alignment vertical="center"/>
    </xf>
    <xf numFmtId="0" fontId="5" fillId="0" borderId="22" xfId="4" applyBorder="1" applyAlignment="1">
      <alignment horizontal="center" vertical="center"/>
    </xf>
    <xf numFmtId="9" fontId="5" fillId="0" borderId="22" xfId="2" applyFont="1" applyFill="1" applyBorder="1" applyAlignment="1">
      <alignment horizontal="center" vertical="center"/>
    </xf>
    <xf numFmtId="3" fontId="5" fillId="0" borderId="2" xfId="0" applyNumberFormat="1" applyFont="1" applyBorder="1" applyAlignment="1">
      <alignment horizontal="center" vertical="center"/>
    </xf>
    <xf numFmtId="0" fontId="21" fillId="0" borderId="0" xfId="0" applyFont="1" applyAlignment="1">
      <alignment horizontal="center" vertical="center"/>
    </xf>
    <xf numFmtId="0" fontId="24" fillId="4" borderId="0" xfId="0" applyFont="1" applyFill="1" applyAlignment="1">
      <alignment vertical="center" wrapText="1"/>
    </xf>
    <xf numFmtId="0" fontId="21" fillId="4" borderId="0" xfId="0" applyFont="1" applyFill="1" applyAlignment="1">
      <alignment horizontal="center" vertical="center"/>
    </xf>
    <xf numFmtId="165" fontId="21" fillId="4" borderId="0" xfId="0" applyNumberFormat="1" applyFont="1" applyFill="1" applyAlignment="1">
      <alignment horizontal="center" vertical="center"/>
    </xf>
    <xf numFmtId="0" fontId="23" fillId="0" borderId="0" xfId="0" applyFont="1" applyAlignment="1">
      <alignment horizontal="left" vertical="center" wrapText="1"/>
    </xf>
    <xf numFmtId="0" fontId="23" fillId="0" borderId="0" xfId="0" applyFont="1" applyAlignment="1">
      <alignment horizontal="left" vertical="center"/>
    </xf>
    <xf numFmtId="0" fontId="23" fillId="0" borderId="0" xfId="0" applyFont="1" applyAlignment="1">
      <alignment horizontal="center" vertical="center" wrapText="1"/>
    </xf>
    <xf numFmtId="10" fontId="5" fillId="0" borderId="0" xfId="8" applyNumberFormat="1" applyFont="1" applyFill="1" applyBorder="1" applyAlignment="1">
      <alignment horizontal="center"/>
    </xf>
    <xf numFmtId="9" fontId="5" fillId="0" borderId="22" xfId="0" applyNumberFormat="1" applyFont="1" applyBorder="1" applyAlignment="1">
      <alignment horizontal="center"/>
    </xf>
    <xf numFmtId="0" fontId="6" fillId="0" borderId="0" xfId="4" applyFont="1" applyAlignment="1">
      <alignment horizontal="center"/>
    </xf>
    <xf numFmtId="9" fontId="5" fillId="0" borderId="0" xfId="2" applyFont="1" applyFill="1" applyBorder="1" applyAlignment="1">
      <alignment horizontal="left"/>
    </xf>
    <xf numFmtId="1" fontId="5" fillId="0" borderId="0" xfId="2" applyNumberFormat="1" applyFont="1" applyFill="1" applyBorder="1"/>
    <xf numFmtId="3" fontId="5" fillId="0" borderId="0" xfId="0" applyNumberFormat="1" applyFont="1" applyAlignment="1">
      <alignment horizontal="center" vertical="center"/>
    </xf>
    <xf numFmtId="167" fontId="21" fillId="0" borderId="0" xfId="0" applyNumberFormat="1" applyFont="1" applyAlignment="1">
      <alignment horizontal="center" vertical="center"/>
    </xf>
    <xf numFmtId="3" fontId="5" fillId="0" borderId="0" xfId="7" applyNumberFormat="1" applyFont="1" applyAlignment="1">
      <alignment horizontal="center" vertical="center"/>
    </xf>
    <xf numFmtId="9" fontId="5" fillId="0" borderId="24" xfId="0" applyNumberFormat="1" applyFont="1" applyBorder="1" applyAlignment="1">
      <alignment horizontal="center"/>
    </xf>
    <xf numFmtId="0" fontId="25" fillId="0" borderId="0" xfId="0" applyFont="1"/>
    <xf numFmtId="0" fontId="25" fillId="0" borderId="0" xfId="0" applyFont="1" applyAlignment="1">
      <alignment wrapText="1"/>
    </xf>
    <xf numFmtId="0" fontId="25" fillId="0" borderId="0" xfId="0" applyFont="1" applyAlignment="1">
      <alignment horizontal="center"/>
    </xf>
    <xf numFmtId="166" fontId="1" fillId="0" borderId="2" xfId="1" applyNumberFormat="1" applyBorder="1" applyAlignment="1">
      <alignment horizontal="center" vertical="center" wrapText="1"/>
    </xf>
    <xf numFmtId="0" fontId="7" fillId="0" borderId="0" xfId="5" applyAlignment="1">
      <alignment vertical="center"/>
    </xf>
    <xf numFmtId="0" fontId="5" fillId="0" borderId="0" xfId="4" applyAlignment="1">
      <alignment horizontal="center" vertical="center"/>
    </xf>
    <xf numFmtId="9" fontId="5" fillId="0" borderId="0" xfId="0" applyNumberFormat="1" applyFont="1" applyAlignment="1">
      <alignment horizontal="center"/>
    </xf>
    <xf numFmtId="9" fontId="5" fillId="0" borderId="0" xfId="0" applyNumberFormat="1" applyFont="1" applyAlignment="1">
      <alignment horizontal="left"/>
    </xf>
    <xf numFmtId="0" fontId="20" fillId="0" borderId="0" xfId="0" applyFont="1" applyAlignment="1">
      <alignment horizontal="left" vertical="center" wrapText="1"/>
    </xf>
    <xf numFmtId="0" fontId="17" fillId="6" borderId="12" xfId="0" applyFont="1" applyFill="1" applyBorder="1" applyAlignment="1">
      <alignment horizontal="center" vertical="center" wrapText="1"/>
    </xf>
    <xf numFmtId="0" fontId="1" fillId="0" borderId="22" xfId="0" applyFont="1" applyBorder="1" applyAlignment="1">
      <alignment horizontal="center" vertical="center"/>
    </xf>
    <xf numFmtId="0" fontId="10" fillId="0" borderId="0" xfId="0" applyFont="1" applyAlignment="1">
      <alignment vertical="center"/>
    </xf>
    <xf numFmtId="0" fontId="9" fillId="0" borderId="0" xfId="0" applyFont="1" applyAlignment="1">
      <alignment horizontal="center"/>
    </xf>
    <xf numFmtId="168" fontId="5" fillId="0" borderId="2" xfId="6" applyNumberFormat="1" applyFont="1" applyBorder="1" applyAlignment="1">
      <alignment horizontal="left" vertical="center" wrapText="1"/>
    </xf>
    <xf numFmtId="43" fontId="5" fillId="0" borderId="2" xfId="6" applyFont="1" applyBorder="1" applyAlignment="1">
      <alignment horizontal="left" vertical="center"/>
    </xf>
    <xf numFmtId="0" fontId="19" fillId="0" borderId="0" xfId="0" applyFont="1"/>
    <xf numFmtId="0" fontId="22" fillId="0" borderId="0" xfId="0" applyFont="1" applyAlignment="1">
      <alignment vertical="center"/>
    </xf>
    <xf numFmtId="0" fontId="17" fillId="10" borderId="2" xfId="0" applyFont="1" applyFill="1" applyBorder="1" applyAlignment="1">
      <alignment horizontal="center" vertical="center"/>
    </xf>
    <xf numFmtId="0" fontId="29" fillId="0" borderId="0" xfId="0" applyFont="1" applyAlignment="1">
      <alignment vertical="center"/>
    </xf>
    <xf numFmtId="168" fontId="22" fillId="0" borderId="2" xfId="6" applyNumberFormat="1" applyFont="1" applyBorder="1" applyAlignment="1">
      <alignment horizontal="center" vertical="center"/>
    </xf>
    <xf numFmtId="168" fontId="22" fillId="0" borderId="2" xfId="6" applyNumberFormat="1" applyFont="1" applyBorder="1" applyAlignment="1">
      <alignment horizontal="center" vertical="center" wrapText="1"/>
    </xf>
    <xf numFmtId="0" fontId="23" fillId="10" borderId="2" xfId="0" applyFont="1" applyFill="1" applyBorder="1" applyAlignment="1">
      <alignment horizontal="center" vertical="center"/>
    </xf>
    <xf numFmtId="0" fontId="6" fillId="2" borderId="0" xfId="0" applyFont="1" applyFill="1" applyAlignment="1">
      <alignment vertical="center"/>
    </xf>
    <xf numFmtId="2" fontId="5" fillId="0" borderId="2" xfId="0" applyNumberFormat="1" applyFont="1" applyBorder="1" applyAlignment="1">
      <alignment horizontal="center" vertical="center" wrapText="1"/>
    </xf>
    <xf numFmtId="0" fontId="1" fillId="0" borderId="0" xfId="1" applyAlignment="1">
      <alignment vertical="center" wrapText="1"/>
    </xf>
    <xf numFmtId="0" fontId="10" fillId="0" borderId="0" xfId="0" applyFont="1" applyAlignment="1">
      <alignment vertical="center" wrapText="1"/>
    </xf>
    <xf numFmtId="0" fontId="15" fillId="0" borderId="0" xfId="0" applyFont="1"/>
    <xf numFmtId="169" fontId="30" fillId="0" borderId="0" xfId="0" applyNumberFormat="1" applyFont="1"/>
    <xf numFmtId="0" fontId="5" fillId="0" borderId="2" xfId="0" applyFont="1" applyBorder="1" applyAlignment="1">
      <alignment horizontal="right" vertical="center"/>
    </xf>
    <xf numFmtId="3" fontId="5" fillId="0" borderId="0" xfId="0" applyNumberFormat="1" applyFont="1"/>
    <xf numFmtId="0" fontId="9" fillId="0" borderId="0" xfId="0" applyFont="1" applyAlignment="1">
      <alignment vertical="center"/>
    </xf>
    <xf numFmtId="165" fontId="9" fillId="0" borderId="0" xfId="2" applyNumberFormat="1" applyFont="1"/>
    <xf numFmtId="0" fontId="5" fillId="0" borderId="22" xfId="0" applyFont="1" applyBorder="1" applyAlignment="1">
      <alignment horizontal="center" vertical="center"/>
    </xf>
    <xf numFmtId="0" fontId="5" fillId="0" borderId="22" xfId="0" applyFont="1" applyBorder="1" applyAlignment="1">
      <alignment horizontal="center" vertical="center" wrapText="1"/>
    </xf>
    <xf numFmtId="0" fontId="0" fillId="0" borderId="0" xfId="0" applyAlignment="1">
      <alignment horizontal="left"/>
    </xf>
    <xf numFmtId="0" fontId="5" fillId="0" borderId="24" xfId="4" applyBorder="1" applyAlignment="1">
      <alignment horizontal="center" vertical="center"/>
    </xf>
    <xf numFmtId="0" fontId="23" fillId="10" borderId="40" xfId="0" applyFont="1" applyFill="1" applyBorder="1" applyAlignment="1">
      <alignment horizontal="center" vertical="center" wrapText="1"/>
    </xf>
    <xf numFmtId="0" fontId="8" fillId="0" borderId="2" xfId="3" applyFont="1" applyFill="1" applyBorder="1" applyAlignment="1">
      <alignment horizontal="center" vertical="center" wrapText="1"/>
    </xf>
    <xf numFmtId="3" fontId="8" fillId="0" borderId="2" xfId="3" applyNumberFormat="1" applyFont="1" applyFill="1" applyBorder="1" applyAlignment="1">
      <alignment horizontal="center" vertical="center" wrapText="1"/>
    </xf>
    <xf numFmtId="0" fontId="6" fillId="6" borderId="41" xfId="0" applyFont="1" applyFill="1" applyBorder="1" applyAlignment="1">
      <alignment horizontal="center" vertical="center"/>
    </xf>
    <xf numFmtId="0" fontId="6" fillId="6" borderId="42" xfId="0" applyFont="1" applyFill="1" applyBorder="1" applyAlignment="1">
      <alignment horizontal="center" vertical="center"/>
    </xf>
    <xf numFmtId="0" fontId="6" fillId="6" borderId="43" xfId="0" applyFont="1" applyFill="1" applyBorder="1" applyAlignment="1">
      <alignment horizontal="center" vertical="center" wrapText="1"/>
    </xf>
    <xf numFmtId="0" fontId="6" fillId="6" borderId="44" xfId="0" applyFont="1" applyFill="1" applyBorder="1" applyAlignment="1">
      <alignment horizontal="center" vertical="center"/>
    </xf>
    <xf numFmtId="0" fontId="5" fillId="0" borderId="45" xfId="0" applyFont="1" applyBorder="1" applyAlignment="1">
      <alignment horizontal="center" vertical="center"/>
    </xf>
    <xf numFmtId="0" fontId="5" fillId="0" borderId="50" xfId="0" applyFont="1" applyBorder="1" applyAlignment="1">
      <alignment horizontal="center" vertical="center"/>
    </xf>
    <xf numFmtId="0" fontId="1" fillId="0" borderId="51" xfId="0" applyFont="1" applyBorder="1" applyAlignment="1">
      <alignment horizontal="center" vertical="center"/>
    </xf>
    <xf numFmtId="0" fontId="5" fillId="0" borderId="51" xfId="0" applyFont="1" applyBorder="1" applyAlignment="1">
      <alignment horizontal="center" vertical="center" wrapText="1"/>
    </xf>
    <xf numFmtId="0" fontId="22" fillId="0" borderId="53" xfId="0" applyFont="1" applyBorder="1" applyAlignment="1">
      <alignment horizontal="center" vertical="center" wrapText="1"/>
    </xf>
    <xf numFmtId="0" fontId="7" fillId="0" borderId="2" xfId="5" applyBorder="1" applyAlignment="1">
      <alignment horizontal="center" vertical="center"/>
    </xf>
    <xf numFmtId="1" fontId="8" fillId="0" borderId="2" xfId="3" applyNumberFormat="1" applyFont="1" applyBorder="1" applyAlignment="1">
      <alignment horizontal="left" vertical="center" wrapText="1"/>
    </xf>
    <xf numFmtId="1" fontId="5" fillId="0" borderId="2" xfId="0" applyNumberFormat="1" applyFont="1" applyBorder="1" applyAlignment="1">
      <alignment horizontal="left" vertical="center"/>
    </xf>
    <xf numFmtId="0" fontId="22" fillId="0" borderId="0" xfId="0" applyFont="1" applyAlignment="1">
      <alignment wrapText="1"/>
    </xf>
    <xf numFmtId="0" fontId="1" fillId="0" borderId="2" xfId="1" applyBorder="1" applyAlignment="1">
      <alignment vertical="center" wrapText="1"/>
    </xf>
    <xf numFmtId="2" fontId="5" fillId="0" borderId="2" xfId="0" applyNumberFormat="1" applyFont="1" applyBorder="1" applyAlignment="1">
      <alignment horizontal="center" vertical="center"/>
    </xf>
    <xf numFmtId="0" fontId="6" fillId="0" borderId="0" xfId="0" applyFont="1" applyAlignment="1">
      <alignment vertical="center" wrapText="1"/>
    </xf>
    <xf numFmtId="0" fontId="23" fillId="6" borderId="2" xfId="0" applyFont="1" applyFill="1" applyBorder="1" applyAlignment="1">
      <alignment horizontal="left" vertical="center" wrapText="1"/>
    </xf>
    <xf numFmtId="169" fontId="5" fillId="0" borderId="2" xfId="0" applyNumberFormat="1" applyFont="1" applyBorder="1" applyAlignment="1">
      <alignment vertical="center"/>
    </xf>
    <xf numFmtId="169" fontId="1" fillId="0" borderId="2" xfId="0" applyNumberFormat="1" applyFont="1" applyBorder="1" applyAlignment="1">
      <alignment vertical="center"/>
    </xf>
    <xf numFmtId="0" fontId="17" fillId="6" borderId="2" xfId="0" applyFont="1" applyFill="1" applyBorder="1" applyAlignment="1">
      <alignment vertical="center"/>
    </xf>
    <xf numFmtId="0" fontId="1" fillId="0" borderId="2" xfId="1" applyBorder="1" applyAlignment="1">
      <alignment vertical="center"/>
    </xf>
    <xf numFmtId="0" fontId="31" fillId="0" borderId="2" xfId="0" applyFont="1" applyBorder="1" applyAlignment="1">
      <alignment horizontal="left" vertical="top" wrapText="1"/>
    </xf>
    <xf numFmtId="168" fontId="5" fillId="0" borderId="2" xfId="6" applyNumberFormat="1" applyFont="1" applyBorder="1" applyAlignment="1">
      <alignment horizontal="center" vertical="center"/>
    </xf>
    <xf numFmtId="43" fontId="5" fillId="0" borderId="0" xfId="0" applyNumberFormat="1" applyFont="1" applyAlignment="1">
      <alignment horizontal="center" vertical="top" wrapText="1"/>
    </xf>
    <xf numFmtId="168" fontId="31" fillId="0" borderId="2" xfId="6" applyNumberFormat="1" applyFont="1" applyBorder="1" applyAlignment="1">
      <alignment horizontal="center" vertical="center" wrapText="1"/>
    </xf>
    <xf numFmtId="0" fontId="33" fillId="0" borderId="0" xfId="0" applyFont="1" applyAlignment="1">
      <alignment horizontal="right" vertical="center" wrapText="1"/>
    </xf>
    <xf numFmtId="43" fontId="5" fillId="0" borderId="2" xfId="0" applyNumberFormat="1" applyFont="1" applyBorder="1" applyAlignment="1">
      <alignment vertical="center"/>
    </xf>
    <xf numFmtId="0" fontId="17" fillId="10" borderId="58" xfId="0" applyFont="1" applyFill="1" applyBorder="1" applyAlignment="1">
      <alignment horizontal="center" vertical="center"/>
    </xf>
    <xf numFmtId="0" fontId="17" fillId="10" borderId="59" xfId="0" applyFont="1" applyFill="1" applyBorder="1" applyAlignment="1">
      <alignment horizontal="center" vertical="center" wrapText="1"/>
    </xf>
    <xf numFmtId="0" fontId="23" fillId="10" borderId="58" xfId="0" applyFont="1" applyFill="1" applyBorder="1" applyAlignment="1">
      <alignment horizontal="center" vertical="center" wrapText="1"/>
    </xf>
    <xf numFmtId="0" fontId="23" fillId="10" borderId="58" xfId="0" applyFont="1" applyFill="1" applyBorder="1" applyAlignment="1">
      <alignment horizontal="center" vertical="center"/>
    </xf>
    <xf numFmtId="0" fontId="23" fillId="10" borderId="32" xfId="0" applyFont="1" applyFill="1" applyBorder="1" applyAlignment="1">
      <alignment horizontal="center" vertical="center"/>
    </xf>
    <xf numFmtId="1" fontId="5" fillId="0" borderId="0" xfId="0" applyNumberFormat="1" applyFont="1" applyAlignment="1">
      <alignment horizontal="left" vertical="center"/>
    </xf>
    <xf numFmtId="0" fontId="9" fillId="0" borderId="0" xfId="0" applyFont="1" applyAlignment="1">
      <alignment wrapText="1"/>
    </xf>
    <xf numFmtId="0" fontId="5" fillId="0" borderId="26" xfId="0" applyFont="1" applyBorder="1" applyAlignment="1">
      <alignment horizontal="center" vertical="center" wrapText="1"/>
    </xf>
    <xf numFmtId="0" fontId="26" fillId="0" borderId="0" xfId="0" applyFont="1" applyAlignment="1">
      <alignment vertical="center" wrapText="1"/>
    </xf>
    <xf numFmtId="1" fontId="5" fillId="0" borderId="2" xfId="0" applyNumberFormat="1" applyFont="1" applyBorder="1" applyAlignment="1">
      <alignment vertical="center"/>
    </xf>
    <xf numFmtId="166" fontId="5" fillId="0" borderId="2" xfId="7" applyNumberFormat="1" applyFont="1" applyBorder="1" applyAlignment="1">
      <alignment horizontal="center" vertical="center"/>
    </xf>
    <xf numFmtId="164" fontId="5" fillId="0" borderId="2" xfId="2" applyNumberFormat="1" applyFont="1" applyBorder="1" applyAlignment="1">
      <alignment horizontal="center" vertical="center"/>
    </xf>
    <xf numFmtId="0" fontId="6" fillId="0" borderId="0" xfId="0" applyFont="1" applyAlignment="1">
      <alignment horizontal="center" vertical="center"/>
    </xf>
    <xf numFmtId="168" fontId="8" fillId="0" borderId="2" xfId="6" applyNumberFormat="1" applyFont="1" applyFill="1" applyBorder="1" applyAlignment="1">
      <alignment horizontal="center" vertical="center" wrapText="1"/>
    </xf>
    <xf numFmtId="0" fontId="14" fillId="0" borderId="0" xfId="0" applyFont="1"/>
    <xf numFmtId="0" fontId="30" fillId="0" borderId="0" xfId="0" applyFont="1"/>
    <xf numFmtId="3" fontId="22" fillId="0" borderId="0" xfId="0" applyNumberFormat="1" applyFont="1" applyAlignment="1">
      <alignment horizontal="left"/>
    </xf>
    <xf numFmtId="9" fontId="5" fillId="0" borderId="2" xfId="0" applyNumberFormat="1" applyFont="1" applyBorder="1" applyAlignment="1">
      <alignment horizontal="center" vertical="center"/>
    </xf>
    <xf numFmtId="0" fontId="22" fillId="0" borderId="0" xfId="0" applyFont="1" applyAlignment="1">
      <alignment horizontal="left"/>
    </xf>
    <xf numFmtId="0" fontId="22" fillId="0" borderId="2" xfId="0" applyFont="1" applyBorder="1" applyAlignment="1">
      <alignment horizontal="center" vertical="center" wrapText="1"/>
    </xf>
    <xf numFmtId="0" fontId="5" fillId="0" borderId="26" xfId="0" applyFont="1" applyBorder="1" applyAlignment="1">
      <alignment horizontal="left" vertical="center" wrapText="1"/>
    </xf>
    <xf numFmtId="165" fontId="5" fillId="0" borderId="2" xfId="0" applyNumberFormat="1" applyFont="1" applyBorder="1" applyAlignment="1">
      <alignment horizontal="center" vertical="center"/>
    </xf>
    <xf numFmtId="165" fontId="5" fillId="0" borderId="3" xfId="0" applyNumberFormat="1" applyFont="1" applyBorder="1" applyAlignment="1">
      <alignment horizontal="center" vertical="center"/>
    </xf>
    <xf numFmtId="0" fontId="1" fillId="0" borderId="2" xfId="3" applyFont="1" applyFill="1" applyBorder="1" applyAlignment="1">
      <alignment horizontal="center" vertical="center" wrapText="1"/>
    </xf>
    <xf numFmtId="3" fontId="1" fillId="0" borderId="2" xfId="7" applyNumberFormat="1" applyFont="1" applyBorder="1" applyAlignment="1">
      <alignment horizontal="center" vertical="center"/>
    </xf>
    <xf numFmtId="165" fontId="35" fillId="0" borderId="64" xfId="0" applyNumberFormat="1" applyFont="1" applyBorder="1" applyAlignment="1">
      <alignment horizontal="center" vertical="center"/>
    </xf>
    <xf numFmtId="1" fontId="35" fillId="0" borderId="67" xfId="0" applyNumberFormat="1" applyFont="1" applyBorder="1" applyAlignment="1">
      <alignment horizontal="center" vertical="center"/>
    </xf>
    <xf numFmtId="1" fontId="35" fillId="0" borderId="66" xfId="0" applyNumberFormat="1" applyFont="1" applyBorder="1" applyAlignment="1">
      <alignment horizontal="center" vertical="center"/>
    </xf>
    <xf numFmtId="1" fontId="35" fillId="0" borderId="65" xfId="0" applyNumberFormat="1" applyFont="1" applyBorder="1" applyAlignment="1">
      <alignment horizontal="center" vertical="center"/>
    </xf>
    <xf numFmtId="1" fontId="35" fillId="0" borderId="64" xfId="0" applyNumberFormat="1" applyFont="1" applyBorder="1" applyAlignment="1">
      <alignment horizontal="center" vertical="center"/>
    </xf>
    <xf numFmtId="1" fontId="35" fillId="0" borderId="63" xfId="0" applyNumberFormat="1" applyFont="1" applyBorder="1" applyAlignment="1">
      <alignment horizontal="center" vertical="center"/>
    </xf>
    <xf numFmtId="1" fontId="35" fillId="0" borderId="62" xfId="0" applyNumberFormat="1" applyFont="1" applyBorder="1" applyAlignment="1">
      <alignment horizontal="center" vertical="center"/>
    </xf>
    <xf numFmtId="2" fontId="21" fillId="0" borderId="1" xfId="0" applyNumberFormat="1" applyFont="1" applyBorder="1" applyAlignment="1">
      <alignment horizontal="center" vertical="center"/>
    </xf>
    <xf numFmtId="2" fontId="21" fillId="0" borderId="5" xfId="0" applyNumberFormat="1" applyFont="1" applyBorder="1" applyAlignment="1">
      <alignment horizontal="center" vertical="center"/>
    </xf>
    <xf numFmtId="2" fontId="21" fillId="0" borderId="2" xfId="0" applyNumberFormat="1" applyFont="1" applyBorder="1" applyAlignment="1">
      <alignment horizontal="center" vertical="center"/>
    </xf>
    <xf numFmtId="2" fontId="21" fillId="0" borderId="7" xfId="0" applyNumberFormat="1" applyFont="1" applyBorder="1" applyAlignment="1">
      <alignment horizontal="center" vertical="center"/>
    </xf>
    <xf numFmtId="2" fontId="21" fillId="0" borderId="27" xfId="0" applyNumberFormat="1" applyFont="1" applyBorder="1" applyAlignment="1">
      <alignment horizontal="center" vertical="center"/>
    </xf>
    <xf numFmtId="2" fontId="21" fillId="0" borderId="9" xfId="0" applyNumberFormat="1" applyFont="1" applyBorder="1" applyAlignment="1">
      <alignment horizontal="center" vertical="center"/>
    </xf>
    <xf numFmtId="1" fontId="21" fillId="0" borderId="1" xfId="0" applyNumberFormat="1" applyFont="1" applyBorder="1" applyAlignment="1">
      <alignment horizontal="center" vertical="center"/>
    </xf>
    <xf numFmtId="1" fontId="21" fillId="8" borderId="2" xfId="0" applyNumberFormat="1" applyFont="1" applyFill="1" applyBorder="1" applyAlignment="1">
      <alignment horizontal="center" vertical="center"/>
    </xf>
    <xf numFmtId="1" fontId="21" fillId="8" borderId="7" xfId="0" applyNumberFormat="1" applyFont="1" applyFill="1" applyBorder="1" applyAlignment="1">
      <alignment horizontal="center" vertical="center"/>
    </xf>
    <xf numFmtId="1" fontId="21" fillId="8" borderId="27" xfId="0" applyNumberFormat="1" applyFont="1" applyFill="1" applyBorder="1" applyAlignment="1">
      <alignment horizontal="center" vertical="center"/>
    </xf>
    <xf numFmtId="1" fontId="21" fillId="8" borderId="9" xfId="0" applyNumberFormat="1" applyFont="1" applyFill="1" applyBorder="1" applyAlignment="1">
      <alignment horizontal="center" vertical="center"/>
    </xf>
    <xf numFmtId="0" fontId="21" fillId="0" borderId="54" xfId="0" applyFont="1" applyBorder="1" applyAlignment="1">
      <alignment horizontal="center" vertical="center"/>
    </xf>
    <xf numFmtId="0" fontId="21" fillId="0" borderId="11" xfId="0" applyFont="1" applyBorder="1" applyAlignment="1">
      <alignment horizontal="center" vertical="center"/>
    </xf>
    <xf numFmtId="0" fontId="21" fillId="0" borderId="55" xfId="0" applyFont="1" applyBorder="1" applyAlignment="1">
      <alignment horizontal="center" vertical="center"/>
    </xf>
    <xf numFmtId="1" fontId="21" fillId="0" borderId="17" xfId="0" applyNumberFormat="1" applyFont="1" applyBorder="1" applyAlignment="1">
      <alignment horizontal="center" vertical="center"/>
    </xf>
    <xf numFmtId="1" fontId="21" fillId="0" borderId="97" xfId="0" applyNumberFormat="1" applyFont="1" applyBorder="1" applyAlignment="1">
      <alignment horizontal="center" vertical="center"/>
    </xf>
    <xf numFmtId="165" fontId="35" fillId="0" borderId="85" xfId="0" applyNumberFormat="1" applyFont="1" applyBorder="1" applyAlignment="1">
      <alignment horizontal="center" vertical="center"/>
    </xf>
    <xf numFmtId="165" fontId="35" fillId="0" borderId="88" xfId="0" applyNumberFormat="1" applyFont="1" applyBorder="1" applyAlignment="1">
      <alignment horizontal="center" vertical="center"/>
    </xf>
    <xf numFmtId="165" fontId="35" fillId="0" borderId="89" xfId="0" applyNumberFormat="1" applyFont="1" applyBorder="1" applyAlignment="1">
      <alignment horizontal="center" vertical="center"/>
    </xf>
    <xf numFmtId="165" fontId="35" fillId="0" borderId="90" xfId="0" applyNumberFormat="1" applyFont="1" applyBorder="1" applyAlignment="1">
      <alignment horizontal="center" vertical="center"/>
    </xf>
    <xf numFmtId="165" fontId="35" fillId="0" borderId="94" xfId="0" applyNumberFormat="1" applyFont="1" applyBorder="1" applyAlignment="1">
      <alignment horizontal="center" vertical="center"/>
    </xf>
    <xf numFmtId="0" fontId="37" fillId="0" borderId="0" xfId="0" applyFont="1"/>
    <xf numFmtId="0" fontId="21" fillId="0" borderId="0" xfId="0" applyFont="1" applyAlignment="1">
      <alignment horizontal="left" vertical="center" wrapText="1"/>
    </xf>
    <xf numFmtId="0" fontId="21" fillId="0" borderId="20" xfId="0" applyFont="1" applyBorder="1" applyAlignment="1">
      <alignment horizontal="center" vertical="center"/>
    </xf>
    <xf numFmtId="165" fontId="22" fillId="0" borderId="2" xfId="0" applyNumberFormat="1" applyFont="1" applyBorder="1" applyAlignment="1">
      <alignment horizontal="center" vertical="center"/>
    </xf>
    <xf numFmtId="9" fontId="5" fillId="0" borderId="24" xfId="2" applyFont="1" applyFill="1" applyBorder="1" applyAlignment="1">
      <alignment horizontal="center" vertical="center"/>
    </xf>
    <xf numFmtId="0" fontId="23" fillId="6" borderId="2" xfId="0" applyFont="1" applyFill="1" applyBorder="1" applyAlignment="1">
      <alignment horizontal="center" vertical="center"/>
    </xf>
    <xf numFmtId="0" fontId="17" fillId="0" borderId="2" xfId="0" applyFont="1" applyBorder="1" applyAlignment="1">
      <alignment horizontal="center" vertical="center" wrapText="1"/>
    </xf>
    <xf numFmtId="0" fontId="17" fillId="10" borderId="2" xfId="0" applyFont="1" applyFill="1" applyBorder="1" applyAlignment="1">
      <alignment horizontal="center" vertical="center" wrapText="1"/>
    </xf>
    <xf numFmtId="0" fontId="5" fillId="0" borderId="2" xfId="4" applyBorder="1" applyAlignment="1">
      <alignment horizontal="center" vertical="center"/>
    </xf>
    <xf numFmtId="170" fontId="5" fillId="0" borderId="2" xfId="6" applyNumberFormat="1" applyFont="1" applyBorder="1" applyAlignment="1">
      <alignment vertical="center"/>
    </xf>
    <xf numFmtId="170" fontId="5" fillId="0" borderId="2" xfId="0" applyNumberFormat="1" applyFont="1" applyBorder="1" applyAlignment="1">
      <alignment vertical="center"/>
    </xf>
    <xf numFmtId="170" fontId="22" fillId="0" borderId="2" xfId="0" applyNumberFormat="1" applyFont="1" applyBorder="1" applyAlignment="1">
      <alignment vertical="center"/>
    </xf>
    <xf numFmtId="170" fontId="5" fillId="0" borderId="2" xfId="0" applyNumberFormat="1" applyFont="1" applyBorder="1"/>
    <xf numFmtId="1" fontId="5" fillId="0" borderId="2" xfId="0" applyNumberFormat="1" applyFont="1" applyBorder="1" applyAlignment="1">
      <alignment horizontal="left" vertical="center" wrapText="1"/>
    </xf>
    <xf numFmtId="3" fontId="0" fillId="0" borderId="0" xfId="0" applyNumberFormat="1" applyAlignment="1">
      <alignment horizontal="center"/>
    </xf>
    <xf numFmtId="1" fontId="0" fillId="0" borderId="0" xfId="0" applyNumberFormat="1" applyAlignment="1">
      <alignment horizontal="center" vertical="center" wrapText="1"/>
    </xf>
    <xf numFmtId="2" fontId="21" fillId="0" borderId="12" xfId="0" applyNumberFormat="1" applyFont="1" applyBorder="1" applyAlignment="1">
      <alignment horizontal="center" vertical="center"/>
    </xf>
    <xf numFmtId="2" fontId="21" fillId="0" borderId="105" xfId="0" applyNumberFormat="1" applyFont="1" applyBorder="1" applyAlignment="1">
      <alignment horizontal="center" vertical="center"/>
    </xf>
    <xf numFmtId="2" fontId="21" fillId="0" borderId="6" xfId="0" applyNumberFormat="1" applyFont="1" applyBorder="1" applyAlignment="1">
      <alignment horizontal="center" vertical="center"/>
    </xf>
    <xf numFmtId="2" fontId="21" fillId="0" borderId="104" xfId="0" applyNumberFormat="1" applyFont="1" applyBorder="1" applyAlignment="1">
      <alignment horizontal="center" vertical="center"/>
    </xf>
    <xf numFmtId="2" fontId="21" fillId="0" borderId="8" xfId="0" applyNumberFormat="1" applyFont="1" applyBorder="1" applyAlignment="1">
      <alignment horizontal="center" vertical="center"/>
    </xf>
    <xf numFmtId="2" fontId="21" fillId="0" borderId="17" xfId="0" applyNumberFormat="1" applyFont="1" applyBorder="1" applyAlignment="1">
      <alignment horizontal="center" vertical="center"/>
    </xf>
    <xf numFmtId="2" fontId="21" fillId="0" borderId="97" xfId="0" applyNumberFormat="1" applyFont="1" applyBorder="1" applyAlignment="1">
      <alignment horizontal="center" vertical="center"/>
    </xf>
    <xf numFmtId="1" fontId="35" fillId="0" borderId="109" xfId="0" applyNumberFormat="1" applyFont="1" applyBorder="1" applyAlignment="1">
      <alignment horizontal="center" vertical="center"/>
    </xf>
    <xf numFmtId="1" fontId="35" fillId="0" borderId="110" xfId="0" applyNumberFormat="1" applyFont="1" applyBorder="1" applyAlignment="1">
      <alignment horizontal="center" vertical="center"/>
    </xf>
    <xf numFmtId="165" fontId="5" fillId="0" borderId="0" xfId="0" applyNumberFormat="1" applyFont="1" applyAlignment="1">
      <alignment vertical="center"/>
    </xf>
    <xf numFmtId="0" fontId="34" fillId="0" borderId="0" xfId="0" applyFont="1" applyAlignment="1">
      <alignment horizontal="center" vertical="center"/>
    </xf>
    <xf numFmtId="0" fontId="39" fillId="0" borderId="0" xfId="0" applyFont="1" applyAlignment="1">
      <alignment horizontal="center" vertical="center" wrapText="1"/>
    </xf>
    <xf numFmtId="0" fontId="38" fillId="0" borderId="0" xfId="0" applyFont="1" applyAlignment="1">
      <alignment horizontal="center" vertical="center" wrapText="1"/>
    </xf>
    <xf numFmtId="0" fontId="38" fillId="0" borderId="21" xfId="0" applyFont="1" applyBorder="1" applyAlignment="1">
      <alignment horizontal="center" vertical="center" wrapText="1"/>
    </xf>
    <xf numFmtId="0" fontId="39" fillId="0" borderId="21" xfId="0" applyFont="1" applyBorder="1" applyAlignment="1">
      <alignment horizontal="center" vertical="center" wrapText="1"/>
    </xf>
    <xf numFmtId="0" fontId="41" fillId="17" borderId="26" xfId="0" applyFont="1" applyFill="1" applyBorder="1" applyAlignment="1">
      <alignment horizontal="center" vertical="center" wrapText="1"/>
    </xf>
    <xf numFmtId="1" fontId="42" fillId="0" borderId="26" xfId="0" applyNumberFormat="1" applyFont="1" applyBorder="1" applyAlignment="1">
      <alignment horizontal="center" vertical="center" wrapText="1"/>
    </xf>
    <xf numFmtId="2" fontId="42" fillId="0" borderId="26" xfId="0" applyNumberFormat="1" applyFont="1" applyBorder="1" applyAlignment="1">
      <alignment horizontal="center" vertical="center" wrapText="1"/>
    </xf>
    <xf numFmtId="0" fontId="7" fillId="0" borderId="0" xfId="5" applyBorder="1" applyAlignment="1">
      <alignment horizontal="left"/>
    </xf>
    <xf numFmtId="0" fontId="5" fillId="0" borderId="0" xfId="0" applyFont="1" applyAlignment="1">
      <alignment horizontal="left"/>
    </xf>
    <xf numFmtId="0" fontId="22" fillId="0" borderId="0" xfId="0" applyFont="1" applyAlignment="1">
      <alignment horizontal="center"/>
    </xf>
    <xf numFmtId="0" fontId="19" fillId="0" borderId="2" xfId="0" applyFont="1" applyBorder="1" applyAlignment="1">
      <alignment vertical="center" wrapText="1"/>
    </xf>
    <xf numFmtId="0" fontId="19" fillId="0" borderId="2" xfId="0" applyFont="1" applyBorder="1" applyAlignment="1">
      <alignment vertical="center"/>
    </xf>
    <xf numFmtId="0" fontId="19" fillId="0" borderId="51" xfId="0" applyFont="1" applyBorder="1" applyAlignment="1">
      <alignment horizontal="center" vertical="center" wrapText="1"/>
    </xf>
    <xf numFmtId="0" fontId="19" fillId="0" borderId="52" xfId="0" applyFont="1" applyBorder="1" applyAlignment="1">
      <alignment horizontal="center" vertical="center" wrapText="1"/>
    </xf>
    <xf numFmtId="0" fontId="19" fillId="0" borderId="22" xfId="0" applyFont="1" applyBorder="1" applyAlignment="1">
      <alignment horizontal="center" vertical="center" wrapText="1"/>
    </xf>
    <xf numFmtId="0" fontId="19" fillId="0" borderId="39" xfId="0" applyFont="1" applyBorder="1" applyAlignment="1">
      <alignment horizontal="center" vertical="center" wrapText="1"/>
    </xf>
    <xf numFmtId="0" fontId="19" fillId="0" borderId="49" xfId="0" applyFont="1" applyBorder="1" applyAlignment="1">
      <alignment horizontal="center" vertical="center" wrapText="1"/>
    </xf>
    <xf numFmtId="2" fontId="19" fillId="0" borderId="2" xfId="0" applyNumberFormat="1" applyFont="1" applyBorder="1" applyAlignment="1">
      <alignment horizontal="center" vertical="center"/>
    </xf>
    <xf numFmtId="168" fontId="19" fillId="0" borderId="2" xfId="6" applyNumberFormat="1" applyFont="1" applyBorder="1" applyAlignment="1">
      <alignment horizontal="center" vertical="center"/>
    </xf>
    <xf numFmtId="168" fontId="19" fillId="0" borderId="2" xfId="6" applyNumberFormat="1" applyFont="1" applyBorder="1" applyAlignment="1">
      <alignment horizontal="right" vertical="center" wrapText="1"/>
    </xf>
    <xf numFmtId="0" fontId="19" fillId="0" borderId="2" xfId="0" applyFont="1" applyBorder="1" applyAlignment="1">
      <alignment horizontal="right" vertical="center"/>
    </xf>
    <xf numFmtId="168" fontId="19" fillId="0" borderId="2" xfId="6" applyNumberFormat="1" applyFont="1" applyBorder="1" applyAlignment="1">
      <alignment horizontal="right" vertical="center"/>
    </xf>
    <xf numFmtId="168" fontId="19" fillId="0" borderId="2" xfId="0" applyNumberFormat="1" applyFont="1" applyBorder="1" applyAlignment="1">
      <alignment horizontal="right" vertical="center"/>
    </xf>
    <xf numFmtId="169" fontId="19" fillId="0" borderId="2" xfId="0" applyNumberFormat="1" applyFont="1" applyBorder="1" applyAlignment="1">
      <alignment vertical="center"/>
    </xf>
    <xf numFmtId="3" fontId="19" fillId="0" borderId="2" xfId="0" applyNumberFormat="1" applyFont="1" applyBorder="1" applyAlignment="1">
      <alignment horizontal="center" vertical="center"/>
    </xf>
    <xf numFmtId="165" fontId="19" fillId="0" borderId="2" xfId="0" applyNumberFormat="1" applyFont="1" applyBorder="1" applyAlignment="1">
      <alignment horizontal="center" vertical="center"/>
    </xf>
    <xf numFmtId="2" fontId="19" fillId="0" borderId="26" xfId="0" applyNumberFormat="1" applyFont="1" applyBorder="1" applyAlignment="1">
      <alignment horizontal="center" vertical="center" wrapText="1"/>
    </xf>
    <xf numFmtId="1" fontId="19" fillId="0" borderId="26" xfId="0" applyNumberFormat="1" applyFont="1" applyBorder="1" applyAlignment="1">
      <alignment horizontal="center" vertical="center" wrapText="1"/>
    </xf>
    <xf numFmtId="165" fontId="19" fillId="0" borderId="26" xfId="0" applyNumberFormat="1" applyFont="1" applyBorder="1" applyAlignment="1">
      <alignment horizontal="center" vertical="center" wrapText="1"/>
    </xf>
    <xf numFmtId="0" fontId="19" fillId="0" borderId="2" xfId="0" applyFont="1" applyBorder="1" applyAlignment="1">
      <alignment horizontal="left" vertical="center" wrapText="1"/>
    </xf>
    <xf numFmtId="0" fontId="19" fillId="0" borderId="0" xfId="0" applyFont="1" applyAlignment="1">
      <alignment horizontal="left"/>
    </xf>
    <xf numFmtId="0" fontId="19" fillId="0" borderId="2" xfId="3" applyFont="1" applyFill="1" applyBorder="1" applyAlignment="1">
      <alignment horizontal="center" vertical="center" wrapText="1"/>
    </xf>
    <xf numFmtId="2" fontId="45" fillId="0" borderId="85" xfId="0" applyNumberFormat="1" applyFont="1" applyBorder="1" applyAlignment="1">
      <alignment horizontal="center" vertical="center"/>
    </xf>
    <xf numFmtId="2" fontId="45" fillId="0" borderId="88" xfId="0" applyNumberFormat="1" applyFont="1" applyBorder="1" applyAlignment="1">
      <alignment horizontal="center" vertical="center"/>
    </xf>
    <xf numFmtId="2" fontId="45" fillId="0" borderId="64" xfId="0" applyNumberFormat="1" applyFont="1" applyBorder="1" applyAlignment="1">
      <alignment horizontal="center" vertical="center"/>
    </xf>
    <xf numFmtId="2" fontId="45" fillId="0" borderId="89" xfId="0" applyNumberFormat="1" applyFont="1" applyBorder="1" applyAlignment="1">
      <alignment horizontal="center" vertical="center"/>
    </xf>
    <xf numFmtId="2" fontId="45" fillId="0" borderId="90" xfId="0" applyNumberFormat="1" applyFont="1" applyBorder="1" applyAlignment="1">
      <alignment horizontal="center" vertical="center"/>
    </xf>
    <xf numFmtId="2" fontId="45" fillId="0" borderId="94" xfId="0" applyNumberFormat="1" applyFont="1" applyBorder="1" applyAlignment="1">
      <alignment horizontal="center" vertical="center"/>
    </xf>
    <xf numFmtId="0" fontId="5" fillId="0" borderId="2" xfId="0" applyFont="1" applyBorder="1" applyAlignment="1">
      <alignment horizontal="left" vertical="center"/>
    </xf>
    <xf numFmtId="0" fontId="42" fillId="0" borderId="2" xfId="0" applyFont="1" applyBorder="1" applyAlignment="1">
      <alignment vertical="center"/>
    </xf>
    <xf numFmtId="1" fontId="42" fillId="0" borderId="2" xfId="0" applyNumberFormat="1" applyFont="1" applyBorder="1" applyAlignment="1">
      <alignment horizontal="center"/>
    </xf>
    <xf numFmtId="9" fontId="19" fillId="0" borderId="2" xfId="2" applyFont="1" applyBorder="1" applyAlignment="1">
      <alignment vertical="center"/>
    </xf>
    <xf numFmtId="166" fontId="19" fillId="0" borderId="2" xfId="0" applyNumberFormat="1" applyFont="1" applyBorder="1" applyAlignment="1">
      <alignment vertical="center"/>
    </xf>
    <xf numFmtId="2" fontId="45" fillId="0" borderId="2" xfId="0" applyNumberFormat="1" applyFont="1" applyBorder="1" applyAlignment="1">
      <alignment horizontal="center" vertical="center"/>
    </xf>
    <xf numFmtId="166" fontId="19" fillId="0" borderId="2" xfId="0" applyNumberFormat="1" applyFont="1" applyBorder="1" applyAlignment="1">
      <alignment horizontal="center" vertical="center"/>
    </xf>
    <xf numFmtId="0" fontId="19" fillId="0" borderId="2" xfId="0" applyFont="1" applyBorder="1" applyAlignment="1">
      <alignment horizontal="left" vertical="top" wrapText="1"/>
    </xf>
    <xf numFmtId="165" fontId="19" fillId="0" borderId="2" xfId="0" applyNumberFormat="1" applyFont="1" applyBorder="1" applyAlignment="1">
      <alignment horizontal="center" vertical="center" wrapText="1"/>
    </xf>
    <xf numFmtId="0" fontId="22" fillId="0" borderId="0" xfId="13" applyFont="1" applyAlignment="1">
      <alignment vertical="center" wrapText="1"/>
    </xf>
    <xf numFmtId="165" fontId="22" fillId="0" borderId="0" xfId="13" applyNumberFormat="1" applyFont="1" applyAlignment="1">
      <alignment horizontal="left" vertical="center" wrapText="1"/>
    </xf>
    <xf numFmtId="0" fontId="22" fillId="0" borderId="0" xfId="13" applyFont="1" applyAlignment="1">
      <alignment vertical="center"/>
    </xf>
    <xf numFmtId="0" fontId="39" fillId="0" borderId="0" xfId="13" applyFont="1" applyAlignment="1">
      <alignment vertical="center" wrapText="1"/>
    </xf>
    <xf numFmtId="0" fontId="5" fillId="0" borderId="0" xfId="13" applyFont="1"/>
    <xf numFmtId="167" fontId="22" fillId="0" borderId="0" xfId="13" applyNumberFormat="1" applyFont="1" applyAlignment="1">
      <alignment horizontal="left" vertical="center" wrapText="1"/>
    </xf>
    <xf numFmtId="0" fontId="39" fillId="0" borderId="0" xfId="13" applyFont="1" applyAlignment="1">
      <alignment vertical="center"/>
    </xf>
    <xf numFmtId="0" fontId="22" fillId="0" borderId="0" xfId="13" applyFont="1" applyAlignment="1">
      <alignment horizontal="left" vertical="center" wrapText="1"/>
    </xf>
    <xf numFmtId="2" fontId="22" fillId="0" borderId="0" xfId="13" applyNumberFormat="1" applyFont="1" applyAlignment="1">
      <alignment horizontal="left" vertical="center" wrapText="1"/>
    </xf>
    <xf numFmtId="165" fontId="5" fillId="0" borderId="0" xfId="13" applyNumberFormat="1" applyFont="1" applyAlignment="1">
      <alignment horizontal="left"/>
    </xf>
    <xf numFmtId="0" fontId="46" fillId="0" borderId="0" xfId="13"/>
    <xf numFmtId="165" fontId="22" fillId="0" borderId="0" xfId="13" applyNumberFormat="1" applyFont="1" applyAlignment="1">
      <alignment horizontal="left" vertical="top" wrapText="1"/>
    </xf>
    <xf numFmtId="0" fontId="22" fillId="0" borderId="0" xfId="13" applyFont="1" applyAlignment="1">
      <alignment vertical="top" wrapText="1"/>
    </xf>
    <xf numFmtId="0" fontId="19" fillId="0" borderId="39" xfId="13" applyFont="1" applyBorder="1" applyAlignment="1">
      <alignment horizontal="center" vertical="center" wrapText="1"/>
    </xf>
    <xf numFmtId="165" fontId="19" fillId="20" borderId="39" xfId="13" applyNumberFormat="1" applyFont="1" applyFill="1" applyBorder="1" applyAlignment="1">
      <alignment horizontal="center" vertical="center" wrapText="1"/>
    </xf>
    <xf numFmtId="3" fontId="19" fillId="0" borderId="39" xfId="13" applyNumberFormat="1" applyFont="1" applyBorder="1" applyAlignment="1">
      <alignment horizontal="center" vertical="center" wrapText="1"/>
    </xf>
    <xf numFmtId="2" fontId="19" fillId="0" borderId="39" xfId="13" applyNumberFormat="1" applyFont="1" applyBorder="1" applyAlignment="1">
      <alignment horizontal="center" vertical="center" wrapText="1"/>
    </xf>
    <xf numFmtId="2" fontId="19" fillId="8" borderId="38" xfId="13" applyNumberFormat="1" applyFont="1" applyFill="1" applyBorder="1" applyAlignment="1">
      <alignment horizontal="center" vertical="center" wrapText="1"/>
    </xf>
    <xf numFmtId="3" fontId="19" fillId="0" borderId="116" xfId="13" applyNumberFormat="1" applyFont="1" applyBorder="1" applyAlignment="1">
      <alignment horizontal="center" vertical="center" wrapText="1"/>
    </xf>
    <xf numFmtId="0" fontId="7" fillId="0" borderId="0" xfId="14" applyAlignment="1">
      <alignment horizontal="left" vertical="top"/>
    </xf>
    <xf numFmtId="0" fontId="5" fillId="0" borderId="0" xfId="13" applyFont="1" applyAlignment="1">
      <alignment wrapText="1"/>
    </xf>
    <xf numFmtId="0" fontId="13" fillId="0" borderId="0" xfId="5" applyFont="1" applyAlignment="1">
      <alignment horizontal="left" vertical="center"/>
    </xf>
    <xf numFmtId="0" fontId="7" fillId="0" borderId="0" xfId="5" applyBorder="1" applyAlignment="1"/>
    <xf numFmtId="0" fontId="47" fillId="0" borderId="0" xfId="5" applyFont="1" applyAlignment="1">
      <alignment horizontal="left" vertical="center"/>
    </xf>
    <xf numFmtId="0" fontId="47" fillId="0" borderId="0" xfId="5" applyFont="1" applyAlignment="1">
      <alignment vertical="center"/>
    </xf>
    <xf numFmtId="0" fontId="44" fillId="18" borderId="2" xfId="0" applyFont="1" applyFill="1" applyBorder="1" applyAlignment="1">
      <alignment horizontal="center" vertical="center"/>
    </xf>
    <xf numFmtId="0" fontId="48" fillId="0" borderId="0" xfId="5" applyFont="1" applyAlignment="1">
      <alignment horizontal="left" vertical="center"/>
    </xf>
    <xf numFmtId="3" fontId="42" fillId="0" borderId="0" xfId="0" applyNumberFormat="1" applyFont="1" applyAlignment="1">
      <alignment horizontal="center"/>
    </xf>
    <xf numFmtId="1" fontId="42" fillId="0" borderId="0" xfId="0" applyNumberFormat="1" applyFont="1" applyAlignment="1">
      <alignment horizontal="center" vertical="center" wrapText="1"/>
    </xf>
    <xf numFmtId="3" fontId="19" fillId="0" borderId="0" xfId="0" applyNumberFormat="1" applyFont="1" applyAlignment="1">
      <alignment horizontal="left"/>
    </xf>
    <xf numFmtId="1" fontId="19" fillId="0" borderId="0" xfId="0" applyNumberFormat="1" applyFont="1" applyAlignment="1">
      <alignment horizontal="left"/>
    </xf>
    <xf numFmtId="0" fontId="27" fillId="0" borderId="0" xfId="0" applyFont="1"/>
    <xf numFmtId="0" fontId="43" fillId="6" borderId="11" xfId="0" applyFont="1" applyFill="1" applyBorder="1" applyAlignment="1">
      <alignment horizontal="center" vertical="center" wrapText="1"/>
    </xf>
    <xf numFmtId="0" fontId="43" fillId="6" borderId="118" xfId="0" applyFont="1" applyFill="1" applyBorder="1" applyAlignment="1">
      <alignment horizontal="center" vertical="center" wrapText="1"/>
    </xf>
    <xf numFmtId="0" fontId="48" fillId="0" borderId="2" xfId="5" applyFont="1" applyBorder="1" applyAlignment="1">
      <alignment horizontal="center" vertical="center"/>
    </xf>
    <xf numFmtId="43" fontId="5" fillId="0" borderId="0" xfId="0" applyNumberFormat="1" applyFont="1" applyAlignment="1">
      <alignment vertical="center"/>
    </xf>
    <xf numFmtId="0" fontId="43" fillId="17" borderId="34" xfId="13" applyFont="1" applyFill="1" applyBorder="1" applyAlignment="1">
      <alignment horizontal="center" vertical="center" wrapText="1"/>
    </xf>
    <xf numFmtId="1" fontId="8" fillId="0" borderId="0" xfId="3" applyNumberFormat="1" applyFont="1" applyBorder="1" applyAlignment="1">
      <alignment horizontal="left" vertical="center" wrapText="1"/>
    </xf>
    <xf numFmtId="168" fontId="5" fillId="0" borderId="0" xfId="6" applyNumberFormat="1" applyFont="1" applyBorder="1" applyAlignment="1">
      <alignment horizontal="left" vertical="center" wrapText="1"/>
    </xf>
    <xf numFmtId="43" fontId="5" fillId="0" borderId="0" xfId="6" applyFont="1" applyBorder="1" applyAlignment="1">
      <alignment horizontal="left" vertical="center"/>
    </xf>
    <xf numFmtId="1" fontId="5" fillId="0" borderId="0" xfId="0" applyNumberFormat="1" applyFont="1" applyAlignment="1">
      <alignment vertical="center"/>
    </xf>
    <xf numFmtId="0" fontId="43" fillId="17" borderId="34" xfId="13" applyFont="1" applyFill="1" applyBorder="1" applyAlignment="1">
      <alignment horizontal="left" vertical="center" wrapText="1"/>
    </xf>
    <xf numFmtId="1" fontId="19" fillId="0" borderId="13" xfId="15" applyNumberFormat="1" applyFont="1" applyBorder="1" applyAlignment="1">
      <alignment horizontal="left" vertical="center"/>
    </xf>
    <xf numFmtId="3" fontId="19" fillId="22" borderId="118" xfId="13" applyNumberFormat="1" applyFont="1" applyFill="1" applyBorder="1" applyAlignment="1">
      <alignment horizontal="left" vertical="center"/>
    </xf>
    <xf numFmtId="3" fontId="19" fillId="22" borderId="118" xfId="15" applyNumberFormat="1" applyFont="1" applyFill="1" applyBorder="1" applyAlignment="1">
      <alignment horizontal="left" vertical="center"/>
    </xf>
    <xf numFmtId="1" fontId="19" fillId="0" borderId="3" xfId="15" applyNumberFormat="1" applyFont="1" applyBorder="1" applyAlignment="1">
      <alignment horizontal="left" vertical="center"/>
    </xf>
    <xf numFmtId="0" fontId="19" fillId="0" borderId="64" xfId="0" applyFont="1" applyBorder="1" applyAlignment="1">
      <alignment vertical="center"/>
    </xf>
    <xf numFmtId="3" fontId="1" fillId="0" borderId="3" xfId="1" applyNumberFormat="1" applyBorder="1" applyAlignment="1">
      <alignment horizontal="center" vertical="center" wrapText="1"/>
    </xf>
    <xf numFmtId="0" fontId="52" fillId="0" borderId="0" xfId="0" applyFont="1" applyAlignment="1">
      <alignment horizontal="center" vertical="center"/>
    </xf>
    <xf numFmtId="0" fontId="6" fillId="6" borderId="122" xfId="0" applyFont="1" applyFill="1" applyBorder="1" applyAlignment="1">
      <alignment horizontal="center" vertical="center"/>
    </xf>
    <xf numFmtId="0" fontId="6" fillId="10" borderId="122" xfId="0" applyFont="1" applyFill="1" applyBorder="1" applyAlignment="1">
      <alignment horizontal="center" vertical="center" wrapText="1"/>
    </xf>
    <xf numFmtId="0" fontId="32" fillId="26" borderId="123" xfId="0" applyFont="1" applyFill="1" applyBorder="1" applyAlignment="1">
      <alignment horizontal="left" vertical="center"/>
    </xf>
    <xf numFmtId="0" fontId="5" fillId="0" borderId="2" xfId="0" applyFont="1" applyBorder="1" applyAlignment="1">
      <alignment vertical="center" wrapText="1"/>
    </xf>
    <xf numFmtId="3" fontId="19" fillId="0" borderId="0" xfId="0" applyNumberFormat="1" applyFont="1" applyAlignment="1">
      <alignment horizontal="center"/>
    </xf>
    <xf numFmtId="3" fontId="19" fillId="0" borderId="0" xfId="0" applyNumberFormat="1" applyFont="1"/>
    <xf numFmtId="171" fontId="19" fillId="0" borderId="0" xfId="0" applyNumberFormat="1" applyFont="1"/>
    <xf numFmtId="1" fontId="19" fillId="0" borderId="0" xfId="0" applyNumberFormat="1" applyFont="1" applyAlignment="1">
      <alignment horizontal="center" vertical="center" wrapText="1"/>
    </xf>
    <xf numFmtId="1" fontId="45" fillId="0" borderId="1" xfId="0" applyNumberFormat="1" applyFont="1" applyBorder="1" applyAlignment="1">
      <alignment horizontal="center" vertical="center"/>
    </xf>
    <xf numFmtId="1" fontId="45" fillId="0" borderId="5" xfId="0" applyNumberFormat="1" applyFont="1" applyBorder="1" applyAlignment="1">
      <alignment horizontal="center" vertical="center"/>
    </xf>
    <xf numFmtId="1" fontId="45" fillId="8" borderId="2" xfId="0" applyNumberFormat="1" applyFont="1" applyFill="1" applyBorder="1" applyAlignment="1">
      <alignment horizontal="center" vertical="center"/>
    </xf>
    <xf numFmtId="1" fontId="45" fillId="8" borderId="7" xfId="0" applyNumberFormat="1" applyFont="1" applyFill="1" applyBorder="1" applyAlignment="1">
      <alignment horizontal="center" vertical="center"/>
    </xf>
    <xf numFmtId="0" fontId="23" fillId="25" borderId="12" xfId="0" applyFont="1" applyFill="1" applyBorder="1" applyAlignment="1">
      <alignment horizontal="center" vertical="center"/>
    </xf>
    <xf numFmtId="0" fontId="22" fillId="23" borderId="0" xfId="0" applyFont="1" applyFill="1" applyAlignment="1">
      <alignment vertical="center"/>
    </xf>
    <xf numFmtId="0" fontId="22" fillId="23" borderId="117" xfId="0" applyFont="1" applyFill="1" applyBorder="1" applyAlignment="1">
      <alignment vertical="center"/>
    </xf>
    <xf numFmtId="0" fontId="42" fillId="0" borderId="0" xfId="0" applyFont="1" applyAlignment="1">
      <alignment wrapText="1"/>
    </xf>
    <xf numFmtId="0" fontId="43" fillId="6" borderId="2" xfId="0" applyFont="1" applyFill="1" applyBorder="1" applyAlignment="1">
      <alignment horizontal="center" vertical="center" wrapText="1"/>
    </xf>
    <xf numFmtId="0" fontId="5" fillId="0" borderId="3" xfId="0" applyFont="1" applyBorder="1" applyAlignment="1">
      <alignment horizontal="center" vertical="center"/>
    </xf>
    <xf numFmtId="0" fontId="18" fillId="6" borderId="0" xfId="0" applyFont="1" applyFill="1" applyAlignment="1">
      <alignment horizontal="center" vertical="center" wrapText="1"/>
    </xf>
    <xf numFmtId="165" fontId="1" fillId="0" borderId="26" xfId="7" applyNumberFormat="1" applyFont="1" applyBorder="1" applyAlignment="1">
      <alignment horizontal="center" vertical="center"/>
    </xf>
    <xf numFmtId="165" fontId="19" fillId="0" borderId="26" xfId="7" applyNumberFormat="1" applyFont="1" applyBorder="1" applyAlignment="1">
      <alignment horizontal="center" vertical="center"/>
    </xf>
    <xf numFmtId="165" fontId="5" fillId="0" borderId="26" xfId="7" applyNumberFormat="1" applyFont="1" applyBorder="1" applyAlignment="1">
      <alignment horizontal="center" vertical="center"/>
    </xf>
    <xf numFmtId="165" fontId="1" fillId="0" borderId="3" xfId="7" applyNumberFormat="1" applyFont="1" applyBorder="1" applyAlignment="1">
      <alignment horizontal="center" vertical="center"/>
    </xf>
    <xf numFmtId="165" fontId="19" fillId="0" borderId="3" xfId="7" applyNumberFormat="1" applyFont="1" applyBorder="1" applyAlignment="1">
      <alignment horizontal="center" vertical="center"/>
    </xf>
    <xf numFmtId="165" fontId="5" fillId="0" borderId="3" xfId="7" applyNumberFormat="1" applyFont="1" applyBorder="1" applyAlignment="1">
      <alignment horizontal="center" vertical="center"/>
    </xf>
    <xf numFmtId="164" fontId="5" fillId="0" borderId="2" xfId="2" applyNumberFormat="1" applyFont="1" applyFill="1" applyBorder="1" applyAlignment="1">
      <alignment horizontal="center" vertical="center"/>
    </xf>
    <xf numFmtId="1" fontId="1" fillId="0" borderId="3" xfId="7" applyNumberFormat="1" applyFont="1" applyBorder="1" applyAlignment="1">
      <alignment horizontal="center" vertical="center"/>
    </xf>
    <xf numFmtId="1" fontId="1" fillId="0" borderId="26" xfId="7" applyNumberFormat="1" applyFont="1" applyBorder="1" applyAlignment="1">
      <alignment horizontal="center" vertical="center"/>
    </xf>
    <xf numFmtId="0" fontId="5" fillId="2" borderId="0" xfId="0" applyFont="1" applyFill="1"/>
    <xf numFmtId="0" fontId="0" fillId="2" borderId="0" xfId="0" applyFill="1"/>
    <xf numFmtId="0" fontId="19" fillId="0" borderId="26" xfId="0" applyFont="1" applyBorder="1" applyAlignment="1">
      <alignment horizontal="center" vertical="center"/>
    </xf>
    <xf numFmtId="0" fontId="19" fillId="0" borderId="26" xfId="3" applyFont="1" applyFill="1" applyBorder="1" applyAlignment="1">
      <alignment horizontal="center" vertical="center" wrapText="1"/>
    </xf>
    <xf numFmtId="0" fontId="5" fillId="0" borderId="10" xfId="0" applyFont="1" applyBorder="1" applyAlignment="1">
      <alignment horizontal="center" vertical="center"/>
    </xf>
    <xf numFmtId="0" fontId="8" fillId="0" borderId="11" xfId="3" applyFont="1" applyFill="1" applyBorder="1" applyAlignment="1">
      <alignment horizontal="center" vertical="center" wrapText="1"/>
    </xf>
    <xf numFmtId="0" fontId="43" fillId="10" borderId="12" xfId="0" applyFont="1" applyFill="1" applyBorder="1" applyAlignment="1">
      <alignment horizontal="center" vertical="center" wrapText="1"/>
    </xf>
    <xf numFmtId="167" fontId="19" fillId="0" borderId="64" xfId="0" applyNumberFormat="1" applyFont="1" applyBorder="1" applyAlignment="1">
      <alignment horizontal="center" vertical="center" wrapText="1"/>
    </xf>
    <xf numFmtId="0" fontId="5" fillId="7" borderId="64" xfId="0" applyFont="1" applyFill="1" applyBorder="1" applyAlignment="1">
      <alignment horizontal="center" vertical="center"/>
    </xf>
    <xf numFmtId="0" fontId="19" fillId="7" borderId="64" xfId="0" applyFont="1" applyFill="1" applyBorder="1" applyAlignment="1">
      <alignment horizontal="center" vertical="center"/>
    </xf>
    <xf numFmtId="167" fontId="19" fillId="7" borderId="64" xfId="0" applyNumberFormat="1" applyFont="1" applyFill="1" applyBorder="1" applyAlignment="1">
      <alignment horizontal="center" vertical="center" wrapText="1"/>
    </xf>
    <xf numFmtId="0" fontId="19" fillId="13" borderId="64" xfId="0" applyFont="1" applyFill="1" applyBorder="1" applyAlignment="1">
      <alignment horizontal="center" vertical="center"/>
    </xf>
    <xf numFmtId="0" fontId="5" fillId="5" borderId="64" xfId="0" applyFont="1" applyFill="1" applyBorder="1" applyAlignment="1">
      <alignment horizontal="center" vertical="center"/>
    </xf>
    <xf numFmtId="0" fontId="19" fillId="5" borderId="64" xfId="0" applyFont="1" applyFill="1" applyBorder="1" applyAlignment="1">
      <alignment horizontal="center" vertical="center" wrapText="1"/>
    </xf>
    <xf numFmtId="0" fontId="19" fillId="14" borderId="64" xfId="0" applyFont="1" applyFill="1" applyBorder="1" applyAlignment="1">
      <alignment horizontal="center" vertical="center"/>
    </xf>
    <xf numFmtId="0" fontId="5" fillId="3" borderId="64" xfId="0" applyFont="1" applyFill="1" applyBorder="1" applyAlignment="1">
      <alignment horizontal="center" vertical="center"/>
    </xf>
    <xf numFmtId="0" fontId="19" fillId="3" borderId="64" xfId="0" applyFont="1" applyFill="1" applyBorder="1" applyAlignment="1">
      <alignment horizontal="center" vertical="center" wrapText="1"/>
    </xf>
    <xf numFmtId="0" fontId="19" fillId="15" borderId="64" xfId="0" applyFont="1" applyFill="1" applyBorder="1" applyAlignment="1">
      <alignment horizontal="center" vertical="center"/>
    </xf>
    <xf numFmtId="0" fontId="19" fillId="11" borderId="64" xfId="0" applyFont="1" applyFill="1" applyBorder="1" applyAlignment="1">
      <alignment horizontal="center" vertical="center"/>
    </xf>
    <xf numFmtId="0" fontId="5" fillId="11" borderId="64" xfId="0" applyFont="1" applyFill="1" applyBorder="1" applyAlignment="1">
      <alignment horizontal="center" vertical="center"/>
    </xf>
    <xf numFmtId="0" fontId="1" fillId="11" borderId="64" xfId="0" applyFont="1" applyFill="1" applyBorder="1" applyAlignment="1">
      <alignment horizontal="center" vertical="center"/>
    </xf>
    <xf numFmtId="0" fontId="22" fillId="0" borderId="64" xfId="0" applyFont="1" applyBorder="1" applyAlignment="1">
      <alignment horizontal="center" vertical="center"/>
    </xf>
    <xf numFmtId="0" fontId="22" fillId="13" borderId="64" xfId="0" applyFont="1" applyFill="1" applyBorder="1" applyAlignment="1">
      <alignment horizontal="center" vertical="center"/>
    </xf>
    <xf numFmtId="0" fontId="5" fillId="5" borderId="64" xfId="0" applyFont="1" applyFill="1" applyBorder="1" applyAlignment="1">
      <alignment horizontal="center" vertical="center" wrapText="1"/>
    </xf>
    <xf numFmtId="0" fontId="22" fillId="14" borderId="64" xfId="0" applyFont="1" applyFill="1" applyBorder="1" applyAlignment="1">
      <alignment horizontal="center" vertical="center"/>
    </xf>
    <xf numFmtId="0" fontId="5" fillId="3" borderId="64" xfId="0" applyFont="1" applyFill="1" applyBorder="1" applyAlignment="1">
      <alignment horizontal="center" vertical="center" wrapText="1"/>
    </xf>
    <xf numFmtId="0" fontId="22" fillId="15" borderId="64" xfId="0" applyFont="1" applyFill="1" applyBorder="1" applyAlignment="1">
      <alignment horizontal="center" vertical="center"/>
    </xf>
    <xf numFmtId="0" fontId="1" fillId="11" borderId="64" xfId="0" applyFont="1" applyFill="1" applyBorder="1" applyAlignment="1">
      <alignment horizontal="center" vertical="center" wrapText="1"/>
    </xf>
    <xf numFmtId="2" fontId="5" fillId="0" borderId="64" xfId="0" applyNumberFormat="1" applyFont="1" applyBorder="1" applyAlignment="1">
      <alignment horizontal="center" vertical="center"/>
    </xf>
    <xf numFmtId="2" fontId="5" fillId="7" borderId="64" xfId="0" applyNumberFormat="1" applyFont="1" applyFill="1" applyBorder="1" applyAlignment="1">
      <alignment horizontal="center" vertical="center"/>
    </xf>
    <xf numFmtId="0" fontId="19" fillId="28" borderId="64" xfId="0" applyFont="1" applyFill="1" applyBorder="1" applyAlignment="1">
      <alignment horizontal="center" vertical="center"/>
    </xf>
    <xf numFmtId="0" fontId="19" fillId="5" borderId="64" xfId="0" applyFont="1" applyFill="1" applyBorder="1" applyAlignment="1">
      <alignment horizontal="center" vertical="center"/>
    </xf>
    <xf numFmtId="0" fontId="5" fillId="29" borderId="64" xfId="0" applyFont="1" applyFill="1" applyBorder="1" applyAlignment="1">
      <alignment horizontal="center" vertical="center"/>
    </xf>
    <xf numFmtId="0" fontId="1" fillId="29" borderId="64" xfId="0" applyFont="1" applyFill="1" applyBorder="1" applyAlignment="1">
      <alignment horizontal="center" vertical="center"/>
    </xf>
    <xf numFmtId="0" fontId="5" fillId="29" borderId="64" xfId="0" applyFont="1" applyFill="1" applyBorder="1" applyAlignment="1">
      <alignment horizontal="center" vertical="center" wrapText="1"/>
    </xf>
    <xf numFmtId="2" fontId="19" fillId="0" borderId="64" xfId="0" applyNumberFormat="1" applyFont="1" applyBorder="1" applyAlignment="1">
      <alignment horizontal="center" vertical="center"/>
    </xf>
    <xf numFmtId="2" fontId="19" fillId="7" borderId="64" xfId="0" applyNumberFormat="1" applyFont="1" applyFill="1" applyBorder="1" applyAlignment="1">
      <alignment horizontal="center" vertical="center"/>
    </xf>
    <xf numFmtId="0" fontId="19" fillId="3" borderId="64" xfId="0" applyFont="1" applyFill="1" applyBorder="1" applyAlignment="1">
      <alignment horizontal="center" vertical="center"/>
    </xf>
    <xf numFmtId="0" fontId="19" fillId="29" borderId="64" xfId="0" applyFont="1" applyFill="1" applyBorder="1" applyAlignment="1">
      <alignment horizontal="center" vertical="center"/>
    </xf>
    <xf numFmtId="0" fontId="19" fillId="29" borderId="64" xfId="0" applyFont="1" applyFill="1" applyBorder="1" applyAlignment="1">
      <alignment horizontal="center" vertical="center" wrapText="1"/>
    </xf>
    <xf numFmtId="49" fontId="19" fillId="29" borderId="64" xfId="0" applyNumberFormat="1" applyFont="1" applyFill="1" applyBorder="1" applyAlignment="1">
      <alignment horizontal="center" vertical="center" wrapText="1"/>
    </xf>
    <xf numFmtId="2" fontId="19" fillId="28" borderId="64" xfId="0" applyNumberFormat="1" applyFont="1" applyFill="1" applyBorder="1" applyAlignment="1">
      <alignment horizontal="center" vertical="center"/>
    </xf>
    <xf numFmtId="0" fontId="6" fillId="6" borderId="12" xfId="0" applyFont="1" applyFill="1" applyBorder="1" applyAlignment="1">
      <alignment horizontal="center" vertical="center" wrapText="1"/>
    </xf>
    <xf numFmtId="0" fontId="1" fillId="29" borderId="64" xfId="0" applyFont="1" applyFill="1" applyBorder="1" applyAlignment="1">
      <alignment horizontal="center" vertical="center" wrapText="1"/>
    </xf>
    <xf numFmtId="167" fontId="19" fillId="29" borderId="64" xfId="0" applyNumberFormat="1" applyFont="1" applyFill="1" applyBorder="1" applyAlignment="1">
      <alignment horizontal="center" vertical="center"/>
    </xf>
    <xf numFmtId="1" fontId="19" fillId="0" borderId="2" xfId="0" applyNumberFormat="1" applyFont="1" applyBorder="1" applyAlignment="1">
      <alignment horizontal="left" vertical="center"/>
    </xf>
    <xf numFmtId="168" fontId="19" fillId="0" borderId="2" xfId="6" applyNumberFormat="1" applyFont="1" applyBorder="1" applyAlignment="1">
      <alignment horizontal="center" vertical="center" wrapText="1"/>
    </xf>
    <xf numFmtId="3" fontId="19" fillId="0" borderId="2" xfId="7" applyNumberFormat="1" applyFont="1" applyBorder="1" applyAlignment="1">
      <alignment horizontal="center" vertical="center"/>
    </xf>
    <xf numFmtId="0" fontId="45" fillId="0" borderId="5" xfId="0" applyFont="1" applyBorder="1" applyAlignment="1">
      <alignment horizontal="center" vertical="center"/>
    </xf>
    <xf numFmtId="0" fontId="45" fillId="0" borderId="7" xfId="0" applyFont="1" applyBorder="1" applyAlignment="1">
      <alignment horizontal="center" vertical="center"/>
    </xf>
    <xf numFmtId="0" fontId="45" fillId="0" borderId="9" xfId="0" applyFont="1" applyBorder="1" applyAlignment="1">
      <alignment horizontal="center" vertical="center"/>
    </xf>
    <xf numFmtId="0" fontId="45" fillId="0" borderId="12" xfId="0" applyFont="1" applyBorder="1" applyAlignment="1">
      <alignment horizontal="center" vertical="center"/>
    </xf>
    <xf numFmtId="0" fontId="45" fillId="0" borderId="105" xfId="0" applyFont="1" applyBorder="1" applyAlignment="1">
      <alignment horizontal="center" vertical="center"/>
    </xf>
    <xf numFmtId="0" fontId="0" fillId="0" borderId="0" xfId="0" applyAlignment="1">
      <alignment vertical="center"/>
    </xf>
    <xf numFmtId="0" fontId="45" fillId="0" borderId="17" xfId="0" applyFont="1" applyBorder="1" applyAlignment="1">
      <alignment horizontal="center" vertical="center"/>
    </xf>
    <xf numFmtId="0" fontId="54" fillId="0" borderId="0" xfId="0" applyFont="1"/>
    <xf numFmtId="0" fontId="53" fillId="0" borderId="0" xfId="0" applyFont="1" applyAlignment="1">
      <alignment horizontal="left" vertical="center" wrapText="1" indent="1"/>
    </xf>
    <xf numFmtId="0" fontId="6" fillId="17" borderId="34" xfId="13" applyFont="1" applyFill="1" applyBorder="1" applyAlignment="1">
      <alignment horizontal="center" vertical="center" wrapText="1"/>
    </xf>
    <xf numFmtId="0" fontId="19" fillId="0" borderId="3" xfId="0" applyFont="1" applyBorder="1" applyAlignment="1">
      <alignment horizontal="center" vertical="center" wrapText="1"/>
    </xf>
    <xf numFmtId="0" fontId="19" fillId="0" borderId="13" xfId="0" applyFont="1" applyBorder="1" applyAlignment="1">
      <alignment horizontal="center" vertical="center" wrapText="1"/>
    </xf>
    <xf numFmtId="0" fontId="19" fillId="0" borderId="142" xfId="0" applyFont="1" applyBorder="1" applyAlignment="1">
      <alignment horizontal="center" vertical="center" wrapText="1"/>
    </xf>
    <xf numFmtId="0" fontId="22" fillId="0" borderId="142" xfId="0" applyFont="1" applyBorder="1" applyAlignment="1">
      <alignment horizontal="center" vertical="center" wrapText="1"/>
    </xf>
    <xf numFmtId="0" fontId="19" fillId="0" borderId="147" xfId="0" applyFont="1" applyBorder="1" applyAlignment="1">
      <alignment horizontal="center" vertical="center" wrapText="1"/>
    </xf>
    <xf numFmtId="0" fontId="19" fillId="0" borderId="130" xfId="0" applyFont="1" applyBorder="1" applyAlignment="1">
      <alignment horizontal="left" vertical="center" wrapText="1"/>
    </xf>
    <xf numFmtId="0" fontId="19" fillId="0" borderId="131" xfId="0" applyFont="1" applyBorder="1" applyAlignment="1">
      <alignment horizontal="left" vertical="center" wrapText="1"/>
    </xf>
    <xf numFmtId="0" fontId="19" fillId="0" borderId="133" xfId="0" applyFont="1" applyBorder="1" applyAlignment="1">
      <alignment horizontal="center" vertical="center" wrapText="1"/>
    </xf>
    <xf numFmtId="0" fontId="19" fillId="0" borderId="148" xfId="0" applyFont="1" applyBorder="1" applyAlignment="1">
      <alignment horizontal="center" vertical="center" wrapText="1"/>
    </xf>
    <xf numFmtId="0" fontId="19" fillId="0" borderId="134" xfId="0" applyFont="1" applyBorder="1" applyAlignment="1">
      <alignment horizontal="left" vertical="center" wrapText="1"/>
    </xf>
    <xf numFmtId="0" fontId="19" fillId="0" borderId="132" xfId="0" applyFont="1" applyBorder="1" applyAlignment="1">
      <alignment horizontal="left" vertical="center" wrapText="1"/>
    </xf>
    <xf numFmtId="0" fontId="5" fillId="0" borderId="142" xfId="0" applyFont="1" applyBorder="1" applyAlignment="1">
      <alignment horizontal="center" vertical="center" wrapText="1"/>
    </xf>
    <xf numFmtId="0" fontId="19" fillId="0" borderId="34" xfId="13" applyFont="1" applyBorder="1" applyAlignment="1">
      <alignment horizontal="center" vertical="center" wrapText="1"/>
    </xf>
    <xf numFmtId="165" fontId="19" fillId="20" borderId="34" xfId="13" applyNumberFormat="1" applyFont="1" applyFill="1" applyBorder="1" applyAlignment="1">
      <alignment horizontal="center" vertical="center" wrapText="1"/>
    </xf>
    <xf numFmtId="3" fontId="19" fillId="0" borderId="34" xfId="13" applyNumberFormat="1" applyFont="1" applyBorder="1" applyAlignment="1">
      <alignment horizontal="center" vertical="center" wrapText="1"/>
    </xf>
    <xf numFmtId="2" fontId="19" fillId="0" borderId="34" xfId="13" applyNumberFormat="1" applyFont="1" applyBorder="1" applyAlignment="1">
      <alignment horizontal="center" vertical="center" wrapText="1"/>
    </xf>
    <xf numFmtId="2" fontId="19" fillId="8" borderId="36" xfId="13" applyNumberFormat="1" applyFont="1" applyFill="1" applyBorder="1" applyAlignment="1">
      <alignment horizontal="center" vertical="center" wrapText="1"/>
    </xf>
    <xf numFmtId="3" fontId="19" fillId="0" borderId="115" xfId="13" applyNumberFormat="1" applyFont="1" applyBorder="1" applyAlignment="1">
      <alignment horizontal="center" vertical="center" wrapText="1"/>
    </xf>
    <xf numFmtId="0" fontId="19" fillId="0" borderId="152" xfId="13" applyFont="1" applyBorder="1"/>
    <xf numFmtId="0" fontId="19" fillId="0" borderId="153" xfId="13" applyFont="1" applyBorder="1" applyAlignment="1">
      <alignment horizontal="center" vertical="center" wrapText="1"/>
    </xf>
    <xf numFmtId="165" fontId="19" fillId="20" borderId="153" xfId="13" applyNumberFormat="1" applyFont="1" applyFill="1" applyBorder="1" applyAlignment="1">
      <alignment horizontal="center" vertical="center" wrapText="1"/>
    </xf>
    <xf numFmtId="3" fontId="19" fillId="0" borderId="153" xfId="13" applyNumberFormat="1" applyFont="1" applyBorder="1" applyAlignment="1">
      <alignment horizontal="center" vertical="center" wrapText="1"/>
    </xf>
    <xf numFmtId="2" fontId="19" fillId="0" borderId="153" xfId="13" applyNumberFormat="1" applyFont="1" applyBorder="1" applyAlignment="1">
      <alignment horizontal="center" vertical="center" wrapText="1"/>
    </xf>
    <xf numFmtId="2" fontId="19" fillId="8" borderId="153" xfId="13" applyNumberFormat="1" applyFont="1" applyFill="1" applyBorder="1" applyAlignment="1">
      <alignment horizontal="center" vertical="center" wrapText="1"/>
    </xf>
    <xf numFmtId="3" fontId="19" fillId="0" borderId="154" xfId="13" applyNumberFormat="1" applyFont="1" applyBorder="1" applyAlignment="1">
      <alignment horizontal="center" vertical="center" wrapText="1"/>
    </xf>
    <xf numFmtId="0" fontId="19" fillId="0" borderId="156" xfId="13" applyFont="1" applyBorder="1"/>
    <xf numFmtId="0" fontId="19" fillId="0" borderId="158" xfId="13" applyFont="1" applyBorder="1"/>
    <xf numFmtId="0" fontId="19" fillId="0" borderId="159" xfId="13" applyFont="1" applyBorder="1" applyAlignment="1">
      <alignment horizontal="center" vertical="center" wrapText="1"/>
    </xf>
    <xf numFmtId="165" fontId="19" fillId="20" borderId="159" xfId="13" applyNumberFormat="1" applyFont="1" applyFill="1" applyBorder="1" applyAlignment="1">
      <alignment horizontal="center" vertical="center" wrapText="1"/>
    </xf>
    <xf numFmtId="3" fontId="19" fillId="0" borderId="159" xfId="13" applyNumberFormat="1" applyFont="1" applyBorder="1" applyAlignment="1">
      <alignment horizontal="center" vertical="center" wrapText="1"/>
    </xf>
    <xf numFmtId="2" fontId="19" fillId="0" borderId="159" xfId="13" applyNumberFormat="1" applyFont="1" applyBorder="1" applyAlignment="1">
      <alignment horizontal="center" vertical="center" wrapText="1"/>
    </xf>
    <xf numFmtId="2" fontId="19" fillId="8" borderId="160" xfId="13" applyNumberFormat="1" applyFont="1" applyFill="1" applyBorder="1" applyAlignment="1">
      <alignment horizontal="center" vertical="center" wrapText="1"/>
    </xf>
    <xf numFmtId="3" fontId="19" fillId="0" borderId="161" xfId="13" applyNumberFormat="1" applyFont="1" applyBorder="1" applyAlignment="1">
      <alignment horizontal="center" vertical="center" wrapText="1"/>
    </xf>
    <xf numFmtId="0" fontId="19" fillId="0" borderId="163" xfId="13" applyFont="1" applyBorder="1"/>
    <xf numFmtId="1" fontId="19" fillId="0" borderId="26" xfId="0" applyNumberFormat="1" applyFont="1" applyBorder="1" applyAlignment="1">
      <alignment horizontal="center" vertical="center"/>
    </xf>
    <xf numFmtId="3" fontId="19" fillId="0" borderId="26" xfId="0" applyNumberFormat="1" applyFont="1" applyBorder="1" applyAlignment="1">
      <alignment horizontal="left" vertical="center"/>
    </xf>
    <xf numFmtId="0" fontId="19" fillId="0" borderId="124" xfId="0" applyFont="1" applyBorder="1" applyAlignment="1">
      <alignment horizontal="center" vertical="center"/>
    </xf>
    <xf numFmtId="0" fontId="1" fillId="0" borderId="0" xfId="0" applyFont="1" applyAlignment="1">
      <alignment horizontal="center"/>
    </xf>
    <xf numFmtId="0" fontId="1" fillId="0" borderId="0" xfId="0" applyFont="1" applyAlignment="1">
      <alignment horizontal="center" vertical="center" wrapText="1"/>
    </xf>
    <xf numFmtId="1" fontId="19" fillId="0" borderId="125" xfId="0" applyNumberFormat="1" applyFont="1" applyBorder="1" applyAlignment="1">
      <alignment horizontal="center" vertical="center"/>
    </xf>
    <xf numFmtId="0" fontId="19" fillId="0" borderId="164" xfId="0" applyFont="1" applyBorder="1" applyAlignment="1">
      <alignment horizontal="center" vertical="center"/>
    </xf>
    <xf numFmtId="2" fontId="21" fillId="0" borderId="4" xfId="0" applyNumberFormat="1" applyFont="1" applyBorder="1" applyAlignment="1">
      <alignment horizontal="center" vertical="center"/>
    </xf>
    <xf numFmtId="2" fontId="45" fillId="0" borderId="1" xfId="0" applyNumberFormat="1" applyFont="1" applyBorder="1" applyAlignment="1">
      <alignment horizontal="center" vertical="center"/>
    </xf>
    <xf numFmtId="2" fontId="45" fillId="0" borderId="5" xfId="0" applyNumberFormat="1" applyFont="1" applyBorder="1" applyAlignment="1">
      <alignment horizontal="center" vertical="center"/>
    </xf>
    <xf numFmtId="2" fontId="45" fillId="0" borderId="7" xfId="0" applyNumberFormat="1" applyFont="1" applyBorder="1" applyAlignment="1">
      <alignment horizontal="center" vertical="center"/>
    </xf>
    <xf numFmtId="2" fontId="45" fillId="8" borderId="2" xfId="0" applyNumberFormat="1" applyFont="1" applyFill="1" applyBorder="1" applyAlignment="1">
      <alignment horizontal="center" vertical="center"/>
    </xf>
    <xf numFmtId="1" fontId="45" fillId="0" borderId="17" xfId="0" applyNumberFormat="1" applyFont="1" applyBorder="1" applyAlignment="1">
      <alignment horizontal="center" vertical="center"/>
    </xf>
    <xf numFmtId="1" fontId="45" fillId="0" borderId="97" xfId="0" applyNumberFormat="1" applyFont="1" applyBorder="1" applyAlignment="1">
      <alignment horizontal="center" vertical="center"/>
    </xf>
    <xf numFmtId="2" fontId="21" fillId="0" borderId="11" xfId="0" applyNumberFormat="1" applyFont="1" applyBorder="1" applyAlignment="1">
      <alignment horizontal="center" vertical="center"/>
    </xf>
    <xf numFmtId="2" fontId="21" fillId="0" borderId="55" xfId="0" applyNumberFormat="1" applyFont="1" applyBorder="1" applyAlignment="1">
      <alignment horizontal="center" vertical="center"/>
    </xf>
    <xf numFmtId="0" fontId="21" fillId="0" borderId="168" xfId="0" applyFont="1" applyBorder="1" applyAlignment="1">
      <alignment horizontal="center" vertical="center"/>
    </xf>
    <xf numFmtId="0" fontId="21" fillId="0" borderId="169" xfId="0" applyFont="1" applyBorder="1" applyAlignment="1">
      <alignment horizontal="center" vertical="center"/>
    </xf>
    <xf numFmtId="0" fontId="45" fillId="0" borderId="170" xfId="0" applyFont="1" applyBorder="1" applyAlignment="1">
      <alignment horizontal="center" vertical="center"/>
    </xf>
    <xf numFmtId="0" fontId="45" fillId="0" borderId="171" xfId="0" applyFont="1" applyBorder="1" applyAlignment="1">
      <alignment horizontal="center" vertical="center"/>
    </xf>
    <xf numFmtId="0" fontId="21" fillId="0" borderId="172" xfId="0" applyFont="1" applyBorder="1" applyAlignment="1">
      <alignment horizontal="center" vertical="center"/>
    </xf>
    <xf numFmtId="2" fontId="45" fillId="0" borderId="4" xfId="0" applyNumberFormat="1" applyFont="1" applyBorder="1" applyAlignment="1">
      <alignment horizontal="center" vertical="center"/>
    </xf>
    <xf numFmtId="2" fontId="45" fillId="0" borderId="6" xfId="0" applyNumberFormat="1" applyFont="1" applyBorder="1" applyAlignment="1">
      <alignment horizontal="center" vertical="center"/>
    </xf>
    <xf numFmtId="2" fontId="45" fillId="0" borderId="104" xfId="0" applyNumberFormat="1" applyFont="1" applyBorder="1" applyAlignment="1">
      <alignment horizontal="center" vertical="center"/>
    </xf>
    <xf numFmtId="2" fontId="45" fillId="0" borderId="12" xfId="0" applyNumberFormat="1" applyFont="1" applyBorder="1" applyAlignment="1">
      <alignment horizontal="center" vertical="center"/>
    </xf>
    <xf numFmtId="2" fontId="45" fillId="0" borderId="105" xfId="0" applyNumberFormat="1" applyFont="1" applyBorder="1" applyAlignment="1">
      <alignment horizontal="center" vertical="center"/>
    </xf>
    <xf numFmtId="1" fontId="45" fillId="0" borderId="4" xfId="0" applyNumberFormat="1" applyFont="1" applyBorder="1" applyAlignment="1">
      <alignment horizontal="center" vertical="center"/>
    </xf>
    <xf numFmtId="1" fontId="45" fillId="8" borderId="6" xfId="0" applyNumberFormat="1" applyFont="1" applyFill="1" applyBorder="1" applyAlignment="1">
      <alignment horizontal="center" vertical="center"/>
    </xf>
    <xf numFmtId="1" fontId="21" fillId="8" borderId="104" xfId="0" applyNumberFormat="1" applyFont="1" applyFill="1" applyBorder="1" applyAlignment="1">
      <alignment horizontal="center" vertical="center"/>
    </xf>
    <xf numFmtId="1" fontId="21" fillId="8" borderId="12" xfId="0" applyNumberFormat="1" applyFont="1" applyFill="1" applyBorder="1" applyAlignment="1">
      <alignment horizontal="center" vertical="center"/>
    </xf>
    <xf numFmtId="1" fontId="21" fillId="8" borderId="105" xfId="0" applyNumberFormat="1" applyFont="1" applyFill="1" applyBorder="1" applyAlignment="1">
      <alignment horizontal="center" vertical="center"/>
    </xf>
    <xf numFmtId="2" fontId="45" fillId="8" borderId="6" xfId="0" applyNumberFormat="1" applyFont="1" applyFill="1" applyBorder="1" applyAlignment="1">
      <alignment horizontal="center" vertical="center"/>
    </xf>
    <xf numFmtId="2" fontId="45" fillId="8" borderId="7" xfId="0" applyNumberFormat="1" applyFont="1" applyFill="1" applyBorder="1" applyAlignment="1">
      <alignment horizontal="center" vertical="center"/>
    </xf>
    <xf numFmtId="2" fontId="21" fillId="8" borderId="8" xfId="0" applyNumberFormat="1" applyFont="1" applyFill="1" applyBorder="1" applyAlignment="1">
      <alignment horizontal="center" vertical="center"/>
    </xf>
    <xf numFmtId="2" fontId="21" fillId="8" borderId="27" xfId="0" applyNumberFormat="1" applyFont="1" applyFill="1" applyBorder="1" applyAlignment="1">
      <alignment horizontal="center" vertical="center"/>
    </xf>
    <xf numFmtId="2" fontId="21" fillId="8" borderId="9" xfId="0" applyNumberFormat="1" applyFont="1" applyFill="1" applyBorder="1" applyAlignment="1">
      <alignment horizontal="center" vertical="center"/>
    </xf>
    <xf numFmtId="0" fontId="21" fillId="0" borderId="171" xfId="0" applyFont="1" applyBorder="1" applyAlignment="1">
      <alignment horizontal="center" vertical="center"/>
    </xf>
    <xf numFmtId="1" fontId="45" fillId="8" borderId="104" xfId="0" applyNumberFormat="1" applyFont="1" applyFill="1" applyBorder="1" applyAlignment="1">
      <alignment horizontal="center" vertical="center"/>
    </xf>
    <xf numFmtId="1" fontId="45" fillId="8" borderId="12" xfId="0" applyNumberFormat="1" applyFont="1" applyFill="1" applyBorder="1" applyAlignment="1">
      <alignment horizontal="center" vertical="center"/>
    </xf>
    <xf numFmtId="1" fontId="45" fillId="8" borderId="105" xfId="0" applyNumberFormat="1" applyFont="1" applyFill="1" applyBorder="1" applyAlignment="1">
      <alignment horizontal="center" vertical="center"/>
    </xf>
    <xf numFmtId="0" fontId="45" fillId="0" borderId="165" xfId="0" applyFont="1" applyBorder="1" applyAlignment="1">
      <alignment horizontal="center" vertical="center"/>
    </xf>
    <xf numFmtId="0" fontId="45" fillId="0" borderId="10" xfId="0" applyFont="1" applyBorder="1" applyAlignment="1">
      <alignment horizontal="center" vertical="center"/>
    </xf>
    <xf numFmtId="0" fontId="45" fillId="0" borderId="166" xfId="0" applyFont="1" applyBorder="1" applyAlignment="1">
      <alignment horizontal="center" vertical="center"/>
    </xf>
    <xf numFmtId="0" fontId="45" fillId="0" borderId="4" xfId="0" applyFont="1" applyBorder="1" applyAlignment="1">
      <alignment horizontal="center" vertical="center"/>
    </xf>
    <xf numFmtId="0" fontId="45" fillId="0" borderId="6" xfId="0" applyFont="1" applyBorder="1" applyAlignment="1">
      <alignment horizontal="center" vertical="center"/>
    </xf>
    <xf numFmtId="0" fontId="45" fillId="0" borderId="8" xfId="0" applyFont="1" applyBorder="1" applyAlignment="1">
      <alignment horizontal="center" vertical="center"/>
    </xf>
    <xf numFmtId="0" fontId="45" fillId="0" borderId="104" xfId="0" applyFont="1" applyBorder="1" applyAlignment="1">
      <alignment horizontal="center" vertical="center"/>
    </xf>
    <xf numFmtId="0" fontId="45" fillId="0" borderId="97" xfId="0" applyFont="1" applyBorder="1" applyAlignment="1">
      <alignment horizontal="center" vertical="center"/>
    </xf>
    <xf numFmtId="0" fontId="45" fillId="0" borderId="175" xfId="0" applyFont="1" applyBorder="1" applyAlignment="1">
      <alignment horizontal="center" vertical="center"/>
    </xf>
    <xf numFmtId="0" fontId="45" fillId="0" borderId="0" xfId="0" applyFont="1" applyAlignment="1">
      <alignment horizontal="center" vertical="center"/>
    </xf>
    <xf numFmtId="167" fontId="19" fillId="0" borderId="64" xfId="0" applyNumberFormat="1" applyFont="1" applyBorder="1" applyAlignment="1">
      <alignment horizontal="left" vertical="center" wrapText="1"/>
    </xf>
    <xf numFmtId="0" fontId="19" fillId="0" borderId="180" xfId="0" applyFont="1" applyBorder="1"/>
    <xf numFmtId="0" fontId="19" fillId="0" borderId="124" xfId="0" applyFont="1" applyBorder="1" applyAlignment="1">
      <alignment wrapText="1"/>
    </xf>
    <xf numFmtId="0" fontId="19" fillId="0" borderId="2" xfId="0" applyFont="1" applyBorder="1"/>
    <xf numFmtId="0" fontId="19" fillId="0" borderId="26" xfId="0" applyFont="1" applyBorder="1" applyAlignment="1">
      <alignment wrapText="1"/>
    </xf>
    <xf numFmtId="0" fontId="23" fillId="0" borderId="0" xfId="0" applyFont="1" applyAlignment="1">
      <alignment vertical="center"/>
    </xf>
    <xf numFmtId="0" fontId="5" fillId="0" borderId="0" xfId="4" applyAlignment="1">
      <alignment vertical="center"/>
    </xf>
    <xf numFmtId="9" fontId="5" fillId="0" borderId="0" xfId="2" applyFont="1" applyFill="1" applyBorder="1" applyAlignment="1">
      <alignment vertical="center"/>
    </xf>
    <xf numFmtId="9" fontId="5" fillId="0" borderId="0" xfId="0" applyNumberFormat="1" applyFont="1"/>
    <xf numFmtId="10" fontId="55" fillId="0" borderId="0" xfId="0" applyNumberFormat="1" applyFont="1"/>
    <xf numFmtId="9" fontId="22" fillId="0" borderId="39" xfId="0" applyNumberFormat="1" applyFont="1" applyBorder="1" applyAlignment="1">
      <alignment horizontal="center" vertical="center"/>
    </xf>
    <xf numFmtId="10" fontId="22" fillId="0" borderId="39" xfId="0" applyNumberFormat="1" applyFont="1" applyBorder="1" applyAlignment="1">
      <alignment horizontal="center" vertical="center"/>
    </xf>
    <xf numFmtId="9" fontId="0" fillId="0" borderId="0" xfId="0" applyNumberFormat="1"/>
    <xf numFmtId="10" fontId="5" fillId="0" borderId="0" xfId="0" applyNumberFormat="1" applyFont="1" applyAlignment="1">
      <alignment vertical="center"/>
    </xf>
    <xf numFmtId="10" fontId="5" fillId="0" borderId="0" xfId="4" applyNumberFormat="1" applyAlignment="1">
      <alignment horizontal="center" vertical="center"/>
    </xf>
    <xf numFmtId="10" fontId="5" fillId="0" borderId="0" xfId="0" applyNumberFormat="1" applyFont="1"/>
    <xf numFmtId="167" fontId="19" fillId="0" borderId="64" xfId="0" applyNumberFormat="1" applyFont="1" applyBorder="1" applyAlignment="1">
      <alignment horizontal="center" vertical="center"/>
    </xf>
    <xf numFmtId="0" fontId="22" fillId="0" borderId="188" xfId="0" applyFont="1" applyBorder="1" applyAlignment="1">
      <alignment horizontal="center" vertical="center"/>
    </xf>
    <xf numFmtId="0" fontId="19" fillId="0" borderId="107" xfId="0" applyFont="1" applyBorder="1" applyAlignment="1">
      <alignment wrapText="1"/>
    </xf>
    <xf numFmtId="3" fontId="19" fillId="0" borderId="107" xfId="0" applyNumberFormat="1" applyFont="1" applyBorder="1" applyAlignment="1">
      <alignment horizontal="center"/>
    </xf>
    <xf numFmtId="0" fontId="19" fillId="0" borderId="107" xfId="0" applyFont="1" applyBorder="1"/>
    <xf numFmtId="1" fontId="19" fillId="0" borderId="107" xfId="0" applyNumberFormat="1" applyFont="1" applyBorder="1" applyAlignment="1">
      <alignment horizontal="center" vertical="center" wrapText="1"/>
    </xf>
    <xf numFmtId="0" fontId="19" fillId="0" borderId="12" xfId="0" applyFont="1" applyBorder="1"/>
    <xf numFmtId="0" fontId="56" fillId="0" borderId="170" xfId="0" applyFont="1" applyBorder="1" applyAlignment="1">
      <alignment horizontal="center" vertical="center"/>
    </xf>
    <xf numFmtId="0" fontId="56" fillId="0" borderId="165" xfId="0" applyFont="1" applyBorder="1" applyAlignment="1">
      <alignment horizontal="center" vertical="center"/>
    </xf>
    <xf numFmtId="0" fontId="57" fillId="0" borderId="171" xfId="0" applyFont="1" applyBorder="1" applyAlignment="1">
      <alignment horizontal="center" vertical="center"/>
    </xf>
    <xf numFmtId="0" fontId="58" fillId="0" borderId="26" xfId="0" applyFont="1" applyBorder="1" applyAlignment="1">
      <alignment horizontal="center" vertical="center" wrapText="1"/>
    </xf>
    <xf numFmtId="0" fontId="58" fillId="30" borderId="26" xfId="0" applyFont="1" applyFill="1" applyBorder="1" applyAlignment="1">
      <alignment horizontal="center" vertical="center" wrapText="1"/>
    </xf>
    <xf numFmtId="1" fontId="21" fillId="0" borderId="5" xfId="0" applyNumberFormat="1" applyFont="1" applyBorder="1" applyAlignment="1">
      <alignment horizontal="center" vertical="center"/>
    </xf>
    <xf numFmtId="0" fontId="56" fillId="0" borderId="4" xfId="0" applyFont="1" applyBorder="1" applyAlignment="1">
      <alignment horizontal="center" vertical="center"/>
    </xf>
    <xf numFmtId="0" fontId="5" fillId="0" borderId="6" xfId="0" applyFont="1" applyBorder="1" applyAlignment="1">
      <alignment horizontal="center" vertical="center"/>
    </xf>
    <xf numFmtId="0" fontId="5" fillId="0" borderId="8" xfId="0" applyFont="1" applyBorder="1" applyAlignment="1">
      <alignment horizontal="center" vertical="center"/>
    </xf>
    <xf numFmtId="0" fontId="56" fillId="0" borderId="175" xfId="0" applyFont="1" applyBorder="1" applyAlignment="1">
      <alignment horizontal="center" vertical="center"/>
    </xf>
    <xf numFmtId="2" fontId="45" fillId="0" borderId="17" xfId="0" applyNumberFormat="1" applyFont="1" applyBorder="1" applyAlignment="1">
      <alignment horizontal="center" vertical="center"/>
    </xf>
    <xf numFmtId="2" fontId="45" fillId="0" borderId="97" xfId="0" applyNumberFormat="1" applyFont="1" applyBorder="1" applyAlignment="1">
      <alignment horizontal="center" vertical="center"/>
    </xf>
    <xf numFmtId="0" fontId="57" fillId="0" borderId="172" xfId="0" applyFont="1" applyBorder="1" applyAlignment="1">
      <alignment horizontal="center" vertical="center"/>
    </xf>
    <xf numFmtId="2" fontId="21" fillId="0" borderId="54" xfId="0" applyNumberFormat="1" applyFont="1" applyBorder="1" applyAlignment="1">
      <alignment horizontal="center" vertical="center"/>
    </xf>
    <xf numFmtId="2" fontId="21" fillId="0" borderId="15" xfId="0" applyNumberFormat="1" applyFont="1" applyBorder="1" applyAlignment="1">
      <alignment horizontal="center" vertical="center"/>
    </xf>
    <xf numFmtId="2" fontId="21" fillId="0" borderId="20" xfId="0" applyNumberFormat="1" applyFont="1" applyBorder="1" applyAlignment="1">
      <alignment horizontal="center" vertical="center"/>
    </xf>
    <xf numFmtId="1" fontId="21" fillId="0" borderId="54" xfId="0" applyNumberFormat="1" applyFont="1" applyBorder="1" applyAlignment="1">
      <alignment horizontal="center" vertical="center"/>
    </xf>
    <xf numFmtId="1" fontId="21" fillId="8" borderId="11" xfId="0" applyNumberFormat="1" applyFont="1" applyFill="1" applyBorder="1" applyAlignment="1">
      <alignment horizontal="center" vertical="center"/>
    </xf>
    <xf numFmtId="1" fontId="21" fillId="8" borderId="55" xfId="0" applyNumberFormat="1" applyFont="1" applyFill="1" applyBorder="1" applyAlignment="1">
      <alignment horizontal="center" vertical="center"/>
    </xf>
    <xf numFmtId="1" fontId="21" fillId="0" borderId="20" xfId="0" applyNumberFormat="1" applyFont="1" applyBorder="1" applyAlignment="1">
      <alignment horizontal="center" vertical="center"/>
    </xf>
    <xf numFmtId="1" fontId="21" fillId="8" borderId="15" xfId="0" applyNumberFormat="1" applyFont="1" applyFill="1" applyBorder="1" applyAlignment="1">
      <alignment horizontal="center" vertical="center"/>
    </xf>
    <xf numFmtId="0" fontId="5" fillId="0" borderId="197" xfId="0" applyFont="1" applyBorder="1" applyAlignment="1">
      <alignment horizontal="center" vertical="center"/>
    </xf>
    <xf numFmtId="0" fontId="57" fillId="0" borderId="198" xfId="0" applyFont="1" applyBorder="1" applyAlignment="1">
      <alignment horizontal="center" vertical="center"/>
    </xf>
    <xf numFmtId="0" fontId="57" fillId="0" borderId="168" xfId="0" applyFont="1" applyBorder="1" applyAlignment="1">
      <alignment horizontal="center" vertical="center"/>
    </xf>
    <xf numFmtId="0" fontId="57" fillId="0" borderId="169" xfId="0" applyFont="1" applyBorder="1" applyAlignment="1">
      <alignment horizontal="center" vertical="center"/>
    </xf>
    <xf numFmtId="0" fontId="21" fillId="0" borderId="167" xfId="0" applyFont="1" applyBorder="1" applyAlignment="1">
      <alignment horizontal="center" vertical="center"/>
    </xf>
    <xf numFmtId="0" fontId="21" fillId="0" borderId="198" xfId="0" applyFont="1" applyBorder="1" applyAlignment="1">
      <alignment horizontal="center" vertical="center"/>
    </xf>
    <xf numFmtId="0" fontId="21" fillId="0" borderId="196" xfId="0" applyFont="1" applyBorder="1" applyAlignment="1">
      <alignment horizontal="center" vertical="center"/>
    </xf>
    <xf numFmtId="2" fontId="45" fillId="0" borderId="87" xfId="0" applyNumberFormat="1" applyFont="1" applyBorder="1" applyAlignment="1">
      <alignment horizontal="center" vertical="center"/>
    </xf>
    <xf numFmtId="2" fontId="45" fillId="0" borderId="72" xfId="0" applyNumberFormat="1" applyFont="1" applyBorder="1" applyAlignment="1">
      <alignment horizontal="center" vertical="center"/>
    </xf>
    <xf numFmtId="2" fontId="45" fillId="0" borderId="93" xfId="0" applyNumberFormat="1" applyFont="1" applyBorder="1" applyAlignment="1">
      <alignment horizontal="center" vertical="center"/>
    </xf>
    <xf numFmtId="165" fontId="35" fillId="0" borderId="87" xfId="0" applyNumberFormat="1" applyFont="1" applyBorder="1" applyAlignment="1">
      <alignment horizontal="center" vertical="center"/>
    </xf>
    <xf numFmtId="165" fontId="35" fillId="0" borderId="72" xfId="0" applyNumberFormat="1" applyFont="1" applyBorder="1" applyAlignment="1">
      <alignment horizontal="center" vertical="center"/>
    </xf>
    <xf numFmtId="165" fontId="35" fillId="0" borderId="93" xfId="0" applyNumberFormat="1" applyFont="1" applyBorder="1" applyAlignment="1">
      <alignment horizontal="center" vertical="center"/>
    </xf>
    <xf numFmtId="1" fontId="35" fillId="0" borderId="76" xfId="0" applyNumberFormat="1" applyFont="1" applyBorder="1" applyAlignment="1">
      <alignment horizontal="center" vertical="center"/>
    </xf>
    <xf numFmtId="1" fontId="35" fillId="0" borderId="72" xfId="0" applyNumberFormat="1" applyFont="1" applyBorder="1" applyAlignment="1">
      <alignment horizontal="center" vertical="center"/>
    </xf>
    <xf numFmtId="1" fontId="35" fillId="0" borderId="68" xfId="0" applyNumberFormat="1" applyFont="1" applyBorder="1" applyAlignment="1">
      <alignment horizontal="center" vertical="center"/>
    </xf>
    <xf numFmtId="1" fontId="35" fillId="0" borderId="108" xfId="0" applyNumberFormat="1" applyFont="1" applyBorder="1" applyAlignment="1">
      <alignment horizontal="center" vertical="center"/>
    </xf>
    <xf numFmtId="0" fontId="21" fillId="0" borderId="199" xfId="0" applyFont="1" applyBorder="1" applyAlignment="1">
      <alignment horizontal="center" vertical="center"/>
    </xf>
    <xf numFmtId="0" fontId="21" fillId="0" borderId="200" xfId="0" applyFont="1" applyBorder="1" applyAlignment="1">
      <alignment horizontal="center" vertical="center"/>
    </xf>
    <xf numFmtId="0" fontId="21" fillId="0" borderId="201" xfId="0" applyFont="1" applyBorder="1" applyAlignment="1">
      <alignment horizontal="center" vertical="center"/>
    </xf>
    <xf numFmtId="0" fontId="21" fillId="0" borderId="202" xfId="0" applyFont="1" applyBorder="1" applyAlignment="1">
      <alignment horizontal="center" vertical="center"/>
    </xf>
    <xf numFmtId="0" fontId="21" fillId="0" borderId="203" xfId="0" applyFont="1" applyBorder="1" applyAlignment="1">
      <alignment horizontal="center" vertical="center"/>
    </xf>
    <xf numFmtId="0" fontId="21" fillId="0" borderId="204" xfId="0" applyFont="1" applyBorder="1" applyAlignment="1">
      <alignment horizontal="center" vertical="center"/>
    </xf>
    <xf numFmtId="0" fontId="21" fillId="0" borderId="205" xfId="0" applyFont="1" applyBorder="1" applyAlignment="1">
      <alignment horizontal="center" vertical="center"/>
    </xf>
    <xf numFmtId="0" fontId="45" fillId="0" borderId="112" xfId="0" applyFont="1" applyBorder="1" applyAlignment="1">
      <alignment horizontal="center" vertical="center" wrapText="1"/>
    </xf>
    <xf numFmtId="0" fontId="45" fillId="0" borderId="113" xfId="0" applyFont="1" applyBorder="1" applyAlignment="1">
      <alignment horizontal="center" vertical="center"/>
    </xf>
    <xf numFmtId="0" fontId="45" fillId="0" borderId="114" xfId="0" applyFont="1" applyBorder="1" applyAlignment="1">
      <alignment horizontal="center" vertical="center"/>
    </xf>
    <xf numFmtId="0" fontId="59" fillId="25" borderId="26" xfId="0" applyFont="1" applyFill="1" applyBorder="1" applyAlignment="1">
      <alignment horizontal="center" wrapText="1"/>
    </xf>
    <xf numFmtId="0" fontId="43" fillId="17" borderId="149" xfId="13" applyFont="1" applyFill="1" applyBorder="1" applyAlignment="1">
      <alignment horizontal="left" vertical="center" wrapText="1"/>
    </xf>
    <xf numFmtId="0" fontId="43" fillId="17" borderId="150" xfId="13" applyFont="1" applyFill="1" applyBorder="1" applyAlignment="1">
      <alignment horizontal="left" vertical="center" wrapText="1"/>
    </xf>
    <xf numFmtId="0" fontId="43" fillId="17" borderId="151" xfId="13" applyFont="1" applyFill="1" applyBorder="1" applyAlignment="1">
      <alignment horizontal="left" vertical="center" wrapText="1"/>
    </xf>
    <xf numFmtId="0" fontId="19" fillId="0" borderId="141" xfId="0" applyFont="1" applyBorder="1" applyAlignment="1">
      <alignment vertical="center"/>
    </xf>
    <xf numFmtId="0" fontId="19" fillId="0" borderId="142" xfId="0" applyFont="1" applyBorder="1" applyAlignment="1">
      <alignment horizontal="center"/>
    </xf>
    <xf numFmtId="165" fontId="19" fillId="0" borderId="142" xfId="0" applyNumberFormat="1" applyFont="1" applyBorder="1" applyAlignment="1">
      <alignment horizontal="center"/>
    </xf>
    <xf numFmtId="3" fontId="19" fillId="0" borderId="142" xfId="0" applyNumberFormat="1" applyFont="1" applyBorder="1" applyAlignment="1">
      <alignment horizontal="center"/>
    </xf>
    <xf numFmtId="1" fontId="19" fillId="0" borderId="142" xfId="0" applyNumberFormat="1" applyFont="1" applyBorder="1" applyAlignment="1">
      <alignment horizontal="center"/>
    </xf>
    <xf numFmtId="2" fontId="19" fillId="0" borderId="142" xfId="0" applyNumberFormat="1" applyFont="1" applyBorder="1" applyAlignment="1">
      <alignment horizontal="center"/>
    </xf>
    <xf numFmtId="0" fontId="19" fillId="0" borderId="143" xfId="0" applyFont="1" applyBorder="1" applyAlignment="1">
      <alignment vertical="center"/>
    </xf>
    <xf numFmtId="0" fontId="19" fillId="0" borderId="2" xfId="0" applyFont="1" applyBorder="1" applyAlignment="1">
      <alignment horizontal="center"/>
    </xf>
    <xf numFmtId="165" fontId="19" fillId="0" borderId="2" xfId="0" applyNumberFormat="1" applyFont="1" applyBorder="1" applyAlignment="1">
      <alignment horizontal="center"/>
    </xf>
    <xf numFmtId="3" fontId="19" fillId="0" borderId="2" xfId="0" applyNumberFormat="1" applyFont="1" applyBorder="1" applyAlignment="1">
      <alignment horizontal="center"/>
    </xf>
    <xf numFmtId="1" fontId="19" fillId="0" borderId="2" xfId="0" applyNumberFormat="1" applyFont="1" applyBorder="1" applyAlignment="1">
      <alignment horizontal="center"/>
    </xf>
    <xf numFmtId="2" fontId="19" fillId="0" borderId="2" xfId="0" applyNumberFormat="1" applyFont="1" applyBorder="1" applyAlignment="1">
      <alignment horizontal="center"/>
    </xf>
    <xf numFmtId="0" fontId="19" fillId="0" borderId="145" xfId="0" applyFont="1" applyBorder="1" applyAlignment="1">
      <alignment vertical="center"/>
    </xf>
    <xf numFmtId="0" fontId="19" fillId="0" borderId="12" xfId="0" applyFont="1" applyBorder="1" applyAlignment="1">
      <alignment horizontal="center"/>
    </xf>
    <xf numFmtId="165" fontId="19" fillId="0" borderId="12" xfId="0" applyNumberFormat="1" applyFont="1" applyBorder="1" applyAlignment="1">
      <alignment horizontal="center"/>
    </xf>
    <xf numFmtId="3" fontId="19" fillId="0" borderId="12" xfId="0" applyNumberFormat="1" applyFont="1" applyBorder="1" applyAlignment="1">
      <alignment horizontal="center"/>
    </xf>
    <xf numFmtId="1" fontId="19" fillId="0" borderId="12" xfId="0" applyNumberFormat="1" applyFont="1" applyBorder="1" applyAlignment="1">
      <alignment horizontal="center"/>
    </xf>
    <xf numFmtId="2" fontId="19" fillId="0" borderId="12" xfId="0" applyNumberFormat="1" applyFont="1" applyBorder="1" applyAlignment="1">
      <alignment horizontal="center"/>
    </xf>
    <xf numFmtId="0" fontId="19" fillId="0" borderId="144" xfId="0" applyFont="1" applyBorder="1" applyAlignment="1">
      <alignment vertical="center"/>
    </xf>
    <xf numFmtId="0" fontId="19" fillId="0" borderId="133" xfId="0" applyFont="1" applyBorder="1" applyAlignment="1">
      <alignment horizontal="center"/>
    </xf>
    <xf numFmtId="165" fontId="19" fillId="0" borderId="133" xfId="0" applyNumberFormat="1" applyFont="1" applyBorder="1" applyAlignment="1">
      <alignment horizontal="center"/>
    </xf>
    <xf numFmtId="3" fontId="19" fillId="0" borderId="133" xfId="0" applyNumberFormat="1" applyFont="1" applyBorder="1" applyAlignment="1">
      <alignment horizontal="center"/>
    </xf>
    <xf numFmtId="1" fontId="19" fillId="0" borderId="133" xfId="0" applyNumberFormat="1" applyFont="1" applyBorder="1" applyAlignment="1">
      <alignment horizontal="center"/>
    </xf>
    <xf numFmtId="2" fontId="19" fillId="0" borderId="133" xfId="0" applyNumberFormat="1" applyFont="1" applyBorder="1" applyAlignment="1">
      <alignment horizontal="center"/>
    </xf>
    <xf numFmtId="0" fontId="19" fillId="0" borderId="146" xfId="0" applyFont="1" applyBorder="1" applyAlignment="1">
      <alignment vertical="center"/>
    </xf>
    <xf numFmtId="0" fontId="19" fillId="0" borderId="17" xfId="0" applyFont="1" applyBorder="1" applyAlignment="1">
      <alignment horizontal="center"/>
    </xf>
    <xf numFmtId="165" fontId="19" fillId="0" borderId="17" xfId="0" applyNumberFormat="1" applyFont="1" applyBorder="1" applyAlignment="1">
      <alignment horizontal="center"/>
    </xf>
    <xf numFmtId="3" fontId="19" fillId="0" borderId="17" xfId="0" applyNumberFormat="1" applyFont="1" applyBorder="1" applyAlignment="1">
      <alignment horizontal="center"/>
    </xf>
    <xf numFmtId="1" fontId="19" fillId="0" borderId="17" xfId="0" applyNumberFormat="1" applyFont="1" applyBorder="1" applyAlignment="1">
      <alignment horizontal="center"/>
    </xf>
    <xf numFmtId="2" fontId="19" fillId="0" borderId="17" xfId="0" applyNumberFormat="1" applyFont="1" applyBorder="1" applyAlignment="1">
      <alignment horizontal="center"/>
    </xf>
    <xf numFmtId="0" fontId="22" fillId="0" borderId="0" xfId="0" applyFont="1"/>
    <xf numFmtId="165" fontId="45" fillId="0" borderId="2" xfId="0" applyNumberFormat="1" applyFont="1" applyBorder="1" applyAlignment="1">
      <alignment horizontal="center" vertical="center"/>
    </xf>
    <xf numFmtId="165" fontId="45" fillId="0" borderId="12" xfId="0" applyNumberFormat="1" applyFont="1" applyBorder="1" applyAlignment="1">
      <alignment horizontal="center" vertical="center"/>
    </xf>
    <xf numFmtId="165" fontId="45" fillId="0" borderId="1" xfId="0" applyNumberFormat="1" applyFont="1" applyBorder="1" applyAlignment="1">
      <alignment horizontal="center" vertical="center"/>
    </xf>
    <xf numFmtId="165" fontId="45" fillId="0" borderId="5" xfId="0" applyNumberFormat="1" applyFont="1" applyBorder="1" applyAlignment="1">
      <alignment horizontal="center" vertical="center"/>
    </xf>
    <xf numFmtId="165" fontId="45" fillId="0" borderId="7" xfId="0" applyNumberFormat="1" applyFont="1" applyBorder="1" applyAlignment="1">
      <alignment horizontal="center" vertical="center"/>
    </xf>
    <xf numFmtId="165" fontId="45" fillId="0" borderId="27" xfId="0" applyNumberFormat="1" applyFont="1" applyBorder="1" applyAlignment="1">
      <alignment horizontal="center" vertical="center"/>
    </xf>
    <xf numFmtId="165" fontId="45" fillId="0" borderId="9" xfId="0" applyNumberFormat="1" applyFont="1" applyBorder="1" applyAlignment="1">
      <alignment horizontal="center" vertical="center"/>
    </xf>
    <xf numFmtId="165" fontId="45" fillId="0" borderId="105" xfId="0" applyNumberFormat="1" applyFont="1" applyBorder="1" applyAlignment="1">
      <alignment horizontal="center" vertical="center"/>
    </xf>
    <xf numFmtId="0" fontId="56" fillId="0" borderId="104" xfId="0" applyFont="1" applyBorder="1" applyAlignment="1">
      <alignment horizontal="center" vertical="center"/>
    </xf>
    <xf numFmtId="0" fontId="56" fillId="0" borderId="8" xfId="0" applyFont="1" applyBorder="1" applyAlignment="1">
      <alignment horizontal="center" vertical="center"/>
    </xf>
    <xf numFmtId="0" fontId="59" fillId="25" borderId="124" xfId="0" applyFont="1" applyFill="1" applyBorder="1" applyAlignment="1">
      <alignment horizontal="center" wrapText="1"/>
    </xf>
    <xf numFmtId="0" fontId="58" fillId="0" borderId="124" xfId="0" applyFont="1" applyBorder="1" applyAlignment="1">
      <alignment horizontal="center" vertical="center" wrapText="1"/>
    </xf>
    <xf numFmtId="0" fontId="58" fillId="31" borderId="124" xfId="0" applyFont="1" applyFill="1" applyBorder="1" applyAlignment="1">
      <alignment horizontal="center" vertical="center" wrapText="1"/>
    </xf>
    <xf numFmtId="2" fontId="21" fillId="4" borderId="0" xfId="0" applyNumberFormat="1" applyFont="1" applyFill="1" applyAlignment="1">
      <alignment horizontal="center" vertical="center"/>
    </xf>
    <xf numFmtId="0" fontId="45" fillId="0" borderId="2" xfId="0" applyFont="1" applyBorder="1" applyAlignment="1">
      <alignment horizontal="center" vertical="center" wrapText="1"/>
    </xf>
    <xf numFmtId="0" fontId="42" fillId="0" borderId="26" xfId="0" applyFont="1" applyBorder="1" applyAlignment="1">
      <alignment horizontal="center" vertical="center" wrapText="1"/>
    </xf>
    <xf numFmtId="0" fontId="5" fillId="0" borderId="12" xfId="0" applyFont="1" applyBorder="1" applyAlignment="1">
      <alignment horizontal="center" vertical="center" wrapText="1"/>
    </xf>
    <xf numFmtId="0" fontId="5" fillId="0" borderId="0" xfId="0" applyFont="1" applyAlignment="1">
      <alignment horizontal="left" vertical="center"/>
    </xf>
    <xf numFmtId="0" fontId="28" fillId="9" borderId="0" xfId="0" applyFont="1" applyFill="1" applyAlignment="1">
      <alignment horizontal="center" vertical="center"/>
    </xf>
    <xf numFmtId="0" fontId="19" fillId="0" borderId="0" xfId="0" applyFont="1" applyAlignment="1">
      <alignment horizontal="left" vertical="center" wrapText="1"/>
    </xf>
    <xf numFmtId="0" fontId="22" fillId="0" borderId="0" xfId="0" applyFont="1" applyAlignment="1">
      <alignment horizontal="left" vertical="center"/>
    </xf>
    <xf numFmtId="0" fontId="19" fillId="0" borderId="0" xfId="0" applyFont="1" applyAlignment="1">
      <alignment wrapText="1"/>
    </xf>
    <xf numFmtId="0" fontId="19" fillId="0" borderId="0" xfId="0" applyFont="1" applyAlignment="1">
      <alignment vertical="center" wrapText="1"/>
    </xf>
    <xf numFmtId="0" fontId="5" fillId="0" borderId="2" xfId="0" applyFont="1" applyBorder="1" applyAlignment="1">
      <alignment horizontal="center" vertical="center"/>
    </xf>
    <xf numFmtId="0" fontId="6" fillId="6" borderId="2" xfId="0" applyFont="1" applyFill="1" applyBorder="1" applyAlignment="1">
      <alignment horizontal="center" vertical="center" wrapText="1"/>
    </xf>
    <xf numFmtId="0" fontId="22" fillId="0" borderId="64" xfId="0" applyFont="1" applyBorder="1" applyAlignment="1">
      <alignment horizontal="center" vertical="center" wrapText="1"/>
    </xf>
    <xf numFmtId="0" fontId="5" fillId="0" borderId="64" xfId="0" applyFont="1" applyBorder="1" applyAlignment="1">
      <alignment horizontal="center" vertical="center"/>
    </xf>
    <xf numFmtId="0" fontId="19" fillId="0" borderId="64" xfId="0" applyFont="1" applyBorder="1" applyAlignment="1">
      <alignment horizontal="center" vertical="center"/>
    </xf>
    <xf numFmtId="0" fontId="5" fillId="0" borderId="0" xfId="0" applyFont="1" applyAlignment="1">
      <alignment horizontal="center"/>
    </xf>
    <xf numFmtId="0" fontId="19" fillId="0" borderId="26" xfId="0" applyFont="1" applyBorder="1" applyAlignment="1">
      <alignment horizontal="center" vertical="center" wrapText="1"/>
    </xf>
    <xf numFmtId="0" fontId="19" fillId="0" borderId="125" xfId="0" applyFont="1" applyBorder="1" applyAlignment="1">
      <alignment horizontal="center" vertical="center" wrapText="1"/>
    </xf>
    <xf numFmtId="0" fontId="19" fillId="0" borderId="124" xfId="0" applyFont="1" applyBorder="1" applyAlignment="1">
      <alignment horizontal="center" vertical="center" wrapText="1"/>
    </xf>
    <xf numFmtId="0" fontId="22" fillId="0" borderId="26" xfId="0" applyFont="1" applyBorder="1" applyAlignment="1">
      <alignment horizontal="center" vertical="center" wrapText="1"/>
    </xf>
    <xf numFmtId="0" fontId="43" fillId="17" borderId="12" xfId="13" applyFont="1" applyFill="1" applyBorder="1" applyAlignment="1">
      <alignment horizontal="center" vertical="center" wrapText="1"/>
    </xf>
    <xf numFmtId="0" fontId="19" fillId="0" borderId="12" xfId="0" applyFont="1" applyBorder="1" applyAlignment="1">
      <alignment horizontal="center" vertical="center" wrapText="1"/>
    </xf>
    <xf numFmtId="0" fontId="19" fillId="0" borderId="2" xfId="0" applyFont="1" applyBorder="1" applyAlignment="1">
      <alignment horizontal="center" vertical="center"/>
    </xf>
    <xf numFmtId="0" fontId="6" fillId="6" borderId="2" xfId="0" applyFont="1" applyFill="1" applyBorder="1" applyAlignment="1">
      <alignment horizontal="center" vertical="center"/>
    </xf>
    <xf numFmtId="0" fontId="5" fillId="0" borderId="2" xfId="0" applyFont="1" applyBorder="1" applyAlignment="1">
      <alignment horizontal="center" vertical="center" wrapText="1"/>
    </xf>
    <xf numFmtId="0" fontId="19" fillId="0" borderId="2" xfId="0" applyFont="1" applyBorder="1" applyAlignment="1">
      <alignment horizontal="center" vertical="center" wrapText="1"/>
    </xf>
    <xf numFmtId="0" fontId="23" fillId="6" borderId="2" xfId="0" applyFont="1" applyFill="1" applyBorder="1" applyAlignment="1">
      <alignment horizontal="center" vertical="center" wrapText="1"/>
    </xf>
    <xf numFmtId="0" fontId="45" fillId="0" borderId="1" xfId="0" applyFont="1" applyBorder="1" applyAlignment="1">
      <alignment horizontal="center" vertical="center"/>
    </xf>
    <xf numFmtId="0" fontId="45" fillId="0" borderId="2" xfId="0" applyFont="1" applyBorder="1" applyAlignment="1">
      <alignment horizontal="center" vertical="center"/>
    </xf>
    <xf numFmtId="0" fontId="45" fillId="0" borderId="27" xfId="0" applyFont="1" applyBorder="1" applyAlignment="1">
      <alignment horizontal="center" vertical="center"/>
    </xf>
    <xf numFmtId="0" fontId="21" fillId="0" borderId="2" xfId="0" applyFont="1" applyBorder="1" applyAlignment="1">
      <alignment horizontal="center" vertical="center" wrapText="1"/>
    </xf>
    <xf numFmtId="0" fontId="6" fillId="6" borderId="12" xfId="0" applyFont="1" applyFill="1" applyBorder="1" applyAlignment="1">
      <alignment horizontal="center" vertical="center"/>
    </xf>
    <xf numFmtId="0" fontId="17" fillId="6" borderId="2" xfId="0" applyFont="1" applyFill="1" applyBorder="1" applyAlignment="1">
      <alignment horizontal="center" vertical="center" wrapText="1"/>
    </xf>
    <xf numFmtId="0" fontId="45" fillId="0" borderId="113" xfId="0" applyFont="1" applyBorder="1" applyAlignment="1">
      <alignment horizontal="center" vertical="center" wrapText="1"/>
    </xf>
    <xf numFmtId="0" fontId="59" fillId="25" borderId="2" xfId="0" applyFont="1" applyFill="1" applyBorder="1" applyAlignment="1">
      <alignment horizontal="center" wrapText="1"/>
    </xf>
    <xf numFmtId="0" fontId="22" fillId="0" borderId="2" xfId="0" applyFont="1" applyBorder="1" applyAlignment="1">
      <alignment horizontal="center" vertical="center"/>
    </xf>
    <xf numFmtId="0" fontId="5" fillId="0" borderId="0" xfId="0" applyFont="1" applyAlignment="1">
      <alignment horizontal="center" vertical="center"/>
    </xf>
    <xf numFmtId="0" fontId="23" fillId="21" borderId="118" xfId="13" applyFont="1" applyFill="1" applyBorder="1" applyAlignment="1">
      <alignment vertical="center" wrapText="1"/>
    </xf>
    <xf numFmtId="0" fontId="19" fillId="0" borderId="14" xfId="13" applyFont="1" applyBorder="1" applyAlignment="1">
      <alignment horizontal="left" vertical="center"/>
    </xf>
    <xf numFmtId="0" fontId="19" fillId="0" borderId="10" xfId="13" applyFont="1" applyBorder="1" applyAlignment="1">
      <alignment horizontal="left" vertical="center"/>
    </xf>
    <xf numFmtId="0" fontId="19" fillId="0" borderId="0" xfId="0" applyFont="1" applyAlignment="1">
      <alignment horizontal="center"/>
    </xf>
    <xf numFmtId="0" fontId="16" fillId="0" borderId="19" xfId="0" applyFont="1" applyBorder="1" applyAlignment="1">
      <alignment horizontal="left" vertical="center"/>
    </xf>
    <xf numFmtId="0" fontId="28" fillId="9" borderId="2" xfId="1" applyFont="1" applyFill="1" applyBorder="1" applyAlignment="1">
      <alignment horizontal="center" vertical="center" wrapText="1"/>
    </xf>
    <xf numFmtId="0" fontId="63" fillId="0" borderId="29" xfId="0" applyFont="1" applyBorder="1" applyAlignment="1">
      <alignment horizontal="left" vertical="center" wrapText="1"/>
    </xf>
    <xf numFmtId="0" fontId="63" fillId="0" borderId="30" xfId="0" applyFont="1" applyBorder="1" applyAlignment="1">
      <alignment horizontal="left" vertical="center" wrapText="1"/>
    </xf>
    <xf numFmtId="0" fontId="19" fillId="0" borderId="0" xfId="0" applyFont="1" applyAlignment="1">
      <alignment wrapText="1"/>
    </xf>
    <xf numFmtId="0" fontId="19" fillId="0" borderId="0" xfId="0" applyFont="1" applyAlignment="1">
      <alignment vertical="center" wrapText="1"/>
    </xf>
    <xf numFmtId="0" fontId="23" fillId="0" borderId="0" xfId="0" applyFont="1" applyAlignment="1">
      <alignment horizontal="left" vertical="center" wrapText="1"/>
    </xf>
    <xf numFmtId="0" fontId="5" fillId="0" borderId="0" xfId="0" applyFont="1" applyAlignment="1">
      <alignment horizontal="left" vertical="center"/>
    </xf>
    <xf numFmtId="0" fontId="28" fillId="9" borderId="0" xfId="0" applyFont="1" applyFill="1" applyAlignment="1">
      <alignment horizontal="center" vertical="center"/>
    </xf>
    <xf numFmtId="0" fontId="5" fillId="0" borderId="0" xfId="0" applyFont="1" applyAlignment="1">
      <alignment horizontal="left" vertical="center" wrapText="1"/>
    </xf>
    <xf numFmtId="0" fontId="19" fillId="0" borderId="0" xfId="0" applyFont="1" applyAlignment="1">
      <alignment horizontal="left" vertical="center" wrapText="1"/>
    </xf>
    <xf numFmtId="0" fontId="22" fillId="0" borderId="0" xfId="0" applyFont="1" applyAlignment="1">
      <alignment horizontal="left" vertical="center"/>
    </xf>
    <xf numFmtId="0" fontId="22" fillId="0" borderId="0" xfId="0" applyFont="1" applyAlignment="1">
      <alignment horizontal="left" vertical="center" wrapText="1"/>
    </xf>
    <xf numFmtId="0" fontId="19" fillId="0" borderId="0" xfId="0" applyFont="1" applyAlignment="1">
      <alignment horizontal="center" vertical="center" wrapText="1"/>
    </xf>
    <xf numFmtId="0" fontId="5" fillId="0" borderId="2" xfId="0" applyFont="1" applyBorder="1" applyAlignment="1">
      <alignment horizontal="center" vertical="center"/>
    </xf>
    <xf numFmtId="0" fontId="28" fillId="9" borderId="19" xfId="0" applyFont="1" applyFill="1" applyBorder="1" applyAlignment="1">
      <alignment horizontal="center" vertical="center"/>
    </xf>
    <xf numFmtId="0" fontId="28" fillId="9" borderId="119" xfId="0" applyFont="1" applyFill="1" applyBorder="1" applyAlignment="1">
      <alignment horizontal="center" vertical="center"/>
    </xf>
    <xf numFmtId="0" fontId="19" fillId="0" borderId="178" xfId="0" applyFont="1" applyBorder="1" applyAlignment="1">
      <alignment vertical="center"/>
    </xf>
    <xf numFmtId="0" fontId="19" fillId="0" borderId="181" xfId="0" applyFont="1" applyBorder="1" applyAlignment="1">
      <alignment vertical="center"/>
    </xf>
    <xf numFmtId="0" fontId="19" fillId="0" borderId="183" xfId="0" applyFont="1" applyBorder="1" applyAlignment="1">
      <alignment vertical="center"/>
    </xf>
    <xf numFmtId="0" fontId="19" fillId="0" borderId="178" xfId="0" applyFont="1" applyBorder="1" applyAlignment="1">
      <alignment vertical="center" wrapText="1"/>
    </xf>
    <xf numFmtId="0" fontId="19" fillId="0" borderId="181" xfId="0" applyFont="1" applyBorder="1" applyAlignment="1">
      <alignment vertical="center" wrapText="1"/>
    </xf>
    <xf numFmtId="0" fontId="19" fillId="0" borderId="183" xfId="0" applyFont="1" applyBorder="1" applyAlignment="1">
      <alignment vertical="center" wrapText="1"/>
    </xf>
    <xf numFmtId="0" fontId="5" fillId="0" borderId="64" xfId="0" applyFont="1" applyBorder="1" applyAlignment="1">
      <alignment horizontal="center" vertical="center" wrapText="1"/>
    </xf>
    <xf numFmtId="0" fontId="19" fillId="0" borderId="64" xfId="0" applyFont="1" applyBorder="1" applyAlignment="1">
      <alignment horizontal="center" vertical="center"/>
    </xf>
    <xf numFmtId="0" fontId="5" fillId="0" borderId="0" xfId="0" applyFont="1" applyAlignment="1">
      <alignment horizontal="center"/>
    </xf>
    <xf numFmtId="167" fontId="5" fillId="0" borderId="2" xfId="0" applyNumberFormat="1" applyFont="1" applyBorder="1" applyAlignment="1">
      <alignment horizontal="center" vertical="center" wrapText="1"/>
    </xf>
    <xf numFmtId="0" fontId="19" fillId="0" borderId="64" xfId="0" applyFont="1" applyBorder="1" applyAlignment="1">
      <alignment horizontal="center" vertical="center" wrapText="1"/>
    </xf>
    <xf numFmtId="0" fontId="19" fillId="0" borderId="0" xfId="0" applyFont="1" applyAlignment="1">
      <alignment horizontal="left" vertical="top" wrapText="1"/>
    </xf>
    <xf numFmtId="0" fontId="49" fillId="0" borderId="118" xfId="0" applyFont="1" applyBorder="1" applyAlignment="1">
      <alignment horizontal="center" vertical="center"/>
    </xf>
    <xf numFmtId="167" fontId="19" fillId="0" borderId="2" xfId="0" applyNumberFormat="1" applyFont="1" applyBorder="1" applyAlignment="1">
      <alignment horizontal="center" vertical="center" wrapText="1"/>
    </xf>
    <xf numFmtId="0" fontId="28" fillId="9" borderId="2" xfId="0" applyFont="1" applyFill="1" applyBorder="1" applyAlignment="1">
      <alignment horizontal="center" vertical="center" wrapText="1"/>
    </xf>
    <xf numFmtId="0" fontId="22" fillId="0" borderId="64" xfId="0" applyFont="1" applyBorder="1" applyAlignment="1">
      <alignment horizontal="center" vertical="center" wrapText="1"/>
    </xf>
    <xf numFmtId="0" fontId="5" fillId="0" borderId="64" xfId="0" applyFont="1" applyBorder="1" applyAlignment="1">
      <alignment horizontal="center" vertical="center"/>
    </xf>
    <xf numFmtId="0" fontId="1" fillId="0" borderId="64" xfId="0" applyFont="1" applyBorder="1" applyAlignment="1">
      <alignment horizontal="center" vertical="center" wrapText="1"/>
    </xf>
    <xf numFmtId="0" fontId="19" fillId="0" borderId="127" xfId="0" applyFont="1" applyBorder="1" applyAlignment="1">
      <alignment horizontal="center" vertical="center"/>
    </xf>
    <xf numFmtId="0" fontId="19" fillId="0" borderId="128" xfId="0" applyFont="1" applyBorder="1" applyAlignment="1">
      <alignment horizontal="center" vertical="center"/>
    </xf>
    <xf numFmtId="0" fontId="19" fillId="0" borderId="129" xfId="0" applyFont="1" applyBorder="1" applyAlignment="1">
      <alignment horizontal="center" vertical="center"/>
    </xf>
    <xf numFmtId="0" fontId="19" fillId="0" borderId="118" xfId="0" applyFont="1" applyBorder="1" applyAlignment="1">
      <alignment horizontal="center" vertical="center"/>
    </xf>
    <xf numFmtId="0" fontId="19" fillId="0" borderId="15" xfId="0" applyFont="1" applyBorder="1" applyAlignment="1">
      <alignment horizontal="left" vertical="center"/>
    </xf>
    <xf numFmtId="0" fontId="19" fillId="0" borderId="117" xfId="0" applyFont="1" applyBorder="1" applyAlignment="1">
      <alignment horizontal="left" vertical="center"/>
    </xf>
    <xf numFmtId="0" fontId="19" fillId="0" borderId="20" xfId="0" applyFont="1" applyBorder="1" applyAlignment="1">
      <alignment horizontal="left" vertical="center"/>
    </xf>
    <xf numFmtId="0" fontId="6" fillId="6" borderId="2" xfId="0" applyFont="1" applyFill="1" applyBorder="1" applyAlignment="1">
      <alignment horizontal="center" vertical="center" wrapText="1"/>
    </xf>
    <xf numFmtId="0" fontId="5" fillId="0" borderId="15" xfId="0" applyFont="1" applyBorder="1" applyAlignment="1">
      <alignment horizontal="left" vertical="center"/>
    </xf>
    <xf numFmtId="0" fontId="5" fillId="0" borderId="117" xfId="0" applyFont="1" applyBorder="1" applyAlignment="1">
      <alignment horizontal="left" vertical="center"/>
    </xf>
    <xf numFmtId="0" fontId="5" fillId="0" borderId="20" xfId="0" applyFont="1" applyBorder="1" applyAlignment="1">
      <alignment horizontal="left" vertical="center"/>
    </xf>
    <xf numFmtId="0" fontId="19" fillId="0" borderId="179" xfId="0" applyFont="1" applyBorder="1" applyAlignment="1">
      <alignment vertical="center"/>
    </xf>
    <xf numFmtId="0" fontId="19" fillId="0" borderId="182" xfId="0" applyFont="1" applyBorder="1" applyAlignment="1">
      <alignment vertical="center"/>
    </xf>
    <xf numFmtId="0" fontId="19" fillId="0" borderId="184" xfId="0" applyFont="1" applyBorder="1" applyAlignment="1">
      <alignment vertical="center"/>
    </xf>
    <xf numFmtId="10" fontId="19" fillId="0" borderId="124" xfId="0" applyNumberFormat="1" applyFont="1" applyBorder="1" applyAlignment="1">
      <alignment horizontal="left"/>
    </xf>
    <xf numFmtId="0" fontId="19" fillId="0" borderId="106" xfId="0" applyFont="1" applyBorder="1" applyAlignment="1">
      <alignment horizontal="left"/>
    </xf>
    <xf numFmtId="0" fontId="19" fillId="0" borderId="189" xfId="0" applyFont="1" applyBorder="1" applyAlignment="1">
      <alignment horizontal="left"/>
    </xf>
    <xf numFmtId="0" fontId="1" fillId="0" borderId="34" xfId="0" applyFont="1" applyBorder="1" applyAlignment="1">
      <alignment horizontal="center" vertical="center" wrapText="1"/>
    </xf>
    <xf numFmtId="0" fontId="1" fillId="0" borderId="36" xfId="0" applyFont="1" applyBorder="1" applyAlignment="1">
      <alignment horizontal="center" vertical="center" wrapText="1"/>
    </xf>
    <xf numFmtId="0" fontId="1" fillId="0" borderId="38" xfId="0" applyFont="1" applyBorder="1" applyAlignment="1">
      <alignment horizontal="center" vertical="center" wrapText="1"/>
    </xf>
    <xf numFmtId="0" fontId="22" fillId="0" borderId="46" xfId="0" applyFont="1" applyBorder="1" applyAlignment="1">
      <alignment horizontal="center" vertical="center" wrapText="1"/>
    </xf>
    <xf numFmtId="0" fontId="22" fillId="0" borderId="47" xfId="0" applyFont="1" applyBorder="1" applyAlignment="1">
      <alignment horizontal="center" vertical="center" wrapText="1"/>
    </xf>
    <xf numFmtId="0" fontId="22" fillId="0" borderId="48" xfId="0" applyFont="1" applyBorder="1" applyAlignment="1">
      <alignment horizontal="center" vertical="center" wrapText="1"/>
    </xf>
    <xf numFmtId="0" fontId="28" fillId="9" borderId="21" xfId="0" applyFont="1" applyFill="1" applyBorder="1" applyAlignment="1">
      <alignment horizontal="center" vertical="center" wrapText="1"/>
    </xf>
    <xf numFmtId="0" fontId="28" fillId="9" borderId="0" xfId="0" applyFont="1" applyFill="1" applyAlignment="1">
      <alignment horizontal="center" vertical="center" wrapText="1"/>
    </xf>
    <xf numFmtId="0" fontId="5" fillId="0" borderId="25" xfId="0" applyFont="1" applyBorder="1" applyAlignment="1">
      <alignment horizontal="center" vertical="center" wrapText="1"/>
    </xf>
    <xf numFmtId="0" fontId="5" fillId="0" borderId="23" xfId="0" applyFont="1" applyBorder="1" applyAlignment="1">
      <alignment horizontal="center" vertical="center"/>
    </xf>
    <xf numFmtId="0" fontId="5" fillId="0" borderId="24" xfId="0" applyFont="1" applyBorder="1" applyAlignment="1">
      <alignment horizontal="center" vertical="center"/>
    </xf>
    <xf numFmtId="0" fontId="5" fillId="0" borderId="56" xfId="0" applyFont="1" applyBorder="1" applyAlignment="1">
      <alignment horizontal="center" vertical="center" wrapText="1"/>
    </xf>
    <xf numFmtId="0" fontId="5" fillId="0" borderId="35" xfId="0" applyFont="1" applyBorder="1" applyAlignment="1">
      <alignment horizontal="center" vertical="center"/>
    </xf>
    <xf numFmtId="0" fontId="5" fillId="0" borderId="37" xfId="0" applyFont="1" applyBorder="1" applyAlignment="1">
      <alignment horizontal="center" vertical="center"/>
    </xf>
    <xf numFmtId="0" fontId="5" fillId="0" borderId="33" xfId="0" applyFont="1" applyBorder="1" applyAlignment="1">
      <alignment horizontal="center" vertical="center"/>
    </xf>
    <xf numFmtId="0" fontId="5" fillId="0" borderId="28" xfId="0" applyFont="1" applyBorder="1" applyAlignment="1">
      <alignment horizontal="center" vertical="center"/>
    </xf>
    <xf numFmtId="0" fontId="28" fillId="24" borderId="2" xfId="0" applyFont="1" applyFill="1" applyBorder="1" applyAlignment="1">
      <alignment horizontal="center" vertical="center"/>
    </xf>
    <xf numFmtId="0" fontId="28" fillId="24" borderId="0" xfId="0" applyFont="1" applyFill="1" applyAlignment="1">
      <alignment horizontal="center" vertical="center"/>
    </xf>
    <xf numFmtId="0" fontId="22" fillId="0" borderId="26" xfId="0" applyFont="1" applyBorder="1" applyAlignment="1">
      <alignment horizontal="center" vertical="center"/>
    </xf>
    <xf numFmtId="0" fontId="50" fillId="0" borderId="26" xfId="0" applyFont="1" applyBorder="1" applyAlignment="1">
      <alignment horizontal="center" vertical="center"/>
    </xf>
    <xf numFmtId="0" fontId="22" fillId="0" borderId="26" xfId="0" applyFont="1" applyBorder="1" applyAlignment="1">
      <alignment horizontal="center" vertical="center" wrapText="1"/>
    </xf>
    <xf numFmtId="0" fontId="19" fillId="0" borderId="26" xfId="0" applyFont="1" applyBorder="1" applyAlignment="1">
      <alignment horizontal="center" vertical="center" wrapText="1"/>
    </xf>
    <xf numFmtId="0" fontId="22" fillId="0" borderId="0" xfId="0" applyFont="1"/>
    <xf numFmtId="0" fontId="0" fillId="0" borderId="0" xfId="0" applyAlignment="1">
      <alignment horizontal="left" vertical="top" wrapText="1"/>
    </xf>
    <xf numFmtId="0" fontId="42" fillId="0" borderId="0" xfId="0" applyFont="1" applyAlignment="1">
      <alignment horizontal="left" vertical="top" wrapText="1"/>
    </xf>
    <xf numFmtId="0" fontId="19" fillId="27" borderId="26" xfId="0" applyFont="1" applyFill="1" applyBorder="1" applyAlignment="1">
      <alignment horizontal="center" vertical="center" wrapText="1"/>
    </xf>
    <xf numFmtId="0" fontId="51" fillId="0" borderId="26" xfId="0" applyFont="1" applyBorder="1" applyAlignment="1">
      <alignment horizontal="center" vertical="center" wrapText="1"/>
    </xf>
    <xf numFmtId="0" fontId="22" fillId="0" borderId="125" xfId="0" applyFont="1" applyBorder="1" applyAlignment="1">
      <alignment horizontal="center" vertical="center"/>
    </xf>
    <xf numFmtId="0" fontId="51" fillId="0" borderId="125" xfId="0" applyFont="1" applyBorder="1" applyAlignment="1">
      <alignment horizontal="center" vertical="center" wrapText="1"/>
    </xf>
    <xf numFmtId="0" fontId="19" fillId="0" borderId="125" xfId="0" applyFont="1" applyBorder="1" applyAlignment="1">
      <alignment horizontal="center" vertical="center" wrapText="1"/>
    </xf>
    <xf numFmtId="0" fontId="19" fillId="0" borderId="124" xfId="0" applyFont="1" applyBorder="1" applyAlignment="1">
      <alignment horizontal="center" vertical="center" wrapText="1"/>
    </xf>
    <xf numFmtId="0" fontId="51" fillId="0" borderId="126" xfId="0" applyFont="1" applyBorder="1" applyAlignment="1">
      <alignment horizontal="center" vertical="center" wrapText="1"/>
    </xf>
    <xf numFmtId="0" fontId="5" fillId="0" borderId="136" xfId="0" applyFont="1" applyBorder="1" applyAlignment="1">
      <alignment horizontal="center" vertical="center" wrapText="1"/>
    </xf>
    <xf numFmtId="0" fontId="5" fillId="0" borderId="138" xfId="0" applyFont="1" applyBorder="1" applyAlignment="1">
      <alignment horizontal="center" vertical="center" wrapText="1"/>
    </xf>
    <xf numFmtId="0" fontId="5" fillId="0" borderId="141" xfId="0" applyFont="1" applyBorder="1" applyAlignment="1">
      <alignment horizontal="center" vertical="center"/>
    </xf>
    <xf numFmtId="0" fontId="5" fillId="0" borderId="143" xfId="0" applyFont="1" applyBorder="1" applyAlignment="1">
      <alignment horizontal="center" vertical="center"/>
    </xf>
    <xf numFmtId="0" fontId="5" fillId="0" borderId="144" xfId="0" applyFont="1" applyBorder="1" applyAlignment="1">
      <alignment horizontal="center" vertical="center"/>
    </xf>
    <xf numFmtId="0" fontId="0" fillId="0" borderId="2" xfId="0" applyBorder="1" applyAlignment="1">
      <alignment horizontal="center" vertical="center" wrapText="1"/>
    </xf>
    <xf numFmtId="0" fontId="42" fillId="0" borderId="2" xfId="0" applyFont="1" applyBorder="1" applyAlignment="1">
      <alignment horizontal="center" vertical="center" wrapText="1"/>
    </xf>
    <xf numFmtId="0" fontId="42" fillId="0" borderId="12" xfId="0" applyFont="1" applyBorder="1" applyAlignment="1">
      <alignment horizontal="center" vertical="center" wrapText="1"/>
    </xf>
    <xf numFmtId="0" fontId="42" fillId="0" borderId="16" xfId="0" applyFont="1" applyBorder="1" applyAlignment="1">
      <alignment horizontal="center" vertical="center" wrapText="1"/>
    </xf>
    <xf numFmtId="0" fontId="42" fillId="0" borderId="17" xfId="0" applyFont="1" applyBorder="1" applyAlignment="1">
      <alignment horizontal="center" vertical="center" wrapText="1"/>
    </xf>
    <xf numFmtId="0" fontId="28" fillId="12" borderId="21" xfId="0" applyFont="1" applyFill="1" applyBorder="1" applyAlignment="1">
      <alignment horizontal="center" vertical="center"/>
    </xf>
    <xf numFmtId="0" fontId="28" fillId="12" borderId="0" xfId="0" applyFont="1" applyFill="1" applyAlignment="1">
      <alignment horizontal="center" vertical="center"/>
    </xf>
    <xf numFmtId="0" fontId="19" fillId="0" borderId="0" xfId="0" applyFont="1" applyAlignment="1">
      <alignment horizontal="left" vertical="center" wrapText="1" indent="1"/>
    </xf>
    <xf numFmtId="0" fontId="28" fillId="9" borderId="13" xfId="0" applyFont="1" applyFill="1" applyBorder="1" applyAlignment="1">
      <alignment horizontal="center" vertical="center" wrapText="1"/>
    </xf>
    <xf numFmtId="0" fontId="28" fillId="9" borderId="14" xfId="0" applyFont="1" applyFill="1" applyBorder="1" applyAlignment="1">
      <alignment horizontal="center" vertical="center" wrapText="1"/>
    </xf>
    <xf numFmtId="0" fontId="19" fillId="0" borderId="139" xfId="0" applyFont="1" applyBorder="1" applyAlignment="1">
      <alignment horizontal="center" vertical="center" wrapText="1"/>
    </xf>
    <xf numFmtId="0" fontId="19" fillId="0" borderId="140" xfId="0" applyFont="1" applyBorder="1" applyAlignment="1">
      <alignment horizontal="center" vertical="center" wrapText="1"/>
    </xf>
    <xf numFmtId="0" fontId="19" fillId="0" borderId="137" xfId="0" applyFont="1" applyBorder="1" applyAlignment="1">
      <alignment horizontal="center" vertical="center" wrapText="1"/>
    </xf>
    <xf numFmtId="0" fontId="28" fillId="9" borderId="18" xfId="0" applyFont="1" applyFill="1" applyBorder="1" applyAlignment="1">
      <alignment horizontal="center" vertical="center" wrapText="1"/>
    </xf>
    <xf numFmtId="0" fontId="28" fillId="9" borderId="19" xfId="0" applyFont="1" applyFill="1" applyBorder="1" applyAlignment="1">
      <alignment horizontal="center" vertical="center" wrapText="1"/>
    </xf>
    <xf numFmtId="0" fontId="19" fillId="0" borderId="155" xfId="0" applyFont="1" applyBorder="1" applyAlignment="1">
      <alignment horizontal="center" vertical="center" wrapText="1"/>
    </xf>
    <xf numFmtId="0" fontId="19" fillId="0" borderId="157" xfId="0" applyFont="1" applyBorder="1" applyAlignment="1">
      <alignment horizontal="center" vertical="center" wrapText="1"/>
    </xf>
    <xf numFmtId="0" fontId="19" fillId="0" borderId="162" xfId="0" applyFont="1" applyBorder="1" applyAlignment="1">
      <alignment horizontal="center" vertical="center" wrapText="1"/>
    </xf>
    <xf numFmtId="0" fontId="43" fillId="17" borderId="120" xfId="13" applyFont="1" applyFill="1" applyBorder="1" applyAlignment="1">
      <alignment horizontal="center" vertical="center" wrapText="1"/>
    </xf>
    <xf numFmtId="0" fontId="43" fillId="17" borderId="121" xfId="13" applyFont="1" applyFill="1" applyBorder="1" applyAlignment="1">
      <alignment horizontal="center" vertical="center" wrapText="1"/>
    </xf>
    <xf numFmtId="0" fontId="43" fillId="17" borderId="12" xfId="13" applyFont="1" applyFill="1" applyBorder="1" applyAlignment="1">
      <alignment horizontal="center" vertical="center" wrapText="1"/>
    </xf>
    <xf numFmtId="0" fontId="42" fillId="0" borderId="15" xfId="0" applyFont="1" applyBorder="1"/>
    <xf numFmtId="0" fontId="28" fillId="19" borderId="115" xfId="13" applyFont="1" applyFill="1" applyBorder="1" applyAlignment="1">
      <alignment horizontal="center" vertical="center" wrapText="1"/>
    </xf>
    <xf numFmtId="0" fontId="28" fillId="19" borderId="0" xfId="13" applyFont="1" applyFill="1" applyAlignment="1">
      <alignment horizontal="center" vertical="center" wrapText="1"/>
    </xf>
    <xf numFmtId="0" fontId="62" fillId="9" borderId="13" xfId="0" applyFont="1" applyFill="1" applyBorder="1" applyAlignment="1">
      <alignment horizontal="center" vertical="center" wrapText="1"/>
    </xf>
    <xf numFmtId="0" fontId="62" fillId="9" borderId="14" xfId="0" applyFont="1" applyFill="1" applyBorder="1" applyAlignment="1">
      <alignment horizontal="center" vertical="center" wrapText="1"/>
    </xf>
    <xf numFmtId="0" fontId="17" fillId="6" borderId="60" xfId="0" applyFont="1" applyFill="1" applyBorder="1" applyAlignment="1">
      <alignment horizontal="center" vertical="center" wrapText="1"/>
    </xf>
    <xf numFmtId="0" fontId="17" fillId="6" borderId="61" xfId="0" applyFont="1" applyFill="1" applyBorder="1" applyAlignment="1">
      <alignment horizontal="center" vertical="center" wrapText="1"/>
    </xf>
    <xf numFmtId="0" fontId="19" fillId="0" borderId="12" xfId="0" applyFont="1" applyBorder="1" applyAlignment="1">
      <alignment horizontal="center" vertical="center" wrapText="1"/>
    </xf>
    <xf numFmtId="0" fontId="19" fillId="0" borderId="16" xfId="0" applyFont="1" applyBorder="1" applyAlignment="1">
      <alignment horizontal="center" vertical="center" wrapText="1"/>
    </xf>
    <xf numFmtId="0" fontId="19" fillId="0" borderId="17" xfId="0" applyFont="1" applyBorder="1" applyAlignment="1">
      <alignment horizontal="center" vertical="center" wrapText="1"/>
    </xf>
    <xf numFmtId="0" fontId="6" fillId="6" borderId="2" xfId="0" applyFont="1" applyFill="1" applyBorder="1" applyAlignment="1">
      <alignment horizontal="center" vertical="center"/>
    </xf>
    <xf numFmtId="0" fontId="5" fillId="0" borderId="2" xfId="0" applyFont="1" applyBorder="1" applyAlignment="1">
      <alignment horizontal="center" vertical="center" wrapText="1"/>
    </xf>
    <xf numFmtId="0" fontId="19" fillId="0" borderId="2" xfId="0" applyFont="1" applyBorder="1" applyAlignment="1">
      <alignment horizontal="center" vertical="center" wrapText="1"/>
    </xf>
    <xf numFmtId="0" fontId="6" fillId="6" borderId="207" xfId="0" applyFont="1" applyFill="1" applyBorder="1" applyAlignment="1">
      <alignment horizontal="center" vertical="center" wrapText="1"/>
    </xf>
    <xf numFmtId="0" fontId="6" fillId="6" borderId="18" xfId="0" applyFont="1" applyFill="1" applyBorder="1" applyAlignment="1">
      <alignment horizontal="center" vertical="center" wrapText="1"/>
    </xf>
    <xf numFmtId="0" fontId="28" fillId="9" borderId="207" xfId="0" applyFont="1" applyFill="1" applyBorder="1" applyAlignment="1">
      <alignment horizontal="center" vertical="center" wrapText="1"/>
    </xf>
    <xf numFmtId="0" fontId="28" fillId="9" borderId="2" xfId="0" applyFont="1" applyFill="1" applyBorder="1" applyAlignment="1">
      <alignment horizontal="center" vertical="center"/>
    </xf>
    <xf numFmtId="0" fontId="23" fillId="6" borderId="2" xfId="0" applyFont="1" applyFill="1" applyBorder="1" applyAlignment="1">
      <alignment horizontal="center" vertical="center" wrapText="1"/>
    </xf>
    <xf numFmtId="0" fontId="42" fillId="0" borderId="26" xfId="0" applyFont="1" applyBorder="1" applyAlignment="1">
      <alignment horizontal="center" vertical="center" wrapText="1"/>
    </xf>
    <xf numFmtId="0" fontId="28" fillId="9" borderId="13" xfId="0" applyFont="1" applyFill="1" applyBorder="1" applyAlignment="1">
      <alignment horizontal="center" vertical="center"/>
    </xf>
    <xf numFmtId="0" fontId="28" fillId="9" borderId="14" xfId="0" applyFont="1" applyFill="1" applyBorder="1" applyAlignment="1">
      <alignment horizontal="center" vertical="center"/>
    </xf>
    <xf numFmtId="0" fontId="5" fillId="0" borderId="12" xfId="0" applyFont="1" applyBorder="1" applyAlignment="1">
      <alignment horizontal="center" vertical="center" wrapText="1"/>
    </xf>
    <xf numFmtId="0" fontId="5" fillId="0" borderId="16" xfId="0" applyFont="1" applyBorder="1" applyAlignment="1">
      <alignment horizontal="center" vertical="center" wrapText="1"/>
    </xf>
    <xf numFmtId="0" fontId="5" fillId="0" borderId="17" xfId="0" applyFont="1" applyBorder="1" applyAlignment="1">
      <alignment horizontal="center" vertical="center" wrapText="1"/>
    </xf>
    <xf numFmtId="0" fontId="40" fillId="16" borderId="0" xfId="0" applyFont="1" applyFill="1" applyAlignment="1">
      <alignment horizontal="center" vertical="center"/>
    </xf>
    <xf numFmtId="0" fontId="0" fillId="0" borderId="0" xfId="0"/>
    <xf numFmtId="0" fontId="60" fillId="16" borderId="0" xfId="0" applyFont="1" applyFill="1" applyAlignment="1">
      <alignment horizontal="center" vertical="center"/>
    </xf>
    <xf numFmtId="0" fontId="42" fillId="0" borderId="0" xfId="0" applyFont="1"/>
    <xf numFmtId="0" fontId="42" fillId="0" borderId="107" xfId="0" applyFont="1" applyBorder="1" applyAlignment="1">
      <alignment wrapText="1"/>
    </xf>
    <xf numFmtId="0" fontId="59" fillId="25" borderId="2" xfId="0" applyFont="1" applyFill="1" applyBorder="1" applyAlignment="1">
      <alignment horizontal="center" wrapText="1"/>
    </xf>
    <xf numFmtId="0" fontId="45" fillId="0" borderId="1" xfId="0" applyFont="1" applyBorder="1" applyAlignment="1">
      <alignment horizontal="center" vertical="center" wrapText="1"/>
    </xf>
    <xf numFmtId="0" fontId="45" fillId="0" borderId="2" xfId="0" applyFont="1" applyBorder="1" applyAlignment="1">
      <alignment horizontal="center" vertical="center" wrapText="1"/>
    </xf>
    <xf numFmtId="0" fontId="45" fillId="0" borderId="12" xfId="0" applyFont="1" applyBorder="1" applyAlignment="1">
      <alignment horizontal="center" vertical="center" wrapText="1"/>
    </xf>
    <xf numFmtId="0" fontId="45" fillId="0" borderId="173" xfId="0" applyFont="1" applyBorder="1" applyAlignment="1">
      <alignment horizontal="center" vertical="center" wrapText="1"/>
    </xf>
    <xf numFmtId="0" fontId="45" fillId="0" borderId="3" xfId="0" applyFont="1" applyBorder="1" applyAlignment="1">
      <alignment horizontal="center" vertical="center" wrapText="1"/>
    </xf>
    <xf numFmtId="0" fontId="45" fillId="0" borderId="13" xfId="0" applyFont="1" applyBorder="1" applyAlignment="1">
      <alignment horizontal="center" vertical="center" wrapText="1"/>
    </xf>
    <xf numFmtId="0" fontId="45" fillId="0" borderId="4" xfId="0" applyFont="1" applyBorder="1" applyAlignment="1">
      <alignment horizontal="center" vertical="center" wrapText="1"/>
    </xf>
    <xf numFmtId="0" fontId="45" fillId="0" borderId="6" xfId="0" applyFont="1" applyBorder="1" applyAlignment="1">
      <alignment horizontal="center" vertical="center" wrapText="1"/>
    </xf>
    <xf numFmtId="0" fontId="45" fillId="0" borderId="104" xfId="0" applyFont="1" applyBorder="1" applyAlignment="1">
      <alignment horizontal="center" vertical="center" wrapText="1"/>
    </xf>
    <xf numFmtId="0" fontId="45" fillId="0" borderId="8" xfId="0" applyFont="1" applyBorder="1" applyAlignment="1">
      <alignment horizontal="center" vertical="center" wrapText="1"/>
    </xf>
    <xf numFmtId="0" fontId="45" fillId="0" borderId="27" xfId="0" applyFont="1" applyBorder="1" applyAlignment="1">
      <alignment horizontal="center" vertical="center" wrapText="1"/>
    </xf>
    <xf numFmtId="0" fontId="45" fillId="0" borderId="174" xfId="0" applyFont="1" applyBorder="1" applyAlignment="1">
      <alignment horizontal="center" vertical="center" wrapText="1"/>
    </xf>
    <xf numFmtId="0" fontId="43" fillId="10" borderId="0" xfId="0" applyFont="1" applyFill="1" applyAlignment="1">
      <alignment horizontal="center" vertical="center" wrapText="1"/>
    </xf>
    <xf numFmtId="0" fontId="45" fillId="0" borderId="1" xfId="0" applyFont="1" applyBorder="1" applyAlignment="1">
      <alignment horizontal="center" vertical="center"/>
    </xf>
    <xf numFmtId="0" fontId="45" fillId="0" borderId="2" xfId="0" applyFont="1" applyBorder="1" applyAlignment="1">
      <alignment horizontal="center" vertical="center"/>
    </xf>
    <xf numFmtId="0" fontId="45" fillId="0" borderId="27" xfId="0" applyFont="1" applyBorder="1" applyAlignment="1">
      <alignment horizontal="center" vertical="center"/>
    </xf>
    <xf numFmtId="0" fontId="45" fillId="0" borderId="5" xfId="0" applyFont="1" applyBorder="1" applyAlignment="1">
      <alignment horizontal="center" vertical="center" wrapText="1"/>
    </xf>
    <xf numFmtId="0" fontId="45" fillId="0" borderId="7" xfId="0" applyFont="1" applyBorder="1" applyAlignment="1">
      <alignment horizontal="center" vertical="center" wrapText="1"/>
    </xf>
    <xf numFmtId="0" fontId="45" fillId="0" borderId="9" xfId="0" applyFont="1" applyBorder="1" applyAlignment="1">
      <alignment horizontal="center" vertical="center" wrapText="1"/>
    </xf>
    <xf numFmtId="0" fontId="21" fillId="0" borderId="30" xfId="0" applyFont="1" applyBorder="1" applyAlignment="1">
      <alignment horizontal="center" vertical="center" wrapText="1"/>
    </xf>
    <xf numFmtId="0" fontId="21" fillId="0" borderId="0" xfId="0" applyFont="1" applyAlignment="1">
      <alignment horizontal="center" vertical="center" wrapText="1"/>
    </xf>
    <xf numFmtId="0" fontId="21" fillId="0" borderId="113" xfId="0" applyFont="1" applyBorder="1" applyAlignment="1">
      <alignment horizontal="center" vertical="center" wrapText="1"/>
    </xf>
    <xf numFmtId="0" fontId="45" fillId="0" borderId="31" xfId="0" applyFont="1" applyBorder="1" applyAlignment="1">
      <alignment horizontal="center" vertical="center" wrapText="1"/>
    </xf>
    <xf numFmtId="0" fontId="21" fillId="0" borderId="111" xfId="0" applyFont="1" applyBorder="1" applyAlignment="1">
      <alignment horizontal="center" vertical="center" wrapText="1"/>
    </xf>
    <xf numFmtId="0" fontId="21" fillId="0" borderId="114" xfId="0" applyFont="1" applyBorder="1" applyAlignment="1">
      <alignment horizontal="center" vertical="center" wrapText="1"/>
    </xf>
    <xf numFmtId="0" fontId="45" fillId="0" borderId="30" xfId="0" applyFont="1" applyBorder="1" applyAlignment="1">
      <alignment horizontal="center" vertical="center" wrapText="1"/>
    </xf>
    <xf numFmtId="0" fontId="21" fillId="0" borderId="29" xfId="0" applyFont="1" applyBorder="1" applyAlignment="1">
      <alignment horizontal="center" vertical="center" wrapText="1"/>
    </xf>
    <xf numFmtId="0" fontId="21" fillId="0" borderId="21" xfId="0" applyFont="1" applyBorder="1" applyAlignment="1">
      <alignment horizontal="center" vertical="center" wrapText="1"/>
    </xf>
    <xf numFmtId="0" fontId="21" fillId="0" borderId="112" xfId="0" applyFont="1" applyBorder="1" applyAlignment="1">
      <alignment horizontal="center" vertical="center" wrapText="1"/>
    </xf>
    <xf numFmtId="0" fontId="35" fillId="0" borderId="30" xfId="0" applyFont="1" applyBorder="1" applyAlignment="1">
      <alignment horizontal="center" vertical="center" wrapText="1"/>
    </xf>
    <xf numFmtId="0" fontId="35" fillId="0" borderId="0" xfId="0" applyFont="1" applyAlignment="1">
      <alignment horizontal="center" vertical="center" wrapText="1"/>
    </xf>
    <xf numFmtId="0" fontId="35" fillId="0" borderId="113" xfId="0" applyFont="1" applyBorder="1" applyAlignment="1">
      <alignment horizontal="center" vertical="center" wrapText="1"/>
    </xf>
    <xf numFmtId="0" fontId="45" fillId="0" borderId="0" xfId="0" applyFont="1" applyAlignment="1">
      <alignment horizontal="center" vertical="center" wrapText="1"/>
    </xf>
    <xf numFmtId="0" fontId="45" fillId="0" borderId="113" xfId="0" applyFont="1" applyBorder="1" applyAlignment="1">
      <alignment horizontal="center" vertical="center" wrapText="1"/>
    </xf>
    <xf numFmtId="0" fontId="21" fillId="0" borderId="30" xfId="0" applyFont="1" applyBorder="1" applyAlignment="1">
      <alignment horizontal="center" vertical="center"/>
    </xf>
    <xf numFmtId="0" fontId="21" fillId="0" borderId="0" xfId="0" applyFont="1" applyAlignment="1">
      <alignment horizontal="center" vertical="center"/>
    </xf>
    <xf numFmtId="0" fontId="21" fillId="0" borderId="113" xfId="0" applyFont="1" applyBorder="1" applyAlignment="1">
      <alignment horizontal="center" vertical="center"/>
    </xf>
    <xf numFmtId="0" fontId="21" fillId="0" borderId="4" xfId="0" applyFont="1" applyBorder="1" applyAlignment="1">
      <alignment horizontal="center" vertical="center" wrapText="1"/>
    </xf>
    <xf numFmtId="0" fontId="21" fillId="0" borderId="6" xfId="0" applyFont="1" applyBorder="1" applyAlignment="1">
      <alignment horizontal="center" vertical="center" wrapText="1"/>
    </xf>
    <xf numFmtId="0" fontId="21" fillId="0" borderId="8" xfId="0" applyFont="1" applyBorder="1" applyAlignment="1">
      <alignment horizontal="center" vertical="center" wrapText="1"/>
    </xf>
    <xf numFmtId="0" fontId="21" fillId="0" borderId="1" xfId="0" applyFont="1" applyBorder="1" applyAlignment="1">
      <alignment horizontal="center" vertical="center" wrapText="1"/>
    </xf>
    <xf numFmtId="0" fontId="21" fillId="0" borderId="2" xfId="0" applyFont="1" applyBorder="1" applyAlignment="1">
      <alignment horizontal="center" vertical="center" wrapText="1"/>
    </xf>
    <xf numFmtId="0" fontId="21" fillId="0" borderId="27" xfId="0" applyFont="1" applyBorder="1" applyAlignment="1">
      <alignment horizontal="center" vertical="center" wrapText="1"/>
    </xf>
    <xf numFmtId="0" fontId="21" fillId="0" borderId="3" xfId="0" applyFont="1" applyBorder="1" applyAlignment="1">
      <alignment horizontal="center" vertical="center" wrapText="1"/>
    </xf>
    <xf numFmtId="0" fontId="21" fillId="0" borderId="174" xfId="0" applyFont="1" applyBorder="1" applyAlignment="1">
      <alignment horizontal="center" vertical="center" wrapText="1"/>
    </xf>
    <xf numFmtId="0" fontId="21" fillId="0" borderId="17" xfId="0" applyFont="1" applyBorder="1" applyAlignment="1">
      <alignment horizontal="center" vertical="center" wrapText="1"/>
    </xf>
    <xf numFmtId="0" fontId="21" fillId="0" borderId="12" xfId="0" applyFont="1" applyBorder="1" applyAlignment="1">
      <alignment horizontal="center" vertical="center" wrapText="1"/>
    </xf>
    <xf numFmtId="0" fontId="45" fillId="0" borderId="18" xfId="0" applyFont="1" applyBorder="1" applyAlignment="1">
      <alignment horizontal="center" vertical="center" wrapText="1"/>
    </xf>
    <xf numFmtId="0" fontId="21" fillId="0" borderId="13" xfId="0" applyFont="1" applyBorder="1" applyAlignment="1">
      <alignment horizontal="center" vertical="center" wrapText="1"/>
    </xf>
    <xf numFmtId="0" fontId="21" fillId="0" borderId="57" xfId="0" applyFont="1" applyBorder="1" applyAlignment="1">
      <alignment horizontal="center" vertical="center" wrapText="1"/>
    </xf>
    <xf numFmtId="0" fontId="21" fillId="0" borderId="95" xfId="0" applyFont="1" applyBorder="1" applyAlignment="1">
      <alignment horizontal="center" vertical="center" wrapText="1"/>
    </xf>
    <xf numFmtId="0" fontId="21" fillId="0" borderId="96" xfId="0" applyFont="1" applyBorder="1" applyAlignment="1">
      <alignment horizontal="center" vertical="center" wrapText="1"/>
    </xf>
    <xf numFmtId="0" fontId="21" fillId="0" borderId="58" xfId="0" applyFont="1" applyBorder="1" applyAlignment="1">
      <alignment horizontal="center" vertical="center" wrapText="1"/>
    </xf>
    <xf numFmtId="0" fontId="21" fillId="0" borderId="16" xfId="0" applyFont="1" applyBorder="1" applyAlignment="1">
      <alignment horizontal="center" vertical="center" wrapText="1"/>
    </xf>
    <xf numFmtId="0" fontId="21" fillId="0" borderId="84" xfId="0" applyFont="1" applyBorder="1" applyAlignment="1">
      <alignment horizontal="center" vertical="center" wrapText="1"/>
    </xf>
    <xf numFmtId="0" fontId="21" fillId="0" borderId="97" xfId="0" applyFont="1" applyBorder="1" applyAlignment="1">
      <alignment horizontal="center" vertical="center" wrapText="1"/>
    </xf>
    <xf numFmtId="0" fontId="21" fillId="0" borderId="7" xfId="0" applyFont="1" applyBorder="1" applyAlignment="1">
      <alignment horizontal="center" vertical="center" wrapText="1"/>
    </xf>
    <xf numFmtId="0" fontId="21" fillId="0" borderId="9" xfId="0" applyFont="1" applyBorder="1" applyAlignment="1">
      <alignment horizontal="center" vertical="center" wrapText="1"/>
    </xf>
    <xf numFmtId="0" fontId="21" fillId="0" borderId="105" xfId="0" applyFont="1" applyBorder="1" applyAlignment="1">
      <alignment horizontal="center" vertical="center" wrapText="1"/>
    </xf>
    <xf numFmtId="0" fontId="21" fillId="0" borderId="104" xfId="0" applyFont="1" applyBorder="1" applyAlignment="1">
      <alignment horizontal="center" vertical="center" wrapText="1"/>
    </xf>
    <xf numFmtId="0" fontId="17" fillId="6" borderId="176" xfId="0" applyFont="1" applyFill="1" applyBorder="1" applyAlignment="1">
      <alignment horizontal="center" vertical="center" wrapText="1"/>
    </xf>
    <xf numFmtId="0" fontId="17" fillId="6" borderId="135" xfId="0" applyFont="1" applyFill="1" applyBorder="1" applyAlignment="1">
      <alignment horizontal="center" vertical="center" wrapText="1"/>
    </xf>
    <xf numFmtId="0" fontId="17" fillId="6" borderId="113" xfId="0" applyFont="1" applyFill="1" applyBorder="1" applyAlignment="1">
      <alignment horizontal="center" vertical="center" wrapText="1"/>
    </xf>
    <xf numFmtId="0" fontId="17" fillId="6" borderId="114" xfId="0" applyFont="1" applyFill="1" applyBorder="1" applyAlignment="1">
      <alignment horizontal="center" vertical="center" wrapText="1"/>
    </xf>
    <xf numFmtId="0" fontId="45" fillId="0" borderId="111" xfId="0" applyFont="1" applyBorder="1" applyAlignment="1">
      <alignment horizontal="center" vertical="center" wrapText="1"/>
    </xf>
    <xf numFmtId="0" fontId="45" fillId="0" borderId="114" xfId="0" applyFont="1" applyBorder="1" applyAlignment="1">
      <alignment horizontal="center" vertical="center" wrapText="1"/>
    </xf>
    <xf numFmtId="0" fontId="21" fillId="0" borderId="82" xfId="0" applyFont="1" applyBorder="1" applyAlignment="1">
      <alignment horizontal="center" vertical="center" wrapText="1"/>
    </xf>
    <xf numFmtId="0" fontId="21" fillId="0" borderId="81" xfId="0" applyFont="1" applyBorder="1" applyAlignment="1">
      <alignment horizontal="center" vertical="center" wrapText="1"/>
    </xf>
    <xf numFmtId="0" fontId="21" fillId="0" borderId="80" xfId="0" applyFont="1" applyBorder="1" applyAlignment="1">
      <alignment horizontal="center" vertical="center" wrapText="1"/>
    </xf>
    <xf numFmtId="0" fontId="21" fillId="0" borderId="62" xfId="0" applyFont="1" applyBorder="1" applyAlignment="1">
      <alignment horizontal="center" vertical="center"/>
    </xf>
    <xf numFmtId="0" fontId="21" fillId="0" borderId="64" xfId="0" applyFont="1" applyBorder="1" applyAlignment="1">
      <alignment horizontal="center" vertical="center"/>
    </xf>
    <xf numFmtId="0" fontId="21" fillId="0" borderId="66" xfId="0" applyFont="1" applyBorder="1" applyAlignment="1">
      <alignment horizontal="center" vertical="center"/>
    </xf>
    <xf numFmtId="0" fontId="35" fillId="0" borderId="78" xfId="0" applyFont="1" applyBorder="1" applyAlignment="1">
      <alignment horizontal="center" vertical="center" wrapText="1"/>
    </xf>
    <xf numFmtId="0" fontId="35" fillId="0" borderId="74" xfId="0" applyFont="1" applyBorder="1" applyAlignment="1">
      <alignment horizontal="center" vertical="center" wrapText="1"/>
    </xf>
    <xf numFmtId="0" fontId="35" fillId="0" borderId="70" xfId="0" applyFont="1" applyBorder="1" applyAlignment="1">
      <alignment horizontal="center" vertical="center" wrapText="1"/>
    </xf>
    <xf numFmtId="0" fontId="21" fillId="0" borderId="77" xfId="0" applyFont="1" applyBorder="1" applyAlignment="1">
      <alignment horizontal="center" vertical="center" wrapText="1"/>
    </xf>
    <xf numFmtId="0" fontId="21" fillId="0" borderId="73" xfId="0" applyFont="1" applyBorder="1" applyAlignment="1">
      <alignment horizontal="center" vertical="center" wrapText="1"/>
    </xf>
    <xf numFmtId="0" fontId="21" fillId="0" borderId="69" xfId="0" applyFont="1" applyBorder="1" applyAlignment="1">
      <alignment horizontal="center" vertical="center" wrapText="1"/>
    </xf>
    <xf numFmtId="0" fontId="21" fillId="0" borderId="79" xfId="0" applyFont="1" applyBorder="1" applyAlignment="1">
      <alignment horizontal="center" vertical="center" wrapText="1"/>
    </xf>
    <xf numFmtId="0" fontId="21" fillId="0" borderId="75" xfId="0" applyFont="1" applyBorder="1" applyAlignment="1">
      <alignment horizontal="center" vertical="center" wrapText="1"/>
    </xf>
    <xf numFmtId="0" fontId="21" fillId="0" borderId="71" xfId="0" applyFont="1" applyBorder="1" applyAlignment="1">
      <alignment horizontal="center" vertical="center" wrapText="1"/>
    </xf>
    <xf numFmtId="0" fontId="21" fillId="0" borderId="78" xfId="0" applyFont="1" applyBorder="1" applyAlignment="1">
      <alignment horizontal="center" vertical="center"/>
    </xf>
    <xf numFmtId="0" fontId="21" fillId="0" borderId="74" xfId="0" applyFont="1" applyBorder="1" applyAlignment="1">
      <alignment horizontal="center" vertical="center"/>
    </xf>
    <xf numFmtId="0" fontId="21" fillId="0" borderId="70" xfId="0" applyFont="1" applyBorder="1" applyAlignment="1">
      <alignment horizontal="center" vertical="center"/>
    </xf>
    <xf numFmtId="0" fontId="17" fillId="6" borderId="0" xfId="0" applyFont="1" applyFill="1" applyAlignment="1">
      <alignment horizontal="center" vertical="center" wrapText="1"/>
    </xf>
    <xf numFmtId="0" fontId="17" fillId="6" borderId="83" xfId="0" applyFont="1" applyFill="1" applyBorder="1" applyAlignment="1">
      <alignment horizontal="center" vertical="center" wrapText="1"/>
    </xf>
    <xf numFmtId="0" fontId="17" fillId="6" borderId="190" xfId="0" applyFont="1" applyFill="1" applyBorder="1" applyAlignment="1">
      <alignment horizontal="center" vertical="center" wrapText="1"/>
    </xf>
    <xf numFmtId="0" fontId="17" fillId="6" borderId="30" xfId="0" applyFont="1" applyFill="1" applyBorder="1" applyAlignment="1">
      <alignment horizontal="center" vertical="center" wrapText="1"/>
    </xf>
    <xf numFmtId="0" fontId="17" fillId="6" borderId="102" xfId="0" applyFont="1" applyFill="1" applyBorder="1" applyAlignment="1">
      <alignment horizontal="center" vertical="center" wrapText="1"/>
    </xf>
    <xf numFmtId="0" fontId="17" fillId="6" borderId="103" xfId="0" applyFont="1" applyFill="1" applyBorder="1" applyAlignment="1">
      <alignment horizontal="center" vertical="center" wrapText="1"/>
    </xf>
    <xf numFmtId="0" fontId="36" fillId="6" borderId="0" xfId="0" applyFont="1" applyFill="1" applyAlignment="1">
      <alignment horizontal="center" vertical="center" wrapText="1"/>
    </xf>
    <xf numFmtId="0" fontId="36" fillId="6" borderId="83" xfId="0" applyFont="1" applyFill="1" applyBorder="1" applyAlignment="1">
      <alignment horizontal="center" vertical="center" wrapText="1"/>
    </xf>
    <xf numFmtId="0" fontId="21" fillId="0" borderId="99" xfId="0" applyFont="1" applyBorder="1" applyAlignment="1">
      <alignment horizontal="center" vertical="center" wrapText="1"/>
    </xf>
    <xf numFmtId="0" fontId="21" fillId="0" borderId="100" xfId="0" applyFont="1" applyBorder="1" applyAlignment="1">
      <alignment horizontal="center" vertical="center" wrapText="1"/>
    </xf>
    <xf numFmtId="0" fontId="21" fillId="0" borderId="101" xfId="0" applyFont="1" applyBorder="1" applyAlignment="1">
      <alignment horizontal="center" vertical="center" wrapText="1"/>
    </xf>
    <xf numFmtId="0" fontId="21" fillId="0" borderId="98" xfId="0" applyFont="1" applyBorder="1" applyAlignment="1">
      <alignment horizontal="center" vertical="center"/>
    </xf>
    <xf numFmtId="0" fontId="21" fillId="0" borderId="91" xfId="0" applyFont="1" applyBorder="1" applyAlignment="1">
      <alignment horizontal="center" vertical="center"/>
    </xf>
    <xf numFmtId="0" fontId="35" fillId="0" borderId="98" xfId="0" applyFont="1" applyBorder="1" applyAlignment="1">
      <alignment horizontal="center" vertical="center" wrapText="1"/>
    </xf>
    <xf numFmtId="0" fontId="35" fillId="0" borderId="91" xfId="0" applyFont="1" applyBorder="1" applyAlignment="1">
      <alignment horizontal="center" vertical="center" wrapText="1"/>
    </xf>
    <xf numFmtId="0" fontId="21" fillId="0" borderId="86" xfId="0" applyFont="1" applyBorder="1" applyAlignment="1">
      <alignment horizontal="center" vertical="center" wrapText="1"/>
    </xf>
    <xf numFmtId="0" fontId="21" fillId="0" borderId="92" xfId="0" applyFont="1" applyBorder="1" applyAlignment="1">
      <alignment horizontal="center" vertical="center" wrapText="1"/>
    </xf>
    <xf numFmtId="0" fontId="35" fillId="0" borderId="62" xfId="0" applyFont="1" applyBorder="1" applyAlignment="1">
      <alignment horizontal="center" vertical="center" wrapText="1"/>
    </xf>
    <xf numFmtId="0" fontId="45" fillId="0" borderId="86" xfId="0" applyFont="1" applyBorder="1" applyAlignment="1">
      <alignment horizontal="center" vertical="center" wrapText="1"/>
    </xf>
    <xf numFmtId="0" fontId="6" fillId="6" borderId="12" xfId="0" applyFont="1" applyFill="1" applyBorder="1" applyAlignment="1">
      <alignment horizontal="center" vertical="center"/>
    </xf>
    <xf numFmtId="0" fontId="6" fillId="6" borderId="84" xfId="0" applyFont="1" applyFill="1" applyBorder="1" applyAlignment="1">
      <alignment horizontal="center" vertical="center"/>
    </xf>
    <xf numFmtId="0" fontId="28" fillId="9" borderId="3" xfId="0" applyFont="1" applyFill="1" applyBorder="1" applyAlignment="1">
      <alignment horizontal="center" vertical="center" wrapText="1"/>
    </xf>
    <xf numFmtId="0" fontId="28" fillId="9" borderId="10" xfId="0" applyFont="1" applyFill="1" applyBorder="1" applyAlignment="1">
      <alignment horizontal="center" vertical="center" wrapText="1"/>
    </xf>
    <xf numFmtId="0" fontId="28" fillId="9" borderId="11" xfId="0" applyFont="1" applyFill="1" applyBorder="1" applyAlignment="1">
      <alignment horizontal="center" vertical="center" wrapText="1"/>
    </xf>
    <xf numFmtId="0" fontId="17" fillId="6" borderId="2" xfId="0" applyFont="1" applyFill="1" applyBorder="1" applyAlignment="1">
      <alignment horizontal="center" vertical="center" wrapText="1"/>
    </xf>
    <xf numFmtId="0" fontId="35" fillId="0" borderId="30" xfId="0" applyFont="1" applyBorder="1" applyAlignment="1">
      <alignment horizontal="center" vertical="center"/>
    </xf>
    <xf numFmtId="0" fontId="35" fillId="0" borderId="0" xfId="0" applyFont="1" applyAlignment="1">
      <alignment horizontal="center" vertical="center"/>
    </xf>
    <xf numFmtId="0" fontId="35" fillId="0" borderId="113" xfId="0" applyFont="1" applyBorder="1" applyAlignment="1">
      <alignment horizontal="center" vertical="center"/>
    </xf>
    <xf numFmtId="0" fontId="45" fillId="0" borderId="77" xfId="0" applyFont="1" applyBorder="1" applyAlignment="1">
      <alignment horizontal="center" vertical="center" wrapText="1"/>
    </xf>
    <xf numFmtId="0" fontId="21" fillId="0" borderId="191" xfId="0" applyFont="1" applyBorder="1" applyAlignment="1">
      <alignment horizontal="center" vertical="center" wrapText="1"/>
    </xf>
    <xf numFmtId="0" fontId="21" fillId="0" borderId="193" xfId="0" applyFont="1" applyBorder="1" applyAlignment="1">
      <alignment horizontal="center" vertical="center" wrapText="1"/>
    </xf>
    <xf numFmtId="0" fontId="21" fillId="0" borderId="194" xfId="0" applyFont="1" applyBorder="1" applyAlignment="1">
      <alignment horizontal="center" vertical="center" wrapText="1"/>
    </xf>
    <xf numFmtId="0" fontId="21" fillId="0" borderId="192" xfId="0" applyFont="1" applyBorder="1" applyAlignment="1">
      <alignment horizontal="center" vertical="center" wrapText="1"/>
    </xf>
    <xf numFmtId="0" fontId="21" fillId="0" borderId="26" xfId="0" applyFont="1" applyBorder="1" applyAlignment="1">
      <alignment horizontal="center" vertical="center" wrapText="1"/>
    </xf>
    <xf numFmtId="0" fontId="21" fillId="0" borderId="195" xfId="0" applyFont="1" applyBorder="1" applyAlignment="1">
      <alignment horizontal="center" vertical="center" wrapText="1"/>
    </xf>
    <xf numFmtId="0" fontId="21" fillId="0" borderId="130" xfId="0" applyFont="1" applyBorder="1" applyAlignment="1">
      <alignment horizontal="center" vertical="center" wrapText="1"/>
    </xf>
    <xf numFmtId="0" fontId="21" fillId="0" borderId="131" xfId="0" applyFont="1" applyBorder="1" applyAlignment="1">
      <alignment horizontal="center" vertical="center" wrapText="1"/>
    </xf>
    <xf numFmtId="0" fontId="21" fillId="0" borderId="134" xfId="0" applyFont="1" applyBorder="1" applyAlignment="1">
      <alignment horizontal="center" vertical="center" wrapText="1"/>
    </xf>
    <xf numFmtId="0" fontId="21" fillId="0" borderId="5" xfId="0" applyFont="1" applyBorder="1" applyAlignment="1">
      <alignment horizontal="center" vertical="center" wrapText="1"/>
    </xf>
    <xf numFmtId="0" fontId="21" fillId="0" borderId="18" xfId="0" applyFont="1" applyBorder="1" applyAlignment="1">
      <alignment horizontal="center" vertical="center" wrapText="1"/>
    </xf>
    <xf numFmtId="0" fontId="43" fillId="6" borderId="30" xfId="0" applyFont="1" applyFill="1" applyBorder="1" applyAlignment="1">
      <alignment horizontal="center" vertical="center" wrapText="1"/>
    </xf>
    <xf numFmtId="0" fontId="43" fillId="6" borderId="206" xfId="0" applyFont="1" applyFill="1" applyBorder="1" applyAlignment="1">
      <alignment horizontal="center" vertical="center" wrapText="1"/>
    </xf>
    <xf numFmtId="0" fontId="45" fillId="0" borderId="97" xfId="0" applyFont="1" applyBorder="1" applyAlignment="1">
      <alignment horizontal="center" vertical="center" wrapText="1"/>
    </xf>
    <xf numFmtId="0" fontId="45" fillId="0" borderId="173" xfId="0" applyFont="1" applyBorder="1" applyAlignment="1">
      <alignment horizontal="center" vertical="center"/>
    </xf>
    <xf numFmtId="0" fontId="45" fillId="0" borderId="3" xfId="0" applyFont="1" applyBorder="1" applyAlignment="1">
      <alignment horizontal="center" vertical="center"/>
    </xf>
    <xf numFmtId="0" fontId="45" fillId="0" borderId="174" xfId="0" applyFont="1" applyBorder="1" applyAlignment="1">
      <alignment horizontal="center" vertical="center"/>
    </xf>
    <xf numFmtId="0" fontId="45" fillId="0" borderId="167" xfId="0" applyFont="1" applyBorder="1" applyAlignment="1">
      <alignment horizontal="center" vertical="center" wrapText="1"/>
    </xf>
    <xf numFmtId="0" fontId="45" fillId="0" borderId="168" xfId="0" applyFont="1" applyBorder="1" applyAlignment="1">
      <alignment horizontal="center" vertical="center" wrapText="1"/>
    </xf>
    <xf numFmtId="0" fontId="45" fillId="0" borderId="169" xfId="0" applyFont="1" applyBorder="1" applyAlignment="1">
      <alignment horizontal="center" vertical="center" wrapText="1"/>
    </xf>
    <xf numFmtId="0" fontId="43" fillId="10" borderId="113" xfId="0" applyFont="1" applyFill="1" applyBorder="1" applyAlignment="1">
      <alignment horizontal="center" vertical="center" wrapText="1"/>
    </xf>
    <xf numFmtId="0" fontId="45" fillId="0" borderId="105" xfId="0" applyFont="1" applyBorder="1" applyAlignment="1">
      <alignment horizontal="center" vertical="center" wrapText="1"/>
    </xf>
    <xf numFmtId="0" fontId="28" fillId="32" borderId="176" xfId="0" applyFont="1" applyFill="1" applyBorder="1" applyAlignment="1">
      <alignment horizontal="center" vertical="center" wrapText="1"/>
    </xf>
    <xf numFmtId="0" fontId="28" fillId="32" borderId="135" xfId="0" applyFont="1" applyFill="1" applyBorder="1" applyAlignment="1">
      <alignment horizontal="center" vertical="center" wrapText="1"/>
    </xf>
    <xf numFmtId="0" fontId="28" fillId="32" borderId="177" xfId="0" applyFont="1" applyFill="1" applyBorder="1" applyAlignment="1">
      <alignment horizontal="center" vertical="center" wrapText="1"/>
    </xf>
    <xf numFmtId="0" fontId="43" fillId="10" borderId="0" xfId="0" applyFont="1" applyFill="1" applyAlignment="1">
      <alignment horizontal="center" wrapText="1"/>
    </xf>
    <xf numFmtId="0" fontId="43" fillId="10" borderId="113" xfId="0" applyFont="1" applyFill="1" applyBorder="1" applyAlignment="1">
      <alignment horizontal="center" wrapText="1"/>
    </xf>
    <xf numFmtId="0" fontId="22" fillId="0" borderId="2" xfId="0" applyFont="1" applyBorder="1" applyAlignment="1">
      <alignment horizontal="center" vertical="center"/>
    </xf>
    <xf numFmtId="0" fontId="28" fillId="12" borderId="18" xfId="0" applyFont="1" applyFill="1" applyBorder="1" applyAlignment="1">
      <alignment horizontal="center" vertical="center"/>
    </xf>
    <xf numFmtId="0" fontId="28" fillId="12" borderId="19" xfId="0" applyFont="1" applyFill="1" applyBorder="1" applyAlignment="1">
      <alignment horizontal="center" vertical="center"/>
    </xf>
    <xf numFmtId="0" fontId="28" fillId="9" borderId="18" xfId="0" applyFont="1" applyFill="1" applyBorder="1" applyAlignment="1">
      <alignment horizontal="center" vertical="center"/>
    </xf>
    <xf numFmtId="0" fontId="61" fillId="9" borderId="0" xfId="0" applyFont="1" applyFill="1" applyAlignment="1">
      <alignment horizontal="center" vertical="center" wrapText="1"/>
    </xf>
    <xf numFmtId="0" fontId="0" fillId="0" borderId="0" xfId="0" applyAlignment="1">
      <alignment horizontal="center"/>
    </xf>
    <xf numFmtId="0" fontId="28" fillId="12" borderId="19" xfId="0" applyFont="1" applyFill="1" applyBorder="1" applyAlignment="1">
      <alignment horizontal="center" vertical="center" wrapText="1"/>
    </xf>
    <xf numFmtId="0" fontId="23" fillId="10" borderId="12" xfId="0" applyFont="1" applyFill="1" applyBorder="1" applyAlignment="1">
      <alignment horizontal="center" vertical="center"/>
    </xf>
    <xf numFmtId="0" fontId="23" fillId="10" borderId="16" xfId="0" applyFont="1" applyFill="1" applyBorder="1" applyAlignment="1">
      <alignment horizontal="center" vertical="center"/>
    </xf>
    <xf numFmtId="0" fontId="23" fillId="10" borderId="3" xfId="0" applyFont="1" applyFill="1" applyBorder="1" applyAlignment="1">
      <alignment horizontal="center" vertical="center"/>
    </xf>
    <xf numFmtId="0" fontId="23" fillId="10" borderId="10" xfId="0" applyFont="1" applyFill="1" applyBorder="1" applyAlignment="1">
      <alignment horizontal="center" vertical="center"/>
    </xf>
    <xf numFmtId="0" fontId="22" fillId="0" borderId="186" xfId="0" applyFont="1" applyBorder="1" applyAlignment="1">
      <alignment horizontal="center" vertical="center"/>
    </xf>
    <xf numFmtId="0" fontId="22" fillId="0" borderId="36" xfId="0" applyFont="1" applyBorder="1" applyAlignment="1">
      <alignment horizontal="center" vertical="center"/>
    </xf>
    <xf numFmtId="0" fontId="22" fillId="0" borderId="187" xfId="0" applyFont="1" applyBorder="1" applyAlignment="1">
      <alignment horizontal="center" vertical="center"/>
    </xf>
    <xf numFmtId="0" fontId="5" fillId="0" borderId="14" xfId="0" applyFont="1" applyBorder="1" applyAlignment="1">
      <alignment horizontal="center" vertical="center"/>
    </xf>
    <xf numFmtId="0" fontId="5" fillId="0" borderId="0" xfId="0" applyFont="1" applyAlignment="1">
      <alignment horizontal="center" vertical="center"/>
    </xf>
    <xf numFmtId="0" fontId="5" fillId="0" borderId="185" xfId="0" applyFont="1" applyBorder="1" applyAlignment="1">
      <alignment horizontal="center" vertical="center"/>
    </xf>
    <xf numFmtId="0" fontId="23" fillId="6" borderId="3" xfId="0" applyFont="1" applyFill="1" applyBorder="1" applyAlignment="1">
      <alignment horizontal="center" vertical="center"/>
    </xf>
    <xf numFmtId="0" fontId="23" fillId="6" borderId="10" xfId="0" applyFont="1" applyFill="1" applyBorder="1" applyAlignment="1">
      <alignment horizontal="center" vertical="center"/>
    </xf>
    <xf numFmtId="0" fontId="23" fillId="6" borderId="11" xfId="0" applyFont="1" applyFill="1" applyBorder="1" applyAlignment="1">
      <alignment horizontal="center" vertical="center"/>
    </xf>
    <xf numFmtId="0" fontId="23" fillId="6" borderId="12" xfId="0" applyFont="1" applyFill="1" applyBorder="1" applyAlignment="1">
      <alignment horizontal="center" vertical="center"/>
    </xf>
    <xf numFmtId="0" fontId="23" fillId="6" borderId="17" xfId="0" applyFont="1" applyFill="1" applyBorder="1" applyAlignment="1">
      <alignment horizontal="center" vertical="center"/>
    </xf>
  </cellXfs>
  <cellStyles count="16">
    <cellStyle name="Comma" xfId="6" builtinId="3"/>
    <cellStyle name="Comma 2" xfId="15" xr:uid="{864E269A-83A8-4DDD-A417-D48ED66E212F}"/>
    <cellStyle name="Hyperlink" xfId="5" builtinId="8"/>
    <cellStyle name="Hyperlink 2" xfId="10" xr:uid="{10C1E3C0-F46B-4E25-BD9A-EE5D62F88FF2}"/>
    <cellStyle name="Hyperlink 3" xfId="14" xr:uid="{DABF5E91-637E-4A42-BA05-D563B997B12D}"/>
    <cellStyle name="Normal" xfId="0" builtinId="0"/>
    <cellStyle name="Normal 2" xfId="3" xr:uid="{E38C2638-0821-4BB2-9C33-A89D3950ADA6}"/>
    <cellStyle name="Normal 2 2" xfId="4" xr:uid="{7604919E-E68F-4366-A693-6A7B8B8DA661}"/>
    <cellStyle name="Normal 2 3" xfId="9" xr:uid="{8A1E39CD-7ABA-4D79-A464-67010D1209C1}"/>
    <cellStyle name="Normal 3" xfId="7" xr:uid="{1C10DAE4-4F9C-4E19-81E4-5574511A6741}"/>
    <cellStyle name="Normal 4" xfId="11" xr:uid="{43272557-B37F-4996-BC18-AA3EDEAFA379}"/>
    <cellStyle name="Normal 5" xfId="12" xr:uid="{642BE191-BE2F-4847-8420-1C59B95E270E}"/>
    <cellStyle name="Normal 7" xfId="13" xr:uid="{B0CB1A9B-9594-47E6-87A2-0E044F04B187}"/>
    <cellStyle name="Normal_Prototype_Scorecard-LgOffice-2008-03-13" xfId="1" xr:uid="{F839F8A1-86E5-4008-9801-0F032E8A3317}"/>
    <cellStyle name="Percent" xfId="2" builtinId="5"/>
    <cellStyle name="Percent 2" xfId="8" xr:uid="{CB789C3E-741F-4464-8065-385A956411E6}"/>
  </cellStyles>
  <dxfs count="7">
    <dxf>
      <font>
        <b/>
        <i val="0"/>
      </font>
      <fill>
        <patternFill>
          <bgColor theme="0" tint="-0.14996795556505021"/>
        </patternFill>
      </fill>
      <border>
        <left style="thin">
          <color auto="1"/>
        </left>
        <right style="thin">
          <color auto="1"/>
        </right>
        <top style="thin">
          <color auto="1"/>
        </top>
        <bottom style="thin">
          <color auto="1"/>
        </bottom>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font>
        <b/>
        <i val="0"/>
      </font>
    </dxf>
    <dxf>
      <font>
        <b/>
        <i val="0"/>
      </font>
    </dxf>
    <dxf>
      <font>
        <b/>
        <i val="0"/>
      </font>
      <border diagonalDown="1">
        <left style="thin">
          <color auto="1"/>
        </left>
        <right style="thin">
          <color auto="1"/>
        </right>
        <top style="thin">
          <color auto="1"/>
        </top>
        <bottom style="thin">
          <color auto="1"/>
        </bottom>
        <diagonal style="thin">
          <color auto="1"/>
        </diagonal>
        <vertical style="thin">
          <color auto="1"/>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border>
    </dxf>
  </dxfs>
  <tableStyles count="1" defaultTableStyle="TableStyleMedium2" defaultPivotStyle="PivotStyleLight16">
    <tableStyle name="PivotTable Style_MFA1" table="0" count="7" xr9:uid="{14E84246-083A-4927-8273-A88944943105}">
      <tableStyleElement type="wholeTable" dxfId="6"/>
      <tableStyleElement type="headerRow" dxfId="5"/>
      <tableStyleElement type="totalRow" dxfId="4"/>
      <tableStyleElement type="firstColumn" dxfId="3"/>
      <tableStyleElement type="lastColumn" dxfId="2"/>
      <tableStyleElement type="pageFieldLabels" dxfId="1"/>
      <tableStyleElement type="pageFieldValues" dxfId="0"/>
    </tableStyle>
  </tableStyles>
  <colors>
    <mruColors>
      <color rgb="FFCCFF33"/>
      <color rgb="FF00CC99"/>
      <color rgb="FF6666FF"/>
      <color rgb="FFCC00FF"/>
      <color rgb="FFA1F5FB"/>
      <color rgb="FFCCCC00"/>
      <color rgb="FFDDDAB1"/>
      <color rgb="FFCC9900"/>
      <color rgb="FFCCCCFF"/>
      <color rgb="FF99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charts/_rels/chart74.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75.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Occupancy</a:t>
            </a:r>
          </a:p>
        </c:rich>
      </c:tx>
      <c:overlay val="0"/>
    </c:title>
    <c:autoTitleDeleted val="0"/>
    <c:plotArea>
      <c:layout/>
      <c:lineChart>
        <c:grouping val="standard"/>
        <c:varyColors val="0"/>
        <c:ser>
          <c:idx val="0"/>
          <c:order val="0"/>
          <c:tx>
            <c:strRef>
              <c:f>Schedules!$E$4</c:f>
              <c:strCache>
                <c:ptCount val="1"/>
                <c:pt idx="0">
                  <c:v>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Schedules!$F$4:$AC$4</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9C32-4F10-BF44-4279BBE610AF}"/>
            </c:ext>
          </c:extLst>
        </c:ser>
        <c:ser>
          <c:idx val="1"/>
          <c:order val="1"/>
          <c:tx>
            <c:strRef>
              <c:f>Schedules!$E$5</c:f>
              <c:strCache>
                <c:ptCount val="1"/>
                <c:pt idx="0">
                  <c:v>Mon-Thu</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Schedules!$F$5:$AC$5</c:f>
              <c:numCache>
                <c:formatCode>0.00</c:formatCode>
                <c:ptCount val="24"/>
                <c:pt idx="0">
                  <c:v>0</c:v>
                </c:pt>
                <c:pt idx="1">
                  <c:v>0</c:v>
                </c:pt>
                <c:pt idx="2">
                  <c:v>0</c:v>
                </c:pt>
                <c:pt idx="3">
                  <c:v>0</c:v>
                </c:pt>
                <c:pt idx="4">
                  <c:v>0</c:v>
                </c:pt>
                <c:pt idx="5">
                  <c:v>0</c:v>
                </c:pt>
                <c:pt idx="6">
                  <c:v>0</c:v>
                </c:pt>
                <c:pt idx="7">
                  <c:v>0.16</c:v>
                </c:pt>
                <c:pt idx="8">
                  <c:v>0.95</c:v>
                </c:pt>
                <c:pt idx="9">
                  <c:v>0.95</c:v>
                </c:pt>
                <c:pt idx="10">
                  <c:v>0.95</c:v>
                </c:pt>
                <c:pt idx="11">
                  <c:v>0.95</c:v>
                </c:pt>
                <c:pt idx="12">
                  <c:v>0.5</c:v>
                </c:pt>
                <c:pt idx="13">
                  <c:v>0.95</c:v>
                </c:pt>
                <c:pt idx="14">
                  <c:v>0.95</c:v>
                </c:pt>
                <c:pt idx="15">
                  <c:v>0.05</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9C32-4F10-BF44-4279BBE610AF}"/>
            </c:ext>
          </c:extLst>
        </c:ser>
        <c:ser>
          <c:idx val="2"/>
          <c:order val="2"/>
          <c:tx>
            <c:strRef>
              <c:f>Schedules!$E$6</c:f>
              <c:strCache>
                <c:ptCount val="1"/>
                <c:pt idx="0">
                  <c:v>Friday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Schedules!$F$6:$AC$6</c:f>
              <c:numCache>
                <c:formatCode>0.00</c:formatCode>
                <c:ptCount val="24"/>
                <c:pt idx="0">
                  <c:v>0</c:v>
                </c:pt>
                <c:pt idx="1">
                  <c:v>0</c:v>
                </c:pt>
                <c:pt idx="2">
                  <c:v>0</c:v>
                </c:pt>
                <c:pt idx="3">
                  <c:v>0</c:v>
                </c:pt>
                <c:pt idx="4">
                  <c:v>0</c:v>
                </c:pt>
                <c:pt idx="5">
                  <c:v>0</c:v>
                </c:pt>
                <c:pt idx="6">
                  <c:v>0</c:v>
                </c:pt>
                <c:pt idx="7">
                  <c:v>0.16</c:v>
                </c:pt>
                <c:pt idx="8">
                  <c:v>0.95</c:v>
                </c:pt>
                <c:pt idx="9">
                  <c:v>0.95</c:v>
                </c:pt>
                <c:pt idx="10">
                  <c:v>0.95</c:v>
                </c:pt>
                <c:pt idx="11">
                  <c:v>0.95</c:v>
                </c:pt>
                <c:pt idx="12">
                  <c:v>0.5</c:v>
                </c:pt>
                <c:pt idx="13">
                  <c:v>0.95</c:v>
                </c:pt>
                <c:pt idx="14">
                  <c:v>0.05</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3-9C32-4F10-BF44-4279BBE610AF}"/>
            </c:ext>
          </c:extLst>
        </c:ser>
        <c:ser>
          <c:idx val="3"/>
          <c:order val="3"/>
          <c:tx>
            <c:strRef>
              <c:f>Schedules!$E$7</c:f>
              <c:strCache>
                <c:ptCount val="1"/>
                <c:pt idx="0">
                  <c:v>Summer School</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Schedules!$F$7:$AC$7</c:f>
              <c:numCache>
                <c:formatCode>0.00</c:formatCode>
                <c:ptCount val="24"/>
                <c:pt idx="0">
                  <c:v>0</c:v>
                </c:pt>
                <c:pt idx="1">
                  <c:v>0</c:v>
                </c:pt>
                <c:pt idx="2">
                  <c:v>0</c:v>
                </c:pt>
                <c:pt idx="3">
                  <c:v>0</c:v>
                </c:pt>
                <c:pt idx="4">
                  <c:v>0</c:v>
                </c:pt>
                <c:pt idx="5">
                  <c:v>0</c:v>
                </c:pt>
                <c:pt idx="6">
                  <c:v>0</c:v>
                </c:pt>
                <c:pt idx="7">
                  <c:v>2.5000000000000001E-2</c:v>
                </c:pt>
                <c:pt idx="8">
                  <c:v>0.7</c:v>
                </c:pt>
                <c:pt idx="9">
                  <c:v>0.7</c:v>
                </c:pt>
                <c:pt idx="10">
                  <c:v>0.7</c:v>
                </c:pt>
                <c:pt idx="11">
                  <c:v>0.7</c:v>
                </c:pt>
                <c:pt idx="12">
                  <c:v>0.25</c:v>
                </c:pt>
                <c:pt idx="13">
                  <c:v>0.7</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4-9C32-4F10-BF44-4279BBE610AF}"/>
            </c:ext>
          </c:extLst>
        </c:ser>
        <c:dLbls>
          <c:showLegendKey val="0"/>
          <c:showVal val="0"/>
          <c:showCatName val="0"/>
          <c:showSerName val="0"/>
          <c:showPercent val="0"/>
          <c:showBubbleSize val="0"/>
        </c:dLbls>
        <c:smooth val="0"/>
        <c:axId val="899184640"/>
        <c:axId val="533810032"/>
      </c:lineChart>
      <c:catAx>
        <c:axId val="899184640"/>
        <c:scaling>
          <c:orientation val="minMax"/>
        </c:scaling>
        <c:delete val="0"/>
        <c:axPos val="b"/>
        <c:numFmt formatCode="General" sourceLinked="1"/>
        <c:majorTickMark val="out"/>
        <c:minorTickMark val="none"/>
        <c:tickLblPos val="nextTo"/>
        <c:crossAx val="533810032"/>
        <c:crosses val="autoZero"/>
        <c:auto val="1"/>
        <c:lblAlgn val="ctr"/>
        <c:lblOffset val="100"/>
        <c:noMultiLvlLbl val="0"/>
      </c:catAx>
      <c:valAx>
        <c:axId val="533810032"/>
        <c:scaling>
          <c:orientation val="minMax"/>
          <c:max val="1"/>
          <c:min val="0"/>
        </c:scaling>
        <c:delete val="0"/>
        <c:axPos val="l"/>
        <c:majorGridlines/>
        <c:numFmt formatCode="0.00" sourceLinked="1"/>
        <c:majorTickMark val="out"/>
        <c:minorTickMark val="none"/>
        <c:tickLblPos val="nextTo"/>
        <c:crossAx val="899184640"/>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Lights</a:t>
            </a:r>
          </a:p>
        </c:rich>
      </c:tx>
      <c:overlay val="0"/>
    </c:title>
    <c:autoTitleDeleted val="0"/>
    <c:plotArea>
      <c:layout/>
      <c:lineChart>
        <c:grouping val="standard"/>
        <c:varyColors val="0"/>
        <c:ser>
          <c:idx val="0"/>
          <c:order val="0"/>
          <c:tx>
            <c:strRef>
              <c:f>Schedules!$E$8</c:f>
              <c:strCache>
                <c:ptCount val="1"/>
                <c:pt idx="0">
                  <c:v>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Schedules!$F$8:$AC$8</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BC9D-46FF-8DDB-7C8D10D940FF}"/>
            </c:ext>
          </c:extLst>
        </c:ser>
        <c:ser>
          <c:idx val="1"/>
          <c:order val="1"/>
          <c:tx>
            <c:strRef>
              <c:f>Schedules!$E$9</c:f>
              <c:strCache>
                <c:ptCount val="1"/>
                <c:pt idx="0">
                  <c:v>Mon-Thu</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Schedules!$F$9:$AC$9</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BC9D-46FF-8DDB-7C8D10D940FF}"/>
            </c:ext>
          </c:extLst>
        </c:ser>
        <c:ser>
          <c:idx val="2"/>
          <c:order val="2"/>
          <c:tx>
            <c:strRef>
              <c:f>Schedules!$E$10</c:f>
              <c:strCache>
                <c:ptCount val="1"/>
                <c:pt idx="0">
                  <c:v>Friday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Schedules!$F$10:$AC$10</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3-BC9D-46FF-8DDB-7C8D10D940FF}"/>
            </c:ext>
          </c:extLst>
        </c:ser>
        <c:ser>
          <c:idx val="3"/>
          <c:order val="3"/>
          <c:tx>
            <c:strRef>
              <c:f>Schedules!$E$11</c:f>
              <c:strCache>
                <c:ptCount val="1"/>
                <c:pt idx="0">
                  <c:v>Summer School</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Schedules!$F$11:$AC$11</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4-BC9D-46FF-8DDB-7C8D10D940FF}"/>
            </c:ext>
          </c:extLst>
        </c:ser>
        <c:dLbls>
          <c:showLegendKey val="0"/>
          <c:showVal val="0"/>
          <c:showCatName val="0"/>
          <c:showSerName val="0"/>
          <c:showPercent val="0"/>
          <c:showBubbleSize val="0"/>
        </c:dLbls>
        <c:smooth val="0"/>
        <c:axId val="899190208"/>
        <c:axId val="533830672"/>
      </c:lineChart>
      <c:catAx>
        <c:axId val="899190208"/>
        <c:scaling>
          <c:orientation val="minMax"/>
        </c:scaling>
        <c:delete val="0"/>
        <c:axPos val="b"/>
        <c:numFmt formatCode="General" sourceLinked="1"/>
        <c:majorTickMark val="out"/>
        <c:minorTickMark val="none"/>
        <c:tickLblPos val="nextTo"/>
        <c:crossAx val="533830672"/>
        <c:crosses val="autoZero"/>
        <c:auto val="1"/>
        <c:lblAlgn val="ctr"/>
        <c:lblOffset val="100"/>
        <c:noMultiLvlLbl val="0"/>
      </c:catAx>
      <c:valAx>
        <c:axId val="533830672"/>
        <c:scaling>
          <c:orientation val="minMax"/>
          <c:max val="1"/>
          <c:min val="0"/>
        </c:scaling>
        <c:delete val="0"/>
        <c:axPos val="l"/>
        <c:majorGridlines/>
        <c:numFmt formatCode="0.00" sourceLinked="1"/>
        <c:majorTickMark val="out"/>
        <c:minorTickMark val="none"/>
        <c:tickLblPos val="nextTo"/>
        <c:crossAx val="899190208"/>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ElecEquipment</a:t>
            </a:r>
          </a:p>
        </c:rich>
      </c:tx>
      <c:overlay val="0"/>
    </c:title>
    <c:autoTitleDeleted val="0"/>
    <c:plotArea>
      <c:layout/>
      <c:lineChart>
        <c:grouping val="standard"/>
        <c:varyColors val="0"/>
        <c:ser>
          <c:idx val="0"/>
          <c:order val="0"/>
          <c:tx>
            <c:strRef>
              <c:f>Schedules!$E$12</c:f>
              <c:strCache>
                <c:ptCount val="1"/>
                <c:pt idx="0">
                  <c:v>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Schedules!$F$12:$AC$12</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A3C5-4275-9688-59A2B0236B5C}"/>
            </c:ext>
          </c:extLst>
        </c:ser>
        <c:ser>
          <c:idx val="1"/>
          <c:order val="1"/>
          <c:tx>
            <c:strRef>
              <c:f>Schedules!$E$13</c:f>
              <c:strCache>
                <c:ptCount val="1"/>
                <c:pt idx="0">
                  <c:v>Mon-Thu</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Schedules!$F$13:$AC$13</c:f>
              <c:numCache>
                <c:formatCode>0.00</c:formatCode>
                <c:ptCount val="24"/>
                <c:pt idx="0">
                  <c:v>0.15</c:v>
                </c:pt>
                <c:pt idx="1">
                  <c:v>0.15</c:v>
                </c:pt>
                <c:pt idx="2">
                  <c:v>0.15</c:v>
                </c:pt>
                <c:pt idx="3">
                  <c:v>0.15</c:v>
                </c:pt>
                <c:pt idx="4">
                  <c:v>0.15</c:v>
                </c:pt>
                <c:pt idx="5">
                  <c:v>0.15</c:v>
                </c:pt>
                <c:pt idx="6">
                  <c:v>0.15</c:v>
                </c:pt>
                <c:pt idx="7">
                  <c:v>0.75</c:v>
                </c:pt>
                <c:pt idx="8">
                  <c:v>0.95</c:v>
                </c:pt>
                <c:pt idx="9">
                  <c:v>0.95</c:v>
                </c:pt>
                <c:pt idx="10">
                  <c:v>0.95</c:v>
                </c:pt>
                <c:pt idx="11">
                  <c:v>0.95</c:v>
                </c:pt>
                <c:pt idx="12">
                  <c:v>0.75</c:v>
                </c:pt>
                <c:pt idx="13">
                  <c:v>0.95</c:v>
                </c:pt>
                <c:pt idx="14">
                  <c:v>0.95</c:v>
                </c:pt>
                <c:pt idx="15">
                  <c:v>0.2</c:v>
                </c:pt>
                <c:pt idx="16">
                  <c:v>0.15</c:v>
                </c:pt>
                <c:pt idx="17">
                  <c:v>0.15</c:v>
                </c:pt>
                <c:pt idx="18">
                  <c:v>0.15</c:v>
                </c:pt>
                <c:pt idx="19">
                  <c:v>0.15</c:v>
                </c:pt>
                <c:pt idx="20">
                  <c:v>0.15</c:v>
                </c:pt>
                <c:pt idx="21">
                  <c:v>0.15</c:v>
                </c:pt>
                <c:pt idx="22">
                  <c:v>0.15</c:v>
                </c:pt>
                <c:pt idx="23">
                  <c:v>0.15</c:v>
                </c:pt>
              </c:numCache>
            </c:numRef>
          </c:val>
          <c:smooth val="0"/>
          <c:extLst>
            <c:ext xmlns:c16="http://schemas.microsoft.com/office/drawing/2014/chart" uri="{C3380CC4-5D6E-409C-BE32-E72D297353CC}">
              <c16:uniqueId val="{00000002-A3C5-4275-9688-59A2B0236B5C}"/>
            </c:ext>
          </c:extLst>
        </c:ser>
        <c:ser>
          <c:idx val="2"/>
          <c:order val="2"/>
          <c:tx>
            <c:strRef>
              <c:f>Schedules!$E$14</c:f>
              <c:strCache>
                <c:ptCount val="1"/>
                <c:pt idx="0">
                  <c:v>Friday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Schedules!$F$14:$AC$14</c:f>
              <c:numCache>
                <c:formatCode>0.00</c:formatCode>
                <c:ptCount val="24"/>
                <c:pt idx="0">
                  <c:v>0.15</c:v>
                </c:pt>
                <c:pt idx="1">
                  <c:v>0.15</c:v>
                </c:pt>
                <c:pt idx="2">
                  <c:v>0.15</c:v>
                </c:pt>
                <c:pt idx="3">
                  <c:v>0.15</c:v>
                </c:pt>
                <c:pt idx="4">
                  <c:v>0.15</c:v>
                </c:pt>
                <c:pt idx="5">
                  <c:v>0.15</c:v>
                </c:pt>
                <c:pt idx="6">
                  <c:v>0.15</c:v>
                </c:pt>
                <c:pt idx="7">
                  <c:v>0.75</c:v>
                </c:pt>
                <c:pt idx="8">
                  <c:v>0.95</c:v>
                </c:pt>
                <c:pt idx="9">
                  <c:v>0.95</c:v>
                </c:pt>
                <c:pt idx="10">
                  <c:v>0.95</c:v>
                </c:pt>
                <c:pt idx="11">
                  <c:v>0.95</c:v>
                </c:pt>
                <c:pt idx="12">
                  <c:v>0.75</c:v>
                </c:pt>
                <c:pt idx="13">
                  <c:v>0.95</c:v>
                </c:pt>
                <c:pt idx="14">
                  <c:v>0.2</c:v>
                </c:pt>
                <c:pt idx="15">
                  <c:v>0.15</c:v>
                </c:pt>
                <c:pt idx="16">
                  <c:v>0.15</c:v>
                </c:pt>
                <c:pt idx="17">
                  <c:v>0.15</c:v>
                </c:pt>
                <c:pt idx="18">
                  <c:v>0.15</c:v>
                </c:pt>
                <c:pt idx="19">
                  <c:v>0.15</c:v>
                </c:pt>
                <c:pt idx="20">
                  <c:v>0.15</c:v>
                </c:pt>
                <c:pt idx="21">
                  <c:v>0.15</c:v>
                </c:pt>
                <c:pt idx="22">
                  <c:v>0.15</c:v>
                </c:pt>
                <c:pt idx="23">
                  <c:v>0.15</c:v>
                </c:pt>
              </c:numCache>
            </c:numRef>
          </c:val>
          <c:smooth val="0"/>
          <c:extLst>
            <c:ext xmlns:c16="http://schemas.microsoft.com/office/drawing/2014/chart" uri="{C3380CC4-5D6E-409C-BE32-E72D297353CC}">
              <c16:uniqueId val="{00000003-A3C5-4275-9688-59A2B0236B5C}"/>
            </c:ext>
          </c:extLst>
        </c:ser>
        <c:ser>
          <c:idx val="3"/>
          <c:order val="3"/>
          <c:tx>
            <c:strRef>
              <c:f>Schedules!$E$15</c:f>
              <c:strCache>
                <c:ptCount val="1"/>
                <c:pt idx="0">
                  <c:v>Summer School</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Schedules!$F$15:$AC$15</c:f>
              <c:numCache>
                <c:formatCode>0.00</c:formatCode>
                <c:ptCount val="24"/>
                <c:pt idx="0">
                  <c:v>0.15</c:v>
                </c:pt>
                <c:pt idx="1">
                  <c:v>0.15</c:v>
                </c:pt>
                <c:pt idx="2">
                  <c:v>0.15</c:v>
                </c:pt>
                <c:pt idx="3">
                  <c:v>0.15</c:v>
                </c:pt>
                <c:pt idx="4">
                  <c:v>0.15</c:v>
                </c:pt>
                <c:pt idx="5">
                  <c:v>0.15</c:v>
                </c:pt>
                <c:pt idx="6">
                  <c:v>0.15</c:v>
                </c:pt>
                <c:pt idx="7">
                  <c:v>0.2</c:v>
                </c:pt>
                <c:pt idx="8">
                  <c:v>0.95</c:v>
                </c:pt>
                <c:pt idx="9">
                  <c:v>0.95</c:v>
                </c:pt>
                <c:pt idx="10">
                  <c:v>0.95</c:v>
                </c:pt>
                <c:pt idx="11">
                  <c:v>0.95</c:v>
                </c:pt>
                <c:pt idx="12">
                  <c:v>0.75</c:v>
                </c:pt>
                <c:pt idx="13">
                  <c:v>0.95</c:v>
                </c:pt>
                <c:pt idx="14">
                  <c:v>0.15</c:v>
                </c:pt>
                <c:pt idx="15">
                  <c:v>0.15</c:v>
                </c:pt>
                <c:pt idx="16">
                  <c:v>0.15</c:v>
                </c:pt>
                <c:pt idx="17">
                  <c:v>0.15</c:v>
                </c:pt>
                <c:pt idx="18">
                  <c:v>0.15</c:v>
                </c:pt>
                <c:pt idx="19">
                  <c:v>0.15</c:v>
                </c:pt>
                <c:pt idx="20">
                  <c:v>0.15</c:v>
                </c:pt>
                <c:pt idx="21">
                  <c:v>0.15</c:v>
                </c:pt>
                <c:pt idx="22">
                  <c:v>0.15</c:v>
                </c:pt>
                <c:pt idx="23">
                  <c:v>0.15</c:v>
                </c:pt>
              </c:numCache>
            </c:numRef>
          </c:val>
          <c:smooth val="0"/>
          <c:extLst>
            <c:ext xmlns:c16="http://schemas.microsoft.com/office/drawing/2014/chart" uri="{C3380CC4-5D6E-409C-BE32-E72D297353CC}">
              <c16:uniqueId val="{00000004-A3C5-4275-9688-59A2B0236B5C}"/>
            </c:ext>
          </c:extLst>
        </c:ser>
        <c:dLbls>
          <c:showLegendKey val="0"/>
          <c:showVal val="0"/>
          <c:showCatName val="0"/>
          <c:showSerName val="0"/>
          <c:showPercent val="0"/>
          <c:showBubbleSize val="0"/>
        </c:dLbls>
        <c:smooth val="0"/>
        <c:axId val="899197168"/>
        <c:axId val="533860912"/>
      </c:lineChart>
      <c:catAx>
        <c:axId val="899197168"/>
        <c:scaling>
          <c:orientation val="minMax"/>
        </c:scaling>
        <c:delete val="0"/>
        <c:axPos val="b"/>
        <c:numFmt formatCode="General" sourceLinked="1"/>
        <c:majorTickMark val="out"/>
        <c:minorTickMark val="none"/>
        <c:tickLblPos val="nextTo"/>
        <c:crossAx val="533860912"/>
        <c:crosses val="autoZero"/>
        <c:auto val="1"/>
        <c:lblAlgn val="ctr"/>
        <c:lblOffset val="100"/>
        <c:noMultiLvlLbl val="0"/>
      </c:catAx>
      <c:valAx>
        <c:axId val="533860912"/>
        <c:scaling>
          <c:orientation val="minMax"/>
          <c:max val="1"/>
          <c:min val="0"/>
        </c:scaling>
        <c:delete val="0"/>
        <c:axPos val="l"/>
        <c:majorGridlines/>
        <c:numFmt formatCode="0.00" sourceLinked="1"/>
        <c:majorTickMark val="out"/>
        <c:minorTickMark val="none"/>
        <c:tickLblPos val="nextTo"/>
        <c:crossAx val="899197168"/>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ServiceHotWater</a:t>
            </a:r>
          </a:p>
        </c:rich>
      </c:tx>
      <c:overlay val="0"/>
    </c:title>
    <c:autoTitleDeleted val="0"/>
    <c:plotArea>
      <c:layout/>
      <c:lineChart>
        <c:grouping val="standard"/>
        <c:varyColors val="0"/>
        <c:ser>
          <c:idx val="0"/>
          <c:order val="0"/>
          <c:tx>
            <c:strRef>
              <c:f>Schedules!$E$16</c:f>
              <c:strCache>
                <c:ptCount val="1"/>
                <c:pt idx="0">
                  <c:v>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Schedules!$F$16:$AC$16</c:f>
              <c:numCache>
                <c:formatCode>0.00</c:formatCode>
                <c:ptCount val="24"/>
                <c:pt idx="0">
                  <c:v>0.03</c:v>
                </c:pt>
                <c:pt idx="1">
                  <c:v>0.03</c:v>
                </c:pt>
                <c:pt idx="2">
                  <c:v>0.03</c:v>
                </c:pt>
                <c:pt idx="3">
                  <c:v>0.03</c:v>
                </c:pt>
                <c:pt idx="4">
                  <c:v>0.03</c:v>
                </c:pt>
                <c:pt idx="5">
                  <c:v>0.03</c:v>
                </c:pt>
                <c:pt idx="6">
                  <c:v>0.03</c:v>
                </c:pt>
                <c:pt idx="7">
                  <c:v>0.03</c:v>
                </c:pt>
                <c:pt idx="8">
                  <c:v>0.05</c:v>
                </c:pt>
                <c:pt idx="9">
                  <c:v>0.05</c:v>
                </c:pt>
                <c:pt idx="10">
                  <c:v>0.05</c:v>
                </c:pt>
                <c:pt idx="11">
                  <c:v>0.05</c:v>
                </c:pt>
                <c:pt idx="12">
                  <c:v>0.05</c:v>
                </c:pt>
                <c:pt idx="13">
                  <c:v>0.05</c:v>
                </c:pt>
                <c:pt idx="14">
                  <c:v>0.03</c:v>
                </c:pt>
                <c:pt idx="15">
                  <c:v>0.03</c:v>
                </c:pt>
                <c:pt idx="16">
                  <c:v>0.03</c:v>
                </c:pt>
                <c:pt idx="17">
                  <c:v>0.03</c:v>
                </c:pt>
                <c:pt idx="18">
                  <c:v>0.03</c:v>
                </c:pt>
                <c:pt idx="19">
                  <c:v>0.03</c:v>
                </c:pt>
                <c:pt idx="20">
                  <c:v>0.03</c:v>
                </c:pt>
                <c:pt idx="21">
                  <c:v>0.03</c:v>
                </c:pt>
                <c:pt idx="22">
                  <c:v>0.03</c:v>
                </c:pt>
                <c:pt idx="23">
                  <c:v>0.03</c:v>
                </c:pt>
              </c:numCache>
            </c:numRef>
          </c:val>
          <c:smooth val="0"/>
          <c:extLst>
            <c:ext xmlns:c16="http://schemas.microsoft.com/office/drawing/2014/chart" uri="{C3380CC4-5D6E-409C-BE32-E72D297353CC}">
              <c16:uniqueId val="{00000001-5C4A-472E-AE48-7F582E4DD32C}"/>
            </c:ext>
          </c:extLst>
        </c:ser>
        <c:ser>
          <c:idx val="1"/>
          <c:order val="1"/>
          <c:tx>
            <c:strRef>
              <c:f>Schedules!$E$17</c:f>
              <c:strCache>
                <c:ptCount val="1"/>
                <c:pt idx="0">
                  <c:v>Mon-Thu</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Schedules!$F$17:$AC$17</c:f>
              <c:numCache>
                <c:formatCode>0.00</c:formatCode>
                <c:ptCount val="24"/>
                <c:pt idx="0">
                  <c:v>0.05</c:v>
                </c:pt>
                <c:pt idx="1">
                  <c:v>0.05</c:v>
                </c:pt>
                <c:pt idx="2">
                  <c:v>0.05</c:v>
                </c:pt>
                <c:pt idx="3">
                  <c:v>0.05</c:v>
                </c:pt>
                <c:pt idx="4">
                  <c:v>0.05</c:v>
                </c:pt>
                <c:pt idx="5">
                  <c:v>0.05</c:v>
                </c:pt>
                <c:pt idx="6">
                  <c:v>0.05</c:v>
                </c:pt>
                <c:pt idx="7">
                  <c:v>0.1</c:v>
                </c:pt>
                <c:pt idx="8">
                  <c:v>0.34</c:v>
                </c:pt>
                <c:pt idx="9">
                  <c:v>0.6</c:v>
                </c:pt>
                <c:pt idx="10">
                  <c:v>0.63</c:v>
                </c:pt>
                <c:pt idx="11">
                  <c:v>0.72</c:v>
                </c:pt>
                <c:pt idx="12">
                  <c:v>0.79</c:v>
                </c:pt>
                <c:pt idx="13">
                  <c:v>0.83</c:v>
                </c:pt>
                <c:pt idx="14">
                  <c:v>0.61</c:v>
                </c:pt>
                <c:pt idx="15">
                  <c:v>0.65</c:v>
                </c:pt>
                <c:pt idx="16">
                  <c:v>0.1</c:v>
                </c:pt>
                <c:pt idx="17">
                  <c:v>0.1</c:v>
                </c:pt>
                <c:pt idx="18">
                  <c:v>0.19</c:v>
                </c:pt>
                <c:pt idx="19">
                  <c:v>0.25</c:v>
                </c:pt>
                <c:pt idx="20">
                  <c:v>0.22</c:v>
                </c:pt>
                <c:pt idx="21">
                  <c:v>0.22</c:v>
                </c:pt>
                <c:pt idx="22">
                  <c:v>0.12</c:v>
                </c:pt>
                <c:pt idx="23">
                  <c:v>0.09</c:v>
                </c:pt>
              </c:numCache>
            </c:numRef>
          </c:val>
          <c:smooth val="0"/>
          <c:extLst>
            <c:ext xmlns:c16="http://schemas.microsoft.com/office/drawing/2014/chart" uri="{C3380CC4-5D6E-409C-BE32-E72D297353CC}">
              <c16:uniqueId val="{00000002-5C4A-472E-AE48-7F582E4DD32C}"/>
            </c:ext>
          </c:extLst>
        </c:ser>
        <c:ser>
          <c:idx val="2"/>
          <c:order val="2"/>
          <c:tx>
            <c:strRef>
              <c:f>Schedules!$E$18</c:f>
              <c:strCache>
                <c:ptCount val="1"/>
                <c:pt idx="0">
                  <c:v>Friday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Schedules!$F$18:$AC$18</c:f>
              <c:numCache>
                <c:formatCode>0.00</c:formatCode>
                <c:ptCount val="24"/>
                <c:pt idx="0">
                  <c:v>0.05</c:v>
                </c:pt>
                <c:pt idx="1">
                  <c:v>0.05</c:v>
                </c:pt>
                <c:pt idx="2">
                  <c:v>0.05</c:v>
                </c:pt>
                <c:pt idx="3">
                  <c:v>0.05</c:v>
                </c:pt>
                <c:pt idx="4">
                  <c:v>0.05</c:v>
                </c:pt>
                <c:pt idx="5">
                  <c:v>0.05</c:v>
                </c:pt>
                <c:pt idx="6">
                  <c:v>0.05</c:v>
                </c:pt>
                <c:pt idx="7">
                  <c:v>0.1</c:v>
                </c:pt>
                <c:pt idx="8">
                  <c:v>0.34</c:v>
                </c:pt>
                <c:pt idx="9">
                  <c:v>0.6</c:v>
                </c:pt>
                <c:pt idx="10">
                  <c:v>0.63</c:v>
                </c:pt>
                <c:pt idx="11">
                  <c:v>0.72</c:v>
                </c:pt>
                <c:pt idx="12">
                  <c:v>0.79</c:v>
                </c:pt>
                <c:pt idx="13">
                  <c:v>0.83</c:v>
                </c:pt>
                <c:pt idx="14">
                  <c:v>0.61</c:v>
                </c:pt>
                <c:pt idx="15">
                  <c:v>0.65</c:v>
                </c:pt>
                <c:pt idx="16">
                  <c:v>0.1</c:v>
                </c:pt>
                <c:pt idx="17">
                  <c:v>0.1</c:v>
                </c:pt>
                <c:pt idx="18">
                  <c:v>0.19</c:v>
                </c:pt>
                <c:pt idx="19">
                  <c:v>0.25</c:v>
                </c:pt>
                <c:pt idx="20">
                  <c:v>0.22</c:v>
                </c:pt>
                <c:pt idx="21">
                  <c:v>0.22</c:v>
                </c:pt>
                <c:pt idx="22">
                  <c:v>0.12</c:v>
                </c:pt>
                <c:pt idx="23">
                  <c:v>0.09</c:v>
                </c:pt>
              </c:numCache>
            </c:numRef>
          </c:val>
          <c:smooth val="0"/>
          <c:extLst>
            <c:ext xmlns:c16="http://schemas.microsoft.com/office/drawing/2014/chart" uri="{C3380CC4-5D6E-409C-BE32-E72D297353CC}">
              <c16:uniqueId val="{00000003-5C4A-472E-AE48-7F582E4DD32C}"/>
            </c:ext>
          </c:extLst>
        </c:ser>
        <c:ser>
          <c:idx val="3"/>
          <c:order val="3"/>
          <c:tx>
            <c:strRef>
              <c:f>Schedules!$E$19</c:f>
              <c:strCache>
                <c:ptCount val="1"/>
                <c:pt idx="0">
                  <c:v>Summer School</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Schedules!$F$19:$AC$19</c:f>
              <c:numCache>
                <c:formatCode>0.00</c:formatCode>
                <c:ptCount val="24"/>
                <c:pt idx="0">
                  <c:v>0.03</c:v>
                </c:pt>
                <c:pt idx="1">
                  <c:v>0.03</c:v>
                </c:pt>
                <c:pt idx="2">
                  <c:v>0.03</c:v>
                </c:pt>
                <c:pt idx="3">
                  <c:v>0.03</c:v>
                </c:pt>
                <c:pt idx="4">
                  <c:v>0.03</c:v>
                </c:pt>
                <c:pt idx="5">
                  <c:v>0.03</c:v>
                </c:pt>
                <c:pt idx="6">
                  <c:v>0.03</c:v>
                </c:pt>
                <c:pt idx="7">
                  <c:v>0.1</c:v>
                </c:pt>
                <c:pt idx="8">
                  <c:v>0.34</c:v>
                </c:pt>
                <c:pt idx="9">
                  <c:v>0.6</c:v>
                </c:pt>
                <c:pt idx="10">
                  <c:v>0.63</c:v>
                </c:pt>
                <c:pt idx="11">
                  <c:v>0.72</c:v>
                </c:pt>
                <c:pt idx="12">
                  <c:v>0.79</c:v>
                </c:pt>
                <c:pt idx="13">
                  <c:v>0.83</c:v>
                </c:pt>
                <c:pt idx="14">
                  <c:v>0.03</c:v>
                </c:pt>
                <c:pt idx="15">
                  <c:v>0.03</c:v>
                </c:pt>
                <c:pt idx="16">
                  <c:v>0.03</c:v>
                </c:pt>
                <c:pt idx="17">
                  <c:v>0.03</c:v>
                </c:pt>
                <c:pt idx="18">
                  <c:v>0.03</c:v>
                </c:pt>
                <c:pt idx="19">
                  <c:v>0.03</c:v>
                </c:pt>
                <c:pt idx="20">
                  <c:v>0.03</c:v>
                </c:pt>
                <c:pt idx="21">
                  <c:v>0.03</c:v>
                </c:pt>
                <c:pt idx="22">
                  <c:v>0.03</c:v>
                </c:pt>
                <c:pt idx="23">
                  <c:v>0.03</c:v>
                </c:pt>
              </c:numCache>
            </c:numRef>
          </c:val>
          <c:smooth val="0"/>
          <c:extLst>
            <c:ext xmlns:c16="http://schemas.microsoft.com/office/drawing/2014/chart" uri="{C3380CC4-5D6E-409C-BE32-E72D297353CC}">
              <c16:uniqueId val="{00000004-5C4A-472E-AE48-7F582E4DD32C}"/>
            </c:ext>
          </c:extLst>
        </c:ser>
        <c:dLbls>
          <c:showLegendKey val="0"/>
          <c:showVal val="0"/>
          <c:showCatName val="0"/>
          <c:showSerName val="0"/>
          <c:showPercent val="0"/>
          <c:showBubbleSize val="0"/>
        </c:dLbls>
        <c:smooth val="0"/>
        <c:axId val="899221296"/>
        <c:axId val="533916112"/>
      </c:lineChart>
      <c:catAx>
        <c:axId val="899221296"/>
        <c:scaling>
          <c:orientation val="minMax"/>
        </c:scaling>
        <c:delete val="0"/>
        <c:axPos val="b"/>
        <c:numFmt formatCode="General" sourceLinked="1"/>
        <c:majorTickMark val="out"/>
        <c:minorTickMark val="none"/>
        <c:tickLblPos val="nextTo"/>
        <c:crossAx val="533916112"/>
        <c:crosses val="autoZero"/>
        <c:auto val="1"/>
        <c:lblAlgn val="ctr"/>
        <c:lblOffset val="100"/>
        <c:noMultiLvlLbl val="0"/>
      </c:catAx>
      <c:valAx>
        <c:axId val="533916112"/>
        <c:scaling>
          <c:orientation val="minMax"/>
          <c:max val="1"/>
          <c:min val="0"/>
        </c:scaling>
        <c:delete val="0"/>
        <c:axPos val="l"/>
        <c:majorGridlines/>
        <c:numFmt formatCode="0.00" sourceLinked="1"/>
        <c:majorTickMark val="out"/>
        <c:minorTickMark val="none"/>
        <c:tickLblPos val="nextTo"/>
        <c:crossAx val="899221296"/>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GasEquipment</a:t>
            </a:r>
          </a:p>
        </c:rich>
      </c:tx>
      <c:overlay val="0"/>
    </c:title>
    <c:autoTitleDeleted val="0"/>
    <c:plotArea>
      <c:layout/>
      <c:lineChart>
        <c:grouping val="standard"/>
        <c:varyColors val="0"/>
        <c:ser>
          <c:idx val="0"/>
          <c:order val="0"/>
          <c:tx>
            <c:strRef>
              <c:f>Schedules!$E$20</c:f>
              <c:strCache>
                <c:ptCount val="1"/>
                <c:pt idx="0">
                  <c:v>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Schedules!$F$20:$AC$20</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9589-4059-9123-FBCC639359BA}"/>
            </c:ext>
          </c:extLst>
        </c:ser>
        <c:ser>
          <c:idx val="1"/>
          <c:order val="1"/>
          <c:tx>
            <c:strRef>
              <c:f>Schedules!$E$21</c:f>
              <c:strCache>
                <c:ptCount val="1"/>
                <c:pt idx="0">
                  <c:v>Mon-Thu</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Schedules!$F$21:$AC$21</c:f>
              <c:numCache>
                <c:formatCode>0.00</c:formatCode>
                <c:ptCount val="24"/>
                <c:pt idx="0">
                  <c:v>0</c:v>
                </c:pt>
                <c:pt idx="1">
                  <c:v>0</c:v>
                </c:pt>
                <c:pt idx="2">
                  <c:v>0</c:v>
                </c:pt>
                <c:pt idx="3">
                  <c:v>0</c:v>
                </c:pt>
                <c:pt idx="4">
                  <c:v>0</c:v>
                </c:pt>
                <c:pt idx="5">
                  <c:v>0</c:v>
                </c:pt>
                <c:pt idx="6">
                  <c:v>0</c:v>
                </c:pt>
                <c:pt idx="7">
                  <c:v>0.5</c:v>
                </c:pt>
                <c:pt idx="8">
                  <c:v>0.5</c:v>
                </c:pt>
                <c:pt idx="9">
                  <c:v>0.75</c:v>
                </c:pt>
                <c:pt idx="10">
                  <c:v>0.9</c:v>
                </c:pt>
                <c:pt idx="11">
                  <c:v>0.9</c:v>
                </c:pt>
                <c:pt idx="12">
                  <c:v>0.9</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9589-4059-9123-FBCC639359BA}"/>
            </c:ext>
          </c:extLst>
        </c:ser>
        <c:ser>
          <c:idx val="2"/>
          <c:order val="2"/>
          <c:tx>
            <c:strRef>
              <c:f>Schedules!$E$22</c:f>
              <c:strCache>
                <c:ptCount val="1"/>
                <c:pt idx="0">
                  <c:v>Friday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Schedules!$F$22:$AC$22</c:f>
              <c:numCache>
                <c:formatCode>0.00</c:formatCode>
                <c:ptCount val="24"/>
                <c:pt idx="0">
                  <c:v>0</c:v>
                </c:pt>
                <c:pt idx="1">
                  <c:v>0</c:v>
                </c:pt>
                <c:pt idx="2">
                  <c:v>0</c:v>
                </c:pt>
                <c:pt idx="3">
                  <c:v>0</c:v>
                </c:pt>
                <c:pt idx="4">
                  <c:v>0</c:v>
                </c:pt>
                <c:pt idx="5">
                  <c:v>0</c:v>
                </c:pt>
                <c:pt idx="6">
                  <c:v>0</c:v>
                </c:pt>
                <c:pt idx="7">
                  <c:v>0.5</c:v>
                </c:pt>
                <c:pt idx="8">
                  <c:v>0.5</c:v>
                </c:pt>
                <c:pt idx="9">
                  <c:v>0.75</c:v>
                </c:pt>
                <c:pt idx="10">
                  <c:v>0.9</c:v>
                </c:pt>
                <c:pt idx="11">
                  <c:v>0.9</c:v>
                </c:pt>
                <c:pt idx="12">
                  <c:v>0.9</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3-9589-4059-9123-FBCC639359BA}"/>
            </c:ext>
          </c:extLst>
        </c:ser>
        <c:ser>
          <c:idx val="3"/>
          <c:order val="3"/>
          <c:tx>
            <c:strRef>
              <c:f>Schedules!$E$23</c:f>
              <c:strCache>
                <c:ptCount val="1"/>
                <c:pt idx="0">
                  <c:v>Summer School</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Schedules!$F$23:$AC$23</c:f>
              <c:numCache>
                <c:formatCode>0.00</c:formatCode>
                <c:ptCount val="24"/>
                <c:pt idx="0">
                  <c:v>0</c:v>
                </c:pt>
                <c:pt idx="1">
                  <c:v>0</c:v>
                </c:pt>
                <c:pt idx="2">
                  <c:v>0</c:v>
                </c:pt>
                <c:pt idx="3">
                  <c:v>0</c:v>
                </c:pt>
                <c:pt idx="4">
                  <c:v>0</c:v>
                </c:pt>
                <c:pt idx="5">
                  <c:v>0</c:v>
                </c:pt>
                <c:pt idx="6">
                  <c:v>0</c:v>
                </c:pt>
                <c:pt idx="7">
                  <c:v>0.5</c:v>
                </c:pt>
                <c:pt idx="8">
                  <c:v>0.5</c:v>
                </c:pt>
                <c:pt idx="9">
                  <c:v>0.75</c:v>
                </c:pt>
                <c:pt idx="10">
                  <c:v>0.9</c:v>
                </c:pt>
                <c:pt idx="11">
                  <c:v>0.9</c:v>
                </c:pt>
                <c:pt idx="12">
                  <c:v>0.9</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4-9589-4059-9123-FBCC639359BA}"/>
            </c:ext>
          </c:extLst>
        </c:ser>
        <c:dLbls>
          <c:showLegendKey val="0"/>
          <c:showVal val="0"/>
          <c:showCatName val="0"/>
          <c:showSerName val="0"/>
          <c:showPercent val="0"/>
          <c:showBubbleSize val="0"/>
        </c:dLbls>
        <c:smooth val="0"/>
        <c:axId val="899216192"/>
        <c:axId val="533934352"/>
      </c:lineChart>
      <c:catAx>
        <c:axId val="899216192"/>
        <c:scaling>
          <c:orientation val="minMax"/>
        </c:scaling>
        <c:delete val="0"/>
        <c:axPos val="b"/>
        <c:numFmt formatCode="General" sourceLinked="1"/>
        <c:majorTickMark val="out"/>
        <c:minorTickMark val="none"/>
        <c:tickLblPos val="nextTo"/>
        <c:crossAx val="533934352"/>
        <c:crosses val="autoZero"/>
        <c:auto val="1"/>
        <c:lblAlgn val="ctr"/>
        <c:lblOffset val="100"/>
        <c:noMultiLvlLbl val="0"/>
      </c:catAx>
      <c:valAx>
        <c:axId val="533934352"/>
        <c:scaling>
          <c:orientation val="minMax"/>
          <c:max val="1"/>
          <c:min val="0"/>
        </c:scaling>
        <c:delete val="0"/>
        <c:axPos val="l"/>
        <c:majorGridlines/>
        <c:numFmt formatCode="0.00" sourceLinked="1"/>
        <c:majorTickMark val="out"/>
        <c:minorTickMark val="none"/>
        <c:tickLblPos val="nextTo"/>
        <c:crossAx val="899216192"/>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Refrigeration</a:t>
            </a:r>
          </a:p>
        </c:rich>
      </c:tx>
      <c:overlay val="0"/>
    </c:title>
    <c:autoTitleDeleted val="0"/>
    <c:plotArea>
      <c:layout/>
      <c:lineChart>
        <c:grouping val="standard"/>
        <c:varyColors val="0"/>
        <c:ser>
          <c:idx val="0"/>
          <c:order val="0"/>
          <c:tx>
            <c:strRef>
              <c:f>Schedules!$E$24</c:f>
              <c:strCache>
                <c:ptCount val="1"/>
                <c:pt idx="0">
                  <c:v>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Schedules!$F$24:$AC$24</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1-B21D-4831-A080-272213531C60}"/>
            </c:ext>
          </c:extLst>
        </c:ser>
        <c:ser>
          <c:idx val="1"/>
          <c:order val="1"/>
          <c:tx>
            <c:strRef>
              <c:f>Schedules!$E$25</c:f>
              <c:strCache>
                <c:ptCount val="1"/>
                <c:pt idx="0">
                  <c:v>Mon-Thu</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Schedules!$F$25:$AC$25</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2-B21D-4831-A080-272213531C60}"/>
            </c:ext>
          </c:extLst>
        </c:ser>
        <c:ser>
          <c:idx val="2"/>
          <c:order val="2"/>
          <c:tx>
            <c:strRef>
              <c:f>Schedules!$E$26</c:f>
              <c:strCache>
                <c:ptCount val="1"/>
                <c:pt idx="0">
                  <c:v>Friday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Schedules!$F$26:$AC$26</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3-B21D-4831-A080-272213531C60}"/>
            </c:ext>
          </c:extLst>
        </c:ser>
        <c:ser>
          <c:idx val="3"/>
          <c:order val="3"/>
          <c:tx>
            <c:strRef>
              <c:f>Schedules!$E$27</c:f>
              <c:strCache>
                <c:ptCount val="1"/>
                <c:pt idx="0">
                  <c:v>Summer School</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Schedules!$F$27:$AC$27</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4-B21D-4831-A080-272213531C60}"/>
            </c:ext>
          </c:extLst>
        </c:ser>
        <c:dLbls>
          <c:showLegendKey val="0"/>
          <c:showVal val="0"/>
          <c:showCatName val="0"/>
          <c:showSerName val="0"/>
          <c:showPercent val="0"/>
          <c:showBubbleSize val="0"/>
        </c:dLbls>
        <c:smooth val="0"/>
        <c:axId val="899237536"/>
        <c:axId val="533967952"/>
      </c:lineChart>
      <c:catAx>
        <c:axId val="899237536"/>
        <c:scaling>
          <c:orientation val="minMax"/>
        </c:scaling>
        <c:delete val="0"/>
        <c:axPos val="b"/>
        <c:numFmt formatCode="General" sourceLinked="1"/>
        <c:majorTickMark val="out"/>
        <c:minorTickMark val="none"/>
        <c:tickLblPos val="nextTo"/>
        <c:crossAx val="533967952"/>
        <c:crosses val="autoZero"/>
        <c:auto val="1"/>
        <c:lblAlgn val="ctr"/>
        <c:lblOffset val="100"/>
        <c:noMultiLvlLbl val="0"/>
      </c:catAx>
      <c:valAx>
        <c:axId val="533967952"/>
        <c:scaling>
          <c:orientation val="minMax"/>
          <c:max val="1"/>
          <c:min val="0"/>
        </c:scaling>
        <c:delete val="0"/>
        <c:axPos val="l"/>
        <c:majorGridlines/>
        <c:numFmt formatCode="0.00" sourceLinked="1"/>
        <c:majorTickMark val="out"/>
        <c:minorTickMark val="none"/>
        <c:tickLblPos val="nextTo"/>
        <c:crossAx val="899237536"/>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HVACAvail</a:t>
            </a:r>
          </a:p>
        </c:rich>
      </c:tx>
      <c:overlay val="0"/>
    </c:title>
    <c:autoTitleDeleted val="0"/>
    <c:plotArea>
      <c:layout/>
      <c:lineChart>
        <c:grouping val="standard"/>
        <c:varyColors val="0"/>
        <c:ser>
          <c:idx val="0"/>
          <c:order val="0"/>
          <c:tx>
            <c:strRef>
              <c:f>Schedules!$E$28</c:f>
              <c:strCache>
                <c:ptCount val="1"/>
                <c:pt idx="0">
                  <c:v>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Schedules!$F$28:$AC$28</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A914-4B99-8D47-261DFE21464B}"/>
            </c:ext>
          </c:extLst>
        </c:ser>
        <c:ser>
          <c:idx val="1"/>
          <c:order val="1"/>
          <c:tx>
            <c:strRef>
              <c:f>Schedules!$E$29</c:f>
              <c:strCache>
                <c:ptCount val="1"/>
                <c:pt idx="0">
                  <c:v>Mon-Thu</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Schedules!$F$29:$AC$29</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A914-4B99-8D47-261DFE21464B}"/>
            </c:ext>
          </c:extLst>
        </c:ser>
        <c:ser>
          <c:idx val="2"/>
          <c:order val="2"/>
          <c:tx>
            <c:strRef>
              <c:f>Schedules!$E$30</c:f>
              <c:strCache>
                <c:ptCount val="1"/>
                <c:pt idx="0">
                  <c:v>Friday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Schedules!$F$30:$AC$30</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3-A914-4B99-8D47-261DFE21464B}"/>
            </c:ext>
          </c:extLst>
        </c:ser>
        <c:ser>
          <c:idx val="3"/>
          <c:order val="3"/>
          <c:tx>
            <c:strRef>
              <c:f>Schedules!$E$31</c:f>
              <c:strCache>
                <c:ptCount val="1"/>
                <c:pt idx="0">
                  <c:v>Summer School</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Schedules!$F$31:$AC$31</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4-A914-4B99-8D47-261DFE21464B}"/>
            </c:ext>
          </c:extLst>
        </c:ser>
        <c:dLbls>
          <c:showLegendKey val="0"/>
          <c:showVal val="0"/>
          <c:showCatName val="0"/>
          <c:showSerName val="0"/>
          <c:showPercent val="0"/>
          <c:showBubbleSize val="0"/>
        </c:dLbls>
        <c:smooth val="0"/>
        <c:axId val="899245424"/>
        <c:axId val="533741392"/>
      </c:lineChart>
      <c:catAx>
        <c:axId val="899245424"/>
        <c:scaling>
          <c:orientation val="minMax"/>
        </c:scaling>
        <c:delete val="0"/>
        <c:axPos val="b"/>
        <c:numFmt formatCode="General" sourceLinked="1"/>
        <c:majorTickMark val="out"/>
        <c:minorTickMark val="none"/>
        <c:tickLblPos val="nextTo"/>
        <c:crossAx val="533741392"/>
        <c:crosses val="autoZero"/>
        <c:auto val="1"/>
        <c:lblAlgn val="ctr"/>
        <c:lblOffset val="100"/>
        <c:noMultiLvlLbl val="0"/>
      </c:catAx>
      <c:valAx>
        <c:axId val="533741392"/>
        <c:scaling>
          <c:orientation val="minMax"/>
          <c:max val="1"/>
          <c:min val="0"/>
        </c:scaling>
        <c:delete val="0"/>
        <c:axPos val="l"/>
        <c:majorGridlines/>
        <c:numFmt formatCode="0.00" sourceLinked="1"/>
        <c:majorTickMark val="out"/>
        <c:minorTickMark val="none"/>
        <c:tickLblPos val="nextTo"/>
        <c:crossAx val="899245424"/>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HtgSetpt</a:t>
            </a:r>
          </a:p>
        </c:rich>
      </c:tx>
      <c:overlay val="0"/>
    </c:title>
    <c:autoTitleDeleted val="0"/>
    <c:plotArea>
      <c:layout/>
      <c:lineChart>
        <c:grouping val="standard"/>
        <c:varyColors val="0"/>
        <c:ser>
          <c:idx val="0"/>
          <c:order val="0"/>
          <c:tx>
            <c:strRef>
              <c:f>Schedules!$E$32</c:f>
              <c:strCache>
                <c:ptCount val="1"/>
                <c:pt idx="0">
                  <c:v>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Schedules!$F$32:$AC$32</c:f>
              <c:numCache>
                <c:formatCode>0</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1-7730-4C85-8C92-24ACC696CE0C}"/>
            </c:ext>
          </c:extLst>
        </c:ser>
        <c:ser>
          <c:idx val="1"/>
          <c:order val="1"/>
          <c:tx>
            <c:strRef>
              <c:f>Schedules!$E$33</c:f>
              <c:strCache>
                <c:ptCount val="1"/>
                <c:pt idx="0">
                  <c:v>Mon-Thu</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Schedules!$F$33:$AC$33</c:f>
              <c:numCache>
                <c:formatCode>0</c:formatCode>
                <c:ptCount val="24"/>
                <c:pt idx="0">
                  <c:v>60</c:v>
                </c:pt>
                <c:pt idx="1">
                  <c:v>60</c:v>
                </c:pt>
                <c:pt idx="2">
                  <c:v>60</c:v>
                </c:pt>
                <c:pt idx="3">
                  <c:v>60</c:v>
                </c:pt>
                <c:pt idx="4">
                  <c:v>60</c:v>
                </c:pt>
                <c:pt idx="5">
                  <c:v>60</c:v>
                </c:pt>
                <c:pt idx="6">
                  <c:v>60</c:v>
                </c:pt>
                <c:pt idx="7">
                  <c:v>70</c:v>
                </c:pt>
                <c:pt idx="8">
                  <c:v>70</c:v>
                </c:pt>
                <c:pt idx="9">
                  <c:v>70</c:v>
                </c:pt>
                <c:pt idx="10">
                  <c:v>70</c:v>
                </c:pt>
                <c:pt idx="11">
                  <c:v>70</c:v>
                </c:pt>
                <c:pt idx="12">
                  <c:v>70</c:v>
                </c:pt>
                <c:pt idx="13">
                  <c:v>70</c:v>
                </c:pt>
                <c:pt idx="14">
                  <c:v>70</c:v>
                </c:pt>
                <c:pt idx="15">
                  <c:v>70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2-7730-4C85-8C92-24ACC696CE0C}"/>
            </c:ext>
          </c:extLst>
        </c:ser>
        <c:ser>
          <c:idx val="2"/>
          <c:order val="2"/>
          <c:tx>
            <c:strRef>
              <c:f>Schedules!$E$34</c:f>
              <c:strCache>
                <c:ptCount val="1"/>
                <c:pt idx="0">
                  <c:v>Friday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Schedules!$F$34:$AC$34</c:f>
              <c:numCache>
                <c:formatCode>0</c:formatCode>
                <c:ptCount val="24"/>
                <c:pt idx="0">
                  <c:v>60</c:v>
                </c:pt>
                <c:pt idx="1">
                  <c:v>60</c:v>
                </c:pt>
                <c:pt idx="2">
                  <c:v>60</c:v>
                </c:pt>
                <c:pt idx="3">
                  <c:v>60</c:v>
                </c:pt>
                <c:pt idx="4">
                  <c:v>60</c:v>
                </c:pt>
                <c:pt idx="5">
                  <c:v>60</c:v>
                </c:pt>
                <c:pt idx="6">
                  <c:v>60</c:v>
                </c:pt>
                <c:pt idx="7">
                  <c:v>70</c:v>
                </c:pt>
                <c:pt idx="8">
                  <c:v>70</c:v>
                </c:pt>
                <c:pt idx="9">
                  <c:v>70</c:v>
                </c:pt>
                <c:pt idx="10">
                  <c:v>70</c:v>
                </c:pt>
                <c:pt idx="11">
                  <c:v>70</c:v>
                </c:pt>
                <c:pt idx="12">
                  <c:v>70</c:v>
                </c:pt>
                <c:pt idx="13">
                  <c:v>70</c:v>
                </c:pt>
                <c:pt idx="14">
                  <c:v>70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3-7730-4C85-8C92-24ACC696CE0C}"/>
            </c:ext>
          </c:extLst>
        </c:ser>
        <c:ser>
          <c:idx val="3"/>
          <c:order val="3"/>
          <c:tx>
            <c:strRef>
              <c:f>Schedules!$E$35</c:f>
              <c:strCache>
                <c:ptCount val="1"/>
                <c:pt idx="0">
                  <c:v>Summer School</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Schedules!$F$35:$AC$35</c:f>
              <c:numCache>
                <c:formatCode>0</c:formatCode>
                <c:ptCount val="24"/>
                <c:pt idx="0">
                  <c:v>60</c:v>
                </c:pt>
                <c:pt idx="1">
                  <c:v>60</c:v>
                </c:pt>
                <c:pt idx="2">
                  <c:v>60</c:v>
                </c:pt>
                <c:pt idx="3">
                  <c:v>60</c:v>
                </c:pt>
                <c:pt idx="4">
                  <c:v>60</c:v>
                </c:pt>
                <c:pt idx="5">
                  <c:v>60</c:v>
                </c:pt>
                <c:pt idx="6">
                  <c:v>60</c:v>
                </c:pt>
                <c:pt idx="7">
                  <c:v>70</c:v>
                </c:pt>
                <c:pt idx="8">
                  <c:v>70</c:v>
                </c:pt>
                <c:pt idx="9">
                  <c:v>70</c:v>
                </c:pt>
                <c:pt idx="10">
                  <c:v>70</c:v>
                </c:pt>
                <c:pt idx="11">
                  <c:v>70</c:v>
                </c:pt>
                <c:pt idx="12">
                  <c:v>70</c:v>
                </c:pt>
                <c:pt idx="13">
                  <c:v>70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4-7730-4C85-8C92-24ACC696CE0C}"/>
            </c:ext>
          </c:extLst>
        </c:ser>
        <c:dLbls>
          <c:showLegendKey val="0"/>
          <c:showVal val="0"/>
          <c:showCatName val="0"/>
          <c:showSerName val="0"/>
          <c:showPercent val="0"/>
          <c:showBubbleSize val="0"/>
        </c:dLbls>
        <c:smooth val="0"/>
        <c:axId val="899257024"/>
        <c:axId val="533773552"/>
      </c:lineChart>
      <c:catAx>
        <c:axId val="899257024"/>
        <c:scaling>
          <c:orientation val="minMax"/>
        </c:scaling>
        <c:delete val="0"/>
        <c:axPos val="b"/>
        <c:numFmt formatCode="General" sourceLinked="1"/>
        <c:majorTickMark val="out"/>
        <c:minorTickMark val="none"/>
        <c:tickLblPos val="nextTo"/>
        <c:crossAx val="533773552"/>
        <c:crosses val="autoZero"/>
        <c:auto val="1"/>
        <c:lblAlgn val="ctr"/>
        <c:lblOffset val="100"/>
        <c:noMultiLvlLbl val="0"/>
      </c:catAx>
      <c:valAx>
        <c:axId val="533773552"/>
        <c:scaling>
          <c:orientation val="minMax"/>
          <c:max val="90"/>
          <c:min val="50"/>
        </c:scaling>
        <c:delete val="0"/>
        <c:axPos val="l"/>
        <c:majorGridlines/>
        <c:numFmt formatCode="0" sourceLinked="1"/>
        <c:majorTickMark val="out"/>
        <c:minorTickMark val="none"/>
        <c:tickLblPos val="nextTo"/>
        <c:crossAx val="899257024"/>
        <c:crosses val="autoZero"/>
        <c:crossBetween val="between"/>
        <c:majorUnit val="10"/>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ClgSetpt</a:t>
            </a:r>
          </a:p>
        </c:rich>
      </c:tx>
      <c:overlay val="0"/>
    </c:title>
    <c:autoTitleDeleted val="0"/>
    <c:plotArea>
      <c:layout/>
      <c:lineChart>
        <c:grouping val="standard"/>
        <c:varyColors val="0"/>
        <c:ser>
          <c:idx val="0"/>
          <c:order val="0"/>
          <c:tx>
            <c:strRef>
              <c:f>Schedules!$E$36</c:f>
              <c:strCache>
                <c:ptCount val="1"/>
                <c:pt idx="0">
                  <c:v>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Schedules!$F$36:$AC$36</c:f>
              <c:numCache>
                <c:formatCode>0</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1-2E27-409B-A07F-1553CAB8C4B8}"/>
            </c:ext>
          </c:extLst>
        </c:ser>
        <c:ser>
          <c:idx val="1"/>
          <c:order val="1"/>
          <c:tx>
            <c:strRef>
              <c:f>Schedules!$E$37</c:f>
              <c:strCache>
                <c:ptCount val="1"/>
                <c:pt idx="0">
                  <c:v>Mon-Thu</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Schedules!$F$37:$AC$37</c:f>
              <c:numCache>
                <c:formatCode>0</c:formatCode>
                <c:ptCount val="24"/>
                <c:pt idx="0">
                  <c:v>85</c:v>
                </c:pt>
                <c:pt idx="1">
                  <c:v>85</c:v>
                </c:pt>
                <c:pt idx="2">
                  <c:v>85</c:v>
                </c:pt>
                <c:pt idx="3">
                  <c:v>85</c:v>
                </c:pt>
                <c:pt idx="4">
                  <c:v>85</c:v>
                </c:pt>
                <c:pt idx="5">
                  <c:v>85</c:v>
                </c:pt>
                <c:pt idx="6">
                  <c:v>85</c:v>
                </c:pt>
                <c:pt idx="7">
                  <c:v>75</c:v>
                </c:pt>
                <c:pt idx="8">
                  <c:v>75</c:v>
                </c:pt>
                <c:pt idx="9">
                  <c:v>75</c:v>
                </c:pt>
                <c:pt idx="10">
                  <c:v>75</c:v>
                </c:pt>
                <c:pt idx="11">
                  <c:v>75</c:v>
                </c:pt>
                <c:pt idx="12">
                  <c:v>75</c:v>
                </c:pt>
                <c:pt idx="13">
                  <c:v>75</c:v>
                </c:pt>
                <c:pt idx="14">
                  <c:v>75</c:v>
                </c:pt>
                <c:pt idx="15">
                  <c:v>75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2-2E27-409B-A07F-1553CAB8C4B8}"/>
            </c:ext>
          </c:extLst>
        </c:ser>
        <c:ser>
          <c:idx val="2"/>
          <c:order val="2"/>
          <c:tx>
            <c:strRef>
              <c:f>Schedules!$E$38</c:f>
              <c:strCache>
                <c:ptCount val="1"/>
                <c:pt idx="0">
                  <c:v>Friday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Schedules!$F$38:$AC$38</c:f>
              <c:numCache>
                <c:formatCode>0</c:formatCode>
                <c:ptCount val="24"/>
                <c:pt idx="0">
                  <c:v>85</c:v>
                </c:pt>
                <c:pt idx="1">
                  <c:v>85</c:v>
                </c:pt>
                <c:pt idx="2">
                  <c:v>85</c:v>
                </c:pt>
                <c:pt idx="3">
                  <c:v>85</c:v>
                </c:pt>
                <c:pt idx="4">
                  <c:v>85</c:v>
                </c:pt>
                <c:pt idx="5">
                  <c:v>85</c:v>
                </c:pt>
                <c:pt idx="6">
                  <c:v>85</c:v>
                </c:pt>
                <c:pt idx="7">
                  <c:v>75</c:v>
                </c:pt>
                <c:pt idx="8">
                  <c:v>75</c:v>
                </c:pt>
                <c:pt idx="9">
                  <c:v>75</c:v>
                </c:pt>
                <c:pt idx="10">
                  <c:v>75</c:v>
                </c:pt>
                <c:pt idx="11">
                  <c:v>75</c:v>
                </c:pt>
                <c:pt idx="12">
                  <c:v>75</c:v>
                </c:pt>
                <c:pt idx="13">
                  <c:v>75</c:v>
                </c:pt>
                <c:pt idx="14">
                  <c:v>75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3-2E27-409B-A07F-1553CAB8C4B8}"/>
            </c:ext>
          </c:extLst>
        </c:ser>
        <c:ser>
          <c:idx val="3"/>
          <c:order val="3"/>
          <c:tx>
            <c:strRef>
              <c:f>Schedules!$E$39</c:f>
              <c:strCache>
                <c:ptCount val="1"/>
                <c:pt idx="0">
                  <c:v>Summer School</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Schedules!$F$39:$AC$39</c:f>
              <c:numCache>
                <c:formatCode>0</c:formatCode>
                <c:ptCount val="24"/>
                <c:pt idx="0">
                  <c:v>85</c:v>
                </c:pt>
                <c:pt idx="1">
                  <c:v>85</c:v>
                </c:pt>
                <c:pt idx="2">
                  <c:v>85</c:v>
                </c:pt>
                <c:pt idx="3">
                  <c:v>85</c:v>
                </c:pt>
                <c:pt idx="4">
                  <c:v>85</c:v>
                </c:pt>
                <c:pt idx="5">
                  <c:v>85</c:v>
                </c:pt>
                <c:pt idx="6">
                  <c:v>85</c:v>
                </c:pt>
                <c:pt idx="7">
                  <c:v>75</c:v>
                </c:pt>
                <c:pt idx="8">
                  <c:v>75</c:v>
                </c:pt>
                <c:pt idx="9">
                  <c:v>75</c:v>
                </c:pt>
                <c:pt idx="10">
                  <c:v>75</c:v>
                </c:pt>
                <c:pt idx="11">
                  <c:v>75</c:v>
                </c:pt>
                <c:pt idx="12">
                  <c:v>75</c:v>
                </c:pt>
                <c:pt idx="13">
                  <c:v>75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4-2E27-409B-A07F-1553CAB8C4B8}"/>
            </c:ext>
          </c:extLst>
        </c:ser>
        <c:dLbls>
          <c:showLegendKey val="0"/>
          <c:showVal val="0"/>
          <c:showCatName val="0"/>
          <c:showSerName val="0"/>
          <c:showPercent val="0"/>
          <c:showBubbleSize val="0"/>
        </c:dLbls>
        <c:smooth val="0"/>
        <c:axId val="899262592"/>
        <c:axId val="533807632"/>
      </c:lineChart>
      <c:catAx>
        <c:axId val="899262592"/>
        <c:scaling>
          <c:orientation val="minMax"/>
        </c:scaling>
        <c:delete val="0"/>
        <c:axPos val="b"/>
        <c:numFmt formatCode="General" sourceLinked="1"/>
        <c:majorTickMark val="out"/>
        <c:minorTickMark val="none"/>
        <c:tickLblPos val="nextTo"/>
        <c:crossAx val="533807632"/>
        <c:crosses val="autoZero"/>
        <c:auto val="1"/>
        <c:lblAlgn val="ctr"/>
        <c:lblOffset val="100"/>
        <c:noMultiLvlLbl val="0"/>
      </c:catAx>
      <c:valAx>
        <c:axId val="533807632"/>
        <c:scaling>
          <c:orientation val="minMax"/>
          <c:max val="90"/>
          <c:min val="50"/>
        </c:scaling>
        <c:delete val="0"/>
        <c:axPos val="l"/>
        <c:majorGridlines/>
        <c:numFmt formatCode="0" sourceLinked="1"/>
        <c:majorTickMark val="out"/>
        <c:minorTickMark val="none"/>
        <c:tickLblPos val="nextTo"/>
        <c:crossAx val="899262592"/>
        <c:crosses val="autoZero"/>
        <c:crossBetween val="between"/>
        <c:majorUnit val="10"/>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Infiltration</a:t>
            </a:r>
          </a:p>
        </c:rich>
      </c:tx>
      <c:overlay val="0"/>
    </c:title>
    <c:autoTitleDeleted val="0"/>
    <c:plotArea>
      <c:layout/>
      <c:lineChart>
        <c:grouping val="standard"/>
        <c:varyColors val="0"/>
        <c:ser>
          <c:idx val="0"/>
          <c:order val="0"/>
          <c:tx>
            <c:strRef>
              <c:f>Schedules!$E$40</c:f>
              <c:strCache>
                <c:ptCount val="1"/>
                <c:pt idx="0">
                  <c:v>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Schedules!$F$40:$AC$40</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95F5-42D4-9283-BC1F59E1E1E1}"/>
            </c:ext>
          </c:extLst>
        </c:ser>
        <c:ser>
          <c:idx val="1"/>
          <c:order val="1"/>
          <c:tx>
            <c:strRef>
              <c:f>Schedules!$E$41</c:f>
              <c:strCache>
                <c:ptCount val="1"/>
                <c:pt idx="0">
                  <c:v>Mon-Thu</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Schedules!$F$41:$AC$41</c:f>
              <c:numCache>
                <c:formatCode>0.00</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0.25</c:v>
                </c:pt>
                <c:pt idx="14">
                  <c:v>0.25</c:v>
                </c:pt>
                <c:pt idx="15">
                  <c:v>0.25</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95F5-42D4-9283-BC1F59E1E1E1}"/>
            </c:ext>
          </c:extLst>
        </c:ser>
        <c:ser>
          <c:idx val="2"/>
          <c:order val="2"/>
          <c:tx>
            <c:strRef>
              <c:f>Schedules!$E$42</c:f>
              <c:strCache>
                <c:ptCount val="1"/>
                <c:pt idx="0">
                  <c:v>Friday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Schedules!$F$42:$AC$42</c:f>
              <c:numCache>
                <c:formatCode>0.00</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0.25</c:v>
                </c:pt>
                <c:pt idx="14">
                  <c:v>0.25</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3-95F5-42D4-9283-BC1F59E1E1E1}"/>
            </c:ext>
          </c:extLst>
        </c:ser>
        <c:ser>
          <c:idx val="3"/>
          <c:order val="3"/>
          <c:tx>
            <c:strRef>
              <c:f>Schedules!$E$43</c:f>
              <c:strCache>
                <c:ptCount val="1"/>
                <c:pt idx="0">
                  <c:v>Summer School</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Schedules!$F$43:$AC$43</c:f>
              <c:numCache>
                <c:formatCode>0.00</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0.25</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4-95F5-42D4-9283-BC1F59E1E1E1}"/>
            </c:ext>
          </c:extLst>
        </c:ser>
        <c:dLbls>
          <c:showLegendKey val="0"/>
          <c:showVal val="0"/>
          <c:showCatName val="0"/>
          <c:showSerName val="0"/>
          <c:showPercent val="0"/>
          <c:showBubbleSize val="0"/>
        </c:dLbls>
        <c:smooth val="0"/>
        <c:axId val="899270944"/>
        <c:axId val="533827792"/>
      </c:lineChart>
      <c:catAx>
        <c:axId val="899270944"/>
        <c:scaling>
          <c:orientation val="minMax"/>
        </c:scaling>
        <c:delete val="0"/>
        <c:axPos val="b"/>
        <c:numFmt formatCode="General" sourceLinked="1"/>
        <c:majorTickMark val="out"/>
        <c:minorTickMark val="none"/>
        <c:tickLblPos val="nextTo"/>
        <c:crossAx val="533827792"/>
        <c:crosses val="autoZero"/>
        <c:auto val="1"/>
        <c:lblAlgn val="ctr"/>
        <c:lblOffset val="100"/>
        <c:noMultiLvlLbl val="0"/>
      </c:catAx>
      <c:valAx>
        <c:axId val="533827792"/>
        <c:scaling>
          <c:orientation val="minMax"/>
          <c:max val="1"/>
          <c:min val="0"/>
        </c:scaling>
        <c:delete val="0"/>
        <c:axPos val="l"/>
        <c:majorGridlines/>
        <c:numFmt formatCode="0.00" sourceLinked="1"/>
        <c:majorTickMark val="out"/>
        <c:minorTickMark val="none"/>
        <c:tickLblPos val="nextTo"/>
        <c:crossAx val="899270944"/>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Occupancy</a:t>
            </a:r>
          </a:p>
        </c:rich>
      </c:tx>
      <c:overlay val="0"/>
    </c:title>
    <c:autoTitleDeleted val="0"/>
    <c:plotArea>
      <c:layout/>
      <c:lineChart>
        <c:grouping val="standard"/>
        <c:varyColors val="0"/>
        <c:ser>
          <c:idx val="0"/>
          <c:order val="0"/>
          <c:tx>
            <c:strRef>
              <c:f>Schedules!$E$45</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Schedules!$F$45:$AC$45</c:f>
              <c:numCache>
                <c:formatCode>0.00</c:formatCode>
                <c:ptCount val="24"/>
                <c:pt idx="0">
                  <c:v>0</c:v>
                </c:pt>
                <c:pt idx="1">
                  <c:v>0</c:v>
                </c:pt>
                <c:pt idx="2">
                  <c:v>0</c:v>
                </c:pt>
                <c:pt idx="3">
                  <c:v>0</c:v>
                </c:pt>
                <c:pt idx="4">
                  <c:v>0</c:v>
                </c:pt>
                <c:pt idx="5">
                  <c:v>0.1</c:v>
                </c:pt>
                <c:pt idx="6">
                  <c:v>0.5</c:v>
                </c:pt>
                <c:pt idx="7">
                  <c:v>0.95</c:v>
                </c:pt>
                <c:pt idx="8">
                  <c:v>0.95</c:v>
                </c:pt>
                <c:pt idx="9">
                  <c:v>0.95</c:v>
                </c:pt>
                <c:pt idx="10">
                  <c:v>0.95</c:v>
                </c:pt>
                <c:pt idx="11">
                  <c:v>0.95</c:v>
                </c:pt>
                <c:pt idx="12">
                  <c:v>0.95</c:v>
                </c:pt>
                <c:pt idx="13">
                  <c:v>0.95</c:v>
                </c:pt>
                <c:pt idx="14">
                  <c:v>0.5</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14AB-4E6F-BC17-72B7BB5E0B90}"/>
            </c:ext>
          </c:extLst>
        </c:ser>
        <c:ser>
          <c:idx val="1"/>
          <c:order val="1"/>
          <c:tx>
            <c:strRef>
              <c:f>Schedules!$E$46</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Schedules!$F$46:$AC$46</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14AB-4E6F-BC17-72B7BB5E0B90}"/>
            </c:ext>
          </c:extLst>
        </c:ser>
        <c:ser>
          <c:idx val="2"/>
          <c:order val="2"/>
          <c:tx>
            <c:strRef>
              <c:f>Schedules!$E$47</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Schedules!$F$47:$AC$47</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3-14AB-4E6F-BC17-72B7BB5E0B90}"/>
            </c:ext>
          </c:extLst>
        </c:ser>
        <c:ser>
          <c:idx val="3"/>
          <c:order val="3"/>
          <c:tx>
            <c:strRef>
              <c:f>Schedules!$E$48</c:f>
              <c:strCache>
                <c:ptCount val="1"/>
                <c:pt idx="0">
                  <c:v>SummerUnoccupied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Schedules!$F$48:$AC$48</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4-14AB-4E6F-BC17-72B7BB5E0B90}"/>
            </c:ext>
          </c:extLst>
        </c:ser>
        <c:dLbls>
          <c:showLegendKey val="0"/>
          <c:showVal val="0"/>
          <c:showCatName val="0"/>
          <c:showSerName val="0"/>
          <c:showPercent val="0"/>
          <c:showBubbleSize val="0"/>
        </c:dLbls>
        <c:smooth val="0"/>
        <c:axId val="899292288"/>
        <c:axId val="533858032"/>
      </c:lineChart>
      <c:catAx>
        <c:axId val="899292288"/>
        <c:scaling>
          <c:orientation val="minMax"/>
        </c:scaling>
        <c:delete val="0"/>
        <c:axPos val="b"/>
        <c:numFmt formatCode="General" sourceLinked="1"/>
        <c:majorTickMark val="out"/>
        <c:minorTickMark val="none"/>
        <c:tickLblPos val="nextTo"/>
        <c:crossAx val="533858032"/>
        <c:crosses val="autoZero"/>
        <c:auto val="1"/>
        <c:lblAlgn val="ctr"/>
        <c:lblOffset val="100"/>
        <c:noMultiLvlLbl val="0"/>
      </c:catAx>
      <c:valAx>
        <c:axId val="533858032"/>
        <c:scaling>
          <c:orientation val="minMax"/>
          <c:max val="1"/>
          <c:min val="0"/>
        </c:scaling>
        <c:delete val="0"/>
        <c:axPos val="l"/>
        <c:majorGridlines/>
        <c:numFmt formatCode="0.00" sourceLinked="1"/>
        <c:majorTickMark val="out"/>
        <c:minorTickMark val="none"/>
        <c:tickLblPos val="nextTo"/>
        <c:crossAx val="899292288"/>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HVACAvail</a:t>
            </a:r>
          </a:p>
        </c:rich>
      </c:tx>
      <c:overlay val="0"/>
    </c:title>
    <c:autoTitleDeleted val="0"/>
    <c:plotArea>
      <c:layout/>
      <c:lineChart>
        <c:grouping val="standard"/>
        <c:varyColors val="0"/>
        <c:ser>
          <c:idx val="0"/>
          <c:order val="0"/>
          <c:tx>
            <c:strRef>
              <c:f>Schedules!$E$49</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Schedules!$F$49:$AC$49</c:f>
              <c:numCache>
                <c:formatCode>0.00</c:formatCode>
                <c:ptCount val="24"/>
                <c:pt idx="0">
                  <c:v>0</c:v>
                </c:pt>
                <c:pt idx="1">
                  <c:v>0</c:v>
                </c:pt>
                <c:pt idx="2">
                  <c:v>0</c:v>
                </c:pt>
                <c:pt idx="3">
                  <c:v>0</c:v>
                </c:pt>
                <c:pt idx="4">
                  <c:v>0</c:v>
                </c:pt>
                <c:pt idx="5">
                  <c:v>1</c:v>
                </c:pt>
                <c:pt idx="6">
                  <c:v>1</c:v>
                </c:pt>
                <c:pt idx="7">
                  <c:v>1</c:v>
                </c:pt>
                <c:pt idx="8">
                  <c:v>1</c:v>
                </c:pt>
                <c:pt idx="9">
                  <c:v>1</c:v>
                </c:pt>
                <c:pt idx="10">
                  <c:v>1</c:v>
                </c:pt>
                <c:pt idx="11">
                  <c:v>1</c:v>
                </c:pt>
                <c:pt idx="12">
                  <c:v>1</c:v>
                </c:pt>
                <c:pt idx="13">
                  <c:v>1</c:v>
                </c:pt>
                <c:pt idx="14">
                  <c:v>1</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D8D3-4D69-A264-33367FFDFB0A}"/>
            </c:ext>
          </c:extLst>
        </c:ser>
        <c:ser>
          <c:idx val="1"/>
          <c:order val="1"/>
          <c:tx>
            <c:strRef>
              <c:f>Schedules!$E$50</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Schedules!$F$50:$AC$50</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D8D3-4D69-A264-33367FFDFB0A}"/>
            </c:ext>
          </c:extLst>
        </c:ser>
        <c:ser>
          <c:idx val="2"/>
          <c:order val="2"/>
          <c:tx>
            <c:strRef>
              <c:f>Schedules!$E$51</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Schedules!$F$51:$AC$51</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3-D8D3-4D69-A264-33367FFDFB0A}"/>
            </c:ext>
          </c:extLst>
        </c:ser>
        <c:ser>
          <c:idx val="3"/>
          <c:order val="3"/>
          <c:tx>
            <c:strRef>
              <c:f>Schedules!$E$52</c:f>
              <c:strCache>
                <c:ptCount val="1"/>
                <c:pt idx="0">
                  <c:v>SummerUnoccupied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Schedules!$F$52:$AC$52</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4-D8D3-4D69-A264-33367FFDFB0A}"/>
            </c:ext>
          </c:extLst>
        </c:ser>
        <c:dLbls>
          <c:showLegendKey val="0"/>
          <c:showVal val="0"/>
          <c:showCatName val="0"/>
          <c:showSerName val="0"/>
          <c:showPercent val="0"/>
          <c:showBubbleSize val="0"/>
        </c:dLbls>
        <c:smooth val="0"/>
        <c:axId val="899303424"/>
        <c:axId val="533910352"/>
      </c:lineChart>
      <c:catAx>
        <c:axId val="899303424"/>
        <c:scaling>
          <c:orientation val="minMax"/>
        </c:scaling>
        <c:delete val="0"/>
        <c:axPos val="b"/>
        <c:numFmt formatCode="General" sourceLinked="1"/>
        <c:majorTickMark val="out"/>
        <c:minorTickMark val="none"/>
        <c:tickLblPos val="nextTo"/>
        <c:crossAx val="533910352"/>
        <c:crosses val="autoZero"/>
        <c:auto val="1"/>
        <c:lblAlgn val="ctr"/>
        <c:lblOffset val="100"/>
        <c:noMultiLvlLbl val="0"/>
      </c:catAx>
      <c:valAx>
        <c:axId val="533910352"/>
        <c:scaling>
          <c:orientation val="minMax"/>
          <c:max val="1"/>
          <c:min val="0"/>
        </c:scaling>
        <c:delete val="0"/>
        <c:axPos val="l"/>
        <c:majorGridlines/>
        <c:numFmt formatCode="0.00" sourceLinked="1"/>
        <c:majorTickMark val="out"/>
        <c:minorTickMark val="none"/>
        <c:tickLblPos val="nextTo"/>
        <c:crossAx val="899303424"/>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Lights</a:t>
            </a:r>
          </a:p>
        </c:rich>
      </c:tx>
      <c:overlay val="0"/>
    </c:title>
    <c:autoTitleDeleted val="0"/>
    <c:plotArea>
      <c:layout/>
      <c:lineChart>
        <c:grouping val="standard"/>
        <c:varyColors val="0"/>
        <c:ser>
          <c:idx val="0"/>
          <c:order val="0"/>
          <c:tx>
            <c:strRef>
              <c:f>Schedules!$E$53</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Schedules!$F$53:$AC$53</c:f>
              <c:numCache>
                <c:formatCode>0.00</c:formatCode>
                <c:ptCount val="24"/>
                <c:pt idx="0">
                  <c:v>0</c:v>
                </c:pt>
                <c:pt idx="1">
                  <c:v>0</c:v>
                </c:pt>
                <c:pt idx="2">
                  <c:v>0</c:v>
                </c:pt>
                <c:pt idx="3">
                  <c:v>0</c:v>
                </c:pt>
                <c:pt idx="4">
                  <c:v>0</c:v>
                </c:pt>
                <c:pt idx="5">
                  <c:v>1</c:v>
                </c:pt>
                <c:pt idx="6">
                  <c:v>1</c:v>
                </c:pt>
                <c:pt idx="7">
                  <c:v>1</c:v>
                </c:pt>
                <c:pt idx="8">
                  <c:v>1</c:v>
                </c:pt>
                <c:pt idx="9">
                  <c:v>1</c:v>
                </c:pt>
                <c:pt idx="10">
                  <c:v>1</c:v>
                </c:pt>
                <c:pt idx="11">
                  <c:v>1</c:v>
                </c:pt>
                <c:pt idx="12">
                  <c:v>1</c:v>
                </c:pt>
                <c:pt idx="13">
                  <c:v>1</c:v>
                </c:pt>
                <c:pt idx="14">
                  <c:v>1</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0FAD-40B7-BE81-201C7BC0A823}"/>
            </c:ext>
          </c:extLst>
        </c:ser>
        <c:ser>
          <c:idx val="1"/>
          <c:order val="1"/>
          <c:tx>
            <c:strRef>
              <c:f>Schedules!$E$54</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Schedules!$F$54:$AC$54</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0FAD-40B7-BE81-201C7BC0A823}"/>
            </c:ext>
          </c:extLst>
        </c:ser>
        <c:ser>
          <c:idx val="2"/>
          <c:order val="2"/>
          <c:tx>
            <c:strRef>
              <c:f>Schedules!$E$55</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Schedules!$F$55:$AC$55</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3-0FAD-40B7-BE81-201C7BC0A823}"/>
            </c:ext>
          </c:extLst>
        </c:ser>
        <c:ser>
          <c:idx val="3"/>
          <c:order val="3"/>
          <c:tx>
            <c:strRef>
              <c:f>Schedules!$E$56</c:f>
              <c:strCache>
                <c:ptCount val="1"/>
                <c:pt idx="0">
                  <c:v>SummerUnoccupied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Schedules!$F$56:$AC$56</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4-0FAD-40B7-BE81-201C7BC0A823}"/>
            </c:ext>
          </c:extLst>
        </c:ser>
        <c:dLbls>
          <c:showLegendKey val="0"/>
          <c:showVal val="0"/>
          <c:showCatName val="0"/>
          <c:showSerName val="0"/>
          <c:showPercent val="0"/>
          <c:showBubbleSize val="0"/>
        </c:dLbls>
        <c:smooth val="0"/>
        <c:axId val="899327088"/>
        <c:axId val="533961712"/>
      </c:lineChart>
      <c:catAx>
        <c:axId val="899327088"/>
        <c:scaling>
          <c:orientation val="minMax"/>
        </c:scaling>
        <c:delete val="0"/>
        <c:axPos val="b"/>
        <c:numFmt formatCode="General" sourceLinked="1"/>
        <c:majorTickMark val="out"/>
        <c:minorTickMark val="none"/>
        <c:tickLblPos val="nextTo"/>
        <c:crossAx val="533961712"/>
        <c:crosses val="autoZero"/>
        <c:auto val="1"/>
        <c:lblAlgn val="ctr"/>
        <c:lblOffset val="100"/>
        <c:noMultiLvlLbl val="0"/>
      </c:catAx>
      <c:valAx>
        <c:axId val="533961712"/>
        <c:scaling>
          <c:orientation val="minMax"/>
          <c:max val="1"/>
          <c:min val="0"/>
        </c:scaling>
        <c:delete val="0"/>
        <c:axPos val="l"/>
        <c:majorGridlines/>
        <c:numFmt formatCode="0.00" sourceLinked="1"/>
        <c:majorTickMark val="out"/>
        <c:minorTickMark val="none"/>
        <c:tickLblPos val="nextTo"/>
        <c:crossAx val="899327088"/>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ElecEquipment</a:t>
            </a:r>
          </a:p>
        </c:rich>
      </c:tx>
      <c:overlay val="0"/>
    </c:title>
    <c:autoTitleDeleted val="0"/>
    <c:plotArea>
      <c:layout/>
      <c:lineChart>
        <c:grouping val="standard"/>
        <c:varyColors val="0"/>
        <c:ser>
          <c:idx val="0"/>
          <c:order val="0"/>
          <c:tx>
            <c:strRef>
              <c:f>Schedules!$E$57</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Schedules!$F$57:$AC$57</c:f>
              <c:numCache>
                <c:formatCode>0.00</c:formatCode>
                <c:ptCount val="24"/>
                <c:pt idx="0">
                  <c:v>0.15</c:v>
                </c:pt>
                <c:pt idx="1">
                  <c:v>0.15</c:v>
                </c:pt>
                <c:pt idx="2">
                  <c:v>0.15</c:v>
                </c:pt>
                <c:pt idx="3">
                  <c:v>0.15</c:v>
                </c:pt>
                <c:pt idx="4">
                  <c:v>0.15</c:v>
                </c:pt>
                <c:pt idx="5">
                  <c:v>0.2</c:v>
                </c:pt>
                <c:pt idx="6">
                  <c:v>0.3</c:v>
                </c:pt>
                <c:pt idx="7">
                  <c:v>0.9</c:v>
                </c:pt>
                <c:pt idx="8">
                  <c:v>0.9</c:v>
                </c:pt>
                <c:pt idx="9">
                  <c:v>0.8</c:v>
                </c:pt>
                <c:pt idx="10">
                  <c:v>0.8</c:v>
                </c:pt>
                <c:pt idx="11">
                  <c:v>0.8</c:v>
                </c:pt>
                <c:pt idx="12">
                  <c:v>0.9</c:v>
                </c:pt>
                <c:pt idx="13">
                  <c:v>0.9</c:v>
                </c:pt>
                <c:pt idx="14">
                  <c:v>0.9</c:v>
                </c:pt>
                <c:pt idx="15">
                  <c:v>0.7</c:v>
                </c:pt>
                <c:pt idx="16">
                  <c:v>0.2</c:v>
                </c:pt>
                <c:pt idx="17">
                  <c:v>0.15</c:v>
                </c:pt>
                <c:pt idx="18">
                  <c:v>0.15</c:v>
                </c:pt>
                <c:pt idx="19">
                  <c:v>0.15</c:v>
                </c:pt>
                <c:pt idx="20">
                  <c:v>0.15</c:v>
                </c:pt>
                <c:pt idx="21">
                  <c:v>0.15</c:v>
                </c:pt>
                <c:pt idx="22">
                  <c:v>0.15</c:v>
                </c:pt>
                <c:pt idx="23">
                  <c:v>0.15</c:v>
                </c:pt>
              </c:numCache>
            </c:numRef>
          </c:val>
          <c:smooth val="0"/>
          <c:extLst>
            <c:ext xmlns:c16="http://schemas.microsoft.com/office/drawing/2014/chart" uri="{C3380CC4-5D6E-409C-BE32-E72D297353CC}">
              <c16:uniqueId val="{00000001-9FB4-4EAC-973B-E3E6879238CB}"/>
            </c:ext>
          </c:extLst>
        </c:ser>
        <c:ser>
          <c:idx val="1"/>
          <c:order val="1"/>
          <c:tx>
            <c:strRef>
              <c:f>Schedules!$E$58</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Schedules!$F$58:$AC$58</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9FB4-4EAC-973B-E3E6879238CB}"/>
            </c:ext>
          </c:extLst>
        </c:ser>
        <c:ser>
          <c:idx val="2"/>
          <c:order val="2"/>
          <c:tx>
            <c:strRef>
              <c:f>Schedules!$E$59</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Schedules!$F$59:$AC$59</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3-9FB4-4EAC-973B-E3E6879238CB}"/>
            </c:ext>
          </c:extLst>
        </c:ser>
        <c:ser>
          <c:idx val="3"/>
          <c:order val="3"/>
          <c:tx>
            <c:strRef>
              <c:f>Schedules!$E$60</c:f>
              <c:strCache>
                <c:ptCount val="1"/>
                <c:pt idx="0">
                  <c:v>SummerUnoccupied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Schedules!$F$60:$AC$60</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4-9FB4-4EAC-973B-E3E6879238CB}"/>
            </c:ext>
          </c:extLst>
        </c:ser>
        <c:dLbls>
          <c:showLegendKey val="0"/>
          <c:showVal val="0"/>
          <c:showCatName val="0"/>
          <c:showSerName val="0"/>
          <c:showPercent val="0"/>
          <c:showBubbleSize val="0"/>
        </c:dLbls>
        <c:smooth val="0"/>
        <c:axId val="899317344"/>
        <c:axId val="533817712"/>
      </c:lineChart>
      <c:catAx>
        <c:axId val="899317344"/>
        <c:scaling>
          <c:orientation val="minMax"/>
        </c:scaling>
        <c:delete val="0"/>
        <c:axPos val="b"/>
        <c:numFmt formatCode="General" sourceLinked="1"/>
        <c:majorTickMark val="out"/>
        <c:minorTickMark val="none"/>
        <c:tickLblPos val="nextTo"/>
        <c:crossAx val="533817712"/>
        <c:crosses val="autoZero"/>
        <c:auto val="1"/>
        <c:lblAlgn val="ctr"/>
        <c:lblOffset val="100"/>
        <c:noMultiLvlLbl val="0"/>
      </c:catAx>
      <c:valAx>
        <c:axId val="533817712"/>
        <c:scaling>
          <c:orientation val="minMax"/>
          <c:max val="1"/>
          <c:min val="0"/>
        </c:scaling>
        <c:delete val="0"/>
        <c:axPos val="l"/>
        <c:majorGridlines/>
        <c:numFmt formatCode="0.00" sourceLinked="1"/>
        <c:majorTickMark val="out"/>
        <c:minorTickMark val="none"/>
        <c:tickLblPos val="nextTo"/>
        <c:crossAx val="899317344"/>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HtgSetpt</a:t>
            </a:r>
          </a:p>
        </c:rich>
      </c:tx>
      <c:overlay val="0"/>
    </c:title>
    <c:autoTitleDeleted val="0"/>
    <c:plotArea>
      <c:layout/>
      <c:lineChart>
        <c:grouping val="standard"/>
        <c:varyColors val="0"/>
        <c:ser>
          <c:idx val="0"/>
          <c:order val="0"/>
          <c:tx>
            <c:strRef>
              <c:f>Schedules!$E$61</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Schedules!$F$61:$AC$61</c:f>
              <c:numCache>
                <c:formatCode>0</c:formatCode>
                <c:ptCount val="24"/>
                <c:pt idx="0">
                  <c:v>60</c:v>
                </c:pt>
                <c:pt idx="1">
                  <c:v>60</c:v>
                </c:pt>
                <c:pt idx="2">
                  <c:v>60</c:v>
                </c:pt>
                <c:pt idx="3">
                  <c:v>60</c:v>
                </c:pt>
                <c:pt idx="4">
                  <c:v>60</c:v>
                </c:pt>
                <c:pt idx="5">
                  <c:v>70</c:v>
                </c:pt>
                <c:pt idx="6">
                  <c:v>70</c:v>
                </c:pt>
                <c:pt idx="7">
                  <c:v>70</c:v>
                </c:pt>
                <c:pt idx="8">
                  <c:v>70</c:v>
                </c:pt>
                <c:pt idx="9">
                  <c:v>70</c:v>
                </c:pt>
                <c:pt idx="10">
                  <c:v>70</c:v>
                </c:pt>
                <c:pt idx="11">
                  <c:v>70</c:v>
                </c:pt>
                <c:pt idx="12">
                  <c:v>70</c:v>
                </c:pt>
                <c:pt idx="13">
                  <c:v>70</c:v>
                </c:pt>
                <c:pt idx="14">
                  <c:v>70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1-1A9D-4166-B2DD-0C9284C8AD02}"/>
            </c:ext>
          </c:extLst>
        </c:ser>
        <c:ser>
          <c:idx val="1"/>
          <c:order val="1"/>
          <c:tx>
            <c:strRef>
              <c:f>Schedules!$E$62</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Schedules!$F$62:$AC$62</c:f>
              <c:numCache>
                <c:formatCode>0</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2-1A9D-4166-B2DD-0C9284C8AD02}"/>
            </c:ext>
          </c:extLst>
        </c:ser>
        <c:ser>
          <c:idx val="2"/>
          <c:order val="2"/>
          <c:tx>
            <c:strRef>
              <c:f>Schedules!$E$63</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Schedules!$F$63:$AC$63</c:f>
              <c:numCache>
                <c:formatCode>0</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3-1A9D-4166-B2DD-0C9284C8AD02}"/>
            </c:ext>
          </c:extLst>
        </c:ser>
        <c:ser>
          <c:idx val="3"/>
          <c:order val="3"/>
          <c:tx>
            <c:strRef>
              <c:f>Schedules!$E$64</c:f>
              <c:strCache>
                <c:ptCount val="1"/>
                <c:pt idx="0">
                  <c:v>SummerUnoccupied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Schedules!$F$64:$AC$64</c:f>
              <c:numCache>
                <c:formatCode>0</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4-1A9D-4166-B2DD-0C9284C8AD02}"/>
            </c:ext>
          </c:extLst>
        </c:ser>
        <c:dLbls>
          <c:showLegendKey val="0"/>
          <c:showVal val="0"/>
          <c:showCatName val="0"/>
          <c:showSerName val="0"/>
          <c:showPercent val="0"/>
          <c:showBubbleSize val="0"/>
        </c:dLbls>
        <c:smooth val="0"/>
        <c:axId val="899336832"/>
        <c:axId val="533847472"/>
      </c:lineChart>
      <c:catAx>
        <c:axId val="899336832"/>
        <c:scaling>
          <c:orientation val="minMax"/>
        </c:scaling>
        <c:delete val="0"/>
        <c:axPos val="b"/>
        <c:numFmt formatCode="General" sourceLinked="1"/>
        <c:majorTickMark val="out"/>
        <c:minorTickMark val="none"/>
        <c:tickLblPos val="nextTo"/>
        <c:crossAx val="533847472"/>
        <c:crosses val="autoZero"/>
        <c:auto val="1"/>
        <c:lblAlgn val="ctr"/>
        <c:lblOffset val="100"/>
        <c:noMultiLvlLbl val="0"/>
      </c:catAx>
      <c:valAx>
        <c:axId val="533847472"/>
        <c:scaling>
          <c:orientation val="minMax"/>
          <c:max val="90"/>
          <c:min val="50"/>
        </c:scaling>
        <c:delete val="0"/>
        <c:axPos val="l"/>
        <c:majorGridlines/>
        <c:numFmt formatCode="0" sourceLinked="1"/>
        <c:majorTickMark val="out"/>
        <c:minorTickMark val="none"/>
        <c:tickLblPos val="nextTo"/>
        <c:crossAx val="899336832"/>
        <c:crosses val="autoZero"/>
        <c:crossBetween val="between"/>
        <c:majorUnit val="10"/>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ClgSetpt</a:t>
            </a:r>
          </a:p>
        </c:rich>
      </c:tx>
      <c:overlay val="0"/>
    </c:title>
    <c:autoTitleDeleted val="0"/>
    <c:plotArea>
      <c:layout/>
      <c:lineChart>
        <c:grouping val="standard"/>
        <c:varyColors val="0"/>
        <c:ser>
          <c:idx val="0"/>
          <c:order val="0"/>
          <c:tx>
            <c:strRef>
              <c:f>Schedules!$E$65</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Schedules!$F$65:$AC$65</c:f>
              <c:numCache>
                <c:formatCode>0</c:formatCode>
                <c:ptCount val="24"/>
                <c:pt idx="0">
                  <c:v>85</c:v>
                </c:pt>
                <c:pt idx="1">
                  <c:v>85</c:v>
                </c:pt>
                <c:pt idx="2">
                  <c:v>85</c:v>
                </c:pt>
                <c:pt idx="3">
                  <c:v>85</c:v>
                </c:pt>
                <c:pt idx="4">
                  <c:v>85</c:v>
                </c:pt>
                <c:pt idx="5">
                  <c:v>75</c:v>
                </c:pt>
                <c:pt idx="6">
                  <c:v>75</c:v>
                </c:pt>
                <c:pt idx="7">
                  <c:v>75</c:v>
                </c:pt>
                <c:pt idx="8">
                  <c:v>75</c:v>
                </c:pt>
                <c:pt idx="9">
                  <c:v>75</c:v>
                </c:pt>
                <c:pt idx="10">
                  <c:v>75</c:v>
                </c:pt>
                <c:pt idx="11">
                  <c:v>75</c:v>
                </c:pt>
                <c:pt idx="12">
                  <c:v>75</c:v>
                </c:pt>
                <c:pt idx="13">
                  <c:v>75</c:v>
                </c:pt>
                <c:pt idx="14">
                  <c:v>75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1-4E88-4525-B4F5-33E9BF74C61B}"/>
            </c:ext>
          </c:extLst>
        </c:ser>
        <c:ser>
          <c:idx val="1"/>
          <c:order val="1"/>
          <c:tx>
            <c:strRef>
              <c:f>Schedules!$E$66</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Schedules!$F$66:$AC$66</c:f>
              <c:numCache>
                <c:formatCode>0</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2-4E88-4525-B4F5-33E9BF74C61B}"/>
            </c:ext>
          </c:extLst>
        </c:ser>
        <c:ser>
          <c:idx val="2"/>
          <c:order val="2"/>
          <c:tx>
            <c:strRef>
              <c:f>Schedules!$E$67</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Schedules!$F$67:$AC$67</c:f>
              <c:numCache>
                <c:formatCode>0</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3-4E88-4525-B4F5-33E9BF74C61B}"/>
            </c:ext>
          </c:extLst>
        </c:ser>
        <c:ser>
          <c:idx val="3"/>
          <c:order val="3"/>
          <c:tx>
            <c:strRef>
              <c:f>Schedules!$E$68</c:f>
              <c:strCache>
                <c:ptCount val="1"/>
                <c:pt idx="0">
                  <c:v>SummerUnoccupied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Schedules!$F$68:$AC$68</c:f>
              <c:numCache>
                <c:formatCode>0</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4-4E88-4525-B4F5-33E9BF74C61B}"/>
            </c:ext>
          </c:extLst>
        </c:ser>
        <c:dLbls>
          <c:showLegendKey val="0"/>
          <c:showVal val="0"/>
          <c:showCatName val="0"/>
          <c:showSerName val="0"/>
          <c:showPercent val="0"/>
          <c:showBubbleSize val="0"/>
        </c:dLbls>
        <c:smooth val="0"/>
        <c:axId val="899355392"/>
        <c:axId val="533890672"/>
      </c:lineChart>
      <c:catAx>
        <c:axId val="899355392"/>
        <c:scaling>
          <c:orientation val="minMax"/>
        </c:scaling>
        <c:delete val="0"/>
        <c:axPos val="b"/>
        <c:numFmt formatCode="General" sourceLinked="1"/>
        <c:majorTickMark val="out"/>
        <c:minorTickMark val="none"/>
        <c:tickLblPos val="nextTo"/>
        <c:crossAx val="533890672"/>
        <c:crosses val="autoZero"/>
        <c:auto val="1"/>
        <c:lblAlgn val="ctr"/>
        <c:lblOffset val="100"/>
        <c:noMultiLvlLbl val="0"/>
      </c:catAx>
      <c:valAx>
        <c:axId val="533890672"/>
        <c:scaling>
          <c:orientation val="minMax"/>
          <c:max val="90"/>
          <c:min val="50"/>
        </c:scaling>
        <c:delete val="0"/>
        <c:axPos val="l"/>
        <c:majorGridlines/>
        <c:numFmt formatCode="0" sourceLinked="1"/>
        <c:majorTickMark val="out"/>
        <c:minorTickMark val="none"/>
        <c:tickLblPos val="nextTo"/>
        <c:crossAx val="899355392"/>
        <c:crosses val="autoZero"/>
        <c:crossBetween val="between"/>
        <c:majorUnit val="10"/>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OAControl</a:t>
            </a:r>
          </a:p>
        </c:rich>
      </c:tx>
      <c:overlay val="0"/>
    </c:title>
    <c:autoTitleDeleted val="0"/>
    <c:plotArea>
      <c:layout/>
      <c:lineChart>
        <c:grouping val="standard"/>
        <c:varyColors val="0"/>
        <c:ser>
          <c:idx val="0"/>
          <c:order val="0"/>
          <c:tx>
            <c:strRef>
              <c:f>Schedules!$E$69</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Schedules!$F$69:$AC$69</c:f>
              <c:numCache>
                <c:formatCode>0.00</c:formatCode>
                <c:ptCount val="24"/>
                <c:pt idx="0">
                  <c:v>0</c:v>
                </c:pt>
                <c:pt idx="1">
                  <c:v>0</c:v>
                </c:pt>
                <c:pt idx="2">
                  <c:v>0</c:v>
                </c:pt>
                <c:pt idx="3">
                  <c:v>0</c:v>
                </c:pt>
                <c:pt idx="4">
                  <c:v>0</c:v>
                </c:pt>
                <c:pt idx="5">
                  <c:v>1</c:v>
                </c:pt>
                <c:pt idx="6">
                  <c:v>1</c:v>
                </c:pt>
                <c:pt idx="7">
                  <c:v>1</c:v>
                </c:pt>
                <c:pt idx="8">
                  <c:v>1</c:v>
                </c:pt>
                <c:pt idx="9">
                  <c:v>1</c:v>
                </c:pt>
                <c:pt idx="10">
                  <c:v>1</c:v>
                </c:pt>
                <c:pt idx="11">
                  <c:v>1</c:v>
                </c:pt>
                <c:pt idx="12">
                  <c:v>1</c:v>
                </c:pt>
                <c:pt idx="13">
                  <c:v>1</c:v>
                </c:pt>
                <c:pt idx="14">
                  <c:v>1</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E523-492E-9420-A2F7FFF2CA55}"/>
            </c:ext>
          </c:extLst>
        </c:ser>
        <c:ser>
          <c:idx val="1"/>
          <c:order val="1"/>
          <c:tx>
            <c:strRef>
              <c:f>Schedules!$E$70</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Schedules!$F$70:$AC$70</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E523-492E-9420-A2F7FFF2CA55}"/>
            </c:ext>
          </c:extLst>
        </c:ser>
        <c:ser>
          <c:idx val="2"/>
          <c:order val="2"/>
          <c:tx>
            <c:strRef>
              <c:f>Schedules!$E$71</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Schedules!$F$71:$AC$71</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3-E523-492E-9420-A2F7FFF2CA55}"/>
            </c:ext>
          </c:extLst>
        </c:ser>
        <c:ser>
          <c:idx val="3"/>
          <c:order val="3"/>
          <c:tx>
            <c:strRef>
              <c:f>Schedules!$E$72</c:f>
              <c:strCache>
                <c:ptCount val="1"/>
                <c:pt idx="0">
                  <c:v>SummerUnoccupied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Schedules!$F$72:$AC$72</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4-E523-492E-9420-A2F7FFF2CA55}"/>
            </c:ext>
          </c:extLst>
        </c:ser>
        <c:dLbls>
          <c:showLegendKey val="0"/>
          <c:showVal val="0"/>
          <c:showCatName val="0"/>
          <c:showSerName val="0"/>
          <c:showPercent val="0"/>
          <c:showBubbleSize val="0"/>
        </c:dLbls>
        <c:smooth val="0"/>
        <c:axId val="899347040"/>
        <c:axId val="533918992"/>
      </c:lineChart>
      <c:catAx>
        <c:axId val="899347040"/>
        <c:scaling>
          <c:orientation val="minMax"/>
        </c:scaling>
        <c:delete val="0"/>
        <c:axPos val="b"/>
        <c:numFmt formatCode="General" sourceLinked="1"/>
        <c:majorTickMark val="out"/>
        <c:minorTickMark val="none"/>
        <c:tickLblPos val="nextTo"/>
        <c:crossAx val="533918992"/>
        <c:crosses val="autoZero"/>
        <c:auto val="1"/>
        <c:lblAlgn val="ctr"/>
        <c:lblOffset val="100"/>
        <c:noMultiLvlLbl val="0"/>
      </c:catAx>
      <c:valAx>
        <c:axId val="533918992"/>
        <c:scaling>
          <c:orientation val="minMax"/>
          <c:max val="1"/>
          <c:min val="0"/>
        </c:scaling>
        <c:delete val="0"/>
        <c:axPos val="l"/>
        <c:majorGridlines/>
        <c:numFmt formatCode="0.00" sourceLinked="1"/>
        <c:majorTickMark val="out"/>
        <c:minorTickMark val="none"/>
        <c:tickLblPos val="nextTo"/>
        <c:crossAx val="899347040"/>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Infiltration</a:t>
            </a:r>
          </a:p>
        </c:rich>
      </c:tx>
      <c:overlay val="0"/>
    </c:title>
    <c:autoTitleDeleted val="0"/>
    <c:plotArea>
      <c:layout/>
      <c:lineChart>
        <c:grouping val="standard"/>
        <c:varyColors val="0"/>
        <c:ser>
          <c:idx val="0"/>
          <c:order val="0"/>
          <c:tx>
            <c:strRef>
              <c:f>Schedules!$E$73</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Schedules!$F$73:$AC$73</c:f>
              <c:numCache>
                <c:formatCode>0.00</c:formatCode>
                <c:ptCount val="24"/>
                <c:pt idx="0">
                  <c:v>1</c:v>
                </c:pt>
                <c:pt idx="1">
                  <c:v>1</c:v>
                </c:pt>
                <c:pt idx="2">
                  <c:v>1</c:v>
                </c:pt>
                <c:pt idx="3">
                  <c:v>1</c:v>
                </c:pt>
                <c:pt idx="4">
                  <c:v>1</c:v>
                </c:pt>
                <c:pt idx="5">
                  <c:v>0.25</c:v>
                </c:pt>
                <c:pt idx="6">
                  <c:v>0.25</c:v>
                </c:pt>
                <c:pt idx="7">
                  <c:v>0.25</c:v>
                </c:pt>
                <c:pt idx="8">
                  <c:v>0.25</c:v>
                </c:pt>
                <c:pt idx="9">
                  <c:v>0.25</c:v>
                </c:pt>
                <c:pt idx="10">
                  <c:v>0.25</c:v>
                </c:pt>
                <c:pt idx="11">
                  <c:v>0.25</c:v>
                </c:pt>
                <c:pt idx="12">
                  <c:v>0.25</c:v>
                </c:pt>
                <c:pt idx="13">
                  <c:v>0.25</c:v>
                </c:pt>
                <c:pt idx="14">
                  <c:v>0.25</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2069-4AAF-A939-1333810922FF}"/>
            </c:ext>
          </c:extLst>
        </c:ser>
        <c:ser>
          <c:idx val="1"/>
          <c:order val="1"/>
          <c:tx>
            <c:strRef>
              <c:f>Schedules!$E$74</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Schedules!$F$74:$AC$74</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2069-4AAF-A939-1333810922FF}"/>
            </c:ext>
          </c:extLst>
        </c:ser>
        <c:ser>
          <c:idx val="2"/>
          <c:order val="2"/>
          <c:tx>
            <c:strRef>
              <c:f>Schedules!$E$75</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Schedules!$F$75:$AC$75</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3-2069-4AAF-A939-1333810922FF}"/>
            </c:ext>
          </c:extLst>
        </c:ser>
        <c:ser>
          <c:idx val="3"/>
          <c:order val="3"/>
          <c:tx>
            <c:strRef>
              <c:f>Schedules!$E$76</c:f>
              <c:strCache>
                <c:ptCount val="1"/>
                <c:pt idx="0">
                  <c:v>SummerUnoccupied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Schedules!$F$76:$AC$76</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4-2069-4AAF-A939-1333810922FF}"/>
            </c:ext>
          </c:extLst>
        </c:ser>
        <c:dLbls>
          <c:showLegendKey val="0"/>
          <c:showVal val="0"/>
          <c:showCatName val="0"/>
          <c:showSerName val="0"/>
          <c:showPercent val="0"/>
          <c:showBubbleSize val="0"/>
        </c:dLbls>
        <c:smooth val="0"/>
        <c:axId val="899360496"/>
        <c:axId val="533950672"/>
      </c:lineChart>
      <c:catAx>
        <c:axId val="899360496"/>
        <c:scaling>
          <c:orientation val="minMax"/>
        </c:scaling>
        <c:delete val="0"/>
        <c:axPos val="b"/>
        <c:numFmt formatCode="General" sourceLinked="1"/>
        <c:majorTickMark val="out"/>
        <c:minorTickMark val="none"/>
        <c:tickLblPos val="nextTo"/>
        <c:crossAx val="533950672"/>
        <c:crosses val="autoZero"/>
        <c:auto val="1"/>
        <c:lblAlgn val="ctr"/>
        <c:lblOffset val="100"/>
        <c:noMultiLvlLbl val="0"/>
      </c:catAx>
      <c:valAx>
        <c:axId val="533950672"/>
        <c:scaling>
          <c:orientation val="minMax"/>
          <c:max val="1"/>
          <c:min val="0"/>
        </c:scaling>
        <c:delete val="0"/>
        <c:axPos val="l"/>
        <c:majorGridlines/>
        <c:numFmt formatCode="0.00" sourceLinked="1"/>
        <c:majorTickMark val="out"/>
        <c:minorTickMark val="none"/>
        <c:tickLblPos val="nextTo"/>
        <c:crossAx val="899360496"/>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Refrigeration</a:t>
            </a:r>
          </a:p>
        </c:rich>
      </c:tx>
      <c:overlay val="0"/>
    </c:title>
    <c:autoTitleDeleted val="0"/>
    <c:plotArea>
      <c:layout/>
      <c:lineChart>
        <c:grouping val="standard"/>
        <c:varyColors val="0"/>
        <c:ser>
          <c:idx val="0"/>
          <c:order val="0"/>
          <c:tx>
            <c:strRef>
              <c:f>Schedules!$E$77</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Schedules!$F$77:$AC$77</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1-B125-4611-A908-D5BFB09D6982}"/>
            </c:ext>
          </c:extLst>
        </c:ser>
        <c:ser>
          <c:idx val="1"/>
          <c:order val="1"/>
          <c:tx>
            <c:strRef>
              <c:f>Schedules!$E$78</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Schedules!$F$78:$AC$78</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2-B125-4611-A908-D5BFB09D6982}"/>
            </c:ext>
          </c:extLst>
        </c:ser>
        <c:ser>
          <c:idx val="2"/>
          <c:order val="2"/>
          <c:tx>
            <c:strRef>
              <c:f>Schedules!$E$79</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Schedules!$F$79:$AC$79</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3-B125-4611-A908-D5BFB09D6982}"/>
            </c:ext>
          </c:extLst>
        </c:ser>
        <c:ser>
          <c:idx val="3"/>
          <c:order val="3"/>
          <c:tx>
            <c:strRef>
              <c:f>Schedules!$E$80</c:f>
              <c:strCache>
                <c:ptCount val="1"/>
                <c:pt idx="0">
                  <c:v>SummerUnoccupied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Schedules!$F$80:$AC$80</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4-B125-4611-A908-D5BFB09D6982}"/>
            </c:ext>
          </c:extLst>
        </c:ser>
        <c:dLbls>
          <c:showLegendKey val="0"/>
          <c:showVal val="0"/>
          <c:showCatName val="0"/>
          <c:showSerName val="0"/>
          <c:showPercent val="0"/>
          <c:showBubbleSize val="0"/>
        </c:dLbls>
        <c:smooth val="0"/>
        <c:axId val="899381376"/>
        <c:axId val="533981872"/>
      </c:lineChart>
      <c:catAx>
        <c:axId val="899381376"/>
        <c:scaling>
          <c:orientation val="minMax"/>
        </c:scaling>
        <c:delete val="0"/>
        <c:axPos val="b"/>
        <c:numFmt formatCode="General" sourceLinked="1"/>
        <c:majorTickMark val="out"/>
        <c:minorTickMark val="none"/>
        <c:tickLblPos val="nextTo"/>
        <c:crossAx val="533981872"/>
        <c:crosses val="autoZero"/>
        <c:auto val="1"/>
        <c:lblAlgn val="ctr"/>
        <c:lblOffset val="100"/>
        <c:noMultiLvlLbl val="0"/>
      </c:catAx>
      <c:valAx>
        <c:axId val="533981872"/>
        <c:scaling>
          <c:orientation val="minMax"/>
          <c:max val="1"/>
          <c:min val="0"/>
        </c:scaling>
        <c:delete val="0"/>
        <c:axPos val="l"/>
        <c:majorGridlines/>
        <c:numFmt formatCode="0.00" sourceLinked="1"/>
        <c:majorTickMark val="out"/>
        <c:minorTickMark val="none"/>
        <c:tickLblPos val="nextTo"/>
        <c:crossAx val="899381376"/>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GasEquipment</a:t>
            </a:r>
          </a:p>
        </c:rich>
      </c:tx>
      <c:overlay val="0"/>
    </c:title>
    <c:autoTitleDeleted val="0"/>
    <c:plotArea>
      <c:layout/>
      <c:lineChart>
        <c:grouping val="standard"/>
        <c:varyColors val="0"/>
        <c:ser>
          <c:idx val="0"/>
          <c:order val="0"/>
          <c:tx>
            <c:strRef>
              <c:f>Schedules!$E$81</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Schedules!$F$81:$AC$81</c:f>
              <c:numCache>
                <c:formatCode>0.00</c:formatCode>
                <c:ptCount val="24"/>
                <c:pt idx="0">
                  <c:v>0</c:v>
                </c:pt>
                <c:pt idx="1">
                  <c:v>0</c:v>
                </c:pt>
                <c:pt idx="2">
                  <c:v>0</c:v>
                </c:pt>
                <c:pt idx="3">
                  <c:v>0</c:v>
                </c:pt>
                <c:pt idx="4">
                  <c:v>0</c:v>
                </c:pt>
                <c:pt idx="5">
                  <c:v>0</c:v>
                </c:pt>
                <c:pt idx="6">
                  <c:v>0</c:v>
                </c:pt>
                <c:pt idx="7">
                  <c:v>0.5</c:v>
                </c:pt>
                <c:pt idx="8">
                  <c:v>0.5</c:v>
                </c:pt>
                <c:pt idx="9">
                  <c:v>0.75</c:v>
                </c:pt>
                <c:pt idx="10">
                  <c:v>0.9</c:v>
                </c:pt>
                <c:pt idx="11">
                  <c:v>0.9</c:v>
                </c:pt>
                <c:pt idx="12">
                  <c:v>0.9</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CB44-4E23-8EAA-B361B373BD43}"/>
            </c:ext>
          </c:extLst>
        </c:ser>
        <c:ser>
          <c:idx val="1"/>
          <c:order val="1"/>
          <c:tx>
            <c:strRef>
              <c:f>Schedules!$E$82</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Schedules!$F$82:$AC$82</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CB44-4E23-8EAA-B361B373BD43}"/>
            </c:ext>
          </c:extLst>
        </c:ser>
        <c:ser>
          <c:idx val="2"/>
          <c:order val="2"/>
          <c:tx>
            <c:strRef>
              <c:f>Schedules!$E$83</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Schedules!$F$83:$AC$83</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3-CB44-4E23-8EAA-B361B373BD43}"/>
            </c:ext>
          </c:extLst>
        </c:ser>
        <c:ser>
          <c:idx val="3"/>
          <c:order val="3"/>
          <c:tx>
            <c:strRef>
              <c:f>Schedules!$E$84</c:f>
              <c:strCache>
                <c:ptCount val="1"/>
                <c:pt idx="0">
                  <c:v>SummerUnoccupied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Schedules!$F$84:$AC$84</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4-CB44-4E23-8EAA-B361B373BD43}"/>
            </c:ext>
          </c:extLst>
        </c:ser>
        <c:dLbls>
          <c:showLegendKey val="0"/>
          <c:showVal val="0"/>
          <c:showCatName val="0"/>
          <c:showSerName val="0"/>
          <c:showPercent val="0"/>
          <c:showBubbleSize val="0"/>
        </c:dLbls>
        <c:smooth val="0"/>
        <c:axId val="899376272"/>
        <c:axId val="533752432"/>
      </c:lineChart>
      <c:catAx>
        <c:axId val="899376272"/>
        <c:scaling>
          <c:orientation val="minMax"/>
        </c:scaling>
        <c:delete val="0"/>
        <c:axPos val="b"/>
        <c:numFmt formatCode="General" sourceLinked="1"/>
        <c:majorTickMark val="out"/>
        <c:minorTickMark val="none"/>
        <c:tickLblPos val="nextTo"/>
        <c:crossAx val="533752432"/>
        <c:crosses val="autoZero"/>
        <c:auto val="1"/>
        <c:lblAlgn val="ctr"/>
        <c:lblOffset val="100"/>
        <c:noMultiLvlLbl val="0"/>
      </c:catAx>
      <c:valAx>
        <c:axId val="533752432"/>
        <c:scaling>
          <c:orientation val="minMax"/>
          <c:max val="1"/>
          <c:min val="0"/>
        </c:scaling>
        <c:delete val="0"/>
        <c:axPos val="l"/>
        <c:majorGridlines/>
        <c:numFmt formatCode="0.00" sourceLinked="1"/>
        <c:majorTickMark val="out"/>
        <c:minorTickMark val="none"/>
        <c:tickLblPos val="nextTo"/>
        <c:crossAx val="899376272"/>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ServiceHotWater</a:t>
            </a:r>
          </a:p>
        </c:rich>
      </c:tx>
      <c:overlay val="0"/>
    </c:title>
    <c:autoTitleDeleted val="0"/>
    <c:plotArea>
      <c:layout/>
      <c:lineChart>
        <c:grouping val="standard"/>
        <c:varyColors val="0"/>
        <c:ser>
          <c:idx val="0"/>
          <c:order val="0"/>
          <c:tx>
            <c:strRef>
              <c:f>Schedules!$E$85</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Schedules!$F$85:$AC$85</c:f>
              <c:numCache>
                <c:formatCode>0.00</c:formatCode>
                <c:ptCount val="24"/>
                <c:pt idx="0">
                  <c:v>0.05</c:v>
                </c:pt>
                <c:pt idx="1">
                  <c:v>0.05</c:v>
                </c:pt>
                <c:pt idx="2">
                  <c:v>0.05</c:v>
                </c:pt>
                <c:pt idx="3">
                  <c:v>0.05</c:v>
                </c:pt>
                <c:pt idx="4">
                  <c:v>0.05</c:v>
                </c:pt>
                <c:pt idx="5">
                  <c:v>0.05</c:v>
                </c:pt>
                <c:pt idx="6">
                  <c:v>0.05</c:v>
                </c:pt>
                <c:pt idx="7">
                  <c:v>0.1</c:v>
                </c:pt>
                <c:pt idx="8">
                  <c:v>0.34</c:v>
                </c:pt>
                <c:pt idx="9">
                  <c:v>0.6</c:v>
                </c:pt>
                <c:pt idx="10">
                  <c:v>0.63</c:v>
                </c:pt>
                <c:pt idx="11">
                  <c:v>0.72</c:v>
                </c:pt>
                <c:pt idx="12">
                  <c:v>0.79</c:v>
                </c:pt>
                <c:pt idx="13">
                  <c:v>0.83</c:v>
                </c:pt>
                <c:pt idx="14">
                  <c:v>0.61</c:v>
                </c:pt>
                <c:pt idx="15">
                  <c:v>0.65</c:v>
                </c:pt>
                <c:pt idx="16">
                  <c:v>0.1</c:v>
                </c:pt>
                <c:pt idx="17">
                  <c:v>0.1</c:v>
                </c:pt>
                <c:pt idx="18">
                  <c:v>0.19</c:v>
                </c:pt>
                <c:pt idx="19">
                  <c:v>0.25</c:v>
                </c:pt>
                <c:pt idx="20">
                  <c:v>0.22</c:v>
                </c:pt>
                <c:pt idx="21">
                  <c:v>0.22</c:v>
                </c:pt>
                <c:pt idx="22">
                  <c:v>0.12</c:v>
                </c:pt>
                <c:pt idx="23">
                  <c:v>0.09</c:v>
                </c:pt>
              </c:numCache>
            </c:numRef>
          </c:val>
          <c:smooth val="0"/>
          <c:extLst>
            <c:ext xmlns:c16="http://schemas.microsoft.com/office/drawing/2014/chart" uri="{C3380CC4-5D6E-409C-BE32-E72D297353CC}">
              <c16:uniqueId val="{00000001-5113-4926-8EAF-457CCB3909E1}"/>
            </c:ext>
          </c:extLst>
        </c:ser>
        <c:ser>
          <c:idx val="1"/>
          <c:order val="1"/>
          <c:tx>
            <c:strRef>
              <c:f>Schedules!$E$86</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Schedules!$F$86:$AC$86</c:f>
              <c:numCache>
                <c:formatCode>0.00</c:formatCode>
                <c:ptCount val="24"/>
                <c:pt idx="0">
                  <c:v>0.03</c:v>
                </c:pt>
                <c:pt idx="1">
                  <c:v>0.03</c:v>
                </c:pt>
                <c:pt idx="2">
                  <c:v>0.03</c:v>
                </c:pt>
                <c:pt idx="3">
                  <c:v>0.03</c:v>
                </c:pt>
                <c:pt idx="4">
                  <c:v>0.03</c:v>
                </c:pt>
                <c:pt idx="5">
                  <c:v>0.03</c:v>
                </c:pt>
                <c:pt idx="6">
                  <c:v>0.03</c:v>
                </c:pt>
                <c:pt idx="7">
                  <c:v>0.03</c:v>
                </c:pt>
                <c:pt idx="8">
                  <c:v>0.03</c:v>
                </c:pt>
                <c:pt idx="9">
                  <c:v>0.03</c:v>
                </c:pt>
                <c:pt idx="10">
                  <c:v>0.03</c:v>
                </c:pt>
                <c:pt idx="11">
                  <c:v>0.03</c:v>
                </c:pt>
                <c:pt idx="12">
                  <c:v>0.03</c:v>
                </c:pt>
                <c:pt idx="13">
                  <c:v>0.03</c:v>
                </c:pt>
                <c:pt idx="14">
                  <c:v>0.03</c:v>
                </c:pt>
                <c:pt idx="15">
                  <c:v>0.03</c:v>
                </c:pt>
                <c:pt idx="16">
                  <c:v>0.03</c:v>
                </c:pt>
                <c:pt idx="17">
                  <c:v>0.03</c:v>
                </c:pt>
                <c:pt idx="18">
                  <c:v>0.03</c:v>
                </c:pt>
                <c:pt idx="19">
                  <c:v>0.03</c:v>
                </c:pt>
                <c:pt idx="20">
                  <c:v>0.03</c:v>
                </c:pt>
                <c:pt idx="21">
                  <c:v>0.03</c:v>
                </c:pt>
                <c:pt idx="22">
                  <c:v>0.03</c:v>
                </c:pt>
                <c:pt idx="23">
                  <c:v>0.03</c:v>
                </c:pt>
              </c:numCache>
            </c:numRef>
          </c:val>
          <c:smooth val="0"/>
          <c:extLst>
            <c:ext xmlns:c16="http://schemas.microsoft.com/office/drawing/2014/chart" uri="{C3380CC4-5D6E-409C-BE32-E72D297353CC}">
              <c16:uniqueId val="{00000002-5113-4926-8EAF-457CCB3909E1}"/>
            </c:ext>
          </c:extLst>
        </c:ser>
        <c:ser>
          <c:idx val="2"/>
          <c:order val="2"/>
          <c:tx>
            <c:strRef>
              <c:f>Schedules!$E$87</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Schedules!$F$87:$AC$87</c:f>
              <c:numCache>
                <c:formatCode>0.00</c:formatCode>
                <c:ptCount val="24"/>
                <c:pt idx="0">
                  <c:v>0.03</c:v>
                </c:pt>
                <c:pt idx="1">
                  <c:v>0.03</c:v>
                </c:pt>
                <c:pt idx="2">
                  <c:v>0.03</c:v>
                </c:pt>
                <c:pt idx="3">
                  <c:v>0.03</c:v>
                </c:pt>
                <c:pt idx="4">
                  <c:v>0.03</c:v>
                </c:pt>
                <c:pt idx="5">
                  <c:v>0.03</c:v>
                </c:pt>
                <c:pt idx="6">
                  <c:v>0.03</c:v>
                </c:pt>
                <c:pt idx="7">
                  <c:v>0.03</c:v>
                </c:pt>
                <c:pt idx="8">
                  <c:v>0.03</c:v>
                </c:pt>
                <c:pt idx="9">
                  <c:v>0.03</c:v>
                </c:pt>
                <c:pt idx="10">
                  <c:v>0.03</c:v>
                </c:pt>
                <c:pt idx="11">
                  <c:v>0.03</c:v>
                </c:pt>
                <c:pt idx="12">
                  <c:v>0.03</c:v>
                </c:pt>
                <c:pt idx="13">
                  <c:v>0.03</c:v>
                </c:pt>
                <c:pt idx="14">
                  <c:v>0.03</c:v>
                </c:pt>
                <c:pt idx="15">
                  <c:v>0.03</c:v>
                </c:pt>
                <c:pt idx="16">
                  <c:v>0.03</c:v>
                </c:pt>
                <c:pt idx="17">
                  <c:v>0.03</c:v>
                </c:pt>
                <c:pt idx="18">
                  <c:v>0.03</c:v>
                </c:pt>
                <c:pt idx="19">
                  <c:v>0.03</c:v>
                </c:pt>
                <c:pt idx="20">
                  <c:v>0.03</c:v>
                </c:pt>
                <c:pt idx="21">
                  <c:v>0.03</c:v>
                </c:pt>
                <c:pt idx="22">
                  <c:v>0.03</c:v>
                </c:pt>
                <c:pt idx="23">
                  <c:v>0.03</c:v>
                </c:pt>
              </c:numCache>
            </c:numRef>
          </c:val>
          <c:smooth val="0"/>
          <c:extLst>
            <c:ext xmlns:c16="http://schemas.microsoft.com/office/drawing/2014/chart" uri="{C3380CC4-5D6E-409C-BE32-E72D297353CC}">
              <c16:uniqueId val="{00000003-5113-4926-8EAF-457CCB3909E1}"/>
            </c:ext>
          </c:extLst>
        </c:ser>
        <c:ser>
          <c:idx val="3"/>
          <c:order val="3"/>
          <c:tx>
            <c:strRef>
              <c:f>Schedules!$E$88</c:f>
              <c:strCache>
                <c:ptCount val="1"/>
                <c:pt idx="0">
                  <c:v>SummerUnoccupied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Schedules!$F$88:$AC$88</c:f>
              <c:numCache>
                <c:formatCode>0.00</c:formatCode>
                <c:ptCount val="24"/>
                <c:pt idx="0">
                  <c:v>0.03</c:v>
                </c:pt>
                <c:pt idx="1">
                  <c:v>0.03</c:v>
                </c:pt>
                <c:pt idx="2">
                  <c:v>0.03</c:v>
                </c:pt>
                <c:pt idx="3">
                  <c:v>0.03</c:v>
                </c:pt>
                <c:pt idx="4">
                  <c:v>0.03</c:v>
                </c:pt>
                <c:pt idx="5">
                  <c:v>0.03</c:v>
                </c:pt>
                <c:pt idx="6">
                  <c:v>0.03</c:v>
                </c:pt>
                <c:pt idx="7">
                  <c:v>0.03</c:v>
                </c:pt>
                <c:pt idx="8">
                  <c:v>0.03</c:v>
                </c:pt>
                <c:pt idx="9">
                  <c:v>0.03</c:v>
                </c:pt>
                <c:pt idx="10">
                  <c:v>0.03</c:v>
                </c:pt>
                <c:pt idx="11">
                  <c:v>0.03</c:v>
                </c:pt>
                <c:pt idx="12">
                  <c:v>0.03</c:v>
                </c:pt>
                <c:pt idx="13">
                  <c:v>0.03</c:v>
                </c:pt>
                <c:pt idx="14">
                  <c:v>0.03</c:v>
                </c:pt>
                <c:pt idx="15">
                  <c:v>0.03</c:v>
                </c:pt>
                <c:pt idx="16">
                  <c:v>0.03</c:v>
                </c:pt>
                <c:pt idx="17">
                  <c:v>0.03</c:v>
                </c:pt>
                <c:pt idx="18">
                  <c:v>0.03</c:v>
                </c:pt>
                <c:pt idx="19">
                  <c:v>0.03</c:v>
                </c:pt>
                <c:pt idx="20">
                  <c:v>0.03</c:v>
                </c:pt>
                <c:pt idx="21">
                  <c:v>0.03</c:v>
                </c:pt>
                <c:pt idx="22">
                  <c:v>0.03</c:v>
                </c:pt>
                <c:pt idx="23">
                  <c:v>0.03</c:v>
                </c:pt>
              </c:numCache>
            </c:numRef>
          </c:val>
          <c:smooth val="0"/>
          <c:extLst>
            <c:ext xmlns:c16="http://schemas.microsoft.com/office/drawing/2014/chart" uri="{C3380CC4-5D6E-409C-BE32-E72D297353CC}">
              <c16:uniqueId val="{00000004-5113-4926-8EAF-457CCB3909E1}"/>
            </c:ext>
          </c:extLst>
        </c:ser>
        <c:dLbls>
          <c:showLegendKey val="0"/>
          <c:showVal val="0"/>
          <c:showCatName val="0"/>
          <c:showSerName val="0"/>
          <c:showPercent val="0"/>
          <c:showBubbleSize val="0"/>
        </c:dLbls>
        <c:smooth val="0"/>
        <c:axId val="899391584"/>
        <c:axId val="533789392"/>
      </c:lineChart>
      <c:catAx>
        <c:axId val="899391584"/>
        <c:scaling>
          <c:orientation val="minMax"/>
        </c:scaling>
        <c:delete val="0"/>
        <c:axPos val="b"/>
        <c:numFmt formatCode="General" sourceLinked="1"/>
        <c:majorTickMark val="out"/>
        <c:minorTickMark val="none"/>
        <c:tickLblPos val="nextTo"/>
        <c:crossAx val="533789392"/>
        <c:crosses val="autoZero"/>
        <c:auto val="1"/>
        <c:lblAlgn val="ctr"/>
        <c:lblOffset val="100"/>
        <c:noMultiLvlLbl val="0"/>
      </c:catAx>
      <c:valAx>
        <c:axId val="533789392"/>
        <c:scaling>
          <c:orientation val="minMax"/>
          <c:max val="1"/>
          <c:min val="0"/>
        </c:scaling>
        <c:delete val="0"/>
        <c:axPos val="l"/>
        <c:majorGridlines/>
        <c:numFmt formatCode="0.00" sourceLinked="1"/>
        <c:majorTickMark val="out"/>
        <c:minorTickMark val="none"/>
        <c:tickLblPos val="nextTo"/>
        <c:crossAx val="899391584"/>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Occupancy</a:t>
            </a:r>
          </a:p>
        </c:rich>
      </c:tx>
      <c:overlay val="0"/>
    </c:title>
    <c:autoTitleDeleted val="0"/>
    <c:plotArea>
      <c:layout/>
      <c:lineChart>
        <c:grouping val="standard"/>
        <c:varyColors val="0"/>
        <c:ser>
          <c:idx val="0"/>
          <c:order val="0"/>
          <c:tx>
            <c:strRef>
              <c:f>Schedules!$E$90</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Schedules!$F$90:$AC$90</c:f>
              <c:numCache>
                <c:formatCode>0.00</c:formatCode>
                <c:ptCount val="24"/>
                <c:pt idx="0">
                  <c:v>0</c:v>
                </c:pt>
                <c:pt idx="1">
                  <c:v>0</c:v>
                </c:pt>
                <c:pt idx="2">
                  <c:v>0</c:v>
                </c:pt>
                <c:pt idx="3">
                  <c:v>0</c:v>
                </c:pt>
                <c:pt idx="4">
                  <c:v>0</c:v>
                </c:pt>
                <c:pt idx="5">
                  <c:v>0</c:v>
                </c:pt>
                <c:pt idx="6">
                  <c:v>0</c:v>
                </c:pt>
                <c:pt idx="7">
                  <c:v>0.25</c:v>
                </c:pt>
                <c:pt idx="8">
                  <c:v>0.01</c:v>
                </c:pt>
                <c:pt idx="9">
                  <c:v>0.01</c:v>
                </c:pt>
                <c:pt idx="10">
                  <c:v>0.01</c:v>
                </c:pt>
                <c:pt idx="11">
                  <c:v>0.01</c:v>
                </c:pt>
                <c:pt idx="12">
                  <c:v>0.01</c:v>
                </c:pt>
                <c:pt idx="13">
                  <c:v>0.5</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F067-43D6-804F-A9D3150B280C}"/>
            </c:ext>
          </c:extLst>
        </c:ser>
        <c:ser>
          <c:idx val="1"/>
          <c:order val="1"/>
          <c:tx>
            <c:strRef>
              <c:f>Schedules!$E$91</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Schedules!$F$91:$AC$91</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F067-43D6-804F-A9D3150B280C}"/>
            </c:ext>
          </c:extLst>
        </c:ser>
        <c:ser>
          <c:idx val="2"/>
          <c:order val="2"/>
          <c:tx>
            <c:strRef>
              <c:f>Schedules!$E$92</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Schedules!$F$92:$AC$92</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3-F067-43D6-804F-A9D3150B280C}"/>
            </c:ext>
          </c:extLst>
        </c:ser>
        <c:ser>
          <c:idx val="3"/>
          <c:order val="3"/>
          <c:tx>
            <c:strRef>
              <c:f>Schedules!$E$93</c:f>
              <c:strCache>
                <c:ptCount val="1"/>
                <c:pt idx="0">
                  <c:v>SummerUnoccupied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Schedules!$F$93:$AC$93</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4-F067-43D6-804F-A9D3150B280C}"/>
            </c:ext>
          </c:extLst>
        </c:ser>
        <c:dLbls>
          <c:showLegendKey val="0"/>
          <c:showVal val="0"/>
          <c:showCatName val="0"/>
          <c:showSerName val="0"/>
          <c:showPercent val="0"/>
          <c:showBubbleSize val="0"/>
        </c:dLbls>
        <c:smooth val="0"/>
        <c:axId val="899410608"/>
        <c:axId val="533821072"/>
      </c:lineChart>
      <c:catAx>
        <c:axId val="899410608"/>
        <c:scaling>
          <c:orientation val="minMax"/>
        </c:scaling>
        <c:delete val="0"/>
        <c:axPos val="b"/>
        <c:numFmt formatCode="General" sourceLinked="1"/>
        <c:majorTickMark val="out"/>
        <c:minorTickMark val="none"/>
        <c:tickLblPos val="nextTo"/>
        <c:crossAx val="533821072"/>
        <c:crosses val="autoZero"/>
        <c:auto val="1"/>
        <c:lblAlgn val="ctr"/>
        <c:lblOffset val="100"/>
        <c:noMultiLvlLbl val="0"/>
      </c:catAx>
      <c:valAx>
        <c:axId val="533821072"/>
        <c:scaling>
          <c:orientation val="minMax"/>
          <c:max val="1"/>
          <c:min val="0"/>
        </c:scaling>
        <c:delete val="0"/>
        <c:axPos val="l"/>
        <c:majorGridlines/>
        <c:numFmt formatCode="0.00" sourceLinked="1"/>
        <c:majorTickMark val="out"/>
        <c:minorTickMark val="none"/>
        <c:tickLblPos val="nextTo"/>
        <c:crossAx val="899410608"/>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HVACAvail</a:t>
            </a:r>
          </a:p>
        </c:rich>
      </c:tx>
      <c:overlay val="0"/>
    </c:title>
    <c:autoTitleDeleted val="0"/>
    <c:plotArea>
      <c:layout/>
      <c:lineChart>
        <c:grouping val="standard"/>
        <c:varyColors val="0"/>
        <c:ser>
          <c:idx val="0"/>
          <c:order val="0"/>
          <c:tx>
            <c:strRef>
              <c:f>Schedules!$E$94</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Schedules!$F$94:$AC$94</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4D71-4AA0-B503-6D7A7B4B7A92}"/>
            </c:ext>
          </c:extLst>
        </c:ser>
        <c:ser>
          <c:idx val="1"/>
          <c:order val="1"/>
          <c:tx>
            <c:strRef>
              <c:f>Schedules!$E$95</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Schedules!$F$95:$AC$95</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4D71-4AA0-B503-6D7A7B4B7A92}"/>
            </c:ext>
          </c:extLst>
        </c:ser>
        <c:ser>
          <c:idx val="2"/>
          <c:order val="2"/>
          <c:tx>
            <c:strRef>
              <c:f>Schedules!$E$96</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Schedules!$F$96:$AC$96</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3-4D71-4AA0-B503-6D7A7B4B7A92}"/>
            </c:ext>
          </c:extLst>
        </c:ser>
        <c:ser>
          <c:idx val="3"/>
          <c:order val="3"/>
          <c:tx>
            <c:strRef>
              <c:f>Schedules!$E$97</c:f>
              <c:strCache>
                <c:ptCount val="1"/>
                <c:pt idx="0">
                  <c:v>SummerUnoccupied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Schedules!$F$97:$AC$97</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4-4D71-4AA0-B503-6D7A7B4B7A92}"/>
            </c:ext>
          </c:extLst>
        </c:ser>
        <c:dLbls>
          <c:showLegendKey val="0"/>
          <c:showVal val="0"/>
          <c:showCatName val="0"/>
          <c:showSerName val="0"/>
          <c:showPercent val="0"/>
          <c:showBubbleSize val="0"/>
        </c:dLbls>
        <c:smooth val="0"/>
        <c:axId val="899424064"/>
        <c:axId val="533841232"/>
      </c:lineChart>
      <c:catAx>
        <c:axId val="899424064"/>
        <c:scaling>
          <c:orientation val="minMax"/>
        </c:scaling>
        <c:delete val="0"/>
        <c:axPos val="b"/>
        <c:numFmt formatCode="General" sourceLinked="1"/>
        <c:majorTickMark val="out"/>
        <c:minorTickMark val="none"/>
        <c:tickLblPos val="nextTo"/>
        <c:crossAx val="533841232"/>
        <c:crosses val="autoZero"/>
        <c:auto val="1"/>
        <c:lblAlgn val="ctr"/>
        <c:lblOffset val="100"/>
        <c:noMultiLvlLbl val="0"/>
      </c:catAx>
      <c:valAx>
        <c:axId val="533841232"/>
        <c:scaling>
          <c:orientation val="minMax"/>
          <c:max val="1"/>
          <c:min val="0"/>
        </c:scaling>
        <c:delete val="0"/>
        <c:axPos val="l"/>
        <c:majorGridlines/>
        <c:numFmt formatCode="0.00" sourceLinked="1"/>
        <c:majorTickMark val="out"/>
        <c:minorTickMark val="none"/>
        <c:tickLblPos val="nextTo"/>
        <c:crossAx val="899424064"/>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Lights</a:t>
            </a:r>
          </a:p>
        </c:rich>
      </c:tx>
      <c:overlay val="0"/>
    </c:title>
    <c:autoTitleDeleted val="0"/>
    <c:plotArea>
      <c:layout/>
      <c:lineChart>
        <c:grouping val="standard"/>
        <c:varyColors val="0"/>
        <c:ser>
          <c:idx val="0"/>
          <c:order val="0"/>
          <c:tx>
            <c:strRef>
              <c:f>Schedules!$E$98</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Schedules!$F$98:$AC$98</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BCC5-4A41-95FD-FE84C2E45B45}"/>
            </c:ext>
          </c:extLst>
        </c:ser>
        <c:ser>
          <c:idx val="1"/>
          <c:order val="1"/>
          <c:tx>
            <c:strRef>
              <c:f>Schedules!$E$99</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Schedules!$F$99:$AC$99</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BCC5-4A41-95FD-FE84C2E45B45}"/>
            </c:ext>
          </c:extLst>
        </c:ser>
        <c:ser>
          <c:idx val="2"/>
          <c:order val="2"/>
          <c:tx>
            <c:strRef>
              <c:f>Schedules!$E$100</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Schedules!$F$100:$AC$100</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3-BCC5-4A41-95FD-FE84C2E45B45}"/>
            </c:ext>
          </c:extLst>
        </c:ser>
        <c:ser>
          <c:idx val="3"/>
          <c:order val="3"/>
          <c:tx>
            <c:strRef>
              <c:f>Schedules!$E$101</c:f>
              <c:strCache>
                <c:ptCount val="1"/>
                <c:pt idx="0">
                  <c:v>SummerUnoccupied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Schedules!$F$101:$AC$101</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4-BCC5-4A41-95FD-FE84C2E45B45}"/>
            </c:ext>
          </c:extLst>
        </c:ser>
        <c:dLbls>
          <c:showLegendKey val="0"/>
          <c:showVal val="0"/>
          <c:showCatName val="0"/>
          <c:showSerName val="0"/>
          <c:showPercent val="0"/>
          <c:showBubbleSize val="0"/>
        </c:dLbls>
        <c:smooth val="0"/>
        <c:axId val="899174432"/>
        <c:axId val="533901712"/>
      </c:lineChart>
      <c:catAx>
        <c:axId val="899174432"/>
        <c:scaling>
          <c:orientation val="minMax"/>
        </c:scaling>
        <c:delete val="0"/>
        <c:axPos val="b"/>
        <c:numFmt formatCode="General" sourceLinked="1"/>
        <c:majorTickMark val="out"/>
        <c:minorTickMark val="none"/>
        <c:tickLblPos val="nextTo"/>
        <c:crossAx val="533901712"/>
        <c:crosses val="autoZero"/>
        <c:auto val="1"/>
        <c:lblAlgn val="ctr"/>
        <c:lblOffset val="100"/>
        <c:noMultiLvlLbl val="0"/>
      </c:catAx>
      <c:valAx>
        <c:axId val="533901712"/>
        <c:scaling>
          <c:orientation val="minMax"/>
          <c:max val="1"/>
          <c:min val="0"/>
        </c:scaling>
        <c:delete val="0"/>
        <c:axPos val="l"/>
        <c:majorGridlines/>
        <c:numFmt formatCode="0.00" sourceLinked="1"/>
        <c:majorTickMark val="out"/>
        <c:minorTickMark val="none"/>
        <c:tickLblPos val="nextTo"/>
        <c:crossAx val="899174432"/>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ElecEquipment</a:t>
            </a:r>
          </a:p>
        </c:rich>
      </c:tx>
      <c:overlay val="0"/>
    </c:title>
    <c:autoTitleDeleted val="0"/>
    <c:plotArea>
      <c:layout/>
      <c:lineChart>
        <c:grouping val="standard"/>
        <c:varyColors val="0"/>
        <c:ser>
          <c:idx val="0"/>
          <c:order val="0"/>
          <c:tx>
            <c:strRef>
              <c:f>Schedules!$E$102</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Schedules!$F$102:$AC$102</c:f>
              <c:numCache>
                <c:formatCode>0.00</c:formatCode>
                <c:ptCount val="24"/>
                <c:pt idx="0">
                  <c:v>0.05</c:v>
                </c:pt>
                <c:pt idx="1">
                  <c:v>0.05</c:v>
                </c:pt>
                <c:pt idx="2">
                  <c:v>0.05</c:v>
                </c:pt>
                <c:pt idx="3">
                  <c:v>0.05</c:v>
                </c:pt>
                <c:pt idx="4">
                  <c:v>0.05</c:v>
                </c:pt>
                <c:pt idx="5">
                  <c:v>0.05</c:v>
                </c:pt>
                <c:pt idx="6">
                  <c:v>0.05</c:v>
                </c:pt>
                <c:pt idx="7">
                  <c:v>0.5</c:v>
                </c:pt>
                <c:pt idx="8">
                  <c:v>0.05</c:v>
                </c:pt>
                <c:pt idx="9">
                  <c:v>0.05</c:v>
                </c:pt>
                <c:pt idx="10">
                  <c:v>0.05</c:v>
                </c:pt>
                <c:pt idx="11">
                  <c:v>0.05</c:v>
                </c:pt>
                <c:pt idx="12">
                  <c:v>0.05</c:v>
                </c:pt>
                <c:pt idx="13">
                  <c:v>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1-089B-4E42-9F5E-769E6824C0AC}"/>
            </c:ext>
          </c:extLst>
        </c:ser>
        <c:ser>
          <c:idx val="1"/>
          <c:order val="1"/>
          <c:tx>
            <c:strRef>
              <c:f>Schedules!$E$103</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Schedules!$F$103:$AC$103</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089B-4E42-9F5E-769E6824C0AC}"/>
            </c:ext>
          </c:extLst>
        </c:ser>
        <c:ser>
          <c:idx val="2"/>
          <c:order val="2"/>
          <c:tx>
            <c:strRef>
              <c:f>Schedules!$E$104</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Schedules!$F$104:$AC$104</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3-089B-4E42-9F5E-769E6824C0AC}"/>
            </c:ext>
          </c:extLst>
        </c:ser>
        <c:ser>
          <c:idx val="3"/>
          <c:order val="3"/>
          <c:tx>
            <c:strRef>
              <c:f>Schedules!$E$105</c:f>
              <c:strCache>
                <c:ptCount val="1"/>
                <c:pt idx="0">
                  <c:v>SummerUnoccupied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Schedules!$F$105:$AC$105</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4-089B-4E42-9F5E-769E6824C0AC}"/>
            </c:ext>
          </c:extLst>
        </c:ser>
        <c:dLbls>
          <c:showLegendKey val="0"/>
          <c:showVal val="0"/>
          <c:showCatName val="0"/>
          <c:showSerName val="0"/>
          <c:showPercent val="0"/>
          <c:showBubbleSize val="0"/>
        </c:dLbls>
        <c:smooth val="0"/>
        <c:axId val="899196704"/>
        <c:axId val="533922352"/>
      </c:lineChart>
      <c:catAx>
        <c:axId val="899196704"/>
        <c:scaling>
          <c:orientation val="minMax"/>
        </c:scaling>
        <c:delete val="0"/>
        <c:axPos val="b"/>
        <c:numFmt formatCode="General" sourceLinked="1"/>
        <c:majorTickMark val="out"/>
        <c:minorTickMark val="none"/>
        <c:tickLblPos val="nextTo"/>
        <c:crossAx val="533922352"/>
        <c:crosses val="autoZero"/>
        <c:auto val="1"/>
        <c:lblAlgn val="ctr"/>
        <c:lblOffset val="100"/>
        <c:noMultiLvlLbl val="0"/>
      </c:catAx>
      <c:valAx>
        <c:axId val="533922352"/>
        <c:scaling>
          <c:orientation val="minMax"/>
          <c:max val="1"/>
          <c:min val="0"/>
        </c:scaling>
        <c:delete val="0"/>
        <c:axPos val="l"/>
        <c:majorGridlines/>
        <c:numFmt formatCode="0.00" sourceLinked="1"/>
        <c:majorTickMark val="out"/>
        <c:minorTickMark val="none"/>
        <c:tickLblPos val="nextTo"/>
        <c:crossAx val="899196704"/>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HtgSetpt</a:t>
            </a:r>
          </a:p>
        </c:rich>
      </c:tx>
      <c:overlay val="0"/>
    </c:title>
    <c:autoTitleDeleted val="0"/>
    <c:plotArea>
      <c:layout/>
      <c:lineChart>
        <c:grouping val="standard"/>
        <c:varyColors val="0"/>
        <c:ser>
          <c:idx val="0"/>
          <c:order val="0"/>
          <c:tx>
            <c:strRef>
              <c:f>Schedules!$E$106</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Schedules!$F$106:$AC$106</c:f>
              <c:numCache>
                <c:formatCode>0</c:formatCode>
                <c:ptCount val="24"/>
                <c:pt idx="0">
                  <c:v>60</c:v>
                </c:pt>
                <c:pt idx="1">
                  <c:v>60</c:v>
                </c:pt>
                <c:pt idx="2">
                  <c:v>60</c:v>
                </c:pt>
                <c:pt idx="3">
                  <c:v>60</c:v>
                </c:pt>
                <c:pt idx="4">
                  <c:v>60</c:v>
                </c:pt>
                <c:pt idx="5">
                  <c:v>60</c:v>
                </c:pt>
                <c:pt idx="6">
                  <c:v>60</c:v>
                </c:pt>
                <c:pt idx="7">
                  <c:v>70</c:v>
                </c:pt>
                <c:pt idx="8">
                  <c:v>70</c:v>
                </c:pt>
                <c:pt idx="9">
                  <c:v>70</c:v>
                </c:pt>
                <c:pt idx="10">
                  <c:v>70</c:v>
                </c:pt>
                <c:pt idx="11">
                  <c:v>70</c:v>
                </c:pt>
                <c:pt idx="12">
                  <c:v>70</c:v>
                </c:pt>
                <c:pt idx="13">
                  <c:v>70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1-B4AE-4400-8B26-E3805CEBE34F}"/>
            </c:ext>
          </c:extLst>
        </c:ser>
        <c:ser>
          <c:idx val="1"/>
          <c:order val="1"/>
          <c:tx>
            <c:strRef>
              <c:f>Schedules!$E$107</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Schedules!$F$107:$AC$107</c:f>
              <c:numCache>
                <c:formatCode>0</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2-B4AE-4400-8B26-E3805CEBE34F}"/>
            </c:ext>
          </c:extLst>
        </c:ser>
        <c:ser>
          <c:idx val="2"/>
          <c:order val="2"/>
          <c:tx>
            <c:strRef>
              <c:f>Schedules!$E$108</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Schedules!$F$108:$AC$108</c:f>
              <c:numCache>
                <c:formatCode>0</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3-B4AE-4400-8B26-E3805CEBE34F}"/>
            </c:ext>
          </c:extLst>
        </c:ser>
        <c:ser>
          <c:idx val="3"/>
          <c:order val="3"/>
          <c:tx>
            <c:strRef>
              <c:f>Schedules!$E$109</c:f>
              <c:strCache>
                <c:ptCount val="1"/>
                <c:pt idx="0">
                  <c:v>SummerUnoccupied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Schedules!$F$109:$AC$109</c:f>
              <c:numCache>
                <c:formatCode>0</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4-B4AE-4400-8B26-E3805CEBE34F}"/>
            </c:ext>
          </c:extLst>
        </c:ser>
        <c:dLbls>
          <c:showLegendKey val="0"/>
          <c:showVal val="0"/>
          <c:showCatName val="0"/>
          <c:showSerName val="0"/>
          <c:showPercent val="0"/>
          <c:showBubbleSize val="0"/>
        </c:dLbls>
        <c:smooth val="0"/>
        <c:axId val="899212480"/>
        <c:axId val="533951632"/>
      </c:lineChart>
      <c:catAx>
        <c:axId val="899212480"/>
        <c:scaling>
          <c:orientation val="minMax"/>
        </c:scaling>
        <c:delete val="0"/>
        <c:axPos val="b"/>
        <c:numFmt formatCode="General" sourceLinked="1"/>
        <c:majorTickMark val="out"/>
        <c:minorTickMark val="none"/>
        <c:tickLblPos val="nextTo"/>
        <c:crossAx val="533951632"/>
        <c:crosses val="autoZero"/>
        <c:auto val="1"/>
        <c:lblAlgn val="ctr"/>
        <c:lblOffset val="100"/>
        <c:noMultiLvlLbl val="0"/>
      </c:catAx>
      <c:valAx>
        <c:axId val="533951632"/>
        <c:scaling>
          <c:orientation val="minMax"/>
          <c:max val="90"/>
          <c:min val="50"/>
        </c:scaling>
        <c:delete val="0"/>
        <c:axPos val="l"/>
        <c:majorGridlines/>
        <c:numFmt formatCode="0" sourceLinked="1"/>
        <c:majorTickMark val="out"/>
        <c:minorTickMark val="none"/>
        <c:tickLblPos val="nextTo"/>
        <c:crossAx val="899212480"/>
        <c:crosses val="autoZero"/>
        <c:crossBetween val="between"/>
        <c:majorUnit val="10"/>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ClgSetpt</a:t>
            </a:r>
          </a:p>
        </c:rich>
      </c:tx>
      <c:overlay val="0"/>
    </c:title>
    <c:autoTitleDeleted val="0"/>
    <c:plotArea>
      <c:layout/>
      <c:lineChart>
        <c:grouping val="standard"/>
        <c:varyColors val="0"/>
        <c:ser>
          <c:idx val="0"/>
          <c:order val="0"/>
          <c:tx>
            <c:strRef>
              <c:f>Schedules!$E$110</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Schedules!$F$110:$AC$110</c:f>
              <c:numCache>
                <c:formatCode>0</c:formatCode>
                <c:ptCount val="24"/>
                <c:pt idx="0">
                  <c:v>85</c:v>
                </c:pt>
                <c:pt idx="1">
                  <c:v>85</c:v>
                </c:pt>
                <c:pt idx="2">
                  <c:v>85</c:v>
                </c:pt>
                <c:pt idx="3">
                  <c:v>85</c:v>
                </c:pt>
                <c:pt idx="4">
                  <c:v>85</c:v>
                </c:pt>
                <c:pt idx="5">
                  <c:v>85</c:v>
                </c:pt>
                <c:pt idx="6">
                  <c:v>85</c:v>
                </c:pt>
                <c:pt idx="7">
                  <c:v>75</c:v>
                </c:pt>
                <c:pt idx="8">
                  <c:v>75</c:v>
                </c:pt>
                <c:pt idx="9">
                  <c:v>75</c:v>
                </c:pt>
                <c:pt idx="10">
                  <c:v>75</c:v>
                </c:pt>
                <c:pt idx="11">
                  <c:v>75</c:v>
                </c:pt>
                <c:pt idx="12">
                  <c:v>75</c:v>
                </c:pt>
                <c:pt idx="13">
                  <c:v>75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1-7B23-4263-A019-82720DF7433B}"/>
            </c:ext>
          </c:extLst>
        </c:ser>
        <c:ser>
          <c:idx val="1"/>
          <c:order val="1"/>
          <c:tx>
            <c:strRef>
              <c:f>Schedules!$E$111</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Schedules!$F$111:$AC$111</c:f>
              <c:numCache>
                <c:formatCode>0</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2-7B23-4263-A019-82720DF7433B}"/>
            </c:ext>
          </c:extLst>
        </c:ser>
        <c:ser>
          <c:idx val="2"/>
          <c:order val="2"/>
          <c:tx>
            <c:strRef>
              <c:f>Schedules!$E$112</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Schedules!$F$112:$AC$112</c:f>
              <c:numCache>
                <c:formatCode>0</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3-7B23-4263-A019-82720DF7433B}"/>
            </c:ext>
          </c:extLst>
        </c:ser>
        <c:ser>
          <c:idx val="3"/>
          <c:order val="3"/>
          <c:tx>
            <c:strRef>
              <c:f>Schedules!$E$113</c:f>
              <c:strCache>
                <c:ptCount val="1"/>
                <c:pt idx="0">
                  <c:v>SummerUnoccupied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Schedules!$F$113:$AC$113</c:f>
              <c:numCache>
                <c:formatCode>0</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4-7B23-4263-A019-82720DF7433B}"/>
            </c:ext>
          </c:extLst>
        </c:ser>
        <c:dLbls>
          <c:showLegendKey val="0"/>
          <c:showVal val="0"/>
          <c:showCatName val="0"/>
          <c:showSerName val="0"/>
          <c:showPercent val="0"/>
          <c:showBubbleSize val="0"/>
        </c:dLbls>
        <c:smooth val="0"/>
        <c:axId val="899227792"/>
        <c:axId val="533980912"/>
      </c:lineChart>
      <c:catAx>
        <c:axId val="899227792"/>
        <c:scaling>
          <c:orientation val="minMax"/>
        </c:scaling>
        <c:delete val="0"/>
        <c:axPos val="b"/>
        <c:numFmt formatCode="General" sourceLinked="1"/>
        <c:majorTickMark val="out"/>
        <c:minorTickMark val="none"/>
        <c:tickLblPos val="nextTo"/>
        <c:crossAx val="533980912"/>
        <c:crosses val="autoZero"/>
        <c:auto val="1"/>
        <c:lblAlgn val="ctr"/>
        <c:lblOffset val="100"/>
        <c:noMultiLvlLbl val="0"/>
      </c:catAx>
      <c:valAx>
        <c:axId val="533980912"/>
        <c:scaling>
          <c:orientation val="minMax"/>
          <c:max val="90"/>
          <c:min val="50"/>
        </c:scaling>
        <c:delete val="0"/>
        <c:axPos val="l"/>
        <c:majorGridlines/>
        <c:numFmt formatCode="0" sourceLinked="1"/>
        <c:majorTickMark val="out"/>
        <c:minorTickMark val="none"/>
        <c:tickLblPos val="nextTo"/>
        <c:crossAx val="899227792"/>
        <c:crosses val="autoZero"/>
        <c:crossBetween val="between"/>
        <c:majorUnit val="10"/>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OAControl</a:t>
            </a:r>
          </a:p>
        </c:rich>
      </c:tx>
      <c:overlay val="0"/>
    </c:title>
    <c:autoTitleDeleted val="0"/>
    <c:plotArea>
      <c:layout/>
      <c:lineChart>
        <c:grouping val="standard"/>
        <c:varyColors val="0"/>
        <c:ser>
          <c:idx val="0"/>
          <c:order val="0"/>
          <c:tx>
            <c:strRef>
              <c:f>Schedules!$E$114</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Schedules!$F$114:$AC$114</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CF7F-47E4-BEF6-2B34E345152B}"/>
            </c:ext>
          </c:extLst>
        </c:ser>
        <c:ser>
          <c:idx val="1"/>
          <c:order val="1"/>
          <c:tx>
            <c:strRef>
              <c:f>Schedules!$E$115</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Schedules!$F$115:$AC$115</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CF7F-47E4-BEF6-2B34E345152B}"/>
            </c:ext>
          </c:extLst>
        </c:ser>
        <c:ser>
          <c:idx val="2"/>
          <c:order val="2"/>
          <c:tx>
            <c:strRef>
              <c:f>Schedules!$E$116</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Schedules!$F$116:$AC$116</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3-CF7F-47E4-BEF6-2B34E345152B}"/>
            </c:ext>
          </c:extLst>
        </c:ser>
        <c:ser>
          <c:idx val="3"/>
          <c:order val="3"/>
          <c:tx>
            <c:strRef>
              <c:f>Schedules!$E$117</c:f>
              <c:strCache>
                <c:ptCount val="1"/>
                <c:pt idx="0">
                  <c:v>SummerUnoccupied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Schedules!$F$117:$AC$117</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4-CF7F-47E4-BEF6-2B34E345152B}"/>
            </c:ext>
          </c:extLst>
        </c:ser>
        <c:dLbls>
          <c:showLegendKey val="0"/>
          <c:showVal val="0"/>
          <c:showCatName val="0"/>
          <c:showSerName val="0"/>
          <c:showPercent val="0"/>
          <c:showBubbleSize val="0"/>
        </c:dLbls>
        <c:smooth val="0"/>
        <c:axId val="899247744"/>
        <c:axId val="533750512"/>
      </c:lineChart>
      <c:catAx>
        <c:axId val="899247744"/>
        <c:scaling>
          <c:orientation val="minMax"/>
        </c:scaling>
        <c:delete val="0"/>
        <c:axPos val="b"/>
        <c:numFmt formatCode="General" sourceLinked="1"/>
        <c:majorTickMark val="out"/>
        <c:minorTickMark val="none"/>
        <c:tickLblPos val="nextTo"/>
        <c:crossAx val="533750512"/>
        <c:crosses val="autoZero"/>
        <c:auto val="1"/>
        <c:lblAlgn val="ctr"/>
        <c:lblOffset val="100"/>
        <c:noMultiLvlLbl val="0"/>
      </c:catAx>
      <c:valAx>
        <c:axId val="533750512"/>
        <c:scaling>
          <c:orientation val="minMax"/>
          <c:max val="1"/>
          <c:min val="0"/>
        </c:scaling>
        <c:delete val="0"/>
        <c:axPos val="l"/>
        <c:majorGridlines/>
        <c:numFmt formatCode="0.00" sourceLinked="1"/>
        <c:majorTickMark val="out"/>
        <c:minorTickMark val="none"/>
        <c:tickLblPos val="nextTo"/>
        <c:crossAx val="899247744"/>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Infiltration</a:t>
            </a:r>
          </a:p>
        </c:rich>
      </c:tx>
      <c:overlay val="0"/>
    </c:title>
    <c:autoTitleDeleted val="0"/>
    <c:plotArea>
      <c:layout/>
      <c:lineChart>
        <c:grouping val="standard"/>
        <c:varyColors val="0"/>
        <c:ser>
          <c:idx val="0"/>
          <c:order val="0"/>
          <c:tx>
            <c:strRef>
              <c:f>Schedules!$E$118</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Schedules!$F$118:$AC$118</c:f>
              <c:numCache>
                <c:formatCode>0.00</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0.25</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C906-4F09-AABC-39F469701229}"/>
            </c:ext>
          </c:extLst>
        </c:ser>
        <c:ser>
          <c:idx val="1"/>
          <c:order val="1"/>
          <c:tx>
            <c:strRef>
              <c:f>Schedules!$E$119</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Schedules!$F$119:$AC$119</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C906-4F09-AABC-39F469701229}"/>
            </c:ext>
          </c:extLst>
        </c:ser>
        <c:ser>
          <c:idx val="2"/>
          <c:order val="2"/>
          <c:tx>
            <c:strRef>
              <c:f>Schedules!$E$120</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Schedules!$F$120:$AC$120</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3-C906-4F09-AABC-39F469701229}"/>
            </c:ext>
          </c:extLst>
        </c:ser>
        <c:ser>
          <c:idx val="3"/>
          <c:order val="3"/>
          <c:tx>
            <c:strRef>
              <c:f>Schedules!$E$121</c:f>
              <c:strCache>
                <c:ptCount val="1"/>
                <c:pt idx="0">
                  <c:v>SummerUnoccupied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Schedules!$F$121:$AC$121</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4-C906-4F09-AABC-39F469701229}"/>
            </c:ext>
          </c:extLst>
        </c:ser>
        <c:dLbls>
          <c:showLegendKey val="0"/>
          <c:showVal val="0"/>
          <c:showCatName val="0"/>
          <c:showSerName val="0"/>
          <c:showPercent val="0"/>
          <c:showBubbleSize val="0"/>
        </c:dLbls>
        <c:smooth val="0"/>
        <c:axId val="899263056"/>
        <c:axId val="533802352"/>
      </c:lineChart>
      <c:catAx>
        <c:axId val="899263056"/>
        <c:scaling>
          <c:orientation val="minMax"/>
        </c:scaling>
        <c:delete val="0"/>
        <c:axPos val="b"/>
        <c:numFmt formatCode="General" sourceLinked="1"/>
        <c:majorTickMark val="out"/>
        <c:minorTickMark val="none"/>
        <c:tickLblPos val="nextTo"/>
        <c:crossAx val="533802352"/>
        <c:crosses val="autoZero"/>
        <c:auto val="1"/>
        <c:lblAlgn val="ctr"/>
        <c:lblOffset val="100"/>
        <c:noMultiLvlLbl val="0"/>
      </c:catAx>
      <c:valAx>
        <c:axId val="533802352"/>
        <c:scaling>
          <c:orientation val="minMax"/>
          <c:max val="1"/>
          <c:min val="0"/>
        </c:scaling>
        <c:delete val="0"/>
        <c:axPos val="l"/>
        <c:majorGridlines/>
        <c:numFmt formatCode="0.00" sourceLinked="1"/>
        <c:majorTickMark val="out"/>
        <c:minorTickMark val="none"/>
        <c:tickLblPos val="nextTo"/>
        <c:crossAx val="899263056"/>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Refrigeration</a:t>
            </a:r>
          </a:p>
        </c:rich>
      </c:tx>
      <c:overlay val="0"/>
    </c:title>
    <c:autoTitleDeleted val="0"/>
    <c:plotArea>
      <c:layout/>
      <c:lineChart>
        <c:grouping val="standard"/>
        <c:varyColors val="0"/>
        <c:ser>
          <c:idx val="0"/>
          <c:order val="0"/>
          <c:tx>
            <c:strRef>
              <c:f>Schedules!$E$122</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Schedules!$F$122:$AC$122</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1-E69B-4D11-BB0F-2CFF1A7DB186}"/>
            </c:ext>
          </c:extLst>
        </c:ser>
        <c:ser>
          <c:idx val="1"/>
          <c:order val="1"/>
          <c:tx>
            <c:strRef>
              <c:f>Schedules!$E$123</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Schedules!$F$123:$AC$123</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2-E69B-4D11-BB0F-2CFF1A7DB186}"/>
            </c:ext>
          </c:extLst>
        </c:ser>
        <c:ser>
          <c:idx val="2"/>
          <c:order val="2"/>
          <c:tx>
            <c:strRef>
              <c:f>Schedules!$E$124</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Schedules!$F$124:$AC$124</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3-E69B-4D11-BB0F-2CFF1A7DB186}"/>
            </c:ext>
          </c:extLst>
        </c:ser>
        <c:ser>
          <c:idx val="3"/>
          <c:order val="3"/>
          <c:tx>
            <c:strRef>
              <c:f>Schedules!$E$125</c:f>
              <c:strCache>
                <c:ptCount val="1"/>
                <c:pt idx="0">
                  <c:v>SummerUnoccupied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Schedules!$F$125:$AC$125</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4-E69B-4D11-BB0F-2CFF1A7DB186}"/>
            </c:ext>
          </c:extLst>
        </c:ser>
        <c:dLbls>
          <c:showLegendKey val="0"/>
          <c:showVal val="0"/>
          <c:showCatName val="0"/>
          <c:showSerName val="0"/>
          <c:showPercent val="0"/>
          <c:showBubbleSize val="0"/>
        </c:dLbls>
        <c:smooth val="0"/>
        <c:axId val="899297392"/>
        <c:axId val="533831632"/>
      </c:lineChart>
      <c:catAx>
        <c:axId val="899297392"/>
        <c:scaling>
          <c:orientation val="minMax"/>
        </c:scaling>
        <c:delete val="0"/>
        <c:axPos val="b"/>
        <c:numFmt formatCode="General" sourceLinked="1"/>
        <c:majorTickMark val="out"/>
        <c:minorTickMark val="none"/>
        <c:tickLblPos val="nextTo"/>
        <c:crossAx val="533831632"/>
        <c:crosses val="autoZero"/>
        <c:auto val="1"/>
        <c:lblAlgn val="ctr"/>
        <c:lblOffset val="100"/>
        <c:noMultiLvlLbl val="0"/>
      </c:catAx>
      <c:valAx>
        <c:axId val="533831632"/>
        <c:scaling>
          <c:orientation val="minMax"/>
          <c:max val="1"/>
          <c:min val="0"/>
        </c:scaling>
        <c:delete val="0"/>
        <c:axPos val="l"/>
        <c:majorGridlines/>
        <c:numFmt formatCode="0.00" sourceLinked="1"/>
        <c:majorTickMark val="out"/>
        <c:minorTickMark val="none"/>
        <c:tickLblPos val="nextTo"/>
        <c:crossAx val="899297392"/>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ServiceHotWater</a:t>
            </a:r>
          </a:p>
        </c:rich>
      </c:tx>
      <c:overlay val="0"/>
    </c:title>
    <c:autoTitleDeleted val="0"/>
    <c:plotArea>
      <c:layout/>
      <c:lineChart>
        <c:grouping val="standard"/>
        <c:varyColors val="0"/>
        <c:ser>
          <c:idx val="0"/>
          <c:order val="0"/>
          <c:tx>
            <c:strRef>
              <c:f>Schedules!$E$126</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Schedules!$F$126:$AC$126</c:f>
              <c:numCache>
                <c:formatCode>0.00</c:formatCode>
                <c:ptCount val="24"/>
                <c:pt idx="0">
                  <c:v>0.05</c:v>
                </c:pt>
                <c:pt idx="1">
                  <c:v>0.05</c:v>
                </c:pt>
                <c:pt idx="2">
                  <c:v>0.05</c:v>
                </c:pt>
                <c:pt idx="3">
                  <c:v>0.05</c:v>
                </c:pt>
                <c:pt idx="4">
                  <c:v>0.05</c:v>
                </c:pt>
                <c:pt idx="5">
                  <c:v>0.05</c:v>
                </c:pt>
                <c:pt idx="6">
                  <c:v>0.05</c:v>
                </c:pt>
                <c:pt idx="7">
                  <c:v>0.1</c:v>
                </c:pt>
                <c:pt idx="8">
                  <c:v>0.34</c:v>
                </c:pt>
                <c:pt idx="9">
                  <c:v>0.6</c:v>
                </c:pt>
                <c:pt idx="10">
                  <c:v>0.63</c:v>
                </c:pt>
                <c:pt idx="11">
                  <c:v>0.72</c:v>
                </c:pt>
                <c:pt idx="12">
                  <c:v>0.79</c:v>
                </c:pt>
                <c:pt idx="13">
                  <c:v>0.83</c:v>
                </c:pt>
                <c:pt idx="14">
                  <c:v>0.61</c:v>
                </c:pt>
                <c:pt idx="15">
                  <c:v>0.65</c:v>
                </c:pt>
                <c:pt idx="16">
                  <c:v>0.1</c:v>
                </c:pt>
                <c:pt idx="17">
                  <c:v>0.1</c:v>
                </c:pt>
                <c:pt idx="18">
                  <c:v>0.19</c:v>
                </c:pt>
                <c:pt idx="19">
                  <c:v>0.25</c:v>
                </c:pt>
                <c:pt idx="20">
                  <c:v>0.22</c:v>
                </c:pt>
                <c:pt idx="21">
                  <c:v>0.22</c:v>
                </c:pt>
                <c:pt idx="22">
                  <c:v>0.12</c:v>
                </c:pt>
                <c:pt idx="23">
                  <c:v>0.09</c:v>
                </c:pt>
              </c:numCache>
            </c:numRef>
          </c:val>
          <c:smooth val="0"/>
          <c:extLst>
            <c:ext xmlns:c16="http://schemas.microsoft.com/office/drawing/2014/chart" uri="{C3380CC4-5D6E-409C-BE32-E72D297353CC}">
              <c16:uniqueId val="{00000001-4D13-4119-9832-6C3B41D0629A}"/>
            </c:ext>
          </c:extLst>
        </c:ser>
        <c:ser>
          <c:idx val="1"/>
          <c:order val="1"/>
          <c:tx>
            <c:strRef>
              <c:f>Schedules!$E$127</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Schedules!$F$127:$AC$127</c:f>
              <c:numCache>
                <c:formatCode>0.00</c:formatCode>
                <c:ptCount val="24"/>
                <c:pt idx="0">
                  <c:v>0.03</c:v>
                </c:pt>
                <c:pt idx="1">
                  <c:v>0.03</c:v>
                </c:pt>
                <c:pt idx="2">
                  <c:v>0.03</c:v>
                </c:pt>
                <c:pt idx="3">
                  <c:v>0.03</c:v>
                </c:pt>
                <c:pt idx="4">
                  <c:v>0.03</c:v>
                </c:pt>
                <c:pt idx="5">
                  <c:v>0.03</c:v>
                </c:pt>
                <c:pt idx="6">
                  <c:v>0.03</c:v>
                </c:pt>
                <c:pt idx="7">
                  <c:v>0.03</c:v>
                </c:pt>
                <c:pt idx="8">
                  <c:v>0.03</c:v>
                </c:pt>
                <c:pt idx="9">
                  <c:v>0.03</c:v>
                </c:pt>
                <c:pt idx="10">
                  <c:v>0.03</c:v>
                </c:pt>
                <c:pt idx="11">
                  <c:v>0.03</c:v>
                </c:pt>
                <c:pt idx="12">
                  <c:v>0.03</c:v>
                </c:pt>
                <c:pt idx="13">
                  <c:v>0.03</c:v>
                </c:pt>
                <c:pt idx="14">
                  <c:v>0.03</c:v>
                </c:pt>
                <c:pt idx="15">
                  <c:v>0.03</c:v>
                </c:pt>
                <c:pt idx="16">
                  <c:v>0.03</c:v>
                </c:pt>
                <c:pt idx="17">
                  <c:v>0.03</c:v>
                </c:pt>
                <c:pt idx="18">
                  <c:v>0.03</c:v>
                </c:pt>
                <c:pt idx="19">
                  <c:v>0.03</c:v>
                </c:pt>
                <c:pt idx="20">
                  <c:v>0.03</c:v>
                </c:pt>
                <c:pt idx="21">
                  <c:v>0.03</c:v>
                </c:pt>
                <c:pt idx="22">
                  <c:v>0.03</c:v>
                </c:pt>
                <c:pt idx="23">
                  <c:v>0.03</c:v>
                </c:pt>
              </c:numCache>
            </c:numRef>
          </c:val>
          <c:smooth val="0"/>
          <c:extLst>
            <c:ext xmlns:c16="http://schemas.microsoft.com/office/drawing/2014/chart" uri="{C3380CC4-5D6E-409C-BE32-E72D297353CC}">
              <c16:uniqueId val="{00000002-4D13-4119-9832-6C3B41D0629A}"/>
            </c:ext>
          </c:extLst>
        </c:ser>
        <c:ser>
          <c:idx val="2"/>
          <c:order val="2"/>
          <c:tx>
            <c:strRef>
              <c:f>Schedules!$E$128</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Schedules!$F$128:$AC$128</c:f>
              <c:numCache>
                <c:formatCode>0.00</c:formatCode>
                <c:ptCount val="24"/>
                <c:pt idx="0">
                  <c:v>0.03</c:v>
                </c:pt>
                <c:pt idx="1">
                  <c:v>0.03</c:v>
                </c:pt>
                <c:pt idx="2">
                  <c:v>0.03</c:v>
                </c:pt>
                <c:pt idx="3">
                  <c:v>0.03</c:v>
                </c:pt>
                <c:pt idx="4">
                  <c:v>0.03</c:v>
                </c:pt>
                <c:pt idx="5">
                  <c:v>0.03</c:v>
                </c:pt>
                <c:pt idx="6">
                  <c:v>0.03</c:v>
                </c:pt>
                <c:pt idx="7">
                  <c:v>0.03</c:v>
                </c:pt>
                <c:pt idx="8">
                  <c:v>0.03</c:v>
                </c:pt>
                <c:pt idx="9">
                  <c:v>0.03</c:v>
                </c:pt>
                <c:pt idx="10">
                  <c:v>0.03</c:v>
                </c:pt>
                <c:pt idx="11">
                  <c:v>0.03</c:v>
                </c:pt>
                <c:pt idx="12">
                  <c:v>0.03</c:v>
                </c:pt>
                <c:pt idx="13">
                  <c:v>0.03</c:v>
                </c:pt>
                <c:pt idx="14">
                  <c:v>0.03</c:v>
                </c:pt>
                <c:pt idx="15">
                  <c:v>0.03</c:v>
                </c:pt>
                <c:pt idx="16">
                  <c:v>0.03</c:v>
                </c:pt>
                <c:pt idx="17">
                  <c:v>0.03</c:v>
                </c:pt>
                <c:pt idx="18">
                  <c:v>0.03</c:v>
                </c:pt>
                <c:pt idx="19">
                  <c:v>0.03</c:v>
                </c:pt>
                <c:pt idx="20">
                  <c:v>0.03</c:v>
                </c:pt>
                <c:pt idx="21">
                  <c:v>0.03</c:v>
                </c:pt>
                <c:pt idx="22">
                  <c:v>0.03</c:v>
                </c:pt>
                <c:pt idx="23">
                  <c:v>0.03</c:v>
                </c:pt>
              </c:numCache>
            </c:numRef>
          </c:val>
          <c:smooth val="0"/>
          <c:extLst>
            <c:ext xmlns:c16="http://schemas.microsoft.com/office/drawing/2014/chart" uri="{C3380CC4-5D6E-409C-BE32-E72D297353CC}">
              <c16:uniqueId val="{00000003-4D13-4119-9832-6C3B41D0629A}"/>
            </c:ext>
          </c:extLst>
        </c:ser>
        <c:ser>
          <c:idx val="3"/>
          <c:order val="3"/>
          <c:tx>
            <c:strRef>
              <c:f>Schedules!$E$129</c:f>
              <c:strCache>
                <c:ptCount val="1"/>
                <c:pt idx="0">
                  <c:v>SummerUnoccupied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Schedules!$F$129:$AC$129</c:f>
              <c:numCache>
                <c:formatCode>0.00</c:formatCode>
                <c:ptCount val="24"/>
                <c:pt idx="0">
                  <c:v>0.03</c:v>
                </c:pt>
                <c:pt idx="1">
                  <c:v>0.03</c:v>
                </c:pt>
                <c:pt idx="2">
                  <c:v>0.03</c:v>
                </c:pt>
                <c:pt idx="3">
                  <c:v>0.03</c:v>
                </c:pt>
                <c:pt idx="4">
                  <c:v>0.03</c:v>
                </c:pt>
                <c:pt idx="5">
                  <c:v>0.03</c:v>
                </c:pt>
                <c:pt idx="6">
                  <c:v>0.03</c:v>
                </c:pt>
                <c:pt idx="7">
                  <c:v>0.03</c:v>
                </c:pt>
                <c:pt idx="8">
                  <c:v>0.03</c:v>
                </c:pt>
                <c:pt idx="9">
                  <c:v>0.03</c:v>
                </c:pt>
                <c:pt idx="10">
                  <c:v>0.03</c:v>
                </c:pt>
                <c:pt idx="11">
                  <c:v>0.03</c:v>
                </c:pt>
                <c:pt idx="12">
                  <c:v>0.03</c:v>
                </c:pt>
                <c:pt idx="13">
                  <c:v>0.03</c:v>
                </c:pt>
                <c:pt idx="14">
                  <c:v>0.03</c:v>
                </c:pt>
                <c:pt idx="15">
                  <c:v>0.03</c:v>
                </c:pt>
                <c:pt idx="16">
                  <c:v>0.03</c:v>
                </c:pt>
                <c:pt idx="17">
                  <c:v>0.03</c:v>
                </c:pt>
                <c:pt idx="18">
                  <c:v>0.03</c:v>
                </c:pt>
                <c:pt idx="19">
                  <c:v>0.03</c:v>
                </c:pt>
                <c:pt idx="20">
                  <c:v>0.03</c:v>
                </c:pt>
                <c:pt idx="21">
                  <c:v>0.03</c:v>
                </c:pt>
                <c:pt idx="22">
                  <c:v>0.03</c:v>
                </c:pt>
                <c:pt idx="23">
                  <c:v>0.03</c:v>
                </c:pt>
              </c:numCache>
            </c:numRef>
          </c:val>
          <c:smooth val="0"/>
          <c:extLst>
            <c:ext xmlns:c16="http://schemas.microsoft.com/office/drawing/2014/chart" uri="{C3380CC4-5D6E-409C-BE32-E72D297353CC}">
              <c16:uniqueId val="{00000004-4D13-4119-9832-6C3B41D0629A}"/>
            </c:ext>
          </c:extLst>
        </c:ser>
        <c:dLbls>
          <c:showLegendKey val="0"/>
          <c:showVal val="0"/>
          <c:showCatName val="0"/>
          <c:showSerName val="0"/>
          <c:showPercent val="0"/>
          <c:showBubbleSize val="0"/>
        </c:dLbls>
        <c:smooth val="0"/>
        <c:axId val="899300176"/>
        <c:axId val="533864752"/>
      </c:lineChart>
      <c:catAx>
        <c:axId val="899300176"/>
        <c:scaling>
          <c:orientation val="minMax"/>
        </c:scaling>
        <c:delete val="0"/>
        <c:axPos val="b"/>
        <c:numFmt formatCode="General" sourceLinked="1"/>
        <c:majorTickMark val="out"/>
        <c:minorTickMark val="none"/>
        <c:tickLblPos val="nextTo"/>
        <c:crossAx val="533864752"/>
        <c:crosses val="autoZero"/>
        <c:auto val="1"/>
        <c:lblAlgn val="ctr"/>
        <c:lblOffset val="100"/>
        <c:noMultiLvlLbl val="0"/>
      </c:catAx>
      <c:valAx>
        <c:axId val="533864752"/>
        <c:scaling>
          <c:orientation val="minMax"/>
          <c:max val="1"/>
          <c:min val="0"/>
        </c:scaling>
        <c:delete val="0"/>
        <c:axPos val="l"/>
        <c:majorGridlines/>
        <c:numFmt formatCode="0.00" sourceLinked="1"/>
        <c:majorTickMark val="out"/>
        <c:minorTickMark val="none"/>
        <c:tickLblPos val="nextTo"/>
        <c:crossAx val="899300176"/>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Occupancy</a:t>
            </a:r>
          </a:p>
        </c:rich>
      </c:tx>
      <c:overlay val="0"/>
    </c:title>
    <c:autoTitleDeleted val="0"/>
    <c:plotArea>
      <c:layout/>
      <c:lineChart>
        <c:grouping val="standard"/>
        <c:varyColors val="0"/>
        <c:ser>
          <c:idx val="0"/>
          <c:order val="0"/>
          <c:tx>
            <c:strRef>
              <c:f>Schedules!$E$131</c:f>
              <c:strCache>
                <c:ptCount val="1"/>
                <c:pt idx="0">
                  <c:v>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Schedules!$F$131:$AC$131</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3E6A-451F-AF10-C93A67F64F35}"/>
            </c:ext>
          </c:extLst>
        </c:ser>
        <c:ser>
          <c:idx val="1"/>
          <c:order val="1"/>
          <c:tx>
            <c:strRef>
              <c:f>Schedules!$E$132</c:f>
              <c:strCache>
                <c:ptCount val="1"/>
                <c:pt idx="0">
                  <c:v>Practice-WD-Winter</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Schedules!$F$132:$AC$132</c:f>
              <c:numCache>
                <c:formatCode>0.00</c:formatCode>
                <c:ptCount val="24"/>
                <c:pt idx="0">
                  <c:v>0</c:v>
                </c:pt>
                <c:pt idx="1">
                  <c:v>0</c:v>
                </c:pt>
                <c:pt idx="2">
                  <c:v>0</c:v>
                </c:pt>
                <c:pt idx="3">
                  <c:v>0</c:v>
                </c:pt>
                <c:pt idx="4">
                  <c:v>0</c:v>
                </c:pt>
                <c:pt idx="5">
                  <c:v>0</c:v>
                </c:pt>
                <c:pt idx="6">
                  <c:v>0.01</c:v>
                </c:pt>
                <c:pt idx="7">
                  <c:v>0.25</c:v>
                </c:pt>
                <c:pt idx="8">
                  <c:v>0.25</c:v>
                </c:pt>
                <c:pt idx="9">
                  <c:v>0.25</c:v>
                </c:pt>
                <c:pt idx="10">
                  <c:v>0.25</c:v>
                </c:pt>
                <c:pt idx="11">
                  <c:v>0.25</c:v>
                </c:pt>
                <c:pt idx="12">
                  <c:v>0.02</c:v>
                </c:pt>
                <c:pt idx="13">
                  <c:v>0.25</c:v>
                </c:pt>
                <c:pt idx="14">
                  <c:v>0.25</c:v>
                </c:pt>
                <c:pt idx="15">
                  <c:v>0.25</c:v>
                </c:pt>
                <c:pt idx="16">
                  <c:v>0.25</c:v>
                </c:pt>
                <c:pt idx="17">
                  <c:v>0.25</c:v>
                </c:pt>
                <c:pt idx="18">
                  <c:v>0.25</c:v>
                </c:pt>
                <c:pt idx="19">
                  <c:v>0.25</c:v>
                </c:pt>
                <c:pt idx="20">
                  <c:v>0.01</c:v>
                </c:pt>
                <c:pt idx="21">
                  <c:v>0</c:v>
                </c:pt>
                <c:pt idx="22">
                  <c:v>0</c:v>
                </c:pt>
                <c:pt idx="23">
                  <c:v>0</c:v>
                </c:pt>
              </c:numCache>
            </c:numRef>
          </c:val>
          <c:smooth val="0"/>
          <c:extLst>
            <c:ext xmlns:c16="http://schemas.microsoft.com/office/drawing/2014/chart" uri="{C3380CC4-5D6E-409C-BE32-E72D297353CC}">
              <c16:uniqueId val="{00000002-3E6A-451F-AF10-C93A67F64F35}"/>
            </c:ext>
          </c:extLst>
        </c:ser>
        <c:ser>
          <c:idx val="2"/>
          <c:order val="2"/>
          <c:tx>
            <c:strRef>
              <c:f>Schedules!$E$133</c:f>
              <c:strCache>
                <c:ptCount val="1"/>
                <c:pt idx="0">
                  <c:v>Practice-WD-Fall&amp;Spring</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Schedules!$F$133:$AC$133</c:f>
              <c:numCache>
                <c:formatCode>0.00</c:formatCode>
                <c:ptCount val="24"/>
                <c:pt idx="0">
                  <c:v>0</c:v>
                </c:pt>
                <c:pt idx="1">
                  <c:v>0</c:v>
                </c:pt>
                <c:pt idx="2">
                  <c:v>0</c:v>
                </c:pt>
                <c:pt idx="3">
                  <c:v>0</c:v>
                </c:pt>
                <c:pt idx="4">
                  <c:v>0</c:v>
                </c:pt>
                <c:pt idx="5">
                  <c:v>0</c:v>
                </c:pt>
                <c:pt idx="6">
                  <c:v>0.01</c:v>
                </c:pt>
                <c:pt idx="7">
                  <c:v>0.125</c:v>
                </c:pt>
                <c:pt idx="8">
                  <c:v>0.125</c:v>
                </c:pt>
                <c:pt idx="9">
                  <c:v>0.125</c:v>
                </c:pt>
                <c:pt idx="10">
                  <c:v>0.125</c:v>
                </c:pt>
                <c:pt idx="11">
                  <c:v>0.125</c:v>
                </c:pt>
                <c:pt idx="12">
                  <c:v>0.02</c:v>
                </c:pt>
                <c:pt idx="13">
                  <c:v>0.125</c:v>
                </c:pt>
                <c:pt idx="14">
                  <c:v>0.125</c:v>
                </c:pt>
                <c:pt idx="15">
                  <c:v>0.125</c:v>
                </c:pt>
                <c:pt idx="16">
                  <c:v>0.125</c:v>
                </c:pt>
                <c:pt idx="17">
                  <c:v>0.125</c:v>
                </c:pt>
                <c:pt idx="18">
                  <c:v>0.125</c:v>
                </c:pt>
                <c:pt idx="19">
                  <c:v>0.125</c:v>
                </c:pt>
                <c:pt idx="20">
                  <c:v>0.01</c:v>
                </c:pt>
                <c:pt idx="21">
                  <c:v>0</c:v>
                </c:pt>
                <c:pt idx="22">
                  <c:v>0</c:v>
                </c:pt>
                <c:pt idx="23">
                  <c:v>0</c:v>
                </c:pt>
              </c:numCache>
            </c:numRef>
          </c:val>
          <c:smooth val="0"/>
          <c:extLst>
            <c:ext xmlns:c16="http://schemas.microsoft.com/office/drawing/2014/chart" uri="{C3380CC4-5D6E-409C-BE32-E72D297353CC}">
              <c16:uniqueId val="{00000003-3E6A-451F-AF10-C93A67F64F35}"/>
            </c:ext>
          </c:extLst>
        </c:ser>
        <c:ser>
          <c:idx val="3"/>
          <c:order val="3"/>
          <c:tx>
            <c:strRef>
              <c:f>Schedules!$E$134</c:f>
              <c:strCache>
                <c:ptCount val="1"/>
                <c:pt idx="0">
                  <c:v>Game-WD-Winter</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Schedules!$F$134:$AC$134</c:f>
              <c:numCache>
                <c:formatCode>0.00</c:formatCode>
                <c:ptCount val="24"/>
                <c:pt idx="0">
                  <c:v>0</c:v>
                </c:pt>
                <c:pt idx="1">
                  <c:v>0</c:v>
                </c:pt>
                <c:pt idx="2">
                  <c:v>0</c:v>
                </c:pt>
                <c:pt idx="3">
                  <c:v>0</c:v>
                </c:pt>
                <c:pt idx="4">
                  <c:v>0</c:v>
                </c:pt>
                <c:pt idx="5">
                  <c:v>0</c:v>
                </c:pt>
                <c:pt idx="6">
                  <c:v>0</c:v>
                </c:pt>
                <c:pt idx="7">
                  <c:v>3.7499999999999999E-2</c:v>
                </c:pt>
                <c:pt idx="8">
                  <c:v>0.25</c:v>
                </c:pt>
                <c:pt idx="9">
                  <c:v>0.25</c:v>
                </c:pt>
                <c:pt idx="10">
                  <c:v>0.25</c:v>
                </c:pt>
                <c:pt idx="11">
                  <c:v>0.25</c:v>
                </c:pt>
                <c:pt idx="12">
                  <c:v>0.02</c:v>
                </c:pt>
                <c:pt idx="13">
                  <c:v>0.25</c:v>
                </c:pt>
                <c:pt idx="14">
                  <c:v>0.25</c:v>
                </c:pt>
                <c:pt idx="15">
                  <c:v>0.01</c:v>
                </c:pt>
                <c:pt idx="16">
                  <c:v>0.01</c:v>
                </c:pt>
                <c:pt idx="17">
                  <c:v>0.05</c:v>
                </c:pt>
                <c:pt idx="18">
                  <c:v>0.5</c:v>
                </c:pt>
                <c:pt idx="19">
                  <c:v>0.5</c:v>
                </c:pt>
                <c:pt idx="20">
                  <c:v>0.95</c:v>
                </c:pt>
                <c:pt idx="21">
                  <c:v>0.95</c:v>
                </c:pt>
                <c:pt idx="22">
                  <c:v>0.05</c:v>
                </c:pt>
                <c:pt idx="23">
                  <c:v>0</c:v>
                </c:pt>
              </c:numCache>
            </c:numRef>
          </c:val>
          <c:smooth val="0"/>
          <c:extLst>
            <c:ext xmlns:c16="http://schemas.microsoft.com/office/drawing/2014/chart" uri="{C3380CC4-5D6E-409C-BE32-E72D297353CC}">
              <c16:uniqueId val="{00000004-3E6A-451F-AF10-C93A67F64F35}"/>
            </c:ext>
          </c:extLst>
        </c:ser>
        <c:ser>
          <c:idx val="4"/>
          <c:order val="4"/>
          <c:tx>
            <c:strRef>
              <c:f>Schedules!$E$135</c:f>
              <c:strCache>
                <c:ptCount val="1"/>
                <c:pt idx="0">
                  <c:v>Game-WD-Fall&amp;Spring</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Schedules!$F$135:$AC$135</c:f>
              <c:numCache>
                <c:formatCode>0.00</c:formatCode>
                <c:ptCount val="24"/>
                <c:pt idx="0">
                  <c:v>0</c:v>
                </c:pt>
                <c:pt idx="1">
                  <c:v>0</c:v>
                </c:pt>
                <c:pt idx="2">
                  <c:v>0</c:v>
                </c:pt>
                <c:pt idx="3">
                  <c:v>0</c:v>
                </c:pt>
                <c:pt idx="4">
                  <c:v>0</c:v>
                </c:pt>
                <c:pt idx="5">
                  <c:v>0</c:v>
                </c:pt>
                <c:pt idx="6">
                  <c:v>0</c:v>
                </c:pt>
                <c:pt idx="7">
                  <c:v>1.8749999999999999E-2</c:v>
                </c:pt>
                <c:pt idx="8">
                  <c:v>0.125</c:v>
                </c:pt>
                <c:pt idx="9">
                  <c:v>0.125</c:v>
                </c:pt>
                <c:pt idx="10">
                  <c:v>0.125</c:v>
                </c:pt>
                <c:pt idx="11">
                  <c:v>0.125</c:v>
                </c:pt>
                <c:pt idx="12">
                  <c:v>0.02</c:v>
                </c:pt>
                <c:pt idx="13">
                  <c:v>0.125</c:v>
                </c:pt>
                <c:pt idx="14">
                  <c:v>0.125</c:v>
                </c:pt>
                <c:pt idx="15">
                  <c:v>0.01</c:v>
                </c:pt>
                <c:pt idx="16">
                  <c:v>0.01</c:v>
                </c:pt>
                <c:pt idx="17">
                  <c:v>2.5000000000000001E-2</c:v>
                </c:pt>
                <c:pt idx="18">
                  <c:v>0.25</c:v>
                </c:pt>
                <c:pt idx="19">
                  <c:v>0.25</c:v>
                </c:pt>
                <c:pt idx="20">
                  <c:v>0.5</c:v>
                </c:pt>
                <c:pt idx="21">
                  <c:v>0.5</c:v>
                </c:pt>
                <c:pt idx="22">
                  <c:v>2.5000000000000001E-2</c:v>
                </c:pt>
                <c:pt idx="23">
                  <c:v>0</c:v>
                </c:pt>
              </c:numCache>
            </c:numRef>
          </c:val>
          <c:smooth val="0"/>
          <c:extLst>
            <c:ext xmlns:c16="http://schemas.microsoft.com/office/drawing/2014/chart" uri="{C3380CC4-5D6E-409C-BE32-E72D297353CC}">
              <c16:uniqueId val="{00000005-3E6A-451F-AF10-C93A67F64F35}"/>
            </c:ext>
          </c:extLst>
        </c:ser>
        <c:ser>
          <c:idx val="5"/>
          <c:order val="5"/>
          <c:tx>
            <c:strRef>
              <c:f>Schedules!$E$136</c:f>
              <c:strCache>
                <c:ptCount val="1"/>
                <c:pt idx="0">
                  <c:v>All-WE-Winter</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Schedules!$F$136:$AC$136</c:f>
              <c:numCache>
                <c:formatCode>0.00</c:formatCode>
                <c:ptCount val="24"/>
                <c:pt idx="0">
                  <c:v>0</c:v>
                </c:pt>
                <c:pt idx="1">
                  <c:v>0</c:v>
                </c:pt>
                <c:pt idx="2">
                  <c:v>0</c:v>
                </c:pt>
                <c:pt idx="3">
                  <c:v>0</c:v>
                </c:pt>
                <c:pt idx="4">
                  <c:v>0</c:v>
                </c:pt>
                <c:pt idx="5">
                  <c:v>0</c:v>
                </c:pt>
                <c:pt idx="6">
                  <c:v>0</c:v>
                </c:pt>
                <c:pt idx="7">
                  <c:v>0.05</c:v>
                </c:pt>
                <c:pt idx="8">
                  <c:v>0.95</c:v>
                </c:pt>
                <c:pt idx="9">
                  <c:v>0.95</c:v>
                </c:pt>
                <c:pt idx="10">
                  <c:v>0.95</c:v>
                </c:pt>
                <c:pt idx="11">
                  <c:v>0.95</c:v>
                </c:pt>
                <c:pt idx="12">
                  <c:v>0.95</c:v>
                </c:pt>
                <c:pt idx="13">
                  <c:v>0.95</c:v>
                </c:pt>
                <c:pt idx="14">
                  <c:v>0.05</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6-3E6A-451F-AF10-C93A67F64F35}"/>
            </c:ext>
          </c:extLst>
        </c:ser>
        <c:ser>
          <c:idx val="6"/>
          <c:order val="6"/>
          <c:tx>
            <c:strRef>
              <c:f>Schedules!$E$137</c:f>
              <c:strCache>
                <c:ptCount val="1"/>
                <c:pt idx="0">
                  <c:v>All-WE-Fall&amp;Spring</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Schedules!$F$137:$AC$137</c:f>
              <c:numCache>
                <c:formatCode>0.00</c:formatCode>
                <c:ptCount val="24"/>
                <c:pt idx="0">
                  <c:v>0</c:v>
                </c:pt>
                <c:pt idx="1">
                  <c:v>0</c:v>
                </c:pt>
                <c:pt idx="2">
                  <c:v>0</c:v>
                </c:pt>
                <c:pt idx="3">
                  <c:v>0</c:v>
                </c:pt>
                <c:pt idx="4">
                  <c:v>0</c:v>
                </c:pt>
                <c:pt idx="5">
                  <c:v>0</c:v>
                </c:pt>
                <c:pt idx="6">
                  <c:v>0</c:v>
                </c:pt>
                <c:pt idx="7">
                  <c:v>2.5000000000000001E-2</c:v>
                </c:pt>
                <c:pt idx="8">
                  <c:v>0.5</c:v>
                </c:pt>
                <c:pt idx="9">
                  <c:v>0.5</c:v>
                </c:pt>
                <c:pt idx="10">
                  <c:v>0.5</c:v>
                </c:pt>
                <c:pt idx="11">
                  <c:v>0.5</c:v>
                </c:pt>
                <c:pt idx="12">
                  <c:v>0.5</c:v>
                </c:pt>
                <c:pt idx="13">
                  <c:v>0.5</c:v>
                </c:pt>
                <c:pt idx="14">
                  <c:v>2.5000000000000001E-2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7-3E6A-451F-AF10-C93A67F64F35}"/>
            </c:ext>
          </c:extLst>
        </c:ser>
        <c:ser>
          <c:idx val="7"/>
          <c:order val="7"/>
          <c:tx>
            <c:strRef>
              <c:f>Schedules!$E$138</c:f>
              <c:strCache>
                <c:ptCount val="1"/>
                <c:pt idx="0">
                  <c:v>SummerCamp</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Schedules!$F$138:$AC$138</c:f>
              <c:numCache>
                <c:formatCode>0.00</c:formatCode>
                <c:ptCount val="24"/>
                <c:pt idx="0">
                  <c:v>0</c:v>
                </c:pt>
                <c:pt idx="1">
                  <c:v>0</c:v>
                </c:pt>
                <c:pt idx="2">
                  <c:v>0</c:v>
                </c:pt>
                <c:pt idx="3">
                  <c:v>0</c:v>
                </c:pt>
                <c:pt idx="4">
                  <c:v>0</c:v>
                </c:pt>
                <c:pt idx="5">
                  <c:v>0</c:v>
                </c:pt>
                <c:pt idx="6">
                  <c:v>0</c:v>
                </c:pt>
                <c:pt idx="7">
                  <c:v>0.05</c:v>
                </c:pt>
                <c:pt idx="8">
                  <c:v>0.3</c:v>
                </c:pt>
                <c:pt idx="9">
                  <c:v>0.3</c:v>
                </c:pt>
                <c:pt idx="10">
                  <c:v>0.3</c:v>
                </c:pt>
                <c:pt idx="11">
                  <c:v>0.3</c:v>
                </c:pt>
                <c:pt idx="12">
                  <c:v>0.3</c:v>
                </c:pt>
                <c:pt idx="13">
                  <c:v>0.3</c:v>
                </c:pt>
                <c:pt idx="14">
                  <c:v>0.3</c:v>
                </c:pt>
                <c:pt idx="15">
                  <c:v>0.3</c:v>
                </c:pt>
                <c:pt idx="16">
                  <c:v>0.3</c:v>
                </c:pt>
                <c:pt idx="17">
                  <c:v>0.05</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8-3E6A-451F-AF10-C93A67F64F35}"/>
            </c:ext>
          </c:extLst>
        </c:ser>
        <c:dLbls>
          <c:showLegendKey val="0"/>
          <c:showVal val="0"/>
          <c:showCatName val="0"/>
          <c:showSerName val="0"/>
          <c:showPercent val="0"/>
          <c:showBubbleSize val="0"/>
        </c:dLbls>
        <c:smooth val="0"/>
        <c:axId val="899343328"/>
        <c:axId val="533978032"/>
      </c:lineChart>
      <c:catAx>
        <c:axId val="899343328"/>
        <c:scaling>
          <c:orientation val="minMax"/>
        </c:scaling>
        <c:delete val="0"/>
        <c:axPos val="b"/>
        <c:numFmt formatCode="General" sourceLinked="1"/>
        <c:majorTickMark val="out"/>
        <c:minorTickMark val="none"/>
        <c:tickLblPos val="nextTo"/>
        <c:crossAx val="533978032"/>
        <c:crosses val="autoZero"/>
        <c:auto val="1"/>
        <c:lblAlgn val="ctr"/>
        <c:lblOffset val="100"/>
        <c:noMultiLvlLbl val="0"/>
      </c:catAx>
      <c:valAx>
        <c:axId val="533978032"/>
        <c:scaling>
          <c:orientation val="minMax"/>
          <c:max val="1"/>
          <c:min val="0"/>
        </c:scaling>
        <c:delete val="0"/>
        <c:axPos val="l"/>
        <c:majorGridlines/>
        <c:numFmt formatCode="0.00" sourceLinked="1"/>
        <c:majorTickMark val="out"/>
        <c:minorTickMark val="none"/>
        <c:tickLblPos val="nextTo"/>
        <c:crossAx val="899343328"/>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HVACAvail</a:t>
            </a:r>
          </a:p>
        </c:rich>
      </c:tx>
      <c:overlay val="0"/>
    </c:title>
    <c:autoTitleDeleted val="0"/>
    <c:plotArea>
      <c:layout/>
      <c:lineChart>
        <c:grouping val="standard"/>
        <c:varyColors val="0"/>
        <c:ser>
          <c:idx val="0"/>
          <c:order val="0"/>
          <c:tx>
            <c:strRef>
              <c:f>Schedules!$E$139</c:f>
              <c:strCache>
                <c:ptCount val="1"/>
                <c:pt idx="0">
                  <c:v>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Schedules!$F$139:$AC$139</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CE8F-46E6-A1B2-38E224D38448}"/>
            </c:ext>
          </c:extLst>
        </c:ser>
        <c:ser>
          <c:idx val="1"/>
          <c:order val="1"/>
          <c:tx>
            <c:strRef>
              <c:f>Schedules!$E$140</c:f>
              <c:strCache>
                <c:ptCount val="1"/>
                <c:pt idx="0">
                  <c:v>Practice-WD-Winter</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Schedules!$F$140:$AC$140</c:f>
              <c:numCache>
                <c:formatCode>0.00</c:formatCode>
                <c:ptCount val="24"/>
                <c:pt idx="0">
                  <c:v>0</c:v>
                </c:pt>
                <c:pt idx="1">
                  <c:v>0</c:v>
                </c:pt>
                <c:pt idx="2">
                  <c:v>0</c:v>
                </c:pt>
                <c:pt idx="3">
                  <c:v>0</c:v>
                </c:pt>
                <c:pt idx="4">
                  <c:v>0</c:v>
                </c:pt>
                <c:pt idx="5">
                  <c:v>0</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0</c:v>
                </c:pt>
                <c:pt idx="22">
                  <c:v>0</c:v>
                </c:pt>
                <c:pt idx="23">
                  <c:v>0</c:v>
                </c:pt>
              </c:numCache>
            </c:numRef>
          </c:val>
          <c:smooth val="0"/>
          <c:extLst>
            <c:ext xmlns:c16="http://schemas.microsoft.com/office/drawing/2014/chart" uri="{C3380CC4-5D6E-409C-BE32-E72D297353CC}">
              <c16:uniqueId val="{00000002-CE8F-46E6-A1B2-38E224D38448}"/>
            </c:ext>
          </c:extLst>
        </c:ser>
        <c:ser>
          <c:idx val="2"/>
          <c:order val="2"/>
          <c:tx>
            <c:strRef>
              <c:f>Schedules!$E$141</c:f>
              <c:strCache>
                <c:ptCount val="1"/>
                <c:pt idx="0">
                  <c:v>Practice-WD-Fall&amp;Spring</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Schedules!$F$141:$AC$141</c:f>
              <c:numCache>
                <c:formatCode>0.00</c:formatCode>
                <c:ptCount val="24"/>
                <c:pt idx="0">
                  <c:v>0</c:v>
                </c:pt>
                <c:pt idx="1">
                  <c:v>0</c:v>
                </c:pt>
                <c:pt idx="2">
                  <c:v>0</c:v>
                </c:pt>
                <c:pt idx="3">
                  <c:v>0</c:v>
                </c:pt>
                <c:pt idx="4">
                  <c:v>0</c:v>
                </c:pt>
                <c:pt idx="5">
                  <c:v>0</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0</c:v>
                </c:pt>
                <c:pt idx="22">
                  <c:v>0</c:v>
                </c:pt>
                <c:pt idx="23">
                  <c:v>0</c:v>
                </c:pt>
              </c:numCache>
            </c:numRef>
          </c:val>
          <c:smooth val="0"/>
          <c:extLst>
            <c:ext xmlns:c16="http://schemas.microsoft.com/office/drawing/2014/chart" uri="{C3380CC4-5D6E-409C-BE32-E72D297353CC}">
              <c16:uniqueId val="{00000003-CE8F-46E6-A1B2-38E224D38448}"/>
            </c:ext>
          </c:extLst>
        </c:ser>
        <c:ser>
          <c:idx val="3"/>
          <c:order val="3"/>
          <c:tx>
            <c:strRef>
              <c:f>Schedules!$E$142</c:f>
              <c:strCache>
                <c:ptCount val="1"/>
                <c:pt idx="0">
                  <c:v>Game-WD-Winter</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Schedules!$F$142:$AC$142</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0</c:v>
                </c:pt>
              </c:numCache>
            </c:numRef>
          </c:val>
          <c:smooth val="0"/>
          <c:extLst>
            <c:ext xmlns:c16="http://schemas.microsoft.com/office/drawing/2014/chart" uri="{C3380CC4-5D6E-409C-BE32-E72D297353CC}">
              <c16:uniqueId val="{00000004-CE8F-46E6-A1B2-38E224D38448}"/>
            </c:ext>
          </c:extLst>
        </c:ser>
        <c:ser>
          <c:idx val="4"/>
          <c:order val="4"/>
          <c:tx>
            <c:strRef>
              <c:f>Schedules!$E$143</c:f>
              <c:strCache>
                <c:ptCount val="1"/>
                <c:pt idx="0">
                  <c:v>Game-WD-Fall&amp;Spring</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Schedules!$F$143:$AC$143</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0</c:v>
                </c:pt>
              </c:numCache>
            </c:numRef>
          </c:val>
          <c:smooth val="0"/>
          <c:extLst>
            <c:ext xmlns:c16="http://schemas.microsoft.com/office/drawing/2014/chart" uri="{C3380CC4-5D6E-409C-BE32-E72D297353CC}">
              <c16:uniqueId val="{00000005-CE8F-46E6-A1B2-38E224D38448}"/>
            </c:ext>
          </c:extLst>
        </c:ser>
        <c:ser>
          <c:idx val="5"/>
          <c:order val="5"/>
          <c:tx>
            <c:strRef>
              <c:f>Schedules!$E$144</c:f>
              <c:strCache>
                <c:ptCount val="1"/>
                <c:pt idx="0">
                  <c:v>All-WE-Winter</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Schedules!$F$144:$AC$144</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6-CE8F-46E6-A1B2-38E224D38448}"/>
            </c:ext>
          </c:extLst>
        </c:ser>
        <c:ser>
          <c:idx val="6"/>
          <c:order val="6"/>
          <c:tx>
            <c:strRef>
              <c:f>Schedules!$E$145</c:f>
              <c:strCache>
                <c:ptCount val="1"/>
                <c:pt idx="0">
                  <c:v>All-WE-Fall&amp;Spring</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Schedules!$F$145:$AC$145</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7-CE8F-46E6-A1B2-38E224D38448}"/>
            </c:ext>
          </c:extLst>
        </c:ser>
        <c:ser>
          <c:idx val="7"/>
          <c:order val="7"/>
          <c:tx>
            <c:strRef>
              <c:f>Schedules!$E$146</c:f>
              <c:strCache>
                <c:ptCount val="1"/>
                <c:pt idx="0">
                  <c:v>SummerCamp</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Schedules!$F$146:$AC$146</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1</c:v>
                </c:pt>
                <c:pt idx="17">
                  <c:v>1</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8-CE8F-46E6-A1B2-38E224D38448}"/>
            </c:ext>
          </c:extLst>
        </c:ser>
        <c:dLbls>
          <c:showLegendKey val="0"/>
          <c:showVal val="0"/>
          <c:showCatName val="0"/>
          <c:showSerName val="0"/>
          <c:showPercent val="0"/>
          <c:showBubbleSize val="0"/>
        </c:dLbls>
        <c:smooth val="0"/>
        <c:axId val="899370240"/>
        <c:axId val="533985232"/>
      </c:lineChart>
      <c:catAx>
        <c:axId val="899370240"/>
        <c:scaling>
          <c:orientation val="minMax"/>
        </c:scaling>
        <c:delete val="0"/>
        <c:axPos val="b"/>
        <c:numFmt formatCode="General" sourceLinked="1"/>
        <c:majorTickMark val="out"/>
        <c:minorTickMark val="none"/>
        <c:tickLblPos val="nextTo"/>
        <c:crossAx val="533985232"/>
        <c:crosses val="autoZero"/>
        <c:auto val="1"/>
        <c:lblAlgn val="ctr"/>
        <c:lblOffset val="100"/>
        <c:noMultiLvlLbl val="0"/>
      </c:catAx>
      <c:valAx>
        <c:axId val="533985232"/>
        <c:scaling>
          <c:orientation val="minMax"/>
          <c:max val="1"/>
          <c:min val="0"/>
        </c:scaling>
        <c:delete val="0"/>
        <c:axPos val="l"/>
        <c:majorGridlines/>
        <c:numFmt formatCode="0.00" sourceLinked="1"/>
        <c:majorTickMark val="out"/>
        <c:minorTickMark val="none"/>
        <c:tickLblPos val="nextTo"/>
        <c:crossAx val="899370240"/>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Lights</a:t>
            </a:r>
          </a:p>
        </c:rich>
      </c:tx>
      <c:overlay val="0"/>
    </c:title>
    <c:autoTitleDeleted val="0"/>
    <c:plotArea>
      <c:layout/>
      <c:lineChart>
        <c:grouping val="standard"/>
        <c:varyColors val="0"/>
        <c:ser>
          <c:idx val="0"/>
          <c:order val="0"/>
          <c:tx>
            <c:strRef>
              <c:f>Schedules!$E$147</c:f>
              <c:strCache>
                <c:ptCount val="1"/>
                <c:pt idx="0">
                  <c:v>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Schedules!$F$147:$AC$147</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CEC6-4469-B2A6-D6B0B4CAAC58}"/>
            </c:ext>
          </c:extLst>
        </c:ser>
        <c:ser>
          <c:idx val="1"/>
          <c:order val="1"/>
          <c:tx>
            <c:strRef>
              <c:f>Schedules!$E$148</c:f>
              <c:strCache>
                <c:ptCount val="1"/>
                <c:pt idx="0">
                  <c:v>Practice-WD-Winter</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Schedules!$F$148:$AC$148</c:f>
              <c:numCache>
                <c:formatCode>0.00</c:formatCode>
                <c:ptCount val="24"/>
                <c:pt idx="0">
                  <c:v>0</c:v>
                </c:pt>
                <c:pt idx="1">
                  <c:v>0</c:v>
                </c:pt>
                <c:pt idx="2">
                  <c:v>0</c:v>
                </c:pt>
                <c:pt idx="3">
                  <c:v>0</c:v>
                </c:pt>
                <c:pt idx="4">
                  <c:v>0</c:v>
                </c:pt>
                <c:pt idx="5">
                  <c:v>0</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0</c:v>
                </c:pt>
                <c:pt idx="22">
                  <c:v>0</c:v>
                </c:pt>
                <c:pt idx="23">
                  <c:v>0</c:v>
                </c:pt>
              </c:numCache>
            </c:numRef>
          </c:val>
          <c:smooth val="0"/>
          <c:extLst>
            <c:ext xmlns:c16="http://schemas.microsoft.com/office/drawing/2014/chart" uri="{C3380CC4-5D6E-409C-BE32-E72D297353CC}">
              <c16:uniqueId val="{00000002-CEC6-4469-B2A6-D6B0B4CAAC58}"/>
            </c:ext>
          </c:extLst>
        </c:ser>
        <c:ser>
          <c:idx val="2"/>
          <c:order val="2"/>
          <c:tx>
            <c:strRef>
              <c:f>Schedules!$E$149</c:f>
              <c:strCache>
                <c:ptCount val="1"/>
                <c:pt idx="0">
                  <c:v>Practice-WD-Fall&amp;Spring</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Schedules!$F$149:$AC$149</c:f>
              <c:numCache>
                <c:formatCode>0.00</c:formatCode>
                <c:ptCount val="24"/>
                <c:pt idx="0">
                  <c:v>0</c:v>
                </c:pt>
                <c:pt idx="1">
                  <c:v>0</c:v>
                </c:pt>
                <c:pt idx="2">
                  <c:v>0</c:v>
                </c:pt>
                <c:pt idx="3">
                  <c:v>0</c:v>
                </c:pt>
                <c:pt idx="4">
                  <c:v>0</c:v>
                </c:pt>
                <c:pt idx="5">
                  <c:v>0</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0</c:v>
                </c:pt>
                <c:pt idx="22">
                  <c:v>0</c:v>
                </c:pt>
                <c:pt idx="23">
                  <c:v>0</c:v>
                </c:pt>
              </c:numCache>
            </c:numRef>
          </c:val>
          <c:smooth val="0"/>
          <c:extLst>
            <c:ext xmlns:c16="http://schemas.microsoft.com/office/drawing/2014/chart" uri="{C3380CC4-5D6E-409C-BE32-E72D297353CC}">
              <c16:uniqueId val="{00000003-CEC6-4469-B2A6-D6B0B4CAAC58}"/>
            </c:ext>
          </c:extLst>
        </c:ser>
        <c:ser>
          <c:idx val="3"/>
          <c:order val="3"/>
          <c:tx>
            <c:strRef>
              <c:f>Schedules!$E$150</c:f>
              <c:strCache>
                <c:ptCount val="1"/>
                <c:pt idx="0">
                  <c:v>Game-WD-Winter</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Schedules!$F$150:$AC$150</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0</c:v>
                </c:pt>
              </c:numCache>
            </c:numRef>
          </c:val>
          <c:smooth val="0"/>
          <c:extLst>
            <c:ext xmlns:c16="http://schemas.microsoft.com/office/drawing/2014/chart" uri="{C3380CC4-5D6E-409C-BE32-E72D297353CC}">
              <c16:uniqueId val="{00000004-CEC6-4469-B2A6-D6B0B4CAAC58}"/>
            </c:ext>
          </c:extLst>
        </c:ser>
        <c:ser>
          <c:idx val="4"/>
          <c:order val="4"/>
          <c:tx>
            <c:strRef>
              <c:f>Schedules!$E$151</c:f>
              <c:strCache>
                <c:ptCount val="1"/>
                <c:pt idx="0">
                  <c:v>Game-WD-Fall&amp;Spring</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Schedules!$F$151:$AC$151</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0</c:v>
                </c:pt>
              </c:numCache>
            </c:numRef>
          </c:val>
          <c:smooth val="0"/>
          <c:extLst>
            <c:ext xmlns:c16="http://schemas.microsoft.com/office/drawing/2014/chart" uri="{C3380CC4-5D6E-409C-BE32-E72D297353CC}">
              <c16:uniqueId val="{00000005-CEC6-4469-B2A6-D6B0B4CAAC58}"/>
            </c:ext>
          </c:extLst>
        </c:ser>
        <c:ser>
          <c:idx val="5"/>
          <c:order val="5"/>
          <c:tx>
            <c:strRef>
              <c:f>Schedules!$E$152</c:f>
              <c:strCache>
                <c:ptCount val="1"/>
                <c:pt idx="0">
                  <c:v>All-WE-Winter</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Schedules!$F$152:$AC$152</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6-CEC6-4469-B2A6-D6B0B4CAAC58}"/>
            </c:ext>
          </c:extLst>
        </c:ser>
        <c:ser>
          <c:idx val="6"/>
          <c:order val="6"/>
          <c:tx>
            <c:strRef>
              <c:f>Schedules!$E$153</c:f>
              <c:strCache>
                <c:ptCount val="1"/>
                <c:pt idx="0">
                  <c:v>All-WE-Fall&amp;Spring</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Schedules!$F$153:$AC$153</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7-CEC6-4469-B2A6-D6B0B4CAAC58}"/>
            </c:ext>
          </c:extLst>
        </c:ser>
        <c:ser>
          <c:idx val="7"/>
          <c:order val="7"/>
          <c:tx>
            <c:strRef>
              <c:f>Schedules!$E$154</c:f>
              <c:strCache>
                <c:ptCount val="1"/>
                <c:pt idx="0">
                  <c:v>SummerCamp</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Schedules!$F$154:$AC$154</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1</c:v>
                </c:pt>
                <c:pt idx="17">
                  <c:v>1</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8-CEC6-4469-B2A6-D6B0B4CAAC58}"/>
            </c:ext>
          </c:extLst>
        </c:ser>
        <c:dLbls>
          <c:showLegendKey val="0"/>
          <c:showVal val="0"/>
          <c:showCatName val="0"/>
          <c:showSerName val="0"/>
          <c:showPercent val="0"/>
          <c:showBubbleSize val="0"/>
        </c:dLbls>
        <c:smooth val="0"/>
        <c:axId val="899391120"/>
        <c:axId val="533774512"/>
      </c:lineChart>
      <c:catAx>
        <c:axId val="899391120"/>
        <c:scaling>
          <c:orientation val="minMax"/>
        </c:scaling>
        <c:delete val="0"/>
        <c:axPos val="b"/>
        <c:numFmt formatCode="General" sourceLinked="1"/>
        <c:majorTickMark val="out"/>
        <c:minorTickMark val="none"/>
        <c:tickLblPos val="nextTo"/>
        <c:crossAx val="533774512"/>
        <c:crosses val="autoZero"/>
        <c:auto val="1"/>
        <c:lblAlgn val="ctr"/>
        <c:lblOffset val="100"/>
        <c:noMultiLvlLbl val="0"/>
      </c:catAx>
      <c:valAx>
        <c:axId val="533774512"/>
        <c:scaling>
          <c:orientation val="minMax"/>
          <c:max val="1"/>
          <c:min val="0"/>
        </c:scaling>
        <c:delete val="0"/>
        <c:axPos val="l"/>
        <c:majorGridlines/>
        <c:numFmt formatCode="0.00" sourceLinked="1"/>
        <c:majorTickMark val="out"/>
        <c:minorTickMark val="none"/>
        <c:tickLblPos val="nextTo"/>
        <c:crossAx val="899391120"/>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ElecEquipment</a:t>
            </a:r>
          </a:p>
        </c:rich>
      </c:tx>
      <c:overlay val="0"/>
    </c:title>
    <c:autoTitleDeleted val="0"/>
    <c:plotArea>
      <c:layout/>
      <c:lineChart>
        <c:grouping val="standard"/>
        <c:varyColors val="0"/>
        <c:ser>
          <c:idx val="0"/>
          <c:order val="0"/>
          <c:tx>
            <c:strRef>
              <c:f>Schedules!$E$155</c:f>
              <c:strCache>
                <c:ptCount val="1"/>
                <c:pt idx="0">
                  <c:v>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Schedules!$F$155:$AC$155</c:f>
              <c:numCache>
                <c:formatCode>0.00</c:formatCode>
                <c:ptCount val="24"/>
                <c:pt idx="0">
                  <c:v>0.15</c:v>
                </c:pt>
                <c:pt idx="1">
                  <c:v>0.15</c:v>
                </c:pt>
                <c:pt idx="2">
                  <c:v>0.15</c:v>
                </c:pt>
                <c:pt idx="3">
                  <c:v>0.15</c:v>
                </c:pt>
                <c:pt idx="4">
                  <c:v>0.15</c:v>
                </c:pt>
                <c:pt idx="5">
                  <c:v>0.15</c:v>
                </c:pt>
                <c:pt idx="6">
                  <c:v>0.15</c:v>
                </c:pt>
                <c:pt idx="7">
                  <c:v>0.15</c:v>
                </c:pt>
                <c:pt idx="8">
                  <c:v>0.15</c:v>
                </c:pt>
                <c:pt idx="9">
                  <c:v>0.15</c:v>
                </c:pt>
                <c:pt idx="10">
                  <c:v>0.15</c:v>
                </c:pt>
                <c:pt idx="11">
                  <c:v>0.15</c:v>
                </c:pt>
                <c:pt idx="12">
                  <c:v>0.15</c:v>
                </c:pt>
                <c:pt idx="13">
                  <c:v>0.15</c:v>
                </c:pt>
                <c:pt idx="14">
                  <c:v>0.15</c:v>
                </c:pt>
                <c:pt idx="15">
                  <c:v>0.15</c:v>
                </c:pt>
                <c:pt idx="16">
                  <c:v>0.15</c:v>
                </c:pt>
                <c:pt idx="17">
                  <c:v>0.15</c:v>
                </c:pt>
                <c:pt idx="18">
                  <c:v>0.15</c:v>
                </c:pt>
                <c:pt idx="19">
                  <c:v>0.15</c:v>
                </c:pt>
                <c:pt idx="20">
                  <c:v>0.15</c:v>
                </c:pt>
                <c:pt idx="21">
                  <c:v>0.15</c:v>
                </c:pt>
                <c:pt idx="22">
                  <c:v>0.15</c:v>
                </c:pt>
                <c:pt idx="23">
                  <c:v>0.15</c:v>
                </c:pt>
              </c:numCache>
            </c:numRef>
          </c:val>
          <c:smooth val="0"/>
          <c:extLst>
            <c:ext xmlns:c16="http://schemas.microsoft.com/office/drawing/2014/chart" uri="{C3380CC4-5D6E-409C-BE32-E72D297353CC}">
              <c16:uniqueId val="{00000001-B4EA-4E2C-B8AF-5C8CA8C4CF92}"/>
            </c:ext>
          </c:extLst>
        </c:ser>
        <c:ser>
          <c:idx val="1"/>
          <c:order val="1"/>
          <c:tx>
            <c:strRef>
              <c:f>Schedules!$E$156</c:f>
              <c:strCache>
                <c:ptCount val="1"/>
                <c:pt idx="0">
                  <c:v>Practice-WD-Winter</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Schedules!$F$156:$AC$156</c:f>
              <c:numCache>
                <c:formatCode>0.00</c:formatCode>
                <c:ptCount val="24"/>
                <c:pt idx="0">
                  <c:v>0.15</c:v>
                </c:pt>
                <c:pt idx="1">
                  <c:v>0.15</c:v>
                </c:pt>
                <c:pt idx="2">
                  <c:v>0.15</c:v>
                </c:pt>
                <c:pt idx="3">
                  <c:v>0.15</c:v>
                </c:pt>
                <c:pt idx="4">
                  <c:v>0.15</c:v>
                </c:pt>
                <c:pt idx="5">
                  <c:v>0.15</c:v>
                </c:pt>
                <c:pt idx="6">
                  <c:v>0.2</c:v>
                </c:pt>
                <c:pt idx="7">
                  <c:v>0.75</c:v>
                </c:pt>
                <c:pt idx="8">
                  <c:v>0.75</c:v>
                </c:pt>
                <c:pt idx="9">
                  <c:v>0.75</c:v>
                </c:pt>
                <c:pt idx="10">
                  <c:v>0.75</c:v>
                </c:pt>
                <c:pt idx="11">
                  <c:v>0.75</c:v>
                </c:pt>
                <c:pt idx="12">
                  <c:v>0.2</c:v>
                </c:pt>
                <c:pt idx="13">
                  <c:v>0.75</c:v>
                </c:pt>
                <c:pt idx="14">
                  <c:v>0.75</c:v>
                </c:pt>
                <c:pt idx="15">
                  <c:v>0.75</c:v>
                </c:pt>
                <c:pt idx="16">
                  <c:v>0.75</c:v>
                </c:pt>
                <c:pt idx="17">
                  <c:v>0.75</c:v>
                </c:pt>
                <c:pt idx="18">
                  <c:v>0.75</c:v>
                </c:pt>
                <c:pt idx="19">
                  <c:v>0.75</c:v>
                </c:pt>
                <c:pt idx="20">
                  <c:v>0.2</c:v>
                </c:pt>
                <c:pt idx="21">
                  <c:v>0.15</c:v>
                </c:pt>
                <c:pt idx="22">
                  <c:v>0.15</c:v>
                </c:pt>
                <c:pt idx="23">
                  <c:v>0.15</c:v>
                </c:pt>
              </c:numCache>
            </c:numRef>
          </c:val>
          <c:smooth val="0"/>
          <c:extLst>
            <c:ext xmlns:c16="http://schemas.microsoft.com/office/drawing/2014/chart" uri="{C3380CC4-5D6E-409C-BE32-E72D297353CC}">
              <c16:uniqueId val="{00000002-B4EA-4E2C-B8AF-5C8CA8C4CF92}"/>
            </c:ext>
          </c:extLst>
        </c:ser>
        <c:ser>
          <c:idx val="2"/>
          <c:order val="2"/>
          <c:tx>
            <c:strRef>
              <c:f>Schedules!$E$157</c:f>
              <c:strCache>
                <c:ptCount val="1"/>
                <c:pt idx="0">
                  <c:v>Practice-WD-Fall&amp;Spring</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Schedules!$F$157:$AC$157</c:f>
              <c:numCache>
                <c:formatCode>0.00</c:formatCode>
                <c:ptCount val="24"/>
                <c:pt idx="0">
                  <c:v>0.15</c:v>
                </c:pt>
                <c:pt idx="1">
                  <c:v>0.15</c:v>
                </c:pt>
                <c:pt idx="2">
                  <c:v>0.15</c:v>
                </c:pt>
                <c:pt idx="3">
                  <c:v>0.15</c:v>
                </c:pt>
                <c:pt idx="4">
                  <c:v>0.15</c:v>
                </c:pt>
                <c:pt idx="5">
                  <c:v>0.15</c:v>
                </c:pt>
                <c:pt idx="6">
                  <c:v>0.2</c:v>
                </c:pt>
                <c:pt idx="7">
                  <c:v>0.75</c:v>
                </c:pt>
                <c:pt idx="8">
                  <c:v>0.75</c:v>
                </c:pt>
                <c:pt idx="9">
                  <c:v>0.75</c:v>
                </c:pt>
                <c:pt idx="10">
                  <c:v>0.75</c:v>
                </c:pt>
                <c:pt idx="11">
                  <c:v>0.75</c:v>
                </c:pt>
                <c:pt idx="12">
                  <c:v>0.2</c:v>
                </c:pt>
                <c:pt idx="13">
                  <c:v>0.75</c:v>
                </c:pt>
                <c:pt idx="14">
                  <c:v>0.75</c:v>
                </c:pt>
                <c:pt idx="15">
                  <c:v>0.75</c:v>
                </c:pt>
                <c:pt idx="16">
                  <c:v>0.75</c:v>
                </c:pt>
                <c:pt idx="17">
                  <c:v>0.75</c:v>
                </c:pt>
                <c:pt idx="18">
                  <c:v>0.75</c:v>
                </c:pt>
                <c:pt idx="19">
                  <c:v>0.75</c:v>
                </c:pt>
                <c:pt idx="20">
                  <c:v>0.2</c:v>
                </c:pt>
                <c:pt idx="21">
                  <c:v>0.15</c:v>
                </c:pt>
                <c:pt idx="22">
                  <c:v>0.15</c:v>
                </c:pt>
                <c:pt idx="23">
                  <c:v>0.15</c:v>
                </c:pt>
              </c:numCache>
            </c:numRef>
          </c:val>
          <c:smooth val="0"/>
          <c:extLst>
            <c:ext xmlns:c16="http://schemas.microsoft.com/office/drawing/2014/chart" uri="{C3380CC4-5D6E-409C-BE32-E72D297353CC}">
              <c16:uniqueId val="{00000003-B4EA-4E2C-B8AF-5C8CA8C4CF92}"/>
            </c:ext>
          </c:extLst>
        </c:ser>
        <c:ser>
          <c:idx val="3"/>
          <c:order val="3"/>
          <c:tx>
            <c:strRef>
              <c:f>Schedules!$E$158</c:f>
              <c:strCache>
                <c:ptCount val="1"/>
                <c:pt idx="0">
                  <c:v>Game-WD-Winter</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Schedules!$F$158:$AC$158</c:f>
              <c:numCache>
                <c:formatCode>0.00</c:formatCode>
                <c:ptCount val="24"/>
                <c:pt idx="0">
                  <c:v>0.15</c:v>
                </c:pt>
                <c:pt idx="1">
                  <c:v>0.15</c:v>
                </c:pt>
                <c:pt idx="2">
                  <c:v>0.15</c:v>
                </c:pt>
                <c:pt idx="3">
                  <c:v>0.15</c:v>
                </c:pt>
                <c:pt idx="4">
                  <c:v>0.15</c:v>
                </c:pt>
                <c:pt idx="5">
                  <c:v>0.15</c:v>
                </c:pt>
                <c:pt idx="6">
                  <c:v>0.15</c:v>
                </c:pt>
                <c:pt idx="7">
                  <c:v>0.2</c:v>
                </c:pt>
                <c:pt idx="8">
                  <c:v>0.75</c:v>
                </c:pt>
                <c:pt idx="9">
                  <c:v>0.75</c:v>
                </c:pt>
                <c:pt idx="10">
                  <c:v>0.75</c:v>
                </c:pt>
                <c:pt idx="11">
                  <c:v>0.75</c:v>
                </c:pt>
                <c:pt idx="12">
                  <c:v>0.2</c:v>
                </c:pt>
                <c:pt idx="13">
                  <c:v>0.75</c:v>
                </c:pt>
                <c:pt idx="14">
                  <c:v>0.75</c:v>
                </c:pt>
                <c:pt idx="15">
                  <c:v>0.15</c:v>
                </c:pt>
                <c:pt idx="16">
                  <c:v>0.15</c:v>
                </c:pt>
                <c:pt idx="17">
                  <c:v>0.2</c:v>
                </c:pt>
                <c:pt idx="18">
                  <c:v>0.75</c:v>
                </c:pt>
                <c:pt idx="19">
                  <c:v>0.75</c:v>
                </c:pt>
                <c:pt idx="20">
                  <c:v>0.95</c:v>
                </c:pt>
                <c:pt idx="21">
                  <c:v>0.95</c:v>
                </c:pt>
                <c:pt idx="22">
                  <c:v>0.2</c:v>
                </c:pt>
                <c:pt idx="23">
                  <c:v>0.15</c:v>
                </c:pt>
              </c:numCache>
            </c:numRef>
          </c:val>
          <c:smooth val="0"/>
          <c:extLst>
            <c:ext xmlns:c16="http://schemas.microsoft.com/office/drawing/2014/chart" uri="{C3380CC4-5D6E-409C-BE32-E72D297353CC}">
              <c16:uniqueId val="{00000004-B4EA-4E2C-B8AF-5C8CA8C4CF92}"/>
            </c:ext>
          </c:extLst>
        </c:ser>
        <c:ser>
          <c:idx val="4"/>
          <c:order val="4"/>
          <c:tx>
            <c:strRef>
              <c:f>Schedules!$E$159</c:f>
              <c:strCache>
                <c:ptCount val="1"/>
                <c:pt idx="0">
                  <c:v>Game-WD-Fall&amp;Spring</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Schedules!$F$159:$AC$159</c:f>
              <c:numCache>
                <c:formatCode>0.00</c:formatCode>
                <c:ptCount val="24"/>
                <c:pt idx="0">
                  <c:v>0.15</c:v>
                </c:pt>
                <c:pt idx="1">
                  <c:v>0.15</c:v>
                </c:pt>
                <c:pt idx="2">
                  <c:v>0.15</c:v>
                </c:pt>
                <c:pt idx="3">
                  <c:v>0.15</c:v>
                </c:pt>
                <c:pt idx="4">
                  <c:v>0.15</c:v>
                </c:pt>
                <c:pt idx="5">
                  <c:v>0.15</c:v>
                </c:pt>
                <c:pt idx="6">
                  <c:v>0.15</c:v>
                </c:pt>
                <c:pt idx="7">
                  <c:v>0.2</c:v>
                </c:pt>
                <c:pt idx="8">
                  <c:v>0.75</c:v>
                </c:pt>
                <c:pt idx="9">
                  <c:v>0.75</c:v>
                </c:pt>
                <c:pt idx="10">
                  <c:v>0.75</c:v>
                </c:pt>
                <c:pt idx="11">
                  <c:v>0.75</c:v>
                </c:pt>
                <c:pt idx="12">
                  <c:v>0.2</c:v>
                </c:pt>
                <c:pt idx="13">
                  <c:v>0.75</c:v>
                </c:pt>
                <c:pt idx="14">
                  <c:v>0.75</c:v>
                </c:pt>
                <c:pt idx="15">
                  <c:v>0.15</c:v>
                </c:pt>
                <c:pt idx="16">
                  <c:v>0.15</c:v>
                </c:pt>
                <c:pt idx="17">
                  <c:v>0.2</c:v>
                </c:pt>
                <c:pt idx="18">
                  <c:v>0.75</c:v>
                </c:pt>
                <c:pt idx="19">
                  <c:v>0.75</c:v>
                </c:pt>
                <c:pt idx="20">
                  <c:v>0.75</c:v>
                </c:pt>
                <c:pt idx="21">
                  <c:v>0.75</c:v>
                </c:pt>
                <c:pt idx="22">
                  <c:v>0.2</c:v>
                </c:pt>
                <c:pt idx="23">
                  <c:v>0.15</c:v>
                </c:pt>
              </c:numCache>
            </c:numRef>
          </c:val>
          <c:smooth val="0"/>
          <c:extLst>
            <c:ext xmlns:c16="http://schemas.microsoft.com/office/drawing/2014/chart" uri="{C3380CC4-5D6E-409C-BE32-E72D297353CC}">
              <c16:uniqueId val="{00000005-B4EA-4E2C-B8AF-5C8CA8C4CF92}"/>
            </c:ext>
          </c:extLst>
        </c:ser>
        <c:ser>
          <c:idx val="5"/>
          <c:order val="5"/>
          <c:tx>
            <c:strRef>
              <c:f>Schedules!$E$160</c:f>
              <c:strCache>
                <c:ptCount val="1"/>
                <c:pt idx="0">
                  <c:v>All-WE-Winter</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Schedules!$F$160:$AC$160</c:f>
              <c:numCache>
                <c:formatCode>0.00</c:formatCode>
                <c:ptCount val="24"/>
                <c:pt idx="0">
                  <c:v>0.15</c:v>
                </c:pt>
                <c:pt idx="1">
                  <c:v>0.15</c:v>
                </c:pt>
                <c:pt idx="2">
                  <c:v>0.15</c:v>
                </c:pt>
                <c:pt idx="3">
                  <c:v>0.15</c:v>
                </c:pt>
                <c:pt idx="4">
                  <c:v>0.15</c:v>
                </c:pt>
                <c:pt idx="5">
                  <c:v>0.15</c:v>
                </c:pt>
                <c:pt idx="6">
                  <c:v>0.15</c:v>
                </c:pt>
                <c:pt idx="7">
                  <c:v>0.2</c:v>
                </c:pt>
                <c:pt idx="8">
                  <c:v>0.95</c:v>
                </c:pt>
                <c:pt idx="9">
                  <c:v>0.95</c:v>
                </c:pt>
                <c:pt idx="10">
                  <c:v>0.95</c:v>
                </c:pt>
                <c:pt idx="11">
                  <c:v>0.95</c:v>
                </c:pt>
                <c:pt idx="12">
                  <c:v>0.95</c:v>
                </c:pt>
                <c:pt idx="13">
                  <c:v>0.95</c:v>
                </c:pt>
                <c:pt idx="14">
                  <c:v>0.2</c:v>
                </c:pt>
                <c:pt idx="15">
                  <c:v>0.15</c:v>
                </c:pt>
                <c:pt idx="16">
                  <c:v>0.15</c:v>
                </c:pt>
                <c:pt idx="17">
                  <c:v>0.15</c:v>
                </c:pt>
                <c:pt idx="18">
                  <c:v>0.15</c:v>
                </c:pt>
                <c:pt idx="19">
                  <c:v>0.15</c:v>
                </c:pt>
                <c:pt idx="20">
                  <c:v>0.15</c:v>
                </c:pt>
                <c:pt idx="21">
                  <c:v>0.15</c:v>
                </c:pt>
                <c:pt idx="22">
                  <c:v>0.15</c:v>
                </c:pt>
                <c:pt idx="23">
                  <c:v>0.15</c:v>
                </c:pt>
              </c:numCache>
            </c:numRef>
          </c:val>
          <c:smooth val="0"/>
          <c:extLst>
            <c:ext xmlns:c16="http://schemas.microsoft.com/office/drawing/2014/chart" uri="{C3380CC4-5D6E-409C-BE32-E72D297353CC}">
              <c16:uniqueId val="{00000006-B4EA-4E2C-B8AF-5C8CA8C4CF92}"/>
            </c:ext>
          </c:extLst>
        </c:ser>
        <c:ser>
          <c:idx val="6"/>
          <c:order val="6"/>
          <c:tx>
            <c:strRef>
              <c:f>Schedules!$E$161</c:f>
              <c:strCache>
                <c:ptCount val="1"/>
                <c:pt idx="0">
                  <c:v>All-WE-Fall&amp;Spring</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Schedules!$F$161:$AC$161</c:f>
              <c:numCache>
                <c:formatCode>0.00</c:formatCode>
                <c:ptCount val="24"/>
                <c:pt idx="0">
                  <c:v>0.15</c:v>
                </c:pt>
                <c:pt idx="1">
                  <c:v>0.15</c:v>
                </c:pt>
                <c:pt idx="2">
                  <c:v>0.15</c:v>
                </c:pt>
                <c:pt idx="3">
                  <c:v>0.15</c:v>
                </c:pt>
                <c:pt idx="4">
                  <c:v>0.15</c:v>
                </c:pt>
                <c:pt idx="5">
                  <c:v>0.15</c:v>
                </c:pt>
                <c:pt idx="6">
                  <c:v>0.15</c:v>
                </c:pt>
                <c:pt idx="7">
                  <c:v>0.2</c:v>
                </c:pt>
                <c:pt idx="8">
                  <c:v>0.75</c:v>
                </c:pt>
                <c:pt idx="9">
                  <c:v>0.75</c:v>
                </c:pt>
                <c:pt idx="10">
                  <c:v>0.75</c:v>
                </c:pt>
                <c:pt idx="11">
                  <c:v>0.75</c:v>
                </c:pt>
                <c:pt idx="12">
                  <c:v>0.75</c:v>
                </c:pt>
                <c:pt idx="13">
                  <c:v>0.75</c:v>
                </c:pt>
                <c:pt idx="14">
                  <c:v>0.2</c:v>
                </c:pt>
                <c:pt idx="15">
                  <c:v>0.15</c:v>
                </c:pt>
                <c:pt idx="16">
                  <c:v>0.15</c:v>
                </c:pt>
                <c:pt idx="17">
                  <c:v>0.15</c:v>
                </c:pt>
                <c:pt idx="18">
                  <c:v>0.15</c:v>
                </c:pt>
                <c:pt idx="19">
                  <c:v>0.15</c:v>
                </c:pt>
                <c:pt idx="20">
                  <c:v>0.15</c:v>
                </c:pt>
                <c:pt idx="21">
                  <c:v>0.15</c:v>
                </c:pt>
                <c:pt idx="22">
                  <c:v>0.15</c:v>
                </c:pt>
                <c:pt idx="23">
                  <c:v>0.15</c:v>
                </c:pt>
              </c:numCache>
            </c:numRef>
          </c:val>
          <c:smooth val="0"/>
          <c:extLst>
            <c:ext xmlns:c16="http://schemas.microsoft.com/office/drawing/2014/chart" uri="{C3380CC4-5D6E-409C-BE32-E72D297353CC}">
              <c16:uniqueId val="{00000007-B4EA-4E2C-B8AF-5C8CA8C4CF92}"/>
            </c:ext>
          </c:extLst>
        </c:ser>
        <c:ser>
          <c:idx val="7"/>
          <c:order val="7"/>
          <c:tx>
            <c:strRef>
              <c:f>Schedules!$E$162</c:f>
              <c:strCache>
                <c:ptCount val="1"/>
                <c:pt idx="0">
                  <c:v>SummerCamp</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Schedules!$F$162:$AC$162</c:f>
              <c:numCache>
                <c:formatCode>0.00</c:formatCode>
                <c:ptCount val="24"/>
                <c:pt idx="0">
                  <c:v>0.15</c:v>
                </c:pt>
                <c:pt idx="1">
                  <c:v>0.15</c:v>
                </c:pt>
                <c:pt idx="2">
                  <c:v>0.15</c:v>
                </c:pt>
                <c:pt idx="3">
                  <c:v>0.15</c:v>
                </c:pt>
                <c:pt idx="4">
                  <c:v>0.15</c:v>
                </c:pt>
                <c:pt idx="5">
                  <c:v>0.15</c:v>
                </c:pt>
                <c:pt idx="6">
                  <c:v>0.15</c:v>
                </c:pt>
                <c:pt idx="7">
                  <c:v>0.2</c:v>
                </c:pt>
                <c:pt idx="8">
                  <c:v>0.75</c:v>
                </c:pt>
                <c:pt idx="9">
                  <c:v>0.75</c:v>
                </c:pt>
                <c:pt idx="10">
                  <c:v>0.75</c:v>
                </c:pt>
                <c:pt idx="11">
                  <c:v>0.75</c:v>
                </c:pt>
                <c:pt idx="12">
                  <c:v>0.75</c:v>
                </c:pt>
                <c:pt idx="13">
                  <c:v>0.75</c:v>
                </c:pt>
                <c:pt idx="14">
                  <c:v>0.75</c:v>
                </c:pt>
                <c:pt idx="15">
                  <c:v>0.75</c:v>
                </c:pt>
                <c:pt idx="16">
                  <c:v>0.75</c:v>
                </c:pt>
                <c:pt idx="17">
                  <c:v>0.2</c:v>
                </c:pt>
                <c:pt idx="18">
                  <c:v>0.15</c:v>
                </c:pt>
                <c:pt idx="19">
                  <c:v>0.15</c:v>
                </c:pt>
                <c:pt idx="20">
                  <c:v>0.15</c:v>
                </c:pt>
                <c:pt idx="21">
                  <c:v>0.15</c:v>
                </c:pt>
                <c:pt idx="22">
                  <c:v>0.15</c:v>
                </c:pt>
                <c:pt idx="23">
                  <c:v>0.15</c:v>
                </c:pt>
              </c:numCache>
            </c:numRef>
          </c:val>
          <c:smooth val="0"/>
          <c:extLst>
            <c:ext xmlns:c16="http://schemas.microsoft.com/office/drawing/2014/chart" uri="{C3380CC4-5D6E-409C-BE32-E72D297353CC}">
              <c16:uniqueId val="{00000008-B4EA-4E2C-B8AF-5C8CA8C4CF92}"/>
            </c:ext>
          </c:extLst>
        </c:ser>
        <c:dLbls>
          <c:showLegendKey val="0"/>
          <c:showVal val="0"/>
          <c:showCatName val="0"/>
          <c:showSerName val="0"/>
          <c:showPercent val="0"/>
          <c:showBubbleSize val="0"/>
        </c:dLbls>
        <c:smooth val="0"/>
        <c:axId val="899172112"/>
        <c:axId val="533819632"/>
      </c:lineChart>
      <c:catAx>
        <c:axId val="899172112"/>
        <c:scaling>
          <c:orientation val="minMax"/>
        </c:scaling>
        <c:delete val="0"/>
        <c:axPos val="b"/>
        <c:numFmt formatCode="General" sourceLinked="1"/>
        <c:majorTickMark val="out"/>
        <c:minorTickMark val="none"/>
        <c:tickLblPos val="nextTo"/>
        <c:crossAx val="533819632"/>
        <c:crosses val="autoZero"/>
        <c:auto val="1"/>
        <c:lblAlgn val="ctr"/>
        <c:lblOffset val="100"/>
        <c:noMultiLvlLbl val="0"/>
      </c:catAx>
      <c:valAx>
        <c:axId val="533819632"/>
        <c:scaling>
          <c:orientation val="minMax"/>
          <c:max val="1"/>
          <c:min val="0"/>
        </c:scaling>
        <c:delete val="0"/>
        <c:axPos val="l"/>
        <c:majorGridlines/>
        <c:numFmt formatCode="0.00" sourceLinked="1"/>
        <c:majorTickMark val="out"/>
        <c:minorTickMark val="none"/>
        <c:tickLblPos val="nextTo"/>
        <c:crossAx val="899172112"/>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HtgSetpt</a:t>
            </a:r>
          </a:p>
        </c:rich>
      </c:tx>
      <c:overlay val="0"/>
    </c:title>
    <c:autoTitleDeleted val="0"/>
    <c:plotArea>
      <c:layout/>
      <c:lineChart>
        <c:grouping val="standard"/>
        <c:varyColors val="0"/>
        <c:ser>
          <c:idx val="0"/>
          <c:order val="0"/>
          <c:tx>
            <c:strRef>
              <c:f>Schedules!$E$163</c:f>
              <c:strCache>
                <c:ptCount val="1"/>
                <c:pt idx="0">
                  <c:v>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Schedules!$F$163:$AC$163</c:f>
              <c:numCache>
                <c:formatCode>0</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1-F089-4CEB-B073-E62BEC3586B7}"/>
            </c:ext>
          </c:extLst>
        </c:ser>
        <c:ser>
          <c:idx val="1"/>
          <c:order val="1"/>
          <c:tx>
            <c:strRef>
              <c:f>Schedules!$E$164</c:f>
              <c:strCache>
                <c:ptCount val="1"/>
                <c:pt idx="0">
                  <c:v>Practice-WD-Winter</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Schedules!$F$164:$AC$164</c:f>
              <c:numCache>
                <c:formatCode>0</c:formatCode>
                <c:ptCount val="24"/>
                <c:pt idx="0">
                  <c:v>60</c:v>
                </c:pt>
                <c:pt idx="1">
                  <c:v>60</c:v>
                </c:pt>
                <c:pt idx="2">
                  <c:v>60</c:v>
                </c:pt>
                <c:pt idx="3">
                  <c:v>60</c:v>
                </c:pt>
                <c:pt idx="4">
                  <c:v>60</c:v>
                </c:pt>
                <c:pt idx="5">
                  <c:v>60</c:v>
                </c:pt>
                <c:pt idx="6">
                  <c:v>70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60</c:v>
                </c:pt>
                <c:pt idx="22">
                  <c:v>60</c:v>
                </c:pt>
                <c:pt idx="23">
                  <c:v>60</c:v>
                </c:pt>
              </c:numCache>
            </c:numRef>
          </c:val>
          <c:smooth val="0"/>
          <c:extLst>
            <c:ext xmlns:c16="http://schemas.microsoft.com/office/drawing/2014/chart" uri="{C3380CC4-5D6E-409C-BE32-E72D297353CC}">
              <c16:uniqueId val="{00000002-F089-4CEB-B073-E62BEC3586B7}"/>
            </c:ext>
          </c:extLst>
        </c:ser>
        <c:ser>
          <c:idx val="2"/>
          <c:order val="2"/>
          <c:tx>
            <c:strRef>
              <c:f>Schedules!$E$165</c:f>
              <c:strCache>
                <c:ptCount val="1"/>
                <c:pt idx="0">
                  <c:v>Practice-WD-Fall&amp;Spring</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Schedules!$F$165:$AC$165</c:f>
              <c:numCache>
                <c:formatCode>0</c:formatCode>
                <c:ptCount val="24"/>
                <c:pt idx="0">
                  <c:v>60</c:v>
                </c:pt>
                <c:pt idx="1">
                  <c:v>60</c:v>
                </c:pt>
                <c:pt idx="2">
                  <c:v>60</c:v>
                </c:pt>
                <c:pt idx="3">
                  <c:v>60</c:v>
                </c:pt>
                <c:pt idx="4">
                  <c:v>60</c:v>
                </c:pt>
                <c:pt idx="5">
                  <c:v>60</c:v>
                </c:pt>
                <c:pt idx="6">
                  <c:v>70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60</c:v>
                </c:pt>
                <c:pt idx="22">
                  <c:v>60</c:v>
                </c:pt>
                <c:pt idx="23">
                  <c:v>60</c:v>
                </c:pt>
              </c:numCache>
            </c:numRef>
          </c:val>
          <c:smooth val="0"/>
          <c:extLst>
            <c:ext xmlns:c16="http://schemas.microsoft.com/office/drawing/2014/chart" uri="{C3380CC4-5D6E-409C-BE32-E72D297353CC}">
              <c16:uniqueId val="{00000003-F089-4CEB-B073-E62BEC3586B7}"/>
            </c:ext>
          </c:extLst>
        </c:ser>
        <c:ser>
          <c:idx val="3"/>
          <c:order val="3"/>
          <c:tx>
            <c:strRef>
              <c:f>Schedules!$E$166</c:f>
              <c:strCache>
                <c:ptCount val="1"/>
                <c:pt idx="0">
                  <c:v>Game-WD-Winter</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Schedules!$F$166:$AC$166</c:f>
              <c:numCache>
                <c:formatCode>0</c:formatCode>
                <c:ptCount val="24"/>
                <c:pt idx="0">
                  <c:v>60</c:v>
                </c:pt>
                <c:pt idx="1">
                  <c:v>60</c:v>
                </c:pt>
                <c:pt idx="2">
                  <c:v>60</c:v>
                </c:pt>
                <c:pt idx="3">
                  <c:v>60</c:v>
                </c:pt>
                <c:pt idx="4">
                  <c:v>60</c:v>
                </c:pt>
                <c:pt idx="5">
                  <c:v>60</c:v>
                </c:pt>
                <c:pt idx="6">
                  <c:v>60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60</c:v>
                </c:pt>
              </c:numCache>
            </c:numRef>
          </c:val>
          <c:smooth val="0"/>
          <c:extLst>
            <c:ext xmlns:c16="http://schemas.microsoft.com/office/drawing/2014/chart" uri="{C3380CC4-5D6E-409C-BE32-E72D297353CC}">
              <c16:uniqueId val="{00000004-F089-4CEB-B073-E62BEC3586B7}"/>
            </c:ext>
          </c:extLst>
        </c:ser>
        <c:ser>
          <c:idx val="4"/>
          <c:order val="4"/>
          <c:tx>
            <c:strRef>
              <c:f>Schedules!$E$167</c:f>
              <c:strCache>
                <c:ptCount val="1"/>
                <c:pt idx="0">
                  <c:v>Game-WD-Fall&amp;Spring</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Schedules!$F$167:$AC$167</c:f>
              <c:numCache>
                <c:formatCode>0</c:formatCode>
                <c:ptCount val="24"/>
                <c:pt idx="0">
                  <c:v>60</c:v>
                </c:pt>
                <c:pt idx="1">
                  <c:v>60</c:v>
                </c:pt>
                <c:pt idx="2">
                  <c:v>60</c:v>
                </c:pt>
                <c:pt idx="3">
                  <c:v>60</c:v>
                </c:pt>
                <c:pt idx="4">
                  <c:v>60</c:v>
                </c:pt>
                <c:pt idx="5">
                  <c:v>60</c:v>
                </c:pt>
                <c:pt idx="6">
                  <c:v>60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70</c:v>
                </c:pt>
                <c:pt idx="23">
                  <c:v>60</c:v>
                </c:pt>
              </c:numCache>
            </c:numRef>
          </c:val>
          <c:smooth val="0"/>
          <c:extLst>
            <c:ext xmlns:c16="http://schemas.microsoft.com/office/drawing/2014/chart" uri="{C3380CC4-5D6E-409C-BE32-E72D297353CC}">
              <c16:uniqueId val="{00000005-F089-4CEB-B073-E62BEC3586B7}"/>
            </c:ext>
          </c:extLst>
        </c:ser>
        <c:ser>
          <c:idx val="5"/>
          <c:order val="5"/>
          <c:tx>
            <c:strRef>
              <c:f>Schedules!$E$168</c:f>
              <c:strCache>
                <c:ptCount val="1"/>
                <c:pt idx="0">
                  <c:v>All-WE-Winter</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Schedules!$F$168:$AC$168</c:f>
              <c:numCache>
                <c:formatCode>0</c:formatCode>
                <c:ptCount val="24"/>
                <c:pt idx="0">
                  <c:v>60</c:v>
                </c:pt>
                <c:pt idx="1">
                  <c:v>60</c:v>
                </c:pt>
                <c:pt idx="2">
                  <c:v>60</c:v>
                </c:pt>
                <c:pt idx="3">
                  <c:v>60</c:v>
                </c:pt>
                <c:pt idx="4">
                  <c:v>60</c:v>
                </c:pt>
                <c:pt idx="5">
                  <c:v>60</c:v>
                </c:pt>
                <c:pt idx="6">
                  <c:v>60</c:v>
                </c:pt>
                <c:pt idx="7">
                  <c:v>70</c:v>
                </c:pt>
                <c:pt idx="8">
                  <c:v>70</c:v>
                </c:pt>
                <c:pt idx="9">
                  <c:v>70</c:v>
                </c:pt>
                <c:pt idx="10">
                  <c:v>70</c:v>
                </c:pt>
                <c:pt idx="11">
                  <c:v>70</c:v>
                </c:pt>
                <c:pt idx="12">
                  <c:v>70</c:v>
                </c:pt>
                <c:pt idx="13">
                  <c:v>70</c:v>
                </c:pt>
                <c:pt idx="14">
                  <c:v>70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6-F089-4CEB-B073-E62BEC3586B7}"/>
            </c:ext>
          </c:extLst>
        </c:ser>
        <c:ser>
          <c:idx val="6"/>
          <c:order val="6"/>
          <c:tx>
            <c:strRef>
              <c:f>Schedules!$E$169</c:f>
              <c:strCache>
                <c:ptCount val="1"/>
                <c:pt idx="0">
                  <c:v>All-WE-Fall&amp;Spring</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Schedules!$F$169:$AC$169</c:f>
              <c:numCache>
                <c:formatCode>0</c:formatCode>
                <c:ptCount val="24"/>
                <c:pt idx="0">
                  <c:v>60</c:v>
                </c:pt>
                <c:pt idx="1">
                  <c:v>60</c:v>
                </c:pt>
                <c:pt idx="2">
                  <c:v>60</c:v>
                </c:pt>
                <c:pt idx="3">
                  <c:v>60</c:v>
                </c:pt>
                <c:pt idx="4">
                  <c:v>60</c:v>
                </c:pt>
                <c:pt idx="5">
                  <c:v>60</c:v>
                </c:pt>
                <c:pt idx="6">
                  <c:v>60</c:v>
                </c:pt>
                <c:pt idx="7">
                  <c:v>70</c:v>
                </c:pt>
                <c:pt idx="8">
                  <c:v>70</c:v>
                </c:pt>
                <c:pt idx="9">
                  <c:v>70</c:v>
                </c:pt>
                <c:pt idx="10">
                  <c:v>70</c:v>
                </c:pt>
                <c:pt idx="11">
                  <c:v>70</c:v>
                </c:pt>
                <c:pt idx="12">
                  <c:v>70</c:v>
                </c:pt>
                <c:pt idx="13">
                  <c:v>70</c:v>
                </c:pt>
                <c:pt idx="14">
                  <c:v>70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7-F089-4CEB-B073-E62BEC3586B7}"/>
            </c:ext>
          </c:extLst>
        </c:ser>
        <c:ser>
          <c:idx val="7"/>
          <c:order val="7"/>
          <c:tx>
            <c:strRef>
              <c:f>Schedules!$E$170</c:f>
              <c:strCache>
                <c:ptCount val="1"/>
                <c:pt idx="0">
                  <c:v>SummerCamp</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Schedules!$F$170:$AC$170</c:f>
              <c:numCache>
                <c:formatCode>0</c:formatCode>
                <c:ptCount val="24"/>
                <c:pt idx="0">
                  <c:v>60</c:v>
                </c:pt>
                <c:pt idx="1">
                  <c:v>60</c:v>
                </c:pt>
                <c:pt idx="2">
                  <c:v>60</c:v>
                </c:pt>
                <c:pt idx="3">
                  <c:v>60</c:v>
                </c:pt>
                <c:pt idx="4">
                  <c:v>60</c:v>
                </c:pt>
                <c:pt idx="5">
                  <c:v>60</c:v>
                </c:pt>
                <c:pt idx="6">
                  <c:v>60</c:v>
                </c:pt>
                <c:pt idx="7">
                  <c:v>70</c:v>
                </c:pt>
                <c:pt idx="8">
                  <c:v>70</c:v>
                </c:pt>
                <c:pt idx="9">
                  <c:v>70</c:v>
                </c:pt>
                <c:pt idx="10">
                  <c:v>70</c:v>
                </c:pt>
                <c:pt idx="11">
                  <c:v>70</c:v>
                </c:pt>
                <c:pt idx="12">
                  <c:v>70</c:v>
                </c:pt>
                <c:pt idx="13">
                  <c:v>70</c:v>
                </c:pt>
                <c:pt idx="14">
                  <c:v>70</c:v>
                </c:pt>
                <c:pt idx="15">
                  <c:v>70</c:v>
                </c:pt>
                <c:pt idx="16">
                  <c:v>70</c:v>
                </c:pt>
                <c:pt idx="17">
                  <c:v>70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8-F089-4CEB-B073-E62BEC3586B7}"/>
            </c:ext>
          </c:extLst>
        </c:ser>
        <c:dLbls>
          <c:showLegendKey val="0"/>
          <c:showVal val="0"/>
          <c:showCatName val="0"/>
          <c:showSerName val="0"/>
          <c:showPercent val="0"/>
          <c:showBubbleSize val="0"/>
        </c:dLbls>
        <c:smooth val="0"/>
        <c:axId val="899215264"/>
        <c:axId val="533857552"/>
      </c:lineChart>
      <c:catAx>
        <c:axId val="899215264"/>
        <c:scaling>
          <c:orientation val="minMax"/>
        </c:scaling>
        <c:delete val="0"/>
        <c:axPos val="b"/>
        <c:numFmt formatCode="General" sourceLinked="1"/>
        <c:majorTickMark val="out"/>
        <c:minorTickMark val="none"/>
        <c:tickLblPos val="nextTo"/>
        <c:crossAx val="533857552"/>
        <c:crosses val="autoZero"/>
        <c:auto val="1"/>
        <c:lblAlgn val="ctr"/>
        <c:lblOffset val="100"/>
        <c:noMultiLvlLbl val="0"/>
      </c:catAx>
      <c:valAx>
        <c:axId val="533857552"/>
        <c:scaling>
          <c:orientation val="minMax"/>
          <c:max val="90"/>
          <c:min val="50"/>
        </c:scaling>
        <c:delete val="0"/>
        <c:axPos val="l"/>
        <c:majorGridlines/>
        <c:numFmt formatCode="0" sourceLinked="1"/>
        <c:majorTickMark val="out"/>
        <c:minorTickMark val="none"/>
        <c:tickLblPos val="nextTo"/>
        <c:crossAx val="899215264"/>
        <c:crosses val="autoZero"/>
        <c:crossBetween val="between"/>
        <c:majorUnit val="10"/>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ClgSetpt</a:t>
            </a:r>
          </a:p>
        </c:rich>
      </c:tx>
      <c:overlay val="0"/>
    </c:title>
    <c:autoTitleDeleted val="0"/>
    <c:plotArea>
      <c:layout/>
      <c:lineChart>
        <c:grouping val="standard"/>
        <c:varyColors val="0"/>
        <c:ser>
          <c:idx val="0"/>
          <c:order val="0"/>
          <c:tx>
            <c:strRef>
              <c:f>Schedules!$E$171</c:f>
              <c:strCache>
                <c:ptCount val="1"/>
                <c:pt idx="0">
                  <c:v>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Schedules!$F$171:$AC$171</c:f>
              <c:numCache>
                <c:formatCode>0</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1-AF9F-484E-8FE8-2BA156E54AA1}"/>
            </c:ext>
          </c:extLst>
        </c:ser>
        <c:ser>
          <c:idx val="1"/>
          <c:order val="1"/>
          <c:tx>
            <c:strRef>
              <c:f>Schedules!$E$172</c:f>
              <c:strCache>
                <c:ptCount val="1"/>
                <c:pt idx="0">
                  <c:v>Practice-WD-Winter</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Schedules!$F$172:$AC$172</c:f>
              <c:numCache>
                <c:formatCode>0</c:formatCode>
                <c:ptCount val="24"/>
                <c:pt idx="0">
                  <c:v>85</c:v>
                </c:pt>
                <c:pt idx="1">
                  <c:v>85</c:v>
                </c:pt>
                <c:pt idx="2">
                  <c:v>85</c:v>
                </c:pt>
                <c:pt idx="3">
                  <c:v>85</c:v>
                </c:pt>
                <c:pt idx="4">
                  <c:v>85</c:v>
                </c:pt>
                <c:pt idx="5">
                  <c:v>85</c:v>
                </c:pt>
                <c:pt idx="6">
                  <c:v>75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85</c:v>
                </c:pt>
                <c:pt idx="22">
                  <c:v>85</c:v>
                </c:pt>
                <c:pt idx="23">
                  <c:v>85</c:v>
                </c:pt>
              </c:numCache>
            </c:numRef>
          </c:val>
          <c:smooth val="0"/>
          <c:extLst>
            <c:ext xmlns:c16="http://schemas.microsoft.com/office/drawing/2014/chart" uri="{C3380CC4-5D6E-409C-BE32-E72D297353CC}">
              <c16:uniqueId val="{00000002-AF9F-484E-8FE8-2BA156E54AA1}"/>
            </c:ext>
          </c:extLst>
        </c:ser>
        <c:ser>
          <c:idx val="2"/>
          <c:order val="2"/>
          <c:tx>
            <c:strRef>
              <c:f>Schedules!$E$173</c:f>
              <c:strCache>
                <c:ptCount val="1"/>
                <c:pt idx="0">
                  <c:v>Practice-WD-Fall&amp;Spring</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Schedules!$F$173:$AC$173</c:f>
              <c:numCache>
                <c:formatCode>0</c:formatCode>
                <c:ptCount val="24"/>
                <c:pt idx="0">
                  <c:v>85</c:v>
                </c:pt>
                <c:pt idx="1">
                  <c:v>85</c:v>
                </c:pt>
                <c:pt idx="2">
                  <c:v>85</c:v>
                </c:pt>
                <c:pt idx="3">
                  <c:v>85</c:v>
                </c:pt>
                <c:pt idx="4">
                  <c:v>85</c:v>
                </c:pt>
                <c:pt idx="5">
                  <c:v>85</c:v>
                </c:pt>
                <c:pt idx="6">
                  <c:v>75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85</c:v>
                </c:pt>
                <c:pt idx="22">
                  <c:v>85</c:v>
                </c:pt>
                <c:pt idx="23">
                  <c:v>85</c:v>
                </c:pt>
              </c:numCache>
            </c:numRef>
          </c:val>
          <c:smooth val="0"/>
          <c:extLst>
            <c:ext xmlns:c16="http://schemas.microsoft.com/office/drawing/2014/chart" uri="{C3380CC4-5D6E-409C-BE32-E72D297353CC}">
              <c16:uniqueId val="{00000003-AF9F-484E-8FE8-2BA156E54AA1}"/>
            </c:ext>
          </c:extLst>
        </c:ser>
        <c:ser>
          <c:idx val="3"/>
          <c:order val="3"/>
          <c:tx>
            <c:strRef>
              <c:f>Schedules!$E$174</c:f>
              <c:strCache>
                <c:ptCount val="1"/>
                <c:pt idx="0">
                  <c:v>Game-WD-Winter</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Schedules!$F$174:$AC$174</c:f>
              <c:numCache>
                <c:formatCode>0</c:formatCode>
                <c:ptCount val="24"/>
                <c:pt idx="0">
                  <c:v>85</c:v>
                </c:pt>
                <c:pt idx="1">
                  <c:v>85</c:v>
                </c:pt>
                <c:pt idx="2">
                  <c:v>85</c:v>
                </c:pt>
                <c:pt idx="3">
                  <c:v>85</c:v>
                </c:pt>
                <c:pt idx="4">
                  <c:v>85</c:v>
                </c:pt>
                <c:pt idx="5">
                  <c:v>85</c:v>
                </c:pt>
                <c:pt idx="6">
                  <c:v>85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75</c:v>
                </c:pt>
                <c:pt idx="22">
                  <c:v>75</c:v>
                </c:pt>
                <c:pt idx="23">
                  <c:v>85</c:v>
                </c:pt>
              </c:numCache>
            </c:numRef>
          </c:val>
          <c:smooth val="0"/>
          <c:extLst>
            <c:ext xmlns:c16="http://schemas.microsoft.com/office/drawing/2014/chart" uri="{C3380CC4-5D6E-409C-BE32-E72D297353CC}">
              <c16:uniqueId val="{00000004-AF9F-484E-8FE8-2BA156E54AA1}"/>
            </c:ext>
          </c:extLst>
        </c:ser>
        <c:ser>
          <c:idx val="4"/>
          <c:order val="4"/>
          <c:tx>
            <c:strRef>
              <c:f>Schedules!$E$175</c:f>
              <c:strCache>
                <c:ptCount val="1"/>
                <c:pt idx="0">
                  <c:v>Game-WD-Fall&amp;Spring</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Schedules!$F$175:$AC$175</c:f>
              <c:numCache>
                <c:formatCode>0</c:formatCode>
                <c:ptCount val="24"/>
                <c:pt idx="0">
                  <c:v>85</c:v>
                </c:pt>
                <c:pt idx="1">
                  <c:v>85</c:v>
                </c:pt>
                <c:pt idx="2">
                  <c:v>85</c:v>
                </c:pt>
                <c:pt idx="3">
                  <c:v>85</c:v>
                </c:pt>
                <c:pt idx="4">
                  <c:v>85</c:v>
                </c:pt>
                <c:pt idx="5">
                  <c:v>85</c:v>
                </c:pt>
                <c:pt idx="6">
                  <c:v>85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75</c:v>
                </c:pt>
                <c:pt idx="22">
                  <c:v>75</c:v>
                </c:pt>
                <c:pt idx="23">
                  <c:v>85</c:v>
                </c:pt>
              </c:numCache>
            </c:numRef>
          </c:val>
          <c:smooth val="0"/>
          <c:extLst>
            <c:ext xmlns:c16="http://schemas.microsoft.com/office/drawing/2014/chart" uri="{C3380CC4-5D6E-409C-BE32-E72D297353CC}">
              <c16:uniqueId val="{00000005-AF9F-484E-8FE8-2BA156E54AA1}"/>
            </c:ext>
          </c:extLst>
        </c:ser>
        <c:ser>
          <c:idx val="5"/>
          <c:order val="5"/>
          <c:tx>
            <c:strRef>
              <c:f>Schedules!$E$176</c:f>
              <c:strCache>
                <c:ptCount val="1"/>
                <c:pt idx="0">
                  <c:v>All-WE-Winter</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Schedules!$F$176:$AC$176</c:f>
              <c:numCache>
                <c:formatCode>0</c:formatCode>
                <c:ptCount val="24"/>
                <c:pt idx="0">
                  <c:v>85</c:v>
                </c:pt>
                <c:pt idx="1">
                  <c:v>85</c:v>
                </c:pt>
                <c:pt idx="2">
                  <c:v>85</c:v>
                </c:pt>
                <c:pt idx="3">
                  <c:v>85</c:v>
                </c:pt>
                <c:pt idx="4">
                  <c:v>85</c:v>
                </c:pt>
                <c:pt idx="5">
                  <c:v>85</c:v>
                </c:pt>
                <c:pt idx="6">
                  <c:v>85</c:v>
                </c:pt>
                <c:pt idx="7">
                  <c:v>75</c:v>
                </c:pt>
                <c:pt idx="8">
                  <c:v>75</c:v>
                </c:pt>
                <c:pt idx="9">
                  <c:v>75</c:v>
                </c:pt>
                <c:pt idx="10">
                  <c:v>75</c:v>
                </c:pt>
                <c:pt idx="11">
                  <c:v>75</c:v>
                </c:pt>
                <c:pt idx="12">
                  <c:v>75</c:v>
                </c:pt>
                <c:pt idx="13">
                  <c:v>75</c:v>
                </c:pt>
                <c:pt idx="14">
                  <c:v>75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6-AF9F-484E-8FE8-2BA156E54AA1}"/>
            </c:ext>
          </c:extLst>
        </c:ser>
        <c:ser>
          <c:idx val="6"/>
          <c:order val="6"/>
          <c:tx>
            <c:strRef>
              <c:f>Schedules!$E$177</c:f>
              <c:strCache>
                <c:ptCount val="1"/>
                <c:pt idx="0">
                  <c:v>All-WE-Fall&amp;Spring</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Schedules!$F$177:$AC$177</c:f>
              <c:numCache>
                <c:formatCode>0</c:formatCode>
                <c:ptCount val="24"/>
                <c:pt idx="0">
                  <c:v>85</c:v>
                </c:pt>
                <c:pt idx="1">
                  <c:v>85</c:v>
                </c:pt>
                <c:pt idx="2">
                  <c:v>85</c:v>
                </c:pt>
                <c:pt idx="3">
                  <c:v>85</c:v>
                </c:pt>
                <c:pt idx="4">
                  <c:v>85</c:v>
                </c:pt>
                <c:pt idx="5">
                  <c:v>85</c:v>
                </c:pt>
                <c:pt idx="6">
                  <c:v>85</c:v>
                </c:pt>
                <c:pt idx="7">
                  <c:v>75</c:v>
                </c:pt>
                <c:pt idx="8">
                  <c:v>75</c:v>
                </c:pt>
                <c:pt idx="9">
                  <c:v>75</c:v>
                </c:pt>
                <c:pt idx="10">
                  <c:v>75</c:v>
                </c:pt>
                <c:pt idx="11">
                  <c:v>75</c:v>
                </c:pt>
                <c:pt idx="12">
                  <c:v>75</c:v>
                </c:pt>
                <c:pt idx="13">
                  <c:v>75</c:v>
                </c:pt>
                <c:pt idx="14">
                  <c:v>75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7-AF9F-484E-8FE8-2BA156E54AA1}"/>
            </c:ext>
          </c:extLst>
        </c:ser>
        <c:ser>
          <c:idx val="7"/>
          <c:order val="7"/>
          <c:tx>
            <c:strRef>
              <c:f>Schedules!$E$178</c:f>
              <c:strCache>
                <c:ptCount val="1"/>
                <c:pt idx="0">
                  <c:v>SummerCamp</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Schedules!$F$178:$AC$178</c:f>
              <c:numCache>
                <c:formatCode>0</c:formatCode>
                <c:ptCount val="24"/>
                <c:pt idx="0">
                  <c:v>85</c:v>
                </c:pt>
                <c:pt idx="1">
                  <c:v>85</c:v>
                </c:pt>
                <c:pt idx="2">
                  <c:v>85</c:v>
                </c:pt>
                <c:pt idx="3">
                  <c:v>85</c:v>
                </c:pt>
                <c:pt idx="4">
                  <c:v>85</c:v>
                </c:pt>
                <c:pt idx="5">
                  <c:v>85</c:v>
                </c:pt>
                <c:pt idx="6">
                  <c:v>85</c:v>
                </c:pt>
                <c:pt idx="7">
                  <c:v>75</c:v>
                </c:pt>
                <c:pt idx="8">
                  <c:v>75</c:v>
                </c:pt>
                <c:pt idx="9">
                  <c:v>75</c:v>
                </c:pt>
                <c:pt idx="10">
                  <c:v>75</c:v>
                </c:pt>
                <c:pt idx="11">
                  <c:v>75</c:v>
                </c:pt>
                <c:pt idx="12">
                  <c:v>75</c:v>
                </c:pt>
                <c:pt idx="13">
                  <c:v>75</c:v>
                </c:pt>
                <c:pt idx="14">
                  <c:v>75</c:v>
                </c:pt>
                <c:pt idx="15">
                  <c:v>75</c:v>
                </c:pt>
                <c:pt idx="16">
                  <c:v>75</c:v>
                </c:pt>
                <c:pt idx="17">
                  <c:v>75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8-AF9F-484E-8FE8-2BA156E54AA1}"/>
            </c:ext>
          </c:extLst>
        </c:ser>
        <c:dLbls>
          <c:showLegendKey val="0"/>
          <c:showVal val="0"/>
          <c:showCatName val="0"/>
          <c:showSerName val="0"/>
          <c:showPercent val="0"/>
          <c:showBubbleSize val="0"/>
        </c:dLbls>
        <c:smooth val="0"/>
        <c:axId val="899267696"/>
        <c:axId val="533929072"/>
      </c:lineChart>
      <c:catAx>
        <c:axId val="899267696"/>
        <c:scaling>
          <c:orientation val="minMax"/>
        </c:scaling>
        <c:delete val="0"/>
        <c:axPos val="b"/>
        <c:numFmt formatCode="General" sourceLinked="1"/>
        <c:majorTickMark val="out"/>
        <c:minorTickMark val="none"/>
        <c:tickLblPos val="nextTo"/>
        <c:crossAx val="533929072"/>
        <c:crosses val="autoZero"/>
        <c:auto val="1"/>
        <c:lblAlgn val="ctr"/>
        <c:lblOffset val="100"/>
        <c:noMultiLvlLbl val="0"/>
      </c:catAx>
      <c:valAx>
        <c:axId val="533929072"/>
        <c:scaling>
          <c:orientation val="minMax"/>
          <c:max val="90"/>
          <c:min val="50"/>
        </c:scaling>
        <c:delete val="0"/>
        <c:axPos val="l"/>
        <c:majorGridlines/>
        <c:numFmt formatCode="0" sourceLinked="1"/>
        <c:majorTickMark val="out"/>
        <c:minorTickMark val="none"/>
        <c:tickLblPos val="nextTo"/>
        <c:crossAx val="899267696"/>
        <c:crosses val="autoZero"/>
        <c:crossBetween val="between"/>
        <c:majorUnit val="10"/>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OAControl</a:t>
            </a:r>
          </a:p>
        </c:rich>
      </c:tx>
      <c:overlay val="0"/>
    </c:title>
    <c:autoTitleDeleted val="0"/>
    <c:plotArea>
      <c:layout/>
      <c:lineChart>
        <c:grouping val="standard"/>
        <c:varyColors val="0"/>
        <c:ser>
          <c:idx val="0"/>
          <c:order val="0"/>
          <c:tx>
            <c:strRef>
              <c:f>Schedules!$E$179</c:f>
              <c:strCache>
                <c:ptCount val="1"/>
                <c:pt idx="0">
                  <c:v>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Schedules!$F$179:$AC$179</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7FCB-445C-9F04-E34873B2B086}"/>
            </c:ext>
          </c:extLst>
        </c:ser>
        <c:ser>
          <c:idx val="1"/>
          <c:order val="1"/>
          <c:tx>
            <c:strRef>
              <c:f>Schedules!$E$180</c:f>
              <c:strCache>
                <c:ptCount val="1"/>
                <c:pt idx="0">
                  <c:v>Practice-WD-Winter</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Schedules!$F$180:$AC$180</c:f>
              <c:numCache>
                <c:formatCode>0.00</c:formatCode>
                <c:ptCount val="24"/>
                <c:pt idx="0">
                  <c:v>0</c:v>
                </c:pt>
                <c:pt idx="1">
                  <c:v>0</c:v>
                </c:pt>
                <c:pt idx="2">
                  <c:v>0</c:v>
                </c:pt>
                <c:pt idx="3">
                  <c:v>0</c:v>
                </c:pt>
                <c:pt idx="4">
                  <c:v>0</c:v>
                </c:pt>
                <c:pt idx="5">
                  <c:v>0</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0</c:v>
                </c:pt>
                <c:pt idx="22">
                  <c:v>0</c:v>
                </c:pt>
                <c:pt idx="23">
                  <c:v>0</c:v>
                </c:pt>
              </c:numCache>
            </c:numRef>
          </c:val>
          <c:smooth val="0"/>
          <c:extLst>
            <c:ext xmlns:c16="http://schemas.microsoft.com/office/drawing/2014/chart" uri="{C3380CC4-5D6E-409C-BE32-E72D297353CC}">
              <c16:uniqueId val="{00000002-7FCB-445C-9F04-E34873B2B086}"/>
            </c:ext>
          </c:extLst>
        </c:ser>
        <c:ser>
          <c:idx val="2"/>
          <c:order val="2"/>
          <c:tx>
            <c:strRef>
              <c:f>Schedules!$E$181</c:f>
              <c:strCache>
                <c:ptCount val="1"/>
                <c:pt idx="0">
                  <c:v>Practice-WD-Fall&amp;Spring</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Schedules!$F$181:$AC$181</c:f>
              <c:numCache>
                <c:formatCode>0.00</c:formatCode>
                <c:ptCount val="24"/>
                <c:pt idx="0">
                  <c:v>0</c:v>
                </c:pt>
                <c:pt idx="1">
                  <c:v>0</c:v>
                </c:pt>
                <c:pt idx="2">
                  <c:v>0</c:v>
                </c:pt>
                <c:pt idx="3">
                  <c:v>0</c:v>
                </c:pt>
                <c:pt idx="4">
                  <c:v>0</c:v>
                </c:pt>
                <c:pt idx="5">
                  <c:v>0</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0</c:v>
                </c:pt>
                <c:pt idx="22">
                  <c:v>0</c:v>
                </c:pt>
                <c:pt idx="23">
                  <c:v>0</c:v>
                </c:pt>
              </c:numCache>
            </c:numRef>
          </c:val>
          <c:smooth val="0"/>
          <c:extLst>
            <c:ext xmlns:c16="http://schemas.microsoft.com/office/drawing/2014/chart" uri="{C3380CC4-5D6E-409C-BE32-E72D297353CC}">
              <c16:uniqueId val="{00000003-7FCB-445C-9F04-E34873B2B086}"/>
            </c:ext>
          </c:extLst>
        </c:ser>
        <c:ser>
          <c:idx val="3"/>
          <c:order val="3"/>
          <c:tx>
            <c:strRef>
              <c:f>Schedules!$E$182</c:f>
              <c:strCache>
                <c:ptCount val="1"/>
                <c:pt idx="0">
                  <c:v>Game-WD-Winter</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Schedules!$F$182:$AC$182</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0</c:v>
                </c:pt>
              </c:numCache>
            </c:numRef>
          </c:val>
          <c:smooth val="0"/>
          <c:extLst>
            <c:ext xmlns:c16="http://schemas.microsoft.com/office/drawing/2014/chart" uri="{C3380CC4-5D6E-409C-BE32-E72D297353CC}">
              <c16:uniqueId val="{00000004-7FCB-445C-9F04-E34873B2B086}"/>
            </c:ext>
          </c:extLst>
        </c:ser>
        <c:ser>
          <c:idx val="4"/>
          <c:order val="4"/>
          <c:tx>
            <c:strRef>
              <c:f>Schedules!$E$183</c:f>
              <c:strCache>
                <c:ptCount val="1"/>
                <c:pt idx="0">
                  <c:v>Game-WD-Fall&amp;Spring</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Schedules!$F$183:$AC$183</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0</c:v>
                </c:pt>
              </c:numCache>
            </c:numRef>
          </c:val>
          <c:smooth val="0"/>
          <c:extLst>
            <c:ext xmlns:c16="http://schemas.microsoft.com/office/drawing/2014/chart" uri="{C3380CC4-5D6E-409C-BE32-E72D297353CC}">
              <c16:uniqueId val="{00000005-7FCB-445C-9F04-E34873B2B086}"/>
            </c:ext>
          </c:extLst>
        </c:ser>
        <c:ser>
          <c:idx val="5"/>
          <c:order val="5"/>
          <c:tx>
            <c:strRef>
              <c:f>Schedules!$E$184</c:f>
              <c:strCache>
                <c:ptCount val="1"/>
                <c:pt idx="0">
                  <c:v>All-WE-Winter</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Schedules!$F$184:$AC$184</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6-7FCB-445C-9F04-E34873B2B086}"/>
            </c:ext>
          </c:extLst>
        </c:ser>
        <c:ser>
          <c:idx val="6"/>
          <c:order val="6"/>
          <c:tx>
            <c:strRef>
              <c:f>Schedules!$E$185</c:f>
              <c:strCache>
                <c:ptCount val="1"/>
                <c:pt idx="0">
                  <c:v>All-WE-Fall&amp;Spring</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Schedules!$F$185:$AC$185</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7-7FCB-445C-9F04-E34873B2B086}"/>
            </c:ext>
          </c:extLst>
        </c:ser>
        <c:ser>
          <c:idx val="7"/>
          <c:order val="7"/>
          <c:tx>
            <c:strRef>
              <c:f>Schedules!$E$186</c:f>
              <c:strCache>
                <c:ptCount val="1"/>
                <c:pt idx="0">
                  <c:v>SummerCamp</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Schedules!$F$186:$AC$186</c:f>
              <c:numCache>
                <c:formatCode>0.00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1</c:v>
                </c:pt>
                <c:pt idx="17">
                  <c:v>1</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8-7FCB-445C-9F04-E34873B2B086}"/>
            </c:ext>
          </c:extLst>
        </c:ser>
        <c:dLbls>
          <c:showLegendKey val="0"/>
          <c:showVal val="0"/>
          <c:showCatName val="0"/>
          <c:showSerName val="0"/>
          <c:showPercent val="0"/>
          <c:showBubbleSize val="0"/>
        </c:dLbls>
        <c:smooth val="0"/>
        <c:axId val="899309920"/>
        <c:axId val="533969872"/>
      </c:lineChart>
      <c:catAx>
        <c:axId val="899309920"/>
        <c:scaling>
          <c:orientation val="minMax"/>
        </c:scaling>
        <c:delete val="0"/>
        <c:axPos val="b"/>
        <c:numFmt formatCode="General" sourceLinked="1"/>
        <c:majorTickMark val="out"/>
        <c:minorTickMark val="none"/>
        <c:tickLblPos val="nextTo"/>
        <c:crossAx val="533969872"/>
        <c:crosses val="autoZero"/>
        <c:auto val="1"/>
        <c:lblAlgn val="ctr"/>
        <c:lblOffset val="100"/>
        <c:noMultiLvlLbl val="0"/>
      </c:catAx>
      <c:valAx>
        <c:axId val="533969872"/>
        <c:scaling>
          <c:orientation val="minMax"/>
          <c:max val="1"/>
          <c:min val="0"/>
        </c:scaling>
        <c:delete val="0"/>
        <c:axPos val="l"/>
        <c:majorGridlines/>
        <c:numFmt formatCode="0.00" sourceLinked="1"/>
        <c:majorTickMark val="out"/>
        <c:minorTickMark val="none"/>
        <c:tickLblPos val="nextTo"/>
        <c:crossAx val="899309920"/>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Infiltration</a:t>
            </a:r>
          </a:p>
        </c:rich>
      </c:tx>
      <c:overlay val="0"/>
    </c:title>
    <c:autoTitleDeleted val="0"/>
    <c:plotArea>
      <c:layout/>
      <c:lineChart>
        <c:grouping val="standard"/>
        <c:varyColors val="0"/>
        <c:ser>
          <c:idx val="0"/>
          <c:order val="0"/>
          <c:tx>
            <c:strRef>
              <c:f>Schedules!$E$187</c:f>
              <c:strCache>
                <c:ptCount val="1"/>
                <c:pt idx="0">
                  <c:v>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Schedules!$F$187:$AC$187</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3194-441C-BC05-4219DC58176B}"/>
            </c:ext>
          </c:extLst>
        </c:ser>
        <c:ser>
          <c:idx val="1"/>
          <c:order val="1"/>
          <c:tx>
            <c:strRef>
              <c:f>Schedules!$E$188</c:f>
              <c:strCache>
                <c:ptCount val="1"/>
                <c:pt idx="0">
                  <c:v>Practice-WD-Winter</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Schedules!$F$188:$AC$188</c:f>
              <c:numCache>
                <c:formatCode>0.00</c:formatCode>
                <c:ptCount val="24"/>
                <c:pt idx="0">
                  <c:v>1</c:v>
                </c:pt>
                <c:pt idx="1">
                  <c:v>1</c:v>
                </c:pt>
                <c:pt idx="2">
                  <c:v>1</c:v>
                </c:pt>
                <c:pt idx="3">
                  <c:v>1</c:v>
                </c:pt>
                <c:pt idx="4">
                  <c:v>1</c:v>
                </c:pt>
                <c:pt idx="5">
                  <c:v>1</c:v>
                </c:pt>
                <c:pt idx="6">
                  <c:v>0.25</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1</c:v>
                </c:pt>
                <c:pt idx="22">
                  <c:v>1</c:v>
                </c:pt>
                <c:pt idx="23">
                  <c:v>1</c:v>
                </c:pt>
              </c:numCache>
            </c:numRef>
          </c:val>
          <c:smooth val="0"/>
          <c:extLst>
            <c:ext xmlns:c16="http://schemas.microsoft.com/office/drawing/2014/chart" uri="{C3380CC4-5D6E-409C-BE32-E72D297353CC}">
              <c16:uniqueId val="{00000002-3194-441C-BC05-4219DC58176B}"/>
            </c:ext>
          </c:extLst>
        </c:ser>
        <c:ser>
          <c:idx val="2"/>
          <c:order val="2"/>
          <c:tx>
            <c:strRef>
              <c:f>Schedules!$E$189</c:f>
              <c:strCache>
                <c:ptCount val="1"/>
                <c:pt idx="0">
                  <c:v>Practice-WD-Fall&amp;Spring</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Schedules!$F$189:$AC$189</c:f>
              <c:numCache>
                <c:formatCode>0.00</c:formatCode>
                <c:ptCount val="24"/>
                <c:pt idx="0">
                  <c:v>1</c:v>
                </c:pt>
                <c:pt idx="1">
                  <c:v>1</c:v>
                </c:pt>
                <c:pt idx="2">
                  <c:v>1</c:v>
                </c:pt>
                <c:pt idx="3">
                  <c:v>1</c:v>
                </c:pt>
                <c:pt idx="4">
                  <c:v>1</c:v>
                </c:pt>
                <c:pt idx="5">
                  <c:v>1</c:v>
                </c:pt>
                <c:pt idx="6">
                  <c:v>0.25</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1</c:v>
                </c:pt>
                <c:pt idx="22">
                  <c:v>1</c:v>
                </c:pt>
                <c:pt idx="23">
                  <c:v>1</c:v>
                </c:pt>
              </c:numCache>
            </c:numRef>
          </c:val>
          <c:smooth val="0"/>
          <c:extLst>
            <c:ext xmlns:c16="http://schemas.microsoft.com/office/drawing/2014/chart" uri="{C3380CC4-5D6E-409C-BE32-E72D297353CC}">
              <c16:uniqueId val="{00000003-3194-441C-BC05-4219DC58176B}"/>
            </c:ext>
          </c:extLst>
        </c:ser>
        <c:ser>
          <c:idx val="3"/>
          <c:order val="3"/>
          <c:tx>
            <c:strRef>
              <c:f>Schedules!$E$190</c:f>
              <c:strCache>
                <c:ptCount val="1"/>
                <c:pt idx="0">
                  <c:v>Game-WD-Winter</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Schedules!$F$190:$AC$190</c:f>
              <c:numCache>
                <c:formatCode>0.00</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1</c:v>
                </c:pt>
              </c:numCache>
            </c:numRef>
          </c:val>
          <c:smooth val="0"/>
          <c:extLst>
            <c:ext xmlns:c16="http://schemas.microsoft.com/office/drawing/2014/chart" uri="{C3380CC4-5D6E-409C-BE32-E72D297353CC}">
              <c16:uniqueId val="{00000004-3194-441C-BC05-4219DC58176B}"/>
            </c:ext>
          </c:extLst>
        </c:ser>
        <c:ser>
          <c:idx val="4"/>
          <c:order val="4"/>
          <c:tx>
            <c:strRef>
              <c:f>Schedules!$E$191</c:f>
              <c:strCache>
                <c:ptCount val="1"/>
                <c:pt idx="0">
                  <c:v>Game-WD-Fall&amp;Spring</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Schedules!$F$191:$AC$191</c:f>
              <c:numCache>
                <c:formatCode>0.00</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0.25</c:v>
                </c:pt>
                <c:pt idx="23">
                  <c:v>1</c:v>
                </c:pt>
              </c:numCache>
            </c:numRef>
          </c:val>
          <c:smooth val="0"/>
          <c:extLst>
            <c:ext xmlns:c16="http://schemas.microsoft.com/office/drawing/2014/chart" uri="{C3380CC4-5D6E-409C-BE32-E72D297353CC}">
              <c16:uniqueId val="{00000005-3194-441C-BC05-4219DC58176B}"/>
            </c:ext>
          </c:extLst>
        </c:ser>
        <c:ser>
          <c:idx val="5"/>
          <c:order val="5"/>
          <c:tx>
            <c:strRef>
              <c:f>Schedules!$E$192</c:f>
              <c:strCache>
                <c:ptCount val="1"/>
                <c:pt idx="0">
                  <c:v>All-WE-Winter</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Schedules!$F$192:$AC$192</c:f>
              <c:numCache>
                <c:formatCode>0.00</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0.25</c:v>
                </c:pt>
                <c:pt idx="14">
                  <c:v>0.25</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6-3194-441C-BC05-4219DC58176B}"/>
            </c:ext>
          </c:extLst>
        </c:ser>
        <c:ser>
          <c:idx val="6"/>
          <c:order val="6"/>
          <c:tx>
            <c:strRef>
              <c:f>Schedules!$E$193</c:f>
              <c:strCache>
                <c:ptCount val="1"/>
                <c:pt idx="0">
                  <c:v>All-WE-Fall &amp; Spring</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Schedules!$F$193:$AC$193</c:f>
              <c:numCache>
                <c:formatCode>0.00</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0.25</c:v>
                </c:pt>
                <c:pt idx="14">
                  <c:v>0.25</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7-3194-441C-BC05-4219DC58176B}"/>
            </c:ext>
          </c:extLst>
        </c:ser>
        <c:ser>
          <c:idx val="7"/>
          <c:order val="7"/>
          <c:tx>
            <c:strRef>
              <c:f>Schedules!$E$194</c:f>
              <c:strCache>
                <c:ptCount val="1"/>
                <c:pt idx="0">
                  <c:v>SummerCamp</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Schedules!$F$194:$AC$194</c:f>
              <c:numCache>
                <c:formatCode>0.00</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0.25</c:v>
                </c:pt>
                <c:pt idx="14">
                  <c:v>0.25</c:v>
                </c:pt>
                <c:pt idx="15">
                  <c:v>0.25</c:v>
                </c:pt>
                <c:pt idx="16">
                  <c:v>0.25</c:v>
                </c:pt>
                <c:pt idx="17">
                  <c:v>0.25</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8-3194-441C-BC05-4219DC58176B}"/>
            </c:ext>
          </c:extLst>
        </c:ser>
        <c:dLbls>
          <c:showLegendKey val="0"/>
          <c:showVal val="0"/>
          <c:showCatName val="0"/>
          <c:showSerName val="0"/>
          <c:showPercent val="0"/>
          <c:showBubbleSize val="0"/>
        </c:dLbls>
        <c:smooth val="0"/>
        <c:axId val="899357712"/>
        <c:axId val="533755792"/>
      </c:lineChart>
      <c:catAx>
        <c:axId val="899357712"/>
        <c:scaling>
          <c:orientation val="minMax"/>
        </c:scaling>
        <c:delete val="0"/>
        <c:axPos val="b"/>
        <c:numFmt formatCode="General" sourceLinked="1"/>
        <c:majorTickMark val="out"/>
        <c:minorTickMark val="none"/>
        <c:tickLblPos val="nextTo"/>
        <c:crossAx val="533755792"/>
        <c:crosses val="autoZero"/>
        <c:auto val="1"/>
        <c:lblAlgn val="ctr"/>
        <c:lblOffset val="100"/>
        <c:noMultiLvlLbl val="0"/>
      </c:catAx>
      <c:valAx>
        <c:axId val="533755792"/>
        <c:scaling>
          <c:orientation val="minMax"/>
          <c:max val="1"/>
          <c:min val="0"/>
        </c:scaling>
        <c:delete val="0"/>
        <c:axPos val="l"/>
        <c:majorGridlines/>
        <c:numFmt formatCode="0.00" sourceLinked="1"/>
        <c:majorTickMark val="out"/>
        <c:minorTickMark val="none"/>
        <c:tickLblPos val="nextTo"/>
        <c:crossAx val="899357712"/>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Refrigeration</a:t>
            </a:r>
          </a:p>
        </c:rich>
      </c:tx>
      <c:overlay val="0"/>
    </c:title>
    <c:autoTitleDeleted val="0"/>
    <c:plotArea>
      <c:layout/>
      <c:lineChart>
        <c:grouping val="standard"/>
        <c:varyColors val="0"/>
        <c:ser>
          <c:idx val="0"/>
          <c:order val="0"/>
          <c:tx>
            <c:strRef>
              <c:f>Schedules!$E$195</c:f>
              <c:strCache>
                <c:ptCount val="1"/>
                <c:pt idx="0">
                  <c:v>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Schedules!$F$195:$AC$195</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1-E68C-4F6E-8461-E6A4ADEBAF4C}"/>
            </c:ext>
          </c:extLst>
        </c:ser>
        <c:ser>
          <c:idx val="1"/>
          <c:order val="1"/>
          <c:tx>
            <c:strRef>
              <c:f>Schedules!$E$196</c:f>
              <c:strCache>
                <c:ptCount val="1"/>
                <c:pt idx="0">
                  <c:v>Practice-WD-Winter</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Schedules!$F$196:$AC$196</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2-E68C-4F6E-8461-E6A4ADEBAF4C}"/>
            </c:ext>
          </c:extLst>
        </c:ser>
        <c:ser>
          <c:idx val="2"/>
          <c:order val="2"/>
          <c:tx>
            <c:strRef>
              <c:f>Schedules!$E$197</c:f>
              <c:strCache>
                <c:ptCount val="1"/>
                <c:pt idx="0">
                  <c:v>Practice-WD-Fall&amp;Spring</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Schedules!$F$197:$AC$197</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3-E68C-4F6E-8461-E6A4ADEBAF4C}"/>
            </c:ext>
          </c:extLst>
        </c:ser>
        <c:ser>
          <c:idx val="3"/>
          <c:order val="3"/>
          <c:tx>
            <c:strRef>
              <c:f>Schedules!$E$198</c:f>
              <c:strCache>
                <c:ptCount val="1"/>
                <c:pt idx="0">
                  <c:v>Game-WD-Winter</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Schedules!$F$198:$AC$198</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4-E68C-4F6E-8461-E6A4ADEBAF4C}"/>
            </c:ext>
          </c:extLst>
        </c:ser>
        <c:ser>
          <c:idx val="4"/>
          <c:order val="4"/>
          <c:tx>
            <c:strRef>
              <c:f>Schedules!$E$199</c:f>
              <c:strCache>
                <c:ptCount val="1"/>
                <c:pt idx="0">
                  <c:v>Game-WD-Fall&amp;Spring</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Schedules!$F$199:$AC$199</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5-E68C-4F6E-8461-E6A4ADEBAF4C}"/>
            </c:ext>
          </c:extLst>
        </c:ser>
        <c:ser>
          <c:idx val="5"/>
          <c:order val="5"/>
          <c:tx>
            <c:strRef>
              <c:f>Schedules!$E$200</c:f>
              <c:strCache>
                <c:ptCount val="1"/>
                <c:pt idx="0">
                  <c:v>All WE-Winter</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Schedules!$F$200:$AC$200</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6-E68C-4F6E-8461-E6A4ADEBAF4C}"/>
            </c:ext>
          </c:extLst>
        </c:ser>
        <c:ser>
          <c:idx val="6"/>
          <c:order val="6"/>
          <c:tx>
            <c:strRef>
              <c:f>Schedules!$E$201</c:f>
              <c:strCache>
                <c:ptCount val="1"/>
                <c:pt idx="0">
                  <c:v>All WE-Fall &amp; Spring</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Schedules!$F$201:$AC$201</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7-E68C-4F6E-8461-E6A4ADEBAF4C}"/>
            </c:ext>
          </c:extLst>
        </c:ser>
        <c:ser>
          <c:idx val="7"/>
          <c:order val="7"/>
          <c:tx>
            <c:strRef>
              <c:f>Schedules!$E$202</c:f>
              <c:strCache>
                <c:ptCount val="1"/>
                <c:pt idx="0">
                  <c:v>Summer Camp</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Schedules!$F$202:$AC$202</c:f>
              <c:numCache>
                <c:formatCode>0.00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8-E68C-4F6E-8461-E6A4ADEBAF4C}"/>
            </c:ext>
          </c:extLst>
        </c:ser>
        <c:dLbls>
          <c:showLegendKey val="0"/>
          <c:showVal val="0"/>
          <c:showCatName val="0"/>
          <c:showSerName val="0"/>
          <c:showPercent val="0"/>
          <c:showBubbleSize val="0"/>
        </c:dLbls>
        <c:smooth val="0"/>
        <c:axId val="899398080"/>
        <c:axId val="533798992"/>
      </c:lineChart>
      <c:catAx>
        <c:axId val="899398080"/>
        <c:scaling>
          <c:orientation val="minMax"/>
        </c:scaling>
        <c:delete val="0"/>
        <c:axPos val="b"/>
        <c:numFmt formatCode="General" sourceLinked="1"/>
        <c:majorTickMark val="out"/>
        <c:minorTickMark val="none"/>
        <c:tickLblPos val="nextTo"/>
        <c:crossAx val="533798992"/>
        <c:crosses val="autoZero"/>
        <c:auto val="1"/>
        <c:lblAlgn val="ctr"/>
        <c:lblOffset val="100"/>
        <c:noMultiLvlLbl val="0"/>
      </c:catAx>
      <c:valAx>
        <c:axId val="533798992"/>
        <c:scaling>
          <c:orientation val="minMax"/>
          <c:max val="1"/>
          <c:min val="0"/>
        </c:scaling>
        <c:delete val="0"/>
        <c:axPos val="l"/>
        <c:majorGridlines/>
        <c:numFmt formatCode="0.00" sourceLinked="1"/>
        <c:majorTickMark val="out"/>
        <c:minorTickMark val="none"/>
        <c:tickLblPos val="nextTo"/>
        <c:crossAx val="899398080"/>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ServiceHotWater</a:t>
            </a:r>
          </a:p>
        </c:rich>
      </c:tx>
      <c:overlay val="0"/>
    </c:title>
    <c:autoTitleDeleted val="0"/>
    <c:plotArea>
      <c:layout/>
      <c:lineChart>
        <c:grouping val="standard"/>
        <c:varyColors val="0"/>
        <c:ser>
          <c:idx val="0"/>
          <c:order val="0"/>
          <c:tx>
            <c:strRef>
              <c:f>Schedules!$E$203</c:f>
              <c:strCache>
                <c:ptCount val="1"/>
                <c:pt idx="0">
                  <c:v>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Schedules!$F$203:$AC$203</c:f>
              <c:numCache>
                <c:formatCode>0.00</c:formatCode>
                <c:ptCount val="24"/>
                <c:pt idx="0">
                  <c:v>0.03</c:v>
                </c:pt>
                <c:pt idx="1">
                  <c:v>0.03</c:v>
                </c:pt>
                <c:pt idx="2">
                  <c:v>0.03</c:v>
                </c:pt>
                <c:pt idx="3">
                  <c:v>0.03</c:v>
                </c:pt>
                <c:pt idx="4">
                  <c:v>0.03</c:v>
                </c:pt>
                <c:pt idx="5">
                  <c:v>0.03</c:v>
                </c:pt>
                <c:pt idx="6">
                  <c:v>0.03</c:v>
                </c:pt>
                <c:pt idx="7">
                  <c:v>0.03</c:v>
                </c:pt>
                <c:pt idx="8">
                  <c:v>0.03</c:v>
                </c:pt>
                <c:pt idx="9">
                  <c:v>0.03</c:v>
                </c:pt>
                <c:pt idx="10">
                  <c:v>0.03</c:v>
                </c:pt>
                <c:pt idx="11">
                  <c:v>0.03</c:v>
                </c:pt>
                <c:pt idx="12">
                  <c:v>0.03</c:v>
                </c:pt>
                <c:pt idx="13">
                  <c:v>0.03</c:v>
                </c:pt>
                <c:pt idx="14">
                  <c:v>0.03</c:v>
                </c:pt>
                <c:pt idx="15">
                  <c:v>0.03</c:v>
                </c:pt>
                <c:pt idx="16">
                  <c:v>0.03</c:v>
                </c:pt>
                <c:pt idx="17">
                  <c:v>0.03</c:v>
                </c:pt>
                <c:pt idx="18">
                  <c:v>0.03</c:v>
                </c:pt>
                <c:pt idx="19">
                  <c:v>0.03</c:v>
                </c:pt>
                <c:pt idx="20">
                  <c:v>0.03</c:v>
                </c:pt>
                <c:pt idx="21">
                  <c:v>0.03</c:v>
                </c:pt>
                <c:pt idx="22">
                  <c:v>0.03</c:v>
                </c:pt>
                <c:pt idx="23">
                  <c:v>0.03</c:v>
                </c:pt>
              </c:numCache>
            </c:numRef>
          </c:val>
          <c:smooth val="0"/>
          <c:extLst>
            <c:ext xmlns:c16="http://schemas.microsoft.com/office/drawing/2014/chart" uri="{C3380CC4-5D6E-409C-BE32-E72D297353CC}">
              <c16:uniqueId val="{00000001-776F-4E3D-933A-1D2AB74C6098}"/>
            </c:ext>
          </c:extLst>
        </c:ser>
        <c:ser>
          <c:idx val="1"/>
          <c:order val="1"/>
          <c:tx>
            <c:strRef>
              <c:f>Schedules!$E$204</c:f>
              <c:strCache>
                <c:ptCount val="1"/>
                <c:pt idx="0">
                  <c:v>Practice-WD-Winter</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Schedules!$F$204:$AC$204</c:f>
              <c:numCache>
                <c:formatCode>0.00</c:formatCode>
                <c:ptCount val="24"/>
                <c:pt idx="0">
                  <c:v>0.03</c:v>
                </c:pt>
                <c:pt idx="1">
                  <c:v>0.03</c:v>
                </c:pt>
                <c:pt idx="2">
                  <c:v>0.03</c:v>
                </c:pt>
                <c:pt idx="3">
                  <c:v>0.03</c:v>
                </c:pt>
                <c:pt idx="4">
                  <c:v>0.03</c:v>
                </c:pt>
                <c:pt idx="5">
                  <c:v>0.03</c:v>
                </c:pt>
                <c:pt idx="6">
                  <c:v>0.05</c:v>
                </c:pt>
                <c:pt idx="7">
                  <c:v>0.25</c:v>
                </c:pt>
                <c:pt idx="8">
                  <c:v>0.25</c:v>
                </c:pt>
                <c:pt idx="9">
                  <c:v>0.25</c:v>
                </c:pt>
                <c:pt idx="10">
                  <c:v>0.25</c:v>
                </c:pt>
                <c:pt idx="11">
                  <c:v>0.25</c:v>
                </c:pt>
                <c:pt idx="12">
                  <c:v>0.05</c:v>
                </c:pt>
                <c:pt idx="13">
                  <c:v>0.25</c:v>
                </c:pt>
                <c:pt idx="14">
                  <c:v>0.25</c:v>
                </c:pt>
                <c:pt idx="15">
                  <c:v>0.25</c:v>
                </c:pt>
                <c:pt idx="16">
                  <c:v>0.25</c:v>
                </c:pt>
                <c:pt idx="17">
                  <c:v>0.25</c:v>
                </c:pt>
                <c:pt idx="18">
                  <c:v>0.25</c:v>
                </c:pt>
                <c:pt idx="19">
                  <c:v>0.25</c:v>
                </c:pt>
                <c:pt idx="20">
                  <c:v>0.05</c:v>
                </c:pt>
                <c:pt idx="21">
                  <c:v>0.03</c:v>
                </c:pt>
                <c:pt idx="22">
                  <c:v>0.03</c:v>
                </c:pt>
                <c:pt idx="23">
                  <c:v>0.03</c:v>
                </c:pt>
              </c:numCache>
            </c:numRef>
          </c:val>
          <c:smooth val="0"/>
          <c:extLst>
            <c:ext xmlns:c16="http://schemas.microsoft.com/office/drawing/2014/chart" uri="{C3380CC4-5D6E-409C-BE32-E72D297353CC}">
              <c16:uniqueId val="{00000002-776F-4E3D-933A-1D2AB74C6098}"/>
            </c:ext>
          </c:extLst>
        </c:ser>
        <c:ser>
          <c:idx val="2"/>
          <c:order val="2"/>
          <c:tx>
            <c:strRef>
              <c:f>Schedules!$E$205</c:f>
              <c:strCache>
                <c:ptCount val="1"/>
                <c:pt idx="0">
                  <c:v>Practice-WD-Fall&amp;Spring</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Schedules!$F$205:$AC$205</c:f>
              <c:numCache>
                <c:formatCode>0.00</c:formatCode>
                <c:ptCount val="24"/>
                <c:pt idx="0">
                  <c:v>0.03</c:v>
                </c:pt>
                <c:pt idx="1">
                  <c:v>0.03</c:v>
                </c:pt>
                <c:pt idx="2">
                  <c:v>0.03</c:v>
                </c:pt>
                <c:pt idx="3">
                  <c:v>0.03</c:v>
                </c:pt>
                <c:pt idx="4">
                  <c:v>0.03</c:v>
                </c:pt>
                <c:pt idx="5">
                  <c:v>0.03</c:v>
                </c:pt>
                <c:pt idx="6">
                  <c:v>0.05</c:v>
                </c:pt>
                <c:pt idx="7">
                  <c:v>0.125</c:v>
                </c:pt>
                <c:pt idx="8">
                  <c:v>0.125</c:v>
                </c:pt>
                <c:pt idx="9">
                  <c:v>0.125</c:v>
                </c:pt>
                <c:pt idx="10">
                  <c:v>0.125</c:v>
                </c:pt>
                <c:pt idx="11">
                  <c:v>0.125</c:v>
                </c:pt>
                <c:pt idx="12">
                  <c:v>0.05</c:v>
                </c:pt>
                <c:pt idx="13">
                  <c:v>0.125</c:v>
                </c:pt>
                <c:pt idx="14">
                  <c:v>0.125</c:v>
                </c:pt>
                <c:pt idx="15">
                  <c:v>0.125</c:v>
                </c:pt>
                <c:pt idx="16">
                  <c:v>0.125</c:v>
                </c:pt>
                <c:pt idx="17">
                  <c:v>0.125</c:v>
                </c:pt>
                <c:pt idx="18">
                  <c:v>0.125</c:v>
                </c:pt>
                <c:pt idx="19">
                  <c:v>0.125</c:v>
                </c:pt>
                <c:pt idx="20">
                  <c:v>0.05</c:v>
                </c:pt>
                <c:pt idx="21">
                  <c:v>0.03</c:v>
                </c:pt>
                <c:pt idx="22">
                  <c:v>0.03</c:v>
                </c:pt>
                <c:pt idx="23">
                  <c:v>0.03</c:v>
                </c:pt>
              </c:numCache>
            </c:numRef>
          </c:val>
          <c:smooth val="0"/>
          <c:extLst>
            <c:ext xmlns:c16="http://schemas.microsoft.com/office/drawing/2014/chart" uri="{C3380CC4-5D6E-409C-BE32-E72D297353CC}">
              <c16:uniqueId val="{00000003-776F-4E3D-933A-1D2AB74C6098}"/>
            </c:ext>
          </c:extLst>
        </c:ser>
        <c:ser>
          <c:idx val="3"/>
          <c:order val="3"/>
          <c:tx>
            <c:strRef>
              <c:f>Schedules!$E$206</c:f>
              <c:strCache>
                <c:ptCount val="1"/>
                <c:pt idx="0">
                  <c:v>Game-WD-Winter</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Schedules!$F$206:$AC$206</c:f>
              <c:numCache>
                <c:formatCode>0.00</c:formatCode>
                <c:ptCount val="24"/>
                <c:pt idx="0">
                  <c:v>0.03</c:v>
                </c:pt>
                <c:pt idx="1">
                  <c:v>0.03</c:v>
                </c:pt>
                <c:pt idx="2">
                  <c:v>0.03</c:v>
                </c:pt>
                <c:pt idx="3">
                  <c:v>0.03</c:v>
                </c:pt>
                <c:pt idx="4">
                  <c:v>0.03</c:v>
                </c:pt>
                <c:pt idx="5">
                  <c:v>0.03</c:v>
                </c:pt>
                <c:pt idx="6">
                  <c:v>0.03</c:v>
                </c:pt>
                <c:pt idx="7">
                  <c:v>0.05</c:v>
                </c:pt>
                <c:pt idx="8">
                  <c:v>0.25</c:v>
                </c:pt>
                <c:pt idx="9">
                  <c:v>0.25</c:v>
                </c:pt>
                <c:pt idx="10">
                  <c:v>0.25</c:v>
                </c:pt>
                <c:pt idx="11">
                  <c:v>0.25</c:v>
                </c:pt>
                <c:pt idx="12">
                  <c:v>0.05</c:v>
                </c:pt>
                <c:pt idx="13">
                  <c:v>0.25</c:v>
                </c:pt>
                <c:pt idx="14">
                  <c:v>0.25</c:v>
                </c:pt>
                <c:pt idx="15">
                  <c:v>0.05</c:v>
                </c:pt>
                <c:pt idx="16">
                  <c:v>0.05</c:v>
                </c:pt>
                <c:pt idx="17">
                  <c:v>0.05</c:v>
                </c:pt>
                <c:pt idx="18">
                  <c:v>0.5</c:v>
                </c:pt>
                <c:pt idx="19">
                  <c:v>0.5</c:v>
                </c:pt>
                <c:pt idx="20">
                  <c:v>0.95</c:v>
                </c:pt>
                <c:pt idx="21">
                  <c:v>0.95</c:v>
                </c:pt>
                <c:pt idx="22">
                  <c:v>0.05</c:v>
                </c:pt>
                <c:pt idx="23">
                  <c:v>0.03</c:v>
                </c:pt>
              </c:numCache>
            </c:numRef>
          </c:val>
          <c:smooth val="0"/>
          <c:extLst>
            <c:ext xmlns:c16="http://schemas.microsoft.com/office/drawing/2014/chart" uri="{C3380CC4-5D6E-409C-BE32-E72D297353CC}">
              <c16:uniqueId val="{00000004-776F-4E3D-933A-1D2AB74C6098}"/>
            </c:ext>
          </c:extLst>
        </c:ser>
        <c:ser>
          <c:idx val="4"/>
          <c:order val="4"/>
          <c:tx>
            <c:strRef>
              <c:f>Schedules!$E$207</c:f>
              <c:strCache>
                <c:ptCount val="1"/>
                <c:pt idx="0">
                  <c:v>Game-WD-Fall&amp;Spring</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Schedules!$F$207:$AC$207</c:f>
              <c:numCache>
                <c:formatCode>0.00</c:formatCode>
                <c:ptCount val="24"/>
                <c:pt idx="0">
                  <c:v>0.03</c:v>
                </c:pt>
                <c:pt idx="1">
                  <c:v>0.03</c:v>
                </c:pt>
                <c:pt idx="2">
                  <c:v>0.03</c:v>
                </c:pt>
                <c:pt idx="3">
                  <c:v>0.03</c:v>
                </c:pt>
                <c:pt idx="4">
                  <c:v>0.03</c:v>
                </c:pt>
                <c:pt idx="5">
                  <c:v>0.03</c:v>
                </c:pt>
                <c:pt idx="6">
                  <c:v>0.03</c:v>
                </c:pt>
                <c:pt idx="7">
                  <c:v>0.05</c:v>
                </c:pt>
                <c:pt idx="8">
                  <c:v>0.125</c:v>
                </c:pt>
                <c:pt idx="9">
                  <c:v>0.125</c:v>
                </c:pt>
                <c:pt idx="10">
                  <c:v>0.125</c:v>
                </c:pt>
                <c:pt idx="11">
                  <c:v>0.125</c:v>
                </c:pt>
                <c:pt idx="12">
                  <c:v>0.05</c:v>
                </c:pt>
                <c:pt idx="13">
                  <c:v>0.125</c:v>
                </c:pt>
                <c:pt idx="14">
                  <c:v>0.125</c:v>
                </c:pt>
                <c:pt idx="15">
                  <c:v>0.05</c:v>
                </c:pt>
                <c:pt idx="16">
                  <c:v>0.05</c:v>
                </c:pt>
                <c:pt idx="17">
                  <c:v>0.05</c:v>
                </c:pt>
                <c:pt idx="18">
                  <c:v>0.25</c:v>
                </c:pt>
                <c:pt idx="19">
                  <c:v>0.25</c:v>
                </c:pt>
                <c:pt idx="20">
                  <c:v>0.5</c:v>
                </c:pt>
                <c:pt idx="21">
                  <c:v>0.5</c:v>
                </c:pt>
                <c:pt idx="22">
                  <c:v>0.05</c:v>
                </c:pt>
                <c:pt idx="23">
                  <c:v>0.03</c:v>
                </c:pt>
              </c:numCache>
            </c:numRef>
          </c:val>
          <c:smooth val="0"/>
          <c:extLst>
            <c:ext xmlns:c16="http://schemas.microsoft.com/office/drawing/2014/chart" uri="{C3380CC4-5D6E-409C-BE32-E72D297353CC}">
              <c16:uniqueId val="{00000005-776F-4E3D-933A-1D2AB74C6098}"/>
            </c:ext>
          </c:extLst>
        </c:ser>
        <c:ser>
          <c:idx val="5"/>
          <c:order val="5"/>
          <c:tx>
            <c:strRef>
              <c:f>Schedules!$E$208</c:f>
              <c:strCache>
                <c:ptCount val="1"/>
                <c:pt idx="0">
                  <c:v>All WE - Winter</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Schedules!$F$208:$AC$208</c:f>
              <c:numCache>
                <c:formatCode>0.00</c:formatCode>
                <c:ptCount val="24"/>
                <c:pt idx="0">
                  <c:v>0.03</c:v>
                </c:pt>
                <c:pt idx="1">
                  <c:v>0.03</c:v>
                </c:pt>
                <c:pt idx="2">
                  <c:v>0.03</c:v>
                </c:pt>
                <c:pt idx="3">
                  <c:v>0.03</c:v>
                </c:pt>
                <c:pt idx="4">
                  <c:v>0.03</c:v>
                </c:pt>
                <c:pt idx="5">
                  <c:v>0.03</c:v>
                </c:pt>
                <c:pt idx="6">
                  <c:v>0.03</c:v>
                </c:pt>
                <c:pt idx="7">
                  <c:v>0.05</c:v>
                </c:pt>
                <c:pt idx="8">
                  <c:v>0.95</c:v>
                </c:pt>
                <c:pt idx="9">
                  <c:v>0.95</c:v>
                </c:pt>
                <c:pt idx="10">
                  <c:v>0.95</c:v>
                </c:pt>
                <c:pt idx="11">
                  <c:v>0.95</c:v>
                </c:pt>
                <c:pt idx="12">
                  <c:v>0.95</c:v>
                </c:pt>
                <c:pt idx="13">
                  <c:v>0.95</c:v>
                </c:pt>
                <c:pt idx="14">
                  <c:v>0.05</c:v>
                </c:pt>
                <c:pt idx="15">
                  <c:v>0.03</c:v>
                </c:pt>
                <c:pt idx="16">
                  <c:v>0.03</c:v>
                </c:pt>
                <c:pt idx="17">
                  <c:v>0.03</c:v>
                </c:pt>
                <c:pt idx="18">
                  <c:v>0.03</c:v>
                </c:pt>
                <c:pt idx="19">
                  <c:v>0.03</c:v>
                </c:pt>
                <c:pt idx="20">
                  <c:v>0.03</c:v>
                </c:pt>
                <c:pt idx="21">
                  <c:v>0.03</c:v>
                </c:pt>
                <c:pt idx="22">
                  <c:v>0.03</c:v>
                </c:pt>
                <c:pt idx="23">
                  <c:v>0.03</c:v>
                </c:pt>
              </c:numCache>
            </c:numRef>
          </c:val>
          <c:smooth val="0"/>
          <c:extLst>
            <c:ext xmlns:c16="http://schemas.microsoft.com/office/drawing/2014/chart" uri="{C3380CC4-5D6E-409C-BE32-E72D297353CC}">
              <c16:uniqueId val="{00000006-776F-4E3D-933A-1D2AB74C6098}"/>
            </c:ext>
          </c:extLst>
        </c:ser>
        <c:ser>
          <c:idx val="6"/>
          <c:order val="6"/>
          <c:tx>
            <c:strRef>
              <c:f>Schedules!$E$209</c:f>
              <c:strCache>
                <c:ptCount val="1"/>
                <c:pt idx="0">
                  <c:v>All WE - Fall &amp; Spring</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Schedules!$F$209:$AC$209</c:f>
              <c:numCache>
                <c:formatCode>0.00</c:formatCode>
                <c:ptCount val="24"/>
                <c:pt idx="0">
                  <c:v>0.03</c:v>
                </c:pt>
                <c:pt idx="1">
                  <c:v>0.03</c:v>
                </c:pt>
                <c:pt idx="2">
                  <c:v>0.03</c:v>
                </c:pt>
                <c:pt idx="3">
                  <c:v>0.03</c:v>
                </c:pt>
                <c:pt idx="4">
                  <c:v>0.03</c:v>
                </c:pt>
                <c:pt idx="5">
                  <c:v>0.03</c:v>
                </c:pt>
                <c:pt idx="6">
                  <c:v>0.03</c:v>
                </c:pt>
                <c:pt idx="7">
                  <c:v>0.05</c:v>
                </c:pt>
                <c:pt idx="8">
                  <c:v>0.5</c:v>
                </c:pt>
                <c:pt idx="9">
                  <c:v>0.5</c:v>
                </c:pt>
                <c:pt idx="10">
                  <c:v>0.5</c:v>
                </c:pt>
                <c:pt idx="11">
                  <c:v>0.5</c:v>
                </c:pt>
                <c:pt idx="12">
                  <c:v>0.5</c:v>
                </c:pt>
                <c:pt idx="13">
                  <c:v>0.5</c:v>
                </c:pt>
                <c:pt idx="14">
                  <c:v>0.05</c:v>
                </c:pt>
                <c:pt idx="15">
                  <c:v>0.03</c:v>
                </c:pt>
                <c:pt idx="16">
                  <c:v>0.03</c:v>
                </c:pt>
                <c:pt idx="17">
                  <c:v>0.03</c:v>
                </c:pt>
                <c:pt idx="18">
                  <c:v>0.03</c:v>
                </c:pt>
                <c:pt idx="19">
                  <c:v>0.03</c:v>
                </c:pt>
                <c:pt idx="20">
                  <c:v>0.03</c:v>
                </c:pt>
                <c:pt idx="21">
                  <c:v>0.03</c:v>
                </c:pt>
                <c:pt idx="22">
                  <c:v>0.03</c:v>
                </c:pt>
                <c:pt idx="23">
                  <c:v>0.03</c:v>
                </c:pt>
              </c:numCache>
            </c:numRef>
          </c:val>
          <c:smooth val="0"/>
          <c:extLst>
            <c:ext xmlns:c16="http://schemas.microsoft.com/office/drawing/2014/chart" uri="{C3380CC4-5D6E-409C-BE32-E72D297353CC}">
              <c16:uniqueId val="{00000007-776F-4E3D-933A-1D2AB74C6098}"/>
            </c:ext>
          </c:extLst>
        </c:ser>
        <c:ser>
          <c:idx val="7"/>
          <c:order val="7"/>
          <c:tx>
            <c:strRef>
              <c:f>Schedules!$E$210</c:f>
              <c:strCache>
                <c:ptCount val="1"/>
                <c:pt idx="0">
                  <c:v>Summer Camp</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Schedules!$F$210:$AC$210</c:f>
              <c:numCache>
                <c:formatCode>0.00</c:formatCode>
                <c:ptCount val="24"/>
                <c:pt idx="0">
                  <c:v>0.03</c:v>
                </c:pt>
                <c:pt idx="1">
                  <c:v>0.03</c:v>
                </c:pt>
                <c:pt idx="2">
                  <c:v>0.03</c:v>
                </c:pt>
                <c:pt idx="3">
                  <c:v>0.03</c:v>
                </c:pt>
                <c:pt idx="4">
                  <c:v>0.03</c:v>
                </c:pt>
                <c:pt idx="5">
                  <c:v>0.03</c:v>
                </c:pt>
                <c:pt idx="6">
                  <c:v>0.03</c:v>
                </c:pt>
                <c:pt idx="7">
                  <c:v>0.05</c:v>
                </c:pt>
                <c:pt idx="8">
                  <c:v>0.3</c:v>
                </c:pt>
                <c:pt idx="9">
                  <c:v>0.3</c:v>
                </c:pt>
                <c:pt idx="10">
                  <c:v>0.3</c:v>
                </c:pt>
                <c:pt idx="11">
                  <c:v>0.3</c:v>
                </c:pt>
                <c:pt idx="12">
                  <c:v>0.3</c:v>
                </c:pt>
                <c:pt idx="13">
                  <c:v>0.3</c:v>
                </c:pt>
                <c:pt idx="14">
                  <c:v>0.3</c:v>
                </c:pt>
                <c:pt idx="15">
                  <c:v>0.3</c:v>
                </c:pt>
                <c:pt idx="16">
                  <c:v>0.3</c:v>
                </c:pt>
                <c:pt idx="17">
                  <c:v>0.05</c:v>
                </c:pt>
                <c:pt idx="18">
                  <c:v>0.03</c:v>
                </c:pt>
                <c:pt idx="19">
                  <c:v>0.03</c:v>
                </c:pt>
                <c:pt idx="20">
                  <c:v>0.03</c:v>
                </c:pt>
                <c:pt idx="21">
                  <c:v>0.03</c:v>
                </c:pt>
                <c:pt idx="22">
                  <c:v>0.03</c:v>
                </c:pt>
                <c:pt idx="23">
                  <c:v>0.03</c:v>
                </c:pt>
              </c:numCache>
            </c:numRef>
          </c:val>
          <c:smooth val="0"/>
          <c:extLst>
            <c:ext xmlns:c16="http://schemas.microsoft.com/office/drawing/2014/chart" uri="{C3380CC4-5D6E-409C-BE32-E72D297353CC}">
              <c16:uniqueId val="{00000008-776F-4E3D-933A-1D2AB74C6098}"/>
            </c:ext>
          </c:extLst>
        </c:ser>
        <c:dLbls>
          <c:showLegendKey val="0"/>
          <c:showVal val="0"/>
          <c:showCatName val="0"/>
          <c:showSerName val="0"/>
          <c:showPercent val="0"/>
          <c:showBubbleSize val="0"/>
        </c:dLbls>
        <c:smooth val="0"/>
        <c:axId val="899185104"/>
        <c:axId val="533850832"/>
      </c:lineChart>
      <c:catAx>
        <c:axId val="899185104"/>
        <c:scaling>
          <c:orientation val="minMax"/>
        </c:scaling>
        <c:delete val="0"/>
        <c:axPos val="b"/>
        <c:numFmt formatCode="General" sourceLinked="1"/>
        <c:majorTickMark val="out"/>
        <c:minorTickMark val="none"/>
        <c:tickLblPos val="nextTo"/>
        <c:crossAx val="533850832"/>
        <c:crosses val="autoZero"/>
        <c:auto val="1"/>
        <c:lblAlgn val="ctr"/>
        <c:lblOffset val="100"/>
        <c:noMultiLvlLbl val="0"/>
      </c:catAx>
      <c:valAx>
        <c:axId val="533850832"/>
        <c:scaling>
          <c:orientation val="minMax"/>
          <c:max val="1"/>
          <c:min val="0"/>
        </c:scaling>
        <c:delete val="0"/>
        <c:axPos val="l"/>
        <c:majorGridlines/>
        <c:numFmt formatCode="0.00" sourceLinked="1"/>
        <c:majorTickMark val="out"/>
        <c:minorTickMark val="none"/>
        <c:tickLblPos val="nextTo"/>
        <c:crossAx val="899185104"/>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Elevator</a:t>
            </a:r>
          </a:p>
        </c:rich>
      </c:tx>
      <c:overlay val="0"/>
    </c:title>
    <c:autoTitleDeleted val="0"/>
    <c:plotArea>
      <c:layout/>
      <c:lineChart>
        <c:grouping val="standard"/>
        <c:varyColors val="0"/>
        <c:ser>
          <c:idx val="0"/>
          <c:order val="0"/>
          <c:tx>
            <c:strRef>
              <c:f>Schedules!$E$212</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Schedules!$F$212:$AC$212</c:f>
              <c:numCache>
                <c:formatCode>0.00</c:formatCode>
                <c:ptCount val="24"/>
                <c:pt idx="0">
                  <c:v>0</c:v>
                </c:pt>
                <c:pt idx="1">
                  <c:v>0</c:v>
                </c:pt>
                <c:pt idx="2">
                  <c:v>0</c:v>
                </c:pt>
                <c:pt idx="3">
                  <c:v>0</c:v>
                </c:pt>
                <c:pt idx="4">
                  <c:v>0</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E685-4A2C-BB13-BF6566EDDA78}"/>
            </c:ext>
          </c:extLst>
        </c:ser>
        <c:ser>
          <c:idx val="1"/>
          <c:order val="1"/>
          <c:tx>
            <c:strRef>
              <c:f>Schedules!$E$213</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Schedules!$F$213:$AC$213</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E685-4A2C-BB13-BF6566EDDA78}"/>
            </c:ext>
          </c:extLst>
        </c:ser>
        <c:ser>
          <c:idx val="2"/>
          <c:order val="2"/>
          <c:tx>
            <c:strRef>
              <c:f>Schedules!$E$214</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Schedules!$F$214:$AC$214</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3-E685-4A2C-BB13-BF6566EDDA78}"/>
            </c:ext>
          </c:extLst>
        </c:ser>
        <c:dLbls>
          <c:showLegendKey val="0"/>
          <c:showVal val="0"/>
          <c:showCatName val="0"/>
          <c:showSerName val="0"/>
          <c:showPercent val="0"/>
          <c:showBubbleSize val="0"/>
        </c:dLbls>
        <c:smooth val="0"/>
        <c:axId val="899244496"/>
        <c:axId val="533917552"/>
      </c:lineChart>
      <c:catAx>
        <c:axId val="899244496"/>
        <c:scaling>
          <c:orientation val="minMax"/>
        </c:scaling>
        <c:delete val="0"/>
        <c:axPos val="b"/>
        <c:numFmt formatCode="General" sourceLinked="1"/>
        <c:majorTickMark val="out"/>
        <c:minorTickMark val="none"/>
        <c:tickLblPos val="nextTo"/>
        <c:crossAx val="533917552"/>
        <c:crosses val="autoZero"/>
        <c:auto val="1"/>
        <c:lblAlgn val="ctr"/>
        <c:lblOffset val="100"/>
        <c:noMultiLvlLbl val="0"/>
      </c:catAx>
      <c:valAx>
        <c:axId val="533917552"/>
        <c:scaling>
          <c:orientation val="minMax"/>
          <c:max val="1"/>
          <c:min val="0"/>
        </c:scaling>
        <c:delete val="0"/>
        <c:axPos val="l"/>
        <c:majorGridlines/>
        <c:numFmt formatCode="0.00" sourceLinked="1"/>
        <c:majorTickMark val="out"/>
        <c:minorTickMark val="none"/>
        <c:tickLblPos val="nextTo"/>
        <c:crossAx val="899244496"/>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ExtLightingNonMotionCtrl</a:t>
            </a:r>
          </a:p>
        </c:rich>
      </c:tx>
      <c:overlay val="0"/>
    </c:title>
    <c:autoTitleDeleted val="0"/>
    <c:plotArea>
      <c:layout/>
      <c:lineChart>
        <c:grouping val="standard"/>
        <c:varyColors val="0"/>
        <c:ser>
          <c:idx val="0"/>
          <c:order val="0"/>
          <c:tx>
            <c:strRef>
              <c:f>Schedules!$E$215</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Schedules!$F$215:$AC$215</c:f>
              <c:numCache>
                <c:formatCode>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5CDA-4993-9B22-07F042119EE4}"/>
            </c:ext>
          </c:extLst>
        </c:ser>
        <c:ser>
          <c:idx val="1"/>
          <c:order val="1"/>
          <c:tx>
            <c:strRef>
              <c:f>Schedules!$E$216</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Schedules!$F$216:$AC$216</c:f>
              <c:numCache>
                <c:formatCode>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5CDA-4993-9B22-07F042119EE4}"/>
            </c:ext>
          </c:extLst>
        </c:ser>
        <c:ser>
          <c:idx val="2"/>
          <c:order val="2"/>
          <c:tx>
            <c:strRef>
              <c:f>Schedules!$E$217</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Schedules!$F$217:$AC$217</c:f>
              <c:numCache>
                <c:formatCode>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3-5CDA-4993-9B22-07F042119EE4}"/>
            </c:ext>
          </c:extLst>
        </c:ser>
        <c:dLbls>
          <c:showLegendKey val="0"/>
          <c:showVal val="0"/>
          <c:showCatName val="0"/>
          <c:showSerName val="0"/>
          <c:showPercent val="0"/>
          <c:showBubbleSize val="0"/>
        </c:dLbls>
        <c:smooth val="0"/>
        <c:axId val="899273264"/>
        <c:axId val="533939632"/>
      </c:lineChart>
      <c:catAx>
        <c:axId val="899273264"/>
        <c:scaling>
          <c:orientation val="minMax"/>
        </c:scaling>
        <c:delete val="0"/>
        <c:axPos val="b"/>
        <c:numFmt formatCode="General" sourceLinked="1"/>
        <c:majorTickMark val="out"/>
        <c:minorTickMark val="none"/>
        <c:tickLblPos val="nextTo"/>
        <c:crossAx val="533939632"/>
        <c:crosses val="autoZero"/>
        <c:auto val="1"/>
        <c:lblAlgn val="ctr"/>
        <c:lblOffset val="100"/>
        <c:noMultiLvlLbl val="0"/>
      </c:catAx>
      <c:valAx>
        <c:axId val="533939632"/>
        <c:scaling>
          <c:orientation val="minMax"/>
          <c:max val="1"/>
          <c:min val="0"/>
        </c:scaling>
        <c:delete val="0"/>
        <c:axPos val="l"/>
        <c:majorGridlines/>
        <c:numFmt formatCode="0.0" sourceLinked="1"/>
        <c:majorTickMark val="out"/>
        <c:minorTickMark val="none"/>
        <c:tickLblPos val="nextTo"/>
        <c:crossAx val="899273264"/>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ExtLightingMotionCtrl</a:t>
            </a:r>
          </a:p>
        </c:rich>
      </c:tx>
      <c:overlay val="0"/>
    </c:title>
    <c:autoTitleDeleted val="0"/>
    <c:plotArea>
      <c:layout/>
      <c:lineChart>
        <c:grouping val="standard"/>
        <c:varyColors val="0"/>
        <c:ser>
          <c:idx val="0"/>
          <c:order val="0"/>
          <c:tx>
            <c:strRef>
              <c:f>Schedules!$E$218</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Schedules!$F$218:$AC$218</c:f>
              <c:numCache>
                <c:formatCode>0.0</c:formatCode>
                <c:ptCount val="24"/>
                <c:pt idx="0">
                  <c:v>0</c:v>
                </c:pt>
                <c:pt idx="1">
                  <c:v>0</c:v>
                </c:pt>
                <c:pt idx="2">
                  <c:v>0</c:v>
                </c:pt>
                <c:pt idx="3">
                  <c:v>0</c:v>
                </c:pt>
                <c:pt idx="4">
                  <c:v>0</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0</c:v>
                </c:pt>
                <c:pt idx="23">
                  <c:v>0</c:v>
                </c:pt>
              </c:numCache>
            </c:numRef>
          </c:val>
          <c:smooth val="0"/>
          <c:extLst>
            <c:ext xmlns:c16="http://schemas.microsoft.com/office/drawing/2014/chart" uri="{C3380CC4-5D6E-409C-BE32-E72D297353CC}">
              <c16:uniqueId val="{00000001-7B2F-4DBC-A5E3-2884337AAFD2}"/>
            </c:ext>
          </c:extLst>
        </c:ser>
        <c:ser>
          <c:idx val="1"/>
          <c:order val="1"/>
          <c:tx>
            <c:strRef>
              <c:f>Schedules!$E$219</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Schedules!$F$219:$AC$219</c:f>
              <c:numCache>
                <c:formatCode>0.0</c:formatCode>
                <c:ptCount val="24"/>
                <c:pt idx="0">
                  <c:v>0</c:v>
                </c:pt>
                <c:pt idx="1">
                  <c:v>0</c:v>
                </c:pt>
                <c:pt idx="2">
                  <c:v>0</c:v>
                </c:pt>
                <c:pt idx="3">
                  <c:v>0</c:v>
                </c:pt>
                <c:pt idx="4">
                  <c:v>0</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7B2F-4DBC-A5E3-2884337AAFD2}"/>
            </c:ext>
          </c:extLst>
        </c:ser>
        <c:ser>
          <c:idx val="2"/>
          <c:order val="2"/>
          <c:tx>
            <c:strRef>
              <c:f>Schedules!$E$220</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Schedules!$F$220:$AC$220</c:f>
              <c:numCache>
                <c:formatCode>0.0</c:formatCode>
                <c:ptCount val="24"/>
                <c:pt idx="0">
                  <c:v>0</c:v>
                </c:pt>
                <c:pt idx="1">
                  <c:v>0</c:v>
                </c:pt>
                <c:pt idx="2">
                  <c:v>0</c:v>
                </c:pt>
                <c:pt idx="3">
                  <c:v>0</c:v>
                </c:pt>
                <c:pt idx="4">
                  <c:v>0</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3-7B2F-4DBC-A5E3-2884337AAFD2}"/>
            </c:ext>
          </c:extLst>
        </c:ser>
        <c:dLbls>
          <c:showLegendKey val="0"/>
          <c:showVal val="0"/>
          <c:showCatName val="0"/>
          <c:showSerName val="0"/>
          <c:showPercent val="0"/>
          <c:showBubbleSize val="0"/>
        </c:dLbls>
        <c:smooth val="0"/>
        <c:axId val="899310384"/>
        <c:axId val="533969392"/>
      </c:lineChart>
      <c:catAx>
        <c:axId val="899310384"/>
        <c:scaling>
          <c:orientation val="minMax"/>
        </c:scaling>
        <c:delete val="0"/>
        <c:axPos val="b"/>
        <c:numFmt formatCode="General" sourceLinked="1"/>
        <c:majorTickMark val="out"/>
        <c:minorTickMark val="none"/>
        <c:tickLblPos val="nextTo"/>
        <c:crossAx val="533969392"/>
        <c:crosses val="autoZero"/>
        <c:auto val="1"/>
        <c:lblAlgn val="ctr"/>
        <c:lblOffset val="100"/>
        <c:noMultiLvlLbl val="0"/>
      </c:catAx>
      <c:valAx>
        <c:axId val="533969392"/>
        <c:scaling>
          <c:orientation val="minMax"/>
          <c:max val="1"/>
          <c:min val="0"/>
        </c:scaling>
        <c:delete val="0"/>
        <c:axPos val="l"/>
        <c:majorGridlines/>
        <c:numFmt formatCode="0.0" sourceLinked="1"/>
        <c:majorTickMark val="out"/>
        <c:minorTickMark val="none"/>
        <c:tickLblPos val="nextTo"/>
        <c:crossAx val="899310384"/>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PerformanceSpcPeopleActivityLevel</a:t>
            </a:r>
          </a:p>
        </c:rich>
      </c:tx>
      <c:overlay val="0"/>
    </c:title>
    <c:autoTitleDeleted val="0"/>
    <c:plotArea>
      <c:layout/>
      <c:lineChart>
        <c:grouping val="standard"/>
        <c:varyColors val="0"/>
        <c:ser>
          <c:idx val="0"/>
          <c:order val="0"/>
          <c:tx>
            <c:strRef>
              <c:f>Schedules!$E$221</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Schedules!$F$221:$AC$221</c:f>
              <c:numCache>
                <c:formatCode>0</c:formatCode>
                <c:ptCount val="24"/>
                <c:pt idx="0">
                  <c:v>102.6</c:v>
                </c:pt>
                <c:pt idx="1">
                  <c:v>102.6</c:v>
                </c:pt>
                <c:pt idx="2">
                  <c:v>102.6</c:v>
                </c:pt>
                <c:pt idx="3">
                  <c:v>102.6</c:v>
                </c:pt>
                <c:pt idx="4">
                  <c:v>102.6</c:v>
                </c:pt>
                <c:pt idx="5">
                  <c:v>102.6</c:v>
                </c:pt>
                <c:pt idx="6">
                  <c:v>102.6</c:v>
                </c:pt>
                <c:pt idx="7">
                  <c:v>102.6</c:v>
                </c:pt>
                <c:pt idx="8">
                  <c:v>102.6</c:v>
                </c:pt>
                <c:pt idx="9">
                  <c:v>102.6</c:v>
                </c:pt>
                <c:pt idx="10">
                  <c:v>102.6</c:v>
                </c:pt>
                <c:pt idx="11">
                  <c:v>102.6</c:v>
                </c:pt>
                <c:pt idx="12">
                  <c:v>102.6</c:v>
                </c:pt>
                <c:pt idx="13">
                  <c:v>102.6</c:v>
                </c:pt>
                <c:pt idx="14">
                  <c:v>102.6</c:v>
                </c:pt>
                <c:pt idx="15">
                  <c:v>102.6</c:v>
                </c:pt>
                <c:pt idx="16">
                  <c:v>102.6</c:v>
                </c:pt>
                <c:pt idx="17">
                  <c:v>102.6</c:v>
                </c:pt>
                <c:pt idx="18">
                  <c:v>102.6</c:v>
                </c:pt>
                <c:pt idx="19">
                  <c:v>102.6</c:v>
                </c:pt>
                <c:pt idx="20">
                  <c:v>102.6</c:v>
                </c:pt>
                <c:pt idx="21">
                  <c:v>102.6</c:v>
                </c:pt>
                <c:pt idx="22">
                  <c:v>102.6</c:v>
                </c:pt>
                <c:pt idx="23">
                  <c:v>102.6</c:v>
                </c:pt>
              </c:numCache>
            </c:numRef>
          </c:val>
          <c:smooth val="0"/>
          <c:extLst>
            <c:ext xmlns:c16="http://schemas.microsoft.com/office/drawing/2014/chart" uri="{C3380CC4-5D6E-409C-BE32-E72D297353CC}">
              <c16:uniqueId val="{00000001-204C-4715-8AE8-9FDF84B01F78}"/>
            </c:ext>
          </c:extLst>
        </c:ser>
        <c:ser>
          <c:idx val="1"/>
          <c:order val="1"/>
          <c:tx>
            <c:strRef>
              <c:f>Schedules!$E$222</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Schedules!$F$222:$AC$222</c:f>
              <c:numCache>
                <c:formatCode>0</c:formatCode>
                <c:ptCount val="24"/>
                <c:pt idx="0">
                  <c:v>102.6</c:v>
                </c:pt>
                <c:pt idx="1">
                  <c:v>102.6</c:v>
                </c:pt>
                <c:pt idx="2">
                  <c:v>102.6</c:v>
                </c:pt>
                <c:pt idx="3">
                  <c:v>102.6</c:v>
                </c:pt>
                <c:pt idx="4">
                  <c:v>102.6</c:v>
                </c:pt>
                <c:pt idx="5">
                  <c:v>102.6</c:v>
                </c:pt>
                <c:pt idx="6">
                  <c:v>102.6</c:v>
                </c:pt>
                <c:pt idx="7">
                  <c:v>102.6</c:v>
                </c:pt>
                <c:pt idx="8">
                  <c:v>102.6</c:v>
                </c:pt>
                <c:pt idx="9">
                  <c:v>102.6</c:v>
                </c:pt>
                <c:pt idx="10">
                  <c:v>102.6</c:v>
                </c:pt>
                <c:pt idx="11">
                  <c:v>102.6</c:v>
                </c:pt>
                <c:pt idx="12">
                  <c:v>102.6</c:v>
                </c:pt>
                <c:pt idx="13">
                  <c:v>102.6</c:v>
                </c:pt>
                <c:pt idx="14">
                  <c:v>102.6</c:v>
                </c:pt>
                <c:pt idx="15">
                  <c:v>102.6</c:v>
                </c:pt>
                <c:pt idx="16">
                  <c:v>102.6</c:v>
                </c:pt>
                <c:pt idx="17">
                  <c:v>102.6</c:v>
                </c:pt>
                <c:pt idx="18">
                  <c:v>102.6</c:v>
                </c:pt>
                <c:pt idx="19">
                  <c:v>102.6</c:v>
                </c:pt>
                <c:pt idx="20">
                  <c:v>102.6</c:v>
                </c:pt>
                <c:pt idx="21">
                  <c:v>102.6</c:v>
                </c:pt>
                <c:pt idx="22">
                  <c:v>102.6</c:v>
                </c:pt>
                <c:pt idx="23">
                  <c:v>102.6</c:v>
                </c:pt>
              </c:numCache>
            </c:numRef>
          </c:val>
          <c:smooth val="0"/>
          <c:extLst>
            <c:ext xmlns:c16="http://schemas.microsoft.com/office/drawing/2014/chart" uri="{C3380CC4-5D6E-409C-BE32-E72D297353CC}">
              <c16:uniqueId val="{00000002-204C-4715-8AE8-9FDF84B01F78}"/>
            </c:ext>
          </c:extLst>
        </c:ser>
        <c:ser>
          <c:idx val="2"/>
          <c:order val="2"/>
          <c:tx>
            <c:strRef>
              <c:f>Schedules!$E$223</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Schedules!$F$223:$AC$223</c:f>
              <c:numCache>
                <c:formatCode>0</c:formatCode>
                <c:ptCount val="24"/>
                <c:pt idx="0">
                  <c:v>102.6</c:v>
                </c:pt>
                <c:pt idx="1">
                  <c:v>102.6</c:v>
                </c:pt>
                <c:pt idx="2">
                  <c:v>102.6</c:v>
                </c:pt>
                <c:pt idx="3">
                  <c:v>102.6</c:v>
                </c:pt>
                <c:pt idx="4">
                  <c:v>102.6</c:v>
                </c:pt>
                <c:pt idx="5">
                  <c:v>102.6</c:v>
                </c:pt>
                <c:pt idx="6">
                  <c:v>102.6</c:v>
                </c:pt>
                <c:pt idx="7">
                  <c:v>102.6</c:v>
                </c:pt>
                <c:pt idx="8">
                  <c:v>102.6</c:v>
                </c:pt>
                <c:pt idx="9">
                  <c:v>102.6</c:v>
                </c:pt>
                <c:pt idx="10">
                  <c:v>102.6</c:v>
                </c:pt>
                <c:pt idx="11">
                  <c:v>102.6</c:v>
                </c:pt>
                <c:pt idx="12">
                  <c:v>102.6</c:v>
                </c:pt>
                <c:pt idx="13">
                  <c:v>102.6</c:v>
                </c:pt>
                <c:pt idx="14">
                  <c:v>102.6</c:v>
                </c:pt>
                <c:pt idx="15">
                  <c:v>102.6</c:v>
                </c:pt>
                <c:pt idx="16">
                  <c:v>102.6</c:v>
                </c:pt>
                <c:pt idx="17">
                  <c:v>102.6</c:v>
                </c:pt>
                <c:pt idx="18">
                  <c:v>102.6</c:v>
                </c:pt>
                <c:pt idx="19">
                  <c:v>102.6</c:v>
                </c:pt>
                <c:pt idx="20">
                  <c:v>102.6</c:v>
                </c:pt>
                <c:pt idx="21">
                  <c:v>102.6</c:v>
                </c:pt>
                <c:pt idx="22">
                  <c:v>102.6</c:v>
                </c:pt>
                <c:pt idx="23">
                  <c:v>102.6</c:v>
                </c:pt>
              </c:numCache>
            </c:numRef>
          </c:val>
          <c:smooth val="0"/>
          <c:extLst>
            <c:ext xmlns:c16="http://schemas.microsoft.com/office/drawing/2014/chart" uri="{C3380CC4-5D6E-409C-BE32-E72D297353CC}">
              <c16:uniqueId val="{00000003-204C-4715-8AE8-9FDF84B01F78}"/>
            </c:ext>
          </c:extLst>
        </c:ser>
        <c:dLbls>
          <c:showLegendKey val="0"/>
          <c:showVal val="0"/>
          <c:showCatName val="0"/>
          <c:showSerName val="0"/>
          <c:showPercent val="0"/>
          <c:showBubbleSize val="0"/>
        </c:dLbls>
        <c:smooth val="0"/>
        <c:axId val="899315952"/>
        <c:axId val="533762992"/>
      </c:lineChart>
      <c:catAx>
        <c:axId val="899315952"/>
        <c:scaling>
          <c:orientation val="minMax"/>
        </c:scaling>
        <c:delete val="0"/>
        <c:axPos val="b"/>
        <c:numFmt formatCode="General" sourceLinked="1"/>
        <c:majorTickMark val="out"/>
        <c:minorTickMark val="none"/>
        <c:tickLblPos val="nextTo"/>
        <c:crossAx val="533762992"/>
        <c:crosses val="autoZero"/>
        <c:auto val="1"/>
        <c:lblAlgn val="ctr"/>
        <c:lblOffset val="100"/>
        <c:noMultiLvlLbl val="0"/>
      </c:catAx>
      <c:valAx>
        <c:axId val="533762992"/>
        <c:scaling>
          <c:orientation val="minMax"/>
          <c:min val="0"/>
        </c:scaling>
        <c:delete val="0"/>
        <c:axPos val="l"/>
        <c:majorGridlines/>
        <c:numFmt formatCode="0" sourceLinked="1"/>
        <c:majorTickMark val="out"/>
        <c:minorTickMark val="none"/>
        <c:tickLblPos val="nextTo"/>
        <c:crossAx val="899315952"/>
        <c:crosses val="autoZero"/>
        <c:crossBetween val="between"/>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GymPeopleActivityLevel</a:t>
            </a:r>
          </a:p>
        </c:rich>
      </c:tx>
      <c:overlay val="0"/>
    </c:title>
    <c:autoTitleDeleted val="0"/>
    <c:plotArea>
      <c:layout/>
      <c:lineChart>
        <c:grouping val="standard"/>
        <c:varyColors val="0"/>
        <c:ser>
          <c:idx val="0"/>
          <c:order val="0"/>
          <c:tx>
            <c:strRef>
              <c:f>Schedules!$E$224</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Schedules!$F$224:$AC$224</c:f>
              <c:numCache>
                <c:formatCode>0</c:formatCode>
                <c:ptCount val="24"/>
                <c:pt idx="0">
                  <c:v>331</c:v>
                </c:pt>
                <c:pt idx="1">
                  <c:v>331</c:v>
                </c:pt>
                <c:pt idx="2">
                  <c:v>331</c:v>
                </c:pt>
                <c:pt idx="3">
                  <c:v>331</c:v>
                </c:pt>
                <c:pt idx="4">
                  <c:v>331</c:v>
                </c:pt>
                <c:pt idx="5">
                  <c:v>331</c:v>
                </c:pt>
                <c:pt idx="6">
                  <c:v>331</c:v>
                </c:pt>
                <c:pt idx="7">
                  <c:v>331</c:v>
                </c:pt>
                <c:pt idx="8">
                  <c:v>331</c:v>
                </c:pt>
                <c:pt idx="9">
                  <c:v>331</c:v>
                </c:pt>
                <c:pt idx="10">
                  <c:v>331</c:v>
                </c:pt>
                <c:pt idx="11">
                  <c:v>331</c:v>
                </c:pt>
                <c:pt idx="12">
                  <c:v>331</c:v>
                </c:pt>
                <c:pt idx="13">
                  <c:v>331</c:v>
                </c:pt>
                <c:pt idx="14">
                  <c:v>331</c:v>
                </c:pt>
                <c:pt idx="15">
                  <c:v>331</c:v>
                </c:pt>
                <c:pt idx="16">
                  <c:v>331</c:v>
                </c:pt>
                <c:pt idx="17">
                  <c:v>331</c:v>
                </c:pt>
                <c:pt idx="18">
                  <c:v>331</c:v>
                </c:pt>
                <c:pt idx="19">
                  <c:v>331</c:v>
                </c:pt>
                <c:pt idx="20">
                  <c:v>331</c:v>
                </c:pt>
                <c:pt idx="21">
                  <c:v>331</c:v>
                </c:pt>
                <c:pt idx="22">
                  <c:v>331</c:v>
                </c:pt>
                <c:pt idx="23">
                  <c:v>331</c:v>
                </c:pt>
              </c:numCache>
            </c:numRef>
          </c:val>
          <c:smooth val="0"/>
          <c:extLst>
            <c:ext xmlns:c16="http://schemas.microsoft.com/office/drawing/2014/chart" uri="{C3380CC4-5D6E-409C-BE32-E72D297353CC}">
              <c16:uniqueId val="{00000001-283F-49E0-8C03-A29FD0F8E3A6}"/>
            </c:ext>
          </c:extLst>
        </c:ser>
        <c:ser>
          <c:idx val="1"/>
          <c:order val="1"/>
          <c:tx>
            <c:strRef>
              <c:f>Schedules!$E$225</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Schedules!$F$225:$AC$225</c:f>
              <c:numCache>
                <c:formatCode>0</c:formatCode>
                <c:ptCount val="24"/>
                <c:pt idx="0">
                  <c:v>331</c:v>
                </c:pt>
                <c:pt idx="1">
                  <c:v>331</c:v>
                </c:pt>
                <c:pt idx="2">
                  <c:v>331</c:v>
                </c:pt>
                <c:pt idx="3">
                  <c:v>331</c:v>
                </c:pt>
                <c:pt idx="4">
                  <c:v>331</c:v>
                </c:pt>
                <c:pt idx="5">
                  <c:v>331</c:v>
                </c:pt>
                <c:pt idx="6">
                  <c:v>331</c:v>
                </c:pt>
                <c:pt idx="7">
                  <c:v>331</c:v>
                </c:pt>
                <c:pt idx="8">
                  <c:v>331</c:v>
                </c:pt>
                <c:pt idx="9">
                  <c:v>331</c:v>
                </c:pt>
                <c:pt idx="10">
                  <c:v>331</c:v>
                </c:pt>
                <c:pt idx="11">
                  <c:v>331</c:v>
                </c:pt>
                <c:pt idx="12">
                  <c:v>331</c:v>
                </c:pt>
                <c:pt idx="13">
                  <c:v>331</c:v>
                </c:pt>
                <c:pt idx="14">
                  <c:v>331</c:v>
                </c:pt>
                <c:pt idx="15">
                  <c:v>331</c:v>
                </c:pt>
                <c:pt idx="16">
                  <c:v>331</c:v>
                </c:pt>
                <c:pt idx="17">
                  <c:v>331</c:v>
                </c:pt>
                <c:pt idx="18">
                  <c:v>331</c:v>
                </c:pt>
                <c:pt idx="19">
                  <c:v>331</c:v>
                </c:pt>
                <c:pt idx="20">
                  <c:v>331</c:v>
                </c:pt>
                <c:pt idx="21">
                  <c:v>331</c:v>
                </c:pt>
                <c:pt idx="22">
                  <c:v>331</c:v>
                </c:pt>
                <c:pt idx="23">
                  <c:v>331</c:v>
                </c:pt>
              </c:numCache>
            </c:numRef>
          </c:val>
          <c:smooth val="0"/>
          <c:extLst>
            <c:ext xmlns:c16="http://schemas.microsoft.com/office/drawing/2014/chart" uri="{C3380CC4-5D6E-409C-BE32-E72D297353CC}">
              <c16:uniqueId val="{00000002-283F-49E0-8C03-A29FD0F8E3A6}"/>
            </c:ext>
          </c:extLst>
        </c:ser>
        <c:ser>
          <c:idx val="2"/>
          <c:order val="2"/>
          <c:tx>
            <c:strRef>
              <c:f>Schedules!$E$226</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Schedules!$F$226:$AC$226</c:f>
              <c:numCache>
                <c:formatCode>0</c:formatCode>
                <c:ptCount val="24"/>
                <c:pt idx="0">
                  <c:v>331</c:v>
                </c:pt>
                <c:pt idx="1">
                  <c:v>331</c:v>
                </c:pt>
                <c:pt idx="2">
                  <c:v>331</c:v>
                </c:pt>
                <c:pt idx="3">
                  <c:v>331</c:v>
                </c:pt>
                <c:pt idx="4">
                  <c:v>331</c:v>
                </c:pt>
                <c:pt idx="5">
                  <c:v>331</c:v>
                </c:pt>
                <c:pt idx="6">
                  <c:v>331</c:v>
                </c:pt>
                <c:pt idx="7">
                  <c:v>331</c:v>
                </c:pt>
                <c:pt idx="8">
                  <c:v>331</c:v>
                </c:pt>
                <c:pt idx="9">
                  <c:v>331</c:v>
                </c:pt>
                <c:pt idx="10">
                  <c:v>331</c:v>
                </c:pt>
                <c:pt idx="11">
                  <c:v>331</c:v>
                </c:pt>
                <c:pt idx="12">
                  <c:v>331</c:v>
                </c:pt>
                <c:pt idx="13">
                  <c:v>331</c:v>
                </c:pt>
                <c:pt idx="14">
                  <c:v>331</c:v>
                </c:pt>
                <c:pt idx="15">
                  <c:v>331</c:v>
                </c:pt>
                <c:pt idx="16">
                  <c:v>331</c:v>
                </c:pt>
                <c:pt idx="17">
                  <c:v>331</c:v>
                </c:pt>
                <c:pt idx="18">
                  <c:v>331</c:v>
                </c:pt>
                <c:pt idx="19">
                  <c:v>331</c:v>
                </c:pt>
                <c:pt idx="20">
                  <c:v>331</c:v>
                </c:pt>
                <c:pt idx="21">
                  <c:v>331</c:v>
                </c:pt>
                <c:pt idx="22">
                  <c:v>331</c:v>
                </c:pt>
                <c:pt idx="23">
                  <c:v>331</c:v>
                </c:pt>
              </c:numCache>
            </c:numRef>
          </c:val>
          <c:smooth val="0"/>
          <c:extLst>
            <c:ext xmlns:c16="http://schemas.microsoft.com/office/drawing/2014/chart" uri="{C3380CC4-5D6E-409C-BE32-E72D297353CC}">
              <c16:uniqueId val="{00000003-283F-49E0-8C03-A29FD0F8E3A6}"/>
            </c:ext>
          </c:extLst>
        </c:ser>
        <c:ser>
          <c:idx val="3"/>
          <c:order val="3"/>
          <c:tx>
            <c:strRef>
              <c:f>Schedules!#REF!</c:f>
              <c:strCache>
                <c:ptCount val="1"/>
                <c:pt idx="0">
                  <c:v>#REF!</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Schedules!#REF!</c:f>
              <c:numCache>
                <c:formatCode>General</c:formatCode>
                <c:ptCount val="1"/>
                <c:pt idx="0">
                  <c:v>1</c:v>
                </c:pt>
              </c:numCache>
            </c:numRef>
          </c:val>
          <c:smooth val="0"/>
          <c:extLst>
            <c:ext xmlns:c16="http://schemas.microsoft.com/office/drawing/2014/chart" uri="{C3380CC4-5D6E-409C-BE32-E72D297353CC}">
              <c16:uniqueId val="{00000004-283F-49E0-8C03-A29FD0F8E3A6}"/>
            </c:ext>
          </c:extLst>
        </c:ser>
        <c:ser>
          <c:idx val="4"/>
          <c:order val="4"/>
          <c:tx>
            <c:strRef>
              <c:f>Schedules!#REF!</c:f>
              <c:strCache>
                <c:ptCount val="1"/>
                <c:pt idx="0">
                  <c:v>#REF!</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Schedules!#REF!</c:f>
              <c:numCache>
                <c:formatCode>General</c:formatCode>
                <c:ptCount val="1"/>
                <c:pt idx="0">
                  <c:v>1</c:v>
                </c:pt>
              </c:numCache>
            </c:numRef>
          </c:val>
          <c:smooth val="0"/>
          <c:extLst>
            <c:ext xmlns:c16="http://schemas.microsoft.com/office/drawing/2014/chart" uri="{C3380CC4-5D6E-409C-BE32-E72D297353CC}">
              <c16:uniqueId val="{00000005-283F-49E0-8C03-A29FD0F8E3A6}"/>
            </c:ext>
          </c:extLst>
        </c:ser>
        <c:ser>
          <c:idx val="5"/>
          <c:order val="5"/>
          <c:tx>
            <c:strRef>
              <c:f>Schedules!#REF!</c:f>
              <c:strCache>
                <c:ptCount val="1"/>
                <c:pt idx="0">
                  <c:v>#REF!</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Schedules!#REF!</c:f>
              <c:numCache>
                <c:formatCode>General</c:formatCode>
                <c:ptCount val="1"/>
                <c:pt idx="0">
                  <c:v>1</c:v>
                </c:pt>
              </c:numCache>
            </c:numRef>
          </c:val>
          <c:smooth val="0"/>
          <c:extLst>
            <c:ext xmlns:c16="http://schemas.microsoft.com/office/drawing/2014/chart" uri="{C3380CC4-5D6E-409C-BE32-E72D297353CC}">
              <c16:uniqueId val="{00000006-283F-49E0-8C03-A29FD0F8E3A6}"/>
            </c:ext>
          </c:extLst>
        </c:ser>
        <c:ser>
          <c:idx val="6"/>
          <c:order val="6"/>
          <c:tx>
            <c:strRef>
              <c:f>Schedules!#REF!</c:f>
              <c:strCache>
                <c:ptCount val="1"/>
                <c:pt idx="0">
                  <c:v>#REF!</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Schedules!#REF!</c:f>
              <c:numCache>
                <c:formatCode>General</c:formatCode>
                <c:ptCount val="1"/>
                <c:pt idx="0">
                  <c:v>1</c:v>
                </c:pt>
              </c:numCache>
            </c:numRef>
          </c:val>
          <c:smooth val="0"/>
          <c:extLst>
            <c:ext xmlns:c16="http://schemas.microsoft.com/office/drawing/2014/chart" uri="{C3380CC4-5D6E-409C-BE32-E72D297353CC}">
              <c16:uniqueId val="{00000007-283F-49E0-8C03-A29FD0F8E3A6}"/>
            </c:ext>
          </c:extLst>
        </c:ser>
        <c:ser>
          <c:idx val="7"/>
          <c:order val="7"/>
          <c:tx>
            <c:strRef>
              <c:f>Schedules!#REF!</c:f>
              <c:strCache>
                <c:ptCount val="1"/>
                <c:pt idx="0">
                  <c:v>#REF!</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Schedules!#REF!</c:f>
              <c:numCache>
                <c:formatCode>General</c:formatCode>
                <c:ptCount val="1"/>
                <c:pt idx="0">
                  <c:v>1</c:v>
                </c:pt>
              </c:numCache>
            </c:numRef>
          </c:val>
          <c:smooth val="0"/>
          <c:extLst>
            <c:ext xmlns:c16="http://schemas.microsoft.com/office/drawing/2014/chart" uri="{C3380CC4-5D6E-409C-BE32-E72D297353CC}">
              <c16:uniqueId val="{00000008-283F-49E0-8C03-A29FD0F8E3A6}"/>
            </c:ext>
          </c:extLst>
        </c:ser>
        <c:dLbls>
          <c:showLegendKey val="0"/>
          <c:showVal val="0"/>
          <c:showCatName val="0"/>
          <c:showSerName val="0"/>
          <c:showPercent val="0"/>
          <c:showBubbleSize val="0"/>
        </c:dLbls>
        <c:smooth val="0"/>
        <c:axId val="899346576"/>
        <c:axId val="533791792"/>
      </c:lineChart>
      <c:catAx>
        <c:axId val="899346576"/>
        <c:scaling>
          <c:orientation val="minMax"/>
        </c:scaling>
        <c:delete val="0"/>
        <c:axPos val="b"/>
        <c:numFmt formatCode="General" sourceLinked="1"/>
        <c:majorTickMark val="out"/>
        <c:minorTickMark val="none"/>
        <c:tickLblPos val="nextTo"/>
        <c:crossAx val="533791792"/>
        <c:crosses val="autoZero"/>
        <c:auto val="1"/>
        <c:lblAlgn val="ctr"/>
        <c:lblOffset val="100"/>
        <c:noMultiLvlLbl val="0"/>
      </c:catAx>
      <c:valAx>
        <c:axId val="533791792"/>
        <c:scaling>
          <c:orientation val="minMax"/>
          <c:min val="0"/>
        </c:scaling>
        <c:delete val="0"/>
        <c:axPos val="l"/>
        <c:majorGridlines/>
        <c:numFmt formatCode="0" sourceLinked="1"/>
        <c:majorTickMark val="out"/>
        <c:minorTickMark val="none"/>
        <c:tickLblPos val="nextTo"/>
        <c:crossAx val="899346576"/>
        <c:crosses val="autoZero"/>
        <c:crossBetween val="between"/>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CommonAreaPeopleActivityLevel</a:t>
            </a:r>
          </a:p>
        </c:rich>
      </c:tx>
      <c:overlay val="0"/>
    </c:title>
    <c:autoTitleDeleted val="0"/>
    <c:plotArea>
      <c:layout/>
      <c:lineChart>
        <c:grouping val="standard"/>
        <c:varyColors val="0"/>
        <c:ser>
          <c:idx val="0"/>
          <c:order val="0"/>
          <c:tx>
            <c:strRef>
              <c:f>Schedules!$E$227</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Schedules!$F$227:$AC$227</c:f>
              <c:numCache>
                <c:formatCode>0</c:formatCode>
                <c:ptCount val="24"/>
                <c:pt idx="0">
                  <c:v>146.5</c:v>
                </c:pt>
                <c:pt idx="1">
                  <c:v>146.5</c:v>
                </c:pt>
                <c:pt idx="2">
                  <c:v>146.5</c:v>
                </c:pt>
                <c:pt idx="3">
                  <c:v>146.5</c:v>
                </c:pt>
                <c:pt idx="4">
                  <c:v>146.5</c:v>
                </c:pt>
                <c:pt idx="5">
                  <c:v>146.5</c:v>
                </c:pt>
                <c:pt idx="6">
                  <c:v>146.5</c:v>
                </c:pt>
                <c:pt idx="7">
                  <c:v>146.5</c:v>
                </c:pt>
                <c:pt idx="8">
                  <c:v>146.5</c:v>
                </c:pt>
                <c:pt idx="9">
                  <c:v>146.5</c:v>
                </c:pt>
                <c:pt idx="10">
                  <c:v>146.5</c:v>
                </c:pt>
                <c:pt idx="11">
                  <c:v>146.5</c:v>
                </c:pt>
                <c:pt idx="12">
                  <c:v>146.5</c:v>
                </c:pt>
                <c:pt idx="13">
                  <c:v>146.5</c:v>
                </c:pt>
                <c:pt idx="14">
                  <c:v>146.5</c:v>
                </c:pt>
                <c:pt idx="15">
                  <c:v>146.5</c:v>
                </c:pt>
                <c:pt idx="16">
                  <c:v>146.5</c:v>
                </c:pt>
                <c:pt idx="17">
                  <c:v>146.5</c:v>
                </c:pt>
                <c:pt idx="18">
                  <c:v>146.5</c:v>
                </c:pt>
                <c:pt idx="19">
                  <c:v>146.5</c:v>
                </c:pt>
                <c:pt idx="20">
                  <c:v>146.5</c:v>
                </c:pt>
                <c:pt idx="21">
                  <c:v>146.5</c:v>
                </c:pt>
                <c:pt idx="22">
                  <c:v>146.5</c:v>
                </c:pt>
                <c:pt idx="23">
                  <c:v>146.5</c:v>
                </c:pt>
              </c:numCache>
            </c:numRef>
          </c:val>
          <c:smooth val="0"/>
          <c:extLst>
            <c:ext xmlns:c16="http://schemas.microsoft.com/office/drawing/2014/chart" uri="{C3380CC4-5D6E-409C-BE32-E72D297353CC}">
              <c16:uniqueId val="{00000001-F5B5-48DA-ADC3-B4D597E2D470}"/>
            </c:ext>
          </c:extLst>
        </c:ser>
        <c:ser>
          <c:idx val="1"/>
          <c:order val="1"/>
          <c:tx>
            <c:strRef>
              <c:f>Schedules!$E$228</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Schedules!$F$228:$AC$228</c:f>
              <c:numCache>
                <c:formatCode>0</c:formatCode>
                <c:ptCount val="24"/>
                <c:pt idx="0">
                  <c:v>146.5</c:v>
                </c:pt>
                <c:pt idx="1">
                  <c:v>146.5</c:v>
                </c:pt>
                <c:pt idx="2">
                  <c:v>146.5</c:v>
                </c:pt>
                <c:pt idx="3">
                  <c:v>146.5</c:v>
                </c:pt>
                <c:pt idx="4">
                  <c:v>146.5</c:v>
                </c:pt>
                <c:pt idx="5">
                  <c:v>146.5</c:v>
                </c:pt>
                <c:pt idx="6">
                  <c:v>146.5</c:v>
                </c:pt>
                <c:pt idx="7">
                  <c:v>146.5</c:v>
                </c:pt>
                <c:pt idx="8">
                  <c:v>146.5</c:v>
                </c:pt>
                <c:pt idx="9">
                  <c:v>146.5</c:v>
                </c:pt>
                <c:pt idx="10">
                  <c:v>146.5</c:v>
                </c:pt>
                <c:pt idx="11">
                  <c:v>146.5</c:v>
                </c:pt>
                <c:pt idx="12">
                  <c:v>146.5</c:v>
                </c:pt>
                <c:pt idx="13">
                  <c:v>146.5</c:v>
                </c:pt>
                <c:pt idx="14">
                  <c:v>146.5</c:v>
                </c:pt>
                <c:pt idx="15">
                  <c:v>146.5</c:v>
                </c:pt>
                <c:pt idx="16">
                  <c:v>146.5</c:v>
                </c:pt>
                <c:pt idx="17">
                  <c:v>146.5</c:v>
                </c:pt>
                <c:pt idx="18">
                  <c:v>146.5</c:v>
                </c:pt>
                <c:pt idx="19">
                  <c:v>146.5</c:v>
                </c:pt>
                <c:pt idx="20">
                  <c:v>146.5</c:v>
                </c:pt>
                <c:pt idx="21">
                  <c:v>146.5</c:v>
                </c:pt>
                <c:pt idx="22">
                  <c:v>146.5</c:v>
                </c:pt>
                <c:pt idx="23">
                  <c:v>146.5</c:v>
                </c:pt>
              </c:numCache>
            </c:numRef>
          </c:val>
          <c:smooth val="0"/>
          <c:extLst>
            <c:ext xmlns:c16="http://schemas.microsoft.com/office/drawing/2014/chart" uri="{C3380CC4-5D6E-409C-BE32-E72D297353CC}">
              <c16:uniqueId val="{00000002-F5B5-48DA-ADC3-B4D597E2D470}"/>
            </c:ext>
          </c:extLst>
        </c:ser>
        <c:ser>
          <c:idx val="2"/>
          <c:order val="2"/>
          <c:tx>
            <c:strRef>
              <c:f>Schedules!$E$229</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Schedules!$F$229:$AC$229</c:f>
              <c:numCache>
                <c:formatCode>0</c:formatCode>
                <c:ptCount val="24"/>
                <c:pt idx="0">
                  <c:v>146.5</c:v>
                </c:pt>
                <c:pt idx="1">
                  <c:v>146.5</c:v>
                </c:pt>
                <c:pt idx="2">
                  <c:v>146.5</c:v>
                </c:pt>
                <c:pt idx="3">
                  <c:v>146.5</c:v>
                </c:pt>
                <c:pt idx="4">
                  <c:v>146.5</c:v>
                </c:pt>
                <c:pt idx="5">
                  <c:v>146.5</c:v>
                </c:pt>
                <c:pt idx="6">
                  <c:v>146.5</c:v>
                </c:pt>
                <c:pt idx="7">
                  <c:v>146.5</c:v>
                </c:pt>
                <c:pt idx="8">
                  <c:v>146.5</c:v>
                </c:pt>
                <c:pt idx="9">
                  <c:v>146.5</c:v>
                </c:pt>
                <c:pt idx="10">
                  <c:v>146.5</c:v>
                </c:pt>
                <c:pt idx="11">
                  <c:v>146.5</c:v>
                </c:pt>
                <c:pt idx="12">
                  <c:v>146.5</c:v>
                </c:pt>
                <c:pt idx="13">
                  <c:v>146.5</c:v>
                </c:pt>
                <c:pt idx="14">
                  <c:v>146.5</c:v>
                </c:pt>
                <c:pt idx="15">
                  <c:v>146.5</c:v>
                </c:pt>
                <c:pt idx="16">
                  <c:v>146.5</c:v>
                </c:pt>
                <c:pt idx="17">
                  <c:v>146.5</c:v>
                </c:pt>
                <c:pt idx="18">
                  <c:v>146.5</c:v>
                </c:pt>
                <c:pt idx="19">
                  <c:v>146.5</c:v>
                </c:pt>
                <c:pt idx="20">
                  <c:v>146.5</c:v>
                </c:pt>
                <c:pt idx="21">
                  <c:v>146.5</c:v>
                </c:pt>
                <c:pt idx="22">
                  <c:v>146.5</c:v>
                </c:pt>
                <c:pt idx="23">
                  <c:v>146.5</c:v>
                </c:pt>
              </c:numCache>
            </c:numRef>
          </c:val>
          <c:smooth val="0"/>
          <c:extLst>
            <c:ext xmlns:c16="http://schemas.microsoft.com/office/drawing/2014/chart" uri="{C3380CC4-5D6E-409C-BE32-E72D297353CC}">
              <c16:uniqueId val="{00000003-F5B5-48DA-ADC3-B4D597E2D470}"/>
            </c:ext>
          </c:extLst>
        </c:ser>
        <c:dLbls>
          <c:showLegendKey val="0"/>
          <c:showVal val="0"/>
          <c:showCatName val="0"/>
          <c:showSerName val="0"/>
          <c:showPercent val="0"/>
          <c:showBubbleSize val="0"/>
        </c:dLbls>
        <c:smooth val="0"/>
        <c:axId val="899412928"/>
        <c:axId val="533840272"/>
      </c:lineChart>
      <c:catAx>
        <c:axId val="899412928"/>
        <c:scaling>
          <c:orientation val="minMax"/>
        </c:scaling>
        <c:delete val="0"/>
        <c:axPos val="b"/>
        <c:numFmt formatCode="General" sourceLinked="1"/>
        <c:majorTickMark val="out"/>
        <c:minorTickMark val="none"/>
        <c:tickLblPos val="nextTo"/>
        <c:crossAx val="533840272"/>
        <c:crosses val="autoZero"/>
        <c:auto val="1"/>
        <c:lblAlgn val="ctr"/>
        <c:lblOffset val="100"/>
        <c:noMultiLvlLbl val="0"/>
      </c:catAx>
      <c:valAx>
        <c:axId val="533840272"/>
        <c:scaling>
          <c:orientation val="minMax"/>
          <c:min val="0"/>
        </c:scaling>
        <c:delete val="0"/>
        <c:axPos val="l"/>
        <c:majorGridlines/>
        <c:numFmt formatCode="0" sourceLinked="1"/>
        <c:majorTickMark val="out"/>
        <c:minorTickMark val="none"/>
        <c:tickLblPos val="nextTo"/>
        <c:crossAx val="899412928"/>
        <c:crosses val="autoZero"/>
        <c:crossBetween val="between"/>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MeetingPeopleActivityLevel</a:t>
            </a:r>
          </a:p>
        </c:rich>
      </c:tx>
      <c:overlay val="0"/>
    </c:title>
    <c:autoTitleDeleted val="0"/>
    <c:plotArea>
      <c:layout/>
      <c:lineChart>
        <c:grouping val="standard"/>
        <c:varyColors val="0"/>
        <c:ser>
          <c:idx val="0"/>
          <c:order val="0"/>
          <c:tx>
            <c:strRef>
              <c:f>Schedules!$E$230</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Schedules!$F$230:$AC$230</c:f>
              <c:numCache>
                <c:formatCode>0</c:formatCode>
                <c:ptCount val="24"/>
                <c:pt idx="0">
                  <c:v>117.2</c:v>
                </c:pt>
                <c:pt idx="1">
                  <c:v>117.2</c:v>
                </c:pt>
                <c:pt idx="2">
                  <c:v>117.2</c:v>
                </c:pt>
                <c:pt idx="3">
                  <c:v>117.2</c:v>
                </c:pt>
                <c:pt idx="4">
                  <c:v>117.2</c:v>
                </c:pt>
                <c:pt idx="5">
                  <c:v>117.2</c:v>
                </c:pt>
                <c:pt idx="6">
                  <c:v>117.2</c:v>
                </c:pt>
                <c:pt idx="7">
                  <c:v>117.2</c:v>
                </c:pt>
                <c:pt idx="8">
                  <c:v>117.2</c:v>
                </c:pt>
                <c:pt idx="9">
                  <c:v>117.2</c:v>
                </c:pt>
                <c:pt idx="10">
                  <c:v>117.2</c:v>
                </c:pt>
                <c:pt idx="11">
                  <c:v>117.2</c:v>
                </c:pt>
                <c:pt idx="12">
                  <c:v>117.2</c:v>
                </c:pt>
                <c:pt idx="13">
                  <c:v>117.2</c:v>
                </c:pt>
                <c:pt idx="14">
                  <c:v>117.2</c:v>
                </c:pt>
                <c:pt idx="15">
                  <c:v>117.2</c:v>
                </c:pt>
                <c:pt idx="16">
                  <c:v>117.2</c:v>
                </c:pt>
                <c:pt idx="17">
                  <c:v>117.2</c:v>
                </c:pt>
                <c:pt idx="18">
                  <c:v>117.2</c:v>
                </c:pt>
                <c:pt idx="19">
                  <c:v>117.2</c:v>
                </c:pt>
                <c:pt idx="20">
                  <c:v>117.2</c:v>
                </c:pt>
                <c:pt idx="21">
                  <c:v>117.2</c:v>
                </c:pt>
                <c:pt idx="22">
                  <c:v>117.2</c:v>
                </c:pt>
                <c:pt idx="23">
                  <c:v>117.2</c:v>
                </c:pt>
              </c:numCache>
            </c:numRef>
          </c:val>
          <c:smooth val="0"/>
          <c:extLst>
            <c:ext xmlns:c16="http://schemas.microsoft.com/office/drawing/2014/chart" uri="{C3380CC4-5D6E-409C-BE32-E72D297353CC}">
              <c16:uniqueId val="{00000001-A7F1-454A-B89E-5CDD3A546292}"/>
            </c:ext>
          </c:extLst>
        </c:ser>
        <c:ser>
          <c:idx val="1"/>
          <c:order val="1"/>
          <c:tx>
            <c:strRef>
              <c:f>Schedules!$E$231</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Schedules!$F$231:$AC$231</c:f>
              <c:numCache>
                <c:formatCode>0</c:formatCode>
                <c:ptCount val="24"/>
                <c:pt idx="0">
                  <c:v>117.2</c:v>
                </c:pt>
                <c:pt idx="1">
                  <c:v>117.2</c:v>
                </c:pt>
                <c:pt idx="2">
                  <c:v>117.2</c:v>
                </c:pt>
                <c:pt idx="3">
                  <c:v>117.2</c:v>
                </c:pt>
                <c:pt idx="4">
                  <c:v>117.2</c:v>
                </c:pt>
                <c:pt idx="5">
                  <c:v>117.2</c:v>
                </c:pt>
                <c:pt idx="6">
                  <c:v>117.2</c:v>
                </c:pt>
                <c:pt idx="7">
                  <c:v>117.2</c:v>
                </c:pt>
                <c:pt idx="8">
                  <c:v>117.2</c:v>
                </c:pt>
                <c:pt idx="9">
                  <c:v>117.2</c:v>
                </c:pt>
                <c:pt idx="10">
                  <c:v>117.2</c:v>
                </c:pt>
                <c:pt idx="11">
                  <c:v>117.2</c:v>
                </c:pt>
                <c:pt idx="12">
                  <c:v>117.2</c:v>
                </c:pt>
                <c:pt idx="13">
                  <c:v>117.2</c:v>
                </c:pt>
                <c:pt idx="14">
                  <c:v>117.2</c:v>
                </c:pt>
                <c:pt idx="15">
                  <c:v>117.2</c:v>
                </c:pt>
                <c:pt idx="16">
                  <c:v>117.2</c:v>
                </c:pt>
                <c:pt idx="17">
                  <c:v>117.2</c:v>
                </c:pt>
                <c:pt idx="18">
                  <c:v>117.2</c:v>
                </c:pt>
                <c:pt idx="19">
                  <c:v>117.2</c:v>
                </c:pt>
                <c:pt idx="20">
                  <c:v>117.2</c:v>
                </c:pt>
                <c:pt idx="21">
                  <c:v>117.2</c:v>
                </c:pt>
                <c:pt idx="22">
                  <c:v>117.2</c:v>
                </c:pt>
                <c:pt idx="23">
                  <c:v>117.2</c:v>
                </c:pt>
              </c:numCache>
            </c:numRef>
          </c:val>
          <c:smooth val="0"/>
          <c:extLst>
            <c:ext xmlns:c16="http://schemas.microsoft.com/office/drawing/2014/chart" uri="{C3380CC4-5D6E-409C-BE32-E72D297353CC}">
              <c16:uniqueId val="{00000002-A7F1-454A-B89E-5CDD3A546292}"/>
            </c:ext>
          </c:extLst>
        </c:ser>
        <c:ser>
          <c:idx val="2"/>
          <c:order val="2"/>
          <c:tx>
            <c:strRef>
              <c:f>Schedules!$E$232</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Schedules!$F$232:$AC$232</c:f>
              <c:numCache>
                <c:formatCode>0</c:formatCode>
                <c:ptCount val="24"/>
                <c:pt idx="0">
                  <c:v>117.2</c:v>
                </c:pt>
                <c:pt idx="1">
                  <c:v>117.2</c:v>
                </c:pt>
                <c:pt idx="2">
                  <c:v>117.2</c:v>
                </c:pt>
                <c:pt idx="3">
                  <c:v>117.2</c:v>
                </c:pt>
                <c:pt idx="4">
                  <c:v>117.2</c:v>
                </c:pt>
                <c:pt idx="5">
                  <c:v>117.2</c:v>
                </c:pt>
                <c:pt idx="6">
                  <c:v>117.2</c:v>
                </c:pt>
                <c:pt idx="7">
                  <c:v>117.2</c:v>
                </c:pt>
                <c:pt idx="8">
                  <c:v>117.2</c:v>
                </c:pt>
                <c:pt idx="9">
                  <c:v>117.2</c:v>
                </c:pt>
                <c:pt idx="10">
                  <c:v>117.2</c:v>
                </c:pt>
                <c:pt idx="11">
                  <c:v>117.2</c:v>
                </c:pt>
                <c:pt idx="12">
                  <c:v>117.2</c:v>
                </c:pt>
                <c:pt idx="13">
                  <c:v>117.2</c:v>
                </c:pt>
                <c:pt idx="14">
                  <c:v>117.2</c:v>
                </c:pt>
                <c:pt idx="15">
                  <c:v>117.2</c:v>
                </c:pt>
                <c:pt idx="16">
                  <c:v>117.2</c:v>
                </c:pt>
                <c:pt idx="17">
                  <c:v>117.2</c:v>
                </c:pt>
                <c:pt idx="18">
                  <c:v>117.2</c:v>
                </c:pt>
                <c:pt idx="19">
                  <c:v>117.2</c:v>
                </c:pt>
                <c:pt idx="20">
                  <c:v>117.2</c:v>
                </c:pt>
                <c:pt idx="21">
                  <c:v>117.2</c:v>
                </c:pt>
                <c:pt idx="22">
                  <c:v>117.2</c:v>
                </c:pt>
                <c:pt idx="23">
                  <c:v>117.2</c:v>
                </c:pt>
              </c:numCache>
            </c:numRef>
          </c:val>
          <c:smooth val="0"/>
          <c:extLst>
            <c:ext xmlns:c16="http://schemas.microsoft.com/office/drawing/2014/chart" uri="{C3380CC4-5D6E-409C-BE32-E72D297353CC}">
              <c16:uniqueId val="{00000003-A7F1-454A-B89E-5CDD3A546292}"/>
            </c:ext>
          </c:extLst>
        </c:ser>
        <c:dLbls>
          <c:showLegendKey val="0"/>
          <c:showVal val="0"/>
          <c:showCatName val="0"/>
          <c:showSerName val="0"/>
          <c:showPercent val="0"/>
          <c:showBubbleSize val="0"/>
        </c:dLbls>
        <c:smooth val="0"/>
        <c:axId val="899209696"/>
        <c:axId val="533861392"/>
      </c:lineChart>
      <c:catAx>
        <c:axId val="899209696"/>
        <c:scaling>
          <c:orientation val="minMax"/>
        </c:scaling>
        <c:delete val="0"/>
        <c:axPos val="b"/>
        <c:numFmt formatCode="General" sourceLinked="1"/>
        <c:majorTickMark val="out"/>
        <c:minorTickMark val="none"/>
        <c:tickLblPos val="nextTo"/>
        <c:crossAx val="533861392"/>
        <c:crosses val="autoZero"/>
        <c:auto val="1"/>
        <c:lblAlgn val="ctr"/>
        <c:lblOffset val="100"/>
        <c:noMultiLvlLbl val="0"/>
      </c:catAx>
      <c:valAx>
        <c:axId val="533861392"/>
        <c:scaling>
          <c:orientation val="minMax"/>
          <c:min val="0"/>
        </c:scaling>
        <c:delete val="0"/>
        <c:axPos val="l"/>
        <c:majorGridlines/>
        <c:numFmt formatCode="0" sourceLinked="1"/>
        <c:majorTickMark val="out"/>
        <c:minorTickMark val="none"/>
        <c:tickLblPos val="nextTo"/>
        <c:crossAx val="899209696"/>
        <c:crosses val="autoZero"/>
        <c:crossBetween val="between"/>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DiningAreaPeopleActivityLevel</a:t>
            </a:r>
          </a:p>
        </c:rich>
      </c:tx>
      <c:overlay val="0"/>
    </c:title>
    <c:autoTitleDeleted val="0"/>
    <c:plotArea>
      <c:layout/>
      <c:lineChart>
        <c:grouping val="standard"/>
        <c:varyColors val="0"/>
        <c:ser>
          <c:idx val="0"/>
          <c:order val="0"/>
          <c:tx>
            <c:strRef>
              <c:f>Schedules!$E$233</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Schedules!$F$233:$AC$233</c:f>
              <c:numCache>
                <c:formatCode>0</c:formatCode>
                <c:ptCount val="24"/>
                <c:pt idx="0">
                  <c:v>161.19999999999999</c:v>
                </c:pt>
                <c:pt idx="1">
                  <c:v>161.19999999999999</c:v>
                </c:pt>
                <c:pt idx="2">
                  <c:v>161.19999999999999</c:v>
                </c:pt>
                <c:pt idx="3">
                  <c:v>161.19999999999999</c:v>
                </c:pt>
                <c:pt idx="4">
                  <c:v>161.19999999999999</c:v>
                </c:pt>
                <c:pt idx="5">
                  <c:v>161.19999999999999</c:v>
                </c:pt>
                <c:pt idx="6">
                  <c:v>161.19999999999999</c:v>
                </c:pt>
                <c:pt idx="7">
                  <c:v>161.19999999999999</c:v>
                </c:pt>
                <c:pt idx="8">
                  <c:v>161.19999999999999</c:v>
                </c:pt>
                <c:pt idx="9">
                  <c:v>161.19999999999999</c:v>
                </c:pt>
                <c:pt idx="10">
                  <c:v>161.19999999999999</c:v>
                </c:pt>
                <c:pt idx="11">
                  <c:v>161.19999999999999</c:v>
                </c:pt>
                <c:pt idx="12">
                  <c:v>161.19999999999999</c:v>
                </c:pt>
                <c:pt idx="13">
                  <c:v>161.19999999999999</c:v>
                </c:pt>
                <c:pt idx="14">
                  <c:v>161.19999999999999</c:v>
                </c:pt>
                <c:pt idx="15">
                  <c:v>161.19999999999999</c:v>
                </c:pt>
                <c:pt idx="16">
                  <c:v>161.19999999999999</c:v>
                </c:pt>
                <c:pt idx="17">
                  <c:v>161.19999999999999</c:v>
                </c:pt>
                <c:pt idx="18">
                  <c:v>161.19999999999999</c:v>
                </c:pt>
                <c:pt idx="19">
                  <c:v>161.19999999999999</c:v>
                </c:pt>
                <c:pt idx="20">
                  <c:v>161.19999999999999</c:v>
                </c:pt>
                <c:pt idx="21">
                  <c:v>161.19999999999999</c:v>
                </c:pt>
                <c:pt idx="22">
                  <c:v>161.19999999999999</c:v>
                </c:pt>
                <c:pt idx="23">
                  <c:v>161.19999999999999</c:v>
                </c:pt>
              </c:numCache>
            </c:numRef>
          </c:val>
          <c:smooth val="0"/>
          <c:extLst>
            <c:ext xmlns:c16="http://schemas.microsoft.com/office/drawing/2014/chart" uri="{C3380CC4-5D6E-409C-BE32-E72D297353CC}">
              <c16:uniqueId val="{00000001-0DEE-4C58-9356-7189686EC38D}"/>
            </c:ext>
          </c:extLst>
        </c:ser>
        <c:ser>
          <c:idx val="1"/>
          <c:order val="1"/>
          <c:tx>
            <c:strRef>
              <c:f>Schedules!$E$234</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Schedules!$F$234:$AC$234</c:f>
              <c:numCache>
                <c:formatCode>0</c:formatCode>
                <c:ptCount val="24"/>
                <c:pt idx="0">
                  <c:v>161.19999999999999</c:v>
                </c:pt>
                <c:pt idx="1">
                  <c:v>161.19999999999999</c:v>
                </c:pt>
                <c:pt idx="2">
                  <c:v>161.19999999999999</c:v>
                </c:pt>
                <c:pt idx="3">
                  <c:v>161.19999999999999</c:v>
                </c:pt>
                <c:pt idx="4">
                  <c:v>161.19999999999999</c:v>
                </c:pt>
                <c:pt idx="5">
                  <c:v>161.19999999999999</c:v>
                </c:pt>
                <c:pt idx="6">
                  <c:v>161.19999999999999</c:v>
                </c:pt>
                <c:pt idx="7">
                  <c:v>161.19999999999999</c:v>
                </c:pt>
                <c:pt idx="8">
                  <c:v>161.19999999999999</c:v>
                </c:pt>
                <c:pt idx="9">
                  <c:v>161.19999999999999</c:v>
                </c:pt>
                <c:pt idx="10">
                  <c:v>161.19999999999999</c:v>
                </c:pt>
                <c:pt idx="11">
                  <c:v>161.19999999999999</c:v>
                </c:pt>
                <c:pt idx="12">
                  <c:v>161.19999999999999</c:v>
                </c:pt>
                <c:pt idx="13">
                  <c:v>161.19999999999999</c:v>
                </c:pt>
                <c:pt idx="14">
                  <c:v>161.19999999999999</c:v>
                </c:pt>
                <c:pt idx="15">
                  <c:v>161.19999999999999</c:v>
                </c:pt>
                <c:pt idx="16">
                  <c:v>161.19999999999999</c:v>
                </c:pt>
                <c:pt idx="17">
                  <c:v>161.19999999999999</c:v>
                </c:pt>
                <c:pt idx="18">
                  <c:v>161.19999999999999</c:v>
                </c:pt>
                <c:pt idx="19">
                  <c:v>161.19999999999999</c:v>
                </c:pt>
                <c:pt idx="20">
                  <c:v>161.19999999999999</c:v>
                </c:pt>
                <c:pt idx="21">
                  <c:v>161.19999999999999</c:v>
                </c:pt>
                <c:pt idx="22">
                  <c:v>161.19999999999999</c:v>
                </c:pt>
                <c:pt idx="23">
                  <c:v>161.19999999999999</c:v>
                </c:pt>
              </c:numCache>
            </c:numRef>
          </c:val>
          <c:smooth val="0"/>
          <c:extLst>
            <c:ext xmlns:c16="http://schemas.microsoft.com/office/drawing/2014/chart" uri="{C3380CC4-5D6E-409C-BE32-E72D297353CC}">
              <c16:uniqueId val="{00000002-0DEE-4C58-9356-7189686EC38D}"/>
            </c:ext>
          </c:extLst>
        </c:ser>
        <c:ser>
          <c:idx val="2"/>
          <c:order val="2"/>
          <c:tx>
            <c:strRef>
              <c:f>Schedules!$E$235</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Schedules!$F$235:$AC$235</c:f>
              <c:numCache>
                <c:formatCode>0</c:formatCode>
                <c:ptCount val="24"/>
                <c:pt idx="0">
                  <c:v>161.19999999999999</c:v>
                </c:pt>
                <c:pt idx="1">
                  <c:v>161.19999999999999</c:v>
                </c:pt>
                <c:pt idx="2">
                  <c:v>161.19999999999999</c:v>
                </c:pt>
                <c:pt idx="3">
                  <c:v>161.19999999999999</c:v>
                </c:pt>
                <c:pt idx="4">
                  <c:v>161.19999999999999</c:v>
                </c:pt>
                <c:pt idx="5">
                  <c:v>161.19999999999999</c:v>
                </c:pt>
                <c:pt idx="6">
                  <c:v>161.19999999999999</c:v>
                </c:pt>
                <c:pt idx="7">
                  <c:v>161.19999999999999</c:v>
                </c:pt>
                <c:pt idx="8">
                  <c:v>161.19999999999999</c:v>
                </c:pt>
                <c:pt idx="9">
                  <c:v>161.19999999999999</c:v>
                </c:pt>
                <c:pt idx="10">
                  <c:v>161.19999999999999</c:v>
                </c:pt>
                <c:pt idx="11">
                  <c:v>161.19999999999999</c:v>
                </c:pt>
                <c:pt idx="12">
                  <c:v>161.19999999999999</c:v>
                </c:pt>
                <c:pt idx="13">
                  <c:v>161.19999999999999</c:v>
                </c:pt>
                <c:pt idx="14">
                  <c:v>161.19999999999999</c:v>
                </c:pt>
                <c:pt idx="15">
                  <c:v>161.19999999999999</c:v>
                </c:pt>
                <c:pt idx="16">
                  <c:v>161.19999999999999</c:v>
                </c:pt>
                <c:pt idx="17">
                  <c:v>161.19999999999999</c:v>
                </c:pt>
                <c:pt idx="18">
                  <c:v>161.19999999999999</c:v>
                </c:pt>
                <c:pt idx="19">
                  <c:v>161.19999999999999</c:v>
                </c:pt>
                <c:pt idx="20">
                  <c:v>161.19999999999999</c:v>
                </c:pt>
                <c:pt idx="21">
                  <c:v>161.19999999999999</c:v>
                </c:pt>
                <c:pt idx="22">
                  <c:v>161.19999999999999</c:v>
                </c:pt>
                <c:pt idx="23">
                  <c:v>161.19999999999999</c:v>
                </c:pt>
              </c:numCache>
            </c:numRef>
          </c:val>
          <c:smooth val="0"/>
          <c:extLst>
            <c:ext xmlns:c16="http://schemas.microsoft.com/office/drawing/2014/chart" uri="{C3380CC4-5D6E-409C-BE32-E72D297353CC}">
              <c16:uniqueId val="{00000003-0DEE-4C58-9356-7189686EC38D}"/>
            </c:ext>
          </c:extLst>
        </c:ser>
        <c:dLbls>
          <c:showLegendKey val="0"/>
          <c:showVal val="0"/>
          <c:showCatName val="0"/>
          <c:showSerName val="0"/>
          <c:showPercent val="0"/>
          <c:showBubbleSize val="0"/>
        </c:dLbls>
        <c:smooth val="0"/>
        <c:axId val="899231504"/>
        <c:axId val="533917072"/>
      </c:lineChart>
      <c:catAx>
        <c:axId val="899231504"/>
        <c:scaling>
          <c:orientation val="minMax"/>
        </c:scaling>
        <c:delete val="0"/>
        <c:axPos val="b"/>
        <c:numFmt formatCode="General" sourceLinked="1"/>
        <c:majorTickMark val="out"/>
        <c:minorTickMark val="none"/>
        <c:tickLblPos val="nextTo"/>
        <c:crossAx val="533917072"/>
        <c:crosses val="autoZero"/>
        <c:auto val="1"/>
        <c:lblAlgn val="ctr"/>
        <c:lblOffset val="100"/>
        <c:noMultiLvlLbl val="0"/>
      </c:catAx>
      <c:valAx>
        <c:axId val="533917072"/>
        <c:scaling>
          <c:orientation val="minMax"/>
          <c:min val="0"/>
        </c:scaling>
        <c:delete val="0"/>
        <c:axPos val="l"/>
        <c:majorGridlines/>
        <c:numFmt formatCode="0" sourceLinked="1"/>
        <c:majorTickMark val="out"/>
        <c:minorTickMark val="none"/>
        <c:tickLblPos val="nextTo"/>
        <c:crossAx val="899231504"/>
        <c:crosses val="autoZero"/>
        <c:crossBetween val="between"/>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FunctionalAreaPeopleActivityLevel</a:t>
            </a:r>
          </a:p>
        </c:rich>
      </c:tx>
      <c:overlay val="0"/>
    </c:title>
    <c:autoTitleDeleted val="0"/>
    <c:plotArea>
      <c:layout/>
      <c:lineChart>
        <c:grouping val="standard"/>
        <c:varyColors val="0"/>
        <c:ser>
          <c:idx val="0"/>
          <c:order val="0"/>
          <c:tx>
            <c:strRef>
              <c:f>Schedules!$E$236</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Schedules!$F$236:$AC$236</c:f>
              <c:numCache>
                <c:formatCode>0</c:formatCode>
                <c:ptCount val="24"/>
                <c:pt idx="0">
                  <c:v>131.9</c:v>
                </c:pt>
                <c:pt idx="1">
                  <c:v>131.9</c:v>
                </c:pt>
                <c:pt idx="2">
                  <c:v>131.9</c:v>
                </c:pt>
                <c:pt idx="3">
                  <c:v>131.9</c:v>
                </c:pt>
                <c:pt idx="4">
                  <c:v>131.9</c:v>
                </c:pt>
                <c:pt idx="5">
                  <c:v>131.9</c:v>
                </c:pt>
                <c:pt idx="6">
                  <c:v>131.9</c:v>
                </c:pt>
                <c:pt idx="7">
                  <c:v>131.9</c:v>
                </c:pt>
                <c:pt idx="8">
                  <c:v>131.9</c:v>
                </c:pt>
                <c:pt idx="9">
                  <c:v>131.9</c:v>
                </c:pt>
                <c:pt idx="10">
                  <c:v>131.9</c:v>
                </c:pt>
                <c:pt idx="11">
                  <c:v>131.9</c:v>
                </c:pt>
                <c:pt idx="12">
                  <c:v>131.9</c:v>
                </c:pt>
                <c:pt idx="13">
                  <c:v>131.9</c:v>
                </c:pt>
                <c:pt idx="14">
                  <c:v>131.9</c:v>
                </c:pt>
                <c:pt idx="15">
                  <c:v>131.9</c:v>
                </c:pt>
                <c:pt idx="16">
                  <c:v>131.9</c:v>
                </c:pt>
                <c:pt idx="17">
                  <c:v>131.9</c:v>
                </c:pt>
                <c:pt idx="18">
                  <c:v>131.9</c:v>
                </c:pt>
                <c:pt idx="19">
                  <c:v>131.9</c:v>
                </c:pt>
                <c:pt idx="20">
                  <c:v>131.9</c:v>
                </c:pt>
                <c:pt idx="21">
                  <c:v>131.9</c:v>
                </c:pt>
                <c:pt idx="22">
                  <c:v>131.9</c:v>
                </c:pt>
                <c:pt idx="23">
                  <c:v>131.9</c:v>
                </c:pt>
              </c:numCache>
            </c:numRef>
          </c:val>
          <c:smooth val="0"/>
          <c:extLst>
            <c:ext xmlns:c16="http://schemas.microsoft.com/office/drawing/2014/chart" uri="{C3380CC4-5D6E-409C-BE32-E72D297353CC}">
              <c16:uniqueId val="{00000001-BF54-418F-B77E-26F0ECCFFFFD}"/>
            </c:ext>
          </c:extLst>
        </c:ser>
        <c:ser>
          <c:idx val="1"/>
          <c:order val="1"/>
          <c:tx>
            <c:strRef>
              <c:f>Schedules!$E$237</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Schedules!$F$237:$AC$237</c:f>
              <c:numCache>
                <c:formatCode>0</c:formatCode>
                <c:ptCount val="24"/>
                <c:pt idx="0">
                  <c:v>131.9</c:v>
                </c:pt>
                <c:pt idx="1">
                  <c:v>131.9</c:v>
                </c:pt>
                <c:pt idx="2">
                  <c:v>131.9</c:v>
                </c:pt>
                <c:pt idx="3">
                  <c:v>131.9</c:v>
                </c:pt>
                <c:pt idx="4">
                  <c:v>131.9</c:v>
                </c:pt>
                <c:pt idx="5">
                  <c:v>131.9</c:v>
                </c:pt>
                <c:pt idx="6">
                  <c:v>131.9</c:v>
                </c:pt>
                <c:pt idx="7">
                  <c:v>131.9</c:v>
                </c:pt>
                <c:pt idx="8">
                  <c:v>131.9</c:v>
                </c:pt>
                <c:pt idx="9">
                  <c:v>131.9</c:v>
                </c:pt>
                <c:pt idx="10">
                  <c:v>131.9</c:v>
                </c:pt>
                <c:pt idx="11">
                  <c:v>131.9</c:v>
                </c:pt>
                <c:pt idx="12">
                  <c:v>131.9</c:v>
                </c:pt>
                <c:pt idx="13">
                  <c:v>131.9</c:v>
                </c:pt>
                <c:pt idx="14">
                  <c:v>131.9</c:v>
                </c:pt>
                <c:pt idx="15">
                  <c:v>131.9</c:v>
                </c:pt>
                <c:pt idx="16">
                  <c:v>131.9</c:v>
                </c:pt>
                <c:pt idx="17">
                  <c:v>131.9</c:v>
                </c:pt>
                <c:pt idx="18">
                  <c:v>131.9</c:v>
                </c:pt>
                <c:pt idx="19">
                  <c:v>131.9</c:v>
                </c:pt>
                <c:pt idx="20">
                  <c:v>131.9</c:v>
                </c:pt>
                <c:pt idx="21">
                  <c:v>131.9</c:v>
                </c:pt>
                <c:pt idx="22">
                  <c:v>131.9</c:v>
                </c:pt>
                <c:pt idx="23">
                  <c:v>131.9</c:v>
                </c:pt>
              </c:numCache>
            </c:numRef>
          </c:val>
          <c:smooth val="0"/>
          <c:extLst>
            <c:ext xmlns:c16="http://schemas.microsoft.com/office/drawing/2014/chart" uri="{C3380CC4-5D6E-409C-BE32-E72D297353CC}">
              <c16:uniqueId val="{00000002-BF54-418F-B77E-26F0ECCFFFFD}"/>
            </c:ext>
          </c:extLst>
        </c:ser>
        <c:ser>
          <c:idx val="2"/>
          <c:order val="2"/>
          <c:tx>
            <c:strRef>
              <c:f>Schedules!$E$238</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Schedules!$F$238:$AC$238</c:f>
              <c:numCache>
                <c:formatCode>0</c:formatCode>
                <c:ptCount val="24"/>
                <c:pt idx="0">
                  <c:v>131.9</c:v>
                </c:pt>
                <c:pt idx="1">
                  <c:v>131.9</c:v>
                </c:pt>
                <c:pt idx="2">
                  <c:v>131.9</c:v>
                </c:pt>
                <c:pt idx="3">
                  <c:v>131.9</c:v>
                </c:pt>
                <c:pt idx="4">
                  <c:v>131.9</c:v>
                </c:pt>
                <c:pt idx="5">
                  <c:v>131.9</c:v>
                </c:pt>
                <c:pt idx="6">
                  <c:v>131.9</c:v>
                </c:pt>
                <c:pt idx="7">
                  <c:v>131.9</c:v>
                </c:pt>
                <c:pt idx="8">
                  <c:v>131.9</c:v>
                </c:pt>
                <c:pt idx="9">
                  <c:v>131.9</c:v>
                </c:pt>
                <c:pt idx="10">
                  <c:v>131.9</c:v>
                </c:pt>
                <c:pt idx="11">
                  <c:v>131.9</c:v>
                </c:pt>
                <c:pt idx="12">
                  <c:v>131.9</c:v>
                </c:pt>
                <c:pt idx="13">
                  <c:v>131.9</c:v>
                </c:pt>
                <c:pt idx="14">
                  <c:v>131.9</c:v>
                </c:pt>
                <c:pt idx="15">
                  <c:v>131.9</c:v>
                </c:pt>
                <c:pt idx="16">
                  <c:v>131.9</c:v>
                </c:pt>
                <c:pt idx="17">
                  <c:v>131.9</c:v>
                </c:pt>
                <c:pt idx="18">
                  <c:v>131.9</c:v>
                </c:pt>
                <c:pt idx="19">
                  <c:v>131.9</c:v>
                </c:pt>
                <c:pt idx="20">
                  <c:v>131.9</c:v>
                </c:pt>
                <c:pt idx="21">
                  <c:v>131.9</c:v>
                </c:pt>
                <c:pt idx="22">
                  <c:v>131.9</c:v>
                </c:pt>
                <c:pt idx="23">
                  <c:v>131.9</c:v>
                </c:pt>
              </c:numCache>
            </c:numRef>
          </c:val>
          <c:smooth val="0"/>
          <c:extLst>
            <c:ext xmlns:c16="http://schemas.microsoft.com/office/drawing/2014/chart" uri="{C3380CC4-5D6E-409C-BE32-E72D297353CC}">
              <c16:uniqueId val="{00000003-BF54-418F-B77E-26F0ECCFFFFD}"/>
            </c:ext>
          </c:extLst>
        </c:ser>
        <c:dLbls>
          <c:showLegendKey val="0"/>
          <c:showVal val="0"/>
          <c:showCatName val="0"/>
          <c:showSerName val="0"/>
          <c:showPercent val="0"/>
          <c:showBubbleSize val="0"/>
        </c:dLbls>
        <c:smooth val="0"/>
        <c:axId val="899295072"/>
        <c:axId val="533942032"/>
      </c:lineChart>
      <c:catAx>
        <c:axId val="899295072"/>
        <c:scaling>
          <c:orientation val="minMax"/>
        </c:scaling>
        <c:delete val="0"/>
        <c:axPos val="b"/>
        <c:numFmt formatCode="General" sourceLinked="1"/>
        <c:majorTickMark val="out"/>
        <c:minorTickMark val="none"/>
        <c:tickLblPos val="nextTo"/>
        <c:crossAx val="533942032"/>
        <c:crosses val="autoZero"/>
        <c:auto val="1"/>
        <c:lblAlgn val="ctr"/>
        <c:lblOffset val="100"/>
        <c:noMultiLvlLbl val="0"/>
      </c:catAx>
      <c:valAx>
        <c:axId val="533942032"/>
        <c:scaling>
          <c:orientation val="minMax"/>
          <c:min val="0"/>
        </c:scaling>
        <c:delete val="0"/>
        <c:axPos val="l"/>
        <c:majorGridlines/>
        <c:numFmt formatCode="0" sourceLinked="1"/>
        <c:majorTickMark val="out"/>
        <c:minorTickMark val="none"/>
        <c:tickLblPos val="nextTo"/>
        <c:crossAx val="899295072"/>
        <c:crosses val="autoZero"/>
        <c:crossBetween val="between"/>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RefStoragePeopleActivityLevel</a:t>
            </a:r>
          </a:p>
        </c:rich>
      </c:tx>
      <c:overlay val="0"/>
    </c:title>
    <c:autoTitleDeleted val="0"/>
    <c:plotArea>
      <c:layout/>
      <c:lineChart>
        <c:grouping val="standard"/>
        <c:varyColors val="0"/>
        <c:ser>
          <c:idx val="0"/>
          <c:order val="0"/>
          <c:tx>
            <c:strRef>
              <c:f>Schedules!$E$239</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Schedules!$F$239:$AC$239</c:f>
              <c:numCache>
                <c:formatCode>0</c:formatCode>
                <c:ptCount val="24"/>
                <c:pt idx="0">
                  <c:v>219.8</c:v>
                </c:pt>
                <c:pt idx="1">
                  <c:v>219.8</c:v>
                </c:pt>
                <c:pt idx="2">
                  <c:v>219.8</c:v>
                </c:pt>
                <c:pt idx="3">
                  <c:v>219.8</c:v>
                </c:pt>
                <c:pt idx="4">
                  <c:v>219.8</c:v>
                </c:pt>
                <c:pt idx="5">
                  <c:v>219.8</c:v>
                </c:pt>
                <c:pt idx="6">
                  <c:v>219.8</c:v>
                </c:pt>
                <c:pt idx="7">
                  <c:v>219.8</c:v>
                </c:pt>
                <c:pt idx="8">
                  <c:v>219.8</c:v>
                </c:pt>
                <c:pt idx="9">
                  <c:v>219.8</c:v>
                </c:pt>
                <c:pt idx="10">
                  <c:v>219.8</c:v>
                </c:pt>
                <c:pt idx="11">
                  <c:v>219.8</c:v>
                </c:pt>
                <c:pt idx="12">
                  <c:v>219.8</c:v>
                </c:pt>
                <c:pt idx="13">
                  <c:v>219.8</c:v>
                </c:pt>
                <c:pt idx="14">
                  <c:v>219.8</c:v>
                </c:pt>
                <c:pt idx="15">
                  <c:v>219.8</c:v>
                </c:pt>
                <c:pt idx="16">
                  <c:v>219.8</c:v>
                </c:pt>
                <c:pt idx="17">
                  <c:v>219.8</c:v>
                </c:pt>
                <c:pt idx="18">
                  <c:v>219.8</c:v>
                </c:pt>
                <c:pt idx="19">
                  <c:v>219.8</c:v>
                </c:pt>
                <c:pt idx="20">
                  <c:v>219.8</c:v>
                </c:pt>
                <c:pt idx="21">
                  <c:v>219.8</c:v>
                </c:pt>
                <c:pt idx="22">
                  <c:v>219.8</c:v>
                </c:pt>
                <c:pt idx="23">
                  <c:v>219.8</c:v>
                </c:pt>
              </c:numCache>
            </c:numRef>
          </c:val>
          <c:smooth val="0"/>
          <c:extLst>
            <c:ext xmlns:c16="http://schemas.microsoft.com/office/drawing/2014/chart" uri="{C3380CC4-5D6E-409C-BE32-E72D297353CC}">
              <c16:uniqueId val="{00000001-F828-4939-AA17-B42EAC9222A9}"/>
            </c:ext>
          </c:extLst>
        </c:ser>
        <c:ser>
          <c:idx val="1"/>
          <c:order val="1"/>
          <c:tx>
            <c:strRef>
              <c:f>Schedules!$E$240</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Schedules!$F$240:$AC$240</c:f>
              <c:numCache>
                <c:formatCode>0</c:formatCode>
                <c:ptCount val="24"/>
                <c:pt idx="0">
                  <c:v>219.8</c:v>
                </c:pt>
                <c:pt idx="1">
                  <c:v>219.8</c:v>
                </c:pt>
                <c:pt idx="2">
                  <c:v>219.8</c:v>
                </c:pt>
                <c:pt idx="3">
                  <c:v>219.8</c:v>
                </c:pt>
                <c:pt idx="4">
                  <c:v>219.8</c:v>
                </c:pt>
                <c:pt idx="5">
                  <c:v>219.8</c:v>
                </c:pt>
                <c:pt idx="6">
                  <c:v>219.8</c:v>
                </c:pt>
                <c:pt idx="7">
                  <c:v>219.8</c:v>
                </c:pt>
                <c:pt idx="8">
                  <c:v>219.8</c:v>
                </c:pt>
                <c:pt idx="9">
                  <c:v>219.8</c:v>
                </c:pt>
                <c:pt idx="10">
                  <c:v>219.8</c:v>
                </c:pt>
                <c:pt idx="11">
                  <c:v>219.8</c:v>
                </c:pt>
                <c:pt idx="12">
                  <c:v>219.8</c:v>
                </c:pt>
                <c:pt idx="13">
                  <c:v>219.8</c:v>
                </c:pt>
                <c:pt idx="14">
                  <c:v>219.8</c:v>
                </c:pt>
                <c:pt idx="15">
                  <c:v>219.8</c:v>
                </c:pt>
                <c:pt idx="16">
                  <c:v>219.8</c:v>
                </c:pt>
                <c:pt idx="17">
                  <c:v>219.8</c:v>
                </c:pt>
                <c:pt idx="18">
                  <c:v>219.8</c:v>
                </c:pt>
                <c:pt idx="19">
                  <c:v>219.8</c:v>
                </c:pt>
                <c:pt idx="20">
                  <c:v>219.8</c:v>
                </c:pt>
                <c:pt idx="21">
                  <c:v>219.8</c:v>
                </c:pt>
                <c:pt idx="22">
                  <c:v>219.8</c:v>
                </c:pt>
                <c:pt idx="23">
                  <c:v>219.8</c:v>
                </c:pt>
              </c:numCache>
            </c:numRef>
          </c:val>
          <c:smooth val="0"/>
          <c:extLst>
            <c:ext xmlns:c16="http://schemas.microsoft.com/office/drawing/2014/chart" uri="{C3380CC4-5D6E-409C-BE32-E72D297353CC}">
              <c16:uniqueId val="{00000002-F828-4939-AA17-B42EAC9222A9}"/>
            </c:ext>
          </c:extLst>
        </c:ser>
        <c:ser>
          <c:idx val="2"/>
          <c:order val="2"/>
          <c:tx>
            <c:strRef>
              <c:f>Schedules!$E$241</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Schedules!$F$241:$AC$241</c:f>
              <c:numCache>
                <c:formatCode>0</c:formatCode>
                <c:ptCount val="24"/>
                <c:pt idx="0">
                  <c:v>219.8</c:v>
                </c:pt>
                <c:pt idx="1">
                  <c:v>219.8</c:v>
                </c:pt>
                <c:pt idx="2">
                  <c:v>219.8</c:v>
                </c:pt>
                <c:pt idx="3">
                  <c:v>219.8</c:v>
                </c:pt>
                <c:pt idx="4">
                  <c:v>219.8</c:v>
                </c:pt>
                <c:pt idx="5">
                  <c:v>219.8</c:v>
                </c:pt>
                <c:pt idx="6">
                  <c:v>219.8</c:v>
                </c:pt>
                <c:pt idx="7">
                  <c:v>219.8</c:v>
                </c:pt>
                <c:pt idx="8">
                  <c:v>219.8</c:v>
                </c:pt>
                <c:pt idx="9">
                  <c:v>219.8</c:v>
                </c:pt>
                <c:pt idx="10">
                  <c:v>219.8</c:v>
                </c:pt>
                <c:pt idx="11">
                  <c:v>219.8</c:v>
                </c:pt>
                <c:pt idx="12">
                  <c:v>219.8</c:v>
                </c:pt>
                <c:pt idx="13">
                  <c:v>219.8</c:v>
                </c:pt>
                <c:pt idx="14">
                  <c:v>219.8</c:v>
                </c:pt>
                <c:pt idx="15">
                  <c:v>219.8</c:v>
                </c:pt>
                <c:pt idx="16">
                  <c:v>219.8</c:v>
                </c:pt>
                <c:pt idx="17">
                  <c:v>219.8</c:v>
                </c:pt>
                <c:pt idx="18">
                  <c:v>219.8</c:v>
                </c:pt>
                <c:pt idx="19">
                  <c:v>219.8</c:v>
                </c:pt>
                <c:pt idx="20">
                  <c:v>219.8</c:v>
                </c:pt>
                <c:pt idx="21">
                  <c:v>219.8</c:v>
                </c:pt>
                <c:pt idx="22">
                  <c:v>219.8</c:v>
                </c:pt>
                <c:pt idx="23">
                  <c:v>219.8</c:v>
                </c:pt>
              </c:numCache>
            </c:numRef>
          </c:val>
          <c:smooth val="0"/>
          <c:extLst>
            <c:ext xmlns:c16="http://schemas.microsoft.com/office/drawing/2014/chart" uri="{C3380CC4-5D6E-409C-BE32-E72D297353CC}">
              <c16:uniqueId val="{00000003-F828-4939-AA17-B42EAC9222A9}"/>
            </c:ext>
          </c:extLst>
        </c:ser>
        <c:dLbls>
          <c:showLegendKey val="0"/>
          <c:showVal val="0"/>
          <c:showCatName val="0"/>
          <c:showSerName val="0"/>
          <c:showPercent val="0"/>
          <c:showBubbleSize val="0"/>
        </c:dLbls>
        <c:smooth val="0"/>
        <c:axId val="899353536"/>
        <c:axId val="533974672"/>
      </c:lineChart>
      <c:catAx>
        <c:axId val="899353536"/>
        <c:scaling>
          <c:orientation val="minMax"/>
        </c:scaling>
        <c:delete val="0"/>
        <c:axPos val="b"/>
        <c:numFmt formatCode="General" sourceLinked="1"/>
        <c:majorTickMark val="out"/>
        <c:minorTickMark val="none"/>
        <c:tickLblPos val="nextTo"/>
        <c:crossAx val="533974672"/>
        <c:crosses val="autoZero"/>
        <c:auto val="1"/>
        <c:lblAlgn val="ctr"/>
        <c:lblOffset val="100"/>
        <c:noMultiLvlLbl val="0"/>
      </c:catAx>
      <c:valAx>
        <c:axId val="533974672"/>
        <c:scaling>
          <c:orientation val="minMax"/>
          <c:min val="0"/>
        </c:scaling>
        <c:delete val="0"/>
        <c:axPos val="l"/>
        <c:majorGridlines/>
        <c:numFmt formatCode="0" sourceLinked="1"/>
        <c:majorTickMark val="out"/>
        <c:minorTickMark val="none"/>
        <c:tickLblPos val="nextTo"/>
        <c:crossAx val="899353536"/>
        <c:crosses val="autoZero"/>
        <c:crossBetween val="between"/>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HVACAvail</a:t>
            </a:r>
          </a:p>
        </c:rich>
      </c:tx>
      <c:overlay val="0"/>
    </c:title>
    <c:autoTitleDeleted val="0"/>
    <c:plotArea>
      <c:layout/>
      <c:lineChart>
        <c:grouping val="standard"/>
        <c:varyColors val="0"/>
        <c:ser>
          <c:idx val="0"/>
          <c:order val="0"/>
          <c:tx>
            <c:strRef>
              <c:f>Schedules!$E$243</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Schedules!$F$243:$AC$243</c:f>
              <c:numCache>
                <c:formatCode>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1FCB-40A0-8803-C3B90F394873}"/>
            </c:ext>
          </c:extLst>
        </c:ser>
        <c:ser>
          <c:idx val="1"/>
          <c:order val="1"/>
          <c:tx>
            <c:strRef>
              <c:f>Schedules!$E$244</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Schedules!$F$244:$AC$244</c:f>
              <c:numCache>
                <c:formatCode>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1FCB-40A0-8803-C3B90F394873}"/>
            </c:ext>
          </c:extLst>
        </c:ser>
        <c:ser>
          <c:idx val="2"/>
          <c:order val="2"/>
          <c:tx>
            <c:strRef>
              <c:f>Schedules!$E$245</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Schedules!$F$245:$AC$245</c:f>
              <c:numCache>
                <c:formatCode>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3-1FCB-40A0-8803-C3B90F394873}"/>
            </c:ext>
          </c:extLst>
        </c:ser>
        <c:dLbls>
          <c:showLegendKey val="0"/>
          <c:showVal val="0"/>
          <c:showCatName val="0"/>
          <c:showSerName val="0"/>
          <c:showPercent val="0"/>
          <c:showBubbleSize val="0"/>
        </c:dLbls>
        <c:smooth val="0"/>
        <c:axId val="899375808"/>
        <c:axId val="533745712"/>
      </c:lineChart>
      <c:catAx>
        <c:axId val="899375808"/>
        <c:scaling>
          <c:orientation val="minMax"/>
        </c:scaling>
        <c:delete val="0"/>
        <c:axPos val="b"/>
        <c:numFmt formatCode="General" sourceLinked="1"/>
        <c:majorTickMark val="out"/>
        <c:minorTickMark val="none"/>
        <c:tickLblPos val="nextTo"/>
        <c:crossAx val="533745712"/>
        <c:crosses val="autoZero"/>
        <c:auto val="1"/>
        <c:lblAlgn val="ctr"/>
        <c:lblOffset val="100"/>
        <c:noMultiLvlLbl val="0"/>
      </c:catAx>
      <c:valAx>
        <c:axId val="533745712"/>
        <c:scaling>
          <c:orientation val="minMax"/>
          <c:max val="1"/>
          <c:min val="0"/>
        </c:scaling>
        <c:delete val="0"/>
        <c:axPos val="l"/>
        <c:majorGridlines/>
        <c:numFmt formatCode="0.0" sourceLinked="1"/>
        <c:majorTickMark val="out"/>
        <c:minorTickMark val="none"/>
        <c:tickLblPos val="nextTo"/>
        <c:crossAx val="899375808"/>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HtgSetpt</a:t>
            </a:r>
          </a:p>
        </c:rich>
      </c:tx>
      <c:overlay val="0"/>
    </c:title>
    <c:autoTitleDeleted val="0"/>
    <c:plotArea>
      <c:layout/>
      <c:lineChart>
        <c:grouping val="standard"/>
        <c:varyColors val="0"/>
        <c:ser>
          <c:idx val="0"/>
          <c:order val="0"/>
          <c:tx>
            <c:strRef>
              <c:f>Schedules!$E$246</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Schedules!$F$246:$AC$246</c:f>
              <c:numCache>
                <c:formatCode>0.0</c:formatCode>
                <c:ptCount val="24"/>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pt idx="21">
                  <c:v>35</c:v>
                </c:pt>
                <c:pt idx="22">
                  <c:v>35</c:v>
                </c:pt>
                <c:pt idx="23">
                  <c:v>35</c:v>
                </c:pt>
              </c:numCache>
            </c:numRef>
          </c:val>
          <c:smooth val="0"/>
          <c:extLst>
            <c:ext xmlns:c16="http://schemas.microsoft.com/office/drawing/2014/chart" uri="{C3380CC4-5D6E-409C-BE32-E72D297353CC}">
              <c16:uniqueId val="{00000001-885E-4A89-84F1-CCD421142E88}"/>
            </c:ext>
          </c:extLst>
        </c:ser>
        <c:ser>
          <c:idx val="1"/>
          <c:order val="1"/>
          <c:tx>
            <c:strRef>
              <c:f>Schedules!$E$247</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Schedules!$F$247:$AC$247</c:f>
              <c:numCache>
                <c:formatCode>0.0</c:formatCode>
                <c:ptCount val="24"/>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pt idx="21">
                  <c:v>35</c:v>
                </c:pt>
                <c:pt idx="22">
                  <c:v>35</c:v>
                </c:pt>
                <c:pt idx="23">
                  <c:v>35</c:v>
                </c:pt>
              </c:numCache>
            </c:numRef>
          </c:val>
          <c:smooth val="0"/>
          <c:extLst>
            <c:ext xmlns:c16="http://schemas.microsoft.com/office/drawing/2014/chart" uri="{C3380CC4-5D6E-409C-BE32-E72D297353CC}">
              <c16:uniqueId val="{00000002-885E-4A89-84F1-CCD421142E88}"/>
            </c:ext>
          </c:extLst>
        </c:ser>
        <c:ser>
          <c:idx val="2"/>
          <c:order val="2"/>
          <c:tx>
            <c:strRef>
              <c:f>Schedules!$E$248</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Schedules!$F$248:$AC$248</c:f>
              <c:numCache>
                <c:formatCode>0.0</c:formatCode>
                <c:ptCount val="24"/>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pt idx="21">
                  <c:v>35</c:v>
                </c:pt>
                <c:pt idx="22">
                  <c:v>35</c:v>
                </c:pt>
                <c:pt idx="23">
                  <c:v>35</c:v>
                </c:pt>
              </c:numCache>
            </c:numRef>
          </c:val>
          <c:smooth val="0"/>
          <c:extLst>
            <c:ext xmlns:c16="http://schemas.microsoft.com/office/drawing/2014/chart" uri="{C3380CC4-5D6E-409C-BE32-E72D297353CC}">
              <c16:uniqueId val="{00000003-885E-4A89-84F1-CCD421142E88}"/>
            </c:ext>
          </c:extLst>
        </c:ser>
        <c:dLbls>
          <c:showLegendKey val="0"/>
          <c:showVal val="0"/>
          <c:showCatName val="0"/>
          <c:showSerName val="0"/>
          <c:showPercent val="0"/>
          <c:showBubbleSize val="0"/>
        </c:dLbls>
        <c:smooth val="0"/>
        <c:axId val="899199488"/>
        <c:axId val="533790352"/>
      </c:lineChart>
      <c:catAx>
        <c:axId val="899199488"/>
        <c:scaling>
          <c:orientation val="minMax"/>
        </c:scaling>
        <c:delete val="0"/>
        <c:axPos val="b"/>
        <c:numFmt formatCode="General" sourceLinked="1"/>
        <c:majorTickMark val="out"/>
        <c:minorTickMark val="none"/>
        <c:tickLblPos val="nextTo"/>
        <c:crossAx val="533790352"/>
        <c:crosses val="autoZero"/>
        <c:auto val="1"/>
        <c:lblAlgn val="ctr"/>
        <c:lblOffset val="100"/>
        <c:noMultiLvlLbl val="0"/>
      </c:catAx>
      <c:valAx>
        <c:axId val="533790352"/>
        <c:scaling>
          <c:orientation val="minMax"/>
          <c:max val="90"/>
          <c:min val="50"/>
        </c:scaling>
        <c:delete val="0"/>
        <c:axPos val="l"/>
        <c:majorGridlines/>
        <c:numFmt formatCode="0.0" sourceLinked="1"/>
        <c:majorTickMark val="out"/>
        <c:minorTickMark val="none"/>
        <c:tickLblPos val="nextTo"/>
        <c:crossAx val="899199488"/>
        <c:crosses val="autoZero"/>
        <c:crossBetween val="between"/>
        <c:majorUnit val="10"/>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ClgSetpt</a:t>
            </a:r>
          </a:p>
        </c:rich>
      </c:tx>
      <c:overlay val="0"/>
    </c:title>
    <c:autoTitleDeleted val="0"/>
    <c:plotArea>
      <c:layout/>
      <c:lineChart>
        <c:grouping val="standard"/>
        <c:varyColors val="0"/>
        <c:ser>
          <c:idx val="0"/>
          <c:order val="0"/>
          <c:tx>
            <c:strRef>
              <c:f>Schedules!$E$249</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Schedules!$F$249:$AC$249</c:f>
              <c:numCache>
                <c:formatCode>0.0</c:formatCode>
                <c:ptCount val="24"/>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pt idx="21">
                  <c:v>35</c:v>
                </c:pt>
                <c:pt idx="22">
                  <c:v>35</c:v>
                </c:pt>
                <c:pt idx="23">
                  <c:v>35</c:v>
                </c:pt>
              </c:numCache>
            </c:numRef>
          </c:val>
          <c:smooth val="0"/>
          <c:extLst>
            <c:ext xmlns:c16="http://schemas.microsoft.com/office/drawing/2014/chart" uri="{C3380CC4-5D6E-409C-BE32-E72D297353CC}">
              <c16:uniqueId val="{00000001-0949-437B-938D-2144B7B256FB}"/>
            </c:ext>
          </c:extLst>
        </c:ser>
        <c:ser>
          <c:idx val="1"/>
          <c:order val="1"/>
          <c:tx>
            <c:strRef>
              <c:f>Schedules!$E$250</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Schedules!$F$250:$AC$250</c:f>
              <c:numCache>
                <c:formatCode>0.0</c:formatCode>
                <c:ptCount val="24"/>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pt idx="21">
                  <c:v>35</c:v>
                </c:pt>
                <c:pt idx="22">
                  <c:v>35</c:v>
                </c:pt>
                <c:pt idx="23">
                  <c:v>35</c:v>
                </c:pt>
              </c:numCache>
            </c:numRef>
          </c:val>
          <c:smooth val="0"/>
          <c:extLst>
            <c:ext xmlns:c16="http://schemas.microsoft.com/office/drawing/2014/chart" uri="{C3380CC4-5D6E-409C-BE32-E72D297353CC}">
              <c16:uniqueId val="{00000002-0949-437B-938D-2144B7B256FB}"/>
            </c:ext>
          </c:extLst>
        </c:ser>
        <c:ser>
          <c:idx val="2"/>
          <c:order val="2"/>
          <c:tx>
            <c:strRef>
              <c:f>Schedules!$E$251</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Schedules!$F$251:$AC$251</c:f>
              <c:numCache>
                <c:formatCode>0.0</c:formatCode>
                <c:ptCount val="24"/>
                <c:pt idx="0">
                  <c:v>35</c:v>
                </c:pt>
                <c:pt idx="1">
                  <c:v>35</c:v>
                </c:pt>
                <c:pt idx="2">
                  <c:v>35</c:v>
                </c:pt>
                <c:pt idx="3">
                  <c:v>35</c:v>
                </c:pt>
                <c:pt idx="4">
                  <c:v>35</c:v>
                </c:pt>
                <c:pt idx="5">
                  <c:v>35</c:v>
                </c:pt>
                <c:pt idx="6">
                  <c:v>35</c:v>
                </c:pt>
                <c:pt idx="7">
                  <c:v>35</c:v>
                </c:pt>
                <c:pt idx="8">
                  <c:v>35</c:v>
                </c:pt>
                <c:pt idx="9">
                  <c:v>35</c:v>
                </c:pt>
                <c:pt idx="10">
                  <c:v>35</c:v>
                </c:pt>
                <c:pt idx="11">
                  <c:v>35</c:v>
                </c:pt>
                <c:pt idx="12">
                  <c:v>35</c:v>
                </c:pt>
                <c:pt idx="13">
                  <c:v>35</c:v>
                </c:pt>
                <c:pt idx="14">
                  <c:v>35</c:v>
                </c:pt>
                <c:pt idx="15">
                  <c:v>35</c:v>
                </c:pt>
                <c:pt idx="16">
                  <c:v>35</c:v>
                </c:pt>
                <c:pt idx="17">
                  <c:v>35</c:v>
                </c:pt>
                <c:pt idx="18">
                  <c:v>35</c:v>
                </c:pt>
                <c:pt idx="19">
                  <c:v>35</c:v>
                </c:pt>
                <c:pt idx="20">
                  <c:v>35</c:v>
                </c:pt>
                <c:pt idx="21">
                  <c:v>35</c:v>
                </c:pt>
                <c:pt idx="22">
                  <c:v>35</c:v>
                </c:pt>
                <c:pt idx="23">
                  <c:v>35</c:v>
                </c:pt>
              </c:numCache>
            </c:numRef>
          </c:val>
          <c:smooth val="0"/>
          <c:extLst>
            <c:ext xmlns:c16="http://schemas.microsoft.com/office/drawing/2014/chart" uri="{C3380CC4-5D6E-409C-BE32-E72D297353CC}">
              <c16:uniqueId val="{00000003-0949-437B-938D-2144B7B256FB}"/>
            </c:ext>
          </c:extLst>
        </c:ser>
        <c:dLbls>
          <c:showLegendKey val="0"/>
          <c:showVal val="0"/>
          <c:showCatName val="0"/>
          <c:showSerName val="0"/>
          <c:showPercent val="0"/>
          <c:showBubbleSize val="0"/>
        </c:dLbls>
        <c:smooth val="0"/>
        <c:axId val="899274656"/>
        <c:axId val="533814352"/>
      </c:lineChart>
      <c:catAx>
        <c:axId val="899274656"/>
        <c:scaling>
          <c:orientation val="minMax"/>
        </c:scaling>
        <c:delete val="0"/>
        <c:axPos val="b"/>
        <c:numFmt formatCode="General" sourceLinked="1"/>
        <c:majorTickMark val="out"/>
        <c:minorTickMark val="none"/>
        <c:tickLblPos val="nextTo"/>
        <c:crossAx val="533814352"/>
        <c:crosses val="autoZero"/>
        <c:auto val="1"/>
        <c:lblAlgn val="ctr"/>
        <c:lblOffset val="100"/>
        <c:noMultiLvlLbl val="0"/>
      </c:catAx>
      <c:valAx>
        <c:axId val="533814352"/>
        <c:scaling>
          <c:orientation val="minMax"/>
          <c:max val="90"/>
          <c:min val="50"/>
        </c:scaling>
        <c:delete val="0"/>
        <c:axPos val="l"/>
        <c:majorGridlines/>
        <c:numFmt formatCode="0.0" sourceLinked="1"/>
        <c:majorTickMark val="out"/>
        <c:minorTickMark val="none"/>
        <c:tickLblPos val="nextTo"/>
        <c:crossAx val="899274656"/>
        <c:crosses val="autoZero"/>
        <c:crossBetween val="between"/>
        <c:majorUnit val="10"/>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Lights</a:t>
            </a:r>
          </a:p>
        </c:rich>
      </c:tx>
      <c:overlay val="0"/>
    </c:title>
    <c:autoTitleDeleted val="0"/>
    <c:plotArea>
      <c:layout/>
      <c:lineChart>
        <c:grouping val="standard"/>
        <c:varyColors val="0"/>
        <c:ser>
          <c:idx val="0"/>
          <c:order val="0"/>
          <c:tx>
            <c:strRef>
              <c:f>Schedules!$E$252</c:f>
              <c:strCache>
                <c:ptCount val="1"/>
                <c:pt idx="0">
                  <c:v>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Schedules!$F$252:$AC$252</c:f>
              <c:numCache>
                <c:formatCode>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94A4-424F-9D84-EAA45BA6B341}"/>
            </c:ext>
          </c:extLst>
        </c:ser>
        <c:ser>
          <c:idx val="1"/>
          <c:order val="1"/>
          <c:tx>
            <c:strRef>
              <c:f>Schedules!$E$253</c:f>
              <c:strCache>
                <c:ptCount val="1"/>
                <c:pt idx="0">
                  <c:v>Mon-Thu</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Schedules!$F$253:$AC$253</c:f>
              <c:numCache>
                <c:formatCode>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1</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94A4-424F-9D84-EAA45BA6B341}"/>
            </c:ext>
          </c:extLst>
        </c:ser>
        <c:ser>
          <c:idx val="2"/>
          <c:order val="2"/>
          <c:tx>
            <c:strRef>
              <c:f>Schedules!$E$254</c:f>
              <c:strCache>
                <c:ptCount val="1"/>
                <c:pt idx="0">
                  <c:v>Friday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Schedules!$F$254:$AC$254</c:f>
              <c:numCache>
                <c:formatCode>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1</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3-94A4-424F-9D84-EAA45BA6B341}"/>
            </c:ext>
          </c:extLst>
        </c:ser>
        <c:ser>
          <c:idx val="3"/>
          <c:order val="3"/>
          <c:tx>
            <c:strRef>
              <c:f>Schedules!$E$255</c:f>
              <c:strCache>
                <c:ptCount val="1"/>
                <c:pt idx="0">
                  <c:v>SummerSchool</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Schedules!$F$255:$AC$255</c:f>
              <c:numCache>
                <c:formatCode>0.0</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4-94A4-424F-9D84-EAA45BA6B341}"/>
            </c:ext>
          </c:extLst>
        </c:ser>
        <c:dLbls>
          <c:showLegendKey val="0"/>
          <c:showVal val="0"/>
          <c:showCatName val="0"/>
          <c:showSerName val="0"/>
          <c:showPercent val="0"/>
          <c:showBubbleSize val="0"/>
        </c:dLbls>
        <c:smooth val="0"/>
        <c:axId val="899380912"/>
        <c:axId val="533852752"/>
      </c:lineChart>
      <c:catAx>
        <c:axId val="899380912"/>
        <c:scaling>
          <c:orientation val="minMax"/>
        </c:scaling>
        <c:delete val="0"/>
        <c:axPos val="b"/>
        <c:numFmt formatCode="General" sourceLinked="1"/>
        <c:majorTickMark val="out"/>
        <c:minorTickMark val="none"/>
        <c:tickLblPos val="nextTo"/>
        <c:crossAx val="533852752"/>
        <c:crosses val="autoZero"/>
        <c:auto val="1"/>
        <c:lblAlgn val="ctr"/>
        <c:lblOffset val="100"/>
        <c:noMultiLvlLbl val="0"/>
      </c:catAx>
      <c:valAx>
        <c:axId val="533852752"/>
        <c:scaling>
          <c:orientation val="minMax"/>
          <c:max val="1"/>
          <c:min val="0"/>
        </c:scaling>
        <c:delete val="0"/>
        <c:axPos val="l"/>
        <c:majorGridlines/>
        <c:numFmt formatCode="0.0" sourceLinked="1"/>
        <c:majorTickMark val="out"/>
        <c:minorTickMark val="none"/>
        <c:tickLblPos val="nextTo"/>
        <c:crossAx val="899380912"/>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ElecEquipment</a:t>
            </a:r>
          </a:p>
        </c:rich>
      </c:tx>
      <c:overlay val="0"/>
    </c:title>
    <c:autoTitleDeleted val="0"/>
    <c:plotArea>
      <c:layout/>
      <c:lineChart>
        <c:grouping val="standard"/>
        <c:varyColors val="0"/>
        <c:ser>
          <c:idx val="0"/>
          <c:order val="0"/>
          <c:tx>
            <c:strRef>
              <c:f>Schedules!$E$256</c:f>
              <c:strCache>
                <c:ptCount val="1"/>
                <c:pt idx="0">
                  <c:v>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Schedules!$F$256:$AC$256</c:f>
              <c:numCache>
                <c:formatCode>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F50C-450F-8EE0-91428F378470}"/>
            </c:ext>
          </c:extLst>
        </c:ser>
        <c:ser>
          <c:idx val="1"/>
          <c:order val="1"/>
          <c:tx>
            <c:strRef>
              <c:f>Schedules!$E$257</c:f>
              <c:strCache>
                <c:ptCount val="1"/>
                <c:pt idx="0">
                  <c:v>Mon-Thu</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Schedules!$F$257:$AC$257</c:f>
              <c:numCache>
                <c:formatCode>0.0</c:formatCode>
                <c:ptCount val="24"/>
                <c:pt idx="0">
                  <c:v>0.15</c:v>
                </c:pt>
                <c:pt idx="1">
                  <c:v>0.15</c:v>
                </c:pt>
                <c:pt idx="2">
                  <c:v>0.15</c:v>
                </c:pt>
                <c:pt idx="3">
                  <c:v>0.15</c:v>
                </c:pt>
                <c:pt idx="4">
                  <c:v>0.15</c:v>
                </c:pt>
                <c:pt idx="5">
                  <c:v>0.15</c:v>
                </c:pt>
                <c:pt idx="6">
                  <c:v>0.15</c:v>
                </c:pt>
                <c:pt idx="7">
                  <c:v>0.75</c:v>
                </c:pt>
                <c:pt idx="8">
                  <c:v>0.95</c:v>
                </c:pt>
                <c:pt idx="9">
                  <c:v>0.95</c:v>
                </c:pt>
                <c:pt idx="10">
                  <c:v>0.95</c:v>
                </c:pt>
                <c:pt idx="11">
                  <c:v>0.95</c:v>
                </c:pt>
                <c:pt idx="12">
                  <c:v>0.75</c:v>
                </c:pt>
                <c:pt idx="13">
                  <c:v>0.95</c:v>
                </c:pt>
                <c:pt idx="14">
                  <c:v>0.95</c:v>
                </c:pt>
                <c:pt idx="15">
                  <c:v>0.2</c:v>
                </c:pt>
                <c:pt idx="16">
                  <c:v>0.15</c:v>
                </c:pt>
                <c:pt idx="17">
                  <c:v>0.15</c:v>
                </c:pt>
                <c:pt idx="18">
                  <c:v>0.15</c:v>
                </c:pt>
                <c:pt idx="19">
                  <c:v>0.15</c:v>
                </c:pt>
                <c:pt idx="20">
                  <c:v>0.15</c:v>
                </c:pt>
                <c:pt idx="21">
                  <c:v>0.15</c:v>
                </c:pt>
                <c:pt idx="22">
                  <c:v>0.15</c:v>
                </c:pt>
                <c:pt idx="23">
                  <c:v>0.15</c:v>
                </c:pt>
              </c:numCache>
            </c:numRef>
          </c:val>
          <c:smooth val="0"/>
          <c:extLst>
            <c:ext xmlns:c16="http://schemas.microsoft.com/office/drawing/2014/chart" uri="{C3380CC4-5D6E-409C-BE32-E72D297353CC}">
              <c16:uniqueId val="{00000002-F50C-450F-8EE0-91428F378470}"/>
            </c:ext>
          </c:extLst>
        </c:ser>
        <c:ser>
          <c:idx val="2"/>
          <c:order val="2"/>
          <c:tx>
            <c:strRef>
              <c:f>Schedules!$E$258</c:f>
              <c:strCache>
                <c:ptCount val="1"/>
                <c:pt idx="0">
                  <c:v>Friday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Schedules!$F$258:$AC$258</c:f>
              <c:numCache>
                <c:formatCode>0.0</c:formatCode>
                <c:ptCount val="24"/>
                <c:pt idx="0">
                  <c:v>0.15</c:v>
                </c:pt>
                <c:pt idx="1">
                  <c:v>0.15</c:v>
                </c:pt>
                <c:pt idx="2">
                  <c:v>0.15</c:v>
                </c:pt>
                <c:pt idx="3">
                  <c:v>0.15</c:v>
                </c:pt>
                <c:pt idx="4">
                  <c:v>0.15</c:v>
                </c:pt>
                <c:pt idx="5">
                  <c:v>0.15</c:v>
                </c:pt>
                <c:pt idx="6">
                  <c:v>0.15</c:v>
                </c:pt>
                <c:pt idx="7">
                  <c:v>0.75</c:v>
                </c:pt>
                <c:pt idx="8">
                  <c:v>0.95</c:v>
                </c:pt>
                <c:pt idx="9">
                  <c:v>0.95</c:v>
                </c:pt>
                <c:pt idx="10">
                  <c:v>0.95</c:v>
                </c:pt>
                <c:pt idx="11">
                  <c:v>0.95</c:v>
                </c:pt>
                <c:pt idx="12">
                  <c:v>0.75</c:v>
                </c:pt>
                <c:pt idx="13">
                  <c:v>0.95</c:v>
                </c:pt>
                <c:pt idx="14">
                  <c:v>0.2</c:v>
                </c:pt>
                <c:pt idx="15">
                  <c:v>0.15</c:v>
                </c:pt>
                <c:pt idx="16">
                  <c:v>0.15</c:v>
                </c:pt>
                <c:pt idx="17">
                  <c:v>0.15</c:v>
                </c:pt>
                <c:pt idx="18">
                  <c:v>0.15</c:v>
                </c:pt>
                <c:pt idx="19">
                  <c:v>0.15</c:v>
                </c:pt>
                <c:pt idx="20">
                  <c:v>0.15</c:v>
                </c:pt>
                <c:pt idx="21">
                  <c:v>0.15</c:v>
                </c:pt>
                <c:pt idx="22">
                  <c:v>0.15</c:v>
                </c:pt>
                <c:pt idx="23">
                  <c:v>0.15</c:v>
                </c:pt>
              </c:numCache>
            </c:numRef>
          </c:val>
          <c:smooth val="0"/>
          <c:extLst>
            <c:ext xmlns:c16="http://schemas.microsoft.com/office/drawing/2014/chart" uri="{C3380CC4-5D6E-409C-BE32-E72D297353CC}">
              <c16:uniqueId val="{00000003-F50C-450F-8EE0-91428F378470}"/>
            </c:ext>
          </c:extLst>
        </c:ser>
        <c:ser>
          <c:idx val="3"/>
          <c:order val="3"/>
          <c:tx>
            <c:strRef>
              <c:f>Schedules!$E$259</c:f>
              <c:strCache>
                <c:ptCount val="1"/>
                <c:pt idx="0">
                  <c:v>SummerSchool</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Schedules!$F$259:$AC$259</c:f>
              <c:numCache>
                <c:formatCode>0.0</c:formatCode>
                <c:ptCount val="24"/>
                <c:pt idx="0">
                  <c:v>0.15</c:v>
                </c:pt>
                <c:pt idx="1">
                  <c:v>0.15</c:v>
                </c:pt>
                <c:pt idx="2">
                  <c:v>0.15</c:v>
                </c:pt>
                <c:pt idx="3">
                  <c:v>0.15</c:v>
                </c:pt>
                <c:pt idx="4">
                  <c:v>0.15</c:v>
                </c:pt>
                <c:pt idx="5">
                  <c:v>0.15</c:v>
                </c:pt>
                <c:pt idx="6">
                  <c:v>0.15</c:v>
                </c:pt>
                <c:pt idx="7">
                  <c:v>0.2</c:v>
                </c:pt>
                <c:pt idx="8">
                  <c:v>0.95</c:v>
                </c:pt>
                <c:pt idx="9">
                  <c:v>0.95</c:v>
                </c:pt>
                <c:pt idx="10">
                  <c:v>0.95</c:v>
                </c:pt>
                <c:pt idx="11">
                  <c:v>0.95</c:v>
                </c:pt>
                <c:pt idx="12">
                  <c:v>0.75</c:v>
                </c:pt>
                <c:pt idx="13">
                  <c:v>0.95</c:v>
                </c:pt>
                <c:pt idx="14">
                  <c:v>0.15</c:v>
                </c:pt>
                <c:pt idx="15">
                  <c:v>0.15</c:v>
                </c:pt>
                <c:pt idx="16">
                  <c:v>0.15</c:v>
                </c:pt>
                <c:pt idx="17">
                  <c:v>0.15</c:v>
                </c:pt>
                <c:pt idx="18">
                  <c:v>0.15</c:v>
                </c:pt>
                <c:pt idx="19">
                  <c:v>0.15</c:v>
                </c:pt>
                <c:pt idx="20">
                  <c:v>0.15</c:v>
                </c:pt>
                <c:pt idx="21">
                  <c:v>0.15</c:v>
                </c:pt>
                <c:pt idx="22">
                  <c:v>0.15</c:v>
                </c:pt>
                <c:pt idx="23">
                  <c:v>0.15</c:v>
                </c:pt>
              </c:numCache>
            </c:numRef>
          </c:val>
          <c:smooth val="0"/>
          <c:extLst>
            <c:ext xmlns:c16="http://schemas.microsoft.com/office/drawing/2014/chart" uri="{C3380CC4-5D6E-409C-BE32-E72D297353CC}">
              <c16:uniqueId val="{00000004-F50C-450F-8EE0-91428F378470}"/>
            </c:ext>
          </c:extLst>
        </c:ser>
        <c:dLbls>
          <c:showLegendKey val="0"/>
          <c:showVal val="0"/>
          <c:showCatName val="0"/>
          <c:showSerName val="0"/>
          <c:showPercent val="0"/>
          <c:showBubbleSize val="0"/>
        </c:dLbls>
        <c:smooth val="0"/>
        <c:axId val="899214800"/>
        <c:axId val="533895472"/>
      </c:lineChart>
      <c:catAx>
        <c:axId val="899214800"/>
        <c:scaling>
          <c:orientation val="minMax"/>
        </c:scaling>
        <c:delete val="0"/>
        <c:axPos val="b"/>
        <c:numFmt formatCode="General" sourceLinked="1"/>
        <c:majorTickMark val="out"/>
        <c:minorTickMark val="none"/>
        <c:tickLblPos val="nextTo"/>
        <c:crossAx val="533895472"/>
        <c:crosses val="autoZero"/>
        <c:auto val="1"/>
        <c:lblAlgn val="ctr"/>
        <c:lblOffset val="100"/>
        <c:noMultiLvlLbl val="0"/>
      </c:catAx>
      <c:valAx>
        <c:axId val="533895472"/>
        <c:scaling>
          <c:orientation val="minMax"/>
          <c:max val="1"/>
          <c:min val="0"/>
        </c:scaling>
        <c:delete val="0"/>
        <c:axPos val="l"/>
        <c:majorGridlines/>
        <c:numFmt formatCode="0.0" sourceLinked="1"/>
        <c:majorTickMark val="out"/>
        <c:minorTickMark val="none"/>
        <c:tickLblPos val="nextTo"/>
        <c:crossAx val="899214800"/>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Refrigeration</a:t>
            </a:r>
          </a:p>
        </c:rich>
      </c:tx>
      <c:overlay val="0"/>
    </c:title>
    <c:autoTitleDeleted val="0"/>
    <c:plotArea>
      <c:layout/>
      <c:lineChart>
        <c:grouping val="standard"/>
        <c:varyColors val="0"/>
        <c:ser>
          <c:idx val="0"/>
          <c:order val="0"/>
          <c:tx>
            <c:strRef>
              <c:f>Schedules!$E$260</c:f>
              <c:strCache>
                <c:ptCount val="1"/>
                <c:pt idx="0">
                  <c:v>Unoccupied</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Schedules!$F$260:$AC$260</c:f>
              <c:numCache>
                <c:formatCode>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1-D0FD-4F9C-B348-1DFAAB5341C4}"/>
            </c:ext>
          </c:extLst>
        </c:ser>
        <c:ser>
          <c:idx val="1"/>
          <c:order val="1"/>
          <c:tx>
            <c:strRef>
              <c:f>Schedules!$E$261</c:f>
              <c:strCache>
                <c:ptCount val="1"/>
                <c:pt idx="0">
                  <c:v>Mon-Thu</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Schedules!$F$261:$AC$261</c:f>
              <c:numCache>
                <c:formatCode>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2-D0FD-4F9C-B348-1DFAAB5341C4}"/>
            </c:ext>
          </c:extLst>
        </c:ser>
        <c:ser>
          <c:idx val="2"/>
          <c:order val="2"/>
          <c:tx>
            <c:strRef>
              <c:f>Schedules!$E$262</c:f>
              <c:strCache>
                <c:ptCount val="1"/>
                <c:pt idx="0">
                  <c:v>Friday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Schedules!$F$262:$AC$262</c:f>
              <c:numCache>
                <c:formatCode>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3-D0FD-4F9C-B348-1DFAAB5341C4}"/>
            </c:ext>
          </c:extLst>
        </c:ser>
        <c:ser>
          <c:idx val="3"/>
          <c:order val="3"/>
          <c:tx>
            <c:strRef>
              <c:f>Schedules!$E$263</c:f>
              <c:strCache>
                <c:ptCount val="1"/>
                <c:pt idx="0">
                  <c:v>SummerSchool</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Schedules!$F$263:$AC$263</c:f>
              <c:numCache>
                <c:formatCode>0.0</c:formatCode>
                <c:ptCount val="24"/>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numCache>
            </c:numRef>
          </c:val>
          <c:smooth val="0"/>
          <c:extLst>
            <c:ext xmlns:c16="http://schemas.microsoft.com/office/drawing/2014/chart" uri="{C3380CC4-5D6E-409C-BE32-E72D297353CC}">
              <c16:uniqueId val="{00000004-D0FD-4F9C-B348-1DFAAB5341C4}"/>
            </c:ext>
          </c:extLst>
        </c:ser>
        <c:dLbls>
          <c:showLegendKey val="0"/>
          <c:showVal val="0"/>
          <c:showCatName val="0"/>
          <c:showSerName val="0"/>
          <c:showPercent val="0"/>
          <c:showBubbleSize val="0"/>
        </c:dLbls>
        <c:smooth val="0"/>
        <c:axId val="899382304"/>
        <c:axId val="533923312"/>
      </c:lineChart>
      <c:catAx>
        <c:axId val="899382304"/>
        <c:scaling>
          <c:orientation val="minMax"/>
        </c:scaling>
        <c:delete val="0"/>
        <c:axPos val="b"/>
        <c:numFmt formatCode="General" sourceLinked="1"/>
        <c:majorTickMark val="out"/>
        <c:minorTickMark val="none"/>
        <c:tickLblPos val="nextTo"/>
        <c:crossAx val="533923312"/>
        <c:crosses val="autoZero"/>
        <c:auto val="1"/>
        <c:lblAlgn val="ctr"/>
        <c:lblOffset val="100"/>
        <c:noMultiLvlLbl val="0"/>
      </c:catAx>
      <c:valAx>
        <c:axId val="533923312"/>
        <c:scaling>
          <c:orientation val="minMax"/>
          <c:max val="1"/>
          <c:min val="0"/>
        </c:scaling>
        <c:delete val="0"/>
        <c:axPos val="l"/>
        <c:majorGridlines/>
        <c:numFmt formatCode="0.0" sourceLinked="1"/>
        <c:majorTickMark val="out"/>
        <c:minorTickMark val="none"/>
        <c:tickLblPos val="nextTo"/>
        <c:crossAx val="899382304"/>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Occupancy</a:t>
            </a:r>
          </a:p>
        </c:rich>
      </c:tx>
      <c:overlay val="0"/>
    </c:title>
    <c:autoTitleDeleted val="0"/>
    <c:plotArea>
      <c:layout/>
      <c:lineChart>
        <c:grouping val="standard"/>
        <c:varyColors val="0"/>
        <c:ser>
          <c:idx val="0"/>
          <c:order val="0"/>
          <c:tx>
            <c:strRef>
              <c:f>Schedules!$E$265</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Schedules!$F$265:$AC$265</c:f>
              <c:numCache>
                <c:formatCode>General</c:formatCode>
                <c:ptCount val="24"/>
                <c:pt idx="0">
                  <c:v>0</c:v>
                </c:pt>
                <c:pt idx="1">
                  <c:v>0</c:v>
                </c:pt>
                <c:pt idx="2">
                  <c:v>0</c:v>
                </c:pt>
                <c:pt idx="3">
                  <c:v>0</c:v>
                </c:pt>
                <c:pt idx="4">
                  <c:v>0</c:v>
                </c:pt>
                <c:pt idx="5">
                  <c:v>0</c:v>
                </c:pt>
                <c:pt idx="6">
                  <c:v>0</c:v>
                </c:pt>
                <c:pt idx="7">
                  <c:v>0.05</c:v>
                </c:pt>
                <c:pt idx="8">
                  <c:v>0.75</c:v>
                </c:pt>
                <c:pt idx="9">
                  <c:v>0.9</c:v>
                </c:pt>
                <c:pt idx="10">
                  <c:v>0.9</c:v>
                </c:pt>
                <c:pt idx="11">
                  <c:v>0.8</c:v>
                </c:pt>
                <c:pt idx="12">
                  <c:v>0.8</c:v>
                </c:pt>
                <c:pt idx="13">
                  <c:v>0.8</c:v>
                </c:pt>
                <c:pt idx="14">
                  <c:v>0.8</c:v>
                </c:pt>
                <c:pt idx="15">
                  <c:v>0.45</c:v>
                </c:pt>
                <c:pt idx="16">
                  <c:v>0.15</c:v>
                </c:pt>
                <c:pt idx="17">
                  <c:v>0.05</c:v>
                </c:pt>
                <c:pt idx="18">
                  <c:v>0.15</c:v>
                </c:pt>
                <c:pt idx="19">
                  <c:v>0.2</c:v>
                </c:pt>
                <c:pt idx="20">
                  <c:v>0.2</c:v>
                </c:pt>
                <c:pt idx="21">
                  <c:v>0.1</c:v>
                </c:pt>
                <c:pt idx="22">
                  <c:v>0</c:v>
                </c:pt>
                <c:pt idx="23">
                  <c:v>0</c:v>
                </c:pt>
              </c:numCache>
            </c:numRef>
          </c:val>
          <c:smooth val="0"/>
          <c:extLst>
            <c:ext xmlns:c16="http://schemas.microsoft.com/office/drawing/2014/chart" uri="{C3380CC4-5D6E-409C-BE32-E72D297353CC}">
              <c16:uniqueId val="{00000001-89B9-4AF1-B837-BDC1FE59FAD2}"/>
            </c:ext>
          </c:extLst>
        </c:ser>
        <c:ser>
          <c:idx val="1"/>
          <c:order val="1"/>
          <c:tx>
            <c:strRef>
              <c:f>Schedules!$E$266</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Schedules!$F$266:$AC$266</c:f>
              <c:numCache>
                <c:formatCode>General</c:formatCode>
                <c:ptCount val="24"/>
                <c:pt idx="0">
                  <c:v>0</c:v>
                </c:pt>
                <c:pt idx="1">
                  <c:v>0</c:v>
                </c:pt>
                <c:pt idx="2">
                  <c:v>0</c:v>
                </c:pt>
                <c:pt idx="3">
                  <c:v>0</c:v>
                </c:pt>
                <c:pt idx="4">
                  <c:v>0</c:v>
                </c:pt>
                <c:pt idx="5">
                  <c:v>0</c:v>
                </c:pt>
                <c:pt idx="6">
                  <c:v>0</c:v>
                </c:pt>
                <c:pt idx="7">
                  <c:v>0</c:v>
                </c:pt>
                <c:pt idx="8">
                  <c:v>0.1</c:v>
                </c:pt>
                <c:pt idx="9">
                  <c:v>0.1</c:v>
                </c:pt>
                <c:pt idx="10">
                  <c:v>0.1</c:v>
                </c:pt>
                <c:pt idx="11">
                  <c:v>0.1</c:v>
                </c:pt>
                <c:pt idx="12">
                  <c:v>0.1</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89B9-4AF1-B837-BDC1FE59FAD2}"/>
            </c:ext>
          </c:extLst>
        </c:ser>
        <c:ser>
          <c:idx val="2"/>
          <c:order val="2"/>
          <c:tx>
            <c:strRef>
              <c:f>Schedules!$E$267</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Schedules!$F$267:$AC$267</c:f>
              <c:numCache>
                <c:formatCode>General</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3-89B9-4AF1-B837-BDC1FE59FAD2}"/>
            </c:ext>
          </c:extLst>
        </c:ser>
        <c:ser>
          <c:idx val="3"/>
          <c:order val="3"/>
          <c:tx>
            <c:strRef>
              <c:f>Schedules!$E$268</c:f>
              <c:strCache>
                <c:ptCount val="1"/>
                <c:pt idx="0">
                  <c:v>SummerSchool</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Schedules!$F$268:$AC$268</c:f>
              <c:numCache>
                <c:formatCode>General</c:formatCode>
                <c:ptCount val="24"/>
                <c:pt idx="0">
                  <c:v>0</c:v>
                </c:pt>
                <c:pt idx="1">
                  <c:v>0</c:v>
                </c:pt>
                <c:pt idx="2">
                  <c:v>0</c:v>
                </c:pt>
                <c:pt idx="3">
                  <c:v>0</c:v>
                </c:pt>
                <c:pt idx="4">
                  <c:v>0</c:v>
                </c:pt>
                <c:pt idx="5">
                  <c:v>0</c:v>
                </c:pt>
                <c:pt idx="6">
                  <c:v>0</c:v>
                </c:pt>
                <c:pt idx="7">
                  <c:v>2.5000000000000001E-2</c:v>
                </c:pt>
                <c:pt idx="8">
                  <c:v>0.7</c:v>
                </c:pt>
                <c:pt idx="9">
                  <c:v>0.7</c:v>
                </c:pt>
                <c:pt idx="10">
                  <c:v>0.7</c:v>
                </c:pt>
                <c:pt idx="11">
                  <c:v>0.7</c:v>
                </c:pt>
                <c:pt idx="12">
                  <c:v>0.25</c:v>
                </c:pt>
                <c:pt idx="13">
                  <c:v>0.7</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4-89B9-4AF1-B837-BDC1FE59FAD2}"/>
            </c:ext>
          </c:extLst>
        </c:ser>
        <c:dLbls>
          <c:showLegendKey val="0"/>
          <c:showVal val="0"/>
          <c:showCatName val="0"/>
          <c:showSerName val="0"/>
          <c:showPercent val="0"/>
          <c:showBubbleSize val="0"/>
        </c:dLbls>
        <c:smooth val="0"/>
        <c:axId val="899301104"/>
        <c:axId val="533968432"/>
      </c:lineChart>
      <c:catAx>
        <c:axId val="899301104"/>
        <c:scaling>
          <c:orientation val="minMax"/>
        </c:scaling>
        <c:delete val="0"/>
        <c:axPos val="b"/>
        <c:numFmt formatCode="General" sourceLinked="1"/>
        <c:majorTickMark val="out"/>
        <c:minorTickMark val="none"/>
        <c:tickLblPos val="nextTo"/>
        <c:crossAx val="533968432"/>
        <c:crosses val="autoZero"/>
        <c:auto val="1"/>
        <c:lblAlgn val="ctr"/>
        <c:lblOffset val="100"/>
        <c:noMultiLvlLbl val="0"/>
      </c:catAx>
      <c:valAx>
        <c:axId val="533968432"/>
        <c:scaling>
          <c:orientation val="minMax"/>
          <c:max val="1"/>
          <c:min val="0"/>
        </c:scaling>
        <c:delete val="0"/>
        <c:axPos val="l"/>
        <c:majorGridlines/>
        <c:numFmt formatCode="General" sourceLinked="1"/>
        <c:majorTickMark val="out"/>
        <c:minorTickMark val="none"/>
        <c:tickLblPos val="nextTo"/>
        <c:crossAx val="899301104"/>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Lights</a:t>
            </a:r>
          </a:p>
        </c:rich>
      </c:tx>
      <c:overlay val="0"/>
    </c:title>
    <c:autoTitleDeleted val="0"/>
    <c:plotArea>
      <c:layout/>
      <c:lineChart>
        <c:grouping val="standard"/>
        <c:varyColors val="0"/>
        <c:ser>
          <c:idx val="0"/>
          <c:order val="0"/>
          <c:tx>
            <c:strRef>
              <c:f>Schedules!$E$269</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Schedules!$F$269:$AC$269</c:f>
              <c:numCache>
                <c:formatCode>General</c:formatCode>
                <c:ptCount val="24"/>
                <c:pt idx="0">
                  <c:v>0.05</c:v>
                </c:pt>
                <c:pt idx="1">
                  <c:v>0.05</c:v>
                </c:pt>
                <c:pt idx="2">
                  <c:v>0.05</c:v>
                </c:pt>
                <c:pt idx="3">
                  <c:v>0.05</c:v>
                </c:pt>
                <c:pt idx="4">
                  <c:v>0.05</c:v>
                </c:pt>
                <c:pt idx="5">
                  <c:v>0.05</c:v>
                </c:pt>
                <c:pt idx="6">
                  <c:v>0.05</c:v>
                </c:pt>
                <c:pt idx="7">
                  <c:v>0.3</c:v>
                </c:pt>
                <c:pt idx="8">
                  <c:v>0.6</c:v>
                </c:pt>
                <c:pt idx="9">
                  <c:v>0.65</c:v>
                </c:pt>
                <c:pt idx="10">
                  <c:v>0.65</c:v>
                </c:pt>
                <c:pt idx="11">
                  <c:v>0.65</c:v>
                </c:pt>
                <c:pt idx="12">
                  <c:v>0.55000000000000004</c:v>
                </c:pt>
                <c:pt idx="13">
                  <c:v>0.55000000000000004</c:v>
                </c:pt>
                <c:pt idx="14">
                  <c:v>0.55000000000000004</c:v>
                </c:pt>
                <c:pt idx="15">
                  <c:v>0.5</c:v>
                </c:pt>
                <c:pt idx="16">
                  <c:v>0.35</c:v>
                </c:pt>
                <c:pt idx="17">
                  <c:v>0.35</c:v>
                </c:pt>
                <c:pt idx="18">
                  <c:v>0.35</c:v>
                </c:pt>
                <c:pt idx="19">
                  <c:v>0.35</c:v>
                </c:pt>
                <c:pt idx="20">
                  <c:v>0.35</c:v>
                </c:pt>
                <c:pt idx="21">
                  <c:v>0.3</c:v>
                </c:pt>
                <c:pt idx="22">
                  <c:v>0.05</c:v>
                </c:pt>
                <c:pt idx="23">
                  <c:v>0.05</c:v>
                </c:pt>
              </c:numCache>
            </c:numRef>
          </c:val>
          <c:smooth val="0"/>
          <c:extLst>
            <c:ext xmlns:c16="http://schemas.microsoft.com/office/drawing/2014/chart" uri="{C3380CC4-5D6E-409C-BE32-E72D297353CC}">
              <c16:uniqueId val="{00000001-129F-45D7-B2B6-8455D5874FA1}"/>
            </c:ext>
          </c:extLst>
        </c:ser>
        <c:ser>
          <c:idx val="1"/>
          <c:order val="1"/>
          <c:tx>
            <c:strRef>
              <c:f>Schedules!$E$270</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Schedules!$F$270:$AC$270</c:f>
              <c:numCache>
                <c:formatCode>General</c:formatCode>
                <c:ptCount val="24"/>
                <c:pt idx="0">
                  <c:v>0.05</c:v>
                </c:pt>
                <c:pt idx="1">
                  <c:v>0.05</c:v>
                </c:pt>
                <c:pt idx="2">
                  <c:v>0.05</c:v>
                </c:pt>
                <c:pt idx="3">
                  <c:v>0.05</c:v>
                </c:pt>
                <c:pt idx="4">
                  <c:v>0.05</c:v>
                </c:pt>
                <c:pt idx="5">
                  <c:v>0.05</c:v>
                </c:pt>
                <c:pt idx="6">
                  <c:v>0.05</c:v>
                </c:pt>
                <c:pt idx="7">
                  <c:v>0.05</c:v>
                </c:pt>
                <c:pt idx="8">
                  <c:v>0.15</c:v>
                </c:pt>
                <c:pt idx="9">
                  <c:v>0.15</c:v>
                </c:pt>
                <c:pt idx="10">
                  <c:v>0.15</c:v>
                </c:pt>
                <c:pt idx="11">
                  <c:v>0.15</c:v>
                </c:pt>
                <c:pt idx="12">
                  <c:v>0.15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2-129F-45D7-B2B6-8455D5874FA1}"/>
            </c:ext>
          </c:extLst>
        </c:ser>
        <c:ser>
          <c:idx val="2"/>
          <c:order val="2"/>
          <c:tx>
            <c:strRef>
              <c:f>Schedules!$E$271</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Schedules!$F$271:$AC$271</c:f>
              <c:numCache>
                <c:formatCode>General</c:formatCode>
                <c:ptCount val="24"/>
                <c:pt idx="0">
                  <c:v>0.05</c:v>
                </c:pt>
                <c:pt idx="1">
                  <c:v>0.05</c:v>
                </c:pt>
                <c:pt idx="2">
                  <c:v>0.05</c:v>
                </c:pt>
                <c:pt idx="3">
                  <c:v>0.05</c:v>
                </c:pt>
                <c:pt idx="4">
                  <c:v>0.05</c:v>
                </c:pt>
                <c:pt idx="5">
                  <c:v>0.05</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3-129F-45D7-B2B6-8455D5874FA1}"/>
            </c:ext>
          </c:extLst>
        </c:ser>
        <c:ser>
          <c:idx val="3"/>
          <c:order val="3"/>
          <c:tx>
            <c:strRef>
              <c:f>Schedules!$E$272</c:f>
              <c:strCache>
                <c:ptCount val="1"/>
                <c:pt idx="0">
                  <c:v>SummerSchool</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Schedules!$F$272:$AC$272</c:f>
              <c:numCache>
                <c:formatCode>General</c:formatCode>
                <c:ptCount val="24"/>
                <c:pt idx="0">
                  <c:v>0.05</c:v>
                </c:pt>
                <c:pt idx="1">
                  <c:v>0.05</c:v>
                </c:pt>
                <c:pt idx="2">
                  <c:v>0.05</c:v>
                </c:pt>
                <c:pt idx="3">
                  <c:v>0.05</c:v>
                </c:pt>
                <c:pt idx="4">
                  <c:v>0.05</c:v>
                </c:pt>
                <c:pt idx="5">
                  <c:v>0.05</c:v>
                </c:pt>
                <c:pt idx="6">
                  <c:v>0.05</c:v>
                </c:pt>
                <c:pt idx="7">
                  <c:v>0.3</c:v>
                </c:pt>
                <c:pt idx="8">
                  <c:v>0.6</c:v>
                </c:pt>
                <c:pt idx="9">
                  <c:v>0.65</c:v>
                </c:pt>
                <c:pt idx="10">
                  <c:v>0.65</c:v>
                </c:pt>
                <c:pt idx="11">
                  <c:v>0.65</c:v>
                </c:pt>
                <c:pt idx="12">
                  <c:v>0.55000000000000004</c:v>
                </c:pt>
                <c:pt idx="13">
                  <c:v>0.55000000000000004</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4-129F-45D7-B2B6-8455D5874FA1}"/>
            </c:ext>
          </c:extLst>
        </c:ser>
        <c:dLbls>
          <c:showLegendKey val="0"/>
          <c:showVal val="0"/>
          <c:showCatName val="0"/>
          <c:showSerName val="0"/>
          <c:showPercent val="0"/>
          <c:showBubbleSize val="0"/>
        </c:dLbls>
        <c:smooth val="0"/>
        <c:axId val="899266304"/>
        <c:axId val="533763952"/>
      </c:lineChart>
      <c:catAx>
        <c:axId val="899266304"/>
        <c:scaling>
          <c:orientation val="minMax"/>
        </c:scaling>
        <c:delete val="0"/>
        <c:axPos val="b"/>
        <c:numFmt formatCode="General" sourceLinked="1"/>
        <c:majorTickMark val="out"/>
        <c:minorTickMark val="none"/>
        <c:tickLblPos val="nextTo"/>
        <c:crossAx val="533763952"/>
        <c:crosses val="autoZero"/>
        <c:auto val="1"/>
        <c:lblAlgn val="ctr"/>
        <c:lblOffset val="100"/>
        <c:noMultiLvlLbl val="0"/>
      </c:catAx>
      <c:valAx>
        <c:axId val="533763952"/>
        <c:scaling>
          <c:orientation val="minMax"/>
          <c:max val="1"/>
          <c:min val="0"/>
        </c:scaling>
        <c:delete val="0"/>
        <c:axPos val="l"/>
        <c:majorGridlines/>
        <c:numFmt formatCode="General" sourceLinked="1"/>
        <c:majorTickMark val="out"/>
        <c:minorTickMark val="none"/>
        <c:tickLblPos val="nextTo"/>
        <c:crossAx val="899266304"/>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ElecEquipment</a:t>
            </a:r>
          </a:p>
        </c:rich>
      </c:tx>
      <c:overlay val="0"/>
    </c:title>
    <c:autoTitleDeleted val="0"/>
    <c:plotArea>
      <c:layout/>
      <c:lineChart>
        <c:grouping val="standard"/>
        <c:varyColors val="0"/>
        <c:ser>
          <c:idx val="0"/>
          <c:order val="0"/>
          <c:tx>
            <c:strRef>
              <c:f>Schedules!$E$273</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Schedules!$F$273:$AC$273</c:f>
              <c:numCache>
                <c:formatCode>General</c:formatCode>
                <c:ptCount val="24"/>
                <c:pt idx="0">
                  <c:v>0.05</c:v>
                </c:pt>
                <c:pt idx="1">
                  <c:v>0.05</c:v>
                </c:pt>
                <c:pt idx="2">
                  <c:v>0.05</c:v>
                </c:pt>
                <c:pt idx="3">
                  <c:v>0.05</c:v>
                </c:pt>
                <c:pt idx="4">
                  <c:v>0.05</c:v>
                </c:pt>
                <c:pt idx="5">
                  <c:v>0.05</c:v>
                </c:pt>
                <c:pt idx="6">
                  <c:v>0.05</c:v>
                </c:pt>
                <c:pt idx="7">
                  <c:v>0.3</c:v>
                </c:pt>
                <c:pt idx="8">
                  <c:v>0.85</c:v>
                </c:pt>
                <c:pt idx="9">
                  <c:v>0.95</c:v>
                </c:pt>
                <c:pt idx="10">
                  <c:v>0.95</c:v>
                </c:pt>
                <c:pt idx="11">
                  <c:v>0.95</c:v>
                </c:pt>
                <c:pt idx="12">
                  <c:v>0.8</c:v>
                </c:pt>
                <c:pt idx="13">
                  <c:v>0.8</c:v>
                </c:pt>
                <c:pt idx="14">
                  <c:v>0.8</c:v>
                </c:pt>
                <c:pt idx="15">
                  <c:v>0.7</c:v>
                </c:pt>
                <c:pt idx="16">
                  <c:v>0.5</c:v>
                </c:pt>
                <c:pt idx="17">
                  <c:v>0.5</c:v>
                </c:pt>
                <c:pt idx="18">
                  <c:v>0.35</c:v>
                </c:pt>
                <c:pt idx="19">
                  <c:v>0.35</c:v>
                </c:pt>
                <c:pt idx="20">
                  <c:v>0.35</c:v>
                </c:pt>
                <c:pt idx="21">
                  <c:v>0.3</c:v>
                </c:pt>
                <c:pt idx="22">
                  <c:v>0.05</c:v>
                </c:pt>
                <c:pt idx="23">
                  <c:v>0.05</c:v>
                </c:pt>
              </c:numCache>
            </c:numRef>
          </c:val>
          <c:smooth val="0"/>
          <c:extLst>
            <c:ext xmlns:c16="http://schemas.microsoft.com/office/drawing/2014/chart" uri="{C3380CC4-5D6E-409C-BE32-E72D297353CC}">
              <c16:uniqueId val="{00000001-7B65-4845-8DC0-C135642CFC62}"/>
            </c:ext>
          </c:extLst>
        </c:ser>
        <c:ser>
          <c:idx val="1"/>
          <c:order val="1"/>
          <c:tx>
            <c:strRef>
              <c:f>Schedules!$E$274</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Schedules!$F$274:$AC$274</c:f>
              <c:numCache>
                <c:formatCode>General</c:formatCode>
                <c:ptCount val="24"/>
                <c:pt idx="0">
                  <c:v>0.05</c:v>
                </c:pt>
                <c:pt idx="1">
                  <c:v>0.05</c:v>
                </c:pt>
                <c:pt idx="2">
                  <c:v>0.05</c:v>
                </c:pt>
                <c:pt idx="3">
                  <c:v>0.05</c:v>
                </c:pt>
                <c:pt idx="4">
                  <c:v>0.05</c:v>
                </c:pt>
                <c:pt idx="5">
                  <c:v>0.05</c:v>
                </c:pt>
                <c:pt idx="6">
                  <c:v>0.05</c:v>
                </c:pt>
                <c:pt idx="7">
                  <c:v>0.05</c:v>
                </c:pt>
                <c:pt idx="8">
                  <c:v>0.15</c:v>
                </c:pt>
                <c:pt idx="9">
                  <c:v>0.15</c:v>
                </c:pt>
                <c:pt idx="10">
                  <c:v>0.15</c:v>
                </c:pt>
                <c:pt idx="11">
                  <c:v>0.15</c:v>
                </c:pt>
                <c:pt idx="12">
                  <c:v>0.15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2-7B65-4845-8DC0-C135642CFC62}"/>
            </c:ext>
          </c:extLst>
        </c:ser>
        <c:ser>
          <c:idx val="2"/>
          <c:order val="2"/>
          <c:tx>
            <c:strRef>
              <c:f>Schedules!$E$275</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Schedules!$F$275:$AC$275</c:f>
              <c:numCache>
                <c:formatCode>General</c:formatCode>
                <c:ptCount val="24"/>
                <c:pt idx="0">
                  <c:v>0.05</c:v>
                </c:pt>
                <c:pt idx="1">
                  <c:v>0.05</c:v>
                </c:pt>
                <c:pt idx="2">
                  <c:v>0.05</c:v>
                </c:pt>
                <c:pt idx="3">
                  <c:v>0.05</c:v>
                </c:pt>
                <c:pt idx="4">
                  <c:v>0.05</c:v>
                </c:pt>
                <c:pt idx="5">
                  <c:v>0.05</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3-7B65-4845-8DC0-C135642CFC62}"/>
            </c:ext>
          </c:extLst>
        </c:ser>
        <c:ser>
          <c:idx val="3"/>
          <c:order val="3"/>
          <c:tx>
            <c:strRef>
              <c:f>Schedules!$E$276</c:f>
              <c:strCache>
                <c:ptCount val="1"/>
                <c:pt idx="0">
                  <c:v>SummerSchool</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Schedules!$F$276:$AC$276</c:f>
              <c:numCache>
                <c:formatCode>General</c:formatCode>
                <c:ptCount val="24"/>
                <c:pt idx="0">
                  <c:v>0.05</c:v>
                </c:pt>
                <c:pt idx="1">
                  <c:v>0.05</c:v>
                </c:pt>
                <c:pt idx="2">
                  <c:v>0.05</c:v>
                </c:pt>
                <c:pt idx="3">
                  <c:v>0.05</c:v>
                </c:pt>
                <c:pt idx="4">
                  <c:v>0.05</c:v>
                </c:pt>
                <c:pt idx="5">
                  <c:v>0.05</c:v>
                </c:pt>
                <c:pt idx="6">
                  <c:v>0.05</c:v>
                </c:pt>
                <c:pt idx="7">
                  <c:v>0.3</c:v>
                </c:pt>
                <c:pt idx="8">
                  <c:v>0.85</c:v>
                </c:pt>
                <c:pt idx="9">
                  <c:v>0.95</c:v>
                </c:pt>
                <c:pt idx="10">
                  <c:v>0.95</c:v>
                </c:pt>
                <c:pt idx="11">
                  <c:v>0.95</c:v>
                </c:pt>
                <c:pt idx="12">
                  <c:v>0.8</c:v>
                </c:pt>
                <c:pt idx="13">
                  <c:v>0.8</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4-7B65-4845-8DC0-C135642CFC62}"/>
            </c:ext>
          </c:extLst>
        </c:ser>
        <c:dLbls>
          <c:showLegendKey val="0"/>
          <c:showVal val="0"/>
          <c:showCatName val="0"/>
          <c:showSerName val="0"/>
          <c:showPercent val="0"/>
          <c:showBubbleSize val="0"/>
        </c:dLbls>
        <c:smooth val="0"/>
        <c:axId val="899414784"/>
        <c:axId val="533786992"/>
      </c:lineChart>
      <c:catAx>
        <c:axId val="899414784"/>
        <c:scaling>
          <c:orientation val="minMax"/>
        </c:scaling>
        <c:delete val="0"/>
        <c:axPos val="b"/>
        <c:numFmt formatCode="General" sourceLinked="1"/>
        <c:majorTickMark val="out"/>
        <c:minorTickMark val="none"/>
        <c:tickLblPos val="nextTo"/>
        <c:crossAx val="533786992"/>
        <c:crosses val="autoZero"/>
        <c:auto val="1"/>
        <c:lblAlgn val="ctr"/>
        <c:lblOffset val="100"/>
        <c:noMultiLvlLbl val="0"/>
      </c:catAx>
      <c:valAx>
        <c:axId val="533786992"/>
        <c:scaling>
          <c:orientation val="minMax"/>
          <c:max val="1"/>
          <c:min val="0"/>
        </c:scaling>
        <c:delete val="0"/>
        <c:axPos val="l"/>
        <c:majorGridlines/>
        <c:numFmt formatCode="General" sourceLinked="1"/>
        <c:majorTickMark val="out"/>
        <c:minorTickMark val="none"/>
        <c:tickLblPos val="nextTo"/>
        <c:crossAx val="899414784"/>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ServiceHotWater</a:t>
            </a:r>
          </a:p>
        </c:rich>
      </c:tx>
      <c:overlay val="0"/>
    </c:title>
    <c:autoTitleDeleted val="0"/>
    <c:plotArea>
      <c:layout/>
      <c:lineChart>
        <c:grouping val="standard"/>
        <c:varyColors val="0"/>
        <c:ser>
          <c:idx val="0"/>
          <c:order val="0"/>
          <c:tx>
            <c:strRef>
              <c:f>Schedules!$E$277</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Schedules!$F$277:$AC$277</c:f>
              <c:numCache>
                <c:formatCode>General</c:formatCode>
                <c:ptCount val="24"/>
                <c:pt idx="0">
                  <c:v>0.05</c:v>
                </c:pt>
                <c:pt idx="1">
                  <c:v>0.05</c:v>
                </c:pt>
                <c:pt idx="2">
                  <c:v>0.05</c:v>
                </c:pt>
                <c:pt idx="3">
                  <c:v>0.05</c:v>
                </c:pt>
                <c:pt idx="4">
                  <c:v>0.05</c:v>
                </c:pt>
                <c:pt idx="5">
                  <c:v>0.05</c:v>
                </c:pt>
                <c:pt idx="6">
                  <c:v>0.05</c:v>
                </c:pt>
                <c:pt idx="7">
                  <c:v>0.1</c:v>
                </c:pt>
                <c:pt idx="8">
                  <c:v>0.34</c:v>
                </c:pt>
                <c:pt idx="9">
                  <c:v>0.6</c:v>
                </c:pt>
                <c:pt idx="10">
                  <c:v>0.63</c:v>
                </c:pt>
                <c:pt idx="11">
                  <c:v>0.72</c:v>
                </c:pt>
                <c:pt idx="12">
                  <c:v>0.79</c:v>
                </c:pt>
                <c:pt idx="13">
                  <c:v>0.83</c:v>
                </c:pt>
                <c:pt idx="14">
                  <c:v>0.61</c:v>
                </c:pt>
                <c:pt idx="15">
                  <c:v>0.65</c:v>
                </c:pt>
                <c:pt idx="16">
                  <c:v>0.1</c:v>
                </c:pt>
                <c:pt idx="17">
                  <c:v>0.1</c:v>
                </c:pt>
                <c:pt idx="18">
                  <c:v>0.19</c:v>
                </c:pt>
                <c:pt idx="19">
                  <c:v>0.25</c:v>
                </c:pt>
                <c:pt idx="20">
                  <c:v>0.22</c:v>
                </c:pt>
                <c:pt idx="21">
                  <c:v>0.22</c:v>
                </c:pt>
                <c:pt idx="22">
                  <c:v>0.12</c:v>
                </c:pt>
                <c:pt idx="23">
                  <c:v>0.09</c:v>
                </c:pt>
              </c:numCache>
            </c:numRef>
          </c:val>
          <c:smooth val="0"/>
          <c:extLst>
            <c:ext xmlns:c16="http://schemas.microsoft.com/office/drawing/2014/chart" uri="{C3380CC4-5D6E-409C-BE32-E72D297353CC}">
              <c16:uniqueId val="{00000001-C1D8-46E4-9DB9-3B2400999163}"/>
            </c:ext>
          </c:extLst>
        </c:ser>
        <c:ser>
          <c:idx val="1"/>
          <c:order val="1"/>
          <c:tx>
            <c:strRef>
              <c:f>Schedules!$E$278</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Schedules!$F$278:$AC$278</c:f>
              <c:numCache>
                <c:formatCode>General</c:formatCode>
                <c:ptCount val="24"/>
                <c:pt idx="0">
                  <c:v>0.03</c:v>
                </c:pt>
                <c:pt idx="1">
                  <c:v>0.03</c:v>
                </c:pt>
                <c:pt idx="2">
                  <c:v>0.03</c:v>
                </c:pt>
                <c:pt idx="3">
                  <c:v>0.03</c:v>
                </c:pt>
                <c:pt idx="4">
                  <c:v>0.03</c:v>
                </c:pt>
                <c:pt idx="5">
                  <c:v>0.03</c:v>
                </c:pt>
                <c:pt idx="6">
                  <c:v>0.03</c:v>
                </c:pt>
                <c:pt idx="7">
                  <c:v>0.03</c:v>
                </c:pt>
                <c:pt idx="8">
                  <c:v>0.03</c:v>
                </c:pt>
                <c:pt idx="9">
                  <c:v>0.05</c:v>
                </c:pt>
                <c:pt idx="10">
                  <c:v>0.05</c:v>
                </c:pt>
                <c:pt idx="11">
                  <c:v>0.05</c:v>
                </c:pt>
                <c:pt idx="12">
                  <c:v>0.05</c:v>
                </c:pt>
                <c:pt idx="13">
                  <c:v>0.03</c:v>
                </c:pt>
                <c:pt idx="14">
                  <c:v>0.03</c:v>
                </c:pt>
                <c:pt idx="15">
                  <c:v>0.03</c:v>
                </c:pt>
                <c:pt idx="16">
                  <c:v>0.03</c:v>
                </c:pt>
                <c:pt idx="17">
                  <c:v>0.03</c:v>
                </c:pt>
                <c:pt idx="18">
                  <c:v>0.03</c:v>
                </c:pt>
                <c:pt idx="19">
                  <c:v>0.03</c:v>
                </c:pt>
                <c:pt idx="20">
                  <c:v>0.03</c:v>
                </c:pt>
                <c:pt idx="21">
                  <c:v>0.03</c:v>
                </c:pt>
                <c:pt idx="22">
                  <c:v>0.03</c:v>
                </c:pt>
                <c:pt idx="23">
                  <c:v>0.03</c:v>
                </c:pt>
              </c:numCache>
            </c:numRef>
          </c:val>
          <c:smooth val="0"/>
          <c:extLst>
            <c:ext xmlns:c16="http://schemas.microsoft.com/office/drawing/2014/chart" uri="{C3380CC4-5D6E-409C-BE32-E72D297353CC}">
              <c16:uniqueId val="{00000002-C1D8-46E4-9DB9-3B2400999163}"/>
            </c:ext>
          </c:extLst>
        </c:ser>
        <c:ser>
          <c:idx val="2"/>
          <c:order val="2"/>
          <c:tx>
            <c:strRef>
              <c:f>Schedules!$E$279</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Schedules!$F$279:$AC$279</c:f>
              <c:numCache>
                <c:formatCode>General</c:formatCode>
                <c:ptCount val="24"/>
                <c:pt idx="0">
                  <c:v>0.03</c:v>
                </c:pt>
                <c:pt idx="1">
                  <c:v>0.03</c:v>
                </c:pt>
                <c:pt idx="2">
                  <c:v>0.03</c:v>
                </c:pt>
                <c:pt idx="3">
                  <c:v>0.03</c:v>
                </c:pt>
                <c:pt idx="4">
                  <c:v>0.03</c:v>
                </c:pt>
                <c:pt idx="5">
                  <c:v>0.03</c:v>
                </c:pt>
                <c:pt idx="6">
                  <c:v>0.03</c:v>
                </c:pt>
                <c:pt idx="7">
                  <c:v>0.03</c:v>
                </c:pt>
                <c:pt idx="8">
                  <c:v>0.05</c:v>
                </c:pt>
                <c:pt idx="9">
                  <c:v>0.05</c:v>
                </c:pt>
                <c:pt idx="10">
                  <c:v>0.05</c:v>
                </c:pt>
                <c:pt idx="11">
                  <c:v>0.05</c:v>
                </c:pt>
                <c:pt idx="12">
                  <c:v>0.05</c:v>
                </c:pt>
                <c:pt idx="13">
                  <c:v>0.05</c:v>
                </c:pt>
                <c:pt idx="14">
                  <c:v>0.03</c:v>
                </c:pt>
                <c:pt idx="15">
                  <c:v>0.03</c:v>
                </c:pt>
                <c:pt idx="16">
                  <c:v>0.03</c:v>
                </c:pt>
                <c:pt idx="17">
                  <c:v>0.03</c:v>
                </c:pt>
                <c:pt idx="18">
                  <c:v>0.03</c:v>
                </c:pt>
                <c:pt idx="19">
                  <c:v>0.03</c:v>
                </c:pt>
                <c:pt idx="20">
                  <c:v>0.03</c:v>
                </c:pt>
                <c:pt idx="21">
                  <c:v>0.03</c:v>
                </c:pt>
                <c:pt idx="22">
                  <c:v>0.03</c:v>
                </c:pt>
                <c:pt idx="23">
                  <c:v>0.03</c:v>
                </c:pt>
              </c:numCache>
            </c:numRef>
          </c:val>
          <c:smooth val="0"/>
          <c:extLst>
            <c:ext xmlns:c16="http://schemas.microsoft.com/office/drawing/2014/chart" uri="{C3380CC4-5D6E-409C-BE32-E72D297353CC}">
              <c16:uniqueId val="{00000003-C1D8-46E4-9DB9-3B2400999163}"/>
            </c:ext>
          </c:extLst>
        </c:ser>
        <c:ser>
          <c:idx val="3"/>
          <c:order val="3"/>
          <c:tx>
            <c:strRef>
              <c:f>Schedules!$E$280</c:f>
              <c:strCache>
                <c:ptCount val="1"/>
                <c:pt idx="0">
                  <c:v>SummerSchool</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Schedules!$F$280:$AC$280</c:f>
              <c:numCache>
                <c:formatCode>General</c:formatCode>
                <c:ptCount val="24"/>
                <c:pt idx="0">
                  <c:v>0.03</c:v>
                </c:pt>
                <c:pt idx="1">
                  <c:v>0.03</c:v>
                </c:pt>
                <c:pt idx="2">
                  <c:v>0.03</c:v>
                </c:pt>
                <c:pt idx="3">
                  <c:v>0.03</c:v>
                </c:pt>
                <c:pt idx="4">
                  <c:v>0.03</c:v>
                </c:pt>
                <c:pt idx="5">
                  <c:v>0.03</c:v>
                </c:pt>
                <c:pt idx="6">
                  <c:v>0.03</c:v>
                </c:pt>
                <c:pt idx="7">
                  <c:v>0.1</c:v>
                </c:pt>
                <c:pt idx="8">
                  <c:v>0.34</c:v>
                </c:pt>
                <c:pt idx="9">
                  <c:v>0.6</c:v>
                </c:pt>
                <c:pt idx="10">
                  <c:v>0.63</c:v>
                </c:pt>
                <c:pt idx="11">
                  <c:v>0.72</c:v>
                </c:pt>
                <c:pt idx="12">
                  <c:v>0.79</c:v>
                </c:pt>
                <c:pt idx="13">
                  <c:v>0.83</c:v>
                </c:pt>
                <c:pt idx="14">
                  <c:v>0.03</c:v>
                </c:pt>
                <c:pt idx="15">
                  <c:v>0.03</c:v>
                </c:pt>
                <c:pt idx="16">
                  <c:v>0.03</c:v>
                </c:pt>
                <c:pt idx="17">
                  <c:v>0.03</c:v>
                </c:pt>
                <c:pt idx="18">
                  <c:v>0.03</c:v>
                </c:pt>
                <c:pt idx="19">
                  <c:v>0.03</c:v>
                </c:pt>
                <c:pt idx="20">
                  <c:v>0.03</c:v>
                </c:pt>
                <c:pt idx="21">
                  <c:v>0.03</c:v>
                </c:pt>
                <c:pt idx="22">
                  <c:v>0.03</c:v>
                </c:pt>
                <c:pt idx="23">
                  <c:v>0.03</c:v>
                </c:pt>
              </c:numCache>
            </c:numRef>
          </c:val>
          <c:smooth val="0"/>
          <c:extLst>
            <c:ext xmlns:c16="http://schemas.microsoft.com/office/drawing/2014/chart" uri="{C3380CC4-5D6E-409C-BE32-E72D297353CC}">
              <c16:uniqueId val="{00000004-C1D8-46E4-9DB9-3B2400999163}"/>
            </c:ext>
          </c:extLst>
        </c:ser>
        <c:dLbls>
          <c:showLegendKey val="0"/>
          <c:showVal val="0"/>
          <c:showCatName val="0"/>
          <c:showSerName val="0"/>
          <c:showPercent val="0"/>
          <c:showBubbleSize val="0"/>
        </c:dLbls>
        <c:smooth val="0"/>
        <c:axId val="899344256"/>
        <c:axId val="533825872"/>
      </c:lineChart>
      <c:catAx>
        <c:axId val="899344256"/>
        <c:scaling>
          <c:orientation val="minMax"/>
        </c:scaling>
        <c:delete val="0"/>
        <c:axPos val="b"/>
        <c:numFmt formatCode="General" sourceLinked="1"/>
        <c:majorTickMark val="out"/>
        <c:minorTickMark val="none"/>
        <c:tickLblPos val="nextTo"/>
        <c:crossAx val="533825872"/>
        <c:crosses val="autoZero"/>
        <c:auto val="1"/>
        <c:lblAlgn val="ctr"/>
        <c:lblOffset val="100"/>
        <c:noMultiLvlLbl val="0"/>
      </c:catAx>
      <c:valAx>
        <c:axId val="533825872"/>
        <c:scaling>
          <c:orientation val="minMax"/>
          <c:max val="1"/>
          <c:min val="0"/>
        </c:scaling>
        <c:delete val="0"/>
        <c:axPos val="l"/>
        <c:majorGridlines/>
        <c:numFmt formatCode="General" sourceLinked="1"/>
        <c:majorTickMark val="out"/>
        <c:minorTickMark val="none"/>
        <c:tickLblPos val="nextTo"/>
        <c:crossAx val="899344256"/>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HVACAvail</a:t>
            </a:r>
          </a:p>
        </c:rich>
      </c:tx>
      <c:overlay val="0"/>
    </c:title>
    <c:autoTitleDeleted val="0"/>
    <c:plotArea>
      <c:layout/>
      <c:lineChart>
        <c:grouping val="standard"/>
        <c:varyColors val="0"/>
        <c:ser>
          <c:idx val="0"/>
          <c:order val="0"/>
          <c:tx>
            <c:strRef>
              <c:f>Schedules!$E$281</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Schedules!$F$281:$AC$281</c:f>
              <c:numCache>
                <c:formatCode>General</c:formatCode>
                <c:ptCount val="24"/>
                <c:pt idx="0">
                  <c:v>0</c:v>
                </c:pt>
                <c:pt idx="1">
                  <c:v>0</c:v>
                </c:pt>
                <c:pt idx="2">
                  <c:v>0</c:v>
                </c:pt>
                <c:pt idx="3">
                  <c:v>0</c:v>
                </c:pt>
                <c:pt idx="4">
                  <c:v>0</c:v>
                </c:pt>
                <c:pt idx="5">
                  <c:v>0</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0</c:v>
                </c:pt>
                <c:pt idx="23">
                  <c:v>0</c:v>
                </c:pt>
              </c:numCache>
            </c:numRef>
          </c:val>
          <c:smooth val="0"/>
          <c:extLst>
            <c:ext xmlns:c16="http://schemas.microsoft.com/office/drawing/2014/chart" uri="{C3380CC4-5D6E-409C-BE32-E72D297353CC}">
              <c16:uniqueId val="{00000001-EB70-4C76-984E-8D95092A45C4}"/>
            </c:ext>
          </c:extLst>
        </c:ser>
        <c:ser>
          <c:idx val="1"/>
          <c:order val="1"/>
          <c:tx>
            <c:strRef>
              <c:f>Schedules!$E$282</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Schedules!$F$282:$AC$282</c:f>
              <c:numCache>
                <c:formatCode>General</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EB70-4C76-984E-8D95092A45C4}"/>
            </c:ext>
          </c:extLst>
        </c:ser>
        <c:ser>
          <c:idx val="2"/>
          <c:order val="2"/>
          <c:tx>
            <c:strRef>
              <c:f>Schedules!$E$283</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Schedules!$F$283:$AC$283</c:f>
              <c:numCache>
                <c:formatCode>General</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3-EB70-4C76-984E-8D95092A45C4}"/>
            </c:ext>
          </c:extLst>
        </c:ser>
        <c:ser>
          <c:idx val="3"/>
          <c:order val="3"/>
          <c:tx>
            <c:strRef>
              <c:f>Schedules!$E$284</c:f>
              <c:strCache>
                <c:ptCount val="1"/>
                <c:pt idx="0">
                  <c:v>SummerSchool</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Schedules!$F$284:$AC$284</c:f>
              <c:numCache>
                <c:formatCode>General</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4-EB70-4C76-984E-8D95092A45C4}"/>
            </c:ext>
          </c:extLst>
        </c:ser>
        <c:dLbls>
          <c:showLegendKey val="0"/>
          <c:showVal val="0"/>
          <c:showCatName val="0"/>
          <c:showSerName val="0"/>
          <c:showPercent val="0"/>
          <c:showBubbleSize val="0"/>
        </c:dLbls>
        <c:smooth val="0"/>
        <c:axId val="899283472"/>
        <c:axId val="533869072"/>
      </c:lineChart>
      <c:catAx>
        <c:axId val="899283472"/>
        <c:scaling>
          <c:orientation val="minMax"/>
        </c:scaling>
        <c:delete val="0"/>
        <c:axPos val="b"/>
        <c:numFmt formatCode="General" sourceLinked="1"/>
        <c:majorTickMark val="out"/>
        <c:minorTickMark val="none"/>
        <c:tickLblPos val="nextTo"/>
        <c:crossAx val="533869072"/>
        <c:crosses val="autoZero"/>
        <c:auto val="1"/>
        <c:lblAlgn val="ctr"/>
        <c:lblOffset val="100"/>
        <c:noMultiLvlLbl val="0"/>
      </c:catAx>
      <c:valAx>
        <c:axId val="533869072"/>
        <c:scaling>
          <c:orientation val="minMax"/>
          <c:max val="1"/>
          <c:min val="0"/>
        </c:scaling>
        <c:delete val="0"/>
        <c:axPos val="l"/>
        <c:majorGridlines/>
        <c:numFmt formatCode="General" sourceLinked="1"/>
        <c:majorTickMark val="out"/>
        <c:minorTickMark val="none"/>
        <c:tickLblPos val="nextTo"/>
        <c:crossAx val="899283472"/>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HtgSetpt</a:t>
            </a:r>
          </a:p>
        </c:rich>
      </c:tx>
      <c:overlay val="0"/>
    </c:title>
    <c:autoTitleDeleted val="0"/>
    <c:plotArea>
      <c:layout/>
      <c:lineChart>
        <c:grouping val="standard"/>
        <c:varyColors val="0"/>
        <c:ser>
          <c:idx val="0"/>
          <c:order val="0"/>
          <c:tx>
            <c:strRef>
              <c:f>Schedules!$E$285</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Schedules!$F$285:$AC$285</c:f>
              <c:numCache>
                <c:formatCode>General</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1-C010-4F4B-8E39-694DA535A016}"/>
            </c:ext>
          </c:extLst>
        </c:ser>
        <c:ser>
          <c:idx val="1"/>
          <c:order val="1"/>
          <c:tx>
            <c:strRef>
              <c:f>Schedules!$E$286</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Schedules!$F$286:$AC$286</c:f>
              <c:numCache>
                <c:formatCode>General</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2-C010-4F4B-8E39-694DA535A016}"/>
            </c:ext>
          </c:extLst>
        </c:ser>
        <c:ser>
          <c:idx val="2"/>
          <c:order val="2"/>
          <c:tx>
            <c:strRef>
              <c:f>Schedules!$E$287</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Schedules!$F$287:$AC$287</c:f>
              <c:numCache>
                <c:formatCode>General</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3-C010-4F4B-8E39-694DA535A016}"/>
            </c:ext>
          </c:extLst>
        </c:ser>
        <c:ser>
          <c:idx val="3"/>
          <c:order val="3"/>
          <c:tx>
            <c:strRef>
              <c:f>Schedules!$E$288</c:f>
              <c:strCache>
                <c:ptCount val="1"/>
                <c:pt idx="0">
                  <c:v>SummerSchool</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Schedules!$F$288:$AC$288</c:f>
              <c:numCache>
                <c:formatCode>General</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4-C010-4F4B-8E39-694DA535A016}"/>
            </c:ext>
          </c:extLst>
        </c:ser>
        <c:dLbls>
          <c:showLegendKey val="0"/>
          <c:showVal val="0"/>
          <c:showCatName val="0"/>
          <c:showSerName val="0"/>
          <c:showPercent val="0"/>
          <c:showBubbleSize val="0"/>
        </c:dLbls>
        <c:smooth val="0"/>
        <c:axId val="911909456"/>
        <c:axId val="533909872"/>
      </c:lineChart>
      <c:catAx>
        <c:axId val="911909456"/>
        <c:scaling>
          <c:orientation val="minMax"/>
        </c:scaling>
        <c:delete val="0"/>
        <c:axPos val="b"/>
        <c:numFmt formatCode="General" sourceLinked="1"/>
        <c:majorTickMark val="out"/>
        <c:minorTickMark val="none"/>
        <c:tickLblPos val="nextTo"/>
        <c:crossAx val="533909872"/>
        <c:crosses val="autoZero"/>
        <c:auto val="1"/>
        <c:lblAlgn val="ctr"/>
        <c:lblOffset val="100"/>
        <c:noMultiLvlLbl val="0"/>
      </c:catAx>
      <c:valAx>
        <c:axId val="533909872"/>
        <c:scaling>
          <c:orientation val="minMax"/>
          <c:max val="90"/>
          <c:min val="50"/>
        </c:scaling>
        <c:delete val="0"/>
        <c:axPos val="l"/>
        <c:majorGridlines/>
        <c:numFmt formatCode="General" sourceLinked="1"/>
        <c:majorTickMark val="out"/>
        <c:minorTickMark val="none"/>
        <c:tickLblPos val="nextTo"/>
        <c:crossAx val="911909456"/>
        <c:crosses val="autoZero"/>
        <c:crossBetween val="between"/>
        <c:majorUnit val="10"/>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ClgSetpt</a:t>
            </a:r>
          </a:p>
        </c:rich>
      </c:tx>
      <c:overlay val="0"/>
    </c:title>
    <c:autoTitleDeleted val="0"/>
    <c:plotArea>
      <c:layout/>
      <c:lineChart>
        <c:grouping val="standard"/>
        <c:varyColors val="0"/>
        <c:ser>
          <c:idx val="0"/>
          <c:order val="0"/>
          <c:tx>
            <c:strRef>
              <c:f>Schedules!$E$289</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Schedules!$F$289:$AC$289</c:f>
              <c:numCache>
                <c:formatCode>General</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1-24F7-4C1A-9EEA-25698878F3E3}"/>
            </c:ext>
          </c:extLst>
        </c:ser>
        <c:ser>
          <c:idx val="1"/>
          <c:order val="1"/>
          <c:tx>
            <c:strRef>
              <c:f>Schedules!$E$290</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Schedules!$F$290:$AC$290</c:f>
              <c:numCache>
                <c:formatCode>General</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2-24F7-4C1A-9EEA-25698878F3E3}"/>
            </c:ext>
          </c:extLst>
        </c:ser>
        <c:ser>
          <c:idx val="2"/>
          <c:order val="2"/>
          <c:tx>
            <c:strRef>
              <c:f>Schedules!$E$291</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Schedules!$F$291:$AC$291</c:f>
              <c:numCache>
                <c:formatCode>General</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3-24F7-4C1A-9EEA-25698878F3E3}"/>
            </c:ext>
          </c:extLst>
        </c:ser>
        <c:ser>
          <c:idx val="3"/>
          <c:order val="3"/>
          <c:tx>
            <c:strRef>
              <c:f>Schedules!$E$292</c:f>
              <c:strCache>
                <c:ptCount val="1"/>
                <c:pt idx="0">
                  <c:v>SummerSchool</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Schedules!$F$292:$AC$292</c:f>
              <c:numCache>
                <c:formatCode>General</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4-24F7-4C1A-9EEA-25698878F3E3}"/>
            </c:ext>
          </c:extLst>
        </c:ser>
        <c:dLbls>
          <c:showLegendKey val="0"/>
          <c:showVal val="0"/>
          <c:showCatName val="0"/>
          <c:showSerName val="0"/>
          <c:showPercent val="0"/>
          <c:showBubbleSize val="0"/>
        </c:dLbls>
        <c:smooth val="0"/>
        <c:axId val="911921984"/>
        <c:axId val="533952592"/>
      </c:lineChart>
      <c:catAx>
        <c:axId val="911921984"/>
        <c:scaling>
          <c:orientation val="minMax"/>
        </c:scaling>
        <c:delete val="0"/>
        <c:axPos val="b"/>
        <c:numFmt formatCode="General" sourceLinked="1"/>
        <c:majorTickMark val="out"/>
        <c:minorTickMark val="none"/>
        <c:tickLblPos val="nextTo"/>
        <c:crossAx val="533952592"/>
        <c:crosses val="autoZero"/>
        <c:auto val="1"/>
        <c:lblAlgn val="ctr"/>
        <c:lblOffset val="100"/>
        <c:noMultiLvlLbl val="0"/>
      </c:catAx>
      <c:valAx>
        <c:axId val="533952592"/>
        <c:scaling>
          <c:orientation val="minMax"/>
          <c:max val="90"/>
          <c:min val="50"/>
        </c:scaling>
        <c:delete val="0"/>
        <c:axPos val="l"/>
        <c:majorGridlines/>
        <c:numFmt formatCode="General" sourceLinked="1"/>
        <c:majorTickMark val="out"/>
        <c:minorTickMark val="none"/>
        <c:tickLblPos val="nextTo"/>
        <c:crossAx val="911921984"/>
        <c:crosses val="autoZero"/>
        <c:crossBetween val="between"/>
        <c:majorUnit val="10"/>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Infiltration</a:t>
            </a:r>
          </a:p>
        </c:rich>
      </c:tx>
      <c:overlay val="0"/>
    </c:title>
    <c:autoTitleDeleted val="0"/>
    <c:plotArea>
      <c:layout/>
      <c:lineChart>
        <c:grouping val="standard"/>
        <c:varyColors val="0"/>
        <c:ser>
          <c:idx val="0"/>
          <c:order val="0"/>
          <c:tx>
            <c:strRef>
              <c:f>Schedules!$E$293</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Schedules!$F$293:$AC$293</c:f>
              <c:numCache>
                <c:formatCode>General</c:formatCode>
                <c:ptCount val="24"/>
                <c:pt idx="0">
                  <c:v>1</c:v>
                </c:pt>
                <c:pt idx="1">
                  <c:v>1</c:v>
                </c:pt>
                <c:pt idx="2">
                  <c:v>1</c:v>
                </c:pt>
                <c:pt idx="3">
                  <c:v>1</c:v>
                </c:pt>
                <c:pt idx="4">
                  <c:v>1</c:v>
                </c:pt>
                <c:pt idx="5">
                  <c:v>1</c:v>
                </c:pt>
                <c:pt idx="6">
                  <c:v>0.25</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1</c:v>
                </c:pt>
                <c:pt idx="23">
                  <c:v>1</c:v>
                </c:pt>
              </c:numCache>
            </c:numRef>
          </c:val>
          <c:smooth val="0"/>
          <c:extLst>
            <c:ext xmlns:c16="http://schemas.microsoft.com/office/drawing/2014/chart" uri="{C3380CC4-5D6E-409C-BE32-E72D297353CC}">
              <c16:uniqueId val="{00000001-9126-4CE1-8637-0E534F10FF68}"/>
            </c:ext>
          </c:extLst>
        </c:ser>
        <c:ser>
          <c:idx val="1"/>
          <c:order val="1"/>
          <c:tx>
            <c:strRef>
              <c:f>Schedules!$E$294</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Schedules!$F$294:$AC$294</c:f>
              <c:numCache>
                <c:formatCode>General</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9126-4CE1-8637-0E534F10FF68}"/>
            </c:ext>
          </c:extLst>
        </c:ser>
        <c:ser>
          <c:idx val="2"/>
          <c:order val="2"/>
          <c:tx>
            <c:strRef>
              <c:f>Schedules!$E$295</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Schedules!$F$295:$AC$295</c:f>
              <c:numCache>
                <c:formatCode>General</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3-9126-4CE1-8637-0E534F10FF68}"/>
            </c:ext>
          </c:extLst>
        </c:ser>
        <c:ser>
          <c:idx val="3"/>
          <c:order val="3"/>
          <c:tx>
            <c:strRef>
              <c:f>Schedules!$E$296</c:f>
              <c:strCache>
                <c:ptCount val="1"/>
                <c:pt idx="0">
                  <c:v>SummerSchool</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Schedules!$F$296:$AC$296</c:f>
              <c:numCache>
                <c:formatCode>General</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0.25</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4-9126-4CE1-8637-0E534F10FF68}"/>
            </c:ext>
          </c:extLst>
        </c:ser>
        <c:dLbls>
          <c:showLegendKey val="0"/>
          <c:showVal val="0"/>
          <c:showCatName val="0"/>
          <c:showSerName val="0"/>
          <c:showPercent val="0"/>
          <c:showBubbleSize val="0"/>
        </c:dLbls>
        <c:smooth val="0"/>
        <c:axId val="911836144"/>
        <c:axId val="533739952"/>
      </c:lineChart>
      <c:catAx>
        <c:axId val="911836144"/>
        <c:scaling>
          <c:orientation val="minMax"/>
        </c:scaling>
        <c:delete val="0"/>
        <c:axPos val="b"/>
        <c:numFmt formatCode="General" sourceLinked="1"/>
        <c:majorTickMark val="out"/>
        <c:minorTickMark val="none"/>
        <c:tickLblPos val="nextTo"/>
        <c:crossAx val="533739952"/>
        <c:crosses val="autoZero"/>
        <c:auto val="1"/>
        <c:lblAlgn val="ctr"/>
        <c:lblOffset val="100"/>
        <c:noMultiLvlLbl val="0"/>
      </c:catAx>
      <c:valAx>
        <c:axId val="533739952"/>
        <c:scaling>
          <c:orientation val="minMax"/>
          <c:max val="1"/>
          <c:min val="0"/>
        </c:scaling>
        <c:delete val="0"/>
        <c:axPos val="l"/>
        <c:majorGridlines/>
        <c:numFmt formatCode="General" sourceLinked="1"/>
        <c:majorTickMark val="out"/>
        <c:minorTickMark val="none"/>
        <c:tickLblPos val="nextTo"/>
        <c:crossAx val="911836144"/>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Occupancy</a:t>
            </a:r>
          </a:p>
        </c:rich>
      </c:tx>
      <c:overlay val="0"/>
    </c:title>
    <c:autoTitleDeleted val="0"/>
    <c:plotArea>
      <c:layout/>
      <c:lineChart>
        <c:grouping val="standard"/>
        <c:varyColors val="0"/>
        <c:ser>
          <c:idx val="0"/>
          <c:order val="0"/>
          <c:tx>
            <c:strRef>
              <c:f>Schedules!$E$298</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Schedules!$F$298:$AC$298</c:f>
              <c:numCache>
                <c:formatCode>General</c:formatCode>
                <c:ptCount val="24"/>
                <c:pt idx="0">
                  <c:v>0</c:v>
                </c:pt>
                <c:pt idx="1">
                  <c:v>0</c:v>
                </c:pt>
                <c:pt idx="2">
                  <c:v>0</c:v>
                </c:pt>
                <c:pt idx="3">
                  <c:v>0</c:v>
                </c:pt>
                <c:pt idx="4">
                  <c:v>0</c:v>
                </c:pt>
                <c:pt idx="5">
                  <c:v>0</c:v>
                </c:pt>
                <c:pt idx="6">
                  <c:v>0</c:v>
                </c:pt>
                <c:pt idx="7">
                  <c:v>0.05</c:v>
                </c:pt>
                <c:pt idx="8">
                  <c:v>0.75</c:v>
                </c:pt>
                <c:pt idx="9">
                  <c:v>0.9</c:v>
                </c:pt>
                <c:pt idx="10">
                  <c:v>0.9</c:v>
                </c:pt>
                <c:pt idx="11">
                  <c:v>0.8</c:v>
                </c:pt>
                <c:pt idx="12">
                  <c:v>0.8</c:v>
                </c:pt>
                <c:pt idx="13">
                  <c:v>0.8</c:v>
                </c:pt>
                <c:pt idx="14">
                  <c:v>0.8</c:v>
                </c:pt>
                <c:pt idx="15">
                  <c:v>0.45</c:v>
                </c:pt>
                <c:pt idx="16">
                  <c:v>0.15</c:v>
                </c:pt>
                <c:pt idx="17">
                  <c:v>0.05</c:v>
                </c:pt>
                <c:pt idx="18">
                  <c:v>0.15</c:v>
                </c:pt>
                <c:pt idx="19">
                  <c:v>0.2</c:v>
                </c:pt>
                <c:pt idx="20">
                  <c:v>0.2</c:v>
                </c:pt>
                <c:pt idx="21">
                  <c:v>0.1</c:v>
                </c:pt>
                <c:pt idx="22">
                  <c:v>0</c:v>
                </c:pt>
                <c:pt idx="23">
                  <c:v>0</c:v>
                </c:pt>
              </c:numCache>
            </c:numRef>
          </c:val>
          <c:smooth val="0"/>
          <c:extLst>
            <c:ext xmlns:c16="http://schemas.microsoft.com/office/drawing/2014/chart" uri="{C3380CC4-5D6E-409C-BE32-E72D297353CC}">
              <c16:uniqueId val="{00000001-4D60-41A9-9855-E6F07C050762}"/>
            </c:ext>
          </c:extLst>
        </c:ser>
        <c:ser>
          <c:idx val="1"/>
          <c:order val="1"/>
          <c:tx>
            <c:strRef>
              <c:f>Schedules!$E$299</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Schedules!$F$299:$AC$299</c:f>
              <c:numCache>
                <c:formatCode>General</c:formatCode>
                <c:ptCount val="24"/>
                <c:pt idx="0">
                  <c:v>0</c:v>
                </c:pt>
                <c:pt idx="1">
                  <c:v>0</c:v>
                </c:pt>
                <c:pt idx="2">
                  <c:v>0</c:v>
                </c:pt>
                <c:pt idx="3">
                  <c:v>0</c:v>
                </c:pt>
                <c:pt idx="4">
                  <c:v>0</c:v>
                </c:pt>
                <c:pt idx="5">
                  <c:v>0</c:v>
                </c:pt>
                <c:pt idx="6">
                  <c:v>0</c:v>
                </c:pt>
                <c:pt idx="7">
                  <c:v>0</c:v>
                </c:pt>
                <c:pt idx="8">
                  <c:v>0.1</c:v>
                </c:pt>
                <c:pt idx="9">
                  <c:v>0.1</c:v>
                </c:pt>
                <c:pt idx="10">
                  <c:v>0.1</c:v>
                </c:pt>
                <c:pt idx="11">
                  <c:v>0.1</c:v>
                </c:pt>
                <c:pt idx="12">
                  <c:v>0.1</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4D60-41A9-9855-E6F07C050762}"/>
            </c:ext>
          </c:extLst>
        </c:ser>
        <c:ser>
          <c:idx val="2"/>
          <c:order val="2"/>
          <c:tx>
            <c:strRef>
              <c:f>Schedules!$E$300</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Schedules!$F$300:$AC$300</c:f>
              <c:numCache>
                <c:formatCode>General</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3-4D60-41A9-9855-E6F07C050762}"/>
            </c:ext>
          </c:extLst>
        </c:ser>
        <c:ser>
          <c:idx val="3"/>
          <c:order val="3"/>
          <c:tx>
            <c:strRef>
              <c:f>Schedules!$E$301</c:f>
              <c:strCache>
                <c:ptCount val="1"/>
                <c:pt idx="0">
                  <c:v>SummerSchool</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Schedules!$F$301:$AC$301</c:f>
              <c:numCache>
                <c:formatCode>General</c:formatCode>
                <c:ptCount val="24"/>
                <c:pt idx="0">
                  <c:v>0</c:v>
                </c:pt>
                <c:pt idx="1">
                  <c:v>0</c:v>
                </c:pt>
                <c:pt idx="2">
                  <c:v>0</c:v>
                </c:pt>
                <c:pt idx="3">
                  <c:v>0</c:v>
                </c:pt>
                <c:pt idx="4">
                  <c:v>0</c:v>
                </c:pt>
                <c:pt idx="5">
                  <c:v>0</c:v>
                </c:pt>
                <c:pt idx="6">
                  <c:v>0</c:v>
                </c:pt>
                <c:pt idx="7">
                  <c:v>2.5000000000000001E-2</c:v>
                </c:pt>
                <c:pt idx="8">
                  <c:v>0.7</c:v>
                </c:pt>
                <c:pt idx="9">
                  <c:v>0.7</c:v>
                </c:pt>
                <c:pt idx="10">
                  <c:v>0.7</c:v>
                </c:pt>
                <c:pt idx="11">
                  <c:v>0.7</c:v>
                </c:pt>
                <c:pt idx="12">
                  <c:v>0.25</c:v>
                </c:pt>
                <c:pt idx="13">
                  <c:v>0.7</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4-4D60-41A9-9855-E6F07C050762}"/>
            </c:ext>
          </c:extLst>
        </c:ser>
        <c:dLbls>
          <c:showLegendKey val="0"/>
          <c:showVal val="0"/>
          <c:showCatName val="0"/>
          <c:showSerName val="0"/>
          <c:showPercent val="0"/>
          <c:showBubbleSize val="0"/>
        </c:dLbls>
        <c:smooth val="0"/>
        <c:axId val="911855168"/>
        <c:axId val="533769712"/>
      </c:lineChart>
      <c:catAx>
        <c:axId val="911855168"/>
        <c:scaling>
          <c:orientation val="minMax"/>
        </c:scaling>
        <c:delete val="0"/>
        <c:axPos val="b"/>
        <c:numFmt formatCode="General" sourceLinked="1"/>
        <c:majorTickMark val="out"/>
        <c:minorTickMark val="none"/>
        <c:tickLblPos val="nextTo"/>
        <c:crossAx val="533769712"/>
        <c:crosses val="autoZero"/>
        <c:auto val="1"/>
        <c:lblAlgn val="ctr"/>
        <c:lblOffset val="100"/>
        <c:noMultiLvlLbl val="0"/>
      </c:catAx>
      <c:valAx>
        <c:axId val="533769712"/>
        <c:scaling>
          <c:orientation val="minMax"/>
          <c:max val="1"/>
          <c:min val="0"/>
        </c:scaling>
        <c:delete val="0"/>
        <c:axPos val="l"/>
        <c:majorGridlines/>
        <c:numFmt formatCode="General" sourceLinked="1"/>
        <c:majorTickMark val="out"/>
        <c:minorTickMark val="none"/>
        <c:tickLblPos val="nextTo"/>
        <c:crossAx val="911855168"/>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Lights</a:t>
            </a:r>
          </a:p>
        </c:rich>
      </c:tx>
      <c:overlay val="0"/>
    </c:title>
    <c:autoTitleDeleted val="0"/>
    <c:plotArea>
      <c:layout/>
      <c:lineChart>
        <c:grouping val="standard"/>
        <c:varyColors val="0"/>
        <c:ser>
          <c:idx val="0"/>
          <c:order val="0"/>
          <c:tx>
            <c:strRef>
              <c:f>Schedules!$E$302</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Schedules!$F$302:$AC$302</c:f>
              <c:numCache>
                <c:formatCode>General</c:formatCode>
                <c:ptCount val="24"/>
                <c:pt idx="0">
                  <c:v>0.05</c:v>
                </c:pt>
                <c:pt idx="1">
                  <c:v>0.05</c:v>
                </c:pt>
                <c:pt idx="2">
                  <c:v>0.05</c:v>
                </c:pt>
                <c:pt idx="3">
                  <c:v>0.05</c:v>
                </c:pt>
                <c:pt idx="4">
                  <c:v>0.05</c:v>
                </c:pt>
                <c:pt idx="5">
                  <c:v>0.05</c:v>
                </c:pt>
                <c:pt idx="6">
                  <c:v>0.05</c:v>
                </c:pt>
                <c:pt idx="7">
                  <c:v>0.3</c:v>
                </c:pt>
                <c:pt idx="8">
                  <c:v>0.6</c:v>
                </c:pt>
                <c:pt idx="9">
                  <c:v>0.65</c:v>
                </c:pt>
                <c:pt idx="10">
                  <c:v>0.65</c:v>
                </c:pt>
                <c:pt idx="11">
                  <c:v>0.65</c:v>
                </c:pt>
                <c:pt idx="12">
                  <c:v>0.55000000000000004</c:v>
                </c:pt>
                <c:pt idx="13">
                  <c:v>0.55000000000000004</c:v>
                </c:pt>
                <c:pt idx="14">
                  <c:v>0.55000000000000004</c:v>
                </c:pt>
                <c:pt idx="15">
                  <c:v>0.5</c:v>
                </c:pt>
                <c:pt idx="16">
                  <c:v>0.35</c:v>
                </c:pt>
                <c:pt idx="17">
                  <c:v>0.35</c:v>
                </c:pt>
                <c:pt idx="18">
                  <c:v>0.35</c:v>
                </c:pt>
                <c:pt idx="19">
                  <c:v>0.35</c:v>
                </c:pt>
                <c:pt idx="20">
                  <c:v>0.35</c:v>
                </c:pt>
                <c:pt idx="21">
                  <c:v>0.3</c:v>
                </c:pt>
                <c:pt idx="22">
                  <c:v>0.05</c:v>
                </c:pt>
                <c:pt idx="23">
                  <c:v>0.05</c:v>
                </c:pt>
              </c:numCache>
            </c:numRef>
          </c:val>
          <c:smooth val="0"/>
          <c:extLst>
            <c:ext xmlns:c16="http://schemas.microsoft.com/office/drawing/2014/chart" uri="{C3380CC4-5D6E-409C-BE32-E72D297353CC}">
              <c16:uniqueId val="{00000001-A3A2-4E91-9BCE-BA44BF5F229D}"/>
            </c:ext>
          </c:extLst>
        </c:ser>
        <c:ser>
          <c:idx val="1"/>
          <c:order val="1"/>
          <c:tx>
            <c:strRef>
              <c:f>Schedules!$E$303</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Schedules!$F$303:$AC$303</c:f>
              <c:numCache>
                <c:formatCode>General</c:formatCode>
                <c:ptCount val="24"/>
                <c:pt idx="0">
                  <c:v>0.05</c:v>
                </c:pt>
                <c:pt idx="1">
                  <c:v>0.05</c:v>
                </c:pt>
                <c:pt idx="2">
                  <c:v>0.05</c:v>
                </c:pt>
                <c:pt idx="3">
                  <c:v>0.05</c:v>
                </c:pt>
                <c:pt idx="4">
                  <c:v>0.05</c:v>
                </c:pt>
                <c:pt idx="5">
                  <c:v>0.05</c:v>
                </c:pt>
                <c:pt idx="6">
                  <c:v>0.05</c:v>
                </c:pt>
                <c:pt idx="7">
                  <c:v>0.05</c:v>
                </c:pt>
                <c:pt idx="8">
                  <c:v>0.15</c:v>
                </c:pt>
                <c:pt idx="9">
                  <c:v>0.15</c:v>
                </c:pt>
                <c:pt idx="10">
                  <c:v>0.15</c:v>
                </c:pt>
                <c:pt idx="11">
                  <c:v>0.15</c:v>
                </c:pt>
                <c:pt idx="12">
                  <c:v>0.15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2-A3A2-4E91-9BCE-BA44BF5F229D}"/>
            </c:ext>
          </c:extLst>
        </c:ser>
        <c:ser>
          <c:idx val="2"/>
          <c:order val="2"/>
          <c:tx>
            <c:strRef>
              <c:f>Schedules!$E$304</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Schedules!$F$304:$AC$304</c:f>
              <c:numCache>
                <c:formatCode>General</c:formatCode>
                <c:ptCount val="24"/>
                <c:pt idx="0">
                  <c:v>0.05</c:v>
                </c:pt>
                <c:pt idx="1">
                  <c:v>0.05</c:v>
                </c:pt>
                <c:pt idx="2">
                  <c:v>0.05</c:v>
                </c:pt>
                <c:pt idx="3">
                  <c:v>0.05</c:v>
                </c:pt>
                <c:pt idx="4">
                  <c:v>0.05</c:v>
                </c:pt>
                <c:pt idx="5">
                  <c:v>0.05</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3-A3A2-4E91-9BCE-BA44BF5F229D}"/>
            </c:ext>
          </c:extLst>
        </c:ser>
        <c:ser>
          <c:idx val="3"/>
          <c:order val="3"/>
          <c:tx>
            <c:strRef>
              <c:f>Schedules!$E$305</c:f>
              <c:strCache>
                <c:ptCount val="1"/>
                <c:pt idx="0">
                  <c:v>SummerSchool</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Schedules!$F$305:$AC$305</c:f>
              <c:numCache>
                <c:formatCode>General</c:formatCode>
                <c:ptCount val="24"/>
                <c:pt idx="0">
                  <c:v>0.05</c:v>
                </c:pt>
                <c:pt idx="1">
                  <c:v>0.05</c:v>
                </c:pt>
                <c:pt idx="2">
                  <c:v>0.05</c:v>
                </c:pt>
                <c:pt idx="3">
                  <c:v>0.05</c:v>
                </c:pt>
                <c:pt idx="4">
                  <c:v>0.05</c:v>
                </c:pt>
                <c:pt idx="5">
                  <c:v>0.05</c:v>
                </c:pt>
                <c:pt idx="6">
                  <c:v>0.05</c:v>
                </c:pt>
                <c:pt idx="7">
                  <c:v>0.3</c:v>
                </c:pt>
                <c:pt idx="8">
                  <c:v>0.6</c:v>
                </c:pt>
                <c:pt idx="9">
                  <c:v>0.65</c:v>
                </c:pt>
                <c:pt idx="10">
                  <c:v>0.65</c:v>
                </c:pt>
                <c:pt idx="11">
                  <c:v>0.65</c:v>
                </c:pt>
                <c:pt idx="12">
                  <c:v>0.55000000000000004</c:v>
                </c:pt>
                <c:pt idx="13">
                  <c:v>0.55000000000000004</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4-A3A2-4E91-9BCE-BA44BF5F229D}"/>
            </c:ext>
          </c:extLst>
        </c:ser>
        <c:dLbls>
          <c:showLegendKey val="0"/>
          <c:showVal val="0"/>
          <c:showCatName val="0"/>
          <c:showSerName val="0"/>
          <c:showPercent val="0"/>
          <c:showBubbleSize val="0"/>
        </c:dLbls>
        <c:smooth val="0"/>
        <c:axId val="911874192"/>
        <c:axId val="533808592"/>
      </c:lineChart>
      <c:catAx>
        <c:axId val="911874192"/>
        <c:scaling>
          <c:orientation val="minMax"/>
        </c:scaling>
        <c:delete val="0"/>
        <c:axPos val="b"/>
        <c:numFmt formatCode="General" sourceLinked="1"/>
        <c:majorTickMark val="out"/>
        <c:minorTickMark val="none"/>
        <c:tickLblPos val="nextTo"/>
        <c:crossAx val="533808592"/>
        <c:crosses val="autoZero"/>
        <c:auto val="1"/>
        <c:lblAlgn val="ctr"/>
        <c:lblOffset val="100"/>
        <c:noMultiLvlLbl val="0"/>
      </c:catAx>
      <c:valAx>
        <c:axId val="533808592"/>
        <c:scaling>
          <c:orientation val="minMax"/>
          <c:max val="1"/>
          <c:min val="0"/>
        </c:scaling>
        <c:delete val="0"/>
        <c:axPos val="l"/>
        <c:majorGridlines/>
        <c:numFmt formatCode="General" sourceLinked="1"/>
        <c:majorTickMark val="out"/>
        <c:minorTickMark val="none"/>
        <c:tickLblPos val="nextTo"/>
        <c:crossAx val="911874192"/>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ElecEquipment</a:t>
            </a:r>
          </a:p>
        </c:rich>
      </c:tx>
      <c:overlay val="0"/>
    </c:title>
    <c:autoTitleDeleted val="0"/>
    <c:plotArea>
      <c:layout/>
      <c:lineChart>
        <c:grouping val="standard"/>
        <c:varyColors val="0"/>
        <c:ser>
          <c:idx val="0"/>
          <c:order val="0"/>
          <c:tx>
            <c:strRef>
              <c:f>Schedules!$E$306</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Schedules!$F$306:$AC$306</c:f>
              <c:numCache>
                <c:formatCode>General</c:formatCode>
                <c:ptCount val="24"/>
                <c:pt idx="0">
                  <c:v>0.05</c:v>
                </c:pt>
                <c:pt idx="1">
                  <c:v>0.05</c:v>
                </c:pt>
                <c:pt idx="2">
                  <c:v>0.05</c:v>
                </c:pt>
                <c:pt idx="3">
                  <c:v>0.05</c:v>
                </c:pt>
                <c:pt idx="4">
                  <c:v>0.05</c:v>
                </c:pt>
                <c:pt idx="5">
                  <c:v>0.05</c:v>
                </c:pt>
                <c:pt idx="6">
                  <c:v>0.05</c:v>
                </c:pt>
                <c:pt idx="7">
                  <c:v>0.3</c:v>
                </c:pt>
                <c:pt idx="8">
                  <c:v>0.85</c:v>
                </c:pt>
                <c:pt idx="9">
                  <c:v>0.95</c:v>
                </c:pt>
                <c:pt idx="10">
                  <c:v>0.95</c:v>
                </c:pt>
                <c:pt idx="11">
                  <c:v>0.95</c:v>
                </c:pt>
                <c:pt idx="12">
                  <c:v>0.8</c:v>
                </c:pt>
                <c:pt idx="13">
                  <c:v>0.8</c:v>
                </c:pt>
                <c:pt idx="14">
                  <c:v>0.8</c:v>
                </c:pt>
                <c:pt idx="15">
                  <c:v>0.7</c:v>
                </c:pt>
                <c:pt idx="16">
                  <c:v>0.5</c:v>
                </c:pt>
                <c:pt idx="17">
                  <c:v>0.5</c:v>
                </c:pt>
                <c:pt idx="18">
                  <c:v>0.35</c:v>
                </c:pt>
                <c:pt idx="19">
                  <c:v>0.35</c:v>
                </c:pt>
                <c:pt idx="20">
                  <c:v>0.35</c:v>
                </c:pt>
                <c:pt idx="21">
                  <c:v>0.3</c:v>
                </c:pt>
                <c:pt idx="22">
                  <c:v>0.05</c:v>
                </c:pt>
                <c:pt idx="23">
                  <c:v>0.05</c:v>
                </c:pt>
              </c:numCache>
            </c:numRef>
          </c:val>
          <c:smooth val="0"/>
          <c:extLst>
            <c:ext xmlns:c16="http://schemas.microsoft.com/office/drawing/2014/chart" uri="{C3380CC4-5D6E-409C-BE32-E72D297353CC}">
              <c16:uniqueId val="{00000001-4AEA-4409-AC9A-708AE5412C8B}"/>
            </c:ext>
          </c:extLst>
        </c:ser>
        <c:ser>
          <c:idx val="1"/>
          <c:order val="1"/>
          <c:tx>
            <c:strRef>
              <c:f>Schedules!$E$307</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Schedules!$F$307:$AC$307</c:f>
              <c:numCache>
                <c:formatCode>General</c:formatCode>
                <c:ptCount val="24"/>
                <c:pt idx="0">
                  <c:v>0.05</c:v>
                </c:pt>
                <c:pt idx="1">
                  <c:v>0.05</c:v>
                </c:pt>
                <c:pt idx="2">
                  <c:v>0.05</c:v>
                </c:pt>
                <c:pt idx="3">
                  <c:v>0.05</c:v>
                </c:pt>
                <c:pt idx="4">
                  <c:v>0.05</c:v>
                </c:pt>
                <c:pt idx="5">
                  <c:v>0.05</c:v>
                </c:pt>
                <c:pt idx="6">
                  <c:v>0.05</c:v>
                </c:pt>
                <c:pt idx="7">
                  <c:v>0.05</c:v>
                </c:pt>
                <c:pt idx="8">
                  <c:v>0.15</c:v>
                </c:pt>
                <c:pt idx="9">
                  <c:v>0.15</c:v>
                </c:pt>
                <c:pt idx="10">
                  <c:v>0.15</c:v>
                </c:pt>
                <c:pt idx="11">
                  <c:v>0.15</c:v>
                </c:pt>
                <c:pt idx="12">
                  <c:v>0.15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2-4AEA-4409-AC9A-708AE5412C8B}"/>
            </c:ext>
          </c:extLst>
        </c:ser>
        <c:ser>
          <c:idx val="2"/>
          <c:order val="2"/>
          <c:tx>
            <c:strRef>
              <c:f>Schedules!$E$308</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Schedules!$F$308:$AC$308</c:f>
              <c:numCache>
                <c:formatCode>General</c:formatCode>
                <c:ptCount val="24"/>
                <c:pt idx="0">
                  <c:v>0.05</c:v>
                </c:pt>
                <c:pt idx="1">
                  <c:v>0.05</c:v>
                </c:pt>
                <c:pt idx="2">
                  <c:v>0.05</c:v>
                </c:pt>
                <c:pt idx="3">
                  <c:v>0.05</c:v>
                </c:pt>
                <c:pt idx="4">
                  <c:v>0.05</c:v>
                </c:pt>
                <c:pt idx="5">
                  <c:v>0.05</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3-4AEA-4409-AC9A-708AE5412C8B}"/>
            </c:ext>
          </c:extLst>
        </c:ser>
        <c:ser>
          <c:idx val="3"/>
          <c:order val="3"/>
          <c:tx>
            <c:strRef>
              <c:f>Schedules!$E$309</c:f>
              <c:strCache>
                <c:ptCount val="1"/>
                <c:pt idx="0">
                  <c:v>SummerSchool</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Schedules!$F$309:$AC$309</c:f>
              <c:numCache>
                <c:formatCode>General</c:formatCode>
                <c:ptCount val="24"/>
                <c:pt idx="0">
                  <c:v>0.05</c:v>
                </c:pt>
                <c:pt idx="1">
                  <c:v>0.05</c:v>
                </c:pt>
                <c:pt idx="2">
                  <c:v>0.05</c:v>
                </c:pt>
                <c:pt idx="3">
                  <c:v>0.05</c:v>
                </c:pt>
                <c:pt idx="4">
                  <c:v>0.05</c:v>
                </c:pt>
                <c:pt idx="5">
                  <c:v>0.05</c:v>
                </c:pt>
                <c:pt idx="6">
                  <c:v>0.05</c:v>
                </c:pt>
                <c:pt idx="7">
                  <c:v>0.3</c:v>
                </c:pt>
                <c:pt idx="8">
                  <c:v>0.85</c:v>
                </c:pt>
                <c:pt idx="9">
                  <c:v>0.95</c:v>
                </c:pt>
                <c:pt idx="10">
                  <c:v>0.95</c:v>
                </c:pt>
                <c:pt idx="11">
                  <c:v>0.95</c:v>
                </c:pt>
                <c:pt idx="12">
                  <c:v>0.8</c:v>
                </c:pt>
                <c:pt idx="13">
                  <c:v>0.8</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4-4AEA-4409-AC9A-708AE5412C8B}"/>
            </c:ext>
          </c:extLst>
        </c:ser>
        <c:dLbls>
          <c:showLegendKey val="0"/>
          <c:showVal val="0"/>
          <c:showCatName val="0"/>
          <c:showSerName val="0"/>
          <c:showPercent val="0"/>
          <c:showBubbleSize val="0"/>
        </c:dLbls>
        <c:smooth val="0"/>
        <c:axId val="911895536"/>
        <c:axId val="533838832"/>
      </c:lineChart>
      <c:catAx>
        <c:axId val="911895536"/>
        <c:scaling>
          <c:orientation val="minMax"/>
        </c:scaling>
        <c:delete val="0"/>
        <c:axPos val="b"/>
        <c:numFmt formatCode="General" sourceLinked="1"/>
        <c:majorTickMark val="out"/>
        <c:minorTickMark val="none"/>
        <c:tickLblPos val="nextTo"/>
        <c:crossAx val="533838832"/>
        <c:crosses val="autoZero"/>
        <c:auto val="1"/>
        <c:lblAlgn val="ctr"/>
        <c:lblOffset val="100"/>
        <c:noMultiLvlLbl val="0"/>
      </c:catAx>
      <c:valAx>
        <c:axId val="533838832"/>
        <c:scaling>
          <c:orientation val="minMax"/>
          <c:max val="1"/>
          <c:min val="0"/>
        </c:scaling>
        <c:delete val="0"/>
        <c:axPos val="l"/>
        <c:majorGridlines/>
        <c:numFmt formatCode="General" sourceLinked="1"/>
        <c:majorTickMark val="out"/>
        <c:minorTickMark val="none"/>
        <c:tickLblPos val="nextTo"/>
        <c:crossAx val="911895536"/>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ServiceHotWater</a:t>
            </a:r>
          </a:p>
        </c:rich>
      </c:tx>
      <c:overlay val="0"/>
    </c:title>
    <c:autoTitleDeleted val="0"/>
    <c:plotArea>
      <c:layout/>
      <c:lineChart>
        <c:grouping val="standard"/>
        <c:varyColors val="0"/>
        <c:ser>
          <c:idx val="0"/>
          <c:order val="0"/>
          <c:tx>
            <c:strRef>
              <c:f>Schedules!$E$310</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Schedules!$F$310:$AC$310</c:f>
              <c:numCache>
                <c:formatCode>General</c:formatCode>
                <c:ptCount val="24"/>
                <c:pt idx="0">
                  <c:v>0.05</c:v>
                </c:pt>
                <c:pt idx="1">
                  <c:v>0.05</c:v>
                </c:pt>
                <c:pt idx="2">
                  <c:v>0.05</c:v>
                </c:pt>
                <c:pt idx="3">
                  <c:v>0.05</c:v>
                </c:pt>
                <c:pt idx="4">
                  <c:v>0.05</c:v>
                </c:pt>
                <c:pt idx="5">
                  <c:v>0.05</c:v>
                </c:pt>
                <c:pt idx="6">
                  <c:v>0.05</c:v>
                </c:pt>
                <c:pt idx="7">
                  <c:v>0.1</c:v>
                </c:pt>
                <c:pt idx="8">
                  <c:v>0.34</c:v>
                </c:pt>
                <c:pt idx="9">
                  <c:v>0.6</c:v>
                </c:pt>
                <c:pt idx="10">
                  <c:v>0.63</c:v>
                </c:pt>
                <c:pt idx="11">
                  <c:v>0.72</c:v>
                </c:pt>
                <c:pt idx="12">
                  <c:v>0.79</c:v>
                </c:pt>
                <c:pt idx="13">
                  <c:v>0.83</c:v>
                </c:pt>
                <c:pt idx="14">
                  <c:v>0.61</c:v>
                </c:pt>
                <c:pt idx="15">
                  <c:v>0.65</c:v>
                </c:pt>
                <c:pt idx="16">
                  <c:v>0.1</c:v>
                </c:pt>
                <c:pt idx="17">
                  <c:v>0.1</c:v>
                </c:pt>
                <c:pt idx="18">
                  <c:v>0.19</c:v>
                </c:pt>
                <c:pt idx="19">
                  <c:v>0.25</c:v>
                </c:pt>
                <c:pt idx="20">
                  <c:v>0.22</c:v>
                </c:pt>
                <c:pt idx="21">
                  <c:v>0.22</c:v>
                </c:pt>
                <c:pt idx="22">
                  <c:v>0.12</c:v>
                </c:pt>
                <c:pt idx="23">
                  <c:v>0.09</c:v>
                </c:pt>
              </c:numCache>
            </c:numRef>
          </c:val>
          <c:smooth val="0"/>
          <c:extLst>
            <c:ext xmlns:c16="http://schemas.microsoft.com/office/drawing/2014/chart" uri="{C3380CC4-5D6E-409C-BE32-E72D297353CC}">
              <c16:uniqueId val="{00000001-36A3-45E3-B82A-4B2B836D7F3F}"/>
            </c:ext>
          </c:extLst>
        </c:ser>
        <c:ser>
          <c:idx val="1"/>
          <c:order val="1"/>
          <c:tx>
            <c:strRef>
              <c:f>Schedules!$E$311</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Schedules!$F$311:$AC$311</c:f>
              <c:numCache>
                <c:formatCode>General</c:formatCode>
                <c:ptCount val="24"/>
                <c:pt idx="0">
                  <c:v>0.03</c:v>
                </c:pt>
                <c:pt idx="1">
                  <c:v>0.03</c:v>
                </c:pt>
                <c:pt idx="2">
                  <c:v>0.03</c:v>
                </c:pt>
                <c:pt idx="3">
                  <c:v>0.03</c:v>
                </c:pt>
                <c:pt idx="4">
                  <c:v>0.03</c:v>
                </c:pt>
                <c:pt idx="5">
                  <c:v>0.03</c:v>
                </c:pt>
                <c:pt idx="6">
                  <c:v>0.03</c:v>
                </c:pt>
                <c:pt idx="7">
                  <c:v>0.03</c:v>
                </c:pt>
                <c:pt idx="8">
                  <c:v>0.03</c:v>
                </c:pt>
                <c:pt idx="9">
                  <c:v>0.05</c:v>
                </c:pt>
                <c:pt idx="10">
                  <c:v>0.05</c:v>
                </c:pt>
                <c:pt idx="11">
                  <c:v>0.05</c:v>
                </c:pt>
                <c:pt idx="12">
                  <c:v>0.05</c:v>
                </c:pt>
                <c:pt idx="13">
                  <c:v>0.03</c:v>
                </c:pt>
                <c:pt idx="14">
                  <c:v>0.03</c:v>
                </c:pt>
                <c:pt idx="15">
                  <c:v>0.03</c:v>
                </c:pt>
                <c:pt idx="16">
                  <c:v>0.03</c:v>
                </c:pt>
                <c:pt idx="17">
                  <c:v>0.03</c:v>
                </c:pt>
                <c:pt idx="18">
                  <c:v>0.03</c:v>
                </c:pt>
                <c:pt idx="19">
                  <c:v>0.03</c:v>
                </c:pt>
                <c:pt idx="20">
                  <c:v>0.03</c:v>
                </c:pt>
                <c:pt idx="21">
                  <c:v>0.03</c:v>
                </c:pt>
                <c:pt idx="22">
                  <c:v>0.03</c:v>
                </c:pt>
                <c:pt idx="23">
                  <c:v>0.03</c:v>
                </c:pt>
              </c:numCache>
            </c:numRef>
          </c:val>
          <c:smooth val="0"/>
          <c:extLst>
            <c:ext xmlns:c16="http://schemas.microsoft.com/office/drawing/2014/chart" uri="{C3380CC4-5D6E-409C-BE32-E72D297353CC}">
              <c16:uniqueId val="{00000002-36A3-45E3-B82A-4B2B836D7F3F}"/>
            </c:ext>
          </c:extLst>
        </c:ser>
        <c:ser>
          <c:idx val="2"/>
          <c:order val="2"/>
          <c:tx>
            <c:strRef>
              <c:f>Schedules!$E$312</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Schedules!$F$312:$AC$312</c:f>
              <c:numCache>
                <c:formatCode>General</c:formatCode>
                <c:ptCount val="24"/>
                <c:pt idx="0">
                  <c:v>0.03</c:v>
                </c:pt>
                <c:pt idx="1">
                  <c:v>0.03</c:v>
                </c:pt>
                <c:pt idx="2">
                  <c:v>0.03</c:v>
                </c:pt>
                <c:pt idx="3">
                  <c:v>0.03</c:v>
                </c:pt>
                <c:pt idx="4">
                  <c:v>0.03</c:v>
                </c:pt>
                <c:pt idx="5">
                  <c:v>0.03</c:v>
                </c:pt>
                <c:pt idx="6">
                  <c:v>0.03</c:v>
                </c:pt>
                <c:pt idx="7">
                  <c:v>0.03</c:v>
                </c:pt>
                <c:pt idx="8">
                  <c:v>0.05</c:v>
                </c:pt>
                <c:pt idx="9">
                  <c:v>0.05</c:v>
                </c:pt>
                <c:pt idx="10">
                  <c:v>0.05</c:v>
                </c:pt>
                <c:pt idx="11">
                  <c:v>0.05</c:v>
                </c:pt>
                <c:pt idx="12">
                  <c:v>0.05</c:v>
                </c:pt>
                <c:pt idx="13">
                  <c:v>0.05</c:v>
                </c:pt>
                <c:pt idx="14">
                  <c:v>0.03</c:v>
                </c:pt>
                <c:pt idx="15">
                  <c:v>0.03</c:v>
                </c:pt>
                <c:pt idx="16">
                  <c:v>0.03</c:v>
                </c:pt>
                <c:pt idx="17">
                  <c:v>0.03</c:v>
                </c:pt>
                <c:pt idx="18">
                  <c:v>0.03</c:v>
                </c:pt>
                <c:pt idx="19">
                  <c:v>0.03</c:v>
                </c:pt>
                <c:pt idx="20">
                  <c:v>0.03</c:v>
                </c:pt>
                <c:pt idx="21">
                  <c:v>0.03</c:v>
                </c:pt>
                <c:pt idx="22">
                  <c:v>0.03</c:v>
                </c:pt>
                <c:pt idx="23">
                  <c:v>0.03</c:v>
                </c:pt>
              </c:numCache>
            </c:numRef>
          </c:val>
          <c:smooth val="0"/>
          <c:extLst>
            <c:ext xmlns:c16="http://schemas.microsoft.com/office/drawing/2014/chart" uri="{C3380CC4-5D6E-409C-BE32-E72D297353CC}">
              <c16:uniqueId val="{00000003-36A3-45E3-B82A-4B2B836D7F3F}"/>
            </c:ext>
          </c:extLst>
        </c:ser>
        <c:ser>
          <c:idx val="3"/>
          <c:order val="3"/>
          <c:tx>
            <c:strRef>
              <c:f>Schedules!$E$313</c:f>
              <c:strCache>
                <c:ptCount val="1"/>
                <c:pt idx="0">
                  <c:v>SummerSchool</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Schedules!$F$313:$AC$313</c:f>
              <c:numCache>
                <c:formatCode>General</c:formatCode>
                <c:ptCount val="24"/>
                <c:pt idx="0">
                  <c:v>0.03</c:v>
                </c:pt>
                <c:pt idx="1">
                  <c:v>0.03</c:v>
                </c:pt>
                <c:pt idx="2">
                  <c:v>0.03</c:v>
                </c:pt>
                <c:pt idx="3">
                  <c:v>0.03</c:v>
                </c:pt>
                <c:pt idx="4">
                  <c:v>0.03</c:v>
                </c:pt>
                <c:pt idx="5">
                  <c:v>0.03</c:v>
                </c:pt>
                <c:pt idx="6">
                  <c:v>0.03</c:v>
                </c:pt>
                <c:pt idx="7">
                  <c:v>0.1</c:v>
                </c:pt>
                <c:pt idx="8">
                  <c:v>0.34</c:v>
                </c:pt>
                <c:pt idx="9">
                  <c:v>0.6</c:v>
                </c:pt>
                <c:pt idx="10">
                  <c:v>0.63</c:v>
                </c:pt>
                <c:pt idx="11">
                  <c:v>0.72</c:v>
                </c:pt>
                <c:pt idx="12">
                  <c:v>0.79</c:v>
                </c:pt>
                <c:pt idx="13">
                  <c:v>0.83</c:v>
                </c:pt>
                <c:pt idx="14">
                  <c:v>0.03</c:v>
                </c:pt>
                <c:pt idx="15">
                  <c:v>0.03</c:v>
                </c:pt>
                <c:pt idx="16">
                  <c:v>0.03</c:v>
                </c:pt>
                <c:pt idx="17">
                  <c:v>0.03</c:v>
                </c:pt>
                <c:pt idx="18">
                  <c:v>0.03</c:v>
                </c:pt>
                <c:pt idx="19">
                  <c:v>0.03</c:v>
                </c:pt>
                <c:pt idx="20">
                  <c:v>0.03</c:v>
                </c:pt>
                <c:pt idx="21">
                  <c:v>0.03</c:v>
                </c:pt>
                <c:pt idx="22">
                  <c:v>0.03</c:v>
                </c:pt>
                <c:pt idx="23">
                  <c:v>0.03</c:v>
                </c:pt>
              </c:numCache>
            </c:numRef>
          </c:val>
          <c:smooth val="0"/>
          <c:extLst>
            <c:ext xmlns:c16="http://schemas.microsoft.com/office/drawing/2014/chart" uri="{C3380CC4-5D6E-409C-BE32-E72D297353CC}">
              <c16:uniqueId val="{00000004-36A3-45E3-B82A-4B2B836D7F3F}"/>
            </c:ext>
          </c:extLst>
        </c:ser>
        <c:dLbls>
          <c:showLegendKey val="0"/>
          <c:showVal val="0"/>
          <c:showCatName val="0"/>
          <c:showSerName val="0"/>
          <c:showPercent val="0"/>
          <c:showBubbleSize val="0"/>
        </c:dLbls>
        <c:smooth val="0"/>
        <c:axId val="911925696"/>
        <c:axId val="533867152"/>
      </c:lineChart>
      <c:catAx>
        <c:axId val="911925696"/>
        <c:scaling>
          <c:orientation val="minMax"/>
        </c:scaling>
        <c:delete val="0"/>
        <c:axPos val="b"/>
        <c:numFmt formatCode="General" sourceLinked="1"/>
        <c:majorTickMark val="out"/>
        <c:minorTickMark val="none"/>
        <c:tickLblPos val="nextTo"/>
        <c:crossAx val="533867152"/>
        <c:crosses val="autoZero"/>
        <c:auto val="1"/>
        <c:lblAlgn val="ctr"/>
        <c:lblOffset val="100"/>
        <c:noMultiLvlLbl val="0"/>
      </c:catAx>
      <c:valAx>
        <c:axId val="533867152"/>
        <c:scaling>
          <c:orientation val="minMax"/>
          <c:max val="1"/>
          <c:min val="0"/>
        </c:scaling>
        <c:delete val="0"/>
        <c:axPos val="l"/>
        <c:majorGridlines/>
        <c:numFmt formatCode="General" sourceLinked="1"/>
        <c:majorTickMark val="out"/>
        <c:minorTickMark val="none"/>
        <c:tickLblPos val="nextTo"/>
        <c:crossAx val="911925696"/>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HVACAvail</a:t>
            </a:r>
          </a:p>
        </c:rich>
      </c:tx>
      <c:overlay val="0"/>
    </c:title>
    <c:autoTitleDeleted val="0"/>
    <c:plotArea>
      <c:layout/>
      <c:lineChart>
        <c:grouping val="standard"/>
        <c:varyColors val="0"/>
        <c:ser>
          <c:idx val="0"/>
          <c:order val="0"/>
          <c:tx>
            <c:strRef>
              <c:f>Schedules!$E$314</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Schedules!$F$314:$AC$314</c:f>
              <c:numCache>
                <c:formatCode>General</c:formatCode>
                <c:ptCount val="24"/>
                <c:pt idx="0">
                  <c:v>0</c:v>
                </c:pt>
                <c:pt idx="1">
                  <c:v>0</c:v>
                </c:pt>
                <c:pt idx="2">
                  <c:v>0</c:v>
                </c:pt>
                <c:pt idx="3">
                  <c:v>0</c:v>
                </c:pt>
                <c:pt idx="4">
                  <c:v>0</c:v>
                </c:pt>
                <c:pt idx="5">
                  <c:v>0</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0</c:v>
                </c:pt>
                <c:pt idx="23">
                  <c:v>0</c:v>
                </c:pt>
              </c:numCache>
            </c:numRef>
          </c:val>
          <c:smooth val="0"/>
          <c:extLst>
            <c:ext xmlns:c16="http://schemas.microsoft.com/office/drawing/2014/chart" uri="{C3380CC4-5D6E-409C-BE32-E72D297353CC}">
              <c16:uniqueId val="{00000001-397F-4052-90C8-DCF71A37070B}"/>
            </c:ext>
          </c:extLst>
        </c:ser>
        <c:ser>
          <c:idx val="1"/>
          <c:order val="1"/>
          <c:tx>
            <c:strRef>
              <c:f>Schedules!$E$315</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Schedules!$F$315:$AC$315</c:f>
              <c:numCache>
                <c:formatCode>General</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397F-4052-90C8-DCF71A37070B}"/>
            </c:ext>
          </c:extLst>
        </c:ser>
        <c:ser>
          <c:idx val="2"/>
          <c:order val="2"/>
          <c:tx>
            <c:strRef>
              <c:f>Schedules!$E$316</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Schedules!$F$316:$AC$316</c:f>
              <c:numCache>
                <c:formatCode>General</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3-397F-4052-90C8-DCF71A37070B}"/>
            </c:ext>
          </c:extLst>
        </c:ser>
        <c:ser>
          <c:idx val="3"/>
          <c:order val="3"/>
          <c:tx>
            <c:strRef>
              <c:f>Schedules!$E$317</c:f>
              <c:strCache>
                <c:ptCount val="1"/>
                <c:pt idx="0">
                  <c:v>SummerSchool</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Schedules!$F$317:$AC$317</c:f>
              <c:numCache>
                <c:formatCode>General</c:formatCode>
                <c:ptCount val="24"/>
                <c:pt idx="0">
                  <c:v>0</c:v>
                </c:pt>
                <c:pt idx="1">
                  <c:v>0</c:v>
                </c:pt>
                <c:pt idx="2">
                  <c:v>0</c:v>
                </c:pt>
                <c:pt idx="3">
                  <c:v>0</c:v>
                </c:pt>
                <c:pt idx="4">
                  <c:v>0</c:v>
                </c:pt>
                <c:pt idx="5">
                  <c:v>0</c:v>
                </c:pt>
                <c:pt idx="6">
                  <c:v>0</c:v>
                </c:pt>
                <c:pt idx="7">
                  <c:v>1</c:v>
                </c:pt>
                <c:pt idx="8">
                  <c:v>1</c:v>
                </c:pt>
                <c:pt idx="9">
                  <c:v>1</c:v>
                </c:pt>
                <c:pt idx="10">
                  <c:v>1</c:v>
                </c:pt>
                <c:pt idx="11">
                  <c:v>1</c:v>
                </c:pt>
                <c:pt idx="12">
                  <c:v>1</c:v>
                </c:pt>
                <c:pt idx="13">
                  <c:v>1</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4-397F-4052-90C8-DCF71A37070B}"/>
            </c:ext>
          </c:extLst>
        </c:ser>
        <c:dLbls>
          <c:showLegendKey val="0"/>
          <c:showVal val="0"/>
          <c:showCatName val="0"/>
          <c:showSerName val="0"/>
          <c:showPercent val="0"/>
          <c:showBubbleSize val="0"/>
        </c:dLbls>
        <c:smooth val="0"/>
        <c:axId val="911842176"/>
        <c:axId val="533926192"/>
      </c:lineChart>
      <c:catAx>
        <c:axId val="911842176"/>
        <c:scaling>
          <c:orientation val="minMax"/>
        </c:scaling>
        <c:delete val="0"/>
        <c:axPos val="b"/>
        <c:numFmt formatCode="General" sourceLinked="1"/>
        <c:majorTickMark val="out"/>
        <c:minorTickMark val="none"/>
        <c:tickLblPos val="nextTo"/>
        <c:crossAx val="533926192"/>
        <c:crosses val="autoZero"/>
        <c:auto val="1"/>
        <c:lblAlgn val="ctr"/>
        <c:lblOffset val="100"/>
        <c:noMultiLvlLbl val="0"/>
      </c:catAx>
      <c:valAx>
        <c:axId val="533926192"/>
        <c:scaling>
          <c:orientation val="minMax"/>
          <c:max val="1"/>
          <c:min val="0"/>
        </c:scaling>
        <c:delete val="0"/>
        <c:axPos val="l"/>
        <c:majorGridlines/>
        <c:numFmt formatCode="General" sourceLinked="1"/>
        <c:majorTickMark val="out"/>
        <c:minorTickMark val="none"/>
        <c:tickLblPos val="nextTo"/>
        <c:crossAx val="911842176"/>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HtgSetpt</a:t>
            </a:r>
          </a:p>
        </c:rich>
      </c:tx>
      <c:overlay val="0"/>
    </c:title>
    <c:autoTitleDeleted val="0"/>
    <c:plotArea>
      <c:layout/>
      <c:lineChart>
        <c:grouping val="standard"/>
        <c:varyColors val="0"/>
        <c:ser>
          <c:idx val="0"/>
          <c:order val="0"/>
          <c:tx>
            <c:strRef>
              <c:f>Schedules!$E$318</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Schedules!$F$318:$AC$318</c:f>
              <c:numCache>
                <c:formatCode>General</c:formatCode>
                <c:ptCount val="24"/>
                <c:pt idx="0">
                  <c:v>60</c:v>
                </c:pt>
                <c:pt idx="1">
                  <c:v>60</c:v>
                </c:pt>
                <c:pt idx="2">
                  <c:v>60</c:v>
                </c:pt>
                <c:pt idx="3">
                  <c:v>60</c:v>
                </c:pt>
                <c:pt idx="4">
                  <c:v>60</c:v>
                </c:pt>
                <c:pt idx="5">
                  <c:v>60</c:v>
                </c:pt>
                <c:pt idx="6">
                  <c:v>70</c:v>
                </c:pt>
                <c:pt idx="7">
                  <c:v>70</c:v>
                </c:pt>
                <c:pt idx="8">
                  <c:v>70</c:v>
                </c:pt>
                <c:pt idx="9">
                  <c:v>70</c:v>
                </c:pt>
                <c:pt idx="10">
                  <c:v>70</c:v>
                </c:pt>
                <c:pt idx="11">
                  <c:v>70</c:v>
                </c:pt>
                <c:pt idx="12">
                  <c:v>70</c:v>
                </c:pt>
                <c:pt idx="13">
                  <c:v>70</c:v>
                </c:pt>
                <c:pt idx="14">
                  <c:v>70</c:v>
                </c:pt>
                <c:pt idx="15">
                  <c:v>70</c:v>
                </c:pt>
                <c:pt idx="16">
                  <c:v>70</c:v>
                </c:pt>
                <c:pt idx="17">
                  <c:v>70</c:v>
                </c:pt>
                <c:pt idx="18">
                  <c:v>70</c:v>
                </c:pt>
                <c:pt idx="19">
                  <c:v>70</c:v>
                </c:pt>
                <c:pt idx="20">
                  <c:v>70</c:v>
                </c:pt>
                <c:pt idx="21">
                  <c:v>70</c:v>
                </c:pt>
                <c:pt idx="22">
                  <c:v>60</c:v>
                </c:pt>
                <c:pt idx="23">
                  <c:v>60</c:v>
                </c:pt>
              </c:numCache>
            </c:numRef>
          </c:val>
          <c:smooth val="0"/>
          <c:extLst>
            <c:ext xmlns:c16="http://schemas.microsoft.com/office/drawing/2014/chart" uri="{C3380CC4-5D6E-409C-BE32-E72D297353CC}">
              <c16:uniqueId val="{00000001-0453-462A-B6A0-E929C031E65C}"/>
            </c:ext>
          </c:extLst>
        </c:ser>
        <c:ser>
          <c:idx val="1"/>
          <c:order val="1"/>
          <c:tx>
            <c:strRef>
              <c:f>Schedules!$E$319</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Schedules!$F$319:$AC$319</c:f>
              <c:numCache>
                <c:formatCode>General</c:formatCode>
                <c:ptCount val="24"/>
                <c:pt idx="0">
                  <c:v>60</c:v>
                </c:pt>
                <c:pt idx="1">
                  <c:v>60</c:v>
                </c:pt>
                <c:pt idx="2">
                  <c:v>60</c:v>
                </c:pt>
                <c:pt idx="3">
                  <c:v>60</c:v>
                </c:pt>
                <c:pt idx="4">
                  <c:v>60</c:v>
                </c:pt>
                <c:pt idx="5">
                  <c:v>60</c:v>
                </c:pt>
                <c:pt idx="6">
                  <c:v>60</c:v>
                </c:pt>
                <c:pt idx="7">
                  <c:v>70</c:v>
                </c:pt>
                <c:pt idx="8">
                  <c:v>70</c:v>
                </c:pt>
                <c:pt idx="9">
                  <c:v>70</c:v>
                </c:pt>
                <c:pt idx="10">
                  <c:v>70</c:v>
                </c:pt>
                <c:pt idx="11">
                  <c:v>70</c:v>
                </c:pt>
                <c:pt idx="12">
                  <c:v>70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2-0453-462A-B6A0-E929C031E65C}"/>
            </c:ext>
          </c:extLst>
        </c:ser>
        <c:ser>
          <c:idx val="2"/>
          <c:order val="2"/>
          <c:tx>
            <c:strRef>
              <c:f>Schedules!$E$320</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Schedules!$F$320:$AC$320</c:f>
              <c:numCache>
                <c:formatCode>General</c:formatCode>
                <c:ptCount val="24"/>
                <c:pt idx="0">
                  <c:v>60</c:v>
                </c:pt>
                <c:pt idx="1">
                  <c:v>60</c:v>
                </c:pt>
                <c:pt idx="2">
                  <c:v>60</c:v>
                </c:pt>
                <c:pt idx="3">
                  <c:v>60</c:v>
                </c:pt>
                <c:pt idx="4">
                  <c:v>60</c:v>
                </c:pt>
                <c:pt idx="5">
                  <c:v>60</c:v>
                </c:pt>
                <c:pt idx="6">
                  <c:v>60</c:v>
                </c:pt>
                <c:pt idx="7">
                  <c:v>60</c:v>
                </c:pt>
                <c:pt idx="8">
                  <c:v>60</c:v>
                </c:pt>
                <c:pt idx="9">
                  <c:v>60</c:v>
                </c:pt>
                <c:pt idx="10">
                  <c:v>60</c:v>
                </c:pt>
                <c:pt idx="11">
                  <c:v>60</c:v>
                </c:pt>
                <c:pt idx="12">
                  <c:v>60</c:v>
                </c:pt>
                <c:pt idx="13">
                  <c:v>60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3-0453-462A-B6A0-E929C031E65C}"/>
            </c:ext>
          </c:extLst>
        </c:ser>
        <c:ser>
          <c:idx val="3"/>
          <c:order val="3"/>
          <c:tx>
            <c:strRef>
              <c:f>Schedules!$E$321</c:f>
              <c:strCache>
                <c:ptCount val="1"/>
                <c:pt idx="0">
                  <c:v>SummerSchool</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Schedules!$F$321:$AC$321</c:f>
              <c:numCache>
                <c:formatCode>General</c:formatCode>
                <c:ptCount val="24"/>
                <c:pt idx="0">
                  <c:v>60</c:v>
                </c:pt>
                <c:pt idx="1">
                  <c:v>60</c:v>
                </c:pt>
                <c:pt idx="2">
                  <c:v>60</c:v>
                </c:pt>
                <c:pt idx="3">
                  <c:v>60</c:v>
                </c:pt>
                <c:pt idx="4">
                  <c:v>60</c:v>
                </c:pt>
                <c:pt idx="5">
                  <c:v>60</c:v>
                </c:pt>
                <c:pt idx="6">
                  <c:v>60</c:v>
                </c:pt>
                <c:pt idx="7">
                  <c:v>70</c:v>
                </c:pt>
                <c:pt idx="8">
                  <c:v>70</c:v>
                </c:pt>
                <c:pt idx="9">
                  <c:v>70</c:v>
                </c:pt>
                <c:pt idx="10">
                  <c:v>70</c:v>
                </c:pt>
                <c:pt idx="11">
                  <c:v>70</c:v>
                </c:pt>
                <c:pt idx="12">
                  <c:v>70</c:v>
                </c:pt>
                <c:pt idx="13">
                  <c:v>70</c:v>
                </c:pt>
                <c:pt idx="14">
                  <c:v>60</c:v>
                </c:pt>
                <c:pt idx="15">
                  <c:v>60</c:v>
                </c:pt>
                <c:pt idx="16">
                  <c:v>60</c:v>
                </c:pt>
                <c:pt idx="17">
                  <c:v>60</c:v>
                </c:pt>
                <c:pt idx="18">
                  <c:v>60</c:v>
                </c:pt>
                <c:pt idx="19">
                  <c:v>60</c:v>
                </c:pt>
                <c:pt idx="20">
                  <c:v>60</c:v>
                </c:pt>
                <c:pt idx="21">
                  <c:v>60</c:v>
                </c:pt>
                <c:pt idx="22">
                  <c:v>60</c:v>
                </c:pt>
                <c:pt idx="23">
                  <c:v>60</c:v>
                </c:pt>
              </c:numCache>
            </c:numRef>
          </c:val>
          <c:smooth val="0"/>
          <c:extLst>
            <c:ext xmlns:c16="http://schemas.microsoft.com/office/drawing/2014/chart" uri="{C3380CC4-5D6E-409C-BE32-E72D297353CC}">
              <c16:uniqueId val="{00000004-0453-462A-B6A0-E929C031E65C}"/>
            </c:ext>
          </c:extLst>
        </c:ser>
        <c:dLbls>
          <c:showLegendKey val="0"/>
          <c:showVal val="0"/>
          <c:showCatName val="0"/>
          <c:showSerName val="0"/>
          <c:showPercent val="0"/>
          <c:showBubbleSize val="0"/>
        </c:dLbls>
        <c:smooth val="0"/>
        <c:axId val="911863984"/>
        <c:axId val="533955472"/>
      </c:lineChart>
      <c:catAx>
        <c:axId val="911863984"/>
        <c:scaling>
          <c:orientation val="minMax"/>
        </c:scaling>
        <c:delete val="0"/>
        <c:axPos val="b"/>
        <c:numFmt formatCode="General" sourceLinked="1"/>
        <c:majorTickMark val="out"/>
        <c:minorTickMark val="none"/>
        <c:tickLblPos val="nextTo"/>
        <c:crossAx val="533955472"/>
        <c:crosses val="autoZero"/>
        <c:auto val="1"/>
        <c:lblAlgn val="ctr"/>
        <c:lblOffset val="100"/>
        <c:noMultiLvlLbl val="0"/>
      </c:catAx>
      <c:valAx>
        <c:axId val="533955472"/>
        <c:scaling>
          <c:orientation val="minMax"/>
          <c:max val="90"/>
          <c:min val="50"/>
        </c:scaling>
        <c:delete val="0"/>
        <c:axPos val="l"/>
        <c:majorGridlines/>
        <c:numFmt formatCode="General" sourceLinked="1"/>
        <c:majorTickMark val="out"/>
        <c:minorTickMark val="none"/>
        <c:tickLblPos val="nextTo"/>
        <c:crossAx val="911863984"/>
        <c:crosses val="autoZero"/>
        <c:crossBetween val="between"/>
        <c:majorUnit val="10"/>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ClgSetpt</a:t>
            </a:r>
          </a:p>
        </c:rich>
      </c:tx>
      <c:overlay val="0"/>
    </c:title>
    <c:autoTitleDeleted val="0"/>
    <c:plotArea>
      <c:layout/>
      <c:lineChart>
        <c:grouping val="standard"/>
        <c:varyColors val="0"/>
        <c:ser>
          <c:idx val="0"/>
          <c:order val="0"/>
          <c:tx>
            <c:strRef>
              <c:f>Schedules!$E$322</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Schedules!$F$322:$AC$322</c:f>
              <c:numCache>
                <c:formatCode>General</c:formatCode>
                <c:ptCount val="24"/>
                <c:pt idx="0">
                  <c:v>85</c:v>
                </c:pt>
                <c:pt idx="1">
                  <c:v>85</c:v>
                </c:pt>
                <c:pt idx="2">
                  <c:v>85</c:v>
                </c:pt>
                <c:pt idx="3">
                  <c:v>85</c:v>
                </c:pt>
                <c:pt idx="4">
                  <c:v>85</c:v>
                </c:pt>
                <c:pt idx="5">
                  <c:v>85</c:v>
                </c:pt>
                <c:pt idx="6">
                  <c:v>75</c:v>
                </c:pt>
                <c:pt idx="7">
                  <c:v>75</c:v>
                </c:pt>
                <c:pt idx="8">
                  <c:v>75</c:v>
                </c:pt>
                <c:pt idx="9">
                  <c:v>75</c:v>
                </c:pt>
                <c:pt idx="10">
                  <c:v>75</c:v>
                </c:pt>
                <c:pt idx="11">
                  <c:v>75</c:v>
                </c:pt>
                <c:pt idx="12">
                  <c:v>75</c:v>
                </c:pt>
                <c:pt idx="13">
                  <c:v>75</c:v>
                </c:pt>
                <c:pt idx="14">
                  <c:v>75</c:v>
                </c:pt>
                <c:pt idx="15">
                  <c:v>75</c:v>
                </c:pt>
                <c:pt idx="16">
                  <c:v>75</c:v>
                </c:pt>
                <c:pt idx="17">
                  <c:v>75</c:v>
                </c:pt>
                <c:pt idx="18">
                  <c:v>75</c:v>
                </c:pt>
                <c:pt idx="19">
                  <c:v>75</c:v>
                </c:pt>
                <c:pt idx="20">
                  <c:v>75</c:v>
                </c:pt>
                <c:pt idx="21">
                  <c:v>75</c:v>
                </c:pt>
                <c:pt idx="22">
                  <c:v>85</c:v>
                </c:pt>
                <c:pt idx="23">
                  <c:v>85</c:v>
                </c:pt>
              </c:numCache>
            </c:numRef>
          </c:val>
          <c:smooth val="0"/>
          <c:extLst>
            <c:ext xmlns:c16="http://schemas.microsoft.com/office/drawing/2014/chart" uri="{C3380CC4-5D6E-409C-BE32-E72D297353CC}">
              <c16:uniqueId val="{00000001-CE3C-4D74-A446-1C60F1CB9665}"/>
            </c:ext>
          </c:extLst>
        </c:ser>
        <c:ser>
          <c:idx val="1"/>
          <c:order val="1"/>
          <c:tx>
            <c:strRef>
              <c:f>Schedules!$E$323</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Schedules!$F$323:$AC$323</c:f>
              <c:numCache>
                <c:formatCode>General</c:formatCode>
                <c:ptCount val="24"/>
                <c:pt idx="0">
                  <c:v>85</c:v>
                </c:pt>
                <c:pt idx="1">
                  <c:v>85</c:v>
                </c:pt>
                <c:pt idx="2">
                  <c:v>85</c:v>
                </c:pt>
                <c:pt idx="3">
                  <c:v>85</c:v>
                </c:pt>
                <c:pt idx="4">
                  <c:v>85</c:v>
                </c:pt>
                <c:pt idx="5">
                  <c:v>85</c:v>
                </c:pt>
                <c:pt idx="6">
                  <c:v>85</c:v>
                </c:pt>
                <c:pt idx="7">
                  <c:v>75</c:v>
                </c:pt>
                <c:pt idx="8">
                  <c:v>75</c:v>
                </c:pt>
                <c:pt idx="9">
                  <c:v>75</c:v>
                </c:pt>
                <c:pt idx="10">
                  <c:v>75</c:v>
                </c:pt>
                <c:pt idx="11">
                  <c:v>75</c:v>
                </c:pt>
                <c:pt idx="12">
                  <c:v>75</c:v>
                </c:pt>
                <c:pt idx="13">
                  <c:v>85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2-CE3C-4D74-A446-1C60F1CB9665}"/>
            </c:ext>
          </c:extLst>
        </c:ser>
        <c:ser>
          <c:idx val="2"/>
          <c:order val="2"/>
          <c:tx>
            <c:strRef>
              <c:f>Schedules!$E$324</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Schedules!$F$324:$AC$324</c:f>
              <c:numCache>
                <c:formatCode>General</c:formatCode>
                <c:ptCount val="24"/>
                <c:pt idx="0">
                  <c:v>85</c:v>
                </c:pt>
                <c:pt idx="1">
                  <c:v>85</c:v>
                </c:pt>
                <c:pt idx="2">
                  <c:v>85</c:v>
                </c:pt>
                <c:pt idx="3">
                  <c:v>85</c:v>
                </c:pt>
                <c:pt idx="4">
                  <c:v>85</c:v>
                </c:pt>
                <c:pt idx="5">
                  <c:v>85</c:v>
                </c:pt>
                <c:pt idx="6">
                  <c:v>85</c:v>
                </c:pt>
                <c:pt idx="7">
                  <c:v>85</c:v>
                </c:pt>
                <c:pt idx="8">
                  <c:v>85</c:v>
                </c:pt>
                <c:pt idx="9">
                  <c:v>85</c:v>
                </c:pt>
                <c:pt idx="10">
                  <c:v>85</c:v>
                </c:pt>
                <c:pt idx="11">
                  <c:v>85</c:v>
                </c:pt>
                <c:pt idx="12">
                  <c:v>85</c:v>
                </c:pt>
                <c:pt idx="13">
                  <c:v>85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3-CE3C-4D74-A446-1C60F1CB9665}"/>
            </c:ext>
          </c:extLst>
        </c:ser>
        <c:ser>
          <c:idx val="3"/>
          <c:order val="3"/>
          <c:tx>
            <c:strRef>
              <c:f>Schedules!$E$325</c:f>
              <c:strCache>
                <c:ptCount val="1"/>
                <c:pt idx="0">
                  <c:v>SummerSchool</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Schedules!$F$325:$AC$325</c:f>
              <c:numCache>
                <c:formatCode>General</c:formatCode>
                <c:ptCount val="24"/>
                <c:pt idx="0">
                  <c:v>85</c:v>
                </c:pt>
                <c:pt idx="1">
                  <c:v>85</c:v>
                </c:pt>
                <c:pt idx="2">
                  <c:v>85</c:v>
                </c:pt>
                <c:pt idx="3">
                  <c:v>85</c:v>
                </c:pt>
                <c:pt idx="4">
                  <c:v>85</c:v>
                </c:pt>
                <c:pt idx="5">
                  <c:v>85</c:v>
                </c:pt>
                <c:pt idx="6">
                  <c:v>85</c:v>
                </c:pt>
                <c:pt idx="7">
                  <c:v>75</c:v>
                </c:pt>
                <c:pt idx="8">
                  <c:v>75</c:v>
                </c:pt>
                <c:pt idx="9">
                  <c:v>75</c:v>
                </c:pt>
                <c:pt idx="10">
                  <c:v>75</c:v>
                </c:pt>
                <c:pt idx="11">
                  <c:v>75</c:v>
                </c:pt>
                <c:pt idx="12">
                  <c:v>75</c:v>
                </c:pt>
                <c:pt idx="13">
                  <c:v>75</c:v>
                </c:pt>
                <c:pt idx="14">
                  <c:v>85</c:v>
                </c:pt>
                <c:pt idx="15">
                  <c:v>85</c:v>
                </c:pt>
                <c:pt idx="16">
                  <c:v>85</c:v>
                </c:pt>
                <c:pt idx="17">
                  <c:v>85</c:v>
                </c:pt>
                <c:pt idx="18">
                  <c:v>85</c:v>
                </c:pt>
                <c:pt idx="19">
                  <c:v>85</c:v>
                </c:pt>
                <c:pt idx="20">
                  <c:v>85</c:v>
                </c:pt>
                <c:pt idx="21">
                  <c:v>85</c:v>
                </c:pt>
                <c:pt idx="22">
                  <c:v>85</c:v>
                </c:pt>
                <c:pt idx="23">
                  <c:v>85</c:v>
                </c:pt>
              </c:numCache>
            </c:numRef>
          </c:val>
          <c:smooth val="0"/>
          <c:extLst>
            <c:ext xmlns:c16="http://schemas.microsoft.com/office/drawing/2014/chart" uri="{C3380CC4-5D6E-409C-BE32-E72D297353CC}">
              <c16:uniqueId val="{00000004-CE3C-4D74-A446-1C60F1CB9665}"/>
            </c:ext>
          </c:extLst>
        </c:ser>
        <c:dLbls>
          <c:showLegendKey val="0"/>
          <c:showVal val="0"/>
          <c:showCatName val="0"/>
          <c:showSerName val="0"/>
          <c:showPercent val="0"/>
          <c:showBubbleSize val="0"/>
        </c:dLbls>
        <c:smooth val="0"/>
        <c:axId val="911880224"/>
        <c:axId val="533748112"/>
      </c:lineChart>
      <c:catAx>
        <c:axId val="911880224"/>
        <c:scaling>
          <c:orientation val="minMax"/>
        </c:scaling>
        <c:delete val="0"/>
        <c:axPos val="b"/>
        <c:numFmt formatCode="General" sourceLinked="1"/>
        <c:majorTickMark val="out"/>
        <c:minorTickMark val="none"/>
        <c:tickLblPos val="nextTo"/>
        <c:crossAx val="533748112"/>
        <c:crosses val="autoZero"/>
        <c:auto val="1"/>
        <c:lblAlgn val="ctr"/>
        <c:lblOffset val="100"/>
        <c:noMultiLvlLbl val="0"/>
      </c:catAx>
      <c:valAx>
        <c:axId val="533748112"/>
        <c:scaling>
          <c:orientation val="minMax"/>
          <c:max val="90"/>
          <c:min val="50"/>
        </c:scaling>
        <c:delete val="0"/>
        <c:axPos val="l"/>
        <c:majorGridlines/>
        <c:numFmt formatCode="General" sourceLinked="1"/>
        <c:majorTickMark val="out"/>
        <c:minorTickMark val="none"/>
        <c:tickLblPos val="nextTo"/>
        <c:crossAx val="911880224"/>
        <c:crosses val="autoZero"/>
        <c:crossBetween val="between"/>
        <c:majorUnit val="10"/>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a:pPr>
            <a:r>
              <a:rPr lang="en-US"/>
              <a:t>Infiltration</a:t>
            </a:r>
          </a:p>
        </c:rich>
      </c:tx>
      <c:overlay val="0"/>
    </c:title>
    <c:autoTitleDeleted val="0"/>
    <c:plotArea>
      <c:layout/>
      <c:lineChart>
        <c:grouping val="standard"/>
        <c:varyColors val="0"/>
        <c:ser>
          <c:idx val="0"/>
          <c:order val="0"/>
          <c:tx>
            <c:strRef>
              <c:f>Schedules!$E$326</c:f>
              <c:strCache>
                <c:ptCount val="1"/>
                <c:pt idx="0">
                  <c:v>Weekday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Schedules!$F$326:$AC$326</c:f>
              <c:numCache>
                <c:formatCode>General</c:formatCode>
                <c:ptCount val="24"/>
                <c:pt idx="0">
                  <c:v>1</c:v>
                </c:pt>
                <c:pt idx="1">
                  <c:v>1</c:v>
                </c:pt>
                <c:pt idx="2">
                  <c:v>1</c:v>
                </c:pt>
                <c:pt idx="3">
                  <c:v>1</c:v>
                </c:pt>
                <c:pt idx="4">
                  <c:v>1</c:v>
                </c:pt>
                <c:pt idx="5">
                  <c:v>1</c:v>
                </c:pt>
                <c:pt idx="6">
                  <c:v>0.25</c:v>
                </c:pt>
                <c:pt idx="7">
                  <c:v>0.25</c:v>
                </c:pt>
                <c:pt idx="8">
                  <c:v>0.25</c:v>
                </c:pt>
                <c:pt idx="9">
                  <c:v>0.25</c:v>
                </c:pt>
                <c:pt idx="10">
                  <c:v>0.25</c:v>
                </c:pt>
                <c:pt idx="11">
                  <c:v>0.25</c:v>
                </c:pt>
                <c:pt idx="12">
                  <c:v>0.25</c:v>
                </c:pt>
                <c:pt idx="13">
                  <c:v>0.25</c:v>
                </c:pt>
                <c:pt idx="14">
                  <c:v>0.25</c:v>
                </c:pt>
                <c:pt idx="15">
                  <c:v>0.25</c:v>
                </c:pt>
                <c:pt idx="16">
                  <c:v>0.25</c:v>
                </c:pt>
                <c:pt idx="17">
                  <c:v>0.25</c:v>
                </c:pt>
                <c:pt idx="18">
                  <c:v>0.25</c:v>
                </c:pt>
                <c:pt idx="19">
                  <c:v>0.25</c:v>
                </c:pt>
                <c:pt idx="20">
                  <c:v>0.25</c:v>
                </c:pt>
                <c:pt idx="21">
                  <c:v>0.25</c:v>
                </c:pt>
                <c:pt idx="22">
                  <c:v>1</c:v>
                </c:pt>
                <c:pt idx="23">
                  <c:v>1</c:v>
                </c:pt>
              </c:numCache>
            </c:numRef>
          </c:val>
          <c:smooth val="0"/>
          <c:extLst>
            <c:ext xmlns:c16="http://schemas.microsoft.com/office/drawing/2014/chart" uri="{C3380CC4-5D6E-409C-BE32-E72D297353CC}">
              <c16:uniqueId val="{00000001-9ADF-4B8C-A9E2-8639FEC9C610}"/>
            </c:ext>
          </c:extLst>
        </c:ser>
        <c:ser>
          <c:idx val="1"/>
          <c:order val="1"/>
          <c:tx>
            <c:strRef>
              <c:f>Schedules!$E$327</c:f>
              <c:strCache>
                <c:ptCount val="1"/>
                <c:pt idx="0">
                  <c:v>Saturday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Schedules!$F$327:$AC$327</c:f>
              <c:numCache>
                <c:formatCode>General</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9ADF-4B8C-A9E2-8639FEC9C610}"/>
            </c:ext>
          </c:extLst>
        </c:ser>
        <c:ser>
          <c:idx val="2"/>
          <c:order val="2"/>
          <c:tx>
            <c:strRef>
              <c:f>Schedules!$E$328</c:f>
              <c:strCache>
                <c:ptCount val="1"/>
                <c:pt idx="0">
                  <c:v>Sunday</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Schedules!$F$328:$AC$328</c:f>
              <c:numCache>
                <c:formatCode>General</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3-9ADF-4B8C-A9E2-8639FEC9C610}"/>
            </c:ext>
          </c:extLst>
        </c:ser>
        <c:ser>
          <c:idx val="3"/>
          <c:order val="3"/>
          <c:tx>
            <c:strRef>
              <c:f>Schedules!$E$329</c:f>
              <c:strCache>
                <c:ptCount val="1"/>
                <c:pt idx="0">
                  <c:v>SummerSchool</c:v>
                </c:pt>
              </c:strCache>
            </c:strRef>
          </c:tx>
          <c:marker>
            <c:symbol val="none"/>
          </c:marker>
          <c:cat>
            <c:numRef>
              <c:f>Schedules!$F$3:$AC$3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Schedules!$F$329:$AC$329</c:f>
              <c:numCache>
                <c:formatCode>General</c:formatCode>
                <c:ptCount val="24"/>
                <c:pt idx="0">
                  <c:v>1</c:v>
                </c:pt>
                <c:pt idx="1">
                  <c:v>1</c:v>
                </c:pt>
                <c:pt idx="2">
                  <c:v>1</c:v>
                </c:pt>
                <c:pt idx="3">
                  <c:v>1</c:v>
                </c:pt>
                <c:pt idx="4">
                  <c:v>1</c:v>
                </c:pt>
                <c:pt idx="5">
                  <c:v>1</c:v>
                </c:pt>
                <c:pt idx="6">
                  <c:v>1</c:v>
                </c:pt>
                <c:pt idx="7">
                  <c:v>0.25</c:v>
                </c:pt>
                <c:pt idx="8">
                  <c:v>0.25</c:v>
                </c:pt>
                <c:pt idx="9">
                  <c:v>0.25</c:v>
                </c:pt>
                <c:pt idx="10">
                  <c:v>0.25</c:v>
                </c:pt>
                <c:pt idx="11">
                  <c:v>0.25</c:v>
                </c:pt>
                <c:pt idx="12">
                  <c:v>0.25</c:v>
                </c:pt>
                <c:pt idx="13">
                  <c:v>0.25</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4-9ADF-4B8C-A9E2-8639FEC9C610}"/>
            </c:ext>
          </c:extLst>
        </c:ser>
        <c:dLbls>
          <c:showLegendKey val="0"/>
          <c:showVal val="0"/>
          <c:showCatName val="0"/>
          <c:showSerName val="0"/>
          <c:showPercent val="0"/>
          <c:showBubbleSize val="0"/>
        </c:dLbls>
        <c:smooth val="0"/>
        <c:axId val="911911312"/>
        <c:axId val="533776432"/>
      </c:lineChart>
      <c:catAx>
        <c:axId val="911911312"/>
        <c:scaling>
          <c:orientation val="minMax"/>
        </c:scaling>
        <c:delete val="0"/>
        <c:axPos val="b"/>
        <c:numFmt formatCode="General" sourceLinked="1"/>
        <c:majorTickMark val="out"/>
        <c:minorTickMark val="none"/>
        <c:tickLblPos val="nextTo"/>
        <c:crossAx val="533776432"/>
        <c:crosses val="autoZero"/>
        <c:auto val="1"/>
        <c:lblAlgn val="ctr"/>
        <c:lblOffset val="100"/>
        <c:noMultiLvlLbl val="0"/>
      </c:catAx>
      <c:valAx>
        <c:axId val="533776432"/>
        <c:scaling>
          <c:orientation val="minMax"/>
          <c:max val="1"/>
          <c:min val="0"/>
        </c:scaling>
        <c:delete val="0"/>
        <c:axPos val="l"/>
        <c:majorGridlines/>
        <c:numFmt formatCode="General" sourceLinked="1"/>
        <c:majorTickMark val="out"/>
        <c:minorTickMark val="none"/>
        <c:tickLblPos val="nextTo"/>
        <c:crossAx val="911911312"/>
        <c:crosses val="autoZero"/>
        <c:crossBetween val="between"/>
        <c:majorUnit val="0.2"/>
      </c:valAx>
    </c:plotArea>
    <c:legend>
      <c:legendPos val="r"/>
      <c:overlay val="0"/>
      <c:txPr>
        <a:bodyPr/>
        <a:lstStyle/>
        <a:p>
          <a:pPr>
            <a:defRPr sz="800"/>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School K8 CalBEM Prototype vs. CEUS 2022</a:t>
            </a:r>
          </a:p>
        </c:rich>
      </c:tx>
      <c:layout>
        <c:manualLayout>
          <c:xMode val="edge"/>
          <c:yMode val="edge"/>
          <c:x val="0.30244144420479152"/>
          <c:y val="1.4898146284043689E-2"/>
        </c:manualLayout>
      </c:layout>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1"/>
          <c:order val="0"/>
          <c:tx>
            <c:strRef>
              <c:f>'Energy Usage'!$U$2</c:f>
              <c:strCache>
                <c:ptCount val="1"/>
                <c:pt idx="0">
                  <c:v>Acceptable Range (25% Lower)</c:v>
                </c:pt>
              </c:strCache>
            </c:strRef>
          </c:tx>
          <c:spPr>
            <a:noFill/>
            <a:ln>
              <a:noFill/>
            </a:ln>
            <a:effectLst/>
          </c:spPr>
          <c:invertIfNegative val="0"/>
          <c:val>
            <c:numRef>
              <c:f>'Energy Usage'!$U$3:$U$18</c:f>
              <c:numCache>
                <c:formatCode>_(* #,##0.0_);_(* \(#,##0.0\);_(* "-"??_);_(@_)</c:formatCode>
                <c:ptCount val="16"/>
                <c:pt idx="0">
                  <c:v>41.523602714155238</c:v>
                </c:pt>
                <c:pt idx="1">
                  <c:v>35.919962275215113</c:v>
                </c:pt>
                <c:pt idx="2">
                  <c:v>75.071230511809588</c:v>
                </c:pt>
                <c:pt idx="3">
                  <c:v>79.965994768306444</c:v>
                </c:pt>
                <c:pt idx="4">
                  <c:v>44.361952887143737</c:v>
                </c:pt>
                <c:pt idx="5">
                  <c:v>61.760615902900255</c:v>
                </c:pt>
                <c:pt idx="6">
                  <c:v>66.415106974744731</c:v>
                </c:pt>
                <c:pt idx="7">
                  <c:v>77.581354122992636</c:v>
                </c:pt>
                <c:pt idx="8">
                  <c:v>89.363486838288381</c:v>
                </c:pt>
                <c:pt idx="9">
                  <c:v>50.564328156580558</c:v>
                </c:pt>
                <c:pt idx="10">
                  <c:v>51.6294397402757</c:v>
                </c:pt>
                <c:pt idx="11">
                  <c:v>64.190528461849567</c:v>
                </c:pt>
                <c:pt idx="12">
                  <c:v>43.301767595084279</c:v>
                </c:pt>
                <c:pt idx="13">
                  <c:v>51.376900852863784</c:v>
                </c:pt>
                <c:pt idx="14">
                  <c:v>35.786442116442558</c:v>
                </c:pt>
                <c:pt idx="15">
                  <c:v>50.682358795725669</c:v>
                </c:pt>
              </c:numCache>
            </c:numRef>
          </c:val>
          <c:extLst>
            <c:ext xmlns:c16="http://schemas.microsoft.com/office/drawing/2014/chart" uri="{C3380CC4-5D6E-409C-BE32-E72D297353CC}">
              <c16:uniqueId val="{00000000-462C-47F2-A8F3-462BF3129E8F}"/>
            </c:ext>
          </c:extLst>
        </c:ser>
        <c:ser>
          <c:idx val="2"/>
          <c:order val="1"/>
          <c:tx>
            <c:strRef>
              <c:f>'Energy Usage'!$V$2</c:f>
              <c:strCache>
                <c:ptCount val="1"/>
                <c:pt idx="0">
                  <c:v>CEUS 2022 Acceptable EUI Range </c:v>
                </c:pt>
              </c:strCache>
            </c:strRef>
          </c:tx>
          <c:spPr>
            <a:solidFill>
              <a:schemeClr val="accent4">
                <a:lumMod val="40000"/>
                <a:lumOff val="60000"/>
              </a:schemeClr>
            </a:solidFill>
            <a:ln>
              <a:solidFill>
                <a:schemeClr val="accent4">
                  <a:lumMod val="75000"/>
                </a:schemeClr>
              </a:solidFill>
            </a:ln>
            <a:effectLst/>
          </c:spPr>
          <c:invertIfNegative val="0"/>
          <c:val>
            <c:numRef>
              <c:f>'Energy Usage'!$V$3:$V$18</c:f>
              <c:numCache>
                <c:formatCode>_(* #,##0.0_);_(* \(#,##0.0\);_(* "-"??_);_(@_)</c:formatCode>
                <c:ptCount val="16"/>
                <c:pt idx="0">
                  <c:v>27.682401809436833</c:v>
                </c:pt>
                <c:pt idx="1">
                  <c:v>23.946641516810075</c:v>
                </c:pt>
                <c:pt idx="2">
                  <c:v>50.047487007873059</c:v>
                </c:pt>
                <c:pt idx="3">
                  <c:v>53.310663178870982</c:v>
                </c:pt>
                <c:pt idx="4">
                  <c:v>29.574635258095832</c:v>
                </c:pt>
                <c:pt idx="5">
                  <c:v>41.173743935266828</c:v>
                </c:pt>
                <c:pt idx="6">
                  <c:v>44.276737983163144</c:v>
                </c:pt>
                <c:pt idx="7">
                  <c:v>51.720902748661743</c:v>
                </c:pt>
                <c:pt idx="8">
                  <c:v>59.57565789219224</c:v>
                </c:pt>
                <c:pt idx="9">
                  <c:v>33.709552104387029</c:v>
                </c:pt>
                <c:pt idx="10">
                  <c:v>34.419626493517143</c:v>
                </c:pt>
                <c:pt idx="11">
                  <c:v>42.793685641233026</c:v>
                </c:pt>
                <c:pt idx="12">
                  <c:v>28.867845063389517</c:v>
                </c:pt>
                <c:pt idx="13">
                  <c:v>34.251267235242523</c:v>
                </c:pt>
                <c:pt idx="14">
                  <c:v>23.857628077628377</c:v>
                </c:pt>
                <c:pt idx="15">
                  <c:v>33.788239197150453</c:v>
                </c:pt>
              </c:numCache>
            </c:numRef>
          </c:val>
          <c:extLst>
            <c:ext xmlns:c16="http://schemas.microsoft.com/office/drawing/2014/chart" uri="{C3380CC4-5D6E-409C-BE32-E72D297353CC}">
              <c16:uniqueId val="{00000001-462C-47F2-A8F3-462BF3129E8F}"/>
            </c:ext>
          </c:extLst>
        </c:ser>
        <c:dLbls>
          <c:showLegendKey val="0"/>
          <c:showVal val="0"/>
          <c:showCatName val="0"/>
          <c:showSerName val="0"/>
          <c:showPercent val="0"/>
          <c:showBubbleSize val="0"/>
        </c:dLbls>
        <c:gapWidth val="150"/>
        <c:overlap val="100"/>
        <c:axId val="758910767"/>
        <c:axId val="758909327"/>
      </c:barChart>
      <c:scatterChart>
        <c:scatterStyle val="lineMarker"/>
        <c:varyColors val="0"/>
        <c:ser>
          <c:idx val="0"/>
          <c:order val="2"/>
          <c:tx>
            <c:strRef>
              <c:f>'Energy Usage'!$E$2</c:f>
              <c:strCache>
                <c:ptCount val="1"/>
                <c:pt idx="0">
                  <c:v>CalBEM Total  EUI (KBTU/ft²)</c:v>
                </c:pt>
              </c:strCache>
            </c:strRef>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0.0</c:formatCode>
                <c:ptCount val="16"/>
              </c:numCache>
            </c:numRef>
          </c:yVal>
          <c:smooth val="0"/>
          <c:extLst>
            <c:ext xmlns:c16="http://schemas.microsoft.com/office/drawing/2014/chart" uri="{C3380CC4-5D6E-409C-BE32-E72D297353CC}">
              <c16:uniqueId val="{00000002-462C-47F2-A8F3-462BF3129E8F}"/>
            </c:ext>
          </c:extLst>
        </c:ser>
        <c:ser>
          <c:idx val="3"/>
          <c:order val="3"/>
          <c:tx>
            <c:strRef>
              <c:f>'Energy Usage'!$H$2</c:f>
              <c:strCache>
                <c:ptCount val="1"/>
                <c:pt idx="0">
                  <c:v>New Construction  Total EUI (KBTU/ft²)</c:v>
                </c:pt>
              </c:strCache>
            </c:strRef>
          </c:tx>
          <c:spPr>
            <a:ln w="25400" cap="rnd">
              <a:noFill/>
              <a:round/>
            </a:ln>
            <a:effectLst/>
          </c:spPr>
          <c:marker>
            <c:symbol val="circle"/>
            <c:size val="5"/>
            <c:spPr>
              <a:solidFill>
                <a:schemeClr val="accent4"/>
              </a:solidFill>
              <a:ln w="9525">
                <a:solidFill>
                  <a:schemeClr val="accent4"/>
                </a:solidFill>
              </a:ln>
              <a:effectLst/>
            </c:spPr>
          </c:marker>
          <c:yVal>
            <c:numRef>
              <c:f>'Energy Usage'!$H$3:$H$18</c:f>
              <c:numCache>
                <c:formatCode>General</c:formatCode>
                <c:ptCount val="16"/>
              </c:numCache>
            </c:numRef>
          </c:yVal>
          <c:smooth val="0"/>
          <c:extLst>
            <c:ext xmlns:c16="http://schemas.microsoft.com/office/drawing/2014/chart" uri="{C3380CC4-5D6E-409C-BE32-E72D297353CC}">
              <c16:uniqueId val="{00000003-462C-47F2-A8F3-462BF3129E8F}"/>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Climate Zone</a:t>
                </a:r>
              </a:p>
            </c:rich>
          </c:tx>
          <c:layout>
            <c:manualLayout>
              <c:xMode val="edge"/>
              <c:yMode val="edge"/>
              <c:x val="0.48255556526229237"/>
              <c:y val="0.840378058580560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in val="1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10767"/>
        <c:crosses val="autoZero"/>
        <c:crossBetween val="between"/>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pPr>
      <a:endParaRPr lang="en-US"/>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School K8 CalBEM Prototype vs. National Average</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1"/>
          <c:order val="0"/>
          <c:tx>
            <c:strRef>
              <c:f>'Energy Usage'!$K$2</c:f>
              <c:strCache>
                <c:ptCount val="1"/>
                <c:pt idx="0">
                  <c:v>Acceptable Range 
(25% Lower)</c:v>
                </c:pt>
              </c:strCache>
            </c:strRef>
          </c:tx>
          <c:spPr>
            <a:noFill/>
            <a:ln>
              <a:noFill/>
            </a:ln>
            <a:effectLst/>
          </c:spPr>
          <c:invertIfNegative val="0"/>
          <c:val>
            <c:numRef>
              <c:f>'Energy Usage'!$K$3:$K$18</c:f>
              <c:numCache>
                <c:formatCode>0.0</c:formatCode>
                <c:ptCount val="16"/>
                <c:pt idx="0">
                  <c:v>29.025000000000002</c:v>
                </c:pt>
                <c:pt idx="1">
                  <c:v>25.724999999999998</c:v>
                </c:pt>
                <c:pt idx="2">
                  <c:v>23.1</c:v>
                </c:pt>
                <c:pt idx="3">
                  <c:v>29.625</c:v>
                </c:pt>
                <c:pt idx="4">
                  <c:v>22.274999999999999</c:v>
                </c:pt>
                <c:pt idx="5">
                  <c:v>23.85</c:v>
                </c:pt>
                <c:pt idx="6">
                  <c:v>24.599999999999998</c:v>
                </c:pt>
                <c:pt idx="7">
                  <c:v>28.950000000000003</c:v>
                </c:pt>
                <c:pt idx="8">
                  <c:v>28.875</c:v>
                </c:pt>
                <c:pt idx="9">
                  <c:v>31.650000000000002</c:v>
                </c:pt>
                <c:pt idx="10">
                  <c:v>35.775000000000006</c:v>
                </c:pt>
                <c:pt idx="11">
                  <c:v>31.200000000000003</c:v>
                </c:pt>
                <c:pt idx="12">
                  <c:v>37.200000000000003</c:v>
                </c:pt>
                <c:pt idx="13">
                  <c:v>36.599999999999994</c:v>
                </c:pt>
                <c:pt idx="14">
                  <c:v>49.349999999999994</c:v>
                </c:pt>
                <c:pt idx="15">
                  <c:v>33</c:v>
                </c:pt>
              </c:numCache>
            </c:numRef>
          </c:val>
          <c:extLst>
            <c:ext xmlns:c16="http://schemas.microsoft.com/office/drawing/2014/chart" uri="{C3380CC4-5D6E-409C-BE32-E72D297353CC}">
              <c16:uniqueId val="{00000000-F016-400D-BFE4-22E3EA1F5954}"/>
            </c:ext>
          </c:extLst>
        </c:ser>
        <c:ser>
          <c:idx val="2"/>
          <c:order val="1"/>
          <c:tx>
            <c:strRef>
              <c:f>'Energy Usage'!$L$2</c:f>
              <c:strCache>
                <c:ptCount val="1"/>
                <c:pt idx="0">
                  <c:v>National Average Acceptable EUI Range</c:v>
                </c:pt>
              </c:strCache>
            </c:strRef>
          </c:tx>
          <c:spPr>
            <a:solidFill>
              <a:srgbClr val="CCCCFF"/>
            </a:solidFill>
            <a:ln>
              <a:solidFill>
                <a:srgbClr val="8238BA"/>
              </a:solidFill>
            </a:ln>
            <a:effectLst/>
          </c:spPr>
          <c:invertIfNegative val="0"/>
          <c:val>
            <c:numRef>
              <c:f>'Energy Usage'!$L$3:$L$18</c:f>
              <c:numCache>
                <c:formatCode>0.0</c:formatCode>
                <c:ptCount val="16"/>
                <c:pt idx="0">
                  <c:v>19.349999999999998</c:v>
                </c:pt>
                <c:pt idx="1">
                  <c:v>17.150000000000002</c:v>
                </c:pt>
                <c:pt idx="2">
                  <c:v>15.399999999999999</c:v>
                </c:pt>
                <c:pt idx="3">
                  <c:v>19.75</c:v>
                </c:pt>
                <c:pt idx="4">
                  <c:v>14.850000000000001</c:v>
                </c:pt>
                <c:pt idx="5">
                  <c:v>15.899999999999999</c:v>
                </c:pt>
                <c:pt idx="6">
                  <c:v>16.400000000000002</c:v>
                </c:pt>
                <c:pt idx="7">
                  <c:v>19.299999999999997</c:v>
                </c:pt>
                <c:pt idx="8">
                  <c:v>19.25</c:v>
                </c:pt>
                <c:pt idx="9">
                  <c:v>21.099999999999998</c:v>
                </c:pt>
                <c:pt idx="10">
                  <c:v>23.849999999999994</c:v>
                </c:pt>
                <c:pt idx="11">
                  <c:v>20.799999999999997</c:v>
                </c:pt>
                <c:pt idx="12">
                  <c:v>24.799999999999997</c:v>
                </c:pt>
                <c:pt idx="13">
                  <c:v>24.400000000000006</c:v>
                </c:pt>
                <c:pt idx="14">
                  <c:v>32.900000000000006</c:v>
                </c:pt>
                <c:pt idx="15">
                  <c:v>22</c:v>
                </c:pt>
              </c:numCache>
            </c:numRef>
          </c:val>
          <c:extLst>
            <c:ext xmlns:c16="http://schemas.microsoft.com/office/drawing/2014/chart" uri="{C3380CC4-5D6E-409C-BE32-E72D297353CC}">
              <c16:uniqueId val="{00000001-F016-400D-BFE4-22E3EA1F5954}"/>
            </c:ext>
          </c:extLst>
        </c:ser>
        <c:dLbls>
          <c:showLegendKey val="0"/>
          <c:showVal val="0"/>
          <c:showCatName val="0"/>
          <c:showSerName val="0"/>
          <c:showPercent val="0"/>
          <c:showBubbleSize val="0"/>
        </c:dLbls>
        <c:gapWidth val="150"/>
        <c:overlap val="100"/>
        <c:axId val="758910767"/>
        <c:axId val="758909327"/>
      </c:barChart>
      <c:scatterChart>
        <c:scatterStyle val="lineMarker"/>
        <c:varyColors val="0"/>
        <c:ser>
          <c:idx val="0"/>
          <c:order val="2"/>
          <c:tx>
            <c:strRef>
              <c:f>'Energy Usage'!$E$2</c:f>
              <c:strCache>
                <c:ptCount val="1"/>
                <c:pt idx="0">
                  <c:v>CalBEM Total  EUI (KBTU/ft²)</c:v>
                </c:pt>
              </c:strCache>
            </c:strRef>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0.0</c:formatCode>
                <c:ptCount val="16"/>
              </c:numCache>
            </c:numRef>
          </c:yVal>
          <c:smooth val="0"/>
          <c:extLst>
            <c:ext xmlns:c16="http://schemas.microsoft.com/office/drawing/2014/chart" uri="{C3380CC4-5D6E-409C-BE32-E72D297353CC}">
              <c16:uniqueId val="{00000002-F016-400D-BFE4-22E3EA1F5954}"/>
            </c:ext>
          </c:extLst>
        </c:ser>
        <c:ser>
          <c:idx val="3"/>
          <c:order val="3"/>
          <c:tx>
            <c:strRef>
              <c:f>'Energy Usage'!$H$2</c:f>
              <c:strCache>
                <c:ptCount val="1"/>
                <c:pt idx="0">
                  <c:v>New Construction  Total EUI (KBTU/ft²)</c:v>
                </c:pt>
              </c:strCache>
            </c:strRef>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General</c:formatCode>
                <c:ptCount val="16"/>
              </c:numCache>
            </c:numRef>
          </c:yVal>
          <c:smooth val="0"/>
          <c:extLst>
            <c:ext xmlns:c16="http://schemas.microsoft.com/office/drawing/2014/chart" uri="{C3380CC4-5D6E-409C-BE32-E72D297353CC}">
              <c16:uniqueId val="{00000003-F016-400D-BFE4-22E3EA1F5954}"/>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Climate Zone</a:t>
                </a:r>
              </a:p>
            </c:rich>
          </c:tx>
          <c:layout>
            <c:manualLayout>
              <c:xMode val="edge"/>
              <c:yMode val="edge"/>
              <c:x val="0.48255556526229237"/>
              <c:y val="0.840378058580560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10767"/>
        <c:crosses val="autoZero"/>
        <c:crossBetween val="between"/>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26" Type="http://schemas.openxmlformats.org/officeDocument/2006/relationships/chart" Target="../charts/chart26.xml"/><Relationship Id="rId21" Type="http://schemas.openxmlformats.org/officeDocument/2006/relationships/chart" Target="../charts/chart21.xml"/><Relationship Id="rId42" Type="http://schemas.openxmlformats.org/officeDocument/2006/relationships/chart" Target="../charts/chart42.xml"/><Relationship Id="rId47" Type="http://schemas.openxmlformats.org/officeDocument/2006/relationships/chart" Target="../charts/chart47.xml"/><Relationship Id="rId63" Type="http://schemas.openxmlformats.org/officeDocument/2006/relationships/chart" Target="../charts/chart63.xml"/><Relationship Id="rId68" Type="http://schemas.openxmlformats.org/officeDocument/2006/relationships/chart" Target="../charts/chart68.xml"/><Relationship Id="rId2" Type="http://schemas.openxmlformats.org/officeDocument/2006/relationships/chart" Target="../charts/chart2.xml"/><Relationship Id="rId16" Type="http://schemas.openxmlformats.org/officeDocument/2006/relationships/chart" Target="../charts/chart16.xml"/><Relationship Id="rId29" Type="http://schemas.openxmlformats.org/officeDocument/2006/relationships/chart" Target="../charts/chart29.xml"/><Relationship Id="rId11" Type="http://schemas.openxmlformats.org/officeDocument/2006/relationships/chart" Target="../charts/chart11.xml"/><Relationship Id="rId24" Type="http://schemas.openxmlformats.org/officeDocument/2006/relationships/chart" Target="../charts/chart24.xml"/><Relationship Id="rId32" Type="http://schemas.openxmlformats.org/officeDocument/2006/relationships/chart" Target="../charts/chart32.xml"/><Relationship Id="rId37" Type="http://schemas.openxmlformats.org/officeDocument/2006/relationships/chart" Target="../charts/chart37.xml"/><Relationship Id="rId40" Type="http://schemas.openxmlformats.org/officeDocument/2006/relationships/chart" Target="../charts/chart40.xml"/><Relationship Id="rId45" Type="http://schemas.openxmlformats.org/officeDocument/2006/relationships/chart" Target="../charts/chart45.xml"/><Relationship Id="rId53" Type="http://schemas.openxmlformats.org/officeDocument/2006/relationships/chart" Target="../charts/chart53.xml"/><Relationship Id="rId58" Type="http://schemas.openxmlformats.org/officeDocument/2006/relationships/chart" Target="../charts/chart58.xml"/><Relationship Id="rId66" Type="http://schemas.openxmlformats.org/officeDocument/2006/relationships/chart" Target="../charts/chart66.xml"/><Relationship Id="rId5" Type="http://schemas.openxmlformats.org/officeDocument/2006/relationships/chart" Target="../charts/chart5.xml"/><Relationship Id="rId61" Type="http://schemas.openxmlformats.org/officeDocument/2006/relationships/chart" Target="../charts/chart61.xml"/><Relationship Id="rId19" Type="http://schemas.openxmlformats.org/officeDocument/2006/relationships/chart" Target="../charts/chart19.xml"/><Relationship Id="rId14" Type="http://schemas.openxmlformats.org/officeDocument/2006/relationships/chart" Target="../charts/chart14.xml"/><Relationship Id="rId22" Type="http://schemas.openxmlformats.org/officeDocument/2006/relationships/chart" Target="../charts/chart22.xml"/><Relationship Id="rId27" Type="http://schemas.openxmlformats.org/officeDocument/2006/relationships/chart" Target="../charts/chart27.xml"/><Relationship Id="rId30" Type="http://schemas.openxmlformats.org/officeDocument/2006/relationships/chart" Target="../charts/chart30.xml"/><Relationship Id="rId35" Type="http://schemas.openxmlformats.org/officeDocument/2006/relationships/chart" Target="../charts/chart35.xml"/><Relationship Id="rId43" Type="http://schemas.openxmlformats.org/officeDocument/2006/relationships/chart" Target="../charts/chart43.xml"/><Relationship Id="rId48" Type="http://schemas.openxmlformats.org/officeDocument/2006/relationships/chart" Target="../charts/chart48.xml"/><Relationship Id="rId56" Type="http://schemas.openxmlformats.org/officeDocument/2006/relationships/chart" Target="../charts/chart56.xml"/><Relationship Id="rId64" Type="http://schemas.openxmlformats.org/officeDocument/2006/relationships/chart" Target="../charts/chart64.xml"/><Relationship Id="rId69" Type="http://schemas.openxmlformats.org/officeDocument/2006/relationships/chart" Target="../charts/chart69.xml"/><Relationship Id="rId8" Type="http://schemas.openxmlformats.org/officeDocument/2006/relationships/chart" Target="../charts/chart8.xml"/><Relationship Id="rId51" Type="http://schemas.openxmlformats.org/officeDocument/2006/relationships/chart" Target="../charts/chart51.xml"/><Relationship Id="rId72" Type="http://schemas.openxmlformats.org/officeDocument/2006/relationships/chart" Target="../charts/chart72.xml"/><Relationship Id="rId3" Type="http://schemas.openxmlformats.org/officeDocument/2006/relationships/chart" Target="../charts/chart3.xml"/><Relationship Id="rId12" Type="http://schemas.openxmlformats.org/officeDocument/2006/relationships/chart" Target="../charts/chart12.xml"/><Relationship Id="rId17" Type="http://schemas.openxmlformats.org/officeDocument/2006/relationships/chart" Target="../charts/chart17.xml"/><Relationship Id="rId25" Type="http://schemas.openxmlformats.org/officeDocument/2006/relationships/chart" Target="../charts/chart25.xml"/><Relationship Id="rId33" Type="http://schemas.openxmlformats.org/officeDocument/2006/relationships/chart" Target="../charts/chart33.xml"/><Relationship Id="rId38" Type="http://schemas.openxmlformats.org/officeDocument/2006/relationships/chart" Target="../charts/chart38.xml"/><Relationship Id="rId46" Type="http://schemas.openxmlformats.org/officeDocument/2006/relationships/chart" Target="../charts/chart46.xml"/><Relationship Id="rId59" Type="http://schemas.openxmlformats.org/officeDocument/2006/relationships/chart" Target="../charts/chart59.xml"/><Relationship Id="rId67" Type="http://schemas.openxmlformats.org/officeDocument/2006/relationships/chart" Target="../charts/chart67.xml"/><Relationship Id="rId20" Type="http://schemas.openxmlformats.org/officeDocument/2006/relationships/chart" Target="../charts/chart20.xml"/><Relationship Id="rId41" Type="http://schemas.openxmlformats.org/officeDocument/2006/relationships/chart" Target="../charts/chart41.xml"/><Relationship Id="rId54" Type="http://schemas.openxmlformats.org/officeDocument/2006/relationships/chart" Target="../charts/chart54.xml"/><Relationship Id="rId62" Type="http://schemas.openxmlformats.org/officeDocument/2006/relationships/chart" Target="../charts/chart62.xml"/><Relationship Id="rId70" Type="http://schemas.openxmlformats.org/officeDocument/2006/relationships/chart" Target="../charts/chart70.xml"/><Relationship Id="rId1" Type="http://schemas.openxmlformats.org/officeDocument/2006/relationships/chart" Target="../charts/chart1.xml"/><Relationship Id="rId6" Type="http://schemas.openxmlformats.org/officeDocument/2006/relationships/chart" Target="../charts/chart6.xml"/><Relationship Id="rId15" Type="http://schemas.openxmlformats.org/officeDocument/2006/relationships/chart" Target="../charts/chart15.xml"/><Relationship Id="rId23" Type="http://schemas.openxmlformats.org/officeDocument/2006/relationships/chart" Target="../charts/chart23.xml"/><Relationship Id="rId28" Type="http://schemas.openxmlformats.org/officeDocument/2006/relationships/chart" Target="../charts/chart28.xml"/><Relationship Id="rId36" Type="http://schemas.openxmlformats.org/officeDocument/2006/relationships/chart" Target="../charts/chart36.xml"/><Relationship Id="rId49" Type="http://schemas.openxmlformats.org/officeDocument/2006/relationships/chart" Target="../charts/chart49.xml"/><Relationship Id="rId57" Type="http://schemas.openxmlformats.org/officeDocument/2006/relationships/chart" Target="../charts/chart57.xml"/><Relationship Id="rId10" Type="http://schemas.openxmlformats.org/officeDocument/2006/relationships/chart" Target="../charts/chart10.xml"/><Relationship Id="rId31" Type="http://schemas.openxmlformats.org/officeDocument/2006/relationships/chart" Target="../charts/chart31.xml"/><Relationship Id="rId44" Type="http://schemas.openxmlformats.org/officeDocument/2006/relationships/chart" Target="../charts/chart44.xml"/><Relationship Id="rId52" Type="http://schemas.openxmlformats.org/officeDocument/2006/relationships/chart" Target="../charts/chart52.xml"/><Relationship Id="rId60" Type="http://schemas.openxmlformats.org/officeDocument/2006/relationships/chart" Target="../charts/chart60.xml"/><Relationship Id="rId65" Type="http://schemas.openxmlformats.org/officeDocument/2006/relationships/chart" Target="../charts/chart65.xml"/><Relationship Id="rId73" Type="http://schemas.openxmlformats.org/officeDocument/2006/relationships/chart" Target="../charts/chart73.xml"/><Relationship Id="rId4" Type="http://schemas.openxmlformats.org/officeDocument/2006/relationships/chart" Target="../charts/chart4.xml"/><Relationship Id="rId9" Type="http://schemas.openxmlformats.org/officeDocument/2006/relationships/chart" Target="../charts/chart9.xml"/><Relationship Id="rId13" Type="http://schemas.openxmlformats.org/officeDocument/2006/relationships/chart" Target="../charts/chart13.xml"/><Relationship Id="rId18" Type="http://schemas.openxmlformats.org/officeDocument/2006/relationships/chart" Target="../charts/chart18.xml"/><Relationship Id="rId39" Type="http://schemas.openxmlformats.org/officeDocument/2006/relationships/chart" Target="../charts/chart39.xml"/><Relationship Id="rId34" Type="http://schemas.openxmlformats.org/officeDocument/2006/relationships/chart" Target="../charts/chart34.xml"/><Relationship Id="rId50" Type="http://schemas.openxmlformats.org/officeDocument/2006/relationships/chart" Target="../charts/chart50.xml"/><Relationship Id="rId55" Type="http://schemas.openxmlformats.org/officeDocument/2006/relationships/chart" Target="../charts/chart55.xml"/><Relationship Id="rId7" Type="http://schemas.openxmlformats.org/officeDocument/2006/relationships/chart" Target="../charts/chart7.xml"/><Relationship Id="rId71" Type="http://schemas.openxmlformats.org/officeDocument/2006/relationships/chart" Target="../charts/chart71.xml"/></Relationships>
</file>

<file path=xl/drawings/_rels/drawing5.xml.rels><?xml version="1.0" encoding="UTF-8" standalone="yes"?>
<Relationships xmlns="http://schemas.openxmlformats.org/package/2006/relationships"><Relationship Id="rId2" Type="http://schemas.openxmlformats.org/officeDocument/2006/relationships/chart" Target="../charts/chart75.xml"/><Relationship Id="rId1" Type="http://schemas.openxmlformats.org/officeDocument/2006/relationships/chart" Target="../charts/chart74.xml"/></Relationships>
</file>

<file path=xl/drawings/drawing1.xml><?xml version="1.0" encoding="utf-8"?>
<xdr:wsDr xmlns:xdr="http://schemas.openxmlformats.org/drawingml/2006/spreadsheetDrawing" xmlns:a="http://schemas.openxmlformats.org/drawingml/2006/main">
  <xdr:twoCellAnchor editAs="oneCell">
    <xdr:from>
      <xdr:col>1</xdr:col>
      <xdr:colOff>53788</xdr:colOff>
      <xdr:row>24</xdr:row>
      <xdr:rowOff>123826</xdr:rowOff>
    </xdr:from>
    <xdr:to>
      <xdr:col>2</xdr:col>
      <xdr:colOff>1897846</xdr:colOff>
      <xdr:row>34</xdr:row>
      <xdr:rowOff>53340</xdr:rowOff>
    </xdr:to>
    <xdr:pic>
      <xdr:nvPicPr>
        <xdr:cNvPr id="2" name="Picture 1">
          <a:extLst>
            <a:ext uri="{FF2B5EF4-FFF2-40B4-BE49-F238E27FC236}">
              <a16:creationId xmlns:a16="http://schemas.microsoft.com/office/drawing/2014/main" id="{4809C3EC-C295-1CFB-0BD1-5A8A93451A4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56447" y="4579285"/>
          <a:ext cx="7581470" cy="17134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403415</xdr:colOff>
      <xdr:row>7</xdr:row>
      <xdr:rowOff>33617</xdr:rowOff>
    </xdr:from>
    <xdr:to>
      <xdr:col>1</xdr:col>
      <xdr:colOff>3048002</xdr:colOff>
      <xdr:row>7</xdr:row>
      <xdr:rowOff>1199998</xdr:rowOff>
    </xdr:to>
    <xdr:pic>
      <xdr:nvPicPr>
        <xdr:cNvPr id="3" name="Picture 2">
          <a:extLst>
            <a:ext uri="{FF2B5EF4-FFF2-40B4-BE49-F238E27FC236}">
              <a16:creationId xmlns:a16="http://schemas.microsoft.com/office/drawing/2014/main" id="{90F375FD-449B-A33E-8FC9-A19796D28094}"/>
            </a:ext>
          </a:extLst>
        </xdr:cNvPr>
        <xdr:cNvPicPr>
          <a:picLocks noChangeAspect="1"/>
        </xdr:cNvPicPr>
      </xdr:nvPicPr>
      <xdr:blipFill rotWithShape="1">
        <a:blip xmlns:r="http://schemas.openxmlformats.org/officeDocument/2006/relationships" r:embed="rId1"/>
        <a:srcRect t="19491" r="4914"/>
        <a:stretch>
          <a:fillRect/>
        </a:stretch>
      </xdr:blipFill>
      <xdr:spPr>
        <a:xfrm>
          <a:off x="2073091" y="1591235"/>
          <a:ext cx="2644587" cy="1174001"/>
        </a:xfrm>
        <a:prstGeom prst="rect">
          <a:avLst/>
        </a:prstGeom>
      </xdr:spPr>
    </xdr:pic>
    <xdr:clientData/>
  </xdr:twoCellAnchor>
  <xdr:twoCellAnchor editAs="oneCell">
    <xdr:from>
      <xdr:col>1</xdr:col>
      <xdr:colOff>0</xdr:colOff>
      <xdr:row>31</xdr:row>
      <xdr:rowOff>161925</xdr:rowOff>
    </xdr:from>
    <xdr:to>
      <xdr:col>1</xdr:col>
      <xdr:colOff>3162300</xdr:colOff>
      <xdr:row>31</xdr:row>
      <xdr:rowOff>1562100</xdr:rowOff>
    </xdr:to>
    <xdr:pic>
      <xdr:nvPicPr>
        <xdr:cNvPr id="2" name="Picture 1">
          <a:extLst>
            <a:ext uri="{FF2B5EF4-FFF2-40B4-BE49-F238E27FC236}">
              <a16:creationId xmlns:a16="http://schemas.microsoft.com/office/drawing/2014/main" id="{E9618B97-770A-498D-86C1-D2F6D0CF806D}"/>
            </a:ext>
            <a:ext uri="{147F2762-F138-4A5C-976F-8EAC2B608ADB}">
              <a16:predDERef xmlns:a16="http://schemas.microsoft.com/office/drawing/2014/main" pred="{90F375FD-449B-A33E-8FC9-A19796D28094}"/>
            </a:ext>
          </a:extLst>
        </xdr:cNvPr>
        <xdr:cNvPicPr>
          <a:picLocks noChangeAspect="1"/>
        </xdr:cNvPicPr>
      </xdr:nvPicPr>
      <xdr:blipFill rotWithShape="1">
        <a:blip xmlns:r="http://schemas.openxmlformats.org/officeDocument/2006/relationships" r:embed="rId1"/>
        <a:srcRect t="19491" r="4914"/>
        <a:stretch>
          <a:fillRect/>
        </a:stretch>
      </xdr:blipFill>
      <xdr:spPr>
        <a:xfrm>
          <a:off x="2562225" y="8505825"/>
          <a:ext cx="3162300" cy="1400175"/>
        </a:xfrm>
        <a:prstGeom prst="rect">
          <a:avLst/>
        </a:prstGeom>
      </xdr:spPr>
    </xdr:pic>
    <xdr:clientData/>
  </xdr:twoCellAnchor>
  <xdr:twoCellAnchor editAs="oneCell">
    <xdr:from>
      <xdr:col>3</xdr:col>
      <xdr:colOff>19050</xdr:colOff>
      <xdr:row>31</xdr:row>
      <xdr:rowOff>285750</xdr:rowOff>
    </xdr:from>
    <xdr:to>
      <xdr:col>3</xdr:col>
      <xdr:colOff>3291840</xdr:colOff>
      <xdr:row>31</xdr:row>
      <xdr:rowOff>1539240</xdr:rowOff>
    </xdr:to>
    <xdr:pic>
      <xdr:nvPicPr>
        <xdr:cNvPr id="4" name="Picture 3">
          <a:extLst>
            <a:ext uri="{FF2B5EF4-FFF2-40B4-BE49-F238E27FC236}">
              <a16:creationId xmlns:a16="http://schemas.microsoft.com/office/drawing/2014/main" id="{858A744D-E8F1-7602-53D4-CD7A060B0BC7}"/>
            </a:ext>
            <a:ext uri="{147F2762-F138-4A5C-976F-8EAC2B608ADB}">
              <a16:predDERef xmlns:a16="http://schemas.microsoft.com/office/drawing/2014/main" pred="{E9618B97-770A-498D-86C1-D2F6D0CF806D}"/>
            </a:ext>
          </a:extLst>
        </xdr:cNvPr>
        <xdr:cNvPicPr>
          <a:picLocks noChangeAspect="1"/>
        </xdr:cNvPicPr>
      </xdr:nvPicPr>
      <xdr:blipFill>
        <a:blip xmlns:r="http://schemas.openxmlformats.org/officeDocument/2006/relationships" r:embed="rId2"/>
        <a:stretch>
          <a:fillRect/>
        </a:stretch>
      </xdr:blipFill>
      <xdr:spPr>
        <a:xfrm>
          <a:off x="12506325" y="8629650"/>
          <a:ext cx="3267075" cy="1247775"/>
        </a:xfrm>
        <a:prstGeom prst="rect">
          <a:avLst/>
        </a:prstGeom>
      </xdr:spPr>
    </xdr:pic>
    <xdr:clientData/>
  </xdr:twoCellAnchor>
  <xdr:twoCellAnchor editAs="oneCell">
    <xdr:from>
      <xdr:col>2</xdr:col>
      <xdr:colOff>276225</xdr:colOff>
      <xdr:row>31</xdr:row>
      <xdr:rowOff>95250</xdr:rowOff>
    </xdr:from>
    <xdr:to>
      <xdr:col>2</xdr:col>
      <xdr:colOff>3103245</xdr:colOff>
      <xdr:row>31</xdr:row>
      <xdr:rowOff>1657350</xdr:rowOff>
    </xdr:to>
    <xdr:pic>
      <xdr:nvPicPr>
        <xdr:cNvPr id="5" name="Picture 4">
          <a:extLst>
            <a:ext uri="{FF2B5EF4-FFF2-40B4-BE49-F238E27FC236}">
              <a16:creationId xmlns:a16="http://schemas.microsoft.com/office/drawing/2014/main" id="{886DDB7D-51B2-498E-92AF-F6A4C5D30568}"/>
            </a:ext>
            <a:ext uri="{147F2762-F138-4A5C-976F-8EAC2B608ADB}">
              <a16:predDERef xmlns:a16="http://schemas.microsoft.com/office/drawing/2014/main" pred="{858A744D-E8F1-7602-53D4-CD7A060B0BC7}"/>
            </a:ext>
          </a:extLst>
        </xdr:cNvPr>
        <xdr:cNvPicPr>
          <a:picLocks noChangeAspect="1"/>
        </xdr:cNvPicPr>
      </xdr:nvPicPr>
      <xdr:blipFill>
        <a:blip xmlns:r="http://schemas.openxmlformats.org/officeDocument/2006/relationships" r:embed="rId3"/>
        <a:stretch>
          <a:fillRect/>
        </a:stretch>
      </xdr:blipFill>
      <xdr:spPr>
        <a:xfrm>
          <a:off x="9439275" y="8439150"/>
          <a:ext cx="2838450" cy="1562100"/>
        </a:xfrm>
        <a:prstGeom prst="rect">
          <a:avLst/>
        </a:prstGeom>
      </xdr:spPr>
    </xdr:pic>
    <xdr:clientData/>
  </xdr:twoCellAnchor>
  <xdr:twoCellAnchor editAs="oneCell">
    <xdr:from>
      <xdr:col>1</xdr:col>
      <xdr:colOff>76200</xdr:colOff>
      <xdr:row>31</xdr:row>
      <xdr:rowOff>38100</xdr:rowOff>
    </xdr:from>
    <xdr:to>
      <xdr:col>1</xdr:col>
      <xdr:colOff>3238500</xdr:colOff>
      <xdr:row>31</xdr:row>
      <xdr:rowOff>1693545</xdr:rowOff>
    </xdr:to>
    <xdr:pic>
      <xdr:nvPicPr>
        <xdr:cNvPr id="6" name="Picture 5">
          <a:extLst>
            <a:ext uri="{FF2B5EF4-FFF2-40B4-BE49-F238E27FC236}">
              <a16:creationId xmlns:a16="http://schemas.microsoft.com/office/drawing/2014/main" id="{D516B193-A001-2B8B-A068-C5EAFD54036F}"/>
            </a:ext>
            <a:ext uri="{147F2762-F138-4A5C-976F-8EAC2B608ADB}">
              <a16:predDERef xmlns:a16="http://schemas.microsoft.com/office/drawing/2014/main" pred="{886DDB7D-51B2-498E-92AF-F6A4C5D30568}"/>
            </a:ext>
          </a:extLst>
        </xdr:cNvPr>
        <xdr:cNvPicPr>
          <a:picLocks noChangeAspect="1"/>
        </xdr:cNvPicPr>
      </xdr:nvPicPr>
      <xdr:blipFill>
        <a:blip xmlns:r="http://schemas.openxmlformats.org/officeDocument/2006/relationships" r:embed="rId4"/>
        <a:stretch>
          <a:fillRect/>
        </a:stretch>
      </xdr:blipFill>
      <xdr:spPr>
        <a:xfrm>
          <a:off x="5924550" y="8382000"/>
          <a:ext cx="3162300" cy="166687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1282561</xdr:colOff>
      <xdr:row>1</xdr:row>
      <xdr:rowOff>35035</xdr:rowOff>
    </xdr:from>
    <xdr:to>
      <xdr:col>15</xdr:col>
      <xdr:colOff>1282561</xdr:colOff>
      <xdr:row>1</xdr:row>
      <xdr:rowOff>321779</xdr:rowOff>
    </xdr:to>
    <xdr:cxnSp macro="">
      <xdr:nvCxnSpPr>
        <xdr:cNvPr id="4" name="Straight Arrow Connector 3">
          <a:extLst>
            <a:ext uri="{FF2B5EF4-FFF2-40B4-BE49-F238E27FC236}">
              <a16:creationId xmlns:a16="http://schemas.microsoft.com/office/drawing/2014/main" id="{BB0EC946-BDB6-09C9-DB60-21B21720AE71}"/>
            </a:ext>
          </a:extLst>
        </xdr:cNvPr>
        <xdr:cNvCxnSpPr/>
      </xdr:nvCxnSpPr>
      <xdr:spPr>
        <a:xfrm flipV="1">
          <a:off x="12000257" y="35035"/>
          <a:ext cx="0" cy="286744"/>
        </a:xfrm>
        <a:prstGeom prst="straightConnector1">
          <a:avLst/>
        </a:prstGeom>
        <a:ln w="38100">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1325218</xdr:colOff>
      <xdr:row>1</xdr:row>
      <xdr:rowOff>67505</xdr:rowOff>
    </xdr:from>
    <xdr:to>
      <xdr:col>15</xdr:col>
      <xdr:colOff>1565412</xdr:colOff>
      <xdr:row>2</xdr:row>
      <xdr:rowOff>103203</xdr:rowOff>
    </xdr:to>
    <xdr:sp macro="" textlink="">
      <xdr:nvSpPr>
        <xdr:cNvPr id="8" name="TextBox 7">
          <a:extLst>
            <a:ext uri="{FF2B5EF4-FFF2-40B4-BE49-F238E27FC236}">
              <a16:creationId xmlns:a16="http://schemas.microsoft.com/office/drawing/2014/main" id="{1DDDC35D-79DC-FE8D-E36B-A215903DCB00}"/>
            </a:ext>
          </a:extLst>
        </xdr:cNvPr>
        <xdr:cNvSpPr txBox="1"/>
      </xdr:nvSpPr>
      <xdr:spPr>
        <a:xfrm>
          <a:off x="13855148" y="67505"/>
          <a:ext cx="240194" cy="3603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solidFill>
            </a:rPr>
            <a:t>N</a:t>
          </a:r>
        </a:p>
      </xdr:txBody>
    </xdr:sp>
    <xdr:clientData/>
  </xdr:twoCellAnchor>
  <xdr:twoCellAnchor editAs="oneCell">
    <xdr:from>
      <xdr:col>17</xdr:col>
      <xdr:colOff>66676</xdr:colOff>
      <xdr:row>2</xdr:row>
      <xdr:rowOff>142875</xdr:rowOff>
    </xdr:from>
    <xdr:to>
      <xdr:col>20</xdr:col>
      <xdr:colOff>1611766</xdr:colOff>
      <xdr:row>43</xdr:row>
      <xdr:rowOff>200025</xdr:rowOff>
    </xdr:to>
    <xdr:pic>
      <xdr:nvPicPr>
        <xdr:cNvPr id="2" name="Picture 1">
          <a:extLst>
            <a:ext uri="{FF2B5EF4-FFF2-40B4-BE49-F238E27FC236}">
              <a16:creationId xmlns:a16="http://schemas.microsoft.com/office/drawing/2014/main" id="{0EB033DE-20E1-4618-4536-4B4A0AEB1CBD}"/>
            </a:ext>
            <a:ext uri="{147F2762-F138-4A5C-976F-8EAC2B608ADB}">
              <a16:predDERef xmlns:a16="http://schemas.microsoft.com/office/drawing/2014/main" pred="{1DDDC35D-79DC-FE8D-E36B-A215903DCB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8746451" y="1143000"/>
          <a:ext cx="5574165" cy="9144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19050</xdr:colOff>
      <xdr:row>4</xdr:row>
      <xdr:rowOff>57150</xdr:rowOff>
    </xdr:from>
    <xdr:to>
      <xdr:col>30</xdr:col>
      <xdr:colOff>492061</xdr:colOff>
      <xdr:row>31</xdr:row>
      <xdr:rowOff>76200</xdr:rowOff>
    </xdr:to>
    <xdr:pic>
      <xdr:nvPicPr>
        <xdr:cNvPr id="11" name="Picture 10">
          <a:extLst>
            <a:ext uri="{FF2B5EF4-FFF2-40B4-BE49-F238E27FC236}">
              <a16:creationId xmlns:a16="http://schemas.microsoft.com/office/drawing/2014/main" id="{14D9C568-CD30-DDDC-573D-8C9D1F2E1B39}"/>
            </a:ext>
            <a:ext uri="{147F2762-F138-4A5C-976F-8EAC2B608ADB}">
              <a16:predDERef xmlns:a16="http://schemas.microsoft.com/office/drawing/2014/main" pred="{0EB033DE-20E1-4618-4536-4B4A0AEB1CBD}"/>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5023425" y="1495425"/>
          <a:ext cx="7778686" cy="60388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838200</xdr:colOff>
      <xdr:row>2</xdr:row>
      <xdr:rowOff>95250</xdr:rowOff>
    </xdr:from>
    <xdr:to>
      <xdr:col>16</xdr:col>
      <xdr:colOff>2152650</xdr:colOff>
      <xdr:row>36</xdr:row>
      <xdr:rowOff>0</xdr:rowOff>
    </xdr:to>
    <xdr:pic>
      <xdr:nvPicPr>
        <xdr:cNvPr id="14" name="Picture 13">
          <a:extLst>
            <a:ext uri="{FF2B5EF4-FFF2-40B4-BE49-F238E27FC236}">
              <a16:creationId xmlns:a16="http://schemas.microsoft.com/office/drawing/2014/main" id="{AABBB49A-F6C0-A68C-678B-6A0F78EA74E2}"/>
            </a:ext>
            <a:ext uri="{147F2762-F138-4A5C-976F-8EAC2B608ADB}">
              <a16:predDERef xmlns:a16="http://schemas.microsoft.com/office/drawing/2014/main" pred="{14D9C568-CD30-DDDC-573D-8C9D1F2E1B39}"/>
            </a:ext>
          </a:extLst>
        </xdr:cNvPr>
        <xdr:cNvPicPr>
          <a:picLocks noChangeAspect="1"/>
        </xdr:cNvPicPr>
      </xdr:nvPicPr>
      <xdr:blipFill>
        <a:blip xmlns:r="http://schemas.openxmlformats.org/officeDocument/2006/relationships" r:embed="rId3"/>
        <a:stretch>
          <a:fillRect/>
        </a:stretch>
      </xdr:blipFill>
      <xdr:spPr>
        <a:xfrm>
          <a:off x="23231475" y="1095375"/>
          <a:ext cx="4572000" cy="745807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30</xdr:col>
      <xdr:colOff>0</xdr:colOff>
      <xdr:row>3</xdr:row>
      <xdr:rowOff>0</xdr:rowOff>
    </xdr:from>
    <xdr:to>
      <xdr:col>47</xdr:col>
      <xdr:colOff>0</xdr:colOff>
      <xdr:row>7</xdr:row>
      <xdr:rowOff>0</xdr:rowOff>
    </xdr:to>
    <xdr:graphicFrame macro="">
      <xdr:nvGraphicFramePr>
        <xdr:cNvPr id="24" name="Chart 23">
          <a:extLst>
            <a:ext uri="{FF2B5EF4-FFF2-40B4-BE49-F238E27FC236}">
              <a16:creationId xmlns:a16="http://schemas.microsoft.com/office/drawing/2014/main" id="{47C5CD0E-6A25-26C3-1D40-136710294A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0</xdr:colOff>
      <xdr:row>7</xdr:row>
      <xdr:rowOff>0</xdr:rowOff>
    </xdr:from>
    <xdr:to>
      <xdr:col>47</xdr:col>
      <xdr:colOff>0</xdr:colOff>
      <xdr:row>11</xdr:row>
      <xdr:rowOff>0</xdr:rowOff>
    </xdr:to>
    <xdr:graphicFrame macro="">
      <xdr:nvGraphicFramePr>
        <xdr:cNvPr id="42" name="Chart 41">
          <a:extLst>
            <a:ext uri="{FF2B5EF4-FFF2-40B4-BE49-F238E27FC236}">
              <a16:creationId xmlns:a16="http://schemas.microsoft.com/office/drawing/2014/main" id="{9F92CBF6-09F9-B4A1-12B9-F72BA108B1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30</xdr:col>
      <xdr:colOff>0</xdr:colOff>
      <xdr:row>11</xdr:row>
      <xdr:rowOff>0</xdr:rowOff>
    </xdr:from>
    <xdr:to>
      <xdr:col>47</xdr:col>
      <xdr:colOff>0</xdr:colOff>
      <xdr:row>15</xdr:row>
      <xdr:rowOff>0</xdr:rowOff>
    </xdr:to>
    <xdr:graphicFrame macro="">
      <xdr:nvGraphicFramePr>
        <xdr:cNvPr id="45" name="Chart 44">
          <a:extLst>
            <a:ext uri="{FF2B5EF4-FFF2-40B4-BE49-F238E27FC236}">
              <a16:creationId xmlns:a16="http://schemas.microsoft.com/office/drawing/2014/main" id="{D60549AF-6477-DE5B-AC96-EA07D645AF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0</xdr:colOff>
      <xdr:row>15</xdr:row>
      <xdr:rowOff>0</xdr:rowOff>
    </xdr:from>
    <xdr:to>
      <xdr:col>47</xdr:col>
      <xdr:colOff>0</xdr:colOff>
      <xdr:row>19</xdr:row>
      <xdr:rowOff>0</xdr:rowOff>
    </xdr:to>
    <xdr:graphicFrame macro="">
      <xdr:nvGraphicFramePr>
        <xdr:cNvPr id="46" name="Chart 45">
          <a:extLst>
            <a:ext uri="{FF2B5EF4-FFF2-40B4-BE49-F238E27FC236}">
              <a16:creationId xmlns:a16="http://schemas.microsoft.com/office/drawing/2014/main" id="{ECAF6DCA-FB2C-5395-0E76-9C75F57370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30</xdr:col>
      <xdr:colOff>0</xdr:colOff>
      <xdr:row>19</xdr:row>
      <xdr:rowOff>0</xdr:rowOff>
    </xdr:from>
    <xdr:to>
      <xdr:col>47</xdr:col>
      <xdr:colOff>0</xdr:colOff>
      <xdr:row>23</xdr:row>
      <xdr:rowOff>0</xdr:rowOff>
    </xdr:to>
    <xdr:graphicFrame macro="">
      <xdr:nvGraphicFramePr>
        <xdr:cNvPr id="47" name="Chart 46">
          <a:extLst>
            <a:ext uri="{FF2B5EF4-FFF2-40B4-BE49-F238E27FC236}">
              <a16:creationId xmlns:a16="http://schemas.microsoft.com/office/drawing/2014/main" id="{AA6E0DAE-6C7C-5911-CF28-1B433D0EB9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30</xdr:col>
      <xdr:colOff>0</xdr:colOff>
      <xdr:row>23</xdr:row>
      <xdr:rowOff>0</xdr:rowOff>
    </xdr:from>
    <xdr:to>
      <xdr:col>47</xdr:col>
      <xdr:colOff>0</xdr:colOff>
      <xdr:row>27</xdr:row>
      <xdr:rowOff>0</xdr:rowOff>
    </xdr:to>
    <xdr:graphicFrame macro="">
      <xdr:nvGraphicFramePr>
        <xdr:cNvPr id="48" name="Chart 47">
          <a:extLst>
            <a:ext uri="{FF2B5EF4-FFF2-40B4-BE49-F238E27FC236}">
              <a16:creationId xmlns:a16="http://schemas.microsoft.com/office/drawing/2014/main" id="{E031D54C-0B64-5816-C1EB-56C5B8186C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30</xdr:col>
      <xdr:colOff>0</xdr:colOff>
      <xdr:row>27</xdr:row>
      <xdr:rowOff>0</xdr:rowOff>
    </xdr:from>
    <xdr:to>
      <xdr:col>47</xdr:col>
      <xdr:colOff>0</xdr:colOff>
      <xdr:row>31</xdr:row>
      <xdr:rowOff>0</xdr:rowOff>
    </xdr:to>
    <xdr:graphicFrame macro="">
      <xdr:nvGraphicFramePr>
        <xdr:cNvPr id="49" name="Chart 48">
          <a:extLst>
            <a:ext uri="{FF2B5EF4-FFF2-40B4-BE49-F238E27FC236}">
              <a16:creationId xmlns:a16="http://schemas.microsoft.com/office/drawing/2014/main" id="{AC829968-D0DF-6D07-B966-68821581DF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30</xdr:col>
      <xdr:colOff>0</xdr:colOff>
      <xdr:row>31</xdr:row>
      <xdr:rowOff>0</xdr:rowOff>
    </xdr:from>
    <xdr:to>
      <xdr:col>47</xdr:col>
      <xdr:colOff>0</xdr:colOff>
      <xdr:row>35</xdr:row>
      <xdr:rowOff>0</xdr:rowOff>
    </xdr:to>
    <xdr:graphicFrame macro="">
      <xdr:nvGraphicFramePr>
        <xdr:cNvPr id="50" name="Chart 49">
          <a:extLst>
            <a:ext uri="{FF2B5EF4-FFF2-40B4-BE49-F238E27FC236}">
              <a16:creationId xmlns:a16="http://schemas.microsoft.com/office/drawing/2014/main" id="{3310FDAC-6AC8-A0AB-8BDF-CC8A4A1674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30</xdr:col>
      <xdr:colOff>0</xdr:colOff>
      <xdr:row>35</xdr:row>
      <xdr:rowOff>0</xdr:rowOff>
    </xdr:from>
    <xdr:to>
      <xdr:col>47</xdr:col>
      <xdr:colOff>0</xdr:colOff>
      <xdr:row>39</xdr:row>
      <xdr:rowOff>0</xdr:rowOff>
    </xdr:to>
    <xdr:graphicFrame macro="">
      <xdr:nvGraphicFramePr>
        <xdr:cNvPr id="53" name="Chart 52">
          <a:extLst>
            <a:ext uri="{FF2B5EF4-FFF2-40B4-BE49-F238E27FC236}">
              <a16:creationId xmlns:a16="http://schemas.microsoft.com/office/drawing/2014/main" id="{62BF2E1E-831F-5F96-D159-245DFCA6D1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30</xdr:col>
      <xdr:colOff>0</xdr:colOff>
      <xdr:row>39</xdr:row>
      <xdr:rowOff>0</xdr:rowOff>
    </xdr:from>
    <xdr:to>
      <xdr:col>47</xdr:col>
      <xdr:colOff>0</xdr:colOff>
      <xdr:row>43</xdr:row>
      <xdr:rowOff>0</xdr:rowOff>
    </xdr:to>
    <xdr:graphicFrame macro="">
      <xdr:nvGraphicFramePr>
        <xdr:cNvPr id="55" name="Chart 54">
          <a:extLst>
            <a:ext uri="{FF2B5EF4-FFF2-40B4-BE49-F238E27FC236}">
              <a16:creationId xmlns:a16="http://schemas.microsoft.com/office/drawing/2014/main" id="{84FF2C60-FFF2-3057-BBD5-322804E58B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30</xdr:col>
      <xdr:colOff>0</xdr:colOff>
      <xdr:row>44</xdr:row>
      <xdr:rowOff>0</xdr:rowOff>
    </xdr:from>
    <xdr:to>
      <xdr:col>47</xdr:col>
      <xdr:colOff>0</xdr:colOff>
      <xdr:row>48</xdr:row>
      <xdr:rowOff>0</xdr:rowOff>
    </xdr:to>
    <xdr:graphicFrame macro="">
      <xdr:nvGraphicFramePr>
        <xdr:cNvPr id="78" name="Chart 77">
          <a:extLst>
            <a:ext uri="{FF2B5EF4-FFF2-40B4-BE49-F238E27FC236}">
              <a16:creationId xmlns:a16="http://schemas.microsoft.com/office/drawing/2014/main" id="{32DDED53-EC43-20DD-06CD-743B5F6C31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30</xdr:col>
      <xdr:colOff>0</xdr:colOff>
      <xdr:row>48</xdr:row>
      <xdr:rowOff>0</xdr:rowOff>
    </xdr:from>
    <xdr:to>
      <xdr:col>47</xdr:col>
      <xdr:colOff>0</xdr:colOff>
      <xdr:row>52</xdr:row>
      <xdr:rowOff>0</xdr:rowOff>
    </xdr:to>
    <xdr:graphicFrame macro="">
      <xdr:nvGraphicFramePr>
        <xdr:cNvPr id="80" name="Chart 79">
          <a:extLst>
            <a:ext uri="{FF2B5EF4-FFF2-40B4-BE49-F238E27FC236}">
              <a16:creationId xmlns:a16="http://schemas.microsoft.com/office/drawing/2014/main" id="{F68D19D7-9B86-438B-CF45-C5F01E0FB6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30</xdr:col>
      <xdr:colOff>0</xdr:colOff>
      <xdr:row>52</xdr:row>
      <xdr:rowOff>0</xdr:rowOff>
    </xdr:from>
    <xdr:to>
      <xdr:col>47</xdr:col>
      <xdr:colOff>0</xdr:colOff>
      <xdr:row>56</xdr:row>
      <xdr:rowOff>0</xdr:rowOff>
    </xdr:to>
    <xdr:graphicFrame macro="">
      <xdr:nvGraphicFramePr>
        <xdr:cNvPr id="81" name="Chart 80">
          <a:extLst>
            <a:ext uri="{FF2B5EF4-FFF2-40B4-BE49-F238E27FC236}">
              <a16:creationId xmlns:a16="http://schemas.microsoft.com/office/drawing/2014/main" id="{7C9BA77E-08A2-C596-5050-21E3FA4D13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30</xdr:col>
      <xdr:colOff>0</xdr:colOff>
      <xdr:row>56</xdr:row>
      <xdr:rowOff>0</xdr:rowOff>
    </xdr:from>
    <xdr:to>
      <xdr:col>47</xdr:col>
      <xdr:colOff>0</xdr:colOff>
      <xdr:row>60</xdr:row>
      <xdr:rowOff>0</xdr:rowOff>
    </xdr:to>
    <xdr:graphicFrame macro="">
      <xdr:nvGraphicFramePr>
        <xdr:cNvPr id="82" name="Chart 81">
          <a:extLst>
            <a:ext uri="{FF2B5EF4-FFF2-40B4-BE49-F238E27FC236}">
              <a16:creationId xmlns:a16="http://schemas.microsoft.com/office/drawing/2014/main" id="{FB09679B-9043-7227-3CAE-EE46E74207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30</xdr:col>
      <xdr:colOff>0</xdr:colOff>
      <xdr:row>60</xdr:row>
      <xdr:rowOff>0</xdr:rowOff>
    </xdr:from>
    <xdr:to>
      <xdr:col>47</xdr:col>
      <xdr:colOff>0</xdr:colOff>
      <xdr:row>64</xdr:row>
      <xdr:rowOff>0</xdr:rowOff>
    </xdr:to>
    <xdr:graphicFrame macro="">
      <xdr:nvGraphicFramePr>
        <xdr:cNvPr id="87" name="Chart 86">
          <a:extLst>
            <a:ext uri="{FF2B5EF4-FFF2-40B4-BE49-F238E27FC236}">
              <a16:creationId xmlns:a16="http://schemas.microsoft.com/office/drawing/2014/main" id="{3938DBB9-146E-E64F-DEE0-9C3958FB8B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30</xdr:col>
      <xdr:colOff>0</xdr:colOff>
      <xdr:row>64</xdr:row>
      <xdr:rowOff>0</xdr:rowOff>
    </xdr:from>
    <xdr:to>
      <xdr:col>47</xdr:col>
      <xdr:colOff>0</xdr:colOff>
      <xdr:row>68</xdr:row>
      <xdr:rowOff>0</xdr:rowOff>
    </xdr:to>
    <xdr:graphicFrame macro="">
      <xdr:nvGraphicFramePr>
        <xdr:cNvPr id="88" name="Chart 87">
          <a:extLst>
            <a:ext uri="{FF2B5EF4-FFF2-40B4-BE49-F238E27FC236}">
              <a16:creationId xmlns:a16="http://schemas.microsoft.com/office/drawing/2014/main" id="{C519B38E-4707-5564-63A7-2EE336DEE0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30</xdr:col>
      <xdr:colOff>0</xdr:colOff>
      <xdr:row>68</xdr:row>
      <xdr:rowOff>0</xdr:rowOff>
    </xdr:from>
    <xdr:to>
      <xdr:col>47</xdr:col>
      <xdr:colOff>0</xdr:colOff>
      <xdr:row>72</xdr:row>
      <xdr:rowOff>0</xdr:rowOff>
    </xdr:to>
    <xdr:graphicFrame macro="">
      <xdr:nvGraphicFramePr>
        <xdr:cNvPr id="89" name="Chart 88">
          <a:extLst>
            <a:ext uri="{FF2B5EF4-FFF2-40B4-BE49-F238E27FC236}">
              <a16:creationId xmlns:a16="http://schemas.microsoft.com/office/drawing/2014/main" id="{F113E708-6C8B-F36C-C146-FD0AFFDD01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30</xdr:col>
      <xdr:colOff>0</xdr:colOff>
      <xdr:row>72</xdr:row>
      <xdr:rowOff>0</xdr:rowOff>
    </xdr:from>
    <xdr:to>
      <xdr:col>47</xdr:col>
      <xdr:colOff>0</xdr:colOff>
      <xdr:row>76</xdr:row>
      <xdr:rowOff>0</xdr:rowOff>
    </xdr:to>
    <xdr:graphicFrame macro="">
      <xdr:nvGraphicFramePr>
        <xdr:cNvPr id="90" name="Chart 89">
          <a:extLst>
            <a:ext uri="{FF2B5EF4-FFF2-40B4-BE49-F238E27FC236}">
              <a16:creationId xmlns:a16="http://schemas.microsoft.com/office/drawing/2014/main" id="{CAD33BBF-5792-36EE-8640-1989366EEE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30</xdr:col>
      <xdr:colOff>0</xdr:colOff>
      <xdr:row>76</xdr:row>
      <xdr:rowOff>0</xdr:rowOff>
    </xdr:from>
    <xdr:to>
      <xdr:col>47</xdr:col>
      <xdr:colOff>0</xdr:colOff>
      <xdr:row>80</xdr:row>
      <xdr:rowOff>0</xdr:rowOff>
    </xdr:to>
    <xdr:graphicFrame macro="">
      <xdr:nvGraphicFramePr>
        <xdr:cNvPr id="91" name="Chart 90">
          <a:extLst>
            <a:ext uri="{FF2B5EF4-FFF2-40B4-BE49-F238E27FC236}">
              <a16:creationId xmlns:a16="http://schemas.microsoft.com/office/drawing/2014/main" id="{88246946-8B1D-8774-D6BD-C68BB119D7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30</xdr:col>
      <xdr:colOff>0</xdr:colOff>
      <xdr:row>80</xdr:row>
      <xdr:rowOff>0</xdr:rowOff>
    </xdr:from>
    <xdr:to>
      <xdr:col>47</xdr:col>
      <xdr:colOff>0</xdr:colOff>
      <xdr:row>84</xdr:row>
      <xdr:rowOff>0</xdr:rowOff>
    </xdr:to>
    <xdr:graphicFrame macro="">
      <xdr:nvGraphicFramePr>
        <xdr:cNvPr id="92" name="Chart 91">
          <a:extLst>
            <a:ext uri="{FF2B5EF4-FFF2-40B4-BE49-F238E27FC236}">
              <a16:creationId xmlns:a16="http://schemas.microsoft.com/office/drawing/2014/main" id="{F10D72C7-EE26-6F22-5C62-3F7DFEB5F8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30</xdr:col>
      <xdr:colOff>0</xdr:colOff>
      <xdr:row>84</xdr:row>
      <xdr:rowOff>0</xdr:rowOff>
    </xdr:from>
    <xdr:to>
      <xdr:col>47</xdr:col>
      <xdr:colOff>0</xdr:colOff>
      <xdr:row>88</xdr:row>
      <xdr:rowOff>0</xdr:rowOff>
    </xdr:to>
    <xdr:graphicFrame macro="">
      <xdr:nvGraphicFramePr>
        <xdr:cNvPr id="93" name="Chart 92">
          <a:extLst>
            <a:ext uri="{FF2B5EF4-FFF2-40B4-BE49-F238E27FC236}">
              <a16:creationId xmlns:a16="http://schemas.microsoft.com/office/drawing/2014/main" id="{30A9F54C-032D-412B-4A6B-AF5FA83165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30</xdr:col>
      <xdr:colOff>0</xdr:colOff>
      <xdr:row>89</xdr:row>
      <xdr:rowOff>0</xdr:rowOff>
    </xdr:from>
    <xdr:to>
      <xdr:col>47</xdr:col>
      <xdr:colOff>0</xdr:colOff>
      <xdr:row>93</xdr:row>
      <xdr:rowOff>0</xdr:rowOff>
    </xdr:to>
    <xdr:graphicFrame macro="">
      <xdr:nvGraphicFramePr>
        <xdr:cNvPr id="94" name="Chart 93">
          <a:extLst>
            <a:ext uri="{FF2B5EF4-FFF2-40B4-BE49-F238E27FC236}">
              <a16:creationId xmlns:a16="http://schemas.microsoft.com/office/drawing/2014/main" id="{0F3DD170-16BA-A461-1448-875AE7A827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30</xdr:col>
      <xdr:colOff>0</xdr:colOff>
      <xdr:row>93</xdr:row>
      <xdr:rowOff>0</xdr:rowOff>
    </xdr:from>
    <xdr:to>
      <xdr:col>47</xdr:col>
      <xdr:colOff>0</xdr:colOff>
      <xdr:row>97</xdr:row>
      <xdr:rowOff>0</xdr:rowOff>
    </xdr:to>
    <xdr:graphicFrame macro="">
      <xdr:nvGraphicFramePr>
        <xdr:cNvPr id="95" name="Chart 94">
          <a:extLst>
            <a:ext uri="{FF2B5EF4-FFF2-40B4-BE49-F238E27FC236}">
              <a16:creationId xmlns:a16="http://schemas.microsoft.com/office/drawing/2014/main" id="{418F05D7-E704-DFE2-791C-0BDD972C37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30</xdr:col>
      <xdr:colOff>0</xdr:colOff>
      <xdr:row>97</xdr:row>
      <xdr:rowOff>0</xdr:rowOff>
    </xdr:from>
    <xdr:to>
      <xdr:col>47</xdr:col>
      <xdr:colOff>0</xdr:colOff>
      <xdr:row>101</xdr:row>
      <xdr:rowOff>0</xdr:rowOff>
    </xdr:to>
    <xdr:graphicFrame macro="">
      <xdr:nvGraphicFramePr>
        <xdr:cNvPr id="96" name="Chart 95">
          <a:extLst>
            <a:ext uri="{FF2B5EF4-FFF2-40B4-BE49-F238E27FC236}">
              <a16:creationId xmlns:a16="http://schemas.microsoft.com/office/drawing/2014/main" id="{3C2C1A30-D60A-766F-806C-A497780C04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30</xdr:col>
      <xdr:colOff>0</xdr:colOff>
      <xdr:row>101</xdr:row>
      <xdr:rowOff>0</xdr:rowOff>
    </xdr:from>
    <xdr:to>
      <xdr:col>47</xdr:col>
      <xdr:colOff>0</xdr:colOff>
      <xdr:row>105</xdr:row>
      <xdr:rowOff>0</xdr:rowOff>
    </xdr:to>
    <xdr:graphicFrame macro="">
      <xdr:nvGraphicFramePr>
        <xdr:cNvPr id="97" name="Chart 96">
          <a:extLst>
            <a:ext uri="{FF2B5EF4-FFF2-40B4-BE49-F238E27FC236}">
              <a16:creationId xmlns:a16="http://schemas.microsoft.com/office/drawing/2014/main" id="{5832139A-7266-3D87-061C-A2F0A315FD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xdr:from>
      <xdr:col>30</xdr:col>
      <xdr:colOff>0</xdr:colOff>
      <xdr:row>105</xdr:row>
      <xdr:rowOff>0</xdr:rowOff>
    </xdr:from>
    <xdr:to>
      <xdr:col>47</xdr:col>
      <xdr:colOff>0</xdr:colOff>
      <xdr:row>109</xdr:row>
      <xdr:rowOff>0</xdr:rowOff>
    </xdr:to>
    <xdr:graphicFrame macro="">
      <xdr:nvGraphicFramePr>
        <xdr:cNvPr id="98" name="Chart 97">
          <a:extLst>
            <a:ext uri="{FF2B5EF4-FFF2-40B4-BE49-F238E27FC236}">
              <a16:creationId xmlns:a16="http://schemas.microsoft.com/office/drawing/2014/main" id="{530705D1-EABE-96D0-3A55-4E92E4EEC8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xdr:from>
      <xdr:col>30</xdr:col>
      <xdr:colOff>0</xdr:colOff>
      <xdr:row>109</xdr:row>
      <xdr:rowOff>0</xdr:rowOff>
    </xdr:from>
    <xdr:to>
      <xdr:col>47</xdr:col>
      <xdr:colOff>0</xdr:colOff>
      <xdr:row>113</xdr:row>
      <xdr:rowOff>0</xdr:rowOff>
    </xdr:to>
    <xdr:graphicFrame macro="">
      <xdr:nvGraphicFramePr>
        <xdr:cNvPr id="99" name="Chart 98">
          <a:extLst>
            <a:ext uri="{FF2B5EF4-FFF2-40B4-BE49-F238E27FC236}">
              <a16:creationId xmlns:a16="http://schemas.microsoft.com/office/drawing/2014/main" id="{6DEA1027-7FB8-13D9-5012-08ED15B79A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xdr:from>
      <xdr:col>30</xdr:col>
      <xdr:colOff>0</xdr:colOff>
      <xdr:row>113</xdr:row>
      <xdr:rowOff>0</xdr:rowOff>
    </xdr:from>
    <xdr:to>
      <xdr:col>47</xdr:col>
      <xdr:colOff>0</xdr:colOff>
      <xdr:row>117</xdr:row>
      <xdr:rowOff>0</xdr:rowOff>
    </xdr:to>
    <xdr:graphicFrame macro="">
      <xdr:nvGraphicFramePr>
        <xdr:cNvPr id="100" name="Chart 99">
          <a:extLst>
            <a:ext uri="{FF2B5EF4-FFF2-40B4-BE49-F238E27FC236}">
              <a16:creationId xmlns:a16="http://schemas.microsoft.com/office/drawing/2014/main" id="{F380532D-FA11-FF83-DDC9-9F61BE0D03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xdr:from>
      <xdr:col>30</xdr:col>
      <xdr:colOff>0</xdr:colOff>
      <xdr:row>117</xdr:row>
      <xdr:rowOff>0</xdr:rowOff>
    </xdr:from>
    <xdr:to>
      <xdr:col>47</xdr:col>
      <xdr:colOff>0</xdr:colOff>
      <xdr:row>121</xdr:row>
      <xdr:rowOff>0</xdr:rowOff>
    </xdr:to>
    <xdr:graphicFrame macro="">
      <xdr:nvGraphicFramePr>
        <xdr:cNvPr id="101" name="Chart 100">
          <a:extLst>
            <a:ext uri="{FF2B5EF4-FFF2-40B4-BE49-F238E27FC236}">
              <a16:creationId xmlns:a16="http://schemas.microsoft.com/office/drawing/2014/main" id="{D7A5F5CC-3CE0-AEDE-A2F0-2CA5805430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xdr:from>
      <xdr:col>30</xdr:col>
      <xdr:colOff>0</xdr:colOff>
      <xdr:row>121</xdr:row>
      <xdr:rowOff>0</xdr:rowOff>
    </xdr:from>
    <xdr:to>
      <xdr:col>47</xdr:col>
      <xdr:colOff>0</xdr:colOff>
      <xdr:row>125</xdr:row>
      <xdr:rowOff>0</xdr:rowOff>
    </xdr:to>
    <xdr:graphicFrame macro="">
      <xdr:nvGraphicFramePr>
        <xdr:cNvPr id="102" name="Chart 101">
          <a:extLst>
            <a:ext uri="{FF2B5EF4-FFF2-40B4-BE49-F238E27FC236}">
              <a16:creationId xmlns:a16="http://schemas.microsoft.com/office/drawing/2014/main" id="{6B29DBCE-2380-6C7B-9182-DEFEC40F67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30</xdr:col>
      <xdr:colOff>0</xdr:colOff>
      <xdr:row>125</xdr:row>
      <xdr:rowOff>0</xdr:rowOff>
    </xdr:from>
    <xdr:to>
      <xdr:col>47</xdr:col>
      <xdr:colOff>0</xdr:colOff>
      <xdr:row>129</xdr:row>
      <xdr:rowOff>0</xdr:rowOff>
    </xdr:to>
    <xdr:graphicFrame macro="">
      <xdr:nvGraphicFramePr>
        <xdr:cNvPr id="103" name="Chart 102">
          <a:extLst>
            <a:ext uri="{FF2B5EF4-FFF2-40B4-BE49-F238E27FC236}">
              <a16:creationId xmlns:a16="http://schemas.microsoft.com/office/drawing/2014/main" id="{38280B5C-84EA-1137-ED47-872236C002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30</xdr:col>
      <xdr:colOff>0</xdr:colOff>
      <xdr:row>130</xdr:row>
      <xdr:rowOff>0</xdr:rowOff>
    </xdr:from>
    <xdr:to>
      <xdr:col>47</xdr:col>
      <xdr:colOff>0</xdr:colOff>
      <xdr:row>138</xdr:row>
      <xdr:rowOff>0</xdr:rowOff>
    </xdr:to>
    <xdr:graphicFrame macro="">
      <xdr:nvGraphicFramePr>
        <xdr:cNvPr id="104" name="Chart 103">
          <a:extLst>
            <a:ext uri="{FF2B5EF4-FFF2-40B4-BE49-F238E27FC236}">
              <a16:creationId xmlns:a16="http://schemas.microsoft.com/office/drawing/2014/main" id="{F875C8E5-4DCE-0DA2-BC1B-DC95FE1353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xdr:from>
      <xdr:col>30</xdr:col>
      <xdr:colOff>0</xdr:colOff>
      <xdr:row>138</xdr:row>
      <xdr:rowOff>0</xdr:rowOff>
    </xdr:from>
    <xdr:to>
      <xdr:col>47</xdr:col>
      <xdr:colOff>0</xdr:colOff>
      <xdr:row>146</xdr:row>
      <xdr:rowOff>0</xdr:rowOff>
    </xdr:to>
    <xdr:graphicFrame macro="">
      <xdr:nvGraphicFramePr>
        <xdr:cNvPr id="105" name="Chart 104">
          <a:extLst>
            <a:ext uri="{FF2B5EF4-FFF2-40B4-BE49-F238E27FC236}">
              <a16:creationId xmlns:a16="http://schemas.microsoft.com/office/drawing/2014/main" id="{550D727C-5E3A-A596-057B-FF96D3D475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xdr:from>
      <xdr:col>30</xdr:col>
      <xdr:colOff>0</xdr:colOff>
      <xdr:row>146</xdr:row>
      <xdr:rowOff>0</xdr:rowOff>
    </xdr:from>
    <xdr:to>
      <xdr:col>47</xdr:col>
      <xdr:colOff>0</xdr:colOff>
      <xdr:row>154</xdr:row>
      <xdr:rowOff>0</xdr:rowOff>
    </xdr:to>
    <xdr:graphicFrame macro="">
      <xdr:nvGraphicFramePr>
        <xdr:cNvPr id="106" name="Chart 105">
          <a:extLst>
            <a:ext uri="{FF2B5EF4-FFF2-40B4-BE49-F238E27FC236}">
              <a16:creationId xmlns:a16="http://schemas.microsoft.com/office/drawing/2014/main" id="{34F9CFBF-6506-9BCD-A633-7CFACB6C70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twoCellAnchor>
    <xdr:from>
      <xdr:col>30</xdr:col>
      <xdr:colOff>0</xdr:colOff>
      <xdr:row>154</xdr:row>
      <xdr:rowOff>0</xdr:rowOff>
    </xdr:from>
    <xdr:to>
      <xdr:col>47</xdr:col>
      <xdr:colOff>0</xdr:colOff>
      <xdr:row>162</xdr:row>
      <xdr:rowOff>0</xdr:rowOff>
    </xdr:to>
    <xdr:graphicFrame macro="">
      <xdr:nvGraphicFramePr>
        <xdr:cNvPr id="107" name="Chart 106">
          <a:extLst>
            <a:ext uri="{FF2B5EF4-FFF2-40B4-BE49-F238E27FC236}">
              <a16:creationId xmlns:a16="http://schemas.microsoft.com/office/drawing/2014/main" id="{EB95AA7A-221C-3AFD-5698-93349C491E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5"/>
        </a:graphicData>
      </a:graphic>
    </xdr:graphicFrame>
    <xdr:clientData/>
  </xdr:twoCellAnchor>
  <xdr:twoCellAnchor>
    <xdr:from>
      <xdr:col>30</xdr:col>
      <xdr:colOff>0</xdr:colOff>
      <xdr:row>162</xdr:row>
      <xdr:rowOff>0</xdr:rowOff>
    </xdr:from>
    <xdr:to>
      <xdr:col>47</xdr:col>
      <xdr:colOff>0</xdr:colOff>
      <xdr:row>170</xdr:row>
      <xdr:rowOff>0</xdr:rowOff>
    </xdr:to>
    <xdr:graphicFrame macro="">
      <xdr:nvGraphicFramePr>
        <xdr:cNvPr id="108" name="Chart 107">
          <a:extLst>
            <a:ext uri="{FF2B5EF4-FFF2-40B4-BE49-F238E27FC236}">
              <a16:creationId xmlns:a16="http://schemas.microsoft.com/office/drawing/2014/main" id="{7A1EA495-B04F-2FE8-6053-6533F61ABF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6"/>
        </a:graphicData>
      </a:graphic>
    </xdr:graphicFrame>
    <xdr:clientData/>
  </xdr:twoCellAnchor>
  <xdr:twoCellAnchor>
    <xdr:from>
      <xdr:col>30</xdr:col>
      <xdr:colOff>0</xdr:colOff>
      <xdr:row>170</xdr:row>
      <xdr:rowOff>0</xdr:rowOff>
    </xdr:from>
    <xdr:to>
      <xdr:col>47</xdr:col>
      <xdr:colOff>0</xdr:colOff>
      <xdr:row>178</xdr:row>
      <xdr:rowOff>0</xdr:rowOff>
    </xdr:to>
    <xdr:graphicFrame macro="">
      <xdr:nvGraphicFramePr>
        <xdr:cNvPr id="109" name="Chart 108">
          <a:extLst>
            <a:ext uri="{FF2B5EF4-FFF2-40B4-BE49-F238E27FC236}">
              <a16:creationId xmlns:a16="http://schemas.microsoft.com/office/drawing/2014/main" id="{4BD34E82-14DA-82BF-29F0-C01DB4CF66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7"/>
        </a:graphicData>
      </a:graphic>
    </xdr:graphicFrame>
    <xdr:clientData/>
  </xdr:twoCellAnchor>
  <xdr:twoCellAnchor>
    <xdr:from>
      <xdr:col>30</xdr:col>
      <xdr:colOff>0</xdr:colOff>
      <xdr:row>178</xdr:row>
      <xdr:rowOff>0</xdr:rowOff>
    </xdr:from>
    <xdr:to>
      <xdr:col>47</xdr:col>
      <xdr:colOff>0</xdr:colOff>
      <xdr:row>186</xdr:row>
      <xdr:rowOff>0</xdr:rowOff>
    </xdr:to>
    <xdr:graphicFrame macro="">
      <xdr:nvGraphicFramePr>
        <xdr:cNvPr id="110" name="Chart 109">
          <a:extLst>
            <a:ext uri="{FF2B5EF4-FFF2-40B4-BE49-F238E27FC236}">
              <a16:creationId xmlns:a16="http://schemas.microsoft.com/office/drawing/2014/main" id="{2A4FB3C0-6DAB-2705-3283-D2822D9C96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8"/>
        </a:graphicData>
      </a:graphic>
    </xdr:graphicFrame>
    <xdr:clientData/>
  </xdr:twoCellAnchor>
  <xdr:twoCellAnchor>
    <xdr:from>
      <xdr:col>30</xdr:col>
      <xdr:colOff>0</xdr:colOff>
      <xdr:row>186</xdr:row>
      <xdr:rowOff>0</xdr:rowOff>
    </xdr:from>
    <xdr:to>
      <xdr:col>47</xdr:col>
      <xdr:colOff>0</xdr:colOff>
      <xdr:row>194</xdr:row>
      <xdr:rowOff>0</xdr:rowOff>
    </xdr:to>
    <xdr:graphicFrame macro="">
      <xdr:nvGraphicFramePr>
        <xdr:cNvPr id="111" name="Chart 110">
          <a:extLst>
            <a:ext uri="{FF2B5EF4-FFF2-40B4-BE49-F238E27FC236}">
              <a16:creationId xmlns:a16="http://schemas.microsoft.com/office/drawing/2014/main" id="{D8DA4CF1-8A80-DCC5-7DB0-3AF9130893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9"/>
        </a:graphicData>
      </a:graphic>
    </xdr:graphicFrame>
    <xdr:clientData/>
  </xdr:twoCellAnchor>
  <xdr:twoCellAnchor>
    <xdr:from>
      <xdr:col>30</xdr:col>
      <xdr:colOff>0</xdr:colOff>
      <xdr:row>194</xdr:row>
      <xdr:rowOff>0</xdr:rowOff>
    </xdr:from>
    <xdr:to>
      <xdr:col>47</xdr:col>
      <xdr:colOff>0</xdr:colOff>
      <xdr:row>202</xdr:row>
      <xdr:rowOff>0</xdr:rowOff>
    </xdr:to>
    <xdr:graphicFrame macro="">
      <xdr:nvGraphicFramePr>
        <xdr:cNvPr id="112" name="Chart 111">
          <a:extLst>
            <a:ext uri="{FF2B5EF4-FFF2-40B4-BE49-F238E27FC236}">
              <a16:creationId xmlns:a16="http://schemas.microsoft.com/office/drawing/2014/main" id="{7EC17052-FD85-C8C5-95C4-21209BE5E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0"/>
        </a:graphicData>
      </a:graphic>
    </xdr:graphicFrame>
    <xdr:clientData/>
  </xdr:twoCellAnchor>
  <xdr:twoCellAnchor>
    <xdr:from>
      <xdr:col>30</xdr:col>
      <xdr:colOff>0</xdr:colOff>
      <xdr:row>202</xdr:row>
      <xdr:rowOff>0</xdr:rowOff>
    </xdr:from>
    <xdr:to>
      <xdr:col>47</xdr:col>
      <xdr:colOff>0</xdr:colOff>
      <xdr:row>210</xdr:row>
      <xdr:rowOff>0</xdr:rowOff>
    </xdr:to>
    <xdr:graphicFrame macro="">
      <xdr:nvGraphicFramePr>
        <xdr:cNvPr id="113" name="Chart 112">
          <a:extLst>
            <a:ext uri="{FF2B5EF4-FFF2-40B4-BE49-F238E27FC236}">
              <a16:creationId xmlns:a16="http://schemas.microsoft.com/office/drawing/2014/main" id="{D775AA7C-7439-A66C-7AAA-91C52A2B26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1"/>
        </a:graphicData>
      </a:graphic>
    </xdr:graphicFrame>
    <xdr:clientData/>
  </xdr:twoCellAnchor>
  <xdr:twoCellAnchor>
    <xdr:from>
      <xdr:col>30</xdr:col>
      <xdr:colOff>0</xdr:colOff>
      <xdr:row>211</xdr:row>
      <xdr:rowOff>0</xdr:rowOff>
    </xdr:from>
    <xdr:to>
      <xdr:col>47</xdr:col>
      <xdr:colOff>0</xdr:colOff>
      <xdr:row>214</xdr:row>
      <xdr:rowOff>0</xdr:rowOff>
    </xdr:to>
    <xdr:graphicFrame macro="">
      <xdr:nvGraphicFramePr>
        <xdr:cNvPr id="114" name="Chart 113">
          <a:extLst>
            <a:ext uri="{FF2B5EF4-FFF2-40B4-BE49-F238E27FC236}">
              <a16:creationId xmlns:a16="http://schemas.microsoft.com/office/drawing/2014/main" id="{F2868C16-D731-24BE-8BDD-35C3804CB9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2"/>
        </a:graphicData>
      </a:graphic>
    </xdr:graphicFrame>
    <xdr:clientData/>
  </xdr:twoCellAnchor>
  <xdr:twoCellAnchor>
    <xdr:from>
      <xdr:col>30</xdr:col>
      <xdr:colOff>0</xdr:colOff>
      <xdr:row>214</xdr:row>
      <xdr:rowOff>0</xdr:rowOff>
    </xdr:from>
    <xdr:to>
      <xdr:col>47</xdr:col>
      <xdr:colOff>0</xdr:colOff>
      <xdr:row>217</xdr:row>
      <xdr:rowOff>0</xdr:rowOff>
    </xdr:to>
    <xdr:graphicFrame macro="">
      <xdr:nvGraphicFramePr>
        <xdr:cNvPr id="115" name="Chart 114">
          <a:extLst>
            <a:ext uri="{FF2B5EF4-FFF2-40B4-BE49-F238E27FC236}">
              <a16:creationId xmlns:a16="http://schemas.microsoft.com/office/drawing/2014/main" id="{D7A5A422-A848-4341-92CB-D40EA18CD1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3"/>
        </a:graphicData>
      </a:graphic>
    </xdr:graphicFrame>
    <xdr:clientData/>
  </xdr:twoCellAnchor>
  <xdr:twoCellAnchor>
    <xdr:from>
      <xdr:col>30</xdr:col>
      <xdr:colOff>0</xdr:colOff>
      <xdr:row>217</xdr:row>
      <xdr:rowOff>0</xdr:rowOff>
    </xdr:from>
    <xdr:to>
      <xdr:col>47</xdr:col>
      <xdr:colOff>0</xdr:colOff>
      <xdr:row>220</xdr:row>
      <xdr:rowOff>0</xdr:rowOff>
    </xdr:to>
    <xdr:graphicFrame macro="">
      <xdr:nvGraphicFramePr>
        <xdr:cNvPr id="116" name="Chart 115">
          <a:extLst>
            <a:ext uri="{FF2B5EF4-FFF2-40B4-BE49-F238E27FC236}">
              <a16:creationId xmlns:a16="http://schemas.microsoft.com/office/drawing/2014/main" id="{023DFA82-8D63-7244-9A1A-4BB5D676C8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4"/>
        </a:graphicData>
      </a:graphic>
    </xdr:graphicFrame>
    <xdr:clientData/>
  </xdr:twoCellAnchor>
  <xdr:twoCellAnchor>
    <xdr:from>
      <xdr:col>30</xdr:col>
      <xdr:colOff>0</xdr:colOff>
      <xdr:row>220</xdr:row>
      <xdr:rowOff>0</xdr:rowOff>
    </xdr:from>
    <xdr:to>
      <xdr:col>47</xdr:col>
      <xdr:colOff>0</xdr:colOff>
      <xdr:row>223</xdr:row>
      <xdr:rowOff>0</xdr:rowOff>
    </xdr:to>
    <xdr:graphicFrame macro="">
      <xdr:nvGraphicFramePr>
        <xdr:cNvPr id="117" name="Chart 116">
          <a:extLst>
            <a:ext uri="{FF2B5EF4-FFF2-40B4-BE49-F238E27FC236}">
              <a16:creationId xmlns:a16="http://schemas.microsoft.com/office/drawing/2014/main" id="{3AD98945-17E7-E192-7E73-9800A44916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5"/>
        </a:graphicData>
      </a:graphic>
    </xdr:graphicFrame>
    <xdr:clientData/>
  </xdr:twoCellAnchor>
  <xdr:twoCellAnchor>
    <xdr:from>
      <xdr:col>30</xdr:col>
      <xdr:colOff>0</xdr:colOff>
      <xdr:row>223</xdr:row>
      <xdr:rowOff>0</xdr:rowOff>
    </xdr:from>
    <xdr:to>
      <xdr:col>47</xdr:col>
      <xdr:colOff>0</xdr:colOff>
      <xdr:row>226</xdr:row>
      <xdr:rowOff>0</xdr:rowOff>
    </xdr:to>
    <xdr:graphicFrame macro="">
      <xdr:nvGraphicFramePr>
        <xdr:cNvPr id="118" name="Chart 117">
          <a:extLst>
            <a:ext uri="{FF2B5EF4-FFF2-40B4-BE49-F238E27FC236}">
              <a16:creationId xmlns:a16="http://schemas.microsoft.com/office/drawing/2014/main" id="{5EAD7422-7672-E883-0926-E95352926D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6"/>
        </a:graphicData>
      </a:graphic>
    </xdr:graphicFrame>
    <xdr:clientData/>
  </xdr:twoCellAnchor>
  <xdr:twoCellAnchor>
    <xdr:from>
      <xdr:col>30</xdr:col>
      <xdr:colOff>0</xdr:colOff>
      <xdr:row>226</xdr:row>
      <xdr:rowOff>0</xdr:rowOff>
    </xdr:from>
    <xdr:to>
      <xdr:col>47</xdr:col>
      <xdr:colOff>0</xdr:colOff>
      <xdr:row>229</xdr:row>
      <xdr:rowOff>0</xdr:rowOff>
    </xdr:to>
    <xdr:graphicFrame macro="">
      <xdr:nvGraphicFramePr>
        <xdr:cNvPr id="119" name="Chart 118">
          <a:extLst>
            <a:ext uri="{FF2B5EF4-FFF2-40B4-BE49-F238E27FC236}">
              <a16:creationId xmlns:a16="http://schemas.microsoft.com/office/drawing/2014/main" id="{D12BEE49-82EF-A0CE-C7E9-63EB82EF26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7"/>
        </a:graphicData>
      </a:graphic>
    </xdr:graphicFrame>
    <xdr:clientData/>
  </xdr:twoCellAnchor>
  <xdr:twoCellAnchor>
    <xdr:from>
      <xdr:col>30</xdr:col>
      <xdr:colOff>0</xdr:colOff>
      <xdr:row>229</xdr:row>
      <xdr:rowOff>0</xdr:rowOff>
    </xdr:from>
    <xdr:to>
      <xdr:col>47</xdr:col>
      <xdr:colOff>0</xdr:colOff>
      <xdr:row>232</xdr:row>
      <xdr:rowOff>0</xdr:rowOff>
    </xdr:to>
    <xdr:graphicFrame macro="">
      <xdr:nvGraphicFramePr>
        <xdr:cNvPr id="120" name="Chart 119">
          <a:extLst>
            <a:ext uri="{FF2B5EF4-FFF2-40B4-BE49-F238E27FC236}">
              <a16:creationId xmlns:a16="http://schemas.microsoft.com/office/drawing/2014/main" id="{FB97EFE8-72A3-E2F8-B249-9A359B85DA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8"/>
        </a:graphicData>
      </a:graphic>
    </xdr:graphicFrame>
    <xdr:clientData/>
  </xdr:twoCellAnchor>
  <xdr:twoCellAnchor>
    <xdr:from>
      <xdr:col>30</xdr:col>
      <xdr:colOff>0</xdr:colOff>
      <xdr:row>232</xdr:row>
      <xdr:rowOff>0</xdr:rowOff>
    </xdr:from>
    <xdr:to>
      <xdr:col>47</xdr:col>
      <xdr:colOff>0</xdr:colOff>
      <xdr:row>235</xdr:row>
      <xdr:rowOff>0</xdr:rowOff>
    </xdr:to>
    <xdr:graphicFrame macro="">
      <xdr:nvGraphicFramePr>
        <xdr:cNvPr id="121" name="Chart 120">
          <a:extLst>
            <a:ext uri="{FF2B5EF4-FFF2-40B4-BE49-F238E27FC236}">
              <a16:creationId xmlns:a16="http://schemas.microsoft.com/office/drawing/2014/main" id="{559019AF-29CC-285E-01A7-1D93EB96B6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9"/>
        </a:graphicData>
      </a:graphic>
    </xdr:graphicFrame>
    <xdr:clientData/>
  </xdr:twoCellAnchor>
  <xdr:twoCellAnchor>
    <xdr:from>
      <xdr:col>30</xdr:col>
      <xdr:colOff>0</xdr:colOff>
      <xdr:row>235</xdr:row>
      <xdr:rowOff>0</xdr:rowOff>
    </xdr:from>
    <xdr:to>
      <xdr:col>47</xdr:col>
      <xdr:colOff>0</xdr:colOff>
      <xdr:row>238</xdr:row>
      <xdr:rowOff>0</xdr:rowOff>
    </xdr:to>
    <xdr:graphicFrame macro="">
      <xdr:nvGraphicFramePr>
        <xdr:cNvPr id="122" name="Chart 121">
          <a:extLst>
            <a:ext uri="{FF2B5EF4-FFF2-40B4-BE49-F238E27FC236}">
              <a16:creationId xmlns:a16="http://schemas.microsoft.com/office/drawing/2014/main" id="{F8AAEBF4-FCD5-2FED-DCDD-0EB6E20A0B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0"/>
        </a:graphicData>
      </a:graphic>
    </xdr:graphicFrame>
    <xdr:clientData/>
  </xdr:twoCellAnchor>
  <xdr:twoCellAnchor>
    <xdr:from>
      <xdr:col>30</xdr:col>
      <xdr:colOff>0</xdr:colOff>
      <xdr:row>238</xdr:row>
      <xdr:rowOff>0</xdr:rowOff>
    </xdr:from>
    <xdr:to>
      <xdr:col>47</xdr:col>
      <xdr:colOff>0</xdr:colOff>
      <xdr:row>241</xdr:row>
      <xdr:rowOff>0</xdr:rowOff>
    </xdr:to>
    <xdr:graphicFrame macro="">
      <xdr:nvGraphicFramePr>
        <xdr:cNvPr id="123" name="Chart 122">
          <a:extLst>
            <a:ext uri="{FF2B5EF4-FFF2-40B4-BE49-F238E27FC236}">
              <a16:creationId xmlns:a16="http://schemas.microsoft.com/office/drawing/2014/main" id="{BA2A161D-ACB8-BE1B-8CAA-3ED12CC001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1"/>
        </a:graphicData>
      </a:graphic>
    </xdr:graphicFrame>
    <xdr:clientData/>
  </xdr:twoCellAnchor>
  <xdr:twoCellAnchor>
    <xdr:from>
      <xdr:col>30</xdr:col>
      <xdr:colOff>0</xdr:colOff>
      <xdr:row>242</xdr:row>
      <xdr:rowOff>0</xdr:rowOff>
    </xdr:from>
    <xdr:to>
      <xdr:col>47</xdr:col>
      <xdr:colOff>0</xdr:colOff>
      <xdr:row>245</xdr:row>
      <xdr:rowOff>0</xdr:rowOff>
    </xdr:to>
    <xdr:graphicFrame macro="">
      <xdr:nvGraphicFramePr>
        <xdr:cNvPr id="124" name="Chart 123">
          <a:extLst>
            <a:ext uri="{FF2B5EF4-FFF2-40B4-BE49-F238E27FC236}">
              <a16:creationId xmlns:a16="http://schemas.microsoft.com/office/drawing/2014/main" id="{42BA6667-1BBE-4399-B067-05A1A074BB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2"/>
        </a:graphicData>
      </a:graphic>
    </xdr:graphicFrame>
    <xdr:clientData/>
  </xdr:twoCellAnchor>
  <xdr:twoCellAnchor>
    <xdr:from>
      <xdr:col>30</xdr:col>
      <xdr:colOff>0</xdr:colOff>
      <xdr:row>245</xdr:row>
      <xdr:rowOff>0</xdr:rowOff>
    </xdr:from>
    <xdr:to>
      <xdr:col>47</xdr:col>
      <xdr:colOff>0</xdr:colOff>
      <xdr:row>248</xdr:row>
      <xdr:rowOff>0</xdr:rowOff>
    </xdr:to>
    <xdr:graphicFrame macro="">
      <xdr:nvGraphicFramePr>
        <xdr:cNvPr id="125" name="Chart 124">
          <a:extLst>
            <a:ext uri="{FF2B5EF4-FFF2-40B4-BE49-F238E27FC236}">
              <a16:creationId xmlns:a16="http://schemas.microsoft.com/office/drawing/2014/main" id="{C5C3E4F3-FC0D-08B0-1796-FFC2D8CB09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3"/>
        </a:graphicData>
      </a:graphic>
    </xdr:graphicFrame>
    <xdr:clientData/>
  </xdr:twoCellAnchor>
  <xdr:twoCellAnchor>
    <xdr:from>
      <xdr:col>30</xdr:col>
      <xdr:colOff>0</xdr:colOff>
      <xdr:row>248</xdr:row>
      <xdr:rowOff>0</xdr:rowOff>
    </xdr:from>
    <xdr:to>
      <xdr:col>47</xdr:col>
      <xdr:colOff>0</xdr:colOff>
      <xdr:row>251</xdr:row>
      <xdr:rowOff>0</xdr:rowOff>
    </xdr:to>
    <xdr:graphicFrame macro="">
      <xdr:nvGraphicFramePr>
        <xdr:cNvPr id="126" name="Chart 125">
          <a:extLst>
            <a:ext uri="{FF2B5EF4-FFF2-40B4-BE49-F238E27FC236}">
              <a16:creationId xmlns:a16="http://schemas.microsoft.com/office/drawing/2014/main" id="{F4D42828-05D9-F1CC-A32B-6492876DD1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4"/>
        </a:graphicData>
      </a:graphic>
    </xdr:graphicFrame>
    <xdr:clientData/>
  </xdr:twoCellAnchor>
  <xdr:twoCellAnchor>
    <xdr:from>
      <xdr:col>30</xdr:col>
      <xdr:colOff>0</xdr:colOff>
      <xdr:row>251</xdr:row>
      <xdr:rowOff>0</xdr:rowOff>
    </xdr:from>
    <xdr:to>
      <xdr:col>47</xdr:col>
      <xdr:colOff>0</xdr:colOff>
      <xdr:row>255</xdr:row>
      <xdr:rowOff>0</xdr:rowOff>
    </xdr:to>
    <xdr:graphicFrame macro="">
      <xdr:nvGraphicFramePr>
        <xdr:cNvPr id="127" name="Chart 126">
          <a:extLst>
            <a:ext uri="{FF2B5EF4-FFF2-40B4-BE49-F238E27FC236}">
              <a16:creationId xmlns:a16="http://schemas.microsoft.com/office/drawing/2014/main" id="{8F598811-A80B-F1DC-A978-40965A9FC7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5"/>
        </a:graphicData>
      </a:graphic>
    </xdr:graphicFrame>
    <xdr:clientData/>
  </xdr:twoCellAnchor>
  <xdr:twoCellAnchor>
    <xdr:from>
      <xdr:col>30</xdr:col>
      <xdr:colOff>0</xdr:colOff>
      <xdr:row>255</xdr:row>
      <xdr:rowOff>0</xdr:rowOff>
    </xdr:from>
    <xdr:to>
      <xdr:col>47</xdr:col>
      <xdr:colOff>0</xdr:colOff>
      <xdr:row>259</xdr:row>
      <xdr:rowOff>0</xdr:rowOff>
    </xdr:to>
    <xdr:graphicFrame macro="">
      <xdr:nvGraphicFramePr>
        <xdr:cNvPr id="128" name="Chart 127">
          <a:extLst>
            <a:ext uri="{FF2B5EF4-FFF2-40B4-BE49-F238E27FC236}">
              <a16:creationId xmlns:a16="http://schemas.microsoft.com/office/drawing/2014/main" id="{7D89F21C-8B87-FA3D-7283-70E3E538CD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6"/>
        </a:graphicData>
      </a:graphic>
    </xdr:graphicFrame>
    <xdr:clientData/>
  </xdr:twoCellAnchor>
  <xdr:twoCellAnchor>
    <xdr:from>
      <xdr:col>30</xdr:col>
      <xdr:colOff>0</xdr:colOff>
      <xdr:row>259</xdr:row>
      <xdr:rowOff>0</xdr:rowOff>
    </xdr:from>
    <xdr:to>
      <xdr:col>47</xdr:col>
      <xdr:colOff>0</xdr:colOff>
      <xdr:row>263</xdr:row>
      <xdr:rowOff>0</xdr:rowOff>
    </xdr:to>
    <xdr:graphicFrame macro="">
      <xdr:nvGraphicFramePr>
        <xdr:cNvPr id="129" name="Chart 128">
          <a:extLst>
            <a:ext uri="{FF2B5EF4-FFF2-40B4-BE49-F238E27FC236}">
              <a16:creationId xmlns:a16="http://schemas.microsoft.com/office/drawing/2014/main" id="{35B1AB58-8640-BA40-23C1-8C4A37E164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7"/>
        </a:graphicData>
      </a:graphic>
    </xdr:graphicFrame>
    <xdr:clientData/>
  </xdr:twoCellAnchor>
  <xdr:twoCellAnchor>
    <xdr:from>
      <xdr:col>30</xdr:col>
      <xdr:colOff>0</xdr:colOff>
      <xdr:row>264</xdr:row>
      <xdr:rowOff>0</xdr:rowOff>
    </xdr:from>
    <xdr:to>
      <xdr:col>47</xdr:col>
      <xdr:colOff>0</xdr:colOff>
      <xdr:row>268</xdr:row>
      <xdr:rowOff>0</xdr:rowOff>
    </xdr:to>
    <xdr:graphicFrame macro="">
      <xdr:nvGraphicFramePr>
        <xdr:cNvPr id="130" name="Chart 129">
          <a:extLst>
            <a:ext uri="{FF2B5EF4-FFF2-40B4-BE49-F238E27FC236}">
              <a16:creationId xmlns:a16="http://schemas.microsoft.com/office/drawing/2014/main" id="{A32D0EA5-471E-AEA0-C3AC-D68D30C030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8"/>
        </a:graphicData>
      </a:graphic>
    </xdr:graphicFrame>
    <xdr:clientData/>
  </xdr:twoCellAnchor>
  <xdr:twoCellAnchor>
    <xdr:from>
      <xdr:col>30</xdr:col>
      <xdr:colOff>0</xdr:colOff>
      <xdr:row>268</xdr:row>
      <xdr:rowOff>0</xdr:rowOff>
    </xdr:from>
    <xdr:to>
      <xdr:col>47</xdr:col>
      <xdr:colOff>0</xdr:colOff>
      <xdr:row>272</xdr:row>
      <xdr:rowOff>0</xdr:rowOff>
    </xdr:to>
    <xdr:graphicFrame macro="">
      <xdr:nvGraphicFramePr>
        <xdr:cNvPr id="131" name="Chart 130">
          <a:extLst>
            <a:ext uri="{FF2B5EF4-FFF2-40B4-BE49-F238E27FC236}">
              <a16:creationId xmlns:a16="http://schemas.microsoft.com/office/drawing/2014/main" id="{DEA4E372-EEB0-6756-9AC4-9765CA63B6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9"/>
        </a:graphicData>
      </a:graphic>
    </xdr:graphicFrame>
    <xdr:clientData/>
  </xdr:twoCellAnchor>
  <xdr:twoCellAnchor>
    <xdr:from>
      <xdr:col>30</xdr:col>
      <xdr:colOff>0</xdr:colOff>
      <xdr:row>272</xdr:row>
      <xdr:rowOff>0</xdr:rowOff>
    </xdr:from>
    <xdr:to>
      <xdr:col>47</xdr:col>
      <xdr:colOff>0</xdr:colOff>
      <xdr:row>276</xdr:row>
      <xdr:rowOff>0</xdr:rowOff>
    </xdr:to>
    <xdr:graphicFrame macro="">
      <xdr:nvGraphicFramePr>
        <xdr:cNvPr id="132" name="Chart 131">
          <a:extLst>
            <a:ext uri="{FF2B5EF4-FFF2-40B4-BE49-F238E27FC236}">
              <a16:creationId xmlns:a16="http://schemas.microsoft.com/office/drawing/2014/main" id="{58595840-A0CB-E7E9-E415-6E90286D70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0"/>
        </a:graphicData>
      </a:graphic>
    </xdr:graphicFrame>
    <xdr:clientData/>
  </xdr:twoCellAnchor>
  <xdr:twoCellAnchor>
    <xdr:from>
      <xdr:col>30</xdr:col>
      <xdr:colOff>0</xdr:colOff>
      <xdr:row>276</xdr:row>
      <xdr:rowOff>0</xdr:rowOff>
    </xdr:from>
    <xdr:to>
      <xdr:col>47</xdr:col>
      <xdr:colOff>0</xdr:colOff>
      <xdr:row>280</xdr:row>
      <xdr:rowOff>0</xdr:rowOff>
    </xdr:to>
    <xdr:graphicFrame macro="">
      <xdr:nvGraphicFramePr>
        <xdr:cNvPr id="133" name="Chart 132">
          <a:extLst>
            <a:ext uri="{FF2B5EF4-FFF2-40B4-BE49-F238E27FC236}">
              <a16:creationId xmlns:a16="http://schemas.microsoft.com/office/drawing/2014/main" id="{E56F7ED4-CC87-9424-9C9A-EE2AC0F679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1"/>
        </a:graphicData>
      </a:graphic>
    </xdr:graphicFrame>
    <xdr:clientData/>
  </xdr:twoCellAnchor>
  <xdr:twoCellAnchor>
    <xdr:from>
      <xdr:col>30</xdr:col>
      <xdr:colOff>0</xdr:colOff>
      <xdr:row>280</xdr:row>
      <xdr:rowOff>0</xdr:rowOff>
    </xdr:from>
    <xdr:to>
      <xdr:col>47</xdr:col>
      <xdr:colOff>0</xdr:colOff>
      <xdr:row>284</xdr:row>
      <xdr:rowOff>0</xdr:rowOff>
    </xdr:to>
    <xdr:graphicFrame macro="">
      <xdr:nvGraphicFramePr>
        <xdr:cNvPr id="134" name="Chart 133">
          <a:extLst>
            <a:ext uri="{FF2B5EF4-FFF2-40B4-BE49-F238E27FC236}">
              <a16:creationId xmlns:a16="http://schemas.microsoft.com/office/drawing/2014/main" id="{40704A8E-CA49-FBA0-F0DC-464AD510A8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2"/>
        </a:graphicData>
      </a:graphic>
    </xdr:graphicFrame>
    <xdr:clientData/>
  </xdr:twoCellAnchor>
  <xdr:twoCellAnchor>
    <xdr:from>
      <xdr:col>30</xdr:col>
      <xdr:colOff>0</xdr:colOff>
      <xdr:row>284</xdr:row>
      <xdr:rowOff>0</xdr:rowOff>
    </xdr:from>
    <xdr:to>
      <xdr:col>47</xdr:col>
      <xdr:colOff>0</xdr:colOff>
      <xdr:row>288</xdr:row>
      <xdr:rowOff>0</xdr:rowOff>
    </xdr:to>
    <xdr:graphicFrame macro="">
      <xdr:nvGraphicFramePr>
        <xdr:cNvPr id="135" name="Chart 134">
          <a:extLst>
            <a:ext uri="{FF2B5EF4-FFF2-40B4-BE49-F238E27FC236}">
              <a16:creationId xmlns:a16="http://schemas.microsoft.com/office/drawing/2014/main" id="{0EB9324B-2067-8F3B-EA62-E4346DCD8B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3"/>
        </a:graphicData>
      </a:graphic>
    </xdr:graphicFrame>
    <xdr:clientData/>
  </xdr:twoCellAnchor>
  <xdr:twoCellAnchor>
    <xdr:from>
      <xdr:col>30</xdr:col>
      <xdr:colOff>0</xdr:colOff>
      <xdr:row>288</xdr:row>
      <xdr:rowOff>0</xdr:rowOff>
    </xdr:from>
    <xdr:to>
      <xdr:col>47</xdr:col>
      <xdr:colOff>0</xdr:colOff>
      <xdr:row>292</xdr:row>
      <xdr:rowOff>0</xdr:rowOff>
    </xdr:to>
    <xdr:graphicFrame macro="">
      <xdr:nvGraphicFramePr>
        <xdr:cNvPr id="136" name="Chart 135">
          <a:extLst>
            <a:ext uri="{FF2B5EF4-FFF2-40B4-BE49-F238E27FC236}">
              <a16:creationId xmlns:a16="http://schemas.microsoft.com/office/drawing/2014/main" id="{6AB62A6D-511E-4B34-0EA6-28207E7958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4"/>
        </a:graphicData>
      </a:graphic>
    </xdr:graphicFrame>
    <xdr:clientData/>
  </xdr:twoCellAnchor>
  <xdr:twoCellAnchor>
    <xdr:from>
      <xdr:col>30</xdr:col>
      <xdr:colOff>0</xdr:colOff>
      <xdr:row>292</xdr:row>
      <xdr:rowOff>0</xdr:rowOff>
    </xdr:from>
    <xdr:to>
      <xdr:col>47</xdr:col>
      <xdr:colOff>0</xdr:colOff>
      <xdr:row>296</xdr:row>
      <xdr:rowOff>0</xdr:rowOff>
    </xdr:to>
    <xdr:graphicFrame macro="">
      <xdr:nvGraphicFramePr>
        <xdr:cNvPr id="137" name="Chart 136">
          <a:extLst>
            <a:ext uri="{FF2B5EF4-FFF2-40B4-BE49-F238E27FC236}">
              <a16:creationId xmlns:a16="http://schemas.microsoft.com/office/drawing/2014/main" id="{49219155-E620-E504-58E5-226280F44B4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5"/>
        </a:graphicData>
      </a:graphic>
    </xdr:graphicFrame>
    <xdr:clientData/>
  </xdr:twoCellAnchor>
  <xdr:twoCellAnchor>
    <xdr:from>
      <xdr:col>30</xdr:col>
      <xdr:colOff>0</xdr:colOff>
      <xdr:row>297</xdr:row>
      <xdr:rowOff>0</xdr:rowOff>
    </xdr:from>
    <xdr:to>
      <xdr:col>47</xdr:col>
      <xdr:colOff>0</xdr:colOff>
      <xdr:row>301</xdr:row>
      <xdr:rowOff>0</xdr:rowOff>
    </xdr:to>
    <xdr:graphicFrame macro="">
      <xdr:nvGraphicFramePr>
        <xdr:cNvPr id="138" name="Chart 137">
          <a:extLst>
            <a:ext uri="{FF2B5EF4-FFF2-40B4-BE49-F238E27FC236}">
              <a16:creationId xmlns:a16="http://schemas.microsoft.com/office/drawing/2014/main" id="{AA8C758C-5519-3D26-F443-2625A95E9A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6"/>
        </a:graphicData>
      </a:graphic>
    </xdr:graphicFrame>
    <xdr:clientData/>
  </xdr:twoCellAnchor>
  <xdr:twoCellAnchor>
    <xdr:from>
      <xdr:col>30</xdr:col>
      <xdr:colOff>0</xdr:colOff>
      <xdr:row>301</xdr:row>
      <xdr:rowOff>0</xdr:rowOff>
    </xdr:from>
    <xdr:to>
      <xdr:col>47</xdr:col>
      <xdr:colOff>0</xdr:colOff>
      <xdr:row>305</xdr:row>
      <xdr:rowOff>0</xdr:rowOff>
    </xdr:to>
    <xdr:graphicFrame macro="">
      <xdr:nvGraphicFramePr>
        <xdr:cNvPr id="139" name="Chart 138">
          <a:extLst>
            <a:ext uri="{FF2B5EF4-FFF2-40B4-BE49-F238E27FC236}">
              <a16:creationId xmlns:a16="http://schemas.microsoft.com/office/drawing/2014/main" id="{69175C39-8B86-A647-F352-2357BC02FF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7"/>
        </a:graphicData>
      </a:graphic>
    </xdr:graphicFrame>
    <xdr:clientData/>
  </xdr:twoCellAnchor>
  <xdr:twoCellAnchor>
    <xdr:from>
      <xdr:col>30</xdr:col>
      <xdr:colOff>0</xdr:colOff>
      <xdr:row>305</xdr:row>
      <xdr:rowOff>0</xdr:rowOff>
    </xdr:from>
    <xdr:to>
      <xdr:col>47</xdr:col>
      <xdr:colOff>0</xdr:colOff>
      <xdr:row>309</xdr:row>
      <xdr:rowOff>0</xdr:rowOff>
    </xdr:to>
    <xdr:graphicFrame macro="">
      <xdr:nvGraphicFramePr>
        <xdr:cNvPr id="140" name="Chart 139">
          <a:extLst>
            <a:ext uri="{FF2B5EF4-FFF2-40B4-BE49-F238E27FC236}">
              <a16:creationId xmlns:a16="http://schemas.microsoft.com/office/drawing/2014/main" id="{F2AEA20B-20FC-2A3A-48D2-62AE0607C6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8"/>
        </a:graphicData>
      </a:graphic>
    </xdr:graphicFrame>
    <xdr:clientData/>
  </xdr:twoCellAnchor>
  <xdr:twoCellAnchor>
    <xdr:from>
      <xdr:col>30</xdr:col>
      <xdr:colOff>0</xdr:colOff>
      <xdr:row>309</xdr:row>
      <xdr:rowOff>0</xdr:rowOff>
    </xdr:from>
    <xdr:to>
      <xdr:col>47</xdr:col>
      <xdr:colOff>0</xdr:colOff>
      <xdr:row>313</xdr:row>
      <xdr:rowOff>0</xdr:rowOff>
    </xdr:to>
    <xdr:graphicFrame macro="">
      <xdr:nvGraphicFramePr>
        <xdr:cNvPr id="141" name="Chart 140">
          <a:extLst>
            <a:ext uri="{FF2B5EF4-FFF2-40B4-BE49-F238E27FC236}">
              <a16:creationId xmlns:a16="http://schemas.microsoft.com/office/drawing/2014/main" id="{677E16F7-D1D6-6AAC-5B30-53AB11CE18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9"/>
        </a:graphicData>
      </a:graphic>
    </xdr:graphicFrame>
    <xdr:clientData/>
  </xdr:twoCellAnchor>
  <xdr:twoCellAnchor>
    <xdr:from>
      <xdr:col>30</xdr:col>
      <xdr:colOff>0</xdr:colOff>
      <xdr:row>313</xdr:row>
      <xdr:rowOff>0</xdr:rowOff>
    </xdr:from>
    <xdr:to>
      <xdr:col>47</xdr:col>
      <xdr:colOff>0</xdr:colOff>
      <xdr:row>317</xdr:row>
      <xdr:rowOff>0</xdr:rowOff>
    </xdr:to>
    <xdr:graphicFrame macro="">
      <xdr:nvGraphicFramePr>
        <xdr:cNvPr id="142" name="Chart 141">
          <a:extLst>
            <a:ext uri="{FF2B5EF4-FFF2-40B4-BE49-F238E27FC236}">
              <a16:creationId xmlns:a16="http://schemas.microsoft.com/office/drawing/2014/main" id="{2AD3AD9F-F67E-5531-F83C-FDDBA3B857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0"/>
        </a:graphicData>
      </a:graphic>
    </xdr:graphicFrame>
    <xdr:clientData/>
  </xdr:twoCellAnchor>
  <xdr:twoCellAnchor>
    <xdr:from>
      <xdr:col>30</xdr:col>
      <xdr:colOff>0</xdr:colOff>
      <xdr:row>317</xdr:row>
      <xdr:rowOff>0</xdr:rowOff>
    </xdr:from>
    <xdr:to>
      <xdr:col>47</xdr:col>
      <xdr:colOff>0</xdr:colOff>
      <xdr:row>321</xdr:row>
      <xdr:rowOff>0</xdr:rowOff>
    </xdr:to>
    <xdr:graphicFrame macro="">
      <xdr:nvGraphicFramePr>
        <xdr:cNvPr id="143" name="Chart 142">
          <a:extLst>
            <a:ext uri="{FF2B5EF4-FFF2-40B4-BE49-F238E27FC236}">
              <a16:creationId xmlns:a16="http://schemas.microsoft.com/office/drawing/2014/main" id="{F0B51BF6-CD4C-4BB7-08FE-A65769C4A3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1"/>
        </a:graphicData>
      </a:graphic>
    </xdr:graphicFrame>
    <xdr:clientData/>
  </xdr:twoCellAnchor>
  <xdr:twoCellAnchor>
    <xdr:from>
      <xdr:col>30</xdr:col>
      <xdr:colOff>0</xdr:colOff>
      <xdr:row>321</xdr:row>
      <xdr:rowOff>0</xdr:rowOff>
    </xdr:from>
    <xdr:to>
      <xdr:col>47</xdr:col>
      <xdr:colOff>0</xdr:colOff>
      <xdr:row>325</xdr:row>
      <xdr:rowOff>0</xdr:rowOff>
    </xdr:to>
    <xdr:graphicFrame macro="">
      <xdr:nvGraphicFramePr>
        <xdr:cNvPr id="144" name="Chart 143">
          <a:extLst>
            <a:ext uri="{FF2B5EF4-FFF2-40B4-BE49-F238E27FC236}">
              <a16:creationId xmlns:a16="http://schemas.microsoft.com/office/drawing/2014/main" id="{807DD07B-9F10-DE60-EA7D-EB542C8E3E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2"/>
        </a:graphicData>
      </a:graphic>
    </xdr:graphicFrame>
    <xdr:clientData/>
  </xdr:twoCellAnchor>
  <xdr:twoCellAnchor>
    <xdr:from>
      <xdr:col>30</xdr:col>
      <xdr:colOff>0</xdr:colOff>
      <xdr:row>325</xdr:row>
      <xdr:rowOff>0</xdr:rowOff>
    </xdr:from>
    <xdr:to>
      <xdr:col>47</xdr:col>
      <xdr:colOff>0</xdr:colOff>
      <xdr:row>329</xdr:row>
      <xdr:rowOff>0</xdr:rowOff>
    </xdr:to>
    <xdr:graphicFrame macro="">
      <xdr:nvGraphicFramePr>
        <xdr:cNvPr id="145" name="Chart 144">
          <a:extLst>
            <a:ext uri="{FF2B5EF4-FFF2-40B4-BE49-F238E27FC236}">
              <a16:creationId xmlns:a16="http://schemas.microsoft.com/office/drawing/2014/main" id="{1F252563-1B1C-7DD8-F01A-21F44BE2D1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26</xdr:col>
      <xdr:colOff>22858</xdr:colOff>
      <xdr:row>1</xdr:row>
      <xdr:rowOff>0</xdr:rowOff>
    </xdr:from>
    <xdr:to>
      <xdr:col>43</xdr:col>
      <xdr:colOff>398688</xdr:colOff>
      <xdr:row>17</xdr:row>
      <xdr:rowOff>112939</xdr:rowOff>
    </xdr:to>
    <xdr:graphicFrame macro="">
      <xdr:nvGraphicFramePr>
        <xdr:cNvPr id="2" name="Chart 1">
          <a:extLst>
            <a:ext uri="{FF2B5EF4-FFF2-40B4-BE49-F238E27FC236}">
              <a16:creationId xmlns:a16="http://schemas.microsoft.com/office/drawing/2014/main" id="{5B22DF9D-A7E6-4851-B047-5B439DE880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25</xdr:col>
      <xdr:colOff>571500</xdr:colOff>
      <xdr:row>18</xdr:row>
      <xdr:rowOff>129268</xdr:rowOff>
    </xdr:from>
    <xdr:to>
      <xdr:col>43</xdr:col>
      <xdr:colOff>306954</xdr:colOff>
      <xdr:row>46</xdr:row>
      <xdr:rowOff>44627</xdr:rowOff>
    </xdr:to>
    <xdr:graphicFrame macro="">
      <xdr:nvGraphicFramePr>
        <xdr:cNvPr id="3" name="Chart 2">
          <a:extLst>
            <a:ext uri="{FF2B5EF4-FFF2-40B4-BE49-F238E27FC236}">
              <a16:creationId xmlns:a16="http://schemas.microsoft.com/office/drawing/2014/main" id="{3BD03696-966F-4219-B013-5B9A1B922230}"/>
            </a:ext>
            <a:ext uri="{147F2762-F138-4A5C-976F-8EAC2B608ADB}">
              <a16:predDERef xmlns:a16="http://schemas.microsoft.com/office/drawing/2014/main" pred="{5B22DF9D-A7E6-4851-B047-5B439DE880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carcglgov.sharepoint.com/sites/Prototypes/Shared%20Documents/SCE%20Enhanced%20Prototypes%20(S25505-2026)/SCE%20Enhanced%20Scorecards/SchoolK8_Prototype_Scorecard.xlsx" TargetMode="External"/><Relationship Id="rId1" Type="http://schemas.openxmlformats.org/officeDocument/2006/relationships/externalLinkPath" Target="SchoolK8_Prototype_Scorecar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tes"/>
      <sheetName val="Prototype"/>
      <sheetName val="Zones"/>
      <sheetName val="Envelope"/>
      <sheetName val="HVAC System"/>
      <sheetName val="Thermostat"/>
      <sheetName val="Ventilation"/>
      <sheetName val="Water Heater"/>
      <sheetName val="Interior Lights"/>
      <sheetName val="Ext Lighting"/>
      <sheetName val="Equipment"/>
      <sheetName val="Schedules"/>
      <sheetName val="Energy Usage"/>
      <sheetName val="Weights"/>
      <sheetName val="PV"/>
      <sheetName val="EV Charger"/>
      <sheetName val="Dat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4">
          <cell r="C4">
            <v>0.5614751</v>
          </cell>
          <cell r="D4">
            <v>0.31697930000000002</v>
          </cell>
          <cell r="E4">
            <v>8.7921799999999994E-2</v>
          </cell>
          <cell r="F4">
            <v>3.3623800000000002E-2</v>
          </cell>
        </row>
        <row r="5">
          <cell r="C5">
            <v>0.87573939999999995</v>
          </cell>
          <cell r="D5">
            <v>7.1794999999999998E-2</v>
          </cell>
          <cell r="E5">
            <v>3.8399200000000001E-2</v>
          </cell>
          <cell r="F5">
            <v>1.40663E-2</v>
          </cell>
        </row>
        <row r="6">
          <cell r="C6">
            <v>0.74164269999999999</v>
          </cell>
          <cell r="D6">
            <v>0.23473820000000001</v>
          </cell>
          <cell r="E6">
            <v>1.64353E-2</v>
          </cell>
          <cell r="F6">
            <v>7.1837000000000003E-3</v>
          </cell>
        </row>
        <row r="7">
          <cell r="C7">
            <v>0.77838629999999998</v>
          </cell>
          <cell r="D7">
            <v>0.2044994</v>
          </cell>
          <cell r="E7">
            <v>1.02904E-2</v>
          </cell>
          <cell r="F7">
            <v>6.8238999999999999E-3</v>
          </cell>
        </row>
        <row r="8">
          <cell r="C8">
            <v>0.54217349999999997</v>
          </cell>
          <cell r="D8">
            <v>0.42567199999999999</v>
          </cell>
          <cell r="E8">
            <v>2.4365700000000001E-2</v>
          </cell>
          <cell r="F8">
            <v>7.7888000000000002E-3</v>
          </cell>
        </row>
        <row r="9">
          <cell r="C9">
            <v>0.69748379999999999</v>
          </cell>
          <cell r="D9">
            <v>0.14711109999999999</v>
          </cell>
          <cell r="E9">
            <v>0.1089907</v>
          </cell>
          <cell r="F9">
            <v>4.6414400000000001E-2</v>
          </cell>
        </row>
        <row r="10">
          <cell r="C10">
            <v>0.30027799999999999</v>
          </cell>
          <cell r="D10">
            <v>0.25804440000000001</v>
          </cell>
          <cell r="E10">
            <v>0.1966736</v>
          </cell>
          <cell r="F10">
            <v>0.2450039</v>
          </cell>
        </row>
        <row r="11">
          <cell r="C11">
            <v>0.71638029999999997</v>
          </cell>
          <cell r="D11">
            <v>0.13480400000000001</v>
          </cell>
          <cell r="E11">
            <v>0.11031870000000001</v>
          </cell>
          <cell r="F11">
            <v>3.8497000000000003E-2</v>
          </cell>
        </row>
        <row r="12">
          <cell r="C12">
            <v>0.70988580000000001</v>
          </cell>
          <cell r="D12">
            <v>0.1788227</v>
          </cell>
          <cell r="E12">
            <v>8.7342600000000006E-2</v>
          </cell>
          <cell r="F12">
            <v>2.3948899999999999E-2</v>
          </cell>
        </row>
        <row r="13">
          <cell r="C13">
            <v>0.3421363</v>
          </cell>
          <cell r="D13">
            <v>0.21027509999999999</v>
          </cell>
          <cell r="E13">
            <v>0.33184160000000001</v>
          </cell>
          <cell r="F13">
            <v>0.11574710000000001</v>
          </cell>
        </row>
        <row r="14">
          <cell r="C14">
            <v>0.54620089999999999</v>
          </cell>
          <cell r="D14">
            <v>0.35066219999999998</v>
          </cell>
          <cell r="E14">
            <v>8.3741599999999999E-2</v>
          </cell>
          <cell r="F14">
            <v>1.9395200000000001E-2</v>
          </cell>
        </row>
        <row r="15">
          <cell r="C15">
            <v>0.50738139999999998</v>
          </cell>
          <cell r="D15">
            <v>0.35187770000000002</v>
          </cell>
          <cell r="E15">
            <v>0.1090713</v>
          </cell>
          <cell r="F15">
            <v>3.1669599999999999E-2</v>
          </cell>
        </row>
        <row r="16">
          <cell r="C16">
            <v>0.3717839</v>
          </cell>
          <cell r="D16">
            <v>0.39948040000000001</v>
          </cell>
          <cell r="E16">
            <v>0.15796060000000001</v>
          </cell>
          <cell r="F16">
            <v>7.0775099999999994E-2</v>
          </cell>
        </row>
        <row r="17">
          <cell r="C17">
            <v>0.55492209999999997</v>
          </cell>
          <cell r="D17">
            <v>0.19039139999999999</v>
          </cell>
          <cell r="E17">
            <v>0.15122469999999999</v>
          </cell>
          <cell r="F17">
            <v>0.10346180000000001</v>
          </cell>
        </row>
        <row r="18">
          <cell r="C18">
            <v>0.2119104</v>
          </cell>
          <cell r="D18">
            <v>0.21138850000000001</v>
          </cell>
          <cell r="E18">
            <v>0.52761959999999997</v>
          </cell>
          <cell r="F18">
            <v>4.9081399999999997E-2</v>
          </cell>
        </row>
        <row r="19">
          <cell r="C19">
            <v>0.49518800000000002</v>
          </cell>
          <cell r="D19">
            <v>0.26027650000000002</v>
          </cell>
          <cell r="E19">
            <v>0.1407766</v>
          </cell>
          <cell r="F19">
            <v>0.1037589</v>
          </cell>
        </row>
      </sheetData>
      <sheetData sheetId="14"/>
      <sheetData sheetId="15"/>
      <sheetData sheetId="16"/>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energystar.gov/productfinder/product/certified-commercial-water-heaters/results?fuel_filter=Gas&amp;markets_filter=United+States" TargetMode="External"/><Relationship Id="rId3" Type="http://schemas.openxmlformats.org/officeDocument/2006/relationships/hyperlink" Target="https://title24stakeholders.com/wp-content/uploads/2016/10/T24-2019-CASE-Study-Results-Report-Outdoor-Sources_Final_with-Attachments.pdf" TargetMode="External"/><Relationship Id="rId7" Type="http://schemas.openxmlformats.org/officeDocument/2006/relationships/hyperlink" Target="https://efiling.energy.ca.gov/GetDocument.aspx?tn=265691&amp;DocumentContentId=102542" TargetMode="External"/><Relationship Id="rId2" Type="http://schemas.openxmlformats.org/officeDocument/2006/relationships/hyperlink" Target="https://title24stakeholders.com/wp-content/uploads/2020/10/2022-T24-Final-CASE-Report_Reduce-Infiltration.pdf" TargetMode="External"/><Relationship Id="rId1" Type="http://schemas.openxmlformats.org/officeDocument/2006/relationships/hyperlink" Target="https://www.energy.ca.gov/publications/2022/2022-nonresidential-and-multifamily-alternative-calculation-method-reference" TargetMode="External"/><Relationship Id="rId6" Type="http://schemas.openxmlformats.org/officeDocument/2006/relationships/hyperlink" Target="https://www.pnnl.gov/main/publications/external/technical_reports/PNNL-20405.pdf" TargetMode="External"/><Relationship Id="rId11" Type="http://schemas.openxmlformats.org/officeDocument/2006/relationships/drawing" Target="../drawings/drawing1.xml"/><Relationship Id="rId5" Type="http://schemas.openxmlformats.org/officeDocument/2006/relationships/hyperlink" Target="https://title24stakeholders.com/wp-content/uploads/2017/09/2019-T24-CASE-Report_Fume-Hoods_Final_September-2017.pdf?" TargetMode="External"/><Relationship Id="rId10" Type="http://schemas.openxmlformats.org/officeDocument/2006/relationships/hyperlink" Target="https://www.grainger.com/category/plumbing/water-heaters/electric-tank-water-heaters" TargetMode="External"/><Relationship Id="rId4" Type="http://schemas.openxmlformats.org/officeDocument/2006/relationships/hyperlink" Target="https://2050partners.sharepoint.com/:w:/r/sites/CalBEMCollaborativeEfforts/_layouts/15/Doc.aspx?sourcedoc=%7B3BEF8F74-7FAC-44F2-A70C-D76617660066%7D&amp;file=Infiltration_rate_report_14May2025-Short-Version.docx&amp;wdLOR=c494C5A60-5F8A-438B-874B-578DCB850072&amp;action=default&amp;mobileredirect=true" TargetMode="External"/><Relationship Id="rId9" Type="http://schemas.openxmlformats.org/officeDocument/2006/relationships/hyperlink" Target="https://www.grainger.com/category/plumbing/water-heaters/gas-tank-water-heaters"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hyperlink" Target="https://title24stakeholders.com/wp-content/uploads/2020/10/2022-T24-Final-CASE-Report_Reduce-Infiltration.pdf" TargetMode="External"/><Relationship Id="rId2" Type="http://schemas.openxmlformats.org/officeDocument/2006/relationships/hyperlink" Target="https://2050partners.sharepoint.com/:w:/r/sites/CalBEMCollaborativeEfforts/Shared%20Documents/Working%20Group%201%20-%20Streamlined%20Process/D%20-%20Complexity%20of%20Compliance/Prototype%20Unification/Project%20Development/Phase%202%20(Collect%20Inputs)%20Development/NR/Air%20Leakage%20Memo/Infiltration_rate_report_14May2025-Short-Version.docx?d=w3bef8f747fac44f2a70cd76617660066&amp;csf=1&amp;web=1&amp;e=wh5Dm4" TargetMode="External"/><Relationship Id="rId1" Type="http://schemas.openxmlformats.org/officeDocument/2006/relationships/hyperlink" Target="https://title24stakeholders.com/wp-content/uploads/2020/10/2022-T24-Final-CASE-Report_Reduce-Infiltration.pdf" TargetMode="External"/><Relationship Id="rId6" Type="http://schemas.openxmlformats.org/officeDocument/2006/relationships/hyperlink" Target="https://title24stakeholders.com/wp-content/uploads/2020/10/2022-T24-Final-CASE-Report_Reduce-Infiltration.pdf" TargetMode="External"/><Relationship Id="rId5" Type="http://schemas.openxmlformats.org/officeDocument/2006/relationships/hyperlink" Target="https://title24stakeholders.com/wp-content/uploads/2020/10/2022-T24-Final-CASE-Report_Reduce-Infiltration.pdf" TargetMode="External"/><Relationship Id="rId4" Type="http://schemas.openxmlformats.org/officeDocument/2006/relationships/hyperlink" Target="https://title24stakeholders.com/wp-content/uploads/2020/10/2022-T24-Final-CASE-Report_Reduce-Infiltration.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65BDF-3C17-4869-B954-111AEEDC46EB}">
  <sheetPr codeName="Sheet4"/>
  <dimension ref="A1:J53"/>
  <sheetViews>
    <sheetView zoomScale="85" zoomScaleNormal="85" workbookViewId="0">
      <selection activeCell="B12" sqref="B12"/>
    </sheetView>
  </sheetViews>
  <sheetFormatPr defaultColWidth="9.33203125" defaultRowHeight="13.2" x14ac:dyDescent="0.25"/>
  <cols>
    <col min="1" max="1" width="16.109375" style="4" bestFit="1" customWidth="1"/>
    <col min="2" max="2" width="83.6640625" style="4" customWidth="1"/>
    <col min="3" max="3" width="38.6640625" style="4" customWidth="1"/>
    <col min="4" max="7" width="9.33203125" style="4"/>
    <col min="8" max="8" width="10.6640625" style="4" customWidth="1"/>
    <col min="9" max="9" width="9.6640625" style="4" customWidth="1"/>
    <col min="10" max="10" width="9.6640625" style="4" bestFit="1" customWidth="1"/>
    <col min="11" max="16384" width="9.33203125" style="4"/>
  </cols>
  <sheetData>
    <row r="1" spans="1:7" ht="20.399999999999999" customHeight="1" x14ac:dyDescent="0.3">
      <c r="A1" s="631" t="s">
        <v>0</v>
      </c>
      <c r="B1" s="631"/>
      <c r="C1" s="631"/>
      <c r="D1"/>
      <c r="E1"/>
      <c r="F1"/>
    </row>
    <row r="2" spans="1:7" x14ac:dyDescent="0.25">
      <c r="A2" s="630" t="s">
        <v>1</v>
      </c>
      <c r="B2" s="4" t="s">
        <v>2</v>
      </c>
      <c r="C2" s="205"/>
      <c r="D2" s="597"/>
      <c r="E2" s="597"/>
      <c r="F2" s="597"/>
    </row>
    <row r="3" spans="1:7" x14ac:dyDescent="0.25">
      <c r="A3" s="630"/>
      <c r="B3" s="4" t="s">
        <v>3</v>
      </c>
      <c r="C3" s="265"/>
    </row>
    <row r="4" spans="1:7" x14ac:dyDescent="0.25">
      <c r="A4" s="630"/>
      <c r="B4" s="4" t="s">
        <v>4</v>
      </c>
      <c r="C4" s="265"/>
    </row>
    <row r="5" spans="1:7" x14ac:dyDescent="0.25">
      <c r="A5" s="630"/>
      <c r="C5" s="265"/>
    </row>
    <row r="6" spans="1:7" x14ac:dyDescent="0.25">
      <c r="A6" s="630" t="s">
        <v>5</v>
      </c>
      <c r="B6" s="4" t="s">
        <v>6</v>
      </c>
      <c r="C6" s="265" t="s">
        <v>7</v>
      </c>
      <c r="D6" s="66" t="s">
        <v>15</v>
      </c>
      <c r="E6" s="66"/>
      <c r="F6" s="66"/>
    </row>
    <row r="7" spans="1:7" ht="15" customHeight="1" x14ac:dyDescent="0.3">
      <c r="A7" s="630"/>
      <c r="C7" s="265"/>
      <c r="D7" s="266"/>
      <c r="E7" s="266"/>
      <c r="F7" s="266"/>
    </row>
    <row r="8" spans="1:7" ht="15" customHeight="1" x14ac:dyDescent="0.3">
      <c r="A8" s="630"/>
      <c r="C8" s="265"/>
      <c r="D8" s="266"/>
      <c r="E8" s="266"/>
      <c r="F8" s="266"/>
    </row>
    <row r="9" spans="1:7" ht="12.75" customHeight="1" x14ac:dyDescent="0.3">
      <c r="A9" s="634" t="s">
        <v>8</v>
      </c>
      <c r="B9" s="568" t="s">
        <v>9</v>
      </c>
      <c r="C9" s="265"/>
      <c r="D9" s="266"/>
      <c r="E9" s="266"/>
      <c r="F9" s="266"/>
    </row>
    <row r="10" spans="1:7" ht="12.75" customHeight="1" x14ac:dyDescent="0.3">
      <c r="A10" s="634"/>
      <c r="B10" s="568" t="s">
        <v>10</v>
      </c>
      <c r="C10" s="265"/>
      <c r="D10" s="266"/>
      <c r="E10" s="266"/>
      <c r="F10" s="266"/>
    </row>
    <row r="11" spans="1:7" ht="12.75" customHeight="1" x14ac:dyDescent="0.3">
      <c r="A11" s="634"/>
      <c r="B11" s="568" t="s">
        <v>11</v>
      </c>
      <c r="C11" s="265"/>
      <c r="D11" s="266"/>
      <c r="E11" s="266"/>
      <c r="F11" s="266"/>
    </row>
    <row r="12" spans="1:7" ht="12.75" customHeight="1" x14ac:dyDescent="0.3">
      <c r="A12" s="634"/>
      <c r="B12" s="568" t="s">
        <v>12</v>
      </c>
      <c r="C12" s="267"/>
      <c r="D12" s="266"/>
      <c r="E12" s="266"/>
      <c r="F12" s="266"/>
    </row>
    <row r="13" spans="1:7" x14ac:dyDescent="0.25">
      <c r="A13" s="634"/>
      <c r="B13" s="568" t="s">
        <v>13</v>
      </c>
      <c r="C13" s="268" t="s">
        <v>14</v>
      </c>
      <c r="D13" s="622" t="s">
        <v>15</v>
      </c>
      <c r="E13" s="206"/>
      <c r="F13" s="206"/>
      <c r="G13" s="4" t="s">
        <v>15</v>
      </c>
    </row>
    <row r="14" spans="1:7" x14ac:dyDescent="0.25">
      <c r="A14" s="634"/>
      <c r="C14" s="265"/>
      <c r="G14" s="4" t="s">
        <v>15</v>
      </c>
    </row>
    <row r="15" spans="1:7" ht="14.4" x14ac:dyDescent="0.3">
      <c r="A15" s="635" t="s">
        <v>16</v>
      </c>
      <c r="B15" s="102" t="s">
        <v>17</v>
      </c>
      <c r="C15" s="267" t="s">
        <v>18</v>
      </c>
      <c r="D15" s="266" t="s">
        <v>15</v>
      </c>
      <c r="E15" s="266"/>
      <c r="F15" s="266"/>
      <c r="G15" s="4" t="s">
        <v>15</v>
      </c>
    </row>
    <row r="16" spans="1:7" ht="14.4" x14ac:dyDescent="0.3">
      <c r="A16" s="635"/>
      <c r="B16" s="568" t="s">
        <v>19</v>
      </c>
      <c r="C16" s="267" t="s">
        <v>20</v>
      </c>
      <c r="D16" s="266" t="s">
        <v>15</v>
      </c>
      <c r="E16" s="266"/>
      <c r="F16" s="266"/>
    </row>
    <row r="17" spans="1:7" x14ac:dyDescent="0.25">
      <c r="A17" s="635"/>
      <c r="B17" s="102" t="s">
        <v>21</v>
      </c>
      <c r="C17" s="265" t="s">
        <v>22</v>
      </c>
      <c r="D17" s="4" t="s">
        <v>15</v>
      </c>
    </row>
    <row r="18" spans="1:7" ht="14.4" x14ac:dyDescent="0.3">
      <c r="A18" s="635"/>
      <c r="B18" s="568" t="s">
        <v>23</v>
      </c>
      <c r="C18" s="265" t="s">
        <v>24</v>
      </c>
      <c r="D18" s="266" t="s">
        <v>15</v>
      </c>
      <c r="E18" s="266"/>
      <c r="F18" s="266"/>
    </row>
    <row r="19" spans="1:7" ht="14.4" x14ac:dyDescent="0.3">
      <c r="A19" s="635"/>
      <c r="B19" s="568" t="s">
        <v>25</v>
      </c>
      <c r="C19" s="265" t="s">
        <v>26</v>
      </c>
      <c r="D19" s="204" t="s">
        <v>15</v>
      </c>
      <c r="E19" s="204"/>
      <c r="F19" s="204"/>
      <c r="G19" s="4" t="s">
        <v>15</v>
      </c>
    </row>
    <row r="20" spans="1:7" ht="25.5" customHeight="1" x14ac:dyDescent="0.25">
      <c r="A20" s="635"/>
      <c r="B20" s="591" t="s">
        <v>27</v>
      </c>
      <c r="C20" s="270" t="str">
        <f>HYPERLINK("https://www.energystar.gov/productfinder/product/certified-commercial-water-heaters/results?fuel_filter=Electric&amp;markets_filter=United+States","ENERGY STAR — electric (HPWH)")</f>
        <v>ENERGY STAR — electric (HPWH)</v>
      </c>
      <c r="D20" s="4" t="s">
        <v>15</v>
      </c>
    </row>
    <row r="21" spans="1:7" ht="14.4" x14ac:dyDescent="0.25">
      <c r="A21" s="635"/>
      <c r="B21" s="591" t="s">
        <v>28</v>
      </c>
      <c r="C21" s="270" t="str">
        <f>HYPERLINK("https://data.energystar.gov/Active-Specifications/ENERGY-STAR-Certified-Commercial-Water-Heaters/xmq6-bm79","ENERGY STAR dataset xmq6-bm79")</f>
        <v>ENERGY STAR dataset xmq6-bm79</v>
      </c>
      <c r="D21" s="4" t="s">
        <v>15</v>
      </c>
    </row>
    <row r="22" spans="1:7" ht="14.4" x14ac:dyDescent="0.25">
      <c r="A22" s="635"/>
      <c r="B22" s="591" t="s">
        <v>29</v>
      </c>
      <c r="C22" s="270" t="str">
        <f>HYPERLINK("https://www.energystar.gov/products/water_heaters/commercial_water_heaters/key_product_criteria","ENERGY STAR key product criteria")</f>
        <v>ENERGY STAR key product criteria</v>
      </c>
      <c r="D22" s="4" t="s">
        <v>15</v>
      </c>
    </row>
    <row r="23" spans="1:7" customFormat="1" ht="14.4" x14ac:dyDescent="0.3"/>
    <row r="24" spans="1:7" ht="18.600000000000001" customHeight="1" x14ac:dyDescent="0.3">
      <c r="A24" s="631" t="s">
        <v>30</v>
      </c>
      <c r="B24" s="631"/>
      <c r="C24" s="631"/>
      <c r="D24"/>
      <c r="E24"/>
      <c r="F24"/>
      <c r="G24"/>
    </row>
    <row r="25" spans="1:7" ht="18.600000000000001" customHeight="1" x14ac:dyDescent="0.25">
      <c r="C25" s="597"/>
      <c r="D25" s="597"/>
      <c r="E25" s="597"/>
      <c r="F25" s="597"/>
    </row>
    <row r="26" spans="1:7" ht="14.4" x14ac:dyDescent="0.3">
      <c r="B26"/>
      <c r="C26" s="597"/>
      <c r="D26" s="597"/>
      <c r="E26" s="597"/>
      <c r="F26" s="597"/>
    </row>
    <row r="27" spans="1:7" x14ac:dyDescent="0.25">
      <c r="C27" s="597"/>
      <c r="D27" s="597"/>
      <c r="E27" s="597"/>
      <c r="F27" s="597"/>
    </row>
    <row r="28" spans="1:7" ht="14.4" x14ac:dyDescent="0.3">
      <c r="B28"/>
      <c r="C28" s="597"/>
      <c r="D28" s="597"/>
      <c r="E28" s="597"/>
      <c r="F28" s="597"/>
    </row>
    <row r="29" spans="1:7" x14ac:dyDescent="0.25">
      <c r="C29" s="597"/>
      <c r="D29" s="597"/>
      <c r="E29" s="597"/>
      <c r="F29" s="597"/>
    </row>
    <row r="30" spans="1:7" x14ac:dyDescent="0.25">
      <c r="C30" s="597"/>
      <c r="D30" s="597"/>
      <c r="E30" s="597"/>
      <c r="F30" s="597"/>
    </row>
    <row r="31" spans="1:7" x14ac:dyDescent="0.25">
      <c r="C31" s="597"/>
      <c r="D31" s="597"/>
      <c r="E31" s="597"/>
      <c r="F31" s="597"/>
    </row>
    <row r="32" spans="1:7" x14ac:dyDescent="0.25">
      <c r="C32" s="597"/>
      <c r="D32" s="597"/>
      <c r="E32" s="597"/>
      <c r="F32" s="597"/>
    </row>
    <row r="33" spans="1:10" x14ac:dyDescent="0.25">
      <c r="C33" s="597"/>
      <c r="D33" s="597"/>
      <c r="E33" s="597"/>
      <c r="F33" s="597"/>
    </row>
    <row r="34" spans="1:10" x14ac:dyDescent="0.25">
      <c r="C34" s="597"/>
      <c r="D34" s="597"/>
      <c r="E34" s="597"/>
      <c r="F34" s="597"/>
    </row>
    <row r="35" spans="1:10" x14ac:dyDescent="0.25">
      <c r="C35" s="597"/>
      <c r="D35" s="597"/>
      <c r="E35" s="597"/>
      <c r="F35" s="597"/>
    </row>
    <row r="36" spans="1:10" ht="41.4" customHeight="1" x14ac:dyDescent="0.25">
      <c r="A36" s="590"/>
      <c r="B36" s="636" t="s">
        <v>31</v>
      </c>
      <c r="C36" s="636"/>
      <c r="D36" s="597"/>
      <c r="E36" s="597"/>
      <c r="F36" s="597"/>
    </row>
    <row r="37" spans="1:10" ht="19.2" customHeight="1" x14ac:dyDescent="0.3">
      <c r="A37" s="631" t="s">
        <v>32</v>
      </c>
      <c r="B37" s="631"/>
      <c r="C37" s="631"/>
      <c r="D37"/>
      <c r="E37"/>
      <c r="F37"/>
    </row>
    <row r="38" spans="1:10" ht="36" customHeight="1" x14ac:dyDescent="0.25">
      <c r="A38" s="8" t="s">
        <v>33</v>
      </c>
      <c r="B38" s="633" t="s">
        <v>34</v>
      </c>
      <c r="C38" s="632"/>
      <c r="D38" s="632"/>
      <c r="E38" s="632"/>
      <c r="F38" s="632"/>
      <c r="H38" s="618"/>
      <c r="I38" s="618"/>
      <c r="J38" s="618"/>
    </row>
    <row r="39" spans="1:10" ht="18" customHeight="1" x14ac:dyDescent="0.25">
      <c r="A39" s="8"/>
      <c r="B39" s="632"/>
      <c r="C39" s="632"/>
      <c r="D39" s="632"/>
      <c r="E39" s="632"/>
      <c r="F39" s="632"/>
      <c r="H39" s="24"/>
      <c r="I39" s="24"/>
      <c r="J39" s="24"/>
    </row>
    <row r="40" spans="1:10" ht="25.5" customHeight="1" x14ac:dyDescent="0.25">
      <c r="A40" s="629" t="s">
        <v>908</v>
      </c>
      <c r="B40" s="629"/>
      <c r="C40" s="629"/>
      <c r="D40" s="591"/>
      <c r="E40" s="591"/>
      <c r="F40" s="591"/>
    </row>
    <row r="41" spans="1:10" ht="48" customHeight="1" x14ac:dyDescent="0.25">
      <c r="A41" s="588" t="s">
        <v>35</v>
      </c>
      <c r="B41" s="628" t="s">
        <v>36</v>
      </c>
      <c r="C41" s="628"/>
      <c r="D41" s="628"/>
      <c r="E41" s="628"/>
      <c r="F41" s="628"/>
    </row>
    <row r="42" spans="1:10" ht="48" customHeight="1" x14ac:dyDescent="0.25">
      <c r="A42" s="227" t="s">
        <v>37</v>
      </c>
      <c r="B42" s="627" t="s">
        <v>38</v>
      </c>
      <c r="C42" s="627"/>
      <c r="D42" s="627"/>
      <c r="E42" s="627"/>
      <c r="F42" s="627"/>
    </row>
    <row r="43" spans="1:10" ht="48" customHeight="1" x14ac:dyDescent="0.25">
      <c r="A43" s="227" t="s">
        <v>39</v>
      </c>
      <c r="B43" s="627" t="s">
        <v>40</v>
      </c>
      <c r="C43" s="627"/>
      <c r="D43" s="627"/>
      <c r="E43" s="627"/>
      <c r="F43" s="627"/>
    </row>
    <row r="44" spans="1:10" ht="48" customHeight="1" x14ac:dyDescent="0.25">
      <c r="A44" s="227" t="s">
        <v>41</v>
      </c>
      <c r="B44" s="627" t="s">
        <v>42</v>
      </c>
      <c r="C44" s="627"/>
      <c r="D44" s="627"/>
      <c r="E44" s="627"/>
      <c r="F44" s="627"/>
    </row>
    <row r="45" spans="1:10" ht="48" customHeight="1" x14ac:dyDescent="0.25">
      <c r="A45" s="227" t="s">
        <v>43</v>
      </c>
      <c r="B45" s="627" t="s">
        <v>44</v>
      </c>
      <c r="C45" s="627"/>
      <c r="D45" s="627"/>
      <c r="E45" s="627"/>
      <c r="F45" s="627"/>
    </row>
    <row r="46" spans="1:10" ht="60" customHeight="1" x14ac:dyDescent="0.25">
      <c r="A46" s="227" t="s">
        <v>45</v>
      </c>
      <c r="B46" s="627" t="s">
        <v>46</v>
      </c>
      <c r="C46" s="627"/>
      <c r="D46" s="627"/>
      <c r="E46" s="627"/>
      <c r="F46" s="627"/>
    </row>
    <row r="47" spans="1:10" ht="60" customHeight="1" x14ac:dyDescent="0.25">
      <c r="A47" s="227" t="s">
        <v>47</v>
      </c>
      <c r="B47" s="627" t="s">
        <v>48</v>
      </c>
      <c r="C47" s="627"/>
      <c r="D47" s="627"/>
      <c r="E47" s="627"/>
      <c r="F47" s="627"/>
    </row>
    <row r="48" spans="1:10" x14ac:dyDescent="0.25">
      <c r="A48" s="205"/>
    </row>
    <row r="53" spans="7:7" ht="14.4" x14ac:dyDescent="0.3">
      <c r="G53"/>
    </row>
  </sheetData>
  <mergeCells count="18">
    <mergeCell ref="A40:C40"/>
    <mergeCell ref="A2:A5"/>
    <mergeCell ref="A6:A8"/>
    <mergeCell ref="A1:C1"/>
    <mergeCell ref="B39:F39"/>
    <mergeCell ref="B38:F38"/>
    <mergeCell ref="A9:A14"/>
    <mergeCell ref="A15:A22"/>
    <mergeCell ref="A24:C24"/>
    <mergeCell ref="A37:C37"/>
    <mergeCell ref="B36:C36"/>
    <mergeCell ref="B45:F45"/>
    <mergeCell ref="B46:F46"/>
    <mergeCell ref="B47:F47"/>
    <mergeCell ref="B41:F41"/>
    <mergeCell ref="B42:F42"/>
    <mergeCell ref="B43:F43"/>
    <mergeCell ref="B44:F44"/>
  </mergeCells>
  <phoneticPr fontId="4" type="noConversion"/>
  <hyperlinks>
    <hyperlink ref="C13" r:id="rId1" xr:uid="{87D88C54-C281-4B2E-B9A8-983AB6290955}"/>
    <hyperlink ref="C15" r:id="rId2" xr:uid="{F87135B5-8D72-47DE-B092-04ACB1C8BF50}"/>
    <hyperlink ref="C16" r:id="rId3" xr:uid="{3B9BBD2D-6E96-4D00-8CD8-F5D7E1C05A5F}"/>
    <hyperlink ref="C19" r:id="rId4" display="https://2050partners.sharepoint.com/:w:/r/sites/CalBEMCollaborativeEfforts/_layouts/15/Doc.aspx?sourcedoc=%7B3BEF8F74-7FAC-44F2-A70C-D76617660066%7D&amp;file=Infiltration_rate_report_14May2025-Short-Version.docx&amp;wdLOR=c494C5A60-5F8A-438B-874B-578DCB850072&amp;action=default&amp;mobileredirect=true" xr:uid="{F13DF602-3714-4714-86A5-47A38BCAA386}"/>
    <hyperlink ref="C17" r:id="rId5" xr:uid="{76DC7110-81CB-4BDB-BF64-0F24F4781C94}"/>
    <hyperlink ref="C18" r:id="rId6" xr:uid="{932CE4A4-00A0-442A-A141-FF3A55090AFF}"/>
    <hyperlink ref="C6" r:id="rId7" xr:uid="{FC18692D-9D27-4C2D-B4C4-156EE7640EF4}"/>
    <hyperlink ref="C20" r:id="rId8" display="https://www.energystar.gov/productfinder/product/certified-commercial-water-heaters/results?fuel_filter=Gas&amp;markets_filter=United+States" xr:uid="{6A102D6C-AE8E-400F-8CEF-8A0A1E95685A}"/>
    <hyperlink ref="C21" r:id="rId9" display="https://www.grainger.com/category/plumbing/water-heaters/gas-tank-water-heaters" xr:uid="{0CAA8E04-EF4D-4D5A-9AFF-BB88D3AA909F}"/>
    <hyperlink ref="C22" r:id="rId10" display="https://www.grainger.com/category/plumbing/water-heaters/electric-tank-water-heaters" xr:uid="{CF47F639-5CF9-4D22-8E54-17F7249E15CE}"/>
  </hyperlinks>
  <pageMargins left="0.7" right="0.7" top="0.75" bottom="0.75" header="0.3" footer="0.3"/>
  <drawing r:id="rId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A2FF8-E67F-4AF9-A6F9-E2B7AE862021}">
  <sheetPr codeName="Sheet1"/>
  <dimension ref="A1:I36"/>
  <sheetViews>
    <sheetView tabSelected="1" zoomScale="70" zoomScaleNormal="70" workbookViewId="0">
      <selection sqref="A1:C1"/>
    </sheetView>
  </sheetViews>
  <sheetFormatPr defaultColWidth="9.33203125" defaultRowHeight="13.8" x14ac:dyDescent="0.25"/>
  <cols>
    <col min="1" max="1" width="36.44140625" style="2" customWidth="1"/>
    <col min="2" max="2" width="51.33203125" style="2" customWidth="1"/>
    <col min="3" max="3" width="51.109375" style="2" customWidth="1"/>
    <col min="4" max="5" width="49.88671875" style="2" customWidth="1"/>
    <col min="6" max="9" width="8.6640625" style="2" customWidth="1"/>
    <col min="10" max="16384" width="9.33203125" style="2"/>
  </cols>
  <sheetData>
    <row r="1" spans="1:9" ht="17.399999999999999" x14ac:dyDescent="0.25">
      <c r="A1" s="623" t="s">
        <v>907</v>
      </c>
      <c r="B1" s="623"/>
      <c r="C1" s="623"/>
      <c r="D1" s="11"/>
      <c r="E1" s="11"/>
      <c r="F1" s="11"/>
    </row>
    <row r="2" spans="1:9" ht="25.2" customHeight="1" x14ac:dyDescent="0.25">
      <c r="A2" s="624" t="s">
        <v>49</v>
      </c>
      <c r="B2" s="624"/>
      <c r="C2" s="624"/>
      <c r="D2" s="11"/>
      <c r="E2" s="11"/>
      <c r="F2" s="11"/>
    </row>
    <row r="3" spans="1:9" ht="20.399999999999999" customHeight="1" x14ac:dyDescent="0.25">
      <c r="A3" s="109" t="s">
        <v>50</v>
      </c>
      <c r="B3" s="605" t="s">
        <v>51</v>
      </c>
      <c r="C3" s="605" t="s">
        <v>0</v>
      </c>
    </row>
    <row r="4" spans="1:9" ht="16.2" customHeight="1" x14ac:dyDescent="0.25">
      <c r="A4" s="13" t="s">
        <v>52</v>
      </c>
      <c r="B4" s="592" t="s">
        <v>53</v>
      </c>
      <c r="C4" s="13"/>
    </row>
    <row r="5" spans="1:9" ht="16.2" customHeight="1" x14ac:dyDescent="0.25">
      <c r="A5" s="13" t="s">
        <v>54</v>
      </c>
      <c r="B5" s="592" t="s">
        <v>55</v>
      </c>
      <c r="C5" s="13"/>
    </row>
    <row r="6" spans="1:9" ht="16.2" customHeight="1" x14ac:dyDescent="0.25">
      <c r="A6" s="290" t="s">
        <v>56</v>
      </c>
      <c r="B6" s="596" t="s">
        <v>57</v>
      </c>
      <c r="C6" s="13"/>
    </row>
    <row r="7" spans="1:9" ht="81" customHeight="1" x14ac:dyDescent="0.25">
      <c r="A7" s="13" t="s">
        <v>58</v>
      </c>
      <c r="B7" s="606" t="s">
        <v>59</v>
      </c>
      <c r="C7" s="296" t="s">
        <v>60</v>
      </c>
      <c r="D7" s="55"/>
    </row>
    <row r="8" spans="1:9" ht="97.2" customHeight="1" x14ac:dyDescent="0.3">
      <c r="A8" s="13" t="s">
        <v>61</v>
      </c>
      <c r="B8"/>
      <c r="C8" s="207" t="s">
        <v>62</v>
      </c>
      <c r="D8"/>
      <c r="I8" s="3"/>
    </row>
    <row r="9" spans="1:9" ht="26.4" x14ac:dyDescent="0.25">
      <c r="A9" s="103" t="s">
        <v>63</v>
      </c>
      <c r="B9" s="291">
        <v>174818.98</v>
      </c>
      <c r="C9" s="207" t="s">
        <v>64</v>
      </c>
    </row>
    <row r="10" spans="1:9" ht="19.2" customHeight="1" x14ac:dyDescent="0.25">
      <c r="A10" s="103" t="s">
        <v>65</v>
      </c>
      <c r="B10" s="54" t="s">
        <v>66</v>
      </c>
      <c r="C10" s="208" t="s">
        <v>67</v>
      </c>
    </row>
    <row r="11" spans="1:9" ht="19.2" customHeight="1" x14ac:dyDescent="0.25">
      <c r="A11" s="110" t="s">
        <v>68</v>
      </c>
      <c r="B11" s="54" t="s">
        <v>66</v>
      </c>
      <c r="C11" s="208" t="s">
        <v>67</v>
      </c>
    </row>
    <row r="12" spans="1:9" ht="19.2" customHeight="1" x14ac:dyDescent="0.25">
      <c r="A12" s="110" t="s">
        <v>69</v>
      </c>
      <c r="B12" s="592" t="s">
        <v>70</v>
      </c>
      <c r="C12" s="208" t="s">
        <v>67</v>
      </c>
    </row>
    <row r="13" spans="1:9" ht="19.2" customHeight="1" x14ac:dyDescent="0.25">
      <c r="A13" s="110" t="s">
        <v>71</v>
      </c>
      <c r="B13" s="134">
        <v>6.8599999999999994E-2</v>
      </c>
      <c r="C13" s="208" t="s">
        <v>67</v>
      </c>
    </row>
    <row r="14" spans="1:9" ht="19.2" customHeight="1" x14ac:dyDescent="0.25">
      <c r="A14" s="103" t="s">
        <v>72</v>
      </c>
      <c r="B14" s="12" t="s">
        <v>73</v>
      </c>
      <c r="C14" s="208" t="s">
        <v>67</v>
      </c>
    </row>
    <row r="15" spans="1:9" ht="57.75" customHeight="1" x14ac:dyDescent="0.25">
      <c r="A15" s="103" t="s">
        <v>74</v>
      </c>
      <c r="B15" s="54" t="s">
        <v>75</v>
      </c>
      <c r="C15" s="208" t="s">
        <v>67</v>
      </c>
    </row>
    <row r="16" spans="1:9" ht="50.25" customHeight="1" x14ac:dyDescent="0.25">
      <c r="A16" s="103" t="s">
        <v>76</v>
      </c>
      <c r="B16" s="606" t="s">
        <v>75</v>
      </c>
      <c r="C16" s="208" t="s">
        <v>67</v>
      </c>
    </row>
    <row r="17" spans="1:5" ht="30.6" customHeight="1" x14ac:dyDescent="0.25">
      <c r="A17" s="103" t="s">
        <v>77</v>
      </c>
      <c r="B17" s="54" t="s">
        <v>66</v>
      </c>
      <c r="C17" s="208" t="s">
        <v>67</v>
      </c>
    </row>
    <row r="18" spans="1:5" x14ac:dyDescent="0.25">
      <c r="A18" s="75"/>
      <c r="B18" s="7"/>
      <c r="C18" s="6"/>
    </row>
    <row r="19" spans="1:5" x14ac:dyDescent="0.25">
      <c r="A19" s="75"/>
      <c r="B19" s="7"/>
      <c r="C19" s="6"/>
    </row>
    <row r="21" spans="1:5" ht="18" x14ac:dyDescent="0.25">
      <c r="A21" s="111" t="s">
        <v>78</v>
      </c>
      <c r="B21" s="114">
        <v>140514</v>
      </c>
      <c r="C21" s="115"/>
    </row>
    <row r="22" spans="1:5" ht="18" x14ac:dyDescent="0.25">
      <c r="A22" s="111" t="s">
        <v>79</v>
      </c>
      <c r="B22" s="114">
        <v>140514</v>
      </c>
      <c r="C22" s="115"/>
    </row>
    <row r="23" spans="1:5" ht="22.2" customHeight="1" x14ac:dyDescent="0.25">
      <c r="A23" s="111" t="s">
        <v>80</v>
      </c>
      <c r="B23" s="114">
        <v>134334.45000000001</v>
      </c>
      <c r="C23" s="6"/>
    </row>
    <row r="24" spans="1:5" x14ac:dyDescent="0.25">
      <c r="A24" s="111" t="s">
        <v>81</v>
      </c>
      <c r="B24" s="114">
        <v>0</v>
      </c>
      <c r="C24" s="6"/>
    </row>
    <row r="25" spans="1:5" x14ac:dyDescent="0.25">
      <c r="A25" s="75"/>
      <c r="B25" s="7"/>
      <c r="C25" s="6"/>
    </row>
    <row r="26" spans="1:5" x14ac:dyDescent="0.25">
      <c r="A26" s="75"/>
      <c r="B26" s="7"/>
      <c r="C26" s="6"/>
    </row>
    <row r="27" spans="1:5" x14ac:dyDescent="0.25">
      <c r="A27" s="75"/>
      <c r="B27" s="7"/>
      <c r="C27" s="6"/>
    </row>
    <row r="28" spans="1:5" x14ac:dyDescent="0.25">
      <c r="A28" s="75"/>
      <c r="B28" s="7"/>
      <c r="C28" s="6"/>
    </row>
    <row r="29" spans="1:5" ht="14.4" thickBot="1" x14ac:dyDescent="0.3">
      <c r="A29" s="75"/>
      <c r="B29" s="7"/>
      <c r="C29" s="6"/>
    </row>
    <row r="30" spans="1:5" ht="18" x14ac:dyDescent="0.25">
      <c r="A30" s="625" t="s">
        <v>906</v>
      </c>
      <c r="B30" s="626"/>
      <c r="C30" s="626"/>
      <c r="D30" s="626"/>
    </row>
    <row r="31" spans="1:5" customFormat="1" ht="14.4" x14ac:dyDescent="0.3">
      <c r="A31" s="199"/>
      <c r="B31" s="198" t="s">
        <v>82</v>
      </c>
      <c r="C31" s="198" t="s">
        <v>83</v>
      </c>
      <c r="D31" s="198" t="s">
        <v>84</v>
      </c>
      <c r="E31" s="2"/>
    </row>
    <row r="32" spans="1:5" customFormat="1" ht="136.5" customHeight="1" x14ac:dyDescent="0.3">
      <c r="A32" s="200" t="s">
        <v>35</v>
      </c>
      <c r="B32" s="197"/>
      <c r="C32" s="197"/>
      <c r="D32" s="197"/>
      <c r="E32" s="2"/>
    </row>
    <row r="33" spans="1:5" customFormat="1" ht="14.4" x14ac:dyDescent="0.3">
      <c r="A33" s="200"/>
      <c r="B33" s="197"/>
      <c r="C33" s="197"/>
      <c r="D33" s="197"/>
      <c r="E33" s="2"/>
    </row>
    <row r="34" spans="1:5" ht="14.4" x14ac:dyDescent="0.25">
      <c r="A34" s="198"/>
      <c r="B34" s="198"/>
      <c r="C34" s="198"/>
      <c r="D34" s="198"/>
    </row>
    <row r="35" spans="1:5" ht="14.4" x14ac:dyDescent="0.25">
      <c r="A35" s="197"/>
      <c r="B35" s="197"/>
      <c r="C35" s="197"/>
      <c r="D35" s="197"/>
    </row>
    <row r="36" spans="1:5" ht="14.4" x14ac:dyDescent="0.25">
      <c r="A36" s="197"/>
      <c r="B36" s="197"/>
      <c r="C36" s="197"/>
      <c r="D36" s="197"/>
    </row>
  </sheetData>
  <mergeCells count="3">
    <mergeCell ref="A1:C1"/>
    <mergeCell ref="A2:C2"/>
    <mergeCell ref="A30:D30"/>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DC9C1-ABE9-4C74-8C0A-F769CBEC5074}">
  <sheetPr codeName="Sheet5"/>
  <dimension ref="A1:AC151"/>
  <sheetViews>
    <sheetView zoomScale="85" zoomScaleNormal="85" workbookViewId="0">
      <pane ySplit="2" topLeftCell="A5" activePane="bottomLeft" state="frozen"/>
      <selection pane="bottomLeft" sqref="A1:L1"/>
    </sheetView>
  </sheetViews>
  <sheetFormatPr defaultColWidth="8.6640625" defaultRowHeight="13.2" x14ac:dyDescent="0.25"/>
  <cols>
    <col min="1" max="1" width="28.88671875" style="4" customWidth="1"/>
    <col min="2" max="2" width="53.109375" style="4" customWidth="1"/>
    <col min="3" max="3" width="53.6640625" style="4" customWidth="1"/>
    <col min="4" max="4" width="18.44140625" style="4" customWidth="1"/>
    <col min="5" max="5" width="20" style="4" customWidth="1"/>
    <col min="6" max="6" width="19" style="4" customWidth="1"/>
    <col min="7" max="7" width="14.6640625" style="4" customWidth="1"/>
    <col min="8" max="8" width="12.6640625" style="4" customWidth="1"/>
    <col min="9" max="9" width="12" style="4" bestFit="1" customWidth="1"/>
    <col min="10" max="11" width="11.33203125" style="4" customWidth="1"/>
    <col min="12" max="12" width="28.109375" style="4" bestFit="1" customWidth="1"/>
    <col min="13" max="13" width="28.109375" style="4" customWidth="1"/>
    <col min="14" max="16" width="24.44140625" style="4" customWidth="1"/>
    <col min="17" max="17" width="45.44140625" style="4" customWidth="1"/>
    <col min="18" max="18" width="12.88671875" style="4" customWidth="1"/>
    <col min="19" max="19" width="25.33203125" style="4" customWidth="1"/>
    <col min="20" max="20" width="22.33203125" style="4" bestFit="1" customWidth="1"/>
    <col min="21" max="21" width="25.6640625" style="4" customWidth="1"/>
    <col min="22" max="23" width="8.6640625" style="4"/>
    <col min="24" max="24" width="48.5546875" style="4" bestFit="1" customWidth="1"/>
    <col min="25" max="16384" width="8.6640625" style="4"/>
  </cols>
  <sheetData>
    <row r="1" spans="1:20" ht="25.95" customHeight="1" x14ac:dyDescent="0.25">
      <c r="A1" s="638" t="str">
        <f>"Proposed Layout - "&amp;Prototype!A2</f>
        <v>Proposed Layout - SchoolHigh</v>
      </c>
      <c r="B1" s="638"/>
      <c r="C1" s="638"/>
      <c r="D1" s="638"/>
      <c r="E1" s="638"/>
      <c r="F1" s="638"/>
      <c r="G1" s="638"/>
      <c r="H1" s="638"/>
      <c r="I1" s="638"/>
      <c r="J1" s="638"/>
      <c r="K1" s="638"/>
      <c r="L1" s="639"/>
      <c r="M1" s="587"/>
    </row>
    <row r="2" spans="1:20" ht="53.4" customHeight="1" x14ac:dyDescent="0.25">
      <c r="A2" s="327" t="s">
        <v>85</v>
      </c>
      <c r="B2" s="68" t="s">
        <v>86</v>
      </c>
      <c r="C2" s="177" t="s">
        <v>87</v>
      </c>
      <c r="D2" s="614" t="s">
        <v>88</v>
      </c>
      <c r="E2" s="68" t="s">
        <v>89</v>
      </c>
      <c r="F2" s="22" t="s">
        <v>90</v>
      </c>
      <c r="G2" s="23" t="s">
        <v>91</v>
      </c>
      <c r="H2" s="23" t="s">
        <v>92</v>
      </c>
      <c r="I2" s="22" t="s">
        <v>93</v>
      </c>
      <c r="J2" s="22" t="s">
        <v>94</v>
      </c>
      <c r="K2" s="87" t="s">
        <v>95</v>
      </c>
      <c r="L2" s="22" t="s">
        <v>96</v>
      </c>
      <c r="M2" s="311" t="s">
        <v>32</v>
      </c>
      <c r="N2" s="41" t="s">
        <v>97</v>
      </c>
      <c r="Q2" s="129"/>
      <c r="R2" s="129"/>
      <c r="S2" s="129"/>
    </row>
    <row r="3" spans="1:20" s="6" customFormat="1" ht="17.7" customHeight="1" x14ac:dyDescent="0.3">
      <c r="A3" s="323" t="s">
        <v>98</v>
      </c>
      <c r="B3" s="325" t="s">
        <v>99</v>
      </c>
      <c r="C3" s="310" t="s">
        <v>100</v>
      </c>
      <c r="D3" s="88" t="s">
        <v>101</v>
      </c>
      <c r="E3" s="141" t="s">
        <v>102</v>
      </c>
      <c r="F3" s="88" t="s">
        <v>103</v>
      </c>
      <c r="G3" s="128">
        <f>(H3*J3)/SUMPRODUCT($H$3:$H$44,$J$3:$J$44)</f>
        <v>3.2902596473621897E-3</v>
      </c>
      <c r="H3" s="130">
        <v>575.20000000000005</v>
      </c>
      <c r="I3" s="14">
        <v>8053.16</v>
      </c>
      <c r="J3" s="14">
        <v>1</v>
      </c>
      <c r="K3" s="127">
        <f>L3*H3/1000</f>
        <v>18.981600000000004</v>
      </c>
      <c r="L3" s="315">
        <v>33</v>
      </c>
      <c r="M3" s="312"/>
      <c r="N3" s="49">
        <f>J3*H3</f>
        <v>575.20000000000005</v>
      </c>
      <c r="O3" s="129"/>
      <c r="P3" s="129"/>
      <c r="Q3" s="129"/>
      <c r="R3" s="129"/>
      <c r="S3" s="129"/>
      <c r="T3" s="129"/>
    </row>
    <row r="4" spans="1:20" s="6" customFormat="1" ht="17.399999999999999" customHeight="1" x14ac:dyDescent="0.3">
      <c r="A4" s="323" t="s">
        <v>98</v>
      </c>
      <c r="B4" s="325" t="s">
        <v>104</v>
      </c>
      <c r="C4" s="310" t="s">
        <v>105</v>
      </c>
      <c r="D4" s="88" t="s">
        <v>106</v>
      </c>
      <c r="E4" s="141" t="s">
        <v>102</v>
      </c>
      <c r="F4" s="88" t="s">
        <v>103</v>
      </c>
      <c r="G4" s="128">
        <f t="shared" ref="G4:G44" si="0">(H4*J4)/SUMPRODUCT($H$3:$H$44,$J$3:$J$44)</f>
        <v>3.1530835058402963E-2</v>
      </c>
      <c r="H4" s="130">
        <v>5512.19</v>
      </c>
      <c r="I4" s="14">
        <v>137811.47</v>
      </c>
      <c r="J4" s="14">
        <v>1</v>
      </c>
      <c r="K4" s="127">
        <f t="shared" ref="K4:K44" si="1">L4*H4/1000</f>
        <v>181.90226999999999</v>
      </c>
      <c r="L4" s="315">
        <v>33</v>
      </c>
      <c r="M4" s="312"/>
      <c r="N4" s="49">
        <f t="shared" ref="N4:N44" si="2">J4*H4</f>
        <v>5512.19</v>
      </c>
      <c r="O4" s="129"/>
      <c r="P4" s="129"/>
      <c r="Q4" s="129"/>
      <c r="R4" s="129"/>
      <c r="S4" s="129"/>
      <c r="T4" s="129"/>
    </row>
    <row r="5" spans="1:20" s="6" customFormat="1" ht="25.5" customHeight="1" x14ac:dyDescent="0.3">
      <c r="A5" s="323" t="s">
        <v>98</v>
      </c>
      <c r="B5" s="325" t="s">
        <v>107</v>
      </c>
      <c r="C5" s="310" t="s">
        <v>108</v>
      </c>
      <c r="D5" s="88" t="s">
        <v>109</v>
      </c>
      <c r="E5" s="141" t="s">
        <v>102</v>
      </c>
      <c r="F5" s="88" t="s">
        <v>103</v>
      </c>
      <c r="G5" s="128">
        <f t="shared" si="0"/>
        <v>9.5798495163827418E-3</v>
      </c>
      <c r="H5" s="130">
        <v>1674.74</v>
      </c>
      <c r="I5" s="14">
        <v>23447.5</v>
      </c>
      <c r="J5" s="14">
        <v>1</v>
      </c>
      <c r="K5" s="127">
        <f t="shared" si="1"/>
        <v>55.266419999999997</v>
      </c>
      <c r="L5" s="315">
        <v>33</v>
      </c>
      <c r="M5" s="312"/>
      <c r="N5" s="49">
        <f t="shared" si="2"/>
        <v>1674.74</v>
      </c>
      <c r="O5" s="129"/>
      <c r="P5" s="129"/>
      <c r="Q5" s="129"/>
      <c r="R5" s="129"/>
      <c r="S5" s="129"/>
      <c r="T5" s="129"/>
    </row>
    <row r="6" spans="1:20" s="6" customFormat="1" ht="17.7" customHeight="1" x14ac:dyDescent="0.3">
      <c r="A6" s="323" t="s">
        <v>98</v>
      </c>
      <c r="B6" s="325" t="s">
        <v>110</v>
      </c>
      <c r="C6" s="310" t="s">
        <v>111</v>
      </c>
      <c r="D6" s="88" t="s">
        <v>112</v>
      </c>
      <c r="E6" s="141" t="s">
        <v>102</v>
      </c>
      <c r="F6" s="88" t="s">
        <v>103</v>
      </c>
      <c r="G6" s="128">
        <f t="shared" si="0"/>
        <v>0.11295017481792458</v>
      </c>
      <c r="H6" s="130">
        <v>1161.52</v>
      </c>
      <c r="I6" s="14">
        <v>16262.09</v>
      </c>
      <c r="J6" s="14">
        <v>17</v>
      </c>
      <c r="K6" s="127">
        <f t="shared" si="1"/>
        <v>5.8076000000000008</v>
      </c>
      <c r="L6" s="315">
        <v>5</v>
      </c>
      <c r="M6" s="312"/>
      <c r="N6" s="49">
        <f t="shared" si="2"/>
        <v>19745.84</v>
      </c>
      <c r="O6" s="129"/>
      <c r="P6" s="129"/>
      <c r="Q6" s="129"/>
      <c r="R6" s="129"/>
      <c r="S6" s="129"/>
      <c r="T6" s="129"/>
    </row>
    <row r="7" spans="1:20" s="6" customFormat="1" ht="17.7" customHeight="1" x14ac:dyDescent="0.3">
      <c r="A7" s="323" t="s">
        <v>98</v>
      </c>
      <c r="B7" s="325" t="s">
        <v>113</v>
      </c>
      <c r="C7" s="310" t="s">
        <v>114</v>
      </c>
      <c r="D7" s="88" t="s">
        <v>115</v>
      </c>
      <c r="E7" s="368" t="s">
        <v>116</v>
      </c>
      <c r="F7" s="88" t="s">
        <v>103</v>
      </c>
      <c r="G7" s="128">
        <f t="shared" si="0"/>
        <v>7.9570856788302741E-3</v>
      </c>
      <c r="H7" s="130">
        <v>278.20999999999998</v>
      </c>
      <c r="I7" s="14">
        <v>3895.07</v>
      </c>
      <c r="J7" s="14">
        <v>5</v>
      </c>
      <c r="K7" s="127">
        <f t="shared" si="1"/>
        <v>1.3910499999999999</v>
      </c>
      <c r="L7" s="315">
        <v>5</v>
      </c>
      <c r="M7" s="312"/>
      <c r="N7" s="49">
        <f t="shared" si="2"/>
        <v>1391.05</v>
      </c>
      <c r="O7" s="129"/>
      <c r="P7" s="129"/>
      <c r="Q7" s="129"/>
      <c r="R7" s="129"/>
      <c r="S7" s="129"/>
      <c r="T7" s="129"/>
    </row>
    <row r="8" spans="1:20" s="6" customFormat="1" ht="17.7" customHeight="1" x14ac:dyDescent="0.3">
      <c r="A8" s="323" t="s">
        <v>98</v>
      </c>
      <c r="B8" s="325" t="s">
        <v>117</v>
      </c>
      <c r="C8" s="310" t="s">
        <v>114</v>
      </c>
      <c r="D8" s="88" t="s">
        <v>118</v>
      </c>
      <c r="E8" s="368" t="s">
        <v>116</v>
      </c>
      <c r="F8" s="88" t="s">
        <v>103</v>
      </c>
      <c r="G8" s="128">
        <f t="shared" si="0"/>
        <v>9.7309200262694524E-3</v>
      </c>
      <c r="H8" s="130">
        <v>340.23</v>
      </c>
      <c r="I8" s="14">
        <v>4763.43</v>
      </c>
      <c r="J8" s="14">
        <v>5</v>
      </c>
      <c r="K8" s="127">
        <f t="shared" si="1"/>
        <v>1.7011500000000002</v>
      </c>
      <c r="L8" s="315">
        <v>5</v>
      </c>
      <c r="M8" s="312"/>
      <c r="N8" s="49">
        <f t="shared" si="2"/>
        <v>1701.15</v>
      </c>
      <c r="O8" s="129"/>
      <c r="P8" s="129"/>
      <c r="Q8" s="129"/>
      <c r="R8" s="129"/>
      <c r="S8" s="129"/>
      <c r="T8" s="129"/>
    </row>
    <row r="9" spans="1:20" s="6" customFormat="1" ht="17.7" customHeight="1" x14ac:dyDescent="0.3">
      <c r="A9" s="323" t="s">
        <v>98</v>
      </c>
      <c r="B9" s="325" t="s">
        <v>119</v>
      </c>
      <c r="C9" s="310" t="s">
        <v>120</v>
      </c>
      <c r="D9" s="88" t="s">
        <v>121</v>
      </c>
      <c r="E9" s="141" t="s">
        <v>122</v>
      </c>
      <c r="F9" s="88" t="s">
        <v>103</v>
      </c>
      <c r="G9" s="128">
        <f t="shared" si="0"/>
        <v>8.3357629887318326E-3</v>
      </c>
      <c r="H9" s="130">
        <v>1457.25</v>
      </c>
      <c r="I9" s="14">
        <v>20402.54</v>
      </c>
      <c r="J9" s="14">
        <v>1</v>
      </c>
      <c r="K9" s="127">
        <f t="shared" si="1"/>
        <v>4.3717499999999996</v>
      </c>
      <c r="L9" s="315">
        <v>3</v>
      </c>
      <c r="M9" s="312"/>
      <c r="N9" s="49">
        <f t="shared" si="2"/>
        <v>1457.25</v>
      </c>
      <c r="O9" s="129"/>
      <c r="P9" s="129"/>
      <c r="Q9" s="129"/>
      <c r="R9" s="129"/>
      <c r="S9" s="129"/>
      <c r="T9" s="129"/>
    </row>
    <row r="10" spans="1:20" s="6" customFormat="1" ht="17.7" customHeight="1" x14ac:dyDescent="0.3">
      <c r="A10" s="323" t="s">
        <v>98</v>
      </c>
      <c r="B10" s="325" t="s">
        <v>123</v>
      </c>
      <c r="C10" s="310" t="s">
        <v>124</v>
      </c>
      <c r="D10" s="88" t="s">
        <v>125</v>
      </c>
      <c r="E10" s="141" t="s">
        <v>102</v>
      </c>
      <c r="F10" s="88" t="s">
        <v>103</v>
      </c>
      <c r="G10" s="128">
        <f t="shared" si="0"/>
        <v>2.8405832019546155E-2</v>
      </c>
      <c r="H10" s="130">
        <v>1241.47</v>
      </c>
      <c r="I10" s="14">
        <v>17381.45</v>
      </c>
      <c r="J10" s="14">
        <v>4</v>
      </c>
      <c r="K10" s="127">
        <f t="shared" si="1"/>
        <v>40.968510000000002</v>
      </c>
      <c r="L10" s="315">
        <v>33</v>
      </c>
      <c r="M10" s="312"/>
      <c r="N10" s="49">
        <f t="shared" si="2"/>
        <v>4965.88</v>
      </c>
      <c r="O10" s="129"/>
      <c r="P10" s="129"/>
      <c r="Q10" s="129"/>
      <c r="R10" s="129"/>
      <c r="S10" s="129"/>
      <c r="T10" s="129"/>
    </row>
    <row r="11" spans="1:20" s="6" customFormat="1" ht="17.7" customHeight="1" x14ac:dyDescent="0.3">
      <c r="A11" s="323" t="s">
        <v>98</v>
      </c>
      <c r="B11" s="325" t="s">
        <v>126</v>
      </c>
      <c r="C11" s="310" t="s">
        <v>127</v>
      </c>
      <c r="D11" s="88" t="s">
        <v>128</v>
      </c>
      <c r="E11" s="141" t="s">
        <v>102</v>
      </c>
      <c r="F11" s="88" t="s">
        <v>103</v>
      </c>
      <c r="G11" s="128">
        <f t="shared" si="0"/>
        <v>3.5980636661809638E-2</v>
      </c>
      <c r="H11" s="130">
        <v>1048.3499999999999</v>
      </c>
      <c r="I11" s="14">
        <v>14677.59</v>
      </c>
      <c r="J11" s="14">
        <v>6</v>
      </c>
      <c r="K11" s="127">
        <f t="shared" si="1"/>
        <v>5.2417499999999997</v>
      </c>
      <c r="L11" s="315">
        <v>5</v>
      </c>
      <c r="M11" s="312"/>
      <c r="N11" s="49">
        <f t="shared" si="2"/>
        <v>6290.0999999999995</v>
      </c>
      <c r="O11" s="129"/>
      <c r="P11" s="129"/>
      <c r="Q11" s="129"/>
      <c r="R11" s="129"/>
      <c r="S11" s="129"/>
      <c r="T11" s="129"/>
    </row>
    <row r="12" spans="1:20" s="6" customFormat="1" ht="17.7" customHeight="1" x14ac:dyDescent="0.3">
      <c r="A12" s="323" t="s">
        <v>98</v>
      </c>
      <c r="B12" s="325" t="s">
        <v>129</v>
      </c>
      <c r="C12" s="310" t="s">
        <v>130</v>
      </c>
      <c r="D12" s="88" t="s">
        <v>131</v>
      </c>
      <c r="E12" s="368" t="s">
        <v>132</v>
      </c>
      <c r="F12" s="88" t="s">
        <v>103</v>
      </c>
      <c r="G12" s="128">
        <f t="shared" si="0"/>
        <v>1.0309747171117468E-2</v>
      </c>
      <c r="H12" s="130">
        <v>901.17</v>
      </c>
      <c r="I12" s="14">
        <v>12620.46</v>
      </c>
      <c r="J12" s="14">
        <v>2</v>
      </c>
      <c r="K12" s="127">
        <f t="shared" si="1"/>
        <v>4.5058499999999997</v>
      </c>
      <c r="L12" s="315">
        <v>5</v>
      </c>
      <c r="M12" s="312"/>
      <c r="N12" s="49">
        <f t="shared" si="2"/>
        <v>1802.34</v>
      </c>
      <c r="O12" s="129"/>
      <c r="P12" s="129"/>
      <c r="Q12" s="129"/>
      <c r="R12" s="129"/>
      <c r="S12" s="129"/>
      <c r="T12" s="129"/>
    </row>
    <row r="13" spans="1:20" s="6" customFormat="1" ht="17.7" customHeight="1" x14ac:dyDescent="0.3">
      <c r="A13" s="323" t="s">
        <v>98</v>
      </c>
      <c r="B13" s="325" t="s">
        <v>133</v>
      </c>
      <c r="C13" s="310" t="s">
        <v>134</v>
      </c>
      <c r="D13" s="88" t="s">
        <v>135</v>
      </c>
      <c r="E13" s="141" t="s">
        <v>102</v>
      </c>
      <c r="F13" s="88" t="s">
        <v>103</v>
      </c>
      <c r="G13" s="128">
        <f t="shared" si="0"/>
        <v>2.8549065853986262E-2</v>
      </c>
      <c r="H13" s="130">
        <v>1247.73</v>
      </c>
      <c r="I13" s="14">
        <v>17469.080000000002</v>
      </c>
      <c r="J13" s="14">
        <v>4</v>
      </c>
      <c r="K13" s="127">
        <f t="shared" si="1"/>
        <v>6.2386499999999998</v>
      </c>
      <c r="L13" s="316">
        <v>5</v>
      </c>
      <c r="M13" s="313"/>
      <c r="N13" s="49">
        <f t="shared" si="2"/>
        <v>4990.92</v>
      </c>
      <c r="O13" s="129"/>
      <c r="P13" s="129"/>
      <c r="Q13" s="129"/>
      <c r="R13" s="129"/>
      <c r="S13" s="129"/>
      <c r="T13" s="129"/>
    </row>
    <row r="14" spans="1:20" s="6" customFormat="1" ht="17.7" customHeight="1" x14ac:dyDescent="0.3">
      <c r="A14" s="323" t="s">
        <v>98</v>
      </c>
      <c r="B14" s="325" t="s">
        <v>136</v>
      </c>
      <c r="C14" s="310" t="s">
        <v>137</v>
      </c>
      <c r="D14" s="88" t="s">
        <v>138</v>
      </c>
      <c r="E14" s="141" t="s">
        <v>102</v>
      </c>
      <c r="F14" s="88" t="s">
        <v>103</v>
      </c>
      <c r="G14" s="128">
        <f t="shared" si="0"/>
        <v>1.4398890097948719E-3</v>
      </c>
      <c r="H14" s="130">
        <v>251.72</v>
      </c>
      <c r="I14" s="14">
        <v>3524.26</v>
      </c>
      <c r="J14" s="14">
        <v>1</v>
      </c>
      <c r="K14" s="127">
        <f t="shared" si="1"/>
        <v>0</v>
      </c>
      <c r="L14" s="317">
        <v>0</v>
      </c>
      <c r="M14" s="314"/>
      <c r="N14" s="49">
        <f t="shared" si="2"/>
        <v>251.72</v>
      </c>
      <c r="O14" s="129"/>
      <c r="P14" s="129"/>
      <c r="Q14" s="129"/>
      <c r="R14" s="129"/>
      <c r="S14" s="129"/>
      <c r="T14" s="129"/>
    </row>
    <row r="15" spans="1:20" s="6" customFormat="1" ht="17.7" customHeight="1" x14ac:dyDescent="0.3">
      <c r="A15" s="323" t="s">
        <v>98</v>
      </c>
      <c r="B15" s="325" t="s">
        <v>139</v>
      </c>
      <c r="C15" s="310" t="s">
        <v>140</v>
      </c>
      <c r="D15" s="88" t="s">
        <v>141</v>
      </c>
      <c r="E15" s="141" t="s">
        <v>102</v>
      </c>
      <c r="F15" s="88" t="s">
        <v>103</v>
      </c>
      <c r="G15" s="128">
        <f t="shared" si="0"/>
        <v>3.0476087185702834E-2</v>
      </c>
      <c r="H15" s="130">
        <v>1065.56</v>
      </c>
      <c r="I15" s="14">
        <v>26638.09</v>
      </c>
      <c r="J15" s="14">
        <v>5</v>
      </c>
      <c r="K15" s="127">
        <f t="shared" si="1"/>
        <v>35.163479999999993</v>
      </c>
      <c r="L15" s="315">
        <v>33</v>
      </c>
      <c r="M15" s="312"/>
      <c r="N15" s="49">
        <f t="shared" si="2"/>
        <v>5327.7999999999993</v>
      </c>
      <c r="O15" s="129"/>
      <c r="P15" s="129"/>
      <c r="Q15" s="129"/>
      <c r="R15" s="129"/>
      <c r="S15" s="129"/>
      <c r="T15" s="129"/>
    </row>
    <row r="16" spans="1:20" s="6" customFormat="1" ht="17.7" customHeight="1" x14ac:dyDescent="0.3">
      <c r="A16" s="323" t="s">
        <v>142</v>
      </c>
      <c r="B16" s="325" t="s">
        <v>143</v>
      </c>
      <c r="C16" s="310" t="s">
        <v>114</v>
      </c>
      <c r="D16" s="88" t="s">
        <v>144</v>
      </c>
      <c r="E16" s="368" t="s">
        <v>116</v>
      </c>
      <c r="F16" s="88" t="s">
        <v>103</v>
      </c>
      <c r="G16" s="128">
        <f t="shared" si="0"/>
        <v>6.9220152977624927E-4</v>
      </c>
      <c r="H16" s="130">
        <v>121.01</v>
      </c>
      <c r="I16" s="14">
        <v>1694.25</v>
      </c>
      <c r="J16" s="14">
        <v>1</v>
      </c>
      <c r="K16" s="127">
        <f t="shared" si="1"/>
        <v>0.60505000000000009</v>
      </c>
      <c r="L16" s="315">
        <v>5</v>
      </c>
      <c r="M16" s="312"/>
      <c r="N16" s="49">
        <f t="shared" si="2"/>
        <v>121.01</v>
      </c>
      <c r="O16" s="129"/>
      <c r="P16" s="129"/>
      <c r="Q16" s="129"/>
      <c r="R16" s="129"/>
      <c r="S16" s="129"/>
      <c r="T16" s="129"/>
    </row>
    <row r="17" spans="1:20" s="6" customFormat="1" ht="17.7" customHeight="1" x14ac:dyDescent="0.3">
      <c r="A17" s="323" t="s">
        <v>142</v>
      </c>
      <c r="B17" s="325" t="s">
        <v>145</v>
      </c>
      <c r="C17" s="310" t="s">
        <v>114</v>
      </c>
      <c r="D17" s="88" t="s">
        <v>146</v>
      </c>
      <c r="E17" s="368" t="s">
        <v>116</v>
      </c>
      <c r="F17" s="88" t="s">
        <v>103</v>
      </c>
      <c r="G17" s="128">
        <f t="shared" si="0"/>
        <v>5.6063690549020895E-4</v>
      </c>
      <c r="H17" s="130">
        <v>98.01</v>
      </c>
      <c r="I17" s="14">
        <v>1372.2</v>
      </c>
      <c r="J17" s="14">
        <v>1</v>
      </c>
      <c r="K17" s="127">
        <f t="shared" si="1"/>
        <v>0.49004999999999999</v>
      </c>
      <c r="L17" s="315">
        <v>5</v>
      </c>
      <c r="M17" s="312"/>
      <c r="N17" s="49">
        <f t="shared" si="2"/>
        <v>98.01</v>
      </c>
      <c r="O17" s="129"/>
      <c r="P17" s="129"/>
      <c r="Q17" s="129"/>
      <c r="R17" s="129"/>
      <c r="S17" s="129"/>
      <c r="T17" s="129"/>
    </row>
    <row r="18" spans="1:20" s="6" customFormat="1" ht="17.7" customHeight="1" x14ac:dyDescent="0.3">
      <c r="A18" s="323" t="s">
        <v>142</v>
      </c>
      <c r="B18" s="325" t="s">
        <v>147</v>
      </c>
      <c r="C18" s="310" t="s">
        <v>148</v>
      </c>
      <c r="D18" s="88" t="s">
        <v>149</v>
      </c>
      <c r="E18" s="141" t="s">
        <v>150</v>
      </c>
      <c r="F18" s="88" t="s">
        <v>103</v>
      </c>
      <c r="G18" s="128">
        <f t="shared" si="0"/>
        <v>1.1754669957841546E-2</v>
      </c>
      <c r="H18" s="130">
        <v>2054.94</v>
      </c>
      <c r="I18" s="14">
        <v>28770.52</v>
      </c>
      <c r="J18" s="14">
        <v>1</v>
      </c>
      <c r="K18" s="127">
        <f t="shared" si="1"/>
        <v>51.3735</v>
      </c>
      <c r="L18" s="315">
        <v>25</v>
      </c>
      <c r="M18" s="312"/>
      <c r="N18" s="49">
        <f t="shared" si="2"/>
        <v>2054.94</v>
      </c>
      <c r="O18" s="129"/>
      <c r="P18" s="129"/>
      <c r="Q18" s="129"/>
      <c r="R18" s="129"/>
      <c r="S18" s="129"/>
      <c r="T18" s="129"/>
    </row>
    <row r="19" spans="1:20" s="6" customFormat="1" ht="17.7" customHeight="1" x14ac:dyDescent="0.3">
      <c r="A19" s="323" t="s">
        <v>142</v>
      </c>
      <c r="B19" s="325" t="s">
        <v>151</v>
      </c>
      <c r="C19" s="310" t="s">
        <v>152</v>
      </c>
      <c r="D19" s="88" t="s">
        <v>153</v>
      </c>
      <c r="E19" s="141" t="s">
        <v>150</v>
      </c>
      <c r="F19" s="88" t="s">
        <v>103</v>
      </c>
      <c r="G19" s="128">
        <f t="shared" si="0"/>
        <v>6.8478242900672772E-3</v>
      </c>
      <c r="H19" s="130">
        <v>1197.1300000000001</v>
      </c>
      <c r="I19" s="14">
        <v>16760.599999999999</v>
      </c>
      <c r="J19" s="14">
        <v>1</v>
      </c>
      <c r="K19" s="127">
        <f t="shared" si="1"/>
        <v>11.971300000000001</v>
      </c>
      <c r="L19" s="315">
        <v>10</v>
      </c>
      <c r="M19" s="312"/>
      <c r="N19" s="49">
        <f t="shared" si="2"/>
        <v>1197.1300000000001</v>
      </c>
      <c r="O19" s="129"/>
      <c r="P19" s="129"/>
      <c r="Q19" s="129"/>
      <c r="R19" s="129"/>
      <c r="S19" s="129"/>
      <c r="T19" s="129"/>
    </row>
    <row r="20" spans="1:20" s="6" customFormat="1" ht="17.7" customHeight="1" x14ac:dyDescent="0.3">
      <c r="A20" s="323" t="s">
        <v>142</v>
      </c>
      <c r="B20" s="325" t="s">
        <v>154</v>
      </c>
      <c r="C20" s="310" t="s">
        <v>130</v>
      </c>
      <c r="D20" s="88" t="s">
        <v>155</v>
      </c>
      <c r="E20" s="368" t="s">
        <v>132</v>
      </c>
      <c r="F20" s="88" t="s">
        <v>103</v>
      </c>
      <c r="G20" s="128">
        <f t="shared" si="0"/>
        <v>3.2207592045328244E-3</v>
      </c>
      <c r="H20" s="130">
        <v>563.04999999999995</v>
      </c>
      <c r="I20" s="14">
        <v>7883.15</v>
      </c>
      <c r="J20" s="14">
        <v>1</v>
      </c>
      <c r="K20" s="127">
        <f t="shared" si="1"/>
        <v>2.8152499999999998</v>
      </c>
      <c r="L20" s="315">
        <v>5</v>
      </c>
      <c r="M20" s="312"/>
      <c r="N20" s="49">
        <f t="shared" si="2"/>
        <v>563.04999999999995</v>
      </c>
      <c r="O20" s="129"/>
      <c r="P20" s="129"/>
      <c r="Q20" s="129"/>
      <c r="R20" s="129"/>
      <c r="S20" s="129"/>
      <c r="T20" s="129"/>
    </row>
    <row r="21" spans="1:20" s="6" customFormat="1" ht="17.7" customHeight="1" x14ac:dyDescent="0.3">
      <c r="A21" s="323" t="s">
        <v>142</v>
      </c>
      <c r="B21" s="325" t="s">
        <v>156</v>
      </c>
      <c r="C21" s="310" t="s">
        <v>134</v>
      </c>
      <c r="D21" s="88" t="s">
        <v>157</v>
      </c>
      <c r="E21" s="141" t="s">
        <v>150</v>
      </c>
      <c r="F21" s="88" t="s">
        <v>103</v>
      </c>
      <c r="G21" s="128">
        <f t="shared" si="0"/>
        <v>2.17848137013459E-3</v>
      </c>
      <c r="H21" s="130">
        <v>380.84</v>
      </c>
      <c r="I21" s="14">
        <v>5331.98</v>
      </c>
      <c r="J21" s="14">
        <v>1</v>
      </c>
      <c r="K21" s="127">
        <f t="shared" si="1"/>
        <v>1.9041999999999999</v>
      </c>
      <c r="L21" s="316">
        <v>5</v>
      </c>
      <c r="M21" s="313"/>
      <c r="N21" s="49">
        <f t="shared" si="2"/>
        <v>380.84</v>
      </c>
      <c r="O21" s="129"/>
      <c r="P21" s="129"/>
      <c r="Q21" s="129"/>
      <c r="R21" s="129"/>
      <c r="S21" s="129"/>
      <c r="T21" s="129"/>
    </row>
    <row r="22" spans="1:20" s="6" customFormat="1" ht="17.7" customHeight="1" x14ac:dyDescent="0.3">
      <c r="A22" s="323" t="s">
        <v>142</v>
      </c>
      <c r="B22" s="325" t="s">
        <v>158</v>
      </c>
      <c r="C22" s="310" t="s">
        <v>159</v>
      </c>
      <c r="D22" s="88" t="s">
        <v>160</v>
      </c>
      <c r="E22" s="141" t="s">
        <v>150</v>
      </c>
      <c r="F22" s="88" t="s">
        <v>103</v>
      </c>
      <c r="G22" s="128">
        <f t="shared" si="0"/>
        <v>2.17848137013459E-3</v>
      </c>
      <c r="H22" s="130">
        <v>380.84</v>
      </c>
      <c r="I22" s="14">
        <v>5331.98</v>
      </c>
      <c r="J22" s="14">
        <v>1</v>
      </c>
      <c r="K22" s="127">
        <f t="shared" si="1"/>
        <v>9.5210000000000008</v>
      </c>
      <c r="L22" s="315">
        <v>25</v>
      </c>
      <c r="M22" s="312"/>
      <c r="N22" s="49">
        <f t="shared" si="2"/>
        <v>380.84</v>
      </c>
      <c r="O22" s="129"/>
      <c r="P22" s="129"/>
      <c r="Q22" s="129"/>
      <c r="R22" s="129"/>
      <c r="S22" s="129"/>
      <c r="T22" s="129"/>
    </row>
    <row r="23" spans="1:20" s="6" customFormat="1" ht="17.7" customHeight="1" x14ac:dyDescent="0.3">
      <c r="A23" s="323" t="s">
        <v>142</v>
      </c>
      <c r="B23" s="325" t="s">
        <v>161</v>
      </c>
      <c r="C23" s="310" t="s">
        <v>114</v>
      </c>
      <c r="D23" s="88" t="s">
        <v>162</v>
      </c>
      <c r="E23" s="368" t="s">
        <v>116</v>
      </c>
      <c r="F23" s="88" t="s">
        <v>103</v>
      </c>
      <c r="G23" s="128">
        <f t="shared" si="0"/>
        <v>6.9220152977624927E-4</v>
      </c>
      <c r="H23" s="130">
        <v>121.01</v>
      </c>
      <c r="I23" s="14">
        <v>1694.25</v>
      </c>
      <c r="J23" s="14">
        <v>1</v>
      </c>
      <c r="K23" s="127">
        <f t="shared" si="1"/>
        <v>0.60505000000000009</v>
      </c>
      <c r="L23" s="315">
        <v>5</v>
      </c>
      <c r="M23" s="312"/>
      <c r="N23" s="49">
        <f t="shared" si="2"/>
        <v>121.01</v>
      </c>
      <c r="O23" s="129"/>
      <c r="P23" s="129"/>
      <c r="Q23" s="129"/>
      <c r="R23" s="129"/>
      <c r="S23" s="129"/>
      <c r="T23" s="129"/>
    </row>
    <row r="24" spans="1:20" s="6" customFormat="1" ht="17.7" customHeight="1" x14ac:dyDescent="0.3">
      <c r="A24" s="323" t="s">
        <v>142</v>
      </c>
      <c r="B24" s="325" t="s">
        <v>163</v>
      </c>
      <c r="C24" s="310" t="s">
        <v>148</v>
      </c>
      <c r="D24" s="88" t="s">
        <v>164</v>
      </c>
      <c r="E24" s="141" t="s">
        <v>150</v>
      </c>
      <c r="F24" s="88" t="s">
        <v>103</v>
      </c>
      <c r="G24" s="128">
        <f t="shared" si="0"/>
        <v>1.8602437045898264E-2</v>
      </c>
      <c r="H24" s="130">
        <v>3252.06</v>
      </c>
      <c r="I24" s="14">
        <v>45531.11</v>
      </c>
      <c r="J24" s="14">
        <v>1</v>
      </c>
      <c r="K24" s="127">
        <f t="shared" si="1"/>
        <v>81.301500000000004</v>
      </c>
      <c r="L24" s="315">
        <v>25</v>
      </c>
      <c r="M24" s="312"/>
      <c r="N24" s="49">
        <f t="shared" si="2"/>
        <v>3252.06</v>
      </c>
      <c r="O24" s="129"/>
      <c r="P24" s="129"/>
      <c r="Q24" s="129"/>
      <c r="R24" s="129"/>
      <c r="S24" s="129"/>
      <c r="T24" s="129"/>
    </row>
    <row r="25" spans="1:20" s="6" customFormat="1" ht="17.7" customHeight="1" x14ac:dyDescent="0.3">
      <c r="A25" s="323" t="s">
        <v>142</v>
      </c>
      <c r="B25" s="325" t="s">
        <v>165</v>
      </c>
      <c r="C25" s="310" t="s">
        <v>130</v>
      </c>
      <c r="D25" s="88" t="s">
        <v>166</v>
      </c>
      <c r="E25" s="368" t="s">
        <v>132</v>
      </c>
      <c r="F25" s="88" t="s">
        <v>103</v>
      </c>
      <c r="G25" s="128">
        <f t="shared" si="0"/>
        <v>3.2207592045328244E-3</v>
      </c>
      <c r="H25" s="130">
        <v>563.04999999999995</v>
      </c>
      <c r="I25" s="14">
        <v>7883.15</v>
      </c>
      <c r="J25" s="14">
        <v>1</v>
      </c>
      <c r="K25" s="127">
        <f t="shared" si="1"/>
        <v>2.8152499999999998</v>
      </c>
      <c r="L25" s="315">
        <v>5</v>
      </c>
      <c r="M25" s="312"/>
      <c r="N25" s="49">
        <f t="shared" si="2"/>
        <v>563.04999999999995</v>
      </c>
      <c r="O25" s="129"/>
      <c r="P25" s="129"/>
      <c r="Q25" s="129"/>
      <c r="R25" s="129"/>
      <c r="S25" s="129"/>
      <c r="T25" s="129"/>
    </row>
    <row r="26" spans="1:20" s="6" customFormat="1" ht="17.7" customHeight="1" x14ac:dyDescent="0.3">
      <c r="A26" s="323" t="s">
        <v>142</v>
      </c>
      <c r="B26" s="325" t="s">
        <v>167</v>
      </c>
      <c r="C26" s="310" t="s">
        <v>134</v>
      </c>
      <c r="D26" s="88" t="s">
        <v>168</v>
      </c>
      <c r="E26" s="141" t="s">
        <v>150</v>
      </c>
      <c r="F26" s="88" t="s">
        <v>103</v>
      </c>
      <c r="G26" s="128">
        <f t="shared" si="0"/>
        <v>5.6063690549020895E-4</v>
      </c>
      <c r="H26" s="130">
        <v>98.01</v>
      </c>
      <c r="I26" s="14">
        <v>1372.2</v>
      </c>
      <c r="J26" s="14">
        <v>1</v>
      </c>
      <c r="K26" s="127">
        <f t="shared" si="1"/>
        <v>0.49004999999999999</v>
      </c>
      <c r="L26" s="316">
        <v>5</v>
      </c>
      <c r="M26" s="313"/>
      <c r="N26" s="49">
        <f t="shared" si="2"/>
        <v>98.01</v>
      </c>
      <c r="O26" s="129"/>
      <c r="P26" s="129"/>
      <c r="Q26" s="129"/>
      <c r="R26" s="129"/>
      <c r="S26" s="129"/>
      <c r="T26" s="129"/>
    </row>
    <row r="27" spans="1:20" s="6" customFormat="1" ht="17.7" customHeight="1" x14ac:dyDescent="0.3">
      <c r="A27" s="323" t="s">
        <v>169</v>
      </c>
      <c r="B27" s="325" t="s">
        <v>170</v>
      </c>
      <c r="C27" s="310" t="s">
        <v>159</v>
      </c>
      <c r="D27" s="88" t="s">
        <v>171</v>
      </c>
      <c r="E27" s="141" t="s">
        <v>150</v>
      </c>
      <c r="F27" s="88" t="s">
        <v>103</v>
      </c>
      <c r="G27" s="128">
        <f t="shared" si="0"/>
        <v>1.7190634223287933E-2</v>
      </c>
      <c r="H27" s="130">
        <v>1001.75</v>
      </c>
      <c r="I27" s="14">
        <v>14025.15</v>
      </c>
      <c r="J27" s="14">
        <v>3</v>
      </c>
      <c r="K27" s="127">
        <f t="shared" si="1"/>
        <v>25.043749999999999</v>
      </c>
      <c r="L27" s="315">
        <v>25</v>
      </c>
      <c r="M27" s="312"/>
      <c r="N27" s="49">
        <f t="shared" si="2"/>
        <v>3005.25</v>
      </c>
      <c r="O27" s="129"/>
      <c r="P27" s="129"/>
      <c r="Q27" s="129"/>
      <c r="R27" s="129"/>
      <c r="S27" s="129"/>
      <c r="T27" s="129"/>
    </row>
    <row r="28" spans="1:20" s="6" customFormat="1" ht="17.7" customHeight="1" x14ac:dyDescent="0.3">
      <c r="A28" s="323" t="s">
        <v>169</v>
      </c>
      <c r="B28" s="325" t="s">
        <v>172</v>
      </c>
      <c r="C28" s="310" t="s">
        <v>159</v>
      </c>
      <c r="D28" s="88" t="s">
        <v>173</v>
      </c>
      <c r="E28" s="141" t="s">
        <v>150</v>
      </c>
      <c r="F28" s="88" t="s">
        <v>103</v>
      </c>
      <c r="G28" s="128">
        <f t="shared" si="0"/>
        <v>0.17315134399269919</v>
      </c>
      <c r="H28" s="130">
        <v>6054.03</v>
      </c>
      <c r="I28" s="14">
        <v>84760.52</v>
      </c>
      <c r="J28" s="14">
        <v>5</v>
      </c>
      <c r="K28" s="127">
        <f t="shared" si="1"/>
        <v>151.35075000000001</v>
      </c>
      <c r="L28" s="315">
        <v>25</v>
      </c>
      <c r="M28" s="312"/>
      <c r="N28" s="49">
        <f t="shared" si="2"/>
        <v>30270.149999999998</v>
      </c>
      <c r="O28" s="129"/>
      <c r="P28" s="129"/>
      <c r="Q28" s="129"/>
      <c r="R28" s="129"/>
      <c r="S28" s="129"/>
      <c r="T28" s="129"/>
    </row>
    <row r="29" spans="1:20" s="6" customFormat="1" ht="17.7" customHeight="1" x14ac:dyDescent="0.3">
      <c r="A29" s="323" t="s">
        <v>169</v>
      </c>
      <c r="B29" s="325" t="s">
        <v>174</v>
      </c>
      <c r="C29" s="310" t="s">
        <v>127</v>
      </c>
      <c r="D29" s="88" t="s">
        <v>175</v>
      </c>
      <c r="E29" s="141" t="s">
        <v>150</v>
      </c>
      <c r="F29" s="88" t="s">
        <v>103</v>
      </c>
      <c r="G29" s="128">
        <f t="shared" si="0"/>
        <v>9.8889691814443778E-3</v>
      </c>
      <c r="H29" s="130">
        <v>288.13</v>
      </c>
      <c r="I29" s="14">
        <v>4033.99</v>
      </c>
      <c r="J29" s="14">
        <v>6</v>
      </c>
      <c r="K29" s="127">
        <f t="shared" si="1"/>
        <v>1.44065</v>
      </c>
      <c r="L29" s="315">
        <v>5</v>
      </c>
      <c r="M29" s="312"/>
      <c r="N29" s="49">
        <f t="shared" si="2"/>
        <v>1728.78</v>
      </c>
      <c r="O29" s="129"/>
      <c r="P29" s="129"/>
      <c r="Q29" s="129"/>
      <c r="R29" s="129"/>
      <c r="S29" s="129"/>
      <c r="T29" s="129"/>
    </row>
    <row r="30" spans="1:20" s="6" customFormat="1" ht="17.7" customHeight="1" x14ac:dyDescent="0.3">
      <c r="A30" s="323" t="s">
        <v>169</v>
      </c>
      <c r="B30" s="325" t="s">
        <v>176</v>
      </c>
      <c r="C30" s="310" t="s">
        <v>130</v>
      </c>
      <c r="D30" s="88" t="s">
        <v>177</v>
      </c>
      <c r="E30" s="368" t="s">
        <v>132</v>
      </c>
      <c r="F30" s="88" t="s">
        <v>103</v>
      </c>
      <c r="G30" s="128">
        <f t="shared" si="0"/>
        <v>6.0943022049716215E-3</v>
      </c>
      <c r="H30" s="130">
        <v>532.70000000000005</v>
      </c>
      <c r="I30" s="14">
        <v>7458.19</v>
      </c>
      <c r="J30" s="14">
        <v>2</v>
      </c>
      <c r="K30" s="127">
        <f t="shared" si="1"/>
        <v>2.6635</v>
      </c>
      <c r="L30" s="315">
        <v>5</v>
      </c>
      <c r="M30" s="312"/>
      <c r="N30" s="49">
        <f t="shared" si="2"/>
        <v>1065.4000000000001</v>
      </c>
      <c r="O30" s="129"/>
      <c r="P30" s="129"/>
      <c r="Q30" s="129"/>
      <c r="R30" s="129"/>
      <c r="S30" s="129"/>
      <c r="T30" s="129"/>
    </row>
    <row r="31" spans="1:20" s="6" customFormat="1" ht="17.7" customHeight="1" x14ac:dyDescent="0.3">
      <c r="A31" s="323" t="s">
        <v>169</v>
      </c>
      <c r="B31" s="325" t="s">
        <v>178</v>
      </c>
      <c r="C31" s="310" t="s">
        <v>159</v>
      </c>
      <c r="D31" s="88" t="s">
        <v>179</v>
      </c>
      <c r="E31" s="141" t="s">
        <v>150</v>
      </c>
      <c r="F31" s="88" t="s">
        <v>103</v>
      </c>
      <c r="G31" s="128">
        <f t="shared" si="0"/>
        <v>0.17315134399269919</v>
      </c>
      <c r="H31" s="130">
        <v>6054.03</v>
      </c>
      <c r="I31" s="14">
        <v>84760.52</v>
      </c>
      <c r="J31" s="14">
        <v>5</v>
      </c>
      <c r="K31" s="127">
        <f t="shared" si="1"/>
        <v>151.35075000000001</v>
      </c>
      <c r="L31" s="315">
        <v>25</v>
      </c>
      <c r="M31" s="312"/>
      <c r="N31" s="49">
        <f t="shared" si="2"/>
        <v>30270.149999999998</v>
      </c>
      <c r="O31" s="129"/>
      <c r="P31" s="129"/>
      <c r="Q31" s="129"/>
      <c r="R31" s="129"/>
      <c r="S31" s="129"/>
      <c r="T31" s="129"/>
    </row>
    <row r="32" spans="1:20" s="6" customFormat="1" ht="17.7" customHeight="1" x14ac:dyDescent="0.3">
      <c r="A32" s="323" t="s">
        <v>169</v>
      </c>
      <c r="B32" s="325" t="s">
        <v>180</v>
      </c>
      <c r="C32" s="310" t="s">
        <v>159</v>
      </c>
      <c r="D32" s="88" t="s">
        <v>181</v>
      </c>
      <c r="E32" s="141" t="s">
        <v>150</v>
      </c>
      <c r="F32" s="88" t="s">
        <v>103</v>
      </c>
      <c r="G32" s="128">
        <f t="shared" si="0"/>
        <v>1.7190634223287933E-2</v>
      </c>
      <c r="H32" s="130">
        <v>1001.75</v>
      </c>
      <c r="I32" s="14">
        <v>14025.15</v>
      </c>
      <c r="J32" s="14">
        <v>3</v>
      </c>
      <c r="K32" s="127">
        <f t="shared" si="1"/>
        <v>25.043749999999999</v>
      </c>
      <c r="L32" s="315">
        <v>25</v>
      </c>
      <c r="M32" s="312"/>
      <c r="N32" s="49">
        <f t="shared" si="2"/>
        <v>3005.25</v>
      </c>
      <c r="O32" s="129"/>
      <c r="P32" s="129"/>
      <c r="Q32" s="129"/>
      <c r="R32" s="129"/>
      <c r="S32" s="129"/>
      <c r="T32" s="129"/>
    </row>
    <row r="33" spans="1:29" s="6" customFormat="1" ht="17.7" customHeight="1" x14ac:dyDescent="0.3">
      <c r="A33" s="323" t="s">
        <v>169</v>
      </c>
      <c r="B33" s="325" t="s">
        <v>182</v>
      </c>
      <c r="C33" s="310" t="s">
        <v>127</v>
      </c>
      <c r="D33" s="88" t="s">
        <v>183</v>
      </c>
      <c r="E33" s="141" t="s">
        <v>150</v>
      </c>
      <c r="F33" s="88" t="s">
        <v>103</v>
      </c>
      <c r="G33" s="128">
        <f t="shared" si="0"/>
        <v>9.8889691814443778E-3</v>
      </c>
      <c r="H33" s="130">
        <v>288.13</v>
      </c>
      <c r="I33" s="14">
        <v>4033.99</v>
      </c>
      <c r="J33" s="14">
        <v>6</v>
      </c>
      <c r="K33" s="127">
        <f t="shared" si="1"/>
        <v>1.44065</v>
      </c>
      <c r="L33" s="315">
        <v>5</v>
      </c>
      <c r="M33" s="312"/>
      <c r="N33" s="49">
        <f t="shared" si="2"/>
        <v>1728.78</v>
      </c>
      <c r="O33" s="129"/>
      <c r="P33" s="129"/>
      <c r="Q33" s="129"/>
      <c r="R33" s="129"/>
      <c r="S33" s="129"/>
      <c r="T33" s="129"/>
    </row>
    <row r="34" spans="1:29" s="6" customFormat="1" ht="17.7" customHeight="1" x14ac:dyDescent="0.3">
      <c r="A34" s="323" t="s">
        <v>169</v>
      </c>
      <c r="B34" s="325" t="s">
        <v>184</v>
      </c>
      <c r="C34" s="310" t="s">
        <v>130</v>
      </c>
      <c r="D34" s="88" t="s">
        <v>185</v>
      </c>
      <c r="E34" s="368" t="s">
        <v>132</v>
      </c>
      <c r="F34" s="88" t="s">
        <v>103</v>
      </c>
      <c r="G34" s="128">
        <f t="shared" si="0"/>
        <v>6.0943022049716215E-3</v>
      </c>
      <c r="H34" s="130">
        <v>532.70000000000005</v>
      </c>
      <c r="I34" s="14">
        <v>7458.19</v>
      </c>
      <c r="J34" s="14">
        <v>2</v>
      </c>
      <c r="K34" s="127">
        <f t="shared" si="1"/>
        <v>2.6635</v>
      </c>
      <c r="L34" s="315">
        <v>5</v>
      </c>
      <c r="M34" s="312"/>
      <c r="N34" s="49">
        <f t="shared" si="2"/>
        <v>1065.4000000000001</v>
      </c>
      <c r="O34" s="129"/>
      <c r="P34" s="129"/>
      <c r="Q34" s="129"/>
      <c r="R34" s="129"/>
      <c r="S34" s="129"/>
      <c r="T34" s="129"/>
    </row>
    <row r="35" spans="1:29" s="6" customFormat="1" ht="17.7" customHeight="1" x14ac:dyDescent="0.3">
      <c r="A35" s="323" t="s">
        <v>186</v>
      </c>
      <c r="B35" s="325" t="s">
        <v>187</v>
      </c>
      <c r="C35" s="310" t="s">
        <v>114</v>
      </c>
      <c r="D35" s="88" t="s">
        <v>188</v>
      </c>
      <c r="E35" s="368" t="s">
        <v>116</v>
      </c>
      <c r="F35" s="88" t="s">
        <v>103</v>
      </c>
      <c r="G35" s="128">
        <f t="shared" si="0"/>
        <v>9.774107544241609E-4</v>
      </c>
      <c r="H35" s="130">
        <v>170.87</v>
      </c>
      <c r="I35" s="14">
        <v>2392.3000000000002</v>
      </c>
      <c r="J35" s="14">
        <v>1</v>
      </c>
      <c r="K35" s="127">
        <f t="shared" si="1"/>
        <v>0.85435000000000005</v>
      </c>
      <c r="L35" s="315">
        <v>5</v>
      </c>
      <c r="M35" s="312"/>
      <c r="N35" s="49">
        <f t="shared" si="2"/>
        <v>170.87</v>
      </c>
      <c r="O35" s="129"/>
      <c r="P35" s="129"/>
      <c r="Q35" s="129"/>
      <c r="R35" s="129"/>
      <c r="S35" s="129"/>
      <c r="T35" s="129"/>
    </row>
    <row r="36" spans="1:29" s="6" customFormat="1" ht="17.7" customHeight="1" x14ac:dyDescent="0.3">
      <c r="A36" s="323" t="s">
        <v>186</v>
      </c>
      <c r="B36" s="325" t="s">
        <v>189</v>
      </c>
      <c r="C36" s="310" t="s">
        <v>114</v>
      </c>
      <c r="D36" s="88" t="s">
        <v>190</v>
      </c>
      <c r="E36" s="368" t="s">
        <v>116</v>
      </c>
      <c r="F36" s="88" t="s">
        <v>103</v>
      </c>
      <c r="G36" s="128">
        <f t="shared" si="0"/>
        <v>4.8896278625959661E-4</v>
      </c>
      <c r="H36" s="130">
        <v>85.48</v>
      </c>
      <c r="I36" s="14">
        <v>1196.71</v>
      </c>
      <c r="J36" s="14">
        <v>1</v>
      </c>
      <c r="K36" s="127">
        <f t="shared" si="1"/>
        <v>0.42740000000000006</v>
      </c>
      <c r="L36" s="315">
        <v>5</v>
      </c>
      <c r="M36" s="312"/>
      <c r="N36" s="49">
        <f t="shared" si="2"/>
        <v>85.48</v>
      </c>
      <c r="O36" s="129"/>
      <c r="P36" s="129"/>
      <c r="Q36" s="129"/>
      <c r="R36" s="129"/>
      <c r="S36" s="129"/>
      <c r="T36" s="129"/>
    </row>
    <row r="37" spans="1:29" s="6" customFormat="1" ht="17.7" customHeight="1" x14ac:dyDescent="0.3">
      <c r="A37" s="323" t="s">
        <v>186</v>
      </c>
      <c r="B37" s="325" t="s">
        <v>191</v>
      </c>
      <c r="C37" s="310" t="s">
        <v>130</v>
      </c>
      <c r="D37" s="88" t="s">
        <v>192</v>
      </c>
      <c r="E37" s="368" t="s">
        <v>132</v>
      </c>
      <c r="F37" s="88" t="s">
        <v>103</v>
      </c>
      <c r="G37" s="128">
        <f t="shared" si="0"/>
        <v>1.5217450869050124E-3</v>
      </c>
      <c r="H37" s="130">
        <v>266.02999999999997</v>
      </c>
      <c r="I37" s="14">
        <v>3724.56</v>
      </c>
      <c r="J37" s="14">
        <v>1</v>
      </c>
      <c r="K37" s="127">
        <f t="shared" si="1"/>
        <v>1.3301499999999999</v>
      </c>
      <c r="L37" s="315">
        <v>5</v>
      </c>
      <c r="M37" s="312"/>
      <c r="N37" s="49">
        <f t="shared" si="2"/>
        <v>266.02999999999997</v>
      </c>
      <c r="O37" s="129"/>
      <c r="P37" s="129"/>
      <c r="Q37" s="129"/>
      <c r="R37" s="129"/>
      <c r="S37" s="129"/>
      <c r="T37" s="129"/>
    </row>
    <row r="38" spans="1:29" s="6" customFormat="1" ht="17.7" customHeight="1" x14ac:dyDescent="0.3">
      <c r="A38" s="323" t="s">
        <v>186</v>
      </c>
      <c r="B38" s="325" t="s">
        <v>193</v>
      </c>
      <c r="C38" s="310" t="s">
        <v>194</v>
      </c>
      <c r="D38" s="88" t="s">
        <v>195</v>
      </c>
      <c r="E38" s="141" t="s">
        <v>150</v>
      </c>
      <c r="F38" s="88" t="s">
        <v>103</v>
      </c>
      <c r="G38" s="128">
        <f t="shared" si="0"/>
        <v>3.1429873509766074E-2</v>
      </c>
      <c r="H38" s="130">
        <v>5494.54</v>
      </c>
      <c r="I38" s="14">
        <v>76927.37</v>
      </c>
      <c r="J38" s="14">
        <v>1</v>
      </c>
      <c r="K38" s="127">
        <f t="shared" si="1"/>
        <v>54.945399999999999</v>
      </c>
      <c r="L38" s="315">
        <v>10</v>
      </c>
      <c r="M38" s="312"/>
      <c r="N38" s="49">
        <f t="shared" si="2"/>
        <v>5494.54</v>
      </c>
      <c r="O38" s="129"/>
      <c r="P38" s="129"/>
      <c r="Q38" s="129"/>
      <c r="R38" s="129"/>
      <c r="S38" s="129"/>
      <c r="T38" s="129"/>
    </row>
    <row r="39" spans="1:29" s="6" customFormat="1" ht="17.7" customHeight="1" x14ac:dyDescent="0.3">
      <c r="A39" s="323" t="s">
        <v>186</v>
      </c>
      <c r="B39" s="325" t="s">
        <v>196</v>
      </c>
      <c r="C39" s="310" t="s">
        <v>194</v>
      </c>
      <c r="D39" s="88" t="s">
        <v>197</v>
      </c>
      <c r="E39" s="141" t="s">
        <v>150</v>
      </c>
      <c r="F39" s="88" t="s">
        <v>103</v>
      </c>
      <c r="G39" s="128">
        <f t="shared" si="0"/>
        <v>8.2378903486651309E-3</v>
      </c>
      <c r="H39" s="130">
        <v>1440.14</v>
      </c>
      <c r="I39" s="14">
        <v>20162.95</v>
      </c>
      <c r="J39" s="14">
        <v>1</v>
      </c>
      <c r="K39" s="127">
        <f t="shared" si="1"/>
        <v>14.401400000000001</v>
      </c>
      <c r="L39" s="315">
        <v>10</v>
      </c>
      <c r="M39" s="312"/>
      <c r="N39" s="49">
        <f t="shared" si="2"/>
        <v>1440.14</v>
      </c>
      <c r="O39" s="129"/>
      <c r="P39" s="129"/>
      <c r="Q39" s="129"/>
      <c r="R39" s="129"/>
      <c r="S39" s="129"/>
      <c r="T39" s="129"/>
    </row>
    <row r="40" spans="1:29" s="6" customFormat="1" ht="17.7" customHeight="1" x14ac:dyDescent="0.3">
      <c r="A40" s="323" t="s">
        <v>186</v>
      </c>
      <c r="B40" s="325" t="s">
        <v>198</v>
      </c>
      <c r="C40" s="310" t="s">
        <v>134</v>
      </c>
      <c r="D40" s="88" t="s">
        <v>199</v>
      </c>
      <c r="E40" s="141" t="s">
        <v>150</v>
      </c>
      <c r="F40" s="88" t="s">
        <v>103</v>
      </c>
      <c r="G40" s="128">
        <f t="shared" si="0"/>
        <v>6.7715740099919325E-3</v>
      </c>
      <c r="H40" s="130">
        <v>1183.8</v>
      </c>
      <c r="I40" s="14">
        <v>16573.95</v>
      </c>
      <c r="J40" s="14">
        <v>1</v>
      </c>
      <c r="K40" s="127">
        <f t="shared" si="1"/>
        <v>5.9189999999999996</v>
      </c>
      <c r="L40" s="316">
        <v>5</v>
      </c>
      <c r="M40" s="313"/>
      <c r="N40" s="49">
        <f t="shared" si="2"/>
        <v>1183.8</v>
      </c>
      <c r="O40" s="129"/>
      <c r="P40" s="129"/>
      <c r="Q40" s="129"/>
      <c r="R40" s="129"/>
      <c r="S40" s="129"/>
      <c r="T40" s="129"/>
    </row>
    <row r="41" spans="1:29" s="6" customFormat="1" ht="17.7" customHeight="1" x14ac:dyDescent="0.3">
      <c r="A41" s="323" t="s">
        <v>200</v>
      </c>
      <c r="B41" s="325" t="s">
        <v>201</v>
      </c>
      <c r="C41" s="310" t="s">
        <v>202</v>
      </c>
      <c r="D41" s="88" t="s">
        <v>203</v>
      </c>
      <c r="E41" s="141" t="s">
        <v>204</v>
      </c>
      <c r="F41" s="88" t="s">
        <v>103</v>
      </c>
      <c r="G41" s="128">
        <f t="shared" si="0"/>
        <v>2.9656439576400809E-2</v>
      </c>
      <c r="H41" s="130">
        <v>5184.51</v>
      </c>
      <c r="I41" s="14">
        <v>176281.81</v>
      </c>
      <c r="J41" s="14">
        <v>1</v>
      </c>
      <c r="K41" s="127">
        <f t="shared" si="1"/>
        <v>51.845100000000009</v>
      </c>
      <c r="L41" s="315">
        <v>10</v>
      </c>
      <c r="M41" s="312"/>
      <c r="N41" s="49">
        <f t="shared" si="2"/>
        <v>5184.51</v>
      </c>
      <c r="O41" s="129"/>
      <c r="P41" s="129"/>
      <c r="Q41" s="129"/>
      <c r="R41" s="129"/>
      <c r="S41" s="129"/>
      <c r="T41" s="129"/>
    </row>
    <row r="42" spans="1:29" s="6" customFormat="1" ht="17.7" customHeight="1" x14ac:dyDescent="0.3">
      <c r="A42" s="323" t="s">
        <v>200</v>
      </c>
      <c r="B42" s="325" t="s">
        <v>205</v>
      </c>
      <c r="C42" s="310" t="s">
        <v>202</v>
      </c>
      <c r="D42" s="88" t="s">
        <v>206</v>
      </c>
      <c r="E42" s="141" t="s">
        <v>204</v>
      </c>
      <c r="F42" s="88" t="s">
        <v>103</v>
      </c>
      <c r="G42" s="128">
        <f t="shared" si="0"/>
        <v>6.9198301809591328E-2</v>
      </c>
      <c r="H42" s="130">
        <v>12097.18</v>
      </c>
      <c r="I42" s="14">
        <v>411324.21</v>
      </c>
      <c r="J42" s="14">
        <v>1</v>
      </c>
      <c r="K42" s="127">
        <f t="shared" si="1"/>
        <v>120.9718</v>
      </c>
      <c r="L42" s="315">
        <v>10</v>
      </c>
      <c r="M42" s="312"/>
      <c r="N42" s="49">
        <f t="shared" si="2"/>
        <v>12097.18</v>
      </c>
      <c r="O42" s="129"/>
      <c r="P42" s="129"/>
      <c r="Q42" s="129"/>
      <c r="R42" s="129"/>
      <c r="S42" s="129"/>
      <c r="T42" s="129"/>
    </row>
    <row r="43" spans="1:29" s="6" customFormat="1" ht="17.7" customHeight="1" x14ac:dyDescent="0.3">
      <c r="A43" s="323" t="s">
        <v>200</v>
      </c>
      <c r="B43" s="325" t="s">
        <v>207</v>
      </c>
      <c r="C43" s="310" t="s">
        <v>208</v>
      </c>
      <c r="D43" s="88" t="s">
        <v>209</v>
      </c>
      <c r="E43" s="141" t="s">
        <v>204</v>
      </c>
      <c r="F43" s="88" t="s">
        <v>103</v>
      </c>
      <c r="G43" s="128">
        <f t="shared" si="0"/>
        <v>4.3660807407523081E-2</v>
      </c>
      <c r="H43" s="130">
        <v>7632.74</v>
      </c>
      <c r="I43" s="14">
        <v>167928.58</v>
      </c>
      <c r="J43" s="14">
        <v>1</v>
      </c>
      <c r="K43" s="127">
        <f t="shared" si="1"/>
        <v>38.163699999999999</v>
      </c>
      <c r="L43" s="315">
        <v>5</v>
      </c>
      <c r="M43" s="312"/>
      <c r="N43" s="49">
        <f t="shared" si="2"/>
        <v>7632.74</v>
      </c>
      <c r="O43" s="129"/>
      <c r="P43" s="129"/>
      <c r="Q43" s="129"/>
      <c r="R43" s="129"/>
      <c r="S43" s="129"/>
      <c r="T43" s="129"/>
    </row>
    <row r="44" spans="1:29" s="6" customFormat="1" ht="17.7" customHeight="1" x14ac:dyDescent="0.3">
      <c r="A44" s="323" t="s">
        <v>200</v>
      </c>
      <c r="B44" s="325" t="s">
        <v>210</v>
      </c>
      <c r="C44" s="310" t="s">
        <v>202</v>
      </c>
      <c r="D44" s="88" t="s">
        <v>211</v>
      </c>
      <c r="E44" s="141" t="s">
        <v>204</v>
      </c>
      <c r="F44" s="88" t="s">
        <v>103</v>
      </c>
      <c r="G44" s="128">
        <f t="shared" si="0"/>
        <v>2.6361260556130531E-2</v>
      </c>
      <c r="H44" s="130">
        <v>4608.45</v>
      </c>
      <c r="I44" s="14">
        <v>101390.84</v>
      </c>
      <c r="J44" s="14">
        <v>1</v>
      </c>
      <c r="K44" s="127">
        <f t="shared" si="1"/>
        <v>46.084499999999998</v>
      </c>
      <c r="L44" s="315">
        <v>10</v>
      </c>
      <c r="M44" s="312"/>
      <c r="N44" s="49">
        <f t="shared" si="2"/>
        <v>4608.45</v>
      </c>
      <c r="O44" s="129"/>
      <c r="P44" s="129"/>
      <c r="Q44" s="129"/>
      <c r="R44" s="129"/>
      <c r="S44" s="129"/>
      <c r="T44" s="129"/>
    </row>
    <row r="45" spans="1:29" s="5" customFormat="1" ht="42" customHeight="1" x14ac:dyDescent="0.3">
      <c r="A45" s="324" t="s">
        <v>212</v>
      </c>
      <c r="B45" s="326" t="s">
        <v>213</v>
      </c>
      <c r="C45" s="88" t="s">
        <v>214</v>
      </c>
      <c r="D45" s="228" t="s">
        <v>215</v>
      </c>
      <c r="E45" s="140" t="s">
        <v>216</v>
      </c>
      <c r="F45" s="89" t="s">
        <v>217</v>
      </c>
      <c r="G45" s="318">
        <f>SUM(G3:G44)</f>
        <v>1</v>
      </c>
      <c r="H45" s="89">
        <f>SUM(H3:H44)</f>
        <v>79502.25</v>
      </c>
      <c r="I45" s="89">
        <f>SUM(I3:I44)</f>
        <v>1629030.56</v>
      </c>
      <c r="J45" s="89"/>
      <c r="K45" s="89">
        <f>SUM(K3:K44)</f>
        <v>1221.37238</v>
      </c>
      <c r="L45" s="319"/>
      <c r="M45" s="320"/>
      <c r="N45"/>
      <c r="O45"/>
      <c r="P45"/>
      <c r="Q45"/>
      <c r="R45" s="129"/>
      <c r="S45" s="129"/>
      <c r="T45" s="129"/>
      <c r="U45" s="129"/>
      <c r="V45" s="129"/>
      <c r="W45" s="129"/>
      <c r="X45" s="115"/>
      <c r="Y45" s="115"/>
      <c r="Z45" s="115"/>
      <c r="AA45" s="115"/>
      <c r="AB45" s="115"/>
      <c r="AC45" s="115"/>
    </row>
    <row r="46" spans="1:29" ht="18" x14ac:dyDescent="0.3">
      <c r="H46" s="16"/>
      <c r="I46" s="16"/>
      <c r="J46" s="16"/>
      <c r="K46" s="16"/>
      <c r="L46" s="17"/>
      <c r="M46" s="17"/>
      <c r="N46"/>
      <c r="O46"/>
      <c r="P46"/>
      <c r="Q46"/>
      <c r="R46" s="129"/>
      <c r="S46" s="129"/>
      <c r="T46" s="129"/>
      <c r="U46" s="129"/>
      <c r="V46" s="129"/>
      <c r="W46" s="129"/>
      <c r="X46" s="115"/>
      <c r="Y46" s="115"/>
      <c r="Z46" s="115"/>
      <c r="AA46" s="115"/>
      <c r="AB46" s="115"/>
      <c r="AC46" s="115"/>
    </row>
    <row r="47" spans="1:29" ht="18" x14ac:dyDescent="0.3">
      <c r="H47" s="16"/>
      <c r="I47" s="16"/>
      <c r="J47" s="16"/>
      <c r="K47" s="16"/>
      <c r="L47" s="17"/>
      <c r="M47" s="17"/>
      <c r="N47"/>
      <c r="O47"/>
      <c r="P47"/>
      <c r="Q47"/>
      <c r="R47" s="129"/>
      <c r="S47" s="129"/>
      <c r="T47" s="129"/>
      <c r="U47" s="129"/>
      <c r="V47" s="129"/>
      <c r="W47" s="129"/>
      <c r="X47" s="115"/>
      <c r="Y47" s="115"/>
      <c r="Z47" s="115"/>
      <c r="AA47" s="115"/>
      <c r="AB47" s="115"/>
      <c r="AC47" s="115"/>
    </row>
    <row r="48" spans="1:29" ht="18" x14ac:dyDescent="0.3">
      <c r="H48" s="16"/>
      <c r="I48" s="16"/>
      <c r="J48" s="16"/>
      <c r="K48" s="16"/>
      <c r="L48" s="17"/>
      <c r="M48" s="17"/>
      <c r="N48"/>
      <c r="O48"/>
      <c r="P48"/>
      <c r="Q48" s="637" t="s">
        <v>218</v>
      </c>
      <c r="R48" s="637"/>
      <c r="S48" s="637"/>
      <c r="T48" s="129"/>
      <c r="U48" s="129"/>
      <c r="V48" s="129"/>
      <c r="W48" s="129"/>
      <c r="X48" s="115"/>
      <c r="Y48" s="115"/>
      <c r="Z48" s="115"/>
      <c r="AA48" s="115"/>
      <c r="AB48" s="115"/>
      <c r="AC48" s="115"/>
    </row>
    <row r="49" spans="8:29" ht="18" x14ac:dyDescent="0.3">
      <c r="H49" s="16"/>
      <c r="I49" s="16"/>
      <c r="J49" s="16"/>
      <c r="K49" s="16"/>
      <c r="L49" s="17"/>
      <c r="M49" s="17"/>
      <c r="N49"/>
      <c r="O49"/>
      <c r="P49"/>
      <c r="Q49" s="269" t="s">
        <v>219</v>
      </c>
      <c r="R49" s="269" t="s">
        <v>92</v>
      </c>
      <c r="S49" s="269" t="s">
        <v>220</v>
      </c>
      <c r="T49" s="129"/>
      <c r="U49" s="129"/>
      <c r="V49" s="129"/>
      <c r="W49" s="129"/>
      <c r="X49" s="115"/>
      <c r="Y49" s="115"/>
      <c r="Z49" s="115"/>
      <c r="AA49" s="115"/>
      <c r="AB49" s="115"/>
      <c r="AC49" s="115"/>
    </row>
    <row r="50" spans="8:29" ht="18" x14ac:dyDescent="0.3">
      <c r="H50" s="16"/>
      <c r="I50" s="16"/>
      <c r="J50" s="16"/>
      <c r="K50" s="16"/>
      <c r="L50" s="17"/>
      <c r="M50" s="17"/>
      <c r="N50"/>
      <c r="O50"/>
      <c r="P50"/>
      <c r="Q50" s="208" t="s">
        <v>100</v>
      </c>
      <c r="R50" s="239">
        <f>SUMIF($C$3:$C$44,"Lounge, Breakroom, or Waiting Area",$H$3:$H$44)</f>
        <v>575.20000000000005</v>
      </c>
      <c r="S50" s="238">
        <f>SUMIF($C$3:$C$44,"Lounge, Breakroom, or Waiting Area",$G$3:$G$44)</f>
        <v>3.2902596473621897E-3</v>
      </c>
      <c r="T50" s="129"/>
      <c r="U50" s="129"/>
      <c r="V50" s="129"/>
      <c r="W50" s="129"/>
      <c r="X50" s="115"/>
      <c r="Y50" s="115"/>
      <c r="Z50" s="115"/>
      <c r="AA50" s="115"/>
      <c r="AB50" s="115"/>
      <c r="AC50" s="115"/>
    </row>
    <row r="51" spans="8:29" ht="18" x14ac:dyDescent="0.3">
      <c r="H51" s="16"/>
      <c r="I51" s="16"/>
      <c r="J51" s="16"/>
      <c r="K51" s="16"/>
      <c r="L51" s="17"/>
      <c r="M51" s="17"/>
      <c r="N51"/>
      <c r="O51"/>
      <c r="P51"/>
      <c r="Q51" s="208" t="s">
        <v>105</v>
      </c>
      <c r="R51" s="239">
        <f>SUMIF($C$3:$C$44,"Dining Area (Cafeteria/Fast Food)",$H$3:$H$44)</f>
        <v>5512.19</v>
      </c>
      <c r="S51" s="238">
        <f>SUMIF($C$3:$C$44,"Dining Area (Cafeteria/Fast Food)",$G$3:$G$44)</f>
        <v>3.1530835058402963E-2</v>
      </c>
      <c r="T51" s="129"/>
      <c r="U51" s="129"/>
      <c r="V51" s="129"/>
      <c r="W51" s="129"/>
      <c r="X51" s="115"/>
      <c r="Y51" s="115"/>
      <c r="Z51" s="115"/>
      <c r="AA51" s="115"/>
      <c r="AB51" s="115"/>
      <c r="AC51" s="115"/>
    </row>
    <row r="52" spans="8:29" ht="18" x14ac:dyDescent="0.3">
      <c r="H52" s="16"/>
      <c r="I52" s="16"/>
      <c r="J52" s="16"/>
      <c r="K52" s="16"/>
      <c r="L52" s="17"/>
      <c r="M52" s="17"/>
      <c r="N52"/>
      <c r="O52"/>
      <c r="P52"/>
      <c r="Q52" s="208" t="s">
        <v>108</v>
      </c>
      <c r="R52" s="239">
        <f>SUMIF($C$3:$C$44,"Convention, Conference, Multipurpose and Meeting Area",$H$3:$H$44)</f>
        <v>1674.74</v>
      </c>
      <c r="S52" s="238">
        <f>SUMIF($C$3:$C$44,"Convention, Conference, Multipurpose and Meeting Area",$G$3:$G$44)</f>
        <v>9.5798495163827418E-3</v>
      </c>
      <c r="T52" s="129"/>
      <c r="U52" s="129"/>
      <c r="V52" s="129"/>
      <c r="W52" s="129"/>
      <c r="X52" s="115"/>
      <c r="Y52" s="115"/>
      <c r="Z52" s="115"/>
      <c r="AA52" s="115"/>
      <c r="AB52" s="115"/>
      <c r="AC52" s="115"/>
    </row>
    <row r="53" spans="8:29" ht="18" x14ac:dyDescent="0.3">
      <c r="H53" s="16"/>
      <c r="I53" s="16"/>
      <c r="J53" s="16"/>
      <c r="K53" s="16"/>
      <c r="L53" s="17"/>
      <c r="M53" s="17"/>
      <c r="N53"/>
      <c r="O53"/>
      <c r="P53"/>
      <c r="Q53" s="208" t="s">
        <v>111</v>
      </c>
      <c r="R53" s="239">
        <f>SUMIF($C$3:$C$44,"Corridor Area",$H$3:$H$44)</f>
        <v>1161.52</v>
      </c>
      <c r="S53" s="238">
        <f>SUMIF($C$3:$C$44,"Corridor Area",$G$3:$G$44)</f>
        <v>0.11295017481792458</v>
      </c>
      <c r="T53" s="129"/>
      <c r="U53" s="129"/>
      <c r="V53" s="129"/>
      <c r="W53" s="129"/>
      <c r="X53" s="115"/>
      <c r="Y53" s="115"/>
      <c r="Z53" s="115"/>
      <c r="AA53" s="115"/>
      <c r="AB53" s="115"/>
      <c r="AC53" s="115"/>
    </row>
    <row r="54" spans="8:29" ht="18" x14ac:dyDescent="0.3">
      <c r="H54" s="16"/>
      <c r="I54" s="16"/>
      <c r="J54" s="16"/>
      <c r="K54" s="16"/>
      <c r="L54" s="17"/>
      <c r="M54" s="17"/>
      <c r="N54"/>
      <c r="O54"/>
      <c r="P54"/>
      <c r="Q54" s="208" t="s">
        <v>114</v>
      </c>
      <c r="R54" s="239">
        <f>SUMIF($C$3:$C$44,"Electrical, Mechanical, Telephone Rooms",$H$3:$H$44)</f>
        <v>1214.8200000000002</v>
      </c>
      <c r="S54" s="238">
        <f>SUMIF($C$3:$C$44,"Electrical, Mechanical, Telephone Rooms",$G$3:$G$44)</f>
        <v>2.1099419210826198E-2</v>
      </c>
      <c r="T54" s="129"/>
      <c r="U54" s="129"/>
      <c r="V54" s="129"/>
      <c r="W54" s="129"/>
      <c r="X54" s="115"/>
      <c r="Y54" s="115"/>
      <c r="Z54" s="115"/>
      <c r="AA54" s="115"/>
      <c r="AB54" s="115"/>
      <c r="AC54" s="115"/>
    </row>
    <row r="55" spans="8:29" ht="18" x14ac:dyDescent="0.3">
      <c r="H55" s="16"/>
      <c r="I55" s="16"/>
      <c r="J55" s="16"/>
      <c r="K55" s="16"/>
      <c r="L55" s="17"/>
      <c r="M55" s="17"/>
      <c r="N55"/>
      <c r="O55"/>
      <c r="P55"/>
      <c r="Q55" s="208" t="s">
        <v>120</v>
      </c>
      <c r="R55" s="239">
        <f>SUMIF($C$3:$C$44,"Kitchen/Food Preparation Area",$H$3:$H$44)</f>
        <v>1457.25</v>
      </c>
      <c r="S55" s="238">
        <f>SUMIF($C$3:$C$44,"Kitchen/Food Preparation Area",$G$3:$G$44)</f>
        <v>8.3357629887318326E-3</v>
      </c>
      <c r="T55" s="129"/>
      <c r="U55" s="129"/>
      <c r="V55" s="129"/>
      <c r="W55" s="129"/>
      <c r="X55" s="115"/>
      <c r="Y55" s="115"/>
      <c r="Z55" s="115"/>
      <c r="AA55" s="115"/>
      <c r="AB55" s="115"/>
      <c r="AC55" s="115"/>
    </row>
    <row r="56" spans="8:29" ht="18" x14ac:dyDescent="0.3">
      <c r="H56" s="16"/>
      <c r="I56" s="16"/>
      <c r="J56" s="16"/>
      <c r="K56" s="16"/>
      <c r="L56" s="17"/>
      <c r="M56" s="17"/>
      <c r="N56"/>
      <c r="O56"/>
      <c r="P56"/>
      <c r="Q56" s="208" t="s">
        <v>124</v>
      </c>
      <c r="R56" s="239">
        <f>SUMIF($C$3:$C$44,"Lobby, Main Entry",$H$3:$H$44)</f>
        <v>1241.47</v>
      </c>
      <c r="S56" s="238">
        <f>SUMIF($C$3:$C$44,"Lobby, Main Entry",$G$3:$G$44)</f>
        <v>2.8405832019546155E-2</v>
      </c>
      <c r="T56" s="129"/>
      <c r="U56" s="129"/>
      <c r="V56" s="129"/>
      <c r="W56" s="129"/>
      <c r="X56" s="115"/>
      <c r="Y56" s="115"/>
      <c r="Z56" s="115"/>
      <c r="AA56" s="115"/>
      <c r="AB56" s="115"/>
      <c r="AC56" s="115"/>
    </row>
    <row r="57" spans="8:29" ht="18" x14ac:dyDescent="0.3">
      <c r="H57" s="16"/>
      <c r="I57" s="16"/>
      <c r="J57" s="16"/>
      <c r="K57" s="16"/>
      <c r="L57" s="17"/>
      <c r="M57" s="17"/>
      <c r="N57"/>
      <c r="O57"/>
      <c r="P57"/>
      <c r="Q57" s="208" t="s">
        <v>127</v>
      </c>
      <c r="R57" s="239">
        <f>SUMIF($C$3:$C$44,"Office Area (&lt;250 square feet)",$H$3:$H$44)</f>
        <v>1624.6100000000001</v>
      </c>
      <c r="S57" s="238">
        <f>SUMIF($C$3:$C$44,"Office Area (&lt;250 square feet)",$G$3:$G$44)</f>
        <v>5.5758575024698394E-2</v>
      </c>
      <c r="T57" s="129"/>
      <c r="U57" s="129"/>
      <c r="V57" s="129"/>
      <c r="W57" s="129"/>
      <c r="X57" s="115"/>
      <c r="Y57" s="115"/>
      <c r="Z57" s="115"/>
      <c r="AA57" s="115"/>
      <c r="AB57" s="115"/>
      <c r="AC57" s="115"/>
    </row>
    <row r="58" spans="8:29" ht="18" x14ac:dyDescent="0.3">
      <c r="H58" s="16"/>
      <c r="I58" s="16"/>
      <c r="J58" s="16"/>
      <c r="K58" s="16"/>
      <c r="L58" s="17"/>
      <c r="M58" s="17"/>
      <c r="N58"/>
      <c r="O58"/>
      <c r="P58"/>
      <c r="Q58" s="208" t="s">
        <v>130</v>
      </c>
      <c r="R58" s="239">
        <f>SUMIF($C$3:$C$44,"Restrooms",$H$3:$H$44)</f>
        <v>3358.7</v>
      </c>
      <c r="S58" s="238">
        <f>SUMIF($C$3:$C$44,"Restrooms",$G$3:$G$44)</f>
        <v>3.0461615077031375E-2</v>
      </c>
      <c r="T58" s="129"/>
      <c r="U58" s="129"/>
      <c r="V58" s="129"/>
      <c r="W58" s="129"/>
      <c r="X58" s="115"/>
      <c r="Y58" s="115"/>
      <c r="Z58" s="115"/>
      <c r="AA58" s="115"/>
      <c r="AB58" s="115"/>
      <c r="AC58" s="115"/>
    </row>
    <row r="59" spans="8:29" ht="18" x14ac:dyDescent="0.3">
      <c r="H59" s="16"/>
      <c r="I59" s="16"/>
      <c r="J59" s="16"/>
      <c r="K59" s="16"/>
      <c r="L59" s="17"/>
      <c r="M59" s="17"/>
      <c r="N59"/>
      <c r="O59"/>
      <c r="P59"/>
      <c r="Q59" s="208" t="s">
        <v>134</v>
      </c>
      <c r="R59" s="239">
        <f>SUMIF($C$3:$C$44,"Storage (General)",$H$3:$H$44)</f>
        <v>2910.38</v>
      </c>
      <c r="S59" s="238">
        <f>SUMIF($C$3:$C$44,"Storage (General)",$G$3:$G$44)</f>
        <v>3.8059758139602995E-2</v>
      </c>
      <c r="T59" s="129"/>
      <c r="U59" s="129"/>
      <c r="V59" s="129"/>
      <c r="W59" s="129"/>
      <c r="X59" s="115"/>
      <c r="Y59" s="115"/>
      <c r="Z59" s="115"/>
      <c r="AA59" s="115"/>
      <c r="AB59" s="115"/>
      <c r="AC59" s="115"/>
    </row>
    <row r="60" spans="8:29" ht="18" x14ac:dyDescent="0.3">
      <c r="H60" s="16"/>
      <c r="I60" s="16"/>
      <c r="J60" s="16"/>
      <c r="K60" s="16"/>
      <c r="L60" s="17"/>
      <c r="M60" s="17"/>
      <c r="N60"/>
      <c r="O60"/>
      <c r="P60"/>
      <c r="Q60" s="208" t="s">
        <v>137</v>
      </c>
      <c r="R60" s="239">
        <f>SUMIF($C$3:$C$44,"Storage, Commercial/Industrial (Refrigerated)",$H$3:$H$44)</f>
        <v>251.72</v>
      </c>
      <c r="S60" s="238">
        <f>SUMIF($C$3:$C$44,"Storage, Commercial/Industrial (Refrigerated)",$G$3:$G$44)</f>
        <v>1.4398890097948719E-3</v>
      </c>
      <c r="T60" s="129"/>
      <c r="U60" s="129"/>
      <c r="V60" s="129"/>
      <c r="W60" s="129"/>
      <c r="X60" s="115"/>
      <c r="Y60" s="115"/>
      <c r="Z60" s="115"/>
      <c r="AA60" s="115"/>
      <c r="AB60" s="115"/>
      <c r="AC60" s="115"/>
    </row>
    <row r="61" spans="8:29" ht="18" x14ac:dyDescent="0.3">
      <c r="H61" s="16"/>
      <c r="I61" s="16"/>
      <c r="J61" s="16"/>
      <c r="K61" s="16"/>
      <c r="L61" s="17"/>
      <c r="M61" s="17"/>
      <c r="N61"/>
      <c r="O61"/>
      <c r="P61"/>
      <c r="Q61" s="208" t="s">
        <v>140</v>
      </c>
      <c r="R61" s="239">
        <f>SUMIF($C$3:$C$44,"Theater Area (Performance)",$H$3:$H$44)</f>
        <v>1065.56</v>
      </c>
      <c r="S61" s="238">
        <f>SUMIF($C$3:$C$44,"Theater Area (Performance)",$G$3:$G$44)</f>
        <v>3.0476087185702834E-2</v>
      </c>
      <c r="T61" s="129"/>
      <c r="U61" s="129"/>
      <c r="V61" s="129"/>
      <c r="W61" s="129"/>
      <c r="X61" s="115"/>
      <c r="Y61" s="115"/>
      <c r="Z61" s="115"/>
      <c r="AA61" s="115"/>
      <c r="AB61" s="115"/>
      <c r="AC61" s="115"/>
    </row>
    <row r="62" spans="8:29" ht="18" x14ac:dyDescent="0.3">
      <c r="H62" s="16"/>
      <c r="I62" s="16"/>
      <c r="J62" s="16"/>
      <c r="K62" s="16"/>
      <c r="L62" s="17"/>
      <c r="M62" s="17"/>
      <c r="N62"/>
      <c r="O62"/>
      <c r="P62"/>
      <c r="Q62" s="208" t="s">
        <v>148</v>
      </c>
      <c r="R62" s="239">
        <f>SUMIF($C$3:$C$44,"Laboratory, Scientific",$H$3:$H$44)</f>
        <v>5307</v>
      </c>
      <c r="S62" s="238">
        <f>SUMIF($C$3:$C$44,"Laboratory, Scientific",$G$3:$G$44)</f>
        <v>3.0357107003739808E-2</v>
      </c>
      <c r="T62" s="129"/>
      <c r="U62" s="129"/>
      <c r="V62" s="129"/>
      <c r="W62" s="129"/>
      <c r="X62" s="115"/>
      <c r="Y62" s="115"/>
      <c r="Z62" s="115"/>
      <c r="AA62" s="115"/>
      <c r="AB62" s="115"/>
      <c r="AC62" s="115"/>
    </row>
    <row r="63" spans="8:29" ht="18" x14ac:dyDescent="0.3">
      <c r="H63" s="16"/>
      <c r="I63" s="16"/>
      <c r="J63" s="16"/>
      <c r="K63" s="16"/>
      <c r="L63" s="17"/>
      <c r="M63" s="17"/>
      <c r="N63"/>
      <c r="O63"/>
      <c r="P63"/>
      <c r="Q63" s="208" t="s">
        <v>152</v>
      </c>
      <c r="R63" s="239">
        <f>SUMIF($C$3:$C$44,"Library (Reading Area)",$H$3:$H$44)</f>
        <v>1197.1300000000001</v>
      </c>
      <c r="S63" s="238">
        <f>SUMIF($C$3:$C$44,"Library (Reading Area)",$G$3:$G$44)</f>
        <v>6.8478242900672772E-3</v>
      </c>
      <c r="T63" s="129"/>
      <c r="U63" s="129"/>
      <c r="V63" s="129"/>
      <c r="W63" s="129"/>
      <c r="X63" s="115"/>
      <c r="Y63" s="115"/>
      <c r="Z63" s="115"/>
      <c r="AA63" s="115"/>
      <c r="AB63" s="115"/>
      <c r="AC63" s="115"/>
    </row>
    <row r="64" spans="8:29" ht="18" x14ac:dyDescent="0.3">
      <c r="H64" s="16"/>
      <c r="I64" s="16"/>
      <c r="J64" s="16"/>
      <c r="K64" s="16"/>
      <c r="L64" s="17"/>
      <c r="M64" s="17"/>
      <c r="N64"/>
      <c r="O64"/>
      <c r="P64"/>
      <c r="Q64" s="208" t="s">
        <v>159</v>
      </c>
      <c r="R64" s="239">
        <f>SUMIF($C$3:$C$44,"Classroom, Lecture, Training, Vocational Areas",$H$3:$H$44)</f>
        <v>14492.4</v>
      </c>
      <c r="S64" s="238">
        <f>SUMIF($C$3:$C$44,"Classroom, Lecture, Training, Vocational Areas",$G$3:$G$44)</f>
        <v>0.38286243780210882</v>
      </c>
      <c r="T64" s="129"/>
      <c r="U64" s="129"/>
      <c r="V64" s="129"/>
      <c r="W64" s="129"/>
      <c r="X64" s="115"/>
      <c r="Y64" s="115"/>
      <c r="Z64" s="115"/>
      <c r="AA64" s="115"/>
      <c r="AB64" s="115"/>
      <c r="AC64" s="115"/>
    </row>
    <row r="65" spans="1:29" ht="18" x14ac:dyDescent="0.3">
      <c r="H65" s="16"/>
      <c r="I65" s="16"/>
      <c r="J65" s="16"/>
      <c r="K65" s="16"/>
      <c r="L65" s="17"/>
      <c r="M65" s="17"/>
      <c r="N65"/>
      <c r="O65"/>
      <c r="P65"/>
      <c r="Q65" s="208" t="s">
        <v>194</v>
      </c>
      <c r="R65" s="239">
        <f>SUMIF($C$3:$C$44,"Wood/Metal Shop Classroom",$H$3:$H$44)</f>
        <v>6934.68</v>
      </c>
      <c r="S65" s="238">
        <f>SUMIF($C$3:$C$44,"Wood/Metal Shop Classroom",$G$3:$G$44)</f>
        <v>3.9667763858431203E-2</v>
      </c>
      <c r="T65" s="129"/>
      <c r="U65" s="129"/>
      <c r="V65" s="129"/>
      <c r="W65" s="129"/>
      <c r="X65" s="115"/>
      <c r="Y65" s="115"/>
      <c r="Z65" s="115"/>
      <c r="AA65" s="115"/>
      <c r="AB65" s="115"/>
      <c r="AC65" s="115"/>
    </row>
    <row r="66" spans="1:29" ht="18" x14ac:dyDescent="0.3">
      <c r="H66" s="16"/>
      <c r="I66" s="16"/>
      <c r="J66" s="16"/>
      <c r="K66" s="16"/>
      <c r="L66" s="17"/>
      <c r="M66" s="17"/>
      <c r="N66"/>
      <c r="O66"/>
      <c r="P66"/>
      <c r="Q66" s="208" t="s">
        <v>202</v>
      </c>
      <c r="R66" s="239">
        <f>SUMIF($C$3:$C$44,"Exercise/Fitness Center and Gymnasium Areas",$H$3:$H$44)</f>
        <v>21890.140000000003</v>
      </c>
      <c r="S66" s="238">
        <f>SUMIF($C$3:$C$44,"Exercise/Fitness Center and Gymnasium Areas",$G$3:$G$44)</f>
        <v>0.12521600194212268</v>
      </c>
      <c r="T66" s="129"/>
      <c r="U66" s="129"/>
      <c r="V66" s="129"/>
      <c r="W66" s="129"/>
      <c r="X66" s="115"/>
      <c r="Y66" s="115"/>
      <c r="Z66" s="115"/>
      <c r="AA66" s="115"/>
      <c r="AB66" s="115"/>
      <c r="AC66" s="115"/>
    </row>
    <row r="67" spans="1:29" ht="18" x14ac:dyDescent="0.3">
      <c r="H67" s="16"/>
      <c r="I67" s="16"/>
      <c r="J67" s="16"/>
      <c r="K67" s="16"/>
      <c r="L67" s="17"/>
      <c r="M67" s="17"/>
      <c r="N67"/>
      <c r="O67"/>
      <c r="P67"/>
      <c r="Q67" s="208" t="s">
        <v>208</v>
      </c>
      <c r="R67" s="239">
        <f>SUMIF($C$3:$C$44,"Locker Room",$H$3:$H$44)</f>
        <v>7632.74</v>
      </c>
      <c r="S67" s="238">
        <f>SUMIF($C$3:$C$44,"Locker Room",$G$3:$G$44)</f>
        <v>4.3660807407523081E-2</v>
      </c>
      <c r="T67" s="129"/>
      <c r="U67" s="129"/>
      <c r="V67" s="129"/>
      <c r="W67" s="129"/>
      <c r="X67" s="115"/>
      <c r="Y67" s="115"/>
      <c r="Z67" s="115"/>
      <c r="AA67" s="115"/>
      <c r="AB67" s="115"/>
      <c r="AC67" s="115"/>
    </row>
    <row r="68" spans="1:29" ht="18" x14ac:dyDescent="0.3">
      <c r="H68" s="16"/>
      <c r="I68" s="16"/>
      <c r="J68" s="16"/>
      <c r="K68" s="16"/>
      <c r="L68" s="17"/>
      <c r="M68" s="17"/>
      <c r="N68"/>
      <c r="O68"/>
      <c r="P68"/>
      <c r="Q68" s="208" t="s">
        <v>221</v>
      </c>
      <c r="R68" s="239">
        <f>SUM(R50:R67)</f>
        <v>79502.250000000015</v>
      </c>
      <c r="S68" s="238">
        <f>SUM(S50:S67)</f>
        <v>1</v>
      </c>
      <c r="T68" s="129"/>
      <c r="U68" s="129"/>
      <c r="V68" s="129"/>
      <c r="W68" s="129"/>
      <c r="X68" s="115"/>
      <c r="Y68" s="115"/>
      <c r="Z68" s="115"/>
      <c r="AA68" s="115"/>
      <c r="AB68" s="115"/>
      <c r="AC68" s="115"/>
    </row>
    <row r="69" spans="1:29" ht="18" x14ac:dyDescent="0.3">
      <c r="B69" s="9"/>
      <c r="C69" s="9"/>
      <c r="D69" s="9"/>
      <c r="E69" s="9"/>
      <c r="F69" s="9"/>
      <c r="H69" s="113"/>
      <c r="I69" s="16"/>
      <c r="J69" s="16"/>
      <c r="K69" s="16"/>
      <c r="L69" s="16"/>
      <c r="M69" s="16"/>
      <c r="N69"/>
      <c r="O69"/>
      <c r="P69"/>
      <c r="Q69"/>
      <c r="R69" s="129"/>
      <c r="S69" s="129"/>
      <c r="T69" s="129"/>
      <c r="U69" s="129"/>
      <c r="V69" s="129"/>
      <c r="W69" s="129"/>
      <c r="X69" s="115"/>
      <c r="Y69" s="115"/>
      <c r="Z69" s="115"/>
      <c r="AA69" s="115"/>
      <c r="AB69" s="115"/>
      <c r="AC69" s="115"/>
    </row>
    <row r="70" spans="1:29" ht="14.4" customHeight="1" x14ac:dyDescent="0.3">
      <c r="H70" s="16"/>
      <c r="I70" s="16"/>
      <c r="J70" s="16"/>
      <c r="K70" s="16"/>
      <c r="L70" s="16"/>
      <c r="M70" s="16"/>
      <c r="R70" s="31"/>
      <c r="S70" s="31"/>
      <c r="T70" s="31"/>
      <c r="U70"/>
    </row>
    <row r="71" spans="1:29" s="321" customFormat="1" ht="14.4" customHeight="1" x14ac:dyDescent="0.3">
      <c r="A71" s="18" t="s">
        <v>222</v>
      </c>
      <c r="B71" s="18"/>
      <c r="C71" s="18"/>
      <c r="D71" s="18"/>
      <c r="E71" s="18"/>
      <c r="F71" s="18"/>
      <c r="G71" s="18"/>
      <c r="H71" s="19"/>
      <c r="I71" s="21"/>
      <c r="J71" s="18"/>
      <c r="K71" s="18"/>
      <c r="L71" s="18"/>
      <c r="M71" s="18"/>
      <c r="P71" s="322"/>
      <c r="R71" s="73"/>
      <c r="S71" s="73"/>
      <c r="T71" s="73"/>
    </row>
    <row r="72" spans="1:29" ht="14.4" customHeight="1" x14ac:dyDescent="0.25">
      <c r="B72" s="15"/>
      <c r="C72" s="15"/>
      <c r="D72" s="15"/>
      <c r="E72" s="15"/>
      <c r="F72" s="15"/>
      <c r="G72" s="15"/>
      <c r="R72" s="31"/>
      <c r="S72" s="31"/>
      <c r="T72" s="31"/>
    </row>
    <row r="73" spans="1:29" ht="14.4" customHeight="1" x14ac:dyDescent="0.25">
      <c r="R73" s="31"/>
      <c r="S73" s="31"/>
      <c r="T73" s="31"/>
    </row>
    <row r="74" spans="1:29" ht="14.4" customHeight="1" x14ac:dyDescent="0.25">
      <c r="R74" s="31"/>
      <c r="S74" s="31"/>
      <c r="T74" s="31"/>
    </row>
    <row r="75" spans="1:29" ht="14.4" customHeight="1" x14ac:dyDescent="0.25">
      <c r="R75" s="31"/>
      <c r="S75" s="31"/>
      <c r="T75" s="31"/>
    </row>
    <row r="76" spans="1:29" ht="14.4" customHeight="1" x14ac:dyDescent="0.25">
      <c r="R76" s="31"/>
      <c r="S76" s="31"/>
      <c r="T76" s="31"/>
    </row>
    <row r="77" spans="1:29" ht="14.4" customHeight="1" x14ac:dyDescent="0.25">
      <c r="R77" s="31"/>
      <c r="S77" s="31"/>
      <c r="T77" s="31"/>
    </row>
    <row r="78" spans="1:29" ht="14.4" customHeight="1" x14ac:dyDescent="0.25">
      <c r="R78" s="31"/>
      <c r="S78" s="31"/>
      <c r="T78" s="31"/>
    </row>
    <row r="79" spans="1:29" ht="14.4" customHeight="1" x14ac:dyDescent="0.25">
      <c r="R79" s="31"/>
      <c r="S79" s="31"/>
      <c r="T79" s="31"/>
    </row>
    <row r="80" spans="1:29" customFormat="1" ht="14.4" customHeight="1" x14ac:dyDescent="0.3"/>
    <row r="81" customFormat="1" ht="14.4" customHeight="1" x14ac:dyDescent="0.3"/>
    <row r="82" customFormat="1" ht="14.4" customHeight="1" x14ac:dyDescent="0.3"/>
    <row r="83" customFormat="1" ht="14.4" customHeight="1" x14ac:dyDescent="0.3"/>
    <row r="84" customFormat="1" ht="14.4" customHeight="1" x14ac:dyDescent="0.3"/>
    <row r="85" customFormat="1" ht="14.4" customHeight="1" x14ac:dyDescent="0.3"/>
    <row r="86" customFormat="1" ht="14.4" customHeight="1" x14ac:dyDescent="0.3"/>
    <row r="87" customFormat="1" ht="14.4" customHeight="1" x14ac:dyDescent="0.3"/>
    <row r="88" customFormat="1" ht="14.4" customHeight="1" x14ac:dyDescent="0.3"/>
    <row r="89" customFormat="1" ht="14.4" customHeight="1" x14ac:dyDescent="0.3"/>
    <row r="90" customFormat="1" ht="14.4" customHeight="1" x14ac:dyDescent="0.3"/>
    <row r="91" customFormat="1" ht="14.4" customHeight="1" x14ac:dyDescent="0.3"/>
    <row r="92" customFormat="1" ht="14.4" customHeight="1" x14ac:dyDescent="0.3"/>
    <row r="93" customFormat="1" ht="14.4" customHeight="1" x14ac:dyDescent="0.3"/>
    <row r="94" customFormat="1" ht="14.4" x14ac:dyDescent="0.3"/>
    <row r="95" customFormat="1" ht="14.4" x14ac:dyDescent="0.3"/>
    <row r="96" customFormat="1" ht="14.4" x14ac:dyDescent="0.3"/>
    <row r="97" customFormat="1" ht="14.4" x14ac:dyDescent="0.3"/>
    <row r="98" customFormat="1" ht="14.4" x14ac:dyDescent="0.3"/>
    <row r="99" customFormat="1" ht="14.4" x14ac:dyDescent="0.3"/>
    <row r="100" customFormat="1" ht="14.4" x14ac:dyDescent="0.3"/>
    <row r="101" customFormat="1" ht="14.4" x14ac:dyDescent="0.3"/>
    <row r="102" customFormat="1" ht="14.4" x14ac:dyDescent="0.3"/>
    <row r="103" customFormat="1" ht="14.4" x14ac:dyDescent="0.3"/>
    <row r="104" customFormat="1" ht="14.4" x14ac:dyDescent="0.3"/>
    <row r="105" customFormat="1" ht="14.4" x14ac:dyDescent="0.3"/>
    <row r="106" customFormat="1" ht="14.4" x14ac:dyDescent="0.3"/>
    <row r="107" customFormat="1" ht="14.4" x14ac:dyDescent="0.3"/>
    <row r="108" customFormat="1" ht="14.4" x14ac:dyDescent="0.3"/>
    <row r="109" customFormat="1" ht="14.4" x14ac:dyDescent="0.3"/>
    <row r="110" customFormat="1" ht="14.4" x14ac:dyDescent="0.3"/>
    <row r="111" customFormat="1" ht="14.4" x14ac:dyDescent="0.3"/>
    <row r="112" customFormat="1" ht="14.4" x14ac:dyDescent="0.3"/>
    <row r="113" customFormat="1" ht="14.4" x14ac:dyDescent="0.3"/>
    <row r="114" customFormat="1" ht="14.4" x14ac:dyDescent="0.3"/>
    <row r="115" customFormat="1" ht="14.4" x14ac:dyDescent="0.3"/>
    <row r="116" customFormat="1" ht="14.4" x14ac:dyDescent="0.3"/>
    <row r="117" customFormat="1" ht="14.4" x14ac:dyDescent="0.3"/>
    <row r="118" customFormat="1" ht="14.4" x14ac:dyDescent="0.3"/>
    <row r="119" customFormat="1" ht="14.4" x14ac:dyDescent="0.3"/>
    <row r="120" customFormat="1" ht="14.4" x14ac:dyDescent="0.3"/>
    <row r="121" customFormat="1" ht="14.4" x14ac:dyDescent="0.3"/>
    <row r="122" customFormat="1" ht="14.4" x14ac:dyDescent="0.3"/>
    <row r="123" customFormat="1" ht="14.4" x14ac:dyDescent="0.3"/>
    <row r="124" customFormat="1" ht="14.4" x14ac:dyDescent="0.3"/>
    <row r="125" customFormat="1" ht="14.4" x14ac:dyDescent="0.3"/>
    <row r="126" customFormat="1" ht="14.4" x14ac:dyDescent="0.3"/>
    <row r="127" customFormat="1" ht="14.4" x14ac:dyDescent="0.3"/>
    <row r="128" customFormat="1" ht="14.4" x14ac:dyDescent="0.3"/>
    <row r="129" customFormat="1" ht="14.4" x14ac:dyDescent="0.3"/>
    <row r="130" customFormat="1" ht="14.4" x14ac:dyDescent="0.3"/>
    <row r="131" customFormat="1" ht="14.4" x14ac:dyDescent="0.3"/>
    <row r="132" customFormat="1" ht="14.4" x14ac:dyDescent="0.3"/>
    <row r="133" customFormat="1" ht="14.4" x14ac:dyDescent="0.3"/>
    <row r="134" customFormat="1" ht="14.4" x14ac:dyDescent="0.3"/>
    <row r="135" customFormat="1" ht="14.4" x14ac:dyDescent="0.3"/>
    <row r="136" customFormat="1" ht="14.4" x14ac:dyDescent="0.3"/>
    <row r="137" customFormat="1" ht="14.4" x14ac:dyDescent="0.3"/>
    <row r="138" customFormat="1" ht="14.4" x14ac:dyDescent="0.3"/>
    <row r="139" customFormat="1" ht="14.4" x14ac:dyDescent="0.3"/>
    <row r="140" customFormat="1" ht="14.4" x14ac:dyDescent="0.3"/>
    <row r="141" customFormat="1" ht="14.4" x14ac:dyDescent="0.3"/>
    <row r="142" customFormat="1" ht="14.4" x14ac:dyDescent="0.3"/>
    <row r="143" customFormat="1" ht="14.4" x14ac:dyDescent="0.3"/>
    <row r="144" customFormat="1" ht="14.4" x14ac:dyDescent="0.3"/>
    <row r="145" customFormat="1" ht="14.4" x14ac:dyDescent="0.3"/>
    <row r="146" customFormat="1" ht="14.4" x14ac:dyDescent="0.3"/>
    <row r="147" customFormat="1" ht="14.4" x14ac:dyDescent="0.3"/>
    <row r="148" customFormat="1" ht="14.4" x14ac:dyDescent="0.3"/>
    <row r="149" customFormat="1" ht="14.4" x14ac:dyDescent="0.3"/>
    <row r="150" customFormat="1" ht="14.4" x14ac:dyDescent="0.3"/>
    <row r="151" customFormat="1" ht="14.4" x14ac:dyDescent="0.3"/>
  </sheetData>
  <mergeCells count="2">
    <mergeCell ref="Q48:S48"/>
    <mergeCell ref="A1:L1"/>
  </mergeCells>
  <phoneticPr fontId="4" type="noConversion"/>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44F5A037-1347-4244-9246-9117C267F01A}">
          <x14:formula1>
            <xm:f>Data!$A$2:$A$200</xm:f>
          </x14:formula1>
          <xm:sqref>C3:C44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093AA-CE58-48DD-B4C9-82527CB4498E}">
  <sheetPr codeName="Sheet2"/>
  <dimension ref="A1:BJ85"/>
  <sheetViews>
    <sheetView zoomScale="85" zoomScaleNormal="85" workbookViewId="0">
      <selection sqref="A1:X1"/>
    </sheetView>
  </sheetViews>
  <sheetFormatPr defaultColWidth="9.33203125" defaultRowHeight="13.8" x14ac:dyDescent="0.25"/>
  <cols>
    <col min="1" max="1" width="15.44140625" style="51" customWidth="1"/>
    <col min="2" max="2" width="13.5546875" style="52" customWidth="1"/>
    <col min="3" max="3" width="18.5546875" style="51" customWidth="1"/>
    <col min="4" max="4" width="41.44140625" style="51" bestFit="1" customWidth="1"/>
    <col min="5" max="5" width="11.6640625" style="51" customWidth="1"/>
    <col min="6" max="6" width="20" style="51" customWidth="1"/>
    <col min="7" max="7" width="20.5546875" style="53" customWidth="1"/>
    <col min="8" max="8" width="64.44140625" style="51" customWidth="1"/>
    <col min="9" max="9" width="6.88671875" style="51" customWidth="1"/>
    <col min="10" max="12" width="7" style="51" customWidth="1"/>
    <col min="13" max="13" width="7.88671875" style="51" customWidth="1"/>
    <col min="14" max="14" width="8.6640625" style="51" customWidth="1"/>
    <col min="15" max="15" width="7" style="51" customWidth="1"/>
    <col min="16" max="16" width="7.109375" style="51" customWidth="1"/>
    <col min="17" max="17" width="7.5546875" style="51" customWidth="1"/>
    <col min="18" max="21" width="7" style="51" customWidth="1"/>
    <col min="22" max="22" width="7.6640625" style="51" customWidth="1"/>
    <col min="23" max="24" width="7" style="51" customWidth="1"/>
    <col min="25" max="25" width="9.33203125" style="51"/>
    <col min="26" max="26" width="26.88671875" style="51" customWidth="1"/>
    <col min="27" max="30" width="7.6640625" style="51" customWidth="1"/>
    <col min="31" max="31" width="9.6640625" style="51" customWidth="1"/>
    <col min="32" max="32" width="7.5546875" style="51" customWidth="1"/>
    <col min="33" max="33" width="11.44140625" style="51" customWidth="1"/>
    <col min="34" max="42" width="7.6640625" style="51" customWidth="1"/>
    <col min="43" max="46" width="10.44140625" style="51" customWidth="1"/>
    <col min="47" max="47" width="9.88671875" style="51" customWidth="1"/>
    <col min="48" max="48" width="10.44140625" style="51" customWidth="1"/>
    <col min="49" max="49" width="21.6640625" style="51" customWidth="1"/>
    <col min="50" max="50" width="10.44140625" style="51" customWidth="1"/>
    <col min="51" max="53" width="7.44140625" style="51" customWidth="1"/>
    <col min="54" max="54" width="7.6640625" style="51" customWidth="1"/>
    <col min="55" max="55" width="7.44140625" style="51" customWidth="1"/>
    <col min="56" max="56" width="13.6640625" style="51" customWidth="1"/>
    <col min="57" max="60" width="7.44140625" style="51" customWidth="1"/>
    <col min="61" max="62" width="9.6640625" style="51" bestFit="1" customWidth="1"/>
    <col min="63" max="16384" width="9.33203125" style="51"/>
  </cols>
  <sheetData>
    <row r="1" spans="1:62" ht="21" customHeight="1" x14ac:dyDescent="0.25">
      <c r="A1" s="654" t="str">
        <f>"Envelope - "&amp;Prototype!A2</f>
        <v>Envelope - SchoolHigh</v>
      </c>
      <c r="B1" s="654"/>
      <c r="C1" s="654"/>
      <c r="D1" s="654"/>
      <c r="E1" s="654"/>
      <c r="F1" s="654"/>
      <c r="G1" s="654"/>
      <c r="H1" s="654"/>
      <c r="I1" s="654"/>
      <c r="J1" s="654"/>
      <c r="K1" s="654"/>
      <c r="L1" s="654"/>
      <c r="M1" s="654"/>
      <c r="N1" s="654"/>
      <c r="O1" s="654"/>
      <c r="P1" s="654"/>
      <c r="Q1" s="654"/>
      <c r="R1" s="654"/>
      <c r="S1" s="654"/>
      <c r="T1" s="654"/>
      <c r="U1" s="654"/>
      <c r="V1" s="654"/>
      <c r="W1" s="654"/>
      <c r="X1" s="654"/>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row>
    <row r="2" spans="1:62" ht="26.4" x14ac:dyDescent="0.25">
      <c r="A2" s="613" t="s">
        <v>223</v>
      </c>
      <c r="B2" s="613" t="s">
        <v>5</v>
      </c>
      <c r="C2" s="613" t="s">
        <v>224</v>
      </c>
      <c r="D2" s="613" t="s">
        <v>225</v>
      </c>
      <c r="E2" s="363" t="s">
        <v>226</v>
      </c>
      <c r="F2" s="613" t="s">
        <v>227</v>
      </c>
      <c r="G2" s="363" t="s">
        <v>228</v>
      </c>
      <c r="H2" s="613" t="s">
        <v>32</v>
      </c>
      <c r="I2" s="613" t="s">
        <v>229</v>
      </c>
      <c r="J2" s="613" t="s">
        <v>230</v>
      </c>
      <c r="K2" s="613" t="s">
        <v>231</v>
      </c>
      <c r="L2" s="613" t="s">
        <v>232</v>
      </c>
      <c r="M2" s="613" t="s">
        <v>233</v>
      </c>
      <c r="N2" s="613" t="s">
        <v>234</v>
      </c>
      <c r="O2" s="613" t="s">
        <v>235</v>
      </c>
      <c r="P2" s="613" t="s">
        <v>236</v>
      </c>
      <c r="Q2" s="613" t="s">
        <v>237</v>
      </c>
      <c r="R2" s="613" t="s">
        <v>238</v>
      </c>
      <c r="S2" s="613" t="s">
        <v>239</v>
      </c>
      <c r="T2" s="613" t="s">
        <v>240</v>
      </c>
      <c r="U2" s="613" t="s">
        <v>241</v>
      </c>
      <c r="V2" s="613" t="s">
        <v>242</v>
      </c>
      <c r="W2" s="613" t="s">
        <v>243</v>
      </c>
      <c r="X2" s="613" t="s">
        <v>244</v>
      </c>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BI2" s="2"/>
      <c r="BJ2" s="2"/>
    </row>
    <row r="3" spans="1:62" ht="39.6" x14ac:dyDescent="0.25">
      <c r="A3" s="656" t="s">
        <v>245</v>
      </c>
      <c r="B3" s="646" t="str">
        <f>Prototype!A2</f>
        <v>SchoolHigh</v>
      </c>
      <c r="C3" s="655" t="s">
        <v>246</v>
      </c>
      <c r="D3" s="655" t="s">
        <v>247</v>
      </c>
      <c r="E3" s="656" t="s">
        <v>248</v>
      </c>
      <c r="F3" s="595" t="s">
        <v>249</v>
      </c>
      <c r="G3" s="595" t="s">
        <v>250</v>
      </c>
      <c r="H3" s="328" t="s">
        <v>251</v>
      </c>
      <c r="I3" s="479">
        <f>I83*(1-$I$84)+I82*$I$84</f>
        <v>0.21513200000000002</v>
      </c>
      <c r="J3" s="479">
        <f t="shared" ref="J3:X3" si="0">J83*(1-$I$84)+J82*$I$84</f>
        <v>0.21182000000000001</v>
      </c>
      <c r="K3" s="479">
        <f t="shared" si="0"/>
        <v>0.21366000000000002</v>
      </c>
      <c r="L3" s="479">
        <f t="shared" si="0"/>
        <v>0.21182000000000001</v>
      </c>
      <c r="M3" s="479">
        <f t="shared" si="0"/>
        <v>0.21182000000000001</v>
      </c>
      <c r="N3" s="479">
        <f t="shared" si="0"/>
        <v>0.21513200000000002</v>
      </c>
      <c r="O3" s="479">
        <f t="shared" si="0"/>
        <v>0.21513200000000002</v>
      </c>
      <c r="P3" s="479">
        <f t="shared" si="0"/>
        <v>0.21182000000000001</v>
      </c>
      <c r="Q3" s="479">
        <f t="shared" si="0"/>
        <v>0.21182000000000001</v>
      </c>
      <c r="R3" s="479">
        <f t="shared" si="0"/>
        <v>0.21182000000000001</v>
      </c>
      <c r="S3" s="479">
        <f t="shared" si="0"/>
        <v>0.21182000000000001</v>
      </c>
      <c r="T3" s="479">
        <f t="shared" si="0"/>
        <v>0.21182000000000001</v>
      </c>
      <c r="U3" s="479">
        <f t="shared" si="0"/>
        <v>0.21182000000000001</v>
      </c>
      <c r="V3" s="479">
        <f t="shared" si="0"/>
        <v>0.21182000000000001</v>
      </c>
      <c r="W3" s="479">
        <f t="shared" si="0"/>
        <v>0.21182000000000001</v>
      </c>
      <c r="X3" s="479">
        <f t="shared" si="0"/>
        <v>0.21182000000000001</v>
      </c>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row>
    <row r="4" spans="1:62" x14ac:dyDescent="0.25">
      <c r="A4" s="656"/>
      <c r="B4" s="646"/>
      <c r="C4" s="655"/>
      <c r="D4" s="655"/>
      <c r="E4" s="656"/>
      <c r="F4" s="329" t="s">
        <v>252</v>
      </c>
      <c r="G4" s="330">
        <v>1992</v>
      </c>
      <c r="H4" s="331" t="s">
        <v>253</v>
      </c>
      <c r="I4" s="332">
        <v>0.182</v>
      </c>
      <c r="J4" s="332">
        <v>0.189</v>
      </c>
      <c r="K4" s="332">
        <v>0.189</v>
      </c>
      <c r="L4" s="332">
        <v>0.189</v>
      </c>
      <c r="M4" s="332">
        <v>0.189</v>
      </c>
      <c r="N4" s="332">
        <v>0.189</v>
      </c>
      <c r="O4" s="332">
        <v>0.189</v>
      </c>
      <c r="P4" s="332">
        <v>0.189</v>
      </c>
      <c r="Q4" s="332">
        <v>0.189</v>
      </c>
      <c r="R4" s="332">
        <v>0.189</v>
      </c>
      <c r="S4" s="332">
        <v>0.182</v>
      </c>
      <c r="T4" s="332">
        <v>0.182</v>
      </c>
      <c r="U4" s="332">
        <v>0.182</v>
      </c>
      <c r="V4" s="332">
        <v>0.182</v>
      </c>
      <c r="W4" s="332">
        <v>0.182</v>
      </c>
      <c r="X4" s="332">
        <v>0.182</v>
      </c>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row>
    <row r="5" spans="1:62" x14ac:dyDescent="0.25">
      <c r="A5" s="656"/>
      <c r="B5" s="646"/>
      <c r="C5" s="655"/>
      <c r="D5" s="655"/>
      <c r="E5" s="656"/>
      <c r="F5" s="333" t="s">
        <v>254</v>
      </c>
      <c r="G5" s="333">
        <v>2001</v>
      </c>
      <c r="H5" s="334" t="s">
        <v>255</v>
      </c>
      <c r="I5" s="335">
        <v>0.182</v>
      </c>
      <c r="J5" s="335">
        <v>0.182</v>
      </c>
      <c r="K5" s="335">
        <v>0.189</v>
      </c>
      <c r="L5" s="335">
        <v>0.189</v>
      </c>
      <c r="M5" s="335">
        <v>0.189</v>
      </c>
      <c r="N5" s="335">
        <v>0.189</v>
      </c>
      <c r="O5" s="335">
        <v>0.189</v>
      </c>
      <c r="P5" s="335">
        <v>0.189</v>
      </c>
      <c r="Q5" s="335">
        <v>0.189</v>
      </c>
      <c r="R5" s="335">
        <v>0.182</v>
      </c>
      <c r="S5" s="335">
        <v>0.182</v>
      </c>
      <c r="T5" s="335">
        <v>0.182</v>
      </c>
      <c r="U5" s="335">
        <v>0.182</v>
      </c>
      <c r="V5" s="335">
        <v>0.182</v>
      </c>
      <c r="W5" s="335">
        <v>0.182</v>
      </c>
      <c r="X5" s="335">
        <v>0.182</v>
      </c>
      <c r="Y5" s="2"/>
      <c r="Z5" s="2"/>
      <c r="AA5" s="2"/>
      <c r="AB5" s="2"/>
      <c r="AC5" s="2"/>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c r="BI5" s="2"/>
      <c r="BJ5" s="2"/>
    </row>
    <row r="6" spans="1:62" x14ac:dyDescent="0.25">
      <c r="A6" s="656"/>
      <c r="B6" s="646"/>
      <c r="C6" s="655"/>
      <c r="D6" s="655"/>
      <c r="E6" s="656"/>
      <c r="F6" s="336" t="s">
        <v>256</v>
      </c>
      <c r="G6" s="336">
        <v>2013</v>
      </c>
      <c r="H6" s="337" t="s">
        <v>257</v>
      </c>
      <c r="I6" s="338">
        <v>9.8000000000000004E-2</v>
      </c>
      <c r="J6" s="338">
        <v>6.2E-2</v>
      </c>
      <c r="K6" s="338">
        <v>8.2000000000000003E-2</v>
      </c>
      <c r="L6" s="338">
        <v>6.2E-2</v>
      </c>
      <c r="M6" s="338">
        <v>6.2E-2</v>
      </c>
      <c r="N6" s="338">
        <v>9.8000000000000004E-2</v>
      </c>
      <c r="O6" s="338">
        <v>9.8000000000000004E-2</v>
      </c>
      <c r="P6" s="338">
        <v>6.2E-2</v>
      </c>
      <c r="Q6" s="338">
        <v>6.2E-2</v>
      </c>
      <c r="R6" s="338">
        <v>6.2E-2</v>
      </c>
      <c r="S6" s="338">
        <v>6.2E-2</v>
      </c>
      <c r="T6" s="338">
        <v>6.2E-2</v>
      </c>
      <c r="U6" s="338">
        <v>6.2E-2</v>
      </c>
      <c r="V6" s="338">
        <v>6.2E-2</v>
      </c>
      <c r="W6" s="338">
        <v>6.2E-2</v>
      </c>
      <c r="X6" s="338">
        <v>6.2E-2</v>
      </c>
      <c r="Y6" s="2"/>
      <c r="Z6" s="2"/>
      <c r="AA6" s="2"/>
      <c r="AB6" s="2"/>
      <c r="AC6" s="2"/>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c r="BI6" s="2"/>
      <c r="BJ6" s="2"/>
    </row>
    <row r="7" spans="1:62" x14ac:dyDescent="0.25">
      <c r="A7" s="656"/>
      <c r="B7" s="646"/>
      <c r="C7" s="655"/>
      <c r="D7" s="655"/>
      <c r="E7" s="656"/>
      <c r="F7" s="339" t="s">
        <v>258</v>
      </c>
      <c r="G7" s="339"/>
      <c r="H7" s="339" t="s">
        <v>259</v>
      </c>
      <c r="I7" s="351" cm="1">
        <f t="array" ref="I7:X7">_xlfn.BYCOL(TRANSPOSE(Weights!$C$4:$F$19)*I3:X6,_xlfn.LAMBDA(_xlpm.c,SUM(_xlpm.c)))</f>
        <v>0.1977783938132</v>
      </c>
      <c r="J7" s="351">
        <v>0.20692913970799998</v>
      </c>
      <c r="K7" s="351">
        <v>0.20652023418200002</v>
      </c>
      <c r="L7" s="351">
        <v>0.20589614006600002</v>
      </c>
      <c r="M7" s="351">
        <v>0.20038322167</v>
      </c>
      <c r="N7" s="351">
        <v>0.20300293626159999</v>
      </c>
      <c r="O7" s="351">
        <v>0.17455149089600003</v>
      </c>
      <c r="P7" s="351">
        <v>0.20045867944599999</v>
      </c>
      <c r="Q7" s="351">
        <v>0.20215808365600002</v>
      </c>
      <c r="R7" s="351">
        <v>0.179784796366</v>
      </c>
      <c r="S7" s="351">
        <v>0.19596026863800001</v>
      </c>
      <c r="T7" s="351">
        <v>0.19332976134800001</v>
      </c>
      <c r="U7" s="351">
        <v>0.18459358389799999</v>
      </c>
      <c r="V7" s="351">
        <v>0.18613236102200001</v>
      </c>
      <c r="W7" s="351">
        <v>0.18242938192800001</v>
      </c>
      <c r="X7" s="351">
        <v>0.18431543816000001</v>
      </c>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row>
    <row r="8" spans="1:62" x14ac:dyDescent="0.25">
      <c r="A8" s="656"/>
      <c r="B8" s="646"/>
      <c r="C8" s="655"/>
      <c r="D8" s="655"/>
      <c r="E8" s="656"/>
      <c r="F8" s="353" t="s">
        <v>260</v>
      </c>
      <c r="G8" s="354">
        <v>2025</v>
      </c>
      <c r="H8" s="360" t="s">
        <v>261</v>
      </c>
      <c r="I8" s="365">
        <v>0.06</v>
      </c>
      <c r="J8" s="359">
        <v>5.5E-2</v>
      </c>
      <c r="K8" s="359">
        <v>7.0999999999999994E-2</v>
      </c>
      <c r="L8" s="359">
        <v>5.5E-2</v>
      </c>
      <c r="M8" s="359">
        <v>5.5E-2</v>
      </c>
      <c r="N8" s="365">
        <v>0.06</v>
      </c>
      <c r="O8" s="365">
        <v>0.06</v>
      </c>
      <c r="P8" s="359">
        <v>5.5E-2</v>
      </c>
      <c r="Q8" s="359">
        <v>5.5E-2</v>
      </c>
      <c r="R8" s="359">
        <v>5.5E-2</v>
      </c>
      <c r="S8" s="359">
        <v>5.5E-2</v>
      </c>
      <c r="T8" s="359">
        <v>5.5E-2</v>
      </c>
      <c r="U8" s="359">
        <v>5.5E-2</v>
      </c>
      <c r="V8" s="359">
        <v>5.5E-2</v>
      </c>
      <c r="W8" s="359">
        <v>5.5E-2</v>
      </c>
      <c r="X8" s="359">
        <v>5.5E-2</v>
      </c>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row>
    <row r="9" spans="1:62" x14ac:dyDescent="0.25">
      <c r="A9" s="656" t="s">
        <v>262</v>
      </c>
      <c r="B9" s="646" t="str">
        <f t="shared" ref="B9" si="1">$B$3</f>
        <v>SchoolHigh</v>
      </c>
      <c r="C9" s="655" t="s">
        <v>263</v>
      </c>
      <c r="D9" s="657" t="s">
        <v>264</v>
      </c>
      <c r="E9" s="656" t="s">
        <v>248</v>
      </c>
      <c r="F9" s="595" t="s">
        <v>249</v>
      </c>
      <c r="G9" s="595" t="s">
        <v>250</v>
      </c>
      <c r="H9" s="650" t="s">
        <v>265</v>
      </c>
      <c r="I9" s="342">
        <v>5.7000000000000002E-2</v>
      </c>
      <c r="J9" s="342">
        <v>5.7000000000000002E-2</v>
      </c>
      <c r="K9" s="342">
        <v>5.7000000000000002E-2</v>
      </c>
      <c r="L9" s="342">
        <v>5.7000000000000002E-2</v>
      </c>
      <c r="M9" s="342">
        <v>5.7000000000000002E-2</v>
      </c>
      <c r="N9" s="342">
        <v>7.8E-2</v>
      </c>
      <c r="O9" s="342">
        <v>7.8E-2</v>
      </c>
      <c r="P9" s="342">
        <v>7.8E-2</v>
      </c>
      <c r="Q9" s="342">
        <v>7.8E-2</v>
      </c>
      <c r="R9" s="342">
        <v>7.8E-2</v>
      </c>
      <c r="S9" s="342">
        <v>5.7000000000000002E-2</v>
      </c>
      <c r="T9" s="342">
        <v>5.7000000000000002E-2</v>
      </c>
      <c r="U9" s="342">
        <v>5.7000000000000002E-2</v>
      </c>
      <c r="V9" s="342">
        <v>5.7000000000000002E-2</v>
      </c>
      <c r="W9" s="342">
        <v>5.7000000000000002E-2</v>
      </c>
      <c r="X9" s="342">
        <v>5.7000000000000002E-2</v>
      </c>
      <c r="Y9" s="81"/>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c r="BI9" s="2"/>
      <c r="BJ9" s="2"/>
    </row>
    <row r="10" spans="1:62" x14ac:dyDescent="0.25">
      <c r="A10" s="656"/>
      <c r="B10" s="646"/>
      <c r="C10" s="655"/>
      <c r="D10" s="657"/>
      <c r="E10" s="656"/>
      <c r="F10" s="329" t="s">
        <v>252</v>
      </c>
      <c r="G10" s="330" t="s">
        <v>250</v>
      </c>
      <c r="H10" s="646"/>
      <c r="I10" s="343">
        <v>5.7000000000000002E-2</v>
      </c>
      <c r="J10" s="343">
        <v>5.7000000000000002E-2</v>
      </c>
      <c r="K10" s="343">
        <v>5.7000000000000002E-2</v>
      </c>
      <c r="L10" s="343">
        <v>5.7000000000000002E-2</v>
      </c>
      <c r="M10" s="343">
        <v>5.7000000000000002E-2</v>
      </c>
      <c r="N10" s="343">
        <v>7.8E-2</v>
      </c>
      <c r="O10" s="343">
        <v>7.8E-2</v>
      </c>
      <c r="P10" s="343">
        <v>7.8E-2</v>
      </c>
      <c r="Q10" s="343">
        <v>7.8E-2</v>
      </c>
      <c r="R10" s="343">
        <v>7.8E-2</v>
      </c>
      <c r="S10" s="343">
        <v>5.7000000000000002E-2</v>
      </c>
      <c r="T10" s="343">
        <v>5.7000000000000002E-2</v>
      </c>
      <c r="U10" s="343">
        <v>5.7000000000000002E-2</v>
      </c>
      <c r="V10" s="343">
        <v>5.7000000000000002E-2</v>
      </c>
      <c r="W10" s="343">
        <v>5.7000000000000002E-2</v>
      </c>
      <c r="X10" s="343">
        <v>5.7000000000000002E-2</v>
      </c>
      <c r="Y10" s="81"/>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c r="BI10" s="2"/>
      <c r="BJ10" s="2"/>
    </row>
    <row r="11" spans="1:62" x14ac:dyDescent="0.25">
      <c r="A11" s="656"/>
      <c r="B11" s="646"/>
      <c r="C11" s="655"/>
      <c r="D11" s="657"/>
      <c r="E11" s="656"/>
      <c r="F11" s="333" t="s">
        <v>254</v>
      </c>
      <c r="G11" s="333">
        <v>2001</v>
      </c>
      <c r="H11" s="344" t="s">
        <v>266</v>
      </c>
      <c r="I11" s="345">
        <v>5.7000000000000002E-2</v>
      </c>
      <c r="J11" s="345">
        <v>5.7000000000000002E-2</v>
      </c>
      <c r="K11" s="345">
        <v>5.7000000000000002E-2</v>
      </c>
      <c r="L11" s="345">
        <v>5.7000000000000002E-2</v>
      </c>
      <c r="M11" s="345">
        <v>5.7000000000000002E-2</v>
      </c>
      <c r="N11" s="345">
        <v>7.8E-2</v>
      </c>
      <c r="O11" s="345">
        <v>7.8E-2</v>
      </c>
      <c r="P11" s="345">
        <v>7.8E-2</v>
      </c>
      <c r="Q11" s="345">
        <v>7.8E-2</v>
      </c>
      <c r="R11" s="345">
        <v>5.7000000000000002E-2</v>
      </c>
      <c r="S11" s="345">
        <v>5.7000000000000002E-2</v>
      </c>
      <c r="T11" s="345">
        <v>5.7000000000000002E-2</v>
      </c>
      <c r="U11" s="345">
        <v>5.7000000000000002E-2</v>
      </c>
      <c r="V11" s="345">
        <v>5.7000000000000002E-2</v>
      </c>
      <c r="W11" s="345">
        <v>5.7000000000000002E-2</v>
      </c>
      <c r="X11" s="345">
        <v>5.7000000000000002E-2</v>
      </c>
      <c r="Y11" s="81"/>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row>
    <row r="12" spans="1:62" x14ac:dyDescent="0.25">
      <c r="A12" s="656"/>
      <c r="B12" s="646"/>
      <c r="C12" s="655"/>
      <c r="D12" s="657"/>
      <c r="E12" s="656"/>
      <c r="F12" s="336" t="s">
        <v>256</v>
      </c>
      <c r="G12" s="336">
        <v>2013</v>
      </c>
      <c r="H12" s="346" t="s">
        <v>267</v>
      </c>
      <c r="I12" s="347">
        <v>4.9000000000000002E-2</v>
      </c>
      <c r="J12" s="347">
        <v>3.9E-2</v>
      </c>
      <c r="K12" s="347">
        <v>3.9E-2</v>
      </c>
      <c r="L12" s="347">
        <v>3.9E-2</v>
      </c>
      <c r="M12" s="347">
        <v>4.9000000000000002E-2</v>
      </c>
      <c r="N12" s="347">
        <v>7.4999999999999997E-2</v>
      </c>
      <c r="O12" s="347">
        <v>6.7000000000000004E-2</v>
      </c>
      <c r="P12" s="347">
        <v>6.7000000000000004E-2</v>
      </c>
      <c r="Q12" s="347">
        <v>3.9E-2</v>
      </c>
      <c r="R12" s="347">
        <v>3.9E-2</v>
      </c>
      <c r="S12" s="347">
        <v>3.9E-2</v>
      </c>
      <c r="T12" s="347">
        <v>3.9E-2</v>
      </c>
      <c r="U12" s="347">
        <v>3.9E-2</v>
      </c>
      <c r="V12" s="347">
        <v>3.9E-2</v>
      </c>
      <c r="W12" s="347">
        <v>3.9E-2</v>
      </c>
      <c r="X12" s="347">
        <v>3.9E-2</v>
      </c>
      <c r="Y12" s="81"/>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c r="BI12" s="2"/>
      <c r="BJ12" s="2"/>
    </row>
    <row r="13" spans="1:62" x14ac:dyDescent="0.25">
      <c r="A13" s="656"/>
      <c r="B13" s="646"/>
      <c r="C13" s="655"/>
      <c r="D13" s="657"/>
      <c r="E13" s="656"/>
      <c r="F13" s="339" t="s">
        <v>258</v>
      </c>
      <c r="G13" s="339"/>
      <c r="H13" s="339" t="s">
        <v>259</v>
      </c>
      <c r="I13" s="362" cm="1">
        <f t="array" ref="I13:X13">_xlfn.BYCOL(TRANSPOSE([1]Weights!$C$4:$F$19)*I9:X12,_xlfn.LAMBDA(_xlpm.c,SUM(_xlpm.c)))</f>
        <v>5.67310096E-2</v>
      </c>
      <c r="J13" s="362">
        <v>5.6746800899999998E-2</v>
      </c>
      <c r="K13" s="362">
        <v>5.6870687700000012E-2</v>
      </c>
      <c r="L13" s="362">
        <v>5.6877169800000002E-2</v>
      </c>
      <c r="M13" s="362">
        <v>5.6937689600000001E-2</v>
      </c>
      <c r="N13" s="362">
        <v>7.7860756799999986E-2</v>
      </c>
      <c r="O13" s="362">
        <v>7.5304949299999993E-2</v>
      </c>
      <c r="P13" s="362">
        <v>7.7576533000000003E-2</v>
      </c>
      <c r="Q13" s="362">
        <v>7.7065992900000005E-2</v>
      </c>
      <c r="R13" s="362">
        <v>6.6517197299999997E-2</v>
      </c>
      <c r="S13" s="362">
        <v>5.6650880699999996E-2</v>
      </c>
      <c r="T13" s="362">
        <v>5.6429947200000011E-2</v>
      </c>
      <c r="U13" s="362">
        <v>5.5726048200000003E-2</v>
      </c>
      <c r="V13" s="362">
        <v>5.5137687599999999E-2</v>
      </c>
      <c r="W13" s="362">
        <v>5.61165291E-2</v>
      </c>
      <c r="X13" s="362">
        <v>5.5132339799999999E-2</v>
      </c>
      <c r="Y13" s="81"/>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row>
    <row r="14" spans="1:62" x14ac:dyDescent="0.25">
      <c r="A14" s="656"/>
      <c r="B14" s="646"/>
      <c r="C14" s="655"/>
      <c r="D14" s="657"/>
      <c r="E14" s="656"/>
      <c r="F14" s="353" t="s">
        <v>260</v>
      </c>
      <c r="G14" s="354">
        <v>2025</v>
      </c>
      <c r="H14" s="364" t="s">
        <v>267</v>
      </c>
      <c r="I14" s="354">
        <v>2.8000000000000001E-2</v>
      </c>
      <c r="J14" s="354">
        <v>2.8000000000000001E-2</v>
      </c>
      <c r="K14" s="354">
        <v>2.8000000000000001E-2</v>
      </c>
      <c r="L14" s="354">
        <v>2.8000000000000001E-2</v>
      </c>
      <c r="M14" s="354">
        <v>2.8000000000000001E-2</v>
      </c>
      <c r="N14" s="354">
        <v>4.7E-2</v>
      </c>
      <c r="O14" s="354">
        <v>4.7E-2</v>
      </c>
      <c r="P14" s="354">
        <v>4.7E-2</v>
      </c>
      <c r="Q14" s="354">
        <v>2.8000000000000001E-2</v>
      </c>
      <c r="R14" s="354">
        <v>2.8000000000000001E-2</v>
      </c>
      <c r="S14" s="354">
        <v>2.8000000000000001E-2</v>
      </c>
      <c r="T14" s="354">
        <v>2.8000000000000001E-2</v>
      </c>
      <c r="U14" s="354">
        <v>2.8000000000000001E-2</v>
      </c>
      <c r="V14" s="354">
        <v>2.8000000000000001E-2</v>
      </c>
      <c r="W14" s="354">
        <v>2.8000000000000001E-2</v>
      </c>
      <c r="X14" s="354">
        <v>2.8000000000000001E-2</v>
      </c>
      <c r="Y14" s="81"/>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row>
    <row r="15" spans="1:62" ht="14.4" customHeight="1" x14ac:dyDescent="0.25">
      <c r="A15" s="656" t="s">
        <v>268</v>
      </c>
      <c r="B15" s="646" t="str">
        <f t="shared" ref="B15" si="2">$B$3</f>
        <v>SchoolHigh</v>
      </c>
      <c r="C15" s="655" t="s">
        <v>269</v>
      </c>
      <c r="D15" s="646" t="s">
        <v>270</v>
      </c>
      <c r="E15" s="656" t="s">
        <v>248</v>
      </c>
      <c r="F15" s="595" t="s">
        <v>249</v>
      </c>
      <c r="G15" s="595" t="s">
        <v>250</v>
      </c>
      <c r="H15" s="646" t="s">
        <v>271</v>
      </c>
      <c r="I15" s="349">
        <f>0.33*1.12+0.67*I18</f>
        <v>0.61080000000000001</v>
      </c>
      <c r="J15" s="349">
        <f t="shared" ref="J15:X15" si="3">0.33*1.12+0.67*J18</f>
        <v>0.61080000000000001</v>
      </c>
      <c r="K15" s="349">
        <f t="shared" si="3"/>
        <v>0.61080000000000001</v>
      </c>
      <c r="L15" s="349">
        <f t="shared" si="3"/>
        <v>0.61080000000000001</v>
      </c>
      <c r="M15" s="349">
        <f t="shared" si="3"/>
        <v>0.61080000000000001</v>
      </c>
      <c r="N15" s="349">
        <f t="shared" si="3"/>
        <v>0.61080000000000001</v>
      </c>
      <c r="O15" s="349">
        <f t="shared" si="3"/>
        <v>0.61080000000000001</v>
      </c>
      <c r="P15" s="349">
        <f t="shared" si="3"/>
        <v>0.61080000000000001</v>
      </c>
      <c r="Q15" s="349">
        <f t="shared" si="3"/>
        <v>0.61080000000000001</v>
      </c>
      <c r="R15" s="349">
        <f t="shared" si="3"/>
        <v>0.61080000000000001</v>
      </c>
      <c r="S15" s="349">
        <f t="shared" si="3"/>
        <v>0.61080000000000001</v>
      </c>
      <c r="T15" s="349">
        <f t="shared" si="3"/>
        <v>0.61080000000000001</v>
      </c>
      <c r="U15" s="349">
        <f t="shared" si="3"/>
        <v>0.61080000000000001</v>
      </c>
      <c r="V15" s="349">
        <f t="shared" si="3"/>
        <v>0.61080000000000001</v>
      </c>
      <c r="W15" s="349">
        <f t="shared" si="3"/>
        <v>0.61080000000000001</v>
      </c>
      <c r="X15" s="349">
        <f t="shared" si="3"/>
        <v>0.61080000000000001</v>
      </c>
      <c r="Y15" s="81"/>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row>
    <row r="16" spans="1:62" x14ac:dyDescent="0.25">
      <c r="A16" s="656"/>
      <c r="B16" s="646"/>
      <c r="C16" s="655"/>
      <c r="D16" s="646"/>
      <c r="E16" s="656"/>
      <c r="F16" s="329" t="s">
        <v>252</v>
      </c>
      <c r="G16" s="329" t="s">
        <v>250</v>
      </c>
      <c r="H16" s="646"/>
      <c r="I16" s="350">
        <f>0.33*1.12+0.67*I18</f>
        <v>0.61080000000000001</v>
      </c>
      <c r="J16" s="350">
        <f t="shared" ref="J16:X16" si="4">0.33*1.12+0.67*J18</f>
        <v>0.61080000000000001</v>
      </c>
      <c r="K16" s="350">
        <f t="shared" si="4"/>
        <v>0.61080000000000001</v>
      </c>
      <c r="L16" s="350">
        <f t="shared" si="4"/>
        <v>0.61080000000000001</v>
      </c>
      <c r="M16" s="350">
        <f t="shared" si="4"/>
        <v>0.61080000000000001</v>
      </c>
      <c r="N16" s="350">
        <f t="shared" si="4"/>
        <v>0.61080000000000001</v>
      </c>
      <c r="O16" s="350">
        <f t="shared" si="4"/>
        <v>0.61080000000000001</v>
      </c>
      <c r="P16" s="350">
        <f t="shared" si="4"/>
        <v>0.61080000000000001</v>
      </c>
      <c r="Q16" s="350">
        <f t="shared" si="4"/>
        <v>0.61080000000000001</v>
      </c>
      <c r="R16" s="350">
        <f t="shared" si="4"/>
        <v>0.61080000000000001</v>
      </c>
      <c r="S16" s="350">
        <f t="shared" si="4"/>
        <v>0.61080000000000001</v>
      </c>
      <c r="T16" s="350">
        <f t="shared" si="4"/>
        <v>0.61080000000000001</v>
      </c>
      <c r="U16" s="350">
        <f t="shared" si="4"/>
        <v>0.61080000000000001</v>
      </c>
      <c r="V16" s="350">
        <f t="shared" si="4"/>
        <v>0.61080000000000001</v>
      </c>
      <c r="W16" s="350">
        <f t="shared" si="4"/>
        <v>0.61080000000000001</v>
      </c>
      <c r="X16" s="350">
        <f t="shared" si="4"/>
        <v>0.61080000000000001</v>
      </c>
      <c r="Y16" s="81"/>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row>
    <row r="17" spans="1:62" x14ac:dyDescent="0.25">
      <c r="A17" s="656"/>
      <c r="B17" s="646"/>
      <c r="C17" s="655"/>
      <c r="D17" s="656" t="s">
        <v>272</v>
      </c>
      <c r="E17" s="656"/>
      <c r="F17" s="333" t="s">
        <v>254</v>
      </c>
      <c r="G17" s="333">
        <v>2001</v>
      </c>
      <c r="H17" s="344" t="s">
        <v>266</v>
      </c>
      <c r="I17" s="333">
        <v>0.49</v>
      </c>
      <c r="J17" s="333">
        <v>0.49</v>
      </c>
      <c r="K17" s="333">
        <v>0.81</v>
      </c>
      <c r="L17" s="333">
        <v>0.81</v>
      </c>
      <c r="M17" s="333">
        <v>0.81</v>
      </c>
      <c r="N17" s="333">
        <v>0.81</v>
      </c>
      <c r="O17" s="333">
        <v>0.81</v>
      </c>
      <c r="P17" s="333">
        <v>0.81</v>
      </c>
      <c r="Q17" s="333">
        <v>0.81</v>
      </c>
      <c r="R17" s="333">
        <v>0.49</v>
      </c>
      <c r="S17" s="333">
        <v>0.49</v>
      </c>
      <c r="T17" s="333">
        <v>0.49</v>
      </c>
      <c r="U17" s="333">
        <v>0.49</v>
      </c>
      <c r="V17" s="333">
        <v>0.49</v>
      </c>
      <c r="W17" s="333">
        <v>0.49</v>
      </c>
      <c r="X17" s="333">
        <v>0.49</v>
      </c>
      <c r="Y17" s="81"/>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row>
    <row r="18" spans="1:62" x14ac:dyDescent="0.25">
      <c r="A18" s="656"/>
      <c r="B18" s="646"/>
      <c r="C18" s="655"/>
      <c r="D18" s="656"/>
      <c r="E18" s="656"/>
      <c r="F18" s="336" t="s">
        <v>256</v>
      </c>
      <c r="G18" s="336">
        <v>2013</v>
      </c>
      <c r="H18" s="346" t="s">
        <v>267</v>
      </c>
      <c r="I18" s="336">
        <v>0.36</v>
      </c>
      <c r="J18" s="336">
        <v>0.36</v>
      </c>
      <c r="K18" s="336">
        <v>0.36</v>
      </c>
      <c r="L18" s="336">
        <v>0.36</v>
      </c>
      <c r="M18" s="336">
        <v>0.36</v>
      </c>
      <c r="N18" s="336">
        <v>0.36</v>
      </c>
      <c r="O18" s="336">
        <v>0.36</v>
      </c>
      <c r="P18" s="336">
        <v>0.36</v>
      </c>
      <c r="Q18" s="336">
        <v>0.36</v>
      </c>
      <c r="R18" s="336">
        <v>0.36</v>
      </c>
      <c r="S18" s="336">
        <v>0.36</v>
      </c>
      <c r="T18" s="336">
        <v>0.36</v>
      </c>
      <c r="U18" s="336">
        <v>0.36</v>
      </c>
      <c r="V18" s="336">
        <v>0.36</v>
      </c>
      <c r="W18" s="336">
        <v>0.36</v>
      </c>
      <c r="X18" s="336">
        <v>0.36</v>
      </c>
      <c r="Y18" s="81"/>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row>
    <row r="19" spans="1:62" x14ac:dyDescent="0.25">
      <c r="A19" s="656"/>
      <c r="B19" s="646"/>
      <c r="C19" s="655"/>
      <c r="D19" s="656"/>
      <c r="E19" s="656"/>
      <c r="F19" s="339" t="s">
        <v>258</v>
      </c>
      <c r="G19" s="339"/>
      <c r="H19" s="351" t="s">
        <v>259</v>
      </c>
      <c r="I19" s="362" cm="1">
        <f t="array" ref="I19:X19">_xlfn.BYCOL(TRANSPOSE([1]Weights!$C$4:$F$19)*I15:X18,_xlfn.LAMBDA(_xlpm.c,SUM(_xlpm.c)))</f>
        <v>0.59174619752000002</v>
      </c>
      <c r="J19" s="362">
        <v>0.60263348752000001</v>
      </c>
      <c r="K19" s="362">
        <v>0.61227217872000006</v>
      </c>
      <c r="L19" s="362">
        <v>0.61113841355999998</v>
      </c>
      <c r="M19" s="362">
        <v>0.61370021640000005</v>
      </c>
      <c r="N19" s="362">
        <v>0.62087021592000002</v>
      </c>
      <c r="O19" s="362">
        <v>0.58853034191999998</v>
      </c>
      <c r="P19" s="362">
        <v>0.62312043744000001</v>
      </c>
      <c r="Q19" s="362">
        <v>0.62219226179999998</v>
      </c>
      <c r="R19" s="362">
        <v>0.54168422311999997</v>
      </c>
      <c r="S19" s="362">
        <v>0.59581963748</v>
      </c>
      <c r="T19" s="362">
        <v>0.58968145127999994</v>
      </c>
      <c r="U19" s="362">
        <v>0.57396796444000009</v>
      </c>
      <c r="V19" s="362">
        <v>0.56658383679999991</v>
      </c>
      <c r="W19" s="362">
        <v>0.53475387611999992</v>
      </c>
      <c r="X19" s="362">
        <v>0.5677714546</v>
      </c>
      <c r="Y19" s="81"/>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row>
    <row r="20" spans="1:62" x14ac:dyDescent="0.25">
      <c r="A20" s="656"/>
      <c r="B20" s="646"/>
      <c r="C20" s="655"/>
      <c r="D20" s="656"/>
      <c r="E20" s="656"/>
      <c r="F20" s="340" t="s">
        <v>260</v>
      </c>
      <c r="G20" s="341">
        <v>2025</v>
      </c>
      <c r="H20" s="348" t="s">
        <v>267</v>
      </c>
      <c r="I20" s="341">
        <v>0.36</v>
      </c>
      <c r="J20" s="341">
        <v>0.36</v>
      </c>
      <c r="K20" s="341">
        <v>0.36</v>
      </c>
      <c r="L20" s="341">
        <v>0.36</v>
      </c>
      <c r="M20" s="341">
        <v>0.36</v>
      </c>
      <c r="N20" s="341">
        <v>0.36</v>
      </c>
      <c r="O20" s="341">
        <v>0.36</v>
      </c>
      <c r="P20" s="341">
        <v>0.36</v>
      </c>
      <c r="Q20" s="341">
        <v>0.34</v>
      </c>
      <c r="R20" s="341">
        <v>0.36</v>
      </c>
      <c r="S20" s="341">
        <v>0.34</v>
      </c>
      <c r="T20" s="341">
        <v>0.34</v>
      </c>
      <c r="U20" s="341">
        <v>0.34</v>
      </c>
      <c r="V20" s="341">
        <v>0.34</v>
      </c>
      <c r="W20" s="341">
        <v>0.34</v>
      </c>
      <c r="X20" s="341">
        <v>0.36</v>
      </c>
      <c r="Y20" s="81"/>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row>
    <row r="21" spans="1:62" x14ac:dyDescent="0.25">
      <c r="A21" s="656"/>
      <c r="B21" s="646" t="str">
        <f t="shared" ref="B21" si="5">$B$3</f>
        <v>SchoolHigh</v>
      </c>
      <c r="C21" s="655" t="s">
        <v>269</v>
      </c>
      <c r="D21" s="646" t="s">
        <v>270</v>
      </c>
      <c r="E21" s="656" t="s">
        <v>273</v>
      </c>
      <c r="F21" s="595" t="s">
        <v>249</v>
      </c>
      <c r="G21" s="595" t="s">
        <v>250</v>
      </c>
      <c r="H21" s="646" t="s">
        <v>274</v>
      </c>
      <c r="I21" s="349">
        <f>0.79*0.33+0.67*I24</f>
        <v>0.42820000000000003</v>
      </c>
      <c r="J21" s="349">
        <f t="shared" ref="J21:X21" si="6">0.79*0.33+0.67*J24</f>
        <v>0.42820000000000003</v>
      </c>
      <c r="K21" s="349">
        <f t="shared" si="6"/>
        <v>0.42820000000000003</v>
      </c>
      <c r="L21" s="349">
        <f t="shared" si="6"/>
        <v>0.42820000000000003</v>
      </c>
      <c r="M21" s="349">
        <f t="shared" si="6"/>
        <v>0.42820000000000003</v>
      </c>
      <c r="N21" s="349">
        <f t="shared" si="6"/>
        <v>0.42820000000000003</v>
      </c>
      <c r="O21" s="349">
        <f t="shared" si="6"/>
        <v>0.42820000000000003</v>
      </c>
      <c r="P21" s="349">
        <f t="shared" si="6"/>
        <v>0.42820000000000003</v>
      </c>
      <c r="Q21" s="349">
        <f t="shared" si="6"/>
        <v>0.42820000000000003</v>
      </c>
      <c r="R21" s="349">
        <f t="shared" si="6"/>
        <v>0.42820000000000003</v>
      </c>
      <c r="S21" s="349">
        <f t="shared" si="6"/>
        <v>0.42820000000000003</v>
      </c>
      <c r="T21" s="349">
        <f t="shared" si="6"/>
        <v>0.42820000000000003</v>
      </c>
      <c r="U21" s="349">
        <f t="shared" si="6"/>
        <v>0.42820000000000003</v>
      </c>
      <c r="V21" s="349">
        <f t="shared" si="6"/>
        <v>0.42820000000000003</v>
      </c>
      <c r="W21" s="349">
        <f t="shared" si="6"/>
        <v>0.42820000000000003</v>
      </c>
      <c r="X21" s="349">
        <f t="shared" si="6"/>
        <v>0.42820000000000003</v>
      </c>
      <c r="Y21" s="81"/>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row>
    <row r="22" spans="1:62" x14ac:dyDescent="0.25">
      <c r="A22" s="656"/>
      <c r="B22" s="646"/>
      <c r="C22" s="655"/>
      <c r="D22" s="646"/>
      <c r="E22" s="656"/>
      <c r="F22" s="329" t="s">
        <v>252</v>
      </c>
      <c r="G22" s="329" t="s">
        <v>250</v>
      </c>
      <c r="H22" s="646"/>
      <c r="I22" s="350">
        <f>0.79*0.33+0.67*I24</f>
        <v>0.42820000000000003</v>
      </c>
      <c r="J22" s="350">
        <f t="shared" ref="J22:X22" si="7">0.79*0.33+0.67*J24</f>
        <v>0.42820000000000003</v>
      </c>
      <c r="K22" s="350">
        <f t="shared" si="7"/>
        <v>0.42820000000000003</v>
      </c>
      <c r="L22" s="350">
        <f t="shared" si="7"/>
        <v>0.42820000000000003</v>
      </c>
      <c r="M22" s="350">
        <f t="shared" si="7"/>
        <v>0.42820000000000003</v>
      </c>
      <c r="N22" s="350">
        <f t="shared" si="7"/>
        <v>0.42820000000000003</v>
      </c>
      <c r="O22" s="350">
        <f t="shared" si="7"/>
        <v>0.42820000000000003</v>
      </c>
      <c r="P22" s="350">
        <f t="shared" si="7"/>
        <v>0.42820000000000003</v>
      </c>
      <c r="Q22" s="350">
        <f t="shared" si="7"/>
        <v>0.42820000000000003</v>
      </c>
      <c r="R22" s="350">
        <f t="shared" si="7"/>
        <v>0.42820000000000003</v>
      </c>
      <c r="S22" s="350">
        <f t="shared" si="7"/>
        <v>0.42820000000000003</v>
      </c>
      <c r="T22" s="350">
        <f t="shared" si="7"/>
        <v>0.42820000000000003</v>
      </c>
      <c r="U22" s="350">
        <f t="shared" si="7"/>
        <v>0.42820000000000003</v>
      </c>
      <c r="V22" s="350">
        <f t="shared" si="7"/>
        <v>0.42820000000000003</v>
      </c>
      <c r="W22" s="350">
        <f t="shared" si="7"/>
        <v>0.42820000000000003</v>
      </c>
      <c r="X22" s="350">
        <f t="shared" si="7"/>
        <v>0.42820000000000003</v>
      </c>
      <c r="Y22" s="81"/>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row>
    <row r="23" spans="1:62" x14ac:dyDescent="0.25">
      <c r="A23" s="656"/>
      <c r="B23" s="646"/>
      <c r="C23" s="655"/>
      <c r="D23" s="656" t="s">
        <v>272</v>
      </c>
      <c r="E23" s="656"/>
      <c r="F23" s="333" t="s">
        <v>254</v>
      </c>
      <c r="G23" s="333">
        <v>2001</v>
      </c>
      <c r="H23" s="334" t="s">
        <v>275</v>
      </c>
      <c r="I23" s="333">
        <v>0.43</v>
      </c>
      <c r="J23" s="352">
        <v>0.31</v>
      </c>
      <c r="K23" s="333">
        <v>0.41</v>
      </c>
      <c r="L23" s="333">
        <v>0.41</v>
      </c>
      <c r="M23" s="333">
        <v>0.41</v>
      </c>
      <c r="N23" s="333">
        <v>0.34</v>
      </c>
      <c r="O23" s="333">
        <v>0.34</v>
      </c>
      <c r="P23" s="333">
        <v>0.34</v>
      </c>
      <c r="Q23" s="333">
        <v>0.34</v>
      </c>
      <c r="R23" s="333">
        <v>0.31</v>
      </c>
      <c r="S23" s="333">
        <v>0.31</v>
      </c>
      <c r="T23" s="333">
        <v>0.31</v>
      </c>
      <c r="U23" s="333">
        <v>0.31</v>
      </c>
      <c r="V23" s="333">
        <v>0.31</v>
      </c>
      <c r="W23" s="333">
        <v>0.31</v>
      </c>
      <c r="X23" s="333">
        <v>0.43</v>
      </c>
      <c r="Y23" s="81"/>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row>
    <row r="24" spans="1:62" x14ac:dyDescent="0.25">
      <c r="A24" s="656"/>
      <c r="B24" s="646"/>
      <c r="C24" s="655"/>
      <c r="D24" s="656"/>
      <c r="E24" s="656"/>
      <c r="F24" s="336" t="s">
        <v>256</v>
      </c>
      <c r="G24" s="336">
        <v>2013</v>
      </c>
      <c r="H24" s="346" t="s">
        <v>267</v>
      </c>
      <c r="I24" s="336">
        <v>0.25</v>
      </c>
      <c r="J24" s="336">
        <v>0.25</v>
      </c>
      <c r="K24" s="336">
        <v>0.25</v>
      </c>
      <c r="L24" s="336">
        <v>0.25</v>
      </c>
      <c r="M24" s="336">
        <v>0.25</v>
      </c>
      <c r="N24" s="336">
        <v>0.25</v>
      </c>
      <c r="O24" s="336">
        <v>0.25</v>
      </c>
      <c r="P24" s="336">
        <v>0.25</v>
      </c>
      <c r="Q24" s="336">
        <v>0.25</v>
      </c>
      <c r="R24" s="336">
        <v>0.25</v>
      </c>
      <c r="S24" s="336">
        <v>0.25</v>
      </c>
      <c r="T24" s="336">
        <v>0.25</v>
      </c>
      <c r="U24" s="336">
        <v>0.25</v>
      </c>
      <c r="V24" s="336">
        <v>0.25</v>
      </c>
      <c r="W24" s="336">
        <v>0.25</v>
      </c>
      <c r="X24" s="336">
        <v>0.25</v>
      </c>
      <c r="Y24" s="81"/>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row>
    <row r="25" spans="1:62" x14ac:dyDescent="0.25">
      <c r="A25" s="656"/>
      <c r="B25" s="646"/>
      <c r="C25" s="655"/>
      <c r="D25" s="656"/>
      <c r="E25" s="656"/>
      <c r="F25" s="339" t="s">
        <v>258</v>
      </c>
      <c r="G25" s="339"/>
      <c r="H25" s="339" t="s">
        <v>259</v>
      </c>
      <c r="I25" s="362" cm="1">
        <f t="array" ref="I25:X25">_xlfn.BYCOL(TRANSPOSE([1]Weights!$C$4:$F$19)*I21:X24,_xlfn.LAMBDA(_xlpm.c,SUM(_xlpm.c)))</f>
        <v>0.42236649807999999</v>
      </c>
      <c r="J25" s="362">
        <v>0.42115455708000005</v>
      </c>
      <c r="K25" s="362">
        <v>0.42662069938000002</v>
      </c>
      <c r="L25" s="362">
        <v>0.42679669574000001</v>
      </c>
      <c r="M25" s="362">
        <v>0.42636858010000001</v>
      </c>
      <c r="N25" s="362">
        <v>0.41031597417999999</v>
      </c>
      <c r="O25" s="362">
        <v>0.36719365067999998</v>
      </c>
      <c r="P25" s="362">
        <v>0.41160972526</v>
      </c>
      <c r="Q25" s="362">
        <v>0.41622868870000002</v>
      </c>
      <c r="R25" s="362">
        <v>0.36835023248000004</v>
      </c>
      <c r="S25" s="362">
        <v>0.41484547542</v>
      </c>
      <c r="T25" s="362">
        <v>0.40966424962000003</v>
      </c>
      <c r="U25" s="362">
        <v>0.39691693426000008</v>
      </c>
      <c r="V25" s="362">
        <v>0.39188834770000003</v>
      </c>
      <c r="W25" s="362">
        <v>0.35708901498000001</v>
      </c>
      <c r="X25" s="362">
        <v>0.40996356190000005</v>
      </c>
      <c r="Y25" s="81"/>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row>
    <row r="26" spans="1:62" x14ac:dyDescent="0.25">
      <c r="A26" s="656"/>
      <c r="B26" s="646"/>
      <c r="C26" s="655"/>
      <c r="D26" s="656"/>
      <c r="E26" s="656"/>
      <c r="F26" s="353" t="s">
        <v>260</v>
      </c>
      <c r="G26" s="354">
        <v>2025</v>
      </c>
      <c r="H26" s="355" t="s">
        <v>267</v>
      </c>
      <c r="I26" s="354">
        <v>0.25</v>
      </c>
      <c r="J26" s="354">
        <v>0.25</v>
      </c>
      <c r="K26" s="354">
        <v>0.25</v>
      </c>
      <c r="L26" s="354">
        <v>0.25</v>
      </c>
      <c r="M26" s="354">
        <v>0.25</v>
      </c>
      <c r="N26" s="354">
        <v>0.25</v>
      </c>
      <c r="O26" s="354">
        <v>0.25</v>
      </c>
      <c r="P26" s="354">
        <v>0.25</v>
      </c>
      <c r="Q26" s="354">
        <v>0.22</v>
      </c>
      <c r="R26" s="354">
        <v>0.25</v>
      </c>
      <c r="S26" s="354">
        <v>0.22</v>
      </c>
      <c r="T26" s="354">
        <v>0.22</v>
      </c>
      <c r="U26" s="354">
        <v>0.22</v>
      </c>
      <c r="V26" s="354">
        <v>0.22</v>
      </c>
      <c r="W26" s="354">
        <v>0.22</v>
      </c>
      <c r="X26" s="354">
        <v>0.25</v>
      </c>
      <c r="Y26" s="81"/>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row>
    <row r="27" spans="1:62" customFormat="1" ht="14.4" x14ac:dyDescent="0.3">
      <c r="A27" s="647" t="s">
        <v>276</v>
      </c>
      <c r="B27" s="647" t="s">
        <v>49</v>
      </c>
      <c r="C27" s="647" t="s">
        <v>276</v>
      </c>
      <c r="D27" s="650" t="s">
        <v>277</v>
      </c>
      <c r="E27" s="647" t="s">
        <v>278</v>
      </c>
      <c r="F27" s="596" t="s">
        <v>249</v>
      </c>
      <c r="G27" s="596">
        <v>1992</v>
      </c>
      <c r="H27" s="650" t="s">
        <v>279</v>
      </c>
      <c r="I27" s="356">
        <v>0.85</v>
      </c>
      <c r="J27" s="356">
        <v>1.31</v>
      </c>
      <c r="K27" s="356">
        <v>1.31</v>
      </c>
      <c r="L27" s="356">
        <v>1.31</v>
      </c>
      <c r="M27" s="356">
        <v>1.31</v>
      </c>
      <c r="N27" s="356">
        <v>1.31</v>
      </c>
      <c r="O27" s="356">
        <v>1.31</v>
      </c>
      <c r="P27" s="356">
        <v>1.31</v>
      </c>
      <c r="Q27" s="356">
        <v>1.31</v>
      </c>
      <c r="R27" s="356">
        <v>1.31</v>
      </c>
      <c r="S27" s="356">
        <v>0.85</v>
      </c>
      <c r="T27" s="356">
        <v>0.85</v>
      </c>
      <c r="U27" s="356">
        <v>0.85</v>
      </c>
      <c r="V27" s="356">
        <v>0.85</v>
      </c>
      <c r="W27" s="356">
        <v>0.85</v>
      </c>
      <c r="X27" s="356">
        <v>0.85</v>
      </c>
    </row>
    <row r="28" spans="1:62" customFormat="1" ht="14.4" x14ac:dyDescent="0.3">
      <c r="A28" s="647"/>
      <c r="B28" s="647"/>
      <c r="C28" s="647"/>
      <c r="D28" s="650"/>
      <c r="E28" s="647"/>
      <c r="F28" s="330" t="s">
        <v>252</v>
      </c>
      <c r="G28" s="330">
        <v>1992</v>
      </c>
      <c r="H28" s="650"/>
      <c r="I28" s="357">
        <v>0.85</v>
      </c>
      <c r="J28" s="357">
        <v>1.31</v>
      </c>
      <c r="K28" s="357">
        <v>1.31</v>
      </c>
      <c r="L28" s="357">
        <v>1.31</v>
      </c>
      <c r="M28" s="357">
        <v>1.31</v>
      </c>
      <c r="N28" s="357">
        <v>1.31</v>
      </c>
      <c r="O28" s="357">
        <v>1.31</v>
      </c>
      <c r="P28" s="357">
        <v>1.31</v>
      </c>
      <c r="Q28" s="357">
        <v>1.31</v>
      </c>
      <c r="R28" s="357">
        <v>1.31</v>
      </c>
      <c r="S28" s="357">
        <v>0.85</v>
      </c>
      <c r="T28" s="357">
        <v>0.85</v>
      </c>
      <c r="U28" s="357">
        <v>0.85</v>
      </c>
      <c r="V28" s="357">
        <v>0.85</v>
      </c>
      <c r="W28" s="357">
        <v>0.85</v>
      </c>
      <c r="X28" s="357">
        <v>0.85</v>
      </c>
    </row>
    <row r="29" spans="1:62" customFormat="1" ht="14.4" x14ac:dyDescent="0.3">
      <c r="A29" s="647"/>
      <c r="B29" s="647"/>
      <c r="C29" s="647"/>
      <c r="D29" s="650"/>
      <c r="E29" s="647"/>
      <c r="F29" s="352" t="s">
        <v>254</v>
      </c>
      <c r="G29" s="352">
        <v>2001</v>
      </c>
      <c r="H29" s="334" t="s">
        <v>280</v>
      </c>
      <c r="I29" s="352">
        <v>0.87</v>
      </c>
      <c r="J29" s="352">
        <v>1.1000000000000001</v>
      </c>
      <c r="K29" s="352">
        <v>1.3</v>
      </c>
      <c r="L29" s="352">
        <v>1.3</v>
      </c>
      <c r="M29" s="352">
        <v>1.3</v>
      </c>
      <c r="N29" s="352">
        <v>1.3</v>
      </c>
      <c r="O29" s="352">
        <v>1.3</v>
      </c>
      <c r="P29" s="352">
        <v>1.3</v>
      </c>
      <c r="Q29" s="352">
        <v>1.3</v>
      </c>
      <c r="R29" s="352">
        <v>1.1000000000000001</v>
      </c>
      <c r="S29" s="352">
        <v>1.1000000000000001</v>
      </c>
      <c r="T29" s="352">
        <v>1.1000000000000001</v>
      </c>
      <c r="U29" s="352">
        <v>1.1000000000000001</v>
      </c>
      <c r="V29" s="352">
        <v>1.1000000000000001</v>
      </c>
      <c r="W29" s="352">
        <v>1.1000000000000001</v>
      </c>
      <c r="X29" s="352">
        <v>0.87</v>
      </c>
    </row>
    <row r="30" spans="1:62" customFormat="1" ht="14.4" x14ac:dyDescent="0.3">
      <c r="A30" s="647"/>
      <c r="B30" s="647"/>
      <c r="C30" s="647"/>
      <c r="D30" s="650"/>
      <c r="E30" s="647"/>
      <c r="F30" s="358" t="s">
        <v>256</v>
      </c>
      <c r="G30" s="358">
        <v>2013</v>
      </c>
      <c r="H30" s="337" t="s">
        <v>267</v>
      </c>
      <c r="I30" s="358">
        <v>0.88</v>
      </c>
      <c r="J30" s="358">
        <v>0.88</v>
      </c>
      <c r="K30" s="358">
        <v>0.88</v>
      </c>
      <c r="L30" s="358">
        <v>0.88</v>
      </c>
      <c r="M30" s="358">
        <v>0.88</v>
      </c>
      <c r="N30" s="358">
        <v>0.88</v>
      </c>
      <c r="O30" s="358">
        <v>0.88</v>
      </c>
      <c r="P30" s="358">
        <v>0.88</v>
      </c>
      <c r="Q30" s="358">
        <v>0.88</v>
      </c>
      <c r="R30" s="358">
        <v>0.88</v>
      </c>
      <c r="S30" s="358">
        <v>0.88</v>
      </c>
      <c r="T30" s="358">
        <v>0.88</v>
      </c>
      <c r="U30" s="358">
        <v>0.88</v>
      </c>
      <c r="V30" s="358">
        <v>0.88</v>
      </c>
      <c r="W30" s="358">
        <v>0.88</v>
      </c>
      <c r="X30" s="358">
        <v>0.88</v>
      </c>
    </row>
    <row r="31" spans="1:62" customFormat="1" ht="14.4" x14ac:dyDescent="0.3">
      <c r="A31" s="647"/>
      <c r="B31" s="647"/>
      <c r="C31" s="647"/>
      <c r="D31" s="650"/>
      <c r="E31" s="647"/>
      <c r="F31" s="339" t="s">
        <v>258</v>
      </c>
      <c r="G31" s="339"/>
      <c r="H31" s="339" t="s">
        <v>259</v>
      </c>
      <c r="I31" s="362" cm="1">
        <f t="array" ref="I31:X31">_xlfn.BYCOL(TRANSPOSE([1]Weights!$C$4:$F$19)*I27:X30,_xlfn.LAMBDA(_xlpm.c,SUM(_xlpm.c)))</f>
        <v>0.85276715000000003</v>
      </c>
      <c r="J31" s="362">
        <v>1.2958875280000002</v>
      </c>
      <c r="K31" s="362">
        <v>1.3067465249999999</v>
      </c>
      <c r="L31" s="362">
        <v>1.306962819</v>
      </c>
      <c r="M31" s="362">
        <v>1.3064071590000002</v>
      </c>
      <c r="N31" s="362">
        <v>1.2889519009999999</v>
      </c>
      <c r="O31" s="362">
        <v>1.2026814560000001</v>
      </c>
      <c r="P31" s="362">
        <v>1.2923431030000001</v>
      </c>
      <c r="Q31" s="362">
        <v>1.2988285469999998</v>
      </c>
      <c r="R31" s="362">
        <v>1.190542142</v>
      </c>
      <c r="S31" s="362">
        <v>0.87151717099999992</v>
      </c>
      <c r="T31" s="362">
        <v>0.87821791299999996</v>
      </c>
      <c r="U31" s="362">
        <v>0.89161340300000003</v>
      </c>
      <c r="V31" s="362">
        <v>0.89091002899999994</v>
      </c>
      <c r="W31" s="362">
        <v>0.983377257</v>
      </c>
      <c r="X31" s="362">
        <v>0.85592829900000011</v>
      </c>
    </row>
    <row r="32" spans="1:62" customFormat="1" ht="14.4" x14ac:dyDescent="0.3">
      <c r="A32" s="647"/>
      <c r="B32" s="647"/>
      <c r="C32" s="647"/>
      <c r="D32" s="650"/>
      <c r="E32" s="647"/>
      <c r="F32" s="359" t="s">
        <v>260</v>
      </c>
      <c r="G32" s="359">
        <v>2025</v>
      </c>
      <c r="H32" s="360" t="s">
        <v>267</v>
      </c>
      <c r="I32" s="359">
        <v>0.88</v>
      </c>
      <c r="J32" s="359">
        <v>0.88</v>
      </c>
      <c r="K32" s="359">
        <v>0.88</v>
      </c>
      <c r="L32" s="359">
        <v>0.88</v>
      </c>
      <c r="M32" s="359">
        <v>0.88</v>
      </c>
      <c r="N32" s="359">
        <v>0.88</v>
      </c>
      <c r="O32" s="359">
        <v>0.88</v>
      </c>
      <c r="P32" s="359">
        <v>0.88</v>
      </c>
      <c r="Q32" s="359">
        <v>0.88</v>
      </c>
      <c r="R32" s="359">
        <v>0.88</v>
      </c>
      <c r="S32" s="359">
        <v>0.88</v>
      </c>
      <c r="T32" s="359">
        <v>0.88</v>
      </c>
      <c r="U32" s="359">
        <v>0.88</v>
      </c>
      <c r="V32" s="359">
        <v>0.88</v>
      </c>
      <c r="W32" s="359">
        <v>0.88</v>
      </c>
      <c r="X32" s="359">
        <v>0.88</v>
      </c>
    </row>
    <row r="33" spans="1:62" s="2" customFormat="1" x14ac:dyDescent="0.25">
      <c r="A33" s="647"/>
      <c r="B33" s="647"/>
      <c r="C33" s="647"/>
      <c r="D33" s="650"/>
      <c r="E33" s="647" t="s">
        <v>273</v>
      </c>
      <c r="F33" s="596" t="s">
        <v>249</v>
      </c>
      <c r="G33" s="596">
        <v>1992</v>
      </c>
      <c r="H33" s="650" t="s">
        <v>281</v>
      </c>
      <c r="I33" s="356">
        <v>0.81</v>
      </c>
      <c r="J33" s="356">
        <v>0.86</v>
      </c>
      <c r="K33" s="356">
        <v>0.86</v>
      </c>
      <c r="L33" s="356">
        <v>0.86</v>
      </c>
      <c r="M33" s="356">
        <v>0.86</v>
      </c>
      <c r="N33" s="356">
        <v>0.86</v>
      </c>
      <c r="O33" s="356">
        <v>0.86</v>
      </c>
      <c r="P33" s="356">
        <v>0.86</v>
      </c>
      <c r="Q33" s="356">
        <v>0.86</v>
      </c>
      <c r="R33" s="356">
        <v>0.86</v>
      </c>
      <c r="S33" s="356">
        <v>0.81</v>
      </c>
      <c r="T33" s="356">
        <v>0.81</v>
      </c>
      <c r="U33" s="356">
        <v>0.81</v>
      </c>
      <c r="V33" s="356">
        <v>0.81</v>
      </c>
      <c r="W33" s="356">
        <v>0.81</v>
      </c>
      <c r="X33" s="356">
        <v>0.81</v>
      </c>
    </row>
    <row r="34" spans="1:62" s="2" customFormat="1" x14ac:dyDescent="0.25">
      <c r="A34" s="647"/>
      <c r="B34" s="647"/>
      <c r="C34" s="647"/>
      <c r="D34" s="650"/>
      <c r="E34" s="647"/>
      <c r="F34" s="330" t="s">
        <v>252</v>
      </c>
      <c r="G34" s="330">
        <v>1992</v>
      </c>
      <c r="H34" s="650"/>
      <c r="I34" s="330">
        <v>0.81</v>
      </c>
      <c r="J34" s="330">
        <v>0.86</v>
      </c>
      <c r="K34" s="330">
        <v>0.86</v>
      </c>
      <c r="L34" s="330">
        <v>0.86</v>
      </c>
      <c r="M34" s="330">
        <v>0.86</v>
      </c>
      <c r="N34" s="330">
        <v>0.86</v>
      </c>
      <c r="O34" s="330">
        <v>0.86</v>
      </c>
      <c r="P34" s="330">
        <v>0.86</v>
      </c>
      <c r="Q34" s="330">
        <v>0.86</v>
      </c>
      <c r="R34" s="330">
        <v>0.86</v>
      </c>
      <c r="S34" s="330">
        <v>0.81</v>
      </c>
      <c r="T34" s="330">
        <v>0.81</v>
      </c>
      <c r="U34" s="330">
        <v>0.81</v>
      </c>
      <c r="V34" s="330">
        <v>0.81</v>
      </c>
      <c r="W34" s="330">
        <v>0.81</v>
      </c>
      <c r="X34" s="330">
        <v>0.81</v>
      </c>
    </row>
    <row r="35" spans="1:62" s="2" customFormat="1" ht="26.4" x14ac:dyDescent="0.25">
      <c r="A35" s="647"/>
      <c r="B35" s="647"/>
      <c r="C35" s="647"/>
      <c r="D35" s="650"/>
      <c r="E35" s="647"/>
      <c r="F35" s="352" t="s">
        <v>254</v>
      </c>
      <c r="G35" s="352">
        <v>2001</v>
      </c>
      <c r="H35" s="334" t="s">
        <v>282</v>
      </c>
      <c r="I35" s="352">
        <v>0.77</v>
      </c>
      <c r="J35" s="352">
        <v>0.77</v>
      </c>
      <c r="K35" s="352">
        <v>0.79</v>
      </c>
      <c r="L35" s="352">
        <v>0.79</v>
      </c>
      <c r="M35" s="352">
        <v>0.79</v>
      </c>
      <c r="N35" s="352">
        <v>0.77</v>
      </c>
      <c r="O35" s="352">
        <v>0.77</v>
      </c>
      <c r="P35" s="352">
        <v>0.77</v>
      </c>
      <c r="Q35" s="352">
        <v>0.77</v>
      </c>
      <c r="R35" s="352">
        <v>0.77</v>
      </c>
      <c r="S35" s="352">
        <v>0.77</v>
      </c>
      <c r="T35" s="352">
        <v>0.77</v>
      </c>
      <c r="U35" s="352">
        <v>0.77</v>
      </c>
      <c r="V35" s="352">
        <v>0.71</v>
      </c>
      <c r="W35" s="352">
        <v>0.71</v>
      </c>
      <c r="X35" s="352">
        <v>0.77</v>
      </c>
      <c r="Y35" s="62"/>
      <c r="Z35" s="62"/>
    </row>
    <row r="36" spans="1:62" s="2" customFormat="1" x14ac:dyDescent="0.25">
      <c r="A36" s="647"/>
      <c r="B36" s="647"/>
      <c r="C36" s="647"/>
      <c r="D36" s="650"/>
      <c r="E36" s="647"/>
      <c r="F36" s="358" t="s">
        <v>256</v>
      </c>
      <c r="G36" s="358">
        <v>2013</v>
      </c>
      <c r="H36" s="358" t="s">
        <v>283</v>
      </c>
      <c r="I36" s="358">
        <v>0.77</v>
      </c>
      <c r="J36" s="358">
        <v>0.77</v>
      </c>
      <c r="K36" s="358">
        <v>0.79</v>
      </c>
      <c r="L36" s="358">
        <v>0.79</v>
      </c>
      <c r="M36" s="358">
        <v>0.79</v>
      </c>
      <c r="N36" s="358">
        <v>0.77</v>
      </c>
      <c r="O36" s="358">
        <v>0.77</v>
      </c>
      <c r="P36" s="358">
        <v>0.77</v>
      </c>
      <c r="Q36" s="358">
        <v>0.77</v>
      </c>
      <c r="R36" s="358">
        <v>0.77</v>
      </c>
      <c r="S36" s="358">
        <v>0.77</v>
      </c>
      <c r="T36" s="358">
        <v>0.77</v>
      </c>
      <c r="U36" s="358">
        <v>0.77</v>
      </c>
      <c r="V36" s="358">
        <v>0.71</v>
      </c>
      <c r="W36" s="358">
        <v>0.71</v>
      </c>
      <c r="X36" s="358">
        <v>0.77</v>
      </c>
      <c r="Y36" s="105"/>
    </row>
    <row r="37" spans="1:62" s="2" customFormat="1" x14ac:dyDescent="0.25">
      <c r="A37" s="647"/>
      <c r="B37" s="647"/>
      <c r="C37" s="647"/>
      <c r="D37" s="650"/>
      <c r="E37" s="647"/>
      <c r="F37" s="339" t="s">
        <v>258</v>
      </c>
      <c r="G37" s="339"/>
      <c r="H37" s="339" t="s">
        <v>259</v>
      </c>
      <c r="I37" s="362" cm="1">
        <f t="array" ref="I37:X37">_xlfn.BYCOL(TRANSPOSE([1]Weights!$C$4:$F$19)*I33:X36,_xlfn.LAMBDA(_xlpm.c,SUM(_xlpm.c)))</f>
        <v>0.80513817600000004</v>
      </c>
      <c r="J37" s="362">
        <v>0.855278019</v>
      </c>
      <c r="K37" s="362">
        <v>0.85834658399999986</v>
      </c>
      <c r="L37" s="362">
        <v>0.85880199899999987</v>
      </c>
      <c r="M37" s="362">
        <v>0.85774918500000008</v>
      </c>
      <c r="N37" s="362">
        <v>0.84601354100000004</v>
      </c>
      <c r="O37" s="362">
        <v>0.82024893900000007</v>
      </c>
      <c r="P37" s="362">
        <v>0.84660658699999991</v>
      </c>
      <c r="Q37" s="362">
        <v>0.84998376499999995</v>
      </c>
      <c r="R37" s="362">
        <v>0.819717103</v>
      </c>
      <c r="S37" s="362">
        <v>0.80587444699999999</v>
      </c>
      <c r="T37" s="362">
        <v>0.80437036400000006</v>
      </c>
      <c r="U37" s="362">
        <v>0.80085057200000009</v>
      </c>
      <c r="V37" s="362">
        <v>0.78453134999999996</v>
      </c>
      <c r="W37" s="362">
        <v>0.75232981900000007</v>
      </c>
      <c r="X37" s="362">
        <v>0.80021858000000012</v>
      </c>
      <c r="Y37" s="105"/>
    </row>
    <row r="38" spans="1:62" s="2" customFormat="1" ht="26.4" x14ac:dyDescent="0.25">
      <c r="A38" s="647"/>
      <c r="B38" s="647"/>
      <c r="C38" s="647"/>
      <c r="D38" s="650"/>
      <c r="E38" s="647"/>
      <c r="F38" s="359" t="s">
        <v>260</v>
      </c>
      <c r="G38" s="359">
        <v>2025</v>
      </c>
      <c r="H38" s="361" t="s">
        <v>284</v>
      </c>
      <c r="I38" s="359">
        <v>0.77</v>
      </c>
      <c r="J38" s="359">
        <v>0.77</v>
      </c>
      <c r="K38" s="359">
        <v>0.79</v>
      </c>
      <c r="L38" s="359">
        <v>0.79</v>
      </c>
      <c r="M38" s="359">
        <v>0.79</v>
      </c>
      <c r="N38" s="359">
        <v>0.77</v>
      </c>
      <c r="O38" s="359">
        <v>0.77</v>
      </c>
      <c r="P38" s="359">
        <v>0.77</v>
      </c>
      <c r="Q38" s="359">
        <v>0.77</v>
      </c>
      <c r="R38" s="359">
        <v>0.77</v>
      </c>
      <c r="S38" s="359">
        <v>0.77</v>
      </c>
      <c r="T38" s="359">
        <v>0.77</v>
      </c>
      <c r="U38" s="359">
        <v>0.77</v>
      </c>
      <c r="V38" s="359">
        <v>0.71</v>
      </c>
      <c r="W38" s="359">
        <v>0.71</v>
      </c>
      <c r="X38" s="359">
        <v>0.77</v>
      </c>
      <c r="Y38" s="8"/>
      <c r="AA38" s="648"/>
      <c r="AB38" s="648"/>
      <c r="AC38" s="648"/>
      <c r="AD38" s="648"/>
      <c r="AE38" s="648"/>
      <c r="AF38" s="648"/>
      <c r="AG38" s="648"/>
      <c r="AH38" s="648"/>
      <c r="AI38" s="648"/>
      <c r="AJ38" s="648"/>
      <c r="AK38" s="648"/>
      <c r="AL38" s="648"/>
      <c r="AM38" s="648"/>
      <c r="AN38" s="648"/>
      <c r="AO38" s="648"/>
      <c r="AP38" s="648"/>
      <c r="AQ38" s="648"/>
      <c r="AR38" s="648"/>
      <c r="AS38" s="648"/>
      <c r="AT38" s="648"/>
      <c r="AU38" s="648"/>
      <c r="AV38" s="648"/>
      <c r="AW38" s="648"/>
    </row>
    <row r="39" spans="1:62" x14ac:dyDescent="0.25">
      <c r="A39" s="651" t="s">
        <v>285</v>
      </c>
      <c r="B39" s="651"/>
      <c r="C39" s="651"/>
      <c r="D39" s="651"/>
      <c r="E39" s="651"/>
      <c r="F39" s="651"/>
      <c r="G39" s="651"/>
      <c r="H39" s="651"/>
      <c r="I39" s="651"/>
      <c r="J39" s="651"/>
      <c r="K39" s="651"/>
      <c r="L39" s="651"/>
      <c r="M39" s="4"/>
      <c r="N39" s="4"/>
      <c r="O39" s="4"/>
      <c r="P39" s="4"/>
      <c r="Q39" s="4"/>
      <c r="R39" s="4"/>
      <c r="S39" s="4"/>
      <c r="T39" s="4"/>
      <c r="U39" s="4"/>
      <c r="V39" s="4"/>
      <c r="W39" s="4"/>
      <c r="X39" s="4"/>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row>
    <row r="40" spans="1:62" ht="32.1" customHeight="1" x14ac:dyDescent="0.25">
      <c r="A40" s="2"/>
      <c r="B40" s="123"/>
      <c r="C40" s="2"/>
      <c r="D40" s="2"/>
      <c r="E40" s="2"/>
      <c r="F40" s="2"/>
      <c r="G40" s="63"/>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row>
    <row r="41" spans="1:62" ht="15.6" x14ac:dyDescent="0.25">
      <c r="A41" s="4"/>
      <c r="B41" s="10"/>
      <c r="C41" s="4"/>
      <c r="D41" s="4"/>
      <c r="E41" s="62"/>
      <c r="F41" s="62"/>
      <c r="G41" s="62"/>
      <c r="H41" s="62"/>
      <c r="I41" s="62"/>
      <c r="J41" s="62"/>
      <c r="K41" s="62"/>
      <c r="L41" s="62"/>
      <c r="M41" s="275"/>
      <c r="N41" s="275"/>
      <c r="O41" s="275"/>
      <c r="P41" s="275"/>
      <c r="Q41" s="275"/>
      <c r="R41" s="275"/>
      <c r="S41" s="275"/>
      <c r="T41" s="275"/>
      <c r="U41" s="275"/>
      <c r="V41" s="275"/>
      <c r="W41" s="275"/>
      <c r="X41" s="275"/>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row>
    <row r="42" spans="1:62" ht="15.6" x14ac:dyDescent="0.25">
      <c r="A42" s="2"/>
      <c r="B42" s="123"/>
      <c r="C42" s="631" t="s">
        <v>286</v>
      </c>
      <c r="D42" s="631"/>
      <c r="E42" s="631"/>
      <c r="F42" s="631"/>
      <c r="G42" s="631"/>
      <c r="H42" s="631"/>
      <c r="I42" s="631"/>
      <c r="J42" s="631"/>
      <c r="K42" s="631"/>
      <c r="L42" s="631"/>
      <c r="M42" s="631"/>
      <c r="N42" s="631"/>
      <c r="O42" s="631"/>
      <c r="P42" s="631"/>
      <c r="Q42" s="631"/>
      <c r="R42" s="631"/>
      <c r="S42" s="631"/>
      <c r="T42" s="631"/>
      <c r="U42" s="631"/>
      <c r="V42" s="631"/>
      <c r="W42" s="631"/>
      <c r="X42" s="631"/>
      <c r="Y42" s="62"/>
      <c r="Z42" s="6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row>
    <row r="43" spans="1:62" ht="52.8" x14ac:dyDescent="0.25">
      <c r="A43" s="2"/>
      <c r="B43" s="123"/>
      <c r="C43" s="277"/>
      <c r="D43" s="277" t="s">
        <v>85</v>
      </c>
      <c r="E43" s="276" t="s">
        <v>287</v>
      </c>
      <c r="F43" s="605" t="s">
        <v>227</v>
      </c>
      <c r="G43" s="593" t="s">
        <v>288</v>
      </c>
      <c r="H43" s="593" t="s">
        <v>289</v>
      </c>
      <c r="I43" s="665" t="s">
        <v>290</v>
      </c>
      <c r="J43" s="665"/>
      <c r="K43" s="665"/>
      <c r="L43" s="665"/>
      <c r="M43" s="665"/>
      <c r="N43" s="665"/>
      <c r="O43" s="665"/>
      <c r="P43" s="665"/>
      <c r="Q43" s="665"/>
      <c r="R43" s="665"/>
      <c r="S43" s="665"/>
      <c r="T43" s="665"/>
      <c r="U43" s="665"/>
      <c r="V43" s="665"/>
      <c r="W43" s="665"/>
      <c r="X43" s="665"/>
      <c r="Y43" s="105"/>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row>
    <row r="44" spans="1:62" ht="14.4" x14ac:dyDescent="0.25">
      <c r="A44" s="2"/>
      <c r="B44" s="123"/>
      <c r="C44" s="652" t="s">
        <v>286</v>
      </c>
      <c r="D44" s="661" t="s">
        <v>98</v>
      </c>
      <c r="E44" s="666"/>
      <c r="F44" s="592" t="s">
        <v>249</v>
      </c>
      <c r="G44" s="606">
        <v>1.1000000000000001</v>
      </c>
      <c r="H44" s="99" t="s">
        <v>291</v>
      </c>
      <c r="I44" s="649">
        <f>0.112*G44*$AA$49</f>
        <v>1.0980543340674955</v>
      </c>
      <c r="J44" s="649"/>
      <c r="K44" s="649"/>
      <c r="L44" s="649"/>
      <c r="M44" s="649"/>
      <c r="N44" s="649"/>
      <c r="O44" s="649"/>
      <c r="P44" s="649"/>
      <c r="Q44" s="649"/>
      <c r="R44" s="649"/>
      <c r="S44" s="649"/>
      <c r="T44" s="649"/>
      <c r="U44" s="649"/>
      <c r="V44" s="649"/>
      <c r="W44" s="649"/>
      <c r="X44" s="649"/>
      <c r="Y44" s="8"/>
      <c r="Z44" s="481" t="s">
        <v>292</v>
      </c>
      <c r="AA44" s="482">
        <v>55686.179999999993</v>
      </c>
      <c r="AB44" s="4"/>
      <c r="AC44" s="4"/>
      <c r="AD44" s="4"/>
      <c r="AE44" s="4"/>
      <c r="AF44" s="4"/>
      <c r="AG44" s="4"/>
      <c r="AH44" s="4"/>
      <c r="AI44" s="4"/>
      <c r="AJ44" s="4"/>
      <c r="AK44" s="648"/>
      <c r="AL44" s="648"/>
      <c r="AM44" s="648"/>
      <c r="AN44" s="648"/>
      <c r="AO44" s="648"/>
      <c r="AP44" s="648"/>
      <c r="AQ44" s="648"/>
      <c r="AR44" s="648"/>
      <c r="AS44" s="648"/>
      <c r="AT44" s="648"/>
      <c r="AU44" s="648"/>
      <c r="AV44" s="648"/>
      <c r="AW44" s="648"/>
      <c r="AX44" s="2"/>
      <c r="AY44" s="2"/>
      <c r="AZ44" s="2"/>
      <c r="BA44" s="2"/>
      <c r="BB44" s="2"/>
      <c r="BC44" s="2"/>
      <c r="BD44" s="2"/>
      <c r="BE44" s="2"/>
      <c r="BF44" s="2"/>
      <c r="BG44" s="2"/>
      <c r="BH44" s="2"/>
      <c r="BI44" s="2"/>
      <c r="BJ44" s="2"/>
    </row>
    <row r="45" spans="1:62" ht="14.4" x14ac:dyDescent="0.25">
      <c r="A45" s="2"/>
      <c r="B45" s="123"/>
      <c r="C45" s="652"/>
      <c r="D45" s="661"/>
      <c r="E45" s="667"/>
      <c r="F45" s="592" t="s">
        <v>252</v>
      </c>
      <c r="G45" s="606">
        <v>1.1000000000000001</v>
      </c>
      <c r="H45" s="99" t="s">
        <v>291</v>
      </c>
      <c r="I45" s="649">
        <f>0.112*G45*$AA$49</f>
        <v>1.0980543340674955</v>
      </c>
      <c r="J45" s="649"/>
      <c r="K45" s="649"/>
      <c r="L45" s="649"/>
      <c r="M45" s="649"/>
      <c r="N45" s="649"/>
      <c r="O45" s="649"/>
      <c r="P45" s="649"/>
      <c r="Q45" s="649"/>
      <c r="R45" s="649"/>
      <c r="S45" s="649"/>
      <c r="T45" s="649"/>
      <c r="U45" s="649"/>
      <c r="V45" s="649"/>
      <c r="W45" s="649"/>
      <c r="X45" s="649"/>
      <c r="Y45" s="8"/>
      <c r="Z45" s="590" t="s">
        <v>293</v>
      </c>
      <c r="AA45" s="297">
        <v>14075</v>
      </c>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row>
    <row r="46" spans="1:62" ht="14.4" x14ac:dyDescent="0.25">
      <c r="A46" s="2"/>
      <c r="B46" s="123"/>
      <c r="C46" s="652"/>
      <c r="D46" s="661"/>
      <c r="E46" s="667"/>
      <c r="F46" s="592" t="s">
        <v>254</v>
      </c>
      <c r="G46" s="606">
        <v>1.1000000000000001</v>
      </c>
      <c r="H46" s="99" t="s">
        <v>291</v>
      </c>
      <c r="I46" s="649">
        <f>0.112*G46*$AA$49</f>
        <v>1.0980543340674955</v>
      </c>
      <c r="J46" s="649"/>
      <c r="K46" s="649"/>
      <c r="L46" s="649"/>
      <c r="M46" s="649"/>
      <c r="N46" s="649"/>
      <c r="O46" s="649"/>
      <c r="P46" s="649"/>
      <c r="Q46" s="649"/>
      <c r="R46" s="649"/>
      <c r="S46" s="649"/>
      <c r="T46" s="649"/>
      <c r="U46" s="649"/>
      <c r="V46" s="649"/>
      <c r="W46" s="649"/>
      <c r="X46" s="649"/>
      <c r="Y46" s="8"/>
      <c r="Z46" s="590" t="s">
        <v>294</v>
      </c>
      <c r="AA46" s="298">
        <f>AA45</f>
        <v>14075</v>
      </c>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row>
    <row r="47" spans="1:62" ht="26.4" x14ac:dyDescent="0.25">
      <c r="A47" s="2"/>
      <c r="B47" s="123"/>
      <c r="C47" s="652"/>
      <c r="D47" s="661"/>
      <c r="E47" s="667"/>
      <c r="F47" s="592" t="s">
        <v>256</v>
      </c>
      <c r="G47" s="606">
        <v>1</v>
      </c>
      <c r="H47" s="606" t="s">
        <v>295</v>
      </c>
      <c r="I47" s="649">
        <f>0.112*G47*$AA$49</f>
        <v>0.99823121278863225</v>
      </c>
      <c r="J47" s="649"/>
      <c r="K47" s="649"/>
      <c r="L47" s="649"/>
      <c r="M47" s="649"/>
      <c r="N47" s="649"/>
      <c r="O47" s="649"/>
      <c r="P47" s="649"/>
      <c r="Q47" s="649"/>
      <c r="R47" s="649"/>
      <c r="S47" s="649"/>
      <c r="T47" s="649"/>
      <c r="U47" s="649"/>
      <c r="V47" s="649"/>
      <c r="W47" s="649"/>
      <c r="X47" s="649"/>
      <c r="Y47" s="8"/>
      <c r="Z47" s="590" t="s">
        <v>296</v>
      </c>
      <c r="AA47" s="66">
        <f>AA45+(2*AA44)</f>
        <v>125447.35999999999</v>
      </c>
      <c r="AB47" s="2"/>
      <c r="AC47" s="2"/>
      <c r="AD47" s="2"/>
      <c r="AE47" s="66"/>
      <c r="AF47" s="4"/>
      <c r="AG47" s="4"/>
      <c r="AH47" s="4"/>
      <c r="AI47" s="4"/>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row>
    <row r="48" spans="1:62" x14ac:dyDescent="0.25">
      <c r="A48" s="2"/>
      <c r="B48" s="123"/>
      <c r="C48" s="652"/>
      <c r="D48" s="661"/>
      <c r="E48" s="667"/>
      <c r="F48" s="604" t="s">
        <v>258</v>
      </c>
      <c r="G48" s="606"/>
      <c r="H48" s="211" t="s">
        <v>297</v>
      </c>
      <c r="I48" s="649">
        <f>I46</f>
        <v>1.0980543340674955</v>
      </c>
      <c r="J48" s="649"/>
      <c r="K48" s="649"/>
      <c r="L48" s="649"/>
      <c r="M48" s="649"/>
      <c r="N48" s="649"/>
      <c r="O48" s="649"/>
      <c r="P48" s="649"/>
      <c r="Q48" s="649"/>
      <c r="R48" s="649"/>
      <c r="S48" s="649"/>
      <c r="T48" s="649"/>
      <c r="U48" s="649"/>
      <c r="V48" s="649"/>
      <c r="W48" s="649"/>
      <c r="X48" s="649"/>
      <c r="Y48" s="8"/>
      <c r="Z48" s="2"/>
      <c r="AA48" s="2"/>
      <c r="AB48" s="2"/>
      <c r="AC48" s="2"/>
      <c r="AD48" s="2"/>
      <c r="AE48" s="66"/>
      <c r="AF48" s="66"/>
      <c r="AG48" s="66"/>
      <c r="AH48" s="66"/>
      <c r="AI48" s="66"/>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row>
    <row r="49" spans="1:62" ht="26.4" x14ac:dyDescent="0.25">
      <c r="A49" s="2"/>
      <c r="B49" s="123"/>
      <c r="C49" s="652"/>
      <c r="D49" s="661"/>
      <c r="E49" s="668"/>
      <c r="F49" s="592" t="s">
        <v>260</v>
      </c>
      <c r="G49" s="606">
        <v>0.6</v>
      </c>
      <c r="H49" s="606" t="s">
        <v>298</v>
      </c>
      <c r="I49" s="649">
        <f>0.112*G49*$AA$49</f>
        <v>0.59893872767317924</v>
      </c>
      <c r="J49" s="649"/>
      <c r="K49" s="649"/>
      <c r="L49" s="649"/>
      <c r="M49" s="649"/>
      <c r="N49" s="649"/>
      <c r="O49" s="649"/>
      <c r="P49" s="649"/>
      <c r="Q49" s="649"/>
      <c r="R49" s="649"/>
      <c r="S49" s="649"/>
      <c r="T49" s="649"/>
      <c r="U49" s="649"/>
      <c r="V49" s="649"/>
      <c r="W49" s="649"/>
      <c r="X49" s="649"/>
      <c r="Y49" s="8"/>
      <c r="Z49" s="590" t="s">
        <v>299</v>
      </c>
      <c r="AA49" s="299">
        <f>AA47/AA46</f>
        <v>8.9127786856127873</v>
      </c>
      <c r="AB49" s="2"/>
      <c r="AC49" s="2"/>
      <c r="AD49" s="2"/>
      <c r="AE49" s="66"/>
      <c r="AF49" s="273"/>
      <c r="AG49" s="273"/>
      <c r="AH49" s="274"/>
      <c r="AI49" s="627"/>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row>
    <row r="50" spans="1:62" ht="14.4" x14ac:dyDescent="0.25">
      <c r="A50" s="2"/>
      <c r="B50" s="123"/>
      <c r="C50" s="652"/>
      <c r="D50" s="658" t="s">
        <v>142</v>
      </c>
      <c r="E50" s="662"/>
      <c r="F50" s="604" t="s">
        <v>249</v>
      </c>
      <c r="G50" s="607">
        <v>1.1000000000000001</v>
      </c>
      <c r="H50" s="278" t="s">
        <v>291</v>
      </c>
      <c r="I50" s="653">
        <f>0.112*G50*$AA$55</f>
        <v>0.36082556574923558</v>
      </c>
      <c r="J50" s="653"/>
      <c r="K50" s="653"/>
      <c r="L50" s="653"/>
      <c r="M50" s="653"/>
      <c r="N50" s="653"/>
      <c r="O50" s="653"/>
      <c r="P50" s="653"/>
      <c r="Q50" s="653"/>
      <c r="R50" s="653"/>
      <c r="S50" s="653"/>
      <c r="T50" s="653"/>
      <c r="U50" s="653"/>
      <c r="V50" s="653"/>
      <c r="W50" s="653"/>
      <c r="X50" s="653"/>
      <c r="Y50" s="2"/>
      <c r="Z50" s="481" t="s">
        <v>292</v>
      </c>
      <c r="AA50" s="482">
        <v>8829.9500000000007</v>
      </c>
      <c r="AB50" s="2"/>
      <c r="AC50" s="2"/>
      <c r="AD50" s="2"/>
      <c r="AE50" s="66"/>
      <c r="AF50" s="273"/>
      <c r="AG50" s="273"/>
      <c r="AH50" s="274"/>
      <c r="AI50" s="627"/>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row>
    <row r="51" spans="1:62" ht="14.4" x14ac:dyDescent="0.25">
      <c r="A51" s="2"/>
      <c r="B51" s="123"/>
      <c r="C51" s="652"/>
      <c r="D51" s="659"/>
      <c r="E51" s="663"/>
      <c r="F51" s="604" t="s">
        <v>252</v>
      </c>
      <c r="G51" s="607">
        <v>1.1000000000000001</v>
      </c>
      <c r="H51" s="278" t="s">
        <v>291</v>
      </c>
      <c r="I51" s="653">
        <f>0.112*G51*$AA$55</f>
        <v>0.36082556574923558</v>
      </c>
      <c r="J51" s="653"/>
      <c r="K51" s="653"/>
      <c r="L51" s="653"/>
      <c r="M51" s="653"/>
      <c r="N51" s="653"/>
      <c r="O51" s="653"/>
      <c r="P51" s="653"/>
      <c r="Q51" s="653"/>
      <c r="R51" s="653"/>
      <c r="S51" s="653"/>
      <c r="T51" s="653"/>
      <c r="U51" s="653"/>
      <c r="V51" s="653"/>
      <c r="W51" s="653"/>
      <c r="X51" s="653"/>
      <c r="Y51" s="2"/>
      <c r="Z51" s="590" t="s">
        <v>293</v>
      </c>
      <c r="AA51" s="297">
        <v>9156</v>
      </c>
      <c r="AB51" s="2"/>
      <c r="AC51" s="2"/>
      <c r="AD51" s="2"/>
      <c r="AE51" s="66"/>
      <c r="AF51" s="273"/>
      <c r="AG51" s="273"/>
      <c r="AH51" s="274"/>
      <c r="AI51" s="627"/>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row>
    <row r="52" spans="1:62" ht="14.4" x14ac:dyDescent="0.25">
      <c r="A52" s="2"/>
      <c r="B52" s="123"/>
      <c r="C52" s="652"/>
      <c r="D52" s="659"/>
      <c r="E52" s="663"/>
      <c r="F52" s="604" t="s">
        <v>254</v>
      </c>
      <c r="G52" s="607">
        <v>1.1000000000000001</v>
      </c>
      <c r="H52" s="278" t="s">
        <v>291</v>
      </c>
      <c r="I52" s="653">
        <f>0.112*G52*$AA$55</f>
        <v>0.36082556574923558</v>
      </c>
      <c r="J52" s="653"/>
      <c r="K52" s="653"/>
      <c r="L52" s="653"/>
      <c r="M52" s="653"/>
      <c r="N52" s="653"/>
      <c r="O52" s="653"/>
      <c r="P52" s="653"/>
      <c r="Q52" s="653"/>
      <c r="R52" s="653"/>
      <c r="S52" s="653"/>
      <c r="T52" s="653"/>
      <c r="U52" s="653"/>
      <c r="V52" s="653"/>
      <c r="W52" s="653"/>
      <c r="X52" s="653"/>
      <c r="Y52" s="2"/>
      <c r="Z52" s="590" t="s">
        <v>294</v>
      </c>
      <c r="AA52" s="298">
        <f>AA51</f>
        <v>9156</v>
      </c>
      <c r="AB52" s="2"/>
      <c r="AC52" s="2"/>
      <c r="AD52" s="2"/>
      <c r="AE52" s="66"/>
      <c r="AF52" s="273"/>
      <c r="AG52" s="273"/>
      <c r="AH52" s="274"/>
      <c r="AI52" s="627"/>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row>
    <row r="53" spans="1:62" ht="25.5" customHeight="1" x14ac:dyDescent="0.25">
      <c r="A53" s="2"/>
      <c r="B53" s="123"/>
      <c r="C53" s="652"/>
      <c r="D53" s="659"/>
      <c r="E53" s="663"/>
      <c r="F53" s="604" t="s">
        <v>256</v>
      </c>
      <c r="G53" s="607">
        <v>1</v>
      </c>
      <c r="H53" s="607" t="s">
        <v>295</v>
      </c>
      <c r="I53" s="653">
        <f>0.112*G53*$AA$55</f>
        <v>0.32802324159021412</v>
      </c>
      <c r="J53" s="653"/>
      <c r="K53" s="653"/>
      <c r="L53" s="653"/>
      <c r="M53" s="653"/>
      <c r="N53" s="653"/>
      <c r="O53" s="653"/>
      <c r="P53" s="653"/>
      <c r="Q53" s="653"/>
      <c r="R53" s="653"/>
      <c r="S53" s="653"/>
      <c r="T53" s="653"/>
      <c r="U53" s="653"/>
      <c r="V53" s="653"/>
      <c r="W53" s="653"/>
      <c r="X53" s="653"/>
      <c r="Y53" s="2"/>
      <c r="Z53" s="590" t="s">
        <v>296</v>
      </c>
      <c r="AA53" s="66">
        <f>AA51+(2*AA50)</f>
        <v>26815.9</v>
      </c>
      <c r="AB53" s="2"/>
      <c r="AC53" s="2"/>
      <c r="AD53" s="2"/>
      <c r="AE53" s="66"/>
      <c r="AF53" s="273"/>
      <c r="AG53" s="273"/>
      <c r="AH53" s="274"/>
      <c r="AI53" s="4"/>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row>
    <row r="54" spans="1:62" x14ac:dyDescent="0.25">
      <c r="A54" s="2"/>
      <c r="B54" s="123"/>
      <c r="C54" s="652"/>
      <c r="D54" s="659"/>
      <c r="E54" s="663"/>
      <c r="F54" s="604" t="s">
        <v>258</v>
      </c>
      <c r="G54" s="606"/>
      <c r="H54" s="211" t="s">
        <v>297</v>
      </c>
      <c r="I54" s="653">
        <f>I52</f>
        <v>0.36082556574923558</v>
      </c>
      <c r="J54" s="653"/>
      <c r="K54" s="653"/>
      <c r="L54" s="653"/>
      <c r="M54" s="653"/>
      <c r="N54" s="653"/>
      <c r="O54" s="653"/>
      <c r="P54" s="653"/>
      <c r="Q54" s="653"/>
      <c r="R54" s="653"/>
      <c r="S54" s="653"/>
      <c r="T54" s="653"/>
      <c r="U54" s="653"/>
      <c r="V54" s="653"/>
      <c r="W54" s="653"/>
      <c r="X54" s="653"/>
      <c r="Y54" s="2"/>
      <c r="Z54" s="2"/>
      <c r="AA54" s="2"/>
      <c r="AB54" s="2"/>
      <c r="AC54" s="2"/>
      <c r="AD54" s="2"/>
      <c r="AE54" s="66"/>
      <c r="AF54" s="273"/>
      <c r="AG54" s="273"/>
      <c r="AH54" s="4"/>
      <c r="AI54" s="4"/>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row>
    <row r="55" spans="1:62" ht="25.5" customHeight="1" x14ac:dyDescent="0.25">
      <c r="A55" s="2"/>
      <c r="B55" s="123"/>
      <c r="C55" s="652"/>
      <c r="D55" s="660"/>
      <c r="E55" s="664"/>
      <c r="F55" s="604" t="s">
        <v>260</v>
      </c>
      <c r="G55" s="607">
        <v>0.6</v>
      </c>
      <c r="H55" s="607" t="s">
        <v>298</v>
      </c>
      <c r="I55" s="653">
        <f>0.112*G55*$AA$55</f>
        <v>0.19681394495412846</v>
      </c>
      <c r="J55" s="653"/>
      <c r="K55" s="653"/>
      <c r="L55" s="653"/>
      <c r="M55" s="653"/>
      <c r="N55" s="653"/>
      <c r="O55" s="653"/>
      <c r="P55" s="653"/>
      <c r="Q55" s="653"/>
      <c r="R55" s="653"/>
      <c r="S55" s="653"/>
      <c r="T55" s="653"/>
      <c r="U55" s="653"/>
      <c r="V55" s="653"/>
      <c r="W55" s="653"/>
      <c r="X55" s="653"/>
      <c r="Y55" s="2"/>
      <c r="Z55" s="590" t="s">
        <v>299</v>
      </c>
      <c r="AA55" s="299">
        <f>AA53/AA52</f>
        <v>2.9287789427697688</v>
      </c>
      <c r="AB55" s="2"/>
      <c r="AC55" s="2"/>
      <c r="AD55" s="2"/>
      <c r="AE55" s="4"/>
      <c r="AF55" s="4"/>
      <c r="AG55" s="4"/>
      <c r="AH55" s="4"/>
      <c r="AI55" s="4"/>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row>
    <row r="56" spans="1:62" ht="14.4" x14ac:dyDescent="0.25">
      <c r="A56" s="2"/>
      <c r="B56" s="123"/>
      <c r="C56" s="652"/>
      <c r="D56" s="661" t="s">
        <v>169</v>
      </c>
      <c r="E56" s="662"/>
      <c r="F56" s="604" t="s">
        <v>249</v>
      </c>
      <c r="G56" s="607">
        <v>1.1000000000000001</v>
      </c>
      <c r="H56" s="278" t="s">
        <v>291</v>
      </c>
      <c r="I56" s="653">
        <f>0.112*G56*$AA$61</f>
        <v>1.3053687299813781</v>
      </c>
      <c r="J56" s="653"/>
      <c r="K56" s="653"/>
      <c r="L56" s="653"/>
      <c r="M56" s="653"/>
      <c r="N56" s="653"/>
      <c r="O56" s="653"/>
      <c r="P56" s="653"/>
      <c r="Q56" s="653"/>
      <c r="R56" s="653"/>
      <c r="S56" s="653"/>
      <c r="T56" s="653"/>
      <c r="U56" s="653"/>
      <c r="V56" s="653"/>
      <c r="W56" s="653"/>
      <c r="X56" s="653"/>
      <c r="Y56" s="2"/>
      <c r="Z56" s="481" t="s">
        <v>292</v>
      </c>
      <c r="AA56" s="483">
        <v>72139.16</v>
      </c>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row>
    <row r="57" spans="1:62" ht="14.4" x14ac:dyDescent="0.25">
      <c r="A57" s="2"/>
      <c r="B57" s="123"/>
      <c r="C57" s="652"/>
      <c r="D57" s="661"/>
      <c r="E57" s="663"/>
      <c r="F57" s="604" t="s">
        <v>252</v>
      </c>
      <c r="G57" s="607">
        <v>1.1000000000000001</v>
      </c>
      <c r="H57" s="278" t="s">
        <v>291</v>
      </c>
      <c r="I57" s="653">
        <f>0.112*G57*$AA$61</f>
        <v>1.3053687299813781</v>
      </c>
      <c r="J57" s="653"/>
      <c r="K57" s="653"/>
      <c r="L57" s="653"/>
      <c r="M57" s="653"/>
      <c r="N57" s="653"/>
      <c r="O57" s="653"/>
      <c r="P57" s="653"/>
      <c r="Q57" s="653"/>
      <c r="R57" s="653"/>
      <c r="S57" s="653"/>
      <c r="T57" s="653"/>
      <c r="U57" s="653"/>
      <c r="V57" s="653"/>
      <c r="W57" s="653"/>
      <c r="X57" s="653"/>
      <c r="Y57" s="2"/>
      <c r="Z57" s="590" t="s">
        <v>293</v>
      </c>
      <c r="AA57" s="66">
        <v>15036</v>
      </c>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row>
    <row r="58" spans="1:62" ht="14.4" x14ac:dyDescent="0.25">
      <c r="A58" s="2"/>
      <c r="B58" s="123"/>
      <c r="C58" s="652"/>
      <c r="D58" s="661"/>
      <c r="E58" s="663"/>
      <c r="F58" s="604" t="s">
        <v>254</v>
      </c>
      <c r="G58" s="607">
        <v>1.1000000000000001</v>
      </c>
      <c r="H58" s="278" t="s">
        <v>291</v>
      </c>
      <c r="I58" s="653">
        <f>0.112*G58*$AA$61</f>
        <v>1.3053687299813781</v>
      </c>
      <c r="J58" s="653"/>
      <c r="K58" s="653"/>
      <c r="L58" s="653"/>
      <c r="M58" s="653"/>
      <c r="N58" s="653"/>
      <c r="O58" s="653"/>
      <c r="P58" s="653"/>
      <c r="Q58" s="653"/>
      <c r="R58" s="653"/>
      <c r="S58" s="653"/>
      <c r="T58" s="653"/>
      <c r="U58" s="653"/>
      <c r="V58" s="653"/>
      <c r="W58" s="653"/>
      <c r="X58" s="653"/>
      <c r="Y58" s="2"/>
      <c r="Z58" s="590" t="s">
        <v>294</v>
      </c>
      <c r="AA58" s="298">
        <f>AA57</f>
        <v>15036</v>
      </c>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row>
    <row r="59" spans="1:62" ht="26.4" x14ac:dyDescent="0.25">
      <c r="A59" s="2"/>
      <c r="B59" s="123"/>
      <c r="C59" s="652"/>
      <c r="D59" s="661"/>
      <c r="E59" s="663"/>
      <c r="F59" s="604" t="s">
        <v>256</v>
      </c>
      <c r="G59" s="607">
        <v>1</v>
      </c>
      <c r="H59" s="607" t="s">
        <v>295</v>
      </c>
      <c r="I59" s="653">
        <f>0.112*G59*$AA$61</f>
        <v>1.1866988454376164</v>
      </c>
      <c r="J59" s="653"/>
      <c r="K59" s="653"/>
      <c r="L59" s="653"/>
      <c r="M59" s="653"/>
      <c r="N59" s="653"/>
      <c r="O59" s="653"/>
      <c r="P59" s="653"/>
      <c r="Q59" s="653"/>
      <c r="R59" s="653"/>
      <c r="S59" s="653"/>
      <c r="T59" s="653"/>
      <c r="U59" s="653"/>
      <c r="V59" s="653"/>
      <c r="W59" s="653"/>
      <c r="X59" s="653"/>
      <c r="Y59" s="2"/>
      <c r="Z59" s="590" t="s">
        <v>296</v>
      </c>
      <c r="AA59" s="66">
        <f>AA57+(2*AA56)</f>
        <v>159314.32</v>
      </c>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row>
    <row r="60" spans="1:62" x14ac:dyDescent="0.25">
      <c r="A60" s="2"/>
      <c r="B60" s="123"/>
      <c r="C60" s="652"/>
      <c r="D60" s="661"/>
      <c r="E60" s="663"/>
      <c r="F60" s="604" t="s">
        <v>258</v>
      </c>
      <c r="G60" s="606"/>
      <c r="H60" s="211" t="s">
        <v>297</v>
      </c>
      <c r="I60" s="653">
        <f>I58</f>
        <v>1.3053687299813781</v>
      </c>
      <c r="J60" s="653"/>
      <c r="K60" s="653"/>
      <c r="L60" s="653"/>
      <c r="M60" s="653"/>
      <c r="N60" s="653"/>
      <c r="O60" s="653"/>
      <c r="P60" s="653"/>
      <c r="Q60" s="653"/>
      <c r="R60" s="653"/>
      <c r="S60" s="653"/>
      <c r="T60" s="653"/>
      <c r="U60" s="653"/>
      <c r="V60" s="653"/>
      <c r="W60" s="653"/>
      <c r="X60" s="653"/>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row>
    <row r="61" spans="1:62" ht="26.4" x14ac:dyDescent="0.25">
      <c r="A61" s="2"/>
      <c r="B61" s="123"/>
      <c r="C61" s="652"/>
      <c r="D61" s="661"/>
      <c r="E61" s="664"/>
      <c r="F61" s="604" t="s">
        <v>260</v>
      </c>
      <c r="G61" s="607">
        <v>0.6</v>
      </c>
      <c r="H61" s="607" t="s">
        <v>298</v>
      </c>
      <c r="I61" s="653">
        <f>0.112*G61*$AA$61</f>
        <v>0.71201930726256979</v>
      </c>
      <c r="J61" s="653"/>
      <c r="K61" s="653"/>
      <c r="L61" s="653"/>
      <c r="M61" s="653"/>
      <c r="N61" s="653"/>
      <c r="O61" s="653"/>
      <c r="P61" s="653"/>
      <c r="Q61" s="653"/>
      <c r="R61" s="653"/>
      <c r="S61" s="653"/>
      <c r="T61" s="653"/>
      <c r="U61" s="653"/>
      <c r="V61" s="653"/>
      <c r="W61" s="653"/>
      <c r="X61" s="653"/>
      <c r="Y61" s="2"/>
      <c r="Z61" s="590" t="s">
        <v>299</v>
      </c>
      <c r="AA61" s="299">
        <f>AA59/AA58</f>
        <v>10.595525405693003</v>
      </c>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row>
    <row r="62" spans="1:62" ht="14.4" x14ac:dyDescent="0.25">
      <c r="A62" s="2"/>
      <c r="B62" s="123"/>
      <c r="C62" s="652"/>
      <c r="D62" s="661" t="s">
        <v>186</v>
      </c>
      <c r="E62" s="662"/>
      <c r="F62" s="604" t="s">
        <v>249</v>
      </c>
      <c r="G62" s="607">
        <v>1.1000000000000001</v>
      </c>
      <c r="H62" s="278" t="s">
        <v>291</v>
      </c>
      <c r="I62" s="653">
        <f>0.112*G62*$AA$67</f>
        <v>0.44404205907173006</v>
      </c>
      <c r="J62" s="653"/>
      <c r="K62" s="653"/>
      <c r="L62" s="653"/>
      <c r="M62" s="653"/>
      <c r="N62" s="653"/>
      <c r="O62" s="653"/>
      <c r="P62" s="653"/>
      <c r="Q62" s="653"/>
      <c r="R62" s="653"/>
      <c r="S62" s="653"/>
      <c r="T62" s="653"/>
      <c r="U62" s="653"/>
      <c r="V62" s="653"/>
      <c r="W62" s="653"/>
      <c r="X62" s="653"/>
      <c r="Y62" s="2"/>
      <c r="Z62" s="481" t="s">
        <v>292</v>
      </c>
      <c r="AA62" s="482">
        <v>8640.86</v>
      </c>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row>
    <row r="63" spans="1:62" ht="14.4" x14ac:dyDescent="0.25">
      <c r="A63" s="2"/>
      <c r="B63" s="123"/>
      <c r="C63" s="652"/>
      <c r="D63" s="661"/>
      <c r="E63" s="663"/>
      <c r="F63" s="604" t="s">
        <v>252</v>
      </c>
      <c r="G63" s="607">
        <v>1.1000000000000001</v>
      </c>
      <c r="H63" s="278" t="s">
        <v>291</v>
      </c>
      <c r="I63" s="653">
        <f>0.112*G63*$AA$67</f>
        <v>0.44404205907173006</v>
      </c>
      <c r="J63" s="653"/>
      <c r="K63" s="653"/>
      <c r="L63" s="653"/>
      <c r="M63" s="653"/>
      <c r="N63" s="653"/>
      <c r="O63" s="653"/>
      <c r="P63" s="653"/>
      <c r="Q63" s="653"/>
      <c r="R63" s="653"/>
      <c r="S63" s="653"/>
      <c r="T63" s="653"/>
      <c r="U63" s="653"/>
      <c r="V63" s="653"/>
      <c r="W63" s="653"/>
      <c r="X63" s="653"/>
      <c r="Y63" s="2"/>
      <c r="Z63" s="590" t="s">
        <v>293</v>
      </c>
      <c r="AA63" s="297">
        <v>6636</v>
      </c>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row>
    <row r="64" spans="1:62" ht="14.4" x14ac:dyDescent="0.25">
      <c r="A64" s="2"/>
      <c r="B64" s="123"/>
      <c r="C64" s="652"/>
      <c r="D64" s="661"/>
      <c r="E64" s="663"/>
      <c r="F64" s="604" t="s">
        <v>254</v>
      </c>
      <c r="G64" s="607">
        <v>1.1000000000000001</v>
      </c>
      <c r="H64" s="278" t="s">
        <v>291</v>
      </c>
      <c r="I64" s="653">
        <f>0.112*G64*$AA$67</f>
        <v>0.44404205907173006</v>
      </c>
      <c r="J64" s="653"/>
      <c r="K64" s="653"/>
      <c r="L64" s="653"/>
      <c r="M64" s="653"/>
      <c r="N64" s="653"/>
      <c r="O64" s="653"/>
      <c r="P64" s="653"/>
      <c r="Q64" s="653"/>
      <c r="R64" s="653"/>
      <c r="S64" s="653"/>
      <c r="T64" s="653"/>
      <c r="U64" s="653"/>
      <c r="V64" s="653"/>
      <c r="W64" s="653"/>
      <c r="X64" s="653"/>
      <c r="Y64" s="2"/>
      <c r="Z64" s="590" t="s">
        <v>294</v>
      </c>
      <c r="AA64" s="298">
        <f>AA63</f>
        <v>6636</v>
      </c>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row>
    <row r="65" spans="1:62" ht="25.5" customHeight="1" x14ac:dyDescent="0.25">
      <c r="A65" s="2"/>
      <c r="B65" s="123"/>
      <c r="C65" s="652"/>
      <c r="D65" s="661"/>
      <c r="E65" s="663"/>
      <c r="F65" s="604" t="s">
        <v>256</v>
      </c>
      <c r="G65" s="607">
        <v>1</v>
      </c>
      <c r="H65" s="607" t="s">
        <v>295</v>
      </c>
      <c r="I65" s="653">
        <f>0.112*G65*$AA$67</f>
        <v>0.4036745991561182</v>
      </c>
      <c r="J65" s="653"/>
      <c r="K65" s="653"/>
      <c r="L65" s="653"/>
      <c r="M65" s="653"/>
      <c r="N65" s="653"/>
      <c r="O65" s="653"/>
      <c r="P65" s="653"/>
      <c r="Q65" s="653"/>
      <c r="R65" s="653"/>
      <c r="S65" s="653"/>
      <c r="T65" s="653"/>
      <c r="U65" s="653"/>
      <c r="V65" s="653"/>
      <c r="W65" s="653"/>
      <c r="X65" s="653"/>
      <c r="Y65" s="2"/>
      <c r="Z65" s="590" t="s">
        <v>296</v>
      </c>
      <c r="AA65" s="66">
        <f>AA63+(2*AA62)</f>
        <v>23917.72</v>
      </c>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row>
    <row r="66" spans="1:62" x14ac:dyDescent="0.25">
      <c r="A66" s="2"/>
      <c r="B66" s="123"/>
      <c r="C66" s="652"/>
      <c r="D66" s="661"/>
      <c r="E66" s="663"/>
      <c r="F66" s="604" t="s">
        <v>258</v>
      </c>
      <c r="G66" s="606"/>
      <c r="H66" s="211" t="s">
        <v>297</v>
      </c>
      <c r="I66" s="653">
        <f>I64</f>
        <v>0.44404205907173006</v>
      </c>
      <c r="J66" s="653"/>
      <c r="K66" s="653"/>
      <c r="L66" s="653"/>
      <c r="M66" s="653"/>
      <c r="N66" s="653"/>
      <c r="O66" s="653"/>
      <c r="P66" s="653"/>
      <c r="Q66" s="653"/>
      <c r="R66" s="653"/>
      <c r="S66" s="653"/>
      <c r="T66" s="653"/>
      <c r="U66" s="653"/>
      <c r="V66" s="653"/>
      <c r="W66" s="653"/>
      <c r="X66" s="653"/>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row>
    <row r="67" spans="1:62" ht="26.4" x14ac:dyDescent="0.25">
      <c r="A67" s="2"/>
      <c r="B67" s="123"/>
      <c r="C67" s="652"/>
      <c r="D67" s="661"/>
      <c r="E67" s="664"/>
      <c r="F67" s="604" t="s">
        <v>260</v>
      </c>
      <c r="G67" s="607">
        <v>0.6</v>
      </c>
      <c r="H67" s="607" t="s">
        <v>298</v>
      </c>
      <c r="I67" s="653">
        <f>0.112*G67*$AA$67</f>
        <v>0.2422047594936709</v>
      </c>
      <c r="J67" s="653"/>
      <c r="K67" s="653"/>
      <c r="L67" s="653"/>
      <c r="M67" s="653"/>
      <c r="N67" s="653"/>
      <c r="O67" s="653"/>
      <c r="P67" s="653"/>
      <c r="Q67" s="653"/>
      <c r="R67" s="653"/>
      <c r="S67" s="653"/>
      <c r="T67" s="653"/>
      <c r="U67" s="653"/>
      <c r="V67" s="653"/>
      <c r="W67" s="653"/>
      <c r="X67" s="653"/>
      <c r="Y67" s="2"/>
      <c r="Z67" s="590" t="s">
        <v>299</v>
      </c>
      <c r="AA67" s="299">
        <f>AA65/AA64</f>
        <v>3.6042374924653409</v>
      </c>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row>
    <row r="68" spans="1:62" ht="14.4" x14ac:dyDescent="0.25">
      <c r="A68" s="2"/>
      <c r="B68" s="123"/>
      <c r="C68" s="652"/>
      <c r="D68" s="658" t="s">
        <v>200</v>
      </c>
      <c r="E68" s="662"/>
      <c r="F68" s="604" t="s">
        <v>249</v>
      </c>
      <c r="G68" s="607">
        <v>1.1000000000000001</v>
      </c>
      <c r="H68" s="278" t="s">
        <v>291</v>
      </c>
      <c r="I68" s="653">
        <f>0.112*G68*$AA$73</f>
        <v>0.39064256000000008</v>
      </c>
      <c r="J68" s="653"/>
      <c r="K68" s="653"/>
      <c r="L68" s="653"/>
      <c r="M68" s="653"/>
      <c r="N68" s="653"/>
      <c r="O68" s="653"/>
      <c r="P68" s="653"/>
      <c r="Q68" s="653"/>
      <c r="R68" s="653"/>
      <c r="S68" s="653"/>
      <c r="T68" s="653"/>
      <c r="U68" s="653"/>
      <c r="V68" s="653"/>
      <c r="W68" s="653"/>
      <c r="X68" s="653"/>
      <c r="Y68" s="2"/>
      <c r="Z68" s="481" t="s">
        <v>292</v>
      </c>
      <c r="AA68" s="484">
        <v>29522.880000000001</v>
      </c>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row>
    <row r="69" spans="1:62" ht="14.4" x14ac:dyDescent="0.25">
      <c r="A69" s="2"/>
      <c r="B69" s="123"/>
      <c r="C69" s="652"/>
      <c r="D69" s="659"/>
      <c r="E69" s="663"/>
      <c r="F69" s="604" t="s">
        <v>252</v>
      </c>
      <c r="G69" s="607">
        <v>1.1000000000000001</v>
      </c>
      <c r="H69" s="278" t="s">
        <v>291</v>
      </c>
      <c r="I69" s="653">
        <f>0.112*G69*$AA$73</f>
        <v>0.39064256000000008</v>
      </c>
      <c r="J69" s="653"/>
      <c r="K69" s="653"/>
      <c r="L69" s="653"/>
      <c r="M69" s="653"/>
      <c r="N69" s="653"/>
      <c r="O69" s="653"/>
      <c r="P69" s="653"/>
      <c r="Q69" s="653"/>
      <c r="R69" s="653"/>
      <c r="S69" s="653"/>
      <c r="T69" s="653"/>
      <c r="U69" s="653"/>
      <c r="V69" s="653"/>
      <c r="W69" s="653"/>
      <c r="X69" s="653"/>
      <c r="Y69" s="2"/>
      <c r="Z69" s="590" t="s">
        <v>293</v>
      </c>
      <c r="AA69" s="300">
        <v>27200</v>
      </c>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row>
    <row r="70" spans="1:62" ht="14.4" x14ac:dyDescent="0.25">
      <c r="A70" s="2"/>
      <c r="B70" s="123"/>
      <c r="C70" s="652"/>
      <c r="D70" s="659"/>
      <c r="E70" s="663"/>
      <c r="F70" s="604" t="s">
        <v>254</v>
      </c>
      <c r="G70" s="607">
        <v>1.1000000000000001</v>
      </c>
      <c r="H70" s="278" t="s">
        <v>291</v>
      </c>
      <c r="I70" s="653">
        <f>0.112*G70*$AA$73</f>
        <v>0.39064256000000008</v>
      </c>
      <c r="J70" s="653"/>
      <c r="K70" s="653"/>
      <c r="L70" s="653"/>
      <c r="M70" s="653"/>
      <c r="N70" s="653"/>
      <c r="O70" s="653"/>
      <c r="P70" s="653"/>
      <c r="Q70" s="653"/>
      <c r="R70" s="653"/>
      <c r="S70" s="653"/>
      <c r="T70" s="653"/>
      <c r="U70" s="653"/>
      <c r="V70" s="653"/>
      <c r="W70" s="653"/>
      <c r="X70" s="653"/>
      <c r="Y70" s="2"/>
      <c r="Z70" s="590" t="s">
        <v>294</v>
      </c>
      <c r="AA70" s="298">
        <f>AA69</f>
        <v>27200</v>
      </c>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row>
    <row r="71" spans="1:62" ht="25.5" customHeight="1" x14ac:dyDescent="0.25">
      <c r="A71" s="2"/>
      <c r="B71" s="123"/>
      <c r="C71" s="652"/>
      <c r="D71" s="659"/>
      <c r="E71" s="663"/>
      <c r="F71" s="604" t="s">
        <v>256</v>
      </c>
      <c r="G71" s="607">
        <v>1</v>
      </c>
      <c r="H71" s="607" t="s">
        <v>295</v>
      </c>
      <c r="I71" s="653">
        <f>0.112*G71*$AA$73</f>
        <v>0.35512960000000005</v>
      </c>
      <c r="J71" s="653"/>
      <c r="K71" s="653"/>
      <c r="L71" s="653"/>
      <c r="M71" s="653"/>
      <c r="N71" s="653"/>
      <c r="O71" s="653"/>
      <c r="P71" s="653"/>
      <c r="Q71" s="653"/>
      <c r="R71" s="653"/>
      <c r="S71" s="653"/>
      <c r="T71" s="653"/>
      <c r="U71" s="653"/>
      <c r="V71" s="653"/>
      <c r="W71" s="653"/>
      <c r="X71" s="653"/>
      <c r="Y71" s="2"/>
      <c r="Z71" s="590" t="s">
        <v>296</v>
      </c>
      <c r="AA71" s="66">
        <f>AA69+(2*AA68)</f>
        <v>86245.760000000009</v>
      </c>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row>
    <row r="72" spans="1:62" x14ac:dyDescent="0.25">
      <c r="A72" s="2"/>
      <c r="B72" s="123"/>
      <c r="C72" s="652"/>
      <c r="D72" s="659"/>
      <c r="E72" s="663"/>
      <c r="F72" s="604" t="s">
        <v>258</v>
      </c>
      <c r="G72" s="606"/>
      <c r="H72" s="211" t="s">
        <v>297</v>
      </c>
      <c r="I72" s="653">
        <f>I70</f>
        <v>0.39064256000000008</v>
      </c>
      <c r="J72" s="653"/>
      <c r="K72" s="653"/>
      <c r="L72" s="653"/>
      <c r="M72" s="653"/>
      <c r="N72" s="653"/>
      <c r="O72" s="653"/>
      <c r="P72" s="653"/>
      <c r="Q72" s="653"/>
      <c r="R72" s="653"/>
      <c r="S72" s="653"/>
      <c r="T72" s="653"/>
      <c r="U72" s="653"/>
      <c r="V72" s="653"/>
      <c r="W72" s="653"/>
      <c r="X72" s="653"/>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row>
    <row r="73" spans="1:62" ht="25.5" customHeight="1" x14ac:dyDescent="0.25">
      <c r="A73" s="2"/>
      <c r="B73" s="123"/>
      <c r="C73" s="652"/>
      <c r="D73" s="660"/>
      <c r="E73" s="664"/>
      <c r="F73" s="604" t="s">
        <v>260</v>
      </c>
      <c r="G73" s="607">
        <v>0.6</v>
      </c>
      <c r="H73" s="607" t="s">
        <v>298</v>
      </c>
      <c r="I73" s="653">
        <f>0.112*G73*$AA$73</f>
        <v>0.21307776</v>
      </c>
      <c r="J73" s="653"/>
      <c r="K73" s="653"/>
      <c r="L73" s="653"/>
      <c r="M73" s="653"/>
      <c r="N73" s="653"/>
      <c r="O73" s="653"/>
      <c r="P73" s="653"/>
      <c r="Q73" s="653"/>
      <c r="R73" s="653"/>
      <c r="S73" s="653"/>
      <c r="T73" s="653"/>
      <c r="U73" s="653"/>
      <c r="V73" s="653"/>
      <c r="W73" s="653"/>
      <c r="X73" s="653"/>
      <c r="Y73" s="2"/>
      <c r="Z73" s="590" t="s">
        <v>299</v>
      </c>
      <c r="AA73" s="299">
        <f>AA71/AA70</f>
        <v>3.1708000000000003</v>
      </c>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row>
    <row r="74" spans="1:62" ht="14.4" x14ac:dyDescent="0.3">
      <c r="A74" s="2"/>
      <c r="B74" s="123"/>
      <c r="C74" s="2"/>
      <c r="D74" s="2"/>
      <c r="E74" s="4" t="s">
        <v>300</v>
      </c>
      <c r="F74" s="2"/>
      <c r="G74" s="63"/>
      <c r="H74" s="2"/>
      <c r="I74" s="2"/>
      <c r="J74" s="2"/>
      <c r="K74" s="2"/>
      <c r="L74" s="2"/>
      <c r="M74" s="2"/>
      <c r="N74" s="2"/>
      <c r="O74" s="2"/>
      <c r="P74" s="2"/>
      <c r="Q74" s="4"/>
      <c r="R74" s="184"/>
      <c r="S74" s="184"/>
      <c r="T74" s="184"/>
      <c r="U74" s="184"/>
      <c r="V74" s="185"/>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row>
    <row r="75" spans="1:62" ht="14.4" x14ac:dyDescent="0.3">
      <c r="A75" s="2"/>
      <c r="B75" s="123"/>
      <c r="C75" s="2"/>
      <c r="D75" s="2"/>
      <c r="E75" s="4" t="s">
        <v>301</v>
      </c>
      <c r="F75" s="2"/>
      <c r="G75" s="1" t="s">
        <v>302</v>
      </c>
      <c r="H75" s="2"/>
      <c r="I75" s="2"/>
      <c r="J75" s="2"/>
      <c r="K75" s="2"/>
      <c r="L75" s="2"/>
      <c r="M75" s="2"/>
      <c r="N75" s="2"/>
      <c r="O75" s="2"/>
      <c r="P75" s="2"/>
      <c r="Q75" s="10"/>
      <c r="R75" s="184"/>
      <c r="S75" s="184"/>
      <c r="T75" s="184"/>
      <c r="U75" s="184"/>
      <c r="V75" s="185"/>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row>
    <row r="76" spans="1:62" ht="14.4" x14ac:dyDescent="0.3">
      <c r="A76" s="2"/>
      <c r="B76" s="123"/>
      <c r="C76" s="2"/>
      <c r="D76" s="2"/>
      <c r="E76" s="2"/>
      <c r="F76" s="2"/>
      <c r="G76" s="63"/>
      <c r="H76" s="2"/>
      <c r="I76" s="2"/>
      <c r="J76" s="2"/>
      <c r="K76" s="2"/>
      <c r="L76" s="2"/>
      <c r="M76" s="2"/>
      <c r="N76" s="2"/>
      <c r="O76" s="2"/>
      <c r="P76" s="2"/>
      <c r="Q76" s="10"/>
      <c r="R76" s="184"/>
      <c r="S76" s="184"/>
      <c r="T76" s="184"/>
      <c r="U76" s="184"/>
      <c r="V76" s="185"/>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row>
    <row r="77" spans="1:62" ht="14.4" x14ac:dyDescent="0.3">
      <c r="A77" s="2"/>
      <c r="B77" s="123"/>
      <c r="C77" s="2"/>
      <c r="D77" s="2"/>
      <c r="E77" s="2"/>
      <c r="F77" s="2"/>
      <c r="G77" s="63"/>
      <c r="H77" s="2"/>
      <c r="I77" s="2"/>
      <c r="J77" s="2"/>
      <c r="K77" s="2"/>
      <c r="L77" s="2"/>
      <c r="M77" s="2"/>
      <c r="N77" s="2"/>
      <c r="O77" s="2"/>
      <c r="P77" s="2"/>
      <c r="Q77" s="4"/>
      <c r="R77" s="184"/>
      <c r="S77" s="184"/>
      <c r="T77" s="184"/>
      <c r="U77" s="184"/>
      <c r="V77" s="185"/>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row>
    <row r="78" spans="1:62" ht="14.4" x14ac:dyDescent="0.3">
      <c r="A78" s="2"/>
      <c r="B78" s="123"/>
      <c r="C78" s="2"/>
      <c r="D78" s="2"/>
      <c r="E78" s="2"/>
      <c r="F78" s="2"/>
      <c r="G78" s="63"/>
      <c r="H78" s="2"/>
      <c r="I78" s="2"/>
      <c r="J78" s="2"/>
      <c r="K78" s="2"/>
      <c r="L78" s="2"/>
      <c r="M78" s="2"/>
      <c r="N78" s="2"/>
      <c r="O78" s="2"/>
      <c r="P78" s="2"/>
      <c r="Q78" s="66"/>
      <c r="R78" s="271"/>
      <c r="S78" s="271"/>
      <c r="T78" s="271"/>
      <c r="U78" s="271"/>
      <c r="V78" s="27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row>
    <row r="79" spans="1:62" ht="14.4" x14ac:dyDescent="0.3">
      <c r="A79" s="2"/>
      <c r="B79" s="123"/>
      <c r="C79" s="2"/>
      <c r="D79" s="2"/>
      <c r="E79" s="2"/>
      <c r="F79" s="2"/>
      <c r="G79" s="63"/>
      <c r="H79" s="2"/>
      <c r="I79" s="2"/>
      <c r="J79" s="2"/>
      <c r="K79" s="2"/>
      <c r="L79" s="2"/>
      <c r="M79" s="2"/>
      <c r="N79" s="2"/>
      <c r="O79" s="2"/>
      <c r="P79" s="2"/>
      <c r="Q79" s="66"/>
      <c r="R79" s="271"/>
      <c r="S79" s="271"/>
      <c r="T79" s="271"/>
      <c r="U79" s="271"/>
      <c r="V79" s="27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row>
    <row r="80" spans="1:62" x14ac:dyDescent="0.25">
      <c r="A80" s="66" t="s">
        <v>303</v>
      </c>
      <c r="B80" s="590"/>
      <c r="C80" s="66"/>
      <c r="D80" s="66"/>
      <c r="E80" s="66"/>
      <c r="F80" s="66"/>
      <c r="G80" s="66"/>
      <c r="H80" s="66"/>
      <c r="I80" s="66"/>
      <c r="J80" s="66"/>
      <c r="K80" s="66"/>
      <c r="L80" s="66"/>
      <c r="M80" s="66"/>
      <c r="N80" s="66"/>
      <c r="O80" s="66"/>
      <c r="P80" s="66"/>
      <c r="Q80" s="66"/>
      <c r="R80" s="66"/>
      <c r="S80" s="66"/>
      <c r="T80" s="66"/>
      <c r="U80" s="66"/>
      <c r="V80" s="66"/>
      <c r="W80" s="66"/>
      <c r="X80" s="66"/>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row>
    <row r="81" spans="1:62" x14ac:dyDescent="0.25">
      <c r="A81" s="640" t="s">
        <v>245</v>
      </c>
      <c r="B81" s="640" t="s">
        <v>49</v>
      </c>
      <c r="C81" s="643" t="s">
        <v>246</v>
      </c>
      <c r="D81" s="643" t="s">
        <v>304</v>
      </c>
      <c r="E81" s="640" t="s">
        <v>248</v>
      </c>
      <c r="F81" s="640" t="s">
        <v>249</v>
      </c>
      <c r="G81" s="669" t="s">
        <v>250</v>
      </c>
      <c r="H81" s="463" t="s">
        <v>305</v>
      </c>
      <c r="I81" s="464">
        <v>0.35199999999999998</v>
      </c>
      <c r="J81" s="464">
        <v>0.35199999999999998</v>
      </c>
      <c r="K81" s="464">
        <v>0.35199999999999998</v>
      </c>
      <c r="L81" s="464">
        <v>0.35199999999999998</v>
      </c>
      <c r="M81" s="464">
        <v>0.35199999999999998</v>
      </c>
      <c r="N81" s="464">
        <v>0.35199999999999998</v>
      </c>
      <c r="O81" s="464">
        <v>0.35199999999999998</v>
      </c>
      <c r="P81" s="464">
        <v>0.35199999999999998</v>
      </c>
      <c r="Q81" s="464">
        <v>0.35199999999999998</v>
      </c>
      <c r="R81" s="464">
        <v>0.35199999999999998</v>
      </c>
      <c r="S81" s="464">
        <v>0.35199999999999998</v>
      </c>
      <c r="T81" s="464">
        <v>0.35199999999999998</v>
      </c>
      <c r="U81" s="464">
        <v>0.35199999999999998</v>
      </c>
      <c r="V81" s="464">
        <v>0.35199999999999998</v>
      </c>
      <c r="W81" s="464">
        <v>0.35199999999999998</v>
      </c>
      <c r="X81" s="464">
        <v>0.35199999999999998</v>
      </c>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row>
    <row r="82" spans="1:62" x14ac:dyDescent="0.25">
      <c r="A82" s="641"/>
      <c r="B82" s="641"/>
      <c r="C82" s="644"/>
      <c r="D82" s="644"/>
      <c r="E82" s="641"/>
      <c r="F82" s="641"/>
      <c r="G82" s="670"/>
      <c r="H82" s="465" t="s">
        <v>306</v>
      </c>
      <c r="I82" s="466">
        <v>9.8000000000000004E-2</v>
      </c>
      <c r="J82" s="466">
        <v>6.2E-2</v>
      </c>
      <c r="K82" s="466">
        <v>8.2000000000000003E-2</v>
      </c>
      <c r="L82" s="466">
        <v>6.2E-2</v>
      </c>
      <c r="M82" s="466">
        <v>6.2E-2</v>
      </c>
      <c r="N82" s="466">
        <v>9.8000000000000004E-2</v>
      </c>
      <c r="O82" s="466">
        <v>9.8000000000000004E-2</v>
      </c>
      <c r="P82" s="466">
        <v>6.2E-2</v>
      </c>
      <c r="Q82" s="466">
        <v>6.2E-2</v>
      </c>
      <c r="R82" s="466">
        <v>6.2E-2</v>
      </c>
      <c r="S82" s="466">
        <v>6.2E-2</v>
      </c>
      <c r="T82" s="466">
        <v>6.2E-2</v>
      </c>
      <c r="U82" s="466">
        <v>6.2E-2</v>
      </c>
      <c r="V82" s="466">
        <v>6.2E-2</v>
      </c>
      <c r="W82" s="466">
        <v>6.2E-2</v>
      </c>
      <c r="X82" s="466">
        <v>6.2E-2</v>
      </c>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row>
    <row r="83" spans="1:62" x14ac:dyDescent="0.25">
      <c r="A83" s="641"/>
      <c r="B83" s="641"/>
      <c r="C83" s="644"/>
      <c r="D83" s="644"/>
      <c r="E83" s="641"/>
      <c r="F83" s="641"/>
      <c r="G83" s="670"/>
      <c r="H83" s="465" t="s">
        <v>307</v>
      </c>
      <c r="I83" s="485">
        <v>0.22700000000000001</v>
      </c>
      <c r="J83" s="485">
        <v>0.22700000000000001</v>
      </c>
      <c r="K83" s="485">
        <v>0.22700000000000001</v>
      </c>
      <c r="L83" s="485">
        <v>0.22700000000000001</v>
      </c>
      <c r="M83" s="485">
        <v>0.22700000000000001</v>
      </c>
      <c r="N83" s="485">
        <v>0.22700000000000001</v>
      </c>
      <c r="O83" s="485">
        <v>0.22700000000000001</v>
      </c>
      <c r="P83" s="485">
        <v>0.22700000000000001</v>
      </c>
      <c r="Q83" s="485">
        <v>0.22700000000000001</v>
      </c>
      <c r="R83" s="485">
        <v>0.22700000000000001</v>
      </c>
      <c r="S83" s="485">
        <v>0.22700000000000001</v>
      </c>
      <c r="T83" s="485">
        <v>0.22700000000000001</v>
      </c>
      <c r="U83" s="485">
        <v>0.22700000000000001</v>
      </c>
      <c r="V83" s="485">
        <v>0.22700000000000001</v>
      </c>
      <c r="W83" s="485">
        <v>0.22700000000000001</v>
      </c>
      <c r="X83" s="485">
        <v>0.22700000000000001</v>
      </c>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row>
    <row r="84" spans="1:62" ht="26.4" x14ac:dyDescent="0.25">
      <c r="A84" s="642"/>
      <c r="B84" s="642"/>
      <c r="C84" s="645"/>
      <c r="D84" s="645"/>
      <c r="E84" s="642"/>
      <c r="F84" s="642"/>
      <c r="G84" s="671"/>
      <c r="H84" s="467" t="s">
        <v>308</v>
      </c>
      <c r="I84" s="672">
        <v>9.1999999999999998E-2</v>
      </c>
      <c r="J84" s="673"/>
      <c r="K84" s="673"/>
      <c r="L84" s="673"/>
      <c r="M84" s="673"/>
      <c r="N84" s="673"/>
      <c r="O84" s="673"/>
      <c r="P84" s="673"/>
      <c r="Q84" s="673"/>
      <c r="R84" s="673"/>
      <c r="S84" s="673"/>
      <c r="T84" s="673"/>
      <c r="U84" s="673"/>
      <c r="V84" s="673"/>
      <c r="W84" s="673"/>
      <c r="X84" s="674"/>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row>
    <row r="85" spans="1:62" x14ac:dyDescent="0.25">
      <c r="A85" s="2"/>
      <c r="B85" s="123"/>
      <c r="C85" s="2"/>
      <c r="D85" s="2"/>
      <c r="E85" s="2"/>
      <c r="F85" s="2"/>
      <c r="G85" s="63"/>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row>
  </sheetData>
  <mergeCells count="94">
    <mergeCell ref="I60:X60"/>
    <mergeCell ref="I61:X61"/>
    <mergeCell ref="F81:F84"/>
    <mergeCell ref="I62:X62"/>
    <mergeCell ref="G81:G84"/>
    <mergeCell ref="I84:X84"/>
    <mergeCell ref="E68:E73"/>
    <mergeCell ref="I68:X68"/>
    <mergeCell ref="I69:X69"/>
    <mergeCell ref="I71:X71"/>
    <mergeCell ref="I72:X72"/>
    <mergeCell ref="I73:X73"/>
    <mergeCell ref="I43:X43"/>
    <mergeCell ref="E44:E49"/>
    <mergeCell ref="I47:X47"/>
    <mergeCell ref="I49:X49"/>
    <mergeCell ref="I48:X48"/>
    <mergeCell ref="AI49:AI52"/>
    <mergeCell ref="C42:X42"/>
    <mergeCell ref="D68:D73"/>
    <mergeCell ref="I50:X50"/>
    <mergeCell ref="I51:X51"/>
    <mergeCell ref="I52:X52"/>
    <mergeCell ref="I53:X53"/>
    <mergeCell ref="I54:X54"/>
    <mergeCell ref="I55:X55"/>
    <mergeCell ref="I56:X56"/>
    <mergeCell ref="I57:X57"/>
    <mergeCell ref="I58:X58"/>
    <mergeCell ref="D62:D67"/>
    <mergeCell ref="I70:X70"/>
    <mergeCell ref="I59:X59"/>
    <mergeCell ref="I64:X64"/>
    <mergeCell ref="D23:D26"/>
    <mergeCell ref="E3:E8"/>
    <mergeCell ref="C15:C20"/>
    <mergeCell ref="B9:B14"/>
    <mergeCell ref="E9:E14"/>
    <mergeCell ref="E15:E20"/>
    <mergeCell ref="D9:D14"/>
    <mergeCell ref="D17:D20"/>
    <mergeCell ref="A1:X1"/>
    <mergeCell ref="D21:D22"/>
    <mergeCell ref="C21:C26"/>
    <mergeCell ref="E21:E26"/>
    <mergeCell ref="A15:A26"/>
    <mergeCell ref="B21:B26"/>
    <mergeCell ref="B15:B20"/>
    <mergeCell ref="D3:D8"/>
    <mergeCell ref="B3:B8"/>
    <mergeCell ref="A3:A8"/>
    <mergeCell ref="C3:C8"/>
    <mergeCell ref="C9:C14"/>
    <mergeCell ref="H9:H10"/>
    <mergeCell ref="H15:H16"/>
    <mergeCell ref="H21:H22"/>
    <mergeCell ref="A9:A14"/>
    <mergeCell ref="D27:D38"/>
    <mergeCell ref="H33:H34"/>
    <mergeCell ref="A39:L39"/>
    <mergeCell ref="C44:C73"/>
    <mergeCell ref="I45:X45"/>
    <mergeCell ref="I46:X46"/>
    <mergeCell ref="I67:X67"/>
    <mergeCell ref="I63:X63"/>
    <mergeCell ref="I65:X65"/>
    <mergeCell ref="I66:X66"/>
    <mergeCell ref="E62:E67"/>
    <mergeCell ref="D44:D49"/>
    <mergeCell ref="D50:D55"/>
    <mergeCell ref="E50:E55"/>
    <mergeCell ref="D56:D61"/>
    <mergeCell ref="E56:E61"/>
    <mergeCell ref="D15:D16"/>
    <mergeCell ref="B27:B38"/>
    <mergeCell ref="A27:A38"/>
    <mergeCell ref="AP44:AS44"/>
    <mergeCell ref="AT44:AW44"/>
    <mergeCell ref="AK44:AO44"/>
    <mergeCell ref="I44:X44"/>
    <mergeCell ref="AA38:AE38"/>
    <mergeCell ref="AF38:AJ38"/>
    <mergeCell ref="AK38:AO38"/>
    <mergeCell ref="AP38:AS38"/>
    <mergeCell ref="AT38:AW38"/>
    <mergeCell ref="C27:C38"/>
    <mergeCell ref="E27:E32"/>
    <mergeCell ref="H27:H28"/>
    <mergeCell ref="E33:E38"/>
    <mergeCell ref="A81:A84"/>
    <mergeCell ref="B81:B84"/>
    <mergeCell ref="C81:C84"/>
    <mergeCell ref="D81:D84"/>
    <mergeCell ref="E81:E84"/>
  </mergeCells>
  <phoneticPr fontId="4" type="noConversion"/>
  <hyperlinks>
    <hyperlink ref="H44" r:id="rId1" xr:uid="{41AD9FFF-609E-4AE3-98F2-52C38EDBABB6}"/>
    <hyperlink ref="G75" r:id="rId2" display="https://2050partners.sharepoint.com/:w:/r/sites/CalBEMCollaborativeEfforts/Shared Documents/Working Group 1 - Streamlined Process/D - Complexity of Compliance/Prototype Unification/Project Development/Phase 2 (Collect Inputs) Development/NR/Air Leakage Memo/Infiltration_rate_report_14May2025-Short-Version.docx?d=w3bef8f747fac44f2a70cd76617660066&amp;csf=1&amp;web=1&amp;e=wh5Dm4" xr:uid="{4A1521E0-F8A0-4820-95C1-4CD6F43904D6}"/>
    <hyperlink ref="H50" r:id="rId3" xr:uid="{75D8BEEB-ABB9-4437-A3E7-5893A5F9F6F5}"/>
    <hyperlink ref="H56" r:id="rId4" xr:uid="{D9CCD1C9-1829-4304-96E1-7A05ACAC928B}"/>
    <hyperlink ref="H62" r:id="rId5" xr:uid="{61CCF60A-A287-44D0-9FBF-A289C9087C58}"/>
    <hyperlink ref="H68" r:id="rId6" xr:uid="{B364C26E-223E-48C5-8484-24CA894155BB}"/>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C1672-9EE3-40E4-AB75-7F6046861D1F}">
  <sheetPr codeName="Sheet6"/>
  <dimension ref="A1:AN73"/>
  <sheetViews>
    <sheetView zoomScale="70" zoomScaleNormal="70" zoomScaleSheetLayoutView="40" workbookViewId="0">
      <selection sqref="A1:H1"/>
    </sheetView>
  </sheetViews>
  <sheetFormatPr defaultColWidth="8.6640625" defaultRowHeight="13.2" x14ac:dyDescent="0.25"/>
  <cols>
    <col min="1" max="1" width="39" style="4" customWidth="1"/>
    <col min="2" max="2" width="34.6640625" style="4" customWidth="1"/>
    <col min="3" max="3" width="29.109375" style="4" customWidth="1"/>
    <col min="4" max="4" width="29.44140625" style="4" customWidth="1"/>
    <col min="5" max="5" width="37.44140625" style="4" bestFit="1" customWidth="1"/>
    <col min="6" max="6" width="48.33203125" style="4" bestFit="1" customWidth="1"/>
    <col min="7" max="7" width="39" style="4" customWidth="1"/>
    <col min="8" max="8" width="53.6640625" style="4" customWidth="1"/>
    <col min="9" max="11" width="12.6640625" style="4" customWidth="1"/>
    <col min="12" max="19" width="15.33203125" style="4" customWidth="1"/>
    <col min="20" max="20" width="14.6640625" style="4" customWidth="1"/>
    <col min="21" max="21" width="13.5546875" style="4" customWidth="1"/>
    <col min="22" max="22" width="15.6640625" style="4" customWidth="1"/>
    <col min="23" max="29" width="11" style="4" customWidth="1"/>
    <col min="30" max="38" width="6.5546875" style="4" customWidth="1"/>
    <col min="39" max="39" width="8.6640625" style="4" customWidth="1"/>
    <col min="40" max="16384" width="8.6640625" style="4"/>
  </cols>
  <sheetData>
    <row r="1" spans="1:9" ht="27" customHeight="1" thickBot="1" x14ac:dyDescent="0.3">
      <c r="A1" s="682" t="str">
        <f>"HVAC system - "&amp;Prototype!A2</f>
        <v>HVAC system - SchoolHigh</v>
      </c>
      <c r="B1" s="682"/>
      <c r="C1" s="682"/>
      <c r="D1" s="682"/>
      <c r="E1" s="682"/>
      <c r="F1" s="682"/>
      <c r="G1" s="682"/>
      <c r="H1" s="682"/>
    </row>
    <row r="2" spans="1:9" ht="42" customHeight="1" x14ac:dyDescent="0.25">
      <c r="A2" s="707" t="s">
        <v>258</v>
      </c>
      <c r="B2" s="381" t="s">
        <v>309</v>
      </c>
      <c r="C2" s="382" t="s">
        <v>310</v>
      </c>
      <c r="D2" s="382" t="s">
        <v>311</v>
      </c>
      <c r="E2" s="382" t="s">
        <v>312</v>
      </c>
      <c r="F2" s="381" t="s">
        <v>313</v>
      </c>
      <c r="G2" s="383" t="s">
        <v>314</v>
      </c>
      <c r="H2" s="384" t="s">
        <v>315</v>
      </c>
      <c r="I2" s="586"/>
    </row>
    <row r="3" spans="1:9" ht="42" customHeight="1" x14ac:dyDescent="0.25">
      <c r="A3" s="708"/>
      <c r="B3" s="607" t="s">
        <v>316</v>
      </c>
      <c r="C3" s="607" t="s">
        <v>317</v>
      </c>
      <c r="D3" s="607" t="s">
        <v>318</v>
      </c>
      <c r="E3" s="607" t="s">
        <v>319</v>
      </c>
      <c r="F3" s="607" t="s">
        <v>313</v>
      </c>
      <c r="G3" s="379" t="s">
        <v>314</v>
      </c>
      <c r="H3" s="385" t="s">
        <v>320</v>
      </c>
      <c r="I3" s="586"/>
    </row>
    <row r="4" spans="1:9" ht="42" customHeight="1" thickBot="1" x14ac:dyDescent="0.3">
      <c r="A4" s="708"/>
      <c r="B4" s="603" t="s">
        <v>321</v>
      </c>
      <c r="C4" s="603" t="s">
        <v>322</v>
      </c>
      <c r="D4" s="603" t="s">
        <v>323</v>
      </c>
      <c r="E4" s="603" t="s">
        <v>324</v>
      </c>
      <c r="F4" s="603" t="s">
        <v>325</v>
      </c>
      <c r="G4" s="380" t="s">
        <v>314</v>
      </c>
      <c r="H4" s="389" t="s">
        <v>326</v>
      </c>
      <c r="I4" s="586"/>
    </row>
    <row r="5" spans="1:9" ht="47.25" customHeight="1" x14ac:dyDescent="0.25">
      <c r="A5" s="709" t="s">
        <v>327</v>
      </c>
      <c r="B5" s="381" t="s">
        <v>328</v>
      </c>
      <c r="C5" s="382" t="s">
        <v>329</v>
      </c>
      <c r="D5" s="382" t="s">
        <v>329</v>
      </c>
      <c r="E5" s="390" t="s">
        <v>312</v>
      </c>
      <c r="F5" s="381" t="s">
        <v>313</v>
      </c>
      <c r="G5" s="383" t="s">
        <v>330</v>
      </c>
      <c r="H5" s="384" t="s">
        <v>331</v>
      </c>
      <c r="I5" s="59"/>
    </row>
    <row r="6" spans="1:9" ht="47.25" customHeight="1" x14ac:dyDescent="0.25">
      <c r="A6" s="710"/>
      <c r="B6" s="607" t="s">
        <v>316</v>
      </c>
      <c r="C6" s="607" t="s">
        <v>317</v>
      </c>
      <c r="D6" s="607" t="s">
        <v>318</v>
      </c>
      <c r="E6" s="607" t="s">
        <v>319</v>
      </c>
      <c r="F6" s="607" t="s">
        <v>313</v>
      </c>
      <c r="G6" s="379" t="s">
        <v>314</v>
      </c>
      <c r="H6" s="385" t="s">
        <v>320</v>
      </c>
      <c r="I6" s="59"/>
    </row>
    <row r="7" spans="1:9" ht="47.25" customHeight="1" thickBot="1" x14ac:dyDescent="0.3">
      <c r="A7" s="711"/>
      <c r="B7" s="386" t="s">
        <v>321</v>
      </c>
      <c r="C7" s="386" t="s">
        <v>322</v>
      </c>
      <c r="D7" s="386" t="s">
        <v>323</v>
      </c>
      <c r="E7" s="386" t="s">
        <v>324</v>
      </c>
      <c r="F7" s="386" t="s">
        <v>325</v>
      </c>
      <c r="G7" s="387" t="s">
        <v>314</v>
      </c>
      <c r="H7" s="388" t="s">
        <v>326</v>
      </c>
      <c r="I7" s="59"/>
    </row>
    <row r="8" spans="1:9" ht="25.95" customHeight="1" x14ac:dyDescent="0.25">
      <c r="A8" s="8"/>
      <c r="B8" s="8"/>
      <c r="C8" s="618"/>
      <c r="D8" s="618"/>
      <c r="E8" s="618"/>
      <c r="F8" s="59"/>
      <c r="G8" s="59"/>
      <c r="H8" s="59"/>
      <c r="I8" s="59"/>
    </row>
    <row r="9" spans="1:9" ht="15.6" customHeight="1" x14ac:dyDescent="0.25">
      <c r="A9" s="618"/>
      <c r="B9" s="618"/>
      <c r="C9" s="618"/>
      <c r="D9" s="618"/>
      <c r="E9" s="618"/>
    </row>
    <row r="10" spans="1:9" x14ac:dyDescent="0.25">
      <c r="A10" s="586"/>
      <c r="B10" s="618"/>
      <c r="C10" s="618"/>
      <c r="D10" s="618"/>
      <c r="E10" s="618"/>
    </row>
    <row r="11" spans="1:9" x14ac:dyDescent="0.25">
      <c r="A11" s="618"/>
      <c r="B11" s="618"/>
      <c r="C11" s="618"/>
      <c r="D11" s="618"/>
      <c r="E11" s="618"/>
    </row>
    <row r="12" spans="1:9" ht="32.25" customHeight="1" x14ac:dyDescent="0.25">
      <c r="A12" s="681" t="s">
        <v>332</v>
      </c>
      <c r="B12" s="682"/>
      <c r="C12" s="682"/>
      <c r="D12" s="682"/>
      <c r="E12" s="682"/>
      <c r="F12" s="682"/>
      <c r="G12" s="682"/>
      <c r="H12" s="76"/>
    </row>
    <row r="13" spans="1:9" ht="43.95" customHeight="1" x14ac:dyDescent="0.25">
      <c r="A13" s="90" t="s">
        <v>227</v>
      </c>
      <c r="B13" s="91" t="s">
        <v>333</v>
      </c>
      <c r="C13" s="92" t="s">
        <v>310</v>
      </c>
      <c r="D13" s="614" t="s">
        <v>334</v>
      </c>
      <c r="E13" s="614" t="s">
        <v>335</v>
      </c>
      <c r="F13" s="60" t="s">
        <v>336</v>
      </c>
      <c r="G13" s="93" t="s">
        <v>289</v>
      </c>
    </row>
    <row r="14" spans="1:9" ht="22.2" customHeight="1" x14ac:dyDescent="0.25">
      <c r="A14" s="94" t="s">
        <v>249</v>
      </c>
      <c r="B14" s="689">
        <v>2008</v>
      </c>
      <c r="C14" s="683" t="s">
        <v>337</v>
      </c>
      <c r="D14" s="690" t="s">
        <v>324</v>
      </c>
      <c r="E14" s="686" t="s">
        <v>338</v>
      </c>
      <c r="F14" s="675" t="s">
        <v>339</v>
      </c>
      <c r="G14" s="678"/>
    </row>
    <row r="15" spans="1:9" ht="20.399999999999999" customHeight="1" x14ac:dyDescent="0.25">
      <c r="A15" s="94" t="s">
        <v>252</v>
      </c>
      <c r="B15" s="687"/>
      <c r="C15" s="684"/>
      <c r="D15" s="684"/>
      <c r="E15" s="687"/>
      <c r="F15" s="676"/>
      <c r="G15" s="679"/>
    </row>
    <row r="16" spans="1:9" ht="19.95" customHeight="1" x14ac:dyDescent="0.25">
      <c r="A16" s="94" t="s">
        <v>254</v>
      </c>
      <c r="B16" s="688"/>
      <c r="C16" s="685"/>
      <c r="D16" s="685"/>
      <c r="E16" s="688"/>
      <c r="F16" s="677"/>
      <c r="G16" s="680"/>
    </row>
    <row r="17" spans="1:40" ht="57.6" customHeight="1" x14ac:dyDescent="0.25">
      <c r="A17" s="94" t="s">
        <v>256</v>
      </c>
      <c r="B17" s="61">
        <v>2013</v>
      </c>
      <c r="C17" s="84" t="s">
        <v>337</v>
      </c>
      <c r="D17" s="83" t="s">
        <v>324</v>
      </c>
      <c r="E17" s="211" t="s">
        <v>340</v>
      </c>
      <c r="F17" s="212" t="s">
        <v>341</v>
      </c>
      <c r="G17" s="213" t="s">
        <v>342</v>
      </c>
    </row>
    <row r="18" spans="1:40" ht="93.6" customHeight="1" x14ac:dyDescent="0.25">
      <c r="A18" s="95" t="s">
        <v>327</v>
      </c>
      <c r="B18" s="96">
        <v>2025</v>
      </c>
      <c r="C18" s="97" t="s">
        <v>324</v>
      </c>
      <c r="D18" s="209" t="s">
        <v>343</v>
      </c>
      <c r="E18" s="209" t="s">
        <v>344</v>
      </c>
      <c r="F18" s="210" t="s">
        <v>345</v>
      </c>
      <c r="G18" s="98"/>
    </row>
    <row r="19" spans="1:40" x14ac:dyDescent="0.25">
      <c r="B19" s="6"/>
      <c r="C19" s="6"/>
      <c r="D19" s="30"/>
      <c r="E19" s="6"/>
    </row>
    <row r="20" spans="1:40" x14ac:dyDescent="0.25">
      <c r="A20" s="31"/>
      <c r="B20" s="6"/>
      <c r="C20" s="6" t="s">
        <v>346</v>
      </c>
      <c r="D20" s="6" t="s">
        <v>347</v>
      </c>
      <c r="E20" s="6"/>
    </row>
    <row r="21" spans="1:40" x14ac:dyDescent="0.25">
      <c r="A21" s="568"/>
      <c r="B21" s="568"/>
      <c r="C21" s="568"/>
      <c r="D21" s="568"/>
      <c r="E21" s="568"/>
    </row>
    <row r="22" spans="1:40" ht="22.35" customHeight="1" x14ac:dyDescent="0.3">
      <c r="A22" s="691" t="s">
        <v>348</v>
      </c>
      <c r="B22" s="692"/>
      <c r="C22" s="692"/>
      <c r="D22" s="692"/>
      <c r="E22" s="692"/>
      <c r="F22" s="692"/>
      <c r="G22" s="692"/>
      <c r="H22" s="692"/>
      <c r="I22"/>
    </row>
    <row r="23" spans="1:40" ht="27.6" customHeight="1" x14ac:dyDescent="0.3">
      <c r="A23" s="305" t="s">
        <v>227</v>
      </c>
      <c r="B23" s="293" t="s">
        <v>349</v>
      </c>
      <c r="C23" s="293" t="s">
        <v>350</v>
      </c>
      <c r="D23" s="294" t="s">
        <v>351</v>
      </c>
      <c r="E23" s="294" t="s">
        <v>352</v>
      </c>
      <c r="F23" s="294" t="s">
        <v>353</v>
      </c>
      <c r="G23" s="294" t="s">
        <v>354</v>
      </c>
      <c r="H23" s="305" t="s">
        <v>355</v>
      </c>
      <c r="I23"/>
    </row>
    <row r="24" spans="1:40" ht="73.2" customHeight="1" x14ac:dyDescent="0.25">
      <c r="A24" s="693" t="s">
        <v>258</v>
      </c>
      <c r="B24" s="694" t="s">
        <v>356</v>
      </c>
      <c r="C24" s="601" t="s">
        <v>357</v>
      </c>
      <c r="D24" s="598">
        <v>2.5</v>
      </c>
      <c r="E24" s="695">
        <v>0.65</v>
      </c>
      <c r="F24" s="696" t="s">
        <v>358</v>
      </c>
      <c r="G24" s="700"/>
      <c r="H24" s="696" t="s">
        <v>359</v>
      </c>
      <c r="I24" s="292" t="s">
        <v>360</v>
      </c>
    </row>
    <row r="25" spans="1:40" ht="73.2" customHeight="1" x14ac:dyDescent="0.3">
      <c r="A25" s="693"/>
      <c r="B25" s="694"/>
      <c r="C25" s="601" t="s">
        <v>361</v>
      </c>
      <c r="D25" s="598">
        <v>5.58</v>
      </c>
      <c r="E25" s="695"/>
      <c r="F25" s="696"/>
      <c r="G25" s="700"/>
      <c r="H25" s="701"/>
      <c r="I25"/>
    </row>
    <row r="26" spans="1:40" ht="21.6" customHeight="1" x14ac:dyDescent="0.3">
      <c r="A26" s="295" t="s">
        <v>362</v>
      </c>
      <c r="B26" s="306"/>
      <c r="C26" s="306"/>
      <c r="D26" s="306"/>
      <c r="E26" s="306"/>
      <c r="F26" s="306"/>
      <c r="G26" s="306"/>
      <c r="H26" s="307"/>
      <c r="I26"/>
    </row>
    <row r="27" spans="1:40" ht="19.350000000000001" customHeight="1" x14ac:dyDescent="0.3">
      <c r="A27" s="295" t="s">
        <v>363</v>
      </c>
      <c r="B27" s="306"/>
      <c r="C27" s="306"/>
      <c r="D27" s="306"/>
      <c r="E27" s="306"/>
      <c r="F27" s="306"/>
      <c r="G27" s="306"/>
      <c r="H27" s="307"/>
      <c r="I27"/>
    </row>
    <row r="28" spans="1:40" ht="44.25" customHeight="1" x14ac:dyDescent="0.3">
      <c r="A28" s="693" t="s">
        <v>327</v>
      </c>
      <c r="B28" s="696" t="s">
        <v>330</v>
      </c>
      <c r="C28" s="598" t="s">
        <v>364</v>
      </c>
      <c r="D28" s="598" t="s">
        <v>365</v>
      </c>
      <c r="E28" s="696">
        <v>0.65</v>
      </c>
      <c r="F28" s="696" t="s">
        <v>366</v>
      </c>
      <c r="G28" s="598">
        <v>0.74399999999999999</v>
      </c>
      <c r="H28" s="705" t="s">
        <v>367</v>
      </c>
      <c r="I28" s="308"/>
    </row>
    <row r="29" spans="1:40" ht="44.25" customHeight="1" x14ac:dyDescent="0.3">
      <c r="A29" s="702"/>
      <c r="B29" s="703"/>
      <c r="C29" s="599" t="s">
        <v>368</v>
      </c>
      <c r="D29" s="599" t="s">
        <v>365</v>
      </c>
      <c r="E29" s="704"/>
      <c r="F29" s="704"/>
      <c r="G29" s="599">
        <v>0.67600000000000005</v>
      </c>
      <c r="H29" s="706"/>
      <c r="I29" s="308"/>
      <c r="J29" s="568"/>
      <c r="K29" s="568"/>
      <c r="L29" s="568"/>
      <c r="M29" s="568"/>
      <c r="N29" s="568"/>
      <c r="O29" s="568"/>
      <c r="P29" s="568"/>
      <c r="Q29" s="568"/>
      <c r="R29" s="568"/>
      <c r="S29" s="568"/>
      <c r="T29" s="568"/>
      <c r="U29" s="568"/>
      <c r="V29" s="568"/>
      <c r="W29" s="568"/>
      <c r="X29" s="568"/>
      <c r="Y29" s="568"/>
      <c r="Z29" s="568"/>
      <c r="AA29" s="568"/>
      <c r="AB29" s="568"/>
      <c r="AC29" s="568"/>
      <c r="AD29" s="568"/>
      <c r="AE29" s="697"/>
      <c r="AF29" s="697"/>
      <c r="AG29" s="697"/>
      <c r="AH29" s="697"/>
      <c r="AI29" s="697"/>
      <c r="AJ29" s="697"/>
      <c r="AK29" s="697"/>
      <c r="AL29" s="697"/>
      <c r="AM29" s="697"/>
      <c r="AN29" s="697"/>
    </row>
    <row r="30" spans="1:40" ht="12.75" customHeight="1" x14ac:dyDescent="0.3">
      <c r="A30" s="67"/>
      <c r="B30" s="67"/>
      <c r="C30" s="67"/>
      <c r="D30" s="591"/>
      <c r="E30" s="67"/>
      <c r="F30" s="591"/>
      <c r="G30" s="67"/>
      <c r="H30" s="67"/>
      <c r="I30"/>
      <c r="J30" s="568"/>
      <c r="K30" s="568"/>
      <c r="L30" s="568"/>
      <c r="M30" s="568"/>
      <c r="N30" s="568"/>
      <c r="O30" s="568"/>
      <c r="P30" s="568"/>
      <c r="Q30" s="568"/>
      <c r="R30" s="568"/>
      <c r="S30" s="568"/>
      <c r="T30" s="568"/>
      <c r="U30" s="568"/>
      <c r="V30" s="568"/>
      <c r="W30" s="568"/>
      <c r="X30" s="568"/>
      <c r="Y30" s="568"/>
      <c r="Z30" s="568"/>
      <c r="AA30" s="568"/>
      <c r="AB30" s="568"/>
      <c r="AC30" s="568"/>
      <c r="AD30" s="568"/>
      <c r="AE30" s="697"/>
      <c r="AF30" s="697"/>
      <c r="AG30" s="697"/>
      <c r="AH30" s="697"/>
      <c r="AI30" s="697"/>
      <c r="AJ30" s="697"/>
      <c r="AK30" s="697"/>
      <c r="AL30" s="697"/>
      <c r="AM30" s="697"/>
      <c r="AN30" s="697"/>
    </row>
    <row r="31" spans="1:40" ht="31.5" customHeight="1" x14ac:dyDescent="0.3">
      <c r="A31" s="651" t="s">
        <v>369</v>
      </c>
      <c r="B31" s="698"/>
      <c r="C31" s="698"/>
      <c r="D31" s="698"/>
      <c r="E31" s="698"/>
      <c r="F31" s="698"/>
      <c r="G31" s="698"/>
      <c r="H31" s="698"/>
      <c r="I31"/>
      <c r="J31" s="568"/>
      <c r="K31" s="568"/>
      <c r="L31" s="568"/>
      <c r="M31" s="568"/>
      <c r="N31" s="568"/>
      <c r="O31" s="568"/>
      <c r="P31" s="568"/>
      <c r="Q31" s="568"/>
      <c r="R31" s="568"/>
      <c r="S31" s="568"/>
      <c r="T31" s="568"/>
      <c r="U31" s="568"/>
      <c r="V31" s="568"/>
      <c r="W31" s="568"/>
      <c r="X31" s="568"/>
      <c r="Y31" s="568"/>
      <c r="Z31" s="568"/>
      <c r="AA31" s="568"/>
      <c r="AB31" s="568"/>
      <c r="AC31" s="568"/>
      <c r="AD31" s="568"/>
      <c r="AE31" s="697"/>
      <c r="AF31" s="697"/>
      <c r="AG31" s="697"/>
      <c r="AH31" s="697"/>
      <c r="AI31" s="697"/>
      <c r="AJ31" s="697"/>
      <c r="AK31" s="697"/>
      <c r="AL31" s="697"/>
      <c r="AM31" s="697"/>
      <c r="AN31" s="697"/>
    </row>
    <row r="32" spans="1:40" ht="57" customHeight="1" x14ac:dyDescent="0.3">
      <c r="A32" s="651" t="s">
        <v>370</v>
      </c>
      <c r="B32" s="699"/>
      <c r="C32" s="699"/>
      <c r="D32" s="699"/>
      <c r="E32" s="699"/>
      <c r="F32" s="699"/>
      <c r="G32" s="699"/>
      <c r="H32" s="699"/>
      <c r="I32"/>
    </row>
    <row r="33" spans="1:38" ht="29.25" customHeight="1" x14ac:dyDescent="0.25">
      <c r="A33" s="66" t="s">
        <v>371</v>
      </c>
      <c r="B33" s="627" t="s">
        <v>372</v>
      </c>
      <c r="C33" s="627"/>
      <c r="D33" s="627"/>
      <c r="E33" s="627"/>
      <c r="F33" s="627"/>
      <c r="G33" s="627"/>
    </row>
    <row r="34" spans="1:38" x14ac:dyDescent="0.25">
      <c r="A34" s="66"/>
      <c r="B34" s="590"/>
      <c r="C34" s="590"/>
      <c r="D34" s="590"/>
      <c r="E34" s="590"/>
      <c r="F34" s="590"/>
      <c r="G34" s="590"/>
    </row>
    <row r="35" spans="1:38" x14ac:dyDescent="0.25">
      <c r="A35" s="66"/>
      <c r="B35" s="590"/>
      <c r="C35" s="590"/>
      <c r="D35" s="590"/>
      <c r="E35" s="590"/>
      <c r="F35" s="590"/>
      <c r="G35" s="590"/>
    </row>
    <row r="36" spans="1:38" x14ac:dyDescent="0.25">
      <c r="A36" s="66"/>
      <c r="B36" s="590"/>
      <c r="C36" s="590"/>
      <c r="D36" s="590"/>
      <c r="E36" s="590"/>
      <c r="F36" s="590"/>
      <c r="G36" s="590"/>
    </row>
    <row r="37" spans="1:38" x14ac:dyDescent="0.25">
      <c r="A37" s="66"/>
      <c r="B37" s="590"/>
      <c r="C37" s="590"/>
      <c r="D37" s="590"/>
      <c r="E37" s="590"/>
      <c r="F37" s="590"/>
      <c r="G37" s="590"/>
    </row>
    <row r="38" spans="1:38" x14ac:dyDescent="0.25">
      <c r="A38" s="66"/>
      <c r="B38" s="590"/>
      <c r="C38" s="590"/>
      <c r="D38" s="590"/>
      <c r="E38" s="590"/>
      <c r="F38" s="590"/>
      <c r="G38" s="590"/>
    </row>
    <row r="39" spans="1:38" ht="14.4" x14ac:dyDescent="0.25">
      <c r="A39" s="69"/>
      <c r="B39" s="67"/>
      <c r="C39" s="55"/>
      <c r="D39" s="67"/>
      <c r="E39" s="67"/>
    </row>
    <row r="40" spans="1:38" x14ac:dyDescent="0.25">
      <c r="U40" s="27"/>
      <c r="V40" s="45"/>
      <c r="W40" s="46"/>
      <c r="X40" s="46"/>
      <c r="Y40" s="46"/>
      <c r="Z40" s="46"/>
      <c r="AA40" s="46"/>
      <c r="AB40" s="46"/>
      <c r="AC40" s="46"/>
      <c r="AD40" s="46"/>
      <c r="AE40" s="46"/>
      <c r="AF40" s="46"/>
      <c r="AG40" s="46"/>
      <c r="AH40" s="46"/>
      <c r="AI40" s="46"/>
      <c r="AJ40" s="46"/>
      <c r="AK40" s="46"/>
      <c r="AL40" s="46"/>
    </row>
    <row r="41" spans="1:38" x14ac:dyDescent="0.25">
      <c r="U41" s="27"/>
      <c r="V41" s="45"/>
      <c r="W41" s="46"/>
      <c r="X41" s="46"/>
      <c r="Y41" s="46"/>
      <c r="Z41" s="46"/>
      <c r="AA41" s="46"/>
      <c r="AB41" s="46"/>
      <c r="AC41" s="46"/>
      <c r="AD41" s="46"/>
      <c r="AE41" s="46"/>
      <c r="AF41" s="46"/>
      <c r="AG41" s="46"/>
      <c r="AH41" s="46"/>
      <c r="AI41" s="46"/>
      <c r="AJ41" s="46"/>
      <c r="AK41" s="46"/>
      <c r="AL41" s="46"/>
    </row>
    <row r="42" spans="1:38" x14ac:dyDescent="0.25">
      <c r="U42" s="27"/>
      <c r="V42" s="45"/>
      <c r="W42" s="46"/>
      <c r="X42" s="46"/>
      <c r="Y42" s="46"/>
      <c r="Z42" s="46"/>
      <c r="AA42" s="46"/>
      <c r="AB42" s="46"/>
      <c r="AC42" s="46"/>
      <c r="AD42" s="46"/>
      <c r="AE42" s="46"/>
      <c r="AF42" s="46"/>
      <c r="AG42" s="46"/>
      <c r="AH42" s="46"/>
      <c r="AI42" s="46"/>
      <c r="AJ42" s="46"/>
      <c r="AK42" s="46"/>
      <c r="AL42" s="46"/>
    </row>
    <row r="43" spans="1:38" x14ac:dyDescent="0.25">
      <c r="U43" s="27"/>
      <c r="V43" s="45"/>
      <c r="W43" s="46"/>
      <c r="X43" s="46"/>
      <c r="Y43" s="46"/>
      <c r="Z43" s="46"/>
      <c r="AA43" s="46"/>
      <c r="AB43" s="46"/>
      <c r="AC43" s="46"/>
      <c r="AD43" s="46"/>
      <c r="AE43" s="46"/>
      <c r="AF43" s="46"/>
      <c r="AG43" s="46"/>
      <c r="AH43" s="46"/>
      <c r="AI43" s="46"/>
      <c r="AJ43" s="46"/>
      <c r="AK43" s="46"/>
      <c r="AL43" s="46"/>
    </row>
    <row r="44" spans="1:38" x14ac:dyDescent="0.25">
      <c r="U44" s="27"/>
      <c r="V44" s="45"/>
      <c r="W44" s="46"/>
      <c r="X44" s="46"/>
      <c r="Y44" s="46"/>
      <c r="Z44" s="46"/>
      <c r="AA44" s="46"/>
      <c r="AB44" s="46"/>
      <c r="AC44" s="46"/>
      <c r="AD44" s="46"/>
      <c r="AE44" s="46"/>
      <c r="AF44" s="46"/>
      <c r="AG44" s="46"/>
      <c r="AH44" s="46"/>
      <c r="AI44" s="46"/>
      <c r="AJ44" s="46"/>
      <c r="AK44" s="46"/>
      <c r="AL44" s="46"/>
    </row>
    <row r="45" spans="1:38" x14ac:dyDescent="0.25">
      <c r="U45" s="27"/>
      <c r="W45" s="26"/>
      <c r="X45" s="26"/>
      <c r="Y45" s="26"/>
      <c r="Z45" s="26"/>
      <c r="AA45" s="26"/>
      <c r="AB45" s="26"/>
      <c r="AC45" s="26"/>
      <c r="AD45" s="26"/>
      <c r="AE45" s="26"/>
      <c r="AF45" s="26"/>
      <c r="AG45" s="26"/>
      <c r="AH45" s="26"/>
      <c r="AI45" s="26"/>
      <c r="AJ45" s="26"/>
      <c r="AK45" s="26"/>
      <c r="AL45" s="26"/>
    </row>
    <row r="46" spans="1:38" x14ac:dyDescent="0.25">
      <c r="U46" s="28"/>
      <c r="W46" s="27"/>
      <c r="X46" s="27"/>
      <c r="Y46" s="27"/>
      <c r="Z46" s="27"/>
      <c r="AA46" s="27"/>
      <c r="AB46" s="27"/>
      <c r="AC46" s="27"/>
      <c r="AD46" s="27"/>
      <c r="AE46" s="27"/>
      <c r="AF46" s="27"/>
      <c r="AG46" s="27"/>
      <c r="AH46" s="27"/>
      <c r="AI46" s="27"/>
      <c r="AJ46" s="27"/>
      <c r="AK46" s="27"/>
      <c r="AL46" s="27"/>
    </row>
    <row r="47" spans="1:38" x14ac:dyDescent="0.25">
      <c r="U47" s="27"/>
    </row>
    <row r="50" spans="21:38" x14ac:dyDescent="0.25">
      <c r="U50" s="25"/>
      <c r="V50" s="25"/>
      <c r="W50" s="44"/>
      <c r="X50" s="44"/>
      <c r="Y50" s="44"/>
      <c r="Z50" s="44"/>
      <c r="AA50" s="44"/>
      <c r="AB50" s="44"/>
      <c r="AC50" s="44"/>
      <c r="AD50" s="44"/>
      <c r="AE50" s="44"/>
      <c r="AF50" s="44"/>
      <c r="AG50" s="44"/>
      <c r="AH50" s="44"/>
      <c r="AI50" s="44"/>
      <c r="AJ50" s="44"/>
      <c r="AK50" s="44"/>
      <c r="AL50" s="44"/>
    </row>
    <row r="51" spans="21:38" x14ac:dyDescent="0.25">
      <c r="V51" s="29"/>
    </row>
    <row r="52" spans="21:38" x14ac:dyDescent="0.25">
      <c r="U52" s="27"/>
      <c r="V52" s="29"/>
    </row>
    <row r="53" spans="21:38" x14ac:dyDescent="0.25">
      <c r="U53" s="27"/>
      <c r="V53" s="29"/>
    </row>
    <row r="54" spans="21:38" x14ac:dyDescent="0.25">
      <c r="U54" s="27"/>
      <c r="V54" s="29"/>
    </row>
    <row r="55" spans="21:38" x14ac:dyDescent="0.25">
      <c r="U55" s="27"/>
      <c r="V55" s="29"/>
    </row>
    <row r="56" spans="21:38" x14ac:dyDescent="0.25">
      <c r="U56" s="27"/>
      <c r="V56" s="29"/>
    </row>
    <row r="57" spans="21:38" x14ac:dyDescent="0.25">
      <c r="U57" s="27"/>
      <c r="V57" s="29"/>
    </row>
    <row r="58" spans="21:38" x14ac:dyDescent="0.25">
      <c r="U58" s="27"/>
      <c r="V58" s="29"/>
    </row>
    <row r="59" spans="21:38" x14ac:dyDescent="0.25">
      <c r="U59" s="27"/>
      <c r="V59" s="29"/>
    </row>
    <row r="60" spans="21:38" x14ac:dyDescent="0.25">
      <c r="U60" s="27"/>
      <c r="V60" s="29"/>
    </row>
    <row r="61" spans="21:38" x14ac:dyDescent="0.25">
      <c r="U61" s="27"/>
      <c r="V61" s="29"/>
    </row>
    <row r="62" spans="21:38" x14ac:dyDescent="0.25">
      <c r="U62" s="27"/>
      <c r="V62" s="29"/>
    </row>
    <row r="63" spans="21:38" x14ac:dyDescent="0.25">
      <c r="U63" s="27"/>
      <c r="V63" s="29"/>
    </row>
    <row r="64" spans="21:38" x14ac:dyDescent="0.25">
      <c r="U64" s="27"/>
      <c r="V64" s="29"/>
    </row>
    <row r="65" spans="21:38" x14ac:dyDescent="0.25">
      <c r="U65" s="27"/>
      <c r="V65" s="29"/>
    </row>
    <row r="66" spans="21:38" x14ac:dyDescent="0.25">
      <c r="U66" s="27"/>
      <c r="V66" s="29"/>
    </row>
    <row r="67" spans="21:38" x14ac:dyDescent="0.25">
      <c r="U67" s="27"/>
      <c r="V67" s="29"/>
    </row>
    <row r="68" spans="21:38" x14ac:dyDescent="0.25">
      <c r="U68" s="27"/>
      <c r="V68" s="29"/>
    </row>
    <row r="69" spans="21:38" x14ac:dyDescent="0.25">
      <c r="U69" s="27"/>
      <c r="V69" s="29"/>
    </row>
    <row r="70" spans="21:38" x14ac:dyDescent="0.25">
      <c r="U70" s="27"/>
      <c r="V70" s="29"/>
    </row>
    <row r="71" spans="21:38" x14ac:dyDescent="0.25">
      <c r="U71" s="27"/>
      <c r="V71" s="29"/>
    </row>
    <row r="72" spans="21:38" x14ac:dyDescent="0.25">
      <c r="U72" s="27"/>
      <c r="W72" s="26"/>
      <c r="X72" s="26"/>
      <c r="Y72" s="26"/>
      <c r="Z72" s="26"/>
      <c r="AA72" s="26"/>
      <c r="AB72" s="26"/>
      <c r="AC72" s="26"/>
      <c r="AD72" s="26"/>
      <c r="AE72" s="26"/>
      <c r="AF72" s="26"/>
      <c r="AG72" s="26"/>
      <c r="AH72" s="26"/>
      <c r="AI72" s="26"/>
      <c r="AJ72" s="26"/>
      <c r="AK72" s="26"/>
      <c r="AL72" s="26"/>
    </row>
    <row r="73" spans="21:38" x14ac:dyDescent="0.25">
      <c r="U73" s="28"/>
      <c r="W73" s="27"/>
      <c r="X73" s="27"/>
      <c r="Y73" s="27"/>
      <c r="Z73" s="27"/>
      <c r="AA73" s="27"/>
      <c r="AB73" s="27"/>
      <c r="AC73" s="27"/>
      <c r="AD73" s="27"/>
      <c r="AE73" s="27"/>
      <c r="AF73" s="27"/>
      <c r="AG73" s="27"/>
      <c r="AH73" s="27"/>
      <c r="AI73" s="27"/>
      <c r="AJ73" s="27"/>
      <c r="AK73" s="27"/>
      <c r="AL73" s="27"/>
    </row>
  </sheetData>
  <mergeCells count="40">
    <mergeCell ref="A1:H1"/>
    <mergeCell ref="A31:H31"/>
    <mergeCell ref="A32:H32"/>
    <mergeCell ref="G24:G25"/>
    <mergeCell ref="H24:H25"/>
    <mergeCell ref="A28:A29"/>
    <mergeCell ref="B28:B29"/>
    <mergeCell ref="E28:E29"/>
    <mergeCell ref="F28:F29"/>
    <mergeCell ref="H28:H29"/>
    <mergeCell ref="A2:A4"/>
    <mergeCell ref="A5:A7"/>
    <mergeCell ref="AE31:AF31"/>
    <mergeCell ref="AG31:AH31"/>
    <mergeCell ref="AI31:AJ31"/>
    <mergeCell ref="AK31:AL31"/>
    <mergeCell ref="AM31:AN31"/>
    <mergeCell ref="AE30:AF30"/>
    <mergeCell ref="AG30:AH30"/>
    <mergeCell ref="AI30:AJ30"/>
    <mergeCell ref="AK30:AL30"/>
    <mergeCell ref="AM30:AN30"/>
    <mergeCell ref="AE29:AF29"/>
    <mergeCell ref="AG29:AH29"/>
    <mergeCell ref="AI29:AJ29"/>
    <mergeCell ref="AK29:AL29"/>
    <mergeCell ref="AM29:AN29"/>
    <mergeCell ref="B33:G33"/>
    <mergeCell ref="F14:F16"/>
    <mergeCell ref="G14:G16"/>
    <mergeCell ref="A12:G12"/>
    <mergeCell ref="C14:C16"/>
    <mergeCell ref="E14:E16"/>
    <mergeCell ref="B14:B16"/>
    <mergeCell ref="D14:D16"/>
    <mergeCell ref="A22:H22"/>
    <mergeCell ref="A24:A25"/>
    <mergeCell ref="B24:B25"/>
    <mergeCell ref="E24:E25"/>
    <mergeCell ref="F24:F25"/>
  </mergeCells>
  <phoneticPr fontId="4" type="noConversion"/>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B0791-7899-4111-9E57-936E6608700C}">
  <sheetPr codeName="Sheet7"/>
  <dimension ref="A1:R37"/>
  <sheetViews>
    <sheetView zoomScale="80" zoomScaleNormal="80" workbookViewId="0">
      <selection sqref="A1:R1"/>
    </sheetView>
  </sheetViews>
  <sheetFormatPr defaultRowHeight="14.4" x14ac:dyDescent="0.3"/>
  <cols>
    <col min="1" max="1" width="66.5546875" customWidth="1"/>
    <col min="18" max="18" width="40.6640625" customWidth="1"/>
  </cols>
  <sheetData>
    <row r="1" spans="1:18" ht="34.5" customHeight="1" x14ac:dyDescent="0.3">
      <c r="A1" s="654" t="str">
        <f>"Thermostat Setpoints - "&amp;Prototype!A2</f>
        <v>Thermostat Setpoints - SchoolHigh</v>
      </c>
      <c r="B1" s="654"/>
      <c r="C1" s="654"/>
      <c r="D1" s="654"/>
      <c r="E1" s="654"/>
      <c r="F1" s="654"/>
      <c r="G1" s="654"/>
      <c r="H1" s="654"/>
      <c r="I1" s="654"/>
      <c r="J1" s="654"/>
      <c r="K1" s="654"/>
      <c r="L1" s="654"/>
      <c r="M1" s="654"/>
      <c r="N1" s="654"/>
      <c r="O1" s="654"/>
      <c r="P1" s="654"/>
      <c r="Q1" s="654"/>
      <c r="R1" s="654"/>
    </row>
    <row r="2" spans="1:18" ht="33.75" customHeight="1" x14ac:dyDescent="0.3">
      <c r="A2" s="614" t="s">
        <v>373</v>
      </c>
      <c r="B2" s="605" t="s">
        <v>229</v>
      </c>
      <c r="C2" s="605" t="s">
        <v>230</v>
      </c>
      <c r="D2" s="605" t="s">
        <v>231</v>
      </c>
      <c r="E2" s="605" t="s">
        <v>232</v>
      </c>
      <c r="F2" s="605" t="s">
        <v>233</v>
      </c>
      <c r="G2" s="605" t="s">
        <v>234</v>
      </c>
      <c r="H2" s="605" t="s">
        <v>235</v>
      </c>
      <c r="I2" s="605" t="s">
        <v>236</v>
      </c>
      <c r="J2" s="605" t="s">
        <v>237</v>
      </c>
      <c r="K2" s="605" t="s">
        <v>238</v>
      </c>
      <c r="L2" s="605" t="s">
        <v>239</v>
      </c>
      <c r="M2" s="605" t="s">
        <v>240</v>
      </c>
      <c r="N2" s="605" t="s">
        <v>241</v>
      </c>
      <c r="O2" s="605" t="s">
        <v>242</v>
      </c>
      <c r="P2" s="605" t="s">
        <v>243</v>
      </c>
      <c r="Q2" s="605" t="s">
        <v>244</v>
      </c>
      <c r="R2" s="72" t="s">
        <v>374</v>
      </c>
    </row>
    <row r="3" spans="1:18" x14ac:dyDescent="0.3">
      <c r="A3" s="235" t="s">
        <v>375</v>
      </c>
      <c r="B3" s="592">
        <v>70</v>
      </c>
      <c r="C3" s="592">
        <v>70</v>
      </c>
      <c r="D3" s="592">
        <v>70</v>
      </c>
      <c r="E3" s="592">
        <v>70</v>
      </c>
      <c r="F3" s="592">
        <v>70</v>
      </c>
      <c r="G3" s="592">
        <v>70</v>
      </c>
      <c r="H3" s="592">
        <v>70</v>
      </c>
      <c r="I3" s="592">
        <v>70</v>
      </c>
      <c r="J3" s="592">
        <v>70</v>
      </c>
      <c r="K3" s="592">
        <v>70</v>
      </c>
      <c r="L3" s="592">
        <v>70</v>
      </c>
      <c r="M3" s="592">
        <v>70</v>
      </c>
      <c r="N3" s="592">
        <v>70</v>
      </c>
      <c r="O3" s="592">
        <v>70</v>
      </c>
      <c r="P3" s="592">
        <v>70</v>
      </c>
      <c r="Q3" s="592">
        <v>70</v>
      </c>
      <c r="R3" s="712" t="s">
        <v>376</v>
      </c>
    </row>
    <row r="4" spans="1:18" x14ac:dyDescent="0.3">
      <c r="A4" s="235" t="s">
        <v>377</v>
      </c>
      <c r="B4" s="592">
        <v>60</v>
      </c>
      <c r="C4" s="592">
        <v>60</v>
      </c>
      <c r="D4" s="592">
        <v>60</v>
      </c>
      <c r="E4" s="592">
        <v>60</v>
      </c>
      <c r="F4" s="592">
        <v>60</v>
      </c>
      <c r="G4" s="592">
        <v>60</v>
      </c>
      <c r="H4" s="592">
        <v>60</v>
      </c>
      <c r="I4" s="592">
        <v>60</v>
      </c>
      <c r="J4" s="592">
        <v>60</v>
      </c>
      <c r="K4" s="592">
        <v>60</v>
      </c>
      <c r="L4" s="592">
        <v>60</v>
      </c>
      <c r="M4" s="592">
        <v>60</v>
      </c>
      <c r="N4" s="592">
        <v>60</v>
      </c>
      <c r="O4" s="592">
        <v>60</v>
      </c>
      <c r="P4" s="592">
        <v>60</v>
      </c>
      <c r="Q4" s="592">
        <v>60</v>
      </c>
      <c r="R4" s="712"/>
    </row>
    <row r="5" spans="1:18" x14ac:dyDescent="0.3">
      <c r="A5" s="235" t="s">
        <v>378</v>
      </c>
      <c r="B5" s="592">
        <v>75</v>
      </c>
      <c r="C5" s="592">
        <v>75</v>
      </c>
      <c r="D5" s="592">
        <v>75</v>
      </c>
      <c r="E5" s="592">
        <v>75</v>
      </c>
      <c r="F5" s="592">
        <v>75</v>
      </c>
      <c r="G5" s="592">
        <v>75</v>
      </c>
      <c r="H5" s="592">
        <v>75</v>
      </c>
      <c r="I5" s="592">
        <v>75</v>
      </c>
      <c r="J5" s="592">
        <v>75</v>
      </c>
      <c r="K5" s="592">
        <v>75</v>
      </c>
      <c r="L5" s="592">
        <v>75</v>
      </c>
      <c r="M5" s="592">
        <v>75</v>
      </c>
      <c r="N5" s="592">
        <v>75</v>
      </c>
      <c r="O5" s="592">
        <v>75</v>
      </c>
      <c r="P5" s="592">
        <v>75</v>
      </c>
      <c r="Q5" s="592">
        <v>75</v>
      </c>
      <c r="R5" s="712" t="s">
        <v>376</v>
      </c>
    </row>
    <row r="6" spans="1:18" x14ac:dyDescent="0.3">
      <c r="A6" s="235" t="s">
        <v>379</v>
      </c>
      <c r="B6" s="592">
        <v>85</v>
      </c>
      <c r="C6" s="592">
        <v>85</v>
      </c>
      <c r="D6" s="592">
        <v>85</v>
      </c>
      <c r="E6" s="592">
        <v>85</v>
      </c>
      <c r="F6" s="592">
        <v>85</v>
      </c>
      <c r="G6" s="592">
        <v>85</v>
      </c>
      <c r="H6" s="592">
        <v>85</v>
      </c>
      <c r="I6" s="592">
        <v>85</v>
      </c>
      <c r="J6" s="592">
        <v>85</v>
      </c>
      <c r="K6" s="592">
        <v>85</v>
      </c>
      <c r="L6" s="592">
        <v>85</v>
      </c>
      <c r="M6" s="592">
        <v>85</v>
      </c>
      <c r="N6" s="592">
        <v>85</v>
      </c>
      <c r="O6" s="592">
        <v>85</v>
      </c>
      <c r="P6" s="592">
        <v>85</v>
      </c>
      <c r="Q6" s="592">
        <v>85</v>
      </c>
      <c r="R6" s="712"/>
    </row>
    <row r="7" spans="1:18" x14ac:dyDescent="0.3">
      <c r="A7" s="226" t="s">
        <v>380</v>
      </c>
      <c r="B7" s="604">
        <v>70</v>
      </c>
      <c r="C7" s="604">
        <v>70</v>
      </c>
      <c r="D7" s="604">
        <v>70</v>
      </c>
      <c r="E7" s="604">
        <v>70</v>
      </c>
      <c r="F7" s="604">
        <v>70</v>
      </c>
      <c r="G7" s="604">
        <v>70</v>
      </c>
      <c r="H7" s="604">
        <v>70</v>
      </c>
      <c r="I7" s="604">
        <v>70</v>
      </c>
      <c r="J7" s="604">
        <v>70</v>
      </c>
      <c r="K7" s="604">
        <v>70</v>
      </c>
      <c r="L7" s="604">
        <v>70</v>
      </c>
      <c r="M7" s="604">
        <v>70</v>
      </c>
      <c r="N7" s="604">
        <v>70</v>
      </c>
      <c r="O7" s="604">
        <v>70</v>
      </c>
      <c r="P7" s="604">
        <v>70</v>
      </c>
      <c r="Q7" s="604">
        <v>70</v>
      </c>
      <c r="R7" s="714" t="s">
        <v>381</v>
      </c>
    </row>
    <row r="8" spans="1:18" x14ac:dyDescent="0.3">
      <c r="A8" s="226" t="s">
        <v>382</v>
      </c>
      <c r="B8" s="604">
        <v>60</v>
      </c>
      <c r="C8" s="604">
        <v>60</v>
      </c>
      <c r="D8" s="604">
        <v>60</v>
      </c>
      <c r="E8" s="604">
        <v>60</v>
      </c>
      <c r="F8" s="604">
        <v>60</v>
      </c>
      <c r="G8" s="604">
        <v>60</v>
      </c>
      <c r="H8" s="604">
        <v>60</v>
      </c>
      <c r="I8" s="604">
        <v>60</v>
      </c>
      <c r="J8" s="604">
        <v>60</v>
      </c>
      <c r="K8" s="604">
        <v>60</v>
      </c>
      <c r="L8" s="604">
        <v>60</v>
      </c>
      <c r="M8" s="604">
        <v>60</v>
      </c>
      <c r="N8" s="604">
        <v>60</v>
      </c>
      <c r="O8" s="604">
        <v>60</v>
      </c>
      <c r="P8" s="604">
        <v>60</v>
      </c>
      <c r="Q8" s="604">
        <v>60</v>
      </c>
      <c r="R8" s="715"/>
    </row>
    <row r="9" spans="1:18" x14ac:dyDescent="0.3">
      <c r="A9" s="226" t="s">
        <v>383</v>
      </c>
      <c r="B9" s="604">
        <v>75</v>
      </c>
      <c r="C9" s="604">
        <v>75</v>
      </c>
      <c r="D9" s="604">
        <v>75</v>
      </c>
      <c r="E9" s="604">
        <v>75</v>
      </c>
      <c r="F9" s="604">
        <v>75</v>
      </c>
      <c r="G9" s="604">
        <v>75</v>
      </c>
      <c r="H9" s="604">
        <v>75</v>
      </c>
      <c r="I9" s="604">
        <v>75</v>
      </c>
      <c r="J9" s="604">
        <v>75</v>
      </c>
      <c r="K9" s="604">
        <v>75</v>
      </c>
      <c r="L9" s="604">
        <v>75</v>
      </c>
      <c r="M9" s="604">
        <v>75</v>
      </c>
      <c r="N9" s="604">
        <v>75</v>
      </c>
      <c r="O9" s="604">
        <v>75</v>
      </c>
      <c r="P9" s="604">
        <v>75</v>
      </c>
      <c r="Q9" s="604">
        <v>75</v>
      </c>
      <c r="R9" s="715"/>
    </row>
    <row r="10" spans="1:18" x14ac:dyDescent="0.3">
      <c r="A10" s="226" t="s">
        <v>384</v>
      </c>
      <c r="B10" s="604">
        <v>85</v>
      </c>
      <c r="C10" s="604">
        <v>85</v>
      </c>
      <c r="D10" s="604">
        <v>85</v>
      </c>
      <c r="E10" s="604">
        <v>85</v>
      </c>
      <c r="F10" s="604">
        <v>85</v>
      </c>
      <c r="G10" s="604">
        <v>85</v>
      </c>
      <c r="H10" s="604">
        <v>85</v>
      </c>
      <c r="I10" s="604">
        <v>85</v>
      </c>
      <c r="J10" s="604">
        <v>85</v>
      </c>
      <c r="K10" s="604">
        <v>85</v>
      </c>
      <c r="L10" s="604">
        <v>85</v>
      </c>
      <c r="M10" s="604">
        <v>85</v>
      </c>
      <c r="N10" s="604">
        <v>85</v>
      </c>
      <c r="O10" s="604">
        <v>85</v>
      </c>
      <c r="P10" s="604">
        <v>85</v>
      </c>
      <c r="Q10" s="604">
        <v>85</v>
      </c>
      <c r="R10" s="716"/>
    </row>
    <row r="11" spans="1:18" x14ac:dyDescent="0.3">
      <c r="A11" s="226" t="s">
        <v>385</v>
      </c>
      <c r="B11" s="604">
        <v>70</v>
      </c>
      <c r="C11" s="604">
        <v>70</v>
      </c>
      <c r="D11" s="604">
        <v>70</v>
      </c>
      <c r="E11" s="604">
        <v>70</v>
      </c>
      <c r="F11" s="604">
        <v>70</v>
      </c>
      <c r="G11" s="604">
        <v>70</v>
      </c>
      <c r="H11" s="604">
        <v>70</v>
      </c>
      <c r="I11" s="604">
        <v>70</v>
      </c>
      <c r="J11" s="604">
        <v>70</v>
      </c>
      <c r="K11" s="604">
        <v>70</v>
      </c>
      <c r="L11" s="604">
        <v>70</v>
      </c>
      <c r="M11" s="604">
        <v>70</v>
      </c>
      <c r="N11" s="604">
        <v>70</v>
      </c>
      <c r="O11" s="604">
        <v>70</v>
      </c>
      <c r="P11" s="604">
        <v>70</v>
      </c>
      <c r="Q11" s="604">
        <v>70</v>
      </c>
      <c r="R11" s="714" t="s">
        <v>386</v>
      </c>
    </row>
    <row r="12" spans="1:18" x14ac:dyDescent="0.3">
      <c r="A12" s="226" t="s">
        <v>387</v>
      </c>
      <c r="B12" s="604">
        <v>60</v>
      </c>
      <c r="C12" s="604">
        <v>60</v>
      </c>
      <c r="D12" s="604">
        <v>60</v>
      </c>
      <c r="E12" s="604">
        <v>60</v>
      </c>
      <c r="F12" s="604">
        <v>60</v>
      </c>
      <c r="G12" s="604">
        <v>60</v>
      </c>
      <c r="H12" s="604">
        <v>60</v>
      </c>
      <c r="I12" s="604">
        <v>60</v>
      </c>
      <c r="J12" s="604">
        <v>60</v>
      </c>
      <c r="K12" s="604">
        <v>60</v>
      </c>
      <c r="L12" s="604">
        <v>60</v>
      </c>
      <c r="M12" s="604">
        <v>60</v>
      </c>
      <c r="N12" s="604">
        <v>60</v>
      </c>
      <c r="O12" s="604">
        <v>60</v>
      </c>
      <c r="P12" s="604">
        <v>60</v>
      </c>
      <c r="Q12" s="604">
        <v>60</v>
      </c>
      <c r="R12" s="715"/>
    </row>
    <row r="13" spans="1:18" x14ac:dyDescent="0.3">
      <c r="A13" s="226" t="s">
        <v>388</v>
      </c>
      <c r="B13" s="604">
        <v>75</v>
      </c>
      <c r="C13" s="604">
        <v>75</v>
      </c>
      <c r="D13" s="604">
        <v>75</v>
      </c>
      <c r="E13" s="604">
        <v>75</v>
      </c>
      <c r="F13" s="604">
        <v>75</v>
      </c>
      <c r="G13" s="604">
        <v>75</v>
      </c>
      <c r="H13" s="604">
        <v>75</v>
      </c>
      <c r="I13" s="604">
        <v>75</v>
      </c>
      <c r="J13" s="604">
        <v>75</v>
      </c>
      <c r="K13" s="604">
        <v>75</v>
      </c>
      <c r="L13" s="604">
        <v>75</v>
      </c>
      <c r="M13" s="604">
        <v>75</v>
      </c>
      <c r="N13" s="604">
        <v>75</v>
      </c>
      <c r="O13" s="604">
        <v>75</v>
      </c>
      <c r="P13" s="604">
        <v>75</v>
      </c>
      <c r="Q13" s="604">
        <v>75</v>
      </c>
      <c r="R13" s="715"/>
    </row>
    <row r="14" spans="1:18" x14ac:dyDescent="0.3">
      <c r="A14" s="226" t="s">
        <v>389</v>
      </c>
      <c r="B14" s="604">
        <v>85</v>
      </c>
      <c r="C14" s="604">
        <v>85</v>
      </c>
      <c r="D14" s="604">
        <v>85</v>
      </c>
      <c r="E14" s="604">
        <v>85</v>
      </c>
      <c r="F14" s="604">
        <v>85</v>
      </c>
      <c r="G14" s="604">
        <v>85</v>
      </c>
      <c r="H14" s="604">
        <v>85</v>
      </c>
      <c r="I14" s="604">
        <v>85</v>
      </c>
      <c r="J14" s="604">
        <v>85</v>
      </c>
      <c r="K14" s="604">
        <v>85</v>
      </c>
      <c r="L14" s="604">
        <v>85</v>
      </c>
      <c r="M14" s="604">
        <v>85</v>
      </c>
      <c r="N14" s="604">
        <v>85</v>
      </c>
      <c r="O14" s="604">
        <v>85</v>
      </c>
      <c r="P14" s="604">
        <v>85</v>
      </c>
      <c r="Q14" s="604">
        <v>85</v>
      </c>
      <c r="R14" s="716"/>
    </row>
    <row r="15" spans="1:18" x14ac:dyDescent="0.3">
      <c r="A15" s="226" t="s">
        <v>390</v>
      </c>
      <c r="B15" s="604">
        <v>60</v>
      </c>
      <c r="C15" s="604">
        <v>60</v>
      </c>
      <c r="D15" s="604">
        <v>60</v>
      </c>
      <c r="E15" s="604">
        <v>60</v>
      </c>
      <c r="F15" s="604">
        <v>60</v>
      </c>
      <c r="G15" s="604">
        <v>60</v>
      </c>
      <c r="H15" s="604">
        <v>60</v>
      </c>
      <c r="I15" s="604">
        <v>60</v>
      </c>
      <c r="J15" s="604">
        <v>60</v>
      </c>
      <c r="K15" s="604">
        <v>60</v>
      </c>
      <c r="L15" s="604">
        <v>60</v>
      </c>
      <c r="M15" s="604">
        <v>60</v>
      </c>
      <c r="N15" s="604">
        <v>60</v>
      </c>
      <c r="O15" s="604">
        <v>60</v>
      </c>
      <c r="P15" s="604">
        <v>60</v>
      </c>
      <c r="Q15" s="604">
        <v>60</v>
      </c>
      <c r="R15" s="714" t="s">
        <v>391</v>
      </c>
    </row>
    <row r="16" spans="1:18" x14ac:dyDescent="0.3">
      <c r="A16" s="226" t="s">
        <v>392</v>
      </c>
      <c r="B16" s="604">
        <v>60</v>
      </c>
      <c r="C16" s="604">
        <v>60</v>
      </c>
      <c r="D16" s="604">
        <v>60</v>
      </c>
      <c r="E16" s="604">
        <v>60</v>
      </c>
      <c r="F16" s="604">
        <v>60</v>
      </c>
      <c r="G16" s="604">
        <v>60</v>
      </c>
      <c r="H16" s="604">
        <v>60</v>
      </c>
      <c r="I16" s="604">
        <v>60</v>
      </c>
      <c r="J16" s="604">
        <v>60</v>
      </c>
      <c r="K16" s="604">
        <v>60</v>
      </c>
      <c r="L16" s="604">
        <v>60</v>
      </c>
      <c r="M16" s="604">
        <v>60</v>
      </c>
      <c r="N16" s="604">
        <v>60</v>
      </c>
      <c r="O16" s="604">
        <v>60</v>
      </c>
      <c r="P16" s="604">
        <v>60</v>
      </c>
      <c r="Q16" s="604">
        <v>60</v>
      </c>
      <c r="R16" s="715"/>
    </row>
    <row r="17" spans="1:18" x14ac:dyDescent="0.3">
      <c r="A17" s="226" t="s">
        <v>393</v>
      </c>
      <c r="B17" s="604">
        <v>85</v>
      </c>
      <c r="C17" s="604">
        <v>85</v>
      </c>
      <c r="D17" s="604">
        <v>85</v>
      </c>
      <c r="E17" s="604">
        <v>85</v>
      </c>
      <c r="F17" s="604">
        <v>85</v>
      </c>
      <c r="G17" s="604">
        <v>85</v>
      </c>
      <c r="H17" s="604">
        <v>85</v>
      </c>
      <c r="I17" s="604">
        <v>85</v>
      </c>
      <c r="J17" s="604">
        <v>85</v>
      </c>
      <c r="K17" s="604">
        <v>85</v>
      </c>
      <c r="L17" s="604">
        <v>85</v>
      </c>
      <c r="M17" s="604">
        <v>85</v>
      </c>
      <c r="N17" s="604">
        <v>85</v>
      </c>
      <c r="O17" s="604">
        <v>85</v>
      </c>
      <c r="P17" s="604">
        <v>85</v>
      </c>
      <c r="Q17" s="604">
        <v>85</v>
      </c>
      <c r="R17" s="715"/>
    </row>
    <row r="18" spans="1:18" x14ac:dyDescent="0.3">
      <c r="A18" s="226" t="s">
        <v>394</v>
      </c>
      <c r="B18" s="604">
        <v>85</v>
      </c>
      <c r="C18" s="604">
        <v>85</v>
      </c>
      <c r="D18" s="604">
        <v>85</v>
      </c>
      <c r="E18" s="604">
        <v>85</v>
      </c>
      <c r="F18" s="604">
        <v>85</v>
      </c>
      <c r="G18" s="604">
        <v>85</v>
      </c>
      <c r="H18" s="604">
        <v>85</v>
      </c>
      <c r="I18" s="604">
        <v>85</v>
      </c>
      <c r="J18" s="604">
        <v>85</v>
      </c>
      <c r="K18" s="604">
        <v>85</v>
      </c>
      <c r="L18" s="604">
        <v>85</v>
      </c>
      <c r="M18" s="604">
        <v>85</v>
      </c>
      <c r="N18" s="604">
        <v>85</v>
      </c>
      <c r="O18" s="604">
        <v>85</v>
      </c>
      <c r="P18" s="604">
        <v>85</v>
      </c>
      <c r="Q18" s="604">
        <v>85</v>
      </c>
      <c r="R18" s="716"/>
    </row>
    <row r="19" spans="1:18" x14ac:dyDescent="0.3">
      <c r="A19" s="236" t="s">
        <v>395</v>
      </c>
      <c r="B19" s="237">
        <v>35</v>
      </c>
      <c r="C19" s="237">
        <v>35</v>
      </c>
      <c r="D19" s="237">
        <v>35</v>
      </c>
      <c r="E19" s="237">
        <v>35</v>
      </c>
      <c r="F19" s="237">
        <v>35</v>
      </c>
      <c r="G19" s="237">
        <v>35</v>
      </c>
      <c r="H19" s="237">
        <v>35</v>
      </c>
      <c r="I19" s="237">
        <v>35</v>
      </c>
      <c r="J19" s="237">
        <v>35</v>
      </c>
      <c r="K19" s="237">
        <v>35</v>
      </c>
      <c r="L19" s="237">
        <v>35</v>
      </c>
      <c r="M19" s="237">
        <v>35</v>
      </c>
      <c r="N19" s="237">
        <v>35</v>
      </c>
      <c r="O19" s="237">
        <v>35</v>
      </c>
      <c r="P19" s="237">
        <v>35</v>
      </c>
      <c r="Q19" s="237">
        <v>35</v>
      </c>
      <c r="R19" s="713" t="s">
        <v>396</v>
      </c>
    </row>
    <row r="20" spans="1:18" x14ac:dyDescent="0.3">
      <c r="A20" s="236" t="s">
        <v>397</v>
      </c>
      <c r="B20" s="237">
        <v>35</v>
      </c>
      <c r="C20" s="237">
        <v>35</v>
      </c>
      <c r="D20" s="237">
        <v>35</v>
      </c>
      <c r="E20" s="237">
        <v>35</v>
      </c>
      <c r="F20" s="237">
        <v>35</v>
      </c>
      <c r="G20" s="237">
        <v>35</v>
      </c>
      <c r="H20" s="237">
        <v>35</v>
      </c>
      <c r="I20" s="237">
        <v>35</v>
      </c>
      <c r="J20" s="237">
        <v>35</v>
      </c>
      <c r="K20" s="237">
        <v>35</v>
      </c>
      <c r="L20" s="237">
        <v>35</v>
      </c>
      <c r="M20" s="237">
        <v>35</v>
      </c>
      <c r="N20" s="237">
        <v>35</v>
      </c>
      <c r="O20" s="237">
        <v>35</v>
      </c>
      <c r="P20" s="237">
        <v>35</v>
      </c>
      <c r="Q20" s="237">
        <v>35</v>
      </c>
      <c r="R20" s="713"/>
    </row>
    <row r="21" spans="1:18" x14ac:dyDescent="0.3">
      <c r="A21" s="85"/>
      <c r="B21" s="85"/>
      <c r="C21" s="85"/>
      <c r="D21" s="85"/>
      <c r="E21" s="85"/>
      <c r="F21" s="85"/>
      <c r="G21" s="85"/>
      <c r="H21" s="85"/>
      <c r="I21" s="85"/>
    </row>
    <row r="22" spans="1:18" x14ac:dyDescent="0.3">
      <c r="A22" s="85"/>
      <c r="B22" s="85"/>
      <c r="C22" s="85"/>
      <c r="D22" s="85"/>
      <c r="E22" s="85"/>
      <c r="F22" s="85"/>
      <c r="G22" s="85"/>
      <c r="H22" s="85"/>
      <c r="I22" s="85"/>
    </row>
    <row r="23" spans="1:18" x14ac:dyDescent="0.3">
      <c r="A23" s="125"/>
      <c r="B23" s="125"/>
      <c r="C23" s="125"/>
      <c r="D23" s="125"/>
      <c r="E23" s="125"/>
      <c r="F23" s="125"/>
      <c r="G23" s="125"/>
      <c r="H23" s="125"/>
      <c r="I23" s="125"/>
    </row>
    <row r="24" spans="1:18" x14ac:dyDescent="0.3">
      <c r="A24" s="85"/>
      <c r="B24" s="85"/>
      <c r="C24" s="85"/>
      <c r="D24" s="85"/>
      <c r="E24" s="85"/>
      <c r="F24" s="85"/>
      <c r="G24" s="85"/>
      <c r="H24" s="85"/>
      <c r="I24" s="85"/>
    </row>
    <row r="25" spans="1:18" x14ac:dyDescent="0.3">
      <c r="A25" s="85"/>
      <c r="B25" s="85"/>
      <c r="C25" s="85"/>
      <c r="D25" s="85"/>
      <c r="E25" s="85"/>
      <c r="F25" s="85"/>
      <c r="G25" s="85"/>
      <c r="H25" s="85"/>
      <c r="I25" s="85"/>
    </row>
    <row r="26" spans="1:18" x14ac:dyDescent="0.3">
      <c r="A26" s="85"/>
      <c r="B26" s="85"/>
      <c r="C26" s="85"/>
      <c r="D26" s="85"/>
      <c r="E26" s="85"/>
      <c r="F26" s="85"/>
      <c r="G26" s="85"/>
      <c r="H26" s="85"/>
      <c r="I26" s="85"/>
    </row>
    <row r="27" spans="1:18" x14ac:dyDescent="0.3">
      <c r="A27" s="85"/>
      <c r="B27" s="85"/>
      <c r="C27" s="85"/>
      <c r="D27" s="85"/>
      <c r="E27" s="85"/>
      <c r="F27" s="85"/>
      <c r="G27" s="85"/>
      <c r="H27" s="85"/>
      <c r="I27" s="85"/>
    </row>
    <row r="28" spans="1:18" x14ac:dyDescent="0.3">
      <c r="A28" s="85"/>
      <c r="B28" s="85"/>
      <c r="C28" s="85"/>
      <c r="D28" s="85"/>
      <c r="E28" s="85"/>
      <c r="F28" s="85"/>
      <c r="G28" s="85"/>
      <c r="H28" s="85"/>
      <c r="I28" s="85"/>
    </row>
    <row r="29" spans="1:18" x14ac:dyDescent="0.3">
      <c r="A29" s="85"/>
      <c r="B29" s="85"/>
      <c r="C29" s="85"/>
      <c r="D29" s="85"/>
      <c r="E29" s="85"/>
      <c r="F29" s="85"/>
      <c r="G29" s="85"/>
      <c r="H29" s="85"/>
      <c r="I29" s="85"/>
    </row>
    <row r="30" spans="1:18" x14ac:dyDescent="0.3">
      <c r="A30" s="85"/>
      <c r="B30" s="85"/>
      <c r="C30" s="85"/>
      <c r="D30" s="85"/>
      <c r="E30" s="85"/>
      <c r="F30" s="85"/>
      <c r="G30" s="85"/>
      <c r="H30" s="85"/>
      <c r="I30" s="85"/>
    </row>
    <row r="31" spans="1:18" x14ac:dyDescent="0.3">
      <c r="A31" s="85"/>
      <c r="B31" s="85"/>
      <c r="C31" s="85"/>
      <c r="D31" s="85"/>
      <c r="E31" s="85"/>
      <c r="F31" s="85"/>
      <c r="G31" s="85"/>
      <c r="H31" s="85"/>
      <c r="I31" s="85"/>
    </row>
    <row r="32" spans="1:18" x14ac:dyDescent="0.3">
      <c r="A32" s="85"/>
      <c r="B32" s="85"/>
      <c r="C32" s="85"/>
      <c r="D32" s="85"/>
      <c r="E32" s="85"/>
      <c r="F32" s="85"/>
      <c r="G32" s="85"/>
      <c r="H32" s="85"/>
      <c r="I32" s="85"/>
    </row>
    <row r="33" spans="1:9" x14ac:dyDescent="0.3">
      <c r="A33" s="85"/>
      <c r="B33" s="85"/>
      <c r="C33" s="85"/>
      <c r="D33" s="85"/>
      <c r="E33" s="85"/>
      <c r="F33" s="85"/>
      <c r="G33" s="85"/>
      <c r="H33" s="85"/>
      <c r="I33" s="85"/>
    </row>
    <row r="34" spans="1:9" x14ac:dyDescent="0.3">
      <c r="A34" s="85"/>
      <c r="B34" s="85"/>
      <c r="C34" s="85"/>
      <c r="D34" s="85"/>
      <c r="E34" s="85"/>
      <c r="F34" s="85"/>
      <c r="G34" s="85"/>
      <c r="H34" s="85"/>
      <c r="I34" s="85"/>
    </row>
    <row r="35" spans="1:9" x14ac:dyDescent="0.3">
      <c r="A35" s="85"/>
      <c r="B35" s="85"/>
      <c r="C35" s="85"/>
      <c r="D35" s="85"/>
      <c r="E35" s="85"/>
      <c r="F35" s="85"/>
      <c r="G35" s="85"/>
      <c r="H35" s="85"/>
      <c r="I35" s="85"/>
    </row>
    <row r="36" spans="1:9" x14ac:dyDescent="0.3">
      <c r="A36" s="85"/>
      <c r="B36" s="85"/>
      <c r="C36" s="85"/>
      <c r="D36" s="85"/>
      <c r="E36" s="85"/>
      <c r="F36" s="85"/>
      <c r="G36" s="85"/>
      <c r="H36" s="85"/>
      <c r="I36" s="85"/>
    </row>
    <row r="37" spans="1:9" x14ac:dyDescent="0.3">
      <c r="A37" s="85"/>
      <c r="B37" s="85"/>
      <c r="C37" s="85"/>
      <c r="D37" s="85"/>
      <c r="E37" s="85"/>
      <c r="F37" s="85"/>
      <c r="G37" s="85"/>
      <c r="H37" s="85"/>
      <c r="I37" s="85"/>
    </row>
  </sheetData>
  <mergeCells count="7">
    <mergeCell ref="R3:R4"/>
    <mergeCell ref="A1:R1"/>
    <mergeCell ref="R5:R6"/>
    <mergeCell ref="R19:R20"/>
    <mergeCell ref="R7:R10"/>
    <mergeCell ref="R11:R14"/>
    <mergeCell ref="R15:R18"/>
  </mergeCells>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730C9-5C61-418E-9D38-D82374F9BCB6}">
  <sheetPr codeName="Sheet15"/>
  <dimension ref="A1:V49"/>
  <sheetViews>
    <sheetView zoomScaleNormal="100" workbookViewId="0">
      <pane xSplit="1" topLeftCell="B1" activePane="topRight" state="frozen"/>
      <selection pane="topRight" activeCell="C6" sqref="C6"/>
    </sheetView>
  </sheetViews>
  <sheetFormatPr defaultColWidth="9.33203125" defaultRowHeight="13.8" x14ac:dyDescent="0.25"/>
  <cols>
    <col min="1" max="1" width="54" style="51" customWidth="1"/>
    <col min="2" max="2" width="49.6640625" style="51" customWidth="1"/>
    <col min="3" max="5" width="20.33203125" style="51" customWidth="1"/>
    <col min="6" max="6" width="25.33203125" style="51" bestFit="1" customWidth="1"/>
    <col min="7" max="7" width="19.6640625" style="51" customWidth="1"/>
    <col min="8" max="8" width="23.6640625" style="51" customWidth="1"/>
    <col min="9" max="9" width="13.6640625" style="51" customWidth="1"/>
    <col min="10" max="10" width="11.6640625" style="51" customWidth="1"/>
    <col min="11" max="11" width="13.6640625" style="51" customWidth="1"/>
    <col min="12" max="12" width="68.33203125" style="51" customWidth="1"/>
    <col min="13" max="16" width="13.6640625" style="51" customWidth="1"/>
    <col min="17" max="17" width="17.109375" style="51" customWidth="1"/>
    <col min="18" max="18" width="22.44140625" style="51" customWidth="1"/>
    <col min="19" max="19" width="21.6640625" style="51" customWidth="1"/>
    <col min="20" max="20" width="9.33203125" style="51" customWidth="1"/>
    <col min="21" max="21" width="23.33203125" style="51" customWidth="1"/>
    <col min="22" max="25" width="11.33203125" style="51" customWidth="1"/>
    <col min="26" max="16384" width="9.33203125" style="51"/>
  </cols>
  <sheetData>
    <row r="1" spans="1:22" ht="16.2" thickBot="1" x14ac:dyDescent="0.3">
      <c r="A1" s="717" t="str">
        <f>"Outdoor Airflow Rate - "&amp;Prototype!A2</f>
        <v>Outdoor Airflow Rate - SchoolHigh</v>
      </c>
      <c r="B1" s="718"/>
      <c r="C1" s="718"/>
      <c r="D1" s="718"/>
      <c r="E1" s="718"/>
      <c r="F1" s="718"/>
      <c r="G1" s="718"/>
      <c r="H1" s="718"/>
      <c r="I1" s="718"/>
      <c r="J1" s="718"/>
      <c r="K1" s="718"/>
      <c r="L1" s="718"/>
      <c r="M1" s="2"/>
      <c r="N1" s="2"/>
      <c r="O1" s="2"/>
      <c r="P1" s="2"/>
      <c r="Q1" s="2"/>
      <c r="R1" s="2"/>
      <c r="S1" s="2"/>
      <c r="T1" s="2"/>
      <c r="U1" s="2"/>
      <c r="V1" s="2"/>
    </row>
    <row r="2" spans="1:22" ht="66" x14ac:dyDescent="0.25">
      <c r="A2" s="117" t="s">
        <v>219</v>
      </c>
      <c r="B2" s="117" t="s">
        <v>86</v>
      </c>
      <c r="C2" s="117" t="s">
        <v>95</v>
      </c>
      <c r="D2" s="118" t="s">
        <v>398</v>
      </c>
      <c r="E2" s="119" t="s">
        <v>399</v>
      </c>
      <c r="F2" s="119" t="s">
        <v>400</v>
      </c>
      <c r="G2" s="119" t="s">
        <v>401</v>
      </c>
      <c r="H2" s="119" t="s">
        <v>402</v>
      </c>
      <c r="I2" s="119" t="s">
        <v>403</v>
      </c>
      <c r="J2" s="119" t="s">
        <v>404</v>
      </c>
      <c r="K2" s="120" t="s">
        <v>405</v>
      </c>
      <c r="L2" s="121" t="s">
        <v>32</v>
      </c>
      <c r="M2" s="120" t="s">
        <v>406</v>
      </c>
      <c r="N2" s="120" t="s">
        <v>407</v>
      </c>
      <c r="O2" s="120" t="s">
        <v>408</v>
      </c>
      <c r="P2" s="120" t="s">
        <v>409</v>
      </c>
      <c r="Q2" s="2"/>
      <c r="R2" s="2"/>
      <c r="S2" s="2"/>
      <c r="T2" s="2"/>
      <c r="U2" s="2"/>
      <c r="V2" s="2"/>
    </row>
    <row r="3" spans="1:22" x14ac:dyDescent="0.25">
      <c r="A3" s="101" t="str">
        <f>Zones!C3</f>
        <v>Lounge, Breakroom, or Waiting Area</v>
      </c>
      <c r="B3" s="101" t="str">
        <f>Zones!B3</f>
        <v>ADMIN/MPR_BREAKROOM_ZN</v>
      </c>
      <c r="C3" s="112">
        <f>Zones!K3</f>
        <v>18.981600000000004</v>
      </c>
      <c r="D3" s="112">
        <f>Zones!H3</f>
        <v>575.20000000000005</v>
      </c>
      <c r="E3" s="604">
        <v>15</v>
      </c>
      <c r="F3" s="604">
        <v>0.15</v>
      </c>
      <c r="G3" s="104"/>
      <c r="H3" s="70">
        <f t="shared" ref="H3" si="0">C3*E3</f>
        <v>284.72400000000005</v>
      </c>
      <c r="I3" s="71">
        <f t="shared" ref="I3" si="1">D3*F3</f>
        <v>86.28</v>
      </c>
      <c r="J3" s="71">
        <f t="shared" ref="J3" si="2">G3*D3</f>
        <v>0</v>
      </c>
      <c r="K3" s="70">
        <f>MAX(H3,I3,J3)</f>
        <v>284.72400000000005</v>
      </c>
      <c r="L3" s="70"/>
      <c r="M3" s="70">
        <f>Zones!J3</f>
        <v>1</v>
      </c>
      <c r="N3" s="70">
        <f t="shared" ref="N3:N44" si="3">D3*M3</f>
        <v>575.20000000000005</v>
      </c>
      <c r="O3" s="70">
        <f t="shared" ref="O3:O44" si="4">C3*M3</f>
        <v>18.981600000000004</v>
      </c>
      <c r="P3" s="70">
        <f t="shared" ref="P3:P44" si="5">K3*M3</f>
        <v>284.72400000000005</v>
      </c>
      <c r="Q3" s="2"/>
      <c r="R3" s="2"/>
      <c r="S3" s="2"/>
      <c r="T3" s="2"/>
      <c r="U3" s="2"/>
      <c r="V3" s="82"/>
    </row>
    <row r="4" spans="1:22" x14ac:dyDescent="0.25">
      <c r="A4" s="101" t="str">
        <f>Zones!C4</f>
        <v>Dining Area (Cafeteria/Fast Food)</v>
      </c>
      <c r="B4" s="101" t="str">
        <f>Zones!B4</f>
        <v>ADMIN/MPR_CAFETERIA ZNS 3_ZN</v>
      </c>
      <c r="C4" s="112">
        <f>Zones!K4</f>
        <v>181.90226999999999</v>
      </c>
      <c r="D4" s="112">
        <f>Zones!H4</f>
        <v>5512.19</v>
      </c>
      <c r="E4" s="604">
        <v>15</v>
      </c>
      <c r="F4" s="604">
        <v>0.15</v>
      </c>
      <c r="G4" s="104"/>
      <c r="H4" s="70">
        <f t="shared" ref="H4:H20" si="6">C4*E4</f>
        <v>2728.5340499999998</v>
      </c>
      <c r="I4" s="71">
        <f t="shared" ref="I4:I20" si="7">D4*F4</f>
        <v>826.82849999999996</v>
      </c>
      <c r="J4" s="71">
        <f t="shared" ref="J4:J20" si="8">G4*D4</f>
        <v>0</v>
      </c>
      <c r="K4" s="70">
        <f t="shared" ref="K4:K20" si="9">MAX(H4,I4,J4)</f>
        <v>2728.5340499999998</v>
      </c>
      <c r="L4" s="70"/>
      <c r="M4" s="70">
        <f>Zones!J4</f>
        <v>1</v>
      </c>
      <c r="N4" s="70">
        <f t="shared" si="3"/>
        <v>5512.19</v>
      </c>
      <c r="O4" s="70">
        <f t="shared" si="4"/>
        <v>181.90226999999999</v>
      </c>
      <c r="P4" s="70">
        <f t="shared" si="5"/>
        <v>2728.5340499999998</v>
      </c>
      <c r="Q4" s="2"/>
      <c r="R4" s="2"/>
      <c r="S4" s="2"/>
      <c r="T4" s="2"/>
      <c r="U4" s="2"/>
      <c r="V4" s="82"/>
    </row>
    <row r="5" spans="1:22" x14ac:dyDescent="0.25">
      <c r="A5" s="101" t="str">
        <f>Zones!C5</f>
        <v>Convention, Conference, Multipurpose and Meeting Area</v>
      </c>
      <c r="B5" s="101" t="str">
        <f>Zones!B5</f>
        <v>ADMIN/MPR_CONFERENCE ROOM ZNS 3_ZN</v>
      </c>
      <c r="C5" s="112">
        <f>Zones!K5</f>
        <v>55.266419999999997</v>
      </c>
      <c r="D5" s="112">
        <f>Zones!H5</f>
        <v>1674.74</v>
      </c>
      <c r="E5" s="604">
        <v>15</v>
      </c>
      <c r="F5" s="604">
        <v>0.15</v>
      </c>
      <c r="G5" s="104"/>
      <c r="H5" s="70">
        <f t="shared" si="6"/>
        <v>828.99629999999991</v>
      </c>
      <c r="I5" s="71">
        <f t="shared" si="7"/>
        <v>251.21099999999998</v>
      </c>
      <c r="J5" s="71">
        <f t="shared" si="8"/>
        <v>0</v>
      </c>
      <c r="K5" s="70">
        <f t="shared" si="9"/>
        <v>828.99629999999991</v>
      </c>
      <c r="L5" s="70"/>
      <c r="M5" s="70">
        <f>Zones!J5</f>
        <v>1</v>
      </c>
      <c r="N5" s="70">
        <f t="shared" si="3"/>
        <v>1674.74</v>
      </c>
      <c r="O5" s="70">
        <f t="shared" si="4"/>
        <v>55.266419999999997</v>
      </c>
      <c r="P5" s="70">
        <f t="shared" si="5"/>
        <v>828.99629999999991</v>
      </c>
      <c r="Q5" s="2"/>
      <c r="R5" s="2"/>
      <c r="S5" s="2"/>
      <c r="T5" s="2"/>
      <c r="U5" s="2"/>
      <c r="V5" s="82"/>
    </row>
    <row r="6" spans="1:22" x14ac:dyDescent="0.25">
      <c r="A6" s="101" t="str">
        <f>Zones!C6</f>
        <v>Corridor Area</v>
      </c>
      <c r="B6" s="101" t="str">
        <f>Zones!B6</f>
        <v>ADMIN/MPR_CORRIDOR_ZN</v>
      </c>
      <c r="C6" s="112">
        <f>Zones!K6</f>
        <v>5.8076000000000008</v>
      </c>
      <c r="D6" s="112">
        <f>Zones!H6</f>
        <v>1161.52</v>
      </c>
      <c r="E6" s="604">
        <v>15</v>
      </c>
      <c r="F6" s="604">
        <v>0.15</v>
      </c>
      <c r="G6" s="104"/>
      <c r="H6" s="70">
        <f t="shared" si="6"/>
        <v>87.114000000000004</v>
      </c>
      <c r="I6" s="71">
        <f t="shared" si="7"/>
        <v>174.22799999999998</v>
      </c>
      <c r="J6" s="71">
        <f t="shared" si="8"/>
        <v>0</v>
      </c>
      <c r="K6" s="70">
        <f t="shared" si="9"/>
        <v>174.22799999999998</v>
      </c>
      <c r="L6" s="70"/>
      <c r="M6" s="70">
        <f>Zones!J6</f>
        <v>17</v>
      </c>
      <c r="N6" s="70">
        <f t="shared" si="3"/>
        <v>19745.84</v>
      </c>
      <c r="O6" s="70">
        <f t="shared" si="4"/>
        <v>98.72920000000002</v>
      </c>
      <c r="P6" s="70">
        <f t="shared" si="5"/>
        <v>2961.8759999999997</v>
      </c>
      <c r="Q6" s="2"/>
      <c r="R6" s="2"/>
      <c r="S6" s="2"/>
      <c r="T6" s="2"/>
      <c r="U6" s="2"/>
      <c r="V6" s="82"/>
    </row>
    <row r="7" spans="1:22" x14ac:dyDescent="0.25">
      <c r="A7" s="366" t="str">
        <f>Zones!C7</f>
        <v>Electrical, Mechanical, Telephone Rooms</v>
      </c>
      <c r="B7" s="366" t="str">
        <f>Zones!B7</f>
        <v>ADMIN/MPR_EMT_ZN</v>
      </c>
      <c r="C7" s="215">
        <f>Zones!K7</f>
        <v>1.3910499999999999</v>
      </c>
      <c r="D7" s="215">
        <f>Zones!H7</f>
        <v>278.20999999999998</v>
      </c>
      <c r="E7" s="604">
        <v>15</v>
      </c>
      <c r="F7" s="604">
        <v>0.15</v>
      </c>
      <c r="G7" s="104"/>
      <c r="H7" s="70">
        <f t="shared" si="6"/>
        <v>20.865749999999998</v>
      </c>
      <c r="I7" s="71">
        <f t="shared" si="7"/>
        <v>41.731499999999997</v>
      </c>
      <c r="J7" s="71">
        <f t="shared" si="8"/>
        <v>0</v>
      </c>
      <c r="K7" s="70">
        <f t="shared" si="9"/>
        <v>41.731499999999997</v>
      </c>
      <c r="L7" s="70"/>
      <c r="M7" s="70">
        <f>Zones!J7</f>
        <v>5</v>
      </c>
      <c r="N7" s="70">
        <f t="shared" si="3"/>
        <v>1391.05</v>
      </c>
      <c r="O7" s="70">
        <f t="shared" si="4"/>
        <v>6.9552499999999995</v>
      </c>
      <c r="P7" s="70">
        <f t="shared" si="5"/>
        <v>208.65749999999997</v>
      </c>
      <c r="Q7" s="2"/>
      <c r="R7" s="2"/>
      <c r="S7" s="2"/>
      <c r="T7" s="2"/>
      <c r="U7" s="2"/>
      <c r="V7" s="82"/>
    </row>
    <row r="8" spans="1:22" x14ac:dyDescent="0.25">
      <c r="A8" s="366" t="str">
        <f>Zones!C8</f>
        <v>Electrical, Mechanical, Telephone Rooms</v>
      </c>
      <c r="B8" s="366" t="str">
        <f>Zones!B8</f>
        <v>ADMIN/MPR_IDF ROOM_ZN</v>
      </c>
      <c r="C8" s="215">
        <f>Zones!K8</f>
        <v>1.7011500000000002</v>
      </c>
      <c r="D8" s="215">
        <f>Zones!H8</f>
        <v>340.23</v>
      </c>
      <c r="E8" s="604">
        <v>15</v>
      </c>
      <c r="F8" s="604">
        <v>0.15</v>
      </c>
      <c r="G8" s="214"/>
      <c r="H8" s="70">
        <f t="shared" si="6"/>
        <v>25.517250000000004</v>
      </c>
      <c r="I8" s="71">
        <f t="shared" si="7"/>
        <v>51.034500000000001</v>
      </c>
      <c r="J8" s="71">
        <f t="shared" si="8"/>
        <v>0</v>
      </c>
      <c r="K8" s="70">
        <f t="shared" si="9"/>
        <v>51.034500000000001</v>
      </c>
      <c r="L8" s="70"/>
      <c r="M8" s="70">
        <f>Zones!J8</f>
        <v>5</v>
      </c>
      <c r="N8" s="70">
        <f t="shared" si="3"/>
        <v>1701.15</v>
      </c>
      <c r="O8" s="70">
        <f t="shared" si="4"/>
        <v>8.5057500000000008</v>
      </c>
      <c r="P8" s="70">
        <f t="shared" si="5"/>
        <v>255.17250000000001</v>
      </c>
      <c r="Q8" s="2"/>
      <c r="R8" s="2"/>
      <c r="S8" s="2"/>
      <c r="T8" s="2"/>
      <c r="U8" s="2"/>
      <c r="V8" s="82"/>
    </row>
    <row r="9" spans="1:22" ht="26.4" x14ac:dyDescent="0.25">
      <c r="A9" s="366" t="str">
        <f>Zones!C9</f>
        <v>Kitchen/Food Preparation Area</v>
      </c>
      <c r="B9" s="366" t="str">
        <f>Zones!B9</f>
        <v>ADMIN/MPR_KITCHEN_ZN</v>
      </c>
      <c r="C9" s="215">
        <f>Zones!K9</f>
        <v>4.3717499999999996</v>
      </c>
      <c r="D9" s="215">
        <f>Zones!H9</f>
        <v>1457.25</v>
      </c>
      <c r="E9" s="604">
        <v>15</v>
      </c>
      <c r="F9" s="604">
        <v>0.15</v>
      </c>
      <c r="G9" s="214">
        <v>0.7</v>
      </c>
      <c r="H9" s="70">
        <f t="shared" si="6"/>
        <v>65.576249999999987</v>
      </c>
      <c r="I9" s="71">
        <f t="shared" si="7"/>
        <v>218.58750000000001</v>
      </c>
      <c r="J9" s="71">
        <f t="shared" si="8"/>
        <v>1020.0749999999999</v>
      </c>
      <c r="K9" s="70">
        <f t="shared" si="9"/>
        <v>1020.0749999999999</v>
      </c>
      <c r="L9" s="367" t="s">
        <v>410</v>
      </c>
      <c r="M9" s="70">
        <f>Zones!J9</f>
        <v>1</v>
      </c>
      <c r="N9" s="70">
        <f t="shared" si="3"/>
        <v>1457.25</v>
      </c>
      <c r="O9" s="70">
        <f t="shared" si="4"/>
        <v>4.3717499999999996</v>
      </c>
      <c r="P9" s="70">
        <f t="shared" si="5"/>
        <v>1020.0749999999999</v>
      </c>
      <c r="Q9" s="2"/>
      <c r="R9" s="2"/>
      <c r="S9" s="2"/>
      <c r="T9" s="2"/>
      <c r="U9" s="2"/>
      <c r="V9" s="82"/>
    </row>
    <row r="10" spans="1:22" x14ac:dyDescent="0.25">
      <c r="A10" s="101" t="str">
        <f>Zones!C10</f>
        <v>Lobby, Main Entry</v>
      </c>
      <c r="B10" s="101" t="str">
        <f>Zones!B10</f>
        <v>ADMIN/MPR_LOBBY_ZN</v>
      </c>
      <c r="C10" s="112">
        <f>Zones!K10</f>
        <v>40.968510000000002</v>
      </c>
      <c r="D10" s="112">
        <f>Zones!H10</f>
        <v>1241.47</v>
      </c>
      <c r="E10" s="604">
        <v>15</v>
      </c>
      <c r="F10" s="604">
        <v>0.15</v>
      </c>
      <c r="G10" s="104"/>
      <c r="H10" s="70">
        <f t="shared" si="6"/>
        <v>614.52764999999999</v>
      </c>
      <c r="I10" s="71">
        <f t="shared" si="7"/>
        <v>186.22049999999999</v>
      </c>
      <c r="J10" s="71">
        <f t="shared" si="8"/>
        <v>0</v>
      </c>
      <c r="K10" s="70">
        <f t="shared" si="9"/>
        <v>614.52764999999999</v>
      </c>
      <c r="L10" s="70"/>
      <c r="M10" s="70">
        <f>Zones!J10</f>
        <v>4</v>
      </c>
      <c r="N10" s="70">
        <f t="shared" si="3"/>
        <v>4965.88</v>
      </c>
      <c r="O10" s="70">
        <f t="shared" si="4"/>
        <v>163.87404000000001</v>
      </c>
      <c r="P10" s="70">
        <f t="shared" si="5"/>
        <v>2458.1106</v>
      </c>
      <c r="Q10" s="2"/>
      <c r="R10" s="2"/>
      <c r="S10" s="2"/>
      <c r="T10" s="2"/>
      <c r="U10" s="2"/>
      <c r="V10" s="82"/>
    </row>
    <row r="11" spans="1:22" x14ac:dyDescent="0.25">
      <c r="A11" s="101" t="str">
        <f>Zones!C11</f>
        <v>Office Area (&lt;250 square feet)</v>
      </c>
      <c r="B11" s="101" t="str">
        <f>Zones!B11</f>
        <v>ADMIN/MPR_OFFICE - LT 250 SF ZNS 6_ZN</v>
      </c>
      <c r="C11" s="112">
        <f>Zones!K11</f>
        <v>5.2417499999999997</v>
      </c>
      <c r="D11" s="112">
        <f>Zones!H11</f>
        <v>1048.3499999999999</v>
      </c>
      <c r="E11" s="604">
        <v>15</v>
      </c>
      <c r="F11" s="604">
        <v>0.15</v>
      </c>
      <c r="G11" s="104"/>
      <c r="H11" s="70">
        <f t="shared" si="6"/>
        <v>78.626249999999999</v>
      </c>
      <c r="I11" s="71">
        <f t="shared" si="7"/>
        <v>157.25249999999997</v>
      </c>
      <c r="J11" s="71">
        <f t="shared" si="8"/>
        <v>0</v>
      </c>
      <c r="K11" s="70">
        <f t="shared" si="9"/>
        <v>157.25249999999997</v>
      </c>
      <c r="L11" s="70"/>
      <c r="M11" s="70">
        <f>Zones!J11</f>
        <v>6</v>
      </c>
      <c r="N11" s="70">
        <f t="shared" si="3"/>
        <v>6290.0999999999995</v>
      </c>
      <c r="O11" s="70">
        <f t="shared" si="4"/>
        <v>31.450499999999998</v>
      </c>
      <c r="P11" s="70">
        <f t="shared" si="5"/>
        <v>943.51499999999987</v>
      </c>
      <c r="Q11" s="2"/>
      <c r="R11" s="2"/>
      <c r="S11" s="2"/>
      <c r="T11" s="2"/>
      <c r="U11" s="2"/>
      <c r="V11" s="82"/>
    </row>
    <row r="12" spans="1:22" x14ac:dyDescent="0.25">
      <c r="A12" s="366" t="str">
        <f>Zones!C12</f>
        <v>Restrooms</v>
      </c>
      <c r="B12" s="366" t="str">
        <f>Zones!B12</f>
        <v>ADMIN/MPR_RESTROOM ZNS 3_ZN</v>
      </c>
      <c r="C12" s="215">
        <f>Zones!K12</f>
        <v>4.5058499999999997</v>
      </c>
      <c r="D12" s="215">
        <f>Zones!H12</f>
        <v>901.17</v>
      </c>
      <c r="E12" s="604">
        <v>0</v>
      </c>
      <c r="F12" s="604">
        <v>0</v>
      </c>
      <c r="G12" s="214">
        <v>0.5</v>
      </c>
      <c r="H12" s="70">
        <f t="shared" si="6"/>
        <v>0</v>
      </c>
      <c r="I12" s="71">
        <f t="shared" si="7"/>
        <v>0</v>
      </c>
      <c r="J12" s="71">
        <f t="shared" si="8"/>
        <v>450.58499999999998</v>
      </c>
      <c r="K12" s="70">
        <f t="shared" si="9"/>
        <v>450.58499999999998</v>
      </c>
      <c r="L12" s="367" t="s">
        <v>411</v>
      </c>
      <c r="M12" s="70">
        <f>Zones!J12</f>
        <v>2</v>
      </c>
      <c r="N12" s="70">
        <f t="shared" si="3"/>
        <v>1802.34</v>
      </c>
      <c r="O12" s="70">
        <f t="shared" si="4"/>
        <v>9.0116999999999994</v>
      </c>
      <c r="P12" s="70">
        <f t="shared" si="5"/>
        <v>901.17</v>
      </c>
      <c r="Q12" s="2"/>
      <c r="R12" s="2"/>
      <c r="S12" s="2"/>
      <c r="T12" s="2"/>
      <c r="U12" s="2"/>
      <c r="V12" s="82"/>
    </row>
    <row r="13" spans="1:22" x14ac:dyDescent="0.25">
      <c r="A13" s="366" t="str">
        <f>Zones!C13</f>
        <v>Storage (General)</v>
      </c>
      <c r="B13" s="366" t="str">
        <f>Zones!B13</f>
        <v>ADMIN/MPR_STORAGE - GENERAL_ZN</v>
      </c>
      <c r="C13" s="215">
        <f>Zones!K13</f>
        <v>6.2386499999999998</v>
      </c>
      <c r="D13" s="215">
        <f>Zones!H13</f>
        <v>1247.73</v>
      </c>
      <c r="E13" s="604">
        <v>15</v>
      </c>
      <c r="F13" s="604">
        <v>0.15</v>
      </c>
      <c r="G13" s="104"/>
      <c r="H13" s="70">
        <f t="shared" si="6"/>
        <v>93.57974999999999</v>
      </c>
      <c r="I13" s="71">
        <f t="shared" si="7"/>
        <v>187.15950000000001</v>
      </c>
      <c r="J13" s="71">
        <f t="shared" si="8"/>
        <v>0</v>
      </c>
      <c r="K13" s="70">
        <f t="shared" si="9"/>
        <v>187.15950000000001</v>
      </c>
      <c r="L13" s="70"/>
      <c r="M13" s="70">
        <f>Zones!J13</f>
        <v>4</v>
      </c>
      <c r="N13" s="70">
        <f t="shared" si="3"/>
        <v>4990.92</v>
      </c>
      <c r="O13" s="70">
        <f t="shared" si="4"/>
        <v>24.954599999999999</v>
      </c>
      <c r="P13" s="70">
        <f t="shared" si="5"/>
        <v>748.63800000000003</v>
      </c>
      <c r="Q13" s="2"/>
      <c r="R13" s="2"/>
      <c r="S13" s="2"/>
      <c r="T13" s="2"/>
      <c r="U13" s="2"/>
      <c r="V13" s="82"/>
    </row>
    <row r="14" spans="1:22" x14ac:dyDescent="0.25">
      <c r="A14" s="366" t="str">
        <f>Zones!C14</f>
        <v>Storage, Commercial/Industrial (Refrigerated)</v>
      </c>
      <c r="B14" s="366" t="str">
        <f>Zones!B14</f>
        <v>ADMIN/MPR_STORAGE - REFRIGERATED_ZN</v>
      </c>
      <c r="C14" s="215">
        <f>Zones!K14</f>
        <v>0</v>
      </c>
      <c r="D14" s="215">
        <f>Zones!H14</f>
        <v>251.72</v>
      </c>
      <c r="E14" s="604">
        <v>0</v>
      </c>
      <c r="F14" s="604">
        <v>0</v>
      </c>
      <c r="G14" s="104"/>
      <c r="H14" s="70">
        <f t="shared" si="6"/>
        <v>0</v>
      </c>
      <c r="I14" s="71">
        <f t="shared" si="7"/>
        <v>0</v>
      </c>
      <c r="J14" s="71">
        <f t="shared" si="8"/>
        <v>0</v>
      </c>
      <c r="K14" s="70">
        <f t="shared" si="9"/>
        <v>0</v>
      </c>
      <c r="L14" s="70"/>
      <c r="M14" s="70">
        <f>Zones!J14</f>
        <v>1</v>
      </c>
      <c r="N14" s="70">
        <f t="shared" si="3"/>
        <v>251.72</v>
      </c>
      <c r="O14" s="70">
        <f t="shared" si="4"/>
        <v>0</v>
      </c>
      <c r="P14" s="70">
        <f t="shared" si="5"/>
        <v>0</v>
      </c>
      <c r="Q14" s="2"/>
      <c r="R14" s="2"/>
      <c r="S14" s="2"/>
      <c r="T14" s="2"/>
      <c r="U14" s="2"/>
      <c r="V14" s="82"/>
    </row>
    <row r="15" spans="1:22" x14ac:dyDescent="0.25">
      <c r="A15" s="366" t="str">
        <f>Zones!C15</f>
        <v>Theater Area (Performance)</v>
      </c>
      <c r="B15" s="366" t="str">
        <f>Zones!B15</f>
        <v>ADMIN/MPR_THEATER - PERFORMANCE_ZN</v>
      </c>
      <c r="C15" s="215">
        <f>Zones!K15</f>
        <v>35.163479999999993</v>
      </c>
      <c r="D15" s="215">
        <f>Zones!H15</f>
        <v>1065.56</v>
      </c>
      <c r="E15" s="604">
        <v>15</v>
      </c>
      <c r="F15" s="604">
        <v>0.15</v>
      </c>
      <c r="G15" s="214"/>
      <c r="H15" s="70">
        <f t="shared" si="6"/>
        <v>527.45219999999995</v>
      </c>
      <c r="I15" s="71">
        <f t="shared" si="7"/>
        <v>159.83399999999997</v>
      </c>
      <c r="J15" s="71">
        <f t="shared" si="8"/>
        <v>0</v>
      </c>
      <c r="K15" s="70">
        <f t="shared" si="9"/>
        <v>527.45219999999995</v>
      </c>
      <c r="L15" s="70"/>
      <c r="M15" s="70">
        <f>Zones!J15</f>
        <v>5</v>
      </c>
      <c r="N15" s="70">
        <f t="shared" si="3"/>
        <v>5327.7999999999993</v>
      </c>
      <c r="O15" s="70">
        <f t="shared" si="4"/>
        <v>175.81739999999996</v>
      </c>
      <c r="P15" s="70">
        <f t="shared" si="5"/>
        <v>2637.2609999999995</v>
      </c>
      <c r="Q15" s="2"/>
      <c r="R15" s="2"/>
      <c r="S15" s="2"/>
      <c r="T15" s="2"/>
      <c r="U15" s="2"/>
      <c r="V15" s="82"/>
    </row>
    <row r="16" spans="1:22" x14ac:dyDescent="0.25">
      <c r="A16" s="366" t="str">
        <f>Zones!C16</f>
        <v>Electrical, Mechanical, Telephone Rooms</v>
      </c>
      <c r="B16" s="366" t="str">
        <f>Zones!B16</f>
        <v>CLASSRM LAB_FLR 1_EMT-01_ZN</v>
      </c>
      <c r="C16" s="215">
        <f>Zones!K16</f>
        <v>0.60505000000000009</v>
      </c>
      <c r="D16" s="215">
        <f>Zones!H16</f>
        <v>121.01</v>
      </c>
      <c r="E16" s="604">
        <v>15</v>
      </c>
      <c r="F16" s="604">
        <v>0.15</v>
      </c>
      <c r="G16" s="104"/>
      <c r="H16" s="70">
        <f t="shared" si="6"/>
        <v>9.0757500000000011</v>
      </c>
      <c r="I16" s="71">
        <f t="shared" si="7"/>
        <v>18.151499999999999</v>
      </c>
      <c r="J16" s="71">
        <f t="shared" si="8"/>
        <v>0</v>
      </c>
      <c r="K16" s="70">
        <f t="shared" si="9"/>
        <v>18.151499999999999</v>
      </c>
      <c r="L16" s="70"/>
      <c r="M16" s="70">
        <f>Zones!J16</f>
        <v>1</v>
      </c>
      <c r="N16" s="70">
        <f t="shared" si="3"/>
        <v>121.01</v>
      </c>
      <c r="O16" s="70">
        <f t="shared" si="4"/>
        <v>0.60505000000000009</v>
      </c>
      <c r="P16" s="70">
        <f t="shared" si="5"/>
        <v>18.151499999999999</v>
      </c>
      <c r="Q16" s="2"/>
      <c r="R16" s="2"/>
      <c r="S16" s="2"/>
      <c r="T16" s="2"/>
      <c r="U16" s="2"/>
      <c r="V16" s="82"/>
    </row>
    <row r="17" spans="1:22" x14ac:dyDescent="0.25">
      <c r="A17" s="366" t="str">
        <f>Zones!C17</f>
        <v>Electrical, Mechanical, Telephone Rooms</v>
      </c>
      <c r="B17" s="366" t="str">
        <f>Zones!B17</f>
        <v>CLASSRM LAB_FLR 1_EMT-02_ZN</v>
      </c>
      <c r="C17" s="215">
        <f>Zones!K17</f>
        <v>0.49004999999999999</v>
      </c>
      <c r="D17" s="215">
        <f>Zones!H17</f>
        <v>98.01</v>
      </c>
      <c r="E17" s="604">
        <v>15</v>
      </c>
      <c r="F17" s="604">
        <v>0.15</v>
      </c>
      <c r="G17" s="104"/>
      <c r="H17" s="70">
        <f t="shared" si="6"/>
        <v>7.3507499999999997</v>
      </c>
      <c r="I17" s="71">
        <f t="shared" si="7"/>
        <v>14.701499999999999</v>
      </c>
      <c r="J17" s="71">
        <f t="shared" si="8"/>
        <v>0</v>
      </c>
      <c r="K17" s="70">
        <f t="shared" si="9"/>
        <v>14.701499999999999</v>
      </c>
      <c r="L17" s="70"/>
      <c r="M17" s="70">
        <f>Zones!J17</f>
        <v>1</v>
      </c>
      <c r="N17" s="70">
        <f t="shared" si="3"/>
        <v>98.01</v>
      </c>
      <c r="O17" s="70">
        <f t="shared" si="4"/>
        <v>0.49004999999999999</v>
      </c>
      <c r="P17" s="70">
        <f t="shared" si="5"/>
        <v>14.701499999999999</v>
      </c>
      <c r="Q17" s="2"/>
      <c r="R17" s="2"/>
      <c r="S17" s="2"/>
      <c r="T17" s="2"/>
      <c r="U17" s="2"/>
      <c r="V17" s="82"/>
    </row>
    <row r="18" spans="1:22" x14ac:dyDescent="0.25">
      <c r="A18" s="366" t="str">
        <f>Zones!C18</f>
        <v>Laboratory, Scientific</v>
      </c>
      <c r="B18" s="366" t="str">
        <f>Zones!B18</f>
        <v>CLASSRM LAB_FLR 1_LAB ZNS 2_ZN</v>
      </c>
      <c r="C18" s="215">
        <f>Zones!K18</f>
        <v>51.3735</v>
      </c>
      <c r="D18" s="215">
        <f>Zones!H18</f>
        <v>2054.94</v>
      </c>
      <c r="E18" s="604">
        <v>15</v>
      </c>
      <c r="F18" s="604">
        <v>0.15</v>
      </c>
      <c r="G18" s="214">
        <v>1</v>
      </c>
      <c r="H18" s="70">
        <f t="shared" si="6"/>
        <v>770.60249999999996</v>
      </c>
      <c r="I18" s="71">
        <f t="shared" si="7"/>
        <v>308.24099999999999</v>
      </c>
      <c r="J18" s="71">
        <f t="shared" si="8"/>
        <v>2054.94</v>
      </c>
      <c r="K18" s="70">
        <f t="shared" si="9"/>
        <v>2054.94</v>
      </c>
      <c r="L18" s="367" t="s">
        <v>412</v>
      </c>
      <c r="M18" s="70">
        <f>Zones!J18</f>
        <v>1</v>
      </c>
      <c r="N18" s="70">
        <f t="shared" si="3"/>
        <v>2054.94</v>
      </c>
      <c r="O18" s="70">
        <f t="shared" si="4"/>
        <v>51.3735</v>
      </c>
      <c r="P18" s="70">
        <f t="shared" si="5"/>
        <v>2054.94</v>
      </c>
      <c r="Q18" s="2"/>
      <c r="R18" s="2"/>
      <c r="S18" s="2"/>
      <c r="T18" s="2"/>
      <c r="U18" s="2"/>
      <c r="V18" s="82"/>
    </row>
    <row r="19" spans="1:22" x14ac:dyDescent="0.25">
      <c r="A19" s="366" t="str">
        <f>Zones!C19</f>
        <v>Library (Reading Area)</v>
      </c>
      <c r="B19" s="366" t="str">
        <f>Zones!B19</f>
        <v>CLASSRM LAB_FLR 1_LIBRARY - READING AREA_ZN</v>
      </c>
      <c r="C19" s="215">
        <f>Zones!K19</f>
        <v>11.971300000000001</v>
      </c>
      <c r="D19" s="215">
        <f>Zones!H19</f>
        <v>1197.1300000000001</v>
      </c>
      <c r="E19" s="604">
        <v>15</v>
      </c>
      <c r="F19" s="604">
        <v>0.15</v>
      </c>
      <c r="G19" s="104"/>
      <c r="H19" s="70">
        <f t="shared" si="6"/>
        <v>179.56950000000001</v>
      </c>
      <c r="I19" s="71">
        <f t="shared" si="7"/>
        <v>179.56950000000001</v>
      </c>
      <c r="J19" s="71">
        <f t="shared" si="8"/>
        <v>0</v>
      </c>
      <c r="K19" s="70">
        <f t="shared" si="9"/>
        <v>179.56950000000001</v>
      </c>
      <c r="L19" s="70"/>
      <c r="M19" s="70">
        <f>Zones!J19</f>
        <v>1</v>
      </c>
      <c r="N19" s="70">
        <f t="shared" si="3"/>
        <v>1197.1300000000001</v>
      </c>
      <c r="O19" s="70">
        <f t="shared" si="4"/>
        <v>11.971300000000001</v>
      </c>
      <c r="P19" s="70">
        <f t="shared" si="5"/>
        <v>179.56950000000001</v>
      </c>
      <c r="Q19" s="2"/>
      <c r="R19" s="2"/>
      <c r="S19" s="2"/>
      <c r="T19" s="2"/>
      <c r="U19" s="2"/>
      <c r="V19" s="82"/>
    </row>
    <row r="20" spans="1:22" x14ac:dyDescent="0.25">
      <c r="A20" s="366" t="str">
        <f>Zones!C20</f>
        <v>Restrooms</v>
      </c>
      <c r="B20" s="366" t="str">
        <f>Zones!B20</f>
        <v>CLASSRM LAB_FLR 1_RESTROOM_ZN</v>
      </c>
      <c r="C20" s="215">
        <f>Zones!K20</f>
        <v>2.8152499999999998</v>
      </c>
      <c r="D20" s="215">
        <f>Zones!H20</f>
        <v>563.04999999999995</v>
      </c>
      <c r="E20" s="604">
        <v>0</v>
      </c>
      <c r="F20" s="604">
        <v>0</v>
      </c>
      <c r="G20" s="214">
        <v>0.5</v>
      </c>
      <c r="H20" s="70">
        <f t="shared" si="6"/>
        <v>0</v>
      </c>
      <c r="I20" s="71">
        <f t="shared" si="7"/>
        <v>0</v>
      </c>
      <c r="J20" s="71">
        <f t="shared" si="8"/>
        <v>281.52499999999998</v>
      </c>
      <c r="K20" s="70">
        <f t="shared" si="9"/>
        <v>281.52499999999998</v>
      </c>
      <c r="L20" s="70"/>
      <c r="M20" s="70">
        <f>Zones!J20</f>
        <v>1</v>
      </c>
      <c r="N20" s="70">
        <f t="shared" si="3"/>
        <v>563.04999999999995</v>
      </c>
      <c r="O20" s="70">
        <f t="shared" si="4"/>
        <v>2.8152499999999998</v>
      </c>
      <c r="P20" s="70">
        <f t="shared" si="5"/>
        <v>281.52499999999998</v>
      </c>
      <c r="Q20" s="2"/>
      <c r="R20" s="2"/>
      <c r="S20" s="2"/>
      <c r="T20" s="2"/>
      <c r="U20" s="2"/>
      <c r="V20" s="82"/>
    </row>
    <row r="21" spans="1:22" x14ac:dyDescent="0.25">
      <c r="A21" s="366" t="str">
        <f>Zones!C21</f>
        <v>Storage (General)</v>
      </c>
      <c r="B21" s="366" t="str">
        <f>Zones!B21</f>
        <v>CLASSRM LAB_FLR 1_STORAGE - GENERAL_ZN</v>
      </c>
      <c r="C21" s="215">
        <f>Zones!K21</f>
        <v>1.9041999999999999</v>
      </c>
      <c r="D21" s="215">
        <f>Zones!H21</f>
        <v>380.84</v>
      </c>
      <c r="E21" s="604">
        <v>15</v>
      </c>
      <c r="F21" s="604">
        <v>0.15</v>
      </c>
      <c r="G21" s="104"/>
      <c r="H21" s="215">
        <f t="shared" ref="H21:H44" si="10">C21*E21</f>
        <v>28.562999999999999</v>
      </c>
      <c r="I21" s="367">
        <f t="shared" ref="I21:I44" si="11">D21*F21</f>
        <v>57.125999999999998</v>
      </c>
      <c r="J21" s="367">
        <f t="shared" ref="J21:J44" si="12">G21*D21</f>
        <v>0</v>
      </c>
      <c r="K21" s="215">
        <f t="shared" ref="K21:K44" si="13">MAX(H21,I21,J21)</f>
        <v>57.125999999999998</v>
      </c>
      <c r="L21" s="70"/>
      <c r="M21" s="215">
        <f>Zones!J21</f>
        <v>1</v>
      </c>
      <c r="N21" s="215">
        <f t="shared" si="3"/>
        <v>380.84</v>
      </c>
      <c r="O21" s="215">
        <f t="shared" si="4"/>
        <v>1.9041999999999999</v>
      </c>
      <c r="P21" s="215">
        <f t="shared" si="5"/>
        <v>57.125999999999998</v>
      </c>
      <c r="Q21" s="2"/>
      <c r="R21" s="2"/>
      <c r="S21" s="2"/>
      <c r="T21" s="2"/>
      <c r="U21" s="2"/>
      <c r="V21" s="82"/>
    </row>
    <row r="22" spans="1:22" x14ac:dyDescent="0.25">
      <c r="A22" s="366" t="str">
        <f>Zones!C22</f>
        <v>Classroom, Lecture, Training, Vocational Areas</v>
      </c>
      <c r="B22" s="366" t="str">
        <f>Zones!B22</f>
        <v>CLASSRM LAB_FLR 2_CLASSROOM_ZN</v>
      </c>
      <c r="C22" s="215">
        <f>Zones!K22</f>
        <v>9.5210000000000008</v>
      </c>
      <c r="D22" s="215">
        <f>Zones!H22</f>
        <v>380.84</v>
      </c>
      <c r="E22" s="604">
        <v>15</v>
      </c>
      <c r="F22" s="604">
        <v>0.15</v>
      </c>
      <c r="G22" s="104"/>
      <c r="H22" s="215">
        <f t="shared" si="10"/>
        <v>142.815</v>
      </c>
      <c r="I22" s="367">
        <f t="shared" si="11"/>
        <v>57.125999999999998</v>
      </c>
      <c r="J22" s="367">
        <f t="shared" si="12"/>
        <v>0</v>
      </c>
      <c r="K22" s="215">
        <f t="shared" si="13"/>
        <v>142.815</v>
      </c>
      <c r="L22" s="70"/>
      <c r="M22" s="215">
        <f>Zones!J22</f>
        <v>1</v>
      </c>
      <c r="N22" s="215">
        <f t="shared" si="3"/>
        <v>380.84</v>
      </c>
      <c r="O22" s="215">
        <f t="shared" si="4"/>
        <v>9.5210000000000008</v>
      </c>
      <c r="P22" s="215">
        <f t="shared" si="5"/>
        <v>142.815</v>
      </c>
      <c r="Q22" s="2"/>
      <c r="R22" s="2"/>
      <c r="S22" s="2"/>
      <c r="T22" s="2"/>
      <c r="U22" s="2"/>
      <c r="V22" s="82"/>
    </row>
    <row r="23" spans="1:22" x14ac:dyDescent="0.25">
      <c r="A23" s="366" t="str">
        <f>Zones!C23</f>
        <v>Electrical, Mechanical, Telephone Rooms</v>
      </c>
      <c r="B23" s="366" t="str">
        <f>Zones!B23</f>
        <v>CLASSRM LAB_FLR 2_IDF ROOM_ZN</v>
      </c>
      <c r="C23" s="215">
        <f>Zones!K23</f>
        <v>0.60505000000000009</v>
      </c>
      <c r="D23" s="215">
        <f>Zones!H23</f>
        <v>121.01</v>
      </c>
      <c r="E23" s="604">
        <v>15</v>
      </c>
      <c r="F23" s="604">
        <v>0.15</v>
      </c>
      <c r="G23" s="104"/>
      <c r="H23" s="215">
        <f t="shared" si="10"/>
        <v>9.0757500000000011</v>
      </c>
      <c r="I23" s="367">
        <f t="shared" si="11"/>
        <v>18.151499999999999</v>
      </c>
      <c r="J23" s="367">
        <f t="shared" si="12"/>
        <v>0</v>
      </c>
      <c r="K23" s="215">
        <f t="shared" si="13"/>
        <v>18.151499999999999</v>
      </c>
      <c r="L23" s="70"/>
      <c r="M23" s="215">
        <f>Zones!J23</f>
        <v>1</v>
      </c>
      <c r="N23" s="215">
        <f t="shared" si="3"/>
        <v>121.01</v>
      </c>
      <c r="O23" s="215">
        <f t="shared" si="4"/>
        <v>0.60505000000000009</v>
      </c>
      <c r="P23" s="215">
        <f t="shared" si="5"/>
        <v>18.151499999999999</v>
      </c>
      <c r="Q23" s="2"/>
      <c r="R23" s="2"/>
      <c r="S23" s="2"/>
      <c r="T23" s="2"/>
      <c r="U23" s="2"/>
      <c r="V23" s="82"/>
    </row>
    <row r="24" spans="1:22" x14ac:dyDescent="0.25">
      <c r="A24" s="366" t="str">
        <f>Zones!C24</f>
        <v>Laboratory, Scientific</v>
      </c>
      <c r="B24" s="366" t="str">
        <f>Zones!B24</f>
        <v>CLASSRM LAB_FLR 2_LAB ZNS 3_ZN</v>
      </c>
      <c r="C24" s="215">
        <f>Zones!K24</f>
        <v>81.301500000000004</v>
      </c>
      <c r="D24" s="215">
        <f>Zones!H24</f>
        <v>3252.06</v>
      </c>
      <c r="E24" s="604">
        <v>15</v>
      </c>
      <c r="F24" s="604">
        <v>0.15</v>
      </c>
      <c r="G24" s="214">
        <v>1</v>
      </c>
      <c r="H24" s="215">
        <f t="shared" si="10"/>
        <v>1219.5225</v>
      </c>
      <c r="I24" s="367">
        <f t="shared" si="11"/>
        <v>487.80899999999997</v>
      </c>
      <c r="J24" s="367">
        <f t="shared" si="12"/>
        <v>3252.06</v>
      </c>
      <c r="K24" s="215">
        <f t="shared" si="13"/>
        <v>3252.06</v>
      </c>
      <c r="L24" s="70"/>
      <c r="M24" s="215">
        <f>Zones!J24</f>
        <v>1</v>
      </c>
      <c r="N24" s="215">
        <f t="shared" si="3"/>
        <v>3252.06</v>
      </c>
      <c r="O24" s="215">
        <f t="shared" si="4"/>
        <v>81.301500000000004</v>
      </c>
      <c r="P24" s="215">
        <f t="shared" si="5"/>
        <v>3252.06</v>
      </c>
      <c r="Q24" s="2"/>
      <c r="R24" s="2"/>
      <c r="S24" s="2"/>
      <c r="T24" s="2"/>
      <c r="U24" s="2"/>
      <c r="V24" s="82"/>
    </row>
    <row r="25" spans="1:22" x14ac:dyDescent="0.25">
      <c r="A25" s="366" t="str">
        <f>Zones!C25</f>
        <v>Restrooms</v>
      </c>
      <c r="B25" s="366" t="str">
        <f>Zones!B25</f>
        <v>CLASSRM LAB_FLR 2_RESTROOM_ZN</v>
      </c>
      <c r="C25" s="215">
        <f>Zones!K25</f>
        <v>2.8152499999999998</v>
      </c>
      <c r="D25" s="215">
        <f>Zones!H25</f>
        <v>563.04999999999995</v>
      </c>
      <c r="E25" s="604">
        <v>0</v>
      </c>
      <c r="F25" s="604">
        <v>0</v>
      </c>
      <c r="G25" s="214">
        <v>0.5</v>
      </c>
      <c r="H25" s="215">
        <f t="shared" si="10"/>
        <v>0</v>
      </c>
      <c r="I25" s="367">
        <f t="shared" si="11"/>
        <v>0</v>
      </c>
      <c r="J25" s="367">
        <f t="shared" si="12"/>
        <v>281.52499999999998</v>
      </c>
      <c r="K25" s="215">
        <f t="shared" si="13"/>
        <v>281.52499999999998</v>
      </c>
      <c r="L25" s="70"/>
      <c r="M25" s="215">
        <f>Zones!J25</f>
        <v>1</v>
      </c>
      <c r="N25" s="215">
        <f t="shared" si="3"/>
        <v>563.04999999999995</v>
      </c>
      <c r="O25" s="215">
        <f t="shared" si="4"/>
        <v>2.8152499999999998</v>
      </c>
      <c r="P25" s="215">
        <f t="shared" si="5"/>
        <v>281.52499999999998</v>
      </c>
      <c r="Q25" s="2"/>
      <c r="R25" s="2"/>
      <c r="S25" s="2"/>
      <c r="T25" s="2"/>
      <c r="U25" s="2"/>
      <c r="V25" s="82"/>
    </row>
    <row r="26" spans="1:22" x14ac:dyDescent="0.25">
      <c r="A26" s="366" t="str">
        <f>Zones!C26</f>
        <v>Storage (General)</v>
      </c>
      <c r="B26" s="366" t="str">
        <f>Zones!B26</f>
        <v>CLASSRM LAB_FLR 2_STORAGE - GENERAL_ZN</v>
      </c>
      <c r="C26" s="215">
        <f>Zones!K26</f>
        <v>0.49004999999999999</v>
      </c>
      <c r="D26" s="215">
        <f>Zones!H26</f>
        <v>98.01</v>
      </c>
      <c r="E26" s="604">
        <v>15</v>
      </c>
      <c r="F26" s="604">
        <v>0.15</v>
      </c>
      <c r="G26" s="104"/>
      <c r="H26" s="215">
        <f t="shared" si="10"/>
        <v>7.3507499999999997</v>
      </c>
      <c r="I26" s="367">
        <f t="shared" si="11"/>
        <v>14.701499999999999</v>
      </c>
      <c r="J26" s="367">
        <f t="shared" si="12"/>
        <v>0</v>
      </c>
      <c r="K26" s="215">
        <f t="shared" si="13"/>
        <v>14.701499999999999</v>
      </c>
      <c r="L26" s="70"/>
      <c r="M26" s="215">
        <f>Zones!J26</f>
        <v>1</v>
      </c>
      <c r="N26" s="215">
        <f t="shared" si="3"/>
        <v>98.01</v>
      </c>
      <c r="O26" s="215">
        <f t="shared" si="4"/>
        <v>0.49004999999999999</v>
      </c>
      <c r="P26" s="215">
        <f t="shared" si="5"/>
        <v>14.701499999999999</v>
      </c>
      <c r="Q26" s="2"/>
      <c r="R26" s="2"/>
      <c r="S26" s="2"/>
      <c r="T26" s="2"/>
      <c r="U26" s="2"/>
      <c r="V26" s="82"/>
    </row>
    <row r="27" spans="1:22" x14ac:dyDescent="0.25">
      <c r="A27" s="366" t="str">
        <f>Zones!C27</f>
        <v>Classroom, Lecture, Training, Vocational Areas</v>
      </c>
      <c r="B27" s="366" t="str">
        <f>Zones!B27</f>
        <v>CLASSRM N_FLR 1_CLASSROOM-01_ZN</v>
      </c>
      <c r="C27" s="215">
        <f>Zones!K27</f>
        <v>25.043749999999999</v>
      </c>
      <c r="D27" s="215">
        <f>Zones!H27</f>
        <v>1001.75</v>
      </c>
      <c r="E27" s="604">
        <v>15</v>
      </c>
      <c r="F27" s="604">
        <v>0.15</v>
      </c>
      <c r="G27" s="104"/>
      <c r="H27" s="215">
        <f t="shared" si="10"/>
        <v>375.65625</v>
      </c>
      <c r="I27" s="367">
        <f t="shared" si="11"/>
        <v>150.26249999999999</v>
      </c>
      <c r="J27" s="367">
        <f t="shared" si="12"/>
        <v>0</v>
      </c>
      <c r="K27" s="215">
        <f t="shared" si="13"/>
        <v>375.65625</v>
      </c>
      <c r="L27" s="70"/>
      <c r="M27" s="215">
        <f>Zones!J27</f>
        <v>3</v>
      </c>
      <c r="N27" s="215">
        <f t="shared" si="3"/>
        <v>3005.25</v>
      </c>
      <c r="O27" s="215">
        <f t="shared" si="4"/>
        <v>75.131249999999994</v>
      </c>
      <c r="P27" s="215">
        <f t="shared" si="5"/>
        <v>1126.96875</v>
      </c>
      <c r="Q27" s="2"/>
      <c r="R27" s="2"/>
      <c r="S27" s="2"/>
      <c r="T27" s="2"/>
      <c r="U27" s="2"/>
      <c r="V27" s="82"/>
    </row>
    <row r="28" spans="1:22" x14ac:dyDescent="0.25">
      <c r="A28" s="366" t="str">
        <f>Zones!C28</f>
        <v>Classroom, Lecture, Training, Vocational Areas</v>
      </c>
      <c r="B28" s="366" t="str">
        <f>Zones!B28</f>
        <v>CLASSRM N_FLR 1_CLASSROOM-02 ZNS 6_ZN</v>
      </c>
      <c r="C28" s="215">
        <f>Zones!K28</f>
        <v>151.35075000000001</v>
      </c>
      <c r="D28" s="215">
        <f>Zones!H28</f>
        <v>6054.03</v>
      </c>
      <c r="E28" s="604">
        <v>15</v>
      </c>
      <c r="F28" s="604">
        <v>0.15</v>
      </c>
      <c r="G28" s="104"/>
      <c r="H28" s="215">
        <f t="shared" si="10"/>
        <v>2270.26125</v>
      </c>
      <c r="I28" s="367">
        <f t="shared" si="11"/>
        <v>908.10449999999992</v>
      </c>
      <c r="J28" s="367">
        <f t="shared" si="12"/>
        <v>0</v>
      </c>
      <c r="K28" s="215">
        <f t="shared" si="13"/>
        <v>2270.26125</v>
      </c>
      <c r="L28" s="70"/>
      <c r="M28" s="215">
        <f>Zones!J28</f>
        <v>5</v>
      </c>
      <c r="N28" s="215">
        <f t="shared" si="3"/>
        <v>30270.149999999998</v>
      </c>
      <c r="O28" s="215">
        <f t="shared" si="4"/>
        <v>756.75375000000008</v>
      </c>
      <c r="P28" s="215">
        <f t="shared" si="5"/>
        <v>11351.30625</v>
      </c>
      <c r="Q28" s="2"/>
      <c r="R28" s="2"/>
      <c r="S28" s="2"/>
      <c r="T28" s="2"/>
      <c r="U28" s="2"/>
      <c r="V28" s="82"/>
    </row>
    <row r="29" spans="1:22" x14ac:dyDescent="0.25">
      <c r="A29" s="366" t="str">
        <f>Zones!C29</f>
        <v>Office Area (&lt;250 square feet)</v>
      </c>
      <c r="B29" s="366" t="str">
        <f>Zones!B29</f>
        <v>CLASSRM N_FLR 1_OFFICE - LT 250 SF_ZN</v>
      </c>
      <c r="C29" s="215">
        <f>Zones!K29</f>
        <v>1.44065</v>
      </c>
      <c r="D29" s="215">
        <f>Zones!H29</f>
        <v>288.13</v>
      </c>
      <c r="E29" s="604">
        <v>15</v>
      </c>
      <c r="F29" s="604">
        <v>0.15</v>
      </c>
      <c r="G29" s="104"/>
      <c r="H29" s="215">
        <f t="shared" si="10"/>
        <v>21.609749999999998</v>
      </c>
      <c r="I29" s="367">
        <f t="shared" si="11"/>
        <v>43.219499999999996</v>
      </c>
      <c r="J29" s="367">
        <f t="shared" si="12"/>
        <v>0</v>
      </c>
      <c r="K29" s="215">
        <f t="shared" si="13"/>
        <v>43.219499999999996</v>
      </c>
      <c r="L29" s="70"/>
      <c r="M29" s="215">
        <f>Zones!J29</f>
        <v>6</v>
      </c>
      <c r="N29" s="215">
        <f t="shared" si="3"/>
        <v>1728.78</v>
      </c>
      <c r="O29" s="215">
        <f t="shared" si="4"/>
        <v>8.6439000000000004</v>
      </c>
      <c r="P29" s="215">
        <f t="shared" si="5"/>
        <v>259.31700000000001</v>
      </c>
      <c r="Q29" s="2"/>
      <c r="R29" s="2"/>
      <c r="S29" s="2"/>
      <c r="T29" s="2"/>
      <c r="U29" s="2"/>
      <c r="V29" s="82"/>
    </row>
    <row r="30" spans="1:22" x14ac:dyDescent="0.25">
      <c r="A30" s="366" t="str">
        <f>Zones!C30</f>
        <v>Restrooms</v>
      </c>
      <c r="B30" s="366" t="str">
        <f>Zones!B30</f>
        <v>CLASSRM N_FLR 1_RESTROOM_ZN</v>
      </c>
      <c r="C30" s="215">
        <f>Zones!K30</f>
        <v>2.6635</v>
      </c>
      <c r="D30" s="215">
        <f>Zones!H30</f>
        <v>532.70000000000005</v>
      </c>
      <c r="E30" s="604">
        <v>0</v>
      </c>
      <c r="F30" s="604">
        <v>0</v>
      </c>
      <c r="G30" s="214">
        <v>0.5</v>
      </c>
      <c r="H30" s="215">
        <f t="shared" si="10"/>
        <v>0</v>
      </c>
      <c r="I30" s="367">
        <f t="shared" si="11"/>
        <v>0</v>
      </c>
      <c r="J30" s="367">
        <f t="shared" si="12"/>
        <v>266.35000000000002</v>
      </c>
      <c r="K30" s="215">
        <f t="shared" si="13"/>
        <v>266.35000000000002</v>
      </c>
      <c r="L30" s="70"/>
      <c r="M30" s="215">
        <f>Zones!J30</f>
        <v>2</v>
      </c>
      <c r="N30" s="215">
        <f t="shared" si="3"/>
        <v>1065.4000000000001</v>
      </c>
      <c r="O30" s="215">
        <f t="shared" si="4"/>
        <v>5.327</v>
      </c>
      <c r="P30" s="215">
        <f t="shared" si="5"/>
        <v>532.70000000000005</v>
      </c>
      <c r="Q30" s="2"/>
      <c r="R30" s="2"/>
      <c r="S30" s="2"/>
      <c r="T30" s="2"/>
      <c r="U30" s="2"/>
      <c r="V30" s="82"/>
    </row>
    <row r="31" spans="1:22" x14ac:dyDescent="0.25">
      <c r="A31" s="366" t="str">
        <f>Zones!C31</f>
        <v>Classroom, Lecture, Training, Vocational Areas</v>
      </c>
      <c r="B31" s="366" t="str">
        <f>Zones!B31</f>
        <v>CLASSRM N_FLR 2_CLASSROOM-01 ZNS 6_ZN</v>
      </c>
      <c r="C31" s="215">
        <f>Zones!K31</f>
        <v>151.35075000000001</v>
      </c>
      <c r="D31" s="215">
        <f>Zones!H31</f>
        <v>6054.03</v>
      </c>
      <c r="E31" s="604">
        <v>15</v>
      </c>
      <c r="F31" s="604">
        <v>0.15</v>
      </c>
      <c r="G31" s="104"/>
      <c r="H31" s="215">
        <f t="shared" si="10"/>
        <v>2270.26125</v>
      </c>
      <c r="I31" s="367">
        <f t="shared" si="11"/>
        <v>908.10449999999992</v>
      </c>
      <c r="J31" s="367">
        <f t="shared" si="12"/>
        <v>0</v>
      </c>
      <c r="K31" s="215">
        <f t="shared" si="13"/>
        <v>2270.26125</v>
      </c>
      <c r="L31" s="70"/>
      <c r="M31" s="215">
        <f>Zones!J31</f>
        <v>5</v>
      </c>
      <c r="N31" s="215">
        <f t="shared" si="3"/>
        <v>30270.149999999998</v>
      </c>
      <c r="O31" s="215">
        <f t="shared" si="4"/>
        <v>756.75375000000008</v>
      </c>
      <c r="P31" s="215">
        <f t="shared" si="5"/>
        <v>11351.30625</v>
      </c>
      <c r="Q31" s="2"/>
      <c r="R31" s="2"/>
      <c r="S31" s="2"/>
      <c r="T31" s="2"/>
      <c r="U31" s="2"/>
      <c r="V31" s="82"/>
    </row>
    <row r="32" spans="1:22" x14ac:dyDescent="0.25">
      <c r="A32" s="366" t="str">
        <f>Zones!C32</f>
        <v>Classroom, Lecture, Training, Vocational Areas</v>
      </c>
      <c r="B32" s="366" t="str">
        <f>Zones!B32</f>
        <v>CLASSRM N_FLR 2_CLASSROOM-02_ZN</v>
      </c>
      <c r="C32" s="215">
        <f>Zones!K32</f>
        <v>25.043749999999999</v>
      </c>
      <c r="D32" s="215">
        <f>Zones!H32</f>
        <v>1001.75</v>
      </c>
      <c r="E32" s="604">
        <v>15</v>
      </c>
      <c r="F32" s="604">
        <v>0.15</v>
      </c>
      <c r="G32" s="104"/>
      <c r="H32" s="215">
        <f t="shared" si="10"/>
        <v>375.65625</v>
      </c>
      <c r="I32" s="367">
        <f t="shared" si="11"/>
        <v>150.26249999999999</v>
      </c>
      <c r="J32" s="367">
        <f t="shared" si="12"/>
        <v>0</v>
      </c>
      <c r="K32" s="215">
        <f t="shared" si="13"/>
        <v>375.65625</v>
      </c>
      <c r="L32" s="70"/>
      <c r="M32" s="215">
        <f>Zones!J32</f>
        <v>3</v>
      </c>
      <c r="N32" s="215">
        <f t="shared" si="3"/>
        <v>3005.25</v>
      </c>
      <c r="O32" s="215">
        <f t="shared" si="4"/>
        <v>75.131249999999994</v>
      </c>
      <c r="P32" s="215">
        <f t="shared" si="5"/>
        <v>1126.96875</v>
      </c>
      <c r="Q32" s="2"/>
      <c r="R32" s="2"/>
      <c r="S32" s="2"/>
      <c r="T32" s="2"/>
      <c r="U32" s="2"/>
      <c r="V32" s="82"/>
    </row>
    <row r="33" spans="1:22" x14ac:dyDescent="0.25">
      <c r="A33" s="366" t="str">
        <f>Zones!C33</f>
        <v>Office Area (&lt;250 square feet)</v>
      </c>
      <c r="B33" s="366" t="str">
        <f>Zones!B33</f>
        <v>CLASSRM N_FLR 2_OFFICE - LT 250 SF_ZN</v>
      </c>
      <c r="C33" s="215">
        <f>Zones!K33</f>
        <v>1.44065</v>
      </c>
      <c r="D33" s="215">
        <f>Zones!H33</f>
        <v>288.13</v>
      </c>
      <c r="E33" s="604">
        <v>15</v>
      </c>
      <c r="F33" s="604">
        <v>0.15</v>
      </c>
      <c r="G33" s="104"/>
      <c r="H33" s="215">
        <f t="shared" si="10"/>
        <v>21.609749999999998</v>
      </c>
      <c r="I33" s="367">
        <f t="shared" si="11"/>
        <v>43.219499999999996</v>
      </c>
      <c r="J33" s="367">
        <f t="shared" si="12"/>
        <v>0</v>
      </c>
      <c r="K33" s="215">
        <f t="shared" si="13"/>
        <v>43.219499999999996</v>
      </c>
      <c r="L33" s="70"/>
      <c r="M33" s="215">
        <f>Zones!J33</f>
        <v>6</v>
      </c>
      <c r="N33" s="215">
        <f t="shared" si="3"/>
        <v>1728.78</v>
      </c>
      <c r="O33" s="215">
        <f t="shared" si="4"/>
        <v>8.6439000000000004</v>
      </c>
      <c r="P33" s="215">
        <f t="shared" si="5"/>
        <v>259.31700000000001</v>
      </c>
      <c r="Q33" s="2"/>
      <c r="R33" s="2"/>
      <c r="S33" s="2"/>
      <c r="T33" s="2"/>
      <c r="U33" s="2"/>
      <c r="V33" s="82"/>
    </row>
    <row r="34" spans="1:22" x14ac:dyDescent="0.25">
      <c r="A34" s="366" t="str">
        <f>Zones!C34</f>
        <v>Restrooms</v>
      </c>
      <c r="B34" s="366" t="str">
        <f>Zones!B34</f>
        <v>CLASSRM N_FLR 2_RESTROOM_ZN</v>
      </c>
      <c r="C34" s="215">
        <f>Zones!K34</f>
        <v>2.6635</v>
      </c>
      <c r="D34" s="215">
        <f>Zones!H34</f>
        <v>532.70000000000005</v>
      </c>
      <c r="E34" s="604">
        <v>0</v>
      </c>
      <c r="F34" s="604">
        <v>0</v>
      </c>
      <c r="G34" s="214">
        <v>0.5</v>
      </c>
      <c r="H34" s="215">
        <f t="shared" si="10"/>
        <v>0</v>
      </c>
      <c r="I34" s="367">
        <f t="shared" si="11"/>
        <v>0</v>
      </c>
      <c r="J34" s="367">
        <f t="shared" si="12"/>
        <v>266.35000000000002</v>
      </c>
      <c r="K34" s="215">
        <f t="shared" si="13"/>
        <v>266.35000000000002</v>
      </c>
      <c r="L34" s="70"/>
      <c r="M34" s="215">
        <f>Zones!J34</f>
        <v>2</v>
      </c>
      <c r="N34" s="215">
        <f t="shared" si="3"/>
        <v>1065.4000000000001</v>
      </c>
      <c r="O34" s="215">
        <f t="shared" si="4"/>
        <v>5.327</v>
      </c>
      <c r="P34" s="215">
        <f t="shared" si="5"/>
        <v>532.70000000000005</v>
      </c>
      <c r="Q34" s="2"/>
      <c r="R34" s="2"/>
      <c r="S34" s="2"/>
      <c r="T34" s="2"/>
      <c r="U34" s="2"/>
      <c r="V34" s="82"/>
    </row>
    <row r="35" spans="1:22" x14ac:dyDescent="0.25">
      <c r="A35" s="366" t="str">
        <f>Zones!C35</f>
        <v>Electrical, Mechanical, Telephone Rooms</v>
      </c>
      <c r="B35" s="366" t="str">
        <f>Zones!B35</f>
        <v>CLASSRM SHOP_EMT_ZN</v>
      </c>
      <c r="C35" s="215">
        <f>Zones!K35</f>
        <v>0.85435000000000005</v>
      </c>
      <c r="D35" s="215">
        <f>Zones!H35</f>
        <v>170.87</v>
      </c>
      <c r="E35" s="604">
        <v>15</v>
      </c>
      <c r="F35" s="604">
        <v>0.15</v>
      </c>
      <c r="G35" s="104"/>
      <c r="H35" s="215">
        <f t="shared" si="10"/>
        <v>12.815250000000001</v>
      </c>
      <c r="I35" s="367">
        <f t="shared" si="11"/>
        <v>25.630500000000001</v>
      </c>
      <c r="J35" s="367">
        <f t="shared" si="12"/>
        <v>0</v>
      </c>
      <c r="K35" s="215">
        <f t="shared" si="13"/>
        <v>25.630500000000001</v>
      </c>
      <c r="L35" s="70"/>
      <c r="M35" s="215">
        <f>Zones!J35</f>
        <v>1</v>
      </c>
      <c r="N35" s="215">
        <f t="shared" si="3"/>
        <v>170.87</v>
      </c>
      <c r="O35" s="215">
        <f t="shared" si="4"/>
        <v>0.85435000000000005</v>
      </c>
      <c r="P35" s="215">
        <f t="shared" si="5"/>
        <v>25.630500000000001</v>
      </c>
      <c r="Q35" s="2"/>
      <c r="R35" s="2"/>
      <c r="S35" s="2"/>
      <c r="T35" s="2"/>
      <c r="U35" s="2"/>
      <c r="V35" s="82"/>
    </row>
    <row r="36" spans="1:22" x14ac:dyDescent="0.25">
      <c r="A36" s="366" t="str">
        <f>Zones!C36</f>
        <v>Electrical, Mechanical, Telephone Rooms</v>
      </c>
      <c r="B36" s="366" t="str">
        <f>Zones!B36</f>
        <v>CLASSRM SHOP_IDF ROOM_ZN</v>
      </c>
      <c r="C36" s="215">
        <f>Zones!K36</f>
        <v>0.42740000000000006</v>
      </c>
      <c r="D36" s="215">
        <f>Zones!H36</f>
        <v>85.48</v>
      </c>
      <c r="E36" s="604">
        <v>15</v>
      </c>
      <c r="F36" s="604">
        <v>0.15</v>
      </c>
      <c r="G36" s="104"/>
      <c r="H36" s="215">
        <f t="shared" si="10"/>
        <v>6.4110000000000005</v>
      </c>
      <c r="I36" s="367">
        <f t="shared" si="11"/>
        <v>12.822000000000001</v>
      </c>
      <c r="J36" s="367">
        <f t="shared" si="12"/>
        <v>0</v>
      </c>
      <c r="K36" s="215">
        <f t="shared" si="13"/>
        <v>12.822000000000001</v>
      </c>
      <c r="L36" s="70"/>
      <c r="M36" s="215">
        <f>Zones!J36</f>
        <v>1</v>
      </c>
      <c r="N36" s="215">
        <f t="shared" si="3"/>
        <v>85.48</v>
      </c>
      <c r="O36" s="215">
        <f t="shared" si="4"/>
        <v>0.42740000000000006</v>
      </c>
      <c r="P36" s="215">
        <f t="shared" si="5"/>
        <v>12.822000000000001</v>
      </c>
      <c r="Q36" s="2"/>
      <c r="R36" s="2"/>
      <c r="S36" s="2"/>
      <c r="T36" s="2"/>
      <c r="U36" s="2"/>
      <c r="V36" s="82"/>
    </row>
    <row r="37" spans="1:22" x14ac:dyDescent="0.25">
      <c r="A37" s="366" t="str">
        <f>Zones!C37</f>
        <v>Restrooms</v>
      </c>
      <c r="B37" s="366" t="str">
        <f>Zones!B37</f>
        <v>CLASSRM SHOP_RESTROOM_ZN</v>
      </c>
      <c r="C37" s="215">
        <f>Zones!K37</f>
        <v>1.3301499999999999</v>
      </c>
      <c r="D37" s="215">
        <f>Zones!H37</f>
        <v>266.02999999999997</v>
      </c>
      <c r="E37" s="604">
        <v>0</v>
      </c>
      <c r="F37" s="604">
        <v>0</v>
      </c>
      <c r="G37" s="214">
        <v>0.5</v>
      </c>
      <c r="H37" s="215">
        <f t="shared" si="10"/>
        <v>0</v>
      </c>
      <c r="I37" s="367">
        <f t="shared" si="11"/>
        <v>0</v>
      </c>
      <c r="J37" s="367">
        <f t="shared" si="12"/>
        <v>133.01499999999999</v>
      </c>
      <c r="K37" s="215">
        <f t="shared" si="13"/>
        <v>133.01499999999999</v>
      </c>
      <c r="L37" s="70"/>
      <c r="M37" s="215">
        <f>Zones!J37</f>
        <v>1</v>
      </c>
      <c r="N37" s="215">
        <f t="shared" si="3"/>
        <v>266.02999999999997</v>
      </c>
      <c r="O37" s="215">
        <f t="shared" si="4"/>
        <v>1.3301499999999999</v>
      </c>
      <c r="P37" s="215">
        <f t="shared" si="5"/>
        <v>133.01499999999999</v>
      </c>
      <c r="Q37" s="2"/>
      <c r="R37" s="2"/>
      <c r="S37" s="2"/>
      <c r="T37" s="2"/>
      <c r="U37" s="2"/>
      <c r="V37" s="82"/>
    </row>
    <row r="38" spans="1:22" x14ac:dyDescent="0.25">
      <c r="A38" s="366" t="str">
        <f>Zones!C38</f>
        <v>Wood/Metal Shop Classroom</v>
      </c>
      <c r="B38" s="366" t="str">
        <f>Zones!B38</f>
        <v>CLASSRM SHOP_SHOP-01 ZNS 4_ZN</v>
      </c>
      <c r="C38" s="215">
        <f>Zones!K38</f>
        <v>54.945399999999999</v>
      </c>
      <c r="D38" s="215">
        <f>Zones!H38</f>
        <v>5494.54</v>
      </c>
      <c r="E38" s="604">
        <v>15</v>
      </c>
      <c r="F38" s="604">
        <v>0.15</v>
      </c>
      <c r="G38" s="214">
        <v>0.5</v>
      </c>
      <c r="H38" s="215">
        <f t="shared" si="10"/>
        <v>824.18100000000004</v>
      </c>
      <c r="I38" s="367">
        <f t="shared" si="11"/>
        <v>824.18099999999993</v>
      </c>
      <c r="J38" s="367">
        <f t="shared" si="12"/>
        <v>2747.27</v>
      </c>
      <c r="K38" s="215">
        <f t="shared" si="13"/>
        <v>2747.27</v>
      </c>
      <c r="L38" s="367" t="s">
        <v>413</v>
      </c>
      <c r="M38" s="215">
        <f>Zones!J38</f>
        <v>1</v>
      </c>
      <c r="N38" s="215">
        <f t="shared" si="3"/>
        <v>5494.54</v>
      </c>
      <c r="O38" s="215">
        <f t="shared" si="4"/>
        <v>54.945399999999999</v>
      </c>
      <c r="P38" s="215">
        <f t="shared" si="5"/>
        <v>2747.27</v>
      </c>
      <c r="Q38" s="2"/>
      <c r="R38" s="2"/>
      <c r="S38" s="2"/>
      <c r="T38" s="2"/>
      <c r="U38" s="2"/>
      <c r="V38" s="82"/>
    </row>
    <row r="39" spans="1:22" x14ac:dyDescent="0.25">
      <c r="A39" s="366" t="str">
        <f>Zones!C39</f>
        <v>Wood/Metal Shop Classroom</v>
      </c>
      <c r="B39" s="366" t="str">
        <f>Zones!B39</f>
        <v>CLASSRM SHOP_SHOP-02_ZN</v>
      </c>
      <c r="C39" s="215">
        <f>Zones!K39</f>
        <v>14.401400000000001</v>
      </c>
      <c r="D39" s="215">
        <f>Zones!H39</f>
        <v>1440.14</v>
      </c>
      <c r="E39" s="604">
        <v>15</v>
      </c>
      <c r="F39" s="604">
        <v>0.15</v>
      </c>
      <c r="G39" s="214">
        <v>0.5</v>
      </c>
      <c r="H39" s="215">
        <f t="shared" si="10"/>
        <v>216.02100000000002</v>
      </c>
      <c r="I39" s="367">
        <f t="shared" si="11"/>
        <v>216.02100000000002</v>
      </c>
      <c r="J39" s="367">
        <f t="shared" si="12"/>
        <v>720.07</v>
      </c>
      <c r="K39" s="215">
        <f t="shared" si="13"/>
        <v>720.07</v>
      </c>
      <c r="L39" s="70"/>
      <c r="M39" s="215">
        <f>Zones!J39</f>
        <v>1</v>
      </c>
      <c r="N39" s="215">
        <f t="shared" si="3"/>
        <v>1440.14</v>
      </c>
      <c r="O39" s="215">
        <f t="shared" si="4"/>
        <v>14.401400000000001</v>
      </c>
      <c r="P39" s="215">
        <f t="shared" si="5"/>
        <v>720.07</v>
      </c>
      <c r="Q39" s="2"/>
      <c r="R39" s="2"/>
      <c r="S39" s="2"/>
      <c r="T39" s="2"/>
      <c r="U39" s="2"/>
      <c r="V39" s="82"/>
    </row>
    <row r="40" spans="1:22" x14ac:dyDescent="0.25">
      <c r="A40" s="366" t="str">
        <f>Zones!C40</f>
        <v>Storage (General)</v>
      </c>
      <c r="B40" s="366" t="str">
        <f>Zones!B40</f>
        <v>CLASSRM SHOP_STORAGE - GENERAL_ZN</v>
      </c>
      <c r="C40" s="215">
        <f>Zones!K40</f>
        <v>5.9189999999999996</v>
      </c>
      <c r="D40" s="215">
        <f>Zones!H40</f>
        <v>1183.8</v>
      </c>
      <c r="E40" s="604">
        <v>15</v>
      </c>
      <c r="F40" s="604">
        <v>0.15</v>
      </c>
      <c r="G40" s="104"/>
      <c r="H40" s="215">
        <f t="shared" si="10"/>
        <v>88.784999999999997</v>
      </c>
      <c r="I40" s="367">
        <f t="shared" si="11"/>
        <v>177.57</v>
      </c>
      <c r="J40" s="367">
        <f t="shared" si="12"/>
        <v>0</v>
      </c>
      <c r="K40" s="215">
        <f t="shared" si="13"/>
        <v>177.57</v>
      </c>
      <c r="L40" s="70"/>
      <c r="M40" s="215">
        <f>Zones!J40</f>
        <v>1</v>
      </c>
      <c r="N40" s="215">
        <f t="shared" si="3"/>
        <v>1183.8</v>
      </c>
      <c r="O40" s="215">
        <f t="shared" si="4"/>
        <v>5.9189999999999996</v>
      </c>
      <c r="P40" s="215">
        <f t="shared" si="5"/>
        <v>177.57</v>
      </c>
      <c r="Q40" s="2"/>
      <c r="R40" s="2"/>
      <c r="S40" s="2"/>
      <c r="T40" s="2"/>
      <c r="U40" s="2"/>
      <c r="V40" s="82"/>
    </row>
    <row r="41" spans="1:22" x14ac:dyDescent="0.25">
      <c r="A41" s="366" t="str">
        <f>Zones!C41</f>
        <v>Exercise/Fitness Center and Gymnasium Areas</v>
      </c>
      <c r="B41" s="366" t="str">
        <f>Zones!B41</f>
        <v>COURTS - AUX ZN</v>
      </c>
      <c r="C41" s="215">
        <f>Zones!K41</f>
        <v>51.845100000000009</v>
      </c>
      <c r="D41" s="215">
        <f>Zones!H41</f>
        <v>5184.51</v>
      </c>
      <c r="E41" s="604">
        <v>15</v>
      </c>
      <c r="F41" s="604">
        <v>0.15</v>
      </c>
      <c r="G41" s="104"/>
      <c r="H41" s="215">
        <f t="shared" si="10"/>
        <v>777.67650000000015</v>
      </c>
      <c r="I41" s="367">
        <f t="shared" si="11"/>
        <v>777.67650000000003</v>
      </c>
      <c r="J41" s="367">
        <f t="shared" si="12"/>
        <v>0</v>
      </c>
      <c r="K41" s="215">
        <f t="shared" si="13"/>
        <v>777.67650000000015</v>
      </c>
      <c r="L41" s="70"/>
      <c r="M41" s="215">
        <f>Zones!J41</f>
        <v>1</v>
      </c>
      <c r="N41" s="215">
        <f t="shared" si="3"/>
        <v>5184.51</v>
      </c>
      <c r="O41" s="215">
        <f t="shared" si="4"/>
        <v>51.845100000000009</v>
      </c>
      <c r="P41" s="215">
        <f t="shared" si="5"/>
        <v>777.67650000000015</v>
      </c>
      <c r="Q41" s="2"/>
      <c r="R41" s="2"/>
      <c r="S41" s="2"/>
      <c r="T41" s="2"/>
      <c r="U41" s="2"/>
      <c r="V41" s="82"/>
    </row>
    <row r="42" spans="1:22" x14ac:dyDescent="0.25">
      <c r="A42" s="366" t="str">
        <f>Zones!C42</f>
        <v>Exercise/Fitness Center and Gymnasium Areas</v>
      </c>
      <c r="B42" s="366" t="str">
        <f>Zones!B42</f>
        <v>COURTS ZN</v>
      </c>
      <c r="C42" s="215">
        <f>Zones!K42</f>
        <v>120.9718</v>
      </c>
      <c r="D42" s="215">
        <f>Zones!H42</f>
        <v>12097.18</v>
      </c>
      <c r="E42" s="604">
        <v>15</v>
      </c>
      <c r="F42" s="604">
        <v>0.15</v>
      </c>
      <c r="G42" s="104"/>
      <c r="H42" s="215">
        <f t="shared" si="10"/>
        <v>1814.577</v>
      </c>
      <c r="I42" s="367">
        <f t="shared" si="11"/>
        <v>1814.577</v>
      </c>
      <c r="J42" s="367">
        <f t="shared" si="12"/>
        <v>0</v>
      </c>
      <c r="K42" s="215">
        <f t="shared" si="13"/>
        <v>1814.577</v>
      </c>
      <c r="L42" s="70"/>
      <c r="M42" s="215">
        <f>Zones!J42</f>
        <v>1</v>
      </c>
      <c r="N42" s="215">
        <f t="shared" si="3"/>
        <v>12097.18</v>
      </c>
      <c r="O42" s="215">
        <f t="shared" si="4"/>
        <v>120.9718</v>
      </c>
      <c r="P42" s="215">
        <f t="shared" si="5"/>
        <v>1814.577</v>
      </c>
      <c r="Q42" s="2"/>
      <c r="R42" s="2"/>
      <c r="S42" s="2"/>
      <c r="T42" s="2"/>
      <c r="U42" s="2"/>
      <c r="V42" s="82"/>
    </row>
    <row r="43" spans="1:22" x14ac:dyDescent="0.25">
      <c r="A43" s="366" t="str">
        <f>Zones!C43</f>
        <v>Locker Room</v>
      </c>
      <c r="B43" s="366" t="str">
        <f>Zones!B43</f>
        <v>LOCKERS ZN</v>
      </c>
      <c r="C43" s="215">
        <f>Zones!K43</f>
        <v>38.163699999999999</v>
      </c>
      <c r="D43" s="215">
        <f>Zones!H43</f>
        <v>7632.74</v>
      </c>
      <c r="E43" s="604">
        <v>15</v>
      </c>
      <c r="F43" s="604">
        <v>0.15</v>
      </c>
      <c r="G43" s="214">
        <v>0.5</v>
      </c>
      <c r="H43" s="215">
        <f t="shared" si="10"/>
        <v>572.45550000000003</v>
      </c>
      <c r="I43" s="367">
        <f t="shared" si="11"/>
        <v>1144.9109999999998</v>
      </c>
      <c r="J43" s="367">
        <f t="shared" si="12"/>
        <v>3816.37</v>
      </c>
      <c r="K43" s="215">
        <f t="shared" si="13"/>
        <v>3816.37</v>
      </c>
      <c r="L43" s="367" t="s">
        <v>414</v>
      </c>
      <c r="M43" s="215">
        <f>Zones!J43</f>
        <v>1</v>
      </c>
      <c r="N43" s="215">
        <f t="shared" si="3"/>
        <v>7632.74</v>
      </c>
      <c r="O43" s="215">
        <f t="shared" si="4"/>
        <v>38.163699999999999</v>
      </c>
      <c r="P43" s="215">
        <f t="shared" si="5"/>
        <v>3816.37</v>
      </c>
      <c r="Q43" s="2"/>
      <c r="R43" s="2"/>
      <c r="S43" s="2"/>
      <c r="T43" s="2"/>
      <c r="U43" s="2"/>
      <c r="V43" s="82"/>
    </row>
    <row r="44" spans="1:22" x14ac:dyDescent="0.25">
      <c r="A44" s="366" t="str">
        <f>Zones!C44</f>
        <v>Exercise/Fitness Center and Gymnasium Areas</v>
      </c>
      <c r="B44" s="366" t="str">
        <f>Zones!B44</f>
        <v>ROOMS &amp; STUDIOS ZN</v>
      </c>
      <c r="C44" s="215">
        <f>Zones!K44</f>
        <v>46.084499999999998</v>
      </c>
      <c r="D44" s="215">
        <f>Zones!H44</f>
        <v>4608.45</v>
      </c>
      <c r="E44" s="604">
        <v>15</v>
      </c>
      <c r="F44" s="604">
        <v>0.15</v>
      </c>
      <c r="G44" s="104"/>
      <c r="H44" s="215">
        <f t="shared" si="10"/>
        <v>691.26749999999993</v>
      </c>
      <c r="I44" s="367">
        <f t="shared" si="11"/>
        <v>691.26749999999993</v>
      </c>
      <c r="J44" s="367">
        <f t="shared" si="12"/>
        <v>0</v>
      </c>
      <c r="K44" s="215">
        <f t="shared" si="13"/>
        <v>691.26749999999993</v>
      </c>
      <c r="L44" s="70"/>
      <c r="M44" s="215">
        <f>Zones!J44</f>
        <v>1</v>
      </c>
      <c r="N44" s="215">
        <f t="shared" si="3"/>
        <v>4608.45</v>
      </c>
      <c r="O44" s="215">
        <f t="shared" si="4"/>
        <v>46.084499999999998</v>
      </c>
      <c r="P44" s="215">
        <f t="shared" si="5"/>
        <v>691.26749999999993</v>
      </c>
      <c r="Q44" s="2"/>
      <c r="R44" s="2"/>
      <c r="S44" s="2"/>
      <c r="T44" s="2"/>
      <c r="U44" s="2"/>
      <c r="V44" s="82"/>
    </row>
    <row r="45" spans="1:22" x14ac:dyDescent="0.25">
      <c r="A45" s="235"/>
      <c r="B45" s="235" t="str">
        <f>Zones!B45</f>
        <v>Total (42 spaces)</v>
      </c>
      <c r="C45" s="112">
        <f>Zones!K45</f>
        <v>1221.37238</v>
      </c>
      <c r="D45" s="112">
        <f>Zones!H45</f>
        <v>79502.25</v>
      </c>
      <c r="E45" s="592"/>
      <c r="F45" s="592"/>
      <c r="G45" s="592"/>
      <c r="H45" s="215">
        <f>SUM(H3:H44)</f>
        <v>18068.683199999999</v>
      </c>
      <c r="I45" s="215">
        <f>SUM(I3:I44)</f>
        <v>11383.7745</v>
      </c>
      <c r="J45" s="215">
        <f>SUM(J3:J44)</f>
        <v>15290.134999999998</v>
      </c>
      <c r="K45" s="215">
        <f>SUM(K3:K44)</f>
        <v>30208.809199999996</v>
      </c>
      <c r="L45" s="592"/>
      <c r="M45" s="215"/>
      <c r="N45" s="215">
        <f>SUM(N3:N44)</f>
        <v>174819.03</v>
      </c>
      <c r="O45" s="215">
        <f>SUM(O3:O44)</f>
        <v>2970.3672800000004</v>
      </c>
      <c r="P45" s="215">
        <f>SUM(P3:P44)</f>
        <v>59748.84895</v>
      </c>
      <c r="Q45" s="2"/>
      <c r="R45" s="2"/>
      <c r="S45" s="2"/>
      <c r="T45" s="2"/>
      <c r="U45" s="2"/>
      <c r="V45" s="2"/>
    </row>
    <row r="46" spans="1:22" x14ac:dyDescent="0.25">
      <c r="A46" s="2"/>
      <c r="B46" s="2"/>
      <c r="C46" s="2"/>
      <c r="D46" s="2"/>
      <c r="E46" s="2"/>
      <c r="F46" s="2"/>
      <c r="G46" s="2"/>
      <c r="H46" s="2"/>
      <c r="I46" s="2"/>
      <c r="J46" s="2"/>
      <c r="K46" s="2"/>
      <c r="L46" s="2"/>
      <c r="M46" s="2"/>
      <c r="N46" s="2"/>
      <c r="O46" s="2"/>
      <c r="P46" s="2"/>
      <c r="Q46" s="2"/>
      <c r="R46" s="2"/>
      <c r="S46" s="2"/>
      <c r="T46" s="2"/>
      <c r="U46" s="2"/>
      <c r="V46" s="2"/>
    </row>
    <row r="47" spans="1:22" x14ac:dyDescent="0.25">
      <c r="A47" s="366" t="s">
        <v>415</v>
      </c>
      <c r="B47" s="366" t="str">
        <f>B9</f>
        <v>ADMIN/MPR_KITCHEN_ZN</v>
      </c>
      <c r="C47" s="215"/>
      <c r="D47" s="215">
        <f>D9</f>
        <v>1457.25</v>
      </c>
      <c r="E47" s="604"/>
      <c r="F47" s="604"/>
      <c r="G47" s="214">
        <f>G9</f>
        <v>0.7</v>
      </c>
      <c r="H47" s="70"/>
      <c r="I47" s="71"/>
      <c r="J47" s="71">
        <f>G47*D47</f>
        <v>1020.0749999999999</v>
      </c>
      <c r="K47" s="70">
        <f>J47</f>
        <v>1020.0749999999999</v>
      </c>
      <c r="L47" s="367" t="s">
        <v>416</v>
      </c>
      <c r="M47" s="2"/>
      <c r="N47" s="2"/>
      <c r="O47" s="2"/>
      <c r="P47" s="2"/>
      <c r="Q47" s="2"/>
      <c r="R47" s="2"/>
      <c r="S47" s="2"/>
      <c r="T47" s="2"/>
      <c r="U47" s="2"/>
      <c r="V47" s="2"/>
    </row>
    <row r="49" spans="1:1" s="4" customFormat="1" ht="13.2" x14ac:dyDescent="0.25">
      <c r="A49" s="66" t="s">
        <v>417</v>
      </c>
    </row>
  </sheetData>
  <mergeCells count="1">
    <mergeCell ref="A1:L1"/>
  </mergeCells>
  <phoneticPr fontId="4"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3AA08-0AC5-4FCC-829D-381EF7CA031C}">
  <sheetPr codeName="Sheet10"/>
  <dimension ref="A1:XFD289"/>
  <sheetViews>
    <sheetView zoomScaleNormal="100" workbookViewId="0">
      <selection sqref="A1:H1"/>
    </sheetView>
  </sheetViews>
  <sheetFormatPr defaultColWidth="8.6640625" defaultRowHeight="14.25" customHeight="1" x14ac:dyDescent="0.25"/>
  <cols>
    <col min="1" max="1" width="56" style="4" customWidth="1"/>
    <col min="2" max="3" width="22.5546875" style="4" customWidth="1"/>
    <col min="4" max="4" width="45.33203125" style="4" customWidth="1"/>
    <col min="5" max="5" width="28.109375" style="4" customWidth="1"/>
    <col min="6" max="6" width="21.44140625" style="4" customWidth="1"/>
    <col min="7" max="7" width="30.88671875" style="4" customWidth="1"/>
    <col min="8" max="8" width="20.5546875" style="4" customWidth="1"/>
    <col min="9" max="9" width="25.88671875" style="4" customWidth="1"/>
    <col min="10" max="10" width="21.33203125" style="4" customWidth="1"/>
    <col min="11" max="11" width="15.33203125" style="4" customWidth="1"/>
    <col min="12" max="12" width="49.6640625" style="4" customWidth="1"/>
    <col min="13" max="13" width="15.33203125" style="4" customWidth="1"/>
    <col min="14" max="14" width="12.33203125" style="4" customWidth="1"/>
    <col min="15" max="15" width="13.33203125" style="4" customWidth="1"/>
    <col min="16" max="16" width="15.33203125" style="4" customWidth="1"/>
    <col min="17" max="17" width="11" style="4" customWidth="1"/>
    <col min="18" max="21" width="15.33203125" style="4" customWidth="1"/>
    <col min="22" max="22" width="7.6640625" style="4" hidden="1" customWidth="1"/>
    <col min="23" max="23" width="12.44140625" style="4" hidden="1" customWidth="1"/>
    <col min="24" max="39" width="6.5546875" style="4" hidden="1" customWidth="1"/>
    <col min="40" max="40" width="15.33203125" style="4" customWidth="1"/>
    <col min="41" max="41" width="11.33203125" style="4" customWidth="1"/>
    <col min="42" max="42" width="6.33203125" style="4" customWidth="1"/>
    <col min="43" max="46" width="4.6640625" style="4" customWidth="1"/>
    <col min="47" max="47" width="6.33203125" style="4" customWidth="1"/>
    <col min="48" max="62" width="4.6640625" style="4" customWidth="1"/>
    <col min="63" max="16384" width="8.6640625" style="4"/>
  </cols>
  <sheetData>
    <row r="1" spans="1:42" ht="18" customHeight="1" x14ac:dyDescent="0.25">
      <c r="A1" s="725" t="str">
        <f>"Water Heater -"&amp;Prototype!A2</f>
        <v>Water Heater -SchoolHigh</v>
      </c>
      <c r="B1" s="726"/>
      <c r="C1" s="726"/>
      <c r="D1" s="726"/>
      <c r="E1" s="726"/>
      <c r="F1" s="726"/>
      <c r="G1" s="726"/>
      <c r="H1" s="726"/>
    </row>
    <row r="2" spans="1:42" ht="20.25" customHeight="1" x14ac:dyDescent="0.25">
      <c r="A2" s="614" t="s">
        <v>227</v>
      </c>
      <c r="B2" s="614" t="s">
        <v>418</v>
      </c>
      <c r="C2" s="614" t="s">
        <v>419</v>
      </c>
      <c r="D2" s="309" t="s">
        <v>420</v>
      </c>
      <c r="E2" s="614" t="s">
        <v>421</v>
      </c>
      <c r="F2" s="738" t="s">
        <v>422</v>
      </c>
      <c r="G2" s="739"/>
      <c r="H2" s="614" t="s">
        <v>289</v>
      </c>
    </row>
    <row r="3" spans="1:42" ht="53.25" customHeight="1" x14ac:dyDescent="0.25">
      <c r="A3" s="137" t="s">
        <v>423</v>
      </c>
      <c r="B3" s="124" t="s">
        <v>424</v>
      </c>
      <c r="C3" s="124">
        <v>0.8</v>
      </c>
      <c r="D3" s="598">
        <v>5</v>
      </c>
      <c r="E3" s="224" t="s">
        <v>425</v>
      </c>
      <c r="F3" s="225" t="s">
        <v>426</v>
      </c>
      <c r="G3" s="607" t="s">
        <v>427</v>
      </c>
      <c r="H3" s="607" t="s">
        <v>428</v>
      </c>
    </row>
    <row r="4" spans="1:42" ht="49.5" customHeight="1" x14ac:dyDescent="0.3">
      <c r="A4" s="137" t="s">
        <v>327</v>
      </c>
      <c r="B4" s="124" t="s">
        <v>429</v>
      </c>
      <c r="C4" s="223">
        <f>$B$67</f>
        <v>4.3</v>
      </c>
      <c r="D4" s="224">
        <v>5</v>
      </c>
      <c r="E4" s="224" t="s">
        <v>430</v>
      </c>
      <c r="F4" s="225" t="s">
        <v>431</v>
      </c>
      <c r="G4" s="607" t="s">
        <v>432</v>
      </c>
      <c r="H4" s="607" t="s">
        <v>433</v>
      </c>
      <c r="S4"/>
      <c r="T4"/>
      <c r="U4"/>
      <c r="V4"/>
      <c r="W4"/>
      <c r="X4"/>
      <c r="Y4"/>
      <c r="Z4"/>
      <c r="AA4"/>
      <c r="AB4"/>
      <c r="AC4"/>
      <c r="AD4"/>
      <c r="AE4"/>
      <c r="AF4"/>
      <c r="AG4"/>
      <c r="AH4"/>
      <c r="AI4"/>
      <c r="AJ4"/>
      <c r="AK4"/>
      <c r="AL4"/>
      <c r="AM4"/>
      <c r="AN4"/>
      <c r="AO4"/>
      <c r="AP4"/>
    </row>
    <row r="5" spans="1:42" ht="14.25" customHeight="1" x14ac:dyDescent="0.3">
      <c r="F5" s="10"/>
      <c r="R5"/>
      <c r="S5"/>
      <c r="T5"/>
      <c r="U5"/>
      <c r="V5"/>
      <c r="W5"/>
      <c r="X5"/>
      <c r="Y5"/>
      <c r="Z5"/>
      <c r="AA5"/>
      <c r="AB5"/>
      <c r="AC5"/>
      <c r="AD5"/>
      <c r="AE5"/>
      <c r="AF5"/>
      <c r="AG5"/>
      <c r="AH5"/>
      <c r="AI5"/>
      <c r="AJ5"/>
      <c r="AK5"/>
      <c r="AL5"/>
      <c r="AM5"/>
      <c r="AN5"/>
      <c r="AO5"/>
    </row>
    <row r="6" spans="1:42" ht="19.5" customHeight="1" x14ac:dyDescent="0.3">
      <c r="A6" s="654" t="s">
        <v>434</v>
      </c>
      <c r="B6" s="654"/>
      <c r="C6" s="654"/>
      <c r="D6" s="654"/>
      <c r="E6" s="654"/>
      <c r="F6" s="654"/>
      <c r="G6" s="654"/>
      <c r="H6" s="76"/>
      <c r="I6" s="76"/>
      <c r="R6"/>
      <c r="S6"/>
      <c r="T6"/>
      <c r="U6"/>
      <c r="V6"/>
      <c r="W6"/>
      <c r="X6"/>
      <c r="Y6"/>
      <c r="Z6"/>
      <c r="AA6"/>
      <c r="AB6"/>
      <c r="AC6"/>
      <c r="AD6"/>
      <c r="AE6"/>
      <c r="AF6"/>
      <c r="AG6"/>
      <c r="AH6"/>
      <c r="AI6"/>
      <c r="AJ6"/>
      <c r="AK6"/>
      <c r="AL6"/>
      <c r="AM6"/>
      <c r="AN6"/>
      <c r="AO6"/>
    </row>
    <row r="7" spans="1:42" ht="63.75" customHeight="1" x14ac:dyDescent="0.3">
      <c r="A7" s="378" t="s">
        <v>435</v>
      </c>
      <c r="B7" s="378" t="s">
        <v>436</v>
      </c>
      <c r="C7" s="378" t="s">
        <v>437</v>
      </c>
      <c r="D7" s="378" t="s">
        <v>438</v>
      </c>
      <c r="E7" s="378" t="s">
        <v>439</v>
      </c>
      <c r="F7" s="378" t="s">
        <v>440</v>
      </c>
      <c r="G7" s="378" t="s">
        <v>441</v>
      </c>
      <c r="R7"/>
      <c r="S7"/>
      <c r="T7"/>
      <c r="U7"/>
      <c r="V7"/>
      <c r="W7"/>
      <c r="X7"/>
      <c r="Y7"/>
      <c r="Z7"/>
      <c r="AA7"/>
      <c r="AB7"/>
      <c r="AC7"/>
      <c r="AD7"/>
      <c r="AE7"/>
      <c r="AF7"/>
      <c r="AG7"/>
      <c r="AH7"/>
      <c r="AI7"/>
      <c r="AJ7"/>
      <c r="AK7"/>
      <c r="AL7"/>
      <c r="AM7"/>
      <c r="AN7"/>
      <c r="AO7"/>
    </row>
    <row r="8" spans="1:42" ht="14.25" customHeight="1" x14ac:dyDescent="0.3">
      <c r="A8" s="100" t="str">
        <f>Zones!B3</f>
        <v>ADMIN/MPR_BREAKROOM_ZN</v>
      </c>
      <c r="B8" s="13" t="s">
        <v>429</v>
      </c>
      <c r="C8" s="64">
        <f>Zones!H3</f>
        <v>575.20000000000005</v>
      </c>
      <c r="D8" s="64">
        <f>Zones!K3</f>
        <v>18.981600000000004</v>
      </c>
      <c r="E8" s="65">
        <v>0.09</v>
      </c>
      <c r="F8" s="126">
        <f>E8*D8</f>
        <v>1.7083440000000003</v>
      </c>
      <c r="G8" s="116">
        <f>F8/60</f>
        <v>2.8472400000000005E-2</v>
      </c>
      <c r="R8"/>
      <c r="S8"/>
      <c r="T8"/>
      <c r="U8"/>
      <c r="V8"/>
      <c r="W8"/>
      <c r="X8"/>
      <c r="Y8"/>
      <c r="Z8"/>
      <c r="AA8"/>
      <c r="AB8"/>
      <c r="AC8"/>
      <c r="AD8"/>
      <c r="AE8"/>
      <c r="AF8"/>
      <c r="AG8"/>
      <c r="AH8"/>
      <c r="AI8"/>
      <c r="AJ8"/>
      <c r="AK8"/>
      <c r="AL8"/>
      <c r="AM8"/>
      <c r="AN8"/>
      <c r="AO8"/>
    </row>
    <row r="9" spans="1:42" ht="14.25" customHeight="1" x14ac:dyDescent="0.3">
      <c r="A9" s="100" t="str">
        <f>Zones!B4</f>
        <v>ADMIN/MPR_CAFETERIA ZNS 3_ZN</v>
      </c>
      <c r="B9" s="13" t="s">
        <v>429</v>
      </c>
      <c r="C9" s="64">
        <f>Zones!H4</f>
        <v>5512.19</v>
      </c>
      <c r="D9" s="64">
        <f>Zones!K4</f>
        <v>181.90226999999999</v>
      </c>
      <c r="E9" s="65">
        <v>0.57799999999999996</v>
      </c>
      <c r="F9" s="126">
        <f t="shared" ref="F9:F49" si="0">E9*D9</f>
        <v>105.13951205999999</v>
      </c>
      <c r="G9" s="116">
        <f t="shared" ref="G9:G49" si="1">F9/60</f>
        <v>1.7523252009999999</v>
      </c>
      <c r="R9"/>
      <c r="S9"/>
      <c r="T9"/>
      <c r="U9"/>
      <c r="V9"/>
      <c r="W9"/>
      <c r="X9"/>
      <c r="Y9"/>
      <c r="Z9"/>
      <c r="AA9"/>
      <c r="AB9"/>
      <c r="AC9"/>
      <c r="AD9"/>
      <c r="AE9"/>
      <c r="AF9"/>
      <c r="AG9"/>
      <c r="AH9"/>
      <c r="AI9"/>
      <c r="AJ9"/>
      <c r="AK9"/>
      <c r="AL9"/>
      <c r="AM9"/>
      <c r="AN9"/>
      <c r="AO9"/>
    </row>
    <row r="10" spans="1:42" ht="14.25" customHeight="1" x14ac:dyDescent="0.3">
      <c r="A10" s="100" t="str">
        <f>Zones!B5</f>
        <v>ADMIN/MPR_CONFERENCE ROOM ZNS 3_ZN</v>
      </c>
      <c r="B10" s="13" t="s">
        <v>429</v>
      </c>
      <c r="C10" s="64">
        <f>Zones!H5</f>
        <v>1674.74</v>
      </c>
      <c r="D10" s="64">
        <f>Zones!K5</f>
        <v>55.266419999999997</v>
      </c>
      <c r="E10" s="65">
        <v>0.09</v>
      </c>
      <c r="F10" s="126">
        <f t="shared" si="0"/>
        <v>4.9739777999999992</v>
      </c>
      <c r="G10" s="116">
        <f t="shared" si="1"/>
        <v>8.2899629999999988E-2</v>
      </c>
      <c r="R10"/>
      <c r="S10"/>
      <c r="T10"/>
      <c r="U10"/>
      <c r="V10"/>
      <c r="W10"/>
      <c r="X10"/>
      <c r="Y10"/>
      <c r="Z10"/>
      <c r="AA10"/>
      <c r="AB10"/>
      <c r="AC10"/>
      <c r="AD10"/>
      <c r="AE10"/>
      <c r="AF10"/>
      <c r="AG10"/>
      <c r="AH10"/>
      <c r="AI10"/>
      <c r="AJ10"/>
      <c r="AK10"/>
      <c r="AL10"/>
      <c r="AM10"/>
      <c r="AN10"/>
      <c r="AO10"/>
    </row>
    <row r="11" spans="1:42" ht="14.25" customHeight="1" x14ac:dyDescent="0.3">
      <c r="A11" s="100" t="str">
        <f>Zones!B6</f>
        <v>ADMIN/MPR_CORRIDOR_ZN</v>
      </c>
      <c r="B11" s="13" t="s">
        <v>429</v>
      </c>
      <c r="C11" s="64">
        <f>Zones!H6</f>
        <v>1161.52</v>
      </c>
      <c r="D11" s="64">
        <f>Zones!K6</f>
        <v>5.8076000000000008</v>
      </c>
      <c r="E11" s="65">
        <v>0</v>
      </c>
      <c r="F11" s="126">
        <f t="shared" si="0"/>
        <v>0</v>
      </c>
      <c r="G11" s="116">
        <f t="shared" si="1"/>
        <v>0</v>
      </c>
      <c r="R11"/>
      <c r="S11"/>
      <c r="T11"/>
      <c r="U11"/>
      <c r="V11"/>
      <c r="W11"/>
      <c r="X11"/>
      <c r="Y11"/>
      <c r="Z11"/>
      <c r="AA11"/>
      <c r="AB11"/>
      <c r="AC11"/>
      <c r="AD11"/>
      <c r="AE11"/>
      <c r="AF11"/>
      <c r="AG11"/>
      <c r="AH11"/>
      <c r="AI11"/>
      <c r="AJ11"/>
      <c r="AK11"/>
      <c r="AL11"/>
      <c r="AM11"/>
      <c r="AN11"/>
      <c r="AO11"/>
    </row>
    <row r="12" spans="1:42" ht="14.25" customHeight="1" x14ac:dyDescent="0.3">
      <c r="A12" s="100" t="str">
        <f>Zones!B7</f>
        <v>ADMIN/MPR_EMT_ZN</v>
      </c>
      <c r="B12" s="13" t="s">
        <v>429</v>
      </c>
      <c r="C12" s="64">
        <f>Zones!H7</f>
        <v>278.20999999999998</v>
      </c>
      <c r="D12" s="64">
        <f>Zones!K7</f>
        <v>1.3910499999999999</v>
      </c>
      <c r="E12" s="65">
        <v>0.18</v>
      </c>
      <c r="F12" s="126">
        <f t="shared" si="0"/>
        <v>0.25038899999999997</v>
      </c>
      <c r="G12" s="116">
        <f t="shared" si="1"/>
        <v>4.1731499999999996E-3</v>
      </c>
      <c r="R12"/>
      <c r="S12"/>
      <c r="T12"/>
      <c r="U12"/>
      <c r="V12"/>
      <c r="W12"/>
      <c r="X12"/>
      <c r="Y12"/>
      <c r="Z12"/>
      <c r="AA12"/>
      <c r="AB12"/>
      <c r="AC12"/>
      <c r="AD12"/>
      <c r="AE12"/>
      <c r="AF12"/>
      <c r="AG12"/>
      <c r="AH12"/>
      <c r="AI12"/>
      <c r="AJ12"/>
      <c r="AK12"/>
      <c r="AL12"/>
      <c r="AM12"/>
      <c r="AN12"/>
      <c r="AO12"/>
    </row>
    <row r="13" spans="1:42" ht="14.25" customHeight="1" x14ac:dyDescent="0.3">
      <c r="A13" s="100" t="str">
        <f>Zones!B8</f>
        <v>ADMIN/MPR_IDF ROOM_ZN</v>
      </c>
      <c r="B13" s="13" t="s">
        <v>429</v>
      </c>
      <c r="C13" s="64">
        <f>Zones!H8</f>
        <v>340.23</v>
      </c>
      <c r="D13" s="64">
        <f>Zones!K8</f>
        <v>1.7011500000000002</v>
      </c>
      <c r="E13" s="65">
        <v>0.18</v>
      </c>
      <c r="F13" s="126">
        <f t="shared" si="0"/>
        <v>0.30620700000000001</v>
      </c>
      <c r="G13" s="116">
        <f t="shared" si="1"/>
        <v>5.1034499999999998E-3</v>
      </c>
      <c r="R13"/>
      <c r="S13"/>
      <c r="T13"/>
      <c r="U13"/>
      <c r="V13"/>
      <c r="W13"/>
      <c r="X13"/>
      <c r="Y13"/>
      <c r="Z13"/>
      <c r="AA13"/>
      <c r="AB13"/>
      <c r="AC13"/>
      <c r="AD13"/>
      <c r="AE13"/>
      <c r="AF13"/>
      <c r="AG13"/>
      <c r="AH13"/>
      <c r="AI13"/>
      <c r="AJ13"/>
      <c r="AK13"/>
      <c r="AL13"/>
      <c r="AM13"/>
      <c r="AN13"/>
      <c r="AO13"/>
    </row>
    <row r="14" spans="1:42" ht="14.25" customHeight="1" x14ac:dyDescent="0.3">
      <c r="A14" s="100" t="str">
        <f>Zones!B9</f>
        <v>ADMIN/MPR_KITCHEN_ZN</v>
      </c>
      <c r="B14" s="13" t="s">
        <v>429</v>
      </c>
      <c r="C14" s="64">
        <f>Zones!H9</f>
        <v>1457.25</v>
      </c>
      <c r="D14" s="64">
        <f>Zones!K9</f>
        <v>4.3717499999999996</v>
      </c>
      <c r="E14" s="65">
        <v>0.57799999999999996</v>
      </c>
      <c r="F14" s="126">
        <f t="shared" si="0"/>
        <v>2.5268714999999995</v>
      </c>
      <c r="G14" s="116">
        <f t="shared" si="1"/>
        <v>4.2114524999999993E-2</v>
      </c>
      <c r="R14"/>
      <c r="S14"/>
      <c r="T14"/>
      <c r="U14"/>
      <c r="V14"/>
      <c r="W14"/>
      <c r="X14"/>
      <c r="Y14"/>
      <c r="Z14"/>
      <c r="AA14"/>
      <c r="AB14"/>
      <c r="AC14"/>
      <c r="AD14"/>
      <c r="AE14"/>
      <c r="AF14"/>
      <c r="AG14"/>
      <c r="AH14"/>
      <c r="AI14"/>
      <c r="AJ14"/>
      <c r="AK14"/>
      <c r="AL14"/>
      <c r="AM14"/>
      <c r="AN14"/>
      <c r="AO14"/>
    </row>
    <row r="15" spans="1:42" ht="14.25" customHeight="1" x14ac:dyDescent="0.3">
      <c r="A15" s="100" t="str">
        <f>Zones!B10</f>
        <v>ADMIN/MPR_LOBBY_ZN</v>
      </c>
      <c r="B15" s="13" t="s">
        <v>429</v>
      </c>
      <c r="C15" s="64">
        <f>Zones!H10</f>
        <v>1241.47</v>
      </c>
      <c r="D15" s="64">
        <f>Zones!K10</f>
        <v>40.968510000000002</v>
      </c>
      <c r="E15" s="65">
        <v>0.09</v>
      </c>
      <c r="F15" s="126">
        <f t="shared" si="0"/>
        <v>3.6871659000000001</v>
      </c>
      <c r="G15" s="116">
        <f t="shared" si="1"/>
        <v>6.1452764999999999E-2</v>
      </c>
      <c r="R15"/>
      <c r="S15"/>
      <c r="T15"/>
      <c r="U15"/>
      <c r="V15"/>
      <c r="W15"/>
      <c r="X15"/>
      <c r="Y15"/>
      <c r="Z15"/>
      <c r="AA15"/>
      <c r="AB15"/>
      <c r="AC15"/>
      <c r="AD15"/>
      <c r="AE15"/>
      <c r="AF15"/>
      <c r="AG15"/>
      <c r="AH15"/>
      <c r="AI15"/>
      <c r="AJ15"/>
      <c r="AK15"/>
      <c r="AL15"/>
      <c r="AM15"/>
      <c r="AN15"/>
      <c r="AO15"/>
    </row>
    <row r="16" spans="1:42" ht="14.25" customHeight="1" x14ac:dyDescent="0.3">
      <c r="A16" s="100" t="str">
        <f>Zones!B11</f>
        <v>ADMIN/MPR_OFFICE - LT 250 SF ZNS 6_ZN</v>
      </c>
      <c r="B16" s="13" t="s">
        <v>429</v>
      </c>
      <c r="C16" s="64">
        <f>Zones!H11</f>
        <v>1048.3499999999999</v>
      </c>
      <c r="D16" s="64">
        <f>Zones!K11</f>
        <v>5.2417499999999997</v>
      </c>
      <c r="E16" s="65">
        <v>0.18</v>
      </c>
      <c r="F16" s="126">
        <f t="shared" si="0"/>
        <v>0.94351499999999988</v>
      </c>
      <c r="G16" s="116">
        <f t="shared" si="1"/>
        <v>1.572525E-2</v>
      </c>
      <c r="R16"/>
      <c r="S16"/>
      <c r="T16"/>
      <c r="U16"/>
      <c r="V16"/>
      <c r="W16"/>
      <c r="X16"/>
      <c r="Y16"/>
      <c r="Z16"/>
      <c r="AA16"/>
      <c r="AB16"/>
      <c r="AC16"/>
      <c r="AD16"/>
      <c r="AE16"/>
      <c r="AF16"/>
      <c r="AG16"/>
      <c r="AH16"/>
      <c r="AI16"/>
      <c r="AJ16"/>
      <c r="AK16"/>
      <c r="AL16"/>
      <c r="AM16"/>
      <c r="AN16"/>
      <c r="AO16"/>
    </row>
    <row r="17" spans="1:41" ht="14.25" customHeight="1" x14ac:dyDescent="0.3">
      <c r="A17" s="100" t="str">
        <f>Zones!B12</f>
        <v>ADMIN/MPR_RESTROOM ZNS 3_ZN</v>
      </c>
      <c r="B17" s="13" t="s">
        <v>429</v>
      </c>
      <c r="C17" s="64">
        <f>Zones!H12</f>
        <v>901.17</v>
      </c>
      <c r="D17" s="64">
        <f>Zones!K12</f>
        <v>4.5058499999999997</v>
      </c>
      <c r="E17" s="65">
        <v>0</v>
      </c>
      <c r="F17" s="126">
        <f t="shared" si="0"/>
        <v>0</v>
      </c>
      <c r="G17" s="116">
        <f t="shared" si="1"/>
        <v>0</v>
      </c>
      <c r="R17"/>
      <c r="S17"/>
      <c r="T17"/>
      <c r="U17"/>
      <c r="V17"/>
      <c r="W17"/>
      <c r="X17"/>
      <c r="Y17"/>
      <c r="Z17"/>
      <c r="AA17"/>
      <c r="AB17"/>
      <c r="AC17"/>
      <c r="AD17"/>
      <c r="AE17"/>
      <c r="AF17"/>
      <c r="AG17"/>
      <c r="AH17"/>
      <c r="AI17"/>
      <c r="AJ17"/>
      <c r="AK17"/>
      <c r="AL17"/>
      <c r="AM17"/>
      <c r="AN17"/>
      <c r="AO17"/>
    </row>
    <row r="18" spans="1:41" ht="14.25" customHeight="1" x14ac:dyDescent="0.3">
      <c r="A18" s="100" t="str">
        <f>Zones!B13</f>
        <v>ADMIN/MPR_STORAGE - GENERAL_ZN</v>
      </c>
      <c r="B18" s="13" t="s">
        <v>429</v>
      </c>
      <c r="C18" s="64">
        <f>Zones!H13</f>
        <v>1247.73</v>
      </c>
      <c r="D18" s="64">
        <f>Zones!K13</f>
        <v>6.2386499999999998</v>
      </c>
      <c r="E18" s="65">
        <v>0</v>
      </c>
      <c r="F18" s="126">
        <f t="shared" si="0"/>
        <v>0</v>
      </c>
      <c r="G18" s="116">
        <f t="shared" si="1"/>
        <v>0</v>
      </c>
      <c r="R18"/>
      <c r="S18"/>
      <c r="T18"/>
      <c r="U18"/>
      <c r="V18"/>
      <c r="W18"/>
      <c r="X18"/>
      <c r="Y18"/>
      <c r="Z18"/>
      <c r="AA18"/>
      <c r="AB18"/>
      <c r="AC18"/>
      <c r="AD18"/>
      <c r="AE18"/>
      <c r="AF18"/>
      <c r="AG18"/>
      <c r="AH18"/>
      <c r="AI18"/>
      <c r="AJ18"/>
      <c r="AK18"/>
      <c r="AL18"/>
      <c r="AM18"/>
      <c r="AN18"/>
      <c r="AO18"/>
    </row>
    <row r="19" spans="1:41" ht="14.25" customHeight="1" x14ac:dyDescent="0.3">
      <c r="A19" s="100" t="str">
        <f>Zones!B14</f>
        <v>ADMIN/MPR_STORAGE - REFRIGERATED_ZN</v>
      </c>
      <c r="B19" s="13" t="s">
        <v>429</v>
      </c>
      <c r="C19" s="64">
        <f>Zones!H14</f>
        <v>251.72</v>
      </c>
      <c r="D19" s="64">
        <f>Zones!K14</f>
        <v>0</v>
      </c>
      <c r="E19" s="65">
        <v>0.18</v>
      </c>
      <c r="F19" s="126">
        <f t="shared" si="0"/>
        <v>0</v>
      </c>
      <c r="G19" s="116">
        <f t="shared" si="1"/>
        <v>0</v>
      </c>
      <c r="R19"/>
      <c r="S19"/>
      <c r="T19"/>
      <c r="U19"/>
      <c r="V19"/>
      <c r="W19"/>
      <c r="X19"/>
      <c r="Y19"/>
      <c r="Z19"/>
      <c r="AA19"/>
      <c r="AB19"/>
      <c r="AC19"/>
      <c r="AD19"/>
      <c r="AE19"/>
      <c r="AF19"/>
      <c r="AG19"/>
      <c r="AH19"/>
      <c r="AI19"/>
      <c r="AJ19"/>
      <c r="AK19"/>
      <c r="AL19"/>
      <c r="AM19"/>
      <c r="AN19"/>
      <c r="AO19"/>
    </row>
    <row r="20" spans="1:41" ht="14.25" customHeight="1" x14ac:dyDescent="0.3">
      <c r="A20" s="100" t="str">
        <f>Zones!B15</f>
        <v>ADMIN/MPR_THEATER - PERFORMANCE_ZN</v>
      </c>
      <c r="B20" s="13" t="s">
        <v>429</v>
      </c>
      <c r="C20" s="64">
        <f>Zones!H15</f>
        <v>1065.56</v>
      </c>
      <c r="D20" s="64">
        <f>Zones!K15</f>
        <v>35.163479999999993</v>
      </c>
      <c r="E20" s="65">
        <v>0.09</v>
      </c>
      <c r="F20" s="126">
        <f t="shared" si="0"/>
        <v>3.1647131999999991</v>
      </c>
      <c r="G20" s="116">
        <f t="shared" si="1"/>
        <v>5.2745219999999989E-2</v>
      </c>
      <c r="R20"/>
      <c r="S20"/>
      <c r="T20"/>
      <c r="U20"/>
      <c r="V20"/>
      <c r="W20"/>
      <c r="X20"/>
      <c r="Y20"/>
      <c r="Z20"/>
      <c r="AA20"/>
      <c r="AB20"/>
      <c r="AC20"/>
      <c r="AD20"/>
      <c r="AE20"/>
      <c r="AF20"/>
      <c r="AG20"/>
      <c r="AH20"/>
      <c r="AI20"/>
      <c r="AJ20"/>
      <c r="AK20"/>
      <c r="AL20"/>
      <c r="AM20"/>
      <c r="AN20"/>
      <c r="AO20"/>
    </row>
    <row r="21" spans="1:41" ht="14.25" customHeight="1" x14ac:dyDescent="0.3">
      <c r="A21" s="100" t="str">
        <f>Zones!B16</f>
        <v>CLASSRM LAB_FLR 1_EMT-01_ZN</v>
      </c>
      <c r="B21" s="13" t="s">
        <v>429</v>
      </c>
      <c r="C21" s="64">
        <f>Zones!H16</f>
        <v>121.01</v>
      </c>
      <c r="D21" s="64">
        <f>Zones!K16</f>
        <v>0.60505000000000009</v>
      </c>
      <c r="E21" s="65">
        <v>0.18</v>
      </c>
      <c r="F21" s="126">
        <f t="shared" si="0"/>
        <v>0.10890900000000001</v>
      </c>
      <c r="G21" s="116">
        <f t="shared" si="1"/>
        <v>1.8151500000000002E-3</v>
      </c>
      <c r="R21"/>
      <c r="S21"/>
      <c r="T21"/>
      <c r="U21"/>
      <c r="V21"/>
      <c r="W21"/>
      <c r="X21"/>
      <c r="Y21"/>
      <c r="Z21"/>
      <c r="AA21"/>
      <c r="AB21"/>
      <c r="AC21"/>
      <c r="AD21"/>
      <c r="AE21"/>
      <c r="AF21"/>
      <c r="AG21"/>
      <c r="AH21"/>
      <c r="AI21"/>
      <c r="AJ21"/>
      <c r="AK21"/>
      <c r="AL21"/>
      <c r="AM21"/>
      <c r="AN21"/>
      <c r="AO21"/>
    </row>
    <row r="22" spans="1:41" ht="14.25" customHeight="1" x14ac:dyDescent="0.3">
      <c r="A22" s="100" t="str">
        <f>Zones!B17</f>
        <v>CLASSRM LAB_FLR 1_EMT-02_ZN</v>
      </c>
      <c r="B22" s="13" t="s">
        <v>429</v>
      </c>
      <c r="C22" s="64">
        <f>Zones!H17</f>
        <v>98.01</v>
      </c>
      <c r="D22" s="64">
        <f>Zones!K17</f>
        <v>0.49004999999999999</v>
      </c>
      <c r="E22" s="65">
        <v>0.18</v>
      </c>
      <c r="F22" s="126">
        <f t="shared" si="0"/>
        <v>8.8208999999999996E-2</v>
      </c>
      <c r="G22" s="116">
        <f t="shared" si="1"/>
        <v>1.4701499999999999E-3</v>
      </c>
      <c r="R22"/>
      <c r="S22"/>
      <c r="T22"/>
      <c r="U22"/>
      <c r="V22"/>
      <c r="W22"/>
      <c r="X22"/>
      <c r="Y22"/>
      <c r="Z22"/>
      <c r="AA22"/>
      <c r="AB22"/>
      <c r="AC22"/>
      <c r="AD22"/>
      <c r="AE22"/>
      <c r="AF22"/>
      <c r="AG22"/>
      <c r="AH22"/>
      <c r="AI22"/>
      <c r="AJ22"/>
      <c r="AK22"/>
      <c r="AL22"/>
      <c r="AM22"/>
      <c r="AN22"/>
      <c r="AO22"/>
    </row>
    <row r="23" spans="1:41" ht="14.25" customHeight="1" x14ac:dyDescent="0.3">
      <c r="A23" s="100" t="str">
        <f>Zones!B18</f>
        <v>CLASSRM LAB_FLR 1_LAB ZNS 2_ZN</v>
      </c>
      <c r="B23" s="13" t="s">
        <v>429</v>
      </c>
      <c r="C23" s="64">
        <f>Zones!H18</f>
        <v>2054.94</v>
      </c>
      <c r="D23" s="64">
        <f>Zones!K18</f>
        <v>51.3735</v>
      </c>
      <c r="E23" s="65">
        <v>0.18</v>
      </c>
      <c r="F23" s="126">
        <f t="shared" si="0"/>
        <v>9.2472300000000001</v>
      </c>
      <c r="G23" s="116">
        <f t="shared" si="1"/>
        <v>0.15412049999999999</v>
      </c>
      <c r="M23"/>
      <c r="N23"/>
      <c r="O23"/>
      <c r="P23"/>
      <c r="Q23"/>
      <c r="R23"/>
      <c r="S23"/>
      <c r="T23"/>
      <c r="U23"/>
      <c r="V23"/>
      <c r="W23"/>
      <c r="X23"/>
      <c r="Y23"/>
      <c r="Z23"/>
      <c r="AA23"/>
      <c r="AB23"/>
      <c r="AC23"/>
      <c r="AD23"/>
      <c r="AE23"/>
      <c r="AF23"/>
      <c r="AG23"/>
      <c r="AH23"/>
      <c r="AI23"/>
      <c r="AJ23"/>
      <c r="AK23"/>
      <c r="AL23"/>
      <c r="AM23"/>
      <c r="AN23"/>
      <c r="AO23"/>
    </row>
    <row r="24" spans="1:41" ht="14.25" customHeight="1" x14ac:dyDescent="0.3">
      <c r="A24" s="100" t="str">
        <f>Zones!B19</f>
        <v>CLASSRM LAB_FLR 1_LIBRARY - READING AREA_ZN</v>
      </c>
      <c r="B24" s="13" t="s">
        <v>429</v>
      </c>
      <c r="C24" s="64">
        <f>Zones!H19</f>
        <v>1197.1300000000001</v>
      </c>
      <c r="D24" s="64">
        <f>Zones!K19</f>
        <v>11.971300000000001</v>
      </c>
      <c r="E24" s="65">
        <v>0.18</v>
      </c>
      <c r="F24" s="126">
        <f t="shared" si="0"/>
        <v>2.1548340000000001</v>
      </c>
      <c r="G24" s="116">
        <f t="shared" si="1"/>
        <v>3.5913900000000006E-2</v>
      </c>
      <c r="M24"/>
      <c r="N24"/>
      <c r="O24"/>
      <c r="P24"/>
      <c r="Q24"/>
      <c r="R24"/>
      <c r="S24"/>
      <c r="T24"/>
      <c r="U24"/>
      <c r="V24"/>
      <c r="W24"/>
      <c r="X24"/>
      <c r="Y24"/>
      <c r="Z24"/>
      <c r="AA24"/>
      <c r="AB24"/>
      <c r="AC24"/>
      <c r="AD24"/>
      <c r="AE24"/>
      <c r="AF24"/>
      <c r="AG24"/>
      <c r="AH24"/>
      <c r="AI24"/>
      <c r="AJ24"/>
      <c r="AK24"/>
      <c r="AL24"/>
      <c r="AM24"/>
      <c r="AN24"/>
      <c r="AO24"/>
    </row>
    <row r="25" spans="1:41" ht="14.25" customHeight="1" x14ac:dyDescent="0.3">
      <c r="A25" s="100" t="str">
        <f>Zones!B20</f>
        <v>CLASSRM LAB_FLR 1_RESTROOM_ZN</v>
      </c>
      <c r="B25" s="13" t="s">
        <v>429</v>
      </c>
      <c r="C25" s="64">
        <f>Zones!H20</f>
        <v>563.04999999999995</v>
      </c>
      <c r="D25" s="64">
        <f>Zones!K20</f>
        <v>2.8152499999999998</v>
      </c>
      <c r="E25" s="65">
        <v>0</v>
      </c>
      <c r="F25" s="126">
        <f t="shared" si="0"/>
        <v>0</v>
      </c>
      <c r="G25" s="116">
        <f t="shared" si="1"/>
        <v>0</v>
      </c>
      <c r="M25"/>
      <c r="N25"/>
      <c r="O25"/>
      <c r="P25"/>
      <c r="Q25"/>
      <c r="R25"/>
      <c r="S25"/>
      <c r="T25"/>
      <c r="U25"/>
      <c r="V25"/>
      <c r="W25"/>
      <c r="X25"/>
      <c r="Y25"/>
      <c r="Z25"/>
      <c r="AA25"/>
      <c r="AB25"/>
      <c r="AC25"/>
      <c r="AD25"/>
      <c r="AE25"/>
      <c r="AF25"/>
      <c r="AG25"/>
      <c r="AH25"/>
      <c r="AI25"/>
      <c r="AJ25"/>
      <c r="AK25"/>
      <c r="AL25"/>
      <c r="AM25"/>
      <c r="AN25"/>
      <c r="AO25"/>
    </row>
    <row r="26" spans="1:41" ht="14.25" customHeight="1" x14ac:dyDescent="0.3">
      <c r="A26" s="100" t="str">
        <f>Zones!B21</f>
        <v>CLASSRM LAB_FLR 1_STORAGE - GENERAL_ZN</v>
      </c>
      <c r="B26" s="13" t="s">
        <v>429</v>
      </c>
      <c r="C26" s="64">
        <f>Zones!H21</f>
        <v>380.84</v>
      </c>
      <c r="D26" s="64">
        <f>Zones!K21</f>
        <v>1.9041999999999999</v>
      </c>
      <c r="E26" s="65">
        <v>0</v>
      </c>
      <c r="F26" s="126">
        <f t="shared" si="0"/>
        <v>0</v>
      </c>
      <c r="G26" s="116">
        <f t="shared" si="1"/>
        <v>0</v>
      </c>
      <c r="M26"/>
      <c r="N26"/>
      <c r="O26"/>
      <c r="P26"/>
      <c r="Q26"/>
      <c r="R26"/>
      <c r="S26"/>
      <c r="T26"/>
      <c r="U26"/>
      <c r="V26"/>
      <c r="W26"/>
      <c r="X26"/>
      <c r="Y26"/>
      <c r="Z26"/>
      <c r="AA26"/>
      <c r="AB26"/>
      <c r="AC26"/>
      <c r="AD26"/>
      <c r="AE26"/>
      <c r="AF26"/>
      <c r="AG26"/>
      <c r="AH26"/>
      <c r="AI26"/>
      <c r="AJ26"/>
      <c r="AK26"/>
      <c r="AL26"/>
      <c r="AM26"/>
      <c r="AN26"/>
      <c r="AO26"/>
    </row>
    <row r="27" spans="1:41" ht="14.25" customHeight="1" x14ac:dyDescent="0.3">
      <c r="A27" s="100" t="str">
        <f>Zones!B22</f>
        <v>CLASSRM LAB_FLR 2_CLASSROOM_ZN</v>
      </c>
      <c r="B27" s="13" t="s">
        <v>429</v>
      </c>
      <c r="C27" s="64">
        <f>Zones!H22</f>
        <v>380.84</v>
      </c>
      <c r="D27" s="64">
        <f>Zones!K22</f>
        <v>9.5210000000000008</v>
      </c>
      <c r="E27" s="65">
        <v>0.18</v>
      </c>
      <c r="F27" s="126">
        <f t="shared" si="0"/>
        <v>1.7137800000000001</v>
      </c>
      <c r="G27" s="116">
        <f t="shared" si="1"/>
        <v>2.8563000000000002E-2</v>
      </c>
      <c r="M27"/>
      <c r="N27"/>
      <c r="O27"/>
      <c r="P27"/>
      <c r="Q27"/>
      <c r="R27"/>
      <c r="S27"/>
      <c r="T27"/>
      <c r="U27"/>
      <c r="V27"/>
      <c r="W27"/>
      <c r="X27"/>
      <c r="Y27"/>
      <c r="Z27"/>
      <c r="AA27"/>
      <c r="AB27"/>
      <c r="AC27"/>
      <c r="AD27"/>
      <c r="AE27"/>
      <c r="AF27"/>
      <c r="AG27"/>
      <c r="AH27"/>
      <c r="AI27"/>
      <c r="AJ27"/>
      <c r="AK27"/>
      <c r="AL27"/>
      <c r="AM27"/>
      <c r="AN27"/>
      <c r="AO27"/>
    </row>
    <row r="28" spans="1:41" ht="14.25" customHeight="1" x14ac:dyDescent="0.3">
      <c r="A28" s="100" t="str">
        <f>Zones!B23</f>
        <v>CLASSRM LAB_FLR 2_IDF ROOM_ZN</v>
      </c>
      <c r="B28" s="13" t="s">
        <v>429</v>
      </c>
      <c r="C28" s="64">
        <f>Zones!H23</f>
        <v>121.01</v>
      </c>
      <c r="D28" s="64">
        <f>Zones!K23</f>
        <v>0.60505000000000009</v>
      </c>
      <c r="E28" s="65">
        <v>0.18</v>
      </c>
      <c r="F28" s="126">
        <f t="shared" si="0"/>
        <v>0.10890900000000001</v>
      </c>
      <c r="G28" s="116">
        <f t="shared" si="1"/>
        <v>1.8151500000000002E-3</v>
      </c>
      <c r="M28"/>
      <c r="N28"/>
      <c r="O28"/>
      <c r="P28"/>
      <c r="Q28"/>
      <c r="R28"/>
      <c r="S28"/>
      <c r="T28"/>
      <c r="U28"/>
      <c r="V28"/>
      <c r="W28"/>
      <c r="X28"/>
      <c r="Y28"/>
      <c r="Z28"/>
      <c r="AA28"/>
      <c r="AB28"/>
      <c r="AC28"/>
      <c r="AD28"/>
      <c r="AE28"/>
      <c r="AF28"/>
      <c r="AG28"/>
      <c r="AH28"/>
      <c r="AI28"/>
      <c r="AJ28"/>
      <c r="AK28"/>
      <c r="AL28"/>
      <c r="AM28"/>
      <c r="AN28"/>
      <c r="AO28"/>
    </row>
    <row r="29" spans="1:41" ht="14.25" customHeight="1" x14ac:dyDescent="0.3">
      <c r="A29" s="100" t="str">
        <f>Zones!B24</f>
        <v>CLASSRM LAB_FLR 2_LAB ZNS 3_ZN</v>
      </c>
      <c r="B29" s="13" t="s">
        <v>429</v>
      </c>
      <c r="C29" s="64">
        <f>Zones!H24</f>
        <v>3252.06</v>
      </c>
      <c r="D29" s="64">
        <f>Zones!K24</f>
        <v>81.301500000000004</v>
      </c>
      <c r="E29" s="65">
        <v>0.18</v>
      </c>
      <c r="F29" s="126">
        <f t="shared" si="0"/>
        <v>14.634270000000001</v>
      </c>
      <c r="G29" s="116">
        <f t="shared" si="1"/>
        <v>0.24390450000000002</v>
      </c>
      <c r="M29"/>
      <c r="N29"/>
      <c r="O29"/>
      <c r="P29"/>
      <c r="Q29"/>
      <c r="R29"/>
      <c r="S29"/>
      <c r="T29"/>
      <c r="U29"/>
      <c r="V29"/>
      <c r="W29"/>
      <c r="X29"/>
      <c r="Y29"/>
      <c r="Z29"/>
      <c r="AA29"/>
      <c r="AB29"/>
      <c r="AC29"/>
      <c r="AD29"/>
      <c r="AE29"/>
      <c r="AF29"/>
      <c r="AG29"/>
      <c r="AH29"/>
      <c r="AI29"/>
      <c r="AJ29"/>
      <c r="AK29"/>
      <c r="AL29"/>
      <c r="AM29"/>
      <c r="AN29"/>
      <c r="AO29"/>
    </row>
    <row r="30" spans="1:41" ht="14.25" customHeight="1" x14ac:dyDescent="0.3">
      <c r="A30" s="100" t="str">
        <f>Zones!B25</f>
        <v>CLASSRM LAB_FLR 2_RESTROOM_ZN</v>
      </c>
      <c r="B30" s="13" t="s">
        <v>429</v>
      </c>
      <c r="C30" s="64">
        <f>Zones!H25</f>
        <v>563.04999999999995</v>
      </c>
      <c r="D30" s="64">
        <f>Zones!K25</f>
        <v>2.8152499999999998</v>
      </c>
      <c r="E30" s="65">
        <v>0</v>
      </c>
      <c r="F30" s="126">
        <f t="shared" si="0"/>
        <v>0</v>
      </c>
      <c r="G30" s="116">
        <f t="shared" si="1"/>
        <v>0</v>
      </c>
      <c r="M30"/>
      <c r="N30"/>
      <c r="O30"/>
      <c r="P30"/>
      <c r="Q30"/>
      <c r="R30"/>
      <c r="S30"/>
      <c r="T30"/>
      <c r="U30"/>
      <c r="V30"/>
      <c r="W30"/>
      <c r="X30"/>
      <c r="Y30"/>
      <c r="Z30"/>
      <c r="AA30"/>
      <c r="AB30"/>
      <c r="AC30"/>
      <c r="AD30"/>
      <c r="AE30"/>
      <c r="AF30"/>
      <c r="AG30"/>
      <c r="AH30"/>
      <c r="AI30"/>
      <c r="AJ30"/>
      <c r="AK30"/>
      <c r="AL30"/>
      <c r="AM30"/>
      <c r="AN30"/>
      <c r="AO30"/>
    </row>
    <row r="31" spans="1:41" ht="14.25" customHeight="1" x14ac:dyDescent="0.3">
      <c r="A31" s="100" t="str">
        <f>Zones!B26</f>
        <v>CLASSRM LAB_FLR 2_STORAGE - GENERAL_ZN</v>
      </c>
      <c r="B31" s="13" t="s">
        <v>429</v>
      </c>
      <c r="C31" s="64">
        <f>Zones!H26</f>
        <v>98.01</v>
      </c>
      <c r="D31" s="64">
        <f>Zones!K26</f>
        <v>0.49004999999999999</v>
      </c>
      <c r="E31" s="65">
        <v>0</v>
      </c>
      <c r="F31" s="126">
        <f t="shared" si="0"/>
        <v>0</v>
      </c>
      <c r="G31" s="116">
        <f t="shared" si="1"/>
        <v>0</v>
      </c>
      <c r="M31"/>
      <c r="N31"/>
      <c r="O31"/>
      <c r="P31"/>
      <c r="Q31"/>
      <c r="R31"/>
      <c r="S31"/>
      <c r="T31"/>
      <c r="U31"/>
      <c r="V31"/>
      <c r="W31"/>
      <c r="X31"/>
      <c r="Y31"/>
      <c r="Z31"/>
      <c r="AA31"/>
      <c r="AB31"/>
      <c r="AC31"/>
      <c r="AD31"/>
      <c r="AE31"/>
      <c r="AF31"/>
      <c r="AG31"/>
      <c r="AH31"/>
      <c r="AI31"/>
      <c r="AJ31"/>
      <c r="AK31"/>
      <c r="AL31"/>
      <c r="AM31"/>
      <c r="AN31"/>
      <c r="AO31"/>
    </row>
    <row r="32" spans="1:41" ht="14.25" customHeight="1" x14ac:dyDescent="0.3">
      <c r="A32" s="100" t="str">
        <f>Zones!B27</f>
        <v>CLASSRM N_FLR 1_CLASSROOM-01_ZN</v>
      </c>
      <c r="B32" s="13" t="s">
        <v>429</v>
      </c>
      <c r="C32" s="64">
        <f>Zones!H27</f>
        <v>1001.75</v>
      </c>
      <c r="D32" s="64">
        <f>Zones!K27</f>
        <v>25.043749999999999</v>
      </c>
      <c r="E32" s="65">
        <v>0.18</v>
      </c>
      <c r="F32" s="126">
        <f t="shared" si="0"/>
        <v>4.5078749999999994</v>
      </c>
      <c r="G32" s="116">
        <f t="shared" si="1"/>
        <v>7.5131249999999997E-2</v>
      </c>
      <c r="M32"/>
      <c r="N32"/>
      <c r="O32"/>
      <c r="P32"/>
      <c r="Q32"/>
      <c r="R32"/>
      <c r="S32"/>
      <c r="T32"/>
      <c r="U32"/>
      <c r="V32"/>
      <c r="W32"/>
      <c r="X32"/>
      <c r="Y32"/>
      <c r="Z32"/>
      <c r="AA32"/>
      <c r="AB32"/>
      <c r="AC32"/>
      <c r="AD32"/>
      <c r="AE32"/>
      <c r="AF32"/>
      <c r="AG32"/>
      <c r="AH32"/>
      <c r="AI32"/>
      <c r="AJ32"/>
      <c r="AK32"/>
      <c r="AL32"/>
      <c r="AM32"/>
      <c r="AN32"/>
      <c r="AO32"/>
    </row>
    <row r="33" spans="1:41" ht="14.25" customHeight="1" x14ac:dyDescent="0.3">
      <c r="A33" s="100" t="str">
        <f>Zones!B28</f>
        <v>CLASSRM N_FLR 1_CLASSROOM-02 ZNS 6_ZN</v>
      </c>
      <c r="B33" s="13" t="s">
        <v>429</v>
      </c>
      <c r="C33" s="64">
        <f>Zones!H28</f>
        <v>6054.03</v>
      </c>
      <c r="D33" s="64">
        <f>Zones!K28</f>
        <v>151.35075000000001</v>
      </c>
      <c r="E33" s="65">
        <v>0.18</v>
      </c>
      <c r="F33" s="126">
        <f t="shared" si="0"/>
        <v>27.243134999999999</v>
      </c>
      <c r="G33" s="116">
        <f t="shared" si="1"/>
        <v>0.45405224999999999</v>
      </c>
      <c r="M33"/>
      <c r="N33"/>
      <c r="O33"/>
      <c r="P33"/>
      <c r="Q33"/>
      <c r="R33"/>
      <c r="S33"/>
      <c r="T33"/>
      <c r="U33"/>
      <c r="V33"/>
      <c r="W33"/>
      <c r="X33"/>
      <c r="Y33"/>
      <c r="Z33"/>
      <c r="AA33"/>
      <c r="AB33"/>
      <c r="AC33"/>
      <c r="AD33"/>
      <c r="AE33"/>
      <c r="AF33"/>
      <c r="AG33"/>
      <c r="AH33"/>
      <c r="AI33"/>
      <c r="AJ33"/>
      <c r="AK33"/>
      <c r="AL33"/>
      <c r="AM33"/>
      <c r="AN33"/>
      <c r="AO33"/>
    </row>
    <row r="34" spans="1:41" ht="14.25" customHeight="1" x14ac:dyDescent="0.3">
      <c r="A34" s="100" t="str">
        <f>Zones!B29</f>
        <v>CLASSRM N_FLR 1_OFFICE - LT 250 SF_ZN</v>
      </c>
      <c r="B34" s="13" t="s">
        <v>429</v>
      </c>
      <c r="C34" s="64">
        <f>Zones!H29</f>
        <v>288.13</v>
      </c>
      <c r="D34" s="64">
        <f>Zones!K29</f>
        <v>1.44065</v>
      </c>
      <c r="E34" s="65">
        <v>0.18</v>
      </c>
      <c r="F34" s="126">
        <f t="shared" si="0"/>
        <v>0.25931699999999996</v>
      </c>
      <c r="G34" s="116">
        <f t="shared" si="1"/>
        <v>4.3219499999999998E-3</v>
      </c>
      <c r="M34"/>
      <c r="N34"/>
      <c r="O34"/>
      <c r="P34"/>
      <c r="Q34"/>
      <c r="R34"/>
      <c r="S34"/>
      <c r="T34"/>
      <c r="U34"/>
      <c r="V34"/>
      <c r="W34"/>
      <c r="X34"/>
      <c r="Y34"/>
      <c r="Z34"/>
      <c r="AA34"/>
      <c r="AB34"/>
      <c r="AC34"/>
      <c r="AD34"/>
      <c r="AE34"/>
      <c r="AF34"/>
      <c r="AG34"/>
      <c r="AH34"/>
      <c r="AI34"/>
      <c r="AJ34"/>
      <c r="AK34"/>
      <c r="AL34"/>
      <c r="AM34"/>
      <c r="AN34"/>
      <c r="AO34"/>
    </row>
    <row r="35" spans="1:41" ht="14.25" customHeight="1" x14ac:dyDescent="0.3">
      <c r="A35" s="100" t="str">
        <f>Zones!B30</f>
        <v>CLASSRM N_FLR 1_RESTROOM_ZN</v>
      </c>
      <c r="B35" s="13" t="s">
        <v>429</v>
      </c>
      <c r="C35" s="64">
        <f>Zones!H30</f>
        <v>532.70000000000005</v>
      </c>
      <c r="D35" s="64">
        <f>Zones!K30</f>
        <v>2.6635</v>
      </c>
      <c r="E35" s="65">
        <v>0</v>
      </c>
      <c r="F35" s="126">
        <f t="shared" si="0"/>
        <v>0</v>
      </c>
      <c r="G35" s="116">
        <f t="shared" si="1"/>
        <v>0</v>
      </c>
      <c r="M35"/>
      <c r="N35"/>
      <c r="O35"/>
      <c r="P35"/>
      <c r="Q35"/>
      <c r="R35"/>
      <c r="S35"/>
      <c r="T35"/>
      <c r="U35"/>
      <c r="V35"/>
      <c r="W35"/>
      <c r="X35"/>
      <c r="Y35"/>
      <c r="Z35"/>
      <c r="AA35"/>
      <c r="AB35"/>
      <c r="AC35"/>
      <c r="AD35"/>
      <c r="AE35"/>
      <c r="AF35"/>
      <c r="AG35"/>
      <c r="AH35"/>
      <c r="AI35"/>
      <c r="AJ35"/>
      <c r="AK35"/>
      <c r="AL35"/>
      <c r="AM35"/>
      <c r="AN35"/>
      <c r="AO35"/>
    </row>
    <row r="36" spans="1:41" ht="14.25" customHeight="1" x14ac:dyDescent="0.3">
      <c r="A36" s="100" t="str">
        <f>Zones!B31</f>
        <v>CLASSRM N_FLR 2_CLASSROOM-01 ZNS 6_ZN</v>
      </c>
      <c r="B36" s="13" t="s">
        <v>429</v>
      </c>
      <c r="C36" s="64">
        <f>Zones!H31</f>
        <v>6054.03</v>
      </c>
      <c r="D36" s="64">
        <f>Zones!K31</f>
        <v>151.35075000000001</v>
      </c>
      <c r="E36" s="65">
        <v>0.18</v>
      </c>
      <c r="F36" s="126">
        <f t="shared" si="0"/>
        <v>27.243134999999999</v>
      </c>
      <c r="G36" s="116">
        <f t="shared" si="1"/>
        <v>0.45405224999999999</v>
      </c>
      <c r="M36"/>
      <c r="N36"/>
      <c r="O36"/>
      <c r="P36"/>
      <c r="Q36"/>
      <c r="R36"/>
      <c r="S36"/>
      <c r="T36"/>
      <c r="U36"/>
      <c r="V36"/>
      <c r="W36"/>
      <c r="X36"/>
      <c r="Y36"/>
      <c r="Z36"/>
      <c r="AA36"/>
      <c r="AB36"/>
      <c r="AC36"/>
      <c r="AD36"/>
      <c r="AE36"/>
      <c r="AF36"/>
      <c r="AG36"/>
      <c r="AH36"/>
      <c r="AI36"/>
      <c r="AJ36"/>
      <c r="AK36"/>
      <c r="AL36"/>
      <c r="AM36"/>
      <c r="AN36"/>
      <c r="AO36"/>
    </row>
    <row r="37" spans="1:41" ht="14.25" customHeight="1" x14ac:dyDescent="0.3">
      <c r="A37" s="100" t="str">
        <f>Zones!B32</f>
        <v>CLASSRM N_FLR 2_CLASSROOM-02_ZN</v>
      </c>
      <c r="B37" s="13" t="s">
        <v>429</v>
      </c>
      <c r="C37" s="64">
        <f>Zones!H32</f>
        <v>1001.75</v>
      </c>
      <c r="D37" s="64">
        <f>Zones!K32</f>
        <v>25.043749999999999</v>
      </c>
      <c r="E37" s="65">
        <v>0.18</v>
      </c>
      <c r="F37" s="126">
        <f t="shared" si="0"/>
        <v>4.5078749999999994</v>
      </c>
      <c r="G37" s="116">
        <f t="shared" si="1"/>
        <v>7.5131249999999997E-2</v>
      </c>
      <c r="M37"/>
      <c r="N37"/>
      <c r="O37"/>
      <c r="P37"/>
      <c r="Q37"/>
      <c r="R37"/>
      <c r="S37"/>
      <c r="T37"/>
      <c r="U37"/>
      <c r="V37"/>
      <c r="W37"/>
      <c r="X37"/>
      <c r="Y37"/>
      <c r="Z37"/>
      <c r="AA37"/>
      <c r="AB37"/>
      <c r="AC37"/>
      <c r="AD37"/>
      <c r="AE37"/>
      <c r="AF37"/>
      <c r="AG37"/>
      <c r="AH37"/>
      <c r="AI37"/>
      <c r="AJ37"/>
      <c r="AK37"/>
      <c r="AL37"/>
      <c r="AM37"/>
      <c r="AN37"/>
      <c r="AO37"/>
    </row>
    <row r="38" spans="1:41" ht="14.25" customHeight="1" x14ac:dyDescent="0.3">
      <c r="A38" s="100" t="str">
        <f>Zones!B33</f>
        <v>CLASSRM N_FLR 2_OFFICE - LT 250 SF_ZN</v>
      </c>
      <c r="B38" s="13" t="s">
        <v>429</v>
      </c>
      <c r="C38" s="64">
        <f>Zones!H33</f>
        <v>288.13</v>
      </c>
      <c r="D38" s="64">
        <f>Zones!K33</f>
        <v>1.44065</v>
      </c>
      <c r="E38" s="65">
        <v>0.18</v>
      </c>
      <c r="F38" s="126">
        <f t="shared" si="0"/>
        <v>0.25931699999999996</v>
      </c>
      <c r="G38" s="116">
        <f t="shared" si="1"/>
        <v>4.3219499999999998E-3</v>
      </c>
      <c r="M38"/>
      <c r="N38"/>
      <c r="O38"/>
      <c r="P38"/>
      <c r="Q38"/>
      <c r="R38"/>
      <c r="S38"/>
      <c r="T38"/>
      <c r="U38"/>
      <c r="V38"/>
      <c r="W38"/>
      <c r="X38"/>
      <c r="Y38"/>
      <c r="Z38"/>
      <c r="AA38"/>
      <c r="AB38"/>
      <c r="AC38"/>
      <c r="AD38"/>
      <c r="AE38"/>
      <c r="AF38"/>
      <c r="AG38"/>
      <c r="AH38"/>
      <c r="AI38"/>
      <c r="AJ38"/>
      <c r="AK38"/>
      <c r="AL38"/>
      <c r="AM38"/>
      <c r="AN38"/>
      <c r="AO38"/>
    </row>
    <row r="39" spans="1:41" ht="14.25" customHeight="1" x14ac:dyDescent="0.3">
      <c r="A39" s="100" t="str">
        <f>Zones!B34</f>
        <v>CLASSRM N_FLR 2_RESTROOM_ZN</v>
      </c>
      <c r="B39" s="13" t="s">
        <v>429</v>
      </c>
      <c r="C39" s="64">
        <f>Zones!H34</f>
        <v>532.70000000000005</v>
      </c>
      <c r="D39" s="64">
        <f>Zones!K34</f>
        <v>2.6635</v>
      </c>
      <c r="E39" s="65">
        <v>0</v>
      </c>
      <c r="F39" s="126">
        <f t="shared" si="0"/>
        <v>0</v>
      </c>
      <c r="G39" s="116">
        <f t="shared" si="1"/>
        <v>0</v>
      </c>
      <c r="M39"/>
      <c r="N39"/>
      <c r="O39"/>
      <c r="P39"/>
      <c r="Q39"/>
      <c r="R39"/>
      <c r="S39"/>
      <c r="T39"/>
      <c r="U39"/>
      <c r="V39"/>
      <c r="W39"/>
      <c r="X39"/>
      <c r="Y39"/>
      <c r="Z39"/>
      <c r="AA39"/>
      <c r="AB39"/>
      <c r="AC39"/>
      <c r="AD39"/>
      <c r="AE39"/>
      <c r="AF39"/>
      <c r="AG39"/>
      <c r="AH39"/>
      <c r="AI39"/>
      <c r="AJ39"/>
      <c r="AK39"/>
      <c r="AL39"/>
      <c r="AM39"/>
      <c r="AN39"/>
      <c r="AO39"/>
    </row>
    <row r="40" spans="1:41" ht="14.25" customHeight="1" x14ac:dyDescent="0.3">
      <c r="A40" s="100" t="str">
        <f>Zones!B35</f>
        <v>CLASSRM SHOP_EMT_ZN</v>
      </c>
      <c r="B40" s="13" t="s">
        <v>429</v>
      </c>
      <c r="C40" s="64">
        <f>Zones!H35</f>
        <v>170.87</v>
      </c>
      <c r="D40" s="64">
        <f>Zones!K35</f>
        <v>0.85435000000000005</v>
      </c>
      <c r="E40" s="65">
        <v>0.18</v>
      </c>
      <c r="F40" s="126">
        <f t="shared" si="0"/>
        <v>0.153783</v>
      </c>
      <c r="G40" s="116">
        <f t="shared" si="1"/>
        <v>2.5630499999999999E-3</v>
      </c>
      <c r="M40"/>
      <c r="N40"/>
      <c r="O40"/>
      <c r="P40"/>
      <c r="Q40"/>
      <c r="R40"/>
      <c r="S40"/>
      <c r="T40"/>
      <c r="U40"/>
      <c r="V40"/>
      <c r="W40"/>
      <c r="X40"/>
      <c r="Y40"/>
      <c r="Z40"/>
      <c r="AA40"/>
      <c r="AB40"/>
      <c r="AC40"/>
      <c r="AD40"/>
      <c r="AE40"/>
      <c r="AF40"/>
      <c r="AG40"/>
      <c r="AH40"/>
      <c r="AI40"/>
      <c r="AJ40"/>
      <c r="AK40"/>
      <c r="AL40"/>
      <c r="AM40"/>
      <c r="AN40"/>
      <c r="AO40"/>
    </row>
    <row r="41" spans="1:41" ht="14.25" customHeight="1" x14ac:dyDescent="0.3">
      <c r="A41" s="100" t="str">
        <f>Zones!B36</f>
        <v>CLASSRM SHOP_IDF ROOM_ZN</v>
      </c>
      <c r="B41" s="13" t="s">
        <v>429</v>
      </c>
      <c r="C41" s="64">
        <f>Zones!H36</f>
        <v>85.48</v>
      </c>
      <c r="D41" s="64">
        <f>Zones!K36</f>
        <v>0.42740000000000006</v>
      </c>
      <c r="E41" s="65">
        <v>0.18</v>
      </c>
      <c r="F41" s="126">
        <f t="shared" si="0"/>
        <v>7.6932000000000014E-2</v>
      </c>
      <c r="G41" s="116">
        <f t="shared" si="1"/>
        <v>1.2822000000000003E-3</v>
      </c>
      <c r="M41"/>
      <c r="N41"/>
      <c r="O41"/>
      <c r="P41"/>
      <c r="Q41"/>
      <c r="R41"/>
      <c r="S41"/>
      <c r="T41"/>
      <c r="U41"/>
      <c r="V41"/>
      <c r="W41"/>
      <c r="X41"/>
      <c r="Y41"/>
      <c r="Z41"/>
      <c r="AA41"/>
      <c r="AB41"/>
      <c r="AC41"/>
      <c r="AD41"/>
      <c r="AE41"/>
      <c r="AF41"/>
      <c r="AG41"/>
      <c r="AH41"/>
      <c r="AI41"/>
      <c r="AJ41"/>
      <c r="AK41"/>
      <c r="AL41"/>
      <c r="AM41"/>
      <c r="AN41"/>
      <c r="AO41"/>
    </row>
    <row r="42" spans="1:41" ht="14.25" customHeight="1" x14ac:dyDescent="0.3">
      <c r="A42" s="100" t="str">
        <f>Zones!B37</f>
        <v>CLASSRM SHOP_RESTROOM_ZN</v>
      </c>
      <c r="B42" s="13" t="s">
        <v>429</v>
      </c>
      <c r="C42" s="64">
        <f>Zones!H37</f>
        <v>266.02999999999997</v>
      </c>
      <c r="D42" s="64">
        <f>Zones!K37</f>
        <v>1.3301499999999999</v>
      </c>
      <c r="E42" s="65">
        <v>0</v>
      </c>
      <c r="F42" s="126">
        <f t="shared" si="0"/>
        <v>0</v>
      </c>
      <c r="G42" s="116">
        <f t="shared" si="1"/>
        <v>0</v>
      </c>
      <c r="M42"/>
      <c r="N42"/>
      <c r="O42"/>
      <c r="P42"/>
      <c r="Q42"/>
      <c r="R42"/>
      <c r="S42"/>
      <c r="T42"/>
      <c r="U42"/>
      <c r="V42"/>
      <c r="W42"/>
      <c r="X42"/>
      <c r="Y42"/>
      <c r="Z42"/>
      <c r="AA42"/>
      <c r="AB42"/>
      <c r="AC42"/>
      <c r="AD42"/>
      <c r="AE42"/>
      <c r="AF42"/>
      <c r="AG42"/>
      <c r="AH42"/>
      <c r="AI42"/>
      <c r="AJ42"/>
      <c r="AK42"/>
      <c r="AL42"/>
      <c r="AM42"/>
      <c r="AN42"/>
      <c r="AO42"/>
    </row>
    <row r="43" spans="1:41" ht="14.25" customHeight="1" x14ac:dyDescent="0.3">
      <c r="A43" s="100" t="str">
        <f>Zones!B38</f>
        <v>CLASSRM SHOP_SHOP-01 ZNS 4_ZN</v>
      </c>
      <c r="B43" s="13" t="s">
        <v>429</v>
      </c>
      <c r="C43" s="64">
        <f>Zones!H38</f>
        <v>5494.54</v>
      </c>
      <c r="D43" s="64">
        <f>Zones!K38</f>
        <v>54.945399999999999</v>
      </c>
      <c r="E43" s="65">
        <v>0.18</v>
      </c>
      <c r="F43" s="126">
        <f t="shared" si="0"/>
        <v>9.8901719999999997</v>
      </c>
      <c r="G43" s="116">
        <f t="shared" si="1"/>
        <v>0.16483619999999999</v>
      </c>
      <c r="M43"/>
      <c r="N43"/>
      <c r="O43"/>
      <c r="P43"/>
      <c r="Q43"/>
      <c r="R43"/>
      <c r="S43"/>
      <c r="T43"/>
      <c r="U43"/>
      <c r="V43"/>
      <c r="W43"/>
      <c r="X43"/>
      <c r="Y43"/>
      <c r="Z43"/>
      <c r="AA43"/>
      <c r="AB43"/>
      <c r="AC43"/>
      <c r="AD43"/>
      <c r="AE43"/>
      <c r="AF43"/>
      <c r="AG43"/>
      <c r="AH43"/>
      <c r="AI43"/>
      <c r="AJ43"/>
      <c r="AK43"/>
      <c r="AL43"/>
      <c r="AM43"/>
      <c r="AN43"/>
      <c r="AO43"/>
    </row>
    <row r="44" spans="1:41" ht="14.25" customHeight="1" x14ac:dyDescent="0.3">
      <c r="A44" s="100" t="str">
        <f>Zones!B39</f>
        <v>CLASSRM SHOP_SHOP-02_ZN</v>
      </c>
      <c r="B44" s="13" t="s">
        <v>429</v>
      </c>
      <c r="C44" s="64">
        <f>Zones!H39</f>
        <v>1440.14</v>
      </c>
      <c r="D44" s="64">
        <f>Zones!K39</f>
        <v>14.401400000000001</v>
      </c>
      <c r="E44" s="65">
        <v>0.18</v>
      </c>
      <c r="F44" s="126">
        <f t="shared" si="0"/>
        <v>2.5922520000000002</v>
      </c>
      <c r="G44" s="116">
        <f t="shared" si="1"/>
        <v>4.3204200000000005E-2</v>
      </c>
      <c r="M44"/>
      <c r="N44"/>
      <c r="O44"/>
      <c r="P44"/>
      <c r="Q44"/>
      <c r="R44"/>
      <c r="S44"/>
      <c r="T44"/>
      <c r="U44"/>
      <c r="V44"/>
      <c r="W44"/>
      <c r="X44"/>
      <c r="Y44"/>
      <c r="Z44"/>
      <c r="AA44"/>
      <c r="AB44"/>
      <c r="AC44"/>
      <c r="AD44"/>
      <c r="AE44"/>
      <c r="AF44"/>
      <c r="AG44"/>
      <c r="AH44"/>
      <c r="AI44"/>
      <c r="AJ44"/>
      <c r="AK44"/>
      <c r="AL44"/>
      <c r="AM44"/>
      <c r="AN44"/>
      <c r="AO44"/>
    </row>
    <row r="45" spans="1:41" ht="14.25" customHeight="1" x14ac:dyDescent="0.3">
      <c r="A45" s="100" t="str">
        <f>Zones!B40</f>
        <v>CLASSRM SHOP_STORAGE - GENERAL_ZN</v>
      </c>
      <c r="B45" s="13" t="s">
        <v>429</v>
      </c>
      <c r="C45" s="64">
        <f>Zones!H40</f>
        <v>1183.8</v>
      </c>
      <c r="D45" s="64">
        <f>Zones!K40</f>
        <v>5.9189999999999996</v>
      </c>
      <c r="E45" s="65">
        <v>0</v>
      </c>
      <c r="F45" s="126">
        <f t="shared" si="0"/>
        <v>0</v>
      </c>
      <c r="G45" s="116">
        <f t="shared" si="1"/>
        <v>0</v>
      </c>
      <c r="M45"/>
      <c r="N45"/>
      <c r="O45"/>
      <c r="P45"/>
      <c r="Q45"/>
      <c r="R45"/>
      <c r="S45"/>
      <c r="T45"/>
      <c r="U45"/>
      <c r="V45"/>
      <c r="W45"/>
      <c r="X45"/>
      <c r="Y45"/>
      <c r="Z45"/>
      <c r="AA45"/>
      <c r="AB45"/>
      <c r="AC45"/>
      <c r="AD45"/>
      <c r="AE45"/>
      <c r="AF45"/>
      <c r="AG45"/>
      <c r="AH45"/>
      <c r="AI45"/>
      <c r="AJ45"/>
      <c r="AK45"/>
      <c r="AL45"/>
      <c r="AM45"/>
      <c r="AN45"/>
      <c r="AO45"/>
    </row>
    <row r="46" spans="1:41" ht="14.25" customHeight="1" x14ac:dyDescent="0.3">
      <c r="A46" s="100" t="str">
        <f>Zones!B41</f>
        <v>COURTS - AUX ZN</v>
      </c>
      <c r="B46" s="13" t="s">
        <v>429</v>
      </c>
      <c r="C46" s="64">
        <f>Zones!H41</f>
        <v>5184.51</v>
      </c>
      <c r="D46" s="64">
        <f>Zones!K41</f>
        <v>51.845100000000009</v>
      </c>
      <c r="E46" s="65">
        <v>0.18</v>
      </c>
      <c r="F46" s="126">
        <f t="shared" si="0"/>
        <v>9.3321180000000012</v>
      </c>
      <c r="G46" s="116">
        <f t="shared" si="1"/>
        <v>0.15553530000000002</v>
      </c>
      <c r="M46"/>
      <c r="N46"/>
      <c r="O46"/>
      <c r="P46"/>
      <c r="Q46"/>
      <c r="R46"/>
      <c r="S46"/>
      <c r="T46"/>
      <c r="U46"/>
      <c r="V46"/>
      <c r="W46"/>
      <c r="X46"/>
      <c r="Y46"/>
      <c r="Z46"/>
      <c r="AA46"/>
      <c r="AB46"/>
      <c r="AC46"/>
      <c r="AD46"/>
      <c r="AE46"/>
      <c r="AF46"/>
      <c r="AG46"/>
      <c r="AH46"/>
      <c r="AI46"/>
      <c r="AJ46"/>
      <c r="AK46"/>
      <c r="AL46"/>
      <c r="AM46"/>
      <c r="AN46"/>
      <c r="AO46"/>
    </row>
    <row r="47" spans="1:41" ht="14.25" customHeight="1" x14ac:dyDescent="0.3">
      <c r="A47" s="100" t="str">
        <f>Zones!B42</f>
        <v>COURTS ZN</v>
      </c>
      <c r="B47" s="13" t="s">
        <v>429</v>
      </c>
      <c r="C47" s="64">
        <f>Zones!H42</f>
        <v>12097.18</v>
      </c>
      <c r="D47" s="64">
        <f>Zones!K42</f>
        <v>120.9718</v>
      </c>
      <c r="E47" s="65">
        <v>0.18</v>
      </c>
      <c r="F47" s="126">
        <f t="shared" si="0"/>
        <v>21.774923999999999</v>
      </c>
      <c r="G47" s="116">
        <f t="shared" si="1"/>
        <v>0.3629154</v>
      </c>
      <c r="M47"/>
      <c r="N47"/>
      <c r="O47"/>
      <c r="P47"/>
      <c r="Q47"/>
      <c r="R47"/>
      <c r="S47"/>
      <c r="T47"/>
      <c r="U47"/>
      <c r="V47"/>
      <c r="W47"/>
      <c r="X47"/>
      <c r="Y47"/>
      <c r="Z47"/>
      <c r="AA47"/>
      <c r="AB47"/>
      <c r="AC47"/>
      <c r="AD47"/>
      <c r="AE47"/>
      <c r="AF47"/>
      <c r="AG47"/>
      <c r="AH47"/>
      <c r="AI47"/>
      <c r="AJ47"/>
      <c r="AK47"/>
      <c r="AL47"/>
      <c r="AM47"/>
      <c r="AN47"/>
      <c r="AO47"/>
    </row>
    <row r="48" spans="1:41" ht="14.25" customHeight="1" x14ac:dyDescent="0.3">
      <c r="A48" s="100" t="str">
        <f>Zones!B43</f>
        <v>LOCKERS ZN</v>
      </c>
      <c r="B48" s="13" t="s">
        <v>429</v>
      </c>
      <c r="C48" s="64">
        <f>Zones!H43</f>
        <v>7632.74</v>
      </c>
      <c r="D48" s="64">
        <f>Zones!K43</f>
        <v>38.163699999999999</v>
      </c>
      <c r="E48" s="65">
        <v>0.57799999999999996</v>
      </c>
      <c r="F48" s="126">
        <f t="shared" si="0"/>
        <v>22.058618599999999</v>
      </c>
      <c r="G48" s="116">
        <f t="shared" si="1"/>
        <v>0.36764364333333333</v>
      </c>
      <c r="M48"/>
      <c r="N48"/>
      <c r="O48"/>
      <c r="P48"/>
      <c r="Q48"/>
      <c r="R48"/>
      <c r="S48"/>
      <c r="T48"/>
      <c r="U48"/>
      <c r="V48"/>
      <c r="W48"/>
      <c r="X48"/>
      <c r="Y48"/>
      <c r="Z48"/>
      <c r="AA48"/>
      <c r="AB48"/>
      <c r="AC48"/>
      <c r="AD48"/>
      <c r="AE48"/>
      <c r="AF48"/>
      <c r="AG48"/>
      <c r="AH48"/>
      <c r="AI48"/>
      <c r="AJ48"/>
      <c r="AK48"/>
      <c r="AL48"/>
      <c r="AM48"/>
      <c r="AN48"/>
      <c r="AO48"/>
    </row>
    <row r="49" spans="1:17" ht="13.95" customHeight="1" x14ac:dyDescent="0.3">
      <c r="A49" s="100" t="str">
        <f>Zones!B44</f>
        <v>ROOMS &amp; STUDIOS ZN</v>
      </c>
      <c r="B49" s="13" t="s">
        <v>429</v>
      </c>
      <c r="C49" s="64">
        <f>Zones!H44</f>
        <v>4608.45</v>
      </c>
      <c r="D49" s="64">
        <f>Zones!K44</f>
        <v>46.084499999999998</v>
      </c>
      <c r="E49" s="65">
        <v>0.18</v>
      </c>
      <c r="F49" s="126">
        <f t="shared" si="0"/>
        <v>8.2952099999999991</v>
      </c>
      <c r="G49" s="116">
        <f t="shared" si="1"/>
        <v>0.13825349999999997</v>
      </c>
      <c r="M49"/>
      <c r="N49"/>
      <c r="O49"/>
      <c r="P49"/>
      <c r="Q49"/>
    </row>
    <row r="50" spans="1:17" ht="13.95" customHeight="1" x14ac:dyDescent="0.3">
      <c r="A50" s="281"/>
      <c r="B50" s="6"/>
      <c r="C50" s="282"/>
      <c r="D50" s="282"/>
      <c r="E50" s="283"/>
      <c r="F50" s="284"/>
      <c r="G50" s="279"/>
      <c r="M50"/>
      <c r="N50"/>
      <c r="O50"/>
      <c r="P50"/>
      <c r="Q50"/>
    </row>
    <row r="51" spans="1:17" ht="18" customHeight="1" x14ac:dyDescent="0.25">
      <c r="A51" s="725" t="s">
        <v>442</v>
      </c>
      <c r="B51" s="726"/>
      <c r="C51" s="726"/>
      <c r="D51" s="726"/>
    </row>
    <row r="52" spans="1:17" ht="29.25" customHeight="1" x14ac:dyDescent="0.25">
      <c r="A52" s="280" t="s">
        <v>443</v>
      </c>
      <c r="B52" s="280" t="s">
        <v>444</v>
      </c>
      <c r="C52" s="280" t="s">
        <v>440</v>
      </c>
      <c r="D52" s="280" t="s">
        <v>32</v>
      </c>
    </row>
    <row r="53" spans="1:17" ht="14.25" customHeight="1" x14ac:dyDescent="0.3">
      <c r="A53" s="242" t="s">
        <v>445</v>
      </c>
      <c r="B53" s="607" t="s">
        <v>429</v>
      </c>
      <c r="C53" s="243">
        <f>MAX(SUMIF($B$8:$B$20,"*HPWH*",$F$8:$F$20),75)</f>
        <v>122.70069545999998</v>
      </c>
      <c r="D53" s="740" t="s">
        <v>446</v>
      </c>
      <c r="N53"/>
      <c r="O53"/>
      <c r="P53"/>
      <c r="Q53"/>
    </row>
    <row r="54" spans="1:17" ht="14.25" customHeight="1" x14ac:dyDescent="0.3">
      <c r="A54" s="226" t="s">
        <v>447</v>
      </c>
      <c r="B54" s="221" t="s">
        <v>429</v>
      </c>
      <c r="C54" s="241">
        <f>MAX(SUMIF($B$32:$B$39,"*HPWH*",$F$32:$F$39),75)</f>
        <v>75</v>
      </c>
      <c r="D54" s="741"/>
      <c r="N54"/>
      <c r="O54"/>
      <c r="P54"/>
      <c r="Q54"/>
    </row>
    <row r="55" spans="1:17" ht="14.25" customHeight="1" x14ac:dyDescent="0.3">
      <c r="A55" s="226" t="s">
        <v>448</v>
      </c>
      <c r="B55" s="221" t="s">
        <v>429</v>
      </c>
      <c r="C55" s="241">
        <f>MAX(SUMIF($B$21:$B$31,"*HPWH*",$F$21:$F$31),75)</f>
        <v>75</v>
      </c>
      <c r="D55" s="741"/>
      <c r="N55"/>
      <c r="O55"/>
      <c r="P55"/>
      <c r="Q55"/>
    </row>
    <row r="56" spans="1:17" ht="14.25" customHeight="1" x14ac:dyDescent="0.3">
      <c r="A56" s="226" t="s">
        <v>449</v>
      </c>
      <c r="B56" s="221" t="s">
        <v>429</v>
      </c>
      <c r="C56" s="241">
        <f>MAX(SUMIF($B$40:$B$45,"*HPWH*",$F$40:$F$45),75)</f>
        <v>75</v>
      </c>
      <c r="D56" s="741"/>
      <c r="E56" s="246"/>
      <c r="F56" s="248"/>
      <c r="G56" s="248"/>
      <c r="H56" s="248"/>
      <c r="I56" s="248"/>
      <c r="N56"/>
      <c r="O56"/>
      <c r="P56"/>
      <c r="Q56"/>
    </row>
    <row r="57" spans="1:17" ht="14.25" customHeight="1" x14ac:dyDescent="0.3">
      <c r="A57" s="226" t="s">
        <v>450</v>
      </c>
      <c r="B57" s="221" t="s">
        <v>429</v>
      </c>
      <c r="C57" s="241">
        <f>MAX(SUMIF($B$46:$B$49,"*HPWH*",$F$46:$F$49),75)</f>
        <v>75</v>
      </c>
      <c r="D57" s="742"/>
      <c r="E57" s="246"/>
      <c r="F57" s="248"/>
      <c r="G57" s="248"/>
      <c r="H57" s="248"/>
      <c r="I57" s="248"/>
      <c r="N57"/>
      <c r="O57"/>
      <c r="P57"/>
      <c r="Q57"/>
    </row>
    <row r="58" spans="1:17" customFormat="1" ht="14.25" customHeight="1" x14ac:dyDescent="0.3">
      <c r="E58" s="246"/>
      <c r="F58" s="248"/>
      <c r="G58" s="248"/>
      <c r="H58" s="248"/>
      <c r="I58" s="248"/>
    </row>
    <row r="59" spans="1:17" s="248" customFormat="1" ht="14.4" x14ac:dyDescent="0.25">
      <c r="A59" s="244" t="s">
        <v>451</v>
      </c>
      <c r="B59" s="245">
        <v>135</v>
      </c>
      <c r="C59" s="246" t="s">
        <v>452</v>
      </c>
      <c r="D59" s="247"/>
      <c r="E59" s="246"/>
    </row>
    <row r="60" spans="1:17" s="248" customFormat="1" ht="14.4" x14ac:dyDescent="0.25">
      <c r="A60" s="247" t="s">
        <v>453</v>
      </c>
      <c r="B60" s="249">
        <v>135</v>
      </c>
      <c r="C60" s="246" t="s">
        <v>452</v>
      </c>
      <c r="D60" s="250"/>
      <c r="E60" s="246"/>
    </row>
    <row r="61" spans="1:17" s="248" customFormat="1" ht="13.2" x14ac:dyDescent="0.25">
      <c r="A61" s="251" t="s">
        <v>454</v>
      </c>
      <c r="B61" s="252">
        <v>0.6</v>
      </c>
      <c r="C61" s="246" t="s">
        <v>455</v>
      </c>
      <c r="D61" s="246"/>
      <c r="E61" s="246"/>
    </row>
    <row r="62" spans="1:17" s="248" customFormat="1" ht="14.4" x14ac:dyDescent="0.3">
      <c r="A62" s="248" t="s">
        <v>456</v>
      </c>
      <c r="B62" s="253">
        <v>8.2876999999999992</v>
      </c>
      <c r="C62" s="254" t="s">
        <v>455</v>
      </c>
      <c r="D62" s="254"/>
      <c r="F62" s="254"/>
      <c r="G62" s="254"/>
    </row>
    <row r="63" spans="1:17" s="248" customFormat="1" ht="26.4" x14ac:dyDescent="0.25">
      <c r="A63" s="244" t="s">
        <v>457</v>
      </c>
      <c r="B63" s="255">
        <v>0.4</v>
      </c>
      <c r="C63" s="256" t="s">
        <v>458</v>
      </c>
      <c r="D63" s="247"/>
      <c r="E63" s="247"/>
    </row>
    <row r="64" spans="1:17" s="248" customFormat="1" ht="26.4" x14ac:dyDescent="0.25">
      <c r="A64" s="244" t="s">
        <v>459</v>
      </c>
      <c r="B64" s="245" t="s">
        <v>460</v>
      </c>
      <c r="C64" s="246" t="s">
        <v>461</v>
      </c>
      <c r="D64" s="247"/>
      <c r="E64" s="247"/>
    </row>
    <row r="65" spans="1:12" s="248" customFormat="1" ht="14.4" x14ac:dyDescent="0.25">
      <c r="A65" s="244" t="s">
        <v>462</v>
      </c>
      <c r="B65" s="245">
        <v>4.3</v>
      </c>
      <c r="C65" s="246" t="s">
        <v>463</v>
      </c>
      <c r="D65" s="247"/>
      <c r="E65" s="247"/>
    </row>
    <row r="66" spans="1:12" s="248" customFormat="1" ht="14.4" x14ac:dyDescent="0.25">
      <c r="A66" s="244" t="s">
        <v>464</v>
      </c>
      <c r="B66" s="245">
        <v>3</v>
      </c>
      <c r="C66" s="246" t="s">
        <v>465</v>
      </c>
      <c r="D66" s="247"/>
      <c r="E66" s="247"/>
    </row>
    <row r="67" spans="1:12" s="248" customFormat="1" ht="14.4" x14ac:dyDescent="0.25">
      <c r="A67" s="244" t="s">
        <v>466</v>
      </c>
      <c r="B67" s="245">
        <f>B65</f>
        <v>4.3</v>
      </c>
      <c r="C67" s="246" t="s">
        <v>467</v>
      </c>
      <c r="D67" s="247"/>
      <c r="E67" s="247"/>
    </row>
    <row r="68" spans="1:12" s="248" customFormat="1" ht="14.4" x14ac:dyDescent="0.25">
      <c r="A68" s="244"/>
      <c r="B68" s="245"/>
      <c r="C68" s="246"/>
      <c r="D68" s="247"/>
      <c r="E68" s="247"/>
    </row>
    <row r="69" spans="1:12" s="248" customFormat="1" ht="27" customHeight="1" x14ac:dyDescent="0.25">
      <c r="A69" s="734" t="s">
        <v>468</v>
      </c>
      <c r="B69" s="735"/>
      <c r="C69" s="735"/>
      <c r="D69" s="735"/>
      <c r="E69" s="735"/>
      <c r="F69" s="735"/>
      <c r="G69" s="735"/>
      <c r="H69" s="735"/>
      <c r="I69" s="735"/>
      <c r="J69" s="735"/>
      <c r="K69" s="735"/>
      <c r="L69" s="735"/>
    </row>
    <row r="70" spans="1:12" s="248" customFormat="1" ht="81" customHeight="1" thickBot="1" x14ac:dyDescent="0.35">
      <c r="A70" s="285" t="s">
        <v>469</v>
      </c>
      <c r="B70" s="280" t="s">
        <v>470</v>
      </c>
      <c r="C70" s="280" t="s">
        <v>471</v>
      </c>
      <c r="D70" s="280" t="s">
        <v>472</v>
      </c>
      <c r="E70" s="280" t="s">
        <v>473</v>
      </c>
      <c r="F70" s="280" t="s">
        <v>474</v>
      </c>
      <c r="G70" s="280" t="s">
        <v>475</v>
      </c>
      <c r="H70" s="730" t="s">
        <v>476</v>
      </c>
      <c r="I70" s="731"/>
      <c r="J70" s="732" t="s">
        <v>477</v>
      </c>
      <c r="K70" s="733"/>
      <c r="L70" s="602" t="s">
        <v>478</v>
      </c>
    </row>
    <row r="71" spans="1:12" s="248" customFormat="1" ht="13.2" x14ac:dyDescent="0.25">
      <c r="A71" s="397" t="str">
        <f>$A$53</f>
        <v>HPWH - Admin</v>
      </c>
      <c r="B71" s="398" t="s">
        <v>479</v>
      </c>
      <c r="C71" s="399">
        <v>47.9</v>
      </c>
      <c r="D71" s="400">
        <f t="shared" ref="D71:D86" si="2">$C$53*($B$60-C71)*$B$62</f>
        <v>88572.560832830612</v>
      </c>
      <c r="E71" s="400">
        <f t="shared" ref="E71:E86" si="3">D71*$B$61</f>
        <v>53143.536499698363</v>
      </c>
      <c r="F71" s="400" cm="1">
        <f t="array" ref="F71">_xlfn.LET(_xlpm.x,_xlfn.XLOOKUP(E71,$C$154:$C$158,$C$154:$C$158,"",1),IF(_xlpm.x="",E71/$B$67,_xlpm.x/$B$67))</f>
        <v>12358.961976674038</v>
      </c>
      <c r="G71" s="400">
        <f t="shared" ref="G71:G86" si="4">_xlfn.LET(_xlpm.v,MAX(30,$C$53*$B$63),_xlpm.x,_xlfn.XLOOKUP(_xlpm.v,$A$154:$A$158,$A$154:$A$158,"",1),IF(_xlpm.x="",ROUNDUP(_xlpm.v,0),_xlpm.x))</f>
        <v>50</v>
      </c>
      <c r="H71" s="401">
        <f>IF(AND(ISNUMBER(J71),G71&gt;0),J71/(0.0834*G71),NA())</f>
        <v>1.0479616306954438</v>
      </c>
      <c r="I71" s="400" t="s">
        <v>480</v>
      </c>
      <c r="J71" s="402">
        <v>4.37</v>
      </c>
      <c r="K71" s="403" t="s">
        <v>481</v>
      </c>
      <c r="L71" s="727" t="s">
        <v>482</v>
      </c>
    </row>
    <row r="72" spans="1:12" s="248" customFormat="1" ht="13.2" x14ac:dyDescent="0.25">
      <c r="A72" s="404" t="str">
        <f t="shared" ref="A72:A86" si="5">$A$53</f>
        <v>HPWH - Admin</v>
      </c>
      <c r="B72" s="257" t="s">
        <v>483</v>
      </c>
      <c r="C72" s="258">
        <v>50.8</v>
      </c>
      <c r="D72" s="259">
        <f t="shared" si="2"/>
        <v>85623.531826915467</v>
      </c>
      <c r="E72" s="259">
        <f t="shared" si="3"/>
        <v>51374.119096149276</v>
      </c>
      <c r="F72" s="259">
        <f t="shared" ref="F72:F103" si="6">_xlfn.LET(_xlpm.x,_xlfn.XLOOKUP(E72,$C$154:$C$158,$C$154:$C$158,"",1),IF(_xlpm.x="",E72/$B$67,_xlpm.x/$B$67))</f>
        <v>11947.469557244018</v>
      </c>
      <c r="G72" s="259">
        <f t="shared" si="4"/>
        <v>50</v>
      </c>
      <c r="H72" s="260">
        <f t="shared" ref="H72:H86" si="7">IF(AND(ISNUMBER(J72),G72&gt;0),J72/(0.0834*G72),NA())</f>
        <v>1.0479616306954438</v>
      </c>
      <c r="I72" s="259" t="s">
        <v>480</v>
      </c>
      <c r="J72" s="261">
        <v>4.37</v>
      </c>
      <c r="K72" s="262" t="s">
        <v>481</v>
      </c>
      <c r="L72" s="728"/>
    </row>
    <row r="73" spans="1:12" s="248" customFormat="1" ht="13.2" x14ac:dyDescent="0.25">
      <c r="A73" s="404" t="str">
        <f t="shared" si="5"/>
        <v>HPWH - Admin</v>
      </c>
      <c r="B73" s="257" t="s">
        <v>484</v>
      </c>
      <c r="C73" s="258">
        <v>52.2</v>
      </c>
      <c r="D73" s="259">
        <f t="shared" si="2"/>
        <v>84199.862651646079</v>
      </c>
      <c r="E73" s="259">
        <f t="shared" si="3"/>
        <v>50519.917590987643</v>
      </c>
      <c r="F73" s="259">
        <f t="shared" si="6"/>
        <v>11748.818044415731</v>
      </c>
      <c r="G73" s="259">
        <f t="shared" si="4"/>
        <v>50</v>
      </c>
      <c r="H73" s="260">
        <f t="shared" si="7"/>
        <v>1.0479616306954438</v>
      </c>
      <c r="I73" s="259" t="s">
        <v>480</v>
      </c>
      <c r="J73" s="261">
        <v>4.37</v>
      </c>
      <c r="K73" s="262" t="s">
        <v>481</v>
      </c>
      <c r="L73" s="728"/>
    </row>
    <row r="74" spans="1:12" s="248" customFormat="1" ht="13.2" x14ac:dyDescent="0.25">
      <c r="A74" s="404" t="str">
        <f t="shared" si="5"/>
        <v>HPWH - Admin</v>
      </c>
      <c r="B74" s="257" t="s">
        <v>485</v>
      </c>
      <c r="C74" s="258">
        <v>52.7</v>
      </c>
      <c r="D74" s="259">
        <f t="shared" si="2"/>
        <v>83691.409374764175</v>
      </c>
      <c r="E74" s="259">
        <f t="shared" si="3"/>
        <v>50214.845624858506</v>
      </c>
      <c r="F74" s="259">
        <f t="shared" si="6"/>
        <v>11677.87107554849</v>
      </c>
      <c r="G74" s="259">
        <f t="shared" si="4"/>
        <v>50</v>
      </c>
      <c r="H74" s="260">
        <f t="shared" si="7"/>
        <v>1.0479616306954438</v>
      </c>
      <c r="I74" s="259" t="s">
        <v>480</v>
      </c>
      <c r="J74" s="261">
        <v>4.37</v>
      </c>
      <c r="K74" s="262" t="s">
        <v>481</v>
      </c>
      <c r="L74" s="728"/>
    </row>
    <row r="75" spans="1:12" s="248" customFormat="1" ht="13.2" x14ac:dyDescent="0.25">
      <c r="A75" s="404" t="str">
        <f t="shared" si="5"/>
        <v>HPWH - Admin</v>
      </c>
      <c r="B75" s="257" t="s">
        <v>486</v>
      </c>
      <c r="C75" s="258">
        <v>51.6</v>
      </c>
      <c r="D75" s="259">
        <f t="shared" si="2"/>
        <v>84810.006583904411</v>
      </c>
      <c r="E75" s="259">
        <f t="shared" si="3"/>
        <v>50886.003950342645</v>
      </c>
      <c r="F75" s="259">
        <f t="shared" si="6"/>
        <v>11833.95440705643</v>
      </c>
      <c r="G75" s="259">
        <f t="shared" si="4"/>
        <v>50</v>
      </c>
      <c r="H75" s="260">
        <f t="shared" si="7"/>
        <v>1.0479616306954438</v>
      </c>
      <c r="I75" s="259" t="s">
        <v>480</v>
      </c>
      <c r="J75" s="261">
        <v>4.37</v>
      </c>
      <c r="K75" s="262" t="s">
        <v>481</v>
      </c>
      <c r="L75" s="728"/>
    </row>
    <row r="76" spans="1:12" s="248" customFormat="1" ht="13.2" x14ac:dyDescent="0.25">
      <c r="A76" s="404" t="str">
        <f t="shared" si="5"/>
        <v>HPWH - Admin</v>
      </c>
      <c r="B76" s="257" t="s">
        <v>487</v>
      </c>
      <c r="C76" s="258">
        <v>56.8</v>
      </c>
      <c r="D76" s="259">
        <f t="shared" si="2"/>
        <v>79522.092504332424</v>
      </c>
      <c r="E76" s="259">
        <f t="shared" si="3"/>
        <v>47713.255502599452</v>
      </c>
      <c r="F76" s="259">
        <f t="shared" si="6"/>
        <v>11096.105930837082</v>
      </c>
      <c r="G76" s="259">
        <f t="shared" si="4"/>
        <v>50</v>
      </c>
      <c r="H76" s="260">
        <f t="shared" si="7"/>
        <v>1.0479616306954438</v>
      </c>
      <c r="I76" s="259" t="s">
        <v>480</v>
      </c>
      <c r="J76" s="261">
        <v>4.37</v>
      </c>
      <c r="K76" s="262" t="s">
        <v>481</v>
      </c>
      <c r="L76" s="728"/>
    </row>
    <row r="77" spans="1:12" s="248" customFormat="1" ht="13.2" x14ac:dyDescent="0.25">
      <c r="A77" s="404" t="str">
        <f t="shared" si="5"/>
        <v>HPWH - Admin</v>
      </c>
      <c r="B77" s="257" t="s">
        <v>488</v>
      </c>
      <c r="C77" s="258">
        <v>58.4</v>
      </c>
      <c r="D77" s="259">
        <f t="shared" si="2"/>
        <v>77895.042018310269</v>
      </c>
      <c r="E77" s="259">
        <f t="shared" si="3"/>
        <v>46737.025210986161</v>
      </c>
      <c r="F77" s="259">
        <f t="shared" si="6"/>
        <v>10869.075630461899</v>
      </c>
      <c r="G77" s="259">
        <f t="shared" si="4"/>
        <v>50</v>
      </c>
      <c r="H77" s="260">
        <f t="shared" si="7"/>
        <v>1.0479616306954438</v>
      </c>
      <c r="I77" s="259" t="s">
        <v>480</v>
      </c>
      <c r="J77" s="261">
        <v>4.37</v>
      </c>
      <c r="K77" s="262" t="s">
        <v>481</v>
      </c>
      <c r="L77" s="728"/>
    </row>
    <row r="78" spans="1:12" s="248" customFormat="1" ht="13.2" x14ac:dyDescent="0.25">
      <c r="A78" s="404" t="str">
        <f t="shared" si="5"/>
        <v>HPWH - Admin</v>
      </c>
      <c r="B78" s="257" t="s">
        <v>489</v>
      </c>
      <c r="C78" s="258">
        <v>58.4</v>
      </c>
      <c r="D78" s="259">
        <f t="shared" si="2"/>
        <v>77895.042018310269</v>
      </c>
      <c r="E78" s="259">
        <f t="shared" si="3"/>
        <v>46737.025210986161</v>
      </c>
      <c r="F78" s="259">
        <f t="shared" si="6"/>
        <v>10869.075630461899</v>
      </c>
      <c r="G78" s="259">
        <f t="shared" si="4"/>
        <v>50</v>
      </c>
      <c r="H78" s="260">
        <f t="shared" si="7"/>
        <v>1.0479616306954438</v>
      </c>
      <c r="I78" s="259" t="s">
        <v>480</v>
      </c>
      <c r="J78" s="261">
        <v>4.37</v>
      </c>
      <c r="K78" s="262" t="s">
        <v>481</v>
      </c>
      <c r="L78" s="728"/>
    </row>
    <row r="79" spans="1:12" s="248" customFormat="1" ht="13.2" x14ac:dyDescent="0.25">
      <c r="A79" s="404" t="str">
        <f t="shared" si="5"/>
        <v>HPWH - Admin</v>
      </c>
      <c r="B79" s="257" t="s">
        <v>490</v>
      </c>
      <c r="C79" s="258">
        <v>57.6</v>
      </c>
      <c r="D79" s="259">
        <f t="shared" si="2"/>
        <v>78708.567261321354</v>
      </c>
      <c r="E79" s="259">
        <f t="shared" si="3"/>
        <v>47225.140356792814</v>
      </c>
      <c r="F79" s="259">
        <f t="shared" si="6"/>
        <v>10982.590780649492</v>
      </c>
      <c r="G79" s="259">
        <f t="shared" si="4"/>
        <v>50</v>
      </c>
      <c r="H79" s="260">
        <f t="shared" si="7"/>
        <v>1.0479616306954438</v>
      </c>
      <c r="I79" s="259" t="s">
        <v>480</v>
      </c>
      <c r="J79" s="261">
        <v>4.37</v>
      </c>
      <c r="K79" s="262" t="s">
        <v>481</v>
      </c>
      <c r="L79" s="728"/>
    </row>
    <row r="80" spans="1:12" s="248" customFormat="1" ht="13.2" x14ac:dyDescent="0.25">
      <c r="A80" s="404" t="str">
        <f t="shared" si="5"/>
        <v>HPWH - Admin</v>
      </c>
      <c r="B80" s="257" t="s">
        <v>238</v>
      </c>
      <c r="C80" s="258">
        <v>57.1</v>
      </c>
      <c r="D80" s="259">
        <f t="shared" si="2"/>
        <v>79217.020538203273</v>
      </c>
      <c r="E80" s="259">
        <f t="shared" si="3"/>
        <v>47530.212322921965</v>
      </c>
      <c r="F80" s="259">
        <f t="shared" si="6"/>
        <v>11053.537749516736</v>
      </c>
      <c r="G80" s="259">
        <f t="shared" si="4"/>
        <v>50</v>
      </c>
      <c r="H80" s="260">
        <f t="shared" si="7"/>
        <v>1.0479616306954438</v>
      </c>
      <c r="I80" s="259" t="s">
        <v>480</v>
      </c>
      <c r="J80" s="261">
        <v>4.37</v>
      </c>
      <c r="K80" s="262" t="s">
        <v>481</v>
      </c>
      <c r="L80" s="728"/>
    </row>
    <row r="81" spans="1:12" s="248" customFormat="1" ht="13.2" x14ac:dyDescent="0.25">
      <c r="A81" s="404" t="str">
        <f t="shared" si="5"/>
        <v>HPWH - Admin</v>
      </c>
      <c r="B81" s="257" t="s">
        <v>239</v>
      </c>
      <c r="C81" s="258">
        <v>50.5</v>
      </c>
      <c r="D81" s="259">
        <f t="shared" si="2"/>
        <v>85928.603793044633</v>
      </c>
      <c r="E81" s="259">
        <f t="shared" si="3"/>
        <v>51557.162275826777</v>
      </c>
      <c r="F81" s="259">
        <f t="shared" si="6"/>
        <v>11990.037738564368</v>
      </c>
      <c r="G81" s="259">
        <f t="shared" si="4"/>
        <v>50</v>
      </c>
      <c r="H81" s="260">
        <f t="shared" si="7"/>
        <v>1.0479616306954438</v>
      </c>
      <c r="I81" s="259" t="s">
        <v>480</v>
      </c>
      <c r="J81" s="261">
        <v>4.37</v>
      </c>
      <c r="K81" s="262" t="s">
        <v>481</v>
      </c>
      <c r="L81" s="728"/>
    </row>
    <row r="82" spans="1:12" s="248" customFormat="1" ht="13.2" x14ac:dyDescent="0.25">
      <c r="A82" s="404" t="str">
        <f t="shared" si="5"/>
        <v>HPWH - Admin</v>
      </c>
      <c r="B82" s="257" t="s">
        <v>240</v>
      </c>
      <c r="C82" s="258">
        <v>51.4</v>
      </c>
      <c r="D82" s="259">
        <f t="shared" si="2"/>
        <v>85013.387894657164</v>
      </c>
      <c r="E82" s="259">
        <f t="shared" si="3"/>
        <v>51008.032736794295</v>
      </c>
      <c r="F82" s="259">
        <f t="shared" si="6"/>
        <v>11862.333194603325</v>
      </c>
      <c r="G82" s="259">
        <f t="shared" si="4"/>
        <v>50</v>
      </c>
      <c r="H82" s="260">
        <f t="shared" si="7"/>
        <v>1.0479616306954438</v>
      </c>
      <c r="I82" s="259" t="s">
        <v>480</v>
      </c>
      <c r="J82" s="261">
        <v>4.37</v>
      </c>
      <c r="K82" s="262" t="s">
        <v>481</v>
      </c>
      <c r="L82" s="728"/>
    </row>
    <row r="83" spans="1:12" s="248" customFormat="1" ht="13.2" x14ac:dyDescent="0.25">
      <c r="A83" s="404" t="str">
        <f t="shared" si="5"/>
        <v>HPWH - Admin</v>
      </c>
      <c r="B83" s="257" t="s">
        <v>241</v>
      </c>
      <c r="C83" s="258">
        <v>51.7</v>
      </c>
      <c r="D83" s="259">
        <f t="shared" si="2"/>
        <v>84708.315928527998</v>
      </c>
      <c r="E83" s="259">
        <f t="shared" si="3"/>
        <v>50824.989557116794</v>
      </c>
      <c r="F83" s="259">
        <f t="shared" si="6"/>
        <v>11819.765013282977</v>
      </c>
      <c r="G83" s="259">
        <f t="shared" si="4"/>
        <v>50</v>
      </c>
      <c r="H83" s="260">
        <f t="shared" si="7"/>
        <v>1.0479616306954438</v>
      </c>
      <c r="I83" s="259" t="s">
        <v>480</v>
      </c>
      <c r="J83" s="261">
        <v>4.37</v>
      </c>
      <c r="K83" s="262" t="s">
        <v>481</v>
      </c>
      <c r="L83" s="728"/>
    </row>
    <row r="84" spans="1:12" s="248" customFormat="1" ht="13.2" x14ac:dyDescent="0.25">
      <c r="A84" s="404" t="str">
        <f t="shared" si="5"/>
        <v>HPWH - Admin</v>
      </c>
      <c r="B84" s="257" t="s">
        <v>242</v>
      </c>
      <c r="C84" s="258">
        <v>50.1</v>
      </c>
      <c r="D84" s="259">
        <f t="shared" si="2"/>
        <v>86335.366414550153</v>
      </c>
      <c r="E84" s="259">
        <f t="shared" si="3"/>
        <v>51801.219848730092</v>
      </c>
      <c r="F84" s="259">
        <f t="shared" si="6"/>
        <v>12046.795313658162</v>
      </c>
      <c r="G84" s="259">
        <f t="shared" si="4"/>
        <v>50</v>
      </c>
      <c r="H84" s="260">
        <f t="shared" si="7"/>
        <v>1.0479616306954438</v>
      </c>
      <c r="I84" s="259" t="s">
        <v>480</v>
      </c>
      <c r="J84" s="261">
        <v>4.37</v>
      </c>
      <c r="K84" s="262" t="s">
        <v>481</v>
      </c>
      <c r="L84" s="728"/>
    </row>
    <row r="85" spans="1:12" s="248" customFormat="1" ht="13.2" x14ac:dyDescent="0.25">
      <c r="A85" s="404" t="str">
        <f t="shared" si="5"/>
        <v>HPWH - Admin</v>
      </c>
      <c r="B85" s="257" t="s">
        <v>243</v>
      </c>
      <c r="C85" s="258">
        <v>63.2</v>
      </c>
      <c r="D85" s="259">
        <f t="shared" si="2"/>
        <v>73013.890560243832</v>
      </c>
      <c r="E85" s="259">
        <f t="shared" si="3"/>
        <v>43808.334336146298</v>
      </c>
      <c r="F85" s="259">
        <f t="shared" si="6"/>
        <v>10187.984729336349</v>
      </c>
      <c r="G85" s="259">
        <f t="shared" si="4"/>
        <v>50</v>
      </c>
      <c r="H85" s="260">
        <f t="shared" si="7"/>
        <v>1.0479616306954438</v>
      </c>
      <c r="I85" s="259" t="s">
        <v>480</v>
      </c>
      <c r="J85" s="261">
        <v>4.37</v>
      </c>
      <c r="K85" s="262" t="s">
        <v>481</v>
      </c>
      <c r="L85" s="728"/>
    </row>
    <row r="86" spans="1:12" s="248" customFormat="1" ht="13.8" thickBot="1" x14ac:dyDescent="0.3">
      <c r="A86" s="412" t="str">
        <f t="shared" si="5"/>
        <v>HPWH - Admin</v>
      </c>
      <c r="B86" s="391" t="s">
        <v>244</v>
      </c>
      <c r="C86" s="392">
        <v>41.4</v>
      </c>
      <c r="D86" s="393">
        <f t="shared" si="2"/>
        <v>95182.453432295573</v>
      </c>
      <c r="E86" s="393">
        <f t="shared" si="3"/>
        <v>57109.472059377345</v>
      </c>
      <c r="F86" s="393">
        <f t="shared" si="6"/>
        <v>13281.272571948221</v>
      </c>
      <c r="G86" s="393">
        <f t="shared" si="4"/>
        <v>50</v>
      </c>
      <c r="H86" s="394">
        <f t="shared" si="7"/>
        <v>1.0479616306954438</v>
      </c>
      <c r="I86" s="393" t="s">
        <v>480</v>
      </c>
      <c r="J86" s="395">
        <v>4.37</v>
      </c>
      <c r="K86" s="396" t="s">
        <v>481</v>
      </c>
      <c r="L86" s="728"/>
    </row>
    <row r="87" spans="1:12" s="248" customFormat="1" ht="13.2" x14ac:dyDescent="0.25">
      <c r="A87" s="397" t="str">
        <f>$A$54</f>
        <v>HPWH - North Classroom</v>
      </c>
      <c r="B87" s="398" t="s">
        <v>479</v>
      </c>
      <c r="C87" s="399">
        <v>47.9</v>
      </c>
      <c r="D87" s="400">
        <f t="shared" ref="D87:D102" si="8">$C$54*($B$60-C87)*$B$62</f>
        <v>54139.400249999992</v>
      </c>
      <c r="E87" s="400">
        <f t="shared" ref="E87:E102" si="9">D87*$B$61</f>
        <v>32483.640149999992</v>
      </c>
      <c r="F87" s="400">
        <f t="shared" si="6"/>
        <v>7554.3349186046498</v>
      </c>
      <c r="G87" s="400">
        <f t="shared" ref="G87:G102" si="10">_xlfn.LET(_xlpm.v,MAX(30,$C$54*$B$63),_xlpm.x,_xlfn.XLOOKUP(_xlpm.v,$A$154:$A$158,$A$154:$A$158,"",1),IF(_xlpm.x="",ROUNDUP(_xlpm.v,0),_xlpm.x))</f>
        <v>40</v>
      </c>
      <c r="H87" s="401">
        <f t="shared" ref="H87:H102" si="11">IF(AND(ISNUMBER(J87),G87&gt;0),J87/(0.0834*G87),NA())</f>
        <v>1.3099520383693044</v>
      </c>
      <c r="I87" s="400" t="s">
        <v>480</v>
      </c>
      <c r="J87" s="402">
        <v>4.37</v>
      </c>
      <c r="K87" s="403" t="s">
        <v>481</v>
      </c>
      <c r="L87" s="727" t="s">
        <v>491</v>
      </c>
    </row>
    <row r="88" spans="1:12" s="248" customFormat="1" ht="13.2" x14ac:dyDescent="0.25">
      <c r="A88" s="404" t="str">
        <f t="shared" ref="A88:A102" si="12">$A$54</f>
        <v>HPWH - North Classroom</v>
      </c>
      <c r="B88" s="257" t="s">
        <v>483</v>
      </c>
      <c r="C88" s="258">
        <v>50.8</v>
      </c>
      <c r="D88" s="259">
        <f t="shared" si="8"/>
        <v>52336.825499999992</v>
      </c>
      <c r="E88" s="259">
        <f t="shared" si="9"/>
        <v>31402.095299999994</v>
      </c>
      <c r="F88" s="259">
        <f t="shared" si="6"/>
        <v>7302.8128604651147</v>
      </c>
      <c r="G88" s="259">
        <f t="shared" si="10"/>
        <v>40</v>
      </c>
      <c r="H88" s="260">
        <f t="shared" si="11"/>
        <v>1.3099520383693044</v>
      </c>
      <c r="I88" s="259" t="s">
        <v>480</v>
      </c>
      <c r="J88" s="261">
        <v>4.37</v>
      </c>
      <c r="K88" s="262" t="s">
        <v>481</v>
      </c>
      <c r="L88" s="728"/>
    </row>
    <row r="89" spans="1:12" s="248" customFormat="1" ht="13.2" x14ac:dyDescent="0.25">
      <c r="A89" s="404" t="str">
        <f t="shared" si="12"/>
        <v>HPWH - North Classroom</v>
      </c>
      <c r="B89" s="257" t="s">
        <v>484</v>
      </c>
      <c r="C89" s="258">
        <v>52.2</v>
      </c>
      <c r="D89" s="259">
        <f t="shared" si="8"/>
        <v>51466.616999999998</v>
      </c>
      <c r="E89" s="259">
        <f t="shared" si="9"/>
        <v>30879.970199999996</v>
      </c>
      <c r="F89" s="259">
        <f t="shared" si="6"/>
        <v>7181.3884186046507</v>
      </c>
      <c r="G89" s="259">
        <f t="shared" si="10"/>
        <v>40</v>
      </c>
      <c r="H89" s="260">
        <f t="shared" si="11"/>
        <v>1.3099520383693044</v>
      </c>
      <c r="I89" s="259" t="s">
        <v>480</v>
      </c>
      <c r="J89" s="261">
        <v>4.37</v>
      </c>
      <c r="K89" s="262" t="s">
        <v>481</v>
      </c>
      <c r="L89" s="728"/>
    </row>
    <row r="90" spans="1:12" s="248" customFormat="1" ht="13.2" x14ac:dyDescent="0.25">
      <c r="A90" s="404" t="str">
        <f t="shared" si="12"/>
        <v>HPWH - North Classroom</v>
      </c>
      <c r="B90" s="257" t="s">
        <v>485</v>
      </c>
      <c r="C90" s="258">
        <v>52.7</v>
      </c>
      <c r="D90" s="259">
        <f t="shared" si="8"/>
        <v>51155.828249999991</v>
      </c>
      <c r="E90" s="259">
        <f t="shared" si="9"/>
        <v>30693.496949999993</v>
      </c>
      <c r="F90" s="259">
        <f t="shared" si="6"/>
        <v>7138.0225465116264</v>
      </c>
      <c r="G90" s="259">
        <f t="shared" si="10"/>
        <v>40</v>
      </c>
      <c r="H90" s="260">
        <f t="shared" si="11"/>
        <v>1.3099520383693044</v>
      </c>
      <c r="I90" s="259" t="s">
        <v>480</v>
      </c>
      <c r="J90" s="261">
        <v>4.37</v>
      </c>
      <c r="K90" s="262" t="s">
        <v>481</v>
      </c>
      <c r="L90" s="728"/>
    </row>
    <row r="91" spans="1:12" s="248" customFormat="1" ht="13.2" x14ac:dyDescent="0.25">
      <c r="A91" s="404" t="str">
        <f t="shared" si="12"/>
        <v>HPWH - North Classroom</v>
      </c>
      <c r="B91" s="257" t="s">
        <v>486</v>
      </c>
      <c r="C91" s="258">
        <v>51.6</v>
      </c>
      <c r="D91" s="259">
        <f t="shared" si="8"/>
        <v>51839.563499999997</v>
      </c>
      <c r="E91" s="259">
        <f t="shared" si="9"/>
        <v>31103.738099999995</v>
      </c>
      <c r="F91" s="259">
        <f t="shared" si="6"/>
        <v>7233.4274651162787</v>
      </c>
      <c r="G91" s="259">
        <f t="shared" si="10"/>
        <v>40</v>
      </c>
      <c r="H91" s="260">
        <f t="shared" si="11"/>
        <v>1.3099520383693044</v>
      </c>
      <c r="I91" s="259" t="s">
        <v>480</v>
      </c>
      <c r="J91" s="261">
        <v>4.37</v>
      </c>
      <c r="K91" s="262" t="s">
        <v>481</v>
      </c>
      <c r="L91" s="728"/>
    </row>
    <row r="92" spans="1:12" s="248" customFormat="1" ht="13.2" x14ac:dyDescent="0.25">
      <c r="A92" s="404" t="str">
        <f t="shared" si="12"/>
        <v>HPWH - North Classroom</v>
      </c>
      <c r="B92" s="257" t="s">
        <v>487</v>
      </c>
      <c r="C92" s="258">
        <v>56.8</v>
      </c>
      <c r="D92" s="259">
        <f t="shared" si="8"/>
        <v>48607.360499999995</v>
      </c>
      <c r="E92" s="259">
        <f t="shared" si="9"/>
        <v>29164.416299999997</v>
      </c>
      <c r="F92" s="259">
        <f t="shared" si="6"/>
        <v>6782.4223953488372</v>
      </c>
      <c r="G92" s="259">
        <f t="shared" si="10"/>
        <v>40</v>
      </c>
      <c r="H92" s="260">
        <f t="shared" si="11"/>
        <v>1.3099520383693044</v>
      </c>
      <c r="I92" s="259" t="s">
        <v>480</v>
      </c>
      <c r="J92" s="261">
        <v>4.37</v>
      </c>
      <c r="K92" s="262" t="s">
        <v>481</v>
      </c>
      <c r="L92" s="728"/>
    </row>
    <row r="93" spans="1:12" s="248" customFormat="1" ht="13.2" x14ac:dyDescent="0.25">
      <c r="A93" s="404" t="str">
        <f t="shared" si="12"/>
        <v>HPWH - North Classroom</v>
      </c>
      <c r="B93" s="257" t="s">
        <v>488</v>
      </c>
      <c r="C93" s="258">
        <v>58.4</v>
      </c>
      <c r="D93" s="259">
        <f t="shared" si="8"/>
        <v>47612.836499999998</v>
      </c>
      <c r="E93" s="259">
        <f t="shared" si="9"/>
        <v>28567.701899999996</v>
      </c>
      <c r="F93" s="259">
        <f t="shared" si="6"/>
        <v>6643.6516046511624</v>
      </c>
      <c r="G93" s="259">
        <f t="shared" si="10"/>
        <v>40</v>
      </c>
      <c r="H93" s="260">
        <f t="shared" si="11"/>
        <v>1.3099520383693044</v>
      </c>
      <c r="I93" s="259" t="s">
        <v>480</v>
      </c>
      <c r="J93" s="261">
        <v>4.37</v>
      </c>
      <c r="K93" s="262" t="s">
        <v>481</v>
      </c>
      <c r="L93" s="728"/>
    </row>
    <row r="94" spans="1:12" s="248" customFormat="1" ht="13.2" x14ac:dyDescent="0.25">
      <c r="A94" s="404" t="str">
        <f t="shared" si="12"/>
        <v>HPWH - North Classroom</v>
      </c>
      <c r="B94" s="257" t="s">
        <v>489</v>
      </c>
      <c r="C94" s="258">
        <v>58.4</v>
      </c>
      <c r="D94" s="259">
        <f t="shared" si="8"/>
        <v>47612.836499999998</v>
      </c>
      <c r="E94" s="259">
        <f t="shared" si="9"/>
        <v>28567.701899999996</v>
      </c>
      <c r="F94" s="259">
        <f t="shared" si="6"/>
        <v>6643.6516046511624</v>
      </c>
      <c r="G94" s="259">
        <f t="shared" si="10"/>
        <v>40</v>
      </c>
      <c r="H94" s="260">
        <f t="shared" si="11"/>
        <v>1.3099520383693044</v>
      </c>
      <c r="I94" s="259" t="s">
        <v>480</v>
      </c>
      <c r="J94" s="261">
        <v>4.37</v>
      </c>
      <c r="K94" s="262" t="s">
        <v>481</v>
      </c>
      <c r="L94" s="728"/>
    </row>
    <row r="95" spans="1:12" s="248" customFormat="1" ht="13.2" x14ac:dyDescent="0.25">
      <c r="A95" s="404" t="str">
        <f t="shared" si="12"/>
        <v>HPWH - North Classroom</v>
      </c>
      <c r="B95" s="257" t="s">
        <v>490</v>
      </c>
      <c r="C95" s="258">
        <v>57.6</v>
      </c>
      <c r="D95" s="259">
        <f t="shared" si="8"/>
        <v>48110.098499999993</v>
      </c>
      <c r="E95" s="259">
        <f t="shared" si="9"/>
        <v>28866.059099999995</v>
      </c>
      <c r="F95" s="259">
        <f t="shared" si="6"/>
        <v>6713.0369999999994</v>
      </c>
      <c r="G95" s="259">
        <f t="shared" si="10"/>
        <v>40</v>
      </c>
      <c r="H95" s="260">
        <f t="shared" si="11"/>
        <v>1.3099520383693044</v>
      </c>
      <c r="I95" s="259" t="s">
        <v>480</v>
      </c>
      <c r="J95" s="261">
        <v>4.37</v>
      </c>
      <c r="K95" s="262" t="s">
        <v>481</v>
      </c>
      <c r="L95" s="728"/>
    </row>
    <row r="96" spans="1:12" s="248" customFormat="1" ht="13.2" x14ac:dyDescent="0.25">
      <c r="A96" s="404" t="str">
        <f t="shared" si="12"/>
        <v>HPWH - North Classroom</v>
      </c>
      <c r="B96" s="257" t="s">
        <v>238</v>
      </c>
      <c r="C96" s="258">
        <v>57.1</v>
      </c>
      <c r="D96" s="259">
        <f t="shared" si="8"/>
        <v>48420.887249999992</v>
      </c>
      <c r="E96" s="259">
        <f t="shared" si="9"/>
        <v>29052.532349999994</v>
      </c>
      <c r="F96" s="259">
        <f t="shared" si="6"/>
        <v>6756.4028720930219</v>
      </c>
      <c r="G96" s="259">
        <f t="shared" si="10"/>
        <v>40</v>
      </c>
      <c r="H96" s="260">
        <f t="shared" si="11"/>
        <v>1.3099520383693044</v>
      </c>
      <c r="I96" s="259" t="s">
        <v>480</v>
      </c>
      <c r="J96" s="261">
        <v>4.37</v>
      </c>
      <c r="K96" s="262" t="s">
        <v>481</v>
      </c>
      <c r="L96" s="728"/>
    </row>
    <row r="97" spans="1:12" s="248" customFormat="1" ht="13.2" x14ac:dyDescent="0.25">
      <c r="A97" s="404" t="str">
        <f t="shared" si="12"/>
        <v>HPWH - North Classroom</v>
      </c>
      <c r="B97" s="257" t="s">
        <v>239</v>
      </c>
      <c r="C97" s="258">
        <v>50.5</v>
      </c>
      <c r="D97" s="259">
        <f t="shared" si="8"/>
        <v>52523.298749999994</v>
      </c>
      <c r="E97" s="259">
        <f t="shared" si="9"/>
        <v>31513.979249999997</v>
      </c>
      <c r="F97" s="259">
        <f t="shared" si="6"/>
        <v>7328.83238372093</v>
      </c>
      <c r="G97" s="259">
        <f t="shared" si="10"/>
        <v>40</v>
      </c>
      <c r="H97" s="260">
        <f t="shared" si="11"/>
        <v>1.3099520383693044</v>
      </c>
      <c r="I97" s="259" t="s">
        <v>480</v>
      </c>
      <c r="J97" s="261">
        <v>4.37</v>
      </c>
      <c r="K97" s="262" t="s">
        <v>481</v>
      </c>
      <c r="L97" s="728"/>
    </row>
    <row r="98" spans="1:12" s="248" customFormat="1" ht="13.2" x14ac:dyDescent="0.25">
      <c r="A98" s="404" t="str">
        <f t="shared" si="12"/>
        <v>HPWH - North Classroom</v>
      </c>
      <c r="B98" s="257" t="s">
        <v>240</v>
      </c>
      <c r="C98" s="258">
        <v>51.4</v>
      </c>
      <c r="D98" s="259">
        <f t="shared" si="8"/>
        <v>51963.878999999994</v>
      </c>
      <c r="E98" s="259">
        <f t="shared" si="9"/>
        <v>31178.327399999995</v>
      </c>
      <c r="F98" s="259">
        <f t="shared" si="6"/>
        <v>7250.7738139534877</v>
      </c>
      <c r="G98" s="259">
        <f t="shared" si="10"/>
        <v>40</v>
      </c>
      <c r="H98" s="260">
        <f t="shared" si="11"/>
        <v>1.3099520383693044</v>
      </c>
      <c r="I98" s="259" t="s">
        <v>480</v>
      </c>
      <c r="J98" s="261">
        <v>4.37</v>
      </c>
      <c r="K98" s="262" t="s">
        <v>481</v>
      </c>
      <c r="L98" s="728"/>
    </row>
    <row r="99" spans="1:12" s="248" customFormat="1" ht="13.2" x14ac:dyDescent="0.25">
      <c r="A99" s="404" t="str">
        <f t="shared" si="12"/>
        <v>HPWH - North Classroom</v>
      </c>
      <c r="B99" s="257" t="s">
        <v>241</v>
      </c>
      <c r="C99" s="258">
        <v>51.7</v>
      </c>
      <c r="D99" s="259">
        <f t="shared" si="8"/>
        <v>51777.405749999998</v>
      </c>
      <c r="E99" s="259">
        <f t="shared" si="9"/>
        <v>31066.443449999999</v>
      </c>
      <c r="F99" s="259">
        <f t="shared" si="6"/>
        <v>7224.7542906976742</v>
      </c>
      <c r="G99" s="259">
        <f t="shared" si="10"/>
        <v>40</v>
      </c>
      <c r="H99" s="260">
        <f t="shared" si="11"/>
        <v>1.3099520383693044</v>
      </c>
      <c r="I99" s="259" t="s">
        <v>480</v>
      </c>
      <c r="J99" s="261">
        <v>4.37</v>
      </c>
      <c r="K99" s="262" t="s">
        <v>481</v>
      </c>
      <c r="L99" s="728"/>
    </row>
    <row r="100" spans="1:12" s="248" customFormat="1" ht="13.2" x14ac:dyDescent="0.25">
      <c r="A100" s="404" t="str">
        <f t="shared" si="12"/>
        <v>HPWH - North Classroom</v>
      </c>
      <c r="B100" s="257" t="s">
        <v>242</v>
      </c>
      <c r="C100" s="258">
        <v>50.1</v>
      </c>
      <c r="D100" s="259">
        <f t="shared" si="8"/>
        <v>52771.929749999996</v>
      </c>
      <c r="E100" s="259">
        <f t="shared" si="9"/>
        <v>31663.157849999996</v>
      </c>
      <c r="F100" s="259">
        <f t="shared" si="6"/>
        <v>7363.525081395348</v>
      </c>
      <c r="G100" s="259">
        <f t="shared" si="10"/>
        <v>40</v>
      </c>
      <c r="H100" s="260">
        <f t="shared" si="11"/>
        <v>1.3099520383693044</v>
      </c>
      <c r="I100" s="259" t="s">
        <v>480</v>
      </c>
      <c r="J100" s="261">
        <v>4.37</v>
      </c>
      <c r="K100" s="262" t="s">
        <v>481</v>
      </c>
      <c r="L100" s="728"/>
    </row>
    <row r="101" spans="1:12" s="248" customFormat="1" ht="13.2" x14ac:dyDescent="0.25">
      <c r="A101" s="404" t="str">
        <f t="shared" si="12"/>
        <v>HPWH - North Classroom</v>
      </c>
      <c r="B101" s="257" t="s">
        <v>243</v>
      </c>
      <c r="C101" s="258">
        <v>63.2</v>
      </c>
      <c r="D101" s="259">
        <f t="shared" si="8"/>
        <v>44629.264499999997</v>
      </c>
      <c r="E101" s="259">
        <f t="shared" si="9"/>
        <v>26777.558699999998</v>
      </c>
      <c r="F101" s="259">
        <f t="shared" si="6"/>
        <v>6227.339232558139</v>
      </c>
      <c r="G101" s="259">
        <f t="shared" si="10"/>
        <v>40</v>
      </c>
      <c r="H101" s="260">
        <f t="shared" si="11"/>
        <v>1.3099520383693044</v>
      </c>
      <c r="I101" s="259" t="s">
        <v>480</v>
      </c>
      <c r="J101" s="261">
        <v>4.37</v>
      </c>
      <c r="K101" s="262" t="s">
        <v>481</v>
      </c>
      <c r="L101" s="728"/>
    </row>
    <row r="102" spans="1:12" s="248" customFormat="1" ht="13.8" thickBot="1" x14ac:dyDescent="0.3">
      <c r="A102" s="412" t="str">
        <f t="shared" si="12"/>
        <v>HPWH - North Classroom</v>
      </c>
      <c r="B102" s="391" t="s">
        <v>244</v>
      </c>
      <c r="C102" s="392">
        <v>41.4</v>
      </c>
      <c r="D102" s="393">
        <f t="shared" si="8"/>
        <v>58179.653999999995</v>
      </c>
      <c r="E102" s="393">
        <f t="shared" si="9"/>
        <v>34907.792399999998</v>
      </c>
      <c r="F102" s="393">
        <f t="shared" si="6"/>
        <v>8118.0912558139535</v>
      </c>
      <c r="G102" s="393">
        <f t="shared" si="10"/>
        <v>40</v>
      </c>
      <c r="H102" s="394">
        <f t="shared" si="11"/>
        <v>1.3099520383693044</v>
      </c>
      <c r="I102" s="393" t="s">
        <v>480</v>
      </c>
      <c r="J102" s="395">
        <v>4.37</v>
      </c>
      <c r="K102" s="396" t="s">
        <v>481</v>
      </c>
      <c r="L102" s="728"/>
    </row>
    <row r="103" spans="1:12" s="248" customFormat="1" ht="13.2" x14ac:dyDescent="0.25">
      <c r="A103" s="397" t="str">
        <f>$A$55</f>
        <v>HPWH - Lab Classroom</v>
      </c>
      <c r="B103" s="398" t="s">
        <v>479</v>
      </c>
      <c r="C103" s="399">
        <v>47.9</v>
      </c>
      <c r="D103" s="400">
        <f t="shared" ref="D103:D118" si="13">$C$55*($B$60-C103)*$B$62</f>
        <v>54139.400249999992</v>
      </c>
      <c r="E103" s="400">
        <f t="shared" ref="E103:E118" si="14">D103*$B$61</f>
        <v>32483.640149999992</v>
      </c>
      <c r="F103" s="400">
        <f t="shared" si="6"/>
        <v>7554.3349186046498</v>
      </c>
      <c r="G103" s="400">
        <f t="shared" ref="G103:G118" si="15">_xlfn.LET(_xlpm.v,MAX(30,$C$55*$B$63),_xlpm.x,_xlfn.XLOOKUP(_xlpm.v,$A$154:$A$158,$A$154:$A$158,"",1),IF(_xlpm.x="",ROUNDUP(_xlpm.v,0),_xlpm.x))</f>
        <v>40</v>
      </c>
      <c r="H103" s="401">
        <f t="shared" ref="H103:H118" si="16">IF(AND(ISNUMBER(J103),G103&gt;0),J103/(0.0834*G103),NA())</f>
        <v>1.3099520383693044</v>
      </c>
      <c r="I103" s="400" t="s">
        <v>480</v>
      </c>
      <c r="J103" s="402">
        <v>4.37</v>
      </c>
      <c r="K103" s="403" t="s">
        <v>481</v>
      </c>
      <c r="L103" s="727" t="s">
        <v>492</v>
      </c>
    </row>
    <row r="104" spans="1:12" s="248" customFormat="1" ht="13.2" x14ac:dyDescent="0.25">
      <c r="A104" s="404" t="str">
        <f t="shared" ref="A104:A118" si="17">$A$55</f>
        <v>HPWH - Lab Classroom</v>
      </c>
      <c r="B104" s="257" t="s">
        <v>483</v>
      </c>
      <c r="C104" s="258">
        <v>50.8</v>
      </c>
      <c r="D104" s="259">
        <f t="shared" si="13"/>
        <v>52336.825499999992</v>
      </c>
      <c r="E104" s="259">
        <f t="shared" si="14"/>
        <v>31402.095299999994</v>
      </c>
      <c r="F104" s="259">
        <f t="shared" ref="F104:F135" si="18">_xlfn.LET(_xlpm.x,_xlfn.XLOOKUP(E104,$C$154:$C$158,$C$154:$C$158,"",1),IF(_xlpm.x="",E104/$B$67,_xlpm.x/$B$67))</f>
        <v>7302.8128604651147</v>
      </c>
      <c r="G104" s="259">
        <f t="shared" si="15"/>
        <v>40</v>
      </c>
      <c r="H104" s="260">
        <f t="shared" si="16"/>
        <v>1.3099520383693044</v>
      </c>
      <c r="I104" s="259" t="s">
        <v>480</v>
      </c>
      <c r="J104" s="261">
        <v>4.37</v>
      </c>
      <c r="K104" s="262" t="s">
        <v>481</v>
      </c>
      <c r="L104" s="728"/>
    </row>
    <row r="105" spans="1:12" s="248" customFormat="1" ht="13.2" x14ac:dyDescent="0.25">
      <c r="A105" s="404" t="str">
        <f t="shared" si="17"/>
        <v>HPWH - Lab Classroom</v>
      </c>
      <c r="B105" s="257" t="s">
        <v>484</v>
      </c>
      <c r="C105" s="258">
        <v>52.2</v>
      </c>
      <c r="D105" s="259">
        <f t="shared" si="13"/>
        <v>51466.616999999998</v>
      </c>
      <c r="E105" s="259">
        <f t="shared" si="14"/>
        <v>30879.970199999996</v>
      </c>
      <c r="F105" s="259">
        <f t="shared" si="18"/>
        <v>7181.3884186046507</v>
      </c>
      <c r="G105" s="259">
        <f t="shared" si="15"/>
        <v>40</v>
      </c>
      <c r="H105" s="260">
        <f t="shared" si="16"/>
        <v>1.3099520383693044</v>
      </c>
      <c r="I105" s="259" t="s">
        <v>480</v>
      </c>
      <c r="J105" s="261">
        <v>4.37</v>
      </c>
      <c r="K105" s="262" t="s">
        <v>481</v>
      </c>
      <c r="L105" s="728"/>
    </row>
    <row r="106" spans="1:12" s="248" customFormat="1" ht="13.2" x14ac:dyDescent="0.25">
      <c r="A106" s="404" t="str">
        <f t="shared" si="17"/>
        <v>HPWH - Lab Classroom</v>
      </c>
      <c r="B106" s="257" t="s">
        <v>485</v>
      </c>
      <c r="C106" s="258">
        <v>52.7</v>
      </c>
      <c r="D106" s="259">
        <f t="shared" si="13"/>
        <v>51155.828249999991</v>
      </c>
      <c r="E106" s="259">
        <f t="shared" si="14"/>
        <v>30693.496949999993</v>
      </c>
      <c r="F106" s="259">
        <f t="shared" si="18"/>
        <v>7138.0225465116264</v>
      </c>
      <c r="G106" s="259">
        <f t="shared" si="15"/>
        <v>40</v>
      </c>
      <c r="H106" s="260">
        <f t="shared" si="16"/>
        <v>1.3099520383693044</v>
      </c>
      <c r="I106" s="259" t="s">
        <v>480</v>
      </c>
      <c r="J106" s="261">
        <v>4.37</v>
      </c>
      <c r="K106" s="262" t="s">
        <v>481</v>
      </c>
      <c r="L106" s="728"/>
    </row>
    <row r="107" spans="1:12" s="248" customFormat="1" ht="13.2" x14ac:dyDescent="0.25">
      <c r="A107" s="404" t="str">
        <f t="shared" si="17"/>
        <v>HPWH - Lab Classroom</v>
      </c>
      <c r="B107" s="257" t="s">
        <v>486</v>
      </c>
      <c r="C107" s="258">
        <v>51.6</v>
      </c>
      <c r="D107" s="259">
        <f t="shared" si="13"/>
        <v>51839.563499999997</v>
      </c>
      <c r="E107" s="259">
        <f t="shared" si="14"/>
        <v>31103.738099999995</v>
      </c>
      <c r="F107" s="259">
        <f t="shared" si="18"/>
        <v>7233.4274651162787</v>
      </c>
      <c r="G107" s="259">
        <f t="shared" si="15"/>
        <v>40</v>
      </c>
      <c r="H107" s="260">
        <f t="shared" si="16"/>
        <v>1.3099520383693044</v>
      </c>
      <c r="I107" s="259" t="s">
        <v>480</v>
      </c>
      <c r="J107" s="261">
        <v>4.37</v>
      </c>
      <c r="K107" s="262" t="s">
        <v>481</v>
      </c>
      <c r="L107" s="728"/>
    </row>
    <row r="108" spans="1:12" s="248" customFormat="1" ht="13.2" x14ac:dyDescent="0.25">
      <c r="A108" s="404" t="str">
        <f t="shared" si="17"/>
        <v>HPWH - Lab Classroom</v>
      </c>
      <c r="B108" s="257" t="s">
        <v>487</v>
      </c>
      <c r="C108" s="258">
        <v>56.8</v>
      </c>
      <c r="D108" s="259">
        <f t="shared" si="13"/>
        <v>48607.360499999995</v>
      </c>
      <c r="E108" s="259">
        <f t="shared" si="14"/>
        <v>29164.416299999997</v>
      </c>
      <c r="F108" s="259">
        <f t="shared" si="18"/>
        <v>6782.4223953488372</v>
      </c>
      <c r="G108" s="259">
        <f t="shared" si="15"/>
        <v>40</v>
      </c>
      <c r="H108" s="260">
        <f t="shared" si="16"/>
        <v>1.3099520383693044</v>
      </c>
      <c r="I108" s="259" t="s">
        <v>480</v>
      </c>
      <c r="J108" s="261">
        <v>4.37</v>
      </c>
      <c r="K108" s="262" t="s">
        <v>481</v>
      </c>
      <c r="L108" s="728"/>
    </row>
    <row r="109" spans="1:12" s="248" customFormat="1" ht="13.2" x14ac:dyDescent="0.25">
      <c r="A109" s="404" t="str">
        <f t="shared" si="17"/>
        <v>HPWH - Lab Classroom</v>
      </c>
      <c r="B109" s="257" t="s">
        <v>488</v>
      </c>
      <c r="C109" s="258">
        <v>58.4</v>
      </c>
      <c r="D109" s="259">
        <f t="shared" si="13"/>
        <v>47612.836499999998</v>
      </c>
      <c r="E109" s="259">
        <f t="shared" si="14"/>
        <v>28567.701899999996</v>
      </c>
      <c r="F109" s="259">
        <f t="shared" si="18"/>
        <v>6643.6516046511624</v>
      </c>
      <c r="G109" s="259">
        <f t="shared" si="15"/>
        <v>40</v>
      </c>
      <c r="H109" s="260">
        <f t="shared" si="16"/>
        <v>1.3099520383693044</v>
      </c>
      <c r="I109" s="259" t="s">
        <v>480</v>
      </c>
      <c r="J109" s="261">
        <v>4.37</v>
      </c>
      <c r="K109" s="262" t="s">
        <v>481</v>
      </c>
      <c r="L109" s="728"/>
    </row>
    <row r="110" spans="1:12" s="248" customFormat="1" ht="13.2" x14ac:dyDescent="0.25">
      <c r="A110" s="404" t="str">
        <f t="shared" si="17"/>
        <v>HPWH - Lab Classroom</v>
      </c>
      <c r="B110" s="257" t="s">
        <v>489</v>
      </c>
      <c r="C110" s="258">
        <v>58.4</v>
      </c>
      <c r="D110" s="259">
        <f t="shared" si="13"/>
        <v>47612.836499999998</v>
      </c>
      <c r="E110" s="259">
        <f t="shared" si="14"/>
        <v>28567.701899999996</v>
      </c>
      <c r="F110" s="259">
        <f t="shared" si="18"/>
        <v>6643.6516046511624</v>
      </c>
      <c r="G110" s="259">
        <f t="shared" si="15"/>
        <v>40</v>
      </c>
      <c r="H110" s="260">
        <f t="shared" si="16"/>
        <v>1.3099520383693044</v>
      </c>
      <c r="I110" s="259" t="s">
        <v>480</v>
      </c>
      <c r="J110" s="261">
        <v>4.37</v>
      </c>
      <c r="K110" s="262" t="s">
        <v>481</v>
      </c>
      <c r="L110" s="728"/>
    </row>
    <row r="111" spans="1:12" s="248" customFormat="1" ht="13.2" x14ac:dyDescent="0.25">
      <c r="A111" s="404" t="str">
        <f t="shared" si="17"/>
        <v>HPWH - Lab Classroom</v>
      </c>
      <c r="B111" s="257" t="s">
        <v>490</v>
      </c>
      <c r="C111" s="258">
        <v>57.6</v>
      </c>
      <c r="D111" s="259">
        <f t="shared" si="13"/>
        <v>48110.098499999993</v>
      </c>
      <c r="E111" s="259">
        <f t="shared" si="14"/>
        <v>28866.059099999995</v>
      </c>
      <c r="F111" s="259">
        <f t="shared" si="18"/>
        <v>6713.0369999999994</v>
      </c>
      <c r="G111" s="259">
        <f t="shared" si="15"/>
        <v>40</v>
      </c>
      <c r="H111" s="260">
        <f t="shared" si="16"/>
        <v>1.3099520383693044</v>
      </c>
      <c r="I111" s="259" t="s">
        <v>480</v>
      </c>
      <c r="J111" s="261">
        <v>4.37</v>
      </c>
      <c r="K111" s="262" t="s">
        <v>481</v>
      </c>
      <c r="L111" s="728"/>
    </row>
    <row r="112" spans="1:12" s="248" customFormat="1" ht="13.2" x14ac:dyDescent="0.25">
      <c r="A112" s="404" t="str">
        <f t="shared" si="17"/>
        <v>HPWH - Lab Classroom</v>
      </c>
      <c r="B112" s="257" t="s">
        <v>238</v>
      </c>
      <c r="C112" s="258">
        <v>57.1</v>
      </c>
      <c r="D112" s="259">
        <f t="shared" si="13"/>
        <v>48420.887249999992</v>
      </c>
      <c r="E112" s="259">
        <f t="shared" si="14"/>
        <v>29052.532349999994</v>
      </c>
      <c r="F112" s="259">
        <f t="shared" si="18"/>
        <v>6756.4028720930219</v>
      </c>
      <c r="G112" s="259">
        <f t="shared" si="15"/>
        <v>40</v>
      </c>
      <c r="H112" s="260">
        <f t="shared" si="16"/>
        <v>1.3099520383693044</v>
      </c>
      <c r="I112" s="259" t="s">
        <v>480</v>
      </c>
      <c r="J112" s="261">
        <v>4.37</v>
      </c>
      <c r="K112" s="262" t="s">
        <v>481</v>
      </c>
      <c r="L112" s="728"/>
    </row>
    <row r="113" spans="1:12" s="248" customFormat="1" ht="13.2" x14ac:dyDescent="0.25">
      <c r="A113" s="404" t="str">
        <f t="shared" si="17"/>
        <v>HPWH - Lab Classroom</v>
      </c>
      <c r="B113" s="257" t="s">
        <v>239</v>
      </c>
      <c r="C113" s="258">
        <v>50.5</v>
      </c>
      <c r="D113" s="259">
        <f t="shared" si="13"/>
        <v>52523.298749999994</v>
      </c>
      <c r="E113" s="259">
        <f t="shared" si="14"/>
        <v>31513.979249999997</v>
      </c>
      <c r="F113" s="259">
        <f t="shared" si="18"/>
        <v>7328.83238372093</v>
      </c>
      <c r="G113" s="259">
        <f t="shared" si="15"/>
        <v>40</v>
      </c>
      <c r="H113" s="260">
        <f t="shared" si="16"/>
        <v>1.3099520383693044</v>
      </c>
      <c r="I113" s="259" t="s">
        <v>480</v>
      </c>
      <c r="J113" s="261">
        <v>4.37</v>
      </c>
      <c r="K113" s="262" t="s">
        <v>481</v>
      </c>
      <c r="L113" s="728"/>
    </row>
    <row r="114" spans="1:12" s="248" customFormat="1" ht="13.2" x14ac:dyDescent="0.25">
      <c r="A114" s="404" t="str">
        <f t="shared" si="17"/>
        <v>HPWH - Lab Classroom</v>
      </c>
      <c r="B114" s="257" t="s">
        <v>240</v>
      </c>
      <c r="C114" s="258">
        <v>51.4</v>
      </c>
      <c r="D114" s="259">
        <f t="shared" si="13"/>
        <v>51963.878999999994</v>
      </c>
      <c r="E114" s="259">
        <f t="shared" si="14"/>
        <v>31178.327399999995</v>
      </c>
      <c r="F114" s="259">
        <f t="shared" si="18"/>
        <v>7250.7738139534877</v>
      </c>
      <c r="G114" s="259">
        <f t="shared" si="15"/>
        <v>40</v>
      </c>
      <c r="H114" s="260">
        <f t="shared" si="16"/>
        <v>1.3099520383693044</v>
      </c>
      <c r="I114" s="259" t="s">
        <v>480</v>
      </c>
      <c r="J114" s="261">
        <v>4.37</v>
      </c>
      <c r="K114" s="262" t="s">
        <v>481</v>
      </c>
      <c r="L114" s="728"/>
    </row>
    <row r="115" spans="1:12" s="248" customFormat="1" ht="13.2" x14ac:dyDescent="0.25">
      <c r="A115" s="404" t="str">
        <f t="shared" si="17"/>
        <v>HPWH - Lab Classroom</v>
      </c>
      <c r="B115" s="257" t="s">
        <v>241</v>
      </c>
      <c r="C115" s="258">
        <v>51.7</v>
      </c>
      <c r="D115" s="259">
        <f t="shared" si="13"/>
        <v>51777.405749999998</v>
      </c>
      <c r="E115" s="259">
        <f t="shared" si="14"/>
        <v>31066.443449999999</v>
      </c>
      <c r="F115" s="259">
        <f t="shared" si="18"/>
        <v>7224.7542906976742</v>
      </c>
      <c r="G115" s="259">
        <f t="shared" si="15"/>
        <v>40</v>
      </c>
      <c r="H115" s="260">
        <f t="shared" si="16"/>
        <v>1.3099520383693044</v>
      </c>
      <c r="I115" s="259" t="s">
        <v>480</v>
      </c>
      <c r="J115" s="261">
        <v>4.37</v>
      </c>
      <c r="K115" s="262" t="s">
        <v>481</v>
      </c>
      <c r="L115" s="728"/>
    </row>
    <row r="116" spans="1:12" s="248" customFormat="1" ht="13.2" x14ac:dyDescent="0.25">
      <c r="A116" s="404" t="str">
        <f t="shared" si="17"/>
        <v>HPWH - Lab Classroom</v>
      </c>
      <c r="B116" s="257" t="s">
        <v>242</v>
      </c>
      <c r="C116" s="258">
        <v>50.1</v>
      </c>
      <c r="D116" s="259">
        <f t="shared" si="13"/>
        <v>52771.929749999996</v>
      </c>
      <c r="E116" s="259">
        <f t="shared" si="14"/>
        <v>31663.157849999996</v>
      </c>
      <c r="F116" s="259">
        <f t="shared" si="18"/>
        <v>7363.525081395348</v>
      </c>
      <c r="G116" s="259">
        <f t="shared" si="15"/>
        <v>40</v>
      </c>
      <c r="H116" s="260">
        <f t="shared" si="16"/>
        <v>1.3099520383693044</v>
      </c>
      <c r="I116" s="259" t="s">
        <v>480</v>
      </c>
      <c r="J116" s="261">
        <v>4.37</v>
      </c>
      <c r="K116" s="262" t="s">
        <v>481</v>
      </c>
      <c r="L116" s="728"/>
    </row>
    <row r="117" spans="1:12" s="248" customFormat="1" ht="13.2" x14ac:dyDescent="0.25">
      <c r="A117" s="404" t="str">
        <f t="shared" si="17"/>
        <v>HPWH - Lab Classroom</v>
      </c>
      <c r="B117" s="257" t="s">
        <v>243</v>
      </c>
      <c r="C117" s="258">
        <v>63.2</v>
      </c>
      <c r="D117" s="259">
        <f t="shared" si="13"/>
        <v>44629.264499999997</v>
      </c>
      <c r="E117" s="259">
        <f t="shared" si="14"/>
        <v>26777.558699999998</v>
      </c>
      <c r="F117" s="259">
        <f t="shared" si="18"/>
        <v>6227.339232558139</v>
      </c>
      <c r="G117" s="259">
        <f t="shared" si="15"/>
        <v>40</v>
      </c>
      <c r="H117" s="260">
        <f t="shared" si="16"/>
        <v>1.3099520383693044</v>
      </c>
      <c r="I117" s="259" t="s">
        <v>480</v>
      </c>
      <c r="J117" s="261">
        <v>4.37</v>
      </c>
      <c r="K117" s="262" t="s">
        <v>481</v>
      </c>
      <c r="L117" s="728"/>
    </row>
    <row r="118" spans="1:12" s="248" customFormat="1" ht="13.8" thickBot="1" x14ac:dyDescent="0.3">
      <c r="A118" s="412" t="str">
        <f t="shared" si="17"/>
        <v>HPWH - Lab Classroom</v>
      </c>
      <c r="B118" s="391" t="s">
        <v>244</v>
      </c>
      <c r="C118" s="392">
        <v>41.4</v>
      </c>
      <c r="D118" s="393">
        <f t="shared" si="13"/>
        <v>58179.653999999995</v>
      </c>
      <c r="E118" s="393">
        <f t="shared" si="14"/>
        <v>34907.792399999998</v>
      </c>
      <c r="F118" s="393">
        <f t="shared" si="18"/>
        <v>8118.0912558139535</v>
      </c>
      <c r="G118" s="393">
        <f t="shared" si="15"/>
        <v>40</v>
      </c>
      <c r="H118" s="394">
        <f t="shared" si="16"/>
        <v>1.3099520383693044</v>
      </c>
      <c r="I118" s="393" t="s">
        <v>480</v>
      </c>
      <c r="J118" s="395">
        <v>4.37</v>
      </c>
      <c r="K118" s="396" t="s">
        <v>481</v>
      </c>
      <c r="L118" s="728"/>
    </row>
    <row r="119" spans="1:12" s="248" customFormat="1" ht="13.2" x14ac:dyDescent="0.25">
      <c r="A119" s="397" t="str">
        <f>$A$56</f>
        <v>HPWH - Shop Classroom</v>
      </c>
      <c r="B119" s="398" t="s">
        <v>479</v>
      </c>
      <c r="C119" s="399">
        <v>47.9</v>
      </c>
      <c r="D119" s="400">
        <f t="shared" ref="D119:D134" si="19">$C$56*($B$60-C119)*$B$62</f>
        <v>54139.400249999992</v>
      </c>
      <c r="E119" s="400">
        <f t="shared" ref="E119:E134" si="20">D119*$B$61</f>
        <v>32483.640149999992</v>
      </c>
      <c r="F119" s="400">
        <f t="shared" si="18"/>
        <v>7554.3349186046498</v>
      </c>
      <c r="G119" s="400">
        <f t="shared" ref="G119:G134" si="21">_xlfn.LET(_xlpm.v,MAX(30,$C$56*$B$63),_xlpm.x,_xlfn.XLOOKUP(_xlpm.v,$A$154:$A$158,$A$154:$A$158,"",1),IF(_xlpm.x="",ROUNDUP(_xlpm.v,0),_xlpm.x))</f>
        <v>40</v>
      </c>
      <c r="H119" s="401">
        <f t="shared" ref="H119:H134" si="22">IF(AND(ISNUMBER(J119),G119&gt;0),J119/(0.0834*G119),NA())</f>
        <v>1.3099520383693044</v>
      </c>
      <c r="I119" s="400" t="s">
        <v>480</v>
      </c>
      <c r="J119" s="402">
        <v>4.37</v>
      </c>
      <c r="K119" s="403" t="s">
        <v>481</v>
      </c>
      <c r="L119" s="727" t="s">
        <v>493</v>
      </c>
    </row>
    <row r="120" spans="1:12" s="248" customFormat="1" ht="13.2" x14ac:dyDescent="0.25">
      <c r="A120" s="404" t="str">
        <f t="shared" ref="A120:A134" si="23">$A$56</f>
        <v>HPWH - Shop Classroom</v>
      </c>
      <c r="B120" s="257" t="s">
        <v>483</v>
      </c>
      <c r="C120" s="258">
        <v>50.8</v>
      </c>
      <c r="D120" s="259">
        <f t="shared" si="19"/>
        <v>52336.825499999992</v>
      </c>
      <c r="E120" s="259">
        <f t="shared" si="20"/>
        <v>31402.095299999994</v>
      </c>
      <c r="F120" s="259">
        <f t="shared" si="18"/>
        <v>7302.8128604651147</v>
      </c>
      <c r="G120" s="259">
        <f t="shared" si="21"/>
        <v>40</v>
      </c>
      <c r="H120" s="260">
        <f t="shared" si="22"/>
        <v>1.3099520383693044</v>
      </c>
      <c r="I120" s="259" t="s">
        <v>480</v>
      </c>
      <c r="J120" s="261">
        <v>4.37</v>
      </c>
      <c r="K120" s="262" t="s">
        <v>481</v>
      </c>
      <c r="L120" s="728"/>
    </row>
    <row r="121" spans="1:12" s="248" customFormat="1" ht="13.2" x14ac:dyDescent="0.25">
      <c r="A121" s="404" t="str">
        <f t="shared" si="23"/>
        <v>HPWH - Shop Classroom</v>
      </c>
      <c r="B121" s="257" t="s">
        <v>484</v>
      </c>
      <c r="C121" s="258">
        <v>52.2</v>
      </c>
      <c r="D121" s="259">
        <f t="shared" si="19"/>
        <v>51466.616999999998</v>
      </c>
      <c r="E121" s="259">
        <f t="shared" si="20"/>
        <v>30879.970199999996</v>
      </c>
      <c r="F121" s="259">
        <f t="shared" si="18"/>
        <v>7181.3884186046507</v>
      </c>
      <c r="G121" s="259">
        <f t="shared" si="21"/>
        <v>40</v>
      </c>
      <c r="H121" s="260">
        <f t="shared" si="22"/>
        <v>1.3099520383693044</v>
      </c>
      <c r="I121" s="259" t="s">
        <v>480</v>
      </c>
      <c r="J121" s="261">
        <v>4.37</v>
      </c>
      <c r="K121" s="262" t="s">
        <v>481</v>
      </c>
      <c r="L121" s="728"/>
    </row>
    <row r="122" spans="1:12" s="248" customFormat="1" ht="13.2" x14ac:dyDescent="0.25">
      <c r="A122" s="404" t="str">
        <f t="shared" si="23"/>
        <v>HPWH - Shop Classroom</v>
      </c>
      <c r="B122" s="257" t="s">
        <v>485</v>
      </c>
      <c r="C122" s="258">
        <v>52.7</v>
      </c>
      <c r="D122" s="259">
        <f t="shared" si="19"/>
        <v>51155.828249999991</v>
      </c>
      <c r="E122" s="259">
        <f t="shared" si="20"/>
        <v>30693.496949999993</v>
      </c>
      <c r="F122" s="259">
        <f t="shared" si="18"/>
        <v>7138.0225465116264</v>
      </c>
      <c r="G122" s="259">
        <f t="shared" si="21"/>
        <v>40</v>
      </c>
      <c r="H122" s="260">
        <f t="shared" si="22"/>
        <v>1.3099520383693044</v>
      </c>
      <c r="I122" s="259" t="s">
        <v>480</v>
      </c>
      <c r="J122" s="261">
        <v>4.37</v>
      </c>
      <c r="K122" s="262" t="s">
        <v>481</v>
      </c>
      <c r="L122" s="728"/>
    </row>
    <row r="123" spans="1:12" s="248" customFormat="1" ht="13.2" x14ac:dyDescent="0.25">
      <c r="A123" s="404" t="str">
        <f t="shared" si="23"/>
        <v>HPWH - Shop Classroom</v>
      </c>
      <c r="B123" s="257" t="s">
        <v>486</v>
      </c>
      <c r="C123" s="258">
        <v>51.6</v>
      </c>
      <c r="D123" s="259">
        <f t="shared" si="19"/>
        <v>51839.563499999997</v>
      </c>
      <c r="E123" s="259">
        <f t="shared" si="20"/>
        <v>31103.738099999995</v>
      </c>
      <c r="F123" s="259">
        <f t="shared" si="18"/>
        <v>7233.4274651162787</v>
      </c>
      <c r="G123" s="259">
        <f t="shared" si="21"/>
        <v>40</v>
      </c>
      <c r="H123" s="260">
        <f t="shared" si="22"/>
        <v>1.3099520383693044</v>
      </c>
      <c r="I123" s="259" t="s">
        <v>480</v>
      </c>
      <c r="J123" s="261">
        <v>4.37</v>
      </c>
      <c r="K123" s="262" t="s">
        <v>481</v>
      </c>
      <c r="L123" s="728"/>
    </row>
    <row r="124" spans="1:12" s="248" customFormat="1" ht="13.2" x14ac:dyDescent="0.25">
      <c r="A124" s="404" t="str">
        <f t="shared" si="23"/>
        <v>HPWH - Shop Classroom</v>
      </c>
      <c r="B124" s="257" t="s">
        <v>487</v>
      </c>
      <c r="C124" s="258">
        <v>56.8</v>
      </c>
      <c r="D124" s="259">
        <f t="shared" si="19"/>
        <v>48607.360499999995</v>
      </c>
      <c r="E124" s="259">
        <f t="shared" si="20"/>
        <v>29164.416299999997</v>
      </c>
      <c r="F124" s="259">
        <f t="shared" si="18"/>
        <v>6782.4223953488372</v>
      </c>
      <c r="G124" s="259">
        <f t="shared" si="21"/>
        <v>40</v>
      </c>
      <c r="H124" s="260">
        <f t="shared" si="22"/>
        <v>1.3099520383693044</v>
      </c>
      <c r="I124" s="259" t="s">
        <v>480</v>
      </c>
      <c r="J124" s="261">
        <v>4.37</v>
      </c>
      <c r="K124" s="262" t="s">
        <v>481</v>
      </c>
      <c r="L124" s="728"/>
    </row>
    <row r="125" spans="1:12" s="248" customFormat="1" ht="13.2" x14ac:dyDescent="0.25">
      <c r="A125" s="404" t="str">
        <f t="shared" si="23"/>
        <v>HPWH - Shop Classroom</v>
      </c>
      <c r="B125" s="257" t="s">
        <v>488</v>
      </c>
      <c r="C125" s="258">
        <v>58.4</v>
      </c>
      <c r="D125" s="259">
        <f t="shared" si="19"/>
        <v>47612.836499999998</v>
      </c>
      <c r="E125" s="259">
        <f t="shared" si="20"/>
        <v>28567.701899999996</v>
      </c>
      <c r="F125" s="259">
        <f t="shared" si="18"/>
        <v>6643.6516046511624</v>
      </c>
      <c r="G125" s="259">
        <f t="shared" si="21"/>
        <v>40</v>
      </c>
      <c r="H125" s="260">
        <f t="shared" si="22"/>
        <v>1.3099520383693044</v>
      </c>
      <c r="I125" s="259" t="s">
        <v>480</v>
      </c>
      <c r="J125" s="261">
        <v>4.37</v>
      </c>
      <c r="K125" s="262" t="s">
        <v>481</v>
      </c>
      <c r="L125" s="728"/>
    </row>
    <row r="126" spans="1:12" s="248" customFormat="1" ht="13.2" x14ac:dyDescent="0.25">
      <c r="A126" s="404" t="str">
        <f t="shared" si="23"/>
        <v>HPWH - Shop Classroom</v>
      </c>
      <c r="B126" s="257" t="s">
        <v>489</v>
      </c>
      <c r="C126" s="258">
        <v>58.4</v>
      </c>
      <c r="D126" s="259">
        <f t="shared" si="19"/>
        <v>47612.836499999998</v>
      </c>
      <c r="E126" s="259">
        <f t="shared" si="20"/>
        <v>28567.701899999996</v>
      </c>
      <c r="F126" s="259">
        <f t="shared" si="18"/>
        <v>6643.6516046511624</v>
      </c>
      <c r="G126" s="259">
        <f t="shared" si="21"/>
        <v>40</v>
      </c>
      <c r="H126" s="260">
        <f t="shared" si="22"/>
        <v>1.3099520383693044</v>
      </c>
      <c r="I126" s="259" t="s">
        <v>480</v>
      </c>
      <c r="J126" s="261">
        <v>4.37</v>
      </c>
      <c r="K126" s="262" t="s">
        <v>481</v>
      </c>
      <c r="L126" s="728"/>
    </row>
    <row r="127" spans="1:12" s="248" customFormat="1" ht="13.2" x14ac:dyDescent="0.25">
      <c r="A127" s="404" t="str">
        <f t="shared" si="23"/>
        <v>HPWH - Shop Classroom</v>
      </c>
      <c r="B127" s="257" t="s">
        <v>490</v>
      </c>
      <c r="C127" s="258">
        <v>57.6</v>
      </c>
      <c r="D127" s="259">
        <f t="shared" si="19"/>
        <v>48110.098499999993</v>
      </c>
      <c r="E127" s="259">
        <f t="shared" si="20"/>
        <v>28866.059099999995</v>
      </c>
      <c r="F127" s="259">
        <f t="shared" si="18"/>
        <v>6713.0369999999994</v>
      </c>
      <c r="G127" s="259">
        <f t="shared" si="21"/>
        <v>40</v>
      </c>
      <c r="H127" s="260">
        <f t="shared" si="22"/>
        <v>1.3099520383693044</v>
      </c>
      <c r="I127" s="259" t="s">
        <v>480</v>
      </c>
      <c r="J127" s="261">
        <v>4.37</v>
      </c>
      <c r="K127" s="262" t="s">
        <v>481</v>
      </c>
      <c r="L127" s="728"/>
    </row>
    <row r="128" spans="1:12" s="248" customFormat="1" ht="13.2" x14ac:dyDescent="0.25">
      <c r="A128" s="404" t="str">
        <f t="shared" si="23"/>
        <v>HPWH - Shop Classroom</v>
      </c>
      <c r="B128" s="257" t="s">
        <v>238</v>
      </c>
      <c r="C128" s="258">
        <v>57.1</v>
      </c>
      <c r="D128" s="259">
        <f t="shared" si="19"/>
        <v>48420.887249999992</v>
      </c>
      <c r="E128" s="259">
        <f t="shared" si="20"/>
        <v>29052.532349999994</v>
      </c>
      <c r="F128" s="259">
        <f t="shared" si="18"/>
        <v>6756.4028720930219</v>
      </c>
      <c r="G128" s="259">
        <f t="shared" si="21"/>
        <v>40</v>
      </c>
      <c r="H128" s="260">
        <f t="shared" si="22"/>
        <v>1.3099520383693044</v>
      </c>
      <c r="I128" s="259" t="s">
        <v>480</v>
      </c>
      <c r="J128" s="261">
        <v>4.37</v>
      </c>
      <c r="K128" s="262" t="s">
        <v>481</v>
      </c>
      <c r="L128" s="728"/>
    </row>
    <row r="129" spans="1:12" s="248" customFormat="1" ht="13.2" x14ac:dyDescent="0.25">
      <c r="A129" s="404" t="str">
        <f t="shared" si="23"/>
        <v>HPWH - Shop Classroom</v>
      </c>
      <c r="B129" s="257" t="s">
        <v>239</v>
      </c>
      <c r="C129" s="258">
        <v>50.5</v>
      </c>
      <c r="D129" s="259">
        <f t="shared" si="19"/>
        <v>52523.298749999994</v>
      </c>
      <c r="E129" s="259">
        <f t="shared" si="20"/>
        <v>31513.979249999997</v>
      </c>
      <c r="F129" s="259">
        <f t="shared" si="18"/>
        <v>7328.83238372093</v>
      </c>
      <c r="G129" s="259">
        <f t="shared" si="21"/>
        <v>40</v>
      </c>
      <c r="H129" s="260">
        <f t="shared" si="22"/>
        <v>1.3099520383693044</v>
      </c>
      <c r="I129" s="259" t="s">
        <v>480</v>
      </c>
      <c r="J129" s="261">
        <v>4.37</v>
      </c>
      <c r="K129" s="262" t="s">
        <v>481</v>
      </c>
      <c r="L129" s="728"/>
    </row>
    <row r="130" spans="1:12" s="248" customFormat="1" ht="13.2" x14ac:dyDescent="0.25">
      <c r="A130" s="404" t="str">
        <f t="shared" si="23"/>
        <v>HPWH - Shop Classroom</v>
      </c>
      <c r="B130" s="257" t="s">
        <v>240</v>
      </c>
      <c r="C130" s="258">
        <v>51.4</v>
      </c>
      <c r="D130" s="259">
        <f t="shared" si="19"/>
        <v>51963.878999999994</v>
      </c>
      <c r="E130" s="259">
        <f t="shared" si="20"/>
        <v>31178.327399999995</v>
      </c>
      <c r="F130" s="259">
        <f t="shared" si="18"/>
        <v>7250.7738139534877</v>
      </c>
      <c r="G130" s="259">
        <f t="shared" si="21"/>
        <v>40</v>
      </c>
      <c r="H130" s="260">
        <f t="shared" si="22"/>
        <v>1.3099520383693044</v>
      </c>
      <c r="I130" s="259" t="s">
        <v>480</v>
      </c>
      <c r="J130" s="261">
        <v>4.37</v>
      </c>
      <c r="K130" s="262" t="s">
        <v>481</v>
      </c>
      <c r="L130" s="728"/>
    </row>
    <row r="131" spans="1:12" s="248" customFormat="1" ht="13.2" x14ac:dyDescent="0.25">
      <c r="A131" s="404" t="str">
        <f t="shared" si="23"/>
        <v>HPWH - Shop Classroom</v>
      </c>
      <c r="B131" s="257" t="s">
        <v>241</v>
      </c>
      <c r="C131" s="258">
        <v>51.7</v>
      </c>
      <c r="D131" s="259">
        <f t="shared" si="19"/>
        <v>51777.405749999998</v>
      </c>
      <c r="E131" s="259">
        <f t="shared" si="20"/>
        <v>31066.443449999999</v>
      </c>
      <c r="F131" s="259">
        <f t="shared" si="18"/>
        <v>7224.7542906976742</v>
      </c>
      <c r="G131" s="259">
        <f t="shared" si="21"/>
        <v>40</v>
      </c>
      <c r="H131" s="260">
        <f t="shared" si="22"/>
        <v>1.3099520383693044</v>
      </c>
      <c r="I131" s="259" t="s">
        <v>480</v>
      </c>
      <c r="J131" s="261">
        <v>4.37</v>
      </c>
      <c r="K131" s="262" t="s">
        <v>481</v>
      </c>
      <c r="L131" s="728"/>
    </row>
    <row r="132" spans="1:12" s="248" customFormat="1" ht="13.2" x14ac:dyDescent="0.25">
      <c r="A132" s="404" t="str">
        <f t="shared" si="23"/>
        <v>HPWH - Shop Classroom</v>
      </c>
      <c r="B132" s="257" t="s">
        <v>242</v>
      </c>
      <c r="C132" s="258">
        <v>50.1</v>
      </c>
      <c r="D132" s="259">
        <f t="shared" si="19"/>
        <v>52771.929749999996</v>
      </c>
      <c r="E132" s="259">
        <f t="shared" si="20"/>
        <v>31663.157849999996</v>
      </c>
      <c r="F132" s="259">
        <f t="shared" si="18"/>
        <v>7363.525081395348</v>
      </c>
      <c r="G132" s="259">
        <f t="shared" si="21"/>
        <v>40</v>
      </c>
      <c r="H132" s="260">
        <f t="shared" si="22"/>
        <v>1.3099520383693044</v>
      </c>
      <c r="I132" s="259" t="s">
        <v>480</v>
      </c>
      <c r="J132" s="261">
        <v>4.37</v>
      </c>
      <c r="K132" s="262" t="s">
        <v>481</v>
      </c>
      <c r="L132" s="728"/>
    </row>
    <row r="133" spans="1:12" s="248" customFormat="1" ht="13.2" x14ac:dyDescent="0.25">
      <c r="A133" s="404" t="str">
        <f t="shared" si="23"/>
        <v>HPWH - Shop Classroom</v>
      </c>
      <c r="B133" s="257" t="s">
        <v>243</v>
      </c>
      <c r="C133" s="258">
        <v>63.2</v>
      </c>
      <c r="D133" s="259">
        <f t="shared" si="19"/>
        <v>44629.264499999997</v>
      </c>
      <c r="E133" s="259">
        <f t="shared" si="20"/>
        <v>26777.558699999998</v>
      </c>
      <c r="F133" s="259">
        <f t="shared" si="18"/>
        <v>6227.339232558139</v>
      </c>
      <c r="G133" s="259">
        <f t="shared" si="21"/>
        <v>40</v>
      </c>
      <c r="H133" s="260">
        <f t="shared" si="22"/>
        <v>1.3099520383693044</v>
      </c>
      <c r="I133" s="259" t="s">
        <v>480</v>
      </c>
      <c r="J133" s="261">
        <v>4.37</v>
      </c>
      <c r="K133" s="262" t="s">
        <v>481</v>
      </c>
      <c r="L133" s="728"/>
    </row>
    <row r="134" spans="1:12" s="248" customFormat="1" ht="13.8" thickBot="1" x14ac:dyDescent="0.3">
      <c r="A134" s="412" t="str">
        <f t="shared" si="23"/>
        <v>HPWH - Shop Classroom</v>
      </c>
      <c r="B134" s="391" t="s">
        <v>244</v>
      </c>
      <c r="C134" s="392">
        <v>41.4</v>
      </c>
      <c r="D134" s="393">
        <f t="shared" si="19"/>
        <v>58179.653999999995</v>
      </c>
      <c r="E134" s="393">
        <f t="shared" si="20"/>
        <v>34907.792399999998</v>
      </c>
      <c r="F134" s="393">
        <f t="shared" si="18"/>
        <v>8118.0912558139535</v>
      </c>
      <c r="G134" s="393">
        <f t="shared" si="21"/>
        <v>40</v>
      </c>
      <c r="H134" s="394">
        <f t="shared" si="22"/>
        <v>1.3099520383693044</v>
      </c>
      <c r="I134" s="393" t="s">
        <v>480</v>
      </c>
      <c r="J134" s="395">
        <v>4.37</v>
      </c>
      <c r="K134" s="396" t="s">
        <v>481</v>
      </c>
      <c r="L134" s="728"/>
    </row>
    <row r="135" spans="1:12" s="248" customFormat="1" ht="13.2" x14ac:dyDescent="0.25">
      <c r="A135" s="397" t="str">
        <f>$A$57</f>
        <v>HPWH - Sports</v>
      </c>
      <c r="B135" s="398" t="s">
        <v>479</v>
      </c>
      <c r="C135" s="399">
        <v>47.9</v>
      </c>
      <c r="D135" s="400">
        <f t="shared" ref="D135:D150" si="24">$C$57*($B$60-C135)*$B$62</f>
        <v>54139.400249999992</v>
      </c>
      <c r="E135" s="400">
        <f t="shared" ref="E135:E150" si="25">D135*$B$61</f>
        <v>32483.640149999992</v>
      </c>
      <c r="F135" s="400">
        <f t="shared" si="18"/>
        <v>7554.3349186046498</v>
      </c>
      <c r="G135" s="400">
        <f t="shared" ref="G135:G150" si="26">_xlfn.LET(_xlpm.v,MAX(30,$C$57*$B$63),_xlpm.x,_xlfn.XLOOKUP(_xlpm.v,$A$154:$A$158,$A$154:$A$158,"",1),IF(_xlpm.x="",ROUNDUP(_xlpm.v,0),_xlpm.x))</f>
        <v>40</v>
      </c>
      <c r="H135" s="401">
        <f t="shared" ref="H135:H150" si="27">IF(AND(ISNUMBER(J135),G135&gt;0),J135/(0.0834*G135),NA())</f>
        <v>1.3099520383693044</v>
      </c>
      <c r="I135" s="400" t="s">
        <v>480</v>
      </c>
      <c r="J135" s="402">
        <v>4.37</v>
      </c>
      <c r="K135" s="403" t="s">
        <v>481</v>
      </c>
      <c r="L135" s="727" t="s">
        <v>494</v>
      </c>
    </row>
    <row r="136" spans="1:12" s="248" customFormat="1" ht="13.2" x14ac:dyDescent="0.25">
      <c r="A136" s="404" t="str">
        <f t="shared" ref="A136:A150" si="28">$A$57</f>
        <v>HPWH - Sports</v>
      </c>
      <c r="B136" s="257" t="s">
        <v>483</v>
      </c>
      <c r="C136" s="258">
        <v>50.8</v>
      </c>
      <c r="D136" s="259">
        <f t="shared" si="24"/>
        <v>52336.825499999992</v>
      </c>
      <c r="E136" s="259">
        <f t="shared" si="25"/>
        <v>31402.095299999994</v>
      </c>
      <c r="F136" s="259">
        <f t="shared" ref="F136:F150" si="29">_xlfn.LET(_xlpm.x,_xlfn.XLOOKUP(E136,$C$154:$C$158,$C$154:$C$158,"",1),IF(_xlpm.x="",E136/$B$67,_xlpm.x/$B$67))</f>
        <v>7302.8128604651147</v>
      </c>
      <c r="G136" s="259">
        <f t="shared" si="26"/>
        <v>40</v>
      </c>
      <c r="H136" s="260">
        <f t="shared" si="27"/>
        <v>1.3099520383693044</v>
      </c>
      <c r="I136" s="259" t="s">
        <v>480</v>
      </c>
      <c r="J136" s="261">
        <v>4.37</v>
      </c>
      <c r="K136" s="262" t="s">
        <v>481</v>
      </c>
      <c r="L136" s="728"/>
    </row>
    <row r="137" spans="1:12" s="248" customFormat="1" ht="13.2" x14ac:dyDescent="0.25">
      <c r="A137" s="404" t="str">
        <f t="shared" si="28"/>
        <v>HPWH - Sports</v>
      </c>
      <c r="B137" s="257" t="s">
        <v>484</v>
      </c>
      <c r="C137" s="258">
        <v>52.2</v>
      </c>
      <c r="D137" s="259">
        <f t="shared" si="24"/>
        <v>51466.616999999998</v>
      </c>
      <c r="E137" s="259">
        <f t="shared" si="25"/>
        <v>30879.970199999996</v>
      </c>
      <c r="F137" s="259">
        <f t="shared" si="29"/>
        <v>7181.3884186046507</v>
      </c>
      <c r="G137" s="259">
        <f t="shared" si="26"/>
        <v>40</v>
      </c>
      <c r="H137" s="260">
        <f t="shared" si="27"/>
        <v>1.3099520383693044</v>
      </c>
      <c r="I137" s="259" t="s">
        <v>480</v>
      </c>
      <c r="J137" s="261">
        <v>4.37</v>
      </c>
      <c r="K137" s="262" t="s">
        <v>481</v>
      </c>
      <c r="L137" s="728"/>
    </row>
    <row r="138" spans="1:12" s="248" customFormat="1" ht="13.2" x14ac:dyDescent="0.25">
      <c r="A138" s="404" t="str">
        <f t="shared" si="28"/>
        <v>HPWH - Sports</v>
      </c>
      <c r="B138" s="257" t="s">
        <v>485</v>
      </c>
      <c r="C138" s="258">
        <v>52.7</v>
      </c>
      <c r="D138" s="259">
        <f t="shared" si="24"/>
        <v>51155.828249999991</v>
      </c>
      <c r="E138" s="259">
        <f t="shared" si="25"/>
        <v>30693.496949999993</v>
      </c>
      <c r="F138" s="259">
        <f t="shared" si="29"/>
        <v>7138.0225465116264</v>
      </c>
      <c r="G138" s="259">
        <f t="shared" si="26"/>
        <v>40</v>
      </c>
      <c r="H138" s="260">
        <f t="shared" si="27"/>
        <v>1.3099520383693044</v>
      </c>
      <c r="I138" s="259" t="s">
        <v>480</v>
      </c>
      <c r="J138" s="261">
        <v>4.37</v>
      </c>
      <c r="K138" s="262" t="s">
        <v>481</v>
      </c>
      <c r="L138" s="728"/>
    </row>
    <row r="139" spans="1:12" s="248" customFormat="1" ht="13.2" x14ac:dyDescent="0.25">
      <c r="A139" s="404" t="str">
        <f t="shared" si="28"/>
        <v>HPWH - Sports</v>
      </c>
      <c r="B139" s="257" t="s">
        <v>486</v>
      </c>
      <c r="C139" s="258">
        <v>51.6</v>
      </c>
      <c r="D139" s="259">
        <f t="shared" si="24"/>
        <v>51839.563499999997</v>
      </c>
      <c r="E139" s="259">
        <f t="shared" si="25"/>
        <v>31103.738099999995</v>
      </c>
      <c r="F139" s="259">
        <f t="shared" si="29"/>
        <v>7233.4274651162787</v>
      </c>
      <c r="G139" s="259">
        <f t="shared" si="26"/>
        <v>40</v>
      </c>
      <c r="H139" s="260">
        <f t="shared" si="27"/>
        <v>1.3099520383693044</v>
      </c>
      <c r="I139" s="259" t="s">
        <v>480</v>
      </c>
      <c r="J139" s="261">
        <v>4.37</v>
      </c>
      <c r="K139" s="262" t="s">
        <v>481</v>
      </c>
      <c r="L139" s="728"/>
    </row>
    <row r="140" spans="1:12" s="248" customFormat="1" ht="13.2" x14ac:dyDescent="0.25">
      <c r="A140" s="404" t="str">
        <f t="shared" si="28"/>
        <v>HPWH - Sports</v>
      </c>
      <c r="B140" s="257" t="s">
        <v>487</v>
      </c>
      <c r="C140" s="258">
        <v>56.8</v>
      </c>
      <c r="D140" s="259">
        <f t="shared" si="24"/>
        <v>48607.360499999995</v>
      </c>
      <c r="E140" s="259">
        <f t="shared" si="25"/>
        <v>29164.416299999997</v>
      </c>
      <c r="F140" s="259">
        <f t="shared" si="29"/>
        <v>6782.4223953488372</v>
      </c>
      <c r="G140" s="259">
        <f t="shared" si="26"/>
        <v>40</v>
      </c>
      <c r="H140" s="260">
        <f t="shared" si="27"/>
        <v>1.3099520383693044</v>
      </c>
      <c r="I140" s="259" t="s">
        <v>480</v>
      </c>
      <c r="J140" s="261">
        <v>4.37</v>
      </c>
      <c r="K140" s="262" t="s">
        <v>481</v>
      </c>
      <c r="L140" s="728"/>
    </row>
    <row r="141" spans="1:12" s="248" customFormat="1" ht="13.2" x14ac:dyDescent="0.25">
      <c r="A141" s="404" t="str">
        <f t="shared" si="28"/>
        <v>HPWH - Sports</v>
      </c>
      <c r="B141" s="257" t="s">
        <v>488</v>
      </c>
      <c r="C141" s="258">
        <v>58.4</v>
      </c>
      <c r="D141" s="259">
        <f t="shared" si="24"/>
        <v>47612.836499999998</v>
      </c>
      <c r="E141" s="259">
        <f t="shared" si="25"/>
        <v>28567.701899999996</v>
      </c>
      <c r="F141" s="259">
        <f t="shared" si="29"/>
        <v>6643.6516046511624</v>
      </c>
      <c r="G141" s="259">
        <f t="shared" si="26"/>
        <v>40</v>
      </c>
      <c r="H141" s="260">
        <f t="shared" si="27"/>
        <v>1.3099520383693044</v>
      </c>
      <c r="I141" s="259" t="s">
        <v>480</v>
      </c>
      <c r="J141" s="261">
        <v>4.37</v>
      </c>
      <c r="K141" s="262" t="s">
        <v>481</v>
      </c>
      <c r="L141" s="728"/>
    </row>
    <row r="142" spans="1:12" s="248" customFormat="1" ht="13.2" x14ac:dyDescent="0.25">
      <c r="A142" s="404" t="str">
        <f t="shared" si="28"/>
        <v>HPWH - Sports</v>
      </c>
      <c r="B142" s="257" t="s">
        <v>489</v>
      </c>
      <c r="C142" s="258">
        <v>58.4</v>
      </c>
      <c r="D142" s="259">
        <f t="shared" si="24"/>
        <v>47612.836499999998</v>
      </c>
      <c r="E142" s="259">
        <f t="shared" si="25"/>
        <v>28567.701899999996</v>
      </c>
      <c r="F142" s="259">
        <f t="shared" si="29"/>
        <v>6643.6516046511624</v>
      </c>
      <c r="G142" s="259">
        <f t="shared" si="26"/>
        <v>40</v>
      </c>
      <c r="H142" s="260">
        <f t="shared" si="27"/>
        <v>1.3099520383693044</v>
      </c>
      <c r="I142" s="259" t="s">
        <v>480</v>
      </c>
      <c r="J142" s="261">
        <v>4.37</v>
      </c>
      <c r="K142" s="262" t="s">
        <v>481</v>
      </c>
      <c r="L142" s="728"/>
    </row>
    <row r="143" spans="1:12" s="248" customFormat="1" ht="13.2" x14ac:dyDescent="0.25">
      <c r="A143" s="404" t="str">
        <f t="shared" si="28"/>
        <v>HPWH - Sports</v>
      </c>
      <c r="B143" s="257" t="s">
        <v>490</v>
      </c>
      <c r="C143" s="258">
        <v>57.6</v>
      </c>
      <c r="D143" s="259">
        <f t="shared" si="24"/>
        <v>48110.098499999993</v>
      </c>
      <c r="E143" s="259">
        <f t="shared" si="25"/>
        <v>28866.059099999995</v>
      </c>
      <c r="F143" s="259">
        <f t="shared" si="29"/>
        <v>6713.0369999999994</v>
      </c>
      <c r="G143" s="259">
        <f t="shared" si="26"/>
        <v>40</v>
      </c>
      <c r="H143" s="260">
        <f t="shared" si="27"/>
        <v>1.3099520383693044</v>
      </c>
      <c r="I143" s="259" t="s">
        <v>480</v>
      </c>
      <c r="J143" s="261">
        <v>4.37</v>
      </c>
      <c r="K143" s="262" t="s">
        <v>481</v>
      </c>
      <c r="L143" s="728"/>
    </row>
    <row r="144" spans="1:12" s="248" customFormat="1" ht="13.2" x14ac:dyDescent="0.25">
      <c r="A144" s="404" t="str">
        <f t="shared" si="28"/>
        <v>HPWH - Sports</v>
      </c>
      <c r="B144" s="257" t="s">
        <v>238</v>
      </c>
      <c r="C144" s="258">
        <v>57.1</v>
      </c>
      <c r="D144" s="259">
        <f t="shared" si="24"/>
        <v>48420.887249999992</v>
      </c>
      <c r="E144" s="259">
        <f t="shared" si="25"/>
        <v>29052.532349999994</v>
      </c>
      <c r="F144" s="259">
        <f t="shared" si="29"/>
        <v>6756.4028720930219</v>
      </c>
      <c r="G144" s="259">
        <f t="shared" si="26"/>
        <v>40</v>
      </c>
      <c r="H144" s="260">
        <f t="shared" si="27"/>
        <v>1.3099520383693044</v>
      </c>
      <c r="I144" s="259" t="s">
        <v>480</v>
      </c>
      <c r="J144" s="261">
        <v>4.37</v>
      </c>
      <c r="K144" s="262" t="s">
        <v>481</v>
      </c>
      <c r="L144" s="728"/>
    </row>
    <row r="145" spans="1:16384" s="248" customFormat="1" ht="13.2" x14ac:dyDescent="0.25">
      <c r="A145" s="404" t="str">
        <f t="shared" si="28"/>
        <v>HPWH - Sports</v>
      </c>
      <c r="B145" s="257" t="s">
        <v>239</v>
      </c>
      <c r="C145" s="258">
        <v>50.5</v>
      </c>
      <c r="D145" s="259">
        <f t="shared" si="24"/>
        <v>52523.298749999994</v>
      </c>
      <c r="E145" s="259">
        <f t="shared" si="25"/>
        <v>31513.979249999997</v>
      </c>
      <c r="F145" s="259">
        <f t="shared" si="29"/>
        <v>7328.83238372093</v>
      </c>
      <c r="G145" s="259">
        <f t="shared" si="26"/>
        <v>40</v>
      </c>
      <c r="H145" s="260">
        <f t="shared" si="27"/>
        <v>1.3099520383693044</v>
      </c>
      <c r="I145" s="259" t="s">
        <v>480</v>
      </c>
      <c r="J145" s="261">
        <v>4.37</v>
      </c>
      <c r="K145" s="262" t="s">
        <v>481</v>
      </c>
      <c r="L145" s="728"/>
    </row>
    <row r="146" spans="1:16384" s="248" customFormat="1" ht="13.2" x14ac:dyDescent="0.25">
      <c r="A146" s="404" t="str">
        <f t="shared" si="28"/>
        <v>HPWH - Sports</v>
      </c>
      <c r="B146" s="257" t="s">
        <v>240</v>
      </c>
      <c r="C146" s="258">
        <v>51.4</v>
      </c>
      <c r="D146" s="259">
        <f t="shared" si="24"/>
        <v>51963.878999999994</v>
      </c>
      <c r="E146" s="259">
        <f t="shared" si="25"/>
        <v>31178.327399999995</v>
      </c>
      <c r="F146" s="259">
        <f t="shared" si="29"/>
        <v>7250.7738139534877</v>
      </c>
      <c r="G146" s="259">
        <f t="shared" si="26"/>
        <v>40</v>
      </c>
      <c r="H146" s="260">
        <f t="shared" si="27"/>
        <v>1.3099520383693044</v>
      </c>
      <c r="I146" s="259" t="s">
        <v>480</v>
      </c>
      <c r="J146" s="261">
        <v>4.37</v>
      </c>
      <c r="K146" s="262" t="s">
        <v>481</v>
      </c>
      <c r="L146" s="728"/>
    </row>
    <row r="147" spans="1:16384" s="248" customFormat="1" ht="13.2" x14ac:dyDescent="0.25">
      <c r="A147" s="404" t="str">
        <f t="shared" si="28"/>
        <v>HPWH - Sports</v>
      </c>
      <c r="B147" s="257" t="s">
        <v>241</v>
      </c>
      <c r="C147" s="258">
        <v>51.7</v>
      </c>
      <c r="D147" s="259">
        <f t="shared" si="24"/>
        <v>51777.405749999998</v>
      </c>
      <c r="E147" s="259">
        <f t="shared" si="25"/>
        <v>31066.443449999999</v>
      </c>
      <c r="F147" s="259">
        <f t="shared" si="29"/>
        <v>7224.7542906976742</v>
      </c>
      <c r="G147" s="259">
        <f t="shared" si="26"/>
        <v>40</v>
      </c>
      <c r="H147" s="260">
        <f t="shared" si="27"/>
        <v>1.3099520383693044</v>
      </c>
      <c r="I147" s="259" t="s">
        <v>480</v>
      </c>
      <c r="J147" s="261">
        <v>4.37</v>
      </c>
      <c r="K147" s="262" t="s">
        <v>481</v>
      </c>
      <c r="L147" s="728"/>
    </row>
    <row r="148" spans="1:16384" s="248" customFormat="1" ht="13.2" x14ac:dyDescent="0.25">
      <c r="A148" s="404" t="str">
        <f t="shared" si="28"/>
        <v>HPWH - Sports</v>
      </c>
      <c r="B148" s="257" t="s">
        <v>242</v>
      </c>
      <c r="C148" s="258">
        <v>50.1</v>
      </c>
      <c r="D148" s="259">
        <f t="shared" si="24"/>
        <v>52771.929749999996</v>
      </c>
      <c r="E148" s="259">
        <f t="shared" si="25"/>
        <v>31663.157849999996</v>
      </c>
      <c r="F148" s="259">
        <f t="shared" si="29"/>
        <v>7363.525081395348</v>
      </c>
      <c r="G148" s="259">
        <f t="shared" si="26"/>
        <v>40</v>
      </c>
      <c r="H148" s="260">
        <f t="shared" si="27"/>
        <v>1.3099520383693044</v>
      </c>
      <c r="I148" s="259" t="s">
        <v>480</v>
      </c>
      <c r="J148" s="261">
        <v>4.37</v>
      </c>
      <c r="K148" s="262" t="s">
        <v>481</v>
      </c>
      <c r="L148" s="728"/>
    </row>
    <row r="149" spans="1:16384" s="248" customFormat="1" ht="13.2" x14ac:dyDescent="0.25">
      <c r="A149" s="404" t="str">
        <f t="shared" si="28"/>
        <v>HPWH - Sports</v>
      </c>
      <c r="B149" s="257" t="s">
        <v>243</v>
      </c>
      <c r="C149" s="258">
        <v>63.2</v>
      </c>
      <c r="D149" s="259">
        <f t="shared" si="24"/>
        <v>44629.264499999997</v>
      </c>
      <c r="E149" s="259">
        <f t="shared" si="25"/>
        <v>26777.558699999998</v>
      </c>
      <c r="F149" s="259">
        <f t="shared" si="29"/>
        <v>6227.339232558139</v>
      </c>
      <c r="G149" s="259">
        <f t="shared" si="26"/>
        <v>40</v>
      </c>
      <c r="H149" s="260">
        <f t="shared" si="27"/>
        <v>1.3099520383693044</v>
      </c>
      <c r="I149" s="259" t="s">
        <v>480</v>
      </c>
      <c r="J149" s="261">
        <v>4.37</v>
      </c>
      <c r="K149" s="262" t="s">
        <v>481</v>
      </c>
      <c r="L149" s="728"/>
    </row>
    <row r="150" spans="1:16384" s="248" customFormat="1" ht="13.8" thickBot="1" x14ac:dyDescent="0.3">
      <c r="A150" s="405" t="str">
        <f t="shared" si="28"/>
        <v>HPWH - Sports</v>
      </c>
      <c r="B150" s="406" t="s">
        <v>244</v>
      </c>
      <c r="C150" s="407">
        <v>41.4</v>
      </c>
      <c r="D150" s="408">
        <f t="shared" si="24"/>
        <v>58179.653999999995</v>
      </c>
      <c r="E150" s="408">
        <f t="shared" si="25"/>
        <v>34907.792399999998</v>
      </c>
      <c r="F150" s="408">
        <f t="shared" si="29"/>
        <v>8118.0912558139535</v>
      </c>
      <c r="G150" s="408">
        <f t="shared" si="26"/>
        <v>40</v>
      </c>
      <c r="H150" s="409">
        <f t="shared" si="27"/>
        <v>1.3099520383693044</v>
      </c>
      <c r="I150" s="408" t="s">
        <v>480</v>
      </c>
      <c r="J150" s="410">
        <v>4.37</v>
      </c>
      <c r="K150" s="411" t="s">
        <v>481</v>
      </c>
      <c r="L150" s="729"/>
    </row>
    <row r="152" spans="1:16384" s="248" customFormat="1" ht="14.4" customHeight="1" x14ac:dyDescent="0.25">
      <c r="A152" s="736" t="s">
        <v>495</v>
      </c>
      <c r="B152" s="737"/>
      <c r="C152" s="737"/>
      <c r="D152" s="737"/>
    </row>
    <row r="153" spans="1:16384" s="264" customFormat="1" ht="14.4" x14ac:dyDescent="0.25">
      <c r="A153" s="619" t="s">
        <v>496</v>
      </c>
      <c r="B153" s="619" t="s">
        <v>497</v>
      </c>
      <c r="C153" s="619" t="s">
        <v>498</v>
      </c>
      <c r="D153" s="619" t="s">
        <v>499</v>
      </c>
      <c r="E153" s="263"/>
      <c r="F153" s="263"/>
      <c r="G153" s="263"/>
      <c r="H153" s="263"/>
      <c r="I153" s="263"/>
    </row>
    <row r="154" spans="1:16384" s="248" customFormat="1" ht="13.2" x14ac:dyDescent="0.25">
      <c r="A154" s="286">
        <v>40</v>
      </c>
      <c r="B154" s="620" t="s">
        <v>500</v>
      </c>
      <c r="C154" s="287">
        <v>14000</v>
      </c>
      <c r="D154" s="288" t="s">
        <v>501</v>
      </c>
    </row>
    <row r="155" spans="1:16384" s="248" customFormat="1" ht="13.2" x14ac:dyDescent="0.25">
      <c r="A155" s="286">
        <v>50</v>
      </c>
      <c r="B155" s="620" t="s">
        <v>500</v>
      </c>
      <c r="C155" s="287">
        <v>16000</v>
      </c>
      <c r="D155" s="288" t="s">
        <v>501</v>
      </c>
    </row>
    <row r="156" spans="1:16384" s="248" customFormat="1" ht="13.2" x14ac:dyDescent="0.25">
      <c r="A156" s="286">
        <v>66</v>
      </c>
      <c r="B156" s="620" t="s">
        <v>500</v>
      </c>
      <c r="C156" s="287">
        <v>18000</v>
      </c>
      <c r="D156" s="288" t="s">
        <v>501</v>
      </c>
    </row>
    <row r="157" spans="1:16384" s="248" customFormat="1" ht="13.2" x14ac:dyDescent="0.25">
      <c r="A157" s="286">
        <v>80</v>
      </c>
      <c r="B157" s="620" t="s">
        <v>500</v>
      </c>
      <c r="C157" s="287">
        <v>20000</v>
      </c>
      <c r="D157" s="288" t="s">
        <v>501</v>
      </c>
    </row>
    <row r="158" spans="1:16384" s="248" customFormat="1" ht="13.2" x14ac:dyDescent="0.25">
      <c r="A158" s="289">
        <v>120</v>
      </c>
      <c r="B158" s="621" t="s">
        <v>500</v>
      </c>
      <c r="C158" s="287">
        <v>25000</v>
      </c>
      <c r="D158" s="288" t="s">
        <v>501</v>
      </c>
    </row>
    <row r="160" spans="1:16384" s="377" customFormat="1" ht="48" customHeight="1" x14ac:dyDescent="0.3">
      <c r="A160" s="719" t="s">
        <v>502</v>
      </c>
      <c r="B160" s="719"/>
      <c r="C160" s="719"/>
      <c r="D160" s="719"/>
      <c r="E160" s="719"/>
      <c r="F160" s="719"/>
      <c r="G160" s="719"/>
      <c r="H160" s="719"/>
      <c r="I160" s="719"/>
      <c r="J160" s="719"/>
      <c r="K160" s="719"/>
      <c r="L160" s="719"/>
      <c r="M160" s="719"/>
      <c r="N160" s="719"/>
      <c r="O160" s="719"/>
      <c r="P160" s="719"/>
      <c r="Q160" s="719"/>
      <c r="R160" s="719"/>
      <c r="S160" s="719"/>
      <c r="T160" s="719"/>
      <c r="U160" s="719"/>
      <c r="V160" s="719"/>
      <c r="W160" s="719"/>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c r="AS160" s="719"/>
      <c r="AT160" s="719"/>
      <c r="AU160" s="719"/>
      <c r="AV160" s="719"/>
      <c r="AW160" s="719"/>
      <c r="AX160" s="719"/>
      <c r="AY160" s="719"/>
      <c r="AZ160" s="719"/>
      <c r="BA160" s="719"/>
      <c r="BB160" s="719"/>
      <c r="BC160" s="719"/>
      <c r="BD160" s="719"/>
      <c r="BE160" s="719"/>
      <c r="BF160" s="719"/>
      <c r="BG160" s="719"/>
      <c r="BH160" s="719"/>
      <c r="BI160" s="719"/>
      <c r="BJ160" s="719"/>
      <c r="BK160" s="719"/>
      <c r="BL160" s="719"/>
      <c r="BM160" s="719"/>
      <c r="BN160" s="719"/>
      <c r="BO160" s="719"/>
      <c r="BP160" s="719"/>
      <c r="BQ160" s="719"/>
      <c r="BR160" s="719"/>
      <c r="BS160" s="719"/>
      <c r="BT160" s="719"/>
      <c r="BU160" s="719"/>
      <c r="BV160" s="719"/>
      <c r="BW160" s="719"/>
      <c r="BX160" s="719"/>
      <c r="BY160" s="719"/>
      <c r="BZ160" s="719"/>
      <c r="CA160" s="719"/>
      <c r="CB160" s="719"/>
      <c r="CC160" s="719"/>
      <c r="CD160" s="719"/>
      <c r="CE160" s="719"/>
      <c r="CF160" s="719"/>
      <c r="CG160" s="719"/>
      <c r="CH160" s="719"/>
      <c r="CI160" s="719"/>
      <c r="CJ160" s="719"/>
      <c r="CK160" s="719"/>
      <c r="CL160" s="719"/>
      <c r="CM160" s="719"/>
      <c r="CN160" s="719"/>
      <c r="CO160" s="719"/>
      <c r="CP160" s="719"/>
      <c r="CQ160" s="719"/>
      <c r="CR160" s="719"/>
      <c r="CS160" s="719"/>
      <c r="CT160" s="719"/>
      <c r="CU160" s="719"/>
      <c r="CV160" s="719"/>
      <c r="CW160" s="719"/>
      <c r="CX160" s="719"/>
      <c r="CY160" s="719"/>
      <c r="CZ160" s="719"/>
      <c r="DA160" s="719"/>
      <c r="DB160" s="719"/>
      <c r="DC160" s="719"/>
      <c r="DD160" s="719"/>
      <c r="DE160" s="719"/>
      <c r="DF160" s="719"/>
      <c r="DG160" s="719"/>
      <c r="DH160" s="719"/>
      <c r="DI160" s="719"/>
      <c r="DJ160" s="719"/>
      <c r="DK160" s="719"/>
      <c r="DL160" s="719"/>
      <c r="DM160" s="719"/>
      <c r="DN160" s="719"/>
      <c r="DO160" s="719"/>
      <c r="DP160" s="719"/>
      <c r="DQ160" s="719"/>
      <c r="DR160" s="719"/>
      <c r="DS160" s="719"/>
      <c r="DT160" s="719"/>
      <c r="DU160" s="719"/>
      <c r="DV160" s="719"/>
      <c r="DW160" s="719"/>
      <c r="DX160" s="719"/>
      <c r="DY160" s="719"/>
      <c r="DZ160" s="719"/>
      <c r="EA160" s="719"/>
      <c r="EB160" s="719"/>
      <c r="EC160" s="719"/>
      <c r="ED160" s="719"/>
      <c r="EE160" s="719"/>
      <c r="EF160" s="719"/>
      <c r="EG160" s="719"/>
      <c r="EH160" s="719"/>
      <c r="EI160" s="719"/>
      <c r="EJ160" s="719"/>
      <c r="EK160" s="719"/>
      <c r="EL160" s="719"/>
      <c r="EM160" s="719"/>
      <c r="EN160" s="719"/>
      <c r="EO160" s="719"/>
      <c r="EP160" s="719"/>
      <c r="EQ160" s="719"/>
      <c r="ER160" s="719"/>
      <c r="ES160" s="719"/>
      <c r="ET160" s="719"/>
      <c r="EU160" s="719"/>
      <c r="EV160" s="719"/>
      <c r="EW160" s="719"/>
      <c r="EX160" s="719"/>
      <c r="EY160" s="719"/>
      <c r="EZ160" s="719"/>
      <c r="FA160" s="719"/>
      <c r="FB160" s="719"/>
      <c r="FC160" s="719"/>
      <c r="FD160" s="719"/>
      <c r="FE160" s="719"/>
      <c r="FF160" s="719"/>
      <c r="FG160" s="719"/>
      <c r="FH160" s="719"/>
      <c r="FI160" s="719"/>
      <c r="FJ160" s="719"/>
      <c r="FK160" s="719"/>
      <c r="FL160" s="719"/>
      <c r="FM160" s="719"/>
      <c r="FN160" s="719"/>
      <c r="FO160" s="719"/>
      <c r="FP160" s="719"/>
      <c r="FQ160" s="719"/>
      <c r="FR160" s="719"/>
      <c r="FS160" s="719"/>
      <c r="FT160" s="719"/>
      <c r="FU160" s="719"/>
      <c r="FV160" s="719"/>
      <c r="FW160" s="719"/>
      <c r="FX160" s="719"/>
      <c r="FY160" s="719"/>
      <c r="FZ160" s="719"/>
      <c r="GA160" s="719"/>
      <c r="GB160" s="719"/>
      <c r="GC160" s="719"/>
      <c r="GD160" s="719"/>
      <c r="GE160" s="719"/>
      <c r="GF160" s="719"/>
      <c r="GG160" s="719"/>
      <c r="GH160" s="719"/>
      <c r="GI160" s="719"/>
      <c r="GJ160" s="719"/>
      <c r="GK160" s="719"/>
      <c r="GL160" s="719"/>
      <c r="GM160" s="719"/>
      <c r="GN160" s="719"/>
      <c r="GO160" s="719"/>
      <c r="GP160" s="719"/>
      <c r="GQ160" s="719"/>
      <c r="GR160" s="719"/>
      <c r="GS160" s="719"/>
      <c r="GT160" s="719"/>
      <c r="GU160" s="719"/>
      <c r="GV160" s="719"/>
      <c r="GW160" s="719"/>
      <c r="GX160" s="719"/>
      <c r="GY160" s="719"/>
      <c r="GZ160" s="719"/>
      <c r="HA160" s="719"/>
      <c r="HB160" s="719"/>
      <c r="HC160" s="719"/>
      <c r="HD160" s="719"/>
      <c r="HE160" s="719"/>
      <c r="HF160" s="719"/>
      <c r="HG160" s="719"/>
      <c r="HH160" s="719"/>
      <c r="HI160" s="719"/>
      <c r="HJ160" s="719"/>
      <c r="HK160" s="719"/>
      <c r="HL160" s="719"/>
      <c r="HM160" s="719"/>
      <c r="HN160" s="719"/>
      <c r="HO160" s="719"/>
      <c r="HP160" s="719"/>
      <c r="HQ160" s="719"/>
      <c r="HR160" s="719"/>
      <c r="HS160" s="719"/>
      <c r="HT160" s="719"/>
      <c r="HU160" s="719"/>
      <c r="HV160" s="719"/>
      <c r="HW160" s="719"/>
      <c r="HX160" s="719"/>
      <c r="HY160" s="719"/>
      <c r="HZ160" s="719"/>
      <c r="IA160" s="719"/>
      <c r="IB160" s="719"/>
      <c r="IC160" s="719"/>
      <c r="ID160" s="719"/>
      <c r="IE160" s="719"/>
      <c r="IF160" s="719"/>
      <c r="IG160" s="719"/>
      <c r="IH160" s="719"/>
      <c r="II160" s="719"/>
      <c r="IJ160" s="719"/>
      <c r="IK160" s="719"/>
      <c r="IL160" s="719"/>
      <c r="IM160" s="719"/>
      <c r="IN160" s="719"/>
      <c r="IO160" s="719"/>
      <c r="IP160" s="719"/>
      <c r="IQ160" s="719"/>
      <c r="IR160" s="719"/>
      <c r="IS160" s="719"/>
      <c r="IT160" s="719"/>
      <c r="IU160" s="719"/>
      <c r="IV160" s="719"/>
      <c r="IW160" s="719"/>
      <c r="IX160" s="719"/>
      <c r="IY160" s="719"/>
      <c r="IZ160" s="719"/>
      <c r="JA160" s="719"/>
      <c r="JB160" s="719"/>
      <c r="JC160" s="719"/>
      <c r="JD160" s="719"/>
      <c r="JE160" s="719"/>
      <c r="JF160" s="719"/>
      <c r="JG160" s="719"/>
      <c r="JH160" s="719"/>
      <c r="JI160" s="719"/>
      <c r="JJ160" s="719"/>
      <c r="JK160" s="719"/>
      <c r="JL160" s="719"/>
      <c r="JM160" s="719"/>
      <c r="JN160" s="719"/>
      <c r="JO160" s="719"/>
      <c r="JP160" s="719"/>
      <c r="JQ160" s="719"/>
      <c r="JR160" s="719"/>
      <c r="JS160" s="719"/>
      <c r="JT160" s="719"/>
      <c r="JU160" s="719"/>
      <c r="JV160" s="719"/>
      <c r="JW160" s="719"/>
      <c r="JX160" s="719"/>
      <c r="JY160" s="719"/>
      <c r="JZ160" s="719"/>
      <c r="KA160" s="719"/>
      <c r="KB160" s="719"/>
      <c r="KC160" s="719"/>
      <c r="KD160" s="719"/>
      <c r="KE160" s="719"/>
      <c r="KF160" s="719"/>
      <c r="KG160" s="719"/>
      <c r="KH160" s="719"/>
      <c r="KI160" s="719"/>
      <c r="KJ160" s="719"/>
      <c r="KK160" s="719"/>
      <c r="KL160" s="719"/>
      <c r="KM160" s="719"/>
      <c r="KN160" s="719"/>
      <c r="KO160" s="719"/>
      <c r="KP160" s="719"/>
      <c r="KQ160" s="719"/>
      <c r="KR160" s="719"/>
      <c r="KS160" s="719"/>
      <c r="KT160" s="719"/>
      <c r="KU160" s="719"/>
      <c r="KV160" s="719"/>
      <c r="KW160" s="719"/>
      <c r="KX160" s="719"/>
      <c r="KY160" s="719"/>
      <c r="KZ160" s="719"/>
      <c r="LA160" s="719"/>
      <c r="LB160" s="719"/>
      <c r="LC160" s="719"/>
      <c r="LD160" s="719"/>
      <c r="LE160" s="719"/>
      <c r="LF160" s="719"/>
      <c r="LG160" s="719"/>
      <c r="LH160" s="719"/>
      <c r="LI160" s="719"/>
      <c r="LJ160" s="719"/>
      <c r="LK160" s="719"/>
      <c r="LL160" s="719"/>
      <c r="LM160" s="719"/>
      <c r="LN160" s="719"/>
      <c r="LO160" s="719"/>
      <c r="LP160" s="719"/>
      <c r="LQ160" s="719"/>
      <c r="LR160" s="719"/>
      <c r="LS160" s="719"/>
      <c r="LT160" s="719"/>
      <c r="LU160" s="719"/>
      <c r="LV160" s="719"/>
      <c r="LW160" s="719"/>
      <c r="LX160" s="719"/>
      <c r="LY160" s="719"/>
      <c r="LZ160" s="719"/>
      <c r="MA160" s="719"/>
      <c r="MB160" s="719"/>
      <c r="MC160" s="719"/>
      <c r="MD160" s="719"/>
      <c r="ME160" s="719"/>
      <c r="MF160" s="719"/>
      <c r="MG160" s="719"/>
      <c r="MH160" s="719"/>
      <c r="MI160" s="719"/>
      <c r="MJ160" s="719"/>
      <c r="MK160" s="719"/>
      <c r="ML160" s="719"/>
      <c r="MM160" s="719"/>
      <c r="MN160" s="719"/>
      <c r="MO160" s="719"/>
      <c r="MP160" s="719"/>
      <c r="MQ160" s="719"/>
      <c r="MR160" s="719"/>
      <c r="MS160" s="719"/>
      <c r="MT160" s="719"/>
      <c r="MU160" s="719"/>
      <c r="MV160" s="719"/>
      <c r="MW160" s="719"/>
      <c r="MX160" s="719"/>
      <c r="MY160" s="719"/>
      <c r="MZ160" s="719"/>
      <c r="NA160" s="719"/>
      <c r="NB160" s="719"/>
      <c r="NC160" s="719"/>
      <c r="ND160" s="719"/>
      <c r="NE160" s="719"/>
      <c r="NF160" s="719"/>
      <c r="NG160" s="719"/>
      <c r="NH160" s="719"/>
      <c r="NI160" s="719"/>
      <c r="NJ160" s="719"/>
      <c r="NK160" s="719"/>
      <c r="NL160" s="719"/>
      <c r="NM160" s="719"/>
      <c r="NN160" s="719"/>
      <c r="NO160" s="719"/>
      <c r="NP160" s="719"/>
      <c r="NQ160" s="719"/>
      <c r="NR160" s="719"/>
      <c r="NS160" s="719"/>
      <c r="NT160" s="719"/>
      <c r="NU160" s="719"/>
      <c r="NV160" s="719"/>
      <c r="NW160" s="719"/>
      <c r="NX160" s="719"/>
      <c r="NY160" s="719"/>
      <c r="NZ160" s="719"/>
      <c r="OA160" s="719"/>
      <c r="OB160" s="719"/>
      <c r="OC160" s="719"/>
      <c r="OD160" s="719"/>
      <c r="OE160" s="719"/>
      <c r="OF160" s="719"/>
      <c r="OG160" s="719"/>
      <c r="OH160" s="719"/>
      <c r="OI160" s="719"/>
      <c r="OJ160" s="719"/>
      <c r="OK160" s="719"/>
      <c r="OL160" s="719"/>
      <c r="OM160" s="719"/>
      <c r="ON160" s="719"/>
      <c r="OO160" s="719"/>
      <c r="OP160" s="719"/>
      <c r="OQ160" s="719"/>
      <c r="OR160" s="719"/>
      <c r="OS160" s="719"/>
      <c r="OT160" s="719"/>
      <c r="OU160" s="719"/>
      <c r="OV160" s="719"/>
      <c r="OW160" s="719"/>
      <c r="OX160" s="719"/>
      <c r="OY160" s="719"/>
      <c r="OZ160" s="719"/>
      <c r="PA160" s="719"/>
      <c r="PB160" s="719"/>
      <c r="PC160" s="719"/>
      <c r="PD160" s="719"/>
      <c r="PE160" s="719"/>
      <c r="PF160" s="719"/>
      <c r="PG160" s="719"/>
      <c r="PH160" s="719"/>
      <c r="PI160" s="719"/>
      <c r="PJ160" s="719"/>
      <c r="PK160" s="719"/>
      <c r="PL160" s="719"/>
      <c r="PM160" s="719"/>
      <c r="PN160" s="719"/>
      <c r="PO160" s="719"/>
      <c r="PP160" s="719"/>
      <c r="PQ160" s="719"/>
      <c r="PR160" s="719"/>
      <c r="PS160" s="719"/>
      <c r="PT160" s="719"/>
      <c r="PU160" s="719"/>
      <c r="PV160" s="719"/>
      <c r="PW160" s="719"/>
      <c r="PX160" s="719"/>
      <c r="PY160" s="719"/>
      <c r="PZ160" s="719"/>
      <c r="QA160" s="719"/>
      <c r="QB160" s="719"/>
      <c r="QC160" s="719"/>
      <c r="QD160" s="719"/>
      <c r="QE160" s="719"/>
      <c r="QF160" s="719"/>
      <c r="QG160" s="719"/>
      <c r="QH160" s="719"/>
      <c r="QI160" s="719"/>
      <c r="QJ160" s="719"/>
      <c r="QK160" s="719"/>
      <c r="QL160" s="719"/>
      <c r="QM160" s="719"/>
      <c r="QN160" s="719"/>
      <c r="QO160" s="719"/>
      <c r="QP160" s="719"/>
      <c r="QQ160" s="719"/>
      <c r="QR160" s="719"/>
      <c r="QS160" s="719"/>
      <c r="QT160" s="719"/>
      <c r="QU160" s="719"/>
      <c r="QV160" s="719"/>
      <c r="QW160" s="719"/>
      <c r="QX160" s="719"/>
      <c r="QY160" s="719"/>
      <c r="QZ160" s="719"/>
      <c r="RA160" s="719"/>
      <c r="RB160" s="719"/>
      <c r="RC160" s="719"/>
      <c r="RD160" s="719"/>
      <c r="RE160" s="719"/>
      <c r="RF160" s="719"/>
      <c r="RG160" s="719"/>
      <c r="RH160" s="719"/>
      <c r="RI160" s="719"/>
      <c r="RJ160" s="719"/>
      <c r="RK160" s="719"/>
      <c r="RL160" s="719"/>
      <c r="RM160" s="719"/>
      <c r="RN160" s="719"/>
      <c r="RO160" s="719"/>
      <c r="RP160" s="719"/>
      <c r="RQ160" s="719"/>
      <c r="RR160" s="719"/>
      <c r="RS160" s="719"/>
      <c r="RT160" s="719"/>
      <c r="RU160" s="719"/>
      <c r="RV160" s="719"/>
      <c r="RW160" s="719"/>
      <c r="RX160" s="719"/>
      <c r="RY160" s="719"/>
      <c r="RZ160" s="719"/>
      <c r="SA160" s="719"/>
      <c r="SB160" s="719"/>
      <c r="SC160" s="719"/>
      <c r="SD160" s="719"/>
      <c r="SE160" s="719"/>
      <c r="SF160" s="719"/>
      <c r="SG160" s="719"/>
      <c r="SH160" s="719"/>
      <c r="SI160" s="719"/>
      <c r="SJ160" s="719"/>
      <c r="SK160" s="719"/>
      <c r="SL160" s="719"/>
      <c r="SM160" s="719"/>
      <c r="SN160" s="719"/>
      <c r="SO160" s="719"/>
      <c r="SP160" s="719"/>
      <c r="SQ160" s="719"/>
      <c r="SR160" s="719"/>
      <c r="SS160" s="719"/>
      <c r="ST160" s="719"/>
      <c r="SU160" s="719"/>
      <c r="SV160" s="719"/>
      <c r="SW160" s="719"/>
      <c r="SX160" s="719"/>
      <c r="SY160" s="719"/>
      <c r="SZ160" s="719"/>
      <c r="TA160" s="719"/>
      <c r="TB160" s="719"/>
      <c r="TC160" s="719"/>
      <c r="TD160" s="719"/>
      <c r="TE160" s="719"/>
      <c r="TF160" s="719"/>
      <c r="TG160" s="719"/>
      <c r="TH160" s="719"/>
      <c r="TI160" s="719"/>
      <c r="TJ160" s="719"/>
      <c r="TK160" s="719"/>
      <c r="TL160" s="719"/>
      <c r="TM160" s="719"/>
      <c r="TN160" s="719"/>
      <c r="TO160" s="719"/>
      <c r="TP160" s="719"/>
      <c r="TQ160" s="719"/>
      <c r="TR160" s="719"/>
      <c r="TS160" s="719"/>
      <c r="TT160" s="719"/>
      <c r="TU160" s="719"/>
      <c r="TV160" s="719"/>
      <c r="TW160" s="719"/>
      <c r="TX160" s="719"/>
      <c r="TY160" s="719"/>
      <c r="TZ160" s="719"/>
      <c r="UA160" s="719"/>
      <c r="UB160" s="719"/>
      <c r="UC160" s="719"/>
      <c r="UD160" s="719"/>
      <c r="UE160" s="719"/>
      <c r="UF160" s="719"/>
      <c r="UG160" s="719"/>
      <c r="UH160" s="719"/>
      <c r="UI160" s="719"/>
      <c r="UJ160" s="719"/>
      <c r="UK160" s="719"/>
      <c r="UL160" s="719"/>
      <c r="UM160" s="719"/>
      <c r="UN160" s="719"/>
      <c r="UO160" s="719"/>
      <c r="UP160" s="719"/>
      <c r="UQ160" s="719"/>
      <c r="UR160" s="719"/>
      <c r="US160" s="719"/>
      <c r="UT160" s="719"/>
      <c r="UU160" s="719"/>
      <c r="UV160" s="719"/>
      <c r="UW160" s="719"/>
      <c r="UX160" s="719"/>
      <c r="UY160" s="719"/>
      <c r="UZ160" s="719"/>
      <c r="VA160" s="719"/>
      <c r="VB160" s="719"/>
      <c r="VC160" s="719"/>
      <c r="VD160" s="719"/>
      <c r="VE160" s="719"/>
      <c r="VF160" s="719"/>
      <c r="VG160" s="719"/>
      <c r="VH160" s="719"/>
      <c r="VI160" s="719"/>
      <c r="VJ160" s="719"/>
      <c r="VK160" s="719"/>
      <c r="VL160" s="719"/>
      <c r="VM160" s="719"/>
      <c r="VN160" s="719"/>
      <c r="VO160" s="719"/>
      <c r="VP160" s="719"/>
      <c r="VQ160" s="719"/>
      <c r="VR160" s="719"/>
      <c r="VS160" s="719"/>
      <c r="VT160" s="719"/>
      <c r="VU160" s="719"/>
      <c r="VV160" s="719"/>
      <c r="VW160" s="719"/>
      <c r="VX160" s="719"/>
      <c r="VY160" s="719"/>
      <c r="VZ160" s="719"/>
      <c r="WA160" s="719"/>
      <c r="WB160" s="719"/>
      <c r="WC160" s="719"/>
      <c r="WD160" s="719"/>
      <c r="WE160" s="719"/>
      <c r="WF160" s="719"/>
      <c r="WG160" s="719"/>
      <c r="WH160" s="719"/>
      <c r="WI160" s="719"/>
      <c r="WJ160" s="719"/>
      <c r="WK160" s="719"/>
      <c r="WL160" s="719"/>
      <c r="WM160" s="719"/>
      <c r="WN160" s="719"/>
      <c r="WO160" s="719"/>
      <c r="WP160" s="719"/>
      <c r="WQ160" s="719"/>
      <c r="WR160" s="719"/>
      <c r="WS160" s="719"/>
      <c r="WT160" s="719"/>
      <c r="WU160" s="719"/>
      <c r="WV160" s="719"/>
      <c r="WW160" s="719"/>
      <c r="WX160" s="719"/>
      <c r="WY160" s="719"/>
      <c r="WZ160" s="719"/>
      <c r="XA160" s="719"/>
      <c r="XB160" s="719"/>
      <c r="XC160" s="719"/>
      <c r="XD160" s="719"/>
      <c r="XE160" s="719"/>
      <c r="XF160" s="719"/>
      <c r="XG160" s="719"/>
      <c r="XH160" s="719"/>
      <c r="XI160" s="719"/>
      <c r="XJ160" s="719"/>
      <c r="XK160" s="719"/>
      <c r="XL160" s="719"/>
      <c r="XM160" s="719"/>
      <c r="XN160" s="719"/>
      <c r="XO160" s="719"/>
      <c r="XP160" s="719"/>
      <c r="XQ160" s="719"/>
      <c r="XR160" s="719"/>
      <c r="XS160" s="719"/>
      <c r="XT160" s="719"/>
      <c r="XU160" s="719"/>
      <c r="XV160" s="719"/>
      <c r="XW160" s="719"/>
      <c r="XX160" s="719"/>
      <c r="XY160" s="719"/>
      <c r="XZ160" s="719"/>
      <c r="YA160" s="719"/>
      <c r="YB160" s="719"/>
      <c r="YC160" s="719"/>
      <c r="YD160" s="719"/>
      <c r="YE160" s="719"/>
      <c r="YF160" s="719"/>
      <c r="YG160" s="719"/>
      <c r="YH160" s="719"/>
      <c r="YI160" s="719"/>
      <c r="YJ160" s="719"/>
      <c r="YK160" s="719"/>
      <c r="YL160" s="719"/>
      <c r="YM160" s="719"/>
      <c r="YN160" s="719"/>
      <c r="YO160" s="719"/>
      <c r="YP160" s="719"/>
      <c r="YQ160" s="719"/>
      <c r="YR160" s="719"/>
      <c r="YS160" s="719"/>
      <c r="YT160" s="719"/>
      <c r="YU160" s="719"/>
      <c r="YV160" s="719"/>
      <c r="YW160" s="719"/>
      <c r="YX160" s="719"/>
      <c r="YY160" s="719"/>
      <c r="YZ160" s="719"/>
      <c r="ZA160" s="719"/>
      <c r="ZB160" s="719"/>
      <c r="ZC160" s="719"/>
      <c r="ZD160" s="719"/>
      <c r="ZE160" s="719"/>
      <c r="ZF160" s="719"/>
      <c r="ZG160" s="719"/>
      <c r="ZH160" s="719"/>
      <c r="ZI160" s="719"/>
      <c r="ZJ160" s="719"/>
      <c r="ZK160" s="719"/>
      <c r="ZL160" s="719"/>
      <c r="ZM160" s="719"/>
      <c r="ZN160" s="719"/>
      <c r="ZO160" s="719"/>
      <c r="ZP160" s="719"/>
      <c r="ZQ160" s="719"/>
      <c r="ZR160" s="719"/>
      <c r="ZS160" s="719"/>
      <c r="ZT160" s="719"/>
      <c r="ZU160" s="719"/>
      <c r="ZV160" s="719"/>
      <c r="ZW160" s="719"/>
      <c r="ZX160" s="719"/>
      <c r="ZY160" s="719"/>
      <c r="ZZ160" s="719"/>
      <c r="AAA160" s="719"/>
      <c r="AAB160" s="719"/>
      <c r="AAC160" s="719"/>
      <c r="AAD160" s="719"/>
      <c r="AAE160" s="719"/>
      <c r="AAF160" s="719"/>
      <c r="AAG160" s="719"/>
      <c r="AAH160" s="719"/>
      <c r="AAI160" s="719"/>
      <c r="AAJ160" s="719"/>
      <c r="AAK160" s="719"/>
      <c r="AAL160" s="719"/>
      <c r="AAM160" s="719"/>
      <c r="AAN160" s="719"/>
      <c r="AAO160" s="719"/>
      <c r="AAP160" s="719"/>
      <c r="AAQ160" s="719"/>
      <c r="AAR160" s="719"/>
      <c r="AAS160" s="719"/>
      <c r="AAT160" s="719"/>
      <c r="AAU160" s="719"/>
      <c r="AAV160" s="719"/>
      <c r="AAW160" s="719"/>
      <c r="AAX160" s="719"/>
      <c r="AAY160" s="719"/>
      <c r="AAZ160" s="719"/>
      <c r="ABA160" s="719"/>
      <c r="ABB160" s="719"/>
      <c r="ABC160" s="719"/>
      <c r="ABD160" s="719"/>
      <c r="ABE160" s="719"/>
      <c r="ABF160" s="719"/>
      <c r="ABG160" s="719"/>
      <c r="ABH160" s="719"/>
      <c r="ABI160" s="719"/>
      <c r="ABJ160" s="719"/>
      <c r="ABK160" s="719"/>
      <c r="ABL160" s="719"/>
      <c r="ABM160" s="719"/>
      <c r="ABN160" s="719"/>
      <c r="ABO160" s="719"/>
      <c r="ABP160" s="719"/>
      <c r="ABQ160" s="719"/>
      <c r="ABR160" s="719"/>
      <c r="ABS160" s="719"/>
      <c r="ABT160" s="719"/>
      <c r="ABU160" s="719"/>
      <c r="ABV160" s="719"/>
      <c r="ABW160" s="719"/>
      <c r="ABX160" s="719"/>
      <c r="ABY160" s="719"/>
      <c r="ABZ160" s="719"/>
      <c r="ACA160" s="719"/>
      <c r="ACB160" s="719"/>
      <c r="ACC160" s="719"/>
      <c r="ACD160" s="719"/>
      <c r="ACE160" s="719"/>
      <c r="ACF160" s="719"/>
      <c r="ACG160" s="719"/>
      <c r="ACH160" s="719"/>
      <c r="ACI160" s="719"/>
      <c r="ACJ160" s="719"/>
      <c r="ACK160" s="719"/>
      <c r="ACL160" s="719"/>
      <c r="ACM160" s="719"/>
      <c r="ACN160" s="719"/>
      <c r="ACO160" s="719"/>
      <c r="ACP160" s="719"/>
      <c r="ACQ160" s="719"/>
      <c r="ACR160" s="719"/>
      <c r="ACS160" s="719"/>
      <c r="ACT160" s="719"/>
      <c r="ACU160" s="719"/>
      <c r="ACV160" s="719"/>
      <c r="ACW160" s="719"/>
      <c r="ACX160" s="719"/>
      <c r="ACY160" s="719"/>
      <c r="ACZ160" s="719"/>
      <c r="ADA160" s="719"/>
      <c r="ADB160" s="719"/>
      <c r="ADC160" s="719"/>
      <c r="ADD160" s="719"/>
      <c r="ADE160" s="719"/>
      <c r="ADF160" s="719"/>
      <c r="ADG160" s="719"/>
      <c r="ADH160" s="719"/>
      <c r="ADI160" s="719"/>
      <c r="ADJ160" s="719"/>
      <c r="ADK160" s="719"/>
      <c r="ADL160" s="719"/>
      <c r="ADM160" s="719"/>
      <c r="ADN160" s="719"/>
      <c r="ADO160" s="719"/>
      <c r="ADP160" s="719"/>
      <c r="ADQ160" s="719"/>
      <c r="ADR160" s="719"/>
      <c r="ADS160" s="719"/>
      <c r="ADT160" s="719"/>
      <c r="ADU160" s="719"/>
      <c r="ADV160" s="719"/>
      <c r="ADW160" s="719"/>
      <c r="ADX160" s="719"/>
      <c r="ADY160" s="719"/>
      <c r="ADZ160" s="719"/>
      <c r="AEA160" s="719"/>
      <c r="AEB160" s="719"/>
      <c r="AEC160" s="719"/>
      <c r="AED160" s="719"/>
      <c r="AEE160" s="719"/>
      <c r="AEF160" s="719"/>
      <c r="AEG160" s="719"/>
      <c r="AEH160" s="719"/>
      <c r="AEI160" s="719"/>
      <c r="AEJ160" s="719"/>
      <c r="AEK160" s="719"/>
      <c r="AEL160" s="719"/>
      <c r="AEM160" s="719"/>
      <c r="AEN160" s="719"/>
      <c r="AEO160" s="719"/>
      <c r="AEP160" s="719"/>
      <c r="AEQ160" s="719"/>
      <c r="AER160" s="719"/>
      <c r="AES160" s="719"/>
      <c r="AET160" s="719"/>
      <c r="AEU160" s="719"/>
      <c r="AEV160" s="719"/>
      <c r="AEW160" s="719"/>
      <c r="AEX160" s="719"/>
      <c r="AEY160" s="719"/>
      <c r="AEZ160" s="719"/>
      <c r="AFA160" s="719"/>
      <c r="AFB160" s="719"/>
      <c r="AFC160" s="719"/>
      <c r="AFD160" s="719"/>
      <c r="AFE160" s="719"/>
      <c r="AFF160" s="719"/>
      <c r="AFG160" s="719"/>
      <c r="AFH160" s="719"/>
      <c r="AFI160" s="719"/>
      <c r="AFJ160" s="719"/>
      <c r="AFK160" s="719"/>
      <c r="AFL160" s="719"/>
      <c r="AFM160" s="719"/>
      <c r="AFN160" s="719"/>
      <c r="AFO160" s="719"/>
      <c r="AFP160" s="719"/>
      <c r="AFQ160" s="719"/>
      <c r="AFR160" s="719"/>
      <c r="AFS160" s="719"/>
      <c r="AFT160" s="719"/>
      <c r="AFU160" s="719"/>
      <c r="AFV160" s="719"/>
      <c r="AFW160" s="719"/>
      <c r="AFX160" s="719"/>
      <c r="AFY160" s="719"/>
      <c r="AFZ160" s="719"/>
      <c r="AGA160" s="719"/>
      <c r="AGB160" s="719"/>
      <c r="AGC160" s="719"/>
      <c r="AGD160" s="719"/>
      <c r="AGE160" s="719"/>
      <c r="AGF160" s="719"/>
      <c r="AGG160" s="719"/>
      <c r="AGH160" s="719"/>
      <c r="AGI160" s="719"/>
      <c r="AGJ160" s="719"/>
      <c r="AGK160" s="719"/>
      <c r="AGL160" s="719"/>
      <c r="AGM160" s="719"/>
      <c r="AGN160" s="719"/>
      <c r="AGO160" s="719"/>
      <c r="AGP160" s="719"/>
      <c r="AGQ160" s="719"/>
      <c r="AGR160" s="719"/>
      <c r="AGS160" s="719"/>
      <c r="AGT160" s="719"/>
      <c r="AGU160" s="719"/>
      <c r="AGV160" s="719"/>
      <c r="AGW160" s="719"/>
      <c r="AGX160" s="719"/>
      <c r="AGY160" s="719"/>
      <c r="AGZ160" s="719"/>
      <c r="AHA160" s="719"/>
      <c r="AHB160" s="719"/>
      <c r="AHC160" s="719"/>
      <c r="AHD160" s="719"/>
      <c r="AHE160" s="719"/>
      <c r="AHF160" s="719"/>
      <c r="AHG160" s="719"/>
      <c r="AHH160" s="719"/>
      <c r="AHI160" s="719"/>
      <c r="AHJ160" s="719"/>
      <c r="AHK160" s="719"/>
      <c r="AHL160" s="719"/>
      <c r="AHM160" s="719"/>
      <c r="AHN160" s="719"/>
      <c r="AHO160" s="719"/>
      <c r="AHP160" s="719"/>
      <c r="AHQ160" s="719"/>
      <c r="AHR160" s="719"/>
      <c r="AHS160" s="719"/>
      <c r="AHT160" s="719"/>
      <c r="AHU160" s="719"/>
      <c r="AHV160" s="719"/>
      <c r="AHW160" s="719"/>
      <c r="AHX160" s="719"/>
      <c r="AHY160" s="719"/>
      <c r="AHZ160" s="719"/>
      <c r="AIA160" s="719"/>
      <c r="AIB160" s="719"/>
      <c r="AIC160" s="719"/>
      <c r="AID160" s="719"/>
      <c r="AIE160" s="719"/>
      <c r="AIF160" s="719"/>
      <c r="AIG160" s="719"/>
      <c r="AIH160" s="719"/>
      <c r="AII160" s="719"/>
      <c r="AIJ160" s="719"/>
      <c r="AIK160" s="719"/>
      <c r="AIL160" s="719"/>
      <c r="AIM160" s="719"/>
      <c r="AIN160" s="719"/>
      <c r="AIO160" s="719"/>
      <c r="AIP160" s="719"/>
      <c r="AIQ160" s="719"/>
      <c r="AIR160" s="719"/>
      <c r="AIS160" s="719"/>
      <c r="AIT160" s="719"/>
      <c r="AIU160" s="719"/>
      <c r="AIV160" s="719"/>
      <c r="AIW160" s="719"/>
      <c r="AIX160" s="719"/>
      <c r="AIY160" s="719"/>
      <c r="AIZ160" s="719"/>
      <c r="AJA160" s="719"/>
      <c r="AJB160" s="719"/>
      <c r="AJC160" s="719"/>
      <c r="AJD160" s="719"/>
      <c r="AJE160" s="719"/>
      <c r="AJF160" s="719"/>
      <c r="AJG160" s="719"/>
      <c r="AJH160" s="719"/>
      <c r="AJI160" s="719"/>
      <c r="AJJ160" s="719"/>
      <c r="AJK160" s="719"/>
      <c r="AJL160" s="719"/>
      <c r="AJM160" s="719"/>
      <c r="AJN160" s="719"/>
      <c r="AJO160" s="719"/>
      <c r="AJP160" s="719"/>
      <c r="AJQ160" s="719"/>
      <c r="AJR160" s="719"/>
      <c r="AJS160" s="719"/>
      <c r="AJT160" s="719"/>
      <c r="AJU160" s="719"/>
      <c r="AJV160" s="719"/>
      <c r="AJW160" s="719"/>
      <c r="AJX160" s="719"/>
      <c r="AJY160" s="719"/>
      <c r="AJZ160" s="719"/>
      <c r="AKA160" s="719"/>
      <c r="AKB160" s="719"/>
      <c r="AKC160" s="719"/>
      <c r="AKD160" s="719"/>
      <c r="AKE160" s="719"/>
      <c r="AKF160" s="719"/>
      <c r="AKG160" s="719"/>
      <c r="AKH160" s="719"/>
      <c r="AKI160" s="719"/>
      <c r="AKJ160" s="719"/>
      <c r="AKK160" s="719"/>
      <c r="AKL160" s="719"/>
      <c r="AKM160" s="719"/>
      <c r="AKN160" s="719"/>
      <c r="AKO160" s="719"/>
      <c r="AKP160" s="719"/>
      <c r="AKQ160" s="719"/>
      <c r="AKR160" s="719"/>
      <c r="AKS160" s="719"/>
      <c r="AKT160" s="719"/>
      <c r="AKU160" s="719"/>
      <c r="AKV160" s="719"/>
      <c r="AKW160" s="719"/>
      <c r="AKX160" s="719"/>
      <c r="AKY160" s="719"/>
      <c r="AKZ160" s="719"/>
      <c r="ALA160" s="719"/>
      <c r="ALB160" s="719"/>
      <c r="ALC160" s="719"/>
      <c r="ALD160" s="719"/>
      <c r="ALE160" s="719"/>
      <c r="ALF160" s="719"/>
      <c r="ALG160" s="719"/>
      <c r="ALH160" s="719"/>
      <c r="ALI160" s="719"/>
      <c r="ALJ160" s="719"/>
      <c r="ALK160" s="719"/>
      <c r="ALL160" s="719"/>
      <c r="ALM160" s="719"/>
      <c r="ALN160" s="719"/>
      <c r="ALO160" s="719"/>
      <c r="ALP160" s="719"/>
      <c r="ALQ160" s="719"/>
      <c r="ALR160" s="719"/>
      <c r="ALS160" s="719"/>
      <c r="ALT160" s="719"/>
      <c r="ALU160" s="719"/>
      <c r="ALV160" s="719"/>
      <c r="ALW160" s="719"/>
      <c r="ALX160" s="719"/>
      <c r="ALY160" s="719"/>
      <c r="ALZ160" s="719"/>
      <c r="AMA160" s="719"/>
      <c r="AMB160" s="719"/>
      <c r="AMC160" s="719"/>
      <c r="AMD160" s="719"/>
      <c r="AME160" s="719"/>
      <c r="AMF160" s="719"/>
      <c r="AMG160" s="719"/>
      <c r="AMH160" s="719"/>
      <c r="AMI160" s="719"/>
      <c r="AMJ160" s="719"/>
      <c r="AMK160" s="719"/>
      <c r="AML160" s="719"/>
      <c r="AMM160" s="719"/>
      <c r="AMN160" s="719"/>
      <c r="AMO160" s="719"/>
      <c r="AMP160" s="719"/>
      <c r="AMQ160" s="719"/>
      <c r="AMR160" s="719"/>
      <c r="AMS160" s="719"/>
      <c r="AMT160" s="719"/>
      <c r="AMU160" s="719"/>
      <c r="AMV160" s="719"/>
      <c r="AMW160" s="719"/>
      <c r="AMX160" s="719"/>
      <c r="AMY160" s="719"/>
      <c r="AMZ160" s="719"/>
      <c r="ANA160" s="719"/>
      <c r="ANB160" s="719"/>
      <c r="ANC160" s="719"/>
      <c r="AND160" s="719"/>
      <c r="ANE160" s="719"/>
      <c r="ANF160" s="719"/>
      <c r="ANG160" s="719"/>
      <c r="ANH160" s="719"/>
      <c r="ANI160" s="719"/>
      <c r="ANJ160" s="719"/>
      <c r="ANK160" s="719"/>
      <c r="ANL160" s="719"/>
      <c r="ANM160" s="719"/>
      <c r="ANN160" s="719"/>
      <c r="ANO160" s="719"/>
      <c r="ANP160" s="719"/>
      <c r="ANQ160" s="719"/>
      <c r="ANR160" s="719"/>
      <c r="ANS160" s="719"/>
      <c r="ANT160" s="719"/>
      <c r="ANU160" s="719"/>
      <c r="ANV160" s="719"/>
      <c r="ANW160" s="719"/>
      <c r="ANX160" s="719"/>
      <c r="ANY160" s="719"/>
      <c r="ANZ160" s="719"/>
      <c r="AOA160" s="719"/>
      <c r="AOB160" s="719"/>
      <c r="AOC160" s="719"/>
      <c r="AOD160" s="719"/>
      <c r="AOE160" s="719"/>
      <c r="AOF160" s="719"/>
      <c r="AOG160" s="719"/>
      <c r="AOH160" s="719"/>
      <c r="AOI160" s="719"/>
      <c r="AOJ160" s="719"/>
      <c r="AOK160" s="719"/>
      <c r="AOL160" s="719"/>
      <c r="AOM160" s="719"/>
      <c r="AON160" s="719"/>
      <c r="AOO160" s="719"/>
      <c r="AOP160" s="719"/>
      <c r="AOQ160" s="719"/>
      <c r="AOR160" s="719"/>
      <c r="AOS160" s="719"/>
      <c r="AOT160" s="719"/>
      <c r="AOU160" s="719"/>
      <c r="AOV160" s="719"/>
      <c r="AOW160" s="719"/>
      <c r="AOX160" s="719"/>
      <c r="AOY160" s="719"/>
      <c r="AOZ160" s="719"/>
      <c r="APA160" s="719"/>
      <c r="APB160" s="719"/>
      <c r="APC160" s="719"/>
      <c r="APD160" s="719"/>
      <c r="APE160" s="719"/>
      <c r="APF160" s="719"/>
      <c r="APG160" s="719"/>
      <c r="APH160" s="719"/>
      <c r="API160" s="719"/>
      <c r="APJ160" s="719"/>
      <c r="APK160" s="719"/>
      <c r="APL160" s="719"/>
      <c r="APM160" s="719"/>
      <c r="APN160" s="719"/>
      <c r="APO160" s="719"/>
      <c r="APP160" s="719"/>
      <c r="APQ160" s="719"/>
      <c r="APR160" s="719"/>
      <c r="APS160" s="719"/>
      <c r="APT160" s="719"/>
      <c r="APU160" s="719"/>
      <c r="APV160" s="719"/>
      <c r="APW160" s="719"/>
      <c r="APX160" s="719"/>
      <c r="APY160" s="719"/>
      <c r="APZ160" s="719"/>
      <c r="AQA160" s="719"/>
      <c r="AQB160" s="719"/>
      <c r="AQC160" s="719"/>
      <c r="AQD160" s="719"/>
      <c r="AQE160" s="719"/>
      <c r="AQF160" s="719"/>
      <c r="AQG160" s="719"/>
      <c r="AQH160" s="719"/>
      <c r="AQI160" s="719"/>
      <c r="AQJ160" s="719"/>
      <c r="AQK160" s="719"/>
      <c r="AQL160" s="719"/>
      <c r="AQM160" s="719"/>
      <c r="AQN160" s="719"/>
      <c r="AQO160" s="719"/>
      <c r="AQP160" s="719"/>
      <c r="AQQ160" s="719"/>
      <c r="AQR160" s="719"/>
      <c r="AQS160" s="719"/>
      <c r="AQT160" s="719"/>
      <c r="AQU160" s="719"/>
      <c r="AQV160" s="719"/>
      <c r="AQW160" s="719"/>
      <c r="AQX160" s="719"/>
      <c r="AQY160" s="719"/>
      <c r="AQZ160" s="719"/>
      <c r="ARA160" s="719"/>
      <c r="ARB160" s="719"/>
      <c r="ARC160" s="719"/>
      <c r="ARD160" s="719"/>
      <c r="ARE160" s="719"/>
      <c r="ARF160" s="719"/>
      <c r="ARG160" s="719"/>
      <c r="ARH160" s="719"/>
      <c r="ARI160" s="719"/>
      <c r="ARJ160" s="719"/>
      <c r="ARK160" s="719"/>
      <c r="ARL160" s="719"/>
      <c r="ARM160" s="719"/>
      <c r="ARN160" s="719"/>
      <c r="ARO160" s="719"/>
      <c r="ARP160" s="719"/>
      <c r="ARQ160" s="719"/>
      <c r="ARR160" s="719"/>
      <c r="ARS160" s="719"/>
      <c r="ART160" s="719"/>
      <c r="ARU160" s="719"/>
      <c r="ARV160" s="719"/>
      <c r="ARW160" s="719"/>
      <c r="ARX160" s="719"/>
      <c r="ARY160" s="719"/>
      <c r="ARZ160" s="719"/>
      <c r="ASA160" s="719"/>
      <c r="ASB160" s="719"/>
      <c r="ASC160" s="719"/>
      <c r="ASD160" s="719"/>
      <c r="ASE160" s="719"/>
      <c r="ASF160" s="719"/>
      <c r="ASG160" s="719"/>
      <c r="ASH160" s="719"/>
      <c r="ASI160" s="719"/>
      <c r="ASJ160" s="719"/>
      <c r="ASK160" s="719"/>
      <c r="ASL160" s="719"/>
      <c r="ASM160" s="719"/>
      <c r="ASN160" s="719"/>
      <c r="ASO160" s="719"/>
      <c r="ASP160" s="719"/>
      <c r="ASQ160" s="719"/>
      <c r="ASR160" s="719"/>
      <c r="ASS160" s="719"/>
      <c r="AST160" s="719"/>
      <c r="ASU160" s="719"/>
      <c r="ASV160" s="719"/>
      <c r="ASW160" s="719"/>
      <c r="ASX160" s="719"/>
      <c r="ASY160" s="719"/>
      <c r="ASZ160" s="719"/>
      <c r="ATA160" s="719"/>
      <c r="ATB160" s="719"/>
      <c r="ATC160" s="719"/>
      <c r="ATD160" s="719"/>
      <c r="ATE160" s="719"/>
      <c r="ATF160" s="719"/>
      <c r="ATG160" s="719"/>
      <c r="ATH160" s="719"/>
      <c r="ATI160" s="719"/>
      <c r="ATJ160" s="719"/>
      <c r="ATK160" s="719"/>
      <c r="ATL160" s="719"/>
      <c r="ATM160" s="719"/>
      <c r="ATN160" s="719"/>
      <c r="ATO160" s="719"/>
      <c r="ATP160" s="719"/>
      <c r="ATQ160" s="719"/>
      <c r="ATR160" s="719"/>
      <c r="ATS160" s="719"/>
      <c r="ATT160" s="719"/>
      <c r="ATU160" s="719"/>
      <c r="ATV160" s="719"/>
      <c r="ATW160" s="719"/>
      <c r="ATX160" s="719"/>
      <c r="ATY160" s="719"/>
      <c r="ATZ160" s="719"/>
      <c r="AUA160" s="719"/>
      <c r="AUB160" s="719"/>
      <c r="AUC160" s="719"/>
      <c r="AUD160" s="719"/>
      <c r="AUE160" s="719"/>
      <c r="AUF160" s="719"/>
      <c r="AUG160" s="719"/>
      <c r="AUH160" s="719"/>
      <c r="AUI160" s="719"/>
      <c r="AUJ160" s="719"/>
      <c r="AUK160" s="719"/>
      <c r="AUL160" s="719"/>
      <c r="AUM160" s="719"/>
      <c r="AUN160" s="719"/>
      <c r="AUO160" s="719"/>
      <c r="AUP160" s="719"/>
      <c r="AUQ160" s="719"/>
      <c r="AUR160" s="719"/>
      <c r="AUS160" s="719"/>
      <c r="AUT160" s="719"/>
      <c r="AUU160" s="719"/>
      <c r="AUV160" s="719"/>
      <c r="AUW160" s="719"/>
      <c r="AUX160" s="719"/>
      <c r="AUY160" s="719"/>
      <c r="AUZ160" s="719"/>
      <c r="AVA160" s="719"/>
      <c r="AVB160" s="719"/>
      <c r="AVC160" s="719"/>
      <c r="AVD160" s="719"/>
      <c r="AVE160" s="719"/>
      <c r="AVF160" s="719"/>
      <c r="AVG160" s="719"/>
      <c r="AVH160" s="719"/>
      <c r="AVI160" s="719"/>
      <c r="AVJ160" s="719"/>
      <c r="AVK160" s="719"/>
      <c r="AVL160" s="719"/>
      <c r="AVM160" s="719"/>
      <c r="AVN160" s="719"/>
      <c r="AVO160" s="719"/>
      <c r="AVP160" s="719"/>
      <c r="AVQ160" s="719"/>
      <c r="AVR160" s="719"/>
      <c r="AVS160" s="719"/>
      <c r="AVT160" s="719"/>
      <c r="AVU160" s="719"/>
      <c r="AVV160" s="719"/>
      <c r="AVW160" s="719"/>
      <c r="AVX160" s="719"/>
      <c r="AVY160" s="719"/>
      <c r="AVZ160" s="719"/>
      <c r="AWA160" s="719"/>
      <c r="AWB160" s="719"/>
      <c r="AWC160" s="719"/>
      <c r="AWD160" s="719"/>
      <c r="AWE160" s="719"/>
      <c r="AWF160" s="719"/>
      <c r="AWG160" s="719"/>
      <c r="AWH160" s="719"/>
      <c r="AWI160" s="719"/>
      <c r="AWJ160" s="719"/>
      <c r="AWK160" s="719"/>
      <c r="AWL160" s="719"/>
      <c r="AWM160" s="719"/>
      <c r="AWN160" s="719"/>
      <c r="AWO160" s="719"/>
      <c r="AWP160" s="719"/>
      <c r="AWQ160" s="719"/>
      <c r="AWR160" s="719"/>
      <c r="AWS160" s="719"/>
      <c r="AWT160" s="719"/>
      <c r="AWU160" s="719"/>
      <c r="AWV160" s="719"/>
      <c r="AWW160" s="719"/>
      <c r="AWX160" s="719"/>
      <c r="AWY160" s="719"/>
      <c r="AWZ160" s="719"/>
      <c r="AXA160" s="719"/>
      <c r="AXB160" s="719"/>
      <c r="AXC160" s="719"/>
      <c r="AXD160" s="719"/>
      <c r="AXE160" s="719"/>
      <c r="AXF160" s="719"/>
      <c r="AXG160" s="719"/>
      <c r="AXH160" s="719"/>
      <c r="AXI160" s="719"/>
      <c r="AXJ160" s="719"/>
      <c r="AXK160" s="719"/>
      <c r="AXL160" s="719"/>
      <c r="AXM160" s="719"/>
      <c r="AXN160" s="719"/>
      <c r="AXO160" s="719"/>
      <c r="AXP160" s="719"/>
      <c r="AXQ160" s="719"/>
      <c r="AXR160" s="719"/>
      <c r="AXS160" s="719"/>
      <c r="AXT160" s="719"/>
      <c r="AXU160" s="719"/>
      <c r="AXV160" s="719"/>
      <c r="AXW160" s="719"/>
      <c r="AXX160" s="719"/>
      <c r="AXY160" s="719"/>
      <c r="AXZ160" s="719"/>
      <c r="AYA160" s="719"/>
      <c r="AYB160" s="719"/>
      <c r="AYC160" s="719"/>
      <c r="AYD160" s="719"/>
      <c r="AYE160" s="719"/>
      <c r="AYF160" s="719"/>
      <c r="AYG160" s="719"/>
      <c r="AYH160" s="719"/>
      <c r="AYI160" s="719"/>
      <c r="AYJ160" s="719"/>
      <c r="AYK160" s="719"/>
      <c r="AYL160" s="719"/>
      <c r="AYM160" s="719"/>
      <c r="AYN160" s="719"/>
      <c r="AYO160" s="719"/>
      <c r="AYP160" s="719"/>
      <c r="AYQ160" s="719"/>
      <c r="AYR160" s="719"/>
      <c r="AYS160" s="719"/>
      <c r="AYT160" s="719"/>
      <c r="AYU160" s="719"/>
      <c r="AYV160" s="719"/>
      <c r="AYW160" s="719"/>
      <c r="AYX160" s="719"/>
      <c r="AYY160" s="719"/>
      <c r="AYZ160" s="719"/>
      <c r="AZA160" s="719"/>
      <c r="AZB160" s="719"/>
      <c r="AZC160" s="719"/>
      <c r="AZD160" s="719"/>
      <c r="AZE160" s="719"/>
      <c r="AZF160" s="719"/>
      <c r="AZG160" s="719"/>
      <c r="AZH160" s="719"/>
      <c r="AZI160" s="719"/>
      <c r="AZJ160" s="719"/>
      <c r="AZK160" s="719"/>
      <c r="AZL160" s="719"/>
      <c r="AZM160" s="719"/>
      <c r="AZN160" s="719"/>
      <c r="AZO160" s="719"/>
      <c r="AZP160" s="719"/>
      <c r="AZQ160" s="719"/>
      <c r="AZR160" s="719"/>
      <c r="AZS160" s="719"/>
      <c r="AZT160" s="719"/>
      <c r="AZU160" s="719"/>
      <c r="AZV160" s="719"/>
      <c r="AZW160" s="719"/>
      <c r="AZX160" s="719"/>
      <c r="AZY160" s="719"/>
      <c r="AZZ160" s="719"/>
      <c r="BAA160" s="719"/>
      <c r="BAB160" s="719"/>
      <c r="BAC160" s="719"/>
      <c r="BAD160" s="719"/>
      <c r="BAE160" s="719"/>
      <c r="BAF160" s="719"/>
      <c r="BAG160" s="719"/>
      <c r="BAH160" s="719"/>
      <c r="BAI160" s="719"/>
      <c r="BAJ160" s="719"/>
      <c r="BAK160" s="719"/>
      <c r="BAL160" s="719"/>
      <c r="BAM160" s="719"/>
      <c r="BAN160" s="719"/>
      <c r="BAO160" s="719"/>
      <c r="BAP160" s="719"/>
      <c r="BAQ160" s="719"/>
      <c r="BAR160" s="719"/>
      <c r="BAS160" s="719"/>
      <c r="BAT160" s="719"/>
      <c r="BAU160" s="719"/>
      <c r="BAV160" s="719"/>
      <c r="BAW160" s="719"/>
      <c r="BAX160" s="719"/>
      <c r="BAY160" s="719"/>
      <c r="BAZ160" s="719"/>
      <c r="BBA160" s="719"/>
      <c r="BBB160" s="719"/>
      <c r="BBC160" s="719"/>
      <c r="BBD160" s="719"/>
      <c r="BBE160" s="719"/>
      <c r="BBF160" s="719"/>
      <c r="BBG160" s="719"/>
      <c r="BBH160" s="719"/>
      <c r="BBI160" s="719"/>
      <c r="BBJ160" s="719"/>
      <c r="BBK160" s="719"/>
      <c r="BBL160" s="719"/>
      <c r="BBM160" s="719"/>
      <c r="BBN160" s="719"/>
      <c r="BBO160" s="719"/>
      <c r="BBP160" s="719"/>
      <c r="BBQ160" s="719"/>
      <c r="BBR160" s="719"/>
      <c r="BBS160" s="719"/>
      <c r="BBT160" s="719"/>
      <c r="BBU160" s="719"/>
      <c r="BBV160" s="719"/>
      <c r="BBW160" s="719"/>
      <c r="BBX160" s="719"/>
      <c r="BBY160" s="719"/>
      <c r="BBZ160" s="719"/>
      <c r="BCA160" s="719"/>
      <c r="BCB160" s="719"/>
      <c r="BCC160" s="719"/>
      <c r="BCD160" s="719"/>
      <c r="BCE160" s="719"/>
      <c r="BCF160" s="719"/>
      <c r="BCG160" s="719"/>
      <c r="BCH160" s="719"/>
      <c r="BCI160" s="719"/>
      <c r="BCJ160" s="719"/>
      <c r="BCK160" s="719"/>
      <c r="BCL160" s="719"/>
      <c r="BCM160" s="719"/>
      <c r="BCN160" s="719"/>
      <c r="BCO160" s="719"/>
      <c r="BCP160" s="719"/>
      <c r="BCQ160" s="719"/>
      <c r="BCR160" s="719"/>
      <c r="BCS160" s="719"/>
      <c r="BCT160" s="719"/>
      <c r="BCU160" s="719"/>
      <c r="BCV160" s="719"/>
      <c r="BCW160" s="719"/>
      <c r="BCX160" s="719"/>
      <c r="BCY160" s="719"/>
      <c r="BCZ160" s="719"/>
      <c r="BDA160" s="719"/>
      <c r="BDB160" s="719"/>
      <c r="BDC160" s="719"/>
      <c r="BDD160" s="719"/>
      <c r="BDE160" s="719"/>
      <c r="BDF160" s="719"/>
      <c r="BDG160" s="719"/>
      <c r="BDH160" s="719"/>
      <c r="BDI160" s="719"/>
      <c r="BDJ160" s="719"/>
      <c r="BDK160" s="719"/>
      <c r="BDL160" s="719"/>
      <c r="BDM160" s="719"/>
      <c r="BDN160" s="719"/>
      <c r="BDO160" s="719"/>
      <c r="BDP160" s="719"/>
      <c r="BDQ160" s="719"/>
      <c r="BDR160" s="719"/>
      <c r="BDS160" s="719"/>
      <c r="BDT160" s="719"/>
      <c r="BDU160" s="719"/>
      <c r="BDV160" s="719"/>
      <c r="BDW160" s="719"/>
      <c r="BDX160" s="719"/>
      <c r="BDY160" s="719"/>
      <c r="BDZ160" s="719"/>
      <c r="BEA160" s="719"/>
      <c r="BEB160" s="719"/>
      <c r="BEC160" s="719"/>
      <c r="BED160" s="719"/>
      <c r="BEE160" s="719"/>
      <c r="BEF160" s="719"/>
      <c r="BEG160" s="719"/>
      <c r="BEH160" s="719"/>
      <c r="BEI160" s="719"/>
      <c r="BEJ160" s="719"/>
      <c r="BEK160" s="719"/>
      <c r="BEL160" s="719"/>
      <c r="BEM160" s="719"/>
      <c r="BEN160" s="719"/>
      <c r="BEO160" s="719"/>
      <c r="BEP160" s="719"/>
      <c r="BEQ160" s="719"/>
      <c r="BER160" s="719"/>
      <c r="BES160" s="719"/>
      <c r="BET160" s="719"/>
      <c r="BEU160" s="719"/>
      <c r="BEV160" s="719"/>
      <c r="BEW160" s="719"/>
      <c r="BEX160" s="719"/>
      <c r="BEY160" s="719"/>
      <c r="BEZ160" s="719"/>
      <c r="BFA160" s="719"/>
      <c r="BFB160" s="719"/>
      <c r="BFC160" s="719"/>
      <c r="BFD160" s="719"/>
      <c r="BFE160" s="719"/>
      <c r="BFF160" s="719"/>
      <c r="BFG160" s="719"/>
      <c r="BFH160" s="719"/>
      <c r="BFI160" s="719"/>
      <c r="BFJ160" s="719"/>
      <c r="BFK160" s="719"/>
      <c r="BFL160" s="719"/>
      <c r="BFM160" s="719"/>
      <c r="BFN160" s="719"/>
      <c r="BFO160" s="719"/>
      <c r="BFP160" s="719"/>
      <c r="BFQ160" s="719"/>
      <c r="BFR160" s="719"/>
      <c r="BFS160" s="719"/>
      <c r="BFT160" s="719"/>
      <c r="BFU160" s="719"/>
      <c r="BFV160" s="719"/>
      <c r="BFW160" s="719"/>
      <c r="BFX160" s="719"/>
      <c r="BFY160" s="719"/>
      <c r="BFZ160" s="719"/>
      <c r="BGA160" s="719"/>
      <c r="BGB160" s="719"/>
      <c r="BGC160" s="719"/>
      <c r="BGD160" s="719"/>
      <c r="BGE160" s="719"/>
      <c r="BGF160" s="719"/>
      <c r="BGG160" s="719"/>
      <c r="BGH160" s="719"/>
      <c r="BGI160" s="719"/>
      <c r="BGJ160" s="719"/>
      <c r="BGK160" s="719"/>
      <c r="BGL160" s="719"/>
      <c r="BGM160" s="719"/>
      <c r="BGN160" s="719"/>
      <c r="BGO160" s="719"/>
      <c r="BGP160" s="719"/>
      <c r="BGQ160" s="719"/>
      <c r="BGR160" s="719"/>
      <c r="BGS160" s="719"/>
      <c r="BGT160" s="719"/>
      <c r="BGU160" s="719"/>
      <c r="BGV160" s="719"/>
      <c r="BGW160" s="719"/>
      <c r="BGX160" s="719"/>
      <c r="BGY160" s="719"/>
      <c r="BGZ160" s="719"/>
      <c r="BHA160" s="719"/>
      <c r="BHB160" s="719"/>
      <c r="BHC160" s="719"/>
      <c r="BHD160" s="719"/>
      <c r="BHE160" s="719"/>
      <c r="BHF160" s="719"/>
      <c r="BHG160" s="719"/>
      <c r="BHH160" s="719"/>
      <c r="BHI160" s="719"/>
      <c r="BHJ160" s="719"/>
      <c r="BHK160" s="719"/>
      <c r="BHL160" s="719"/>
      <c r="BHM160" s="719"/>
      <c r="BHN160" s="719"/>
      <c r="BHO160" s="719"/>
      <c r="BHP160" s="719"/>
      <c r="BHQ160" s="719"/>
      <c r="BHR160" s="719"/>
      <c r="BHS160" s="719"/>
      <c r="BHT160" s="719"/>
      <c r="BHU160" s="719"/>
      <c r="BHV160" s="719"/>
      <c r="BHW160" s="719"/>
      <c r="BHX160" s="719"/>
      <c r="BHY160" s="719"/>
      <c r="BHZ160" s="719"/>
      <c r="BIA160" s="719"/>
      <c r="BIB160" s="719"/>
      <c r="BIC160" s="719"/>
      <c r="BID160" s="719"/>
      <c r="BIE160" s="719"/>
      <c r="BIF160" s="719"/>
      <c r="BIG160" s="719"/>
      <c r="BIH160" s="719"/>
      <c r="BII160" s="719"/>
      <c r="BIJ160" s="719"/>
      <c r="BIK160" s="719"/>
      <c r="BIL160" s="719"/>
      <c r="BIM160" s="719"/>
      <c r="BIN160" s="719"/>
      <c r="BIO160" s="719"/>
      <c r="BIP160" s="719"/>
      <c r="BIQ160" s="719"/>
      <c r="BIR160" s="719"/>
      <c r="BIS160" s="719"/>
      <c r="BIT160" s="719"/>
      <c r="BIU160" s="719"/>
      <c r="BIV160" s="719"/>
      <c r="BIW160" s="719"/>
      <c r="BIX160" s="719"/>
      <c r="BIY160" s="719"/>
      <c r="BIZ160" s="719"/>
      <c r="BJA160" s="719"/>
      <c r="BJB160" s="719"/>
      <c r="BJC160" s="719"/>
      <c r="BJD160" s="719"/>
      <c r="BJE160" s="719"/>
      <c r="BJF160" s="719"/>
      <c r="BJG160" s="719"/>
      <c r="BJH160" s="719"/>
      <c r="BJI160" s="719"/>
      <c r="BJJ160" s="719"/>
      <c r="BJK160" s="719"/>
      <c r="BJL160" s="719"/>
      <c r="BJM160" s="719"/>
      <c r="BJN160" s="719"/>
      <c r="BJO160" s="719"/>
      <c r="BJP160" s="719"/>
      <c r="BJQ160" s="719"/>
      <c r="BJR160" s="719"/>
      <c r="BJS160" s="719"/>
      <c r="BJT160" s="719"/>
      <c r="BJU160" s="719"/>
      <c r="BJV160" s="719"/>
      <c r="BJW160" s="719"/>
      <c r="BJX160" s="719"/>
      <c r="BJY160" s="719"/>
      <c r="BJZ160" s="719"/>
      <c r="BKA160" s="719"/>
      <c r="BKB160" s="719"/>
      <c r="BKC160" s="719"/>
      <c r="BKD160" s="719"/>
      <c r="BKE160" s="719"/>
      <c r="BKF160" s="719"/>
      <c r="BKG160" s="719"/>
      <c r="BKH160" s="719"/>
      <c r="BKI160" s="719"/>
      <c r="BKJ160" s="719"/>
      <c r="BKK160" s="719"/>
      <c r="BKL160" s="719"/>
      <c r="BKM160" s="719"/>
      <c r="BKN160" s="719"/>
      <c r="BKO160" s="719"/>
      <c r="BKP160" s="719"/>
      <c r="BKQ160" s="719"/>
      <c r="BKR160" s="719"/>
      <c r="BKS160" s="719"/>
      <c r="BKT160" s="719"/>
      <c r="BKU160" s="719"/>
      <c r="BKV160" s="719"/>
      <c r="BKW160" s="719"/>
      <c r="BKX160" s="719"/>
      <c r="BKY160" s="719"/>
      <c r="BKZ160" s="719"/>
      <c r="BLA160" s="719"/>
      <c r="BLB160" s="719"/>
      <c r="BLC160" s="719"/>
      <c r="BLD160" s="719"/>
      <c r="BLE160" s="719"/>
      <c r="BLF160" s="719"/>
      <c r="BLG160" s="719"/>
      <c r="BLH160" s="719"/>
      <c r="BLI160" s="719"/>
      <c r="BLJ160" s="719"/>
      <c r="BLK160" s="719"/>
      <c r="BLL160" s="719"/>
      <c r="BLM160" s="719"/>
      <c r="BLN160" s="719"/>
      <c r="BLO160" s="719"/>
      <c r="BLP160" s="719"/>
      <c r="BLQ160" s="719"/>
      <c r="BLR160" s="719"/>
      <c r="BLS160" s="719"/>
      <c r="BLT160" s="719"/>
      <c r="BLU160" s="719"/>
      <c r="BLV160" s="719"/>
      <c r="BLW160" s="719"/>
      <c r="BLX160" s="719"/>
      <c r="BLY160" s="719"/>
      <c r="BLZ160" s="719"/>
      <c r="BMA160" s="719"/>
      <c r="BMB160" s="719"/>
      <c r="BMC160" s="719"/>
      <c r="BMD160" s="719"/>
      <c r="BME160" s="719"/>
      <c r="BMF160" s="719"/>
      <c r="BMG160" s="719"/>
      <c r="BMH160" s="719"/>
      <c r="BMI160" s="719"/>
      <c r="BMJ160" s="719"/>
      <c r="BMK160" s="719"/>
      <c r="BML160" s="719"/>
      <c r="BMM160" s="719"/>
      <c r="BMN160" s="719"/>
      <c r="BMO160" s="719"/>
      <c r="BMP160" s="719"/>
      <c r="BMQ160" s="719"/>
      <c r="BMR160" s="719"/>
      <c r="BMS160" s="719"/>
      <c r="BMT160" s="719"/>
      <c r="BMU160" s="719"/>
      <c r="BMV160" s="719"/>
      <c r="BMW160" s="719"/>
      <c r="BMX160" s="719"/>
      <c r="BMY160" s="719"/>
      <c r="BMZ160" s="719"/>
      <c r="BNA160" s="719"/>
      <c r="BNB160" s="719"/>
      <c r="BNC160" s="719"/>
      <c r="BND160" s="719"/>
      <c r="BNE160" s="719"/>
      <c r="BNF160" s="719"/>
      <c r="BNG160" s="719"/>
      <c r="BNH160" s="719"/>
      <c r="BNI160" s="719"/>
      <c r="BNJ160" s="719"/>
      <c r="BNK160" s="719"/>
      <c r="BNL160" s="719"/>
      <c r="BNM160" s="719"/>
      <c r="BNN160" s="719"/>
      <c r="BNO160" s="719"/>
      <c r="BNP160" s="719"/>
      <c r="BNQ160" s="719"/>
      <c r="BNR160" s="719"/>
      <c r="BNS160" s="719"/>
      <c r="BNT160" s="719"/>
      <c r="BNU160" s="719"/>
      <c r="BNV160" s="719"/>
      <c r="BNW160" s="719"/>
      <c r="BNX160" s="719"/>
      <c r="BNY160" s="719"/>
      <c r="BNZ160" s="719"/>
      <c r="BOA160" s="719"/>
      <c r="BOB160" s="719"/>
      <c r="BOC160" s="719"/>
      <c r="BOD160" s="719"/>
      <c r="BOE160" s="719"/>
      <c r="BOF160" s="719"/>
      <c r="BOG160" s="719"/>
      <c r="BOH160" s="719"/>
      <c r="BOI160" s="719"/>
      <c r="BOJ160" s="719"/>
      <c r="BOK160" s="719"/>
      <c r="BOL160" s="719"/>
      <c r="BOM160" s="719"/>
      <c r="BON160" s="719"/>
      <c r="BOO160" s="719"/>
      <c r="BOP160" s="719"/>
      <c r="BOQ160" s="719"/>
      <c r="BOR160" s="719"/>
      <c r="BOS160" s="719"/>
      <c r="BOT160" s="719"/>
      <c r="BOU160" s="719"/>
      <c r="BOV160" s="719"/>
      <c r="BOW160" s="719"/>
      <c r="BOX160" s="719"/>
      <c r="BOY160" s="719"/>
      <c r="BOZ160" s="719"/>
      <c r="BPA160" s="719"/>
      <c r="BPB160" s="719"/>
      <c r="BPC160" s="719"/>
      <c r="BPD160" s="719"/>
      <c r="BPE160" s="719"/>
      <c r="BPF160" s="719"/>
      <c r="BPG160" s="719"/>
      <c r="BPH160" s="719"/>
      <c r="BPI160" s="719"/>
      <c r="BPJ160" s="719"/>
      <c r="BPK160" s="719"/>
      <c r="BPL160" s="719"/>
      <c r="BPM160" s="719"/>
      <c r="BPN160" s="719"/>
      <c r="BPO160" s="719"/>
      <c r="BPP160" s="719"/>
      <c r="BPQ160" s="719"/>
      <c r="BPR160" s="719"/>
      <c r="BPS160" s="719"/>
      <c r="BPT160" s="719"/>
      <c r="BPU160" s="719"/>
      <c r="BPV160" s="719"/>
      <c r="BPW160" s="719"/>
      <c r="BPX160" s="719"/>
      <c r="BPY160" s="719"/>
      <c r="BPZ160" s="719"/>
      <c r="BQA160" s="719"/>
      <c r="BQB160" s="719"/>
      <c r="BQC160" s="719"/>
      <c r="BQD160" s="719"/>
      <c r="BQE160" s="719"/>
      <c r="BQF160" s="719"/>
      <c r="BQG160" s="719"/>
      <c r="BQH160" s="719"/>
      <c r="BQI160" s="719"/>
      <c r="BQJ160" s="719"/>
      <c r="BQK160" s="719"/>
      <c r="BQL160" s="719"/>
      <c r="BQM160" s="719"/>
      <c r="BQN160" s="719"/>
      <c r="BQO160" s="719"/>
      <c r="BQP160" s="719"/>
      <c r="BQQ160" s="719"/>
      <c r="BQR160" s="719"/>
      <c r="BQS160" s="719"/>
      <c r="BQT160" s="719"/>
      <c r="BQU160" s="719"/>
      <c r="BQV160" s="719"/>
      <c r="BQW160" s="719"/>
      <c r="BQX160" s="719"/>
      <c r="BQY160" s="719"/>
      <c r="BQZ160" s="719"/>
      <c r="BRA160" s="719"/>
      <c r="BRB160" s="719"/>
      <c r="BRC160" s="719"/>
      <c r="BRD160" s="719"/>
      <c r="BRE160" s="719"/>
      <c r="BRF160" s="719"/>
      <c r="BRG160" s="719"/>
      <c r="BRH160" s="719"/>
      <c r="BRI160" s="719"/>
      <c r="BRJ160" s="719"/>
      <c r="BRK160" s="719"/>
      <c r="BRL160" s="719"/>
      <c r="BRM160" s="719"/>
      <c r="BRN160" s="719"/>
      <c r="BRO160" s="719"/>
      <c r="BRP160" s="719"/>
      <c r="BRQ160" s="719"/>
      <c r="BRR160" s="719"/>
      <c r="BRS160" s="719"/>
      <c r="BRT160" s="719"/>
      <c r="BRU160" s="719"/>
      <c r="BRV160" s="719"/>
      <c r="BRW160" s="719"/>
      <c r="BRX160" s="719"/>
      <c r="BRY160" s="719"/>
      <c r="BRZ160" s="719"/>
      <c r="BSA160" s="719"/>
      <c r="BSB160" s="719"/>
      <c r="BSC160" s="719"/>
      <c r="BSD160" s="719"/>
      <c r="BSE160" s="719"/>
      <c r="BSF160" s="719"/>
      <c r="BSG160" s="719"/>
      <c r="BSH160" s="719"/>
      <c r="BSI160" s="719"/>
      <c r="BSJ160" s="719"/>
      <c r="BSK160" s="719"/>
      <c r="BSL160" s="719"/>
      <c r="BSM160" s="719"/>
      <c r="BSN160" s="719"/>
      <c r="BSO160" s="719"/>
      <c r="BSP160" s="719"/>
      <c r="BSQ160" s="719"/>
      <c r="BSR160" s="719"/>
      <c r="BSS160" s="719"/>
      <c r="BST160" s="719"/>
      <c r="BSU160" s="719"/>
      <c r="BSV160" s="719"/>
      <c r="BSW160" s="719"/>
      <c r="BSX160" s="719"/>
      <c r="BSY160" s="719"/>
      <c r="BSZ160" s="719"/>
      <c r="BTA160" s="719"/>
      <c r="BTB160" s="719"/>
      <c r="BTC160" s="719"/>
      <c r="BTD160" s="719"/>
      <c r="BTE160" s="719"/>
      <c r="BTF160" s="719"/>
      <c r="BTG160" s="719"/>
      <c r="BTH160" s="719"/>
      <c r="BTI160" s="719"/>
      <c r="BTJ160" s="719"/>
      <c r="BTK160" s="719"/>
      <c r="BTL160" s="719"/>
      <c r="BTM160" s="719"/>
      <c r="BTN160" s="719"/>
      <c r="BTO160" s="719"/>
      <c r="BTP160" s="719"/>
      <c r="BTQ160" s="719"/>
      <c r="BTR160" s="719"/>
      <c r="BTS160" s="719"/>
      <c r="BTT160" s="719"/>
      <c r="BTU160" s="719"/>
      <c r="BTV160" s="719"/>
      <c r="BTW160" s="719"/>
      <c r="BTX160" s="719"/>
      <c r="BTY160" s="719"/>
      <c r="BTZ160" s="719"/>
      <c r="BUA160" s="719"/>
      <c r="BUB160" s="719"/>
      <c r="BUC160" s="719"/>
      <c r="BUD160" s="719"/>
      <c r="BUE160" s="719"/>
      <c r="BUF160" s="719"/>
      <c r="BUG160" s="719"/>
      <c r="BUH160" s="719"/>
      <c r="BUI160" s="719"/>
      <c r="BUJ160" s="719"/>
      <c r="BUK160" s="719"/>
      <c r="BUL160" s="719"/>
      <c r="BUM160" s="719"/>
      <c r="BUN160" s="719"/>
      <c r="BUO160" s="719"/>
      <c r="BUP160" s="719"/>
      <c r="BUQ160" s="719"/>
      <c r="BUR160" s="719"/>
      <c r="BUS160" s="719"/>
      <c r="BUT160" s="719"/>
      <c r="BUU160" s="719"/>
      <c r="BUV160" s="719"/>
      <c r="BUW160" s="719"/>
      <c r="BUX160" s="719"/>
      <c r="BUY160" s="719"/>
      <c r="BUZ160" s="719"/>
      <c r="BVA160" s="719"/>
      <c r="BVB160" s="719"/>
      <c r="BVC160" s="719"/>
      <c r="BVD160" s="719"/>
      <c r="BVE160" s="719"/>
      <c r="BVF160" s="719"/>
      <c r="BVG160" s="719"/>
      <c r="BVH160" s="719"/>
      <c r="BVI160" s="719"/>
      <c r="BVJ160" s="719"/>
      <c r="BVK160" s="719"/>
      <c r="BVL160" s="719"/>
      <c r="BVM160" s="719"/>
      <c r="BVN160" s="719"/>
      <c r="BVO160" s="719"/>
      <c r="BVP160" s="719"/>
      <c r="BVQ160" s="719"/>
      <c r="BVR160" s="719"/>
      <c r="BVS160" s="719"/>
      <c r="BVT160" s="719"/>
      <c r="BVU160" s="719"/>
      <c r="BVV160" s="719"/>
      <c r="BVW160" s="719"/>
      <c r="BVX160" s="719"/>
      <c r="BVY160" s="719"/>
      <c r="BVZ160" s="719"/>
      <c r="BWA160" s="719"/>
      <c r="BWB160" s="719"/>
      <c r="BWC160" s="719"/>
      <c r="BWD160" s="719"/>
      <c r="BWE160" s="719"/>
      <c r="BWF160" s="719"/>
      <c r="BWG160" s="719"/>
      <c r="BWH160" s="719"/>
      <c r="BWI160" s="719"/>
      <c r="BWJ160" s="719"/>
      <c r="BWK160" s="719"/>
      <c r="BWL160" s="719"/>
      <c r="BWM160" s="719"/>
      <c r="BWN160" s="719"/>
      <c r="BWO160" s="719"/>
      <c r="BWP160" s="719"/>
      <c r="BWQ160" s="719"/>
      <c r="BWR160" s="719"/>
      <c r="BWS160" s="719"/>
      <c r="BWT160" s="719"/>
      <c r="BWU160" s="719"/>
      <c r="BWV160" s="719"/>
      <c r="BWW160" s="719"/>
      <c r="BWX160" s="719"/>
      <c r="BWY160" s="719"/>
      <c r="BWZ160" s="719"/>
      <c r="BXA160" s="719"/>
      <c r="BXB160" s="719"/>
      <c r="BXC160" s="719"/>
      <c r="BXD160" s="719"/>
      <c r="BXE160" s="719"/>
      <c r="BXF160" s="719"/>
      <c r="BXG160" s="719"/>
      <c r="BXH160" s="719"/>
      <c r="BXI160" s="719"/>
      <c r="BXJ160" s="719"/>
      <c r="BXK160" s="719"/>
      <c r="BXL160" s="719"/>
      <c r="BXM160" s="719"/>
      <c r="BXN160" s="719"/>
      <c r="BXO160" s="719"/>
      <c r="BXP160" s="719"/>
      <c r="BXQ160" s="719"/>
      <c r="BXR160" s="719"/>
      <c r="BXS160" s="719"/>
      <c r="BXT160" s="719"/>
      <c r="BXU160" s="719"/>
      <c r="BXV160" s="719"/>
      <c r="BXW160" s="719"/>
      <c r="BXX160" s="719"/>
      <c r="BXY160" s="719"/>
      <c r="BXZ160" s="719"/>
      <c r="BYA160" s="719"/>
      <c r="BYB160" s="719"/>
      <c r="BYC160" s="719"/>
      <c r="BYD160" s="719"/>
      <c r="BYE160" s="719"/>
      <c r="BYF160" s="719"/>
      <c r="BYG160" s="719"/>
      <c r="BYH160" s="719"/>
      <c r="BYI160" s="719"/>
      <c r="BYJ160" s="719"/>
      <c r="BYK160" s="719"/>
      <c r="BYL160" s="719"/>
      <c r="BYM160" s="719"/>
      <c r="BYN160" s="719"/>
      <c r="BYO160" s="719"/>
      <c r="BYP160" s="719"/>
      <c r="BYQ160" s="719"/>
      <c r="BYR160" s="719"/>
      <c r="BYS160" s="719"/>
      <c r="BYT160" s="719"/>
      <c r="BYU160" s="719"/>
      <c r="BYV160" s="719"/>
      <c r="BYW160" s="719"/>
      <c r="BYX160" s="719"/>
      <c r="BYY160" s="719"/>
      <c r="BYZ160" s="719"/>
      <c r="BZA160" s="719"/>
      <c r="BZB160" s="719"/>
      <c r="BZC160" s="719"/>
      <c r="BZD160" s="719"/>
      <c r="BZE160" s="719"/>
      <c r="BZF160" s="719"/>
      <c r="BZG160" s="719"/>
      <c r="BZH160" s="719"/>
      <c r="BZI160" s="719"/>
      <c r="BZJ160" s="719"/>
      <c r="BZK160" s="719"/>
      <c r="BZL160" s="719"/>
      <c r="BZM160" s="719"/>
      <c r="BZN160" s="719"/>
      <c r="BZO160" s="719"/>
      <c r="BZP160" s="719"/>
      <c r="BZQ160" s="719"/>
      <c r="BZR160" s="719"/>
      <c r="BZS160" s="719"/>
      <c r="BZT160" s="719"/>
      <c r="BZU160" s="719"/>
      <c r="BZV160" s="719"/>
      <c r="BZW160" s="719"/>
      <c r="BZX160" s="719"/>
      <c r="BZY160" s="719"/>
      <c r="BZZ160" s="719"/>
      <c r="CAA160" s="719"/>
      <c r="CAB160" s="719"/>
      <c r="CAC160" s="719"/>
      <c r="CAD160" s="719"/>
      <c r="CAE160" s="719"/>
      <c r="CAF160" s="719"/>
      <c r="CAG160" s="719"/>
      <c r="CAH160" s="719"/>
      <c r="CAI160" s="719"/>
      <c r="CAJ160" s="719"/>
      <c r="CAK160" s="719"/>
      <c r="CAL160" s="719"/>
      <c r="CAM160" s="719"/>
      <c r="CAN160" s="719"/>
      <c r="CAO160" s="719"/>
      <c r="CAP160" s="719"/>
      <c r="CAQ160" s="719"/>
      <c r="CAR160" s="719"/>
      <c r="CAS160" s="719"/>
      <c r="CAT160" s="719"/>
      <c r="CAU160" s="719"/>
      <c r="CAV160" s="719"/>
      <c r="CAW160" s="719"/>
      <c r="CAX160" s="719"/>
      <c r="CAY160" s="719"/>
      <c r="CAZ160" s="719"/>
      <c r="CBA160" s="719"/>
      <c r="CBB160" s="719"/>
      <c r="CBC160" s="719"/>
      <c r="CBD160" s="719"/>
      <c r="CBE160" s="719"/>
      <c r="CBF160" s="719"/>
      <c r="CBG160" s="719"/>
      <c r="CBH160" s="719"/>
      <c r="CBI160" s="719"/>
      <c r="CBJ160" s="719"/>
      <c r="CBK160" s="719"/>
      <c r="CBL160" s="719"/>
      <c r="CBM160" s="719"/>
      <c r="CBN160" s="719"/>
      <c r="CBO160" s="719"/>
      <c r="CBP160" s="719"/>
      <c r="CBQ160" s="719"/>
      <c r="CBR160" s="719"/>
      <c r="CBS160" s="719"/>
      <c r="CBT160" s="719"/>
      <c r="CBU160" s="719"/>
      <c r="CBV160" s="719"/>
      <c r="CBW160" s="719"/>
      <c r="CBX160" s="719"/>
      <c r="CBY160" s="719"/>
      <c r="CBZ160" s="719"/>
      <c r="CCA160" s="719"/>
      <c r="CCB160" s="719"/>
      <c r="CCC160" s="719"/>
      <c r="CCD160" s="719"/>
      <c r="CCE160" s="719"/>
      <c r="CCF160" s="719"/>
      <c r="CCG160" s="719"/>
      <c r="CCH160" s="719"/>
      <c r="CCI160" s="719"/>
      <c r="CCJ160" s="719"/>
      <c r="CCK160" s="719"/>
      <c r="CCL160" s="719"/>
      <c r="CCM160" s="719"/>
      <c r="CCN160" s="719"/>
      <c r="CCO160" s="719"/>
      <c r="CCP160" s="719"/>
      <c r="CCQ160" s="719"/>
      <c r="CCR160" s="719"/>
      <c r="CCS160" s="719"/>
      <c r="CCT160" s="719"/>
      <c r="CCU160" s="719"/>
      <c r="CCV160" s="719"/>
      <c r="CCW160" s="719"/>
      <c r="CCX160" s="719"/>
      <c r="CCY160" s="719"/>
      <c r="CCZ160" s="719"/>
      <c r="CDA160" s="719"/>
      <c r="CDB160" s="719"/>
      <c r="CDC160" s="719"/>
      <c r="CDD160" s="719"/>
      <c r="CDE160" s="719"/>
      <c r="CDF160" s="719"/>
      <c r="CDG160" s="719"/>
      <c r="CDH160" s="719"/>
      <c r="CDI160" s="719"/>
      <c r="CDJ160" s="719"/>
      <c r="CDK160" s="719"/>
      <c r="CDL160" s="719"/>
      <c r="CDM160" s="719"/>
      <c r="CDN160" s="719"/>
      <c r="CDO160" s="719"/>
      <c r="CDP160" s="719"/>
      <c r="CDQ160" s="719"/>
      <c r="CDR160" s="719"/>
      <c r="CDS160" s="719"/>
      <c r="CDT160" s="719"/>
      <c r="CDU160" s="719"/>
      <c r="CDV160" s="719"/>
      <c r="CDW160" s="719"/>
      <c r="CDX160" s="719"/>
      <c r="CDY160" s="719"/>
      <c r="CDZ160" s="719"/>
      <c r="CEA160" s="719"/>
      <c r="CEB160" s="719"/>
      <c r="CEC160" s="719"/>
      <c r="CED160" s="719"/>
      <c r="CEE160" s="719"/>
      <c r="CEF160" s="719"/>
      <c r="CEG160" s="719"/>
      <c r="CEH160" s="719"/>
      <c r="CEI160" s="719"/>
      <c r="CEJ160" s="719"/>
      <c r="CEK160" s="719"/>
      <c r="CEL160" s="719"/>
      <c r="CEM160" s="719"/>
      <c r="CEN160" s="719"/>
      <c r="CEO160" s="719"/>
      <c r="CEP160" s="719"/>
      <c r="CEQ160" s="719"/>
      <c r="CER160" s="719"/>
      <c r="CES160" s="719"/>
      <c r="CET160" s="719"/>
      <c r="CEU160" s="719"/>
      <c r="CEV160" s="719"/>
      <c r="CEW160" s="719"/>
      <c r="CEX160" s="719"/>
      <c r="CEY160" s="719"/>
      <c r="CEZ160" s="719"/>
      <c r="CFA160" s="719"/>
      <c r="CFB160" s="719"/>
      <c r="CFC160" s="719"/>
      <c r="CFD160" s="719"/>
      <c r="CFE160" s="719"/>
      <c r="CFF160" s="719"/>
      <c r="CFG160" s="719"/>
      <c r="CFH160" s="719"/>
      <c r="CFI160" s="719"/>
      <c r="CFJ160" s="719"/>
      <c r="CFK160" s="719"/>
      <c r="CFL160" s="719"/>
      <c r="CFM160" s="719"/>
      <c r="CFN160" s="719"/>
      <c r="CFO160" s="719"/>
      <c r="CFP160" s="719"/>
      <c r="CFQ160" s="719"/>
      <c r="CFR160" s="719"/>
      <c r="CFS160" s="719"/>
      <c r="CFT160" s="719"/>
      <c r="CFU160" s="719"/>
      <c r="CFV160" s="719"/>
      <c r="CFW160" s="719"/>
      <c r="CFX160" s="719"/>
      <c r="CFY160" s="719"/>
      <c r="CFZ160" s="719"/>
      <c r="CGA160" s="719"/>
      <c r="CGB160" s="719"/>
      <c r="CGC160" s="719"/>
      <c r="CGD160" s="719"/>
      <c r="CGE160" s="719"/>
      <c r="CGF160" s="719"/>
      <c r="CGG160" s="719"/>
      <c r="CGH160" s="719"/>
      <c r="CGI160" s="719"/>
      <c r="CGJ160" s="719"/>
      <c r="CGK160" s="719"/>
      <c r="CGL160" s="719"/>
      <c r="CGM160" s="719"/>
      <c r="CGN160" s="719"/>
      <c r="CGO160" s="719"/>
      <c r="CGP160" s="719"/>
      <c r="CGQ160" s="719"/>
      <c r="CGR160" s="719"/>
      <c r="CGS160" s="719"/>
      <c r="CGT160" s="719"/>
      <c r="CGU160" s="719"/>
      <c r="CGV160" s="719"/>
      <c r="CGW160" s="719"/>
      <c r="CGX160" s="719"/>
      <c r="CGY160" s="719"/>
      <c r="CGZ160" s="719"/>
      <c r="CHA160" s="719"/>
      <c r="CHB160" s="719"/>
      <c r="CHC160" s="719"/>
      <c r="CHD160" s="719"/>
      <c r="CHE160" s="719"/>
      <c r="CHF160" s="719"/>
      <c r="CHG160" s="719"/>
      <c r="CHH160" s="719"/>
      <c r="CHI160" s="719"/>
      <c r="CHJ160" s="719"/>
      <c r="CHK160" s="719"/>
      <c r="CHL160" s="719"/>
      <c r="CHM160" s="719"/>
      <c r="CHN160" s="719"/>
      <c r="CHO160" s="719"/>
      <c r="CHP160" s="719"/>
      <c r="CHQ160" s="719"/>
      <c r="CHR160" s="719"/>
      <c r="CHS160" s="719"/>
      <c r="CHT160" s="719"/>
      <c r="CHU160" s="719"/>
      <c r="CHV160" s="719"/>
      <c r="CHW160" s="719"/>
      <c r="CHX160" s="719"/>
      <c r="CHY160" s="719"/>
      <c r="CHZ160" s="719"/>
      <c r="CIA160" s="719"/>
      <c r="CIB160" s="719"/>
      <c r="CIC160" s="719"/>
      <c r="CID160" s="719"/>
      <c r="CIE160" s="719"/>
      <c r="CIF160" s="719"/>
      <c r="CIG160" s="719"/>
      <c r="CIH160" s="719"/>
      <c r="CII160" s="719"/>
      <c r="CIJ160" s="719"/>
      <c r="CIK160" s="719"/>
      <c r="CIL160" s="719"/>
      <c r="CIM160" s="719"/>
      <c r="CIN160" s="719"/>
      <c r="CIO160" s="719"/>
      <c r="CIP160" s="719"/>
      <c r="CIQ160" s="719"/>
      <c r="CIR160" s="719"/>
      <c r="CIS160" s="719"/>
      <c r="CIT160" s="719"/>
      <c r="CIU160" s="719"/>
      <c r="CIV160" s="719"/>
      <c r="CIW160" s="719"/>
      <c r="CIX160" s="719"/>
      <c r="CIY160" s="719"/>
      <c r="CIZ160" s="719"/>
      <c r="CJA160" s="719"/>
      <c r="CJB160" s="719"/>
      <c r="CJC160" s="719"/>
      <c r="CJD160" s="719"/>
      <c r="CJE160" s="719"/>
      <c r="CJF160" s="719"/>
      <c r="CJG160" s="719"/>
      <c r="CJH160" s="719"/>
      <c r="CJI160" s="719"/>
      <c r="CJJ160" s="719"/>
      <c r="CJK160" s="719"/>
      <c r="CJL160" s="719"/>
      <c r="CJM160" s="719"/>
      <c r="CJN160" s="719"/>
      <c r="CJO160" s="719"/>
      <c r="CJP160" s="719"/>
      <c r="CJQ160" s="719"/>
      <c r="CJR160" s="719"/>
      <c r="CJS160" s="719"/>
      <c r="CJT160" s="719"/>
      <c r="CJU160" s="719"/>
      <c r="CJV160" s="719"/>
      <c r="CJW160" s="719"/>
      <c r="CJX160" s="719"/>
      <c r="CJY160" s="719"/>
      <c r="CJZ160" s="719"/>
      <c r="CKA160" s="719"/>
      <c r="CKB160" s="719"/>
      <c r="CKC160" s="719"/>
      <c r="CKD160" s="719"/>
      <c r="CKE160" s="719"/>
      <c r="CKF160" s="719"/>
      <c r="CKG160" s="719"/>
      <c r="CKH160" s="719"/>
      <c r="CKI160" s="719"/>
      <c r="CKJ160" s="719"/>
      <c r="CKK160" s="719"/>
      <c r="CKL160" s="719"/>
      <c r="CKM160" s="719"/>
      <c r="CKN160" s="719"/>
      <c r="CKO160" s="719"/>
      <c r="CKP160" s="719"/>
      <c r="CKQ160" s="719"/>
      <c r="CKR160" s="719"/>
      <c r="CKS160" s="719"/>
      <c r="CKT160" s="719"/>
      <c r="CKU160" s="719"/>
      <c r="CKV160" s="719"/>
      <c r="CKW160" s="719"/>
      <c r="CKX160" s="719"/>
      <c r="CKY160" s="719"/>
      <c r="CKZ160" s="719"/>
      <c r="CLA160" s="719"/>
      <c r="CLB160" s="719"/>
      <c r="CLC160" s="719"/>
      <c r="CLD160" s="719"/>
      <c r="CLE160" s="719"/>
      <c r="CLF160" s="719"/>
      <c r="CLG160" s="719"/>
      <c r="CLH160" s="719"/>
      <c r="CLI160" s="719"/>
      <c r="CLJ160" s="719"/>
      <c r="CLK160" s="719"/>
      <c r="CLL160" s="719"/>
      <c r="CLM160" s="719"/>
      <c r="CLN160" s="719"/>
      <c r="CLO160" s="719"/>
      <c r="CLP160" s="719"/>
      <c r="CLQ160" s="719"/>
      <c r="CLR160" s="719"/>
      <c r="CLS160" s="719"/>
      <c r="CLT160" s="719"/>
      <c r="CLU160" s="719"/>
      <c r="CLV160" s="719"/>
      <c r="CLW160" s="719"/>
      <c r="CLX160" s="719"/>
      <c r="CLY160" s="719"/>
      <c r="CLZ160" s="719"/>
      <c r="CMA160" s="719"/>
      <c r="CMB160" s="719"/>
      <c r="CMC160" s="719"/>
      <c r="CMD160" s="719"/>
      <c r="CME160" s="719"/>
      <c r="CMF160" s="719"/>
      <c r="CMG160" s="719"/>
      <c r="CMH160" s="719"/>
      <c r="CMI160" s="719"/>
      <c r="CMJ160" s="719"/>
      <c r="CMK160" s="719"/>
      <c r="CML160" s="719"/>
      <c r="CMM160" s="719"/>
      <c r="CMN160" s="719"/>
      <c r="CMO160" s="719"/>
      <c r="CMP160" s="719"/>
      <c r="CMQ160" s="719"/>
      <c r="CMR160" s="719"/>
      <c r="CMS160" s="719"/>
      <c r="CMT160" s="719"/>
      <c r="CMU160" s="719"/>
      <c r="CMV160" s="719"/>
      <c r="CMW160" s="719"/>
      <c r="CMX160" s="719"/>
      <c r="CMY160" s="719"/>
      <c r="CMZ160" s="719"/>
      <c r="CNA160" s="719"/>
      <c r="CNB160" s="719"/>
      <c r="CNC160" s="719"/>
      <c r="CND160" s="719"/>
      <c r="CNE160" s="719"/>
      <c r="CNF160" s="719"/>
      <c r="CNG160" s="719"/>
      <c r="CNH160" s="719"/>
      <c r="CNI160" s="719"/>
      <c r="CNJ160" s="719"/>
      <c r="CNK160" s="719"/>
      <c r="CNL160" s="719"/>
      <c r="CNM160" s="719"/>
      <c r="CNN160" s="719"/>
      <c r="CNO160" s="719"/>
      <c r="CNP160" s="719"/>
      <c r="CNQ160" s="719"/>
      <c r="CNR160" s="719"/>
      <c r="CNS160" s="719"/>
      <c r="CNT160" s="719"/>
      <c r="CNU160" s="719"/>
      <c r="CNV160" s="719"/>
      <c r="CNW160" s="719"/>
      <c r="CNX160" s="719"/>
      <c r="CNY160" s="719"/>
      <c r="CNZ160" s="719"/>
      <c r="COA160" s="719"/>
      <c r="COB160" s="719"/>
      <c r="COC160" s="719"/>
      <c r="COD160" s="719"/>
      <c r="COE160" s="719"/>
      <c r="COF160" s="719"/>
      <c r="COG160" s="719"/>
      <c r="COH160" s="719"/>
      <c r="COI160" s="719"/>
      <c r="COJ160" s="719"/>
      <c r="COK160" s="719"/>
      <c r="COL160" s="719"/>
      <c r="COM160" s="719"/>
      <c r="CON160" s="719"/>
      <c r="COO160" s="719"/>
      <c r="COP160" s="719"/>
      <c r="COQ160" s="719"/>
      <c r="COR160" s="719"/>
      <c r="COS160" s="719"/>
      <c r="COT160" s="719"/>
      <c r="COU160" s="719"/>
      <c r="COV160" s="719"/>
      <c r="COW160" s="719"/>
      <c r="COX160" s="719"/>
      <c r="COY160" s="719"/>
      <c r="COZ160" s="719"/>
      <c r="CPA160" s="719"/>
      <c r="CPB160" s="719"/>
      <c r="CPC160" s="719"/>
      <c r="CPD160" s="719"/>
      <c r="CPE160" s="719"/>
      <c r="CPF160" s="719"/>
      <c r="CPG160" s="719"/>
      <c r="CPH160" s="719"/>
      <c r="CPI160" s="719"/>
      <c r="CPJ160" s="719"/>
      <c r="CPK160" s="719"/>
      <c r="CPL160" s="719"/>
      <c r="CPM160" s="719"/>
      <c r="CPN160" s="719"/>
      <c r="CPO160" s="719"/>
      <c r="CPP160" s="719"/>
      <c r="CPQ160" s="719"/>
      <c r="CPR160" s="719"/>
      <c r="CPS160" s="719"/>
      <c r="CPT160" s="719"/>
      <c r="CPU160" s="719"/>
      <c r="CPV160" s="719"/>
      <c r="CPW160" s="719"/>
      <c r="CPX160" s="719"/>
      <c r="CPY160" s="719"/>
      <c r="CPZ160" s="719"/>
      <c r="CQA160" s="719"/>
      <c r="CQB160" s="719"/>
      <c r="CQC160" s="719"/>
      <c r="CQD160" s="719"/>
      <c r="CQE160" s="719"/>
      <c r="CQF160" s="719"/>
      <c r="CQG160" s="719"/>
      <c r="CQH160" s="719"/>
      <c r="CQI160" s="719"/>
      <c r="CQJ160" s="719"/>
      <c r="CQK160" s="719"/>
      <c r="CQL160" s="719"/>
      <c r="CQM160" s="719"/>
      <c r="CQN160" s="719"/>
      <c r="CQO160" s="719"/>
      <c r="CQP160" s="719"/>
      <c r="CQQ160" s="719"/>
      <c r="CQR160" s="719"/>
      <c r="CQS160" s="719"/>
      <c r="CQT160" s="719"/>
      <c r="CQU160" s="719"/>
      <c r="CQV160" s="719"/>
      <c r="CQW160" s="719"/>
      <c r="CQX160" s="719"/>
      <c r="CQY160" s="719"/>
      <c r="CQZ160" s="719"/>
      <c r="CRA160" s="719"/>
      <c r="CRB160" s="719"/>
      <c r="CRC160" s="719"/>
      <c r="CRD160" s="719"/>
      <c r="CRE160" s="719"/>
      <c r="CRF160" s="719"/>
      <c r="CRG160" s="719"/>
      <c r="CRH160" s="719"/>
      <c r="CRI160" s="719"/>
      <c r="CRJ160" s="719"/>
      <c r="CRK160" s="719"/>
      <c r="CRL160" s="719"/>
      <c r="CRM160" s="719"/>
      <c r="CRN160" s="719"/>
      <c r="CRO160" s="719"/>
      <c r="CRP160" s="719"/>
      <c r="CRQ160" s="719"/>
      <c r="CRR160" s="719"/>
      <c r="CRS160" s="719"/>
      <c r="CRT160" s="719"/>
      <c r="CRU160" s="719"/>
      <c r="CRV160" s="719"/>
      <c r="CRW160" s="719"/>
      <c r="CRX160" s="719"/>
      <c r="CRY160" s="719"/>
      <c r="CRZ160" s="719"/>
      <c r="CSA160" s="719"/>
      <c r="CSB160" s="719"/>
      <c r="CSC160" s="719"/>
      <c r="CSD160" s="719"/>
      <c r="CSE160" s="719"/>
      <c r="CSF160" s="719"/>
      <c r="CSG160" s="719"/>
      <c r="CSH160" s="719"/>
      <c r="CSI160" s="719"/>
      <c r="CSJ160" s="719"/>
      <c r="CSK160" s="719"/>
      <c r="CSL160" s="719"/>
      <c r="CSM160" s="719"/>
      <c r="CSN160" s="719"/>
      <c r="CSO160" s="719"/>
      <c r="CSP160" s="719"/>
      <c r="CSQ160" s="719"/>
      <c r="CSR160" s="719"/>
      <c r="CSS160" s="719"/>
      <c r="CST160" s="719"/>
      <c r="CSU160" s="719"/>
      <c r="CSV160" s="719"/>
      <c r="CSW160" s="719"/>
      <c r="CSX160" s="719"/>
      <c r="CSY160" s="719"/>
      <c r="CSZ160" s="719"/>
      <c r="CTA160" s="719"/>
      <c r="CTB160" s="719"/>
      <c r="CTC160" s="719"/>
      <c r="CTD160" s="719"/>
      <c r="CTE160" s="719"/>
      <c r="CTF160" s="719"/>
      <c r="CTG160" s="719"/>
      <c r="CTH160" s="719"/>
      <c r="CTI160" s="719"/>
      <c r="CTJ160" s="719"/>
      <c r="CTK160" s="719"/>
      <c r="CTL160" s="719"/>
      <c r="CTM160" s="719"/>
      <c r="CTN160" s="719"/>
      <c r="CTO160" s="719"/>
      <c r="CTP160" s="719"/>
      <c r="CTQ160" s="719"/>
      <c r="CTR160" s="719"/>
      <c r="CTS160" s="719"/>
      <c r="CTT160" s="719"/>
      <c r="CTU160" s="719"/>
      <c r="CTV160" s="719"/>
      <c r="CTW160" s="719"/>
      <c r="CTX160" s="719"/>
      <c r="CTY160" s="719"/>
      <c r="CTZ160" s="719"/>
      <c r="CUA160" s="719"/>
      <c r="CUB160" s="719"/>
      <c r="CUC160" s="719"/>
      <c r="CUD160" s="719"/>
      <c r="CUE160" s="719"/>
      <c r="CUF160" s="719"/>
      <c r="CUG160" s="719"/>
      <c r="CUH160" s="719"/>
      <c r="CUI160" s="719"/>
      <c r="CUJ160" s="719"/>
      <c r="CUK160" s="719"/>
      <c r="CUL160" s="719"/>
      <c r="CUM160" s="719"/>
      <c r="CUN160" s="719"/>
      <c r="CUO160" s="719"/>
      <c r="CUP160" s="719"/>
      <c r="CUQ160" s="719"/>
      <c r="CUR160" s="719"/>
      <c r="CUS160" s="719"/>
      <c r="CUT160" s="719"/>
      <c r="CUU160" s="719"/>
      <c r="CUV160" s="719"/>
      <c r="CUW160" s="719"/>
      <c r="CUX160" s="719"/>
      <c r="CUY160" s="719"/>
      <c r="CUZ160" s="719"/>
      <c r="CVA160" s="719"/>
      <c r="CVB160" s="719"/>
      <c r="CVC160" s="719"/>
      <c r="CVD160" s="719"/>
      <c r="CVE160" s="719"/>
      <c r="CVF160" s="719"/>
      <c r="CVG160" s="719"/>
      <c r="CVH160" s="719"/>
      <c r="CVI160" s="719"/>
      <c r="CVJ160" s="719"/>
      <c r="CVK160" s="719"/>
      <c r="CVL160" s="719"/>
      <c r="CVM160" s="719"/>
      <c r="CVN160" s="719"/>
      <c r="CVO160" s="719"/>
      <c r="CVP160" s="719"/>
      <c r="CVQ160" s="719"/>
      <c r="CVR160" s="719"/>
      <c r="CVS160" s="719"/>
      <c r="CVT160" s="719"/>
      <c r="CVU160" s="719"/>
      <c r="CVV160" s="719"/>
      <c r="CVW160" s="719"/>
      <c r="CVX160" s="719"/>
      <c r="CVY160" s="719"/>
      <c r="CVZ160" s="719"/>
      <c r="CWA160" s="719"/>
      <c r="CWB160" s="719"/>
      <c r="CWC160" s="719"/>
      <c r="CWD160" s="719"/>
      <c r="CWE160" s="719"/>
      <c r="CWF160" s="719"/>
      <c r="CWG160" s="719"/>
      <c r="CWH160" s="719"/>
      <c r="CWI160" s="719"/>
      <c r="CWJ160" s="719"/>
      <c r="CWK160" s="719"/>
      <c r="CWL160" s="719"/>
      <c r="CWM160" s="719"/>
      <c r="CWN160" s="719"/>
      <c r="CWO160" s="719"/>
      <c r="CWP160" s="719"/>
      <c r="CWQ160" s="719"/>
      <c r="CWR160" s="719"/>
      <c r="CWS160" s="719"/>
      <c r="CWT160" s="719"/>
      <c r="CWU160" s="719"/>
      <c r="CWV160" s="719"/>
      <c r="CWW160" s="719"/>
      <c r="CWX160" s="719"/>
      <c r="CWY160" s="719"/>
      <c r="CWZ160" s="719"/>
      <c r="CXA160" s="719"/>
      <c r="CXB160" s="719"/>
      <c r="CXC160" s="719"/>
      <c r="CXD160" s="719"/>
      <c r="CXE160" s="719"/>
      <c r="CXF160" s="719"/>
      <c r="CXG160" s="719"/>
      <c r="CXH160" s="719"/>
      <c r="CXI160" s="719"/>
      <c r="CXJ160" s="719"/>
      <c r="CXK160" s="719"/>
      <c r="CXL160" s="719"/>
      <c r="CXM160" s="719"/>
      <c r="CXN160" s="719"/>
      <c r="CXO160" s="719"/>
      <c r="CXP160" s="719"/>
      <c r="CXQ160" s="719"/>
      <c r="CXR160" s="719"/>
      <c r="CXS160" s="719"/>
      <c r="CXT160" s="719"/>
      <c r="CXU160" s="719"/>
      <c r="CXV160" s="719"/>
      <c r="CXW160" s="719"/>
      <c r="CXX160" s="719"/>
      <c r="CXY160" s="719"/>
      <c r="CXZ160" s="719"/>
      <c r="CYA160" s="719"/>
      <c r="CYB160" s="719"/>
      <c r="CYC160" s="719"/>
      <c r="CYD160" s="719"/>
      <c r="CYE160" s="719"/>
      <c r="CYF160" s="719"/>
      <c r="CYG160" s="719"/>
      <c r="CYH160" s="719"/>
      <c r="CYI160" s="719"/>
      <c r="CYJ160" s="719"/>
      <c r="CYK160" s="719"/>
      <c r="CYL160" s="719"/>
      <c r="CYM160" s="719"/>
      <c r="CYN160" s="719"/>
      <c r="CYO160" s="719"/>
      <c r="CYP160" s="719"/>
      <c r="CYQ160" s="719"/>
      <c r="CYR160" s="719"/>
      <c r="CYS160" s="719"/>
      <c r="CYT160" s="719"/>
      <c r="CYU160" s="719"/>
      <c r="CYV160" s="719"/>
      <c r="CYW160" s="719"/>
      <c r="CYX160" s="719"/>
      <c r="CYY160" s="719"/>
      <c r="CYZ160" s="719"/>
      <c r="CZA160" s="719"/>
      <c r="CZB160" s="719"/>
      <c r="CZC160" s="719"/>
      <c r="CZD160" s="719"/>
      <c r="CZE160" s="719"/>
      <c r="CZF160" s="719"/>
      <c r="CZG160" s="719"/>
      <c r="CZH160" s="719"/>
      <c r="CZI160" s="719"/>
      <c r="CZJ160" s="719"/>
      <c r="CZK160" s="719"/>
      <c r="CZL160" s="719"/>
      <c r="CZM160" s="719"/>
      <c r="CZN160" s="719"/>
      <c r="CZO160" s="719"/>
      <c r="CZP160" s="719"/>
      <c r="CZQ160" s="719"/>
      <c r="CZR160" s="719"/>
      <c r="CZS160" s="719"/>
      <c r="CZT160" s="719"/>
      <c r="CZU160" s="719"/>
      <c r="CZV160" s="719"/>
      <c r="CZW160" s="719"/>
      <c r="CZX160" s="719"/>
      <c r="CZY160" s="719"/>
      <c r="CZZ160" s="719"/>
      <c r="DAA160" s="719"/>
      <c r="DAB160" s="719"/>
      <c r="DAC160" s="719"/>
      <c r="DAD160" s="719"/>
      <c r="DAE160" s="719"/>
      <c r="DAF160" s="719"/>
      <c r="DAG160" s="719"/>
      <c r="DAH160" s="719"/>
      <c r="DAI160" s="719"/>
      <c r="DAJ160" s="719"/>
      <c r="DAK160" s="719"/>
      <c r="DAL160" s="719"/>
      <c r="DAM160" s="719"/>
      <c r="DAN160" s="719"/>
      <c r="DAO160" s="719"/>
      <c r="DAP160" s="719"/>
      <c r="DAQ160" s="719"/>
      <c r="DAR160" s="719"/>
      <c r="DAS160" s="719"/>
      <c r="DAT160" s="719"/>
      <c r="DAU160" s="719"/>
      <c r="DAV160" s="719"/>
      <c r="DAW160" s="719"/>
      <c r="DAX160" s="719"/>
      <c r="DAY160" s="719"/>
      <c r="DAZ160" s="719"/>
      <c r="DBA160" s="719"/>
      <c r="DBB160" s="719"/>
      <c r="DBC160" s="719"/>
      <c r="DBD160" s="719"/>
      <c r="DBE160" s="719"/>
      <c r="DBF160" s="719"/>
      <c r="DBG160" s="719"/>
      <c r="DBH160" s="719"/>
      <c r="DBI160" s="719"/>
      <c r="DBJ160" s="719"/>
      <c r="DBK160" s="719"/>
      <c r="DBL160" s="719"/>
      <c r="DBM160" s="719"/>
      <c r="DBN160" s="719"/>
      <c r="DBO160" s="719"/>
      <c r="DBP160" s="719"/>
      <c r="DBQ160" s="719"/>
      <c r="DBR160" s="719"/>
      <c r="DBS160" s="719"/>
      <c r="DBT160" s="719"/>
      <c r="DBU160" s="719"/>
      <c r="DBV160" s="719"/>
      <c r="DBW160" s="719"/>
      <c r="DBX160" s="719"/>
      <c r="DBY160" s="719"/>
      <c r="DBZ160" s="719"/>
      <c r="DCA160" s="719"/>
      <c r="DCB160" s="719"/>
      <c r="DCC160" s="719"/>
      <c r="DCD160" s="719"/>
      <c r="DCE160" s="719"/>
      <c r="DCF160" s="719"/>
      <c r="DCG160" s="719"/>
      <c r="DCH160" s="719"/>
      <c r="DCI160" s="719"/>
      <c r="DCJ160" s="719"/>
      <c r="DCK160" s="719"/>
      <c r="DCL160" s="719"/>
      <c r="DCM160" s="719"/>
      <c r="DCN160" s="719"/>
      <c r="DCO160" s="719"/>
      <c r="DCP160" s="719"/>
      <c r="DCQ160" s="719"/>
      <c r="DCR160" s="719"/>
      <c r="DCS160" s="719"/>
      <c r="DCT160" s="719"/>
      <c r="DCU160" s="719"/>
      <c r="DCV160" s="719"/>
      <c r="DCW160" s="719"/>
      <c r="DCX160" s="719"/>
      <c r="DCY160" s="719"/>
      <c r="DCZ160" s="719"/>
      <c r="DDA160" s="719"/>
      <c r="DDB160" s="719"/>
      <c r="DDC160" s="719"/>
      <c r="DDD160" s="719"/>
      <c r="DDE160" s="719"/>
      <c r="DDF160" s="719"/>
      <c r="DDG160" s="719"/>
      <c r="DDH160" s="719"/>
      <c r="DDI160" s="719"/>
      <c r="DDJ160" s="719"/>
      <c r="DDK160" s="719"/>
      <c r="DDL160" s="719"/>
      <c r="DDM160" s="719"/>
      <c r="DDN160" s="719"/>
      <c r="DDO160" s="719"/>
      <c r="DDP160" s="719"/>
      <c r="DDQ160" s="719"/>
      <c r="DDR160" s="719"/>
      <c r="DDS160" s="719"/>
      <c r="DDT160" s="719"/>
      <c r="DDU160" s="719"/>
      <c r="DDV160" s="719"/>
      <c r="DDW160" s="719"/>
      <c r="DDX160" s="719"/>
      <c r="DDY160" s="719"/>
      <c r="DDZ160" s="719"/>
      <c r="DEA160" s="719"/>
      <c r="DEB160" s="719"/>
      <c r="DEC160" s="719"/>
      <c r="DED160" s="719"/>
      <c r="DEE160" s="719"/>
      <c r="DEF160" s="719"/>
      <c r="DEG160" s="719"/>
      <c r="DEH160" s="719"/>
      <c r="DEI160" s="719"/>
      <c r="DEJ160" s="719"/>
      <c r="DEK160" s="719"/>
      <c r="DEL160" s="719"/>
      <c r="DEM160" s="719"/>
      <c r="DEN160" s="719"/>
      <c r="DEO160" s="719"/>
      <c r="DEP160" s="719"/>
      <c r="DEQ160" s="719"/>
      <c r="DER160" s="719"/>
      <c r="DES160" s="719"/>
      <c r="DET160" s="719"/>
      <c r="DEU160" s="719"/>
      <c r="DEV160" s="719"/>
      <c r="DEW160" s="719"/>
      <c r="DEX160" s="719"/>
      <c r="DEY160" s="719"/>
      <c r="DEZ160" s="719"/>
      <c r="DFA160" s="719"/>
      <c r="DFB160" s="719"/>
      <c r="DFC160" s="719"/>
      <c r="DFD160" s="719"/>
      <c r="DFE160" s="719"/>
      <c r="DFF160" s="719"/>
      <c r="DFG160" s="719"/>
      <c r="DFH160" s="719"/>
      <c r="DFI160" s="719"/>
      <c r="DFJ160" s="719"/>
      <c r="DFK160" s="719"/>
      <c r="DFL160" s="719"/>
      <c r="DFM160" s="719"/>
      <c r="DFN160" s="719"/>
      <c r="DFO160" s="719"/>
      <c r="DFP160" s="719"/>
      <c r="DFQ160" s="719"/>
      <c r="DFR160" s="719"/>
      <c r="DFS160" s="719"/>
      <c r="DFT160" s="719"/>
      <c r="DFU160" s="719"/>
      <c r="DFV160" s="719"/>
      <c r="DFW160" s="719"/>
      <c r="DFX160" s="719"/>
      <c r="DFY160" s="719"/>
      <c r="DFZ160" s="719"/>
      <c r="DGA160" s="719"/>
      <c r="DGB160" s="719"/>
      <c r="DGC160" s="719"/>
      <c r="DGD160" s="719"/>
      <c r="DGE160" s="719"/>
      <c r="DGF160" s="719"/>
      <c r="DGG160" s="719"/>
      <c r="DGH160" s="719"/>
      <c r="DGI160" s="719"/>
      <c r="DGJ160" s="719"/>
      <c r="DGK160" s="719"/>
      <c r="DGL160" s="719"/>
      <c r="DGM160" s="719"/>
      <c r="DGN160" s="719"/>
      <c r="DGO160" s="719"/>
      <c r="DGP160" s="719"/>
      <c r="DGQ160" s="719"/>
      <c r="DGR160" s="719"/>
      <c r="DGS160" s="719"/>
      <c r="DGT160" s="719"/>
      <c r="DGU160" s="719"/>
      <c r="DGV160" s="719"/>
      <c r="DGW160" s="719"/>
      <c r="DGX160" s="719"/>
      <c r="DGY160" s="719"/>
      <c r="DGZ160" s="719"/>
      <c r="DHA160" s="719"/>
      <c r="DHB160" s="719"/>
      <c r="DHC160" s="719"/>
      <c r="DHD160" s="719"/>
      <c r="DHE160" s="719"/>
      <c r="DHF160" s="719"/>
      <c r="DHG160" s="719"/>
      <c r="DHH160" s="719"/>
      <c r="DHI160" s="719"/>
      <c r="DHJ160" s="719"/>
      <c r="DHK160" s="719"/>
      <c r="DHL160" s="719"/>
      <c r="DHM160" s="719"/>
      <c r="DHN160" s="719"/>
      <c r="DHO160" s="719"/>
      <c r="DHP160" s="719"/>
      <c r="DHQ160" s="719"/>
      <c r="DHR160" s="719"/>
      <c r="DHS160" s="719"/>
      <c r="DHT160" s="719"/>
      <c r="DHU160" s="719"/>
      <c r="DHV160" s="719"/>
      <c r="DHW160" s="719"/>
      <c r="DHX160" s="719"/>
      <c r="DHY160" s="719"/>
      <c r="DHZ160" s="719"/>
      <c r="DIA160" s="719"/>
      <c r="DIB160" s="719"/>
      <c r="DIC160" s="719"/>
      <c r="DID160" s="719"/>
      <c r="DIE160" s="719"/>
      <c r="DIF160" s="719"/>
      <c r="DIG160" s="719"/>
      <c r="DIH160" s="719"/>
      <c r="DII160" s="719"/>
      <c r="DIJ160" s="719"/>
      <c r="DIK160" s="719"/>
      <c r="DIL160" s="719"/>
      <c r="DIM160" s="719"/>
      <c r="DIN160" s="719"/>
      <c r="DIO160" s="719"/>
      <c r="DIP160" s="719"/>
      <c r="DIQ160" s="719"/>
      <c r="DIR160" s="719"/>
      <c r="DIS160" s="719"/>
      <c r="DIT160" s="719"/>
      <c r="DIU160" s="719"/>
      <c r="DIV160" s="719"/>
      <c r="DIW160" s="719"/>
      <c r="DIX160" s="719"/>
      <c r="DIY160" s="719"/>
      <c r="DIZ160" s="719"/>
      <c r="DJA160" s="719"/>
      <c r="DJB160" s="719"/>
      <c r="DJC160" s="719"/>
      <c r="DJD160" s="719"/>
      <c r="DJE160" s="719"/>
      <c r="DJF160" s="719"/>
      <c r="DJG160" s="719"/>
      <c r="DJH160" s="719"/>
      <c r="DJI160" s="719"/>
      <c r="DJJ160" s="719"/>
      <c r="DJK160" s="719"/>
      <c r="DJL160" s="719"/>
      <c r="DJM160" s="719"/>
      <c r="DJN160" s="719"/>
      <c r="DJO160" s="719"/>
      <c r="DJP160" s="719"/>
      <c r="DJQ160" s="719"/>
      <c r="DJR160" s="719"/>
      <c r="DJS160" s="719"/>
      <c r="DJT160" s="719"/>
      <c r="DJU160" s="719"/>
      <c r="DJV160" s="719"/>
      <c r="DJW160" s="719"/>
      <c r="DJX160" s="719"/>
      <c r="DJY160" s="719"/>
      <c r="DJZ160" s="719"/>
      <c r="DKA160" s="719"/>
      <c r="DKB160" s="719"/>
      <c r="DKC160" s="719"/>
      <c r="DKD160" s="719"/>
      <c r="DKE160" s="719"/>
      <c r="DKF160" s="719"/>
      <c r="DKG160" s="719"/>
      <c r="DKH160" s="719"/>
      <c r="DKI160" s="719"/>
      <c r="DKJ160" s="719"/>
      <c r="DKK160" s="719"/>
      <c r="DKL160" s="719"/>
      <c r="DKM160" s="719"/>
      <c r="DKN160" s="719"/>
      <c r="DKO160" s="719"/>
      <c r="DKP160" s="719"/>
      <c r="DKQ160" s="719"/>
      <c r="DKR160" s="719"/>
      <c r="DKS160" s="719"/>
      <c r="DKT160" s="719"/>
      <c r="DKU160" s="719"/>
      <c r="DKV160" s="719"/>
      <c r="DKW160" s="719"/>
      <c r="DKX160" s="719"/>
      <c r="DKY160" s="719"/>
      <c r="DKZ160" s="719"/>
      <c r="DLA160" s="719"/>
      <c r="DLB160" s="719"/>
      <c r="DLC160" s="719"/>
      <c r="DLD160" s="719"/>
      <c r="DLE160" s="719"/>
      <c r="DLF160" s="719"/>
      <c r="DLG160" s="719"/>
      <c r="DLH160" s="719"/>
      <c r="DLI160" s="719"/>
      <c r="DLJ160" s="719"/>
      <c r="DLK160" s="719"/>
      <c r="DLL160" s="719"/>
      <c r="DLM160" s="719"/>
      <c r="DLN160" s="719"/>
      <c r="DLO160" s="719"/>
      <c r="DLP160" s="719"/>
      <c r="DLQ160" s="719"/>
      <c r="DLR160" s="719"/>
      <c r="DLS160" s="719"/>
      <c r="DLT160" s="719"/>
      <c r="DLU160" s="719"/>
      <c r="DLV160" s="719"/>
      <c r="DLW160" s="719"/>
      <c r="DLX160" s="719"/>
      <c r="DLY160" s="719"/>
      <c r="DLZ160" s="719"/>
      <c r="DMA160" s="719"/>
      <c r="DMB160" s="719"/>
      <c r="DMC160" s="719"/>
      <c r="DMD160" s="719"/>
      <c r="DME160" s="719"/>
      <c r="DMF160" s="719"/>
      <c r="DMG160" s="719"/>
      <c r="DMH160" s="719"/>
      <c r="DMI160" s="719"/>
      <c r="DMJ160" s="719"/>
      <c r="DMK160" s="719"/>
      <c r="DML160" s="719"/>
      <c r="DMM160" s="719"/>
      <c r="DMN160" s="719"/>
      <c r="DMO160" s="719"/>
      <c r="DMP160" s="719"/>
      <c r="DMQ160" s="719"/>
      <c r="DMR160" s="719"/>
      <c r="DMS160" s="719"/>
      <c r="DMT160" s="719"/>
      <c r="DMU160" s="719"/>
      <c r="DMV160" s="719"/>
      <c r="DMW160" s="719"/>
      <c r="DMX160" s="719"/>
      <c r="DMY160" s="719"/>
      <c r="DMZ160" s="719"/>
      <c r="DNA160" s="719"/>
      <c r="DNB160" s="719"/>
      <c r="DNC160" s="719"/>
      <c r="DND160" s="719"/>
      <c r="DNE160" s="719"/>
      <c r="DNF160" s="719"/>
      <c r="DNG160" s="719"/>
      <c r="DNH160" s="719"/>
      <c r="DNI160" s="719"/>
      <c r="DNJ160" s="719"/>
      <c r="DNK160" s="719"/>
      <c r="DNL160" s="719"/>
      <c r="DNM160" s="719"/>
      <c r="DNN160" s="719"/>
      <c r="DNO160" s="719"/>
      <c r="DNP160" s="719"/>
      <c r="DNQ160" s="719"/>
      <c r="DNR160" s="719"/>
      <c r="DNS160" s="719"/>
      <c r="DNT160" s="719"/>
      <c r="DNU160" s="719"/>
      <c r="DNV160" s="719"/>
      <c r="DNW160" s="719"/>
      <c r="DNX160" s="719"/>
      <c r="DNY160" s="719"/>
      <c r="DNZ160" s="719"/>
      <c r="DOA160" s="719"/>
      <c r="DOB160" s="719"/>
      <c r="DOC160" s="719"/>
      <c r="DOD160" s="719"/>
      <c r="DOE160" s="719"/>
      <c r="DOF160" s="719"/>
      <c r="DOG160" s="719"/>
      <c r="DOH160" s="719"/>
      <c r="DOI160" s="719"/>
      <c r="DOJ160" s="719"/>
      <c r="DOK160" s="719"/>
      <c r="DOL160" s="719"/>
      <c r="DOM160" s="719"/>
      <c r="DON160" s="719"/>
      <c r="DOO160" s="719"/>
      <c r="DOP160" s="719"/>
      <c r="DOQ160" s="719"/>
      <c r="DOR160" s="719"/>
      <c r="DOS160" s="719"/>
      <c r="DOT160" s="719"/>
      <c r="DOU160" s="719"/>
      <c r="DOV160" s="719"/>
      <c r="DOW160" s="719"/>
      <c r="DOX160" s="719"/>
      <c r="DOY160" s="719"/>
      <c r="DOZ160" s="719"/>
      <c r="DPA160" s="719"/>
      <c r="DPB160" s="719"/>
      <c r="DPC160" s="719"/>
      <c r="DPD160" s="719"/>
      <c r="DPE160" s="719"/>
      <c r="DPF160" s="719"/>
      <c r="DPG160" s="719"/>
      <c r="DPH160" s="719"/>
      <c r="DPI160" s="719"/>
      <c r="DPJ160" s="719"/>
      <c r="DPK160" s="719"/>
      <c r="DPL160" s="719"/>
      <c r="DPM160" s="719"/>
      <c r="DPN160" s="719"/>
      <c r="DPO160" s="719"/>
      <c r="DPP160" s="719"/>
      <c r="DPQ160" s="719"/>
      <c r="DPR160" s="719"/>
      <c r="DPS160" s="719"/>
      <c r="DPT160" s="719"/>
      <c r="DPU160" s="719"/>
      <c r="DPV160" s="719"/>
      <c r="DPW160" s="719"/>
      <c r="DPX160" s="719"/>
      <c r="DPY160" s="719"/>
      <c r="DPZ160" s="719"/>
      <c r="DQA160" s="719"/>
      <c r="DQB160" s="719"/>
      <c r="DQC160" s="719"/>
      <c r="DQD160" s="719"/>
      <c r="DQE160" s="719"/>
      <c r="DQF160" s="719"/>
      <c r="DQG160" s="719"/>
      <c r="DQH160" s="719"/>
      <c r="DQI160" s="719"/>
      <c r="DQJ160" s="719"/>
      <c r="DQK160" s="719"/>
      <c r="DQL160" s="719"/>
      <c r="DQM160" s="719"/>
      <c r="DQN160" s="719"/>
      <c r="DQO160" s="719"/>
      <c r="DQP160" s="719"/>
      <c r="DQQ160" s="719"/>
      <c r="DQR160" s="719"/>
      <c r="DQS160" s="719"/>
      <c r="DQT160" s="719"/>
      <c r="DQU160" s="719"/>
      <c r="DQV160" s="719"/>
      <c r="DQW160" s="719"/>
      <c r="DQX160" s="719"/>
      <c r="DQY160" s="719"/>
      <c r="DQZ160" s="719"/>
      <c r="DRA160" s="719"/>
      <c r="DRB160" s="719"/>
      <c r="DRC160" s="719"/>
      <c r="DRD160" s="719"/>
      <c r="DRE160" s="719"/>
      <c r="DRF160" s="719"/>
      <c r="DRG160" s="719"/>
      <c r="DRH160" s="719"/>
      <c r="DRI160" s="719"/>
      <c r="DRJ160" s="719"/>
      <c r="DRK160" s="719"/>
      <c r="DRL160" s="719"/>
      <c r="DRM160" s="719"/>
      <c r="DRN160" s="719"/>
      <c r="DRO160" s="719"/>
      <c r="DRP160" s="719"/>
      <c r="DRQ160" s="719"/>
      <c r="DRR160" s="719"/>
      <c r="DRS160" s="719"/>
      <c r="DRT160" s="719"/>
      <c r="DRU160" s="719"/>
      <c r="DRV160" s="719"/>
      <c r="DRW160" s="719"/>
      <c r="DRX160" s="719"/>
      <c r="DRY160" s="719"/>
      <c r="DRZ160" s="719"/>
      <c r="DSA160" s="719"/>
      <c r="DSB160" s="719"/>
      <c r="DSC160" s="719"/>
      <c r="DSD160" s="719"/>
      <c r="DSE160" s="719"/>
      <c r="DSF160" s="719"/>
      <c r="DSG160" s="719"/>
      <c r="DSH160" s="719"/>
      <c r="DSI160" s="719"/>
      <c r="DSJ160" s="719"/>
      <c r="DSK160" s="719"/>
      <c r="DSL160" s="719"/>
      <c r="DSM160" s="719"/>
      <c r="DSN160" s="719"/>
      <c r="DSO160" s="719"/>
      <c r="DSP160" s="719"/>
      <c r="DSQ160" s="719"/>
      <c r="DSR160" s="719"/>
      <c r="DSS160" s="719"/>
      <c r="DST160" s="719"/>
      <c r="DSU160" s="719"/>
      <c r="DSV160" s="719"/>
      <c r="DSW160" s="719"/>
      <c r="DSX160" s="719"/>
      <c r="DSY160" s="719"/>
      <c r="DSZ160" s="719"/>
      <c r="DTA160" s="719"/>
      <c r="DTB160" s="719"/>
      <c r="DTC160" s="719"/>
      <c r="DTD160" s="719"/>
      <c r="DTE160" s="719"/>
      <c r="DTF160" s="719"/>
      <c r="DTG160" s="719"/>
      <c r="DTH160" s="719"/>
      <c r="DTI160" s="719"/>
      <c r="DTJ160" s="719"/>
      <c r="DTK160" s="719"/>
      <c r="DTL160" s="719"/>
      <c r="DTM160" s="719"/>
      <c r="DTN160" s="719"/>
      <c r="DTO160" s="719"/>
      <c r="DTP160" s="719"/>
      <c r="DTQ160" s="719"/>
      <c r="DTR160" s="719"/>
      <c r="DTS160" s="719"/>
      <c r="DTT160" s="719"/>
      <c r="DTU160" s="719"/>
      <c r="DTV160" s="719"/>
      <c r="DTW160" s="719"/>
      <c r="DTX160" s="719"/>
      <c r="DTY160" s="719"/>
      <c r="DTZ160" s="719"/>
      <c r="DUA160" s="719"/>
      <c r="DUB160" s="719"/>
      <c r="DUC160" s="719"/>
      <c r="DUD160" s="719"/>
      <c r="DUE160" s="719"/>
      <c r="DUF160" s="719"/>
      <c r="DUG160" s="719"/>
      <c r="DUH160" s="719"/>
      <c r="DUI160" s="719"/>
      <c r="DUJ160" s="719"/>
      <c r="DUK160" s="719"/>
      <c r="DUL160" s="719"/>
      <c r="DUM160" s="719"/>
      <c r="DUN160" s="719"/>
      <c r="DUO160" s="719"/>
      <c r="DUP160" s="719"/>
      <c r="DUQ160" s="719"/>
      <c r="DUR160" s="719"/>
      <c r="DUS160" s="719"/>
      <c r="DUT160" s="719"/>
      <c r="DUU160" s="719"/>
      <c r="DUV160" s="719"/>
      <c r="DUW160" s="719"/>
      <c r="DUX160" s="719"/>
      <c r="DUY160" s="719"/>
      <c r="DUZ160" s="719"/>
      <c r="DVA160" s="719"/>
      <c r="DVB160" s="719"/>
      <c r="DVC160" s="719"/>
      <c r="DVD160" s="719"/>
      <c r="DVE160" s="719"/>
      <c r="DVF160" s="719"/>
      <c r="DVG160" s="719"/>
      <c r="DVH160" s="719"/>
      <c r="DVI160" s="719"/>
      <c r="DVJ160" s="719"/>
      <c r="DVK160" s="719"/>
      <c r="DVL160" s="719"/>
      <c r="DVM160" s="719"/>
      <c r="DVN160" s="719"/>
      <c r="DVO160" s="719"/>
      <c r="DVP160" s="719"/>
      <c r="DVQ160" s="719"/>
      <c r="DVR160" s="719"/>
      <c r="DVS160" s="719"/>
      <c r="DVT160" s="719"/>
      <c r="DVU160" s="719"/>
      <c r="DVV160" s="719"/>
      <c r="DVW160" s="719"/>
      <c r="DVX160" s="719"/>
      <c r="DVY160" s="719"/>
      <c r="DVZ160" s="719"/>
      <c r="DWA160" s="719"/>
      <c r="DWB160" s="719"/>
      <c r="DWC160" s="719"/>
      <c r="DWD160" s="719"/>
      <c r="DWE160" s="719"/>
      <c r="DWF160" s="719"/>
      <c r="DWG160" s="719"/>
      <c r="DWH160" s="719"/>
      <c r="DWI160" s="719"/>
      <c r="DWJ160" s="719"/>
      <c r="DWK160" s="719"/>
      <c r="DWL160" s="719"/>
      <c r="DWM160" s="719"/>
      <c r="DWN160" s="719"/>
      <c r="DWO160" s="719"/>
      <c r="DWP160" s="719"/>
      <c r="DWQ160" s="719"/>
      <c r="DWR160" s="719"/>
      <c r="DWS160" s="719"/>
      <c r="DWT160" s="719"/>
      <c r="DWU160" s="719"/>
      <c r="DWV160" s="719"/>
      <c r="DWW160" s="719"/>
      <c r="DWX160" s="719"/>
      <c r="DWY160" s="719"/>
      <c r="DWZ160" s="719"/>
      <c r="DXA160" s="719"/>
      <c r="DXB160" s="719"/>
      <c r="DXC160" s="719"/>
      <c r="DXD160" s="719"/>
      <c r="DXE160" s="719"/>
      <c r="DXF160" s="719"/>
      <c r="DXG160" s="719"/>
      <c r="DXH160" s="719"/>
      <c r="DXI160" s="719"/>
      <c r="DXJ160" s="719"/>
      <c r="DXK160" s="719"/>
      <c r="DXL160" s="719"/>
      <c r="DXM160" s="719"/>
      <c r="DXN160" s="719"/>
      <c r="DXO160" s="719"/>
      <c r="DXP160" s="719"/>
      <c r="DXQ160" s="719"/>
      <c r="DXR160" s="719"/>
      <c r="DXS160" s="719"/>
      <c r="DXT160" s="719"/>
      <c r="DXU160" s="719"/>
      <c r="DXV160" s="719"/>
      <c r="DXW160" s="719"/>
      <c r="DXX160" s="719"/>
      <c r="DXY160" s="719"/>
      <c r="DXZ160" s="719"/>
      <c r="DYA160" s="719"/>
      <c r="DYB160" s="719"/>
      <c r="DYC160" s="719"/>
      <c r="DYD160" s="719"/>
      <c r="DYE160" s="719"/>
      <c r="DYF160" s="719"/>
      <c r="DYG160" s="719"/>
      <c r="DYH160" s="719"/>
      <c r="DYI160" s="719"/>
      <c r="DYJ160" s="719"/>
      <c r="DYK160" s="719"/>
      <c r="DYL160" s="719"/>
      <c r="DYM160" s="719"/>
      <c r="DYN160" s="719"/>
      <c r="DYO160" s="719"/>
      <c r="DYP160" s="719"/>
      <c r="DYQ160" s="719"/>
      <c r="DYR160" s="719"/>
      <c r="DYS160" s="719"/>
      <c r="DYT160" s="719"/>
      <c r="DYU160" s="719"/>
      <c r="DYV160" s="719"/>
      <c r="DYW160" s="719"/>
      <c r="DYX160" s="719"/>
      <c r="DYY160" s="719"/>
      <c r="DYZ160" s="719"/>
      <c r="DZA160" s="719"/>
      <c r="DZB160" s="719"/>
      <c r="DZC160" s="719"/>
      <c r="DZD160" s="719"/>
      <c r="DZE160" s="719"/>
      <c r="DZF160" s="719"/>
      <c r="DZG160" s="719"/>
      <c r="DZH160" s="719"/>
      <c r="DZI160" s="719"/>
      <c r="DZJ160" s="719"/>
      <c r="DZK160" s="719"/>
      <c r="DZL160" s="719"/>
      <c r="DZM160" s="719"/>
      <c r="DZN160" s="719"/>
      <c r="DZO160" s="719"/>
      <c r="DZP160" s="719"/>
      <c r="DZQ160" s="719"/>
      <c r="DZR160" s="719"/>
      <c r="DZS160" s="719"/>
      <c r="DZT160" s="719"/>
      <c r="DZU160" s="719"/>
      <c r="DZV160" s="719"/>
      <c r="DZW160" s="719"/>
      <c r="DZX160" s="719"/>
      <c r="DZY160" s="719"/>
      <c r="DZZ160" s="719"/>
      <c r="EAA160" s="719"/>
      <c r="EAB160" s="719"/>
      <c r="EAC160" s="719"/>
      <c r="EAD160" s="719"/>
      <c r="EAE160" s="719"/>
      <c r="EAF160" s="719"/>
      <c r="EAG160" s="719"/>
      <c r="EAH160" s="719"/>
      <c r="EAI160" s="719"/>
      <c r="EAJ160" s="719"/>
      <c r="EAK160" s="719"/>
      <c r="EAL160" s="719"/>
      <c r="EAM160" s="719"/>
      <c r="EAN160" s="719"/>
      <c r="EAO160" s="719"/>
      <c r="EAP160" s="719"/>
      <c r="EAQ160" s="719"/>
      <c r="EAR160" s="719"/>
      <c r="EAS160" s="719"/>
      <c r="EAT160" s="719"/>
      <c r="EAU160" s="719"/>
      <c r="EAV160" s="719"/>
      <c r="EAW160" s="719"/>
      <c r="EAX160" s="719"/>
      <c r="EAY160" s="719"/>
      <c r="EAZ160" s="719"/>
      <c r="EBA160" s="719"/>
      <c r="EBB160" s="719"/>
      <c r="EBC160" s="719"/>
      <c r="EBD160" s="719"/>
      <c r="EBE160" s="719"/>
      <c r="EBF160" s="719"/>
      <c r="EBG160" s="719"/>
      <c r="EBH160" s="719"/>
      <c r="EBI160" s="719"/>
      <c r="EBJ160" s="719"/>
      <c r="EBK160" s="719"/>
      <c r="EBL160" s="719"/>
      <c r="EBM160" s="719"/>
      <c r="EBN160" s="719"/>
      <c r="EBO160" s="719"/>
      <c r="EBP160" s="719"/>
      <c r="EBQ160" s="719"/>
      <c r="EBR160" s="719"/>
      <c r="EBS160" s="719"/>
      <c r="EBT160" s="719"/>
      <c r="EBU160" s="719"/>
      <c r="EBV160" s="719"/>
      <c r="EBW160" s="719"/>
      <c r="EBX160" s="719"/>
      <c r="EBY160" s="719"/>
      <c r="EBZ160" s="719"/>
      <c r="ECA160" s="719"/>
      <c r="ECB160" s="719"/>
      <c r="ECC160" s="719"/>
      <c r="ECD160" s="719"/>
      <c r="ECE160" s="719"/>
      <c r="ECF160" s="719"/>
      <c r="ECG160" s="719"/>
      <c r="ECH160" s="719"/>
      <c r="ECI160" s="719"/>
      <c r="ECJ160" s="719"/>
      <c r="ECK160" s="719"/>
      <c r="ECL160" s="719"/>
      <c r="ECM160" s="719"/>
      <c r="ECN160" s="719"/>
      <c r="ECO160" s="719"/>
      <c r="ECP160" s="719"/>
      <c r="ECQ160" s="719"/>
      <c r="ECR160" s="719"/>
      <c r="ECS160" s="719"/>
      <c r="ECT160" s="719"/>
      <c r="ECU160" s="719"/>
      <c r="ECV160" s="719"/>
      <c r="ECW160" s="719"/>
      <c r="ECX160" s="719"/>
      <c r="ECY160" s="719"/>
      <c r="ECZ160" s="719"/>
      <c r="EDA160" s="719"/>
      <c r="EDB160" s="719"/>
      <c r="EDC160" s="719"/>
      <c r="EDD160" s="719"/>
      <c r="EDE160" s="719"/>
      <c r="EDF160" s="719"/>
      <c r="EDG160" s="719"/>
      <c r="EDH160" s="719"/>
      <c r="EDI160" s="719"/>
      <c r="EDJ160" s="719"/>
      <c r="EDK160" s="719"/>
      <c r="EDL160" s="719"/>
      <c r="EDM160" s="719"/>
      <c r="EDN160" s="719"/>
      <c r="EDO160" s="719"/>
      <c r="EDP160" s="719"/>
      <c r="EDQ160" s="719"/>
      <c r="EDR160" s="719"/>
      <c r="EDS160" s="719"/>
      <c r="EDT160" s="719"/>
      <c r="EDU160" s="719"/>
      <c r="EDV160" s="719"/>
      <c r="EDW160" s="719"/>
      <c r="EDX160" s="719"/>
      <c r="EDY160" s="719"/>
      <c r="EDZ160" s="719"/>
      <c r="EEA160" s="719"/>
      <c r="EEB160" s="719"/>
      <c r="EEC160" s="719"/>
      <c r="EED160" s="719"/>
      <c r="EEE160" s="719"/>
      <c r="EEF160" s="719"/>
      <c r="EEG160" s="719"/>
      <c r="EEH160" s="719"/>
      <c r="EEI160" s="719"/>
      <c r="EEJ160" s="719"/>
      <c r="EEK160" s="719"/>
      <c r="EEL160" s="719"/>
      <c r="EEM160" s="719"/>
      <c r="EEN160" s="719"/>
      <c r="EEO160" s="719"/>
      <c r="EEP160" s="719"/>
      <c r="EEQ160" s="719"/>
      <c r="EER160" s="719"/>
      <c r="EES160" s="719"/>
      <c r="EET160" s="719"/>
      <c r="EEU160" s="719"/>
      <c r="EEV160" s="719"/>
      <c r="EEW160" s="719"/>
      <c r="EEX160" s="719"/>
      <c r="EEY160" s="719"/>
      <c r="EEZ160" s="719"/>
      <c r="EFA160" s="719"/>
      <c r="EFB160" s="719"/>
      <c r="EFC160" s="719"/>
      <c r="EFD160" s="719"/>
      <c r="EFE160" s="719"/>
      <c r="EFF160" s="719"/>
      <c r="EFG160" s="719"/>
      <c r="EFH160" s="719"/>
      <c r="EFI160" s="719"/>
      <c r="EFJ160" s="719"/>
      <c r="EFK160" s="719"/>
      <c r="EFL160" s="719"/>
      <c r="EFM160" s="719"/>
      <c r="EFN160" s="719"/>
      <c r="EFO160" s="719"/>
      <c r="EFP160" s="719"/>
      <c r="EFQ160" s="719"/>
      <c r="EFR160" s="719"/>
      <c r="EFS160" s="719"/>
      <c r="EFT160" s="719"/>
      <c r="EFU160" s="719"/>
      <c r="EFV160" s="719"/>
      <c r="EFW160" s="719"/>
      <c r="EFX160" s="719"/>
      <c r="EFY160" s="719"/>
      <c r="EFZ160" s="719"/>
      <c r="EGA160" s="719"/>
      <c r="EGB160" s="719"/>
      <c r="EGC160" s="719"/>
      <c r="EGD160" s="719"/>
      <c r="EGE160" s="719"/>
      <c r="EGF160" s="719"/>
      <c r="EGG160" s="719"/>
      <c r="EGH160" s="719"/>
      <c r="EGI160" s="719"/>
      <c r="EGJ160" s="719"/>
      <c r="EGK160" s="719"/>
      <c r="EGL160" s="719"/>
      <c r="EGM160" s="719"/>
      <c r="EGN160" s="719"/>
      <c r="EGO160" s="719"/>
      <c r="EGP160" s="719"/>
      <c r="EGQ160" s="719"/>
      <c r="EGR160" s="719"/>
      <c r="EGS160" s="719"/>
      <c r="EGT160" s="719"/>
      <c r="EGU160" s="719"/>
      <c r="EGV160" s="719"/>
      <c r="EGW160" s="719"/>
      <c r="EGX160" s="719"/>
      <c r="EGY160" s="719"/>
      <c r="EGZ160" s="719"/>
      <c r="EHA160" s="719"/>
      <c r="EHB160" s="719"/>
      <c r="EHC160" s="719"/>
      <c r="EHD160" s="719"/>
      <c r="EHE160" s="719"/>
      <c r="EHF160" s="719"/>
      <c r="EHG160" s="719"/>
      <c r="EHH160" s="719"/>
      <c r="EHI160" s="719"/>
      <c r="EHJ160" s="719"/>
      <c r="EHK160" s="719"/>
      <c r="EHL160" s="719"/>
      <c r="EHM160" s="719"/>
      <c r="EHN160" s="719"/>
      <c r="EHO160" s="719"/>
      <c r="EHP160" s="719"/>
      <c r="EHQ160" s="719"/>
      <c r="EHR160" s="719"/>
      <c r="EHS160" s="719"/>
      <c r="EHT160" s="719"/>
      <c r="EHU160" s="719"/>
      <c r="EHV160" s="719"/>
      <c r="EHW160" s="719"/>
      <c r="EHX160" s="719"/>
      <c r="EHY160" s="719"/>
      <c r="EHZ160" s="719"/>
      <c r="EIA160" s="719"/>
      <c r="EIB160" s="719"/>
      <c r="EIC160" s="719"/>
      <c r="EID160" s="719"/>
      <c r="EIE160" s="719"/>
      <c r="EIF160" s="719"/>
      <c r="EIG160" s="719"/>
      <c r="EIH160" s="719"/>
      <c r="EII160" s="719"/>
      <c r="EIJ160" s="719"/>
      <c r="EIK160" s="719"/>
      <c r="EIL160" s="719"/>
      <c r="EIM160" s="719"/>
      <c r="EIN160" s="719"/>
      <c r="EIO160" s="719"/>
      <c r="EIP160" s="719"/>
      <c r="EIQ160" s="719"/>
      <c r="EIR160" s="719"/>
      <c r="EIS160" s="719"/>
      <c r="EIT160" s="719"/>
      <c r="EIU160" s="719"/>
      <c r="EIV160" s="719"/>
      <c r="EIW160" s="719"/>
      <c r="EIX160" s="719"/>
      <c r="EIY160" s="719"/>
      <c r="EIZ160" s="719"/>
      <c r="EJA160" s="719"/>
      <c r="EJB160" s="719"/>
      <c r="EJC160" s="719"/>
      <c r="EJD160" s="719"/>
      <c r="EJE160" s="719"/>
      <c r="EJF160" s="719"/>
      <c r="EJG160" s="719"/>
      <c r="EJH160" s="719"/>
      <c r="EJI160" s="719"/>
      <c r="EJJ160" s="719"/>
      <c r="EJK160" s="719"/>
      <c r="EJL160" s="719"/>
      <c r="EJM160" s="719"/>
      <c r="EJN160" s="719"/>
      <c r="EJO160" s="719"/>
      <c r="EJP160" s="719"/>
      <c r="EJQ160" s="719"/>
      <c r="EJR160" s="719"/>
      <c r="EJS160" s="719"/>
      <c r="EJT160" s="719"/>
      <c r="EJU160" s="719"/>
      <c r="EJV160" s="719"/>
      <c r="EJW160" s="719"/>
      <c r="EJX160" s="719"/>
      <c r="EJY160" s="719"/>
      <c r="EJZ160" s="719"/>
      <c r="EKA160" s="719"/>
      <c r="EKB160" s="719"/>
      <c r="EKC160" s="719"/>
      <c r="EKD160" s="719"/>
      <c r="EKE160" s="719"/>
      <c r="EKF160" s="719"/>
      <c r="EKG160" s="719"/>
      <c r="EKH160" s="719"/>
      <c r="EKI160" s="719"/>
      <c r="EKJ160" s="719"/>
      <c r="EKK160" s="719"/>
      <c r="EKL160" s="719"/>
      <c r="EKM160" s="719"/>
      <c r="EKN160" s="719"/>
      <c r="EKO160" s="719"/>
      <c r="EKP160" s="719"/>
      <c r="EKQ160" s="719"/>
      <c r="EKR160" s="719"/>
      <c r="EKS160" s="719"/>
      <c r="EKT160" s="719"/>
      <c r="EKU160" s="719"/>
      <c r="EKV160" s="719"/>
      <c r="EKW160" s="719"/>
      <c r="EKX160" s="719"/>
      <c r="EKY160" s="719"/>
      <c r="EKZ160" s="719"/>
      <c r="ELA160" s="719"/>
      <c r="ELB160" s="719"/>
      <c r="ELC160" s="719"/>
      <c r="ELD160" s="719"/>
      <c r="ELE160" s="719"/>
      <c r="ELF160" s="719"/>
      <c r="ELG160" s="719"/>
      <c r="ELH160" s="719"/>
      <c r="ELI160" s="719"/>
      <c r="ELJ160" s="719"/>
      <c r="ELK160" s="719"/>
      <c r="ELL160" s="719"/>
      <c r="ELM160" s="719"/>
      <c r="ELN160" s="719"/>
      <c r="ELO160" s="719"/>
      <c r="ELP160" s="719"/>
      <c r="ELQ160" s="719"/>
      <c r="ELR160" s="719"/>
      <c r="ELS160" s="719"/>
      <c r="ELT160" s="719"/>
      <c r="ELU160" s="719"/>
      <c r="ELV160" s="719"/>
      <c r="ELW160" s="719"/>
      <c r="ELX160" s="719"/>
      <c r="ELY160" s="719"/>
      <c r="ELZ160" s="719"/>
      <c r="EMA160" s="719"/>
      <c r="EMB160" s="719"/>
      <c r="EMC160" s="719"/>
      <c r="EMD160" s="719"/>
      <c r="EME160" s="719"/>
      <c r="EMF160" s="719"/>
      <c r="EMG160" s="719"/>
      <c r="EMH160" s="719"/>
      <c r="EMI160" s="719"/>
      <c r="EMJ160" s="719"/>
      <c r="EMK160" s="719"/>
      <c r="EML160" s="719"/>
      <c r="EMM160" s="719"/>
      <c r="EMN160" s="719"/>
      <c r="EMO160" s="719"/>
      <c r="EMP160" s="719"/>
      <c r="EMQ160" s="719"/>
      <c r="EMR160" s="719"/>
      <c r="EMS160" s="719"/>
      <c r="EMT160" s="719"/>
      <c r="EMU160" s="719"/>
      <c r="EMV160" s="719"/>
      <c r="EMW160" s="719"/>
      <c r="EMX160" s="719"/>
      <c r="EMY160" s="719"/>
      <c r="EMZ160" s="719"/>
      <c r="ENA160" s="719"/>
      <c r="ENB160" s="719"/>
      <c r="ENC160" s="719"/>
      <c r="END160" s="719"/>
      <c r="ENE160" s="719"/>
      <c r="ENF160" s="719"/>
      <c r="ENG160" s="719"/>
      <c r="ENH160" s="719"/>
      <c r="ENI160" s="719"/>
      <c r="ENJ160" s="719"/>
      <c r="ENK160" s="719"/>
      <c r="ENL160" s="719"/>
      <c r="ENM160" s="719"/>
      <c r="ENN160" s="719"/>
      <c r="ENO160" s="719"/>
      <c r="ENP160" s="719"/>
      <c r="ENQ160" s="719"/>
      <c r="ENR160" s="719"/>
      <c r="ENS160" s="719"/>
      <c r="ENT160" s="719"/>
      <c r="ENU160" s="719"/>
      <c r="ENV160" s="719"/>
      <c r="ENW160" s="719"/>
      <c r="ENX160" s="719"/>
      <c r="ENY160" s="719"/>
      <c r="ENZ160" s="719"/>
      <c r="EOA160" s="719"/>
      <c r="EOB160" s="719"/>
      <c r="EOC160" s="719"/>
      <c r="EOD160" s="719"/>
      <c r="EOE160" s="719"/>
      <c r="EOF160" s="719"/>
      <c r="EOG160" s="719"/>
      <c r="EOH160" s="719"/>
      <c r="EOI160" s="719"/>
      <c r="EOJ160" s="719"/>
      <c r="EOK160" s="719"/>
      <c r="EOL160" s="719"/>
      <c r="EOM160" s="719"/>
      <c r="EON160" s="719"/>
      <c r="EOO160" s="719"/>
      <c r="EOP160" s="719"/>
      <c r="EOQ160" s="719"/>
      <c r="EOR160" s="719"/>
      <c r="EOS160" s="719"/>
      <c r="EOT160" s="719"/>
      <c r="EOU160" s="719"/>
      <c r="EOV160" s="719"/>
      <c r="EOW160" s="719"/>
      <c r="EOX160" s="719"/>
      <c r="EOY160" s="719"/>
      <c r="EOZ160" s="719"/>
      <c r="EPA160" s="719"/>
      <c r="EPB160" s="719"/>
      <c r="EPC160" s="719"/>
      <c r="EPD160" s="719"/>
      <c r="EPE160" s="719"/>
      <c r="EPF160" s="719"/>
      <c r="EPG160" s="719"/>
      <c r="EPH160" s="719"/>
      <c r="EPI160" s="719"/>
      <c r="EPJ160" s="719"/>
      <c r="EPK160" s="719"/>
      <c r="EPL160" s="719"/>
      <c r="EPM160" s="719"/>
      <c r="EPN160" s="719"/>
      <c r="EPO160" s="719"/>
      <c r="EPP160" s="719"/>
      <c r="EPQ160" s="719"/>
      <c r="EPR160" s="719"/>
      <c r="EPS160" s="719"/>
      <c r="EPT160" s="719"/>
      <c r="EPU160" s="719"/>
      <c r="EPV160" s="719"/>
      <c r="EPW160" s="719"/>
      <c r="EPX160" s="719"/>
      <c r="EPY160" s="719"/>
      <c r="EPZ160" s="719"/>
      <c r="EQA160" s="719"/>
      <c r="EQB160" s="719"/>
      <c r="EQC160" s="719"/>
      <c r="EQD160" s="719"/>
      <c r="EQE160" s="719"/>
      <c r="EQF160" s="719"/>
      <c r="EQG160" s="719"/>
      <c r="EQH160" s="719"/>
      <c r="EQI160" s="719"/>
      <c r="EQJ160" s="719"/>
      <c r="EQK160" s="719"/>
      <c r="EQL160" s="719"/>
      <c r="EQM160" s="719"/>
      <c r="EQN160" s="719"/>
      <c r="EQO160" s="719"/>
      <c r="EQP160" s="719"/>
      <c r="EQQ160" s="719"/>
      <c r="EQR160" s="719"/>
      <c r="EQS160" s="719"/>
      <c r="EQT160" s="719"/>
      <c r="EQU160" s="719"/>
      <c r="EQV160" s="719"/>
      <c r="EQW160" s="719"/>
      <c r="EQX160" s="719"/>
      <c r="EQY160" s="719"/>
      <c r="EQZ160" s="719"/>
      <c r="ERA160" s="719"/>
      <c r="ERB160" s="719"/>
      <c r="ERC160" s="719"/>
      <c r="ERD160" s="719"/>
      <c r="ERE160" s="719"/>
      <c r="ERF160" s="719"/>
      <c r="ERG160" s="719"/>
      <c r="ERH160" s="719"/>
      <c r="ERI160" s="719"/>
      <c r="ERJ160" s="719"/>
      <c r="ERK160" s="719"/>
      <c r="ERL160" s="719"/>
      <c r="ERM160" s="719"/>
      <c r="ERN160" s="719"/>
      <c r="ERO160" s="719"/>
      <c r="ERP160" s="719"/>
      <c r="ERQ160" s="719"/>
      <c r="ERR160" s="719"/>
      <c r="ERS160" s="719"/>
      <c r="ERT160" s="719"/>
      <c r="ERU160" s="719"/>
      <c r="ERV160" s="719"/>
      <c r="ERW160" s="719"/>
      <c r="ERX160" s="719"/>
      <c r="ERY160" s="719"/>
      <c r="ERZ160" s="719"/>
      <c r="ESA160" s="719"/>
      <c r="ESB160" s="719"/>
      <c r="ESC160" s="719"/>
      <c r="ESD160" s="719"/>
      <c r="ESE160" s="719"/>
      <c r="ESF160" s="719"/>
      <c r="ESG160" s="719"/>
      <c r="ESH160" s="719"/>
      <c r="ESI160" s="719"/>
      <c r="ESJ160" s="719"/>
      <c r="ESK160" s="719"/>
      <c r="ESL160" s="719"/>
      <c r="ESM160" s="719"/>
      <c r="ESN160" s="719"/>
      <c r="ESO160" s="719"/>
      <c r="ESP160" s="719"/>
      <c r="ESQ160" s="719"/>
      <c r="ESR160" s="719"/>
      <c r="ESS160" s="719"/>
      <c r="EST160" s="719"/>
      <c r="ESU160" s="719"/>
      <c r="ESV160" s="719"/>
      <c r="ESW160" s="719"/>
      <c r="ESX160" s="719"/>
      <c r="ESY160" s="719"/>
      <c r="ESZ160" s="719"/>
      <c r="ETA160" s="719"/>
      <c r="ETB160" s="719"/>
      <c r="ETC160" s="719"/>
      <c r="ETD160" s="719"/>
      <c r="ETE160" s="719"/>
      <c r="ETF160" s="719"/>
      <c r="ETG160" s="719"/>
      <c r="ETH160" s="719"/>
      <c r="ETI160" s="719"/>
      <c r="ETJ160" s="719"/>
      <c r="ETK160" s="719"/>
      <c r="ETL160" s="719"/>
      <c r="ETM160" s="719"/>
      <c r="ETN160" s="719"/>
      <c r="ETO160" s="719"/>
      <c r="ETP160" s="719"/>
      <c r="ETQ160" s="719"/>
      <c r="ETR160" s="719"/>
      <c r="ETS160" s="719"/>
      <c r="ETT160" s="719"/>
      <c r="ETU160" s="719"/>
      <c r="ETV160" s="719"/>
      <c r="ETW160" s="719"/>
      <c r="ETX160" s="719"/>
      <c r="ETY160" s="719"/>
      <c r="ETZ160" s="719"/>
      <c r="EUA160" s="719"/>
      <c r="EUB160" s="719"/>
      <c r="EUC160" s="719"/>
      <c r="EUD160" s="719"/>
      <c r="EUE160" s="719"/>
      <c r="EUF160" s="719"/>
      <c r="EUG160" s="719"/>
      <c r="EUH160" s="719"/>
      <c r="EUI160" s="719"/>
      <c r="EUJ160" s="719"/>
      <c r="EUK160" s="719"/>
      <c r="EUL160" s="719"/>
      <c r="EUM160" s="719"/>
      <c r="EUN160" s="719"/>
      <c r="EUO160" s="719"/>
      <c r="EUP160" s="719"/>
      <c r="EUQ160" s="719"/>
      <c r="EUR160" s="719"/>
      <c r="EUS160" s="719"/>
      <c r="EUT160" s="719"/>
      <c r="EUU160" s="719"/>
      <c r="EUV160" s="719"/>
      <c r="EUW160" s="719"/>
      <c r="EUX160" s="719"/>
      <c r="EUY160" s="719"/>
      <c r="EUZ160" s="719"/>
      <c r="EVA160" s="719"/>
      <c r="EVB160" s="719"/>
      <c r="EVC160" s="719"/>
      <c r="EVD160" s="719"/>
      <c r="EVE160" s="719"/>
      <c r="EVF160" s="719"/>
      <c r="EVG160" s="719"/>
      <c r="EVH160" s="719"/>
      <c r="EVI160" s="719"/>
      <c r="EVJ160" s="719"/>
      <c r="EVK160" s="719"/>
      <c r="EVL160" s="719"/>
      <c r="EVM160" s="719"/>
      <c r="EVN160" s="719"/>
      <c r="EVO160" s="719"/>
      <c r="EVP160" s="719"/>
      <c r="EVQ160" s="719"/>
      <c r="EVR160" s="719"/>
      <c r="EVS160" s="719"/>
      <c r="EVT160" s="719"/>
      <c r="EVU160" s="719"/>
      <c r="EVV160" s="719"/>
      <c r="EVW160" s="719"/>
      <c r="EVX160" s="719"/>
      <c r="EVY160" s="719"/>
      <c r="EVZ160" s="719"/>
      <c r="EWA160" s="719"/>
      <c r="EWB160" s="719"/>
      <c r="EWC160" s="719"/>
      <c r="EWD160" s="719"/>
      <c r="EWE160" s="719"/>
      <c r="EWF160" s="719"/>
      <c r="EWG160" s="719"/>
      <c r="EWH160" s="719"/>
      <c r="EWI160" s="719"/>
      <c r="EWJ160" s="719"/>
      <c r="EWK160" s="719"/>
      <c r="EWL160" s="719"/>
      <c r="EWM160" s="719"/>
      <c r="EWN160" s="719"/>
      <c r="EWO160" s="719"/>
      <c r="EWP160" s="719"/>
      <c r="EWQ160" s="719"/>
      <c r="EWR160" s="719"/>
      <c r="EWS160" s="719"/>
      <c r="EWT160" s="719"/>
      <c r="EWU160" s="719"/>
      <c r="EWV160" s="719"/>
      <c r="EWW160" s="719"/>
      <c r="EWX160" s="719"/>
      <c r="EWY160" s="719"/>
      <c r="EWZ160" s="719"/>
      <c r="EXA160" s="719"/>
      <c r="EXB160" s="719"/>
      <c r="EXC160" s="719"/>
      <c r="EXD160" s="719"/>
      <c r="EXE160" s="719"/>
      <c r="EXF160" s="719"/>
      <c r="EXG160" s="719"/>
      <c r="EXH160" s="719"/>
      <c r="EXI160" s="719"/>
      <c r="EXJ160" s="719"/>
      <c r="EXK160" s="719"/>
      <c r="EXL160" s="719"/>
      <c r="EXM160" s="719"/>
      <c r="EXN160" s="719"/>
      <c r="EXO160" s="719"/>
      <c r="EXP160" s="719"/>
      <c r="EXQ160" s="719"/>
      <c r="EXR160" s="719"/>
      <c r="EXS160" s="719"/>
      <c r="EXT160" s="719"/>
      <c r="EXU160" s="719"/>
      <c r="EXV160" s="719"/>
      <c r="EXW160" s="719"/>
      <c r="EXX160" s="719"/>
      <c r="EXY160" s="719"/>
      <c r="EXZ160" s="719"/>
      <c r="EYA160" s="719"/>
      <c r="EYB160" s="719"/>
      <c r="EYC160" s="719"/>
      <c r="EYD160" s="719"/>
      <c r="EYE160" s="719"/>
      <c r="EYF160" s="719"/>
      <c r="EYG160" s="719"/>
      <c r="EYH160" s="719"/>
      <c r="EYI160" s="719"/>
      <c r="EYJ160" s="719"/>
      <c r="EYK160" s="719"/>
      <c r="EYL160" s="719"/>
      <c r="EYM160" s="719"/>
      <c r="EYN160" s="719"/>
      <c r="EYO160" s="719"/>
      <c r="EYP160" s="719"/>
      <c r="EYQ160" s="719"/>
      <c r="EYR160" s="719"/>
      <c r="EYS160" s="719"/>
      <c r="EYT160" s="719"/>
      <c r="EYU160" s="719"/>
      <c r="EYV160" s="719"/>
      <c r="EYW160" s="719"/>
      <c r="EYX160" s="719"/>
      <c r="EYY160" s="719"/>
      <c r="EYZ160" s="719"/>
      <c r="EZA160" s="719"/>
      <c r="EZB160" s="719"/>
      <c r="EZC160" s="719"/>
      <c r="EZD160" s="719"/>
      <c r="EZE160" s="719"/>
      <c r="EZF160" s="719"/>
      <c r="EZG160" s="719"/>
      <c r="EZH160" s="719"/>
      <c r="EZI160" s="719"/>
      <c r="EZJ160" s="719"/>
      <c r="EZK160" s="719"/>
      <c r="EZL160" s="719"/>
      <c r="EZM160" s="719"/>
      <c r="EZN160" s="719"/>
      <c r="EZO160" s="719"/>
      <c r="EZP160" s="719"/>
      <c r="EZQ160" s="719"/>
      <c r="EZR160" s="719"/>
      <c r="EZS160" s="719"/>
      <c r="EZT160" s="719"/>
      <c r="EZU160" s="719"/>
      <c r="EZV160" s="719"/>
      <c r="EZW160" s="719"/>
      <c r="EZX160" s="719"/>
      <c r="EZY160" s="719"/>
      <c r="EZZ160" s="719"/>
      <c r="FAA160" s="719"/>
      <c r="FAB160" s="719"/>
      <c r="FAC160" s="719"/>
      <c r="FAD160" s="719"/>
      <c r="FAE160" s="719"/>
      <c r="FAF160" s="719"/>
      <c r="FAG160" s="719"/>
      <c r="FAH160" s="719"/>
      <c r="FAI160" s="719"/>
      <c r="FAJ160" s="719"/>
      <c r="FAK160" s="719"/>
      <c r="FAL160" s="719"/>
      <c r="FAM160" s="719"/>
      <c r="FAN160" s="719"/>
      <c r="FAO160" s="719"/>
      <c r="FAP160" s="719"/>
      <c r="FAQ160" s="719"/>
      <c r="FAR160" s="719"/>
      <c r="FAS160" s="719"/>
      <c r="FAT160" s="719"/>
      <c r="FAU160" s="719"/>
      <c r="FAV160" s="719"/>
      <c r="FAW160" s="719"/>
      <c r="FAX160" s="719"/>
      <c r="FAY160" s="719"/>
      <c r="FAZ160" s="719"/>
      <c r="FBA160" s="719"/>
      <c r="FBB160" s="719"/>
      <c r="FBC160" s="719"/>
      <c r="FBD160" s="719"/>
      <c r="FBE160" s="719"/>
      <c r="FBF160" s="719"/>
      <c r="FBG160" s="719"/>
      <c r="FBH160" s="719"/>
      <c r="FBI160" s="719"/>
      <c r="FBJ160" s="719"/>
      <c r="FBK160" s="719"/>
      <c r="FBL160" s="719"/>
      <c r="FBM160" s="719"/>
      <c r="FBN160" s="719"/>
      <c r="FBO160" s="719"/>
      <c r="FBP160" s="719"/>
      <c r="FBQ160" s="719"/>
      <c r="FBR160" s="719"/>
      <c r="FBS160" s="719"/>
      <c r="FBT160" s="719"/>
      <c r="FBU160" s="719"/>
      <c r="FBV160" s="719"/>
      <c r="FBW160" s="719"/>
      <c r="FBX160" s="719"/>
      <c r="FBY160" s="719"/>
      <c r="FBZ160" s="719"/>
      <c r="FCA160" s="719"/>
      <c r="FCB160" s="719"/>
      <c r="FCC160" s="719"/>
      <c r="FCD160" s="719"/>
      <c r="FCE160" s="719"/>
      <c r="FCF160" s="719"/>
      <c r="FCG160" s="719"/>
      <c r="FCH160" s="719"/>
      <c r="FCI160" s="719"/>
      <c r="FCJ160" s="719"/>
      <c r="FCK160" s="719"/>
      <c r="FCL160" s="719"/>
      <c r="FCM160" s="719"/>
      <c r="FCN160" s="719"/>
      <c r="FCO160" s="719"/>
      <c r="FCP160" s="719"/>
      <c r="FCQ160" s="719"/>
      <c r="FCR160" s="719"/>
      <c r="FCS160" s="719"/>
      <c r="FCT160" s="719"/>
      <c r="FCU160" s="719"/>
      <c r="FCV160" s="719"/>
      <c r="FCW160" s="719"/>
      <c r="FCX160" s="719"/>
      <c r="FCY160" s="719"/>
      <c r="FCZ160" s="719"/>
      <c r="FDA160" s="719"/>
      <c r="FDB160" s="719"/>
      <c r="FDC160" s="719"/>
      <c r="FDD160" s="719"/>
      <c r="FDE160" s="719"/>
      <c r="FDF160" s="719"/>
      <c r="FDG160" s="719"/>
      <c r="FDH160" s="719"/>
      <c r="FDI160" s="719"/>
      <c r="FDJ160" s="719"/>
      <c r="FDK160" s="719"/>
      <c r="FDL160" s="719"/>
      <c r="FDM160" s="719"/>
      <c r="FDN160" s="719"/>
      <c r="FDO160" s="719"/>
      <c r="FDP160" s="719"/>
      <c r="FDQ160" s="719"/>
      <c r="FDR160" s="719"/>
      <c r="FDS160" s="719"/>
      <c r="FDT160" s="719"/>
      <c r="FDU160" s="719"/>
      <c r="FDV160" s="719"/>
      <c r="FDW160" s="719"/>
      <c r="FDX160" s="719"/>
      <c r="FDY160" s="719"/>
      <c r="FDZ160" s="719"/>
      <c r="FEA160" s="719"/>
      <c r="FEB160" s="719"/>
      <c r="FEC160" s="719"/>
      <c r="FED160" s="719"/>
      <c r="FEE160" s="719"/>
      <c r="FEF160" s="719"/>
      <c r="FEG160" s="719"/>
      <c r="FEH160" s="719"/>
      <c r="FEI160" s="719"/>
      <c r="FEJ160" s="719"/>
      <c r="FEK160" s="719"/>
      <c r="FEL160" s="719"/>
      <c r="FEM160" s="719"/>
      <c r="FEN160" s="719"/>
      <c r="FEO160" s="719"/>
      <c r="FEP160" s="719"/>
      <c r="FEQ160" s="719"/>
      <c r="FER160" s="719"/>
      <c r="FES160" s="719"/>
      <c r="FET160" s="719"/>
      <c r="FEU160" s="719"/>
      <c r="FEV160" s="719"/>
      <c r="FEW160" s="719"/>
      <c r="FEX160" s="719"/>
      <c r="FEY160" s="719"/>
      <c r="FEZ160" s="719"/>
      <c r="FFA160" s="719"/>
      <c r="FFB160" s="719"/>
      <c r="FFC160" s="719"/>
      <c r="FFD160" s="719"/>
      <c r="FFE160" s="719"/>
      <c r="FFF160" s="719"/>
      <c r="FFG160" s="719"/>
      <c r="FFH160" s="719"/>
      <c r="FFI160" s="719"/>
      <c r="FFJ160" s="719"/>
      <c r="FFK160" s="719"/>
      <c r="FFL160" s="719"/>
      <c r="FFM160" s="719"/>
      <c r="FFN160" s="719"/>
      <c r="FFO160" s="719"/>
      <c r="FFP160" s="719"/>
      <c r="FFQ160" s="719"/>
      <c r="FFR160" s="719"/>
      <c r="FFS160" s="719"/>
      <c r="FFT160" s="719"/>
      <c r="FFU160" s="719"/>
      <c r="FFV160" s="719"/>
      <c r="FFW160" s="719"/>
      <c r="FFX160" s="719"/>
      <c r="FFY160" s="719"/>
      <c r="FFZ160" s="719"/>
      <c r="FGA160" s="719"/>
      <c r="FGB160" s="719"/>
      <c r="FGC160" s="719"/>
      <c r="FGD160" s="719"/>
      <c r="FGE160" s="719"/>
      <c r="FGF160" s="719"/>
      <c r="FGG160" s="719"/>
      <c r="FGH160" s="719"/>
      <c r="FGI160" s="719"/>
      <c r="FGJ160" s="719"/>
      <c r="FGK160" s="719"/>
      <c r="FGL160" s="719"/>
      <c r="FGM160" s="719"/>
      <c r="FGN160" s="719"/>
      <c r="FGO160" s="719"/>
      <c r="FGP160" s="719"/>
      <c r="FGQ160" s="719"/>
      <c r="FGR160" s="719"/>
      <c r="FGS160" s="719"/>
      <c r="FGT160" s="719"/>
      <c r="FGU160" s="719"/>
      <c r="FGV160" s="719"/>
      <c r="FGW160" s="719"/>
      <c r="FGX160" s="719"/>
      <c r="FGY160" s="719"/>
      <c r="FGZ160" s="719"/>
      <c r="FHA160" s="719"/>
      <c r="FHB160" s="719"/>
      <c r="FHC160" s="719"/>
      <c r="FHD160" s="719"/>
      <c r="FHE160" s="719"/>
      <c r="FHF160" s="719"/>
      <c r="FHG160" s="719"/>
      <c r="FHH160" s="719"/>
      <c r="FHI160" s="719"/>
      <c r="FHJ160" s="719"/>
      <c r="FHK160" s="719"/>
      <c r="FHL160" s="719"/>
      <c r="FHM160" s="719"/>
      <c r="FHN160" s="719"/>
      <c r="FHO160" s="719"/>
      <c r="FHP160" s="719"/>
      <c r="FHQ160" s="719"/>
      <c r="FHR160" s="719"/>
      <c r="FHS160" s="719"/>
      <c r="FHT160" s="719"/>
      <c r="FHU160" s="719"/>
      <c r="FHV160" s="719"/>
      <c r="FHW160" s="719"/>
      <c r="FHX160" s="719"/>
      <c r="FHY160" s="719"/>
      <c r="FHZ160" s="719"/>
      <c r="FIA160" s="719"/>
      <c r="FIB160" s="719"/>
      <c r="FIC160" s="719"/>
      <c r="FID160" s="719"/>
      <c r="FIE160" s="719"/>
      <c r="FIF160" s="719"/>
      <c r="FIG160" s="719"/>
      <c r="FIH160" s="719"/>
      <c r="FII160" s="719"/>
      <c r="FIJ160" s="719"/>
      <c r="FIK160" s="719"/>
      <c r="FIL160" s="719"/>
      <c r="FIM160" s="719"/>
      <c r="FIN160" s="719"/>
      <c r="FIO160" s="719"/>
      <c r="FIP160" s="719"/>
      <c r="FIQ160" s="719"/>
      <c r="FIR160" s="719"/>
      <c r="FIS160" s="719"/>
      <c r="FIT160" s="719"/>
      <c r="FIU160" s="719"/>
      <c r="FIV160" s="719"/>
      <c r="FIW160" s="719"/>
      <c r="FIX160" s="719"/>
      <c r="FIY160" s="719"/>
      <c r="FIZ160" s="719"/>
      <c r="FJA160" s="719"/>
      <c r="FJB160" s="719"/>
      <c r="FJC160" s="719"/>
      <c r="FJD160" s="719"/>
      <c r="FJE160" s="719"/>
      <c r="FJF160" s="719"/>
      <c r="FJG160" s="719"/>
      <c r="FJH160" s="719"/>
      <c r="FJI160" s="719"/>
      <c r="FJJ160" s="719"/>
      <c r="FJK160" s="719"/>
      <c r="FJL160" s="719"/>
      <c r="FJM160" s="719"/>
      <c r="FJN160" s="719"/>
      <c r="FJO160" s="719"/>
      <c r="FJP160" s="719"/>
      <c r="FJQ160" s="719"/>
      <c r="FJR160" s="719"/>
      <c r="FJS160" s="719"/>
      <c r="FJT160" s="719"/>
      <c r="FJU160" s="719"/>
      <c r="FJV160" s="719"/>
      <c r="FJW160" s="719"/>
      <c r="FJX160" s="719"/>
      <c r="FJY160" s="719"/>
      <c r="FJZ160" s="719"/>
      <c r="FKA160" s="719"/>
      <c r="FKB160" s="719"/>
      <c r="FKC160" s="719"/>
      <c r="FKD160" s="719"/>
      <c r="FKE160" s="719"/>
      <c r="FKF160" s="719"/>
      <c r="FKG160" s="719"/>
      <c r="FKH160" s="719"/>
      <c r="FKI160" s="719"/>
      <c r="FKJ160" s="719"/>
      <c r="FKK160" s="719"/>
      <c r="FKL160" s="719"/>
      <c r="FKM160" s="719"/>
      <c r="FKN160" s="719"/>
      <c r="FKO160" s="719"/>
      <c r="FKP160" s="719"/>
      <c r="FKQ160" s="719"/>
      <c r="FKR160" s="719"/>
      <c r="FKS160" s="719"/>
      <c r="FKT160" s="719"/>
      <c r="FKU160" s="719"/>
      <c r="FKV160" s="719"/>
      <c r="FKW160" s="719"/>
      <c r="FKX160" s="719"/>
      <c r="FKY160" s="719"/>
      <c r="FKZ160" s="719"/>
      <c r="FLA160" s="719"/>
      <c r="FLB160" s="719"/>
      <c r="FLC160" s="719"/>
      <c r="FLD160" s="719"/>
      <c r="FLE160" s="719"/>
      <c r="FLF160" s="719"/>
      <c r="FLG160" s="719"/>
      <c r="FLH160" s="719"/>
      <c r="FLI160" s="719"/>
      <c r="FLJ160" s="719"/>
      <c r="FLK160" s="719"/>
      <c r="FLL160" s="719"/>
      <c r="FLM160" s="719"/>
      <c r="FLN160" s="719"/>
      <c r="FLO160" s="719"/>
      <c r="FLP160" s="719"/>
      <c r="FLQ160" s="719"/>
      <c r="FLR160" s="719"/>
      <c r="FLS160" s="719"/>
      <c r="FLT160" s="719"/>
      <c r="FLU160" s="719"/>
      <c r="FLV160" s="719"/>
      <c r="FLW160" s="719"/>
      <c r="FLX160" s="719"/>
      <c r="FLY160" s="719"/>
      <c r="FLZ160" s="719"/>
      <c r="FMA160" s="719"/>
      <c r="FMB160" s="719"/>
      <c r="FMC160" s="719"/>
      <c r="FMD160" s="719"/>
      <c r="FME160" s="719"/>
      <c r="FMF160" s="719"/>
      <c r="FMG160" s="719"/>
      <c r="FMH160" s="719"/>
      <c r="FMI160" s="719"/>
      <c r="FMJ160" s="719"/>
      <c r="FMK160" s="719"/>
      <c r="FML160" s="719"/>
      <c r="FMM160" s="719"/>
      <c r="FMN160" s="719"/>
      <c r="FMO160" s="719"/>
      <c r="FMP160" s="719"/>
      <c r="FMQ160" s="719"/>
      <c r="FMR160" s="719"/>
      <c r="FMS160" s="719"/>
      <c r="FMT160" s="719"/>
      <c r="FMU160" s="719"/>
      <c r="FMV160" s="719"/>
      <c r="FMW160" s="719"/>
      <c r="FMX160" s="719"/>
      <c r="FMY160" s="719"/>
      <c r="FMZ160" s="719"/>
      <c r="FNA160" s="719"/>
      <c r="FNB160" s="719"/>
      <c r="FNC160" s="719"/>
      <c r="FND160" s="719"/>
      <c r="FNE160" s="719"/>
      <c r="FNF160" s="719"/>
      <c r="FNG160" s="719"/>
      <c r="FNH160" s="719"/>
      <c r="FNI160" s="719"/>
      <c r="FNJ160" s="719"/>
      <c r="FNK160" s="719"/>
      <c r="FNL160" s="719"/>
      <c r="FNM160" s="719"/>
      <c r="FNN160" s="719"/>
      <c r="FNO160" s="719"/>
      <c r="FNP160" s="719"/>
      <c r="FNQ160" s="719"/>
      <c r="FNR160" s="719"/>
      <c r="FNS160" s="719"/>
      <c r="FNT160" s="719"/>
      <c r="FNU160" s="719"/>
      <c r="FNV160" s="719"/>
      <c r="FNW160" s="719"/>
      <c r="FNX160" s="719"/>
      <c r="FNY160" s="719"/>
      <c r="FNZ160" s="719"/>
      <c r="FOA160" s="719"/>
      <c r="FOB160" s="719"/>
      <c r="FOC160" s="719"/>
      <c r="FOD160" s="719"/>
      <c r="FOE160" s="719"/>
      <c r="FOF160" s="719"/>
      <c r="FOG160" s="719"/>
      <c r="FOH160" s="719"/>
      <c r="FOI160" s="719"/>
      <c r="FOJ160" s="719"/>
      <c r="FOK160" s="719"/>
      <c r="FOL160" s="719"/>
      <c r="FOM160" s="719"/>
      <c r="FON160" s="719"/>
      <c r="FOO160" s="719"/>
      <c r="FOP160" s="719"/>
      <c r="FOQ160" s="719"/>
      <c r="FOR160" s="719"/>
      <c r="FOS160" s="719"/>
      <c r="FOT160" s="719"/>
      <c r="FOU160" s="719"/>
      <c r="FOV160" s="719"/>
      <c r="FOW160" s="719"/>
      <c r="FOX160" s="719"/>
      <c r="FOY160" s="719"/>
      <c r="FOZ160" s="719"/>
      <c r="FPA160" s="719"/>
      <c r="FPB160" s="719"/>
      <c r="FPC160" s="719"/>
      <c r="FPD160" s="719"/>
      <c r="FPE160" s="719"/>
      <c r="FPF160" s="719"/>
      <c r="FPG160" s="719"/>
      <c r="FPH160" s="719"/>
      <c r="FPI160" s="719"/>
      <c r="FPJ160" s="719"/>
      <c r="FPK160" s="719"/>
      <c r="FPL160" s="719"/>
      <c r="FPM160" s="719"/>
      <c r="FPN160" s="719"/>
      <c r="FPO160" s="719"/>
      <c r="FPP160" s="719"/>
      <c r="FPQ160" s="719"/>
      <c r="FPR160" s="719"/>
      <c r="FPS160" s="719"/>
      <c r="FPT160" s="719"/>
      <c r="FPU160" s="719"/>
      <c r="FPV160" s="719"/>
      <c r="FPW160" s="719"/>
      <c r="FPX160" s="719"/>
      <c r="FPY160" s="719"/>
      <c r="FPZ160" s="719"/>
      <c r="FQA160" s="719"/>
      <c r="FQB160" s="719"/>
      <c r="FQC160" s="719"/>
      <c r="FQD160" s="719"/>
      <c r="FQE160" s="719"/>
      <c r="FQF160" s="719"/>
      <c r="FQG160" s="719"/>
      <c r="FQH160" s="719"/>
      <c r="FQI160" s="719"/>
      <c r="FQJ160" s="719"/>
      <c r="FQK160" s="719"/>
      <c r="FQL160" s="719"/>
      <c r="FQM160" s="719"/>
      <c r="FQN160" s="719"/>
      <c r="FQO160" s="719"/>
      <c r="FQP160" s="719"/>
      <c r="FQQ160" s="719"/>
      <c r="FQR160" s="719"/>
      <c r="FQS160" s="719"/>
      <c r="FQT160" s="719"/>
      <c r="FQU160" s="719"/>
      <c r="FQV160" s="719"/>
      <c r="FQW160" s="719"/>
      <c r="FQX160" s="719"/>
      <c r="FQY160" s="719"/>
      <c r="FQZ160" s="719"/>
      <c r="FRA160" s="719"/>
      <c r="FRB160" s="719"/>
      <c r="FRC160" s="719"/>
      <c r="FRD160" s="719"/>
      <c r="FRE160" s="719"/>
      <c r="FRF160" s="719"/>
      <c r="FRG160" s="719"/>
      <c r="FRH160" s="719"/>
      <c r="FRI160" s="719"/>
      <c r="FRJ160" s="719"/>
      <c r="FRK160" s="719"/>
      <c r="FRL160" s="719"/>
      <c r="FRM160" s="719"/>
      <c r="FRN160" s="719"/>
      <c r="FRO160" s="719"/>
      <c r="FRP160" s="719"/>
      <c r="FRQ160" s="719"/>
      <c r="FRR160" s="719"/>
      <c r="FRS160" s="719"/>
      <c r="FRT160" s="719"/>
      <c r="FRU160" s="719"/>
      <c r="FRV160" s="719"/>
      <c r="FRW160" s="719"/>
      <c r="FRX160" s="719"/>
      <c r="FRY160" s="719"/>
      <c r="FRZ160" s="719"/>
      <c r="FSA160" s="719"/>
      <c r="FSB160" s="719"/>
      <c r="FSC160" s="719"/>
      <c r="FSD160" s="719"/>
      <c r="FSE160" s="719"/>
      <c r="FSF160" s="719"/>
      <c r="FSG160" s="719"/>
      <c r="FSH160" s="719"/>
      <c r="FSI160" s="719"/>
      <c r="FSJ160" s="719"/>
      <c r="FSK160" s="719"/>
      <c r="FSL160" s="719"/>
      <c r="FSM160" s="719"/>
      <c r="FSN160" s="719"/>
      <c r="FSO160" s="719"/>
      <c r="FSP160" s="719"/>
      <c r="FSQ160" s="719"/>
      <c r="FSR160" s="719"/>
      <c r="FSS160" s="719"/>
      <c r="FST160" s="719"/>
      <c r="FSU160" s="719"/>
      <c r="FSV160" s="719"/>
      <c r="FSW160" s="719"/>
      <c r="FSX160" s="719"/>
      <c r="FSY160" s="719"/>
      <c r="FSZ160" s="719"/>
      <c r="FTA160" s="719"/>
      <c r="FTB160" s="719"/>
      <c r="FTC160" s="719"/>
      <c r="FTD160" s="719"/>
      <c r="FTE160" s="719"/>
      <c r="FTF160" s="719"/>
      <c r="FTG160" s="719"/>
      <c r="FTH160" s="719"/>
      <c r="FTI160" s="719"/>
      <c r="FTJ160" s="719"/>
      <c r="FTK160" s="719"/>
      <c r="FTL160" s="719"/>
      <c r="FTM160" s="719"/>
      <c r="FTN160" s="719"/>
      <c r="FTO160" s="719"/>
      <c r="FTP160" s="719"/>
      <c r="FTQ160" s="719"/>
      <c r="FTR160" s="719"/>
      <c r="FTS160" s="719"/>
      <c r="FTT160" s="719"/>
      <c r="FTU160" s="719"/>
      <c r="FTV160" s="719"/>
      <c r="FTW160" s="719"/>
      <c r="FTX160" s="719"/>
      <c r="FTY160" s="719"/>
      <c r="FTZ160" s="719"/>
      <c r="FUA160" s="719"/>
      <c r="FUB160" s="719"/>
      <c r="FUC160" s="719"/>
      <c r="FUD160" s="719"/>
      <c r="FUE160" s="719"/>
      <c r="FUF160" s="719"/>
      <c r="FUG160" s="719"/>
      <c r="FUH160" s="719"/>
      <c r="FUI160" s="719"/>
      <c r="FUJ160" s="719"/>
      <c r="FUK160" s="719"/>
      <c r="FUL160" s="719"/>
      <c r="FUM160" s="719"/>
      <c r="FUN160" s="719"/>
      <c r="FUO160" s="719"/>
      <c r="FUP160" s="719"/>
      <c r="FUQ160" s="719"/>
      <c r="FUR160" s="719"/>
      <c r="FUS160" s="719"/>
      <c r="FUT160" s="719"/>
      <c r="FUU160" s="719"/>
      <c r="FUV160" s="719"/>
      <c r="FUW160" s="719"/>
      <c r="FUX160" s="719"/>
      <c r="FUY160" s="719"/>
      <c r="FUZ160" s="719"/>
      <c r="FVA160" s="719"/>
      <c r="FVB160" s="719"/>
      <c r="FVC160" s="719"/>
      <c r="FVD160" s="719"/>
      <c r="FVE160" s="719"/>
      <c r="FVF160" s="719"/>
      <c r="FVG160" s="719"/>
      <c r="FVH160" s="719"/>
      <c r="FVI160" s="719"/>
      <c r="FVJ160" s="719"/>
      <c r="FVK160" s="719"/>
      <c r="FVL160" s="719"/>
      <c r="FVM160" s="719"/>
      <c r="FVN160" s="719"/>
      <c r="FVO160" s="719"/>
      <c r="FVP160" s="719"/>
      <c r="FVQ160" s="719"/>
      <c r="FVR160" s="719"/>
      <c r="FVS160" s="719"/>
      <c r="FVT160" s="719"/>
      <c r="FVU160" s="719"/>
      <c r="FVV160" s="719"/>
      <c r="FVW160" s="719"/>
      <c r="FVX160" s="719"/>
      <c r="FVY160" s="719"/>
      <c r="FVZ160" s="719"/>
      <c r="FWA160" s="719"/>
      <c r="FWB160" s="719"/>
      <c r="FWC160" s="719"/>
      <c r="FWD160" s="719"/>
      <c r="FWE160" s="719"/>
      <c r="FWF160" s="719"/>
      <c r="FWG160" s="719"/>
      <c r="FWH160" s="719"/>
      <c r="FWI160" s="719"/>
      <c r="FWJ160" s="719"/>
      <c r="FWK160" s="719"/>
      <c r="FWL160" s="719"/>
      <c r="FWM160" s="719"/>
      <c r="FWN160" s="719"/>
      <c r="FWO160" s="719"/>
      <c r="FWP160" s="719"/>
      <c r="FWQ160" s="719"/>
      <c r="FWR160" s="719"/>
      <c r="FWS160" s="719"/>
      <c r="FWT160" s="719"/>
      <c r="FWU160" s="719"/>
      <c r="FWV160" s="719"/>
      <c r="FWW160" s="719"/>
      <c r="FWX160" s="719"/>
      <c r="FWY160" s="719"/>
      <c r="FWZ160" s="719"/>
      <c r="FXA160" s="719"/>
      <c r="FXB160" s="719"/>
      <c r="FXC160" s="719"/>
      <c r="FXD160" s="719"/>
      <c r="FXE160" s="719"/>
      <c r="FXF160" s="719"/>
      <c r="FXG160" s="719"/>
      <c r="FXH160" s="719"/>
      <c r="FXI160" s="719"/>
      <c r="FXJ160" s="719"/>
      <c r="FXK160" s="719"/>
      <c r="FXL160" s="719"/>
      <c r="FXM160" s="719"/>
      <c r="FXN160" s="719"/>
      <c r="FXO160" s="719"/>
      <c r="FXP160" s="719"/>
      <c r="FXQ160" s="719"/>
      <c r="FXR160" s="719"/>
      <c r="FXS160" s="719"/>
      <c r="FXT160" s="719"/>
      <c r="FXU160" s="719"/>
      <c r="FXV160" s="719"/>
      <c r="FXW160" s="719"/>
      <c r="FXX160" s="719"/>
      <c r="FXY160" s="719"/>
      <c r="FXZ160" s="719"/>
      <c r="FYA160" s="719"/>
      <c r="FYB160" s="719"/>
      <c r="FYC160" s="719"/>
      <c r="FYD160" s="719"/>
      <c r="FYE160" s="719"/>
      <c r="FYF160" s="719"/>
      <c r="FYG160" s="719"/>
      <c r="FYH160" s="719"/>
      <c r="FYI160" s="719"/>
      <c r="FYJ160" s="719"/>
      <c r="FYK160" s="719"/>
      <c r="FYL160" s="719"/>
      <c r="FYM160" s="719"/>
      <c r="FYN160" s="719"/>
      <c r="FYO160" s="719"/>
      <c r="FYP160" s="719"/>
      <c r="FYQ160" s="719"/>
      <c r="FYR160" s="719"/>
      <c r="FYS160" s="719"/>
      <c r="FYT160" s="719"/>
      <c r="FYU160" s="719"/>
      <c r="FYV160" s="719"/>
      <c r="FYW160" s="719"/>
      <c r="FYX160" s="719"/>
      <c r="FYY160" s="719"/>
      <c r="FYZ160" s="719"/>
      <c r="FZA160" s="719"/>
      <c r="FZB160" s="719"/>
      <c r="FZC160" s="719"/>
      <c r="FZD160" s="719"/>
      <c r="FZE160" s="719"/>
      <c r="FZF160" s="719"/>
      <c r="FZG160" s="719"/>
      <c r="FZH160" s="719"/>
      <c r="FZI160" s="719"/>
      <c r="FZJ160" s="719"/>
      <c r="FZK160" s="719"/>
      <c r="FZL160" s="719"/>
      <c r="FZM160" s="719"/>
      <c r="FZN160" s="719"/>
      <c r="FZO160" s="719"/>
      <c r="FZP160" s="719"/>
      <c r="FZQ160" s="719"/>
      <c r="FZR160" s="719"/>
      <c r="FZS160" s="719"/>
      <c r="FZT160" s="719"/>
      <c r="FZU160" s="719"/>
      <c r="FZV160" s="719"/>
      <c r="FZW160" s="719"/>
      <c r="FZX160" s="719"/>
      <c r="FZY160" s="719"/>
      <c r="FZZ160" s="719"/>
      <c r="GAA160" s="719"/>
      <c r="GAB160" s="719"/>
      <c r="GAC160" s="719"/>
      <c r="GAD160" s="719"/>
      <c r="GAE160" s="719"/>
      <c r="GAF160" s="719"/>
      <c r="GAG160" s="719"/>
      <c r="GAH160" s="719"/>
      <c r="GAI160" s="719"/>
      <c r="GAJ160" s="719"/>
      <c r="GAK160" s="719"/>
      <c r="GAL160" s="719"/>
      <c r="GAM160" s="719"/>
      <c r="GAN160" s="719"/>
      <c r="GAO160" s="719"/>
      <c r="GAP160" s="719"/>
      <c r="GAQ160" s="719"/>
      <c r="GAR160" s="719"/>
      <c r="GAS160" s="719"/>
      <c r="GAT160" s="719"/>
      <c r="GAU160" s="719"/>
      <c r="GAV160" s="719"/>
      <c r="GAW160" s="719"/>
      <c r="GAX160" s="719"/>
      <c r="GAY160" s="719"/>
      <c r="GAZ160" s="719"/>
      <c r="GBA160" s="719"/>
      <c r="GBB160" s="719"/>
      <c r="GBC160" s="719"/>
      <c r="GBD160" s="719"/>
      <c r="GBE160" s="719"/>
      <c r="GBF160" s="719"/>
      <c r="GBG160" s="719"/>
      <c r="GBH160" s="719"/>
      <c r="GBI160" s="719"/>
      <c r="GBJ160" s="719"/>
      <c r="GBK160" s="719"/>
      <c r="GBL160" s="719"/>
      <c r="GBM160" s="719"/>
      <c r="GBN160" s="719"/>
      <c r="GBO160" s="719"/>
      <c r="GBP160" s="719"/>
      <c r="GBQ160" s="719"/>
      <c r="GBR160" s="719"/>
      <c r="GBS160" s="719"/>
      <c r="GBT160" s="719"/>
      <c r="GBU160" s="719"/>
      <c r="GBV160" s="719"/>
      <c r="GBW160" s="719"/>
      <c r="GBX160" s="719"/>
      <c r="GBY160" s="719"/>
      <c r="GBZ160" s="719"/>
      <c r="GCA160" s="719"/>
      <c r="GCB160" s="719"/>
      <c r="GCC160" s="719"/>
      <c r="GCD160" s="719"/>
      <c r="GCE160" s="719"/>
      <c r="GCF160" s="719"/>
      <c r="GCG160" s="719"/>
      <c r="GCH160" s="719"/>
      <c r="GCI160" s="719"/>
      <c r="GCJ160" s="719"/>
      <c r="GCK160" s="719"/>
      <c r="GCL160" s="719"/>
      <c r="GCM160" s="719"/>
      <c r="GCN160" s="719"/>
      <c r="GCO160" s="719"/>
      <c r="GCP160" s="719"/>
      <c r="GCQ160" s="719"/>
      <c r="GCR160" s="719"/>
      <c r="GCS160" s="719"/>
      <c r="GCT160" s="719"/>
      <c r="GCU160" s="719"/>
      <c r="GCV160" s="719"/>
      <c r="GCW160" s="719"/>
      <c r="GCX160" s="719"/>
      <c r="GCY160" s="719"/>
      <c r="GCZ160" s="719"/>
      <c r="GDA160" s="719"/>
      <c r="GDB160" s="719"/>
      <c r="GDC160" s="719"/>
      <c r="GDD160" s="719"/>
      <c r="GDE160" s="719"/>
      <c r="GDF160" s="719"/>
      <c r="GDG160" s="719"/>
      <c r="GDH160" s="719"/>
      <c r="GDI160" s="719"/>
      <c r="GDJ160" s="719"/>
      <c r="GDK160" s="719"/>
      <c r="GDL160" s="719"/>
      <c r="GDM160" s="719"/>
      <c r="GDN160" s="719"/>
      <c r="GDO160" s="719"/>
      <c r="GDP160" s="719"/>
      <c r="GDQ160" s="719"/>
      <c r="GDR160" s="719"/>
      <c r="GDS160" s="719"/>
      <c r="GDT160" s="719"/>
      <c r="GDU160" s="719"/>
      <c r="GDV160" s="719"/>
      <c r="GDW160" s="719"/>
      <c r="GDX160" s="719"/>
      <c r="GDY160" s="719"/>
      <c r="GDZ160" s="719"/>
      <c r="GEA160" s="719"/>
      <c r="GEB160" s="719"/>
      <c r="GEC160" s="719"/>
      <c r="GED160" s="719"/>
      <c r="GEE160" s="719"/>
      <c r="GEF160" s="719"/>
      <c r="GEG160" s="719"/>
      <c r="GEH160" s="719"/>
      <c r="GEI160" s="719"/>
      <c r="GEJ160" s="719"/>
      <c r="GEK160" s="719"/>
      <c r="GEL160" s="719"/>
      <c r="GEM160" s="719"/>
      <c r="GEN160" s="719"/>
      <c r="GEO160" s="719"/>
      <c r="GEP160" s="719"/>
      <c r="GEQ160" s="719"/>
      <c r="GER160" s="719"/>
      <c r="GES160" s="719"/>
      <c r="GET160" s="719"/>
      <c r="GEU160" s="719"/>
      <c r="GEV160" s="719"/>
      <c r="GEW160" s="719"/>
      <c r="GEX160" s="719"/>
      <c r="GEY160" s="719"/>
      <c r="GEZ160" s="719"/>
      <c r="GFA160" s="719"/>
      <c r="GFB160" s="719"/>
      <c r="GFC160" s="719"/>
      <c r="GFD160" s="719"/>
      <c r="GFE160" s="719"/>
      <c r="GFF160" s="719"/>
      <c r="GFG160" s="719"/>
      <c r="GFH160" s="719"/>
      <c r="GFI160" s="719"/>
      <c r="GFJ160" s="719"/>
      <c r="GFK160" s="719"/>
      <c r="GFL160" s="719"/>
      <c r="GFM160" s="719"/>
      <c r="GFN160" s="719"/>
      <c r="GFO160" s="719"/>
      <c r="GFP160" s="719"/>
      <c r="GFQ160" s="719"/>
      <c r="GFR160" s="719"/>
      <c r="GFS160" s="719"/>
      <c r="GFT160" s="719"/>
      <c r="GFU160" s="719"/>
      <c r="GFV160" s="719"/>
      <c r="GFW160" s="719"/>
      <c r="GFX160" s="719"/>
      <c r="GFY160" s="719"/>
      <c r="GFZ160" s="719"/>
      <c r="GGA160" s="719"/>
      <c r="GGB160" s="719"/>
      <c r="GGC160" s="719"/>
      <c r="GGD160" s="719"/>
      <c r="GGE160" s="719"/>
      <c r="GGF160" s="719"/>
      <c r="GGG160" s="719"/>
      <c r="GGH160" s="719"/>
      <c r="GGI160" s="719"/>
      <c r="GGJ160" s="719"/>
      <c r="GGK160" s="719"/>
      <c r="GGL160" s="719"/>
      <c r="GGM160" s="719"/>
      <c r="GGN160" s="719"/>
      <c r="GGO160" s="719"/>
      <c r="GGP160" s="719"/>
      <c r="GGQ160" s="719"/>
      <c r="GGR160" s="719"/>
      <c r="GGS160" s="719"/>
      <c r="GGT160" s="719"/>
      <c r="GGU160" s="719"/>
      <c r="GGV160" s="719"/>
      <c r="GGW160" s="719"/>
      <c r="GGX160" s="719"/>
      <c r="GGY160" s="719"/>
      <c r="GGZ160" s="719"/>
      <c r="GHA160" s="719"/>
      <c r="GHB160" s="719"/>
      <c r="GHC160" s="719"/>
      <c r="GHD160" s="719"/>
      <c r="GHE160" s="719"/>
      <c r="GHF160" s="719"/>
      <c r="GHG160" s="719"/>
      <c r="GHH160" s="719"/>
      <c r="GHI160" s="719"/>
      <c r="GHJ160" s="719"/>
      <c r="GHK160" s="719"/>
      <c r="GHL160" s="719"/>
      <c r="GHM160" s="719"/>
      <c r="GHN160" s="719"/>
      <c r="GHO160" s="719"/>
      <c r="GHP160" s="719"/>
      <c r="GHQ160" s="719"/>
      <c r="GHR160" s="719"/>
      <c r="GHS160" s="719"/>
      <c r="GHT160" s="719"/>
      <c r="GHU160" s="719"/>
      <c r="GHV160" s="719"/>
      <c r="GHW160" s="719"/>
      <c r="GHX160" s="719"/>
      <c r="GHY160" s="719"/>
      <c r="GHZ160" s="719"/>
      <c r="GIA160" s="719"/>
      <c r="GIB160" s="719"/>
      <c r="GIC160" s="719"/>
      <c r="GID160" s="719"/>
      <c r="GIE160" s="719"/>
      <c r="GIF160" s="719"/>
      <c r="GIG160" s="719"/>
      <c r="GIH160" s="719"/>
      <c r="GII160" s="719"/>
      <c r="GIJ160" s="719"/>
      <c r="GIK160" s="719"/>
      <c r="GIL160" s="719"/>
      <c r="GIM160" s="719"/>
      <c r="GIN160" s="719"/>
      <c r="GIO160" s="719"/>
      <c r="GIP160" s="719"/>
      <c r="GIQ160" s="719"/>
      <c r="GIR160" s="719"/>
      <c r="GIS160" s="719"/>
      <c r="GIT160" s="719"/>
      <c r="GIU160" s="719"/>
      <c r="GIV160" s="719"/>
      <c r="GIW160" s="719"/>
      <c r="GIX160" s="719"/>
      <c r="GIY160" s="719"/>
      <c r="GIZ160" s="719"/>
      <c r="GJA160" s="719"/>
      <c r="GJB160" s="719"/>
      <c r="GJC160" s="719"/>
      <c r="GJD160" s="719"/>
      <c r="GJE160" s="719"/>
      <c r="GJF160" s="719"/>
      <c r="GJG160" s="719"/>
      <c r="GJH160" s="719"/>
      <c r="GJI160" s="719"/>
      <c r="GJJ160" s="719"/>
      <c r="GJK160" s="719"/>
      <c r="GJL160" s="719"/>
      <c r="GJM160" s="719"/>
      <c r="GJN160" s="719"/>
      <c r="GJO160" s="719"/>
      <c r="GJP160" s="719"/>
      <c r="GJQ160" s="719"/>
      <c r="GJR160" s="719"/>
      <c r="GJS160" s="719"/>
      <c r="GJT160" s="719"/>
      <c r="GJU160" s="719"/>
      <c r="GJV160" s="719"/>
      <c r="GJW160" s="719"/>
      <c r="GJX160" s="719"/>
      <c r="GJY160" s="719"/>
      <c r="GJZ160" s="719"/>
      <c r="GKA160" s="719"/>
      <c r="GKB160" s="719"/>
      <c r="GKC160" s="719"/>
      <c r="GKD160" s="719"/>
      <c r="GKE160" s="719"/>
      <c r="GKF160" s="719"/>
      <c r="GKG160" s="719"/>
      <c r="GKH160" s="719"/>
      <c r="GKI160" s="719"/>
      <c r="GKJ160" s="719"/>
      <c r="GKK160" s="719"/>
      <c r="GKL160" s="719"/>
      <c r="GKM160" s="719"/>
      <c r="GKN160" s="719"/>
      <c r="GKO160" s="719"/>
      <c r="GKP160" s="719"/>
      <c r="GKQ160" s="719"/>
      <c r="GKR160" s="719"/>
      <c r="GKS160" s="719"/>
      <c r="GKT160" s="719"/>
      <c r="GKU160" s="719"/>
      <c r="GKV160" s="719"/>
      <c r="GKW160" s="719"/>
      <c r="GKX160" s="719"/>
      <c r="GKY160" s="719"/>
      <c r="GKZ160" s="719"/>
      <c r="GLA160" s="719"/>
      <c r="GLB160" s="719"/>
      <c r="GLC160" s="719"/>
      <c r="GLD160" s="719"/>
      <c r="GLE160" s="719"/>
      <c r="GLF160" s="719"/>
      <c r="GLG160" s="719"/>
      <c r="GLH160" s="719"/>
      <c r="GLI160" s="719"/>
      <c r="GLJ160" s="719"/>
      <c r="GLK160" s="719"/>
      <c r="GLL160" s="719"/>
      <c r="GLM160" s="719"/>
      <c r="GLN160" s="719"/>
      <c r="GLO160" s="719"/>
      <c r="GLP160" s="719"/>
      <c r="GLQ160" s="719"/>
      <c r="GLR160" s="719"/>
      <c r="GLS160" s="719"/>
      <c r="GLT160" s="719"/>
      <c r="GLU160" s="719"/>
      <c r="GLV160" s="719"/>
      <c r="GLW160" s="719"/>
      <c r="GLX160" s="719"/>
      <c r="GLY160" s="719"/>
      <c r="GLZ160" s="719"/>
      <c r="GMA160" s="719"/>
      <c r="GMB160" s="719"/>
      <c r="GMC160" s="719"/>
      <c r="GMD160" s="719"/>
      <c r="GME160" s="719"/>
      <c r="GMF160" s="719"/>
      <c r="GMG160" s="719"/>
      <c r="GMH160" s="719"/>
      <c r="GMI160" s="719"/>
      <c r="GMJ160" s="719"/>
      <c r="GMK160" s="719"/>
      <c r="GML160" s="719"/>
      <c r="GMM160" s="719"/>
      <c r="GMN160" s="719"/>
      <c r="GMO160" s="719"/>
      <c r="GMP160" s="719"/>
      <c r="GMQ160" s="719"/>
      <c r="GMR160" s="719"/>
      <c r="GMS160" s="719"/>
      <c r="GMT160" s="719"/>
      <c r="GMU160" s="719"/>
      <c r="GMV160" s="719"/>
      <c r="GMW160" s="719"/>
      <c r="GMX160" s="719"/>
      <c r="GMY160" s="719"/>
      <c r="GMZ160" s="719"/>
      <c r="GNA160" s="719"/>
      <c r="GNB160" s="719"/>
      <c r="GNC160" s="719"/>
      <c r="GND160" s="719"/>
      <c r="GNE160" s="719"/>
      <c r="GNF160" s="719"/>
      <c r="GNG160" s="719"/>
      <c r="GNH160" s="719"/>
      <c r="GNI160" s="719"/>
      <c r="GNJ160" s="719"/>
      <c r="GNK160" s="719"/>
      <c r="GNL160" s="719"/>
      <c r="GNM160" s="719"/>
      <c r="GNN160" s="719"/>
      <c r="GNO160" s="719"/>
      <c r="GNP160" s="719"/>
      <c r="GNQ160" s="719"/>
      <c r="GNR160" s="719"/>
      <c r="GNS160" s="719"/>
      <c r="GNT160" s="719"/>
      <c r="GNU160" s="719"/>
      <c r="GNV160" s="719"/>
      <c r="GNW160" s="719"/>
      <c r="GNX160" s="719"/>
      <c r="GNY160" s="719"/>
      <c r="GNZ160" s="719"/>
      <c r="GOA160" s="719"/>
      <c r="GOB160" s="719"/>
      <c r="GOC160" s="719"/>
      <c r="GOD160" s="719"/>
      <c r="GOE160" s="719"/>
      <c r="GOF160" s="719"/>
      <c r="GOG160" s="719"/>
      <c r="GOH160" s="719"/>
      <c r="GOI160" s="719"/>
      <c r="GOJ160" s="719"/>
      <c r="GOK160" s="719"/>
      <c r="GOL160" s="719"/>
      <c r="GOM160" s="719"/>
      <c r="GON160" s="719"/>
      <c r="GOO160" s="719"/>
      <c r="GOP160" s="719"/>
      <c r="GOQ160" s="719"/>
      <c r="GOR160" s="719"/>
      <c r="GOS160" s="719"/>
      <c r="GOT160" s="719"/>
      <c r="GOU160" s="719"/>
      <c r="GOV160" s="719"/>
      <c r="GOW160" s="719"/>
      <c r="GOX160" s="719"/>
      <c r="GOY160" s="719"/>
      <c r="GOZ160" s="719"/>
      <c r="GPA160" s="719"/>
      <c r="GPB160" s="719"/>
      <c r="GPC160" s="719"/>
      <c r="GPD160" s="719"/>
      <c r="GPE160" s="719"/>
      <c r="GPF160" s="719"/>
      <c r="GPG160" s="719"/>
      <c r="GPH160" s="719"/>
      <c r="GPI160" s="719"/>
      <c r="GPJ160" s="719"/>
      <c r="GPK160" s="719"/>
      <c r="GPL160" s="719"/>
      <c r="GPM160" s="719"/>
      <c r="GPN160" s="719"/>
      <c r="GPO160" s="719"/>
      <c r="GPP160" s="719"/>
      <c r="GPQ160" s="719"/>
      <c r="GPR160" s="719"/>
      <c r="GPS160" s="719"/>
      <c r="GPT160" s="719"/>
      <c r="GPU160" s="719"/>
      <c r="GPV160" s="719"/>
      <c r="GPW160" s="719"/>
      <c r="GPX160" s="719"/>
      <c r="GPY160" s="719"/>
      <c r="GPZ160" s="719"/>
      <c r="GQA160" s="719"/>
      <c r="GQB160" s="719"/>
      <c r="GQC160" s="719"/>
      <c r="GQD160" s="719"/>
      <c r="GQE160" s="719"/>
      <c r="GQF160" s="719"/>
      <c r="GQG160" s="719"/>
      <c r="GQH160" s="719"/>
      <c r="GQI160" s="719"/>
      <c r="GQJ160" s="719"/>
      <c r="GQK160" s="719"/>
      <c r="GQL160" s="719"/>
      <c r="GQM160" s="719"/>
      <c r="GQN160" s="719"/>
      <c r="GQO160" s="719"/>
      <c r="GQP160" s="719"/>
      <c r="GQQ160" s="719"/>
      <c r="GQR160" s="719"/>
      <c r="GQS160" s="719"/>
      <c r="GQT160" s="719"/>
      <c r="GQU160" s="719"/>
      <c r="GQV160" s="719"/>
      <c r="GQW160" s="719"/>
      <c r="GQX160" s="719"/>
      <c r="GQY160" s="719"/>
      <c r="GQZ160" s="719"/>
      <c r="GRA160" s="719"/>
      <c r="GRB160" s="719"/>
      <c r="GRC160" s="719"/>
      <c r="GRD160" s="719"/>
      <c r="GRE160" s="719"/>
      <c r="GRF160" s="719"/>
      <c r="GRG160" s="719"/>
      <c r="GRH160" s="719"/>
      <c r="GRI160" s="719"/>
      <c r="GRJ160" s="719"/>
      <c r="GRK160" s="719"/>
      <c r="GRL160" s="719"/>
      <c r="GRM160" s="719"/>
      <c r="GRN160" s="719"/>
      <c r="GRO160" s="719"/>
      <c r="GRP160" s="719"/>
      <c r="GRQ160" s="719"/>
      <c r="GRR160" s="719"/>
      <c r="GRS160" s="719"/>
      <c r="GRT160" s="719"/>
      <c r="GRU160" s="719"/>
      <c r="GRV160" s="719"/>
      <c r="GRW160" s="719"/>
      <c r="GRX160" s="719"/>
      <c r="GRY160" s="719"/>
      <c r="GRZ160" s="719"/>
      <c r="GSA160" s="719"/>
      <c r="GSB160" s="719"/>
      <c r="GSC160" s="719"/>
      <c r="GSD160" s="719"/>
      <c r="GSE160" s="719"/>
      <c r="GSF160" s="719"/>
      <c r="GSG160" s="719"/>
      <c r="GSH160" s="719"/>
      <c r="GSI160" s="719"/>
      <c r="GSJ160" s="719"/>
      <c r="GSK160" s="719"/>
      <c r="GSL160" s="719"/>
      <c r="GSM160" s="719"/>
      <c r="GSN160" s="719"/>
      <c r="GSO160" s="719"/>
      <c r="GSP160" s="719"/>
      <c r="GSQ160" s="719"/>
      <c r="GSR160" s="719"/>
      <c r="GSS160" s="719"/>
      <c r="GST160" s="719"/>
      <c r="GSU160" s="719"/>
      <c r="GSV160" s="719"/>
      <c r="GSW160" s="719"/>
      <c r="GSX160" s="719"/>
      <c r="GSY160" s="719"/>
      <c r="GSZ160" s="719"/>
      <c r="GTA160" s="719"/>
      <c r="GTB160" s="719"/>
      <c r="GTC160" s="719"/>
      <c r="GTD160" s="719"/>
      <c r="GTE160" s="719"/>
      <c r="GTF160" s="719"/>
      <c r="GTG160" s="719"/>
      <c r="GTH160" s="719"/>
      <c r="GTI160" s="719"/>
      <c r="GTJ160" s="719"/>
      <c r="GTK160" s="719"/>
      <c r="GTL160" s="719"/>
      <c r="GTM160" s="719"/>
      <c r="GTN160" s="719"/>
      <c r="GTO160" s="719"/>
      <c r="GTP160" s="719"/>
      <c r="GTQ160" s="719"/>
      <c r="GTR160" s="719"/>
      <c r="GTS160" s="719"/>
      <c r="GTT160" s="719"/>
      <c r="GTU160" s="719"/>
      <c r="GTV160" s="719"/>
      <c r="GTW160" s="719"/>
      <c r="GTX160" s="719"/>
      <c r="GTY160" s="719"/>
      <c r="GTZ160" s="719"/>
      <c r="GUA160" s="719"/>
      <c r="GUB160" s="719"/>
      <c r="GUC160" s="719"/>
      <c r="GUD160" s="719"/>
      <c r="GUE160" s="719"/>
      <c r="GUF160" s="719"/>
      <c r="GUG160" s="719"/>
      <c r="GUH160" s="719"/>
      <c r="GUI160" s="719"/>
      <c r="GUJ160" s="719"/>
      <c r="GUK160" s="719"/>
      <c r="GUL160" s="719"/>
      <c r="GUM160" s="719"/>
      <c r="GUN160" s="719"/>
      <c r="GUO160" s="719"/>
      <c r="GUP160" s="719"/>
      <c r="GUQ160" s="719"/>
      <c r="GUR160" s="719"/>
      <c r="GUS160" s="719"/>
      <c r="GUT160" s="719"/>
      <c r="GUU160" s="719"/>
      <c r="GUV160" s="719"/>
      <c r="GUW160" s="719"/>
      <c r="GUX160" s="719"/>
      <c r="GUY160" s="719"/>
      <c r="GUZ160" s="719"/>
      <c r="GVA160" s="719"/>
      <c r="GVB160" s="719"/>
      <c r="GVC160" s="719"/>
      <c r="GVD160" s="719"/>
      <c r="GVE160" s="719"/>
      <c r="GVF160" s="719"/>
      <c r="GVG160" s="719"/>
      <c r="GVH160" s="719"/>
      <c r="GVI160" s="719"/>
      <c r="GVJ160" s="719"/>
      <c r="GVK160" s="719"/>
      <c r="GVL160" s="719"/>
      <c r="GVM160" s="719"/>
      <c r="GVN160" s="719"/>
      <c r="GVO160" s="719"/>
      <c r="GVP160" s="719"/>
      <c r="GVQ160" s="719"/>
      <c r="GVR160" s="719"/>
      <c r="GVS160" s="719"/>
      <c r="GVT160" s="719"/>
      <c r="GVU160" s="719"/>
      <c r="GVV160" s="719"/>
      <c r="GVW160" s="719"/>
      <c r="GVX160" s="719"/>
      <c r="GVY160" s="719"/>
      <c r="GVZ160" s="719"/>
      <c r="GWA160" s="719"/>
      <c r="GWB160" s="719"/>
      <c r="GWC160" s="719"/>
      <c r="GWD160" s="719"/>
      <c r="GWE160" s="719"/>
      <c r="GWF160" s="719"/>
      <c r="GWG160" s="719"/>
      <c r="GWH160" s="719"/>
      <c r="GWI160" s="719"/>
      <c r="GWJ160" s="719"/>
      <c r="GWK160" s="719"/>
      <c r="GWL160" s="719"/>
      <c r="GWM160" s="719"/>
      <c r="GWN160" s="719"/>
      <c r="GWO160" s="719"/>
      <c r="GWP160" s="719"/>
      <c r="GWQ160" s="719"/>
      <c r="GWR160" s="719"/>
      <c r="GWS160" s="719"/>
      <c r="GWT160" s="719"/>
      <c r="GWU160" s="719"/>
      <c r="GWV160" s="719"/>
      <c r="GWW160" s="719"/>
      <c r="GWX160" s="719"/>
      <c r="GWY160" s="719"/>
      <c r="GWZ160" s="719"/>
      <c r="GXA160" s="719"/>
      <c r="GXB160" s="719"/>
      <c r="GXC160" s="719"/>
      <c r="GXD160" s="719"/>
      <c r="GXE160" s="719"/>
      <c r="GXF160" s="719"/>
      <c r="GXG160" s="719"/>
      <c r="GXH160" s="719"/>
      <c r="GXI160" s="719"/>
      <c r="GXJ160" s="719"/>
      <c r="GXK160" s="719"/>
      <c r="GXL160" s="719"/>
      <c r="GXM160" s="719"/>
      <c r="GXN160" s="719"/>
      <c r="GXO160" s="719"/>
      <c r="GXP160" s="719"/>
      <c r="GXQ160" s="719"/>
      <c r="GXR160" s="719"/>
      <c r="GXS160" s="719"/>
      <c r="GXT160" s="719"/>
      <c r="GXU160" s="719"/>
      <c r="GXV160" s="719"/>
      <c r="GXW160" s="719"/>
      <c r="GXX160" s="719"/>
      <c r="GXY160" s="719"/>
      <c r="GXZ160" s="719"/>
      <c r="GYA160" s="719"/>
      <c r="GYB160" s="719"/>
      <c r="GYC160" s="719"/>
      <c r="GYD160" s="719"/>
      <c r="GYE160" s="719"/>
      <c r="GYF160" s="719"/>
      <c r="GYG160" s="719"/>
      <c r="GYH160" s="719"/>
      <c r="GYI160" s="719"/>
      <c r="GYJ160" s="719"/>
      <c r="GYK160" s="719"/>
      <c r="GYL160" s="719"/>
      <c r="GYM160" s="719"/>
      <c r="GYN160" s="719"/>
      <c r="GYO160" s="719"/>
      <c r="GYP160" s="719"/>
      <c r="GYQ160" s="719"/>
      <c r="GYR160" s="719"/>
      <c r="GYS160" s="719"/>
      <c r="GYT160" s="719"/>
      <c r="GYU160" s="719"/>
      <c r="GYV160" s="719"/>
      <c r="GYW160" s="719"/>
      <c r="GYX160" s="719"/>
      <c r="GYY160" s="719"/>
      <c r="GYZ160" s="719"/>
      <c r="GZA160" s="719"/>
      <c r="GZB160" s="719"/>
      <c r="GZC160" s="719"/>
      <c r="GZD160" s="719"/>
      <c r="GZE160" s="719"/>
      <c r="GZF160" s="719"/>
      <c r="GZG160" s="719"/>
      <c r="GZH160" s="719"/>
      <c r="GZI160" s="719"/>
      <c r="GZJ160" s="719"/>
      <c r="GZK160" s="719"/>
      <c r="GZL160" s="719"/>
      <c r="GZM160" s="719"/>
      <c r="GZN160" s="719"/>
      <c r="GZO160" s="719"/>
      <c r="GZP160" s="719"/>
      <c r="GZQ160" s="719"/>
      <c r="GZR160" s="719"/>
      <c r="GZS160" s="719"/>
      <c r="GZT160" s="719"/>
      <c r="GZU160" s="719"/>
      <c r="GZV160" s="719"/>
      <c r="GZW160" s="719"/>
      <c r="GZX160" s="719"/>
      <c r="GZY160" s="719"/>
      <c r="GZZ160" s="719"/>
      <c r="HAA160" s="719"/>
      <c r="HAB160" s="719"/>
      <c r="HAC160" s="719"/>
      <c r="HAD160" s="719"/>
      <c r="HAE160" s="719"/>
      <c r="HAF160" s="719"/>
      <c r="HAG160" s="719"/>
      <c r="HAH160" s="719"/>
      <c r="HAI160" s="719"/>
      <c r="HAJ160" s="719"/>
      <c r="HAK160" s="719"/>
      <c r="HAL160" s="719"/>
      <c r="HAM160" s="719"/>
      <c r="HAN160" s="719"/>
      <c r="HAO160" s="719"/>
      <c r="HAP160" s="719"/>
      <c r="HAQ160" s="719"/>
      <c r="HAR160" s="719"/>
      <c r="HAS160" s="719"/>
      <c r="HAT160" s="719"/>
      <c r="HAU160" s="719"/>
      <c r="HAV160" s="719"/>
      <c r="HAW160" s="719"/>
      <c r="HAX160" s="719"/>
      <c r="HAY160" s="719"/>
      <c r="HAZ160" s="719"/>
      <c r="HBA160" s="719"/>
      <c r="HBB160" s="719"/>
      <c r="HBC160" s="719"/>
      <c r="HBD160" s="719"/>
      <c r="HBE160" s="719"/>
      <c r="HBF160" s="719"/>
      <c r="HBG160" s="719"/>
      <c r="HBH160" s="719"/>
      <c r="HBI160" s="719"/>
      <c r="HBJ160" s="719"/>
      <c r="HBK160" s="719"/>
      <c r="HBL160" s="719"/>
      <c r="HBM160" s="719"/>
      <c r="HBN160" s="719"/>
      <c r="HBO160" s="719"/>
      <c r="HBP160" s="719"/>
      <c r="HBQ160" s="719"/>
      <c r="HBR160" s="719"/>
      <c r="HBS160" s="719"/>
      <c r="HBT160" s="719"/>
      <c r="HBU160" s="719"/>
      <c r="HBV160" s="719"/>
      <c r="HBW160" s="719"/>
      <c r="HBX160" s="719"/>
      <c r="HBY160" s="719"/>
      <c r="HBZ160" s="719"/>
      <c r="HCA160" s="719"/>
      <c r="HCB160" s="719"/>
      <c r="HCC160" s="719"/>
      <c r="HCD160" s="719"/>
      <c r="HCE160" s="719"/>
      <c r="HCF160" s="719"/>
      <c r="HCG160" s="719"/>
      <c r="HCH160" s="719"/>
      <c r="HCI160" s="719"/>
      <c r="HCJ160" s="719"/>
      <c r="HCK160" s="719"/>
      <c r="HCL160" s="719"/>
      <c r="HCM160" s="719"/>
      <c r="HCN160" s="719"/>
      <c r="HCO160" s="719"/>
      <c r="HCP160" s="719"/>
      <c r="HCQ160" s="719"/>
      <c r="HCR160" s="719"/>
      <c r="HCS160" s="719"/>
      <c r="HCT160" s="719"/>
      <c r="HCU160" s="719"/>
      <c r="HCV160" s="719"/>
      <c r="HCW160" s="719"/>
      <c r="HCX160" s="719"/>
      <c r="HCY160" s="719"/>
      <c r="HCZ160" s="719"/>
      <c r="HDA160" s="719"/>
      <c r="HDB160" s="719"/>
      <c r="HDC160" s="719"/>
      <c r="HDD160" s="719"/>
      <c r="HDE160" s="719"/>
      <c r="HDF160" s="719"/>
      <c r="HDG160" s="719"/>
      <c r="HDH160" s="719"/>
      <c r="HDI160" s="719"/>
      <c r="HDJ160" s="719"/>
      <c r="HDK160" s="719"/>
      <c r="HDL160" s="719"/>
      <c r="HDM160" s="719"/>
      <c r="HDN160" s="719"/>
      <c r="HDO160" s="719"/>
      <c r="HDP160" s="719"/>
      <c r="HDQ160" s="719"/>
      <c r="HDR160" s="719"/>
      <c r="HDS160" s="719"/>
      <c r="HDT160" s="719"/>
      <c r="HDU160" s="719"/>
      <c r="HDV160" s="719"/>
      <c r="HDW160" s="719"/>
      <c r="HDX160" s="719"/>
      <c r="HDY160" s="719"/>
      <c r="HDZ160" s="719"/>
      <c r="HEA160" s="719"/>
      <c r="HEB160" s="719"/>
      <c r="HEC160" s="719"/>
      <c r="HED160" s="719"/>
      <c r="HEE160" s="719"/>
      <c r="HEF160" s="719"/>
      <c r="HEG160" s="719"/>
      <c r="HEH160" s="719"/>
      <c r="HEI160" s="719"/>
      <c r="HEJ160" s="719"/>
      <c r="HEK160" s="719"/>
      <c r="HEL160" s="719"/>
      <c r="HEM160" s="719"/>
      <c r="HEN160" s="719"/>
      <c r="HEO160" s="719"/>
      <c r="HEP160" s="719"/>
      <c r="HEQ160" s="719"/>
      <c r="HER160" s="719"/>
      <c r="HES160" s="719"/>
      <c r="HET160" s="719"/>
      <c r="HEU160" s="719"/>
      <c r="HEV160" s="719"/>
      <c r="HEW160" s="719"/>
      <c r="HEX160" s="719"/>
      <c r="HEY160" s="719"/>
      <c r="HEZ160" s="719"/>
      <c r="HFA160" s="719"/>
      <c r="HFB160" s="719"/>
      <c r="HFC160" s="719"/>
      <c r="HFD160" s="719"/>
      <c r="HFE160" s="719"/>
      <c r="HFF160" s="719"/>
      <c r="HFG160" s="719"/>
      <c r="HFH160" s="719"/>
      <c r="HFI160" s="719"/>
      <c r="HFJ160" s="719"/>
      <c r="HFK160" s="719"/>
      <c r="HFL160" s="719"/>
      <c r="HFM160" s="719"/>
      <c r="HFN160" s="719"/>
      <c r="HFO160" s="719"/>
      <c r="HFP160" s="719"/>
      <c r="HFQ160" s="719"/>
      <c r="HFR160" s="719"/>
      <c r="HFS160" s="719"/>
      <c r="HFT160" s="719"/>
      <c r="HFU160" s="719"/>
      <c r="HFV160" s="719"/>
      <c r="HFW160" s="719"/>
      <c r="HFX160" s="719"/>
      <c r="HFY160" s="719"/>
      <c r="HFZ160" s="719"/>
      <c r="HGA160" s="719"/>
      <c r="HGB160" s="719"/>
      <c r="HGC160" s="719"/>
      <c r="HGD160" s="719"/>
      <c r="HGE160" s="719"/>
      <c r="HGF160" s="719"/>
      <c r="HGG160" s="719"/>
      <c r="HGH160" s="719"/>
      <c r="HGI160" s="719"/>
      <c r="HGJ160" s="719"/>
      <c r="HGK160" s="719"/>
      <c r="HGL160" s="719"/>
      <c r="HGM160" s="719"/>
      <c r="HGN160" s="719"/>
      <c r="HGO160" s="719"/>
      <c r="HGP160" s="719"/>
      <c r="HGQ160" s="719"/>
      <c r="HGR160" s="719"/>
      <c r="HGS160" s="719"/>
      <c r="HGT160" s="719"/>
      <c r="HGU160" s="719"/>
      <c r="HGV160" s="719"/>
      <c r="HGW160" s="719"/>
      <c r="HGX160" s="719"/>
      <c r="HGY160" s="719"/>
      <c r="HGZ160" s="719"/>
      <c r="HHA160" s="719"/>
      <c r="HHB160" s="719"/>
      <c r="HHC160" s="719"/>
      <c r="HHD160" s="719"/>
      <c r="HHE160" s="719"/>
      <c r="HHF160" s="719"/>
      <c r="HHG160" s="719"/>
      <c r="HHH160" s="719"/>
      <c r="HHI160" s="719"/>
      <c r="HHJ160" s="719"/>
      <c r="HHK160" s="719"/>
      <c r="HHL160" s="719"/>
      <c r="HHM160" s="719"/>
      <c r="HHN160" s="719"/>
      <c r="HHO160" s="719"/>
      <c r="HHP160" s="719"/>
      <c r="HHQ160" s="719"/>
      <c r="HHR160" s="719"/>
      <c r="HHS160" s="719"/>
      <c r="HHT160" s="719"/>
      <c r="HHU160" s="719"/>
      <c r="HHV160" s="719"/>
      <c r="HHW160" s="719"/>
      <c r="HHX160" s="719"/>
      <c r="HHY160" s="719"/>
      <c r="HHZ160" s="719"/>
      <c r="HIA160" s="719"/>
      <c r="HIB160" s="719"/>
      <c r="HIC160" s="719"/>
      <c r="HID160" s="719"/>
      <c r="HIE160" s="719"/>
      <c r="HIF160" s="719"/>
      <c r="HIG160" s="719"/>
      <c r="HIH160" s="719"/>
      <c r="HII160" s="719"/>
      <c r="HIJ160" s="719"/>
      <c r="HIK160" s="719"/>
      <c r="HIL160" s="719"/>
      <c r="HIM160" s="719"/>
      <c r="HIN160" s="719"/>
      <c r="HIO160" s="719"/>
      <c r="HIP160" s="719"/>
      <c r="HIQ160" s="719"/>
      <c r="HIR160" s="719"/>
      <c r="HIS160" s="719"/>
      <c r="HIT160" s="719"/>
      <c r="HIU160" s="719"/>
      <c r="HIV160" s="719"/>
      <c r="HIW160" s="719"/>
      <c r="HIX160" s="719"/>
      <c r="HIY160" s="719"/>
      <c r="HIZ160" s="719"/>
      <c r="HJA160" s="719"/>
      <c r="HJB160" s="719"/>
      <c r="HJC160" s="719"/>
      <c r="HJD160" s="719"/>
      <c r="HJE160" s="719"/>
      <c r="HJF160" s="719"/>
      <c r="HJG160" s="719"/>
      <c r="HJH160" s="719"/>
      <c r="HJI160" s="719"/>
      <c r="HJJ160" s="719"/>
      <c r="HJK160" s="719"/>
      <c r="HJL160" s="719"/>
      <c r="HJM160" s="719"/>
      <c r="HJN160" s="719"/>
      <c r="HJO160" s="719"/>
      <c r="HJP160" s="719"/>
      <c r="HJQ160" s="719"/>
      <c r="HJR160" s="719"/>
      <c r="HJS160" s="719"/>
      <c r="HJT160" s="719"/>
      <c r="HJU160" s="719"/>
      <c r="HJV160" s="719"/>
      <c r="HJW160" s="719"/>
      <c r="HJX160" s="719"/>
      <c r="HJY160" s="719"/>
      <c r="HJZ160" s="719"/>
      <c r="HKA160" s="719"/>
      <c r="HKB160" s="719"/>
      <c r="HKC160" s="719"/>
      <c r="HKD160" s="719"/>
      <c r="HKE160" s="719"/>
      <c r="HKF160" s="719"/>
      <c r="HKG160" s="719"/>
      <c r="HKH160" s="719"/>
      <c r="HKI160" s="719"/>
      <c r="HKJ160" s="719"/>
      <c r="HKK160" s="719"/>
      <c r="HKL160" s="719"/>
      <c r="HKM160" s="719"/>
      <c r="HKN160" s="719"/>
      <c r="HKO160" s="719"/>
      <c r="HKP160" s="719"/>
      <c r="HKQ160" s="719"/>
      <c r="HKR160" s="719"/>
      <c r="HKS160" s="719"/>
      <c r="HKT160" s="719"/>
      <c r="HKU160" s="719"/>
      <c r="HKV160" s="719"/>
      <c r="HKW160" s="719"/>
      <c r="HKX160" s="719"/>
      <c r="HKY160" s="719"/>
      <c r="HKZ160" s="719"/>
      <c r="HLA160" s="719"/>
      <c r="HLB160" s="719"/>
      <c r="HLC160" s="719"/>
      <c r="HLD160" s="719"/>
      <c r="HLE160" s="719"/>
      <c r="HLF160" s="719"/>
      <c r="HLG160" s="719"/>
      <c r="HLH160" s="719"/>
      <c r="HLI160" s="719"/>
      <c r="HLJ160" s="719"/>
      <c r="HLK160" s="719"/>
      <c r="HLL160" s="719"/>
      <c r="HLM160" s="719"/>
      <c r="HLN160" s="719"/>
      <c r="HLO160" s="719"/>
      <c r="HLP160" s="719"/>
      <c r="HLQ160" s="719"/>
      <c r="HLR160" s="719"/>
      <c r="HLS160" s="719"/>
      <c r="HLT160" s="719"/>
      <c r="HLU160" s="719"/>
      <c r="HLV160" s="719"/>
      <c r="HLW160" s="719"/>
      <c r="HLX160" s="719"/>
      <c r="HLY160" s="719"/>
      <c r="HLZ160" s="719"/>
      <c r="HMA160" s="719"/>
      <c r="HMB160" s="719"/>
      <c r="HMC160" s="719"/>
      <c r="HMD160" s="719"/>
      <c r="HME160" s="719"/>
      <c r="HMF160" s="719"/>
      <c r="HMG160" s="719"/>
      <c r="HMH160" s="719"/>
      <c r="HMI160" s="719"/>
      <c r="HMJ160" s="719"/>
      <c r="HMK160" s="719"/>
      <c r="HML160" s="719"/>
      <c r="HMM160" s="719"/>
      <c r="HMN160" s="719"/>
      <c r="HMO160" s="719"/>
      <c r="HMP160" s="719"/>
      <c r="HMQ160" s="719"/>
      <c r="HMR160" s="719"/>
      <c r="HMS160" s="719"/>
      <c r="HMT160" s="719"/>
      <c r="HMU160" s="719"/>
      <c r="HMV160" s="719"/>
      <c r="HMW160" s="719"/>
      <c r="HMX160" s="719"/>
      <c r="HMY160" s="719"/>
      <c r="HMZ160" s="719"/>
      <c r="HNA160" s="719"/>
      <c r="HNB160" s="719"/>
      <c r="HNC160" s="719"/>
      <c r="HND160" s="719"/>
      <c r="HNE160" s="719"/>
      <c r="HNF160" s="719"/>
      <c r="HNG160" s="719"/>
      <c r="HNH160" s="719"/>
      <c r="HNI160" s="719"/>
      <c r="HNJ160" s="719"/>
      <c r="HNK160" s="719"/>
      <c r="HNL160" s="719"/>
      <c r="HNM160" s="719"/>
      <c r="HNN160" s="719"/>
      <c r="HNO160" s="719"/>
      <c r="HNP160" s="719"/>
      <c r="HNQ160" s="719"/>
      <c r="HNR160" s="719"/>
      <c r="HNS160" s="719"/>
      <c r="HNT160" s="719"/>
      <c r="HNU160" s="719"/>
      <c r="HNV160" s="719"/>
      <c r="HNW160" s="719"/>
      <c r="HNX160" s="719"/>
      <c r="HNY160" s="719"/>
      <c r="HNZ160" s="719"/>
      <c r="HOA160" s="719"/>
      <c r="HOB160" s="719"/>
      <c r="HOC160" s="719"/>
      <c r="HOD160" s="719"/>
      <c r="HOE160" s="719"/>
      <c r="HOF160" s="719"/>
      <c r="HOG160" s="719"/>
      <c r="HOH160" s="719"/>
      <c r="HOI160" s="719"/>
      <c r="HOJ160" s="719"/>
      <c r="HOK160" s="719"/>
      <c r="HOL160" s="719"/>
      <c r="HOM160" s="719"/>
      <c r="HON160" s="719"/>
      <c r="HOO160" s="719"/>
      <c r="HOP160" s="719"/>
      <c r="HOQ160" s="719"/>
      <c r="HOR160" s="719"/>
      <c r="HOS160" s="719"/>
      <c r="HOT160" s="719"/>
      <c r="HOU160" s="719"/>
      <c r="HOV160" s="719"/>
      <c r="HOW160" s="719"/>
      <c r="HOX160" s="719"/>
      <c r="HOY160" s="719"/>
      <c r="HOZ160" s="719"/>
      <c r="HPA160" s="719"/>
      <c r="HPB160" s="719"/>
      <c r="HPC160" s="719"/>
      <c r="HPD160" s="719"/>
      <c r="HPE160" s="719"/>
      <c r="HPF160" s="719"/>
      <c r="HPG160" s="719"/>
      <c r="HPH160" s="719"/>
      <c r="HPI160" s="719"/>
      <c r="HPJ160" s="719"/>
      <c r="HPK160" s="719"/>
      <c r="HPL160" s="719"/>
      <c r="HPM160" s="719"/>
      <c r="HPN160" s="719"/>
      <c r="HPO160" s="719"/>
      <c r="HPP160" s="719"/>
      <c r="HPQ160" s="719"/>
      <c r="HPR160" s="719"/>
      <c r="HPS160" s="719"/>
      <c r="HPT160" s="719"/>
      <c r="HPU160" s="719"/>
      <c r="HPV160" s="719"/>
      <c r="HPW160" s="719"/>
      <c r="HPX160" s="719"/>
      <c r="HPY160" s="719"/>
      <c r="HPZ160" s="719"/>
      <c r="HQA160" s="719"/>
      <c r="HQB160" s="719"/>
      <c r="HQC160" s="719"/>
      <c r="HQD160" s="719"/>
      <c r="HQE160" s="719"/>
      <c r="HQF160" s="719"/>
      <c r="HQG160" s="719"/>
      <c r="HQH160" s="719"/>
      <c r="HQI160" s="719"/>
      <c r="HQJ160" s="719"/>
      <c r="HQK160" s="719"/>
      <c r="HQL160" s="719"/>
      <c r="HQM160" s="719"/>
      <c r="HQN160" s="719"/>
      <c r="HQO160" s="719"/>
      <c r="HQP160" s="719"/>
      <c r="HQQ160" s="719"/>
      <c r="HQR160" s="719"/>
      <c r="HQS160" s="719"/>
      <c r="HQT160" s="719"/>
      <c r="HQU160" s="719"/>
      <c r="HQV160" s="719"/>
      <c r="HQW160" s="719"/>
      <c r="HQX160" s="719"/>
      <c r="HQY160" s="719"/>
      <c r="HQZ160" s="719"/>
      <c r="HRA160" s="719"/>
      <c r="HRB160" s="719"/>
      <c r="HRC160" s="719"/>
      <c r="HRD160" s="719"/>
      <c r="HRE160" s="719"/>
      <c r="HRF160" s="719"/>
      <c r="HRG160" s="719"/>
      <c r="HRH160" s="719"/>
      <c r="HRI160" s="719"/>
      <c r="HRJ160" s="719"/>
      <c r="HRK160" s="719"/>
      <c r="HRL160" s="719"/>
      <c r="HRM160" s="719"/>
      <c r="HRN160" s="719"/>
      <c r="HRO160" s="719"/>
      <c r="HRP160" s="719"/>
      <c r="HRQ160" s="719"/>
      <c r="HRR160" s="719"/>
      <c r="HRS160" s="719"/>
      <c r="HRT160" s="719"/>
      <c r="HRU160" s="719"/>
      <c r="HRV160" s="719"/>
      <c r="HRW160" s="719"/>
      <c r="HRX160" s="719"/>
      <c r="HRY160" s="719"/>
      <c r="HRZ160" s="719"/>
      <c r="HSA160" s="719"/>
      <c r="HSB160" s="719"/>
      <c r="HSC160" s="719"/>
      <c r="HSD160" s="719"/>
      <c r="HSE160" s="719"/>
      <c r="HSF160" s="719"/>
      <c r="HSG160" s="719"/>
      <c r="HSH160" s="719"/>
      <c r="HSI160" s="719"/>
      <c r="HSJ160" s="719"/>
      <c r="HSK160" s="719"/>
      <c r="HSL160" s="719"/>
      <c r="HSM160" s="719"/>
      <c r="HSN160" s="719"/>
      <c r="HSO160" s="719"/>
      <c r="HSP160" s="719"/>
      <c r="HSQ160" s="719"/>
      <c r="HSR160" s="719"/>
      <c r="HSS160" s="719"/>
      <c r="HST160" s="719"/>
      <c r="HSU160" s="719"/>
      <c r="HSV160" s="719"/>
      <c r="HSW160" s="719"/>
      <c r="HSX160" s="719"/>
      <c r="HSY160" s="719"/>
      <c r="HSZ160" s="719"/>
      <c r="HTA160" s="719"/>
      <c r="HTB160" s="719"/>
      <c r="HTC160" s="719"/>
      <c r="HTD160" s="719"/>
      <c r="HTE160" s="719"/>
      <c r="HTF160" s="719"/>
      <c r="HTG160" s="719"/>
      <c r="HTH160" s="719"/>
      <c r="HTI160" s="719"/>
      <c r="HTJ160" s="719"/>
      <c r="HTK160" s="719"/>
      <c r="HTL160" s="719"/>
      <c r="HTM160" s="719"/>
      <c r="HTN160" s="719"/>
      <c r="HTO160" s="719"/>
      <c r="HTP160" s="719"/>
      <c r="HTQ160" s="719"/>
      <c r="HTR160" s="719"/>
      <c r="HTS160" s="719"/>
      <c r="HTT160" s="719"/>
      <c r="HTU160" s="719"/>
      <c r="HTV160" s="719"/>
      <c r="HTW160" s="719"/>
      <c r="HTX160" s="719"/>
      <c r="HTY160" s="719"/>
      <c r="HTZ160" s="719"/>
      <c r="HUA160" s="719"/>
      <c r="HUB160" s="719"/>
      <c r="HUC160" s="719"/>
      <c r="HUD160" s="719"/>
      <c r="HUE160" s="719"/>
      <c r="HUF160" s="719"/>
      <c r="HUG160" s="719"/>
      <c r="HUH160" s="719"/>
      <c r="HUI160" s="719"/>
      <c r="HUJ160" s="719"/>
      <c r="HUK160" s="719"/>
      <c r="HUL160" s="719"/>
      <c r="HUM160" s="719"/>
      <c r="HUN160" s="719"/>
      <c r="HUO160" s="719"/>
      <c r="HUP160" s="719"/>
      <c r="HUQ160" s="719"/>
      <c r="HUR160" s="719"/>
      <c r="HUS160" s="719"/>
      <c r="HUT160" s="719"/>
      <c r="HUU160" s="719"/>
      <c r="HUV160" s="719"/>
      <c r="HUW160" s="719"/>
      <c r="HUX160" s="719"/>
      <c r="HUY160" s="719"/>
      <c r="HUZ160" s="719"/>
      <c r="HVA160" s="719"/>
      <c r="HVB160" s="719"/>
      <c r="HVC160" s="719"/>
      <c r="HVD160" s="719"/>
      <c r="HVE160" s="719"/>
      <c r="HVF160" s="719"/>
      <c r="HVG160" s="719"/>
      <c r="HVH160" s="719"/>
      <c r="HVI160" s="719"/>
      <c r="HVJ160" s="719"/>
      <c r="HVK160" s="719"/>
      <c r="HVL160" s="719"/>
      <c r="HVM160" s="719"/>
      <c r="HVN160" s="719"/>
      <c r="HVO160" s="719"/>
      <c r="HVP160" s="719"/>
      <c r="HVQ160" s="719"/>
      <c r="HVR160" s="719"/>
      <c r="HVS160" s="719"/>
      <c r="HVT160" s="719"/>
      <c r="HVU160" s="719"/>
      <c r="HVV160" s="719"/>
      <c r="HVW160" s="719"/>
      <c r="HVX160" s="719"/>
      <c r="HVY160" s="719"/>
      <c r="HVZ160" s="719"/>
      <c r="HWA160" s="719"/>
      <c r="HWB160" s="719"/>
      <c r="HWC160" s="719"/>
      <c r="HWD160" s="719"/>
      <c r="HWE160" s="719"/>
      <c r="HWF160" s="719"/>
      <c r="HWG160" s="719"/>
      <c r="HWH160" s="719"/>
      <c r="HWI160" s="719"/>
      <c r="HWJ160" s="719"/>
      <c r="HWK160" s="719"/>
      <c r="HWL160" s="719"/>
      <c r="HWM160" s="719"/>
      <c r="HWN160" s="719"/>
      <c r="HWO160" s="719"/>
      <c r="HWP160" s="719"/>
      <c r="HWQ160" s="719"/>
      <c r="HWR160" s="719"/>
      <c r="HWS160" s="719"/>
      <c r="HWT160" s="719"/>
      <c r="HWU160" s="719"/>
      <c r="HWV160" s="719"/>
      <c r="HWW160" s="719"/>
      <c r="HWX160" s="719"/>
      <c r="HWY160" s="719"/>
      <c r="HWZ160" s="719"/>
      <c r="HXA160" s="719"/>
      <c r="HXB160" s="719"/>
      <c r="HXC160" s="719"/>
      <c r="HXD160" s="719"/>
      <c r="HXE160" s="719"/>
      <c r="HXF160" s="719"/>
      <c r="HXG160" s="719"/>
      <c r="HXH160" s="719"/>
      <c r="HXI160" s="719"/>
      <c r="HXJ160" s="719"/>
      <c r="HXK160" s="719"/>
      <c r="HXL160" s="719"/>
      <c r="HXM160" s="719"/>
      <c r="HXN160" s="719"/>
      <c r="HXO160" s="719"/>
      <c r="HXP160" s="719"/>
      <c r="HXQ160" s="719"/>
      <c r="HXR160" s="719"/>
      <c r="HXS160" s="719"/>
      <c r="HXT160" s="719"/>
      <c r="HXU160" s="719"/>
      <c r="HXV160" s="719"/>
      <c r="HXW160" s="719"/>
      <c r="HXX160" s="719"/>
      <c r="HXY160" s="719"/>
      <c r="HXZ160" s="719"/>
      <c r="HYA160" s="719"/>
      <c r="HYB160" s="719"/>
      <c r="HYC160" s="719"/>
      <c r="HYD160" s="719"/>
      <c r="HYE160" s="719"/>
      <c r="HYF160" s="719"/>
      <c r="HYG160" s="719"/>
      <c r="HYH160" s="719"/>
      <c r="HYI160" s="719"/>
      <c r="HYJ160" s="719"/>
      <c r="HYK160" s="719"/>
      <c r="HYL160" s="719"/>
      <c r="HYM160" s="719"/>
      <c r="HYN160" s="719"/>
      <c r="HYO160" s="719"/>
      <c r="HYP160" s="719"/>
      <c r="HYQ160" s="719"/>
      <c r="HYR160" s="719"/>
      <c r="HYS160" s="719"/>
      <c r="HYT160" s="719"/>
      <c r="HYU160" s="719"/>
      <c r="HYV160" s="719"/>
      <c r="HYW160" s="719"/>
      <c r="HYX160" s="719"/>
      <c r="HYY160" s="719"/>
      <c r="HYZ160" s="719"/>
      <c r="HZA160" s="719"/>
      <c r="HZB160" s="719"/>
      <c r="HZC160" s="719"/>
      <c r="HZD160" s="719"/>
      <c r="HZE160" s="719"/>
      <c r="HZF160" s="719"/>
      <c r="HZG160" s="719"/>
      <c r="HZH160" s="719"/>
      <c r="HZI160" s="719"/>
      <c r="HZJ160" s="719"/>
      <c r="HZK160" s="719"/>
      <c r="HZL160" s="719"/>
      <c r="HZM160" s="719"/>
      <c r="HZN160" s="719"/>
      <c r="HZO160" s="719"/>
      <c r="HZP160" s="719"/>
      <c r="HZQ160" s="719"/>
      <c r="HZR160" s="719"/>
      <c r="HZS160" s="719"/>
      <c r="HZT160" s="719"/>
      <c r="HZU160" s="719"/>
      <c r="HZV160" s="719"/>
      <c r="HZW160" s="719"/>
      <c r="HZX160" s="719"/>
      <c r="HZY160" s="719"/>
      <c r="HZZ160" s="719"/>
      <c r="IAA160" s="719"/>
      <c r="IAB160" s="719"/>
      <c r="IAC160" s="719"/>
      <c r="IAD160" s="719"/>
      <c r="IAE160" s="719"/>
      <c r="IAF160" s="719"/>
      <c r="IAG160" s="719"/>
      <c r="IAH160" s="719"/>
      <c r="IAI160" s="719"/>
      <c r="IAJ160" s="719"/>
      <c r="IAK160" s="719"/>
      <c r="IAL160" s="719"/>
      <c r="IAM160" s="719"/>
      <c r="IAN160" s="719"/>
      <c r="IAO160" s="719"/>
      <c r="IAP160" s="719"/>
      <c r="IAQ160" s="719"/>
      <c r="IAR160" s="719"/>
      <c r="IAS160" s="719"/>
      <c r="IAT160" s="719"/>
      <c r="IAU160" s="719"/>
      <c r="IAV160" s="719"/>
      <c r="IAW160" s="719"/>
      <c r="IAX160" s="719"/>
      <c r="IAY160" s="719"/>
      <c r="IAZ160" s="719"/>
      <c r="IBA160" s="719"/>
      <c r="IBB160" s="719"/>
      <c r="IBC160" s="719"/>
      <c r="IBD160" s="719"/>
      <c r="IBE160" s="719"/>
      <c r="IBF160" s="719"/>
      <c r="IBG160" s="719"/>
      <c r="IBH160" s="719"/>
      <c r="IBI160" s="719"/>
      <c r="IBJ160" s="719"/>
      <c r="IBK160" s="719"/>
      <c r="IBL160" s="719"/>
      <c r="IBM160" s="719"/>
      <c r="IBN160" s="719"/>
      <c r="IBO160" s="719"/>
      <c r="IBP160" s="719"/>
      <c r="IBQ160" s="719"/>
      <c r="IBR160" s="719"/>
      <c r="IBS160" s="719"/>
      <c r="IBT160" s="719"/>
      <c r="IBU160" s="719"/>
      <c r="IBV160" s="719"/>
      <c r="IBW160" s="719"/>
      <c r="IBX160" s="719"/>
      <c r="IBY160" s="719"/>
      <c r="IBZ160" s="719"/>
      <c r="ICA160" s="719"/>
      <c r="ICB160" s="719"/>
      <c r="ICC160" s="719"/>
      <c r="ICD160" s="719"/>
      <c r="ICE160" s="719"/>
      <c r="ICF160" s="719"/>
      <c r="ICG160" s="719"/>
      <c r="ICH160" s="719"/>
      <c r="ICI160" s="719"/>
      <c r="ICJ160" s="719"/>
      <c r="ICK160" s="719"/>
      <c r="ICL160" s="719"/>
      <c r="ICM160" s="719"/>
      <c r="ICN160" s="719"/>
      <c r="ICO160" s="719"/>
      <c r="ICP160" s="719"/>
      <c r="ICQ160" s="719"/>
      <c r="ICR160" s="719"/>
      <c r="ICS160" s="719"/>
      <c r="ICT160" s="719"/>
      <c r="ICU160" s="719"/>
      <c r="ICV160" s="719"/>
      <c r="ICW160" s="719"/>
      <c r="ICX160" s="719"/>
      <c r="ICY160" s="719"/>
      <c r="ICZ160" s="719"/>
      <c r="IDA160" s="719"/>
      <c r="IDB160" s="719"/>
      <c r="IDC160" s="719"/>
      <c r="IDD160" s="719"/>
      <c r="IDE160" s="719"/>
      <c r="IDF160" s="719"/>
      <c r="IDG160" s="719"/>
      <c r="IDH160" s="719"/>
      <c r="IDI160" s="719"/>
      <c r="IDJ160" s="719"/>
      <c r="IDK160" s="719"/>
      <c r="IDL160" s="719"/>
      <c r="IDM160" s="719"/>
      <c r="IDN160" s="719"/>
      <c r="IDO160" s="719"/>
      <c r="IDP160" s="719"/>
      <c r="IDQ160" s="719"/>
      <c r="IDR160" s="719"/>
      <c r="IDS160" s="719"/>
      <c r="IDT160" s="719"/>
      <c r="IDU160" s="719"/>
      <c r="IDV160" s="719"/>
      <c r="IDW160" s="719"/>
      <c r="IDX160" s="719"/>
      <c r="IDY160" s="719"/>
      <c r="IDZ160" s="719"/>
      <c r="IEA160" s="719"/>
      <c r="IEB160" s="719"/>
      <c r="IEC160" s="719"/>
      <c r="IED160" s="719"/>
      <c r="IEE160" s="719"/>
      <c r="IEF160" s="719"/>
      <c r="IEG160" s="719"/>
      <c r="IEH160" s="719"/>
      <c r="IEI160" s="719"/>
      <c r="IEJ160" s="719"/>
      <c r="IEK160" s="719"/>
      <c r="IEL160" s="719"/>
      <c r="IEM160" s="719"/>
      <c r="IEN160" s="719"/>
      <c r="IEO160" s="719"/>
      <c r="IEP160" s="719"/>
      <c r="IEQ160" s="719"/>
      <c r="IER160" s="719"/>
      <c r="IES160" s="719"/>
      <c r="IET160" s="719"/>
      <c r="IEU160" s="719"/>
      <c r="IEV160" s="719"/>
      <c r="IEW160" s="719"/>
      <c r="IEX160" s="719"/>
      <c r="IEY160" s="719"/>
      <c r="IEZ160" s="719"/>
      <c r="IFA160" s="719"/>
      <c r="IFB160" s="719"/>
      <c r="IFC160" s="719"/>
      <c r="IFD160" s="719"/>
      <c r="IFE160" s="719"/>
      <c r="IFF160" s="719"/>
      <c r="IFG160" s="719"/>
      <c r="IFH160" s="719"/>
      <c r="IFI160" s="719"/>
      <c r="IFJ160" s="719"/>
      <c r="IFK160" s="719"/>
      <c r="IFL160" s="719"/>
      <c r="IFM160" s="719"/>
      <c r="IFN160" s="719"/>
      <c r="IFO160" s="719"/>
      <c r="IFP160" s="719"/>
      <c r="IFQ160" s="719"/>
      <c r="IFR160" s="719"/>
      <c r="IFS160" s="719"/>
      <c r="IFT160" s="719"/>
      <c r="IFU160" s="719"/>
      <c r="IFV160" s="719"/>
      <c r="IFW160" s="719"/>
      <c r="IFX160" s="719"/>
      <c r="IFY160" s="719"/>
      <c r="IFZ160" s="719"/>
      <c r="IGA160" s="719"/>
      <c r="IGB160" s="719"/>
      <c r="IGC160" s="719"/>
      <c r="IGD160" s="719"/>
      <c r="IGE160" s="719"/>
      <c r="IGF160" s="719"/>
      <c r="IGG160" s="719"/>
      <c r="IGH160" s="719"/>
      <c r="IGI160" s="719"/>
      <c r="IGJ160" s="719"/>
      <c r="IGK160" s="719"/>
      <c r="IGL160" s="719"/>
      <c r="IGM160" s="719"/>
      <c r="IGN160" s="719"/>
      <c r="IGO160" s="719"/>
      <c r="IGP160" s="719"/>
      <c r="IGQ160" s="719"/>
      <c r="IGR160" s="719"/>
      <c r="IGS160" s="719"/>
      <c r="IGT160" s="719"/>
      <c r="IGU160" s="719"/>
      <c r="IGV160" s="719"/>
      <c r="IGW160" s="719"/>
      <c r="IGX160" s="719"/>
      <c r="IGY160" s="719"/>
      <c r="IGZ160" s="719"/>
      <c r="IHA160" s="719"/>
      <c r="IHB160" s="719"/>
      <c r="IHC160" s="719"/>
      <c r="IHD160" s="719"/>
      <c r="IHE160" s="719"/>
      <c r="IHF160" s="719"/>
      <c r="IHG160" s="719"/>
      <c r="IHH160" s="719"/>
      <c r="IHI160" s="719"/>
      <c r="IHJ160" s="719"/>
      <c r="IHK160" s="719"/>
      <c r="IHL160" s="719"/>
      <c r="IHM160" s="719"/>
      <c r="IHN160" s="719"/>
      <c r="IHO160" s="719"/>
      <c r="IHP160" s="719"/>
      <c r="IHQ160" s="719"/>
      <c r="IHR160" s="719"/>
      <c r="IHS160" s="719"/>
      <c r="IHT160" s="719"/>
      <c r="IHU160" s="719"/>
      <c r="IHV160" s="719"/>
      <c r="IHW160" s="719"/>
      <c r="IHX160" s="719"/>
      <c r="IHY160" s="719"/>
      <c r="IHZ160" s="719"/>
      <c r="IIA160" s="719"/>
      <c r="IIB160" s="719"/>
      <c r="IIC160" s="719"/>
      <c r="IID160" s="719"/>
      <c r="IIE160" s="719"/>
      <c r="IIF160" s="719"/>
      <c r="IIG160" s="719"/>
      <c r="IIH160" s="719"/>
      <c r="III160" s="719"/>
      <c r="IIJ160" s="719"/>
      <c r="IIK160" s="719"/>
      <c r="IIL160" s="719"/>
      <c r="IIM160" s="719"/>
      <c r="IIN160" s="719"/>
      <c r="IIO160" s="719"/>
      <c r="IIP160" s="719"/>
      <c r="IIQ160" s="719"/>
      <c r="IIR160" s="719"/>
      <c r="IIS160" s="719"/>
      <c r="IIT160" s="719"/>
      <c r="IIU160" s="719"/>
      <c r="IIV160" s="719"/>
      <c r="IIW160" s="719"/>
      <c r="IIX160" s="719"/>
      <c r="IIY160" s="719"/>
      <c r="IIZ160" s="719"/>
      <c r="IJA160" s="719"/>
      <c r="IJB160" s="719"/>
      <c r="IJC160" s="719"/>
      <c r="IJD160" s="719"/>
      <c r="IJE160" s="719"/>
      <c r="IJF160" s="719"/>
      <c r="IJG160" s="719"/>
      <c r="IJH160" s="719"/>
      <c r="IJI160" s="719"/>
      <c r="IJJ160" s="719"/>
      <c r="IJK160" s="719"/>
      <c r="IJL160" s="719"/>
      <c r="IJM160" s="719"/>
      <c r="IJN160" s="719"/>
      <c r="IJO160" s="719"/>
      <c r="IJP160" s="719"/>
      <c r="IJQ160" s="719"/>
      <c r="IJR160" s="719"/>
      <c r="IJS160" s="719"/>
      <c r="IJT160" s="719"/>
      <c r="IJU160" s="719"/>
      <c r="IJV160" s="719"/>
      <c r="IJW160" s="719"/>
      <c r="IJX160" s="719"/>
      <c r="IJY160" s="719"/>
      <c r="IJZ160" s="719"/>
      <c r="IKA160" s="719"/>
      <c r="IKB160" s="719"/>
      <c r="IKC160" s="719"/>
      <c r="IKD160" s="719"/>
      <c r="IKE160" s="719"/>
      <c r="IKF160" s="719"/>
      <c r="IKG160" s="719"/>
      <c r="IKH160" s="719"/>
      <c r="IKI160" s="719"/>
      <c r="IKJ160" s="719"/>
      <c r="IKK160" s="719"/>
      <c r="IKL160" s="719"/>
      <c r="IKM160" s="719"/>
      <c r="IKN160" s="719"/>
      <c r="IKO160" s="719"/>
      <c r="IKP160" s="719"/>
      <c r="IKQ160" s="719"/>
      <c r="IKR160" s="719"/>
      <c r="IKS160" s="719"/>
      <c r="IKT160" s="719"/>
      <c r="IKU160" s="719"/>
      <c r="IKV160" s="719"/>
      <c r="IKW160" s="719"/>
      <c r="IKX160" s="719"/>
      <c r="IKY160" s="719"/>
      <c r="IKZ160" s="719"/>
      <c r="ILA160" s="719"/>
      <c r="ILB160" s="719"/>
      <c r="ILC160" s="719"/>
      <c r="ILD160" s="719"/>
      <c r="ILE160" s="719"/>
      <c r="ILF160" s="719"/>
      <c r="ILG160" s="719"/>
      <c r="ILH160" s="719"/>
      <c r="ILI160" s="719"/>
      <c r="ILJ160" s="719"/>
      <c r="ILK160" s="719"/>
      <c r="ILL160" s="719"/>
      <c r="ILM160" s="719"/>
      <c r="ILN160" s="719"/>
      <c r="ILO160" s="719"/>
      <c r="ILP160" s="719"/>
      <c r="ILQ160" s="719"/>
      <c r="ILR160" s="719"/>
      <c r="ILS160" s="719"/>
      <c r="ILT160" s="719"/>
      <c r="ILU160" s="719"/>
      <c r="ILV160" s="719"/>
      <c r="ILW160" s="719"/>
      <c r="ILX160" s="719"/>
      <c r="ILY160" s="719"/>
      <c r="ILZ160" s="719"/>
      <c r="IMA160" s="719"/>
      <c r="IMB160" s="719"/>
      <c r="IMC160" s="719"/>
      <c r="IMD160" s="719"/>
      <c r="IME160" s="719"/>
      <c r="IMF160" s="719"/>
      <c r="IMG160" s="719"/>
      <c r="IMH160" s="719"/>
      <c r="IMI160" s="719"/>
      <c r="IMJ160" s="719"/>
      <c r="IMK160" s="719"/>
      <c r="IML160" s="719"/>
      <c r="IMM160" s="719"/>
      <c r="IMN160" s="719"/>
      <c r="IMO160" s="719"/>
      <c r="IMP160" s="719"/>
      <c r="IMQ160" s="719"/>
      <c r="IMR160" s="719"/>
      <c r="IMS160" s="719"/>
      <c r="IMT160" s="719"/>
      <c r="IMU160" s="719"/>
      <c r="IMV160" s="719"/>
      <c r="IMW160" s="719"/>
      <c r="IMX160" s="719"/>
      <c r="IMY160" s="719"/>
      <c r="IMZ160" s="719"/>
      <c r="INA160" s="719"/>
      <c r="INB160" s="719"/>
      <c r="INC160" s="719"/>
      <c r="IND160" s="719"/>
      <c r="INE160" s="719"/>
      <c r="INF160" s="719"/>
      <c r="ING160" s="719"/>
      <c r="INH160" s="719"/>
      <c r="INI160" s="719"/>
      <c r="INJ160" s="719"/>
      <c r="INK160" s="719"/>
      <c r="INL160" s="719"/>
      <c r="INM160" s="719"/>
      <c r="INN160" s="719"/>
      <c r="INO160" s="719"/>
      <c r="INP160" s="719"/>
      <c r="INQ160" s="719"/>
      <c r="INR160" s="719"/>
      <c r="INS160" s="719"/>
      <c r="INT160" s="719"/>
      <c r="INU160" s="719"/>
      <c r="INV160" s="719"/>
      <c r="INW160" s="719"/>
      <c r="INX160" s="719"/>
      <c r="INY160" s="719"/>
      <c r="INZ160" s="719"/>
      <c r="IOA160" s="719"/>
      <c r="IOB160" s="719"/>
      <c r="IOC160" s="719"/>
      <c r="IOD160" s="719"/>
      <c r="IOE160" s="719"/>
      <c r="IOF160" s="719"/>
      <c r="IOG160" s="719"/>
      <c r="IOH160" s="719"/>
      <c r="IOI160" s="719"/>
      <c r="IOJ160" s="719"/>
      <c r="IOK160" s="719"/>
      <c r="IOL160" s="719"/>
      <c r="IOM160" s="719"/>
      <c r="ION160" s="719"/>
      <c r="IOO160" s="719"/>
      <c r="IOP160" s="719"/>
      <c r="IOQ160" s="719"/>
      <c r="IOR160" s="719"/>
      <c r="IOS160" s="719"/>
      <c r="IOT160" s="719"/>
      <c r="IOU160" s="719"/>
      <c r="IOV160" s="719"/>
      <c r="IOW160" s="719"/>
      <c r="IOX160" s="719"/>
      <c r="IOY160" s="719"/>
      <c r="IOZ160" s="719"/>
      <c r="IPA160" s="719"/>
      <c r="IPB160" s="719"/>
      <c r="IPC160" s="719"/>
      <c r="IPD160" s="719"/>
      <c r="IPE160" s="719"/>
      <c r="IPF160" s="719"/>
      <c r="IPG160" s="719"/>
      <c r="IPH160" s="719"/>
      <c r="IPI160" s="719"/>
      <c r="IPJ160" s="719"/>
      <c r="IPK160" s="719"/>
      <c r="IPL160" s="719"/>
      <c r="IPM160" s="719"/>
      <c r="IPN160" s="719"/>
      <c r="IPO160" s="719"/>
      <c r="IPP160" s="719"/>
      <c r="IPQ160" s="719"/>
      <c r="IPR160" s="719"/>
      <c r="IPS160" s="719"/>
      <c r="IPT160" s="719"/>
      <c r="IPU160" s="719"/>
      <c r="IPV160" s="719"/>
      <c r="IPW160" s="719"/>
      <c r="IPX160" s="719"/>
      <c r="IPY160" s="719"/>
      <c r="IPZ160" s="719"/>
      <c r="IQA160" s="719"/>
      <c r="IQB160" s="719"/>
      <c r="IQC160" s="719"/>
      <c r="IQD160" s="719"/>
      <c r="IQE160" s="719"/>
      <c r="IQF160" s="719"/>
      <c r="IQG160" s="719"/>
      <c r="IQH160" s="719"/>
      <c r="IQI160" s="719"/>
      <c r="IQJ160" s="719"/>
      <c r="IQK160" s="719"/>
      <c r="IQL160" s="719"/>
      <c r="IQM160" s="719"/>
      <c r="IQN160" s="719"/>
      <c r="IQO160" s="719"/>
      <c r="IQP160" s="719"/>
      <c r="IQQ160" s="719"/>
      <c r="IQR160" s="719"/>
      <c r="IQS160" s="719"/>
      <c r="IQT160" s="719"/>
      <c r="IQU160" s="719"/>
      <c r="IQV160" s="719"/>
      <c r="IQW160" s="719"/>
      <c r="IQX160" s="719"/>
      <c r="IQY160" s="719"/>
      <c r="IQZ160" s="719"/>
      <c r="IRA160" s="719"/>
      <c r="IRB160" s="719"/>
      <c r="IRC160" s="719"/>
      <c r="IRD160" s="719"/>
      <c r="IRE160" s="719"/>
      <c r="IRF160" s="719"/>
      <c r="IRG160" s="719"/>
      <c r="IRH160" s="719"/>
      <c r="IRI160" s="719"/>
      <c r="IRJ160" s="719"/>
      <c r="IRK160" s="719"/>
      <c r="IRL160" s="719"/>
      <c r="IRM160" s="719"/>
      <c r="IRN160" s="719"/>
      <c r="IRO160" s="719"/>
      <c r="IRP160" s="719"/>
      <c r="IRQ160" s="719"/>
      <c r="IRR160" s="719"/>
      <c r="IRS160" s="719"/>
      <c r="IRT160" s="719"/>
      <c r="IRU160" s="719"/>
      <c r="IRV160" s="719"/>
      <c r="IRW160" s="719"/>
      <c r="IRX160" s="719"/>
      <c r="IRY160" s="719"/>
      <c r="IRZ160" s="719"/>
      <c r="ISA160" s="719"/>
      <c r="ISB160" s="719"/>
      <c r="ISC160" s="719"/>
      <c r="ISD160" s="719"/>
      <c r="ISE160" s="719"/>
      <c r="ISF160" s="719"/>
      <c r="ISG160" s="719"/>
      <c r="ISH160" s="719"/>
      <c r="ISI160" s="719"/>
      <c r="ISJ160" s="719"/>
      <c r="ISK160" s="719"/>
      <c r="ISL160" s="719"/>
      <c r="ISM160" s="719"/>
      <c r="ISN160" s="719"/>
      <c r="ISO160" s="719"/>
      <c r="ISP160" s="719"/>
      <c r="ISQ160" s="719"/>
      <c r="ISR160" s="719"/>
      <c r="ISS160" s="719"/>
      <c r="IST160" s="719"/>
      <c r="ISU160" s="719"/>
      <c r="ISV160" s="719"/>
      <c r="ISW160" s="719"/>
      <c r="ISX160" s="719"/>
      <c r="ISY160" s="719"/>
      <c r="ISZ160" s="719"/>
      <c r="ITA160" s="719"/>
      <c r="ITB160" s="719"/>
      <c r="ITC160" s="719"/>
      <c r="ITD160" s="719"/>
      <c r="ITE160" s="719"/>
      <c r="ITF160" s="719"/>
      <c r="ITG160" s="719"/>
      <c r="ITH160" s="719"/>
      <c r="ITI160" s="719"/>
      <c r="ITJ160" s="719"/>
      <c r="ITK160" s="719"/>
      <c r="ITL160" s="719"/>
      <c r="ITM160" s="719"/>
      <c r="ITN160" s="719"/>
      <c r="ITO160" s="719"/>
      <c r="ITP160" s="719"/>
      <c r="ITQ160" s="719"/>
      <c r="ITR160" s="719"/>
      <c r="ITS160" s="719"/>
      <c r="ITT160" s="719"/>
      <c r="ITU160" s="719"/>
      <c r="ITV160" s="719"/>
      <c r="ITW160" s="719"/>
      <c r="ITX160" s="719"/>
      <c r="ITY160" s="719"/>
      <c r="ITZ160" s="719"/>
      <c r="IUA160" s="719"/>
      <c r="IUB160" s="719"/>
      <c r="IUC160" s="719"/>
      <c r="IUD160" s="719"/>
      <c r="IUE160" s="719"/>
      <c r="IUF160" s="719"/>
      <c r="IUG160" s="719"/>
      <c r="IUH160" s="719"/>
      <c r="IUI160" s="719"/>
      <c r="IUJ160" s="719"/>
      <c r="IUK160" s="719"/>
      <c r="IUL160" s="719"/>
      <c r="IUM160" s="719"/>
      <c r="IUN160" s="719"/>
      <c r="IUO160" s="719"/>
      <c r="IUP160" s="719"/>
      <c r="IUQ160" s="719"/>
      <c r="IUR160" s="719"/>
      <c r="IUS160" s="719"/>
      <c r="IUT160" s="719"/>
      <c r="IUU160" s="719"/>
      <c r="IUV160" s="719"/>
      <c r="IUW160" s="719"/>
      <c r="IUX160" s="719"/>
      <c r="IUY160" s="719"/>
      <c r="IUZ160" s="719"/>
      <c r="IVA160" s="719"/>
      <c r="IVB160" s="719"/>
      <c r="IVC160" s="719"/>
      <c r="IVD160" s="719"/>
      <c r="IVE160" s="719"/>
      <c r="IVF160" s="719"/>
      <c r="IVG160" s="719"/>
      <c r="IVH160" s="719"/>
      <c r="IVI160" s="719"/>
      <c r="IVJ160" s="719"/>
      <c r="IVK160" s="719"/>
      <c r="IVL160" s="719"/>
      <c r="IVM160" s="719"/>
      <c r="IVN160" s="719"/>
      <c r="IVO160" s="719"/>
      <c r="IVP160" s="719"/>
      <c r="IVQ160" s="719"/>
      <c r="IVR160" s="719"/>
      <c r="IVS160" s="719"/>
      <c r="IVT160" s="719"/>
      <c r="IVU160" s="719"/>
      <c r="IVV160" s="719"/>
      <c r="IVW160" s="719"/>
      <c r="IVX160" s="719"/>
      <c r="IVY160" s="719"/>
      <c r="IVZ160" s="719"/>
      <c r="IWA160" s="719"/>
      <c r="IWB160" s="719"/>
      <c r="IWC160" s="719"/>
      <c r="IWD160" s="719"/>
      <c r="IWE160" s="719"/>
      <c r="IWF160" s="719"/>
      <c r="IWG160" s="719"/>
      <c r="IWH160" s="719"/>
      <c r="IWI160" s="719"/>
      <c r="IWJ160" s="719"/>
      <c r="IWK160" s="719"/>
      <c r="IWL160" s="719"/>
      <c r="IWM160" s="719"/>
      <c r="IWN160" s="719"/>
      <c r="IWO160" s="719"/>
      <c r="IWP160" s="719"/>
      <c r="IWQ160" s="719"/>
      <c r="IWR160" s="719"/>
      <c r="IWS160" s="719"/>
      <c r="IWT160" s="719"/>
      <c r="IWU160" s="719"/>
      <c r="IWV160" s="719"/>
      <c r="IWW160" s="719"/>
      <c r="IWX160" s="719"/>
      <c r="IWY160" s="719"/>
      <c r="IWZ160" s="719"/>
      <c r="IXA160" s="719"/>
      <c r="IXB160" s="719"/>
      <c r="IXC160" s="719"/>
      <c r="IXD160" s="719"/>
      <c r="IXE160" s="719"/>
      <c r="IXF160" s="719"/>
      <c r="IXG160" s="719"/>
      <c r="IXH160" s="719"/>
      <c r="IXI160" s="719"/>
      <c r="IXJ160" s="719"/>
      <c r="IXK160" s="719"/>
      <c r="IXL160" s="719"/>
      <c r="IXM160" s="719"/>
      <c r="IXN160" s="719"/>
      <c r="IXO160" s="719"/>
      <c r="IXP160" s="719"/>
      <c r="IXQ160" s="719"/>
      <c r="IXR160" s="719"/>
      <c r="IXS160" s="719"/>
      <c r="IXT160" s="719"/>
      <c r="IXU160" s="719"/>
      <c r="IXV160" s="719"/>
      <c r="IXW160" s="719"/>
      <c r="IXX160" s="719"/>
      <c r="IXY160" s="719"/>
      <c r="IXZ160" s="719"/>
      <c r="IYA160" s="719"/>
      <c r="IYB160" s="719"/>
      <c r="IYC160" s="719"/>
      <c r="IYD160" s="719"/>
      <c r="IYE160" s="719"/>
      <c r="IYF160" s="719"/>
      <c r="IYG160" s="719"/>
      <c r="IYH160" s="719"/>
      <c r="IYI160" s="719"/>
      <c r="IYJ160" s="719"/>
      <c r="IYK160" s="719"/>
      <c r="IYL160" s="719"/>
      <c r="IYM160" s="719"/>
      <c r="IYN160" s="719"/>
      <c r="IYO160" s="719"/>
      <c r="IYP160" s="719"/>
      <c r="IYQ160" s="719"/>
      <c r="IYR160" s="719"/>
      <c r="IYS160" s="719"/>
      <c r="IYT160" s="719"/>
      <c r="IYU160" s="719"/>
      <c r="IYV160" s="719"/>
      <c r="IYW160" s="719"/>
      <c r="IYX160" s="719"/>
      <c r="IYY160" s="719"/>
      <c r="IYZ160" s="719"/>
      <c r="IZA160" s="719"/>
      <c r="IZB160" s="719"/>
      <c r="IZC160" s="719"/>
      <c r="IZD160" s="719"/>
      <c r="IZE160" s="719"/>
      <c r="IZF160" s="719"/>
      <c r="IZG160" s="719"/>
      <c r="IZH160" s="719"/>
      <c r="IZI160" s="719"/>
      <c r="IZJ160" s="719"/>
      <c r="IZK160" s="719"/>
      <c r="IZL160" s="719"/>
      <c r="IZM160" s="719"/>
      <c r="IZN160" s="719"/>
      <c r="IZO160" s="719"/>
      <c r="IZP160" s="719"/>
      <c r="IZQ160" s="719"/>
      <c r="IZR160" s="719"/>
      <c r="IZS160" s="719"/>
      <c r="IZT160" s="719"/>
      <c r="IZU160" s="719"/>
      <c r="IZV160" s="719"/>
      <c r="IZW160" s="719"/>
      <c r="IZX160" s="719"/>
      <c r="IZY160" s="719"/>
      <c r="IZZ160" s="719"/>
      <c r="JAA160" s="719"/>
      <c r="JAB160" s="719"/>
      <c r="JAC160" s="719"/>
      <c r="JAD160" s="719"/>
      <c r="JAE160" s="719"/>
      <c r="JAF160" s="719"/>
      <c r="JAG160" s="719"/>
      <c r="JAH160" s="719"/>
      <c r="JAI160" s="719"/>
      <c r="JAJ160" s="719"/>
      <c r="JAK160" s="719"/>
      <c r="JAL160" s="719"/>
      <c r="JAM160" s="719"/>
      <c r="JAN160" s="719"/>
      <c r="JAO160" s="719"/>
      <c r="JAP160" s="719"/>
      <c r="JAQ160" s="719"/>
      <c r="JAR160" s="719"/>
      <c r="JAS160" s="719"/>
      <c r="JAT160" s="719"/>
      <c r="JAU160" s="719"/>
      <c r="JAV160" s="719"/>
      <c r="JAW160" s="719"/>
      <c r="JAX160" s="719"/>
      <c r="JAY160" s="719"/>
      <c r="JAZ160" s="719"/>
      <c r="JBA160" s="719"/>
      <c r="JBB160" s="719"/>
      <c r="JBC160" s="719"/>
      <c r="JBD160" s="719"/>
      <c r="JBE160" s="719"/>
      <c r="JBF160" s="719"/>
      <c r="JBG160" s="719"/>
      <c r="JBH160" s="719"/>
      <c r="JBI160" s="719"/>
      <c r="JBJ160" s="719"/>
      <c r="JBK160" s="719"/>
      <c r="JBL160" s="719"/>
      <c r="JBM160" s="719"/>
      <c r="JBN160" s="719"/>
      <c r="JBO160" s="719"/>
      <c r="JBP160" s="719"/>
      <c r="JBQ160" s="719"/>
      <c r="JBR160" s="719"/>
      <c r="JBS160" s="719"/>
      <c r="JBT160" s="719"/>
      <c r="JBU160" s="719"/>
      <c r="JBV160" s="719"/>
      <c r="JBW160" s="719"/>
      <c r="JBX160" s="719"/>
      <c r="JBY160" s="719"/>
      <c r="JBZ160" s="719"/>
      <c r="JCA160" s="719"/>
      <c r="JCB160" s="719"/>
      <c r="JCC160" s="719"/>
      <c r="JCD160" s="719"/>
      <c r="JCE160" s="719"/>
      <c r="JCF160" s="719"/>
      <c r="JCG160" s="719"/>
      <c r="JCH160" s="719"/>
      <c r="JCI160" s="719"/>
      <c r="JCJ160" s="719"/>
      <c r="JCK160" s="719"/>
      <c r="JCL160" s="719"/>
      <c r="JCM160" s="719"/>
      <c r="JCN160" s="719"/>
      <c r="JCO160" s="719"/>
      <c r="JCP160" s="719"/>
      <c r="JCQ160" s="719"/>
      <c r="JCR160" s="719"/>
      <c r="JCS160" s="719"/>
      <c r="JCT160" s="719"/>
      <c r="JCU160" s="719"/>
      <c r="JCV160" s="719"/>
      <c r="JCW160" s="719"/>
      <c r="JCX160" s="719"/>
      <c r="JCY160" s="719"/>
      <c r="JCZ160" s="719"/>
      <c r="JDA160" s="719"/>
      <c r="JDB160" s="719"/>
      <c r="JDC160" s="719"/>
      <c r="JDD160" s="719"/>
      <c r="JDE160" s="719"/>
      <c r="JDF160" s="719"/>
      <c r="JDG160" s="719"/>
      <c r="JDH160" s="719"/>
      <c r="JDI160" s="719"/>
      <c r="JDJ160" s="719"/>
      <c r="JDK160" s="719"/>
      <c r="JDL160" s="719"/>
      <c r="JDM160" s="719"/>
      <c r="JDN160" s="719"/>
      <c r="JDO160" s="719"/>
      <c r="JDP160" s="719"/>
      <c r="JDQ160" s="719"/>
      <c r="JDR160" s="719"/>
      <c r="JDS160" s="719"/>
      <c r="JDT160" s="719"/>
      <c r="JDU160" s="719"/>
      <c r="JDV160" s="719"/>
      <c r="JDW160" s="719"/>
      <c r="JDX160" s="719"/>
      <c r="JDY160" s="719"/>
      <c r="JDZ160" s="719"/>
      <c r="JEA160" s="719"/>
      <c r="JEB160" s="719"/>
      <c r="JEC160" s="719"/>
      <c r="JED160" s="719"/>
      <c r="JEE160" s="719"/>
      <c r="JEF160" s="719"/>
      <c r="JEG160" s="719"/>
      <c r="JEH160" s="719"/>
      <c r="JEI160" s="719"/>
      <c r="JEJ160" s="719"/>
      <c r="JEK160" s="719"/>
      <c r="JEL160" s="719"/>
      <c r="JEM160" s="719"/>
      <c r="JEN160" s="719"/>
      <c r="JEO160" s="719"/>
      <c r="JEP160" s="719"/>
      <c r="JEQ160" s="719"/>
      <c r="JER160" s="719"/>
      <c r="JES160" s="719"/>
      <c r="JET160" s="719"/>
      <c r="JEU160" s="719"/>
      <c r="JEV160" s="719"/>
      <c r="JEW160" s="719"/>
      <c r="JEX160" s="719"/>
      <c r="JEY160" s="719"/>
      <c r="JEZ160" s="719"/>
      <c r="JFA160" s="719"/>
      <c r="JFB160" s="719"/>
      <c r="JFC160" s="719"/>
      <c r="JFD160" s="719"/>
      <c r="JFE160" s="719"/>
      <c r="JFF160" s="719"/>
      <c r="JFG160" s="719"/>
      <c r="JFH160" s="719"/>
      <c r="JFI160" s="719"/>
      <c r="JFJ160" s="719"/>
      <c r="JFK160" s="719"/>
      <c r="JFL160" s="719"/>
      <c r="JFM160" s="719"/>
      <c r="JFN160" s="719"/>
      <c r="JFO160" s="719"/>
      <c r="JFP160" s="719"/>
      <c r="JFQ160" s="719"/>
      <c r="JFR160" s="719"/>
      <c r="JFS160" s="719"/>
      <c r="JFT160" s="719"/>
      <c r="JFU160" s="719"/>
      <c r="JFV160" s="719"/>
      <c r="JFW160" s="719"/>
      <c r="JFX160" s="719"/>
      <c r="JFY160" s="719"/>
      <c r="JFZ160" s="719"/>
      <c r="JGA160" s="719"/>
      <c r="JGB160" s="719"/>
      <c r="JGC160" s="719"/>
      <c r="JGD160" s="719"/>
      <c r="JGE160" s="719"/>
      <c r="JGF160" s="719"/>
      <c r="JGG160" s="719"/>
      <c r="JGH160" s="719"/>
      <c r="JGI160" s="719"/>
      <c r="JGJ160" s="719"/>
      <c r="JGK160" s="719"/>
      <c r="JGL160" s="719"/>
      <c r="JGM160" s="719"/>
      <c r="JGN160" s="719"/>
      <c r="JGO160" s="719"/>
      <c r="JGP160" s="719"/>
      <c r="JGQ160" s="719"/>
      <c r="JGR160" s="719"/>
      <c r="JGS160" s="719"/>
      <c r="JGT160" s="719"/>
      <c r="JGU160" s="719"/>
      <c r="JGV160" s="719"/>
      <c r="JGW160" s="719"/>
      <c r="JGX160" s="719"/>
      <c r="JGY160" s="719"/>
      <c r="JGZ160" s="719"/>
      <c r="JHA160" s="719"/>
      <c r="JHB160" s="719"/>
      <c r="JHC160" s="719"/>
      <c r="JHD160" s="719"/>
      <c r="JHE160" s="719"/>
      <c r="JHF160" s="719"/>
      <c r="JHG160" s="719"/>
      <c r="JHH160" s="719"/>
      <c r="JHI160" s="719"/>
      <c r="JHJ160" s="719"/>
      <c r="JHK160" s="719"/>
      <c r="JHL160" s="719"/>
      <c r="JHM160" s="719"/>
      <c r="JHN160" s="719"/>
      <c r="JHO160" s="719"/>
      <c r="JHP160" s="719"/>
      <c r="JHQ160" s="719"/>
      <c r="JHR160" s="719"/>
      <c r="JHS160" s="719"/>
      <c r="JHT160" s="719"/>
      <c r="JHU160" s="719"/>
      <c r="JHV160" s="719"/>
      <c r="JHW160" s="719"/>
      <c r="JHX160" s="719"/>
      <c r="JHY160" s="719"/>
      <c r="JHZ160" s="719"/>
      <c r="JIA160" s="719"/>
      <c r="JIB160" s="719"/>
      <c r="JIC160" s="719"/>
      <c r="JID160" s="719"/>
      <c r="JIE160" s="719"/>
      <c r="JIF160" s="719"/>
      <c r="JIG160" s="719"/>
      <c r="JIH160" s="719"/>
      <c r="JII160" s="719"/>
      <c r="JIJ160" s="719"/>
      <c r="JIK160" s="719"/>
      <c r="JIL160" s="719"/>
      <c r="JIM160" s="719"/>
      <c r="JIN160" s="719"/>
      <c r="JIO160" s="719"/>
      <c r="JIP160" s="719"/>
      <c r="JIQ160" s="719"/>
      <c r="JIR160" s="719"/>
      <c r="JIS160" s="719"/>
      <c r="JIT160" s="719"/>
      <c r="JIU160" s="719"/>
      <c r="JIV160" s="719"/>
      <c r="JIW160" s="719"/>
      <c r="JIX160" s="719"/>
      <c r="JIY160" s="719"/>
      <c r="JIZ160" s="719"/>
      <c r="JJA160" s="719"/>
      <c r="JJB160" s="719"/>
      <c r="JJC160" s="719"/>
      <c r="JJD160" s="719"/>
      <c r="JJE160" s="719"/>
      <c r="JJF160" s="719"/>
      <c r="JJG160" s="719"/>
      <c r="JJH160" s="719"/>
      <c r="JJI160" s="719"/>
      <c r="JJJ160" s="719"/>
      <c r="JJK160" s="719"/>
      <c r="JJL160" s="719"/>
      <c r="JJM160" s="719"/>
      <c r="JJN160" s="719"/>
      <c r="JJO160" s="719"/>
      <c r="JJP160" s="719"/>
      <c r="JJQ160" s="719"/>
      <c r="JJR160" s="719"/>
      <c r="JJS160" s="719"/>
      <c r="JJT160" s="719"/>
      <c r="JJU160" s="719"/>
      <c r="JJV160" s="719"/>
      <c r="JJW160" s="719"/>
      <c r="JJX160" s="719"/>
      <c r="JJY160" s="719"/>
      <c r="JJZ160" s="719"/>
      <c r="JKA160" s="719"/>
      <c r="JKB160" s="719"/>
      <c r="JKC160" s="719"/>
      <c r="JKD160" s="719"/>
      <c r="JKE160" s="719"/>
      <c r="JKF160" s="719"/>
      <c r="JKG160" s="719"/>
      <c r="JKH160" s="719"/>
      <c r="JKI160" s="719"/>
      <c r="JKJ160" s="719"/>
      <c r="JKK160" s="719"/>
      <c r="JKL160" s="719"/>
      <c r="JKM160" s="719"/>
      <c r="JKN160" s="719"/>
      <c r="JKO160" s="719"/>
      <c r="JKP160" s="719"/>
      <c r="JKQ160" s="719"/>
      <c r="JKR160" s="719"/>
      <c r="JKS160" s="719"/>
      <c r="JKT160" s="719"/>
      <c r="JKU160" s="719"/>
      <c r="JKV160" s="719"/>
      <c r="JKW160" s="719"/>
      <c r="JKX160" s="719"/>
      <c r="JKY160" s="719"/>
      <c r="JKZ160" s="719"/>
      <c r="JLA160" s="719"/>
      <c r="JLB160" s="719"/>
      <c r="JLC160" s="719"/>
      <c r="JLD160" s="719"/>
      <c r="JLE160" s="719"/>
      <c r="JLF160" s="719"/>
      <c r="JLG160" s="719"/>
      <c r="JLH160" s="719"/>
      <c r="JLI160" s="719"/>
      <c r="JLJ160" s="719"/>
      <c r="JLK160" s="719"/>
      <c r="JLL160" s="719"/>
      <c r="JLM160" s="719"/>
      <c r="JLN160" s="719"/>
      <c r="JLO160" s="719"/>
      <c r="JLP160" s="719"/>
      <c r="JLQ160" s="719"/>
      <c r="JLR160" s="719"/>
      <c r="JLS160" s="719"/>
      <c r="JLT160" s="719"/>
      <c r="JLU160" s="719"/>
      <c r="JLV160" s="719"/>
      <c r="JLW160" s="719"/>
      <c r="JLX160" s="719"/>
      <c r="JLY160" s="719"/>
      <c r="JLZ160" s="719"/>
      <c r="JMA160" s="719"/>
      <c r="JMB160" s="719"/>
      <c r="JMC160" s="719"/>
      <c r="JMD160" s="719"/>
      <c r="JME160" s="719"/>
      <c r="JMF160" s="719"/>
      <c r="JMG160" s="719"/>
      <c r="JMH160" s="719"/>
      <c r="JMI160" s="719"/>
      <c r="JMJ160" s="719"/>
      <c r="JMK160" s="719"/>
      <c r="JML160" s="719"/>
      <c r="JMM160" s="719"/>
      <c r="JMN160" s="719"/>
      <c r="JMO160" s="719"/>
      <c r="JMP160" s="719"/>
      <c r="JMQ160" s="719"/>
      <c r="JMR160" s="719"/>
      <c r="JMS160" s="719"/>
      <c r="JMT160" s="719"/>
      <c r="JMU160" s="719"/>
      <c r="JMV160" s="719"/>
      <c r="JMW160" s="719"/>
      <c r="JMX160" s="719"/>
      <c r="JMY160" s="719"/>
      <c r="JMZ160" s="719"/>
      <c r="JNA160" s="719"/>
      <c r="JNB160" s="719"/>
      <c r="JNC160" s="719"/>
      <c r="JND160" s="719"/>
      <c r="JNE160" s="719"/>
      <c r="JNF160" s="719"/>
      <c r="JNG160" s="719"/>
      <c r="JNH160" s="719"/>
      <c r="JNI160" s="719"/>
      <c r="JNJ160" s="719"/>
      <c r="JNK160" s="719"/>
      <c r="JNL160" s="719"/>
      <c r="JNM160" s="719"/>
      <c r="JNN160" s="719"/>
      <c r="JNO160" s="719"/>
      <c r="JNP160" s="719"/>
      <c r="JNQ160" s="719"/>
      <c r="JNR160" s="719"/>
      <c r="JNS160" s="719"/>
      <c r="JNT160" s="719"/>
      <c r="JNU160" s="719"/>
      <c r="JNV160" s="719"/>
      <c r="JNW160" s="719"/>
      <c r="JNX160" s="719"/>
      <c r="JNY160" s="719"/>
      <c r="JNZ160" s="719"/>
      <c r="JOA160" s="719"/>
      <c r="JOB160" s="719"/>
      <c r="JOC160" s="719"/>
      <c r="JOD160" s="719"/>
      <c r="JOE160" s="719"/>
      <c r="JOF160" s="719"/>
      <c r="JOG160" s="719"/>
      <c r="JOH160" s="719"/>
      <c r="JOI160" s="719"/>
      <c r="JOJ160" s="719"/>
      <c r="JOK160" s="719"/>
      <c r="JOL160" s="719"/>
      <c r="JOM160" s="719"/>
      <c r="JON160" s="719"/>
      <c r="JOO160" s="719"/>
      <c r="JOP160" s="719"/>
      <c r="JOQ160" s="719"/>
      <c r="JOR160" s="719"/>
      <c r="JOS160" s="719"/>
      <c r="JOT160" s="719"/>
      <c r="JOU160" s="719"/>
      <c r="JOV160" s="719"/>
      <c r="JOW160" s="719"/>
      <c r="JOX160" s="719"/>
      <c r="JOY160" s="719"/>
      <c r="JOZ160" s="719"/>
      <c r="JPA160" s="719"/>
      <c r="JPB160" s="719"/>
      <c r="JPC160" s="719"/>
      <c r="JPD160" s="719"/>
      <c r="JPE160" s="719"/>
      <c r="JPF160" s="719"/>
      <c r="JPG160" s="719"/>
      <c r="JPH160" s="719"/>
      <c r="JPI160" s="719"/>
      <c r="JPJ160" s="719"/>
      <c r="JPK160" s="719"/>
      <c r="JPL160" s="719"/>
      <c r="JPM160" s="719"/>
      <c r="JPN160" s="719"/>
      <c r="JPO160" s="719"/>
      <c r="JPP160" s="719"/>
      <c r="JPQ160" s="719"/>
      <c r="JPR160" s="719"/>
      <c r="JPS160" s="719"/>
      <c r="JPT160" s="719"/>
      <c r="JPU160" s="719"/>
      <c r="JPV160" s="719"/>
      <c r="JPW160" s="719"/>
      <c r="JPX160" s="719"/>
      <c r="JPY160" s="719"/>
      <c r="JPZ160" s="719"/>
      <c r="JQA160" s="719"/>
      <c r="JQB160" s="719"/>
      <c r="JQC160" s="719"/>
      <c r="JQD160" s="719"/>
      <c r="JQE160" s="719"/>
      <c r="JQF160" s="719"/>
      <c r="JQG160" s="719"/>
      <c r="JQH160" s="719"/>
      <c r="JQI160" s="719"/>
      <c r="JQJ160" s="719"/>
      <c r="JQK160" s="719"/>
      <c r="JQL160" s="719"/>
      <c r="JQM160" s="719"/>
      <c r="JQN160" s="719"/>
      <c r="JQO160" s="719"/>
      <c r="JQP160" s="719"/>
      <c r="JQQ160" s="719"/>
      <c r="JQR160" s="719"/>
      <c r="JQS160" s="719"/>
      <c r="JQT160" s="719"/>
      <c r="JQU160" s="719"/>
      <c r="JQV160" s="719"/>
      <c r="JQW160" s="719"/>
      <c r="JQX160" s="719"/>
      <c r="JQY160" s="719"/>
      <c r="JQZ160" s="719"/>
      <c r="JRA160" s="719"/>
      <c r="JRB160" s="719"/>
      <c r="JRC160" s="719"/>
      <c r="JRD160" s="719"/>
      <c r="JRE160" s="719"/>
      <c r="JRF160" s="719"/>
      <c r="JRG160" s="719"/>
      <c r="JRH160" s="719"/>
      <c r="JRI160" s="719"/>
      <c r="JRJ160" s="719"/>
      <c r="JRK160" s="719"/>
      <c r="JRL160" s="719"/>
      <c r="JRM160" s="719"/>
      <c r="JRN160" s="719"/>
      <c r="JRO160" s="719"/>
      <c r="JRP160" s="719"/>
      <c r="JRQ160" s="719"/>
      <c r="JRR160" s="719"/>
      <c r="JRS160" s="719"/>
      <c r="JRT160" s="719"/>
      <c r="JRU160" s="719"/>
      <c r="JRV160" s="719"/>
      <c r="JRW160" s="719"/>
      <c r="JRX160" s="719"/>
      <c r="JRY160" s="719"/>
      <c r="JRZ160" s="719"/>
      <c r="JSA160" s="719"/>
      <c r="JSB160" s="719"/>
      <c r="JSC160" s="719"/>
      <c r="JSD160" s="719"/>
      <c r="JSE160" s="719"/>
      <c r="JSF160" s="719"/>
      <c r="JSG160" s="719"/>
      <c r="JSH160" s="719"/>
      <c r="JSI160" s="719"/>
      <c r="JSJ160" s="719"/>
      <c r="JSK160" s="719"/>
      <c r="JSL160" s="719"/>
      <c r="JSM160" s="719"/>
      <c r="JSN160" s="719"/>
      <c r="JSO160" s="719"/>
      <c r="JSP160" s="719"/>
      <c r="JSQ160" s="719"/>
      <c r="JSR160" s="719"/>
      <c r="JSS160" s="719"/>
      <c r="JST160" s="719"/>
      <c r="JSU160" s="719"/>
      <c r="JSV160" s="719"/>
      <c r="JSW160" s="719"/>
      <c r="JSX160" s="719"/>
      <c r="JSY160" s="719"/>
      <c r="JSZ160" s="719"/>
      <c r="JTA160" s="719"/>
      <c r="JTB160" s="719"/>
      <c r="JTC160" s="719"/>
      <c r="JTD160" s="719"/>
      <c r="JTE160" s="719"/>
      <c r="JTF160" s="719"/>
      <c r="JTG160" s="719"/>
      <c r="JTH160" s="719"/>
      <c r="JTI160" s="719"/>
      <c r="JTJ160" s="719"/>
      <c r="JTK160" s="719"/>
      <c r="JTL160" s="719"/>
      <c r="JTM160" s="719"/>
      <c r="JTN160" s="719"/>
      <c r="JTO160" s="719"/>
      <c r="JTP160" s="719"/>
      <c r="JTQ160" s="719"/>
      <c r="JTR160" s="719"/>
      <c r="JTS160" s="719"/>
      <c r="JTT160" s="719"/>
      <c r="JTU160" s="719"/>
      <c r="JTV160" s="719"/>
      <c r="JTW160" s="719"/>
      <c r="JTX160" s="719"/>
      <c r="JTY160" s="719"/>
      <c r="JTZ160" s="719"/>
      <c r="JUA160" s="719"/>
      <c r="JUB160" s="719"/>
      <c r="JUC160" s="719"/>
      <c r="JUD160" s="719"/>
      <c r="JUE160" s="719"/>
      <c r="JUF160" s="719"/>
      <c r="JUG160" s="719"/>
      <c r="JUH160" s="719"/>
      <c r="JUI160" s="719"/>
      <c r="JUJ160" s="719"/>
      <c r="JUK160" s="719"/>
      <c r="JUL160" s="719"/>
      <c r="JUM160" s="719"/>
      <c r="JUN160" s="719"/>
      <c r="JUO160" s="719"/>
      <c r="JUP160" s="719"/>
      <c r="JUQ160" s="719"/>
      <c r="JUR160" s="719"/>
      <c r="JUS160" s="719"/>
      <c r="JUT160" s="719"/>
      <c r="JUU160" s="719"/>
      <c r="JUV160" s="719"/>
      <c r="JUW160" s="719"/>
      <c r="JUX160" s="719"/>
      <c r="JUY160" s="719"/>
      <c r="JUZ160" s="719"/>
      <c r="JVA160" s="719"/>
      <c r="JVB160" s="719"/>
      <c r="JVC160" s="719"/>
      <c r="JVD160" s="719"/>
      <c r="JVE160" s="719"/>
      <c r="JVF160" s="719"/>
      <c r="JVG160" s="719"/>
      <c r="JVH160" s="719"/>
      <c r="JVI160" s="719"/>
      <c r="JVJ160" s="719"/>
      <c r="JVK160" s="719"/>
      <c r="JVL160" s="719"/>
      <c r="JVM160" s="719"/>
      <c r="JVN160" s="719"/>
      <c r="JVO160" s="719"/>
      <c r="JVP160" s="719"/>
      <c r="JVQ160" s="719"/>
      <c r="JVR160" s="719"/>
      <c r="JVS160" s="719"/>
      <c r="JVT160" s="719"/>
      <c r="JVU160" s="719"/>
      <c r="JVV160" s="719"/>
      <c r="JVW160" s="719"/>
      <c r="JVX160" s="719"/>
      <c r="JVY160" s="719"/>
      <c r="JVZ160" s="719"/>
      <c r="JWA160" s="719"/>
      <c r="JWB160" s="719"/>
      <c r="JWC160" s="719"/>
      <c r="JWD160" s="719"/>
      <c r="JWE160" s="719"/>
      <c r="JWF160" s="719"/>
      <c r="JWG160" s="719"/>
      <c r="JWH160" s="719"/>
      <c r="JWI160" s="719"/>
      <c r="JWJ160" s="719"/>
      <c r="JWK160" s="719"/>
      <c r="JWL160" s="719"/>
      <c r="JWM160" s="719"/>
      <c r="JWN160" s="719"/>
      <c r="JWO160" s="719"/>
      <c r="JWP160" s="719"/>
      <c r="JWQ160" s="719"/>
      <c r="JWR160" s="719"/>
      <c r="JWS160" s="719"/>
      <c r="JWT160" s="719"/>
      <c r="JWU160" s="719"/>
      <c r="JWV160" s="719"/>
      <c r="JWW160" s="719"/>
      <c r="JWX160" s="719"/>
      <c r="JWY160" s="719"/>
      <c r="JWZ160" s="719"/>
      <c r="JXA160" s="719"/>
      <c r="JXB160" s="719"/>
      <c r="JXC160" s="719"/>
      <c r="JXD160" s="719"/>
      <c r="JXE160" s="719"/>
      <c r="JXF160" s="719"/>
      <c r="JXG160" s="719"/>
      <c r="JXH160" s="719"/>
      <c r="JXI160" s="719"/>
      <c r="JXJ160" s="719"/>
      <c r="JXK160" s="719"/>
      <c r="JXL160" s="719"/>
      <c r="JXM160" s="719"/>
      <c r="JXN160" s="719"/>
      <c r="JXO160" s="719"/>
      <c r="JXP160" s="719"/>
      <c r="JXQ160" s="719"/>
      <c r="JXR160" s="719"/>
      <c r="JXS160" s="719"/>
      <c r="JXT160" s="719"/>
      <c r="JXU160" s="719"/>
      <c r="JXV160" s="719"/>
      <c r="JXW160" s="719"/>
      <c r="JXX160" s="719"/>
      <c r="JXY160" s="719"/>
      <c r="JXZ160" s="719"/>
      <c r="JYA160" s="719"/>
      <c r="JYB160" s="719"/>
      <c r="JYC160" s="719"/>
      <c r="JYD160" s="719"/>
      <c r="JYE160" s="719"/>
      <c r="JYF160" s="719"/>
      <c r="JYG160" s="719"/>
      <c r="JYH160" s="719"/>
      <c r="JYI160" s="719"/>
      <c r="JYJ160" s="719"/>
      <c r="JYK160" s="719"/>
      <c r="JYL160" s="719"/>
      <c r="JYM160" s="719"/>
      <c r="JYN160" s="719"/>
      <c r="JYO160" s="719"/>
      <c r="JYP160" s="719"/>
      <c r="JYQ160" s="719"/>
      <c r="JYR160" s="719"/>
      <c r="JYS160" s="719"/>
      <c r="JYT160" s="719"/>
      <c r="JYU160" s="719"/>
      <c r="JYV160" s="719"/>
      <c r="JYW160" s="719"/>
      <c r="JYX160" s="719"/>
      <c r="JYY160" s="719"/>
      <c r="JYZ160" s="719"/>
      <c r="JZA160" s="719"/>
      <c r="JZB160" s="719"/>
      <c r="JZC160" s="719"/>
      <c r="JZD160" s="719"/>
      <c r="JZE160" s="719"/>
      <c r="JZF160" s="719"/>
      <c r="JZG160" s="719"/>
      <c r="JZH160" s="719"/>
      <c r="JZI160" s="719"/>
      <c r="JZJ160" s="719"/>
      <c r="JZK160" s="719"/>
      <c r="JZL160" s="719"/>
      <c r="JZM160" s="719"/>
      <c r="JZN160" s="719"/>
      <c r="JZO160" s="719"/>
      <c r="JZP160" s="719"/>
      <c r="JZQ160" s="719"/>
      <c r="JZR160" s="719"/>
      <c r="JZS160" s="719"/>
      <c r="JZT160" s="719"/>
      <c r="JZU160" s="719"/>
      <c r="JZV160" s="719"/>
      <c r="JZW160" s="719"/>
      <c r="JZX160" s="719"/>
      <c r="JZY160" s="719"/>
      <c r="JZZ160" s="719"/>
      <c r="KAA160" s="719"/>
      <c r="KAB160" s="719"/>
      <c r="KAC160" s="719"/>
      <c r="KAD160" s="719"/>
      <c r="KAE160" s="719"/>
      <c r="KAF160" s="719"/>
      <c r="KAG160" s="719"/>
      <c r="KAH160" s="719"/>
      <c r="KAI160" s="719"/>
      <c r="KAJ160" s="719"/>
      <c r="KAK160" s="719"/>
      <c r="KAL160" s="719"/>
      <c r="KAM160" s="719"/>
      <c r="KAN160" s="719"/>
      <c r="KAO160" s="719"/>
      <c r="KAP160" s="719"/>
      <c r="KAQ160" s="719"/>
      <c r="KAR160" s="719"/>
      <c r="KAS160" s="719"/>
      <c r="KAT160" s="719"/>
      <c r="KAU160" s="719"/>
      <c r="KAV160" s="719"/>
      <c r="KAW160" s="719"/>
      <c r="KAX160" s="719"/>
      <c r="KAY160" s="719"/>
      <c r="KAZ160" s="719"/>
      <c r="KBA160" s="719"/>
      <c r="KBB160" s="719"/>
      <c r="KBC160" s="719"/>
      <c r="KBD160" s="719"/>
      <c r="KBE160" s="719"/>
      <c r="KBF160" s="719"/>
      <c r="KBG160" s="719"/>
      <c r="KBH160" s="719"/>
      <c r="KBI160" s="719"/>
      <c r="KBJ160" s="719"/>
      <c r="KBK160" s="719"/>
      <c r="KBL160" s="719"/>
      <c r="KBM160" s="719"/>
      <c r="KBN160" s="719"/>
      <c r="KBO160" s="719"/>
      <c r="KBP160" s="719"/>
      <c r="KBQ160" s="719"/>
      <c r="KBR160" s="719"/>
      <c r="KBS160" s="719"/>
      <c r="KBT160" s="719"/>
      <c r="KBU160" s="719"/>
      <c r="KBV160" s="719"/>
      <c r="KBW160" s="719"/>
      <c r="KBX160" s="719"/>
      <c r="KBY160" s="719"/>
      <c r="KBZ160" s="719"/>
      <c r="KCA160" s="719"/>
      <c r="KCB160" s="719"/>
      <c r="KCC160" s="719"/>
      <c r="KCD160" s="719"/>
      <c r="KCE160" s="719"/>
      <c r="KCF160" s="719"/>
      <c r="KCG160" s="719"/>
      <c r="KCH160" s="719"/>
      <c r="KCI160" s="719"/>
      <c r="KCJ160" s="719"/>
      <c r="KCK160" s="719"/>
      <c r="KCL160" s="719"/>
      <c r="KCM160" s="719"/>
      <c r="KCN160" s="719"/>
      <c r="KCO160" s="719"/>
      <c r="KCP160" s="719"/>
      <c r="KCQ160" s="719"/>
      <c r="KCR160" s="719"/>
      <c r="KCS160" s="719"/>
      <c r="KCT160" s="719"/>
      <c r="KCU160" s="719"/>
      <c r="KCV160" s="719"/>
      <c r="KCW160" s="719"/>
      <c r="KCX160" s="719"/>
      <c r="KCY160" s="719"/>
      <c r="KCZ160" s="719"/>
      <c r="KDA160" s="719"/>
      <c r="KDB160" s="719"/>
      <c r="KDC160" s="719"/>
      <c r="KDD160" s="719"/>
      <c r="KDE160" s="719"/>
      <c r="KDF160" s="719"/>
      <c r="KDG160" s="719"/>
      <c r="KDH160" s="719"/>
      <c r="KDI160" s="719"/>
      <c r="KDJ160" s="719"/>
      <c r="KDK160" s="719"/>
      <c r="KDL160" s="719"/>
      <c r="KDM160" s="719"/>
      <c r="KDN160" s="719"/>
      <c r="KDO160" s="719"/>
      <c r="KDP160" s="719"/>
      <c r="KDQ160" s="719"/>
      <c r="KDR160" s="719"/>
      <c r="KDS160" s="719"/>
      <c r="KDT160" s="719"/>
      <c r="KDU160" s="719"/>
      <c r="KDV160" s="719"/>
      <c r="KDW160" s="719"/>
      <c r="KDX160" s="719"/>
      <c r="KDY160" s="719"/>
      <c r="KDZ160" s="719"/>
      <c r="KEA160" s="719"/>
      <c r="KEB160" s="719"/>
      <c r="KEC160" s="719"/>
      <c r="KED160" s="719"/>
      <c r="KEE160" s="719"/>
      <c r="KEF160" s="719"/>
      <c r="KEG160" s="719"/>
      <c r="KEH160" s="719"/>
      <c r="KEI160" s="719"/>
      <c r="KEJ160" s="719"/>
      <c r="KEK160" s="719"/>
      <c r="KEL160" s="719"/>
      <c r="KEM160" s="719"/>
      <c r="KEN160" s="719"/>
      <c r="KEO160" s="719"/>
      <c r="KEP160" s="719"/>
      <c r="KEQ160" s="719"/>
      <c r="KER160" s="719"/>
      <c r="KES160" s="719"/>
      <c r="KET160" s="719"/>
      <c r="KEU160" s="719"/>
      <c r="KEV160" s="719"/>
      <c r="KEW160" s="719"/>
      <c r="KEX160" s="719"/>
      <c r="KEY160" s="719"/>
      <c r="KEZ160" s="719"/>
      <c r="KFA160" s="719"/>
      <c r="KFB160" s="719"/>
      <c r="KFC160" s="719"/>
      <c r="KFD160" s="719"/>
      <c r="KFE160" s="719"/>
      <c r="KFF160" s="719"/>
      <c r="KFG160" s="719"/>
      <c r="KFH160" s="719"/>
      <c r="KFI160" s="719"/>
      <c r="KFJ160" s="719"/>
      <c r="KFK160" s="719"/>
      <c r="KFL160" s="719"/>
      <c r="KFM160" s="719"/>
      <c r="KFN160" s="719"/>
      <c r="KFO160" s="719"/>
      <c r="KFP160" s="719"/>
      <c r="KFQ160" s="719"/>
      <c r="KFR160" s="719"/>
      <c r="KFS160" s="719"/>
      <c r="KFT160" s="719"/>
      <c r="KFU160" s="719"/>
      <c r="KFV160" s="719"/>
      <c r="KFW160" s="719"/>
      <c r="KFX160" s="719"/>
      <c r="KFY160" s="719"/>
      <c r="KFZ160" s="719"/>
      <c r="KGA160" s="719"/>
      <c r="KGB160" s="719"/>
      <c r="KGC160" s="719"/>
      <c r="KGD160" s="719"/>
      <c r="KGE160" s="719"/>
      <c r="KGF160" s="719"/>
      <c r="KGG160" s="719"/>
      <c r="KGH160" s="719"/>
      <c r="KGI160" s="719"/>
      <c r="KGJ160" s="719"/>
      <c r="KGK160" s="719"/>
      <c r="KGL160" s="719"/>
      <c r="KGM160" s="719"/>
      <c r="KGN160" s="719"/>
      <c r="KGO160" s="719"/>
      <c r="KGP160" s="719"/>
      <c r="KGQ160" s="719"/>
      <c r="KGR160" s="719"/>
      <c r="KGS160" s="719"/>
      <c r="KGT160" s="719"/>
      <c r="KGU160" s="719"/>
      <c r="KGV160" s="719"/>
      <c r="KGW160" s="719"/>
      <c r="KGX160" s="719"/>
      <c r="KGY160" s="719"/>
      <c r="KGZ160" s="719"/>
      <c r="KHA160" s="719"/>
      <c r="KHB160" s="719"/>
      <c r="KHC160" s="719"/>
      <c r="KHD160" s="719"/>
      <c r="KHE160" s="719"/>
      <c r="KHF160" s="719"/>
      <c r="KHG160" s="719"/>
      <c r="KHH160" s="719"/>
      <c r="KHI160" s="719"/>
      <c r="KHJ160" s="719"/>
      <c r="KHK160" s="719"/>
      <c r="KHL160" s="719"/>
      <c r="KHM160" s="719"/>
      <c r="KHN160" s="719"/>
      <c r="KHO160" s="719"/>
      <c r="KHP160" s="719"/>
      <c r="KHQ160" s="719"/>
      <c r="KHR160" s="719"/>
      <c r="KHS160" s="719"/>
      <c r="KHT160" s="719"/>
      <c r="KHU160" s="719"/>
      <c r="KHV160" s="719"/>
      <c r="KHW160" s="719"/>
      <c r="KHX160" s="719"/>
      <c r="KHY160" s="719"/>
      <c r="KHZ160" s="719"/>
      <c r="KIA160" s="719"/>
      <c r="KIB160" s="719"/>
      <c r="KIC160" s="719"/>
      <c r="KID160" s="719"/>
      <c r="KIE160" s="719"/>
      <c r="KIF160" s="719"/>
      <c r="KIG160" s="719"/>
      <c r="KIH160" s="719"/>
      <c r="KII160" s="719"/>
      <c r="KIJ160" s="719"/>
      <c r="KIK160" s="719"/>
      <c r="KIL160" s="719"/>
      <c r="KIM160" s="719"/>
      <c r="KIN160" s="719"/>
      <c r="KIO160" s="719"/>
      <c r="KIP160" s="719"/>
      <c r="KIQ160" s="719"/>
      <c r="KIR160" s="719"/>
      <c r="KIS160" s="719"/>
      <c r="KIT160" s="719"/>
      <c r="KIU160" s="719"/>
      <c r="KIV160" s="719"/>
      <c r="KIW160" s="719"/>
      <c r="KIX160" s="719"/>
      <c r="KIY160" s="719"/>
      <c r="KIZ160" s="719"/>
      <c r="KJA160" s="719"/>
      <c r="KJB160" s="719"/>
      <c r="KJC160" s="719"/>
      <c r="KJD160" s="719"/>
      <c r="KJE160" s="719"/>
      <c r="KJF160" s="719"/>
      <c r="KJG160" s="719"/>
      <c r="KJH160" s="719"/>
      <c r="KJI160" s="719"/>
      <c r="KJJ160" s="719"/>
      <c r="KJK160" s="719"/>
      <c r="KJL160" s="719"/>
      <c r="KJM160" s="719"/>
      <c r="KJN160" s="719"/>
      <c r="KJO160" s="719"/>
      <c r="KJP160" s="719"/>
      <c r="KJQ160" s="719"/>
      <c r="KJR160" s="719"/>
      <c r="KJS160" s="719"/>
      <c r="KJT160" s="719"/>
      <c r="KJU160" s="719"/>
      <c r="KJV160" s="719"/>
      <c r="KJW160" s="719"/>
      <c r="KJX160" s="719"/>
      <c r="KJY160" s="719"/>
      <c r="KJZ160" s="719"/>
      <c r="KKA160" s="719"/>
      <c r="KKB160" s="719"/>
      <c r="KKC160" s="719"/>
      <c r="KKD160" s="719"/>
      <c r="KKE160" s="719"/>
      <c r="KKF160" s="719"/>
      <c r="KKG160" s="719"/>
      <c r="KKH160" s="719"/>
      <c r="KKI160" s="719"/>
      <c r="KKJ160" s="719"/>
      <c r="KKK160" s="719"/>
      <c r="KKL160" s="719"/>
      <c r="KKM160" s="719"/>
      <c r="KKN160" s="719"/>
      <c r="KKO160" s="719"/>
      <c r="KKP160" s="719"/>
      <c r="KKQ160" s="719"/>
      <c r="KKR160" s="719"/>
      <c r="KKS160" s="719"/>
      <c r="KKT160" s="719"/>
      <c r="KKU160" s="719"/>
      <c r="KKV160" s="719"/>
      <c r="KKW160" s="719"/>
      <c r="KKX160" s="719"/>
      <c r="KKY160" s="719"/>
      <c r="KKZ160" s="719"/>
      <c r="KLA160" s="719"/>
      <c r="KLB160" s="719"/>
      <c r="KLC160" s="719"/>
      <c r="KLD160" s="719"/>
      <c r="KLE160" s="719"/>
      <c r="KLF160" s="719"/>
      <c r="KLG160" s="719"/>
      <c r="KLH160" s="719"/>
      <c r="KLI160" s="719"/>
      <c r="KLJ160" s="719"/>
      <c r="KLK160" s="719"/>
      <c r="KLL160" s="719"/>
      <c r="KLM160" s="719"/>
      <c r="KLN160" s="719"/>
      <c r="KLO160" s="719"/>
      <c r="KLP160" s="719"/>
      <c r="KLQ160" s="719"/>
      <c r="KLR160" s="719"/>
      <c r="KLS160" s="719"/>
      <c r="KLT160" s="719"/>
      <c r="KLU160" s="719"/>
      <c r="KLV160" s="719"/>
      <c r="KLW160" s="719"/>
      <c r="KLX160" s="719"/>
      <c r="KLY160" s="719"/>
      <c r="KLZ160" s="719"/>
      <c r="KMA160" s="719"/>
      <c r="KMB160" s="719"/>
      <c r="KMC160" s="719"/>
      <c r="KMD160" s="719"/>
      <c r="KME160" s="719"/>
      <c r="KMF160" s="719"/>
      <c r="KMG160" s="719"/>
      <c r="KMH160" s="719"/>
      <c r="KMI160" s="719"/>
      <c r="KMJ160" s="719"/>
      <c r="KMK160" s="719"/>
      <c r="KML160" s="719"/>
      <c r="KMM160" s="719"/>
      <c r="KMN160" s="719"/>
      <c r="KMO160" s="719"/>
      <c r="KMP160" s="719"/>
      <c r="KMQ160" s="719"/>
      <c r="KMR160" s="719"/>
      <c r="KMS160" s="719"/>
      <c r="KMT160" s="719"/>
      <c r="KMU160" s="719"/>
      <c r="KMV160" s="719"/>
      <c r="KMW160" s="719"/>
      <c r="KMX160" s="719"/>
      <c r="KMY160" s="719"/>
      <c r="KMZ160" s="719"/>
      <c r="KNA160" s="719"/>
      <c r="KNB160" s="719"/>
      <c r="KNC160" s="719"/>
      <c r="KND160" s="719"/>
      <c r="KNE160" s="719"/>
      <c r="KNF160" s="719"/>
      <c r="KNG160" s="719"/>
      <c r="KNH160" s="719"/>
      <c r="KNI160" s="719"/>
      <c r="KNJ160" s="719"/>
      <c r="KNK160" s="719"/>
      <c r="KNL160" s="719"/>
      <c r="KNM160" s="719"/>
      <c r="KNN160" s="719"/>
      <c r="KNO160" s="719"/>
      <c r="KNP160" s="719"/>
      <c r="KNQ160" s="719"/>
      <c r="KNR160" s="719"/>
      <c r="KNS160" s="719"/>
      <c r="KNT160" s="719"/>
      <c r="KNU160" s="719"/>
      <c r="KNV160" s="719"/>
      <c r="KNW160" s="719"/>
      <c r="KNX160" s="719"/>
      <c r="KNY160" s="719"/>
      <c r="KNZ160" s="719"/>
      <c r="KOA160" s="719"/>
      <c r="KOB160" s="719"/>
      <c r="KOC160" s="719"/>
      <c r="KOD160" s="719"/>
      <c r="KOE160" s="719"/>
      <c r="KOF160" s="719"/>
      <c r="KOG160" s="719"/>
      <c r="KOH160" s="719"/>
      <c r="KOI160" s="719"/>
      <c r="KOJ160" s="719"/>
      <c r="KOK160" s="719"/>
      <c r="KOL160" s="719"/>
      <c r="KOM160" s="719"/>
      <c r="KON160" s="719"/>
      <c r="KOO160" s="719"/>
      <c r="KOP160" s="719"/>
      <c r="KOQ160" s="719"/>
      <c r="KOR160" s="719"/>
      <c r="KOS160" s="719"/>
      <c r="KOT160" s="719"/>
      <c r="KOU160" s="719"/>
      <c r="KOV160" s="719"/>
      <c r="KOW160" s="719"/>
      <c r="KOX160" s="719"/>
      <c r="KOY160" s="719"/>
      <c r="KOZ160" s="719"/>
      <c r="KPA160" s="719"/>
      <c r="KPB160" s="719"/>
      <c r="KPC160" s="719"/>
      <c r="KPD160" s="719"/>
      <c r="KPE160" s="719"/>
      <c r="KPF160" s="719"/>
      <c r="KPG160" s="719"/>
      <c r="KPH160" s="719"/>
      <c r="KPI160" s="719"/>
      <c r="KPJ160" s="719"/>
      <c r="KPK160" s="719"/>
      <c r="KPL160" s="719"/>
      <c r="KPM160" s="719"/>
      <c r="KPN160" s="719"/>
      <c r="KPO160" s="719"/>
      <c r="KPP160" s="719"/>
      <c r="KPQ160" s="719"/>
      <c r="KPR160" s="719"/>
      <c r="KPS160" s="719"/>
      <c r="KPT160" s="719"/>
      <c r="KPU160" s="719"/>
      <c r="KPV160" s="719"/>
      <c r="KPW160" s="719"/>
      <c r="KPX160" s="719"/>
      <c r="KPY160" s="719"/>
      <c r="KPZ160" s="719"/>
      <c r="KQA160" s="719"/>
      <c r="KQB160" s="719"/>
      <c r="KQC160" s="719"/>
      <c r="KQD160" s="719"/>
      <c r="KQE160" s="719"/>
      <c r="KQF160" s="719"/>
      <c r="KQG160" s="719"/>
      <c r="KQH160" s="719"/>
      <c r="KQI160" s="719"/>
      <c r="KQJ160" s="719"/>
      <c r="KQK160" s="719"/>
      <c r="KQL160" s="719"/>
      <c r="KQM160" s="719"/>
      <c r="KQN160" s="719"/>
      <c r="KQO160" s="719"/>
      <c r="KQP160" s="719"/>
      <c r="KQQ160" s="719"/>
      <c r="KQR160" s="719"/>
      <c r="KQS160" s="719"/>
      <c r="KQT160" s="719"/>
      <c r="KQU160" s="719"/>
      <c r="KQV160" s="719"/>
      <c r="KQW160" s="719"/>
      <c r="KQX160" s="719"/>
      <c r="KQY160" s="719"/>
      <c r="KQZ160" s="719"/>
      <c r="KRA160" s="719"/>
      <c r="KRB160" s="719"/>
      <c r="KRC160" s="719"/>
      <c r="KRD160" s="719"/>
      <c r="KRE160" s="719"/>
      <c r="KRF160" s="719"/>
      <c r="KRG160" s="719"/>
      <c r="KRH160" s="719"/>
      <c r="KRI160" s="719"/>
      <c r="KRJ160" s="719"/>
      <c r="KRK160" s="719"/>
      <c r="KRL160" s="719"/>
      <c r="KRM160" s="719"/>
      <c r="KRN160" s="719"/>
      <c r="KRO160" s="719"/>
      <c r="KRP160" s="719"/>
      <c r="KRQ160" s="719"/>
      <c r="KRR160" s="719"/>
      <c r="KRS160" s="719"/>
      <c r="KRT160" s="719"/>
      <c r="KRU160" s="719"/>
      <c r="KRV160" s="719"/>
      <c r="KRW160" s="719"/>
      <c r="KRX160" s="719"/>
      <c r="KRY160" s="719"/>
      <c r="KRZ160" s="719"/>
      <c r="KSA160" s="719"/>
      <c r="KSB160" s="719"/>
      <c r="KSC160" s="719"/>
      <c r="KSD160" s="719"/>
      <c r="KSE160" s="719"/>
      <c r="KSF160" s="719"/>
      <c r="KSG160" s="719"/>
      <c r="KSH160" s="719"/>
      <c r="KSI160" s="719"/>
      <c r="KSJ160" s="719"/>
      <c r="KSK160" s="719"/>
      <c r="KSL160" s="719"/>
      <c r="KSM160" s="719"/>
      <c r="KSN160" s="719"/>
      <c r="KSO160" s="719"/>
      <c r="KSP160" s="719"/>
      <c r="KSQ160" s="719"/>
      <c r="KSR160" s="719"/>
      <c r="KSS160" s="719"/>
      <c r="KST160" s="719"/>
      <c r="KSU160" s="719"/>
      <c r="KSV160" s="719"/>
      <c r="KSW160" s="719"/>
      <c r="KSX160" s="719"/>
      <c r="KSY160" s="719"/>
      <c r="KSZ160" s="719"/>
      <c r="KTA160" s="719"/>
      <c r="KTB160" s="719"/>
      <c r="KTC160" s="719"/>
      <c r="KTD160" s="719"/>
      <c r="KTE160" s="719"/>
      <c r="KTF160" s="719"/>
      <c r="KTG160" s="719"/>
      <c r="KTH160" s="719"/>
      <c r="KTI160" s="719"/>
      <c r="KTJ160" s="719"/>
      <c r="KTK160" s="719"/>
      <c r="KTL160" s="719"/>
      <c r="KTM160" s="719"/>
      <c r="KTN160" s="719"/>
      <c r="KTO160" s="719"/>
      <c r="KTP160" s="719"/>
      <c r="KTQ160" s="719"/>
      <c r="KTR160" s="719"/>
      <c r="KTS160" s="719"/>
      <c r="KTT160" s="719"/>
      <c r="KTU160" s="719"/>
      <c r="KTV160" s="719"/>
      <c r="KTW160" s="719"/>
      <c r="KTX160" s="719"/>
      <c r="KTY160" s="719"/>
      <c r="KTZ160" s="719"/>
      <c r="KUA160" s="719"/>
      <c r="KUB160" s="719"/>
      <c r="KUC160" s="719"/>
      <c r="KUD160" s="719"/>
      <c r="KUE160" s="719"/>
      <c r="KUF160" s="719"/>
      <c r="KUG160" s="719"/>
      <c r="KUH160" s="719"/>
      <c r="KUI160" s="719"/>
      <c r="KUJ160" s="719"/>
      <c r="KUK160" s="719"/>
      <c r="KUL160" s="719"/>
      <c r="KUM160" s="719"/>
      <c r="KUN160" s="719"/>
      <c r="KUO160" s="719"/>
      <c r="KUP160" s="719"/>
      <c r="KUQ160" s="719"/>
      <c r="KUR160" s="719"/>
      <c r="KUS160" s="719"/>
      <c r="KUT160" s="719"/>
      <c r="KUU160" s="719"/>
      <c r="KUV160" s="719"/>
      <c r="KUW160" s="719"/>
      <c r="KUX160" s="719"/>
      <c r="KUY160" s="719"/>
      <c r="KUZ160" s="719"/>
      <c r="KVA160" s="719"/>
      <c r="KVB160" s="719"/>
      <c r="KVC160" s="719"/>
      <c r="KVD160" s="719"/>
      <c r="KVE160" s="719"/>
      <c r="KVF160" s="719"/>
      <c r="KVG160" s="719"/>
      <c r="KVH160" s="719"/>
      <c r="KVI160" s="719"/>
      <c r="KVJ160" s="719"/>
      <c r="KVK160" s="719"/>
      <c r="KVL160" s="719"/>
      <c r="KVM160" s="719"/>
      <c r="KVN160" s="719"/>
      <c r="KVO160" s="719"/>
      <c r="KVP160" s="719"/>
      <c r="KVQ160" s="719"/>
      <c r="KVR160" s="719"/>
      <c r="KVS160" s="719"/>
      <c r="KVT160" s="719"/>
      <c r="KVU160" s="719"/>
      <c r="KVV160" s="719"/>
      <c r="KVW160" s="719"/>
      <c r="KVX160" s="719"/>
      <c r="KVY160" s="719"/>
      <c r="KVZ160" s="719"/>
      <c r="KWA160" s="719"/>
      <c r="KWB160" s="719"/>
      <c r="KWC160" s="719"/>
      <c r="KWD160" s="719"/>
      <c r="KWE160" s="719"/>
      <c r="KWF160" s="719"/>
      <c r="KWG160" s="719"/>
      <c r="KWH160" s="719"/>
      <c r="KWI160" s="719"/>
      <c r="KWJ160" s="719"/>
      <c r="KWK160" s="719"/>
      <c r="KWL160" s="719"/>
      <c r="KWM160" s="719"/>
      <c r="KWN160" s="719"/>
      <c r="KWO160" s="719"/>
      <c r="KWP160" s="719"/>
      <c r="KWQ160" s="719"/>
      <c r="KWR160" s="719"/>
      <c r="KWS160" s="719"/>
      <c r="KWT160" s="719"/>
      <c r="KWU160" s="719"/>
      <c r="KWV160" s="719"/>
      <c r="KWW160" s="719"/>
      <c r="KWX160" s="719"/>
      <c r="KWY160" s="719"/>
      <c r="KWZ160" s="719"/>
      <c r="KXA160" s="719"/>
      <c r="KXB160" s="719"/>
      <c r="KXC160" s="719"/>
      <c r="KXD160" s="719"/>
      <c r="KXE160" s="719"/>
      <c r="KXF160" s="719"/>
      <c r="KXG160" s="719"/>
      <c r="KXH160" s="719"/>
      <c r="KXI160" s="719"/>
      <c r="KXJ160" s="719"/>
      <c r="KXK160" s="719"/>
      <c r="KXL160" s="719"/>
      <c r="KXM160" s="719"/>
      <c r="KXN160" s="719"/>
      <c r="KXO160" s="719"/>
      <c r="KXP160" s="719"/>
      <c r="KXQ160" s="719"/>
      <c r="KXR160" s="719"/>
      <c r="KXS160" s="719"/>
      <c r="KXT160" s="719"/>
      <c r="KXU160" s="719"/>
      <c r="KXV160" s="719"/>
      <c r="KXW160" s="719"/>
      <c r="KXX160" s="719"/>
      <c r="KXY160" s="719"/>
      <c r="KXZ160" s="719"/>
      <c r="KYA160" s="719"/>
      <c r="KYB160" s="719"/>
      <c r="KYC160" s="719"/>
      <c r="KYD160" s="719"/>
      <c r="KYE160" s="719"/>
      <c r="KYF160" s="719"/>
      <c r="KYG160" s="719"/>
      <c r="KYH160" s="719"/>
      <c r="KYI160" s="719"/>
      <c r="KYJ160" s="719"/>
      <c r="KYK160" s="719"/>
      <c r="KYL160" s="719"/>
      <c r="KYM160" s="719"/>
      <c r="KYN160" s="719"/>
      <c r="KYO160" s="719"/>
      <c r="KYP160" s="719"/>
      <c r="KYQ160" s="719"/>
      <c r="KYR160" s="719"/>
      <c r="KYS160" s="719"/>
      <c r="KYT160" s="719"/>
      <c r="KYU160" s="719"/>
      <c r="KYV160" s="719"/>
      <c r="KYW160" s="719"/>
      <c r="KYX160" s="719"/>
      <c r="KYY160" s="719"/>
      <c r="KYZ160" s="719"/>
      <c r="KZA160" s="719"/>
      <c r="KZB160" s="719"/>
      <c r="KZC160" s="719"/>
      <c r="KZD160" s="719"/>
      <c r="KZE160" s="719"/>
      <c r="KZF160" s="719"/>
      <c r="KZG160" s="719"/>
      <c r="KZH160" s="719"/>
      <c r="KZI160" s="719"/>
      <c r="KZJ160" s="719"/>
      <c r="KZK160" s="719"/>
      <c r="KZL160" s="719"/>
      <c r="KZM160" s="719"/>
      <c r="KZN160" s="719"/>
      <c r="KZO160" s="719"/>
      <c r="KZP160" s="719"/>
      <c r="KZQ160" s="719"/>
      <c r="KZR160" s="719"/>
      <c r="KZS160" s="719"/>
      <c r="KZT160" s="719"/>
      <c r="KZU160" s="719"/>
      <c r="KZV160" s="719"/>
      <c r="KZW160" s="719"/>
      <c r="KZX160" s="719"/>
      <c r="KZY160" s="719"/>
      <c r="KZZ160" s="719"/>
      <c r="LAA160" s="719"/>
      <c r="LAB160" s="719"/>
      <c r="LAC160" s="719"/>
      <c r="LAD160" s="719"/>
      <c r="LAE160" s="719"/>
      <c r="LAF160" s="719"/>
      <c r="LAG160" s="719"/>
      <c r="LAH160" s="719"/>
      <c r="LAI160" s="719"/>
      <c r="LAJ160" s="719"/>
      <c r="LAK160" s="719"/>
      <c r="LAL160" s="719"/>
      <c r="LAM160" s="719"/>
      <c r="LAN160" s="719"/>
      <c r="LAO160" s="719"/>
      <c r="LAP160" s="719"/>
      <c r="LAQ160" s="719"/>
      <c r="LAR160" s="719"/>
      <c r="LAS160" s="719"/>
      <c r="LAT160" s="719"/>
      <c r="LAU160" s="719"/>
      <c r="LAV160" s="719"/>
      <c r="LAW160" s="719"/>
      <c r="LAX160" s="719"/>
      <c r="LAY160" s="719"/>
      <c r="LAZ160" s="719"/>
      <c r="LBA160" s="719"/>
      <c r="LBB160" s="719"/>
      <c r="LBC160" s="719"/>
      <c r="LBD160" s="719"/>
      <c r="LBE160" s="719"/>
      <c r="LBF160" s="719"/>
      <c r="LBG160" s="719"/>
      <c r="LBH160" s="719"/>
      <c r="LBI160" s="719"/>
      <c r="LBJ160" s="719"/>
      <c r="LBK160" s="719"/>
      <c r="LBL160" s="719"/>
      <c r="LBM160" s="719"/>
      <c r="LBN160" s="719"/>
      <c r="LBO160" s="719"/>
      <c r="LBP160" s="719"/>
      <c r="LBQ160" s="719"/>
      <c r="LBR160" s="719"/>
      <c r="LBS160" s="719"/>
      <c r="LBT160" s="719"/>
      <c r="LBU160" s="719"/>
      <c r="LBV160" s="719"/>
      <c r="LBW160" s="719"/>
      <c r="LBX160" s="719"/>
      <c r="LBY160" s="719"/>
      <c r="LBZ160" s="719"/>
      <c r="LCA160" s="719"/>
      <c r="LCB160" s="719"/>
      <c r="LCC160" s="719"/>
      <c r="LCD160" s="719"/>
      <c r="LCE160" s="719"/>
      <c r="LCF160" s="719"/>
      <c r="LCG160" s="719"/>
      <c r="LCH160" s="719"/>
      <c r="LCI160" s="719"/>
      <c r="LCJ160" s="719"/>
      <c r="LCK160" s="719"/>
      <c r="LCL160" s="719"/>
      <c r="LCM160" s="719"/>
      <c r="LCN160" s="719"/>
      <c r="LCO160" s="719"/>
      <c r="LCP160" s="719"/>
      <c r="LCQ160" s="719"/>
      <c r="LCR160" s="719"/>
      <c r="LCS160" s="719"/>
      <c r="LCT160" s="719"/>
      <c r="LCU160" s="719"/>
      <c r="LCV160" s="719"/>
      <c r="LCW160" s="719"/>
      <c r="LCX160" s="719"/>
      <c r="LCY160" s="719"/>
      <c r="LCZ160" s="719"/>
      <c r="LDA160" s="719"/>
      <c r="LDB160" s="719"/>
      <c r="LDC160" s="719"/>
      <c r="LDD160" s="719"/>
      <c r="LDE160" s="719"/>
      <c r="LDF160" s="719"/>
      <c r="LDG160" s="719"/>
      <c r="LDH160" s="719"/>
      <c r="LDI160" s="719"/>
      <c r="LDJ160" s="719"/>
      <c r="LDK160" s="719"/>
      <c r="LDL160" s="719"/>
      <c r="LDM160" s="719"/>
      <c r="LDN160" s="719"/>
      <c r="LDO160" s="719"/>
      <c r="LDP160" s="719"/>
      <c r="LDQ160" s="719"/>
      <c r="LDR160" s="719"/>
      <c r="LDS160" s="719"/>
      <c r="LDT160" s="719"/>
      <c r="LDU160" s="719"/>
      <c r="LDV160" s="719"/>
      <c r="LDW160" s="719"/>
      <c r="LDX160" s="719"/>
      <c r="LDY160" s="719"/>
      <c r="LDZ160" s="719"/>
      <c r="LEA160" s="719"/>
      <c r="LEB160" s="719"/>
      <c r="LEC160" s="719"/>
      <c r="LED160" s="719"/>
      <c r="LEE160" s="719"/>
      <c r="LEF160" s="719"/>
      <c r="LEG160" s="719"/>
      <c r="LEH160" s="719"/>
      <c r="LEI160" s="719"/>
      <c r="LEJ160" s="719"/>
      <c r="LEK160" s="719"/>
      <c r="LEL160" s="719"/>
      <c r="LEM160" s="719"/>
      <c r="LEN160" s="719"/>
      <c r="LEO160" s="719"/>
      <c r="LEP160" s="719"/>
      <c r="LEQ160" s="719"/>
      <c r="LER160" s="719"/>
      <c r="LES160" s="719"/>
      <c r="LET160" s="719"/>
      <c r="LEU160" s="719"/>
      <c r="LEV160" s="719"/>
      <c r="LEW160" s="719"/>
      <c r="LEX160" s="719"/>
      <c r="LEY160" s="719"/>
      <c r="LEZ160" s="719"/>
      <c r="LFA160" s="719"/>
      <c r="LFB160" s="719"/>
      <c r="LFC160" s="719"/>
      <c r="LFD160" s="719"/>
      <c r="LFE160" s="719"/>
      <c r="LFF160" s="719"/>
      <c r="LFG160" s="719"/>
      <c r="LFH160" s="719"/>
      <c r="LFI160" s="719"/>
      <c r="LFJ160" s="719"/>
      <c r="LFK160" s="719"/>
      <c r="LFL160" s="719"/>
      <c r="LFM160" s="719"/>
      <c r="LFN160" s="719"/>
      <c r="LFO160" s="719"/>
      <c r="LFP160" s="719"/>
      <c r="LFQ160" s="719"/>
      <c r="LFR160" s="719"/>
      <c r="LFS160" s="719"/>
      <c r="LFT160" s="719"/>
      <c r="LFU160" s="719"/>
      <c r="LFV160" s="719"/>
      <c r="LFW160" s="719"/>
      <c r="LFX160" s="719"/>
      <c r="LFY160" s="719"/>
      <c r="LFZ160" s="719"/>
      <c r="LGA160" s="719"/>
      <c r="LGB160" s="719"/>
      <c r="LGC160" s="719"/>
      <c r="LGD160" s="719"/>
      <c r="LGE160" s="719"/>
      <c r="LGF160" s="719"/>
      <c r="LGG160" s="719"/>
      <c r="LGH160" s="719"/>
      <c r="LGI160" s="719"/>
      <c r="LGJ160" s="719"/>
      <c r="LGK160" s="719"/>
      <c r="LGL160" s="719"/>
      <c r="LGM160" s="719"/>
      <c r="LGN160" s="719"/>
      <c r="LGO160" s="719"/>
      <c r="LGP160" s="719"/>
      <c r="LGQ160" s="719"/>
      <c r="LGR160" s="719"/>
      <c r="LGS160" s="719"/>
      <c r="LGT160" s="719"/>
      <c r="LGU160" s="719"/>
      <c r="LGV160" s="719"/>
      <c r="LGW160" s="719"/>
      <c r="LGX160" s="719"/>
      <c r="LGY160" s="719"/>
      <c r="LGZ160" s="719"/>
      <c r="LHA160" s="719"/>
      <c r="LHB160" s="719"/>
      <c r="LHC160" s="719"/>
      <c r="LHD160" s="719"/>
      <c r="LHE160" s="719"/>
      <c r="LHF160" s="719"/>
      <c r="LHG160" s="719"/>
      <c r="LHH160" s="719"/>
      <c r="LHI160" s="719"/>
      <c r="LHJ160" s="719"/>
      <c r="LHK160" s="719"/>
      <c r="LHL160" s="719"/>
      <c r="LHM160" s="719"/>
      <c r="LHN160" s="719"/>
      <c r="LHO160" s="719"/>
      <c r="LHP160" s="719"/>
      <c r="LHQ160" s="719"/>
      <c r="LHR160" s="719"/>
      <c r="LHS160" s="719"/>
      <c r="LHT160" s="719"/>
      <c r="LHU160" s="719"/>
      <c r="LHV160" s="719"/>
      <c r="LHW160" s="719"/>
      <c r="LHX160" s="719"/>
      <c r="LHY160" s="719"/>
      <c r="LHZ160" s="719"/>
      <c r="LIA160" s="719"/>
      <c r="LIB160" s="719"/>
      <c r="LIC160" s="719"/>
      <c r="LID160" s="719"/>
      <c r="LIE160" s="719"/>
      <c r="LIF160" s="719"/>
      <c r="LIG160" s="719"/>
      <c r="LIH160" s="719"/>
      <c r="LII160" s="719"/>
      <c r="LIJ160" s="719"/>
      <c r="LIK160" s="719"/>
      <c r="LIL160" s="719"/>
      <c r="LIM160" s="719"/>
      <c r="LIN160" s="719"/>
      <c r="LIO160" s="719"/>
      <c r="LIP160" s="719"/>
      <c r="LIQ160" s="719"/>
      <c r="LIR160" s="719"/>
      <c r="LIS160" s="719"/>
      <c r="LIT160" s="719"/>
      <c r="LIU160" s="719"/>
      <c r="LIV160" s="719"/>
      <c r="LIW160" s="719"/>
      <c r="LIX160" s="719"/>
      <c r="LIY160" s="719"/>
      <c r="LIZ160" s="719"/>
      <c r="LJA160" s="719"/>
      <c r="LJB160" s="719"/>
      <c r="LJC160" s="719"/>
      <c r="LJD160" s="719"/>
      <c r="LJE160" s="719"/>
      <c r="LJF160" s="719"/>
      <c r="LJG160" s="719"/>
      <c r="LJH160" s="719"/>
      <c r="LJI160" s="719"/>
      <c r="LJJ160" s="719"/>
      <c r="LJK160" s="719"/>
      <c r="LJL160" s="719"/>
      <c r="LJM160" s="719"/>
      <c r="LJN160" s="719"/>
      <c r="LJO160" s="719"/>
      <c r="LJP160" s="719"/>
      <c r="LJQ160" s="719"/>
      <c r="LJR160" s="719"/>
      <c r="LJS160" s="719"/>
      <c r="LJT160" s="719"/>
      <c r="LJU160" s="719"/>
      <c r="LJV160" s="719"/>
      <c r="LJW160" s="719"/>
      <c r="LJX160" s="719"/>
      <c r="LJY160" s="719"/>
      <c r="LJZ160" s="719"/>
      <c r="LKA160" s="719"/>
      <c r="LKB160" s="719"/>
      <c r="LKC160" s="719"/>
      <c r="LKD160" s="719"/>
      <c r="LKE160" s="719"/>
      <c r="LKF160" s="719"/>
      <c r="LKG160" s="719"/>
      <c r="LKH160" s="719"/>
      <c r="LKI160" s="719"/>
      <c r="LKJ160" s="719"/>
      <c r="LKK160" s="719"/>
      <c r="LKL160" s="719"/>
      <c r="LKM160" s="719"/>
      <c r="LKN160" s="719"/>
      <c r="LKO160" s="719"/>
      <c r="LKP160" s="719"/>
      <c r="LKQ160" s="719"/>
      <c r="LKR160" s="719"/>
      <c r="LKS160" s="719"/>
      <c r="LKT160" s="719"/>
      <c r="LKU160" s="719"/>
      <c r="LKV160" s="719"/>
      <c r="LKW160" s="719"/>
      <c r="LKX160" s="719"/>
      <c r="LKY160" s="719"/>
      <c r="LKZ160" s="719"/>
      <c r="LLA160" s="719"/>
      <c r="LLB160" s="719"/>
      <c r="LLC160" s="719"/>
      <c r="LLD160" s="719"/>
      <c r="LLE160" s="719"/>
      <c r="LLF160" s="719"/>
      <c r="LLG160" s="719"/>
      <c r="LLH160" s="719"/>
      <c r="LLI160" s="719"/>
      <c r="LLJ160" s="719"/>
      <c r="LLK160" s="719"/>
      <c r="LLL160" s="719"/>
      <c r="LLM160" s="719"/>
      <c r="LLN160" s="719"/>
      <c r="LLO160" s="719"/>
      <c r="LLP160" s="719"/>
      <c r="LLQ160" s="719"/>
      <c r="LLR160" s="719"/>
      <c r="LLS160" s="719"/>
      <c r="LLT160" s="719"/>
      <c r="LLU160" s="719"/>
      <c r="LLV160" s="719"/>
      <c r="LLW160" s="719"/>
      <c r="LLX160" s="719"/>
      <c r="LLY160" s="719"/>
      <c r="LLZ160" s="719"/>
      <c r="LMA160" s="719"/>
      <c r="LMB160" s="719"/>
      <c r="LMC160" s="719"/>
      <c r="LMD160" s="719"/>
      <c r="LME160" s="719"/>
      <c r="LMF160" s="719"/>
      <c r="LMG160" s="719"/>
      <c r="LMH160" s="719"/>
      <c r="LMI160" s="719"/>
      <c r="LMJ160" s="719"/>
      <c r="LMK160" s="719"/>
      <c r="LML160" s="719"/>
      <c r="LMM160" s="719"/>
      <c r="LMN160" s="719"/>
      <c r="LMO160" s="719"/>
      <c r="LMP160" s="719"/>
      <c r="LMQ160" s="719"/>
      <c r="LMR160" s="719"/>
      <c r="LMS160" s="719"/>
      <c r="LMT160" s="719"/>
      <c r="LMU160" s="719"/>
      <c r="LMV160" s="719"/>
      <c r="LMW160" s="719"/>
      <c r="LMX160" s="719"/>
      <c r="LMY160" s="719"/>
      <c r="LMZ160" s="719"/>
      <c r="LNA160" s="719"/>
      <c r="LNB160" s="719"/>
      <c r="LNC160" s="719"/>
      <c r="LND160" s="719"/>
      <c r="LNE160" s="719"/>
      <c r="LNF160" s="719"/>
      <c r="LNG160" s="719"/>
      <c r="LNH160" s="719"/>
      <c r="LNI160" s="719"/>
      <c r="LNJ160" s="719"/>
      <c r="LNK160" s="719"/>
      <c r="LNL160" s="719"/>
      <c r="LNM160" s="719"/>
      <c r="LNN160" s="719"/>
      <c r="LNO160" s="719"/>
      <c r="LNP160" s="719"/>
      <c r="LNQ160" s="719"/>
      <c r="LNR160" s="719"/>
      <c r="LNS160" s="719"/>
      <c r="LNT160" s="719"/>
      <c r="LNU160" s="719"/>
      <c r="LNV160" s="719"/>
      <c r="LNW160" s="719"/>
      <c r="LNX160" s="719"/>
      <c r="LNY160" s="719"/>
      <c r="LNZ160" s="719"/>
      <c r="LOA160" s="719"/>
      <c r="LOB160" s="719"/>
      <c r="LOC160" s="719"/>
      <c r="LOD160" s="719"/>
      <c r="LOE160" s="719"/>
      <c r="LOF160" s="719"/>
      <c r="LOG160" s="719"/>
      <c r="LOH160" s="719"/>
      <c r="LOI160" s="719"/>
      <c r="LOJ160" s="719"/>
      <c r="LOK160" s="719"/>
      <c r="LOL160" s="719"/>
      <c r="LOM160" s="719"/>
      <c r="LON160" s="719"/>
      <c r="LOO160" s="719"/>
      <c r="LOP160" s="719"/>
      <c r="LOQ160" s="719"/>
      <c r="LOR160" s="719"/>
      <c r="LOS160" s="719"/>
      <c r="LOT160" s="719"/>
      <c r="LOU160" s="719"/>
      <c r="LOV160" s="719"/>
      <c r="LOW160" s="719"/>
      <c r="LOX160" s="719"/>
      <c r="LOY160" s="719"/>
      <c r="LOZ160" s="719"/>
      <c r="LPA160" s="719"/>
      <c r="LPB160" s="719"/>
      <c r="LPC160" s="719"/>
      <c r="LPD160" s="719"/>
      <c r="LPE160" s="719"/>
      <c r="LPF160" s="719"/>
      <c r="LPG160" s="719"/>
      <c r="LPH160" s="719"/>
      <c r="LPI160" s="719"/>
      <c r="LPJ160" s="719"/>
      <c r="LPK160" s="719"/>
      <c r="LPL160" s="719"/>
      <c r="LPM160" s="719"/>
      <c r="LPN160" s="719"/>
      <c r="LPO160" s="719"/>
      <c r="LPP160" s="719"/>
      <c r="LPQ160" s="719"/>
      <c r="LPR160" s="719"/>
      <c r="LPS160" s="719"/>
      <c r="LPT160" s="719"/>
      <c r="LPU160" s="719"/>
      <c r="LPV160" s="719"/>
      <c r="LPW160" s="719"/>
      <c r="LPX160" s="719"/>
      <c r="LPY160" s="719"/>
      <c r="LPZ160" s="719"/>
      <c r="LQA160" s="719"/>
      <c r="LQB160" s="719"/>
      <c r="LQC160" s="719"/>
      <c r="LQD160" s="719"/>
      <c r="LQE160" s="719"/>
      <c r="LQF160" s="719"/>
      <c r="LQG160" s="719"/>
      <c r="LQH160" s="719"/>
      <c r="LQI160" s="719"/>
      <c r="LQJ160" s="719"/>
      <c r="LQK160" s="719"/>
      <c r="LQL160" s="719"/>
      <c r="LQM160" s="719"/>
      <c r="LQN160" s="719"/>
      <c r="LQO160" s="719"/>
      <c r="LQP160" s="719"/>
      <c r="LQQ160" s="719"/>
      <c r="LQR160" s="719"/>
      <c r="LQS160" s="719"/>
      <c r="LQT160" s="719"/>
      <c r="LQU160" s="719"/>
      <c r="LQV160" s="719"/>
      <c r="LQW160" s="719"/>
      <c r="LQX160" s="719"/>
      <c r="LQY160" s="719"/>
      <c r="LQZ160" s="719"/>
      <c r="LRA160" s="719"/>
      <c r="LRB160" s="719"/>
      <c r="LRC160" s="719"/>
      <c r="LRD160" s="719"/>
      <c r="LRE160" s="719"/>
      <c r="LRF160" s="719"/>
      <c r="LRG160" s="719"/>
      <c r="LRH160" s="719"/>
      <c r="LRI160" s="719"/>
      <c r="LRJ160" s="719"/>
      <c r="LRK160" s="719"/>
      <c r="LRL160" s="719"/>
      <c r="LRM160" s="719"/>
      <c r="LRN160" s="719"/>
      <c r="LRO160" s="719"/>
      <c r="LRP160" s="719"/>
      <c r="LRQ160" s="719"/>
      <c r="LRR160" s="719"/>
      <c r="LRS160" s="719"/>
      <c r="LRT160" s="719"/>
      <c r="LRU160" s="719"/>
      <c r="LRV160" s="719"/>
      <c r="LRW160" s="719"/>
      <c r="LRX160" s="719"/>
      <c r="LRY160" s="719"/>
      <c r="LRZ160" s="719"/>
      <c r="LSA160" s="719"/>
      <c r="LSB160" s="719"/>
      <c r="LSC160" s="719"/>
      <c r="LSD160" s="719"/>
      <c r="LSE160" s="719"/>
      <c r="LSF160" s="719"/>
      <c r="LSG160" s="719"/>
      <c r="LSH160" s="719"/>
      <c r="LSI160" s="719"/>
      <c r="LSJ160" s="719"/>
      <c r="LSK160" s="719"/>
      <c r="LSL160" s="719"/>
      <c r="LSM160" s="719"/>
      <c r="LSN160" s="719"/>
      <c r="LSO160" s="719"/>
      <c r="LSP160" s="719"/>
      <c r="LSQ160" s="719"/>
      <c r="LSR160" s="719"/>
      <c r="LSS160" s="719"/>
      <c r="LST160" s="719"/>
      <c r="LSU160" s="719"/>
      <c r="LSV160" s="719"/>
      <c r="LSW160" s="719"/>
      <c r="LSX160" s="719"/>
      <c r="LSY160" s="719"/>
      <c r="LSZ160" s="719"/>
      <c r="LTA160" s="719"/>
      <c r="LTB160" s="719"/>
      <c r="LTC160" s="719"/>
      <c r="LTD160" s="719"/>
      <c r="LTE160" s="719"/>
      <c r="LTF160" s="719"/>
      <c r="LTG160" s="719"/>
      <c r="LTH160" s="719"/>
      <c r="LTI160" s="719"/>
      <c r="LTJ160" s="719"/>
      <c r="LTK160" s="719"/>
      <c r="LTL160" s="719"/>
      <c r="LTM160" s="719"/>
      <c r="LTN160" s="719"/>
      <c r="LTO160" s="719"/>
      <c r="LTP160" s="719"/>
      <c r="LTQ160" s="719"/>
      <c r="LTR160" s="719"/>
      <c r="LTS160" s="719"/>
      <c r="LTT160" s="719"/>
      <c r="LTU160" s="719"/>
      <c r="LTV160" s="719"/>
      <c r="LTW160" s="719"/>
      <c r="LTX160" s="719"/>
      <c r="LTY160" s="719"/>
      <c r="LTZ160" s="719"/>
      <c r="LUA160" s="719"/>
      <c r="LUB160" s="719"/>
      <c r="LUC160" s="719"/>
      <c r="LUD160" s="719"/>
      <c r="LUE160" s="719"/>
      <c r="LUF160" s="719"/>
      <c r="LUG160" s="719"/>
      <c r="LUH160" s="719"/>
      <c r="LUI160" s="719"/>
      <c r="LUJ160" s="719"/>
      <c r="LUK160" s="719"/>
      <c r="LUL160" s="719"/>
      <c r="LUM160" s="719"/>
      <c r="LUN160" s="719"/>
      <c r="LUO160" s="719"/>
      <c r="LUP160" s="719"/>
      <c r="LUQ160" s="719"/>
      <c r="LUR160" s="719"/>
      <c r="LUS160" s="719"/>
      <c r="LUT160" s="719"/>
      <c r="LUU160" s="719"/>
      <c r="LUV160" s="719"/>
      <c r="LUW160" s="719"/>
      <c r="LUX160" s="719"/>
      <c r="LUY160" s="719"/>
      <c r="LUZ160" s="719"/>
      <c r="LVA160" s="719"/>
      <c r="LVB160" s="719"/>
      <c r="LVC160" s="719"/>
      <c r="LVD160" s="719"/>
      <c r="LVE160" s="719"/>
      <c r="LVF160" s="719"/>
      <c r="LVG160" s="719"/>
      <c r="LVH160" s="719"/>
      <c r="LVI160" s="719"/>
      <c r="LVJ160" s="719"/>
      <c r="LVK160" s="719"/>
      <c r="LVL160" s="719"/>
      <c r="LVM160" s="719"/>
      <c r="LVN160" s="719"/>
      <c r="LVO160" s="719"/>
      <c r="LVP160" s="719"/>
      <c r="LVQ160" s="719"/>
      <c r="LVR160" s="719"/>
      <c r="LVS160" s="719"/>
      <c r="LVT160" s="719"/>
      <c r="LVU160" s="719"/>
      <c r="LVV160" s="719"/>
      <c r="LVW160" s="719"/>
      <c r="LVX160" s="719"/>
      <c r="LVY160" s="719"/>
      <c r="LVZ160" s="719"/>
      <c r="LWA160" s="719"/>
      <c r="LWB160" s="719"/>
      <c r="LWC160" s="719"/>
      <c r="LWD160" s="719"/>
      <c r="LWE160" s="719"/>
      <c r="LWF160" s="719"/>
      <c r="LWG160" s="719"/>
      <c r="LWH160" s="719"/>
      <c r="LWI160" s="719"/>
      <c r="LWJ160" s="719"/>
      <c r="LWK160" s="719"/>
      <c r="LWL160" s="719"/>
      <c r="LWM160" s="719"/>
      <c r="LWN160" s="719"/>
      <c r="LWO160" s="719"/>
      <c r="LWP160" s="719"/>
      <c r="LWQ160" s="719"/>
      <c r="LWR160" s="719"/>
      <c r="LWS160" s="719"/>
      <c r="LWT160" s="719"/>
      <c r="LWU160" s="719"/>
      <c r="LWV160" s="719"/>
      <c r="LWW160" s="719"/>
      <c r="LWX160" s="719"/>
      <c r="LWY160" s="719"/>
      <c r="LWZ160" s="719"/>
      <c r="LXA160" s="719"/>
      <c r="LXB160" s="719"/>
      <c r="LXC160" s="719"/>
      <c r="LXD160" s="719"/>
      <c r="LXE160" s="719"/>
      <c r="LXF160" s="719"/>
      <c r="LXG160" s="719"/>
      <c r="LXH160" s="719"/>
      <c r="LXI160" s="719"/>
      <c r="LXJ160" s="719"/>
      <c r="LXK160" s="719"/>
      <c r="LXL160" s="719"/>
      <c r="LXM160" s="719"/>
      <c r="LXN160" s="719"/>
      <c r="LXO160" s="719"/>
      <c r="LXP160" s="719"/>
      <c r="LXQ160" s="719"/>
      <c r="LXR160" s="719"/>
      <c r="LXS160" s="719"/>
      <c r="LXT160" s="719"/>
      <c r="LXU160" s="719"/>
      <c r="LXV160" s="719"/>
      <c r="LXW160" s="719"/>
      <c r="LXX160" s="719"/>
      <c r="LXY160" s="719"/>
      <c r="LXZ160" s="719"/>
      <c r="LYA160" s="719"/>
      <c r="LYB160" s="719"/>
      <c r="LYC160" s="719"/>
      <c r="LYD160" s="719"/>
      <c r="LYE160" s="719"/>
      <c r="LYF160" s="719"/>
      <c r="LYG160" s="719"/>
      <c r="LYH160" s="719"/>
      <c r="LYI160" s="719"/>
      <c r="LYJ160" s="719"/>
      <c r="LYK160" s="719"/>
      <c r="LYL160" s="719"/>
      <c r="LYM160" s="719"/>
      <c r="LYN160" s="719"/>
      <c r="LYO160" s="719"/>
      <c r="LYP160" s="719"/>
      <c r="LYQ160" s="719"/>
      <c r="LYR160" s="719"/>
      <c r="LYS160" s="719"/>
      <c r="LYT160" s="719"/>
      <c r="LYU160" s="719"/>
      <c r="LYV160" s="719"/>
      <c r="LYW160" s="719"/>
      <c r="LYX160" s="719"/>
      <c r="LYY160" s="719"/>
      <c r="LYZ160" s="719"/>
      <c r="LZA160" s="719"/>
      <c r="LZB160" s="719"/>
      <c r="LZC160" s="719"/>
      <c r="LZD160" s="719"/>
      <c r="LZE160" s="719"/>
      <c r="LZF160" s="719"/>
      <c r="LZG160" s="719"/>
      <c r="LZH160" s="719"/>
      <c r="LZI160" s="719"/>
      <c r="LZJ160" s="719"/>
      <c r="LZK160" s="719"/>
      <c r="LZL160" s="719"/>
      <c r="LZM160" s="719"/>
      <c r="LZN160" s="719"/>
      <c r="LZO160" s="719"/>
      <c r="LZP160" s="719"/>
      <c r="LZQ160" s="719"/>
      <c r="LZR160" s="719"/>
      <c r="LZS160" s="719"/>
      <c r="LZT160" s="719"/>
      <c r="LZU160" s="719"/>
      <c r="LZV160" s="719"/>
      <c r="LZW160" s="719"/>
      <c r="LZX160" s="719"/>
      <c r="LZY160" s="719"/>
      <c r="LZZ160" s="719"/>
      <c r="MAA160" s="719"/>
      <c r="MAB160" s="719"/>
      <c r="MAC160" s="719"/>
      <c r="MAD160" s="719"/>
      <c r="MAE160" s="719"/>
      <c r="MAF160" s="719"/>
      <c r="MAG160" s="719"/>
      <c r="MAH160" s="719"/>
      <c r="MAI160" s="719"/>
      <c r="MAJ160" s="719"/>
      <c r="MAK160" s="719"/>
      <c r="MAL160" s="719"/>
      <c r="MAM160" s="719"/>
      <c r="MAN160" s="719"/>
      <c r="MAO160" s="719"/>
      <c r="MAP160" s="719"/>
      <c r="MAQ160" s="719"/>
      <c r="MAR160" s="719"/>
      <c r="MAS160" s="719"/>
      <c r="MAT160" s="719"/>
      <c r="MAU160" s="719"/>
      <c r="MAV160" s="719"/>
      <c r="MAW160" s="719"/>
      <c r="MAX160" s="719"/>
      <c r="MAY160" s="719"/>
      <c r="MAZ160" s="719"/>
      <c r="MBA160" s="719"/>
      <c r="MBB160" s="719"/>
      <c r="MBC160" s="719"/>
      <c r="MBD160" s="719"/>
      <c r="MBE160" s="719"/>
      <c r="MBF160" s="719"/>
      <c r="MBG160" s="719"/>
      <c r="MBH160" s="719"/>
      <c r="MBI160" s="719"/>
      <c r="MBJ160" s="719"/>
      <c r="MBK160" s="719"/>
      <c r="MBL160" s="719"/>
      <c r="MBM160" s="719"/>
      <c r="MBN160" s="719"/>
      <c r="MBO160" s="719"/>
      <c r="MBP160" s="719"/>
      <c r="MBQ160" s="719"/>
      <c r="MBR160" s="719"/>
      <c r="MBS160" s="719"/>
      <c r="MBT160" s="719"/>
      <c r="MBU160" s="719"/>
      <c r="MBV160" s="719"/>
      <c r="MBW160" s="719"/>
      <c r="MBX160" s="719"/>
      <c r="MBY160" s="719"/>
      <c r="MBZ160" s="719"/>
      <c r="MCA160" s="719"/>
      <c r="MCB160" s="719"/>
      <c r="MCC160" s="719"/>
      <c r="MCD160" s="719"/>
      <c r="MCE160" s="719"/>
      <c r="MCF160" s="719"/>
      <c r="MCG160" s="719"/>
      <c r="MCH160" s="719"/>
      <c r="MCI160" s="719"/>
      <c r="MCJ160" s="719"/>
      <c r="MCK160" s="719"/>
      <c r="MCL160" s="719"/>
      <c r="MCM160" s="719"/>
      <c r="MCN160" s="719"/>
      <c r="MCO160" s="719"/>
      <c r="MCP160" s="719"/>
      <c r="MCQ160" s="719"/>
      <c r="MCR160" s="719"/>
      <c r="MCS160" s="719"/>
      <c r="MCT160" s="719"/>
      <c r="MCU160" s="719"/>
      <c r="MCV160" s="719"/>
      <c r="MCW160" s="719"/>
      <c r="MCX160" s="719"/>
      <c r="MCY160" s="719"/>
      <c r="MCZ160" s="719"/>
      <c r="MDA160" s="719"/>
      <c r="MDB160" s="719"/>
      <c r="MDC160" s="719"/>
      <c r="MDD160" s="719"/>
      <c r="MDE160" s="719"/>
      <c r="MDF160" s="719"/>
      <c r="MDG160" s="719"/>
      <c r="MDH160" s="719"/>
      <c r="MDI160" s="719"/>
      <c r="MDJ160" s="719"/>
      <c r="MDK160" s="719"/>
      <c r="MDL160" s="719"/>
      <c r="MDM160" s="719"/>
      <c r="MDN160" s="719"/>
      <c r="MDO160" s="719"/>
      <c r="MDP160" s="719"/>
      <c r="MDQ160" s="719"/>
      <c r="MDR160" s="719"/>
      <c r="MDS160" s="719"/>
      <c r="MDT160" s="719"/>
      <c r="MDU160" s="719"/>
      <c r="MDV160" s="719"/>
      <c r="MDW160" s="719"/>
      <c r="MDX160" s="719"/>
      <c r="MDY160" s="719"/>
      <c r="MDZ160" s="719"/>
      <c r="MEA160" s="719"/>
      <c r="MEB160" s="719"/>
      <c r="MEC160" s="719"/>
      <c r="MED160" s="719"/>
      <c r="MEE160" s="719"/>
      <c r="MEF160" s="719"/>
      <c r="MEG160" s="719"/>
      <c r="MEH160" s="719"/>
      <c r="MEI160" s="719"/>
      <c r="MEJ160" s="719"/>
      <c r="MEK160" s="719"/>
      <c r="MEL160" s="719"/>
      <c r="MEM160" s="719"/>
      <c r="MEN160" s="719"/>
      <c r="MEO160" s="719"/>
      <c r="MEP160" s="719"/>
      <c r="MEQ160" s="719"/>
      <c r="MER160" s="719"/>
      <c r="MES160" s="719"/>
      <c r="MET160" s="719"/>
      <c r="MEU160" s="719"/>
      <c r="MEV160" s="719"/>
      <c r="MEW160" s="719"/>
      <c r="MEX160" s="719"/>
      <c r="MEY160" s="719"/>
      <c r="MEZ160" s="719"/>
      <c r="MFA160" s="719"/>
      <c r="MFB160" s="719"/>
      <c r="MFC160" s="719"/>
      <c r="MFD160" s="719"/>
      <c r="MFE160" s="719"/>
      <c r="MFF160" s="719"/>
      <c r="MFG160" s="719"/>
      <c r="MFH160" s="719"/>
      <c r="MFI160" s="719"/>
      <c r="MFJ160" s="719"/>
      <c r="MFK160" s="719"/>
      <c r="MFL160" s="719"/>
      <c r="MFM160" s="719"/>
      <c r="MFN160" s="719"/>
      <c r="MFO160" s="719"/>
      <c r="MFP160" s="719"/>
      <c r="MFQ160" s="719"/>
      <c r="MFR160" s="719"/>
      <c r="MFS160" s="719"/>
      <c r="MFT160" s="719"/>
      <c r="MFU160" s="719"/>
      <c r="MFV160" s="719"/>
      <c r="MFW160" s="719"/>
      <c r="MFX160" s="719"/>
      <c r="MFY160" s="719"/>
      <c r="MFZ160" s="719"/>
      <c r="MGA160" s="719"/>
      <c r="MGB160" s="719"/>
      <c r="MGC160" s="719"/>
      <c r="MGD160" s="719"/>
      <c r="MGE160" s="719"/>
      <c r="MGF160" s="719"/>
      <c r="MGG160" s="719"/>
      <c r="MGH160" s="719"/>
      <c r="MGI160" s="719"/>
      <c r="MGJ160" s="719"/>
      <c r="MGK160" s="719"/>
      <c r="MGL160" s="719"/>
      <c r="MGM160" s="719"/>
      <c r="MGN160" s="719"/>
      <c r="MGO160" s="719"/>
      <c r="MGP160" s="719"/>
      <c r="MGQ160" s="719"/>
      <c r="MGR160" s="719"/>
      <c r="MGS160" s="719"/>
      <c r="MGT160" s="719"/>
      <c r="MGU160" s="719"/>
      <c r="MGV160" s="719"/>
      <c r="MGW160" s="719"/>
      <c r="MGX160" s="719"/>
      <c r="MGY160" s="719"/>
      <c r="MGZ160" s="719"/>
      <c r="MHA160" s="719"/>
      <c r="MHB160" s="719"/>
      <c r="MHC160" s="719"/>
      <c r="MHD160" s="719"/>
      <c r="MHE160" s="719"/>
      <c r="MHF160" s="719"/>
      <c r="MHG160" s="719"/>
      <c r="MHH160" s="719"/>
      <c r="MHI160" s="719"/>
      <c r="MHJ160" s="719"/>
      <c r="MHK160" s="719"/>
      <c r="MHL160" s="719"/>
      <c r="MHM160" s="719"/>
      <c r="MHN160" s="719"/>
      <c r="MHO160" s="719"/>
      <c r="MHP160" s="719"/>
      <c r="MHQ160" s="719"/>
      <c r="MHR160" s="719"/>
      <c r="MHS160" s="719"/>
      <c r="MHT160" s="719"/>
      <c r="MHU160" s="719"/>
      <c r="MHV160" s="719"/>
      <c r="MHW160" s="719"/>
      <c r="MHX160" s="719"/>
      <c r="MHY160" s="719"/>
      <c r="MHZ160" s="719"/>
      <c r="MIA160" s="719"/>
      <c r="MIB160" s="719"/>
      <c r="MIC160" s="719"/>
      <c r="MID160" s="719"/>
      <c r="MIE160" s="719"/>
      <c r="MIF160" s="719"/>
      <c r="MIG160" s="719"/>
      <c r="MIH160" s="719"/>
      <c r="MII160" s="719"/>
      <c r="MIJ160" s="719"/>
      <c r="MIK160" s="719"/>
      <c r="MIL160" s="719"/>
      <c r="MIM160" s="719"/>
      <c r="MIN160" s="719"/>
      <c r="MIO160" s="719"/>
      <c r="MIP160" s="719"/>
      <c r="MIQ160" s="719"/>
      <c r="MIR160" s="719"/>
      <c r="MIS160" s="719"/>
      <c r="MIT160" s="719"/>
      <c r="MIU160" s="719"/>
      <c r="MIV160" s="719"/>
      <c r="MIW160" s="719"/>
      <c r="MIX160" s="719"/>
      <c r="MIY160" s="719"/>
      <c r="MIZ160" s="719"/>
      <c r="MJA160" s="719"/>
      <c r="MJB160" s="719"/>
      <c r="MJC160" s="719"/>
      <c r="MJD160" s="719"/>
      <c r="MJE160" s="719"/>
      <c r="MJF160" s="719"/>
      <c r="MJG160" s="719"/>
      <c r="MJH160" s="719"/>
      <c r="MJI160" s="719"/>
      <c r="MJJ160" s="719"/>
      <c r="MJK160" s="719"/>
      <c r="MJL160" s="719"/>
      <c r="MJM160" s="719"/>
      <c r="MJN160" s="719"/>
      <c r="MJO160" s="719"/>
      <c r="MJP160" s="719"/>
      <c r="MJQ160" s="719"/>
      <c r="MJR160" s="719"/>
      <c r="MJS160" s="719"/>
      <c r="MJT160" s="719"/>
      <c r="MJU160" s="719"/>
      <c r="MJV160" s="719"/>
      <c r="MJW160" s="719"/>
      <c r="MJX160" s="719"/>
      <c r="MJY160" s="719"/>
      <c r="MJZ160" s="719"/>
      <c r="MKA160" s="719"/>
      <c r="MKB160" s="719"/>
      <c r="MKC160" s="719"/>
      <c r="MKD160" s="719"/>
      <c r="MKE160" s="719"/>
      <c r="MKF160" s="719"/>
      <c r="MKG160" s="719"/>
      <c r="MKH160" s="719"/>
      <c r="MKI160" s="719"/>
      <c r="MKJ160" s="719"/>
      <c r="MKK160" s="719"/>
      <c r="MKL160" s="719"/>
      <c r="MKM160" s="719"/>
      <c r="MKN160" s="719"/>
      <c r="MKO160" s="719"/>
      <c r="MKP160" s="719"/>
      <c r="MKQ160" s="719"/>
      <c r="MKR160" s="719"/>
      <c r="MKS160" s="719"/>
      <c r="MKT160" s="719"/>
      <c r="MKU160" s="719"/>
      <c r="MKV160" s="719"/>
      <c r="MKW160" s="719"/>
      <c r="MKX160" s="719"/>
      <c r="MKY160" s="719"/>
      <c r="MKZ160" s="719"/>
      <c r="MLA160" s="719"/>
      <c r="MLB160" s="719"/>
      <c r="MLC160" s="719"/>
      <c r="MLD160" s="719"/>
      <c r="MLE160" s="719"/>
      <c r="MLF160" s="719"/>
      <c r="MLG160" s="719"/>
      <c r="MLH160" s="719"/>
      <c r="MLI160" s="719"/>
      <c r="MLJ160" s="719"/>
      <c r="MLK160" s="719"/>
      <c r="MLL160" s="719"/>
      <c r="MLM160" s="719"/>
      <c r="MLN160" s="719"/>
      <c r="MLO160" s="719"/>
      <c r="MLP160" s="719"/>
      <c r="MLQ160" s="719"/>
      <c r="MLR160" s="719"/>
      <c r="MLS160" s="719"/>
      <c r="MLT160" s="719"/>
      <c r="MLU160" s="719"/>
      <c r="MLV160" s="719"/>
      <c r="MLW160" s="719"/>
      <c r="MLX160" s="719"/>
      <c r="MLY160" s="719"/>
      <c r="MLZ160" s="719"/>
      <c r="MMA160" s="719"/>
      <c r="MMB160" s="719"/>
      <c r="MMC160" s="719"/>
      <c r="MMD160" s="719"/>
      <c r="MME160" s="719"/>
      <c r="MMF160" s="719"/>
      <c r="MMG160" s="719"/>
      <c r="MMH160" s="719"/>
      <c r="MMI160" s="719"/>
      <c r="MMJ160" s="719"/>
      <c r="MMK160" s="719"/>
      <c r="MML160" s="719"/>
      <c r="MMM160" s="719"/>
      <c r="MMN160" s="719"/>
      <c r="MMO160" s="719"/>
      <c r="MMP160" s="719"/>
      <c r="MMQ160" s="719"/>
      <c r="MMR160" s="719"/>
      <c r="MMS160" s="719"/>
      <c r="MMT160" s="719"/>
      <c r="MMU160" s="719"/>
      <c r="MMV160" s="719"/>
      <c r="MMW160" s="719"/>
      <c r="MMX160" s="719"/>
      <c r="MMY160" s="719"/>
      <c r="MMZ160" s="719"/>
      <c r="MNA160" s="719"/>
      <c r="MNB160" s="719"/>
      <c r="MNC160" s="719"/>
      <c r="MND160" s="719"/>
      <c r="MNE160" s="719"/>
      <c r="MNF160" s="719"/>
      <c r="MNG160" s="719"/>
      <c r="MNH160" s="719"/>
      <c r="MNI160" s="719"/>
      <c r="MNJ160" s="719"/>
      <c r="MNK160" s="719"/>
      <c r="MNL160" s="719"/>
      <c r="MNM160" s="719"/>
      <c r="MNN160" s="719"/>
      <c r="MNO160" s="719"/>
      <c r="MNP160" s="719"/>
      <c r="MNQ160" s="719"/>
      <c r="MNR160" s="719"/>
      <c r="MNS160" s="719"/>
      <c r="MNT160" s="719"/>
      <c r="MNU160" s="719"/>
      <c r="MNV160" s="719"/>
      <c r="MNW160" s="719"/>
      <c r="MNX160" s="719"/>
      <c r="MNY160" s="719"/>
      <c r="MNZ160" s="719"/>
      <c r="MOA160" s="719"/>
      <c r="MOB160" s="719"/>
      <c r="MOC160" s="719"/>
      <c r="MOD160" s="719"/>
      <c r="MOE160" s="719"/>
      <c r="MOF160" s="719"/>
      <c r="MOG160" s="719"/>
      <c r="MOH160" s="719"/>
      <c r="MOI160" s="719"/>
      <c r="MOJ160" s="719"/>
      <c r="MOK160" s="719"/>
      <c r="MOL160" s="719"/>
      <c r="MOM160" s="719"/>
      <c r="MON160" s="719"/>
      <c r="MOO160" s="719"/>
      <c r="MOP160" s="719"/>
      <c r="MOQ160" s="719"/>
      <c r="MOR160" s="719"/>
      <c r="MOS160" s="719"/>
      <c r="MOT160" s="719"/>
      <c r="MOU160" s="719"/>
      <c r="MOV160" s="719"/>
      <c r="MOW160" s="719"/>
      <c r="MOX160" s="719"/>
      <c r="MOY160" s="719"/>
      <c r="MOZ160" s="719"/>
      <c r="MPA160" s="719"/>
      <c r="MPB160" s="719"/>
      <c r="MPC160" s="719"/>
      <c r="MPD160" s="719"/>
      <c r="MPE160" s="719"/>
      <c r="MPF160" s="719"/>
      <c r="MPG160" s="719"/>
      <c r="MPH160" s="719"/>
      <c r="MPI160" s="719"/>
      <c r="MPJ160" s="719"/>
      <c r="MPK160" s="719"/>
      <c r="MPL160" s="719"/>
      <c r="MPM160" s="719"/>
      <c r="MPN160" s="719"/>
      <c r="MPO160" s="719"/>
      <c r="MPP160" s="719"/>
      <c r="MPQ160" s="719"/>
      <c r="MPR160" s="719"/>
      <c r="MPS160" s="719"/>
      <c r="MPT160" s="719"/>
      <c r="MPU160" s="719"/>
      <c r="MPV160" s="719"/>
      <c r="MPW160" s="719"/>
      <c r="MPX160" s="719"/>
      <c r="MPY160" s="719"/>
      <c r="MPZ160" s="719"/>
      <c r="MQA160" s="719"/>
      <c r="MQB160" s="719"/>
      <c r="MQC160" s="719"/>
      <c r="MQD160" s="719"/>
      <c r="MQE160" s="719"/>
      <c r="MQF160" s="719"/>
      <c r="MQG160" s="719"/>
      <c r="MQH160" s="719"/>
      <c r="MQI160" s="719"/>
      <c r="MQJ160" s="719"/>
      <c r="MQK160" s="719"/>
      <c r="MQL160" s="719"/>
      <c r="MQM160" s="719"/>
      <c r="MQN160" s="719"/>
      <c r="MQO160" s="719"/>
      <c r="MQP160" s="719"/>
      <c r="MQQ160" s="719"/>
      <c r="MQR160" s="719"/>
      <c r="MQS160" s="719"/>
      <c r="MQT160" s="719"/>
      <c r="MQU160" s="719"/>
      <c r="MQV160" s="719"/>
      <c r="MQW160" s="719"/>
      <c r="MQX160" s="719"/>
      <c r="MQY160" s="719"/>
      <c r="MQZ160" s="719"/>
      <c r="MRA160" s="719"/>
      <c r="MRB160" s="719"/>
      <c r="MRC160" s="719"/>
      <c r="MRD160" s="719"/>
      <c r="MRE160" s="719"/>
      <c r="MRF160" s="719"/>
      <c r="MRG160" s="719"/>
      <c r="MRH160" s="719"/>
      <c r="MRI160" s="719"/>
      <c r="MRJ160" s="719"/>
      <c r="MRK160" s="719"/>
      <c r="MRL160" s="719"/>
      <c r="MRM160" s="719"/>
      <c r="MRN160" s="719"/>
      <c r="MRO160" s="719"/>
      <c r="MRP160" s="719"/>
      <c r="MRQ160" s="719"/>
      <c r="MRR160" s="719"/>
      <c r="MRS160" s="719"/>
      <c r="MRT160" s="719"/>
      <c r="MRU160" s="719"/>
      <c r="MRV160" s="719"/>
      <c r="MRW160" s="719"/>
      <c r="MRX160" s="719"/>
      <c r="MRY160" s="719"/>
      <c r="MRZ160" s="719"/>
      <c r="MSA160" s="719"/>
      <c r="MSB160" s="719"/>
      <c r="MSC160" s="719"/>
      <c r="MSD160" s="719"/>
      <c r="MSE160" s="719"/>
      <c r="MSF160" s="719"/>
      <c r="MSG160" s="719"/>
      <c r="MSH160" s="719"/>
      <c r="MSI160" s="719"/>
      <c r="MSJ160" s="719"/>
      <c r="MSK160" s="719"/>
      <c r="MSL160" s="719"/>
      <c r="MSM160" s="719"/>
      <c r="MSN160" s="719"/>
      <c r="MSO160" s="719"/>
      <c r="MSP160" s="719"/>
      <c r="MSQ160" s="719"/>
      <c r="MSR160" s="719"/>
      <c r="MSS160" s="719"/>
      <c r="MST160" s="719"/>
      <c r="MSU160" s="719"/>
      <c r="MSV160" s="719"/>
      <c r="MSW160" s="719"/>
      <c r="MSX160" s="719"/>
      <c r="MSY160" s="719"/>
      <c r="MSZ160" s="719"/>
      <c r="MTA160" s="719"/>
      <c r="MTB160" s="719"/>
      <c r="MTC160" s="719"/>
      <c r="MTD160" s="719"/>
      <c r="MTE160" s="719"/>
      <c r="MTF160" s="719"/>
      <c r="MTG160" s="719"/>
      <c r="MTH160" s="719"/>
      <c r="MTI160" s="719"/>
      <c r="MTJ160" s="719"/>
      <c r="MTK160" s="719"/>
      <c r="MTL160" s="719"/>
      <c r="MTM160" s="719"/>
      <c r="MTN160" s="719"/>
      <c r="MTO160" s="719"/>
      <c r="MTP160" s="719"/>
      <c r="MTQ160" s="719"/>
      <c r="MTR160" s="719"/>
      <c r="MTS160" s="719"/>
      <c r="MTT160" s="719"/>
      <c r="MTU160" s="719"/>
      <c r="MTV160" s="719"/>
      <c r="MTW160" s="719"/>
      <c r="MTX160" s="719"/>
      <c r="MTY160" s="719"/>
      <c r="MTZ160" s="719"/>
      <c r="MUA160" s="719"/>
      <c r="MUB160" s="719"/>
      <c r="MUC160" s="719"/>
      <c r="MUD160" s="719"/>
      <c r="MUE160" s="719"/>
      <c r="MUF160" s="719"/>
      <c r="MUG160" s="719"/>
      <c r="MUH160" s="719"/>
      <c r="MUI160" s="719"/>
      <c r="MUJ160" s="719"/>
      <c r="MUK160" s="719"/>
      <c r="MUL160" s="719"/>
      <c r="MUM160" s="719"/>
      <c r="MUN160" s="719"/>
      <c r="MUO160" s="719"/>
      <c r="MUP160" s="719"/>
      <c r="MUQ160" s="719"/>
      <c r="MUR160" s="719"/>
      <c r="MUS160" s="719"/>
      <c r="MUT160" s="719"/>
      <c r="MUU160" s="719"/>
      <c r="MUV160" s="719"/>
      <c r="MUW160" s="719"/>
      <c r="MUX160" s="719"/>
      <c r="MUY160" s="719"/>
      <c r="MUZ160" s="719"/>
      <c r="MVA160" s="719"/>
      <c r="MVB160" s="719"/>
      <c r="MVC160" s="719"/>
      <c r="MVD160" s="719"/>
      <c r="MVE160" s="719"/>
      <c r="MVF160" s="719"/>
      <c r="MVG160" s="719"/>
      <c r="MVH160" s="719"/>
      <c r="MVI160" s="719"/>
      <c r="MVJ160" s="719"/>
      <c r="MVK160" s="719"/>
      <c r="MVL160" s="719"/>
      <c r="MVM160" s="719"/>
      <c r="MVN160" s="719"/>
      <c r="MVO160" s="719"/>
      <c r="MVP160" s="719"/>
      <c r="MVQ160" s="719"/>
      <c r="MVR160" s="719"/>
      <c r="MVS160" s="719"/>
      <c r="MVT160" s="719"/>
      <c r="MVU160" s="719"/>
      <c r="MVV160" s="719"/>
      <c r="MVW160" s="719"/>
      <c r="MVX160" s="719"/>
      <c r="MVY160" s="719"/>
      <c r="MVZ160" s="719"/>
      <c r="MWA160" s="719"/>
      <c r="MWB160" s="719"/>
      <c r="MWC160" s="719"/>
      <c r="MWD160" s="719"/>
      <c r="MWE160" s="719"/>
      <c r="MWF160" s="719"/>
      <c r="MWG160" s="719"/>
      <c r="MWH160" s="719"/>
      <c r="MWI160" s="719"/>
      <c r="MWJ160" s="719"/>
      <c r="MWK160" s="719"/>
      <c r="MWL160" s="719"/>
      <c r="MWM160" s="719"/>
      <c r="MWN160" s="719"/>
      <c r="MWO160" s="719"/>
      <c r="MWP160" s="719"/>
      <c r="MWQ160" s="719"/>
      <c r="MWR160" s="719"/>
      <c r="MWS160" s="719"/>
      <c r="MWT160" s="719"/>
      <c r="MWU160" s="719"/>
      <c r="MWV160" s="719"/>
      <c r="MWW160" s="719"/>
      <c r="MWX160" s="719"/>
      <c r="MWY160" s="719"/>
      <c r="MWZ160" s="719"/>
      <c r="MXA160" s="719"/>
      <c r="MXB160" s="719"/>
      <c r="MXC160" s="719"/>
      <c r="MXD160" s="719"/>
      <c r="MXE160" s="719"/>
      <c r="MXF160" s="719"/>
      <c r="MXG160" s="719"/>
      <c r="MXH160" s="719"/>
      <c r="MXI160" s="719"/>
      <c r="MXJ160" s="719"/>
      <c r="MXK160" s="719"/>
      <c r="MXL160" s="719"/>
      <c r="MXM160" s="719"/>
      <c r="MXN160" s="719"/>
      <c r="MXO160" s="719"/>
      <c r="MXP160" s="719"/>
      <c r="MXQ160" s="719"/>
      <c r="MXR160" s="719"/>
      <c r="MXS160" s="719"/>
      <c r="MXT160" s="719"/>
      <c r="MXU160" s="719"/>
      <c r="MXV160" s="719"/>
      <c r="MXW160" s="719"/>
      <c r="MXX160" s="719"/>
      <c r="MXY160" s="719"/>
      <c r="MXZ160" s="719"/>
      <c r="MYA160" s="719"/>
      <c r="MYB160" s="719"/>
      <c r="MYC160" s="719"/>
      <c r="MYD160" s="719"/>
      <c r="MYE160" s="719"/>
      <c r="MYF160" s="719"/>
      <c r="MYG160" s="719"/>
      <c r="MYH160" s="719"/>
      <c r="MYI160" s="719"/>
      <c r="MYJ160" s="719"/>
      <c r="MYK160" s="719"/>
      <c r="MYL160" s="719"/>
      <c r="MYM160" s="719"/>
      <c r="MYN160" s="719"/>
      <c r="MYO160" s="719"/>
      <c r="MYP160" s="719"/>
      <c r="MYQ160" s="719"/>
      <c r="MYR160" s="719"/>
      <c r="MYS160" s="719"/>
      <c r="MYT160" s="719"/>
      <c r="MYU160" s="719"/>
      <c r="MYV160" s="719"/>
      <c r="MYW160" s="719"/>
      <c r="MYX160" s="719"/>
      <c r="MYY160" s="719"/>
      <c r="MYZ160" s="719"/>
      <c r="MZA160" s="719"/>
      <c r="MZB160" s="719"/>
      <c r="MZC160" s="719"/>
      <c r="MZD160" s="719"/>
      <c r="MZE160" s="719"/>
      <c r="MZF160" s="719"/>
      <c r="MZG160" s="719"/>
      <c r="MZH160" s="719"/>
      <c r="MZI160" s="719"/>
      <c r="MZJ160" s="719"/>
      <c r="MZK160" s="719"/>
      <c r="MZL160" s="719"/>
      <c r="MZM160" s="719"/>
      <c r="MZN160" s="719"/>
      <c r="MZO160" s="719"/>
      <c r="MZP160" s="719"/>
      <c r="MZQ160" s="719"/>
      <c r="MZR160" s="719"/>
      <c r="MZS160" s="719"/>
      <c r="MZT160" s="719"/>
      <c r="MZU160" s="719"/>
      <c r="MZV160" s="719"/>
      <c r="MZW160" s="719"/>
      <c r="MZX160" s="719"/>
      <c r="MZY160" s="719"/>
      <c r="MZZ160" s="719"/>
      <c r="NAA160" s="719"/>
      <c r="NAB160" s="719"/>
      <c r="NAC160" s="719"/>
      <c r="NAD160" s="719"/>
      <c r="NAE160" s="719"/>
      <c r="NAF160" s="719"/>
      <c r="NAG160" s="719"/>
      <c r="NAH160" s="719"/>
      <c r="NAI160" s="719"/>
      <c r="NAJ160" s="719"/>
      <c r="NAK160" s="719"/>
      <c r="NAL160" s="719"/>
      <c r="NAM160" s="719"/>
      <c r="NAN160" s="719"/>
      <c r="NAO160" s="719"/>
      <c r="NAP160" s="719"/>
      <c r="NAQ160" s="719"/>
      <c r="NAR160" s="719"/>
      <c r="NAS160" s="719"/>
      <c r="NAT160" s="719"/>
      <c r="NAU160" s="719"/>
      <c r="NAV160" s="719"/>
      <c r="NAW160" s="719"/>
      <c r="NAX160" s="719"/>
      <c r="NAY160" s="719"/>
      <c r="NAZ160" s="719"/>
      <c r="NBA160" s="719"/>
      <c r="NBB160" s="719"/>
      <c r="NBC160" s="719"/>
      <c r="NBD160" s="719"/>
      <c r="NBE160" s="719"/>
      <c r="NBF160" s="719"/>
      <c r="NBG160" s="719"/>
      <c r="NBH160" s="719"/>
      <c r="NBI160" s="719"/>
      <c r="NBJ160" s="719"/>
      <c r="NBK160" s="719"/>
      <c r="NBL160" s="719"/>
      <c r="NBM160" s="719"/>
      <c r="NBN160" s="719"/>
      <c r="NBO160" s="719"/>
      <c r="NBP160" s="719"/>
      <c r="NBQ160" s="719"/>
      <c r="NBR160" s="719"/>
      <c r="NBS160" s="719"/>
      <c r="NBT160" s="719"/>
      <c r="NBU160" s="719"/>
      <c r="NBV160" s="719"/>
      <c r="NBW160" s="719"/>
      <c r="NBX160" s="719"/>
      <c r="NBY160" s="719"/>
      <c r="NBZ160" s="719"/>
      <c r="NCA160" s="719"/>
      <c r="NCB160" s="719"/>
      <c r="NCC160" s="719"/>
      <c r="NCD160" s="719"/>
      <c r="NCE160" s="719"/>
      <c r="NCF160" s="719"/>
      <c r="NCG160" s="719"/>
      <c r="NCH160" s="719"/>
      <c r="NCI160" s="719"/>
      <c r="NCJ160" s="719"/>
      <c r="NCK160" s="719"/>
      <c r="NCL160" s="719"/>
      <c r="NCM160" s="719"/>
      <c r="NCN160" s="719"/>
      <c r="NCO160" s="719"/>
      <c r="NCP160" s="719"/>
      <c r="NCQ160" s="719"/>
      <c r="NCR160" s="719"/>
      <c r="NCS160" s="719"/>
      <c r="NCT160" s="719"/>
      <c r="NCU160" s="719"/>
      <c r="NCV160" s="719"/>
      <c r="NCW160" s="719"/>
      <c r="NCX160" s="719"/>
      <c r="NCY160" s="719"/>
      <c r="NCZ160" s="719"/>
      <c r="NDA160" s="719"/>
      <c r="NDB160" s="719"/>
      <c r="NDC160" s="719"/>
      <c r="NDD160" s="719"/>
      <c r="NDE160" s="719"/>
      <c r="NDF160" s="719"/>
      <c r="NDG160" s="719"/>
      <c r="NDH160" s="719"/>
      <c r="NDI160" s="719"/>
      <c r="NDJ160" s="719"/>
      <c r="NDK160" s="719"/>
      <c r="NDL160" s="719"/>
      <c r="NDM160" s="719"/>
      <c r="NDN160" s="719"/>
      <c r="NDO160" s="719"/>
      <c r="NDP160" s="719"/>
      <c r="NDQ160" s="719"/>
      <c r="NDR160" s="719"/>
      <c r="NDS160" s="719"/>
      <c r="NDT160" s="719"/>
      <c r="NDU160" s="719"/>
      <c r="NDV160" s="719"/>
      <c r="NDW160" s="719"/>
      <c r="NDX160" s="719"/>
      <c r="NDY160" s="719"/>
      <c r="NDZ160" s="719"/>
      <c r="NEA160" s="719"/>
      <c r="NEB160" s="719"/>
      <c r="NEC160" s="719"/>
      <c r="NED160" s="719"/>
      <c r="NEE160" s="719"/>
      <c r="NEF160" s="719"/>
      <c r="NEG160" s="719"/>
      <c r="NEH160" s="719"/>
      <c r="NEI160" s="719"/>
      <c r="NEJ160" s="719"/>
      <c r="NEK160" s="719"/>
      <c r="NEL160" s="719"/>
      <c r="NEM160" s="719"/>
      <c r="NEN160" s="719"/>
      <c r="NEO160" s="719"/>
      <c r="NEP160" s="719"/>
      <c r="NEQ160" s="719"/>
      <c r="NER160" s="719"/>
      <c r="NES160" s="719"/>
      <c r="NET160" s="719"/>
      <c r="NEU160" s="719"/>
      <c r="NEV160" s="719"/>
      <c r="NEW160" s="719"/>
      <c r="NEX160" s="719"/>
      <c r="NEY160" s="719"/>
      <c r="NEZ160" s="719"/>
      <c r="NFA160" s="719"/>
      <c r="NFB160" s="719"/>
      <c r="NFC160" s="719"/>
      <c r="NFD160" s="719"/>
      <c r="NFE160" s="719"/>
      <c r="NFF160" s="719"/>
      <c r="NFG160" s="719"/>
      <c r="NFH160" s="719"/>
      <c r="NFI160" s="719"/>
      <c r="NFJ160" s="719"/>
      <c r="NFK160" s="719"/>
      <c r="NFL160" s="719"/>
      <c r="NFM160" s="719"/>
      <c r="NFN160" s="719"/>
      <c r="NFO160" s="719"/>
      <c r="NFP160" s="719"/>
      <c r="NFQ160" s="719"/>
      <c r="NFR160" s="719"/>
      <c r="NFS160" s="719"/>
      <c r="NFT160" s="719"/>
      <c r="NFU160" s="719"/>
      <c r="NFV160" s="719"/>
      <c r="NFW160" s="719"/>
      <c r="NFX160" s="719"/>
      <c r="NFY160" s="719"/>
      <c r="NFZ160" s="719"/>
      <c r="NGA160" s="719"/>
      <c r="NGB160" s="719"/>
      <c r="NGC160" s="719"/>
      <c r="NGD160" s="719"/>
      <c r="NGE160" s="719"/>
      <c r="NGF160" s="719"/>
      <c r="NGG160" s="719"/>
      <c r="NGH160" s="719"/>
      <c r="NGI160" s="719"/>
      <c r="NGJ160" s="719"/>
      <c r="NGK160" s="719"/>
      <c r="NGL160" s="719"/>
      <c r="NGM160" s="719"/>
      <c r="NGN160" s="719"/>
      <c r="NGO160" s="719"/>
      <c r="NGP160" s="719"/>
      <c r="NGQ160" s="719"/>
      <c r="NGR160" s="719"/>
      <c r="NGS160" s="719"/>
      <c r="NGT160" s="719"/>
      <c r="NGU160" s="719"/>
      <c r="NGV160" s="719"/>
      <c r="NGW160" s="719"/>
      <c r="NGX160" s="719"/>
      <c r="NGY160" s="719"/>
      <c r="NGZ160" s="719"/>
      <c r="NHA160" s="719"/>
      <c r="NHB160" s="719"/>
      <c r="NHC160" s="719"/>
      <c r="NHD160" s="719"/>
      <c r="NHE160" s="719"/>
      <c r="NHF160" s="719"/>
      <c r="NHG160" s="719"/>
      <c r="NHH160" s="719"/>
      <c r="NHI160" s="719"/>
      <c r="NHJ160" s="719"/>
      <c r="NHK160" s="719"/>
      <c r="NHL160" s="719"/>
      <c r="NHM160" s="719"/>
      <c r="NHN160" s="719"/>
      <c r="NHO160" s="719"/>
      <c r="NHP160" s="719"/>
      <c r="NHQ160" s="719"/>
      <c r="NHR160" s="719"/>
      <c r="NHS160" s="719"/>
      <c r="NHT160" s="719"/>
      <c r="NHU160" s="719"/>
      <c r="NHV160" s="719"/>
      <c r="NHW160" s="719"/>
      <c r="NHX160" s="719"/>
      <c r="NHY160" s="719"/>
      <c r="NHZ160" s="719"/>
      <c r="NIA160" s="719"/>
      <c r="NIB160" s="719"/>
      <c r="NIC160" s="719"/>
      <c r="NID160" s="719"/>
      <c r="NIE160" s="719"/>
      <c r="NIF160" s="719"/>
      <c r="NIG160" s="719"/>
      <c r="NIH160" s="719"/>
      <c r="NII160" s="719"/>
      <c r="NIJ160" s="719"/>
      <c r="NIK160" s="719"/>
      <c r="NIL160" s="719"/>
      <c r="NIM160" s="719"/>
      <c r="NIN160" s="719"/>
      <c r="NIO160" s="719"/>
      <c r="NIP160" s="719"/>
      <c r="NIQ160" s="719"/>
      <c r="NIR160" s="719"/>
      <c r="NIS160" s="719"/>
      <c r="NIT160" s="719"/>
      <c r="NIU160" s="719"/>
      <c r="NIV160" s="719"/>
      <c r="NIW160" s="719"/>
      <c r="NIX160" s="719"/>
      <c r="NIY160" s="719"/>
      <c r="NIZ160" s="719"/>
      <c r="NJA160" s="719"/>
      <c r="NJB160" s="719"/>
      <c r="NJC160" s="719"/>
      <c r="NJD160" s="719"/>
      <c r="NJE160" s="719"/>
      <c r="NJF160" s="719"/>
      <c r="NJG160" s="719"/>
      <c r="NJH160" s="719"/>
      <c r="NJI160" s="719"/>
      <c r="NJJ160" s="719"/>
      <c r="NJK160" s="719"/>
      <c r="NJL160" s="719"/>
      <c r="NJM160" s="719"/>
      <c r="NJN160" s="719"/>
      <c r="NJO160" s="719"/>
      <c r="NJP160" s="719"/>
      <c r="NJQ160" s="719"/>
      <c r="NJR160" s="719"/>
      <c r="NJS160" s="719"/>
      <c r="NJT160" s="719"/>
      <c r="NJU160" s="719"/>
      <c r="NJV160" s="719"/>
      <c r="NJW160" s="719"/>
      <c r="NJX160" s="719"/>
      <c r="NJY160" s="719"/>
      <c r="NJZ160" s="719"/>
      <c r="NKA160" s="719"/>
      <c r="NKB160" s="719"/>
      <c r="NKC160" s="719"/>
      <c r="NKD160" s="719"/>
      <c r="NKE160" s="719"/>
      <c r="NKF160" s="719"/>
      <c r="NKG160" s="719"/>
      <c r="NKH160" s="719"/>
      <c r="NKI160" s="719"/>
      <c r="NKJ160" s="719"/>
      <c r="NKK160" s="719"/>
      <c r="NKL160" s="719"/>
      <c r="NKM160" s="719"/>
      <c r="NKN160" s="719"/>
      <c r="NKO160" s="719"/>
      <c r="NKP160" s="719"/>
      <c r="NKQ160" s="719"/>
      <c r="NKR160" s="719"/>
      <c r="NKS160" s="719"/>
      <c r="NKT160" s="719"/>
      <c r="NKU160" s="719"/>
      <c r="NKV160" s="719"/>
      <c r="NKW160" s="719"/>
      <c r="NKX160" s="719"/>
      <c r="NKY160" s="719"/>
      <c r="NKZ160" s="719"/>
      <c r="NLA160" s="719"/>
      <c r="NLB160" s="719"/>
      <c r="NLC160" s="719"/>
      <c r="NLD160" s="719"/>
      <c r="NLE160" s="719"/>
      <c r="NLF160" s="719"/>
      <c r="NLG160" s="719"/>
      <c r="NLH160" s="719"/>
      <c r="NLI160" s="719"/>
      <c r="NLJ160" s="719"/>
      <c r="NLK160" s="719"/>
      <c r="NLL160" s="719"/>
      <c r="NLM160" s="719"/>
      <c r="NLN160" s="719"/>
      <c r="NLO160" s="719"/>
      <c r="NLP160" s="719"/>
      <c r="NLQ160" s="719"/>
      <c r="NLR160" s="719"/>
      <c r="NLS160" s="719"/>
      <c r="NLT160" s="719"/>
      <c r="NLU160" s="719"/>
      <c r="NLV160" s="719"/>
      <c r="NLW160" s="719"/>
      <c r="NLX160" s="719"/>
      <c r="NLY160" s="719"/>
      <c r="NLZ160" s="719"/>
      <c r="NMA160" s="719"/>
      <c r="NMB160" s="719"/>
      <c r="NMC160" s="719"/>
      <c r="NMD160" s="719"/>
      <c r="NME160" s="719"/>
      <c r="NMF160" s="719"/>
      <c r="NMG160" s="719"/>
      <c r="NMH160" s="719"/>
      <c r="NMI160" s="719"/>
      <c r="NMJ160" s="719"/>
      <c r="NMK160" s="719"/>
      <c r="NML160" s="719"/>
      <c r="NMM160" s="719"/>
      <c r="NMN160" s="719"/>
      <c r="NMO160" s="719"/>
      <c r="NMP160" s="719"/>
      <c r="NMQ160" s="719"/>
      <c r="NMR160" s="719"/>
      <c r="NMS160" s="719"/>
      <c r="NMT160" s="719"/>
      <c r="NMU160" s="719"/>
      <c r="NMV160" s="719"/>
      <c r="NMW160" s="719"/>
      <c r="NMX160" s="719"/>
      <c r="NMY160" s="719"/>
      <c r="NMZ160" s="719"/>
      <c r="NNA160" s="719"/>
      <c r="NNB160" s="719"/>
      <c r="NNC160" s="719"/>
      <c r="NND160" s="719"/>
      <c r="NNE160" s="719"/>
      <c r="NNF160" s="719"/>
      <c r="NNG160" s="719"/>
      <c r="NNH160" s="719"/>
      <c r="NNI160" s="719"/>
      <c r="NNJ160" s="719"/>
      <c r="NNK160" s="719"/>
      <c r="NNL160" s="719"/>
      <c r="NNM160" s="719"/>
      <c r="NNN160" s="719"/>
      <c r="NNO160" s="719"/>
      <c r="NNP160" s="719"/>
      <c r="NNQ160" s="719"/>
      <c r="NNR160" s="719"/>
      <c r="NNS160" s="719"/>
      <c r="NNT160" s="719"/>
      <c r="NNU160" s="719"/>
      <c r="NNV160" s="719"/>
      <c r="NNW160" s="719"/>
      <c r="NNX160" s="719"/>
      <c r="NNY160" s="719"/>
      <c r="NNZ160" s="719"/>
      <c r="NOA160" s="719"/>
      <c r="NOB160" s="719"/>
      <c r="NOC160" s="719"/>
      <c r="NOD160" s="719"/>
      <c r="NOE160" s="719"/>
      <c r="NOF160" s="719"/>
      <c r="NOG160" s="719"/>
      <c r="NOH160" s="719"/>
      <c r="NOI160" s="719"/>
      <c r="NOJ160" s="719"/>
      <c r="NOK160" s="719"/>
      <c r="NOL160" s="719"/>
      <c r="NOM160" s="719"/>
      <c r="NON160" s="719"/>
      <c r="NOO160" s="719"/>
      <c r="NOP160" s="719"/>
      <c r="NOQ160" s="719"/>
      <c r="NOR160" s="719"/>
      <c r="NOS160" s="719"/>
      <c r="NOT160" s="719"/>
      <c r="NOU160" s="719"/>
      <c r="NOV160" s="719"/>
      <c r="NOW160" s="719"/>
      <c r="NOX160" s="719"/>
      <c r="NOY160" s="719"/>
      <c r="NOZ160" s="719"/>
      <c r="NPA160" s="719"/>
      <c r="NPB160" s="719"/>
      <c r="NPC160" s="719"/>
      <c r="NPD160" s="719"/>
      <c r="NPE160" s="719"/>
      <c r="NPF160" s="719"/>
      <c r="NPG160" s="719"/>
      <c r="NPH160" s="719"/>
      <c r="NPI160" s="719"/>
      <c r="NPJ160" s="719"/>
      <c r="NPK160" s="719"/>
      <c r="NPL160" s="719"/>
      <c r="NPM160" s="719"/>
      <c r="NPN160" s="719"/>
      <c r="NPO160" s="719"/>
      <c r="NPP160" s="719"/>
      <c r="NPQ160" s="719"/>
      <c r="NPR160" s="719"/>
      <c r="NPS160" s="719"/>
      <c r="NPT160" s="719"/>
      <c r="NPU160" s="719"/>
      <c r="NPV160" s="719"/>
      <c r="NPW160" s="719"/>
      <c r="NPX160" s="719"/>
      <c r="NPY160" s="719"/>
      <c r="NPZ160" s="719"/>
      <c r="NQA160" s="719"/>
      <c r="NQB160" s="719"/>
      <c r="NQC160" s="719"/>
      <c r="NQD160" s="719"/>
      <c r="NQE160" s="719"/>
      <c r="NQF160" s="719"/>
      <c r="NQG160" s="719"/>
      <c r="NQH160" s="719"/>
      <c r="NQI160" s="719"/>
      <c r="NQJ160" s="719"/>
      <c r="NQK160" s="719"/>
      <c r="NQL160" s="719"/>
      <c r="NQM160" s="719"/>
      <c r="NQN160" s="719"/>
      <c r="NQO160" s="719"/>
      <c r="NQP160" s="719"/>
      <c r="NQQ160" s="719"/>
      <c r="NQR160" s="719"/>
      <c r="NQS160" s="719"/>
      <c r="NQT160" s="719"/>
      <c r="NQU160" s="719"/>
      <c r="NQV160" s="719"/>
      <c r="NQW160" s="719"/>
      <c r="NQX160" s="719"/>
      <c r="NQY160" s="719"/>
      <c r="NQZ160" s="719"/>
      <c r="NRA160" s="719"/>
      <c r="NRB160" s="719"/>
      <c r="NRC160" s="719"/>
      <c r="NRD160" s="719"/>
      <c r="NRE160" s="719"/>
      <c r="NRF160" s="719"/>
      <c r="NRG160" s="719"/>
      <c r="NRH160" s="719"/>
      <c r="NRI160" s="719"/>
      <c r="NRJ160" s="719"/>
      <c r="NRK160" s="719"/>
      <c r="NRL160" s="719"/>
      <c r="NRM160" s="719"/>
      <c r="NRN160" s="719"/>
      <c r="NRO160" s="719"/>
      <c r="NRP160" s="719"/>
      <c r="NRQ160" s="719"/>
      <c r="NRR160" s="719"/>
      <c r="NRS160" s="719"/>
      <c r="NRT160" s="719"/>
      <c r="NRU160" s="719"/>
      <c r="NRV160" s="719"/>
      <c r="NRW160" s="719"/>
      <c r="NRX160" s="719"/>
      <c r="NRY160" s="719"/>
      <c r="NRZ160" s="719"/>
      <c r="NSA160" s="719"/>
      <c r="NSB160" s="719"/>
      <c r="NSC160" s="719"/>
      <c r="NSD160" s="719"/>
      <c r="NSE160" s="719"/>
      <c r="NSF160" s="719"/>
      <c r="NSG160" s="719"/>
      <c r="NSH160" s="719"/>
      <c r="NSI160" s="719"/>
      <c r="NSJ160" s="719"/>
      <c r="NSK160" s="719"/>
      <c r="NSL160" s="719"/>
      <c r="NSM160" s="719"/>
      <c r="NSN160" s="719"/>
      <c r="NSO160" s="719"/>
      <c r="NSP160" s="719"/>
      <c r="NSQ160" s="719"/>
      <c r="NSR160" s="719"/>
      <c r="NSS160" s="719"/>
      <c r="NST160" s="719"/>
      <c r="NSU160" s="719"/>
      <c r="NSV160" s="719"/>
      <c r="NSW160" s="719"/>
      <c r="NSX160" s="719"/>
      <c r="NSY160" s="719"/>
      <c r="NSZ160" s="719"/>
      <c r="NTA160" s="719"/>
      <c r="NTB160" s="719"/>
      <c r="NTC160" s="719"/>
      <c r="NTD160" s="719"/>
      <c r="NTE160" s="719"/>
      <c r="NTF160" s="719"/>
      <c r="NTG160" s="719"/>
      <c r="NTH160" s="719"/>
      <c r="NTI160" s="719"/>
      <c r="NTJ160" s="719"/>
      <c r="NTK160" s="719"/>
      <c r="NTL160" s="719"/>
      <c r="NTM160" s="719"/>
      <c r="NTN160" s="719"/>
      <c r="NTO160" s="719"/>
      <c r="NTP160" s="719"/>
      <c r="NTQ160" s="719"/>
      <c r="NTR160" s="719"/>
      <c r="NTS160" s="719"/>
      <c r="NTT160" s="719"/>
      <c r="NTU160" s="719"/>
      <c r="NTV160" s="719"/>
      <c r="NTW160" s="719"/>
      <c r="NTX160" s="719"/>
      <c r="NTY160" s="719"/>
      <c r="NTZ160" s="719"/>
      <c r="NUA160" s="719"/>
      <c r="NUB160" s="719"/>
      <c r="NUC160" s="719"/>
      <c r="NUD160" s="719"/>
      <c r="NUE160" s="719"/>
      <c r="NUF160" s="719"/>
      <c r="NUG160" s="719"/>
      <c r="NUH160" s="719"/>
      <c r="NUI160" s="719"/>
      <c r="NUJ160" s="719"/>
      <c r="NUK160" s="719"/>
      <c r="NUL160" s="719"/>
      <c r="NUM160" s="719"/>
      <c r="NUN160" s="719"/>
      <c r="NUO160" s="719"/>
      <c r="NUP160" s="719"/>
      <c r="NUQ160" s="719"/>
      <c r="NUR160" s="719"/>
      <c r="NUS160" s="719"/>
      <c r="NUT160" s="719"/>
      <c r="NUU160" s="719"/>
      <c r="NUV160" s="719"/>
      <c r="NUW160" s="719"/>
      <c r="NUX160" s="719"/>
      <c r="NUY160" s="719"/>
      <c r="NUZ160" s="719"/>
      <c r="NVA160" s="719"/>
      <c r="NVB160" s="719"/>
      <c r="NVC160" s="719"/>
      <c r="NVD160" s="719"/>
      <c r="NVE160" s="719"/>
      <c r="NVF160" s="719"/>
      <c r="NVG160" s="719"/>
      <c r="NVH160" s="719"/>
      <c r="NVI160" s="719"/>
      <c r="NVJ160" s="719"/>
      <c r="NVK160" s="719"/>
      <c r="NVL160" s="719"/>
      <c r="NVM160" s="719"/>
      <c r="NVN160" s="719"/>
      <c r="NVO160" s="719"/>
      <c r="NVP160" s="719"/>
      <c r="NVQ160" s="719"/>
      <c r="NVR160" s="719"/>
      <c r="NVS160" s="719"/>
      <c r="NVT160" s="719"/>
      <c r="NVU160" s="719"/>
      <c r="NVV160" s="719"/>
      <c r="NVW160" s="719"/>
      <c r="NVX160" s="719"/>
      <c r="NVY160" s="719"/>
      <c r="NVZ160" s="719"/>
      <c r="NWA160" s="719"/>
      <c r="NWB160" s="719"/>
      <c r="NWC160" s="719"/>
      <c r="NWD160" s="719"/>
      <c r="NWE160" s="719"/>
      <c r="NWF160" s="719"/>
      <c r="NWG160" s="719"/>
      <c r="NWH160" s="719"/>
      <c r="NWI160" s="719"/>
      <c r="NWJ160" s="719"/>
      <c r="NWK160" s="719"/>
      <c r="NWL160" s="719"/>
      <c r="NWM160" s="719"/>
      <c r="NWN160" s="719"/>
      <c r="NWO160" s="719"/>
      <c r="NWP160" s="719"/>
      <c r="NWQ160" s="719"/>
      <c r="NWR160" s="719"/>
      <c r="NWS160" s="719"/>
      <c r="NWT160" s="719"/>
      <c r="NWU160" s="719"/>
      <c r="NWV160" s="719"/>
      <c r="NWW160" s="719"/>
      <c r="NWX160" s="719"/>
      <c r="NWY160" s="719"/>
      <c r="NWZ160" s="719"/>
      <c r="NXA160" s="719"/>
      <c r="NXB160" s="719"/>
      <c r="NXC160" s="719"/>
      <c r="NXD160" s="719"/>
      <c r="NXE160" s="719"/>
      <c r="NXF160" s="719"/>
      <c r="NXG160" s="719"/>
      <c r="NXH160" s="719"/>
      <c r="NXI160" s="719"/>
      <c r="NXJ160" s="719"/>
      <c r="NXK160" s="719"/>
      <c r="NXL160" s="719"/>
      <c r="NXM160" s="719"/>
      <c r="NXN160" s="719"/>
      <c r="NXO160" s="719"/>
      <c r="NXP160" s="719"/>
      <c r="NXQ160" s="719"/>
      <c r="NXR160" s="719"/>
      <c r="NXS160" s="719"/>
      <c r="NXT160" s="719"/>
      <c r="NXU160" s="719"/>
      <c r="NXV160" s="719"/>
      <c r="NXW160" s="719"/>
      <c r="NXX160" s="719"/>
      <c r="NXY160" s="719"/>
      <c r="NXZ160" s="719"/>
      <c r="NYA160" s="719"/>
      <c r="NYB160" s="719"/>
      <c r="NYC160" s="719"/>
      <c r="NYD160" s="719"/>
      <c r="NYE160" s="719"/>
      <c r="NYF160" s="719"/>
      <c r="NYG160" s="719"/>
      <c r="NYH160" s="719"/>
      <c r="NYI160" s="719"/>
      <c r="NYJ160" s="719"/>
      <c r="NYK160" s="719"/>
      <c r="NYL160" s="719"/>
      <c r="NYM160" s="719"/>
      <c r="NYN160" s="719"/>
      <c r="NYO160" s="719"/>
      <c r="NYP160" s="719"/>
      <c r="NYQ160" s="719"/>
      <c r="NYR160" s="719"/>
      <c r="NYS160" s="719"/>
      <c r="NYT160" s="719"/>
      <c r="NYU160" s="719"/>
      <c r="NYV160" s="719"/>
      <c r="NYW160" s="719"/>
      <c r="NYX160" s="719"/>
      <c r="NYY160" s="719"/>
      <c r="NYZ160" s="719"/>
      <c r="NZA160" s="719"/>
      <c r="NZB160" s="719"/>
      <c r="NZC160" s="719"/>
      <c r="NZD160" s="719"/>
      <c r="NZE160" s="719"/>
      <c r="NZF160" s="719"/>
      <c r="NZG160" s="719"/>
      <c r="NZH160" s="719"/>
      <c r="NZI160" s="719"/>
      <c r="NZJ160" s="719"/>
      <c r="NZK160" s="719"/>
      <c r="NZL160" s="719"/>
      <c r="NZM160" s="719"/>
      <c r="NZN160" s="719"/>
      <c r="NZO160" s="719"/>
      <c r="NZP160" s="719"/>
      <c r="NZQ160" s="719"/>
      <c r="NZR160" s="719"/>
      <c r="NZS160" s="719"/>
      <c r="NZT160" s="719"/>
      <c r="NZU160" s="719"/>
      <c r="NZV160" s="719"/>
      <c r="NZW160" s="719"/>
      <c r="NZX160" s="719"/>
      <c r="NZY160" s="719"/>
      <c r="NZZ160" s="719"/>
      <c r="OAA160" s="719"/>
      <c r="OAB160" s="719"/>
      <c r="OAC160" s="719"/>
      <c r="OAD160" s="719"/>
      <c r="OAE160" s="719"/>
      <c r="OAF160" s="719"/>
      <c r="OAG160" s="719"/>
      <c r="OAH160" s="719"/>
      <c r="OAI160" s="719"/>
      <c r="OAJ160" s="719"/>
      <c r="OAK160" s="719"/>
      <c r="OAL160" s="719"/>
      <c r="OAM160" s="719"/>
      <c r="OAN160" s="719"/>
      <c r="OAO160" s="719"/>
      <c r="OAP160" s="719"/>
      <c r="OAQ160" s="719"/>
      <c r="OAR160" s="719"/>
      <c r="OAS160" s="719"/>
      <c r="OAT160" s="719"/>
      <c r="OAU160" s="719"/>
      <c r="OAV160" s="719"/>
      <c r="OAW160" s="719"/>
      <c r="OAX160" s="719"/>
      <c r="OAY160" s="719"/>
      <c r="OAZ160" s="719"/>
      <c r="OBA160" s="719"/>
      <c r="OBB160" s="719"/>
      <c r="OBC160" s="719"/>
      <c r="OBD160" s="719"/>
      <c r="OBE160" s="719"/>
      <c r="OBF160" s="719"/>
      <c r="OBG160" s="719"/>
      <c r="OBH160" s="719"/>
      <c r="OBI160" s="719"/>
      <c r="OBJ160" s="719"/>
      <c r="OBK160" s="719"/>
      <c r="OBL160" s="719"/>
      <c r="OBM160" s="719"/>
      <c r="OBN160" s="719"/>
      <c r="OBO160" s="719"/>
      <c r="OBP160" s="719"/>
      <c r="OBQ160" s="719"/>
      <c r="OBR160" s="719"/>
      <c r="OBS160" s="719"/>
      <c r="OBT160" s="719"/>
      <c r="OBU160" s="719"/>
      <c r="OBV160" s="719"/>
      <c r="OBW160" s="719"/>
      <c r="OBX160" s="719"/>
      <c r="OBY160" s="719"/>
      <c r="OBZ160" s="719"/>
      <c r="OCA160" s="719"/>
      <c r="OCB160" s="719"/>
      <c r="OCC160" s="719"/>
      <c r="OCD160" s="719"/>
      <c r="OCE160" s="719"/>
      <c r="OCF160" s="719"/>
      <c r="OCG160" s="719"/>
      <c r="OCH160" s="719"/>
      <c r="OCI160" s="719"/>
      <c r="OCJ160" s="719"/>
      <c r="OCK160" s="719"/>
      <c r="OCL160" s="719"/>
      <c r="OCM160" s="719"/>
      <c r="OCN160" s="719"/>
      <c r="OCO160" s="719"/>
      <c r="OCP160" s="719"/>
      <c r="OCQ160" s="719"/>
      <c r="OCR160" s="719"/>
      <c r="OCS160" s="719"/>
      <c r="OCT160" s="719"/>
      <c r="OCU160" s="719"/>
      <c r="OCV160" s="719"/>
      <c r="OCW160" s="719"/>
      <c r="OCX160" s="719"/>
      <c r="OCY160" s="719"/>
      <c r="OCZ160" s="719"/>
      <c r="ODA160" s="719"/>
      <c r="ODB160" s="719"/>
      <c r="ODC160" s="719"/>
      <c r="ODD160" s="719"/>
      <c r="ODE160" s="719"/>
      <c r="ODF160" s="719"/>
      <c r="ODG160" s="719"/>
      <c r="ODH160" s="719"/>
      <c r="ODI160" s="719"/>
      <c r="ODJ160" s="719"/>
      <c r="ODK160" s="719"/>
      <c r="ODL160" s="719"/>
      <c r="ODM160" s="719"/>
      <c r="ODN160" s="719"/>
      <c r="ODO160" s="719"/>
      <c r="ODP160" s="719"/>
      <c r="ODQ160" s="719"/>
      <c r="ODR160" s="719"/>
      <c r="ODS160" s="719"/>
      <c r="ODT160" s="719"/>
      <c r="ODU160" s="719"/>
      <c r="ODV160" s="719"/>
      <c r="ODW160" s="719"/>
      <c r="ODX160" s="719"/>
      <c r="ODY160" s="719"/>
      <c r="ODZ160" s="719"/>
      <c r="OEA160" s="719"/>
      <c r="OEB160" s="719"/>
      <c r="OEC160" s="719"/>
      <c r="OED160" s="719"/>
      <c r="OEE160" s="719"/>
      <c r="OEF160" s="719"/>
      <c r="OEG160" s="719"/>
      <c r="OEH160" s="719"/>
      <c r="OEI160" s="719"/>
      <c r="OEJ160" s="719"/>
      <c r="OEK160" s="719"/>
      <c r="OEL160" s="719"/>
      <c r="OEM160" s="719"/>
      <c r="OEN160" s="719"/>
      <c r="OEO160" s="719"/>
      <c r="OEP160" s="719"/>
      <c r="OEQ160" s="719"/>
      <c r="OER160" s="719"/>
      <c r="OES160" s="719"/>
      <c r="OET160" s="719"/>
      <c r="OEU160" s="719"/>
      <c r="OEV160" s="719"/>
      <c r="OEW160" s="719"/>
      <c r="OEX160" s="719"/>
      <c r="OEY160" s="719"/>
      <c r="OEZ160" s="719"/>
      <c r="OFA160" s="719"/>
      <c r="OFB160" s="719"/>
      <c r="OFC160" s="719"/>
      <c r="OFD160" s="719"/>
      <c r="OFE160" s="719"/>
      <c r="OFF160" s="719"/>
      <c r="OFG160" s="719"/>
      <c r="OFH160" s="719"/>
      <c r="OFI160" s="719"/>
      <c r="OFJ160" s="719"/>
      <c r="OFK160" s="719"/>
      <c r="OFL160" s="719"/>
      <c r="OFM160" s="719"/>
      <c r="OFN160" s="719"/>
      <c r="OFO160" s="719"/>
      <c r="OFP160" s="719"/>
      <c r="OFQ160" s="719"/>
      <c r="OFR160" s="719"/>
      <c r="OFS160" s="719"/>
      <c r="OFT160" s="719"/>
      <c r="OFU160" s="719"/>
      <c r="OFV160" s="719"/>
      <c r="OFW160" s="719"/>
      <c r="OFX160" s="719"/>
      <c r="OFY160" s="719"/>
      <c r="OFZ160" s="719"/>
      <c r="OGA160" s="719"/>
      <c r="OGB160" s="719"/>
      <c r="OGC160" s="719"/>
      <c r="OGD160" s="719"/>
      <c r="OGE160" s="719"/>
      <c r="OGF160" s="719"/>
      <c r="OGG160" s="719"/>
      <c r="OGH160" s="719"/>
      <c r="OGI160" s="719"/>
      <c r="OGJ160" s="719"/>
      <c r="OGK160" s="719"/>
      <c r="OGL160" s="719"/>
      <c r="OGM160" s="719"/>
      <c r="OGN160" s="719"/>
      <c r="OGO160" s="719"/>
      <c r="OGP160" s="719"/>
      <c r="OGQ160" s="719"/>
      <c r="OGR160" s="719"/>
      <c r="OGS160" s="719"/>
      <c r="OGT160" s="719"/>
      <c r="OGU160" s="719"/>
      <c r="OGV160" s="719"/>
      <c r="OGW160" s="719"/>
      <c r="OGX160" s="719"/>
      <c r="OGY160" s="719"/>
      <c r="OGZ160" s="719"/>
      <c r="OHA160" s="719"/>
      <c r="OHB160" s="719"/>
      <c r="OHC160" s="719"/>
      <c r="OHD160" s="719"/>
      <c r="OHE160" s="719"/>
      <c r="OHF160" s="719"/>
      <c r="OHG160" s="719"/>
      <c r="OHH160" s="719"/>
      <c r="OHI160" s="719"/>
      <c r="OHJ160" s="719"/>
      <c r="OHK160" s="719"/>
      <c r="OHL160" s="719"/>
      <c r="OHM160" s="719"/>
      <c r="OHN160" s="719"/>
      <c r="OHO160" s="719"/>
      <c r="OHP160" s="719"/>
      <c r="OHQ160" s="719"/>
      <c r="OHR160" s="719"/>
      <c r="OHS160" s="719"/>
      <c r="OHT160" s="719"/>
      <c r="OHU160" s="719"/>
      <c r="OHV160" s="719"/>
      <c r="OHW160" s="719"/>
      <c r="OHX160" s="719"/>
      <c r="OHY160" s="719"/>
      <c r="OHZ160" s="719"/>
      <c r="OIA160" s="719"/>
      <c r="OIB160" s="719"/>
      <c r="OIC160" s="719"/>
      <c r="OID160" s="719"/>
      <c r="OIE160" s="719"/>
      <c r="OIF160" s="719"/>
      <c r="OIG160" s="719"/>
      <c r="OIH160" s="719"/>
      <c r="OII160" s="719"/>
      <c r="OIJ160" s="719"/>
      <c r="OIK160" s="719"/>
      <c r="OIL160" s="719"/>
      <c r="OIM160" s="719"/>
      <c r="OIN160" s="719"/>
      <c r="OIO160" s="719"/>
      <c r="OIP160" s="719"/>
      <c r="OIQ160" s="719"/>
      <c r="OIR160" s="719"/>
      <c r="OIS160" s="719"/>
      <c r="OIT160" s="719"/>
      <c r="OIU160" s="719"/>
      <c r="OIV160" s="719"/>
      <c r="OIW160" s="719"/>
      <c r="OIX160" s="719"/>
      <c r="OIY160" s="719"/>
      <c r="OIZ160" s="719"/>
      <c r="OJA160" s="719"/>
      <c r="OJB160" s="719"/>
      <c r="OJC160" s="719"/>
      <c r="OJD160" s="719"/>
      <c r="OJE160" s="719"/>
      <c r="OJF160" s="719"/>
      <c r="OJG160" s="719"/>
      <c r="OJH160" s="719"/>
      <c r="OJI160" s="719"/>
      <c r="OJJ160" s="719"/>
      <c r="OJK160" s="719"/>
      <c r="OJL160" s="719"/>
      <c r="OJM160" s="719"/>
      <c r="OJN160" s="719"/>
      <c r="OJO160" s="719"/>
      <c r="OJP160" s="719"/>
      <c r="OJQ160" s="719"/>
      <c r="OJR160" s="719"/>
      <c r="OJS160" s="719"/>
      <c r="OJT160" s="719"/>
      <c r="OJU160" s="719"/>
      <c r="OJV160" s="719"/>
      <c r="OJW160" s="719"/>
      <c r="OJX160" s="719"/>
      <c r="OJY160" s="719"/>
      <c r="OJZ160" s="719"/>
      <c r="OKA160" s="719"/>
      <c r="OKB160" s="719"/>
      <c r="OKC160" s="719"/>
      <c r="OKD160" s="719"/>
      <c r="OKE160" s="719"/>
      <c r="OKF160" s="719"/>
      <c r="OKG160" s="719"/>
      <c r="OKH160" s="719"/>
      <c r="OKI160" s="719"/>
      <c r="OKJ160" s="719"/>
      <c r="OKK160" s="719"/>
      <c r="OKL160" s="719"/>
      <c r="OKM160" s="719"/>
      <c r="OKN160" s="719"/>
      <c r="OKO160" s="719"/>
      <c r="OKP160" s="719"/>
      <c r="OKQ160" s="719"/>
      <c r="OKR160" s="719"/>
      <c r="OKS160" s="719"/>
      <c r="OKT160" s="719"/>
      <c r="OKU160" s="719"/>
      <c r="OKV160" s="719"/>
      <c r="OKW160" s="719"/>
      <c r="OKX160" s="719"/>
      <c r="OKY160" s="719"/>
      <c r="OKZ160" s="719"/>
      <c r="OLA160" s="719"/>
      <c r="OLB160" s="719"/>
      <c r="OLC160" s="719"/>
      <c r="OLD160" s="719"/>
      <c r="OLE160" s="719"/>
      <c r="OLF160" s="719"/>
      <c r="OLG160" s="719"/>
      <c r="OLH160" s="719"/>
      <c r="OLI160" s="719"/>
      <c r="OLJ160" s="719"/>
      <c r="OLK160" s="719"/>
      <c r="OLL160" s="719"/>
      <c r="OLM160" s="719"/>
      <c r="OLN160" s="719"/>
      <c r="OLO160" s="719"/>
      <c r="OLP160" s="719"/>
      <c r="OLQ160" s="719"/>
      <c r="OLR160" s="719"/>
      <c r="OLS160" s="719"/>
      <c r="OLT160" s="719"/>
      <c r="OLU160" s="719"/>
      <c r="OLV160" s="719"/>
      <c r="OLW160" s="719"/>
      <c r="OLX160" s="719"/>
      <c r="OLY160" s="719"/>
      <c r="OLZ160" s="719"/>
      <c r="OMA160" s="719"/>
      <c r="OMB160" s="719"/>
      <c r="OMC160" s="719"/>
      <c r="OMD160" s="719"/>
      <c r="OME160" s="719"/>
      <c r="OMF160" s="719"/>
      <c r="OMG160" s="719"/>
      <c r="OMH160" s="719"/>
      <c r="OMI160" s="719"/>
      <c r="OMJ160" s="719"/>
      <c r="OMK160" s="719"/>
      <c r="OML160" s="719"/>
      <c r="OMM160" s="719"/>
      <c r="OMN160" s="719"/>
      <c r="OMO160" s="719"/>
      <c r="OMP160" s="719"/>
      <c r="OMQ160" s="719"/>
      <c r="OMR160" s="719"/>
      <c r="OMS160" s="719"/>
      <c r="OMT160" s="719"/>
      <c r="OMU160" s="719"/>
      <c r="OMV160" s="719"/>
      <c r="OMW160" s="719"/>
      <c r="OMX160" s="719"/>
      <c r="OMY160" s="719"/>
      <c r="OMZ160" s="719"/>
      <c r="ONA160" s="719"/>
      <c r="ONB160" s="719"/>
      <c r="ONC160" s="719"/>
      <c r="OND160" s="719"/>
      <c r="ONE160" s="719"/>
      <c r="ONF160" s="719"/>
      <c r="ONG160" s="719"/>
      <c r="ONH160" s="719"/>
      <c r="ONI160" s="719"/>
      <c r="ONJ160" s="719"/>
      <c r="ONK160" s="719"/>
      <c r="ONL160" s="719"/>
      <c r="ONM160" s="719"/>
      <c r="ONN160" s="719"/>
      <c r="ONO160" s="719"/>
      <c r="ONP160" s="719"/>
      <c r="ONQ160" s="719"/>
      <c r="ONR160" s="719"/>
      <c r="ONS160" s="719"/>
      <c r="ONT160" s="719"/>
      <c r="ONU160" s="719"/>
      <c r="ONV160" s="719"/>
      <c r="ONW160" s="719"/>
      <c r="ONX160" s="719"/>
      <c r="ONY160" s="719"/>
      <c r="ONZ160" s="719"/>
      <c r="OOA160" s="719"/>
      <c r="OOB160" s="719"/>
      <c r="OOC160" s="719"/>
      <c r="OOD160" s="719"/>
      <c r="OOE160" s="719"/>
      <c r="OOF160" s="719"/>
      <c r="OOG160" s="719"/>
      <c r="OOH160" s="719"/>
      <c r="OOI160" s="719"/>
      <c r="OOJ160" s="719"/>
      <c r="OOK160" s="719"/>
      <c r="OOL160" s="719"/>
      <c r="OOM160" s="719"/>
      <c r="OON160" s="719"/>
      <c r="OOO160" s="719"/>
      <c r="OOP160" s="719"/>
      <c r="OOQ160" s="719"/>
      <c r="OOR160" s="719"/>
      <c r="OOS160" s="719"/>
      <c r="OOT160" s="719"/>
      <c r="OOU160" s="719"/>
      <c r="OOV160" s="719"/>
      <c r="OOW160" s="719"/>
      <c r="OOX160" s="719"/>
      <c r="OOY160" s="719"/>
      <c r="OOZ160" s="719"/>
      <c r="OPA160" s="719"/>
      <c r="OPB160" s="719"/>
      <c r="OPC160" s="719"/>
      <c r="OPD160" s="719"/>
      <c r="OPE160" s="719"/>
      <c r="OPF160" s="719"/>
      <c r="OPG160" s="719"/>
      <c r="OPH160" s="719"/>
      <c r="OPI160" s="719"/>
      <c r="OPJ160" s="719"/>
      <c r="OPK160" s="719"/>
      <c r="OPL160" s="719"/>
      <c r="OPM160" s="719"/>
      <c r="OPN160" s="719"/>
      <c r="OPO160" s="719"/>
      <c r="OPP160" s="719"/>
      <c r="OPQ160" s="719"/>
      <c r="OPR160" s="719"/>
      <c r="OPS160" s="719"/>
      <c r="OPT160" s="719"/>
      <c r="OPU160" s="719"/>
      <c r="OPV160" s="719"/>
      <c r="OPW160" s="719"/>
      <c r="OPX160" s="719"/>
      <c r="OPY160" s="719"/>
      <c r="OPZ160" s="719"/>
      <c r="OQA160" s="719"/>
      <c r="OQB160" s="719"/>
      <c r="OQC160" s="719"/>
      <c r="OQD160" s="719"/>
      <c r="OQE160" s="719"/>
      <c r="OQF160" s="719"/>
      <c r="OQG160" s="719"/>
      <c r="OQH160" s="719"/>
      <c r="OQI160" s="719"/>
      <c r="OQJ160" s="719"/>
      <c r="OQK160" s="719"/>
      <c r="OQL160" s="719"/>
      <c r="OQM160" s="719"/>
      <c r="OQN160" s="719"/>
      <c r="OQO160" s="719"/>
      <c r="OQP160" s="719"/>
      <c r="OQQ160" s="719"/>
      <c r="OQR160" s="719"/>
      <c r="OQS160" s="719"/>
      <c r="OQT160" s="719"/>
      <c r="OQU160" s="719"/>
      <c r="OQV160" s="719"/>
      <c r="OQW160" s="719"/>
      <c r="OQX160" s="719"/>
      <c r="OQY160" s="719"/>
      <c r="OQZ160" s="719"/>
      <c r="ORA160" s="719"/>
      <c r="ORB160" s="719"/>
      <c r="ORC160" s="719"/>
      <c r="ORD160" s="719"/>
      <c r="ORE160" s="719"/>
      <c r="ORF160" s="719"/>
      <c r="ORG160" s="719"/>
      <c r="ORH160" s="719"/>
      <c r="ORI160" s="719"/>
      <c r="ORJ160" s="719"/>
      <c r="ORK160" s="719"/>
      <c r="ORL160" s="719"/>
      <c r="ORM160" s="719"/>
      <c r="ORN160" s="719"/>
      <c r="ORO160" s="719"/>
      <c r="ORP160" s="719"/>
      <c r="ORQ160" s="719"/>
      <c r="ORR160" s="719"/>
      <c r="ORS160" s="719"/>
      <c r="ORT160" s="719"/>
      <c r="ORU160" s="719"/>
      <c r="ORV160" s="719"/>
      <c r="ORW160" s="719"/>
      <c r="ORX160" s="719"/>
      <c r="ORY160" s="719"/>
      <c r="ORZ160" s="719"/>
      <c r="OSA160" s="719"/>
      <c r="OSB160" s="719"/>
      <c r="OSC160" s="719"/>
      <c r="OSD160" s="719"/>
      <c r="OSE160" s="719"/>
      <c r="OSF160" s="719"/>
      <c r="OSG160" s="719"/>
      <c r="OSH160" s="719"/>
      <c r="OSI160" s="719"/>
      <c r="OSJ160" s="719"/>
      <c r="OSK160" s="719"/>
      <c r="OSL160" s="719"/>
      <c r="OSM160" s="719"/>
      <c r="OSN160" s="719"/>
      <c r="OSO160" s="719"/>
      <c r="OSP160" s="719"/>
      <c r="OSQ160" s="719"/>
      <c r="OSR160" s="719"/>
      <c r="OSS160" s="719"/>
      <c r="OST160" s="719"/>
      <c r="OSU160" s="719"/>
      <c r="OSV160" s="719"/>
      <c r="OSW160" s="719"/>
      <c r="OSX160" s="719"/>
      <c r="OSY160" s="719"/>
      <c r="OSZ160" s="719"/>
      <c r="OTA160" s="719"/>
      <c r="OTB160" s="719"/>
      <c r="OTC160" s="719"/>
      <c r="OTD160" s="719"/>
      <c r="OTE160" s="719"/>
      <c r="OTF160" s="719"/>
      <c r="OTG160" s="719"/>
      <c r="OTH160" s="719"/>
      <c r="OTI160" s="719"/>
      <c r="OTJ160" s="719"/>
      <c r="OTK160" s="719"/>
      <c r="OTL160" s="719"/>
      <c r="OTM160" s="719"/>
      <c r="OTN160" s="719"/>
      <c r="OTO160" s="719"/>
      <c r="OTP160" s="719"/>
      <c r="OTQ160" s="719"/>
      <c r="OTR160" s="719"/>
      <c r="OTS160" s="719"/>
      <c r="OTT160" s="719"/>
      <c r="OTU160" s="719"/>
      <c r="OTV160" s="719"/>
      <c r="OTW160" s="719"/>
      <c r="OTX160" s="719"/>
      <c r="OTY160" s="719"/>
      <c r="OTZ160" s="719"/>
      <c r="OUA160" s="719"/>
      <c r="OUB160" s="719"/>
      <c r="OUC160" s="719"/>
      <c r="OUD160" s="719"/>
      <c r="OUE160" s="719"/>
      <c r="OUF160" s="719"/>
      <c r="OUG160" s="719"/>
      <c r="OUH160" s="719"/>
      <c r="OUI160" s="719"/>
      <c r="OUJ160" s="719"/>
      <c r="OUK160" s="719"/>
      <c r="OUL160" s="719"/>
      <c r="OUM160" s="719"/>
      <c r="OUN160" s="719"/>
      <c r="OUO160" s="719"/>
      <c r="OUP160" s="719"/>
      <c r="OUQ160" s="719"/>
      <c r="OUR160" s="719"/>
      <c r="OUS160" s="719"/>
      <c r="OUT160" s="719"/>
      <c r="OUU160" s="719"/>
      <c r="OUV160" s="719"/>
      <c r="OUW160" s="719"/>
      <c r="OUX160" s="719"/>
      <c r="OUY160" s="719"/>
      <c r="OUZ160" s="719"/>
      <c r="OVA160" s="719"/>
      <c r="OVB160" s="719"/>
      <c r="OVC160" s="719"/>
      <c r="OVD160" s="719"/>
      <c r="OVE160" s="719"/>
      <c r="OVF160" s="719"/>
      <c r="OVG160" s="719"/>
      <c r="OVH160" s="719"/>
      <c r="OVI160" s="719"/>
      <c r="OVJ160" s="719"/>
      <c r="OVK160" s="719"/>
      <c r="OVL160" s="719"/>
      <c r="OVM160" s="719"/>
      <c r="OVN160" s="719"/>
      <c r="OVO160" s="719"/>
      <c r="OVP160" s="719"/>
      <c r="OVQ160" s="719"/>
      <c r="OVR160" s="719"/>
      <c r="OVS160" s="719"/>
      <c r="OVT160" s="719"/>
      <c r="OVU160" s="719"/>
      <c r="OVV160" s="719"/>
      <c r="OVW160" s="719"/>
      <c r="OVX160" s="719"/>
      <c r="OVY160" s="719"/>
      <c r="OVZ160" s="719"/>
      <c r="OWA160" s="719"/>
      <c r="OWB160" s="719"/>
      <c r="OWC160" s="719"/>
      <c r="OWD160" s="719"/>
      <c r="OWE160" s="719"/>
      <c r="OWF160" s="719"/>
      <c r="OWG160" s="719"/>
      <c r="OWH160" s="719"/>
      <c r="OWI160" s="719"/>
      <c r="OWJ160" s="719"/>
      <c r="OWK160" s="719"/>
      <c r="OWL160" s="719"/>
      <c r="OWM160" s="719"/>
      <c r="OWN160" s="719"/>
      <c r="OWO160" s="719"/>
      <c r="OWP160" s="719"/>
      <c r="OWQ160" s="719"/>
      <c r="OWR160" s="719"/>
      <c r="OWS160" s="719"/>
      <c r="OWT160" s="719"/>
      <c r="OWU160" s="719"/>
      <c r="OWV160" s="719"/>
      <c r="OWW160" s="719"/>
      <c r="OWX160" s="719"/>
      <c r="OWY160" s="719"/>
      <c r="OWZ160" s="719"/>
      <c r="OXA160" s="719"/>
      <c r="OXB160" s="719"/>
      <c r="OXC160" s="719"/>
      <c r="OXD160" s="719"/>
      <c r="OXE160" s="719"/>
      <c r="OXF160" s="719"/>
      <c r="OXG160" s="719"/>
      <c r="OXH160" s="719"/>
      <c r="OXI160" s="719"/>
      <c r="OXJ160" s="719"/>
      <c r="OXK160" s="719"/>
      <c r="OXL160" s="719"/>
      <c r="OXM160" s="719"/>
      <c r="OXN160" s="719"/>
      <c r="OXO160" s="719"/>
      <c r="OXP160" s="719"/>
      <c r="OXQ160" s="719"/>
      <c r="OXR160" s="719"/>
      <c r="OXS160" s="719"/>
      <c r="OXT160" s="719"/>
      <c r="OXU160" s="719"/>
      <c r="OXV160" s="719"/>
      <c r="OXW160" s="719"/>
      <c r="OXX160" s="719"/>
      <c r="OXY160" s="719"/>
      <c r="OXZ160" s="719"/>
      <c r="OYA160" s="719"/>
      <c r="OYB160" s="719"/>
      <c r="OYC160" s="719"/>
      <c r="OYD160" s="719"/>
      <c r="OYE160" s="719"/>
      <c r="OYF160" s="719"/>
      <c r="OYG160" s="719"/>
      <c r="OYH160" s="719"/>
      <c r="OYI160" s="719"/>
      <c r="OYJ160" s="719"/>
      <c r="OYK160" s="719"/>
      <c r="OYL160" s="719"/>
      <c r="OYM160" s="719"/>
      <c r="OYN160" s="719"/>
      <c r="OYO160" s="719"/>
      <c r="OYP160" s="719"/>
      <c r="OYQ160" s="719"/>
      <c r="OYR160" s="719"/>
      <c r="OYS160" s="719"/>
      <c r="OYT160" s="719"/>
      <c r="OYU160" s="719"/>
      <c r="OYV160" s="719"/>
      <c r="OYW160" s="719"/>
      <c r="OYX160" s="719"/>
      <c r="OYY160" s="719"/>
      <c r="OYZ160" s="719"/>
      <c r="OZA160" s="719"/>
      <c r="OZB160" s="719"/>
      <c r="OZC160" s="719"/>
      <c r="OZD160" s="719"/>
      <c r="OZE160" s="719"/>
      <c r="OZF160" s="719"/>
      <c r="OZG160" s="719"/>
      <c r="OZH160" s="719"/>
      <c r="OZI160" s="719"/>
      <c r="OZJ160" s="719"/>
      <c r="OZK160" s="719"/>
      <c r="OZL160" s="719"/>
      <c r="OZM160" s="719"/>
      <c r="OZN160" s="719"/>
      <c r="OZO160" s="719"/>
      <c r="OZP160" s="719"/>
      <c r="OZQ160" s="719"/>
      <c r="OZR160" s="719"/>
      <c r="OZS160" s="719"/>
      <c r="OZT160" s="719"/>
      <c r="OZU160" s="719"/>
      <c r="OZV160" s="719"/>
      <c r="OZW160" s="719"/>
      <c r="OZX160" s="719"/>
      <c r="OZY160" s="719"/>
      <c r="OZZ160" s="719"/>
      <c r="PAA160" s="719"/>
      <c r="PAB160" s="719"/>
      <c r="PAC160" s="719"/>
      <c r="PAD160" s="719"/>
      <c r="PAE160" s="719"/>
      <c r="PAF160" s="719"/>
      <c r="PAG160" s="719"/>
      <c r="PAH160" s="719"/>
      <c r="PAI160" s="719"/>
      <c r="PAJ160" s="719"/>
      <c r="PAK160" s="719"/>
      <c r="PAL160" s="719"/>
      <c r="PAM160" s="719"/>
      <c r="PAN160" s="719"/>
      <c r="PAO160" s="719"/>
      <c r="PAP160" s="719"/>
      <c r="PAQ160" s="719"/>
      <c r="PAR160" s="719"/>
      <c r="PAS160" s="719"/>
      <c r="PAT160" s="719"/>
      <c r="PAU160" s="719"/>
      <c r="PAV160" s="719"/>
      <c r="PAW160" s="719"/>
      <c r="PAX160" s="719"/>
      <c r="PAY160" s="719"/>
      <c r="PAZ160" s="719"/>
      <c r="PBA160" s="719"/>
      <c r="PBB160" s="719"/>
      <c r="PBC160" s="719"/>
      <c r="PBD160" s="719"/>
      <c r="PBE160" s="719"/>
      <c r="PBF160" s="719"/>
      <c r="PBG160" s="719"/>
      <c r="PBH160" s="719"/>
      <c r="PBI160" s="719"/>
      <c r="PBJ160" s="719"/>
      <c r="PBK160" s="719"/>
      <c r="PBL160" s="719"/>
      <c r="PBM160" s="719"/>
      <c r="PBN160" s="719"/>
      <c r="PBO160" s="719"/>
      <c r="PBP160" s="719"/>
      <c r="PBQ160" s="719"/>
      <c r="PBR160" s="719"/>
      <c r="PBS160" s="719"/>
      <c r="PBT160" s="719"/>
      <c r="PBU160" s="719"/>
      <c r="PBV160" s="719"/>
      <c r="PBW160" s="719"/>
      <c r="PBX160" s="719"/>
      <c r="PBY160" s="719"/>
      <c r="PBZ160" s="719"/>
      <c r="PCA160" s="719"/>
      <c r="PCB160" s="719"/>
      <c r="PCC160" s="719"/>
      <c r="PCD160" s="719"/>
      <c r="PCE160" s="719"/>
      <c r="PCF160" s="719"/>
      <c r="PCG160" s="719"/>
      <c r="PCH160" s="719"/>
      <c r="PCI160" s="719"/>
      <c r="PCJ160" s="719"/>
      <c r="PCK160" s="719"/>
      <c r="PCL160" s="719"/>
      <c r="PCM160" s="719"/>
      <c r="PCN160" s="719"/>
      <c r="PCO160" s="719"/>
      <c r="PCP160" s="719"/>
      <c r="PCQ160" s="719"/>
      <c r="PCR160" s="719"/>
      <c r="PCS160" s="719"/>
      <c r="PCT160" s="719"/>
      <c r="PCU160" s="719"/>
      <c r="PCV160" s="719"/>
      <c r="PCW160" s="719"/>
      <c r="PCX160" s="719"/>
      <c r="PCY160" s="719"/>
      <c r="PCZ160" s="719"/>
      <c r="PDA160" s="719"/>
      <c r="PDB160" s="719"/>
      <c r="PDC160" s="719"/>
      <c r="PDD160" s="719"/>
      <c r="PDE160" s="719"/>
      <c r="PDF160" s="719"/>
      <c r="PDG160" s="719"/>
      <c r="PDH160" s="719"/>
      <c r="PDI160" s="719"/>
      <c r="PDJ160" s="719"/>
      <c r="PDK160" s="719"/>
      <c r="PDL160" s="719"/>
      <c r="PDM160" s="719"/>
      <c r="PDN160" s="719"/>
      <c r="PDO160" s="719"/>
      <c r="PDP160" s="719"/>
      <c r="PDQ160" s="719"/>
      <c r="PDR160" s="719"/>
      <c r="PDS160" s="719"/>
      <c r="PDT160" s="719"/>
      <c r="PDU160" s="719"/>
      <c r="PDV160" s="719"/>
      <c r="PDW160" s="719"/>
      <c r="PDX160" s="719"/>
      <c r="PDY160" s="719"/>
      <c r="PDZ160" s="719"/>
      <c r="PEA160" s="719"/>
      <c r="PEB160" s="719"/>
      <c r="PEC160" s="719"/>
      <c r="PED160" s="719"/>
      <c r="PEE160" s="719"/>
      <c r="PEF160" s="719"/>
      <c r="PEG160" s="719"/>
      <c r="PEH160" s="719"/>
      <c r="PEI160" s="719"/>
      <c r="PEJ160" s="719"/>
      <c r="PEK160" s="719"/>
      <c r="PEL160" s="719"/>
      <c r="PEM160" s="719"/>
      <c r="PEN160" s="719"/>
      <c r="PEO160" s="719"/>
      <c r="PEP160" s="719"/>
      <c r="PEQ160" s="719"/>
      <c r="PER160" s="719"/>
      <c r="PES160" s="719"/>
      <c r="PET160" s="719"/>
      <c r="PEU160" s="719"/>
      <c r="PEV160" s="719"/>
      <c r="PEW160" s="719"/>
      <c r="PEX160" s="719"/>
      <c r="PEY160" s="719"/>
      <c r="PEZ160" s="719"/>
      <c r="PFA160" s="719"/>
      <c r="PFB160" s="719"/>
      <c r="PFC160" s="719"/>
      <c r="PFD160" s="719"/>
      <c r="PFE160" s="719"/>
      <c r="PFF160" s="719"/>
      <c r="PFG160" s="719"/>
      <c r="PFH160" s="719"/>
      <c r="PFI160" s="719"/>
      <c r="PFJ160" s="719"/>
      <c r="PFK160" s="719"/>
      <c r="PFL160" s="719"/>
      <c r="PFM160" s="719"/>
      <c r="PFN160" s="719"/>
      <c r="PFO160" s="719"/>
      <c r="PFP160" s="719"/>
      <c r="PFQ160" s="719"/>
      <c r="PFR160" s="719"/>
      <c r="PFS160" s="719"/>
      <c r="PFT160" s="719"/>
      <c r="PFU160" s="719"/>
      <c r="PFV160" s="719"/>
      <c r="PFW160" s="719"/>
      <c r="PFX160" s="719"/>
      <c r="PFY160" s="719"/>
      <c r="PFZ160" s="719"/>
      <c r="PGA160" s="719"/>
      <c r="PGB160" s="719"/>
      <c r="PGC160" s="719"/>
      <c r="PGD160" s="719"/>
      <c r="PGE160" s="719"/>
      <c r="PGF160" s="719"/>
      <c r="PGG160" s="719"/>
      <c r="PGH160" s="719"/>
      <c r="PGI160" s="719"/>
      <c r="PGJ160" s="719"/>
      <c r="PGK160" s="719"/>
      <c r="PGL160" s="719"/>
      <c r="PGM160" s="719"/>
      <c r="PGN160" s="719"/>
      <c r="PGO160" s="719"/>
      <c r="PGP160" s="719"/>
      <c r="PGQ160" s="719"/>
      <c r="PGR160" s="719"/>
      <c r="PGS160" s="719"/>
      <c r="PGT160" s="719"/>
      <c r="PGU160" s="719"/>
      <c r="PGV160" s="719"/>
      <c r="PGW160" s="719"/>
      <c r="PGX160" s="719"/>
      <c r="PGY160" s="719"/>
      <c r="PGZ160" s="719"/>
      <c r="PHA160" s="719"/>
      <c r="PHB160" s="719"/>
      <c r="PHC160" s="719"/>
      <c r="PHD160" s="719"/>
      <c r="PHE160" s="719"/>
      <c r="PHF160" s="719"/>
      <c r="PHG160" s="719"/>
      <c r="PHH160" s="719"/>
      <c r="PHI160" s="719"/>
      <c r="PHJ160" s="719"/>
      <c r="PHK160" s="719"/>
      <c r="PHL160" s="719"/>
      <c r="PHM160" s="719"/>
      <c r="PHN160" s="719"/>
      <c r="PHO160" s="719"/>
      <c r="PHP160" s="719"/>
      <c r="PHQ160" s="719"/>
      <c r="PHR160" s="719"/>
      <c r="PHS160" s="719"/>
      <c r="PHT160" s="719"/>
      <c r="PHU160" s="719"/>
      <c r="PHV160" s="719"/>
      <c r="PHW160" s="719"/>
      <c r="PHX160" s="719"/>
      <c r="PHY160" s="719"/>
      <c r="PHZ160" s="719"/>
      <c r="PIA160" s="719"/>
      <c r="PIB160" s="719"/>
      <c r="PIC160" s="719"/>
      <c r="PID160" s="719"/>
      <c r="PIE160" s="719"/>
      <c r="PIF160" s="719"/>
      <c r="PIG160" s="719"/>
      <c r="PIH160" s="719"/>
      <c r="PII160" s="719"/>
      <c r="PIJ160" s="719"/>
      <c r="PIK160" s="719"/>
      <c r="PIL160" s="719"/>
      <c r="PIM160" s="719"/>
      <c r="PIN160" s="719"/>
      <c r="PIO160" s="719"/>
      <c r="PIP160" s="719"/>
      <c r="PIQ160" s="719"/>
      <c r="PIR160" s="719"/>
      <c r="PIS160" s="719"/>
      <c r="PIT160" s="719"/>
      <c r="PIU160" s="719"/>
      <c r="PIV160" s="719"/>
      <c r="PIW160" s="719"/>
      <c r="PIX160" s="719"/>
      <c r="PIY160" s="719"/>
      <c r="PIZ160" s="719"/>
      <c r="PJA160" s="719"/>
      <c r="PJB160" s="719"/>
      <c r="PJC160" s="719"/>
      <c r="PJD160" s="719"/>
      <c r="PJE160" s="719"/>
      <c r="PJF160" s="719"/>
      <c r="PJG160" s="719"/>
      <c r="PJH160" s="719"/>
      <c r="PJI160" s="719"/>
      <c r="PJJ160" s="719"/>
      <c r="PJK160" s="719"/>
      <c r="PJL160" s="719"/>
      <c r="PJM160" s="719"/>
      <c r="PJN160" s="719"/>
      <c r="PJO160" s="719"/>
      <c r="PJP160" s="719"/>
      <c r="PJQ160" s="719"/>
      <c r="PJR160" s="719"/>
      <c r="PJS160" s="719"/>
      <c r="PJT160" s="719"/>
      <c r="PJU160" s="719"/>
      <c r="PJV160" s="719"/>
      <c r="PJW160" s="719"/>
      <c r="PJX160" s="719"/>
      <c r="PJY160" s="719"/>
      <c r="PJZ160" s="719"/>
      <c r="PKA160" s="719"/>
      <c r="PKB160" s="719"/>
      <c r="PKC160" s="719"/>
      <c r="PKD160" s="719"/>
      <c r="PKE160" s="719"/>
      <c r="PKF160" s="719"/>
      <c r="PKG160" s="719"/>
      <c r="PKH160" s="719"/>
      <c r="PKI160" s="719"/>
      <c r="PKJ160" s="719"/>
      <c r="PKK160" s="719"/>
      <c r="PKL160" s="719"/>
      <c r="PKM160" s="719"/>
      <c r="PKN160" s="719"/>
      <c r="PKO160" s="719"/>
      <c r="PKP160" s="719"/>
      <c r="PKQ160" s="719"/>
      <c r="PKR160" s="719"/>
      <c r="PKS160" s="719"/>
      <c r="PKT160" s="719"/>
      <c r="PKU160" s="719"/>
      <c r="PKV160" s="719"/>
      <c r="PKW160" s="719"/>
      <c r="PKX160" s="719"/>
      <c r="PKY160" s="719"/>
      <c r="PKZ160" s="719"/>
      <c r="PLA160" s="719"/>
      <c r="PLB160" s="719"/>
      <c r="PLC160" s="719"/>
      <c r="PLD160" s="719"/>
      <c r="PLE160" s="719"/>
      <c r="PLF160" s="719"/>
      <c r="PLG160" s="719"/>
      <c r="PLH160" s="719"/>
      <c r="PLI160" s="719"/>
      <c r="PLJ160" s="719"/>
      <c r="PLK160" s="719"/>
      <c r="PLL160" s="719"/>
      <c r="PLM160" s="719"/>
      <c r="PLN160" s="719"/>
      <c r="PLO160" s="719"/>
      <c r="PLP160" s="719"/>
      <c r="PLQ160" s="719"/>
      <c r="PLR160" s="719"/>
      <c r="PLS160" s="719"/>
      <c r="PLT160" s="719"/>
      <c r="PLU160" s="719"/>
      <c r="PLV160" s="719"/>
      <c r="PLW160" s="719"/>
      <c r="PLX160" s="719"/>
      <c r="PLY160" s="719"/>
      <c r="PLZ160" s="719"/>
      <c r="PMA160" s="719"/>
      <c r="PMB160" s="719"/>
      <c r="PMC160" s="719"/>
      <c r="PMD160" s="719"/>
      <c r="PME160" s="719"/>
      <c r="PMF160" s="719"/>
      <c r="PMG160" s="719"/>
      <c r="PMH160" s="719"/>
      <c r="PMI160" s="719"/>
      <c r="PMJ160" s="719"/>
      <c r="PMK160" s="719"/>
      <c r="PML160" s="719"/>
      <c r="PMM160" s="719"/>
      <c r="PMN160" s="719"/>
      <c r="PMO160" s="719"/>
      <c r="PMP160" s="719"/>
      <c r="PMQ160" s="719"/>
      <c r="PMR160" s="719"/>
      <c r="PMS160" s="719"/>
      <c r="PMT160" s="719"/>
      <c r="PMU160" s="719"/>
      <c r="PMV160" s="719"/>
      <c r="PMW160" s="719"/>
      <c r="PMX160" s="719"/>
      <c r="PMY160" s="719"/>
      <c r="PMZ160" s="719"/>
      <c r="PNA160" s="719"/>
      <c r="PNB160" s="719"/>
      <c r="PNC160" s="719"/>
      <c r="PND160" s="719"/>
      <c r="PNE160" s="719"/>
      <c r="PNF160" s="719"/>
      <c r="PNG160" s="719"/>
      <c r="PNH160" s="719"/>
      <c r="PNI160" s="719"/>
      <c r="PNJ160" s="719"/>
      <c r="PNK160" s="719"/>
      <c r="PNL160" s="719"/>
      <c r="PNM160" s="719"/>
      <c r="PNN160" s="719"/>
      <c r="PNO160" s="719"/>
      <c r="PNP160" s="719"/>
      <c r="PNQ160" s="719"/>
      <c r="PNR160" s="719"/>
      <c r="PNS160" s="719"/>
      <c r="PNT160" s="719"/>
      <c r="PNU160" s="719"/>
      <c r="PNV160" s="719"/>
      <c r="PNW160" s="719"/>
      <c r="PNX160" s="719"/>
      <c r="PNY160" s="719"/>
      <c r="PNZ160" s="719"/>
      <c r="POA160" s="719"/>
      <c r="POB160" s="719"/>
      <c r="POC160" s="719"/>
      <c r="POD160" s="719"/>
      <c r="POE160" s="719"/>
      <c r="POF160" s="719"/>
      <c r="POG160" s="719"/>
      <c r="POH160" s="719"/>
      <c r="POI160" s="719"/>
      <c r="POJ160" s="719"/>
      <c r="POK160" s="719"/>
      <c r="POL160" s="719"/>
      <c r="POM160" s="719"/>
      <c r="PON160" s="719"/>
      <c r="POO160" s="719"/>
      <c r="POP160" s="719"/>
      <c r="POQ160" s="719"/>
      <c r="POR160" s="719"/>
      <c r="POS160" s="719"/>
      <c r="POT160" s="719"/>
      <c r="POU160" s="719"/>
      <c r="POV160" s="719"/>
      <c r="POW160" s="719"/>
      <c r="POX160" s="719"/>
      <c r="POY160" s="719"/>
      <c r="POZ160" s="719"/>
      <c r="PPA160" s="719"/>
      <c r="PPB160" s="719"/>
      <c r="PPC160" s="719"/>
      <c r="PPD160" s="719"/>
      <c r="PPE160" s="719"/>
      <c r="PPF160" s="719"/>
      <c r="PPG160" s="719"/>
      <c r="PPH160" s="719"/>
      <c r="PPI160" s="719"/>
      <c r="PPJ160" s="719"/>
      <c r="PPK160" s="719"/>
      <c r="PPL160" s="719"/>
      <c r="PPM160" s="719"/>
      <c r="PPN160" s="719"/>
      <c r="PPO160" s="719"/>
      <c r="PPP160" s="719"/>
      <c r="PPQ160" s="719"/>
      <c r="PPR160" s="719"/>
      <c r="PPS160" s="719"/>
      <c r="PPT160" s="719"/>
      <c r="PPU160" s="719"/>
      <c r="PPV160" s="719"/>
      <c r="PPW160" s="719"/>
      <c r="PPX160" s="719"/>
      <c r="PPY160" s="719"/>
      <c r="PPZ160" s="719"/>
      <c r="PQA160" s="719"/>
      <c r="PQB160" s="719"/>
      <c r="PQC160" s="719"/>
      <c r="PQD160" s="719"/>
      <c r="PQE160" s="719"/>
      <c r="PQF160" s="719"/>
      <c r="PQG160" s="719"/>
      <c r="PQH160" s="719"/>
      <c r="PQI160" s="719"/>
      <c r="PQJ160" s="719"/>
      <c r="PQK160" s="719"/>
      <c r="PQL160" s="719"/>
      <c r="PQM160" s="719"/>
      <c r="PQN160" s="719"/>
      <c r="PQO160" s="719"/>
      <c r="PQP160" s="719"/>
      <c r="PQQ160" s="719"/>
      <c r="PQR160" s="719"/>
      <c r="PQS160" s="719"/>
      <c r="PQT160" s="719"/>
      <c r="PQU160" s="719"/>
      <c r="PQV160" s="719"/>
      <c r="PQW160" s="719"/>
      <c r="PQX160" s="719"/>
      <c r="PQY160" s="719"/>
      <c r="PQZ160" s="719"/>
      <c r="PRA160" s="719"/>
      <c r="PRB160" s="719"/>
      <c r="PRC160" s="719"/>
      <c r="PRD160" s="719"/>
      <c r="PRE160" s="719"/>
      <c r="PRF160" s="719"/>
      <c r="PRG160" s="719"/>
      <c r="PRH160" s="719"/>
      <c r="PRI160" s="719"/>
      <c r="PRJ160" s="719"/>
      <c r="PRK160" s="719"/>
      <c r="PRL160" s="719"/>
      <c r="PRM160" s="719"/>
      <c r="PRN160" s="719"/>
      <c r="PRO160" s="719"/>
      <c r="PRP160" s="719"/>
      <c r="PRQ160" s="719"/>
      <c r="PRR160" s="719"/>
      <c r="PRS160" s="719"/>
      <c r="PRT160" s="719"/>
      <c r="PRU160" s="719"/>
      <c r="PRV160" s="719"/>
      <c r="PRW160" s="719"/>
      <c r="PRX160" s="719"/>
      <c r="PRY160" s="719"/>
      <c r="PRZ160" s="719"/>
      <c r="PSA160" s="719"/>
      <c r="PSB160" s="719"/>
      <c r="PSC160" s="719"/>
      <c r="PSD160" s="719"/>
      <c r="PSE160" s="719"/>
      <c r="PSF160" s="719"/>
      <c r="PSG160" s="719"/>
      <c r="PSH160" s="719"/>
      <c r="PSI160" s="719"/>
      <c r="PSJ160" s="719"/>
      <c r="PSK160" s="719"/>
      <c r="PSL160" s="719"/>
      <c r="PSM160" s="719"/>
      <c r="PSN160" s="719"/>
      <c r="PSO160" s="719"/>
      <c r="PSP160" s="719"/>
      <c r="PSQ160" s="719"/>
      <c r="PSR160" s="719"/>
      <c r="PSS160" s="719"/>
      <c r="PST160" s="719"/>
      <c r="PSU160" s="719"/>
      <c r="PSV160" s="719"/>
      <c r="PSW160" s="719"/>
      <c r="PSX160" s="719"/>
      <c r="PSY160" s="719"/>
      <c r="PSZ160" s="719"/>
      <c r="PTA160" s="719"/>
      <c r="PTB160" s="719"/>
      <c r="PTC160" s="719"/>
      <c r="PTD160" s="719"/>
      <c r="PTE160" s="719"/>
      <c r="PTF160" s="719"/>
      <c r="PTG160" s="719"/>
      <c r="PTH160" s="719"/>
      <c r="PTI160" s="719"/>
      <c r="PTJ160" s="719"/>
      <c r="PTK160" s="719"/>
      <c r="PTL160" s="719"/>
      <c r="PTM160" s="719"/>
      <c r="PTN160" s="719"/>
      <c r="PTO160" s="719"/>
      <c r="PTP160" s="719"/>
      <c r="PTQ160" s="719"/>
      <c r="PTR160" s="719"/>
      <c r="PTS160" s="719"/>
      <c r="PTT160" s="719"/>
      <c r="PTU160" s="719"/>
      <c r="PTV160" s="719"/>
      <c r="PTW160" s="719"/>
      <c r="PTX160" s="719"/>
      <c r="PTY160" s="719"/>
      <c r="PTZ160" s="719"/>
      <c r="PUA160" s="719"/>
      <c r="PUB160" s="719"/>
      <c r="PUC160" s="719"/>
      <c r="PUD160" s="719"/>
      <c r="PUE160" s="719"/>
      <c r="PUF160" s="719"/>
      <c r="PUG160" s="719"/>
      <c r="PUH160" s="719"/>
      <c r="PUI160" s="719"/>
      <c r="PUJ160" s="719"/>
      <c r="PUK160" s="719"/>
      <c r="PUL160" s="719"/>
      <c r="PUM160" s="719"/>
      <c r="PUN160" s="719"/>
      <c r="PUO160" s="719"/>
      <c r="PUP160" s="719"/>
      <c r="PUQ160" s="719"/>
      <c r="PUR160" s="719"/>
      <c r="PUS160" s="719"/>
      <c r="PUT160" s="719"/>
      <c r="PUU160" s="719"/>
      <c r="PUV160" s="719"/>
      <c r="PUW160" s="719"/>
      <c r="PUX160" s="719"/>
      <c r="PUY160" s="719"/>
      <c r="PUZ160" s="719"/>
      <c r="PVA160" s="719"/>
      <c r="PVB160" s="719"/>
      <c r="PVC160" s="719"/>
      <c r="PVD160" s="719"/>
      <c r="PVE160" s="719"/>
      <c r="PVF160" s="719"/>
      <c r="PVG160" s="719"/>
      <c r="PVH160" s="719"/>
      <c r="PVI160" s="719"/>
      <c r="PVJ160" s="719"/>
      <c r="PVK160" s="719"/>
      <c r="PVL160" s="719"/>
      <c r="PVM160" s="719"/>
      <c r="PVN160" s="719"/>
      <c r="PVO160" s="719"/>
      <c r="PVP160" s="719"/>
      <c r="PVQ160" s="719"/>
      <c r="PVR160" s="719"/>
      <c r="PVS160" s="719"/>
      <c r="PVT160" s="719"/>
      <c r="PVU160" s="719"/>
      <c r="PVV160" s="719"/>
      <c r="PVW160" s="719"/>
      <c r="PVX160" s="719"/>
      <c r="PVY160" s="719"/>
      <c r="PVZ160" s="719"/>
      <c r="PWA160" s="719"/>
      <c r="PWB160" s="719"/>
      <c r="PWC160" s="719"/>
      <c r="PWD160" s="719"/>
      <c r="PWE160" s="719"/>
      <c r="PWF160" s="719"/>
      <c r="PWG160" s="719"/>
      <c r="PWH160" s="719"/>
      <c r="PWI160" s="719"/>
      <c r="PWJ160" s="719"/>
      <c r="PWK160" s="719"/>
      <c r="PWL160" s="719"/>
      <c r="PWM160" s="719"/>
      <c r="PWN160" s="719"/>
      <c r="PWO160" s="719"/>
      <c r="PWP160" s="719"/>
      <c r="PWQ160" s="719"/>
      <c r="PWR160" s="719"/>
      <c r="PWS160" s="719"/>
      <c r="PWT160" s="719"/>
      <c r="PWU160" s="719"/>
      <c r="PWV160" s="719"/>
      <c r="PWW160" s="719"/>
      <c r="PWX160" s="719"/>
      <c r="PWY160" s="719"/>
      <c r="PWZ160" s="719"/>
      <c r="PXA160" s="719"/>
      <c r="PXB160" s="719"/>
      <c r="PXC160" s="719"/>
      <c r="PXD160" s="719"/>
      <c r="PXE160" s="719"/>
      <c r="PXF160" s="719"/>
      <c r="PXG160" s="719"/>
      <c r="PXH160" s="719"/>
      <c r="PXI160" s="719"/>
      <c r="PXJ160" s="719"/>
      <c r="PXK160" s="719"/>
      <c r="PXL160" s="719"/>
      <c r="PXM160" s="719"/>
      <c r="PXN160" s="719"/>
      <c r="PXO160" s="719"/>
      <c r="PXP160" s="719"/>
      <c r="PXQ160" s="719"/>
      <c r="PXR160" s="719"/>
      <c r="PXS160" s="719"/>
      <c r="PXT160" s="719"/>
      <c r="PXU160" s="719"/>
      <c r="PXV160" s="719"/>
      <c r="PXW160" s="719"/>
      <c r="PXX160" s="719"/>
      <c r="PXY160" s="719"/>
      <c r="PXZ160" s="719"/>
      <c r="PYA160" s="719"/>
      <c r="PYB160" s="719"/>
      <c r="PYC160" s="719"/>
      <c r="PYD160" s="719"/>
      <c r="PYE160" s="719"/>
      <c r="PYF160" s="719"/>
      <c r="PYG160" s="719"/>
      <c r="PYH160" s="719"/>
      <c r="PYI160" s="719"/>
      <c r="PYJ160" s="719"/>
      <c r="PYK160" s="719"/>
      <c r="PYL160" s="719"/>
      <c r="PYM160" s="719"/>
      <c r="PYN160" s="719"/>
      <c r="PYO160" s="719"/>
      <c r="PYP160" s="719"/>
      <c r="PYQ160" s="719"/>
      <c r="PYR160" s="719"/>
      <c r="PYS160" s="719"/>
      <c r="PYT160" s="719"/>
      <c r="PYU160" s="719"/>
      <c r="PYV160" s="719"/>
      <c r="PYW160" s="719"/>
      <c r="PYX160" s="719"/>
      <c r="PYY160" s="719"/>
      <c r="PYZ160" s="719"/>
      <c r="PZA160" s="719"/>
      <c r="PZB160" s="719"/>
      <c r="PZC160" s="719"/>
      <c r="PZD160" s="719"/>
      <c r="PZE160" s="719"/>
      <c r="PZF160" s="719"/>
      <c r="PZG160" s="719"/>
      <c r="PZH160" s="719"/>
      <c r="PZI160" s="719"/>
      <c r="PZJ160" s="719"/>
      <c r="PZK160" s="719"/>
      <c r="PZL160" s="719"/>
      <c r="PZM160" s="719"/>
      <c r="PZN160" s="719"/>
      <c r="PZO160" s="719"/>
      <c r="PZP160" s="719"/>
      <c r="PZQ160" s="719"/>
      <c r="PZR160" s="719"/>
      <c r="PZS160" s="719"/>
      <c r="PZT160" s="719"/>
      <c r="PZU160" s="719"/>
      <c r="PZV160" s="719"/>
      <c r="PZW160" s="719"/>
      <c r="PZX160" s="719"/>
      <c r="PZY160" s="719"/>
      <c r="PZZ160" s="719"/>
      <c r="QAA160" s="719"/>
      <c r="QAB160" s="719"/>
      <c r="QAC160" s="719"/>
      <c r="QAD160" s="719"/>
      <c r="QAE160" s="719"/>
      <c r="QAF160" s="719"/>
      <c r="QAG160" s="719"/>
      <c r="QAH160" s="719"/>
      <c r="QAI160" s="719"/>
      <c r="QAJ160" s="719"/>
      <c r="QAK160" s="719"/>
      <c r="QAL160" s="719"/>
      <c r="QAM160" s="719"/>
      <c r="QAN160" s="719"/>
      <c r="QAO160" s="719"/>
      <c r="QAP160" s="719"/>
      <c r="QAQ160" s="719"/>
      <c r="QAR160" s="719"/>
      <c r="QAS160" s="719"/>
      <c r="QAT160" s="719"/>
      <c r="QAU160" s="719"/>
      <c r="QAV160" s="719"/>
      <c r="QAW160" s="719"/>
      <c r="QAX160" s="719"/>
      <c r="QAY160" s="719"/>
      <c r="QAZ160" s="719"/>
      <c r="QBA160" s="719"/>
      <c r="QBB160" s="719"/>
      <c r="QBC160" s="719"/>
      <c r="QBD160" s="719"/>
      <c r="QBE160" s="719"/>
      <c r="QBF160" s="719"/>
      <c r="QBG160" s="719"/>
      <c r="QBH160" s="719"/>
      <c r="QBI160" s="719"/>
      <c r="QBJ160" s="719"/>
      <c r="QBK160" s="719"/>
      <c r="QBL160" s="719"/>
      <c r="QBM160" s="719"/>
      <c r="QBN160" s="719"/>
      <c r="QBO160" s="719"/>
      <c r="QBP160" s="719"/>
      <c r="QBQ160" s="719"/>
      <c r="QBR160" s="719"/>
      <c r="QBS160" s="719"/>
      <c r="QBT160" s="719"/>
      <c r="QBU160" s="719"/>
      <c r="QBV160" s="719"/>
      <c r="QBW160" s="719"/>
      <c r="QBX160" s="719"/>
      <c r="QBY160" s="719"/>
      <c r="QBZ160" s="719"/>
      <c r="QCA160" s="719"/>
      <c r="QCB160" s="719"/>
      <c r="QCC160" s="719"/>
      <c r="QCD160" s="719"/>
      <c r="QCE160" s="719"/>
      <c r="QCF160" s="719"/>
      <c r="QCG160" s="719"/>
      <c r="QCH160" s="719"/>
      <c r="QCI160" s="719"/>
      <c r="QCJ160" s="719"/>
      <c r="QCK160" s="719"/>
      <c r="QCL160" s="719"/>
      <c r="QCM160" s="719"/>
      <c r="QCN160" s="719"/>
      <c r="QCO160" s="719"/>
      <c r="QCP160" s="719"/>
      <c r="QCQ160" s="719"/>
      <c r="QCR160" s="719"/>
      <c r="QCS160" s="719"/>
      <c r="QCT160" s="719"/>
      <c r="QCU160" s="719"/>
      <c r="QCV160" s="719"/>
      <c r="QCW160" s="719"/>
      <c r="QCX160" s="719"/>
      <c r="QCY160" s="719"/>
      <c r="QCZ160" s="719"/>
      <c r="QDA160" s="719"/>
      <c r="QDB160" s="719"/>
      <c r="QDC160" s="719"/>
      <c r="QDD160" s="719"/>
      <c r="QDE160" s="719"/>
      <c r="QDF160" s="719"/>
      <c r="QDG160" s="719"/>
      <c r="QDH160" s="719"/>
      <c r="QDI160" s="719"/>
      <c r="QDJ160" s="719"/>
      <c r="QDK160" s="719"/>
      <c r="QDL160" s="719"/>
      <c r="QDM160" s="719"/>
      <c r="QDN160" s="719"/>
      <c r="QDO160" s="719"/>
      <c r="QDP160" s="719"/>
      <c r="QDQ160" s="719"/>
      <c r="QDR160" s="719"/>
      <c r="QDS160" s="719"/>
      <c r="QDT160" s="719"/>
      <c r="QDU160" s="719"/>
      <c r="QDV160" s="719"/>
      <c r="QDW160" s="719"/>
      <c r="QDX160" s="719"/>
      <c r="QDY160" s="719"/>
      <c r="QDZ160" s="719"/>
      <c r="QEA160" s="719"/>
      <c r="QEB160" s="719"/>
      <c r="QEC160" s="719"/>
      <c r="QED160" s="719"/>
      <c r="QEE160" s="719"/>
      <c r="QEF160" s="719"/>
      <c r="QEG160" s="719"/>
      <c r="QEH160" s="719"/>
      <c r="QEI160" s="719"/>
      <c r="QEJ160" s="719"/>
      <c r="QEK160" s="719"/>
      <c r="QEL160" s="719"/>
      <c r="QEM160" s="719"/>
      <c r="QEN160" s="719"/>
      <c r="QEO160" s="719"/>
      <c r="QEP160" s="719"/>
      <c r="QEQ160" s="719"/>
      <c r="QER160" s="719"/>
      <c r="QES160" s="719"/>
      <c r="QET160" s="719"/>
      <c r="QEU160" s="719"/>
      <c r="QEV160" s="719"/>
      <c r="QEW160" s="719"/>
      <c r="QEX160" s="719"/>
      <c r="QEY160" s="719"/>
      <c r="QEZ160" s="719"/>
      <c r="QFA160" s="719"/>
      <c r="QFB160" s="719"/>
      <c r="QFC160" s="719"/>
      <c r="QFD160" s="719"/>
      <c r="QFE160" s="719"/>
      <c r="QFF160" s="719"/>
      <c r="QFG160" s="719"/>
      <c r="QFH160" s="719"/>
      <c r="QFI160" s="719"/>
      <c r="QFJ160" s="719"/>
      <c r="QFK160" s="719"/>
      <c r="QFL160" s="719"/>
      <c r="QFM160" s="719"/>
      <c r="QFN160" s="719"/>
      <c r="QFO160" s="719"/>
      <c r="QFP160" s="719"/>
      <c r="QFQ160" s="719"/>
      <c r="QFR160" s="719"/>
      <c r="QFS160" s="719"/>
      <c r="QFT160" s="719"/>
      <c r="QFU160" s="719"/>
      <c r="QFV160" s="719"/>
      <c r="QFW160" s="719"/>
      <c r="QFX160" s="719"/>
      <c r="QFY160" s="719"/>
      <c r="QFZ160" s="719"/>
      <c r="QGA160" s="719"/>
      <c r="QGB160" s="719"/>
      <c r="QGC160" s="719"/>
      <c r="QGD160" s="719"/>
      <c r="QGE160" s="719"/>
      <c r="QGF160" s="719"/>
      <c r="QGG160" s="719"/>
      <c r="QGH160" s="719"/>
      <c r="QGI160" s="719"/>
      <c r="QGJ160" s="719"/>
      <c r="QGK160" s="719"/>
      <c r="QGL160" s="719"/>
      <c r="QGM160" s="719"/>
      <c r="QGN160" s="719"/>
      <c r="QGO160" s="719"/>
      <c r="QGP160" s="719"/>
      <c r="QGQ160" s="719"/>
      <c r="QGR160" s="719"/>
      <c r="QGS160" s="719"/>
      <c r="QGT160" s="719"/>
      <c r="QGU160" s="719"/>
      <c r="QGV160" s="719"/>
      <c r="QGW160" s="719"/>
      <c r="QGX160" s="719"/>
      <c r="QGY160" s="719"/>
      <c r="QGZ160" s="719"/>
      <c r="QHA160" s="719"/>
      <c r="QHB160" s="719"/>
      <c r="QHC160" s="719"/>
      <c r="QHD160" s="719"/>
      <c r="QHE160" s="719"/>
      <c r="QHF160" s="719"/>
      <c r="QHG160" s="719"/>
      <c r="QHH160" s="719"/>
      <c r="QHI160" s="719"/>
      <c r="QHJ160" s="719"/>
      <c r="QHK160" s="719"/>
      <c r="QHL160" s="719"/>
      <c r="QHM160" s="719"/>
      <c r="QHN160" s="719"/>
      <c r="QHO160" s="719"/>
      <c r="QHP160" s="719"/>
      <c r="QHQ160" s="719"/>
      <c r="QHR160" s="719"/>
      <c r="QHS160" s="719"/>
      <c r="QHT160" s="719"/>
      <c r="QHU160" s="719"/>
      <c r="QHV160" s="719"/>
      <c r="QHW160" s="719"/>
      <c r="QHX160" s="719"/>
      <c r="QHY160" s="719"/>
      <c r="QHZ160" s="719"/>
      <c r="QIA160" s="719"/>
      <c r="QIB160" s="719"/>
      <c r="QIC160" s="719"/>
      <c r="QID160" s="719"/>
      <c r="QIE160" s="719"/>
      <c r="QIF160" s="719"/>
      <c r="QIG160" s="719"/>
      <c r="QIH160" s="719"/>
      <c r="QII160" s="719"/>
      <c r="QIJ160" s="719"/>
      <c r="QIK160" s="719"/>
      <c r="QIL160" s="719"/>
      <c r="QIM160" s="719"/>
      <c r="QIN160" s="719"/>
      <c r="QIO160" s="719"/>
      <c r="QIP160" s="719"/>
      <c r="QIQ160" s="719"/>
      <c r="QIR160" s="719"/>
      <c r="QIS160" s="719"/>
      <c r="QIT160" s="719"/>
      <c r="QIU160" s="719"/>
      <c r="QIV160" s="719"/>
      <c r="QIW160" s="719"/>
      <c r="QIX160" s="719"/>
      <c r="QIY160" s="719"/>
      <c r="QIZ160" s="719"/>
      <c r="QJA160" s="719"/>
      <c r="QJB160" s="719"/>
      <c r="QJC160" s="719"/>
      <c r="QJD160" s="719"/>
      <c r="QJE160" s="719"/>
      <c r="QJF160" s="719"/>
      <c r="QJG160" s="719"/>
      <c r="QJH160" s="719"/>
      <c r="QJI160" s="719"/>
      <c r="QJJ160" s="719"/>
      <c r="QJK160" s="719"/>
      <c r="QJL160" s="719"/>
      <c r="QJM160" s="719"/>
      <c r="QJN160" s="719"/>
      <c r="QJO160" s="719"/>
      <c r="QJP160" s="719"/>
      <c r="QJQ160" s="719"/>
      <c r="QJR160" s="719"/>
      <c r="QJS160" s="719"/>
      <c r="QJT160" s="719"/>
      <c r="QJU160" s="719"/>
      <c r="QJV160" s="719"/>
      <c r="QJW160" s="719"/>
      <c r="QJX160" s="719"/>
      <c r="QJY160" s="719"/>
      <c r="QJZ160" s="719"/>
      <c r="QKA160" s="719"/>
      <c r="QKB160" s="719"/>
      <c r="QKC160" s="719"/>
      <c r="QKD160" s="719"/>
      <c r="QKE160" s="719"/>
      <c r="QKF160" s="719"/>
      <c r="QKG160" s="719"/>
      <c r="QKH160" s="719"/>
      <c r="QKI160" s="719"/>
      <c r="QKJ160" s="719"/>
      <c r="QKK160" s="719"/>
      <c r="QKL160" s="719"/>
      <c r="QKM160" s="719"/>
      <c r="QKN160" s="719"/>
      <c r="QKO160" s="719"/>
      <c r="QKP160" s="719"/>
      <c r="QKQ160" s="719"/>
      <c r="QKR160" s="719"/>
      <c r="QKS160" s="719"/>
      <c r="QKT160" s="719"/>
      <c r="QKU160" s="719"/>
      <c r="QKV160" s="719"/>
      <c r="QKW160" s="719"/>
      <c r="QKX160" s="719"/>
      <c r="QKY160" s="719"/>
      <c r="QKZ160" s="719"/>
      <c r="QLA160" s="719"/>
      <c r="QLB160" s="719"/>
      <c r="QLC160" s="719"/>
      <c r="QLD160" s="719"/>
      <c r="QLE160" s="719"/>
      <c r="QLF160" s="719"/>
      <c r="QLG160" s="719"/>
      <c r="QLH160" s="719"/>
      <c r="QLI160" s="719"/>
      <c r="QLJ160" s="719"/>
      <c r="QLK160" s="719"/>
      <c r="QLL160" s="719"/>
      <c r="QLM160" s="719"/>
      <c r="QLN160" s="719"/>
      <c r="QLO160" s="719"/>
      <c r="QLP160" s="719"/>
      <c r="QLQ160" s="719"/>
      <c r="QLR160" s="719"/>
      <c r="QLS160" s="719"/>
      <c r="QLT160" s="719"/>
      <c r="QLU160" s="719"/>
      <c r="QLV160" s="719"/>
      <c r="QLW160" s="719"/>
      <c r="QLX160" s="719"/>
      <c r="QLY160" s="719"/>
      <c r="QLZ160" s="719"/>
      <c r="QMA160" s="719"/>
      <c r="QMB160" s="719"/>
      <c r="QMC160" s="719"/>
      <c r="QMD160" s="719"/>
      <c r="QME160" s="719"/>
      <c r="QMF160" s="719"/>
      <c r="QMG160" s="719"/>
      <c r="QMH160" s="719"/>
      <c r="QMI160" s="719"/>
      <c r="QMJ160" s="719"/>
      <c r="QMK160" s="719"/>
      <c r="QML160" s="719"/>
      <c r="QMM160" s="719"/>
      <c r="QMN160" s="719"/>
      <c r="QMO160" s="719"/>
      <c r="QMP160" s="719"/>
      <c r="QMQ160" s="719"/>
      <c r="QMR160" s="719"/>
      <c r="QMS160" s="719"/>
      <c r="QMT160" s="719"/>
      <c r="QMU160" s="719"/>
      <c r="QMV160" s="719"/>
      <c r="QMW160" s="719"/>
      <c r="QMX160" s="719"/>
      <c r="QMY160" s="719"/>
      <c r="QMZ160" s="719"/>
      <c r="QNA160" s="719"/>
      <c r="QNB160" s="719"/>
      <c r="QNC160" s="719"/>
      <c r="QND160" s="719"/>
      <c r="QNE160" s="719"/>
      <c r="QNF160" s="719"/>
      <c r="QNG160" s="719"/>
      <c r="QNH160" s="719"/>
      <c r="QNI160" s="719"/>
      <c r="QNJ160" s="719"/>
      <c r="QNK160" s="719"/>
      <c r="QNL160" s="719"/>
      <c r="QNM160" s="719"/>
      <c r="QNN160" s="719"/>
      <c r="QNO160" s="719"/>
      <c r="QNP160" s="719"/>
      <c r="QNQ160" s="719"/>
      <c r="QNR160" s="719"/>
      <c r="QNS160" s="719"/>
      <c r="QNT160" s="719"/>
      <c r="QNU160" s="719"/>
      <c r="QNV160" s="719"/>
      <c r="QNW160" s="719"/>
      <c r="QNX160" s="719"/>
      <c r="QNY160" s="719"/>
      <c r="QNZ160" s="719"/>
      <c r="QOA160" s="719"/>
      <c r="QOB160" s="719"/>
      <c r="QOC160" s="719"/>
      <c r="QOD160" s="719"/>
      <c r="QOE160" s="719"/>
      <c r="QOF160" s="719"/>
      <c r="QOG160" s="719"/>
      <c r="QOH160" s="719"/>
      <c r="QOI160" s="719"/>
      <c r="QOJ160" s="719"/>
      <c r="QOK160" s="719"/>
      <c r="QOL160" s="719"/>
      <c r="QOM160" s="719"/>
      <c r="QON160" s="719"/>
      <c r="QOO160" s="719"/>
      <c r="QOP160" s="719"/>
      <c r="QOQ160" s="719"/>
      <c r="QOR160" s="719"/>
      <c r="QOS160" s="719"/>
      <c r="QOT160" s="719"/>
      <c r="QOU160" s="719"/>
      <c r="QOV160" s="719"/>
      <c r="QOW160" s="719"/>
      <c r="QOX160" s="719"/>
      <c r="QOY160" s="719"/>
      <c r="QOZ160" s="719"/>
      <c r="QPA160" s="719"/>
      <c r="QPB160" s="719"/>
      <c r="QPC160" s="719"/>
      <c r="QPD160" s="719"/>
      <c r="QPE160" s="719"/>
      <c r="QPF160" s="719"/>
      <c r="QPG160" s="719"/>
      <c r="QPH160" s="719"/>
      <c r="QPI160" s="719"/>
      <c r="QPJ160" s="719"/>
      <c r="QPK160" s="719"/>
      <c r="QPL160" s="719"/>
      <c r="QPM160" s="719"/>
      <c r="QPN160" s="719"/>
      <c r="QPO160" s="719"/>
      <c r="QPP160" s="719"/>
      <c r="QPQ160" s="719"/>
      <c r="QPR160" s="719"/>
      <c r="QPS160" s="719"/>
      <c r="QPT160" s="719"/>
      <c r="QPU160" s="719"/>
      <c r="QPV160" s="719"/>
      <c r="QPW160" s="719"/>
      <c r="QPX160" s="719"/>
      <c r="QPY160" s="719"/>
      <c r="QPZ160" s="719"/>
      <c r="QQA160" s="719"/>
      <c r="QQB160" s="719"/>
      <c r="QQC160" s="719"/>
      <c r="QQD160" s="719"/>
      <c r="QQE160" s="719"/>
      <c r="QQF160" s="719"/>
      <c r="QQG160" s="719"/>
      <c r="QQH160" s="719"/>
      <c r="QQI160" s="719"/>
      <c r="QQJ160" s="719"/>
      <c r="QQK160" s="719"/>
      <c r="QQL160" s="719"/>
      <c r="QQM160" s="719"/>
      <c r="QQN160" s="719"/>
      <c r="QQO160" s="719"/>
      <c r="QQP160" s="719"/>
      <c r="QQQ160" s="719"/>
      <c r="QQR160" s="719"/>
      <c r="QQS160" s="719"/>
      <c r="QQT160" s="719"/>
      <c r="QQU160" s="719"/>
      <c r="QQV160" s="719"/>
      <c r="QQW160" s="719"/>
      <c r="QQX160" s="719"/>
      <c r="QQY160" s="719"/>
      <c r="QQZ160" s="719"/>
      <c r="QRA160" s="719"/>
      <c r="QRB160" s="719"/>
      <c r="QRC160" s="719"/>
      <c r="QRD160" s="719"/>
      <c r="QRE160" s="719"/>
      <c r="QRF160" s="719"/>
      <c r="QRG160" s="719"/>
      <c r="QRH160" s="719"/>
      <c r="QRI160" s="719"/>
      <c r="QRJ160" s="719"/>
      <c r="QRK160" s="719"/>
      <c r="QRL160" s="719"/>
      <c r="QRM160" s="719"/>
      <c r="QRN160" s="719"/>
      <c r="QRO160" s="719"/>
      <c r="QRP160" s="719"/>
      <c r="QRQ160" s="719"/>
      <c r="QRR160" s="719"/>
      <c r="QRS160" s="719"/>
      <c r="QRT160" s="719"/>
      <c r="QRU160" s="719"/>
      <c r="QRV160" s="719"/>
      <c r="QRW160" s="719"/>
      <c r="QRX160" s="719"/>
      <c r="QRY160" s="719"/>
      <c r="QRZ160" s="719"/>
      <c r="QSA160" s="719"/>
      <c r="QSB160" s="719"/>
      <c r="QSC160" s="719"/>
      <c r="QSD160" s="719"/>
      <c r="QSE160" s="719"/>
      <c r="QSF160" s="719"/>
      <c r="QSG160" s="719"/>
      <c r="QSH160" s="719"/>
      <c r="QSI160" s="719"/>
      <c r="QSJ160" s="719"/>
      <c r="QSK160" s="719"/>
      <c r="QSL160" s="719"/>
      <c r="QSM160" s="719"/>
      <c r="QSN160" s="719"/>
      <c r="QSO160" s="719"/>
      <c r="QSP160" s="719"/>
      <c r="QSQ160" s="719"/>
      <c r="QSR160" s="719"/>
      <c r="QSS160" s="719"/>
      <c r="QST160" s="719"/>
      <c r="QSU160" s="719"/>
      <c r="QSV160" s="719"/>
      <c r="QSW160" s="719"/>
      <c r="QSX160" s="719"/>
      <c r="QSY160" s="719"/>
      <c r="QSZ160" s="719"/>
      <c r="QTA160" s="719"/>
      <c r="QTB160" s="719"/>
      <c r="QTC160" s="719"/>
      <c r="QTD160" s="719"/>
      <c r="QTE160" s="719"/>
      <c r="QTF160" s="719"/>
      <c r="QTG160" s="719"/>
      <c r="QTH160" s="719"/>
      <c r="QTI160" s="719"/>
      <c r="QTJ160" s="719"/>
      <c r="QTK160" s="719"/>
      <c r="QTL160" s="719"/>
      <c r="QTM160" s="719"/>
      <c r="QTN160" s="719"/>
      <c r="QTO160" s="719"/>
      <c r="QTP160" s="719"/>
      <c r="QTQ160" s="719"/>
      <c r="QTR160" s="719"/>
      <c r="QTS160" s="719"/>
      <c r="QTT160" s="719"/>
      <c r="QTU160" s="719"/>
      <c r="QTV160" s="719"/>
      <c r="QTW160" s="719"/>
      <c r="QTX160" s="719"/>
      <c r="QTY160" s="719"/>
      <c r="QTZ160" s="719"/>
      <c r="QUA160" s="719"/>
      <c r="QUB160" s="719"/>
      <c r="QUC160" s="719"/>
      <c r="QUD160" s="719"/>
      <c r="QUE160" s="719"/>
      <c r="QUF160" s="719"/>
      <c r="QUG160" s="719"/>
      <c r="QUH160" s="719"/>
      <c r="QUI160" s="719"/>
      <c r="QUJ160" s="719"/>
      <c r="QUK160" s="719"/>
      <c r="QUL160" s="719"/>
      <c r="QUM160" s="719"/>
      <c r="QUN160" s="719"/>
      <c r="QUO160" s="719"/>
      <c r="QUP160" s="719"/>
      <c r="QUQ160" s="719"/>
      <c r="QUR160" s="719"/>
      <c r="QUS160" s="719"/>
      <c r="QUT160" s="719"/>
      <c r="QUU160" s="719"/>
      <c r="QUV160" s="719"/>
      <c r="QUW160" s="719"/>
      <c r="QUX160" s="719"/>
      <c r="QUY160" s="719"/>
      <c r="QUZ160" s="719"/>
      <c r="QVA160" s="719"/>
      <c r="QVB160" s="719"/>
      <c r="QVC160" s="719"/>
      <c r="QVD160" s="719"/>
      <c r="QVE160" s="719"/>
      <c r="QVF160" s="719"/>
      <c r="QVG160" s="719"/>
      <c r="QVH160" s="719"/>
      <c r="QVI160" s="719"/>
      <c r="QVJ160" s="719"/>
      <c r="QVK160" s="719"/>
      <c r="QVL160" s="719"/>
      <c r="QVM160" s="719"/>
      <c r="QVN160" s="719"/>
      <c r="QVO160" s="719"/>
      <c r="QVP160" s="719"/>
      <c r="QVQ160" s="719"/>
      <c r="QVR160" s="719"/>
      <c r="QVS160" s="719"/>
      <c r="QVT160" s="719"/>
      <c r="QVU160" s="719"/>
      <c r="QVV160" s="719"/>
      <c r="QVW160" s="719"/>
      <c r="QVX160" s="719"/>
      <c r="QVY160" s="719"/>
      <c r="QVZ160" s="719"/>
      <c r="QWA160" s="719"/>
      <c r="QWB160" s="719"/>
      <c r="QWC160" s="719"/>
      <c r="QWD160" s="719"/>
      <c r="QWE160" s="719"/>
      <c r="QWF160" s="719"/>
      <c r="QWG160" s="719"/>
      <c r="QWH160" s="719"/>
      <c r="QWI160" s="719"/>
      <c r="QWJ160" s="719"/>
      <c r="QWK160" s="719"/>
      <c r="QWL160" s="719"/>
      <c r="QWM160" s="719"/>
      <c r="QWN160" s="719"/>
      <c r="QWO160" s="719"/>
      <c r="QWP160" s="719"/>
      <c r="QWQ160" s="719"/>
      <c r="QWR160" s="719"/>
      <c r="QWS160" s="719"/>
      <c r="QWT160" s="719"/>
      <c r="QWU160" s="719"/>
      <c r="QWV160" s="719"/>
      <c r="QWW160" s="719"/>
      <c r="QWX160" s="719"/>
      <c r="QWY160" s="719"/>
      <c r="QWZ160" s="719"/>
      <c r="QXA160" s="719"/>
      <c r="QXB160" s="719"/>
      <c r="QXC160" s="719"/>
      <c r="QXD160" s="719"/>
      <c r="QXE160" s="719"/>
      <c r="QXF160" s="719"/>
      <c r="QXG160" s="719"/>
      <c r="QXH160" s="719"/>
      <c r="QXI160" s="719"/>
      <c r="QXJ160" s="719"/>
      <c r="QXK160" s="719"/>
      <c r="QXL160" s="719"/>
      <c r="QXM160" s="719"/>
      <c r="QXN160" s="719"/>
      <c r="QXO160" s="719"/>
      <c r="QXP160" s="719"/>
      <c r="QXQ160" s="719"/>
      <c r="QXR160" s="719"/>
      <c r="QXS160" s="719"/>
      <c r="QXT160" s="719"/>
      <c r="QXU160" s="719"/>
      <c r="QXV160" s="719"/>
      <c r="QXW160" s="719"/>
      <c r="QXX160" s="719"/>
      <c r="QXY160" s="719"/>
      <c r="QXZ160" s="719"/>
      <c r="QYA160" s="719"/>
      <c r="QYB160" s="719"/>
      <c r="QYC160" s="719"/>
      <c r="QYD160" s="719"/>
      <c r="QYE160" s="719"/>
      <c r="QYF160" s="719"/>
      <c r="QYG160" s="719"/>
      <c r="QYH160" s="719"/>
      <c r="QYI160" s="719"/>
      <c r="QYJ160" s="719"/>
      <c r="QYK160" s="719"/>
      <c r="QYL160" s="719"/>
      <c r="QYM160" s="719"/>
      <c r="QYN160" s="719"/>
      <c r="QYO160" s="719"/>
      <c r="QYP160" s="719"/>
      <c r="QYQ160" s="719"/>
      <c r="QYR160" s="719"/>
      <c r="QYS160" s="719"/>
      <c r="QYT160" s="719"/>
      <c r="QYU160" s="719"/>
      <c r="QYV160" s="719"/>
      <c r="QYW160" s="719"/>
      <c r="QYX160" s="719"/>
      <c r="QYY160" s="719"/>
      <c r="QYZ160" s="719"/>
      <c r="QZA160" s="719"/>
      <c r="QZB160" s="719"/>
      <c r="QZC160" s="719"/>
      <c r="QZD160" s="719"/>
      <c r="QZE160" s="719"/>
      <c r="QZF160" s="719"/>
      <c r="QZG160" s="719"/>
      <c r="QZH160" s="719"/>
      <c r="QZI160" s="719"/>
      <c r="QZJ160" s="719"/>
      <c r="QZK160" s="719"/>
      <c r="QZL160" s="719"/>
      <c r="QZM160" s="719"/>
      <c r="QZN160" s="719"/>
      <c r="QZO160" s="719"/>
      <c r="QZP160" s="719"/>
      <c r="QZQ160" s="719"/>
      <c r="QZR160" s="719"/>
      <c r="QZS160" s="719"/>
      <c r="QZT160" s="719"/>
      <c r="QZU160" s="719"/>
      <c r="QZV160" s="719"/>
      <c r="QZW160" s="719"/>
      <c r="QZX160" s="719"/>
      <c r="QZY160" s="719"/>
      <c r="QZZ160" s="719"/>
      <c r="RAA160" s="719"/>
      <c r="RAB160" s="719"/>
      <c r="RAC160" s="719"/>
      <c r="RAD160" s="719"/>
      <c r="RAE160" s="719"/>
      <c r="RAF160" s="719"/>
      <c r="RAG160" s="719"/>
      <c r="RAH160" s="719"/>
      <c r="RAI160" s="719"/>
      <c r="RAJ160" s="719"/>
      <c r="RAK160" s="719"/>
      <c r="RAL160" s="719"/>
      <c r="RAM160" s="719"/>
      <c r="RAN160" s="719"/>
      <c r="RAO160" s="719"/>
      <c r="RAP160" s="719"/>
      <c r="RAQ160" s="719"/>
      <c r="RAR160" s="719"/>
      <c r="RAS160" s="719"/>
      <c r="RAT160" s="719"/>
      <c r="RAU160" s="719"/>
      <c r="RAV160" s="719"/>
      <c r="RAW160" s="719"/>
      <c r="RAX160" s="719"/>
      <c r="RAY160" s="719"/>
      <c r="RAZ160" s="719"/>
      <c r="RBA160" s="719"/>
      <c r="RBB160" s="719"/>
      <c r="RBC160" s="719"/>
      <c r="RBD160" s="719"/>
      <c r="RBE160" s="719"/>
      <c r="RBF160" s="719"/>
      <c r="RBG160" s="719"/>
      <c r="RBH160" s="719"/>
      <c r="RBI160" s="719"/>
      <c r="RBJ160" s="719"/>
      <c r="RBK160" s="719"/>
      <c r="RBL160" s="719"/>
      <c r="RBM160" s="719"/>
      <c r="RBN160" s="719"/>
      <c r="RBO160" s="719"/>
      <c r="RBP160" s="719"/>
      <c r="RBQ160" s="719"/>
      <c r="RBR160" s="719"/>
      <c r="RBS160" s="719"/>
      <c r="RBT160" s="719"/>
      <c r="RBU160" s="719"/>
      <c r="RBV160" s="719"/>
      <c r="RBW160" s="719"/>
      <c r="RBX160" s="719"/>
      <c r="RBY160" s="719"/>
      <c r="RBZ160" s="719"/>
      <c r="RCA160" s="719"/>
      <c r="RCB160" s="719"/>
      <c r="RCC160" s="719"/>
      <c r="RCD160" s="719"/>
      <c r="RCE160" s="719"/>
      <c r="RCF160" s="719"/>
      <c r="RCG160" s="719"/>
      <c r="RCH160" s="719"/>
      <c r="RCI160" s="719"/>
      <c r="RCJ160" s="719"/>
      <c r="RCK160" s="719"/>
      <c r="RCL160" s="719"/>
      <c r="RCM160" s="719"/>
      <c r="RCN160" s="719"/>
      <c r="RCO160" s="719"/>
      <c r="RCP160" s="719"/>
      <c r="RCQ160" s="719"/>
      <c r="RCR160" s="719"/>
      <c r="RCS160" s="719"/>
      <c r="RCT160" s="719"/>
      <c r="RCU160" s="719"/>
      <c r="RCV160" s="719"/>
      <c r="RCW160" s="719"/>
      <c r="RCX160" s="719"/>
      <c r="RCY160" s="719"/>
      <c r="RCZ160" s="719"/>
      <c r="RDA160" s="719"/>
      <c r="RDB160" s="719"/>
      <c r="RDC160" s="719"/>
      <c r="RDD160" s="719"/>
      <c r="RDE160" s="719"/>
      <c r="RDF160" s="719"/>
      <c r="RDG160" s="719"/>
      <c r="RDH160" s="719"/>
      <c r="RDI160" s="719"/>
      <c r="RDJ160" s="719"/>
      <c r="RDK160" s="719"/>
      <c r="RDL160" s="719"/>
      <c r="RDM160" s="719"/>
      <c r="RDN160" s="719"/>
      <c r="RDO160" s="719"/>
      <c r="RDP160" s="719"/>
      <c r="RDQ160" s="719"/>
      <c r="RDR160" s="719"/>
      <c r="RDS160" s="719"/>
      <c r="RDT160" s="719"/>
      <c r="RDU160" s="719"/>
      <c r="RDV160" s="719"/>
      <c r="RDW160" s="719"/>
      <c r="RDX160" s="719"/>
      <c r="RDY160" s="719"/>
      <c r="RDZ160" s="719"/>
      <c r="REA160" s="719"/>
      <c r="REB160" s="719"/>
      <c r="REC160" s="719"/>
      <c r="RED160" s="719"/>
      <c r="REE160" s="719"/>
      <c r="REF160" s="719"/>
      <c r="REG160" s="719"/>
      <c r="REH160" s="719"/>
      <c r="REI160" s="719"/>
      <c r="REJ160" s="719"/>
      <c r="REK160" s="719"/>
      <c r="REL160" s="719"/>
      <c r="REM160" s="719"/>
      <c r="REN160" s="719"/>
      <c r="REO160" s="719"/>
      <c r="REP160" s="719"/>
      <c r="REQ160" s="719"/>
      <c r="RER160" s="719"/>
      <c r="RES160" s="719"/>
      <c r="RET160" s="719"/>
      <c r="REU160" s="719"/>
      <c r="REV160" s="719"/>
      <c r="REW160" s="719"/>
      <c r="REX160" s="719"/>
      <c r="REY160" s="719"/>
      <c r="REZ160" s="719"/>
      <c r="RFA160" s="719"/>
      <c r="RFB160" s="719"/>
      <c r="RFC160" s="719"/>
      <c r="RFD160" s="719"/>
      <c r="RFE160" s="719"/>
      <c r="RFF160" s="719"/>
      <c r="RFG160" s="719"/>
      <c r="RFH160" s="719"/>
      <c r="RFI160" s="719"/>
      <c r="RFJ160" s="719"/>
      <c r="RFK160" s="719"/>
      <c r="RFL160" s="719"/>
      <c r="RFM160" s="719"/>
      <c r="RFN160" s="719"/>
      <c r="RFO160" s="719"/>
      <c r="RFP160" s="719"/>
      <c r="RFQ160" s="719"/>
      <c r="RFR160" s="719"/>
      <c r="RFS160" s="719"/>
      <c r="RFT160" s="719"/>
      <c r="RFU160" s="719"/>
      <c r="RFV160" s="719"/>
      <c r="RFW160" s="719"/>
      <c r="RFX160" s="719"/>
      <c r="RFY160" s="719"/>
      <c r="RFZ160" s="719"/>
      <c r="RGA160" s="719"/>
      <c r="RGB160" s="719"/>
      <c r="RGC160" s="719"/>
      <c r="RGD160" s="719"/>
      <c r="RGE160" s="719"/>
      <c r="RGF160" s="719"/>
      <c r="RGG160" s="719"/>
      <c r="RGH160" s="719"/>
      <c r="RGI160" s="719"/>
      <c r="RGJ160" s="719"/>
      <c r="RGK160" s="719"/>
      <c r="RGL160" s="719"/>
      <c r="RGM160" s="719"/>
      <c r="RGN160" s="719"/>
      <c r="RGO160" s="719"/>
      <c r="RGP160" s="719"/>
      <c r="RGQ160" s="719"/>
      <c r="RGR160" s="719"/>
      <c r="RGS160" s="719"/>
      <c r="RGT160" s="719"/>
      <c r="RGU160" s="719"/>
      <c r="RGV160" s="719"/>
      <c r="RGW160" s="719"/>
      <c r="RGX160" s="719"/>
      <c r="RGY160" s="719"/>
      <c r="RGZ160" s="719"/>
      <c r="RHA160" s="719"/>
      <c r="RHB160" s="719"/>
      <c r="RHC160" s="719"/>
      <c r="RHD160" s="719"/>
      <c r="RHE160" s="719"/>
      <c r="RHF160" s="719"/>
      <c r="RHG160" s="719"/>
      <c r="RHH160" s="719"/>
      <c r="RHI160" s="719"/>
      <c r="RHJ160" s="719"/>
      <c r="RHK160" s="719"/>
      <c r="RHL160" s="719"/>
      <c r="RHM160" s="719"/>
      <c r="RHN160" s="719"/>
      <c r="RHO160" s="719"/>
      <c r="RHP160" s="719"/>
      <c r="RHQ160" s="719"/>
      <c r="RHR160" s="719"/>
      <c r="RHS160" s="719"/>
      <c r="RHT160" s="719"/>
      <c r="RHU160" s="719"/>
      <c r="RHV160" s="719"/>
      <c r="RHW160" s="719"/>
      <c r="RHX160" s="719"/>
      <c r="RHY160" s="719"/>
      <c r="RHZ160" s="719"/>
      <c r="RIA160" s="719"/>
      <c r="RIB160" s="719"/>
      <c r="RIC160" s="719"/>
      <c r="RID160" s="719"/>
      <c r="RIE160" s="719"/>
      <c r="RIF160" s="719"/>
      <c r="RIG160" s="719"/>
      <c r="RIH160" s="719"/>
      <c r="RII160" s="719"/>
      <c r="RIJ160" s="719"/>
      <c r="RIK160" s="719"/>
      <c r="RIL160" s="719"/>
      <c r="RIM160" s="719"/>
      <c r="RIN160" s="719"/>
      <c r="RIO160" s="719"/>
      <c r="RIP160" s="719"/>
      <c r="RIQ160" s="719"/>
      <c r="RIR160" s="719"/>
      <c r="RIS160" s="719"/>
      <c r="RIT160" s="719"/>
      <c r="RIU160" s="719"/>
      <c r="RIV160" s="719"/>
      <c r="RIW160" s="719"/>
      <c r="RIX160" s="719"/>
      <c r="RIY160" s="719"/>
      <c r="RIZ160" s="719"/>
      <c r="RJA160" s="719"/>
      <c r="RJB160" s="719"/>
      <c r="RJC160" s="719"/>
      <c r="RJD160" s="719"/>
      <c r="RJE160" s="719"/>
      <c r="RJF160" s="719"/>
      <c r="RJG160" s="719"/>
      <c r="RJH160" s="719"/>
      <c r="RJI160" s="719"/>
      <c r="RJJ160" s="719"/>
      <c r="RJK160" s="719"/>
      <c r="RJL160" s="719"/>
      <c r="RJM160" s="719"/>
      <c r="RJN160" s="719"/>
      <c r="RJO160" s="719"/>
      <c r="RJP160" s="719"/>
      <c r="RJQ160" s="719"/>
      <c r="RJR160" s="719"/>
      <c r="RJS160" s="719"/>
      <c r="RJT160" s="719"/>
      <c r="RJU160" s="719"/>
      <c r="RJV160" s="719"/>
      <c r="RJW160" s="719"/>
      <c r="RJX160" s="719"/>
      <c r="RJY160" s="719"/>
      <c r="RJZ160" s="719"/>
      <c r="RKA160" s="719"/>
      <c r="RKB160" s="719"/>
      <c r="RKC160" s="719"/>
      <c r="RKD160" s="719"/>
      <c r="RKE160" s="719"/>
      <c r="RKF160" s="719"/>
      <c r="RKG160" s="719"/>
      <c r="RKH160" s="719"/>
      <c r="RKI160" s="719"/>
      <c r="RKJ160" s="719"/>
      <c r="RKK160" s="719"/>
      <c r="RKL160" s="719"/>
      <c r="RKM160" s="719"/>
      <c r="RKN160" s="719"/>
      <c r="RKO160" s="719"/>
      <c r="RKP160" s="719"/>
      <c r="RKQ160" s="719"/>
      <c r="RKR160" s="719"/>
      <c r="RKS160" s="719"/>
      <c r="RKT160" s="719"/>
      <c r="RKU160" s="719"/>
      <c r="RKV160" s="719"/>
      <c r="RKW160" s="719"/>
      <c r="RKX160" s="719"/>
      <c r="RKY160" s="719"/>
      <c r="RKZ160" s="719"/>
      <c r="RLA160" s="719"/>
      <c r="RLB160" s="719"/>
      <c r="RLC160" s="719"/>
      <c r="RLD160" s="719"/>
      <c r="RLE160" s="719"/>
      <c r="RLF160" s="719"/>
      <c r="RLG160" s="719"/>
      <c r="RLH160" s="719"/>
      <c r="RLI160" s="719"/>
      <c r="RLJ160" s="719"/>
      <c r="RLK160" s="719"/>
      <c r="RLL160" s="719"/>
      <c r="RLM160" s="719"/>
      <c r="RLN160" s="719"/>
      <c r="RLO160" s="719"/>
      <c r="RLP160" s="719"/>
      <c r="RLQ160" s="719"/>
      <c r="RLR160" s="719"/>
      <c r="RLS160" s="719"/>
      <c r="RLT160" s="719"/>
      <c r="RLU160" s="719"/>
      <c r="RLV160" s="719"/>
      <c r="RLW160" s="719"/>
      <c r="RLX160" s="719"/>
      <c r="RLY160" s="719"/>
      <c r="RLZ160" s="719"/>
      <c r="RMA160" s="719"/>
      <c r="RMB160" s="719"/>
      <c r="RMC160" s="719"/>
      <c r="RMD160" s="719"/>
      <c r="RME160" s="719"/>
      <c r="RMF160" s="719"/>
      <c r="RMG160" s="719"/>
      <c r="RMH160" s="719"/>
      <c r="RMI160" s="719"/>
      <c r="RMJ160" s="719"/>
      <c r="RMK160" s="719"/>
      <c r="RML160" s="719"/>
      <c r="RMM160" s="719"/>
      <c r="RMN160" s="719"/>
      <c r="RMO160" s="719"/>
      <c r="RMP160" s="719"/>
      <c r="RMQ160" s="719"/>
      <c r="RMR160" s="719"/>
      <c r="RMS160" s="719"/>
      <c r="RMT160" s="719"/>
      <c r="RMU160" s="719"/>
      <c r="RMV160" s="719"/>
      <c r="RMW160" s="719"/>
      <c r="RMX160" s="719"/>
      <c r="RMY160" s="719"/>
      <c r="RMZ160" s="719"/>
      <c r="RNA160" s="719"/>
      <c r="RNB160" s="719"/>
      <c r="RNC160" s="719"/>
      <c r="RND160" s="719"/>
      <c r="RNE160" s="719"/>
      <c r="RNF160" s="719"/>
      <c r="RNG160" s="719"/>
      <c r="RNH160" s="719"/>
      <c r="RNI160" s="719"/>
      <c r="RNJ160" s="719"/>
      <c r="RNK160" s="719"/>
      <c r="RNL160" s="719"/>
      <c r="RNM160" s="719"/>
      <c r="RNN160" s="719"/>
      <c r="RNO160" s="719"/>
      <c r="RNP160" s="719"/>
      <c r="RNQ160" s="719"/>
      <c r="RNR160" s="719"/>
      <c r="RNS160" s="719"/>
      <c r="RNT160" s="719"/>
      <c r="RNU160" s="719"/>
      <c r="RNV160" s="719"/>
      <c r="RNW160" s="719"/>
      <c r="RNX160" s="719"/>
      <c r="RNY160" s="719"/>
      <c r="RNZ160" s="719"/>
      <c r="ROA160" s="719"/>
      <c r="ROB160" s="719"/>
      <c r="ROC160" s="719"/>
      <c r="ROD160" s="719"/>
      <c r="ROE160" s="719"/>
      <c r="ROF160" s="719"/>
      <c r="ROG160" s="719"/>
      <c r="ROH160" s="719"/>
      <c r="ROI160" s="719"/>
      <c r="ROJ160" s="719"/>
      <c r="ROK160" s="719"/>
      <c r="ROL160" s="719"/>
      <c r="ROM160" s="719"/>
      <c r="RON160" s="719"/>
      <c r="ROO160" s="719"/>
      <c r="ROP160" s="719"/>
      <c r="ROQ160" s="719"/>
      <c r="ROR160" s="719"/>
      <c r="ROS160" s="719"/>
      <c r="ROT160" s="719"/>
      <c r="ROU160" s="719"/>
      <c r="ROV160" s="719"/>
      <c r="ROW160" s="719"/>
      <c r="ROX160" s="719"/>
      <c r="ROY160" s="719"/>
      <c r="ROZ160" s="719"/>
      <c r="RPA160" s="719"/>
      <c r="RPB160" s="719"/>
      <c r="RPC160" s="719"/>
      <c r="RPD160" s="719"/>
      <c r="RPE160" s="719"/>
      <c r="RPF160" s="719"/>
      <c r="RPG160" s="719"/>
      <c r="RPH160" s="719"/>
      <c r="RPI160" s="719"/>
      <c r="RPJ160" s="719"/>
      <c r="RPK160" s="719"/>
      <c r="RPL160" s="719"/>
      <c r="RPM160" s="719"/>
      <c r="RPN160" s="719"/>
      <c r="RPO160" s="719"/>
      <c r="RPP160" s="719"/>
      <c r="RPQ160" s="719"/>
      <c r="RPR160" s="719"/>
      <c r="RPS160" s="719"/>
      <c r="RPT160" s="719"/>
      <c r="RPU160" s="719"/>
      <c r="RPV160" s="719"/>
      <c r="RPW160" s="719"/>
      <c r="RPX160" s="719"/>
      <c r="RPY160" s="719"/>
      <c r="RPZ160" s="719"/>
      <c r="RQA160" s="719"/>
      <c r="RQB160" s="719"/>
      <c r="RQC160" s="719"/>
      <c r="RQD160" s="719"/>
      <c r="RQE160" s="719"/>
      <c r="RQF160" s="719"/>
      <c r="RQG160" s="719"/>
      <c r="RQH160" s="719"/>
      <c r="RQI160" s="719"/>
      <c r="RQJ160" s="719"/>
      <c r="RQK160" s="719"/>
      <c r="RQL160" s="719"/>
      <c r="RQM160" s="719"/>
      <c r="RQN160" s="719"/>
      <c r="RQO160" s="719"/>
      <c r="RQP160" s="719"/>
      <c r="RQQ160" s="719"/>
      <c r="RQR160" s="719"/>
      <c r="RQS160" s="719"/>
      <c r="RQT160" s="719"/>
      <c r="RQU160" s="719"/>
      <c r="RQV160" s="719"/>
      <c r="RQW160" s="719"/>
      <c r="RQX160" s="719"/>
      <c r="RQY160" s="719"/>
      <c r="RQZ160" s="719"/>
      <c r="RRA160" s="719"/>
      <c r="RRB160" s="719"/>
      <c r="RRC160" s="719"/>
      <c r="RRD160" s="719"/>
      <c r="RRE160" s="719"/>
      <c r="RRF160" s="719"/>
      <c r="RRG160" s="719"/>
      <c r="RRH160" s="719"/>
      <c r="RRI160" s="719"/>
      <c r="RRJ160" s="719"/>
      <c r="RRK160" s="719"/>
      <c r="RRL160" s="719"/>
      <c r="RRM160" s="719"/>
      <c r="RRN160" s="719"/>
      <c r="RRO160" s="719"/>
      <c r="RRP160" s="719"/>
      <c r="RRQ160" s="719"/>
      <c r="RRR160" s="719"/>
      <c r="RRS160" s="719"/>
      <c r="RRT160" s="719"/>
      <c r="RRU160" s="719"/>
      <c r="RRV160" s="719"/>
      <c r="RRW160" s="719"/>
      <c r="RRX160" s="719"/>
      <c r="RRY160" s="719"/>
      <c r="RRZ160" s="719"/>
      <c r="RSA160" s="719"/>
      <c r="RSB160" s="719"/>
      <c r="RSC160" s="719"/>
      <c r="RSD160" s="719"/>
      <c r="RSE160" s="719"/>
      <c r="RSF160" s="719"/>
      <c r="RSG160" s="719"/>
      <c r="RSH160" s="719"/>
      <c r="RSI160" s="719"/>
      <c r="RSJ160" s="719"/>
      <c r="RSK160" s="719"/>
      <c r="RSL160" s="719"/>
      <c r="RSM160" s="719"/>
      <c r="RSN160" s="719"/>
      <c r="RSO160" s="719"/>
      <c r="RSP160" s="719"/>
      <c r="RSQ160" s="719"/>
      <c r="RSR160" s="719"/>
      <c r="RSS160" s="719"/>
      <c r="RST160" s="719"/>
      <c r="RSU160" s="719"/>
      <c r="RSV160" s="719"/>
      <c r="RSW160" s="719"/>
      <c r="RSX160" s="719"/>
      <c r="RSY160" s="719"/>
      <c r="RSZ160" s="719"/>
      <c r="RTA160" s="719"/>
      <c r="RTB160" s="719"/>
      <c r="RTC160" s="719"/>
      <c r="RTD160" s="719"/>
      <c r="RTE160" s="719"/>
      <c r="RTF160" s="719"/>
      <c r="RTG160" s="719"/>
      <c r="RTH160" s="719"/>
      <c r="RTI160" s="719"/>
      <c r="RTJ160" s="719"/>
      <c r="RTK160" s="719"/>
      <c r="RTL160" s="719"/>
      <c r="RTM160" s="719"/>
      <c r="RTN160" s="719"/>
      <c r="RTO160" s="719"/>
      <c r="RTP160" s="719"/>
      <c r="RTQ160" s="719"/>
      <c r="RTR160" s="719"/>
      <c r="RTS160" s="719"/>
      <c r="RTT160" s="719"/>
      <c r="RTU160" s="719"/>
      <c r="RTV160" s="719"/>
      <c r="RTW160" s="719"/>
      <c r="RTX160" s="719"/>
      <c r="RTY160" s="719"/>
      <c r="RTZ160" s="719"/>
      <c r="RUA160" s="719"/>
      <c r="RUB160" s="719"/>
      <c r="RUC160" s="719"/>
      <c r="RUD160" s="719"/>
      <c r="RUE160" s="719"/>
      <c r="RUF160" s="719"/>
      <c r="RUG160" s="719"/>
      <c r="RUH160" s="719"/>
      <c r="RUI160" s="719"/>
      <c r="RUJ160" s="719"/>
      <c r="RUK160" s="719"/>
      <c r="RUL160" s="719"/>
      <c r="RUM160" s="719"/>
      <c r="RUN160" s="719"/>
      <c r="RUO160" s="719"/>
      <c r="RUP160" s="719"/>
      <c r="RUQ160" s="719"/>
      <c r="RUR160" s="719"/>
      <c r="RUS160" s="719"/>
      <c r="RUT160" s="719"/>
      <c r="RUU160" s="719"/>
      <c r="RUV160" s="719"/>
      <c r="RUW160" s="719"/>
      <c r="RUX160" s="719"/>
      <c r="RUY160" s="719"/>
      <c r="RUZ160" s="719"/>
      <c r="RVA160" s="719"/>
      <c r="RVB160" s="719"/>
      <c r="RVC160" s="719"/>
      <c r="RVD160" s="719"/>
      <c r="RVE160" s="719"/>
      <c r="RVF160" s="719"/>
      <c r="RVG160" s="719"/>
      <c r="RVH160" s="719"/>
      <c r="RVI160" s="719"/>
      <c r="RVJ160" s="719"/>
      <c r="RVK160" s="719"/>
      <c r="RVL160" s="719"/>
      <c r="RVM160" s="719"/>
      <c r="RVN160" s="719"/>
      <c r="RVO160" s="719"/>
      <c r="RVP160" s="719"/>
      <c r="RVQ160" s="719"/>
      <c r="RVR160" s="719"/>
      <c r="RVS160" s="719"/>
      <c r="RVT160" s="719"/>
      <c r="RVU160" s="719"/>
      <c r="RVV160" s="719"/>
      <c r="RVW160" s="719"/>
      <c r="RVX160" s="719"/>
      <c r="RVY160" s="719"/>
      <c r="RVZ160" s="719"/>
      <c r="RWA160" s="719"/>
      <c r="RWB160" s="719"/>
      <c r="RWC160" s="719"/>
      <c r="RWD160" s="719"/>
      <c r="RWE160" s="719"/>
      <c r="RWF160" s="719"/>
      <c r="RWG160" s="719"/>
      <c r="RWH160" s="719"/>
      <c r="RWI160" s="719"/>
      <c r="RWJ160" s="719"/>
      <c r="RWK160" s="719"/>
      <c r="RWL160" s="719"/>
      <c r="RWM160" s="719"/>
      <c r="RWN160" s="719"/>
      <c r="RWO160" s="719"/>
      <c r="RWP160" s="719"/>
      <c r="RWQ160" s="719"/>
      <c r="RWR160" s="719"/>
      <c r="RWS160" s="719"/>
      <c r="RWT160" s="719"/>
      <c r="RWU160" s="719"/>
      <c r="RWV160" s="719"/>
      <c r="RWW160" s="719"/>
      <c r="RWX160" s="719"/>
      <c r="RWY160" s="719"/>
      <c r="RWZ160" s="719"/>
      <c r="RXA160" s="719"/>
      <c r="RXB160" s="719"/>
      <c r="RXC160" s="719"/>
      <c r="RXD160" s="719"/>
      <c r="RXE160" s="719"/>
      <c r="RXF160" s="719"/>
      <c r="RXG160" s="719"/>
      <c r="RXH160" s="719"/>
      <c r="RXI160" s="719"/>
      <c r="RXJ160" s="719"/>
      <c r="RXK160" s="719"/>
      <c r="RXL160" s="719"/>
      <c r="RXM160" s="719"/>
      <c r="RXN160" s="719"/>
      <c r="RXO160" s="719"/>
      <c r="RXP160" s="719"/>
      <c r="RXQ160" s="719"/>
      <c r="RXR160" s="719"/>
      <c r="RXS160" s="719"/>
      <c r="RXT160" s="719"/>
      <c r="RXU160" s="719"/>
      <c r="RXV160" s="719"/>
      <c r="RXW160" s="719"/>
      <c r="RXX160" s="719"/>
      <c r="RXY160" s="719"/>
      <c r="RXZ160" s="719"/>
      <c r="RYA160" s="719"/>
      <c r="RYB160" s="719"/>
      <c r="RYC160" s="719"/>
      <c r="RYD160" s="719"/>
      <c r="RYE160" s="719"/>
      <c r="RYF160" s="719"/>
      <c r="RYG160" s="719"/>
      <c r="RYH160" s="719"/>
      <c r="RYI160" s="719"/>
      <c r="RYJ160" s="719"/>
      <c r="RYK160" s="719"/>
      <c r="RYL160" s="719"/>
      <c r="RYM160" s="719"/>
      <c r="RYN160" s="719"/>
      <c r="RYO160" s="719"/>
      <c r="RYP160" s="719"/>
      <c r="RYQ160" s="719"/>
      <c r="RYR160" s="719"/>
      <c r="RYS160" s="719"/>
      <c r="RYT160" s="719"/>
      <c r="RYU160" s="719"/>
      <c r="RYV160" s="719"/>
      <c r="RYW160" s="719"/>
      <c r="RYX160" s="719"/>
      <c r="RYY160" s="719"/>
      <c r="RYZ160" s="719"/>
      <c r="RZA160" s="719"/>
      <c r="RZB160" s="719"/>
      <c r="RZC160" s="719"/>
      <c r="RZD160" s="719"/>
      <c r="RZE160" s="719"/>
      <c r="RZF160" s="719"/>
      <c r="RZG160" s="719"/>
      <c r="RZH160" s="719"/>
      <c r="RZI160" s="719"/>
      <c r="RZJ160" s="719"/>
      <c r="RZK160" s="719"/>
      <c r="RZL160" s="719"/>
      <c r="RZM160" s="719"/>
      <c r="RZN160" s="719"/>
      <c r="RZO160" s="719"/>
      <c r="RZP160" s="719"/>
      <c r="RZQ160" s="719"/>
      <c r="RZR160" s="719"/>
      <c r="RZS160" s="719"/>
      <c r="RZT160" s="719"/>
      <c r="RZU160" s="719"/>
      <c r="RZV160" s="719"/>
      <c r="RZW160" s="719"/>
      <c r="RZX160" s="719"/>
      <c r="RZY160" s="719"/>
      <c r="RZZ160" s="719"/>
      <c r="SAA160" s="719"/>
      <c r="SAB160" s="719"/>
      <c r="SAC160" s="719"/>
      <c r="SAD160" s="719"/>
      <c r="SAE160" s="719"/>
      <c r="SAF160" s="719"/>
      <c r="SAG160" s="719"/>
      <c r="SAH160" s="719"/>
      <c r="SAI160" s="719"/>
      <c r="SAJ160" s="719"/>
      <c r="SAK160" s="719"/>
      <c r="SAL160" s="719"/>
      <c r="SAM160" s="719"/>
      <c r="SAN160" s="719"/>
      <c r="SAO160" s="719"/>
      <c r="SAP160" s="719"/>
      <c r="SAQ160" s="719"/>
      <c r="SAR160" s="719"/>
      <c r="SAS160" s="719"/>
      <c r="SAT160" s="719"/>
      <c r="SAU160" s="719"/>
      <c r="SAV160" s="719"/>
      <c r="SAW160" s="719"/>
      <c r="SAX160" s="719"/>
      <c r="SAY160" s="719"/>
      <c r="SAZ160" s="719"/>
      <c r="SBA160" s="719"/>
      <c r="SBB160" s="719"/>
      <c r="SBC160" s="719"/>
      <c r="SBD160" s="719"/>
      <c r="SBE160" s="719"/>
      <c r="SBF160" s="719"/>
      <c r="SBG160" s="719"/>
      <c r="SBH160" s="719"/>
      <c r="SBI160" s="719"/>
      <c r="SBJ160" s="719"/>
      <c r="SBK160" s="719"/>
      <c r="SBL160" s="719"/>
      <c r="SBM160" s="719"/>
      <c r="SBN160" s="719"/>
      <c r="SBO160" s="719"/>
      <c r="SBP160" s="719"/>
      <c r="SBQ160" s="719"/>
      <c r="SBR160" s="719"/>
      <c r="SBS160" s="719"/>
      <c r="SBT160" s="719"/>
      <c r="SBU160" s="719"/>
      <c r="SBV160" s="719"/>
      <c r="SBW160" s="719"/>
      <c r="SBX160" s="719"/>
      <c r="SBY160" s="719"/>
      <c r="SBZ160" s="719"/>
      <c r="SCA160" s="719"/>
      <c r="SCB160" s="719"/>
      <c r="SCC160" s="719"/>
      <c r="SCD160" s="719"/>
      <c r="SCE160" s="719"/>
      <c r="SCF160" s="719"/>
      <c r="SCG160" s="719"/>
      <c r="SCH160" s="719"/>
      <c r="SCI160" s="719"/>
      <c r="SCJ160" s="719"/>
      <c r="SCK160" s="719"/>
      <c r="SCL160" s="719"/>
      <c r="SCM160" s="719"/>
      <c r="SCN160" s="719"/>
      <c r="SCO160" s="719"/>
      <c r="SCP160" s="719"/>
      <c r="SCQ160" s="719"/>
      <c r="SCR160" s="719"/>
      <c r="SCS160" s="719"/>
      <c r="SCT160" s="719"/>
      <c r="SCU160" s="719"/>
      <c r="SCV160" s="719"/>
      <c r="SCW160" s="719"/>
      <c r="SCX160" s="719"/>
      <c r="SCY160" s="719"/>
      <c r="SCZ160" s="719"/>
      <c r="SDA160" s="719"/>
      <c r="SDB160" s="719"/>
      <c r="SDC160" s="719"/>
      <c r="SDD160" s="719"/>
      <c r="SDE160" s="719"/>
      <c r="SDF160" s="719"/>
      <c r="SDG160" s="719"/>
      <c r="SDH160" s="719"/>
      <c r="SDI160" s="719"/>
      <c r="SDJ160" s="719"/>
      <c r="SDK160" s="719"/>
      <c r="SDL160" s="719"/>
      <c r="SDM160" s="719"/>
      <c r="SDN160" s="719"/>
      <c r="SDO160" s="719"/>
      <c r="SDP160" s="719"/>
      <c r="SDQ160" s="719"/>
      <c r="SDR160" s="719"/>
      <c r="SDS160" s="719"/>
      <c r="SDT160" s="719"/>
      <c r="SDU160" s="719"/>
      <c r="SDV160" s="719"/>
      <c r="SDW160" s="719"/>
      <c r="SDX160" s="719"/>
      <c r="SDY160" s="719"/>
      <c r="SDZ160" s="719"/>
      <c r="SEA160" s="719"/>
      <c r="SEB160" s="719"/>
      <c r="SEC160" s="719"/>
      <c r="SED160" s="719"/>
      <c r="SEE160" s="719"/>
      <c r="SEF160" s="719"/>
      <c r="SEG160" s="719"/>
      <c r="SEH160" s="719"/>
      <c r="SEI160" s="719"/>
      <c r="SEJ160" s="719"/>
      <c r="SEK160" s="719"/>
      <c r="SEL160" s="719"/>
      <c r="SEM160" s="719"/>
      <c r="SEN160" s="719"/>
      <c r="SEO160" s="719"/>
      <c r="SEP160" s="719"/>
      <c r="SEQ160" s="719"/>
      <c r="SER160" s="719"/>
      <c r="SES160" s="719"/>
      <c r="SET160" s="719"/>
      <c r="SEU160" s="719"/>
      <c r="SEV160" s="719"/>
      <c r="SEW160" s="719"/>
      <c r="SEX160" s="719"/>
      <c r="SEY160" s="719"/>
      <c r="SEZ160" s="719"/>
      <c r="SFA160" s="719"/>
      <c r="SFB160" s="719"/>
      <c r="SFC160" s="719"/>
      <c r="SFD160" s="719"/>
      <c r="SFE160" s="719"/>
      <c r="SFF160" s="719"/>
      <c r="SFG160" s="719"/>
      <c r="SFH160" s="719"/>
      <c r="SFI160" s="719"/>
      <c r="SFJ160" s="719"/>
      <c r="SFK160" s="719"/>
      <c r="SFL160" s="719"/>
      <c r="SFM160" s="719"/>
      <c r="SFN160" s="719"/>
      <c r="SFO160" s="719"/>
      <c r="SFP160" s="719"/>
      <c r="SFQ160" s="719"/>
      <c r="SFR160" s="719"/>
      <c r="SFS160" s="719"/>
      <c r="SFT160" s="719"/>
      <c r="SFU160" s="719"/>
      <c r="SFV160" s="719"/>
      <c r="SFW160" s="719"/>
      <c r="SFX160" s="719"/>
      <c r="SFY160" s="719"/>
      <c r="SFZ160" s="719"/>
      <c r="SGA160" s="719"/>
      <c r="SGB160" s="719"/>
      <c r="SGC160" s="719"/>
      <c r="SGD160" s="719"/>
      <c r="SGE160" s="719"/>
      <c r="SGF160" s="719"/>
      <c r="SGG160" s="719"/>
      <c r="SGH160" s="719"/>
      <c r="SGI160" s="719"/>
      <c r="SGJ160" s="719"/>
      <c r="SGK160" s="719"/>
      <c r="SGL160" s="719"/>
      <c r="SGM160" s="719"/>
      <c r="SGN160" s="719"/>
      <c r="SGO160" s="719"/>
      <c r="SGP160" s="719"/>
      <c r="SGQ160" s="719"/>
      <c r="SGR160" s="719"/>
      <c r="SGS160" s="719"/>
      <c r="SGT160" s="719"/>
      <c r="SGU160" s="719"/>
      <c r="SGV160" s="719"/>
      <c r="SGW160" s="719"/>
      <c r="SGX160" s="719"/>
      <c r="SGY160" s="719"/>
      <c r="SGZ160" s="719"/>
      <c r="SHA160" s="719"/>
      <c r="SHB160" s="719"/>
      <c r="SHC160" s="719"/>
      <c r="SHD160" s="719"/>
      <c r="SHE160" s="719"/>
      <c r="SHF160" s="719"/>
      <c r="SHG160" s="719"/>
      <c r="SHH160" s="719"/>
      <c r="SHI160" s="719"/>
      <c r="SHJ160" s="719"/>
      <c r="SHK160" s="719"/>
      <c r="SHL160" s="719"/>
      <c r="SHM160" s="719"/>
      <c r="SHN160" s="719"/>
      <c r="SHO160" s="719"/>
      <c r="SHP160" s="719"/>
      <c r="SHQ160" s="719"/>
      <c r="SHR160" s="719"/>
      <c r="SHS160" s="719"/>
      <c r="SHT160" s="719"/>
      <c r="SHU160" s="719"/>
      <c r="SHV160" s="719"/>
      <c r="SHW160" s="719"/>
      <c r="SHX160" s="719"/>
      <c r="SHY160" s="719"/>
      <c r="SHZ160" s="719"/>
      <c r="SIA160" s="719"/>
      <c r="SIB160" s="719"/>
      <c r="SIC160" s="719"/>
      <c r="SID160" s="719"/>
      <c r="SIE160" s="719"/>
      <c r="SIF160" s="719"/>
      <c r="SIG160" s="719"/>
      <c r="SIH160" s="719"/>
      <c r="SII160" s="719"/>
      <c r="SIJ160" s="719"/>
      <c r="SIK160" s="719"/>
      <c r="SIL160" s="719"/>
      <c r="SIM160" s="719"/>
      <c r="SIN160" s="719"/>
      <c r="SIO160" s="719"/>
      <c r="SIP160" s="719"/>
      <c r="SIQ160" s="719"/>
      <c r="SIR160" s="719"/>
      <c r="SIS160" s="719"/>
      <c r="SIT160" s="719"/>
      <c r="SIU160" s="719"/>
      <c r="SIV160" s="719"/>
      <c r="SIW160" s="719"/>
      <c r="SIX160" s="719"/>
      <c r="SIY160" s="719"/>
      <c r="SIZ160" s="719"/>
      <c r="SJA160" s="719"/>
      <c r="SJB160" s="719"/>
      <c r="SJC160" s="719"/>
      <c r="SJD160" s="719"/>
      <c r="SJE160" s="719"/>
      <c r="SJF160" s="719"/>
      <c r="SJG160" s="719"/>
      <c r="SJH160" s="719"/>
      <c r="SJI160" s="719"/>
      <c r="SJJ160" s="719"/>
      <c r="SJK160" s="719"/>
      <c r="SJL160" s="719"/>
      <c r="SJM160" s="719"/>
      <c r="SJN160" s="719"/>
      <c r="SJO160" s="719"/>
      <c r="SJP160" s="719"/>
      <c r="SJQ160" s="719"/>
      <c r="SJR160" s="719"/>
      <c r="SJS160" s="719"/>
      <c r="SJT160" s="719"/>
      <c r="SJU160" s="719"/>
      <c r="SJV160" s="719"/>
      <c r="SJW160" s="719"/>
      <c r="SJX160" s="719"/>
      <c r="SJY160" s="719"/>
      <c r="SJZ160" s="719"/>
      <c r="SKA160" s="719"/>
      <c r="SKB160" s="719"/>
      <c r="SKC160" s="719"/>
      <c r="SKD160" s="719"/>
      <c r="SKE160" s="719"/>
      <c r="SKF160" s="719"/>
      <c r="SKG160" s="719"/>
      <c r="SKH160" s="719"/>
      <c r="SKI160" s="719"/>
      <c r="SKJ160" s="719"/>
      <c r="SKK160" s="719"/>
      <c r="SKL160" s="719"/>
      <c r="SKM160" s="719"/>
      <c r="SKN160" s="719"/>
      <c r="SKO160" s="719"/>
      <c r="SKP160" s="719"/>
      <c r="SKQ160" s="719"/>
      <c r="SKR160" s="719"/>
      <c r="SKS160" s="719"/>
      <c r="SKT160" s="719"/>
      <c r="SKU160" s="719"/>
      <c r="SKV160" s="719"/>
      <c r="SKW160" s="719"/>
      <c r="SKX160" s="719"/>
      <c r="SKY160" s="719"/>
      <c r="SKZ160" s="719"/>
      <c r="SLA160" s="719"/>
      <c r="SLB160" s="719"/>
      <c r="SLC160" s="719"/>
      <c r="SLD160" s="719"/>
      <c r="SLE160" s="719"/>
      <c r="SLF160" s="719"/>
      <c r="SLG160" s="719"/>
      <c r="SLH160" s="719"/>
      <c r="SLI160" s="719"/>
      <c r="SLJ160" s="719"/>
      <c r="SLK160" s="719"/>
      <c r="SLL160" s="719"/>
      <c r="SLM160" s="719"/>
      <c r="SLN160" s="719"/>
      <c r="SLO160" s="719"/>
      <c r="SLP160" s="719"/>
      <c r="SLQ160" s="719"/>
      <c r="SLR160" s="719"/>
      <c r="SLS160" s="719"/>
      <c r="SLT160" s="719"/>
      <c r="SLU160" s="719"/>
      <c r="SLV160" s="719"/>
      <c r="SLW160" s="719"/>
      <c r="SLX160" s="719"/>
      <c r="SLY160" s="719"/>
      <c r="SLZ160" s="719"/>
      <c r="SMA160" s="719"/>
      <c r="SMB160" s="719"/>
      <c r="SMC160" s="719"/>
      <c r="SMD160" s="719"/>
      <c r="SME160" s="719"/>
      <c r="SMF160" s="719"/>
      <c r="SMG160" s="719"/>
      <c r="SMH160" s="719"/>
      <c r="SMI160" s="719"/>
      <c r="SMJ160" s="719"/>
      <c r="SMK160" s="719"/>
      <c r="SML160" s="719"/>
      <c r="SMM160" s="719"/>
      <c r="SMN160" s="719"/>
      <c r="SMO160" s="719"/>
      <c r="SMP160" s="719"/>
      <c r="SMQ160" s="719"/>
      <c r="SMR160" s="719"/>
      <c r="SMS160" s="719"/>
      <c r="SMT160" s="719"/>
      <c r="SMU160" s="719"/>
      <c r="SMV160" s="719"/>
      <c r="SMW160" s="719"/>
      <c r="SMX160" s="719"/>
      <c r="SMY160" s="719"/>
      <c r="SMZ160" s="719"/>
      <c r="SNA160" s="719"/>
      <c r="SNB160" s="719"/>
      <c r="SNC160" s="719"/>
      <c r="SND160" s="719"/>
      <c r="SNE160" s="719"/>
      <c r="SNF160" s="719"/>
      <c r="SNG160" s="719"/>
      <c r="SNH160" s="719"/>
      <c r="SNI160" s="719"/>
      <c r="SNJ160" s="719"/>
      <c r="SNK160" s="719"/>
      <c r="SNL160" s="719"/>
      <c r="SNM160" s="719"/>
      <c r="SNN160" s="719"/>
      <c r="SNO160" s="719"/>
      <c r="SNP160" s="719"/>
      <c r="SNQ160" s="719"/>
      <c r="SNR160" s="719"/>
      <c r="SNS160" s="719"/>
      <c r="SNT160" s="719"/>
      <c r="SNU160" s="719"/>
      <c r="SNV160" s="719"/>
      <c r="SNW160" s="719"/>
      <c r="SNX160" s="719"/>
      <c r="SNY160" s="719"/>
      <c r="SNZ160" s="719"/>
      <c r="SOA160" s="719"/>
      <c r="SOB160" s="719"/>
      <c r="SOC160" s="719"/>
      <c r="SOD160" s="719"/>
      <c r="SOE160" s="719"/>
      <c r="SOF160" s="719"/>
      <c r="SOG160" s="719"/>
      <c r="SOH160" s="719"/>
      <c r="SOI160" s="719"/>
      <c r="SOJ160" s="719"/>
      <c r="SOK160" s="719"/>
      <c r="SOL160" s="719"/>
      <c r="SOM160" s="719"/>
      <c r="SON160" s="719"/>
      <c r="SOO160" s="719"/>
      <c r="SOP160" s="719"/>
      <c r="SOQ160" s="719"/>
      <c r="SOR160" s="719"/>
      <c r="SOS160" s="719"/>
      <c r="SOT160" s="719"/>
      <c r="SOU160" s="719"/>
      <c r="SOV160" s="719"/>
      <c r="SOW160" s="719"/>
      <c r="SOX160" s="719"/>
      <c r="SOY160" s="719"/>
      <c r="SOZ160" s="719"/>
      <c r="SPA160" s="719"/>
      <c r="SPB160" s="719"/>
      <c r="SPC160" s="719"/>
      <c r="SPD160" s="719"/>
      <c r="SPE160" s="719"/>
      <c r="SPF160" s="719"/>
      <c r="SPG160" s="719"/>
      <c r="SPH160" s="719"/>
      <c r="SPI160" s="719"/>
      <c r="SPJ160" s="719"/>
      <c r="SPK160" s="719"/>
      <c r="SPL160" s="719"/>
      <c r="SPM160" s="719"/>
      <c r="SPN160" s="719"/>
      <c r="SPO160" s="719"/>
      <c r="SPP160" s="719"/>
      <c r="SPQ160" s="719"/>
      <c r="SPR160" s="719"/>
      <c r="SPS160" s="719"/>
      <c r="SPT160" s="719"/>
      <c r="SPU160" s="719"/>
      <c r="SPV160" s="719"/>
      <c r="SPW160" s="719"/>
      <c r="SPX160" s="719"/>
      <c r="SPY160" s="719"/>
      <c r="SPZ160" s="719"/>
      <c r="SQA160" s="719"/>
      <c r="SQB160" s="719"/>
      <c r="SQC160" s="719"/>
      <c r="SQD160" s="719"/>
      <c r="SQE160" s="719"/>
      <c r="SQF160" s="719"/>
      <c r="SQG160" s="719"/>
      <c r="SQH160" s="719"/>
      <c r="SQI160" s="719"/>
      <c r="SQJ160" s="719"/>
      <c r="SQK160" s="719"/>
      <c r="SQL160" s="719"/>
      <c r="SQM160" s="719"/>
      <c r="SQN160" s="719"/>
      <c r="SQO160" s="719"/>
      <c r="SQP160" s="719"/>
      <c r="SQQ160" s="719"/>
      <c r="SQR160" s="719"/>
      <c r="SQS160" s="719"/>
      <c r="SQT160" s="719"/>
      <c r="SQU160" s="719"/>
      <c r="SQV160" s="719"/>
      <c r="SQW160" s="719"/>
      <c r="SQX160" s="719"/>
      <c r="SQY160" s="719"/>
      <c r="SQZ160" s="719"/>
      <c r="SRA160" s="719"/>
      <c r="SRB160" s="719"/>
      <c r="SRC160" s="719"/>
      <c r="SRD160" s="719"/>
      <c r="SRE160" s="719"/>
      <c r="SRF160" s="719"/>
      <c r="SRG160" s="719"/>
      <c r="SRH160" s="719"/>
      <c r="SRI160" s="719"/>
      <c r="SRJ160" s="719"/>
      <c r="SRK160" s="719"/>
      <c r="SRL160" s="719"/>
      <c r="SRM160" s="719"/>
      <c r="SRN160" s="719"/>
      <c r="SRO160" s="719"/>
      <c r="SRP160" s="719"/>
      <c r="SRQ160" s="719"/>
      <c r="SRR160" s="719"/>
      <c r="SRS160" s="719"/>
      <c r="SRT160" s="719"/>
      <c r="SRU160" s="719"/>
      <c r="SRV160" s="719"/>
      <c r="SRW160" s="719"/>
      <c r="SRX160" s="719"/>
      <c r="SRY160" s="719"/>
      <c r="SRZ160" s="719"/>
      <c r="SSA160" s="719"/>
      <c r="SSB160" s="719"/>
      <c r="SSC160" s="719"/>
      <c r="SSD160" s="719"/>
      <c r="SSE160" s="719"/>
      <c r="SSF160" s="719"/>
      <c r="SSG160" s="719"/>
      <c r="SSH160" s="719"/>
      <c r="SSI160" s="719"/>
      <c r="SSJ160" s="719"/>
      <c r="SSK160" s="719"/>
      <c r="SSL160" s="719"/>
      <c r="SSM160" s="719"/>
      <c r="SSN160" s="719"/>
      <c r="SSO160" s="719"/>
      <c r="SSP160" s="719"/>
      <c r="SSQ160" s="719"/>
      <c r="SSR160" s="719"/>
      <c r="SSS160" s="719"/>
      <c r="SST160" s="719"/>
      <c r="SSU160" s="719"/>
      <c r="SSV160" s="719"/>
      <c r="SSW160" s="719"/>
      <c r="SSX160" s="719"/>
      <c r="SSY160" s="719"/>
      <c r="SSZ160" s="719"/>
      <c r="STA160" s="719"/>
      <c r="STB160" s="719"/>
      <c r="STC160" s="719"/>
      <c r="STD160" s="719"/>
      <c r="STE160" s="719"/>
      <c r="STF160" s="719"/>
      <c r="STG160" s="719"/>
      <c r="STH160" s="719"/>
      <c r="STI160" s="719"/>
      <c r="STJ160" s="719"/>
      <c r="STK160" s="719"/>
      <c r="STL160" s="719"/>
      <c r="STM160" s="719"/>
      <c r="STN160" s="719"/>
      <c r="STO160" s="719"/>
      <c r="STP160" s="719"/>
      <c r="STQ160" s="719"/>
      <c r="STR160" s="719"/>
      <c r="STS160" s="719"/>
      <c r="STT160" s="719"/>
      <c r="STU160" s="719"/>
      <c r="STV160" s="719"/>
      <c r="STW160" s="719"/>
      <c r="STX160" s="719"/>
      <c r="STY160" s="719"/>
      <c r="STZ160" s="719"/>
      <c r="SUA160" s="719"/>
      <c r="SUB160" s="719"/>
      <c r="SUC160" s="719"/>
      <c r="SUD160" s="719"/>
      <c r="SUE160" s="719"/>
      <c r="SUF160" s="719"/>
      <c r="SUG160" s="719"/>
      <c r="SUH160" s="719"/>
      <c r="SUI160" s="719"/>
      <c r="SUJ160" s="719"/>
      <c r="SUK160" s="719"/>
      <c r="SUL160" s="719"/>
      <c r="SUM160" s="719"/>
      <c r="SUN160" s="719"/>
      <c r="SUO160" s="719"/>
      <c r="SUP160" s="719"/>
      <c r="SUQ160" s="719"/>
      <c r="SUR160" s="719"/>
      <c r="SUS160" s="719"/>
      <c r="SUT160" s="719"/>
      <c r="SUU160" s="719"/>
      <c r="SUV160" s="719"/>
      <c r="SUW160" s="719"/>
      <c r="SUX160" s="719"/>
      <c r="SUY160" s="719"/>
      <c r="SUZ160" s="719"/>
      <c r="SVA160" s="719"/>
      <c r="SVB160" s="719"/>
      <c r="SVC160" s="719"/>
      <c r="SVD160" s="719"/>
      <c r="SVE160" s="719"/>
      <c r="SVF160" s="719"/>
      <c r="SVG160" s="719"/>
      <c r="SVH160" s="719"/>
      <c r="SVI160" s="719"/>
      <c r="SVJ160" s="719"/>
      <c r="SVK160" s="719"/>
      <c r="SVL160" s="719"/>
      <c r="SVM160" s="719"/>
      <c r="SVN160" s="719"/>
      <c r="SVO160" s="719"/>
      <c r="SVP160" s="719"/>
      <c r="SVQ160" s="719"/>
      <c r="SVR160" s="719"/>
      <c r="SVS160" s="719"/>
      <c r="SVT160" s="719"/>
      <c r="SVU160" s="719"/>
      <c r="SVV160" s="719"/>
      <c r="SVW160" s="719"/>
      <c r="SVX160" s="719"/>
      <c r="SVY160" s="719"/>
      <c r="SVZ160" s="719"/>
      <c r="SWA160" s="719"/>
      <c r="SWB160" s="719"/>
      <c r="SWC160" s="719"/>
      <c r="SWD160" s="719"/>
      <c r="SWE160" s="719"/>
      <c r="SWF160" s="719"/>
      <c r="SWG160" s="719"/>
      <c r="SWH160" s="719"/>
      <c r="SWI160" s="719"/>
      <c r="SWJ160" s="719"/>
      <c r="SWK160" s="719"/>
      <c r="SWL160" s="719"/>
      <c r="SWM160" s="719"/>
      <c r="SWN160" s="719"/>
      <c r="SWO160" s="719"/>
      <c r="SWP160" s="719"/>
      <c r="SWQ160" s="719"/>
      <c r="SWR160" s="719"/>
      <c r="SWS160" s="719"/>
      <c r="SWT160" s="719"/>
      <c r="SWU160" s="719"/>
      <c r="SWV160" s="719"/>
      <c r="SWW160" s="719"/>
      <c r="SWX160" s="719"/>
      <c r="SWY160" s="719"/>
      <c r="SWZ160" s="719"/>
      <c r="SXA160" s="719"/>
      <c r="SXB160" s="719"/>
      <c r="SXC160" s="719"/>
      <c r="SXD160" s="719"/>
      <c r="SXE160" s="719"/>
      <c r="SXF160" s="719"/>
      <c r="SXG160" s="719"/>
      <c r="SXH160" s="719"/>
      <c r="SXI160" s="719"/>
      <c r="SXJ160" s="719"/>
      <c r="SXK160" s="719"/>
      <c r="SXL160" s="719"/>
      <c r="SXM160" s="719"/>
      <c r="SXN160" s="719"/>
      <c r="SXO160" s="719"/>
      <c r="SXP160" s="719"/>
      <c r="SXQ160" s="719"/>
      <c r="SXR160" s="719"/>
      <c r="SXS160" s="719"/>
      <c r="SXT160" s="719"/>
      <c r="SXU160" s="719"/>
      <c r="SXV160" s="719"/>
      <c r="SXW160" s="719"/>
      <c r="SXX160" s="719"/>
      <c r="SXY160" s="719"/>
      <c r="SXZ160" s="719"/>
      <c r="SYA160" s="719"/>
      <c r="SYB160" s="719"/>
      <c r="SYC160" s="719"/>
      <c r="SYD160" s="719"/>
      <c r="SYE160" s="719"/>
      <c r="SYF160" s="719"/>
      <c r="SYG160" s="719"/>
      <c r="SYH160" s="719"/>
      <c r="SYI160" s="719"/>
      <c r="SYJ160" s="719"/>
      <c r="SYK160" s="719"/>
      <c r="SYL160" s="719"/>
      <c r="SYM160" s="719"/>
      <c r="SYN160" s="719"/>
      <c r="SYO160" s="719"/>
      <c r="SYP160" s="719"/>
      <c r="SYQ160" s="719"/>
      <c r="SYR160" s="719"/>
      <c r="SYS160" s="719"/>
      <c r="SYT160" s="719"/>
      <c r="SYU160" s="719"/>
      <c r="SYV160" s="719"/>
      <c r="SYW160" s="719"/>
      <c r="SYX160" s="719"/>
      <c r="SYY160" s="719"/>
      <c r="SYZ160" s="719"/>
      <c r="SZA160" s="719"/>
      <c r="SZB160" s="719"/>
      <c r="SZC160" s="719"/>
      <c r="SZD160" s="719"/>
      <c r="SZE160" s="719"/>
      <c r="SZF160" s="719"/>
      <c r="SZG160" s="719"/>
      <c r="SZH160" s="719"/>
      <c r="SZI160" s="719"/>
      <c r="SZJ160" s="719"/>
      <c r="SZK160" s="719"/>
      <c r="SZL160" s="719"/>
      <c r="SZM160" s="719"/>
      <c r="SZN160" s="719"/>
      <c r="SZO160" s="719"/>
      <c r="SZP160" s="719"/>
      <c r="SZQ160" s="719"/>
      <c r="SZR160" s="719"/>
      <c r="SZS160" s="719"/>
      <c r="SZT160" s="719"/>
      <c r="SZU160" s="719"/>
      <c r="SZV160" s="719"/>
      <c r="SZW160" s="719"/>
      <c r="SZX160" s="719"/>
      <c r="SZY160" s="719"/>
      <c r="SZZ160" s="719"/>
      <c r="TAA160" s="719"/>
      <c r="TAB160" s="719"/>
      <c r="TAC160" s="719"/>
      <c r="TAD160" s="719"/>
      <c r="TAE160" s="719"/>
      <c r="TAF160" s="719"/>
      <c r="TAG160" s="719"/>
      <c r="TAH160" s="719"/>
      <c r="TAI160" s="719"/>
      <c r="TAJ160" s="719"/>
      <c r="TAK160" s="719"/>
      <c r="TAL160" s="719"/>
      <c r="TAM160" s="719"/>
      <c r="TAN160" s="719"/>
      <c r="TAO160" s="719"/>
      <c r="TAP160" s="719"/>
      <c r="TAQ160" s="719"/>
      <c r="TAR160" s="719"/>
      <c r="TAS160" s="719"/>
      <c r="TAT160" s="719"/>
      <c r="TAU160" s="719"/>
      <c r="TAV160" s="719"/>
      <c r="TAW160" s="719"/>
      <c r="TAX160" s="719"/>
      <c r="TAY160" s="719"/>
      <c r="TAZ160" s="719"/>
      <c r="TBA160" s="719"/>
      <c r="TBB160" s="719"/>
      <c r="TBC160" s="719"/>
      <c r="TBD160" s="719"/>
      <c r="TBE160" s="719"/>
      <c r="TBF160" s="719"/>
      <c r="TBG160" s="719"/>
      <c r="TBH160" s="719"/>
      <c r="TBI160" s="719"/>
      <c r="TBJ160" s="719"/>
      <c r="TBK160" s="719"/>
      <c r="TBL160" s="719"/>
      <c r="TBM160" s="719"/>
      <c r="TBN160" s="719"/>
      <c r="TBO160" s="719"/>
      <c r="TBP160" s="719"/>
      <c r="TBQ160" s="719"/>
      <c r="TBR160" s="719"/>
      <c r="TBS160" s="719"/>
      <c r="TBT160" s="719"/>
      <c r="TBU160" s="719"/>
      <c r="TBV160" s="719"/>
      <c r="TBW160" s="719"/>
      <c r="TBX160" s="719"/>
      <c r="TBY160" s="719"/>
      <c r="TBZ160" s="719"/>
      <c r="TCA160" s="719"/>
      <c r="TCB160" s="719"/>
      <c r="TCC160" s="719"/>
      <c r="TCD160" s="719"/>
      <c r="TCE160" s="719"/>
      <c r="TCF160" s="719"/>
      <c r="TCG160" s="719"/>
      <c r="TCH160" s="719"/>
      <c r="TCI160" s="719"/>
      <c r="TCJ160" s="719"/>
      <c r="TCK160" s="719"/>
      <c r="TCL160" s="719"/>
      <c r="TCM160" s="719"/>
      <c r="TCN160" s="719"/>
      <c r="TCO160" s="719"/>
      <c r="TCP160" s="719"/>
      <c r="TCQ160" s="719"/>
      <c r="TCR160" s="719"/>
      <c r="TCS160" s="719"/>
      <c r="TCT160" s="719"/>
      <c r="TCU160" s="719"/>
      <c r="TCV160" s="719"/>
      <c r="TCW160" s="719"/>
      <c r="TCX160" s="719"/>
      <c r="TCY160" s="719"/>
      <c r="TCZ160" s="719"/>
      <c r="TDA160" s="719"/>
      <c r="TDB160" s="719"/>
      <c r="TDC160" s="719"/>
      <c r="TDD160" s="719"/>
      <c r="TDE160" s="719"/>
      <c r="TDF160" s="719"/>
      <c r="TDG160" s="719"/>
      <c r="TDH160" s="719"/>
      <c r="TDI160" s="719"/>
      <c r="TDJ160" s="719"/>
      <c r="TDK160" s="719"/>
      <c r="TDL160" s="719"/>
      <c r="TDM160" s="719"/>
      <c r="TDN160" s="719"/>
      <c r="TDO160" s="719"/>
      <c r="TDP160" s="719"/>
      <c r="TDQ160" s="719"/>
      <c r="TDR160" s="719"/>
      <c r="TDS160" s="719"/>
      <c r="TDT160" s="719"/>
      <c r="TDU160" s="719"/>
      <c r="TDV160" s="719"/>
      <c r="TDW160" s="719"/>
      <c r="TDX160" s="719"/>
      <c r="TDY160" s="719"/>
      <c r="TDZ160" s="719"/>
      <c r="TEA160" s="719"/>
      <c r="TEB160" s="719"/>
      <c r="TEC160" s="719"/>
      <c r="TED160" s="719"/>
      <c r="TEE160" s="719"/>
      <c r="TEF160" s="719"/>
      <c r="TEG160" s="719"/>
      <c r="TEH160" s="719"/>
      <c r="TEI160" s="719"/>
      <c r="TEJ160" s="719"/>
      <c r="TEK160" s="719"/>
      <c r="TEL160" s="719"/>
      <c r="TEM160" s="719"/>
      <c r="TEN160" s="719"/>
      <c r="TEO160" s="719"/>
      <c r="TEP160" s="719"/>
      <c r="TEQ160" s="719"/>
      <c r="TER160" s="719"/>
      <c r="TES160" s="719"/>
      <c r="TET160" s="719"/>
      <c r="TEU160" s="719"/>
      <c r="TEV160" s="719"/>
      <c r="TEW160" s="719"/>
      <c r="TEX160" s="719"/>
      <c r="TEY160" s="719"/>
      <c r="TEZ160" s="719"/>
      <c r="TFA160" s="719"/>
      <c r="TFB160" s="719"/>
      <c r="TFC160" s="719"/>
      <c r="TFD160" s="719"/>
      <c r="TFE160" s="719"/>
      <c r="TFF160" s="719"/>
      <c r="TFG160" s="719"/>
      <c r="TFH160" s="719"/>
      <c r="TFI160" s="719"/>
      <c r="TFJ160" s="719"/>
      <c r="TFK160" s="719"/>
      <c r="TFL160" s="719"/>
      <c r="TFM160" s="719"/>
      <c r="TFN160" s="719"/>
      <c r="TFO160" s="719"/>
      <c r="TFP160" s="719"/>
      <c r="TFQ160" s="719"/>
      <c r="TFR160" s="719"/>
      <c r="TFS160" s="719"/>
      <c r="TFT160" s="719"/>
      <c r="TFU160" s="719"/>
      <c r="TFV160" s="719"/>
      <c r="TFW160" s="719"/>
      <c r="TFX160" s="719"/>
      <c r="TFY160" s="719"/>
      <c r="TFZ160" s="719"/>
      <c r="TGA160" s="719"/>
      <c r="TGB160" s="719"/>
      <c r="TGC160" s="719"/>
      <c r="TGD160" s="719"/>
      <c r="TGE160" s="719"/>
      <c r="TGF160" s="719"/>
      <c r="TGG160" s="719"/>
      <c r="TGH160" s="719"/>
      <c r="TGI160" s="719"/>
      <c r="TGJ160" s="719"/>
      <c r="TGK160" s="719"/>
      <c r="TGL160" s="719"/>
      <c r="TGM160" s="719"/>
      <c r="TGN160" s="719"/>
      <c r="TGO160" s="719"/>
      <c r="TGP160" s="719"/>
      <c r="TGQ160" s="719"/>
      <c r="TGR160" s="719"/>
      <c r="TGS160" s="719"/>
      <c r="TGT160" s="719"/>
      <c r="TGU160" s="719"/>
      <c r="TGV160" s="719"/>
      <c r="TGW160" s="719"/>
      <c r="TGX160" s="719"/>
      <c r="TGY160" s="719"/>
      <c r="TGZ160" s="719"/>
      <c r="THA160" s="719"/>
      <c r="THB160" s="719"/>
      <c r="THC160" s="719"/>
      <c r="THD160" s="719"/>
      <c r="THE160" s="719"/>
      <c r="THF160" s="719"/>
      <c r="THG160" s="719"/>
      <c r="THH160" s="719"/>
      <c r="THI160" s="719"/>
      <c r="THJ160" s="719"/>
      <c r="THK160" s="719"/>
      <c r="THL160" s="719"/>
      <c r="THM160" s="719"/>
      <c r="THN160" s="719"/>
      <c r="THO160" s="719"/>
      <c r="THP160" s="719"/>
      <c r="THQ160" s="719"/>
      <c r="THR160" s="719"/>
      <c r="THS160" s="719"/>
      <c r="THT160" s="719"/>
      <c r="THU160" s="719"/>
      <c r="THV160" s="719"/>
      <c r="THW160" s="719"/>
      <c r="THX160" s="719"/>
      <c r="THY160" s="719"/>
      <c r="THZ160" s="719"/>
      <c r="TIA160" s="719"/>
      <c r="TIB160" s="719"/>
      <c r="TIC160" s="719"/>
      <c r="TID160" s="719"/>
      <c r="TIE160" s="719"/>
      <c r="TIF160" s="719"/>
      <c r="TIG160" s="719"/>
      <c r="TIH160" s="719"/>
      <c r="TII160" s="719"/>
      <c r="TIJ160" s="719"/>
      <c r="TIK160" s="719"/>
      <c r="TIL160" s="719"/>
      <c r="TIM160" s="719"/>
      <c r="TIN160" s="719"/>
      <c r="TIO160" s="719"/>
      <c r="TIP160" s="719"/>
      <c r="TIQ160" s="719"/>
      <c r="TIR160" s="719"/>
      <c r="TIS160" s="719"/>
      <c r="TIT160" s="719"/>
      <c r="TIU160" s="719"/>
      <c r="TIV160" s="719"/>
      <c r="TIW160" s="719"/>
      <c r="TIX160" s="719"/>
      <c r="TIY160" s="719"/>
      <c r="TIZ160" s="719"/>
      <c r="TJA160" s="719"/>
      <c r="TJB160" s="719"/>
      <c r="TJC160" s="719"/>
      <c r="TJD160" s="719"/>
      <c r="TJE160" s="719"/>
      <c r="TJF160" s="719"/>
      <c r="TJG160" s="719"/>
      <c r="TJH160" s="719"/>
      <c r="TJI160" s="719"/>
      <c r="TJJ160" s="719"/>
      <c r="TJK160" s="719"/>
      <c r="TJL160" s="719"/>
      <c r="TJM160" s="719"/>
      <c r="TJN160" s="719"/>
      <c r="TJO160" s="719"/>
      <c r="TJP160" s="719"/>
      <c r="TJQ160" s="719"/>
      <c r="TJR160" s="719"/>
      <c r="TJS160" s="719"/>
      <c r="TJT160" s="719"/>
      <c r="TJU160" s="719"/>
      <c r="TJV160" s="719"/>
      <c r="TJW160" s="719"/>
      <c r="TJX160" s="719"/>
      <c r="TJY160" s="719"/>
      <c r="TJZ160" s="719"/>
      <c r="TKA160" s="719"/>
      <c r="TKB160" s="719"/>
      <c r="TKC160" s="719"/>
      <c r="TKD160" s="719"/>
      <c r="TKE160" s="719"/>
      <c r="TKF160" s="719"/>
      <c r="TKG160" s="719"/>
      <c r="TKH160" s="719"/>
      <c r="TKI160" s="719"/>
      <c r="TKJ160" s="719"/>
      <c r="TKK160" s="719"/>
      <c r="TKL160" s="719"/>
      <c r="TKM160" s="719"/>
      <c r="TKN160" s="719"/>
      <c r="TKO160" s="719"/>
      <c r="TKP160" s="719"/>
      <c r="TKQ160" s="719"/>
      <c r="TKR160" s="719"/>
      <c r="TKS160" s="719"/>
      <c r="TKT160" s="719"/>
      <c r="TKU160" s="719"/>
      <c r="TKV160" s="719"/>
      <c r="TKW160" s="719"/>
      <c r="TKX160" s="719"/>
      <c r="TKY160" s="719"/>
      <c r="TKZ160" s="719"/>
      <c r="TLA160" s="719"/>
      <c r="TLB160" s="719"/>
      <c r="TLC160" s="719"/>
      <c r="TLD160" s="719"/>
      <c r="TLE160" s="719"/>
      <c r="TLF160" s="719"/>
      <c r="TLG160" s="719"/>
      <c r="TLH160" s="719"/>
      <c r="TLI160" s="719"/>
      <c r="TLJ160" s="719"/>
      <c r="TLK160" s="719"/>
      <c r="TLL160" s="719"/>
      <c r="TLM160" s="719"/>
      <c r="TLN160" s="719"/>
      <c r="TLO160" s="719"/>
      <c r="TLP160" s="719"/>
      <c r="TLQ160" s="719"/>
      <c r="TLR160" s="719"/>
      <c r="TLS160" s="719"/>
      <c r="TLT160" s="719"/>
      <c r="TLU160" s="719"/>
      <c r="TLV160" s="719"/>
      <c r="TLW160" s="719"/>
      <c r="TLX160" s="719"/>
      <c r="TLY160" s="719"/>
      <c r="TLZ160" s="719"/>
      <c r="TMA160" s="719"/>
      <c r="TMB160" s="719"/>
      <c r="TMC160" s="719"/>
      <c r="TMD160" s="719"/>
      <c r="TME160" s="719"/>
      <c r="TMF160" s="719"/>
      <c r="TMG160" s="719"/>
      <c r="TMH160" s="719"/>
      <c r="TMI160" s="719"/>
      <c r="TMJ160" s="719"/>
      <c r="TMK160" s="719"/>
      <c r="TML160" s="719"/>
      <c r="TMM160" s="719"/>
      <c r="TMN160" s="719"/>
      <c r="TMO160" s="719"/>
      <c r="TMP160" s="719"/>
      <c r="TMQ160" s="719"/>
      <c r="TMR160" s="719"/>
      <c r="TMS160" s="719"/>
      <c r="TMT160" s="719"/>
      <c r="TMU160" s="719"/>
      <c r="TMV160" s="719"/>
      <c r="TMW160" s="719"/>
      <c r="TMX160" s="719"/>
      <c r="TMY160" s="719"/>
      <c r="TMZ160" s="719"/>
      <c r="TNA160" s="719"/>
      <c r="TNB160" s="719"/>
      <c r="TNC160" s="719"/>
      <c r="TND160" s="719"/>
      <c r="TNE160" s="719"/>
      <c r="TNF160" s="719"/>
      <c r="TNG160" s="719"/>
      <c r="TNH160" s="719"/>
      <c r="TNI160" s="719"/>
      <c r="TNJ160" s="719"/>
      <c r="TNK160" s="719"/>
      <c r="TNL160" s="719"/>
      <c r="TNM160" s="719"/>
      <c r="TNN160" s="719"/>
      <c r="TNO160" s="719"/>
      <c r="TNP160" s="719"/>
      <c r="TNQ160" s="719"/>
      <c r="TNR160" s="719"/>
      <c r="TNS160" s="719"/>
      <c r="TNT160" s="719"/>
      <c r="TNU160" s="719"/>
      <c r="TNV160" s="719"/>
      <c r="TNW160" s="719"/>
      <c r="TNX160" s="719"/>
      <c r="TNY160" s="719"/>
      <c r="TNZ160" s="719"/>
      <c r="TOA160" s="719"/>
      <c r="TOB160" s="719"/>
      <c r="TOC160" s="719"/>
      <c r="TOD160" s="719"/>
      <c r="TOE160" s="719"/>
      <c r="TOF160" s="719"/>
      <c r="TOG160" s="719"/>
      <c r="TOH160" s="719"/>
      <c r="TOI160" s="719"/>
      <c r="TOJ160" s="719"/>
      <c r="TOK160" s="719"/>
      <c r="TOL160" s="719"/>
      <c r="TOM160" s="719"/>
      <c r="TON160" s="719"/>
      <c r="TOO160" s="719"/>
      <c r="TOP160" s="719"/>
      <c r="TOQ160" s="719"/>
      <c r="TOR160" s="719"/>
      <c r="TOS160" s="719"/>
      <c r="TOT160" s="719"/>
      <c r="TOU160" s="719"/>
      <c r="TOV160" s="719"/>
      <c r="TOW160" s="719"/>
      <c r="TOX160" s="719"/>
      <c r="TOY160" s="719"/>
      <c r="TOZ160" s="719"/>
      <c r="TPA160" s="719"/>
      <c r="TPB160" s="719"/>
      <c r="TPC160" s="719"/>
      <c r="TPD160" s="719"/>
      <c r="TPE160" s="719"/>
      <c r="TPF160" s="719"/>
      <c r="TPG160" s="719"/>
      <c r="TPH160" s="719"/>
      <c r="TPI160" s="719"/>
      <c r="TPJ160" s="719"/>
      <c r="TPK160" s="719"/>
      <c r="TPL160" s="719"/>
      <c r="TPM160" s="719"/>
      <c r="TPN160" s="719"/>
      <c r="TPO160" s="719"/>
      <c r="TPP160" s="719"/>
      <c r="TPQ160" s="719"/>
      <c r="TPR160" s="719"/>
      <c r="TPS160" s="719"/>
      <c r="TPT160" s="719"/>
      <c r="TPU160" s="719"/>
      <c r="TPV160" s="719"/>
      <c r="TPW160" s="719"/>
      <c r="TPX160" s="719"/>
      <c r="TPY160" s="719"/>
      <c r="TPZ160" s="719"/>
      <c r="TQA160" s="719"/>
      <c r="TQB160" s="719"/>
      <c r="TQC160" s="719"/>
      <c r="TQD160" s="719"/>
      <c r="TQE160" s="719"/>
      <c r="TQF160" s="719"/>
      <c r="TQG160" s="719"/>
      <c r="TQH160" s="719"/>
      <c r="TQI160" s="719"/>
      <c r="TQJ160" s="719"/>
      <c r="TQK160" s="719"/>
      <c r="TQL160" s="719"/>
      <c r="TQM160" s="719"/>
      <c r="TQN160" s="719"/>
      <c r="TQO160" s="719"/>
      <c r="TQP160" s="719"/>
      <c r="TQQ160" s="719"/>
      <c r="TQR160" s="719"/>
      <c r="TQS160" s="719"/>
      <c r="TQT160" s="719"/>
      <c r="TQU160" s="719"/>
      <c r="TQV160" s="719"/>
      <c r="TQW160" s="719"/>
      <c r="TQX160" s="719"/>
      <c r="TQY160" s="719"/>
      <c r="TQZ160" s="719"/>
      <c r="TRA160" s="719"/>
      <c r="TRB160" s="719"/>
      <c r="TRC160" s="719"/>
      <c r="TRD160" s="719"/>
      <c r="TRE160" s="719"/>
      <c r="TRF160" s="719"/>
      <c r="TRG160" s="719"/>
      <c r="TRH160" s="719"/>
      <c r="TRI160" s="719"/>
      <c r="TRJ160" s="719"/>
      <c r="TRK160" s="719"/>
      <c r="TRL160" s="719"/>
      <c r="TRM160" s="719"/>
      <c r="TRN160" s="719"/>
      <c r="TRO160" s="719"/>
      <c r="TRP160" s="719"/>
      <c r="TRQ160" s="719"/>
      <c r="TRR160" s="719"/>
      <c r="TRS160" s="719"/>
      <c r="TRT160" s="719"/>
      <c r="TRU160" s="719"/>
      <c r="TRV160" s="719"/>
      <c r="TRW160" s="719"/>
      <c r="TRX160" s="719"/>
      <c r="TRY160" s="719"/>
      <c r="TRZ160" s="719"/>
      <c r="TSA160" s="719"/>
      <c r="TSB160" s="719"/>
      <c r="TSC160" s="719"/>
      <c r="TSD160" s="719"/>
      <c r="TSE160" s="719"/>
      <c r="TSF160" s="719"/>
      <c r="TSG160" s="719"/>
      <c r="TSH160" s="719"/>
      <c r="TSI160" s="719"/>
      <c r="TSJ160" s="719"/>
      <c r="TSK160" s="719"/>
      <c r="TSL160" s="719"/>
      <c r="TSM160" s="719"/>
      <c r="TSN160" s="719"/>
      <c r="TSO160" s="719"/>
      <c r="TSP160" s="719"/>
      <c r="TSQ160" s="719"/>
      <c r="TSR160" s="719"/>
      <c r="TSS160" s="719"/>
      <c r="TST160" s="719"/>
      <c r="TSU160" s="719"/>
      <c r="TSV160" s="719"/>
      <c r="TSW160" s="719"/>
      <c r="TSX160" s="719"/>
      <c r="TSY160" s="719"/>
      <c r="TSZ160" s="719"/>
      <c r="TTA160" s="719"/>
      <c r="TTB160" s="719"/>
      <c r="TTC160" s="719"/>
      <c r="TTD160" s="719"/>
      <c r="TTE160" s="719"/>
      <c r="TTF160" s="719"/>
      <c r="TTG160" s="719"/>
      <c r="TTH160" s="719"/>
      <c r="TTI160" s="719"/>
      <c r="TTJ160" s="719"/>
      <c r="TTK160" s="719"/>
      <c r="TTL160" s="719"/>
      <c r="TTM160" s="719"/>
      <c r="TTN160" s="719"/>
      <c r="TTO160" s="719"/>
      <c r="TTP160" s="719"/>
      <c r="TTQ160" s="719"/>
      <c r="TTR160" s="719"/>
      <c r="TTS160" s="719"/>
      <c r="TTT160" s="719"/>
      <c r="TTU160" s="719"/>
      <c r="TTV160" s="719"/>
      <c r="TTW160" s="719"/>
      <c r="TTX160" s="719"/>
      <c r="TTY160" s="719"/>
      <c r="TTZ160" s="719"/>
      <c r="TUA160" s="719"/>
      <c r="TUB160" s="719"/>
      <c r="TUC160" s="719"/>
      <c r="TUD160" s="719"/>
      <c r="TUE160" s="719"/>
      <c r="TUF160" s="719"/>
      <c r="TUG160" s="719"/>
      <c r="TUH160" s="719"/>
      <c r="TUI160" s="719"/>
      <c r="TUJ160" s="719"/>
      <c r="TUK160" s="719"/>
      <c r="TUL160" s="719"/>
      <c r="TUM160" s="719"/>
      <c r="TUN160" s="719"/>
      <c r="TUO160" s="719"/>
      <c r="TUP160" s="719"/>
      <c r="TUQ160" s="719"/>
      <c r="TUR160" s="719"/>
      <c r="TUS160" s="719"/>
      <c r="TUT160" s="719"/>
      <c r="TUU160" s="719"/>
      <c r="TUV160" s="719"/>
      <c r="TUW160" s="719"/>
      <c r="TUX160" s="719"/>
      <c r="TUY160" s="719"/>
      <c r="TUZ160" s="719"/>
      <c r="TVA160" s="719"/>
      <c r="TVB160" s="719"/>
      <c r="TVC160" s="719"/>
      <c r="TVD160" s="719"/>
      <c r="TVE160" s="719"/>
      <c r="TVF160" s="719"/>
      <c r="TVG160" s="719"/>
      <c r="TVH160" s="719"/>
      <c r="TVI160" s="719"/>
      <c r="TVJ160" s="719"/>
      <c r="TVK160" s="719"/>
      <c r="TVL160" s="719"/>
      <c r="TVM160" s="719"/>
      <c r="TVN160" s="719"/>
      <c r="TVO160" s="719"/>
      <c r="TVP160" s="719"/>
      <c r="TVQ160" s="719"/>
      <c r="TVR160" s="719"/>
      <c r="TVS160" s="719"/>
      <c r="TVT160" s="719"/>
      <c r="TVU160" s="719"/>
      <c r="TVV160" s="719"/>
      <c r="TVW160" s="719"/>
      <c r="TVX160" s="719"/>
      <c r="TVY160" s="719"/>
      <c r="TVZ160" s="719"/>
      <c r="TWA160" s="719"/>
      <c r="TWB160" s="719"/>
      <c r="TWC160" s="719"/>
      <c r="TWD160" s="719"/>
      <c r="TWE160" s="719"/>
      <c r="TWF160" s="719"/>
      <c r="TWG160" s="719"/>
      <c r="TWH160" s="719"/>
      <c r="TWI160" s="719"/>
      <c r="TWJ160" s="719"/>
      <c r="TWK160" s="719"/>
      <c r="TWL160" s="719"/>
      <c r="TWM160" s="719"/>
      <c r="TWN160" s="719"/>
      <c r="TWO160" s="719"/>
      <c r="TWP160" s="719"/>
      <c r="TWQ160" s="719"/>
      <c r="TWR160" s="719"/>
      <c r="TWS160" s="719"/>
      <c r="TWT160" s="719"/>
      <c r="TWU160" s="719"/>
      <c r="TWV160" s="719"/>
      <c r="TWW160" s="719"/>
      <c r="TWX160" s="719"/>
      <c r="TWY160" s="719"/>
      <c r="TWZ160" s="719"/>
      <c r="TXA160" s="719"/>
      <c r="TXB160" s="719"/>
      <c r="TXC160" s="719"/>
      <c r="TXD160" s="719"/>
      <c r="TXE160" s="719"/>
      <c r="TXF160" s="719"/>
      <c r="TXG160" s="719"/>
      <c r="TXH160" s="719"/>
      <c r="TXI160" s="719"/>
      <c r="TXJ160" s="719"/>
      <c r="TXK160" s="719"/>
      <c r="TXL160" s="719"/>
      <c r="TXM160" s="719"/>
      <c r="TXN160" s="719"/>
      <c r="TXO160" s="719"/>
      <c r="TXP160" s="719"/>
      <c r="TXQ160" s="719"/>
      <c r="TXR160" s="719"/>
      <c r="TXS160" s="719"/>
      <c r="TXT160" s="719"/>
      <c r="TXU160" s="719"/>
      <c r="TXV160" s="719"/>
      <c r="TXW160" s="719"/>
      <c r="TXX160" s="719"/>
      <c r="TXY160" s="719"/>
      <c r="TXZ160" s="719"/>
      <c r="TYA160" s="719"/>
      <c r="TYB160" s="719"/>
      <c r="TYC160" s="719"/>
      <c r="TYD160" s="719"/>
      <c r="TYE160" s="719"/>
      <c r="TYF160" s="719"/>
      <c r="TYG160" s="719"/>
      <c r="TYH160" s="719"/>
      <c r="TYI160" s="719"/>
      <c r="TYJ160" s="719"/>
      <c r="TYK160" s="719"/>
      <c r="TYL160" s="719"/>
      <c r="TYM160" s="719"/>
      <c r="TYN160" s="719"/>
      <c r="TYO160" s="719"/>
      <c r="TYP160" s="719"/>
      <c r="TYQ160" s="719"/>
      <c r="TYR160" s="719"/>
      <c r="TYS160" s="719"/>
      <c r="TYT160" s="719"/>
      <c r="TYU160" s="719"/>
      <c r="TYV160" s="719"/>
      <c r="TYW160" s="719"/>
      <c r="TYX160" s="719"/>
      <c r="TYY160" s="719"/>
      <c r="TYZ160" s="719"/>
      <c r="TZA160" s="719"/>
      <c r="TZB160" s="719"/>
      <c r="TZC160" s="719"/>
      <c r="TZD160" s="719"/>
      <c r="TZE160" s="719"/>
      <c r="TZF160" s="719"/>
      <c r="TZG160" s="719"/>
      <c r="TZH160" s="719"/>
      <c r="TZI160" s="719"/>
      <c r="TZJ160" s="719"/>
      <c r="TZK160" s="719"/>
      <c r="TZL160" s="719"/>
      <c r="TZM160" s="719"/>
      <c r="TZN160" s="719"/>
      <c r="TZO160" s="719"/>
      <c r="TZP160" s="719"/>
      <c r="TZQ160" s="719"/>
      <c r="TZR160" s="719"/>
      <c r="TZS160" s="719"/>
      <c r="TZT160" s="719"/>
      <c r="TZU160" s="719"/>
      <c r="TZV160" s="719"/>
      <c r="TZW160" s="719"/>
      <c r="TZX160" s="719"/>
      <c r="TZY160" s="719"/>
      <c r="TZZ160" s="719"/>
      <c r="UAA160" s="719"/>
      <c r="UAB160" s="719"/>
      <c r="UAC160" s="719"/>
      <c r="UAD160" s="719"/>
      <c r="UAE160" s="719"/>
      <c r="UAF160" s="719"/>
      <c r="UAG160" s="719"/>
      <c r="UAH160" s="719"/>
      <c r="UAI160" s="719"/>
      <c r="UAJ160" s="719"/>
      <c r="UAK160" s="719"/>
      <c r="UAL160" s="719"/>
      <c r="UAM160" s="719"/>
      <c r="UAN160" s="719"/>
      <c r="UAO160" s="719"/>
      <c r="UAP160" s="719"/>
      <c r="UAQ160" s="719"/>
      <c r="UAR160" s="719"/>
      <c r="UAS160" s="719"/>
      <c r="UAT160" s="719"/>
      <c r="UAU160" s="719"/>
      <c r="UAV160" s="719"/>
      <c r="UAW160" s="719"/>
      <c r="UAX160" s="719"/>
      <c r="UAY160" s="719"/>
      <c r="UAZ160" s="719"/>
      <c r="UBA160" s="719"/>
      <c r="UBB160" s="719"/>
      <c r="UBC160" s="719"/>
      <c r="UBD160" s="719"/>
      <c r="UBE160" s="719"/>
      <c r="UBF160" s="719"/>
      <c r="UBG160" s="719"/>
      <c r="UBH160" s="719"/>
      <c r="UBI160" s="719"/>
      <c r="UBJ160" s="719"/>
      <c r="UBK160" s="719"/>
      <c r="UBL160" s="719"/>
      <c r="UBM160" s="719"/>
      <c r="UBN160" s="719"/>
      <c r="UBO160" s="719"/>
      <c r="UBP160" s="719"/>
      <c r="UBQ160" s="719"/>
      <c r="UBR160" s="719"/>
      <c r="UBS160" s="719"/>
      <c r="UBT160" s="719"/>
      <c r="UBU160" s="719"/>
      <c r="UBV160" s="719"/>
      <c r="UBW160" s="719"/>
      <c r="UBX160" s="719"/>
      <c r="UBY160" s="719"/>
      <c r="UBZ160" s="719"/>
      <c r="UCA160" s="719"/>
      <c r="UCB160" s="719"/>
      <c r="UCC160" s="719"/>
      <c r="UCD160" s="719"/>
      <c r="UCE160" s="719"/>
      <c r="UCF160" s="719"/>
      <c r="UCG160" s="719"/>
      <c r="UCH160" s="719"/>
      <c r="UCI160" s="719"/>
      <c r="UCJ160" s="719"/>
      <c r="UCK160" s="719"/>
      <c r="UCL160" s="719"/>
      <c r="UCM160" s="719"/>
      <c r="UCN160" s="719"/>
      <c r="UCO160" s="719"/>
      <c r="UCP160" s="719"/>
      <c r="UCQ160" s="719"/>
      <c r="UCR160" s="719"/>
      <c r="UCS160" s="719"/>
      <c r="UCT160" s="719"/>
      <c r="UCU160" s="719"/>
      <c r="UCV160" s="719"/>
      <c r="UCW160" s="719"/>
      <c r="UCX160" s="719"/>
      <c r="UCY160" s="719"/>
      <c r="UCZ160" s="719"/>
      <c r="UDA160" s="719"/>
      <c r="UDB160" s="719"/>
      <c r="UDC160" s="719"/>
      <c r="UDD160" s="719"/>
      <c r="UDE160" s="719"/>
      <c r="UDF160" s="719"/>
      <c r="UDG160" s="719"/>
      <c r="UDH160" s="719"/>
      <c r="UDI160" s="719"/>
      <c r="UDJ160" s="719"/>
      <c r="UDK160" s="719"/>
      <c r="UDL160" s="719"/>
      <c r="UDM160" s="719"/>
      <c r="UDN160" s="719"/>
      <c r="UDO160" s="719"/>
      <c r="UDP160" s="719"/>
      <c r="UDQ160" s="719"/>
      <c r="UDR160" s="719"/>
      <c r="UDS160" s="719"/>
      <c r="UDT160" s="719"/>
      <c r="UDU160" s="719"/>
      <c r="UDV160" s="719"/>
      <c r="UDW160" s="719"/>
      <c r="UDX160" s="719"/>
      <c r="UDY160" s="719"/>
      <c r="UDZ160" s="719"/>
      <c r="UEA160" s="719"/>
      <c r="UEB160" s="719"/>
      <c r="UEC160" s="719"/>
      <c r="UED160" s="719"/>
      <c r="UEE160" s="719"/>
      <c r="UEF160" s="719"/>
      <c r="UEG160" s="719"/>
      <c r="UEH160" s="719"/>
      <c r="UEI160" s="719"/>
      <c r="UEJ160" s="719"/>
      <c r="UEK160" s="719"/>
      <c r="UEL160" s="719"/>
      <c r="UEM160" s="719"/>
      <c r="UEN160" s="719"/>
      <c r="UEO160" s="719"/>
      <c r="UEP160" s="719"/>
      <c r="UEQ160" s="719"/>
      <c r="UER160" s="719"/>
      <c r="UES160" s="719"/>
      <c r="UET160" s="719"/>
      <c r="UEU160" s="719"/>
      <c r="UEV160" s="719"/>
      <c r="UEW160" s="719"/>
      <c r="UEX160" s="719"/>
      <c r="UEY160" s="719"/>
      <c r="UEZ160" s="719"/>
      <c r="UFA160" s="719"/>
      <c r="UFB160" s="719"/>
      <c r="UFC160" s="719"/>
      <c r="UFD160" s="719"/>
      <c r="UFE160" s="719"/>
      <c r="UFF160" s="719"/>
      <c r="UFG160" s="719"/>
      <c r="UFH160" s="719"/>
      <c r="UFI160" s="719"/>
      <c r="UFJ160" s="719"/>
      <c r="UFK160" s="719"/>
      <c r="UFL160" s="719"/>
      <c r="UFM160" s="719"/>
      <c r="UFN160" s="719"/>
      <c r="UFO160" s="719"/>
      <c r="UFP160" s="719"/>
      <c r="UFQ160" s="719"/>
      <c r="UFR160" s="719"/>
      <c r="UFS160" s="719"/>
      <c r="UFT160" s="719"/>
      <c r="UFU160" s="719"/>
      <c r="UFV160" s="719"/>
      <c r="UFW160" s="719"/>
      <c r="UFX160" s="719"/>
      <c r="UFY160" s="719"/>
      <c r="UFZ160" s="719"/>
      <c r="UGA160" s="719"/>
      <c r="UGB160" s="719"/>
      <c r="UGC160" s="719"/>
      <c r="UGD160" s="719"/>
      <c r="UGE160" s="719"/>
      <c r="UGF160" s="719"/>
      <c r="UGG160" s="719"/>
      <c r="UGH160" s="719"/>
      <c r="UGI160" s="719"/>
      <c r="UGJ160" s="719"/>
      <c r="UGK160" s="719"/>
      <c r="UGL160" s="719"/>
      <c r="UGM160" s="719"/>
      <c r="UGN160" s="719"/>
      <c r="UGO160" s="719"/>
      <c r="UGP160" s="719"/>
      <c r="UGQ160" s="719"/>
      <c r="UGR160" s="719"/>
      <c r="UGS160" s="719"/>
      <c r="UGT160" s="719"/>
      <c r="UGU160" s="719"/>
      <c r="UGV160" s="719"/>
      <c r="UGW160" s="719"/>
      <c r="UGX160" s="719"/>
      <c r="UGY160" s="719"/>
      <c r="UGZ160" s="719"/>
      <c r="UHA160" s="719"/>
      <c r="UHB160" s="719"/>
      <c r="UHC160" s="719"/>
      <c r="UHD160" s="719"/>
      <c r="UHE160" s="719"/>
      <c r="UHF160" s="719"/>
      <c r="UHG160" s="719"/>
      <c r="UHH160" s="719"/>
      <c r="UHI160" s="719"/>
      <c r="UHJ160" s="719"/>
      <c r="UHK160" s="719"/>
      <c r="UHL160" s="719"/>
      <c r="UHM160" s="719"/>
      <c r="UHN160" s="719"/>
      <c r="UHO160" s="719"/>
      <c r="UHP160" s="719"/>
      <c r="UHQ160" s="719"/>
      <c r="UHR160" s="719"/>
      <c r="UHS160" s="719"/>
      <c r="UHT160" s="719"/>
      <c r="UHU160" s="719"/>
      <c r="UHV160" s="719"/>
      <c r="UHW160" s="719"/>
      <c r="UHX160" s="719"/>
      <c r="UHY160" s="719"/>
      <c r="UHZ160" s="719"/>
      <c r="UIA160" s="719"/>
      <c r="UIB160" s="719"/>
      <c r="UIC160" s="719"/>
      <c r="UID160" s="719"/>
      <c r="UIE160" s="719"/>
      <c r="UIF160" s="719"/>
      <c r="UIG160" s="719"/>
      <c r="UIH160" s="719"/>
      <c r="UII160" s="719"/>
      <c r="UIJ160" s="719"/>
      <c r="UIK160" s="719"/>
      <c r="UIL160" s="719"/>
      <c r="UIM160" s="719"/>
      <c r="UIN160" s="719"/>
      <c r="UIO160" s="719"/>
      <c r="UIP160" s="719"/>
      <c r="UIQ160" s="719"/>
      <c r="UIR160" s="719"/>
      <c r="UIS160" s="719"/>
      <c r="UIT160" s="719"/>
      <c r="UIU160" s="719"/>
      <c r="UIV160" s="719"/>
      <c r="UIW160" s="719"/>
      <c r="UIX160" s="719"/>
      <c r="UIY160" s="719"/>
      <c r="UIZ160" s="719"/>
      <c r="UJA160" s="719"/>
      <c r="UJB160" s="719"/>
      <c r="UJC160" s="719"/>
      <c r="UJD160" s="719"/>
      <c r="UJE160" s="719"/>
      <c r="UJF160" s="719"/>
      <c r="UJG160" s="719"/>
      <c r="UJH160" s="719"/>
      <c r="UJI160" s="719"/>
      <c r="UJJ160" s="719"/>
      <c r="UJK160" s="719"/>
      <c r="UJL160" s="719"/>
      <c r="UJM160" s="719"/>
      <c r="UJN160" s="719"/>
      <c r="UJO160" s="719"/>
      <c r="UJP160" s="719"/>
      <c r="UJQ160" s="719"/>
      <c r="UJR160" s="719"/>
      <c r="UJS160" s="719"/>
      <c r="UJT160" s="719"/>
      <c r="UJU160" s="719"/>
      <c r="UJV160" s="719"/>
      <c r="UJW160" s="719"/>
      <c r="UJX160" s="719"/>
      <c r="UJY160" s="719"/>
      <c r="UJZ160" s="719"/>
      <c r="UKA160" s="719"/>
      <c r="UKB160" s="719"/>
      <c r="UKC160" s="719"/>
      <c r="UKD160" s="719"/>
      <c r="UKE160" s="719"/>
      <c r="UKF160" s="719"/>
      <c r="UKG160" s="719"/>
      <c r="UKH160" s="719"/>
      <c r="UKI160" s="719"/>
      <c r="UKJ160" s="719"/>
      <c r="UKK160" s="719"/>
      <c r="UKL160" s="719"/>
      <c r="UKM160" s="719"/>
      <c r="UKN160" s="719"/>
      <c r="UKO160" s="719"/>
      <c r="UKP160" s="719"/>
      <c r="UKQ160" s="719"/>
      <c r="UKR160" s="719"/>
      <c r="UKS160" s="719"/>
      <c r="UKT160" s="719"/>
      <c r="UKU160" s="719"/>
      <c r="UKV160" s="719"/>
      <c r="UKW160" s="719"/>
      <c r="UKX160" s="719"/>
      <c r="UKY160" s="719"/>
      <c r="UKZ160" s="719"/>
      <c r="ULA160" s="719"/>
      <c r="ULB160" s="719"/>
      <c r="ULC160" s="719"/>
      <c r="ULD160" s="719"/>
      <c r="ULE160" s="719"/>
      <c r="ULF160" s="719"/>
      <c r="ULG160" s="719"/>
      <c r="ULH160" s="719"/>
      <c r="ULI160" s="719"/>
      <c r="ULJ160" s="719"/>
      <c r="ULK160" s="719"/>
      <c r="ULL160" s="719"/>
      <c r="ULM160" s="719"/>
      <c r="ULN160" s="719"/>
      <c r="ULO160" s="719"/>
      <c r="ULP160" s="719"/>
      <c r="ULQ160" s="719"/>
      <c r="ULR160" s="719"/>
      <c r="ULS160" s="719"/>
      <c r="ULT160" s="719"/>
      <c r="ULU160" s="719"/>
      <c r="ULV160" s="719"/>
      <c r="ULW160" s="719"/>
      <c r="ULX160" s="719"/>
      <c r="ULY160" s="719"/>
      <c r="ULZ160" s="719"/>
      <c r="UMA160" s="719"/>
      <c r="UMB160" s="719"/>
      <c r="UMC160" s="719"/>
      <c r="UMD160" s="719"/>
      <c r="UME160" s="719"/>
      <c r="UMF160" s="719"/>
      <c r="UMG160" s="719"/>
      <c r="UMH160" s="719"/>
      <c r="UMI160" s="719"/>
      <c r="UMJ160" s="719"/>
      <c r="UMK160" s="719"/>
      <c r="UML160" s="719"/>
      <c r="UMM160" s="719"/>
      <c r="UMN160" s="719"/>
      <c r="UMO160" s="719"/>
      <c r="UMP160" s="719"/>
      <c r="UMQ160" s="719"/>
      <c r="UMR160" s="719"/>
      <c r="UMS160" s="719"/>
      <c r="UMT160" s="719"/>
      <c r="UMU160" s="719"/>
      <c r="UMV160" s="719"/>
      <c r="UMW160" s="719"/>
      <c r="UMX160" s="719"/>
      <c r="UMY160" s="719"/>
      <c r="UMZ160" s="719"/>
      <c r="UNA160" s="719"/>
      <c r="UNB160" s="719"/>
      <c r="UNC160" s="719"/>
      <c r="UND160" s="719"/>
      <c r="UNE160" s="719"/>
      <c r="UNF160" s="719"/>
      <c r="UNG160" s="719"/>
      <c r="UNH160" s="719"/>
      <c r="UNI160" s="719"/>
      <c r="UNJ160" s="719"/>
      <c r="UNK160" s="719"/>
      <c r="UNL160" s="719"/>
      <c r="UNM160" s="719"/>
      <c r="UNN160" s="719"/>
      <c r="UNO160" s="719"/>
      <c r="UNP160" s="719"/>
      <c r="UNQ160" s="719"/>
      <c r="UNR160" s="719"/>
      <c r="UNS160" s="719"/>
      <c r="UNT160" s="719"/>
      <c r="UNU160" s="719"/>
      <c r="UNV160" s="719"/>
      <c r="UNW160" s="719"/>
      <c r="UNX160" s="719"/>
      <c r="UNY160" s="719"/>
      <c r="UNZ160" s="719"/>
      <c r="UOA160" s="719"/>
      <c r="UOB160" s="719"/>
      <c r="UOC160" s="719"/>
      <c r="UOD160" s="719"/>
      <c r="UOE160" s="719"/>
      <c r="UOF160" s="719"/>
      <c r="UOG160" s="719"/>
      <c r="UOH160" s="719"/>
      <c r="UOI160" s="719"/>
      <c r="UOJ160" s="719"/>
      <c r="UOK160" s="719"/>
      <c r="UOL160" s="719"/>
      <c r="UOM160" s="719"/>
      <c r="UON160" s="719"/>
      <c r="UOO160" s="719"/>
      <c r="UOP160" s="719"/>
      <c r="UOQ160" s="719"/>
      <c r="UOR160" s="719"/>
      <c r="UOS160" s="719"/>
      <c r="UOT160" s="719"/>
      <c r="UOU160" s="719"/>
      <c r="UOV160" s="719"/>
      <c r="UOW160" s="719"/>
      <c r="UOX160" s="719"/>
      <c r="UOY160" s="719"/>
      <c r="UOZ160" s="719"/>
      <c r="UPA160" s="719"/>
      <c r="UPB160" s="719"/>
      <c r="UPC160" s="719"/>
      <c r="UPD160" s="719"/>
      <c r="UPE160" s="719"/>
      <c r="UPF160" s="719"/>
      <c r="UPG160" s="719"/>
      <c r="UPH160" s="719"/>
      <c r="UPI160" s="719"/>
      <c r="UPJ160" s="719"/>
      <c r="UPK160" s="719"/>
      <c r="UPL160" s="719"/>
      <c r="UPM160" s="719"/>
      <c r="UPN160" s="719"/>
      <c r="UPO160" s="719"/>
      <c r="UPP160" s="719"/>
      <c r="UPQ160" s="719"/>
      <c r="UPR160" s="719"/>
      <c r="UPS160" s="719"/>
      <c r="UPT160" s="719"/>
      <c r="UPU160" s="719"/>
      <c r="UPV160" s="719"/>
      <c r="UPW160" s="719"/>
      <c r="UPX160" s="719"/>
      <c r="UPY160" s="719"/>
      <c r="UPZ160" s="719"/>
      <c r="UQA160" s="719"/>
      <c r="UQB160" s="719"/>
      <c r="UQC160" s="719"/>
      <c r="UQD160" s="719"/>
      <c r="UQE160" s="719"/>
      <c r="UQF160" s="719"/>
      <c r="UQG160" s="719"/>
      <c r="UQH160" s="719"/>
      <c r="UQI160" s="719"/>
      <c r="UQJ160" s="719"/>
      <c r="UQK160" s="719"/>
      <c r="UQL160" s="719"/>
      <c r="UQM160" s="719"/>
      <c r="UQN160" s="719"/>
      <c r="UQO160" s="719"/>
      <c r="UQP160" s="719"/>
      <c r="UQQ160" s="719"/>
      <c r="UQR160" s="719"/>
      <c r="UQS160" s="719"/>
      <c r="UQT160" s="719"/>
      <c r="UQU160" s="719"/>
      <c r="UQV160" s="719"/>
      <c r="UQW160" s="719"/>
      <c r="UQX160" s="719"/>
      <c r="UQY160" s="719"/>
      <c r="UQZ160" s="719"/>
      <c r="URA160" s="719"/>
      <c r="URB160" s="719"/>
      <c r="URC160" s="719"/>
      <c r="URD160" s="719"/>
      <c r="URE160" s="719"/>
      <c r="URF160" s="719"/>
      <c r="URG160" s="719"/>
      <c r="URH160" s="719"/>
      <c r="URI160" s="719"/>
      <c r="URJ160" s="719"/>
      <c r="URK160" s="719"/>
      <c r="URL160" s="719"/>
      <c r="URM160" s="719"/>
      <c r="URN160" s="719"/>
      <c r="URO160" s="719"/>
      <c r="URP160" s="719"/>
      <c r="URQ160" s="719"/>
      <c r="URR160" s="719"/>
      <c r="URS160" s="719"/>
      <c r="URT160" s="719"/>
      <c r="URU160" s="719"/>
      <c r="URV160" s="719"/>
      <c r="URW160" s="719"/>
      <c r="URX160" s="719"/>
      <c r="URY160" s="719"/>
      <c r="URZ160" s="719"/>
      <c r="USA160" s="719"/>
      <c r="USB160" s="719"/>
      <c r="USC160" s="719"/>
      <c r="USD160" s="719"/>
      <c r="USE160" s="719"/>
      <c r="USF160" s="719"/>
      <c r="USG160" s="719"/>
      <c r="USH160" s="719"/>
      <c r="USI160" s="719"/>
      <c r="USJ160" s="719"/>
      <c r="USK160" s="719"/>
      <c r="USL160" s="719"/>
      <c r="USM160" s="719"/>
      <c r="USN160" s="719"/>
      <c r="USO160" s="719"/>
      <c r="USP160" s="719"/>
      <c r="USQ160" s="719"/>
      <c r="USR160" s="719"/>
      <c r="USS160" s="719"/>
      <c r="UST160" s="719"/>
      <c r="USU160" s="719"/>
      <c r="USV160" s="719"/>
      <c r="USW160" s="719"/>
      <c r="USX160" s="719"/>
      <c r="USY160" s="719"/>
      <c r="USZ160" s="719"/>
      <c r="UTA160" s="719"/>
      <c r="UTB160" s="719"/>
      <c r="UTC160" s="719"/>
      <c r="UTD160" s="719"/>
      <c r="UTE160" s="719"/>
      <c r="UTF160" s="719"/>
      <c r="UTG160" s="719"/>
      <c r="UTH160" s="719"/>
      <c r="UTI160" s="719"/>
      <c r="UTJ160" s="719"/>
      <c r="UTK160" s="719"/>
      <c r="UTL160" s="719"/>
      <c r="UTM160" s="719"/>
      <c r="UTN160" s="719"/>
      <c r="UTO160" s="719"/>
      <c r="UTP160" s="719"/>
      <c r="UTQ160" s="719"/>
      <c r="UTR160" s="719"/>
      <c r="UTS160" s="719"/>
      <c r="UTT160" s="719"/>
      <c r="UTU160" s="719"/>
      <c r="UTV160" s="719"/>
      <c r="UTW160" s="719"/>
      <c r="UTX160" s="719"/>
      <c r="UTY160" s="719"/>
      <c r="UTZ160" s="719"/>
      <c r="UUA160" s="719"/>
      <c r="UUB160" s="719"/>
      <c r="UUC160" s="719"/>
      <c r="UUD160" s="719"/>
      <c r="UUE160" s="719"/>
      <c r="UUF160" s="719"/>
      <c r="UUG160" s="719"/>
      <c r="UUH160" s="719"/>
      <c r="UUI160" s="719"/>
      <c r="UUJ160" s="719"/>
      <c r="UUK160" s="719"/>
      <c r="UUL160" s="719"/>
      <c r="UUM160" s="719"/>
      <c r="UUN160" s="719"/>
      <c r="UUO160" s="719"/>
      <c r="UUP160" s="719"/>
      <c r="UUQ160" s="719"/>
      <c r="UUR160" s="719"/>
      <c r="UUS160" s="719"/>
      <c r="UUT160" s="719"/>
      <c r="UUU160" s="719"/>
      <c r="UUV160" s="719"/>
      <c r="UUW160" s="719"/>
      <c r="UUX160" s="719"/>
      <c r="UUY160" s="719"/>
      <c r="UUZ160" s="719"/>
      <c r="UVA160" s="719"/>
      <c r="UVB160" s="719"/>
      <c r="UVC160" s="719"/>
      <c r="UVD160" s="719"/>
      <c r="UVE160" s="719"/>
      <c r="UVF160" s="719"/>
      <c r="UVG160" s="719"/>
      <c r="UVH160" s="719"/>
      <c r="UVI160" s="719"/>
      <c r="UVJ160" s="719"/>
      <c r="UVK160" s="719"/>
      <c r="UVL160" s="719"/>
      <c r="UVM160" s="719"/>
      <c r="UVN160" s="719"/>
      <c r="UVO160" s="719"/>
      <c r="UVP160" s="719"/>
      <c r="UVQ160" s="719"/>
      <c r="UVR160" s="719"/>
      <c r="UVS160" s="719"/>
      <c r="UVT160" s="719"/>
      <c r="UVU160" s="719"/>
      <c r="UVV160" s="719"/>
      <c r="UVW160" s="719"/>
      <c r="UVX160" s="719"/>
      <c r="UVY160" s="719"/>
      <c r="UVZ160" s="719"/>
      <c r="UWA160" s="719"/>
      <c r="UWB160" s="719"/>
      <c r="UWC160" s="719"/>
      <c r="UWD160" s="719"/>
      <c r="UWE160" s="719"/>
      <c r="UWF160" s="719"/>
      <c r="UWG160" s="719"/>
      <c r="UWH160" s="719"/>
      <c r="UWI160" s="719"/>
      <c r="UWJ160" s="719"/>
      <c r="UWK160" s="719"/>
      <c r="UWL160" s="719"/>
      <c r="UWM160" s="719"/>
      <c r="UWN160" s="719"/>
      <c r="UWO160" s="719"/>
      <c r="UWP160" s="719"/>
      <c r="UWQ160" s="719"/>
      <c r="UWR160" s="719"/>
      <c r="UWS160" s="719"/>
      <c r="UWT160" s="719"/>
      <c r="UWU160" s="719"/>
      <c r="UWV160" s="719"/>
      <c r="UWW160" s="719"/>
      <c r="UWX160" s="719"/>
      <c r="UWY160" s="719"/>
      <c r="UWZ160" s="719"/>
      <c r="UXA160" s="719"/>
      <c r="UXB160" s="719"/>
      <c r="UXC160" s="719"/>
      <c r="UXD160" s="719"/>
      <c r="UXE160" s="719"/>
      <c r="UXF160" s="719"/>
      <c r="UXG160" s="719"/>
      <c r="UXH160" s="719"/>
      <c r="UXI160" s="719"/>
      <c r="UXJ160" s="719"/>
      <c r="UXK160" s="719"/>
      <c r="UXL160" s="719"/>
      <c r="UXM160" s="719"/>
      <c r="UXN160" s="719"/>
      <c r="UXO160" s="719"/>
      <c r="UXP160" s="719"/>
      <c r="UXQ160" s="719"/>
      <c r="UXR160" s="719"/>
      <c r="UXS160" s="719"/>
      <c r="UXT160" s="719"/>
      <c r="UXU160" s="719"/>
      <c r="UXV160" s="719"/>
      <c r="UXW160" s="719"/>
      <c r="UXX160" s="719"/>
      <c r="UXY160" s="719"/>
      <c r="UXZ160" s="719"/>
      <c r="UYA160" s="719"/>
      <c r="UYB160" s="719"/>
      <c r="UYC160" s="719"/>
      <c r="UYD160" s="719"/>
      <c r="UYE160" s="719"/>
      <c r="UYF160" s="719"/>
      <c r="UYG160" s="719"/>
      <c r="UYH160" s="719"/>
      <c r="UYI160" s="719"/>
      <c r="UYJ160" s="719"/>
      <c r="UYK160" s="719"/>
      <c r="UYL160" s="719"/>
      <c r="UYM160" s="719"/>
      <c r="UYN160" s="719"/>
      <c r="UYO160" s="719"/>
      <c r="UYP160" s="719"/>
      <c r="UYQ160" s="719"/>
      <c r="UYR160" s="719"/>
      <c r="UYS160" s="719"/>
      <c r="UYT160" s="719"/>
      <c r="UYU160" s="719"/>
      <c r="UYV160" s="719"/>
      <c r="UYW160" s="719"/>
      <c r="UYX160" s="719"/>
      <c r="UYY160" s="719"/>
      <c r="UYZ160" s="719"/>
      <c r="UZA160" s="719"/>
      <c r="UZB160" s="719"/>
      <c r="UZC160" s="719"/>
      <c r="UZD160" s="719"/>
      <c r="UZE160" s="719"/>
      <c r="UZF160" s="719"/>
      <c r="UZG160" s="719"/>
      <c r="UZH160" s="719"/>
      <c r="UZI160" s="719"/>
      <c r="UZJ160" s="719"/>
      <c r="UZK160" s="719"/>
      <c r="UZL160" s="719"/>
      <c r="UZM160" s="719"/>
      <c r="UZN160" s="719"/>
      <c r="UZO160" s="719"/>
      <c r="UZP160" s="719"/>
      <c r="UZQ160" s="719"/>
      <c r="UZR160" s="719"/>
      <c r="UZS160" s="719"/>
      <c r="UZT160" s="719"/>
      <c r="UZU160" s="719"/>
      <c r="UZV160" s="719"/>
      <c r="UZW160" s="719"/>
      <c r="UZX160" s="719"/>
      <c r="UZY160" s="719"/>
      <c r="UZZ160" s="719"/>
      <c r="VAA160" s="719"/>
      <c r="VAB160" s="719"/>
      <c r="VAC160" s="719"/>
      <c r="VAD160" s="719"/>
      <c r="VAE160" s="719"/>
      <c r="VAF160" s="719"/>
      <c r="VAG160" s="719"/>
      <c r="VAH160" s="719"/>
      <c r="VAI160" s="719"/>
      <c r="VAJ160" s="719"/>
      <c r="VAK160" s="719"/>
      <c r="VAL160" s="719"/>
      <c r="VAM160" s="719"/>
      <c r="VAN160" s="719"/>
      <c r="VAO160" s="719"/>
      <c r="VAP160" s="719"/>
      <c r="VAQ160" s="719"/>
      <c r="VAR160" s="719"/>
      <c r="VAS160" s="719"/>
      <c r="VAT160" s="719"/>
      <c r="VAU160" s="719"/>
      <c r="VAV160" s="719"/>
      <c r="VAW160" s="719"/>
      <c r="VAX160" s="719"/>
      <c r="VAY160" s="719"/>
      <c r="VAZ160" s="719"/>
      <c r="VBA160" s="719"/>
      <c r="VBB160" s="719"/>
      <c r="VBC160" s="719"/>
      <c r="VBD160" s="719"/>
      <c r="VBE160" s="719"/>
      <c r="VBF160" s="719"/>
      <c r="VBG160" s="719"/>
      <c r="VBH160" s="719"/>
      <c r="VBI160" s="719"/>
      <c r="VBJ160" s="719"/>
      <c r="VBK160" s="719"/>
      <c r="VBL160" s="719"/>
      <c r="VBM160" s="719"/>
      <c r="VBN160" s="719"/>
      <c r="VBO160" s="719"/>
      <c r="VBP160" s="719"/>
      <c r="VBQ160" s="719"/>
      <c r="VBR160" s="719"/>
      <c r="VBS160" s="719"/>
      <c r="VBT160" s="719"/>
      <c r="VBU160" s="719"/>
      <c r="VBV160" s="719"/>
      <c r="VBW160" s="719"/>
      <c r="VBX160" s="719"/>
      <c r="VBY160" s="719"/>
      <c r="VBZ160" s="719"/>
      <c r="VCA160" s="719"/>
      <c r="VCB160" s="719"/>
      <c r="VCC160" s="719"/>
      <c r="VCD160" s="719"/>
      <c r="VCE160" s="719"/>
      <c r="VCF160" s="719"/>
      <c r="VCG160" s="719"/>
      <c r="VCH160" s="719"/>
      <c r="VCI160" s="719"/>
      <c r="VCJ160" s="719"/>
      <c r="VCK160" s="719"/>
      <c r="VCL160" s="719"/>
      <c r="VCM160" s="719"/>
      <c r="VCN160" s="719"/>
      <c r="VCO160" s="719"/>
      <c r="VCP160" s="719"/>
      <c r="VCQ160" s="719"/>
      <c r="VCR160" s="719"/>
      <c r="VCS160" s="719"/>
      <c r="VCT160" s="719"/>
      <c r="VCU160" s="719"/>
      <c r="VCV160" s="719"/>
      <c r="VCW160" s="719"/>
      <c r="VCX160" s="719"/>
      <c r="VCY160" s="719"/>
      <c r="VCZ160" s="719"/>
      <c r="VDA160" s="719"/>
      <c r="VDB160" s="719"/>
      <c r="VDC160" s="719"/>
      <c r="VDD160" s="719"/>
      <c r="VDE160" s="719"/>
      <c r="VDF160" s="719"/>
      <c r="VDG160" s="719"/>
      <c r="VDH160" s="719"/>
      <c r="VDI160" s="719"/>
      <c r="VDJ160" s="719"/>
      <c r="VDK160" s="719"/>
      <c r="VDL160" s="719"/>
      <c r="VDM160" s="719"/>
      <c r="VDN160" s="719"/>
      <c r="VDO160" s="719"/>
      <c r="VDP160" s="719"/>
      <c r="VDQ160" s="719"/>
      <c r="VDR160" s="719"/>
      <c r="VDS160" s="719"/>
      <c r="VDT160" s="719"/>
      <c r="VDU160" s="719"/>
      <c r="VDV160" s="719"/>
      <c r="VDW160" s="719"/>
      <c r="VDX160" s="719"/>
      <c r="VDY160" s="719"/>
      <c r="VDZ160" s="719"/>
      <c r="VEA160" s="719"/>
      <c r="VEB160" s="719"/>
      <c r="VEC160" s="719"/>
      <c r="VED160" s="719"/>
      <c r="VEE160" s="719"/>
      <c r="VEF160" s="719"/>
      <c r="VEG160" s="719"/>
      <c r="VEH160" s="719"/>
      <c r="VEI160" s="719"/>
      <c r="VEJ160" s="719"/>
      <c r="VEK160" s="719"/>
      <c r="VEL160" s="719"/>
      <c r="VEM160" s="719"/>
      <c r="VEN160" s="719"/>
      <c r="VEO160" s="719"/>
      <c r="VEP160" s="719"/>
      <c r="VEQ160" s="719"/>
      <c r="VER160" s="719"/>
      <c r="VES160" s="719"/>
      <c r="VET160" s="719"/>
      <c r="VEU160" s="719"/>
      <c r="VEV160" s="719"/>
      <c r="VEW160" s="719"/>
      <c r="VEX160" s="719"/>
      <c r="VEY160" s="719"/>
      <c r="VEZ160" s="719"/>
      <c r="VFA160" s="719"/>
      <c r="VFB160" s="719"/>
      <c r="VFC160" s="719"/>
      <c r="VFD160" s="719"/>
      <c r="VFE160" s="719"/>
      <c r="VFF160" s="719"/>
      <c r="VFG160" s="719"/>
      <c r="VFH160" s="719"/>
      <c r="VFI160" s="719"/>
      <c r="VFJ160" s="719"/>
      <c r="VFK160" s="719"/>
      <c r="VFL160" s="719"/>
      <c r="VFM160" s="719"/>
      <c r="VFN160" s="719"/>
      <c r="VFO160" s="719"/>
      <c r="VFP160" s="719"/>
      <c r="VFQ160" s="719"/>
      <c r="VFR160" s="719"/>
      <c r="VFS160" s="719"/>
      <c r="VFT160" s="719"/>
      <c r="VFU160" s="719"/>
      <c r="VFV160" s="719"/>
      <c r="VFW160" s="719"/>
      <c r="VFX160" s="719"/>
      <c r="VFY160" s="719"/>
      <c r="VFZ160" s="719"/>
      <c r="VGA160" s="719"/>
      <c r="VGB160" s="719"/>
      <c r="VGC160" s="719"/>
      <c r="VGD160" s="719"/>
      <c r="VGE160" s="719"/>
      <c r="VGF160" s="719"/>
      <c r="VGG160" s="719"/>
      <c r="VGH160" s="719"/>
      <c r="VGI160" s="719"/>
      <c r="VGJ160" s="719"/>
      <c r="VGK160" s="719"/>
      <c r="VGL160" s="719"/>
      <c r="VGM160" s="719"/>
      <c r="VGN160" s="719"/>
      <c r="VGO160" s="719"/>
      <c r="VGP160" s="719"/>
      <c r="VGQ160" s="719"/>
      <c r="VGR160" s="719"/>
      <c r="VGS160" s="719"/>
      <c r="VGT160" s="719"/>
      <c r="VGU160" s="719"/>
      <c r="VGV160" s="719"/>
      <c r="VGW160" s="719"/>
      <c r="VGX160" s="719"/>
      <c r="VGY160" s="719"/>
      <c r="VGZ160" s="719"/>
      <c r="VHA160" s="719"/>
      <c r="VHB160" s="719"/>
      <c r="VHC160" s="719"/>
      <c r="VHD160" s="719"/>
      <c r="VHE160" s="719"/>
      <c r="VHF160" s="719"/>
      <c r="VHG160" s="719"/>
      <c r="VHH160" s="719"/>
      <c r="VHI160" s="719"/>
      <c r="VHJ160" s="719"/>
      <c r="VHK160" s="719"/>
      <c r="VHL160" s="719"/>
      <c r="VHM160" s="719"/>
      <c r="VHN160" s="719"/>
      <c r="VHO160" s="719"/>
      <c r="VHP160" s="719"/>
      <c r="VHQ160" s="719"/>
      <c r="VHR160" s="719"/>
      <c r="VHS160" s="719"/>
      <c r="VHT160" s="719"/>
      <c r="VHU160" s="719"/>
      <c r="VHV160" s="719"/>
      <c r="VHW160" s="719"/>
      <c r="VHX160" s="719"/>
      <c r="VHY160" s="719"/>
      <c r="VHZ160" s="719"/>
      <c r="VIA160" s="719"/>
      <c r="VIB160" s="719"/>
      <c r="VIC160" s="719"/>
      <c r="VID160" s="719"/>
      <c r="VIE160" s="719"/>
      <c r="VIF160" s="719"/>
      <c r="VIG160" s="719"/>
      <c r="VIH160" s="719"/>
      <c r="VII160" s="719"/>
      <c r="VIJ160" s="719"/>
      <c r="VIK160" s="719"/>
      <c r="VIL160" s="719"/>
      <c r="VIM160" s="719"/>
      <c r="VIN160" s="719"/>
      <c r="VIO160" s="719"/>
      <c r="VIP160" s="719"/>
      <c r="VIQ160" s="719"/>
      <c r="VIR160" s="719"/>
      <c r="VIS160" s="719"/>
      <c r="VIT160" s="719"/>
      <c r="VIU160" s="719"/>
      <c r="VIV160" s="719"/>
      <c r="VIW160" s="719"/>
      <c r="VIX160" s="719"/>
      <c r="VIY160" s="719"/>
      <c r="VIZ160" s="719"/>
      <c r="VJA160" s="719"/>
      <c r="VJB160" s="719"/>
      <c r="VJC160" s="719"/>
      <c r="VJD160" s="719"/>
      <c r="VJE160" s="719"/>
      <c r="VJF160" s="719"/>
      <c r="VJG160" s="719"/>
      <c r="VJH160" s="719"/>
      <c r="VJI160" s="719"/>
      <c r="VJJ160" s="719"/>
      <c r="VJK160" s="719"/>
      <c r="VJL160" s="719"/>
      <c r="VJM160" s="719"/>
      <c r="VJN160" s="719"/>
      <c r="VJO160" s="719"/>
      <c r="VJP160" s="719"/>
      <c r="VJQ160" s="719"/>
      <c r="VJR160" s="719"/>
      <c r="VJS160" s="719"/>
      <c r="VJT160" s="719"/>
      <c r="VJU160" s="719"/>
      <c r="VJV160" s="719"/>
      <c r="VJW160" s="719"/>
      <c r="VJX160" s="719"/>
      <c r="VJY160" s="719"/>
      <c r="VJZ160" s="719"/>
      <c r="VKA160" s="719"/>
      <c r="VKB160" s="719"/>
      <c r="VKC160" s="719"/>
      <c r="VKD160" s="719"/>
      <c r="VKE160" s="719"/>
      <c r="VKF160" s="719"/>
      <c r="VKG160" s="719"/>
      <c r="VKH160" s="719"/>
      <c r="VKI160" s="719"/>
      <c r="VKJ160" s="719"/>
      <c r="VKK160" s="719"/>
      <c r="VKL160" s="719"/>
      <c r="VKM160" s="719"/>
      <c r="VKN160" s="719"/>
      <c r="VKO160" s="719"/>
      <c r="VKP160" s="719"/>
      <c r="VKQ160" s="719"/>
      <c r="VKR160" s="719"/>
      <c r="VKS160" s="719"/>
      <c r="VKT160" s="719"/>
      <c r="VKU160" s="719"/>
      <c r="VKV160" s="719"/>
      <c r="VKW160" s="719"/>
      <c r="VKX160" s="719"/>
      <c r="VKY160" s="719"/>
      <c r="VKZ160" s="719"/>
      <c r="VLA160" s="719"/>
      <c r="VLB160" s="719"/>
      <c r="VLC160" s="719"/>
      <c r="VLD160" s="719"/>
      <c r="VLE160" s="719"/>
      <c r="VLF160" s="719"/>
      <c r="VLG160" s="719"/>
      <c r="VLH160" s="719"/>
      <c r="VLI160" s="719"/>
      <c r="VLJ160" s="719"/>
      <c r="VLK160" s="719"/>
      <c r="VLL160" s="719"/>
      <c r="VLM160" s="719"/>
      <c r="VLN160" s="719"/>
      <c r="VLO160" s="719"/>
      <c r="VLP160" s="719"/>
      <c r="VLQ160" s="719"/>
      <c r="VLR160" s="719"/>
      <c r="VLS160" s="719"/>
      <c r="VLT160" s="719"/>
      <c r="VLU160" s="719"/>
      <c r="VLV160" s="719"/>
      <c r="VLW160" s="719"/>
      <c r="VLX160" s="719"/>
      <c r="VLY160" s="719"/>
      <c r="VLZ160" s="719"/>
      <c r="VMA160" s="719"/>
      <c r="VMB160" s="719"/>
      <c r="VMC160" s="719"/>
      <c r="VMD160" s="719"/>
      <c r="VME160" s="719"/>
      <c r="VMF160" s="719"/>
      <c r="VMG160" s="719"/>
      <c r="VMH160" s="719"/>
      <c r="VMI160" s="719"/>
      <c r="VMJ160" s="719"/>
      <c r="VMK160" s="719"/>
      <c r="VML160" s="719"/>
      <c r="VMM160" s="719"/>
      <c r="VMN160" s="719"/>
      <c r="VMO160" s="719"/>
      <c r="VMP160" s="719"/>
      <c r="VMQ160" s="719"/>
      <c r="VMR160" s="719"/>
      <c r="VMS160" s="719"/>
      <c r="VMT160" s="719"/>
      <c r="VMU160" s="719"/>
      <c r="VMV160" s="719"/>
      <c r="VMW160" s="719"/>
      <c r="VMX160" s="719"/>
      <c r="VMY160" s="719"/>
      <c r="VMZ160" s="719"/>
      <c r="VNA160" s="719"/>
      <c r="VNB160" s="719"/>
      <c r="VNC160" s="719"/>
      <c r="VND160" s="719"/>
      <c r="VNE160" s="719"/>
      <c r="VNF160" s="719"/>
      <c r="VNG160" s="719"/>
      <c r="VNH160" s="719"/>
      <c r="VNI160" s="719"/>
      <c r="VNJ160" s="719"/>
      <c r="VNK160" s="719"/>
      <c r="VNL160" s="719"/>
      <c r="VNM160" s="719"/>
      <c r="VNN160" s="719"/>
      <c r="VNO160" s="719"/>
      <c r="VNP160" s="719"/>
      <c r="VNQ160" s="719"/>
      <c r="VNR160" s="719"/>
      <c r="VNS160" s="719"/>
      <c r="VNT160" s="719"/>
      <c r="VNU160" s="719"/>
      <c r="VNV160" s="719"/>
      <c r="VNW160" s="719"/>
      <c r="VNX160" s="719"/>
      <c r="VNY160" s="719"/>
      <c r="VNZ160" s="719"/>
      <c r="VOA160" s="719"/>
      <c r="VOB160" s="719"/>
      <c r="VOC160" s="719"/>
      <c r="VOD160" s="719"/>
      <c r="VOE160" s="719"/>
      <c r="VOF160" s="719"/>
      <c r="VOG160" s="719"/>
      <c r="VOH160" s="719"/>
      <c r="VOI160" s="719"/>
      <c r="VOJ160" s="719"/>
      <c r="VOK160" s="719"/>
      <c r="VOL160" s="719"/>
      <c r="VOM160" s="719"/>
      <c r="VON160" s="719"/>
      <c r="VOO160" s="719"/>
      <c r="VOP160" s="719"/>
      <c r="VOQ160" s="719"/>
      <c r="VOR160" s="719"/>
      <c r="VOS160" s="719"/>
      <c r="VOT160" s="719"/>
      <c r="VOU160" s="719"/>
      <c r="VOV160" s="719"/>
      <c r="VOW160" s="719"/>
      <c r="VOX160" s="719"/>
      <c r="VOY160" s="719"/>
      <c r="VOZ160" s="719"/>
      <c r="VPA160" s="719"/>
      <c r="VPB160" s="719"/>
      <c r="VPC160" s="719"/>
      <c r="VPD160" s="719"/>
      <c r="VPE160" s="719"/>
      <c r="VPF160" s="719"/>
      <c r="VPG160" s="719"/>
      <c r="VPH160" s="719"/>
      <c r="VPI160" s="719"/>
      <c r="VPJ160" s="719"/>
      <c r="VPK160" s="719"/>
      <c r="VPL160" s="719"/>
      <c r="VPM160" s="719"/>
      <c r="VPN160" s="719"/>
      <c r="VPO160" s="719"/>
      <c r="VPP160" s="719"/>
      <c r="VPQ160" s="719"/>
      <c r="VPR160" s="719"/>
      <c r="VPS160" s="719"/>
      <c r="VPT160" s="719"/>
      <c r="VPU160" s="719"/>
      <c r="VPV160" s="719"/>
      <c r="VPW160" s="719"/>
      <c r="VPX160" s="719"/>
      <c r="VPY160" s="719"/>
      <c r="VPZ160" s="719"/>
      <c r="VQA160" s="719"/>
      <c r="VQB160" s="719"/>
      <c r="VQC160" s="719"/>
      <c r="VQD160" s="719"/>
      <c r="VQE160" s="719"/>
      <c r="VQF160" s="719"/>
      <c r="VQG160" s="719"/>
      <c r="VQH160" s="719"/>
      <c r="VQI160" s="719"/>
      <c r="VQJ160" s="719"/>
      <c r="VQK160" s="719"/>
      <c r="VQL160" s="719"/>
      <c r="VQM160" s="719"/>
      <c r="VQN160" s="719"/>
      <c r="VQO160" s="719"/>
      <c r="VQP160" s="719"/>
      <c r="VQQ160" s="719"/>
      <c r="VQR160" s="719"/>
      <c r="VQS160" s="719"/>
      <c r="VQT160" s="719"/>
      <c r="VQU160" s="719"/>
      <c r="VQV160" s="719"/>
      <c r="VQW160" s="719"/>
      <c r="VQX160" s="719"/>
      <c r="VQY160" s="719"/>
      <c r="VQZ160" s="719"/>
      <c r="VRA160" s="719"/>
      <c r="VRB160" s="719"/>
      <c r="VRC160" s="719"/>
      <c r="VRD160" s="719"/>
      <c r="VRE160" s="719"/>
      <c r="VRF160" s="719"/>
      <c r="VRG160" s="719"/>
      <c r="VRH160" s="719"/>
      <c r="VRI160" s="719"/>
      <c r="VRJ160" s="719"/>
      <c r="VRK160" s="719"/>
      <c r="VRL160" s="719"/>
      <c r="VRM160" s="719"/>
      <c r="VRN160" s="719"/>
      <c r="VRO160" s="719"/>
      <c r="VRP160" s="719"/>
      <c r="VRQ160" s="719"/>
      <c r="VRR160" s="719"/>
      <c r="VRS160" s="719"/>
      <c r="VRT160" s="719"/>
      <c r="VRU160" s="719"/>
      <c r="VRV160" s="719"/>
      <c r="VRW160" s="719"/>
      <c r="VRX160" s="719"/>
      <c r="VRY160" s="719"/>
      <c r="VRZ160" s="719"/>
      <c r="VSA160" s="719"/>
      <c r="VSB160" s="719"/>
      <c r="VSC160" s="719"/>
      <c r="VSD160" s="719"/>
      <c r="VSE160" s="719"/>
      <c r="VSF160" s="719"/>
      <c r="VSG160" s="719"/>
      <c r="VSH160" s="719"/>
      <c r="VSI160" s="719"/>
      <c r="VSJ160" s="719"/>
      <c r="VSK160" s="719"/>
      <c r="VSL160" s="719"/>
      <c r="VSM160" s="719"/>
      <c r="VSN160" s="719"/>
      <c r="VSO160" s="719"/>
      <c r="VSP160" s="719"/>
      <c r="VSQ160" s="719"/>
      <c r="VSR160" s="719"/>
      <c r="VSS160" s="719"/>
      <c r="VST160" s="719"/>
      <c r="VSU160" s="719"/>
      <c r="VSV160" s="719"/>
      <c r="VSW160" s="719"/>
      <c r="VSX160" s="719"/>
      <c r="VSY160" s="719"/>
      <c r="VSZ160" s="719"/>
      <c r="VTA160" s="719"/>
      <c r="VTB160" s="719"/>
      <c r="VTC160" s="719"/>
      <c r="VTD160" s="719"/>
      <c r="VTE160" s="719"/>
      <c r="VTF160" s="719"/>
      <c r="VTG160" s="719"/>
      <c r="VTH160" s="719"/>
      <c r="VTI160" s="719"/>
      <c r="VTJ160" s="719"/>
      <c r="VTK160" s="719"/>
      <c r="VTL160" s="719"/>
      <c r="VTM160" s="719"/>
      <c r="VTN160" s="719"/>
      <c r="VTO160" s="719"/>
      <c r="VTP160" s="719"/>
      <c r="VTQ160" s="719"/>
      <c r="VTR160" s="719"/>
      <c r="VTS160" s="719"/>
      <c r="VTT160" s="719"/>
      <c r="VTU160" s="719"/>
      <c r="VTV160" s="719"/>
      <c r="VTW160" s="719"/>
      <c r="VTX160" s="719"/>
      <c r="VTY160" s="719"/>
      <c r="VTZ160" s="719"/>
      <c r="VUA160" s="719"/>
      <c r="VUB160" s="719"/>
      <c r="VUC160" s="719"/>
      <c r="VUD160" s="719"/>
      <c r="VUE160" s="719"/>
      <c r="VUF160" s="719"/>
      <c r="VUG160" s="719"/>
      <c r="VUH160" s="719"/>
      <c r="VUI160" s="719"/>
      <c r="VUJ160" s="719"/>
      <c r="VUK160" s="719"/>
      <c r="VUL160" s="719"/>
      <c r="VUM160" s="719"/>
      <c r="VUN160" s="719"/>
      <c r="VUO160" s="719"/>
      <c r="VUP160" s="719"/>
      <c r="VUQ160" s="719"/>
      <c r="VUR160" s="719"/>
      <c r="VUS160" s="719"/>
      <c r="VUT160" s="719"/>
      <c r="VUU160" s="719"/>
      <c r="VUV160" s="719"/>
      <c r="VUW160" s="719"/>
      <c r="VUX160" s="719"/>
      <c r="VUY160" s="719"/>
      <c r="VUZ160" s="719"/>
      <c r="VVA160" s="719"/>
      <c r="VVB160" s="719"/>
      <c r="VVC160" s="719"/>
      <c r="VVD160" s="719"/>
      <c r="VVE160" s="719"/>
      <c r="VVF160" s="719"/>
      <c r="VVG160" s="719"/>
      <c r="VVH160" s="719"/>
      <c r="VVI160" s="719"/>
      <c r="VVJ160" s="719"/>
      <c r="VVK160" s="719"/>
      <c r="VVL160" s="719"/>
      <c r="VVM160" s="719"/>
      <c r="VVN160" s="719"/>
      <c r="VVO160" s="719"/>
      <c r="VVP160" s="719"/>
      <c r="VVQ160" s="719"/>
      <c r="VVR160" s="719"/>
      <c r="VVS160" s="719"/>
      <c r="VVT160" s="719"/>
      <c r="VVU160" s="719"/>
      <c r="VVV160" s="719"/>
      <c r="VVW160" s="719"/>
      <c r="VVX160" s="719"/>
      <c r="VVY160" s="719"/>
      <c r="VVZ160" s="719"/>
      <c r="VWA160" s="719"/>
      <c r="VWB160" s="719"/>
      <c r="VWC160" s="719"/>
      <c r="VWD160" s="719"/>
      <c r="VWE160" s="719"/>
      <c r="VWF160" s="719"/>
      <c r="VWG160" s="719"/>
      <c r="VWH160" s="719"/>
      <c r="VWI160" s="719"/>
      <c r="VWJ160" s="719"/>
      <c r="VWK160" s="719"/>
      <c r="VWL160" s="719"/>
      <c r="VWM160" s="719"/>
      <c r="VWN160" s="719"/>
      <c r="VWO160" s="719"/>
      <c r="VWP160" s="719"/>
      <c r="VWQ160" s="719"/>
      <c r="VWR160" s="719"/>
      <c r="VWS160" s="719"/>
      <c r="VWT160" s="719"/>
      <c r="VWU160" s="719"/>
      <c r="VWV160" s="719"/>
      <c r="VWW160" s="719"/>
      <c r="VWX160" s="719"/>
      <c r="VWY160" s="719"/>
      <c r="VWZ160" s="719"/>
      <c r="VXA160" s="719"/>
      <c r="VXB160" s="719"/>
      <c r="VXC160" s="719"/>
      <c r="VXD160" s="719"/>
      <c r="VXE160" s="719"/>
      <c r="VXF160" s="719"/>
      <c r="VXG160" s="719"/>
      <c r="VXH160" s="719"/>
      <c r="VXI160" s="719"/>
      <c r="VXJ160" s="719"/>
      <c r="VXK160" s="719"/>
      <c r="VXL160" s="719"/>
      <c r="VXM160" s="719"/>
      <c r="VXN160" s="719"/>
      <c r="VXO160" s="719"/>
      <c r="VXP160" s="719"/>
      <c r="VXQ160" s="719"/>
      <c r="VXR160" s="719"/>
      <c r="VXS160" s="719"/>
      <c r="VXT160" s="719"/>
      <c r="VXU160" s="719"/>
      <c r="VXV160" s="719"/>
      <c r="VXW160" s="719"/>
      <c r="VXX160" s="719"/>
      <c r="VXY160" s="719"/>
      <c r="VXZ160" s="719"/>
      <c r="VYA160" s="719"/>
      <c r="VYB160" s="719"/>
      <c r="VYC160" s="719"/>
      <c r="VYD160" s="719"/>
      <c r="VYE160" s="719"/>
      <c r="VYF160" s="719"/>
      <c r="VYG160" s="719"/>
      <c r="VYH160" s="719"/>
      <c r="VYI160" s="719"/>
      <c r="VYJ160" s="719"/>
      <c r="VYK160" s="719"/>
      <c r="VYL160" s="719"/>
      <c r="VYM160" s="719"/>
      <c r="VYN160" s="719"/>
      <c r="VYO160" s="719"/>
      <c r="VYP160" s="719"/>
      <c r="VYQ160" s="719"/>
      <c r="VYR160" s="719"/>
      <c r="VYS160" s="719"/>
      <c r="VYT160" s="719"/>
      <c r="VYU160" s="719"/>
      <c r="VYV160" s="719"/>
      <c r="VYW160" s="719"/>
      <c r="VYX160" s="719"/>
      <c r="VYY160" s="719"/>
      <c r="VYZ160" s="719"/>
      <c r="VZA160" s="719"/>
      <c r="VZB160" s="719"/>
      <c r="VZC160" s="719"/>
      <c r="VZD160" s="719"/>
      <c r="VZE160" s="719"/>
      <c r="VZF160" s="719"/>
      <c r="VZG160" s="719"/>
      <c r="VZH160" s="719"/>
      <c r="VZI160" s="719"/>
      <c r="VZJ160" s="719"/>
      <c r="VZK160" s="719"/>
      <c r="VZL160" s="719"/>
      <c r="VZM160" s="719"/>
      <c r="VZN160" s="719"/>
      <c r="VZO160" s="719"/>
      <c r="VZP160" s="719"/>
      <c r="VZQ160" s="719"/>
      <c r="VZR160" s="719"/>
      <c r="VZS160" s="719"/>
      <c r="VZT160" s="719"/>
      <c r="VZU160" s="719"/>
      <c r="VZV160" s="719"/>
      <c r="VZW160" s="719"/>
      <c r="VZX160" s="719"/>
      <c r="VZY160" s="719"/>
      <c r="VZZ160" s="719"/>
      <c r="WAA160" s="719"/>
      <c r="WAB160" s="719"/>
      <c r="WAC160" s="719"/>
      <c r="WAD160" s="719"/>
      <c r="WAE160" s="719"/>
      <c r="WAF160" s="719"/>
      <c r="WAG160" s="719"/>
      <c r="WAH160" s="719"/>
      <c r="WAI160" s="719"/>
      <c r="WAJ160" s="719"/>
      <c r="WAK160" s="719"/>
      <c r="WAL160" s="719"/>
      <c r="WAM160" s="719"/>
      <c r="WAN160" s="719"/>
      <c r="WAO160" s="719"/>
      <c r="WAP160" s="719"/>
      <c r="WAQ160" s="719"/>
      <c r="WAR160" s="719"/>
      <c r="WAS160" s="719"/>
      <c r="WAT160" s="719"/>
      <c r="WAU160" s="719"/>
      <c r="WAV160" s="719"/>
      <c r="WAW160" s="719"/>
      <c r="WAX160" s="719"/>
      <c r="WAY160" s="719"/>
      <c r="WAZ160" s="719"/>
      <c r="WBA160" s="719"/>
      <c r="WBB160" s="719"/>
      <c r="WBC160" s="719"/>
      <c r="WBD160" s="719"/>
      <c r="WBE160" s="719"/>
      <c r="WBF160" s="719"/>
      <c r="WBG160" s="719"/>
      <c r="WBH160" s="719"/>
      <c r="WBI160" s="719"/>
      <c r="WBJ160" s="719"/>
      <c r="WBK160" s="719"/>
      <c r="WBL160" s="719"/>
      <c r="WBM160" s="719"/>
      <c r="WBN160" s="719"/>
      <c r="WBO160" s="719"/>
      <c r="WBP160" s="719"/>
      <c r="WBQ160" s="719"/>
      <c r="WBR160" s="719"/>
      <c r="WBS160" s="719"/>
      <c r="WBT160" s="719"/>
      <c r="WBU160" s="719"/>
      <c r="WBV160" s="719"/>
      <c r="WBW160" s="719"/>
      <c r="WBX160" s="719"/>
      <c r="WBY160" s="719"/>
      <c r="WBZ160" s="719"/>
      <c r="WCA160" s="719"/>
      <c r="WCB160" s="719"/>
      <c r="WCC160" s="719"/>
      <c r="WCD160" s="719"/>
      <c r="WCE160" s="719"/>
      <c r="WCF160" s="719"/>
      <c r="WCG160" s="719"/>
      <c r="WCH160" s="719"/>
      <c r="WCI160" s="719"/>
      <c r="WCJ160" s="719"/>
      <c r="WCK160" s="719"/>
      <c r="WCL160" s="719"/>
      <c r="WCM160" s="719"/>
      <c r="WCN160" s="719"/>
      <c r="WCO160" s="719"/>
      <c r="WCP160" s="719"/>
      <c r="WCQ160" s="719"/>
      <c r="WCR160" s="719"/>
      <c r="WCS160" s="719"/>
      <c r="WCT160" s="719"/>
      <c r="WCU160" s="719"/>
      <c r="WCV160" s="719"/>
      <c r="WCW160" s="719"/>
      <c r="WCX160" s="719"/>
      <c r="WCY160" s="719"/>
      <c r="WCZ160" s="719"/>
      <c r="WDA160" s="719"/>
      <c r="WDB160" s="719"/>
      <c r="WDC160" s="719"/>
      <c r="WDD160" s="719"/>
      <c r="WDE160" s="719"/>
      <c r="WDF160" s="719"/>
      <c r="WDG160" s="719"/>
      <c r="WDH160" s="719"/>
      <c r="WDI160" s="719"/>
      <c r="WDJ160" s="719"/>
      <c r="WDK160" s="719"/>
      <c r="WDL160" s="719"/>
      <c r="WDM160" s="719"/>
      <c r="WDN160" s="719"/>
      <c r="WDO160" s="719"/>
      <c r="WDP160" s="719"/>
      <c r="WDQ160" s="719"/>
      <c r="WDR160" s="719"/>
      <c r="WDS160" s="719"/>
      <c r="WDT160" s="719"/>
      <c r="WDU160" s="719"/>
      <c r="WDV160" s="719"/>
      <c r="WDW160" s="719"/>
      <c r="WDX160" s="719"/>
      <c r="WDY160" s="719"/>
      <c r="WDZ160" s="719"/>
      <c r="WEA160" s="719"/>
      <c r="WEB160" s="719"/>
      <c r="WEC160" s="719"/>
      <c r="WED160" s="719"/>
      <c r="WEE160" s="719"/>
      <c r="WEF160" s="719"/>
      <c r="WEG160" s="719"/>
      <c r="WEH160" s="719"/>
      <c r="WEI160" s="719"/>
      <c r="WEJ160" s="719"/>
      <c r="WEK160" s="719"/>
      <c r="WEL160" s="719"/>
      <c r="WEM160" s="719"/>
      <c r="WEN160" s="719"/>
      <c r="WEO160" s="719"/>
      <c r="WEP160" s="719"/>
      <c r="WEQ160" s="719"/>
      <c r="WER160" s="719"/>
      <c r="WES160" s="719"/>
      <c r="WET160" s="719"/>
      <c r="WEU160" s="719"/>
      <c r="WEV160" s="719"/>
      <c r="WEW160" s="719"/>
      <c r="WEX160" s="719"/>
      <c r="WEY160" s="719"/>
      <c r="WEZ160" s="719"/>
      <c r="WFA160" s="719"/>
      <c r="WFB160" s="719"/>
      <c r="WFC160" s="719"/>
      <c r="WFD160" s="719"/>
      <c r="WFE160" s="719"/>
      <c r="WFF160" s="719"/>
      <c r="WFG160" s="719"/>
      <c r="WFH160" s="719"/>
      <c r="WFI160" s="719"/>
      <c r="WFJ160" s="719"/>
      <c r="WFK160" s="719"/>
      <c r="WFL160" s="719"/>
      <c r="WFM160" s="719"/>
      <c r="WFN160" s="719"/>
      <c r="WFO160" s="719"/>
      <c r="WFP160" s="719"/>
      <c r="WFQ160" s="719"/>
      <c r="WFR160" s="719"/>
      <c r="WFS160" s="719"/>
      <c r="WFT160" s="719"/>
      <c r="WFU160" s="719"/>
      <c r="WFV160" s="719"/>
      <c r="WFW160" s="719"/>
      <c r="WFX160" s="719"/>
      <c r="WFY160" s="719"/>
      <c r="WFZ160" s="719"/>
      <c r="WGA160" s="719"/>
      <c r="WGB160" s="719"/>
      <c r="WGC160" s="719"/>
      <c r="WGD160" s="719"/>
      <c r="WGE160" s="719"/>
      <c r="WGF160" s="719"/>
      <c r="WGG160" s="719"/>
      <c r="WGH160" s="719"/>
      <c r="WGI160" s="719"/>
      <c r="WGJ160" s="719"/>
      <c r="WGK160" s="719"/>
      <c r="WGL160" s="719"/>
      <c r="WGM160" s="719"/>
      <c r="WGN160" s="719"/>
      <c r="WGO160" s="719"/>
      <c r="WGP160" s="719"/>
      <c r="WGQ160" s="719"/>
      <c r="WGR160" s="719"/>
      <c r="WGS160" s="719"/>
      <c r="WGT160" s="719"/>
      <c r="WGU160" s="719"/>
      <c r="WGV160" s="719"/>
      <c r="WGW160" s="719"/>
      <c r="WGX160" s="719"/>
      <c r="WGY160" s="719"/>
      <c r="WGZ160" s="719"/>
      <c r="WHA160" s="719"/>
      <c r="WHB160" s="719"/>
      <c r="WHC160" s="719"/>
      <c r="WHD160" s="719"/>
      <c r="WHE160" s="719"/>
      <c r="WHF160" s="719"/>
      <c r="WHG160" s="719"/>
      <c r="WHH160" s="719"/>
      <c r="WHI160" s="719"/>
      <c r="WHJ160" s="719"/>
      <c r="WHK160" s="719"/>
      <c r="WHL160" s="719"/>
      <c r="WHM160" s="719"/>
      <c r="WHN160" s="719"/>
      <c r="WHO160" s="719"/>
      <c r="WHP160" s="719"/>
      <c r="WHQ160" s="719"/>
      <c r="WHR160" s="719"/>
      <c r="WHS160" s="719"/>
      <c r="WHT160" s="719"/>
      <c r="WHU160" s="719"/>
      <c r="WHV160" s="719"/>
      <c r="WHW160" s="719"/>
      <c r="WHX160" s="719"/>
      <c r="WHY160" s="719"/>
      <c r="WHZ160" s="719"/>
      <c r="WIA160" s="719"/>
      <c r="WIB160" s="719"/>
      <c r="WIC160" s="719"/>
      <c r="WID160" s="719"/>
      <c r="WIE160" s="719"/>
      <c r="WIF160" s="719"/>
      <c r="WIG160" s="719"/>
      <c r="WIH160" s="719"/>
      <c r="WII160" s="719"/>
      <c r="WIJ160" s="719"/>
      <c r="WIK160" s="719"/>
      <c r="WIL160" s="719"/>
      <c r="WIM160" s="719"/>
      <c r="WIN160" s="719"/>
      <c r="WIO160" s="719"/>
      <c r="WIP160" s="719"/>
      <c r="WIQ160" s="719"/>
      <c r="WIR160" s="719"/>
      <c r="WIS160" s="719"/>
      <c r="WIT160" s="719"/>
      <c r="WIU160" s="719"/>
      <c r="WIV160" s="719"/>
      <c r="WIW160" s="719"/>
      <c r="WIX160" s="719"/>
      <c r="WIY160" s="719"/>
      <c r="WIZ160" s="719"/>
      <c r="WJA160" s="719"/>
      <c r="WJB160" s="719"/>
      <c r="WJC160" s="719"/>
      <c r="WJD160" s="719"/>
      <c r="WJE160" s="719"/>
      <c r="WJF160" s="719"/>
      <c r="WJG160" s="719"/>
      <c r="WJH160" s="719"/>
      <c r="WJI160" s="719"/>
      <c r="WJJ160" s="719"/>
      <c r="WJK160" s="719"/>
      <c r="WJL160" s="719"/>
      <c r="WJM160" s="719"/>
      <c r="WJN160" s="719"/>
      <c r="WJO160" s="719"/>
      <c r="WJP160" s="719"/>
      <c r="WJQ160" s="719"/>
      <c r="WJR160" s="719"/>
      <c r="WJS160" s="719"/>
      <c r="WJT160" s="719"/>
      <c r="WJU160" s="719"/>
      <c r="WJV160" s="719"/>
      <c r="WJW160" s="719"/>
      <c r="WJX160" s="719"/>
      <c r="WJY160" s="719"/>
      <c r="WJZ160" s="719"/>
      <c r="WKA160" s="719"/>
      <c r="WKB160" s="719"/>
      <c r="WKC160" s="719"/>
      <c r="WKD160" s="719"/>
      <c r="WKE160" s="719"/>
      <c r="WKF160" s="719"/>
      <c r="WKG160" s="719"/>
      <c r="WKH160" s="719"/>
      <c r="WKI160" s="719"/>
      <c r="WKJ160" s="719"/>
      <c r="WKK160" s="719"/>
      <c r="WKL160" s="719"/>
      <c r="WKM160" s="719"/>
      <c r="WKN160" s="719"/>
      <c r="WKO160" s="719"/>
      <c r="WKP160" s="719"/>
      <c r="WKQ160" s="719"/>
      <c r="WKR160" s="719"/>
      <c r="WKS160" s="719"/>
      <c r="WKT160" s="719"/>
      <c r="WKU160" s="719"/>
      <c r="WKV160" s="719"/>
      <c r="WKW160" s="719"/>
      <c r="WKX160" s="719"/>
      <c r="WKY160" s="719"/>
      <c r="WKZ160" s="719"/>
      <c r="WLA160" s="719"/>
      <c r="WLB160" s="719"/>
      <c r="WLC160" s="719"/>
      <c r="WLD160" s="719"/>
      <c r="WLE160" s="719"/>
      <c r="WLF160" s="719"/>
      <c r="WLG160" s="719"/>
      <c r="WLH160" s="719"/>
      <c r="WLI160" s="719"/>
      <c r="WLJ160" s="719"/>
      <c r="WLK160" s="719"/>
      <c r="WLL160" s="719"/>
      <c r="WLM160" s="719"/>
      <c r="WLN160" s="719"/>
      <c r="WLO160" s="719"/>
      <c r="WLP160" s="719"/>
      <c r="WLQ160" s="719"/>
      <c r="WLR160" s="719"/>
      <c r="WLS160" s="719"/>
      <c r="WLT160" s="719"/>
      <c r="WLU160" s="719"/>
      <c r="WLV160" s="719"/>
      <c r="WLW160" s="719"/>
      <c r="WLX160" s="719"/>
      <c r="WLY160" s="719"/>
      <c r="WLZ160" s="719"/>
      <c r="WMA160" s="719"/>
      <c r="WMB160" s="719"/>
      <c r="WMC160" s="719"/>
      <c r="WMD160" s="719"/>
      <c r="WME160" s="719"/>
      <c r="WMF160" s="719"/>
      <c r="WMG160" s="719"/>
      <c r="WMH160" s="719"/>
      <c r="WMI160" s="719"/>
      <c r="WMJ160" s="719"/>
      <c r="WMK160" s="719"/>
      <c r="WML160" s="719"/>
      <c r="WMM160" s="719"/>
      <c r="WMN160" s="719"/>
      <c r="WMO160" s="719"/>
      <c r="WMP160" s="719"/>
      <c r="WMQ160" s="719"/>
      <c r="WMR160" s="719"/>
      <c r="WMS160" s="719"/>
      <c r="WMT160" s="719"/>
      <c r="WMU160" s="719"/>
      <c r="WMV160" s="719"/>
      <c r="WMW160" s="719"/>
      <c r="WMX160" s="719"/>
      <c r="WMY160" s="719"/>
      <c r="WMZ160" s="719"/>
      <c r="WNA160" s="719"/>
      <c r="WNB160" s="719"/>
      <c r="WNC160" s="719"/>
      <c r="WND160" s="719"/>
      <c r="WNE160" s="719"/>
      <c r="WNF160" s="719"/>
      <c r="WNG160" s="719"/>
      <c r="WNH160" s="719"/>
      <c r="WNI160" s="719"/>
      <c r="WNJ160" s="719"/>
      <c r="WNK160" s="719"/>
      <c r="WNL160" s="719"/>
      <c r="WNM160" s="719"/>
      <c r="WNN160" s="719"/>
      <c r="WNO160" s="719"/>
      <c r="WNP160" s="719"/>
      <c r="WNQ160" s="719"/>
      <c r="WNR160" s="719"/>
      <c r="WNS160" s="719"/>
      <c r="WNT160" s="719"/>
      <c r="WNU160" s="719"/>
      <c r="WNV160" s="719"/>
      <c r="WNW160" s="719"/>
      <c r="WNX160" s="719"/>
      <c r="WNY160" s="719"/>
      <c r="WNZ160" s="719"/>
      <c r="WOA160" s="719"/>
      <c r="WOB160" s="719"/>
      <c r="WOC160" s="719"/>
      <c r="WOD160" s="719"/>
      <c r="WOE160" s="719"/>
      <c r="WOF160" s="719"/>
      <c r="WOG160" s="719"/>
      <c r="WOH160" s="719"/>
      <c r="WOI160" s="719"/>
      <c r="WOJ160" s="719"/>
      <c r="WOK160" s="719"/>
      <c r="WOL160" s="719"/>
      <c r="WOM160" s="719"/>
      <c r="WON160" s="719"/>
      <c r="WOO160" s="719"/>
      <c r="WOP160" s="719"/>
      <c r="WOQ160" s="719"/>
      <c r="WOR160" s="719"/>
      <c r="WOS160" s="719"/>
      <c r="WOT160" s="719"/>
      <c r="WOU160" s="719"/>
      <c r="WOV160" s="719"/>
      <c r="WOW160" s="719"/>
      <c r="WOX160" s="719"/>
      <c r="WOY160" s="719"/>
      <c r="WOZ160" s="719"/>
      <c r="WPA160" s="719"/>
      <c r="WPB160" s="719"/>
      <c r="WPC160" s="719"/>
      <c r="WPD160" s="719"/>
      <c r="WPE160" s="719"/>
      <c r="WPF160" s="719"/>
      <c r="WPG160" s="719"/>
      <c r="WPH160" s="719"/>
      <c r="WPI160" s="719"/>
      <c r="WPJ160" s="719"/>
      <c r="WPK160" s="719"/>
      <c r="WPL160" s="719"/>
      <c r="WPM160" s="719"/>
      <c r="WPN160" s="719"/>
      <c r="WPO160" s="719"/>
      <c r="WPP160" s="719"/>
      <c r="WPQ160" s="719"/>
      <c r="WPR160" s="719"/>
      <c r="WPS160" s="719"/>
      <c r="WPT160" s="719"/>
      <c r="WPU160" s="719"/>
      <c r="WPV160" s="719"/>
      <c r="WPW160" s="719"/>
      <c r="WPX160" s="719"/>
      <c r="WPY160" s="719"/>
      <c r="WPZ160" s="719"/>
      <c r="WQA160" s="719"/>
      <c r="WQB160" s="719"/>
      <c r="WQC160" s="719"/>
      <c r="WQD160" s="719"/>
      <c r="WQE160" s="719"/>
      <c r="WQF160" s="719"/>
      <c r="WQG160" s="719"/>
      <c r="WQH160" s="719"/>
      <c r="WQI160" s="719"/>
      <c r="WQJ160" s="719"/>
      <c r="WQK160" s="719"/>
      <c r="WQL160" s="719"/>
      <c r="WQM160" s="719"/>
      <c r="WQN160" s="719"/>
      <c r="WQO160" s="719"/>
      <c r="WQP160" s="719"/>
      <c r="WQQ160" s="719"/>
      <c r="WQR160" s="719"/>
      <c r="WQS160" s="719"/>
      <c r="WQT160" s="719"/>
      <c r="WQU160" s="719"/>
      <c r="WQV160" s="719"/>
      <c r="WQW160" s="719"/>
      <c r="WQX160" s="719"/>
      <c r="WQY160" s="719"/>
      <c r="WQZ160" s="719"/>
      <c r="WRA160" s="719"/>
      <c r="WRB160" s="719"/>
      <c r="WRC160" s="719"/>
      <c r="WRD160" s="719"/>
      <c r="WRE160" s="719"/>
      <c r="WRF160" s="719"/>
      <c r="WRG160" s="719"/>
      <c r="WRH160" s="719"/>
      <c r="WRI160" s="719"/>
      <c r="WRJ160" s="719"/>
      <c r="WRK160" s="719"/>
      <c r="WRL160" s="719"/>
      <c r="WRM160" s="719"/>
      <c r="WRN160" s="719"/>
      <c r="WRO160" s="719"/>
      <c r="WRP160" s="719"/>
      <c r="WRQ160" s="719"/>
      <c r="WRR160" s="719"/>
      <c r="WRS160" s="719"/>
      <c r="WRT160" s="719"/>
      <c r="WRU160" s="719"/>
      <c r="WRV160" s="719"/>
      <c r="WRW160" s="719"/>
      <c r="WRX160" s="719"/>
      <c r="WRY160" s="719"/>
      <c r="WRZ160" s="719"/>
      <c r="WSA160" s="719"/>
      <c r="WSB160" s="719"/>
      <c r="WSC160" s="719"/>
      <c r="WSD160" s="719"/>
      <c r="WSE160" s="719"/>
      <c r="WSF160" s="719"/>
      <c r="WSG160" s="719"/>
      <c r="WSH160" s="719"/>
      <c r="WSI160" s="719"/>
      <c r="WSJ160" s="719"/>
      <c r="WSK160" s="719"/>
      <c r="WSL160" s="719"/>
      <c r="WSM160" s="719"/>
      <c r="WSN160" s="719"/>
      <c r="WSO160" s="719"/>
      <c r="WSP160" s="719"/>
      <c r="WSQ160" s="719"/>
      <c r="WSR160" s="719"/>
      <c r="WSS160" s="719"/>
      <c r="WST160" s="719"/>
      <c r="WSU160" s="719"/>
      <c r="WSV160" s="719"/>
      <c r="WSW160" s="719"/>
      <c r="WSX160" s="719"/>
      <c r="WSY160" s="719"/>
      <c r="WSZ160" s="719"/>
      <c r="WTA160" s="719"/>
      <c r="WTB160" s="719"/>
      <c r="WTC160" s="719"/>
      <c r="WTD160" s="719"/>
      <c r="WTE160" s="719"/>
      <c r="WTF160" s="719"/>
      <c r="WTG160" s="719"/>
      <c r="WTH160" s="719"/>
      <c r="WTI160" s="719"/>
      <c r="WTJ160" s="719"/>
      <c r="WTK160" s="719"/>
      <c r="WTL160" s="719"/>
      <c r="WTM160" s="719"/>
      <c r="WTN160" s="719"/>
      <c r="WTO160" s="719"/>
      <c r="WTP160" s="719"/>
      <c r="WTQ160" s="719"/>
      <c r="WTR160" s="719"/>
      <c r="WTS160" s="719"/>
      <c r="WTT160" s="719"/>
      <c r="WTU160" s="719"/>
      <c r="WTV160" s="719"/>
      <c r="WTW160" s="719"/>
      <c r="WTX160" s="719"/>
      <c r="WTY160" s="719"/>
      <c r="WTZ160" s="719"/>
      <c r="WUA160" s="719"/>
      <c r="WUB160" s="719"/>
      <c r="WUC160" s="719"/>
      <c r="WUD160" s="719"/>
      <c r="WUE160" s="719"/>
      <c r="WUF160" s="719"/>
      <c r="WUG160" s="719"/>
      <c r="WUH160" s="719"/>
      <c r="WUI160" s="719"/>
      <c r="WUJ160" s="719"/>
      <c r="WUK160" s="719"/>
      <c r="WUL160" s="719"/>
      <c r="WUM160" s="719"/>
      <c r="WUN160" s="719"/>
      <c r="WUO160" s="719"/>
      <c r="WUP160" s="719"/>
      <c r="WUQ160" s="719"/>
      <c r="WUR160" s="719"/>
      <c r="WUS160" s="719"/>
      <c r="WUT160" s="719"/>
      <c r="WUU160" s="719"/>
      <c r="WUV160" s="719"/>
      <c r="WUW160" s="719"/>
      <c r="WUX160" s="719"/>
      <c r="WUY160" s="719"/>
      <c r="WUZ160" s="719"/>
      <c r="WVA160" s="719"/>
      <c r="WVB160" s="719"/>
      <c r="WVC160" s="719"/>
      <c r="WVD160" s="719"/>
      <c r="WVE160" s="719"/>
      <c r="WVF160" s="719"/>
      <c r="WVG160" s="719"/>
      <c r="WVH160" s="719"/>
      <c r="WVI160" s="719"/>
      <c r="WVJ160" s="719"/>
      <c r="WVK160" s="719"/>
      <c r="WVL160" s="719"/>
      <c r="WVM160" s="719"/>
      <c r="WVN160" s="719"/>
      <c r="WVO160" s="719"/>
      <c r="WVP160" s="719"/>
      <c r="WVQ160" s="719"/>
      <c r="WVR160" s="719"/>
      <c r="WVS160" s="719"/>
      <c r="WVT160" s="719"/>
      <c r="WVU160" s="719"/>
      <c r="WVV160" s="719"/>
      <c r="WVW160" s="719"/>
      <c r="WVX160" s="719"/>
      <c r="WVY160" s="719"/>
      <c r="WVZ160" s="719"/>
      <c r="WWA160" s="719"/>
      <c r="WWB160" s="719"/>
      <c r="WWC160" s="719"/>
      <c r="WWD160" s="719"/>
      <c r="WWE160" s="719"/>
      <c r="WWF160" s="719"/>
      <c r="WWG160" s="719"/>
      <c r="WWH160" s="719"/>
      <c r="WWI160" s="719"/>
      <c r="WWJ160" s="719"/>
      <c r="WWK160" s="719"/>
      <c r="WWL160" s="719"/>
      <c r="WWM160" s="719"/>
      <c r="WWN160" s="719"/>
      <c r="WWO160" s="719"/>
      <c r="WWP160" s="719"/>
      <c r="WWQ160" s="719"/>
      <c r="WWR160" s="719"/>
      <c r="WWS160" s="719"/>
      <c r="WWT160" s="719"/>
      <c r="WWU160" s="719"/>
      <c r="WWV160" s="719"/>
      <c r="WWW160" s="719"/>
      <c r="WWX160" s="719"/>
      <c r="WWY160" s="719"/>
      <c r="WWZ160" s="719"/>
      <c r="WXA160" s="719"/>
      <c r="WXB160" s="719"/>
      <c r="WXC160" s="719"/>
      <c r="WXD160" s="719"/>
      <c r="WXE160" s="719"/>
      <c r="WXF160" s="719"/>
      <c r="WXG160" s="719"/>
      <c r="WXH160" s="719"/>
      <c r="WXI160" s="719"/>
      <c r="WXJ160" s="719"/>
      <c r="WXK160" s="719"/>
      <c r="WXL160" s="719"/>
      <c r="WXM160" s="719"/>
      <c r="WXN160" s="719"/>
      <c r="WXO160" s="719"/>
      <c r="WXP160" s="719"/>
      <c r="WXQ160" s="719"/>
      <c r="WXR160" s="719"/>
      <c r="WXS160" s="719"/>
      <c r="WXT160" s="719"/>
      <c r="WXU160" s="719"/>
      <c r="WXV160" s="719"/>
      <c r="WXW160" s="719"/>
      <c r="WXX160" s="719"/>
      <c r="WXY160" s="719"/>
      <c r="WXZ160" s="719"/>
      <c r="WYA160" s="719"/>
      <c r="WYB160" s="719"/>
      <c r="WYC160" s="719"/>
      <c r="WYD160" s="719"/>
      <c r="WYE160" s="719"/>
      <c r="WYF160" s="719"/>
      <c r="WYG160" s="719"/>
      <c r="WYH160" s="719"/>
      <c r="WYI160" s="719"/>
      <c r="WYJ160" s="719"/>
      <c r="WYK160" s="719"/>
      <c r="WYL160" s="719"/>
      <c r="WYM160" s="719"/>
      <c r="WYN160" s="719"/>
      <c r="WYO160" s="719"/>
      <c r="WYP160" s="719"/>
      <c r="WYQ160" s="719"/>
      <c r="WYR160" s="719"/>
      <c r="WYS160" s="719"/>
      <c r="WYT160" s="719"/>
      <c r="WYU160" s="719"/>
      <c r="WYV160" s="719"/>
      <c r="WYW160" s="719"/>
      <c r="WYX160" s="719"/>
      <c r="WYY160" s="719"/>
      <c r="WYZ160" s="719"/>
      <c r="WZA160" s="719"/>
      <c r="WZB160" s="719"/>
      <c r="WZC160" s="719"/>
      <c r="WZD160" s="719"/>
      <c r="WZE160" s="719"/>
      <c r="WZF160" s="719"/>
      <c r="WZG160" s="719"/>
      <c r="WZH160" s="719"/>
      <c r="WZI160" s="719"/>
      <c r="WZJ160" s="719"/>
      <c r="WZK160" s="719"/>
      <c r="WZL160" s="719"/>
      <c r="WZM160" s="719"/>
      <c r="WZN160" s="719"/>
      <c r="WZO160" s="719"/>
      <c r="WZP160" s="719"/>
      <c r="WZQ160" s="719"/>
      <c r="WZR160" s="719"/>
      <c r="WZS160" s="719"/>
      <c r="WZT160" s="719"/>
      <c r="WZU160" s="719"/>
      <c r="WZV160" s="719"/>
      <c r="WZW160" s="719"/>
      <c r="WZX160" s="719"/>
      <c r="WZY160" s="719"/>
      <c r="WZZ160" s="719"/>
      <c r="XAA160" s="719"/>
      <c r="XAB160" s="719"/>
      <c r="XAC160" s="719"/>
      <c r="XAD160" s="719"/>
      <c r="XAE160" s="719"/>
      <c r="XAF160" s="719"/>
      <c r="XAG160" s="719"/>
      <c r="XAH160" s="719"/>
      <c r="XAI160" s="719"/>
      <c r="XAJ160" s="719"/>
      <c r="XAK160" s="719"/>
      <c r="XAL160" s="719"/>
      <c r="XAM160" s="719"/>
      <c r="XAN160" s="719"/>
      <c r="XAO160" s="719"/>
      <c r="XAP160" s="719"/>
      <c r="XAQ160" s="719"/>
      <c r="XAR160" s="719"/>
      <c r="XAS160" s="719"/>
      <c r="XAT160" s="719"/>
      <c r="XAU160" s="719"/>
      <c r="XAV160" s="719"/>
      <c r="XAW160" s="719"/>
      <c r="XAX160" s="719"/>
      <c r="XAY160" s="719"/>
      <c r="XAZ160" s="719"/>
      <c r="XBA160" s="719"/>
      <c r="XBB160" s="719"/>
      <c r="XBC160" s="719"/>
      <c r="XBD160" s="719"/>
      <c r="XBE160" s="719"/>
      <c r="XBF160" s="719"/>
      <c r="XBG160" s="719"/>
      <c r="XBH160" s="719"/>
      <c r="XBI160" s="719"/>
      <c r="XBJ160" s="719"/>
      <c r="XBK160" s="719"/>
      <c r="XBL160" s="719"/>
      <c r="XBM160" s="719"/>
      <c r="XBN160" s="719"/>
      <c r="XBO160" s="719"/>
      <c r="XBP160" s="719"/>
      <c r="XBQ160" s="719"/>
      <c r="XBR160" s="719"/>
      <c r="XBS160" s="719"/>
      <c r="XBT160" s="719"/>
      <c r="XBU160" s="719"/>
      <c r="XBV160" s="719"/>
      <c r="XBW160" s="719"/>
      <c r="XBX160" s="719"/>
      <c r="XBY160" s="719"/>
      <c r="XBZ160" s="719"/>
      <c r="XCA160" s="719"/>
      <c r="XCB160" s="719"/>
      <c r="XCC160" s="719"/>
      <c r="XCD160" s="719"/>
      <c r="XCE160" s="719"/>
      <c r="XCF160" s="719"/>
      <c r="XCG160" s="719"/>
      <c r="XCH160" s="719"/>
      <c r="XCI160" s="719"/>
      <c r="XCJ160" s="719"/>
      <c r="XCK160" s="719"/>
      <c r="XCL160" s="719"/>
      <c r="XCM160" s="719"/>
      <c r="XCN160" s="719"/>
      <c r="XCO160" s="719"/>
      <c r="XCP160" s="719"/>
      <c r="XCQ160" s="719"/>
      <c r="XCR160" s="719"/>
      <c r="XCS160" s="719"/>
      <c r="XCT160" s="719"/>
      <c r="XCU160" s="719"/>
      <c r="XCV160" s="719"/>
      <c r="XCW160" s="719"/>
      <c r="XCX160" s="719"/>
      <c r="XCY160" s="719"/>
      <c r="XCZ160" s="719"/>
      <c r="XDA160" s="719"/>
      <c r="XDB160" s="719"/>
      <c r="XDC160" s="719"/>
      <c r="XDD160" s="719"/>
      <c r="XDE160" s="719"/>
      <c r="XDF160" s="719"/>
      <c r="XDG160" s="719"/>
      <c r="XDH160" s="719"/>
      <c r="XDI160" s="719"/>
      <c r="XDJ160" s="719"/>
      <c r="XDK160" s="719"/>
      <c r="XDL160" s="719"/>
      <c r="XDM160" s="719"/>
      <c r="XDN160" s="719"/>
      <c r="XDO160" s="719"/>
      <c r="XDP160" s="719"/>
      <c r="XDQ160" s="719"/>
      <c r="XDR160" s="719"/>
      <c r="XDS160" s="719"/>
      <c r="XDT160" s="719"/>
      <c r="XDU160" s="719"/>
      <c r="XDV160" s="719"/>
      <c r="XDW160" s="719"/>
      <c r="XDX160" s="719"/>
      <c r="XDY160" s="719"/>
      <c r="XDZ160" s="719"/>
      <c r="XEA160" s="719"/>
      <c r="XEB160" s="719"/>
      <c r="XEC160" s="719"/>
      <c r="XED160" s="719"/>
      <c r="XEE160" s="719"/>
      <c r="XEF160" s="719"/>
      <c r="XEG160" s="719"/>
      <c r="XEH160" s="719"/>
      <c r="XEI160" s="719"/>
      <c r="XEJ160" s="719"/>
      <c r="XEK160" s="719"/>
      <c r="XEL160" s="719"/>
      <c r="XEM160" s="719"/>
      <c r="XEN160" s="719"/>
      <c r="XEO160" s="719"/>
      <c r="XEP160" s="719"/>
      <c r="XEQ160" s="719"/>
      <c r="XER160" s="719"/>
      <c r="XES160" s="719"/>
      <c r="XET160" s="719"/>
      <c r="XEU160" s="719"/>
      <c r="XEV160" s="719"/>
      <c r="XEW160" s="719"/>
      <c r="XEX160" s="719"/>
      <c r="XEY160" s="719"/>
      <c r="XEZ160" s="719"/>
      <c r="XFA160" s="719"/>
      <c r="XFB160" s="719"/>
      <c r="XFC160" s="719"/>
      <c r="XFD160" s="719"/>
    </row>
    <row r="162" spans="1:7" s="376" customFormat="1" ht="23.25" customHeight="1" x14ac:dyDescent="0.3">
      <c r="A162" s="720" t="s">
        <v>503</v>
      </c>
      <c r="B162" s="721"/>
      <c r="C162" s="721"/>
      <c r="D162" s="721"/>
      <c r="E162"/>
      <c r="F162"/>
      <c r="G162"/>
    </row>
    <row r="163" spans="1:7" s="376" customFormat="1" ht="18" customHeight="1" x14ac:dyDescent="0.25">
      <c r="A163" s="535" t="s">
        <v>504</v>
      </c>
      <c r="B163" s="536" t="s">
        <v>505</v>
      </c>
      <c r="C163" s="536" t="s">
        <v>506</v>
      </c>
      <c r="D163" s="537" t="s">
        <v>497</v>
      </c>
      <c r="E163" s="4"/>
      <c r="F163" s="4"/>
      <c r="G163" s="4"/>
    </row>
    <row r="164" spans="1:7" s="376" customFormat="1" ht="15" customHeight="1" x14ac:dyDescent="0.25">
      <c r="A164" s="414">
        <v>30000</v>
      </c>
      <c r="B164" s="415" t="s">
        <v>507</v>
      </c>
      <c r="C164" s="413">
        <v>30</v>
      </c>
      <c r="D164" s="598" t="s">
        <v>507</v>
      </c>
      <c r="E164" s="4"/>
      <c r="F164" s="4"/>
      <c r="G164" s="4"/>
    </row>
    <row r="165" spans="1:7" s="376" customFormat="1" ht="15" customHeight="1" x14ac:dyDescent="0.25">
      <c r="A165" s="414">
        <v>32000</v>
      </c>
      <c r="B165" s="415" t="s">
        <v>507</v>
      </c>
      <c r="C165" s="413">
        <v>40</v>
      </c>
      <c r="D165" s="598" t="s">
        <v>507</v>
      </c>
      <c r="E165" s="4"/>
      <c r="F165" s="4"/>
      <c r="G165" s="4"/>
    </row>
    <row r="166" spans="1:7" s="376" customFormat="1" ht="15" customHeight="1" x14ac:dyDescent="0.25">
      <c r="A166" s="414">
        <v>34000</v>
      </c>
      <c r="B166" s="415" t="s">
        <v>507</v>
      </c>
      <c r="C166" s="413">
        <v>50</v>
      </c>
      <c r="D166" s="598" t="s">
        <v>508</v>
      </c>
      <c r="E166" s="4"/>
      <c r="F166" s="4"/>
      <c r="G166" s="4"/>
    </row>
    <row r="167" spans="1:7" s="376" customFormat="1" ht="15" customHeight="1" x14ac:dyDescent="0.25">
      <c r="A167" s="414">
        <v>36000</v>
      </c>
      <c r="B167" s="415" t="s">
        <v>507</v>
      </c>
      <c r="C167" s="413">
        <v>55</v>
      </c>
      <c r="D167" s="598" t="s">
        <v>500</v>
      </c>
      <c r="E167" s="4"/>
      <c r="F167" s="4"/>
      <c r="G167" s="4"/>
    </row>
    <row r="168" spans="1:7" s="376" customFormat="1" ht="15" customHeight="1" x14ac:dyDescent="0.25">
      <c r="A168" s="414">
        <v>38000</v>
      </c>
      <c r="B168" s="415" t="s">
        <v>507</v>
      </c>
      <c r="C168" s="413">
        <v>60</v>
      </c>
      <c r="D168" s="598" t="s">
        <v>508</v>
      </c>
      <c r="E168" s="4"/>
      <c r="F168" s="4"/>
      <c r="G168" s="4"/>
    </row>
    <row r="169" spans="1:7" s="376" customFormat="1" ht="15" customHeight="1" x14ac:dyDescent="0.25">
      <c r="A169" s="414">
        <v>40000</v>
      </c>
      <c r="B169" s="415" t="s">
        <v>507</v>
      </c>
      <c r="C169" s="413">
        <v>65</v>
      </c>
      <c r="D169" s="598" t="s">
        <v>508</v>
      </c>
      <c r="E169" s="4"/>
      <c r="F169" s="4"/>
      <c r="G169" s="4"/>
    </row>
    <row r="170" spans="1:7" s="376" customFormat="1" ht="15" customHeight="1" x14ac:dyDescent="0.25">
      <c r="A170" s="414">
        <v>42000</v>
      </c>
      <c r="B170" s="415" t="s">
        <v>507</v>
      </c>
      <c r="C170" s="413">
        <v>75</v>
      </c>
      <c r="D170" s="598" t="s">
        <v>508</v>
      </c>
      <c r="E170" s="4"/>
      <c r="F170" s="4"/>
      <c r="G170" s="4"/>
    </row>
    <row r="171" spans="1:7" s="376" customFormat="1" ht="15" customHeight="1" x14ac:dyDescent="0.25">
      <c r="A171" s="414">
        <v>50000</v>
      </c>
      <c r="B171" s="415" t="s">
        <v>507</v>
      </c>
      <c r="C171" s="413">
        <v>80</v>
      </c>
      <c r="D171" s="598" t="s">
        <v>508</v>
      </c>
      <c r="E171" s="4"/>
      <c r="F171" s="4"/>
      <c r="G171" s="4"/>
    </row>
    <row r="172" spans="1:7" s="376" customFormat="1" ht="15" customHeight="1" x14ac:dyDescent="0.25">
      <c r="A172" s="414">
        <v>60000</v>
      </c>
      <c r="B172" s="415" t="s">
        <v>507</v>
      </c>
      <c r="C172" s="413">
        <v>90</v>
      </c>
      <c r="D172" s="598" t="s">
        <v>500</v>
      </c>
      <c r="E172" s="4"/>
      <c r="F172" s="4"/>
      <c r="G172" s="4"/>
    </row>
    <row r="173" spans="1:7" s="376" customFormat="1" ht="15" customHeight="1" x14ac:dyDescent="0.25">
      <c r="A173" s="414">
        <v>65000</v>
      </c>
      <c r="B173" s="415" t="s">
        <v>507</v>
      </c>
      <c r="C173" s="413">
        <v>100</v>
      </c>
      <c r="D173" s="598" t="s">
        <v>508</v>
      </c>
      <c r="E173" s="4"/>
      <c r="F173" s="4"/>
      <c r="G173" s="4"/>
    </row>
    <row r="174" spans="1:7" s="376" customFormat="1" ht="15" customHeight="1" x14ac:dyDescent="0.25">
      <c r="A174" s="414">
        <v>75000</v>
      </c>
      <c r="B174" s="415" t="s">
        <v>507</v>
      </c>
      <c r="C174" s="413">
        <v>110</v>
      </c>
      <c r="D174" s="598" t="s">
        <v>500</v>
      </c>
      <c r="E174" s="4"/>
      <c r="F174" s="4"/>
      <c r="G174" s="4"/>
    </row>
    <row r="175" spans="1:7" s="376" customFormat="1" ht="15" customHeight="1" x14ac:dyDescent="0.25">
      <c r="A175" s="414">
        <v>75100</v>
      </c>
      <c r="B175" s="415" t="s">
        <v>507</v>
      </c>
      <c r="C175" s="413">
        <v>119</v>
      </c>
      <c r="D175" s="598" t="s">
        <v>508</v>
      </c>
      <c r="E175" s="4"/>
      <c r="F175" s="4"/>
      <c r="G175" s="4"/>
    </row>
    <row r="176" spans="1:7" s="376" customFormat="1" ht="15" customHeight="1" x14ac:dyDescent="0.25">
      <c r="A176" s="414">
        <v>76000</v>
      </c>
      <c r="B176" s="415" t="s">
        <v>508</v>
      </c>
      <c r="C176" s="413">
        <v>120</v>
      </c>
      <c r="D176" s="598" t="s">
        <v>507</v>
      </c>
      <c r="E176" s="4"/>
      <c r="F176" s="4"/>
      <c r="G176" s="4"/>
    </row>
    <row r="177" spans="1:4" s="376" customFormat="1" ht="15" customHeight="1" x14ac:dyDescent="0.25">
      <c r="A177" s="414">
        <v>80000</v>
      </c>
      <c r="B177" s="415" t="s">
        <v>507</v>
      </c>
      <c r="C177" s="418">
        <v>125</v>
      </c>
      <c r="D177" s="599" t="s">
        <v>500</v>
      </c>
    </row>
    <row r="178" spans="1:4" s="376" customFormat="1" ht="15" customHeight="1" x14ac:dyDescent="0.25">
      <c r="A178" s="414">
        <v>99900</v>
      </c>
      <c r="B178" s="419" t="s">
        <v>500</v>
      </c>
      <c r="C178" s="416"/>
      <c r="D178" s="417"/>
    </row>
    <row r="179" spans="1:4" s="376" customFormat="1" ht="15" customHeight="1" x14ac:dyDescent="0.25">
      <c r="A179" s="414">
        <v>100000</v>
      </c>
      <c r="B179" s="419" t="s">
        <v>508</v>
      </c>
      <c r="C179" s="416"/>
      <c r="D179" s="417"/>
    </row>
    <row r="180" spans="1:4" s="376" customFormat="1" ht="15" customHeight="1" x14ac:dyDescent="0.25">
      <c r="A180" s="414">
        <v>120000</v>
      </c>
      <c r="B180" s="419" t="s">
        <v>508</v>
      </c>
      <c r="C180" s="416"/>
      <c r="D180" s="417"/>
    </row>
    <row r="181" spans="1:4" s="376" customFormat="1" ht="15" customHeight="1" x14ac:dyDescent="0.25">
      <c r="A181" s="414">
        <v>125000</v>
      </c>
      <c r="B181" s="419" t="s">
        <v>500</v>
      </c>
      <c r="C181" s="416"/>
      <c r="D181" s="417"/>
    </row>
    <row r="182" spans="1:4" s="376" customFormat="1" ht="15" customHeight="1" x14ac:dyDescent="0.25">
      <c r="A182" s="414">
        <v>130000</v>
      </c>
      <c r="B182" s="419" t="s">
        <v>508</v>
      </c>
      <c r="C182" s="416"/>
      <c r="D182" s="417"/>
    </row>
    <row r="183" spans="1:4" s="376" customFormat="1" ht="15" customHeight="1" x14ac:dyDescent="0.25">
      <c r="A183" s="414">
        <v>145000</v>
      </c>
      <c r="B183" s="419" t="s">
        <v>500</v>
      </c>
      <c r="C183" s="416"/>
      <c r="D183" s="417"/>
    </row>
    <row r="184" spans="1:4" s="376" customFormat="1" ht="15" customHeight="1" x14ac:dyDescent="0.25">
      <c r="A184" s="414">
        <v>150000</v>
      </c>
      <c r="B184" s="419" t="s">
        <v>508</v>
      </c>
      <c r="C184" s="416"/>
      <c r="D184" s="417"/>
    </row>
    <row r="185" spans="1:4" s="376" customFormat="1" ht="15" customHeight="1" x14ac:dyDescent="0.25">
      <c r="A185" s="414">
        <v>154000</v>
      </c>
      <c r="B185" s="419" t="s">
        <v>507</v>
      </c>
      <c r="C185" s="416"/>
      <c r="D185" s="417"/>
    </row>
    <row r="186" spans="1:4" s="376" customFormat="1" ht="15" customHeight="1" x14ac:dyDescent="0.25">
      <c r="A186" s="414">
        <v>160000</v>
      </c>
      <c r="B186" s="419" t="s">
        <v>500</v>
      </c>
      <c r="C186" s="416"/>
      <c r="D186" s="417"/>
    </row>
    <row r="187" spans="1:4" s="376" customFormat="1" ht="15" customHeight="1" x14ac:dyDescent="0.25">
      <c r="A187" s="414">
        <v>175000</v>
      </c>
      <c r="B187" s="419" t="s">
        <v>500</v>
      </c>
      <c r="C187" s="416"/>
      <c r="D187" s="417"/>
    </row>
    <row r="188" spans="1:4" s="376" customFormat="1" ht="15" customHeight="1" x14ac:dyDescent="0.25">
      <c r="A188" s="414">
        <v>180000</v>
      </c>
      <c r="B188" s="419" t="s">
        <v>507</v>
      </c>
      <c r="C188" s="416"/>
      <c r="D188" s="417"/>
    </row>
    <row r="189" spans="1:4" s="376" customFormat="1" ht="15" customHeight="1" x14ac:dyDescent="0.25">
      <c r="A189" s="414">
        <v>199000</v>
      </c>
      <c r="B189" s="419" t="s">
        <v>508</v>
      </c>
      <c r="C189" s="416"/>
      <c r="D189" s="417"/>
    </row>
    <row r="190" spans="1:4" s="376" customFormat="1" ht="15" customHeight="1" x14ac:dyDescent="0.25">
      <c r="A190" s="414">
        <v>199900</v>
      </c>
      <c r="B190" s="419" t="s">
        <v>508</v>
      </c>
      <c r="C190" s="416"/>
      <c r="D190" s="417"/>
    </row>
    <row r="191" spans="1:4" s="376" customFormat="1" ht="15" customHeight="1" x14ac:dyDescent="0.25">
      <c r="A191" s="414">
        <v>200000</v>
      </c>
      <c r="B191" s="419" t="s">
        <v>500</v>
      </c>
      <c r="C191" s="416"/>
      <c r="D191" s="417"/>
    </row>
    <row r="192" spans="1:4" s="376" customFormat="1" ht="15" customHeight="1" x14ac:dyDescent="0.25">
      <c r="A192" s="414">
        <v>250000</v>
      </c>
      <c r="B192" s="419" t="s">
        <v>508</v>
      </c>
      <c r="C192" s="416"/>
      <c r="D192" s="417"/>
    </row>
    <row r="193" spans="1:12" s="376" customFormat="1" ht="15" customHeight="1" x14ac:dyDescent="0.25">
      <c r="A193" s="414">
        <v>251000</v>
      </c>
      <c r="B193" s="419" t="s">
        <v>508</v>
      </c>
      <c r="C193" s="416"/>
      <c r="D193" s="417"/>
      <c r="E193" s="4"/>
      <c r="F193" s="4"/>
      <c r="G193" s="4"/>
      <c r="H193" s="4"/>
      <c r="I193" s="4"/>
      <c r="J193" s="4"/>
      <c r="K193" s="4"/>
      <c r="L193" s="4"/>
    </row>
    <row r="194" spans="1:12" s="376" customFormat="1" ht="15" customHeight="1" x14ac:dyDescent="0.25">
      <c r="A194" s="414">
        <v>275000</v>
      </c>
      <c r="B194" s="419" t="s">
        <v>507</v>
      </c>
      <c r="C194" s="416"/>
      <c r="D194" s="417"/>
      <c r="E194" s="4"/>
      <c r="F194" s="4"/>
      <c r="G194" s="4"/>
      <c r="H194" s="4"/>
      <c r="I194" s="4"/>
      <c r="J194" s="4"/>
      <c r="K194" s="4"/>
      <c r="L194" s="4"/>
    </row>
    <row r="195" spans="1:12" s="376" customFormat="1" ht="15" customHeight="1" x14ac:dyDescent="0.25">
      <c r="A195" s="414">
        <v>285000</v>
      </c>
      <c r="B195" s="419" t="s">
        <v>500</v>
      </c>
      <c r="C195" s="416"/>
      <c r="D195" s="417"/>
      <c r="E195" s="4"/>
      <c r="F195" s="4"/>
      <c r="G195" s="4"/>
      <c r="H195" s="4"/>
      <c r="I195" s="4"/>
      <c r="J195" s="4"/>
      <c r="K195" s="4"/>
      <c r="L195" s="4"/>
    </row>
    <row r="196" spans="1:12" s="376" customFormat="1" ht="15" customHeight="1" x14ac:dyDescent="0.25">
      <c r="A196" s="414">
        <v>300000</v>
      </c>
      <c r="B196" s="419" t="s">
        <v>508</v>
      </c>
      <c r="C196" s="416"/>
      <c r="D196" s="417"/>
      <c r="E196" s="4"/>
      <c r="F196" s="4"/>
      <c r="G196" s="4"/>
      <c r="H196" s="4"/>
      <c r="I196" s="4"/>
      <c r="J196" s="4"/>
      <c r="K196" s="4"/>
      <c r="L196" s="4"/>
    </row>
    <row r="197" spans="1:12" s="376" customFormat="1" ht="15" customHeight="1" x14ac:dyDescent="0.25">
      <c r="A197" s="414">
        <v>305000</v>
      </c>
      <c r="B197" s="419" t="s">
        <v>507</v>
      </c>
      <c r="C197" s="416"/>
      <c r="D197" s="417"/>
      <c r="E197" s="4"/>
      <c r="F197" s="4"/>
      <c r="G197" s="4"/>
      <c r="H197" s="4"/>
      <c r="I197" s="4"/>
      <c r="J197" s="4"/>
      <c r="K197" s="4"/>
      <c r="L197" s="4"/>
    </row>
    <row r="198" spans="1:12" s="376" customFormat="1" ht="15" customHeight="1" x14ac:dyDescent="0.25">
      <c r="A198" s="414">
        <v>320000</v>
      </c>
      <c r="B198" s="419" t="s">
        <v>500</v>
      </c>
      <c r="C198" s="416"/>
      <c r="D198" s="417"/>
      <c r="E198" s="4"/>
      <c r="F198" s="4"/>
      <c r="G198" s="4"/>
      <c r="H198" s="4"/>
      <c r="I198" s="4"/>
      <c r="J198" s="4"/>
      <c r="K198" s="4"/>
      <c r="L198" s="4"/>
    </row>
    <row r="199" spans="1:12" s="376" customFormat="1" ht="15" customHeight="1" x14ac:dyDescent="0.25">
      <c r="A199" s="414">
        <v>365000</v>
      </c>
      <c r="B199" s="419" t="s">
        <v>507</v>
      </c>
      <c r="C199" s="416"/>
      <c r="D199" s="417"/>
      <c r="E199" s="4"/>
      <c r="F199" s="4"/>
      <c r="G199" s="4"/>
      <c r="H199" s="4"/>
      <c r="I199" s="4"/>
      <c r="J199" s="4"/>
      <c r="K199" s="4"/>
      <c r="L199" s="4"/>
    </row>
    <row r="200" spans="1:12" s="376" customFormat="1" ht="15" customHeight="1" x14ac:dyDescent="0.25">
      <c r="A200" s="414">
        <v>390000</v>
      </c>
      <c r="B200" s="419" t="s">
        <v>507</v>
      </c>
      <c r="C200" s="416"/>
      <c r="D200" s="417"/>
      <c r="E200" s="4"/>
      <c r="F200" s="4"/>
      <c r="G200" s="4"/>
      <c r="H200" s="4"/>
      <c r="I200" s="4"/>
      <c r="J200" s="4"/>
      <c r="K200" s="4"/>
      <c r="L200" s="4"/>
    </row>
    <row r="201" spans="1:12" s="376" customFormat="1" ht="15" customHeight="1" x14ac:dyDescent="0.25">
      <c r="A201" s="414">
        <v>398000</v>
      </c>
      <c r="B201" s="419" t="s">
        <v>500</v>
      </c>
      <c r="C201" s="416"/>
      <c r="D201" s="417"/>
      <c r="E201" s="4"/>
      <c r="F201" s="4"/>
      <c r="G201" s="4"/>
      <c r="H201" s="4"/>
      <c r="I201" s="4"/>
      <c r="J201" s="4"/>
      <c r="K201" s="4"/>
      <c r="L201" s="4"/>
    </row>
    <row r="202" spans="1:12" s="376" customFormat="1" ht="15" customHeight="1" x14ac:dyDescent="0.25">
      <c r="A202" s="414">
        <v>399000</v>
      </c>
      <c r="B202" s="419" t="s">
        <v>500</v>
      </c>
      <c r="C202" s="416"/>
      <c r="D202" s="417"/>
      <c r="E202" s="4"/>
      <c r="F202" s="4"/>
      <c r="G202" s="4"/>
      <c r="H202" s="4"/>
      <c r="I202" s="4"/>
      <c r="J202" s="4"/>
      <c r="K202" s="4"/>
      <c r="L202" s="4"/>
    </row>
    <row r="203" spans="1:12" s="376" customFormat="1" ht="15" customHeight="1" x14ac:dyDescent="0.25">
      <c r="A203" s="414">
        <v>399900</v>
      </c>
      <c r="B203" s="419" t="s">
        <v>508</v>
      </c>
      <c r="C203" s="416"/>
      <c r="D203" s="417"/>
      <c r="E203" s="4"/>
      <c r="F203" s="4"/>
      <c r="G203" s="4"/>
      <c r="H203" s="4"/>
      <c r="I203" s="4"/>
      <c r="J203" s="4"/>
      <c r="K203" s="4"/>
      <c r="L203" s="4"/>
    </row>
    <row r="204" spans="1:12" s="376" customFormat="1" ht="15" customHeight="1" x14ac:dyDescent="0.25">
      <c r="A204" s="414">
        <v>500000</v>
      </c>
      <c r="B204" s="419" t="s">
        <v>507</v>
      </c>
      <c r="C204" s="416"/>
      <c r="D204" s="417"/>
      <c r="E204" s="4"/>
      <c r="F204" s="4"/>
      <c r="G204" s="4"/>
      <c r="H204" s="4"/>
      <c r="I204" s="4"/>
      <c r="J204" s="4"/>
      <c r="K204" s="4"/>
      <c r="L204" s="4"/>
    </row>
    <row r="206" spans="1:12" s="376" customFormat="1" ht="26.25" customHeight="1" x14ac:dyDescent="0.25">
      <c r="A206" s="734" t="s">
        <v>509</v>
      </c>
      <c r="B206" s="735"/>
      <c r="C206" s="735"/>
      <c r="D206" s="735"/>
      <c r="E206" s="735"/>
      <c r="F206" s="735"/>
      <c r="G206" s="735"/>
      <c r="H206" s="735"/>
      <c r="I206" s="735"/>
      <c r="J206" s="735"/>
      <c r="K206" s="735"/>
      <c r="L206" s="735"/>
    </row>
    <row r="207" spans="1:12" s="376" customFormat="1" ht="78.75" customHeight="1" thickBot="1" x14ac:dyDescent="0.35">
      <c r="A207" s="285" t="s">
        <v>469</v>
      </c>
      <c r="B207" s="280" t="s">
        <v>470</v>
      </c>
      <c r="C207" s="280" t="s">
        <v>471</v>
      </c>
      <c r="D207" s="280" t="s">
        <v>472</v>
      </c>
      <c r="E207" s="280" t="s">
        <v>473</v>
      </c>
      <c r="F207" s="280" t="s">
        <v>510</v>
      </c>
      <c r="G207" s="280" t="s">
        <v>511</v>
      </c>
      <c r="H207" s="730" t="s">
        <v>512</v>
      </c>
      <c r="I207" s="731"/>
      <c r="J207" s="732" t="s">
        <v>513</v>
      </c>
      <c r="K207" s="733"/>
      <c r="L207" s="602"/>
    </row>
    <row r="208" spans="1:12" s="376" customFormat="1" ht="13.2" x14ac:dyDescent="0.25">
      <c r="A208" s="538" t="s">
        <v>514</v>
      </c>
      <c r="B208" s="539" t="s">
        <v>479</v>
      </c>
      <c r="C208" s="540">
        <v>47.9</v>
      </c>
      <c r="D208" s="541">
        <f>$C$53*($B$60-C208)*$B$62</f>
        <v>88572.560832830612</v>
      </c>
      <c r="E208" s="541">
        <f t="shared" ref="E208:E223" si="30">D208*$B$61</f>
        <v>53143.536499698363</v>
      </c>
      <c r="F208" s="541">
        <f t="shared" ref="F208:F239" si="31">_xlfn.LET(_xlpm.x,_xlfn.XLOOKUP(E208/$C$3,$A$164:$A$204,$A$164:$A$204,"",1),IF(_xlpm.x="",ROUNDUP(E208/$C$3,0),_xlpm.x))</f>
        <v>75000</v>
      </c>
      <c r="G208" s="542">
        <f t="shared" ref="G208:G223" si="32">_xlfn.LET(_xlpm.v,MAX(30,$C$53*$B$63),_xlpm.x,_xlfn.XLOOKUP(_xlpm.v,$C$164:$C$177,$C$164:$C$177,"",1),IF(_xlpm.x="",ROUNDUP(_xlpm.v,0),_xlpm.x))</f>
        <v>50</v>
      </c>
      <c r="H208" s="543">
        <f t="shared" ref="H208:H239" si="33">(F208/800)+110*SQRT(G208)</f>
        <v>871.56745930520231</v>
      </c>
      <c r="I208" s="539" t="s">
        <v>515</v>
      </c>
      <c r="J208" s="543">
        <f t="shared" ref="J208:J239" si="34">H208/70</f>
        <v>12.450963704360033</v>
      </c>
      <c r="K208" s="539" t="s">
        <v>481</v>
      </c>
      <c r="L208" s="724" t="s">
        <v>516</v>
      </c>
    </row>
    <row r="209" spans="1:12" s="376" customFormat="1" ht="13.2" x14ac:dyDescent="0.25">
      <c r="A209" s="544" t="s">
        <v>514</v>
      </c>
      <c r="B209" s="545" t="s">
        <v>483</v>
      </c>
      <c r="C209" s="546">
        <v>50.8</v>
      </c>
      <c r="D209" s="547">
        <f t="shared" ref="D209:D223" si="35">$C$53*($B$60-C209)*$B$62</f>
        <v>85623.531826915467</v>
      </c>
      <c r="E209" s="547">
        <f t="shared" si="30"/>
        <v>51374.119096149276</v>
      </c>
      <c r="F209" s="547">
        <f t="shared" si="31"/>
        <v>65000</v>
      </c>
      <c r="G209" s="548">
        <f t="shared" si="32"/>
        <v>50</v>
      </c>
      <c r="H209" s="549">
        <f t="shared" si="33"/>
        <v>859.06745930520231</v>
      </c>
      <c r="I209" s="545" t="s">
        <v>515</v>
      </c>
      <c r="J209" s="549">
        <f t="shared" si="34"/>
        <v>12.272392275788604</v>
      </c>
      <c r="K209" s="545" t="s">
        <v>481</v>
      </c>
      <c r="L209" s="722"/>
    </row>
    <row r="210" spans="1:12" s="376" customFormat="1" ht="13.2" x14ac:dyDescent="0.25">
      <c r="A210" s="544" t="s">
        <v>514</v>
      </c>
      <c r="B210" s="545" t="s">
        <v>484</v>
      </c>
      <c r="C210" s="546">
        <v>52.2</v>
      </c>
      <c r="D210" s="547">
        <f t="shared" si="35"/>
        <v>84199.862651646079</v>
      </c>
      <c r="E210" s="547">
        <f t="shared" si="30"/>
        <v>50519.917590987643</v>
      </c>
      <c r="F210" s="547">
        <f t="shared" si="31"/>
        <v>65000</v>
      </c>
      <c r="G210" s="548">
        <f t="shared" si="32"/>
        <v>50</v>
      </c>
      <c r="H210" s="549">
        <f t="shared" si="33"/>
        <v>859.06745930520231</v>
      </c>
      <c r="I210" s="545" t="s">
        <v>515</v>
      </c>
      <c r="J210" s="549">
        <f t="shared" si="34"/>
        <v>12.272392275788604</v>
      </c>
      <c r="K210" s="545" t="s">
        <v>481</v>
      </c>
      <c r="L210" s="722"/>
    </row>
    <row r="211" spans="1:12" s="376" customFormat="1" ht="13.2" x14ac:dyDescent="0.25">
      <c r="A211" s="544" t="s">
        <v>514</v>
      </c>
      <c r="B211" s="545" t="s">
        <v>485</v>
      </c>
      <c r="C211" s="546">
        <v>52.7</v>
      </c>
      <c r="D211" s="547">
        <f t="shared" si="35"/>
        <v>83691.409374764175</v>
      </c>
      <c r="E211" s="547">
        <f t="shared" si="30"/>
        <v>50214.845624858506</v>
      </c>
      <c r="F211" s="547">
        <f t="shared" si="31"/>
        <v>65000</v>
      </c>
      <c r="G211" s="548">
        <f t="shared" si="32"/>
        <v>50</v>
      </c>
      <c r="H211" s="549">
        <f t="shared" si="33"/>
        <v>859.06745930520231</v>
      </c>
      <c r="I211" s="545" t="s">
        <v>515</v>
      </c>
      <c r="J211" s="549">
        <f t="shared" si="34"/>
        <v>12.272392275788604</v>
      </c>
      <c r="K211" s="545" t="s">
        <v>481</v>
      </c>
      <c r="L211" s="722"/>
    </row>
    <row r="212" spans="1:12" s="376" customFormat="1" ht="13.2" x14ac:dyDescent="0.25">
      <c r="A212" s="544" t="s">
        <v>514</v>
      </c>
      <c r="B212" s="545" t="s">
        <v>486</v>
      </c>
      <c r="C212" s="546">
        <v>51.6</v>
      </c>
      <c r="D212" s="547">
        <f t="shared" si="35"/>
        <v>84810.006583904411</v>
      </c>
      <c r="E212" s="547">
        <f t="shared" si="30"/>
        <v>50886.003950342645</v>
      </c>
      <c r="F212" s="547">
        <f t="shared" si="31"/>
        <v>65000</v>
      </c>
      <c r="G212" s="548">
        <f t="shared" si="32"/>
        <v>50</v>
      </c>
      <c r="H212" s="549">
        <f t="shared" si="33"/>
        <v>859.06745930520231</v>
      </c>
      <c r="I212" s="545" t="s">
        <v>515</v>
      </c>
      <c r="J212" s="549">
        <f t="shared" si="34"/>
        <v>12.272392275788604</v>
      </c>
      <c r="K212" s="545" t="s">
        <v>481</v>
      </c>
      <c r="L212" s="722"/>
    </row>
    <row r="213" spans="1:12" s="376" customFormat="1" ht="13.2" x14ac:dyDescent="0.25">
      <c r="A213" s="544" t="s">
        <v>514</v>
      </c>
      <c r="B213" s="545" t="s">
        <v>487</v>
      </c>
      <c r="C213" s="546">
        <v>56.8</v>
      </c>
      <c r="D213" s="547">
        <f t="shared" si="35"/>
        <v>79522.092504332424</v>
      </c>
      <c r="E213" s="547">
        <f t="shared" si="30"/>
        <v>47713.255502599452</v>
      </c>
      <c r="F213" s="547">
        <f t="shared" si="31"/>
        <v>60000</v>
      </c>
      <c r="G213" s="548">
        <f t="shared" si="32"/>
        <v>50</v>
      </c>
      <c r="H213" s="549">
        <f t="shared" si="33"/>
        <v>852.81745930520231</v>
      </c>
      <c r="I213" s="545" t="s">
        <v>515</v>
      </c>
      <c r="J213" s="549">
        <f t="shared" si="34"/>
        <v>12.183106561502891</v>
      </c>
      <c r="K213" s="545" t="s">
        <v>481</v>
      </c>
      <c r="L213" s="722"/>
    </row>
    <row r="214" spans="1:12" s="376" customFormat="1" ht="13.2" x14ac:dyDescent="0.25">
      <c r="A214" s="544" t="s">
        <v>514</v>
      </c>
      <c r="B214" s="545" t="s">
        <v>488</v>
      </c>
      <c r="C214" s="546">
        <v>58.4</v>
      </c>
      <c r="D214" s="547">
        <f t="shared" si="35"/>
        <v>77895.042018310269</v>
      </c>
      <c r="E214" s="547">
        <f t="shared" si="30"/>
        <v>46737.025210986161</v>
      </c>
      <c r="F214" s="547">
        <f t="shared" si="31"/>
        <v>60000</v>
      </c>
      <c r="G214" s="548">
        <f t="shared" si="32"/>
        <v>50</v>
      </c>
      <c r="H214" s="549">
        <f t="shared" si="33"/>
        <v>852.81745930520231</v>
      </c>
      <c r="I214" s="545" t="s">
        <v>515</v>
      </c>
      <c r="J214" s="549">
        <f t="shared" si="34"/>
        <v>12.183106561502891</v>
      </c>
      <c r="K214" s="545" t="s">
        <v>481</v>
      </c>
      <c r="L214" s="722"/>
    </row>
    <row r="215" spans="1:12" s="376" customFormat="1" ht="13.2" x14ac:dyDescent="0.25">
      <c r="A215" s="544" t="s">
        <v>514</v>
      </c>
      <c r="B215" s="545" t="s">
        <v>489</v>
      </c>
      <c r="C215" s="546">
        <v>58.4</v>
      </c>
      <c r="D215" s="547">
        <f t="shared" si="35"/>
        <v>77895.042018310269</v>
      </c>
      <c r="E215" s="547">
        <f t="shared" si="30"/>
        <v>46737.025210986161</v>
      </c>
      <c r="F215" s="547">
        <f t="shared" si="31"/>
        <v>60000</v>
      </c>
      <c r="G215" s="548">
        <f t="shared" si="32"/>
        <v>50</v>
      </c>
      <c r="H215" s="549">
        <f t="shared" si="33"/>
        <v>852.81745930520231</v>
      </c>
      <c r="I215" s="545" t="s">
        <v>515</v>
      </c>
      <c r="J215" s="549">
        <f t="shared" si="34"/>
        <v>12.183106561502891</v>
      </c>
      <c r="K215" s="545" t="s">
        <v>481</v>
      </c>
      <c r="L215" s="722"/>
    </row>
    <row r="216" spans="1:12" s="376" customFormat="1" ht="13.2" x14ac:dyDescent="0.25">
      <c r="A216" s="544" t="s">
        <v>514</v>
      </c>
      <c r="B216" s="545" t="s">
        <v>490</v>
      </c>
      <c r="C216" s="546">
        <v>57.6</v>
      </c>
      <c r="D216" s="547">
        <f t="shared" si="35"/>
        <v>78708.567261321354</v>
      </c>
      <c r="E216" s="547">
        <f t="shared" si="30"/>
        <v>47225.140356792814</v>
      </c>
      <c r="F216" s="547">
        <f t="shared" si="31"/>
        <v>60000</v>
      </c>
      <c r="G216" s="548">
        <f t="shared" si="32"/>
        <v>50</v>
      </c>
      <c r="H216" s="549">
        <f t="shared" si="33"/>
        <v>852.81745930520231</v>
      </c>
      <c r="I216" s="545" t="s">
        <v>515</v>
      </c>
      <c r="J216" s="549">
        <f t="shared" si="34"/>
        <v>12.183106561502891</v>
      </c>
      <c r="K216" s="545" t="s">
        <v>481</v>
      </c>
      <c r="L216" s="722"/>
    </row>
    <row r="217" spans="1:12" s="376" customFormat="1" ht="13.2" x14ac:dyDescent="0.25">
      <c r="A217" s="544" t="s">
        <v>514</v>
      </c>
      <c r="B217" s="545" t="s">
        <v>238</v>
      </c>
      <c r="C217" s="546">
        <v>57.1</v>
      </c>
      <c r="D217" s="547">
        <f t="shared" si="35"/>
        <v>79217.020538203273</v>
      </c>
      <c r="E217" s="547">
        <f t="shared" si="30"/>
        <v>47530.212322921965</v>
      </c>
      <c r="F217" s="547">
        <f t="shared" si="31"/>
        <v>60000</v>
      </c>
      <c r="G217" s="548">
        <f t="shared" si="32"/>
        <v>50</v>
      </c>
      <c r="H217" s="549">
        <f t="shared" si="33"/>
        <v>852.81745930520231</v>
      </c>
      <c r="I217" s="545" t="s">
        <v>515</v>
      </c>
      <c r="J217" s="549">
        <f t="shared" si="34"/>
        <v>12.183106561502891</v>
      </c>
      <c r="K217" s="545" t="s">
        <v>481</v>
      </c>
      <c r="L217" s="722"/>
    </row>
    <row r="218" spans="1:12" s="376" customFormat="1" ht="13.2" x14ac:dyDescent="0.25">
      <c r="A218" s="544" t="s">
        <v>514</v>
      </c>
      <c r="B218" s="545" t="s">
        <v>239</v>
      </c>
      <c r="C218" s="546">
        <v>50.5</v>
      </c>
      <c r="D218" s="547">
        <f t="shared" si="35"/>
        <v>85928.603793044633</v>
      </c>
      <c r="E218" s="547">
        <f t="shared" si="30"/>
        <v>51557.162275826777</v>
      </c>
      <c r="F218" s="547">
        <f t="shared" si="31"/>
        <v>65000</v>
      </c>
      <c r="G218" s="548">
        <f t="shared" si="32"/>
        <v>50</v>
      </c>
      <c r="H218" s="549">
        <f t="shared" si="33"/>
        <v>859.06745930520231</v>
      </c>
      <c r="I218" s="545" t="s">
        <v>515</v>
      </c>
      <c r="J218" s="549">
        <f t="shared" si="34"/>
        <v>12.272392275788604</v>
      </c>
      <c r="K218" s="545" t="s">
        <v>481</v>
      </c>
      <c r="L218" s="722"/>
    </row>
    <row r="219" spans="1:12" s="376" customFormat="1" ht="13.2" x14ac:dyDescent="0.25">
      <c r="A219" s="544" t="s">
        <v>514</v>
      </c>
      <c r="B219" s="545" t="s">
        <v>240</v>
      </c>
      <c r="C219" s="546">
        <v>51.4</v>
      </c>
      <c r="D219" s="547">
        <f t="shared" si="35"/>
        <v>85013.387894657164</v>
      </c>
      <c r="E219" s="547">
        <f t="shared" si="30"/>
        <v>51008.032736794295</v>
      </c>
      <c r="F219" s="547">
        <f t="shared" si="31"/>
        <v>65000</v>
      </c>
      <c r="G219" s="548">
        <f t="shared" si="32"/>
        <v>50</v>
      </c>
      <c r="H219" s="549">
        <f t="shared" si="33"/>
        <v>859.06745930520231</v>
      </c>
      <c r="I219" s="545" t="s">
        <v>515</v>
      </c>
      <c r="J219" s="549">
        <f t="shared" si="34"/>
        <v>12.272392275788604</v>
      </c>
      <c r="K219" s="545" t="s">
        <v>481</v>
      </c>
      <c r="L219" s="722"/>
    </row>
    <row r="220" spans="1:12" s="376" customFormat="1" ht="13.2" x14ac:dyDescent="0.25">
      <c r="A220" s="544" t="s">
        <v>514</v>
      </c>
      <c r="B220" s="545" t="s">
        <v>241</v>
      </c>
      <c r="C220" s="546">
        <v>51.7</v>
      </c>
      <c r="D220" s="547">
        <f t="shared" si="35"/>
        <v>84708.315928527998</v>
      </c>
      <c r="E220" s="547">
        <f t="shared" si="30"/>
        <v>50824.989557116794</v>
      </c>
      <c r="F220" s="547">
        <f t="shared" si="31"/>
        <v>65000</v>
      </c>
      <c r="G220" s="548">
        <f t="shared" si="32"/>
        <v>50</v>
      </c>
      <c r="H220" s="549">
        <f t="shared" si="33"/>
        <v>859.06745930520231</v>
      </c>
      <c r="I220" s="545" t="s">
        <v>515</v>
      </c>
      <c r="J220" s="549">
        <f t="shared" si="34"/>
        <v>12.272392275788604</v>
      </c>
      <c r="K220" s="545" t="s">
        <v>481</v>
      </c>
      <c r="L220" s="722"/>
    </row>
    <row r="221" spans="1:12" s="376" customFormat="1" ht="13.2" x14ac:dyDescent="0.25">
      <c r="A221" s="544" t="s">
        <v>514</v>
      </c>
      <c r="B221" s="545" t="s">
        <v>242</v>
      </c>
      <c r="C221" s="546">
        <v>50.1</v>
      </c>
      <c r="D221" s="547">
        <f t="shared" si="35"/>
        <v>86335.366414550153</v>
      </c>
      <c r="E221" s="547">
        <f t="shared" si="30"/>
        <v>51801.219848730092</v>
      </c>
      <c r="F221" s="547">
        <f t="shared" si="31"/>
        <v>65000</v>
      </c>
      <c r="G221" s="548">
        <f t="shared" si="32"/>
        <v>50</v>
      </c>
      <c r="H221" s="549">
        <f t="shared" si="33"/>
        <v>859.06745930520231</v>
      </c>
      <c r="I221" s="545" t="s">
        <v>515</v>
      </c>
      <c r="J221" s="549">
        <f t="shared" si="34"/>
        <v>12.272392275788604</v>
      </c>
      <c r="K221" s="545" t="s">
        <v>481</v>
      </c>
      <c r="L221" s="722"/>
    </row>
    <row r="222" spans="1:12" s="376" customFormat="1" ht="13.2" x14ac:dyDescent="0.25">
      <c r="A222" s="544" t="s">
        <v>514</v>
      </c>
      <c r="B222" s="545" t="s">
        <v>243</v>
      </c>
      <c r="C222" s="546">
        <v>63.2</v>
      </c>
      <c r="D222" s="547">
        <f t="shared" si="35"/>
        <v>73013.890560243832</v>
      </c>
      <c r="E222" s="547">
        <f t="shared" si="30"/>
        <v>43808.334336146298</v>
      </c>
      <c r="F222" s="547">
        <f t="shared" si="31"/>
        <v>60000</v>
      </c>
      <c r="G222" s="548">
        <f t="shared" si="32"/>
        <v>50</v>
      </c>
      <c r="H222" s="549">
        <f t="shared" si="33"/>
        <v>852.81745930520231</v>
      </c>
      <c r="I222" s="545" t="s">
        <v>515</v>
      </c>
      <c r="J222" s="549">
        <f t="shared" si="34"/>
        <v>12.183106561502891</v>
      </c>
      <c r="K222" s="545" t="s">
        <v>481</v>
      </c>
      <c r="L222" s="722"/>
    </row>
    <row r="223" spans="1:12" s="376" customFormat="1" ht="13.8" thickBot="1" x14ac:dyDescent="0.3">
      <c r="A223" s="550" t="s">
        <v>514</v>
      </c>
      <c r="B223" s="551" t="s">
        <v>244</v>
      </c>
      <c r="C223" s="552">
        <v>41.4</v>
      </c>
      <c r="D223" s="553">
        <f t="shared" si="35"/>
        <v>95182.453432295573</v>
      </c>
      <c r="E223" s="553">
        <f t="shared" si="30"/>
        <v>57109.472059377345</v>
      </c>
      <c r="F223" s="553">
        <f t="shared" si="31"/>
        <v>75000</v>
      </c>
      <c r="G223" s="554">
        <f t="shared" si="32"/>
        <v>50</v>
      </c>
      <c r="H223" s="555">
        <f t="shared" si="33"/>
        <v>871.56745930520231</v>
      </c>
      <c r="I223" s="551" t="s">
        <v>515</v>
      </c>
      <c r="J223" s="555">
        <f t="shared" si="34"/>
        <v>12.450963704360033</v>
      </c>
      <c r="K223" s="551" t="s">
        <v>481</v>
      </c>
      <c r="L223" s="722"/>
    </row>
    <row r="224" spans="1:12" s="376" customFormat="1" ht="13.2" x14ac:dyDescent="0.25">
      <c r="A224" s="538" t="s">
        <v>517</v>
      </c>
      <c r="B224" s="539" t="s">
        <v>479</v>
      </c>
      <c r="C224" s="540">
        <v>47.9</v>
      </c>
      <c r="D224" s="541">
        <f t="shared" ref="D224:D239" si="36">$C$54*($B$60-C224)*$B$62</f>
        <v>54139.400249999992</v>
      </c>
      <c r="E224" s="541">
        <f t="shared" ref="E224:E239" si="37">D224*$B$61</f>
        <v>32483.640149999992</v>
      </c>
      <c r="F224" s="541">
        <f t="shared" si="31"/>
        <v>42000</v>
      </c>
      <c r="G224" s="542">
        <f t="shared" ref="G224:G239" si="38">_xlfn.LET(_xlpm.v,MAX(30,$C$54*$B$63),_xlpm.x,_xlfn.XLOOKUP(_xlpm.v,$C$164:$C$177,$C$164:$C$177,"",1),IF(_xlpm.x="",ROUNDUP(_xlpm.v,0),_xlpm.x))</f>
        <v>30</v>
      </c>
      <c r="H224" s="543">
        <f t="shared" si="33"/>
        <v>654.99481325568274</v>
      </c>
      <c r="I224" s="539" t="s">
        <v>515</v>
      </c>
      <c r="J224" s="543">
        <f t="shared" si="34"/>
        <v>9.3570687607954675</v>
      </c>
      <c r="K224" s="539" t="s">
        <v>481</v>
      </c>
      <c r="L224" s="724" t="s">
        <v>518</v>
      </c>
    </row>
    <row r="225" spans="1:12" s="376" customFormat="1" ht="13.2" x14ac:dyDescent="0.25">
      <c r="A225" s="544" t="s">
        <v>517</v>
      </c>
      <c r="B225" s="545" t="s">
        <v>483</v>
      </c>
      <c r="C225" s="546">
        <v>50.8</v>
      </c>
      <c r="D225" s="547">
        <f t="shared" si="36"/>
        <v>52336.825499999992</v>
      </c>
      <c r="E225" s="547">
        <f t="shared" si="37"/>
        <v>31402.095299999994</v>
      </c>
      <c r="F225" s="547">
        <f t="shared" si="31"/>
        <v>40000</v>
      </c>
      <c r="G225" s="548">
        <f t="shared" si="38"/>
        <v>30</v>
      </c>
      <c r="H225" s="549">
        <f t="shared" si="33"/>
        <v>652.49481325568274</v>
      </c>
      <c r="I225" s="545" t="s">
        <v>515</v>
      </c>
      <c r="J225" s="549">
        <f t="shared" si="34"/>
        <v>9.3213544750811828</v>
      </c>
      <c r="K225" s="545" t="s">
        <v>481</v>
      </c>
      <c r="L225" s="722"/>
    </row>
    <row r="226" spans="1:12" s="376" customFormat="1" ht="13.2" x14ac:dyDescent="0.25">
      <c r="A226" s="544" t="s">
        <v>517</v>
      </c>
      <c r="B226" s="545" t="s">
        <v>484</v>
      </c>
      <c r="C226" s="546">
        <v>52.2</v>
      </c>
      <c r="D226" s="547">
        <f t="shared" si="36"/>
        <v>51466.616999999998</v>
      </c>
      <c r="E226" s="547">
        <f t="shared" si="37"/>
        <v>30879.970199999996</v>
      </c>
      <c r="F226" s="547">
        <f t="shared" si="31"/>
        <v>40000</v>
      </c>
      <c r="G226" s="548">
        <f t="shared" si="38"/>
        <v>30</v>
      </c>
      <c r="H226" s="549">
        <f t="shared" si="33"/>
        <v>652.49481325568274</v>
      </c>
      <c r="I226" s="545" t="s">
        <v>515</v>
      </c>
      <c r="J226" s="549">
        <f t="shared" si="34"/>
        <v>9.3213544750811828</v>
      </c>
      <c r="K226" s="545" t="s">
        <v>481</v>
      </c>
      <c r="L226" s="722"/>
    </row>
    <row r="227" spans="1:12" s="376" customFormat="1" ht="13.2" x14ac:dyDescent="0.25">
      <c r="A227" s="544" t="s">
        <v>517</v>
      </c>
      <c r="B227" s="545" t="s">
        <v>485</v>
      </c>
      <c r="C227" s="546">
        <v>52.7</v>
      </c>
      <c r="D227" s="547">
        <f t="shared" si="36"/>
        <v>51155.828249999991</v>
      </c>
      <c r="E227" s="547">
        <f t="shared" si="37"/>
        <v>30693.496949999993</v>
      </c>
      <c r="F227" s="547">
        <f t="shared" si="31"/>
        <v>40000</v>
      </c>
      <c r="G227" s="548">
        <f t="shared" si="38"/>
        <v>30</v>
      </c>
      <c r="H227" s="549">
        <f t="shared" si="33"/>
        <v>652.49481325568274</v>
      </c>
      <c r="I227" s="545" t="s">
        <v>515</v>
      </c>
      <c r="J227" s="549">
        <f t="shared" si="34"/>
        <v>9.3213544750811828</v>
      </c>
      <c r="K227" s="545" t="s">
        <v>481</v>
      </c>
      <c r="L227" s="722"/>
    </row>
    <row r="228" spans="1:12" s="376" customFormat="1" ht="13.2" x14ac:dyDescent="0.25">
      <c r="A228" s="544" t="s">
        <v>517</v>
      </c>
      <c r="B228" s="545" t="s">
        <v>486</v>
      </c>
      <c r="C228" s="546">
        <v>51.6</v>
      </c>
      <c r="D228" s="547">
        <f t="shared" si="36"/>
        <v>51839.563499999997</v>
      </c>
      <c r="E228" s="547">
        <f t="shared" si="37"/>
        <v>31103.738099999995</v>
      </c>
      <c r="F228" s="547">
        <f t="shared" si="31"/>
        <v>40000</v>
      </c>
      <c r="G228" s="548">
        <f t="shared" si="38"/>
        <v>30</v>
      </c>
      <c r="H228" s="549">
        <f t="shared" si="33"/>
        <v>652.49481325568274</v>
      </c>
      <c r="I228" s="545" t="s">
        <v>515</v>
      </c>
      <c r="J228" s="549">
        <f t="shared" si="34"/>
        <v>9.3213544750811828</v>
      </c>
      <c r="K228" s="545" t="s">
        <v>481</v>
      </c>
      <c r="L228" s="722"/>
    </row>
    <row r="229" spans="1:12" s="376" customFormat="1" ht="13.2" x14ac:dyDescent="0.25">
      <c r="A229" s="544" t="s">
        <v>517</v>
      </c>
      <c r="B229" s="545" t="s">
        <v>487</v>
      </c>
      <c r="C229" s="546">
        <v>56.8</v>
      </c>
      <c r="D229" s="547">
        <f t="shared" si="36"/>
        <v>48607.360499999995</v>
      </c>
      <c r="E229" s="547">
        <f t="shared" si="37"/>
        <v>29164.416299999997</v>
      </c>
      <c r="F229" s="547">
        <f t="shared" si="31"/>
        <v>38000</v>
      </c>
      <c r="G229" s="548">
        <f t="shared" si="38"/>
        <v>30</v>
      </c>
      <c r="H229" s="549">
        <f t="shared" si="33"/>
        <v>649.99481325568274</v>
      </c>
      <c r="I229" s="545" t="s">
        <v>515</v>
      </c>
      <c r="J229" s="549">
        <f t="shared" si="34"/>
        <v>9.2856401893668963</v>
      </c>
      <c r="K229" s="545" t="s">
        <v>481</v>
      </c>
      <c r="L229" s="722"/>
    </row>
    <row r="230" spans="1:12" s="376" customFormat="1" ht="13.2" x14ac:dyDescent="0.25">
      <c r="A230" s="544" t="s">
        <v>517</v>
      </c>
      <c r="B230" s="545" t="s">
        <v>488</v>
      </c>
      <c r="C230" s="546">
        <v>58.4</v>
      </c>
      <c r="D230" s="547">
        <f t="shared" si="36"/>
        <v>47612.836499999998</v>
      </c>
      <c r="E230" s="547">
        <f t="shared" si="37"/>
        <v>28567.701899999996</v>
      </c>
      <c r="F230" s="547">
        <f t="shared" si="31"/>
        <v>36000</v>
      </c>
      <c r="G230" s="548">
        <f t="shared" si="38"/>
        <v>30</v>
      </c>
      <c r="H230" s="549">
        <f t="shared" si="33"/>
        <v>647.49481325568274</v>
      </c>
      <c r="I230" s="545" t="s">
        <v>515</v>
      </c>
      <c r="J230" s="549">
        <f t="shared" si="34"/>
        <v>9.2499259036526098</v>
      </c>
      <c r="K230" s="545" t="s">
        <v>481</v>
      </c>
      <c r="L230" s="722"/>
    </row>
    <row r="231" spans="1:12" s="376" customFormat="1" ht="13.2" x14ac:dyDescent="0.25">
      <c r="A231" s="544" t="s">
        <v>517</v>
      </c>
      <c r="B231" s="545" t="s">
        <v>489</v>
      </c>
      <c r="C231" s="546">
        <v>58.4</v>
      </c>
      <c r="D231" s="547">
        <f t="shared" si="36"/>
        <v>47612.836499999998</v>
      </c>
      <c r="E231" s="547">
        <f t="shared" si="37"/>
        <v>28567.701899999996</v>
      </c>
      <c r="F231" s="547">
        <f t="shared" si="31"/>
        <v>36000</v>
      </c>
      <c r="G231" s="548">
        <f t="shared" si="38"/>
        <v>30</v>
      </c>
      <c r="H231" s="549">
        <f t="shared" si="33"/>
        <v>647.49481325568274</v>
      </c>
      <c r="I231" s="545" t="s">
        <v>515</v>
      </c>
      <c r="J231" s="549">
        <f t="shared" si="34"/>
        <v>9.2499259036526098</v>
      </c>
      <c r="K231" s="545" t="s">
        <v>481</v>
      </c>
      <c r="L231" s="722"/>
    </row>
    <row r="232" spans="1:12" s="376" customFormat="1" ht="13.2" x14ac:dyDescent="0.25">
      <c r="A232" s="544" t="s">
        <v>517</v>
      </c>
      <c r="B232" s="545" t="s">
        <v>490</v>
      </c>
      <c r="C232" s="546">
        <v>57.6</v>
      </c>
      <c r="D232" s="547">
        <f t="shared" si="36"/>
        <v>48110.098499999993</v>
      </c>
      <c r="E232" s="547">
        <f t="shared" si="37"/>
        <v>28866.059099999995</v>
      </c>
      <c r="F232" s="547">
        <f t="shared" si="31"/>
        <v>38000</v>
      </c>
      <c r="G232" s="548">
        <f t="shared" si="38"/>
        <v>30</v>
      </c>
      <c r="H232" s="549">
        <f t="shared" si="33"/>
        <v>649.99481325568274</v>
      </c>
      <c r="I232" s="545" t="s">
        <v>515</v>
      </c>
      <c r="J232" s="549">
        <f t="shared" si="34"/>
        <v>9.2856401893668963</v>
      </c>
      <c r="K232" s="545" t="s">
        <v>481</v>
      </c>
      <c r="L232" s="722"/>
    </row>
    <row r="233" spans="1:12" s="376" customFormat="1" ht="13.2" x14ac:dyDescent="0.25">
      <c r="A233" s="544" t="s">
        <v>517</v>
      </c>
      <c r="B233" s="545" t="s">
        <v>238</v>
      </c>
      <c r="C233" s="546">
        <v>57.1</v>
      </c>
      <c r="D233" s="547">
        <f t="shared" si="36"/>
        <v>48420.887249999992</v>
      </c>
      <c r="E233" s="547">
        <f t="shared" si="37"/>
        <v>29052.532349999994</v>
      </c>
      <c r="F233" s="547">
        <f t="shared" si="31"/>
        <v>38000</v>
      </c>
      <c r="G233" s="548">
        <f t="shared" si="38"/>
        <v>30</v>
      </c>
      <c r="H233" s="549">
        <f t="shared" si="33"/>
        <v>649.99481325568274</v>
      </c>
      <c r="I233" s="545" t="s">
        <v>515</v>
      </c>
      <c r="J233" s="549">
        <f t="shared" si="34"/>
        <v>9.2856401893668963</v>
      </c>
      <c r="K233" s="545" t="s">
        <v>481</v>
      </c>
      <c r="L233" s="722"/>
    </row>
    <row r="234" spans="1:12" s="376" customFormat="1" ht="13.2" x14ac:dyDescent="0.25">
      <c r="A234" s="544" t="s">
        <v>517</v>
      </c>
      <c r="B234" s="545" t="s">
        <v>239</v>
      </c>
      <c r="C234" s="546">
        <v>50.5</v>
      </c>
      <c r="D234" s="547">
        <f t="shared" si="36"/>
        <v>52523.298749999994</v>
      </c>
      <c r="E234" s="547">
        <f t="shared" si="37"/>
        <v>31513.979249999997</v>
      </c>
      <c r="F234" s="547">
        <f t="shared" si="31"/>
        <v>40000</v>
      </c>
      <c r="G234" s="548">
        <f t="shared" si="38"/>
        <v>30</v>
      </c>
      <c r="H234" s="549">
        <f t="shared" si="33"/>
        <v>652.49481325568274</v>
      </c>
      <c r="I234" s="545" t="s">
        <v>515</v>
      </c>
      <c r="J234" s="549">
        <f t="shared" si="34"/>
        <v>9.3213544750811828</v>
      </c>
      <c r="K234" s="545" t="s">
        <v>481</v>
      </c>
      <c r="L234" s="722"/>
    </row>
    <row r="235" spans="1:12" s="376" customFormat="1" ht="13.2" x14ac:dyDescent="0.25">
      <c r="A235" s="544" t="s">
        <v>517</v>
      </c>
      <c r="B235" s="545" t="s">
        <v>240</v>
      </c>
      <c r="C235" s="546">
        <v>51.4</v>
      </c>
      <c r="D235" s="547">
        <f t="shared" si="36"/>
        <v>51963.878999999994</v>
      </c>
      <c r="E235" s="547">
        <f t="shared" si="37"/>
        <v>31178.327399999995</v>
      </c>
      <c r="F235" s="547">
        <f t="shared" si="31"/>
        <v>40000</v>
      </c>
      <c r="G235" s="548">
        <f t="shared" si="38"/>
        <v>30</v>
      </c>
      <c r="H235" s="549">
        <f t="shared" si="33"/>
        <v>652.49481325568274</v>
      </c>
      <c r="I235" s="545" t="s">
        <v>515</v>
      </c>
      <c r="J235" s="549">
        <f t="shared" si="34"/>
        <v>9.3213544750811828</v>
      </c>
      <c r="K235" s="545" t="s">
        <v>481</v>
      </c>
      <c r="L235" s="722"/>
    </row>
    <row r="236" spans="1:12" s="376" customFormat="1" ht="13.2" x14ac:dyDescent="0.25">
      <c r="A236" s="544" t="s">
        <v>517</v>
      </c>
      <c r="B236" s="545" t="s">
        <v>241</v>
      </c>
      <c r="C236" s="546">
        <v>51.7</v>
      </c>
      <c r="D236" s="547">
        <f t="shared" si="36"/>
        <v>51777.405749999998</v>
      </c>
      <c r="E236" s="547">
        <f t="shared" si="37"/>
        <v>31066.443449999999</v>
      </c>
      <c r="F236" s="547">
        <f t="shared" si="31"/>
        <v>40000</v>
      </c>
      <c r="G236" s="548">
        <f t="shared" si="38"/>
        <v>30</v>
      </c>
      <c r="H236" s="549">
        <f t="shared" si="33"/>
        <v>652.49481325568274</v>
      </c>
      <c r="I236" s="545" t="s">
        <v>515</v>
      </c>
      <c r="J236" s="549">
        <f t="shared" si="34"/>
        <v>9.3213544750811828</v>
      </c>
      <c r="K236" s="545" t="s">
        <v>481</v>
      </c>
      <c r="L236" s="722"/>
    </row>
    <row r="237" spans="1:12" s="376" customFormat="1" ht="13.2" x14ac:dyDescent="0.25">
      <c r="A237" s="544" t="s">
        <v>517</v>
      </c>
      <c r="B237" s="545" t="s">
        <v>242</v>
      </c>
      <c r="C237" s="546">
        <v>50.1</v>
      </c>
      <c r="D237" s="547">
        <f t="shared" si="36"/>
        <v>52771.929749999996</v>
      </c>
      <c r="E237" s="547">
        <f t="shared" si="37"/>
        <v>31663.157849999996</v>
      </c>
      <c r="F237" s="547">
        <f t="shared" si="31"/>
        <v>40000</v>
      </c>
      <c r="G237" s="548">
        <f t="shared" si="38"/>
        <v>30</v>
      </c>
      <c r="H237" s="549">
        <f t="shared" si="33"/>
        <v>652.49481325568274</v>
      </c>
      <c r="I237" s="545" t="s">
        <v>515</v>
      </c>
      <c r="J237" s="549">
        <f t="shared" si="34"/>
        <v>9.3213544750811828</v>
      </c>
      <c r="K237" s="545" t="s">
        <v>481</v>
      </c>
      <c r="L237" s="722"/>
    </row>
    <row r="238" spans="1:12" s="376" customFormat="1" ht="13.2" x14ac:dyDescent="0.25">
      <c r="A238" s="544" t="s">
        <v>517</v>
      </c>
      <c r="B238" s="545" t="s">
        <v>243</v>
      </c>
      <c r="C238" s="546">
        <v>63.2</v>
      </c>
      <c r="D238" s="547">
        <f t="shared" si="36"/>
        <v>44629.264499999997</v>
      </c>
      <c r="E238" s="547">
        <f t="shared" si="37"/>
        <v>26777.558699999998</v>
      </c>
      <c r="F238" s="547">
        <f t="shared" si="31"/>
        <v>34000</v>
      </c>
      <c r="G238" s="548">
        <f t="shared" si="38"/>
        <v>30</v>
      </c>
      <c r="H238" s="549">
        <f t="shared" si="33"/>
        <v>644.99481325568274</v>
      </c>
      <c r="I238" s="545" t="s">
        <v>515</v>
      </c>
      <c r="J238" s="549">
        <f t="shared" si="34"/>
        <v>9.2142116179383251</v>
      </c>
      <c r="K238" s="545" t="s">
        <v>481</v>
      </c>
      <c r="L238" s="722"/>
    </row>
    <row r="239" spans="1:12" s="376" customFormat="1" ht="13.8" thickBot="1" x14ac:dyDescent="0.3">
      <c r="A239" s="550" t="s">
        <v>517</v>
      </c>
      <c r="B239" s="551" t="s">
        <v>244</v>
      </c>
      <c r="C239" s="552">
        <v>41.4</v>
      </c>
      <c r="D239" s="553">
        <f t="shared" si="36"/>
        <v>58179.653999999995</v>
      </c>
      <c r="E239" s="553">
        <f t="shared" si="37"/>
        <v>34907.792399999998</v>
      </c>
      <c r="F239" s="553">
        <f t="shared" si="31"/>
        <v>50000</v>
      </c>
      <c r="G239" s="554">
        <f t="shared" si="38"/>
        <v>30</v>
      </c>
      <c r="H239" s="555">
        <f t="shared" si="33"/>
        <v>664.99481325568274</v>
      </c>
      <c r="I239" s="551" t="s">
        <v>515</v>
      </c>
      <c r="J239" s="555">
        <f t="shared" si="34"/>
        <v>9.4999259036526098</v>
      </c>
      <c r="K239" s="551" t="s">
        <v>481</v>
      </c>
      <c r="L239" s="722"/>
    </row>
    <row r="240" spans="1:12" s="376" customFormat="1" ht="13.2" x14ac:dyDescent="0.25">
      <c r="A240" s="538" t="s">
        <v>519</v>
      </c>
      <c r="B240" s="539" t="s">
        <v>479</v>
      </c>
      <c r="C240" s="540">
        <v>47.9</v>
      </c>
      <c r="D240" s="541">
        <f t="shared" ref="D240:D255" si="39">$C$55*($B$60-C240)*$B$62</f>
        <v>54139.400249999992</v>
      </c>
      <c r="E240" s="541">
        <f t="shared" ref="E240:E255" si="40">D240*$B$61</f>
        <v>32483.640149999992</v>
      </c>
      <c r="F240" s="541">
        <f t="shared" ref="F240:F271" si="41">_xlfn.LET(_xlpm.x,_xlfn.XLOOKUP(E240/$C$3,$A$164:$A$204,$A$164:$A$204,"",1),IF(_xlpm.x="",ROUNDUP(E240/$C$3,0),_xlpm.x))</f>
        <v>42000</v>
      </c>
      <c r="G240" s="542">
        <f t="shared" ref="G240:G255" si="42">_xlfn.LET(_xlpm.v,MAX(30,$C$55*$B$63),_xlpm.x,_xlfn.XLOOKUP(_xlpm.v,$C$164:$C$177,$C$164:$C$177,"",1),IF(_xlpm.x="",ROUNDUP(_xlpm.v,0),_xlpm.x))</f>
        <v>30</v>
      </c>
      <c r="H240" s="543">
        <f t="shared" ref="H240:H271" si="43">(F240/800)+110*SQRT(G240)</f>
        <v>654.99481325568274</v>
      </c>
      <c r="I240" s="539" t="s">
        <v>515</v>
      </c>
      <c r="J240" s="543">
        <f t="shared" ref="J240:J271" si="44">H240/70</f>
        <v>9.3570687607954675</v>
      </c>
      <c r="K240" s="539" t="s">
        <v>481</v>
      </c>
      <c r="L240" s="724" t="s">
        <v>518</v>
      </c>
    </row>
    <row r="241" spans="1:12" s="376" customFormat="1" ht="13.2" x14ac:dyDescent="0.25">
      <c r="A241" s="544" t="s">
        <v>519</v>
      </c>
      <c r="B241" s="545" t="s">
        <v>483</v>
      </c>
      <c r="C241" s="546">
        <v>50.8</v>
      </c>
      <c r="D241" s="547">
        <f t="shared" si="39"/>
        <v>52336.825499999992</v>
      </c>
      <c r="E241" s="547">
        <f t="shared" si="40"/>
        <v>31402.095299999994</v>
      </c>
      <c r="F241" s="547">
        <f t="shared" si="41"/>
        <v>40000</v>
      </c>
      <c r="G241" s="548">
        <f t="shared" si="42"/>
        <v>30</v>
      </c>
      <c r="H241" s="549">
        <f t="shared" si="43"/>
        <v>652.49481325568274</v>
      </c>
      <c r="I241" s="545" t="s">
        <v>515</v>
      </c>
      <c r="J241" s="549">
        <f t="shared" si="44"/>
        <v>9.3213544750811828</v>
      </c>
      <c r="K241" s="545" t="s">
        <v>481</v>
      </c>
      <c r="L241" s="722"/>
    </row>
    <row r="242" spans="1:12" s="376" customFormat="1" ht="13.2" x14ac:dyDescent="0.25">
      <c r="A242" s="544" t="s">
        <v>519</v>
      </c>
      <c r="B242" s="545" t="s">
        <v>484</v>
      </c>
      <c r="C242" s="546">
        <v>52.2</v>
      </c>
      <c r="D242" s="547">
        <f t="shared" si="39"/>
        <v>51466.616999999998</v>
      </c>
      <c r="E242" s="547">
        <f t="shared" si="40"/>
        <v>30879.970199999996</v>
      </c>
      <c r="F242" s="547">
        <f t="shared" si="41"/>
        <v>40000</v>
      </c>
      <c r="G242" s="548">
        <f t="shared" si="42"/>
        <v>30</v>
      </c>
      <c r="H242" s="549">
        <f t="shared" si="43"/>
        <v>652.49481325568274</v>
      </c>
      <c r="I242" s="545" t="s">
        <v>515</v>
      </c>
      <c r="J242" s="549">
        <f t="shared" si="44"/>
        <v>9.3213544750811828</v>
      </c>
      <c r="K242" s="545" t="s">
        <v>481</v>
      </c>
      <c r="L242" s="722"/>
    </row>
    <row r="243" spans="1:12" s="376" customFormat="1" ht="13.2" x14ac:dyDescent="0.25">
      <c r="A243" s="544" t="s">
        <v>519</v>
      </c>
      <c r="B243" s="545" t="s">
        <v>485</v>
      </c>
      <c r="C243" s="546">
        <v>52.7</v>
      </c>
      <c r="D243" s="547">
        <f t="shared" si="39"/>
        <v>51155.828249999991</v>
      </c>
      <c r="E243" s="547">
        <f t="shared" si="40"/>
        <v>30693.496949999993</v>
      </c>
      <c r="F243" s="547">
        <f t="shared" si="41"/>
        <v>40000</v>
      </c>
      <c r="G243" s="548">
        <f t="shared" si="42"/>
        <v>30</v>
      </c>
      <c r="H243" s="549">
        <f t="shared" si="43"/>
        <v>652.49481325568274</v>
      </c>
      <c r="I243" s="545" t="s">
        <v>515</v>
      </c>
      <c r="J243" s="549">
        <f t="shared" si="44"/>
        <v>9.3213544750811828</v>
      </c>
      <c r="K243" s="545" t="s">
        <v>481</v>
      </c>
      <c r="L243" s="722"/>
    </row>
    <row r="244" spans="1:12" s="376" customFormat="1" ht="13.2" x14ac:dyDescent="0.25">
      <c r="A244" s="544" t="s">
        <v>519</v>
      </c>
      <c r="B244" s="545" t="s">
        <v>486</v>
      </c>
      <c r="C244" s="546">
        <v>51.6</v>
      </c>
      <c r="D244" s="547">
        <f t="shared" si="39"/>
        <v>51839.563499999997</v>
      </c>
      <c r="E244" s="547">
        <f t="shared" si="40"/>
        <v>31103.738099999995</v>
      </c>
      <c r="F244" s="547">
        <f t="shared" si="41"/>
        <v>40000</v>
      </c>
      <c r="G244" s="548">
        <f t="shared" si="42"/>
        <v>30</v>
      </c>
      <c r="H244" s="549">
        <f t="shared" si="43"/>
        <v>652.49481325568274</v>
      </c>
      <c r="I244" s="545" t="s">
        <v>515</v>
      </c>
      <c r="J244" s="549">
        <f t="shared" si="44"/>
        <v>9.3213544750811828</v>
      </c>
      <c r="K244" s="545" t="s">
        <v>481</v>
      </c>
      <c r="L244" s="722"/>
    </row>
    <row r="245" spans="1:12" s="376" customFormat="1" ht="13.2" x14ac:dyDescent="0.25">
      <c r="A245" s="544" t="s">
        <v>519</v>
      </c>
      <c r="B245" s="545" t="s">
        <v>487</v>
      </c>
      <c r="C245" s="546">
        <v>56.8</v>
      </c>
      <c r="D245" s="547">
        <f t="shared" si="39"/>
        <v>48607.360499999995</v>
      </c>
      <c r="E245" s="547">
        <f t="shared" si="40"/>
        <v>29164.416299999997</v>
      </c>
      <c r="F245" s="547">
        <f t="shared" si="41"/>
        <v>38000</v>
      </c>
      <c r="G245" s="548">
        <f t="shared" si="42"/>
        <v>30</v>
      </c>
      <c r="H245" s="549">
        <f t="shared" si="43"/>
        <v>649.99481325568274</v>
      </c>
      <c r="I245" s="545" t="s">
        <v>515</v>
      </c>
      <c r="J245" s="549">
        <f t="shared" si="44"/>
        <v>9.2856401893668963</v>
      </c>
      <c r="K245" s="545" t="s">
        <v>481</v>
      </c>
      <c r="L245" s="722"/>
    </row>
    <row r="246" spans="1:12" s="376" customFormat="1" ht="13.2" x14ac:dyDescent="0.25">
      <c r="A246" s="544" t="s">
        <v>519</v>
      </c>
      <c r="B246" s="545" t="s">
        <v>488</v>
      </c>
      <c r="C246" s="546">
        <v>58.4</v>
      </c>
      <c r="D246" s="547">
        <f t="shared" si="39"/>
        <v>47612.836499999998</v>
      </c>
      <c r="E246" s="547">
        <f t="shared" si="40"/>
        <v>28567.701899999996</v>
      </c>
      <c r="F246" s="547">
        <f t="shared" si="41"/>
        <v>36000</v>
      </c>
      <c r="G246" s="548">
        <f t="shared" si="42"/>
        <v>30</v>
      </c>
      <c r="H246" s="549">
        <f t="shared" si="43"/>
        <v>647.49481325568274</v>
      </c>
      <c r="I246" s="545" t="s">
        <v>515</v>
      </c>
      <c r="J246" s="549">
        <f t="shared" si="44"/>
        <v>9.2499259036526098</v>
      </c>
      <c r="K246" s="545" t="s">
        <v>481</v>
      </c>
      <c r="L246" s="722"/>
    </row>
    <row r="247" spans="1:12" s="376" customFormat="1" ht="13.2" x14ac:dyDescent="0.25">
      <c r="A247" s="544" t="s">
        <v>519</v>
      </c>
      <c r="B247" s="545" t="s">
        <v>489</v>
      </c>
      <c r="C247" s="546">
        <v>58.4</v>
      </c>
      <c r="D247" s="547">
        <f t="shared" si="39"/>
        <v>47612.836499999998</v>
      </c>
      <c r="E247" s="547">
        <f t="shared" si="40"/>
        <v>28567.701899999996</v>
      </c>
      <c r="F247" s="547">
        <f t="shared" si="41"/>
        <v>36000</v>
      </c>
      <c r="G247" s="548">
        <f t="shared" si="42"/>
        <v>30</v>
      </c>
      <c r="H247" s="549">
        <f t="shared" si="43"/>
        <v>647.49481325568274</v>
      </c>
      <c r="I247" s="545" t="s">
        <v>515</v>
      </c>
      <c r="J247" s="549">
        <f t="shared" si="44"/>
        <v>9.2499259036526098</v>
      </c>
      <c r="K247" s="545" t="s">
        <v>481</v>
      </c>
      <c r="L247" s="722"/>
    </row>
    <row r="248" spans="1:12" s="376" customFormat="1" ht="13.2" x14ac:dyDescent="0.25">
      <c r="A248" s="544" t="s">
        <v>519</v>
      </c>
      <c r="B248" s="545" t="s">
        <v>490</v>
      </c>
      <c r="C248" s="546">
        <v>57.6</v>
      </c>
      <c r="D248" s="547">
        <f t="shared" si="39"/>
        <v>48110.098499999993</v>
      </c>
      <c r="E248" s="547">
        <f t="shared" si="40"/>
        <v>28866.059099999995</v>
      </c>
      <c r="F248" s="547">
        <f t="shared" si="41"/>
        <v>38000</v>
      </c>
      <c r="G248" s="548">
        <f t="shared" si="42"/>
        <v>30</v>
      </c>
      <c r="H248" s="549">
        <f t="shared" si="43"/>
        <v>649.99481325568274</v>
      </c>
      <c r="I248" s="545" t="s">
        <v>515</v>
      </c>
      <c r="J248" s="549">
        <f t="shared" si="44"/>
        <v>9.2856401893668963</v>
      </c>
      <c r="K248" s="545" t="s">
        <v>481</v>
      </c>
      <c r="L248" s="722"/>
    </row>
    <row r="249" spans="1:12" s="376" customFormat="1" ht="13.2" x14ac:dyDescent="0.25">
      <c r="A249" s="544" t="s">
        <v>519</v>
      </c>
      <c r="B249" s="545" t="s">
        <v>238</v>
      </c>
      <c r="C249" s="546">
        <v>57.1</v>
      </c>
      <c r="D249" s="547">
        <f t="shared" si="39"/>
        <v>48420.887249999992</v>
      </c>
      <c r="E249" s="547">
        <f t="shared" si="40"/>
        <v>29052.532349999994</v>
      </c>
      <c r="F249" s="547">
        <f t="shared" si="41"/>
        <v>38000</v>
      </c>
      <c r="G249" s="548">
        <f t="shared" si="42"/>
        <v>30</v>
      </c>
      <c r="H249" s="549">
        <f t="shared" si="43"/>
        <v>649.99481325568274</v>
      </c>
      <c r="I249" s="545" t="s">
        <v>515</v>
      </c>
      <c r="J249" s="549">
        <f t="shared" si="44"/>
        <v>9.2856401893668963</v>
      </c>
      <c r="K249" s="545" t="s">
        <v>481</v>
      </c>
      <c r="L249" s="722"/>
    </row>
    <row r="250" spans="1:12" s="376" customFormat="1" ht="13.2" x14ac:dyDescent="0.25">
      <c r="A250" s="544" t="s">
        <v>519</v>
      </c>
      <c r="B250" s="545" t="s">
        <v>239</v>
      </c>
      <c r="C250" s="546">
        <v>50.5</v>
      </c>
      <c r="D250" s="547">
        <f t="shared" si="39"/>
        <v>52523.298749999994</v>
      </c>
      <c r="E250" s="547">
        <f t="shared" si="40"/>
        <v>31513.979249999997</v>
      </c>
      <c r="F250" s="547">
        <f t="shared" si="41"/>
        <v>40000</v>
      </c>
      <c r="G250" s="548">
        <f t="shared" si="42"/>
        <v>30</v>
      </c>
      <c r="H250" s="549">
        <f t="shared" si="43"/>
        <v>652.49481325568274</v>
      </c>
      <c r="I250" s="545" t="s">
        <v>515</v>
      </c>
      <c r="J250" s="549">
        <f t="shared" si="44"/>
        <v>9.3213544750811828</v>
      </c>
      <c r="K250" s="545" t="s">
        <v>481</v>
      </c>
      <c r="L250" s="722"/>
    </row>
    <row r="251" spans="1:12" s="376" customFormat="1" ht="13.2" x14ac:dyDescent="0.25">
      <c r="A251" s="544" t="s">
        <v>519</v>
      </c>
      <c r="B251" s="545" t="s">
        <v>240</v>
      </c>
      <c r="C251" s="546">
        <v>51.4</v>
      </c>
      <c r="D251" s="547">
        <f t="shared" si="39"/>
        <v>51963.878999999994</v>
      </c>
      <c r="E251" s="547">
        <f t="shared" si="40"/>
        <v>31178.327399999995</v>
      </c>
      <c r="F251" s="547">
        <f t="shared" si="41"/>
        <v>40000</v>
      </c>
      <c r="G251" s="548">
        <f t="shared" si="42"/>
        <v>30</v>
      </c>
      <c r="H251" s="549">
        <f t="shared" si="43"/>
        <v>652.49481325568274</v>
      </c>
      <c r="I251" s="545" t="s">
        <v>515</v>
      </c>
      <c r="J251" s="549">
        <f t="shared" si="44"/>
        <v>9.3213544750811828</v>
      </c>
      <c r="K251" s="545" t="s">
        <v>481</v>
      </c>
      <c r="L251" s="722"/>
    </row>
    <row r="252" spans="1:12" s="376" customFormat="1" ht="13.2" x14ac:dyDescent="0.25">
      <c r="A252" s="544" t="s">
        <v>519</v>
      </c>
      <c r="B252" s="545" t="s">
        <v>241</v>
      </c>
      <c r="C252" s="546">
        <v>51.7</v>
      </c>
      <c r="D252" s="547">
        <f t="shared" si="39"/>
        <v>51777.405749999998</v>
      </c>
      <c r="E252" s="547">
        <f t="shared" si="40"/>
        <v>31066.443449999999</v>
      </c>
      <c r="F252" s="547">
        <f t="shared" si="41"/>
        <v>40000</v>
      </c>
      <c r="G252" s="548">
        <f t="shared" si="42"/>
        <v>30</v>
      </c>
      <c r="H252" s="549">
        <f t="shared" si="43"/>
        <v>652.49481325568274</v>
      </c>
      <c r="I252" s="545" t="s">
        <v>515</v>
      </c>
      <c r="J252" s="549">
        <f t="shared" si="44"/>
        <v>9.3213544750811828</v>
      </c>
      <c r="K252" s="545" t="s">
        <v>481</v>
      </c>
      <c r="L252" s="722"/>
    </row>
    <row r="253" spans="1:12" s="376" customFormat="1" ht="13.2" x14ac:dyDescent="0.25">
      <c r="A253" s="544" t="s">
        <v>519</v>
      </c>
      <c r="B253" s="545" t="s">
        <v>242</v>
      </c>
      <c r="C253" s="546">
        <v>50.1</v>
      </c>
      <c r="D253" s="547">
        <f t="shared" si="39"/>
        <v>52771.929749999996</v>
      </c>
      <c r="E253" s="547">
        <f t="shared" si="40"/>
        <v>31663.157849999996</v>
      </c>
      <c r="F253" s="547">
        <f t="shared" si="41"/>
        <v>40000</v>
      </c>
      <c r="G253" s="548">
        <f t="shared" si="42"/>
        <v>30</v>
      </c>
      <c r="H253" s="549">
        <f t="shared" si="43"/>
        <v>652.49481325568274</v>
      </c>
      <c r="I253" s="545" t="s">
        <v>515</v>
      </c>
      <c r="J253" s="549">
        <f t="shared" si="44"/>
        <v>9.3213544750811828</v>
      </c>
      <c r="K253" s="545" t="s">
        <v>481</v>
      </c>
      <c r="L253" s="722"/>
    </row>
    <row r="254" spans="1:12" s="376" customFormat="1" ht="13.2" x14ac:dyDescent="0.25">
      <c r="A254" s="544" t="s">
        <v>519</v>
      </c>
      <c r="B254" s="545" t="s">
        <v>243</v>
      </c>
      <c r="C254" s="546">
        <v>63.2</v>
      </c>
      <c r="D254" s="547">
        <f t="shared" si="39"/>
        <v>44629.264499999997</v>
      </c>
      <c r="E254" s="547">
        <f t="shared" si="40"/>
        <v>26777.558699999998</v>
      </c>
      <c r="F254" s="547">
        <f t="shared" si="41"/>
        <v>34000</v>
      </c>
      <c r="G254" s="548">
        <f t="shared" si="42"/>
        <v>30</v>
      </c>
      <c r="H254" s="549">
        <f t="shared" si="43"/>
        <v>644.99481325568274</v>
      </c>
      <c r="I254" s="545" t="s">
        <v>515</v>
      </c>
      <c r="J254" s="549">
        <f t="shared" si="44"/>
        <v>9.2142116179383251</v>
      </c>
      <c r="K254" s="545" t="s">
        <v>481</v>
      </c>
      <c r="L254" s="722"/>
    </row>
    <row r="255" spans="1:12" s="376" customFormat="1" ht="13.8" thickBot="1" x14ac:dyDescent="0.3">
      <c r="A255" s="556" t="s">
        <v>519</v>
      </c>
      <c r="B255" s="557" t="s">
        <v>244</v>
      </c>
      <c r="C255" s="558">
        <v>41.4</v>
      </c>
      <c r="D255" s="559">
        <f t="shared" si="39"/>
        <v>58179.653999999995</v>
      </c>
      <c r="E255" s="559">
        <f t="shared" si="40"/>
        <v>34907.792399999998</v>
      </c>
      <c r="F255" s="559">
        <f t="shared" si="41"/>
        <v>50000</v>
      </c>
      <c r="G255" s="560">
        <f t="shared" si="42"/>
        <v>30</v>
      </c>
      <c r="H255" s="561">
        <f t="shared" si="43"/>
        <v>664.99481325568274</v>
      </c>
      <c r="I255" s="557" t="s">
        <v>515</v>
      </c>
      <c r="J255" s="561">
        <f t="shared" si="44"/>
        <v>9.4999259036526098</v>
      </c>
      <c r="K255" s="557" t="s">
        <v>481</v>
      </c>
      <c r="L255" s="723"/>
    </row>
    <row r="256" spans="1:12" s="376" customFormat="1" ht="13.2" x14ac:dyDescent="0.25">
      <c r="A256" s="562" t="s">
        <v>520</v>
      </c>
      <c r="B256" s="563" t="s">
        <v>479</v>
      </c>
      <c r="C256" s="564">
        <v>47.9</v>
      </c>
      <c r="D256" s="565">
        <f t="shared" ref="D256:D271" si="45">$C$56*($B$60-C256)*$B$62</f>
        <v>54139.400249999992</v>
      </c>
      <c r="E256" s="565">
        <f t="shared" ref="E256:E271" si="46">D256*$B$61</f>
        <v>32483.640149999992</v>
      </c>
      <c r="F256" s="565">
        <f t="shared" si="41"/>
        <v>42000</v>
      </c>
      <c r="G256" s="566">
        <f t="shared" ref="G256:G271" si="47">_xlfn.LET(_xlpm.v,MAX(30,$C$56*$B$63),_xlpm.x,_xlfn.XLOOKUP(_xlpm.v,$C$164:$C$177,$C$164:$C$177,"",1),IF(_xlpm.x="",ROUNDUP(_xlpm.v,0),_xlpm.x))</f>
        <v>30</v>
      </c>
      <c r="H256" s="567">
        <f t="shared" si="43"/>
        <v>654.99481325568274</v>
      </c>
      <c r="I256" s="563" t="s">
        <v>515</v>
      </c>
      <c r="J256" s="567">
        <f t="shared" si="44"/>
        <v>9.3570687607954675</v>
      </c>
      <c r="K256" s="563" t="s">
        <v>481</v>
      </c>
      <c r="L256" s="722" t="s">
        <v>518</v>
      </c>
    </row>
    <row r="257" spans="1:12" s="376" customFormat="1" ht="13.2" x14ac:dyDescent="0.25">
      <c r="A257" s="544" t="s">
        <v>520</v>
      </c>
      <c r="B257" s="545" t="s">
        <v>483</v>
      </c>
      <c r="C257" s="546">
        <v>50.8</v>
      </c>
      <c r="D257" s="547">
        <f t="shared" si="45"/>
        <v>52336.825499999992</v>
      </c>
      <c r="E257" s="547">
        <f t="shared" si="46"/>
        <v>31402.095299999994</v>
      </c>
      <c r="F257" s="547">
        <f t="shared" si="41"/>
        <v>40000</v>
      </c>
      <c r="G257" s="548">
        <f t="shared" si="47"/>
        <v>30</v>
      </c>
      <c r="H257" s="549">
        <f t="shared" si="43"/>
        <v>652.49481325568274</v>
      </c>
      <c r="I257" s="545" t="s">
        <v>515</v>
      </c>
      <c r="J257" s="549">
        <f t="shared" si="44"/>
        <v>9.3213544750811828</v>
      </c>
      <c r="K257" s="545" t="s">
        <v>481</v>
      </c>
      <c r="L257" s="722"/>
    </row>
    <row r="258" spans="1:12" s="376" customFormat="1" ht="13.2" x14ac:dyDescent="0.25">
      <c r="A258" s="544" t="s">
        <v>520</v>
      </c>
      <c r="B258" s="545" t="s">
        <v>484</v>
      </c>
      <c r="C258" s="546">
        <v>52.2</v>
      </c>
      <c r="D258" s="547">
        <f t="shared" si="45"/>
        <v>51466.616999999998</v>
      </c>
      <c r="E258" s="547">
        <f t="shared" si="46"/>
        <v>30879.970199999996</v>
      </c>
      <c r="F258" s="547">
        <f t="shared" si="41"/>
        <v>40000</v>
      </c>
      <c r="G258" s="548">
        <f t="shared" si="47"/>
        <v>30</v>
      </c>
      <c r="H258" s="549">
        <f t="shared" si="43"/>
        <v>652.49481325568274</v>
      </c>
      <c r="I258" s="545" t="s">
        <v>515</v>
      </c>
      <c r="J258" s="549">
        <f t="shared" si="44"/>
        <v>9.3213544750811828</v>
      </c>
      <c r="K258" s="545" t="s">
        <v>481</v>
      </c>
      <c r="L258" s="722"/>
    </row>
    <row r="259" spans="1:12" s="376" customFormat="1" ht="13.2" x14ac:dyDescent="0.25">
      <c r="A259" s="544" t="s">
        <v>520</v>
      </c>
      <c r="B259" s="545" t="s">
        <v>485</v>
      </c>
      <c r="C259" s="546">
        <v>52.7</v>
      </c>
      <c r="D259" s="547">
        <f t="shared" si="45"/>
        <v>51155.828249999991</v>
      </c>
      <c r="E259" s="547">
        <f t="shared" si="46"/>
        <v>30693.496949999993</v>
      </c>
      <c r="F259" s="547">
        <f t="shared" si="41"/>
        <v>40000</v>
      </c>
      <c r="G259" s="548">
        <f t="shared" si="47"/>
        <v>30</v>
      </c>
      <c r="H259" s="549">
        <f t="shared" si="43"/>
        <v>652.49481325568274</v>
      </c>
      <c r="I259" s="545" t="s">
        <v>515</v>
      </c>
      <c r="J259" s="549">
        <f t="shared" si="44"/>
        <v>9.3213544750811828</v>
      </c>
      <c r="K259" s="545" t="s">
        <v>481</v>
      </c>
      <c r="L259" s="722"/>
    </row>
    <row r="260" spans="1:12" s="376" customFormat="1" ht="13.2" x14ac:dyDescent="0.25">
      <c r="A260" s="544" t="s">
        <v>520</v>
      </c>
      <c r="B260" s="545" t="s">
        <v>486</v>
      </c>
      <c r="C260" s="546">
        <v>51.6</v>
      </c>
      <c r="D260" s="547">
        <f t="shared" si="45"/>
        <v>51839.563499999997</v>
      </c>
      <c r="E260" s="547">
        <f t="shared" si="46"/>
        <v>31103.738099999995</v>
      </c>
      <c r="F260" s="547">
        <f t="shared" si="41"/>
        <v>40000</v>
      </c>
      <c r="G260" s="548">
        <f t="shared" si="47"/>
        <v>30</v>
      </c>
      <c r="H260" s="549">
        <f t="shared" si="43"/>
        <v>652.49481325568274</v>
      </c>
      <c r="I260" s="545" t="s">
        <v>515</v>
      </c>
      <c r="J260" s="549">
        <f t="shared" si="44"/>
        <v>9.3213544750811828</v>
      </c>
      <c r="K260" s="545" t="s">
        <v>481</v>
      </c>
      <c r="L260" s="722"/>
    </row>
    <row r="261" spans="1:12" s="376" customFormat="1" ht="13.2" x14ac:dyDescent="0.25">
      <c r="A261" s="544" t="s">
        <v>520</v>
      </c>
      <c r="B261" s="545" t="s">
        <v>487</v>
      </c>
      <c r="C261" s="546">
        <v>56.8</v>
      </c>
      <c r="D261" s="547">
        <f t="shared" si="45"/>
        <v>48607.360499999995</v>
      </c>
      <c r="E261" s="547">
        <f t="shared" si="46"/>
        <v>29164.416299999997</v>
      </c>
      <c r="F261" s="547">
        <f t="shared" si="41"/>
        <v>38000</v>
      </c>
      <c r="G261" s="548">
        <f t="shared" si="47"/>
        <v>30</v>
      </c>
      <c r="H261" s="549">
        <f t="shared" si="43"/>
        <v>649.99481325568274</v>
      </c>
      <c r="I261" s="545" t="s">
        <v>515</v>
      </c>
      <c r="J261" s="549">
        <f t="shared" si="44"/>
        <v>9.2856401893668963</v>
      </c>
      <c r="K261" s="545" t="s">
        <v>481</v>
      </c>
      <c r="L261" s="722"/>
    </row>
    <row r="262" spans="1:12" s="376" customFormat="1" ht="13.2" x14ac:dyDescent="0.25">
      <c r="A262" s="544" t="s">
        <v>520</v>
      </c>
      <c r="B262" s="545" t="s">
        <v>488</v>
      </c>
      <c r="C262" s="546">
        <v>58.4</v>
      </c>
      <c r="D262" s="547">
        <f t="shared" si="45"/>
        <v>47612.836499999998</v>
      </c>
      <c r="E262" s="547">
        <f t="shared" si="46"/>
        <v>28567.701899999996</v>
      </c>
      <c r="F262" s="547">
        <f t="shared" si="41"/>
        <v>36000</v>
      </c>
      <c r="G262" s="548">
        <f t="shared" si="47"/>
        <v>30</v>
      </c>
      <c r="H262" s="549">
        <f t="shared" si="43"/>
        <v>647.49481325568274</v>
      </c>
      <c r="I262" s="545" t="s">
        <v>515</v>
      </c>
      <c r="J262" s="549">
        <f t="shared" si="44"/>
        <v>9.2499259036526098</v>
      </c>
      <c r="K262" s="545" t="s">
        <v>481</v>
      </c>
      <c r="L262" s="722"/>
    </row>
    <row r="263" spans="1:12" s="376" customFormat="1" ht="13.2" x14ac:dyDescent="0.25">
      <c r="A263" s="544" t="s">
        <v>520</v>
      </c>
      <c r="B263" s="545" t="s">
        <v>489</v>
      </c>
      <c r="C263" s="546">
        <v>58.4</v>
      </c>
      <c r="D263" s="547">
        <f t="shared" si="45"/>
        <v>47612.836499999998</v>
      </c>
      <c r="E263" s="547">
        <f t="shared" si="46"/>
        <v>28567.701899999996</v>
      </c>
      <c r="F263" s="547">
        <f t="shared" si="41"/>
        <v>36000</v>
      </c>
      <c r="G263" s="548">
        <f t="shared" si="47"/>
        <v>30</v>
      </c>
      <c r="H263" s="549">
        <f t="shared" si="43"/>
        <v>647.49481325568274</v>
      </c>
      <c r="I263" s="545" t="s">
        <v>515</v>
      </c>
      <c r="J263" s="549">
        <f t="shared" si="44"/>
        <v>9.2499259036526098</v>
      </c>
      <c r="K263" s="545" t="s">
        <v>481</v>
      </c>
      <c r="L263" s="722"/>
    </row>
    <row r="264" spans="1:12" s="376" customFormat="1" ht="13.2" x14ac:dyDescent="0.25">
      <c r="A264" s="544" t="s">
        <v>520</v>
      </c>
      <c r="B264" s="545" t="s">
        <v>490</v>
      </c>
      <c r="C264" s="546">
        <v>57.6</v>
      </c>
      <c r="D264" s="547">
        <f t="shared" si="45"/>
        <v>48110.098499999993</v>
      </c>
      <c r="E264" s="547">
        <f t="shared" si="46"/>
        <v>28866.059099999995</v>
      </c>
      <c r="F264" s="547">
        <f t="shared" si="41"/>
        <v>38000</v>
      </c>
      <c r="G264" s="548">
        <f t="shared" si="47"/>
        <v>30</v>
      </c>
      <c r="H264" s="549">
        <f t="shared" si="43"/>
        <v>649.99481325568274</v>
      </c>
      <c r="I264" s="545" t="s">
        <v>515</v>
      </c>
      <c r="J264" s="549">
        <f t="shared" si="44"/>
        <v>9.2856401893668963</v>
      </c>
      <c r="K264" s="545" t="s">
        <v>481</v>
      </c>
      <c r="L264" s="722"/>
    </row>
    <row r="265" spans="1:12" s="376" customFormat="1" ht="13.2" x14ac:dyDescent="0.25">
      <c r="A265" s="544" t="s">
        <v>520</v>
      </c>
      <c r="B265" s="545" t="s">
        <v>238</v>
      </c>
      <c r="C265" s="546">
        <v>57.1</v>
      </c>
      <c r="D265" s="547">
        <f t="shared" si="45"/>
        <v>48420.887249999992</v>
      </c>
      <c r="E265" s="547">
        <f t="shared" si="46"/>
        <v>29052.532349999994</v>
      </c>
      <c r="F265" s="547">
        <f t="shared" si="41"/>
        <v>38000</v>
      </c>
      <c r="G265" s="548">
        <f t="shared" si="47"/>
        <v>30</v>
      </c>
      <c r="H265" s="549">
        <f t="shared" si="43"/>
        <v>649.99481325568274</v>
      </c>
      <c r="I265" s="545" t="s">
        <v>515</v>
      </c>
      <c r="J265" s="549">
        <f t="shared" si="44"/>
        <v>9.2856401893668963</v>
      </c>
      <c r="K265" s="545" t="s">
        <v>481</v>
      </c>
      <c r="L265" s="722"/>
    </row>
    <row r="266" spans="1:12" s="376" customFormat="1" ht="13.2" x14ac:dyDescent="0.25">
      <c r="A266" s="544" t="s">
        <v>520</v>
      </c>
      <c r="B266" s="545" t="s">
        <v>239</v>
      </c>
      <c r="C266" s="546">
        <v>50.5</v>
      </c>
      <c r="D266" s="547">
        <f t="shared" si="45"/>
        <v>52523.298749999994</v>
      </c>
      <c r="E266" s="547">
        <f t="shared" si="46"/>
        <v>31513.979249999997</v>
      </c>
      <c r="F266" s="547">
        <f t="shared" si="41"/>
        <v>40000</v>
      </c>
      <c r="G266" s="548">
        <f t="shared" si="47"/>
        <v>30</v>
      </c>
      <c r="H266" s="549">
        <f t="shared" si="43"/>
        <v>652.49481325568274</v>
      </c>
      <c r="I266" s="545" t="s">
        <v>515</v>
      </c>
      <c r="J266" s="549">
        <f t="shared" si="44"/>
        <v>9.3213544750811828</v>
      </c>
      <c r="K266" s="545" t="s">
        <v>481</v>
      </c>
      <c r="L266" s="722"/>
    </row>
    <row r="267" spans="1:12" s="376" customFormat="1" ht="13.2" x14ac:dyDescent="0.25">
      <c r="A267" s="544" t="s">
        <v>520</v>
      </c>
      <c r="B267" s="545" t="s">
        <v>240</v>
      </c>
      <c r="C267" s="546">
        <v>51.4</v>
      </c>
      <c r="D267" s="547">
        <f t="shared" si="45"/>
        <v>51963.878999999994</v>
      </c>
      <c r="E267" s="547">
        <f t="shared" si="46"/>
        <v>31178.327399999995</v>
      </c>
      <c r="F267" s="547">
        <f t="shared" si="41"/>
        <v>40000</v>
      </c>
      <c r="G267" s="548">
        <f t="shared" si="47"/>
        <v>30</v>
      </c>
      <c r="H267" s="549">
        <f t="shared" si="43"/>
        <v>652.49481325568274</v>
      </c>
      <c r="I267" s="545" t="s">
        <v>515</v>
      </c>
      <c r="J267" s="549">
        <f t="shared" si="44"/>
        <v>9.3213544750811828</v>
      </c>
      <c r="K267" s="545" t="s">
        <v>481</v>
      </c>
      <c r="L267" s="722"/>
    </row>
    <row r="268" spans="1:12" s="376" customFormat="1" ht="13.2" x14ac:dyDescent="0.25">
      <c r="A268" s="544" t="s">
        <v>520</v>
      </c>
      <c r="B268" s="545" t="s">
        <v>241</v>
      </c>
      <c r="C268" s="546">
        <v>51.7</v>
      </c>
      <c r="D268" s="547">
        <f t="shared" si="45"/>
        <v>51777.405749999998</v>
      </c>
      <c r="E268" s="547">
        <f t="shared" si="46"/>
        <v>31066.443449999999</v>
      </c>
      <c r="F268" s="547">
        <f t="shared" si="41"/>
        <v>40000</v>
      </c>
      <c r="G268" s="548">
        <f t="shared" si="47"/>
        <v>30</v>
      </c>
      <c r="H268" s="549">
        <f t="shared" si="43"/>
        <v>652.49481325568274</v>
      </c>
      <c r="I268" s="545" t="s">
        <v>515</v>
      </c>
      <c r="J268" s="549">
        <f t="shared" si="44"/>
        <v>9.3213544750811828</v>
      </c>
      <c r="K268" s="545" t="s">
        <v>481</v>
      </c>
      <c r="L268" s="722"/>
    </row>
    <row r="269" spans="1:12" s="376" customFormat="1" ht="13.2" x14ac:dyDescent="0.25">
      <c r="A269" s="544" t="s">
        <v>520</v>
      </c>
      <c r="B269" s="545" t="s">
        <v>242</v>
      </c>
      <c r="C269" s="546">
        <v>50.1</v>
      </c>
      <c r="D269" s="547">
        <f t="shared" si="45"/>
        <v>52771.929749999996</v>
      </c>
      <c r="E269" s="547">
        <f t="shared" si="46"/>
        <v>31663.157849999996</v>
      </c>
      <c r="F269" s="547">
        <f t="shared" si="41"/>
        <v>40000</v>
      </c>
      <c r="G269" s="548">
        <f t="shared" si="47"/>
        <v>30</v>
      </c>
      <c r="H269" s="549">
        <f t="shared" si="43"/>
        <v>652.49481325568274</v>
      </c>
      <c r="I269" s="545" t="s">
        <v>515</v>
      </c>
      <c r="J269" s="549">
        <f t="shared" si="44"/>
        <v>9.3213544750811828</v>
      </c>
      <c r="K269" s="545" t="s">
        <v>481</v>
      </c>
      <c r="L269" s="722"/>
    </row>
    <row r="270" spans="1:12" s="376" customFormat="1" ht="13.2" x14ac:dyDescent="0.25">
      <c r="A270" s="544" t="s">
        <v>520</v>
      </c>
      <c r="B270" s="545" t="s">
        <v>243</v>
      </c>
      <c r="C270" s="546">
        <v>63.2</v>
      </c>
      <c r="D270" s="547">
        <f t="shared" si="45"/>
        <v>44629.264499999997</v>
      </c>
      <c r="E270" s="547">
        <f t="shared" si="46"/>
        <v>26777.558699999998</v>
      </c>
      <c r="F270" s="547">
        <f t="shared" si="41"/>
        <v>34000</v>
      </c>
      <c r="G270" s="548">
        <f t="shared" si="47"/>
        <v>30</v>
      </c>
      <c r="H270" s="549">
        <f t="shared" si="43"/>
        <v>644.99481325568274</v>
      </c>
      <c r="I270" s="545" t="s">
        <v>515</v>
      </c>
      <c r="J270" s="549">
        <f t="shared" si="44"/>
        <v>9.2142116179383251</v>
      </c>
      <c r="K270" s="545" t="s">
        <v>481</v>
      </c>
      <c r="L270" s="722"/>
    </row>
    <row r="271" spans="1:12" s="376" customFormat="1" ht="13.8" thickBot="1" x14ac:dyDescent="0.3">
      <c r="A271" s="556" t="s">
        <v>520</v>
      </c>
      <c r="B271" s="557" t="s">
        <v>244</v>
      </c>
      <c r="C271" s="558">
        <v>41.4</v>
      </c>
      <c r="D271" s="559">
        <f t="shared" si="45"/>
        <v>58179.653999999995</v>
      </c>
      <c r="E271" s="559">
        <f t="shared" si="46"/>
        <v>34907.792399999998</v>
      </c>
      <c r="F271" s="559">
        <f t="shared" si="41"/>
        <v>50000</v>
      </c>
      <c r="G271" s="560">
        <f t="shared" si="47"/>
        <v>30</v>
      </c>
      <c r="H271" s="561">
        <f t="shared" si="43"/>
        <v>664.99481325568274</v>
      </c>
      <c r="I271" s="557" t="s">
        <v>515</v>
      </c>
      <c r="J271" s="561">
        <f t="shared" si="44"/>
        <v>9.4999259036526098</v>
      </c>
      <c r="K271" s="557" t="s">
        <v>481</v>
      </c>
      <c r="L271" s="723"/>
    </row>
    <row r="272" spans="1:12" s="376" customFormat="1" ht="13.2" x14ac:dyDescent="0.25">
      <c r="A272" s="562" t="s">
        <v>521</v>
      </c>
      <c r="B272" s="563" t="s">
        <v>479</v>
      </c>
      <c r="C272" s="564">
        <v>47.9</v>
      </c>
      <c r="D272" s="565">
        <f t="shared" ref="D272:D287" si="48">$C$57*($B$60-C272)*$B$62</f>
        <v>54139.400249999992</v>
      </c>
      <c r="E272" s="565">
        <f t="shared" ref="E272:E287" si="49">D272*$B$61</f>
        <v>32483.640149999992</v>
      </c>
      <c r="F272" s="565">
        <f t="shared" ref="F272:F287" si="50">_xlfn.LET(_xlpm.x,_xlfn.XLOOKUP(E272/$C$3,$A$164:$A$204,$A$164:$A$204,"",1),IF(_xlpm.x="",ROUNDUP(E272/$C$3,0),_xlpm.x))</f>
        <v>42000</v>
      </c>
      <c r="G272" s="566">
        <f t="shared" ref="G272:G287" si="51">_xlfn.LET(_xlpm.v,MAX(30,$C$57*$B$63),_xlpm.x,_xlfn.XLOOKUP(_xlpm.v,$C$164:$C$177,$C$164:$C$177,"",1),IF(_xlpm.x="",ROUNDUP(_xlpm.v,0),_xlpm.x))</f>
        <v>30</v>
      </c>
      <c r="H272" s="567">
        <f t="shared" ref="H272:H287" si="52">(F272/800)+110*SQRT(G272)</f>
        <v>654.99481325568274</v>
      </c>
      <c r="I272" s="563" t="s">
        <v>515</v>
      </c>
      <c r="J272" s="567">
        <f t="shared" ref="J272:J287" si="53">H272/70</f>
        <v>9.3570687607954675</v>
      </c>
      <c r="K272" s="563" t="s">
        <v>481</v>
      </c>
      <c r="L272" s="722" t="s">
        <v>518</v>
      </c>
    </row>
    <row r="273" spans="1:12" s="376" customFormat="1" ht="13.2" x14ac:dyDescent="0.25">
      <c r="A273" s="544" t="s">
        <v>521</v>
      </c>
      <c r="B273" s="545" t="s">
        <v>483</v>
      </c>
      <c r="C273" s="546">
        <v>50.8</v>
      </c>
      <c r="D273" s="547">
        <f t="shared" si="48"/>
        <v>52336.825499999992</v>
      </c>
      <c r="E273" s="547">
        <f t="shared" si="49"/>
        <v>31402.095299999994</v>
      </c>
      <c r="F273" s="547">
        <f t="shared" si="50"/>
        <v>40000</v>
      </c>
      <c r="G273" s="548">
        <f t="shared" si="51"/>
        <v>30</v>
      </c>
      <c r="H273" s="549">
        <f t="shared" si="52"/>
        <v>652.49481325568274</v>
      </c>
      <c r="I273" s="545" t="s">
        <v>515</v>
      </c>
      <c r="J273" s="549">
        <f t="shared" si="53"/>
        <v>9.3213544750811828</v>
      </c>
      <c r="K273" s="545" t="s">
        <v>481</v>
      </c>
      <c r="L273" s="722"/>
    </row>
    <row r="274" spans="1:12" s="376" customFormat="1" ht="13.2" x14ac:dyDescent="0.25">
      <c r="A274" s="544" t="s">
        <v>521</v>
      </c>
      <c r="B274" s="545" t="s">
        <v>484</v>
      </c>
      <c r="C274" s="546">
        <v>52.2</v>
      </c>
      <c r="D274" s="547">
        <f t="shared" si="48"/>
        <v>51466.616999999998</v>
      </c>
      <c r="E274" s="547">
        <f t="shared" si="49"/>
        <v>30879.970199999996</v>
      </c>
      <c r="F274" s="547">
        <f t="shared" si="50"/>
        <v>40000</v>
      </c>
      <c r="G274" s="548">
        <f t="shared" si="51"/>
        <v>30</v>
      </c>
      <c r="H274" s="549">
        <f t="shared" si="52"/>
        <v>652.49481325568274</v>
      </c>
      <c r="I274" s="545" t="s">
        <v>515</v>
      </c>
      <c r="J274" s="549">
        <f t="shared" si="53"/>
        <v>9.3213544750811828</v>
      </c>
      <c r="K274" s="545" t="s">
        <v>481</v>
      </c>
      <c r="L274" s="722"/>
    </row>
    <row r="275" spans="1:12" s="376" customFormat="1" ht="13.2" x14ac:dyDescent="0.25">
      <c r="A275" s="544" t="s">
        <v>521</v>
      </c>
      <c r="B275" s="545" t="s">
        <v>485</v>
      </c>
      <c r="C275" s="546">
        <v>52.7</v>
      </c>
      <c r="D275" s="547">
        <f t="shared" si="48"/>
        <v>51155.828249999991</v>
      </c>
      <c r="E275" s="547">
        <f t="shared" si="49"/>
        <v>30693.496949999993</v>
      </c>
      <c r="F275" s="547">
        <f t="shared" si="50"/>
        <v>40000</v>
      </c>
      <c r="G275" s="548">
        <f t="shared" si="51"/>
        <v>30</v>
      </c>
      <c r="H275" s="549">
        <f t="shared" si="52"/>
        <v>652.49481325568274</v>
      </c>
      <c r="I275" s="545" t="s">
        <v>515</v>
      </c>
      <c r="J275" s="549">
        <f t="shared" si="53"/>
        <v>9.3213544750811828</v>
      </c>
      <c r="K275" s="545" t="s">
        <v>481</v>
      </c>
      <c r="L275" s="722"/>
    </row>
    <row r="276" spans="1:12" s="376" customFormat="1" ht="13.2" x14ac:dyDescent="0.25">
      <c r="A276" s="544" t="s">
        <v>521</v>
      </c>
      <c r="B276" s="545" t="s">
        <v>486</v>
      </c>
      <c r="C276" s="546">
        <v>51.6</v>
      </c>
      <c r="D276" s="547">
        <f t="shared" si="48"/>
        <v>51839.563499999997</v>
      </c>
      <c r="E276" s="547">
        <f t="shared" si="49"/>
        <v>31103.738099999995</v>
      </c>
      <c r="F276" s="547">
        <f t="shared" si="50"/>
        <v>40000</v>
      </c>
      <c r="G276" s="548">
        <f t="shared" si="51"/>
        <v>30</v>
      </c>
      <c r="H276" s="549">
        <f t="shared" si="52"/>
        <v>652.49481325568274</v>
      </c>
      <c r="I276" s="545" t="s">
        <v>515</v>
      </c>
      <c r="J276" s="549">
        <f t="shared" si="53"/>
        <v>9.3213544750811828</v>
      </c>
      <c r="K276" s="545" t="s">
        <v>481</v>
      </c>
      <c r="L276" s="722"/>
    </row>
    <row r="277" spans="1:12" s="376" customFormat="1" ht="13.2" x14ac:dyDescent="0.25">
      <c r="A277" s="544" t="s">
        <v>521</v>
      </c>
      <c r="B277" s="545" t="s">
        <v>487</v>
      </c>
      <c r="C277" s="546">
        <v>56.8</v>
      </c>
      <c r="D277" s="547">
        <f t="shared" si="48"/>
        <v>48607.360499999995</v>
      </c>
      <c r="E277" s="547">
        <f t="shared" si="49"/>
        <v>29164.416299999997</v>
      </c>
      <c r="F277" s="547">
        <f t="shared" si="50"/>
        <v>38000</v>
      </c>
      <c r="G277" s="548">
        <f t="shared" si="51"/>
        <v>30</v>
      </c>
      <c r="H277" s="549">
        <f t="shared" si="52"/>
        <v>649.99481325568274</v>
      </c>
      <c r="I277" s="545" t="s">
        <v>515</v>
      </c>
      <c r="J277" s="549">
        <f t="shared" si="53"/>
        <v>9.2856401893668963</v>
      </c>
      <c r="K277" s="545" t="s">
        <v>481</v>
      </c>
      <c r="L277" s="722"/>
    </row>
    <row r="278" spans="1:12" s="376" customFormat="1" ht="13.2" x14ac:dyDescent="0.25">
      <c r="A278" s="544" t="s">
        <v>521</v>
      </c>
      <c r="B278" s="545" t="s">
        <v>488</v>
      </c>
      <c r="C278" s="546">
        <v>58.4</v>
      </c>
      <c r="D278" s="547">
        <f t="shared" si="48"/>
        <v>47612.836499999998</v>
      </c>
      <c r="E278" s="547">
        <f t="shared" si="49"/>
        <v>28567.701899999996</v>
      </c>
      <c r="F278" s="547">
        <f t="shared" si="50"/>
        <v>36000</v>
      </c>
      <c r="G278" s="548">
        <f t="shared" si="51"/>
        <v>30</v>
      </c>
      <c r="H278" s="549">
        <f t="shared" si="52"/>
        <v>647.49481325568274</v>
      </c>
      <c r="I278" s="545" t="s">
        <v>515</v>
      </c>
      <c r="J278" s="549">
        <f t="shared" si="53"/>
        <v>9.2499259036526098</v>
      </c>
      <c r="K278" s="545" t="s">
        <v>481</v>
      </c>
      <c r="L278" s="722"/>
    </row>
    <row r="279" spans="1:12" s="376" customFormat="1" ht="13.2" x14ac:dyDescent="0.25">
      <c r="A279" s="544" t="s">
        <v>521</v>
      </c>
      <c r="B279" s="545" t="s">
        <v>489</v>
      </c>
      <c r="C279" s="546">
        <v>58.4</v>
      </c>
      <c r="D279" s="547">
        <f t="shared" si="48"/>
        <v>47612.836499999998</v>
      </c>
      <c r="E279" s="547">
        <f t="shared" si="49"/>
        <v>28567.701899999996</v>
      </c>
      <c r="F279" s="547">
        <f t="shared" si="50"/>
        <v>36000</v>
      </c>
      <c r="G279" s="548">
        <f t="shared" si="51"/>
        <v>30</v>
      </c>
      <c r="H279" s="549">
        <f t="shared" si="52"/>
        <v>647.49481325568274</v>
      </c>
      <c r="I279" s="545" t="s">
        <v>515</v>
      </c>
      <c r="J279" s="549">
        <f t="shared" si="53"/>
        <v>9.2499259036526098</v>
      </c>
      <c r="K279" s="545" t="s">
        <v>481</v>
      </c>
      <c r="L279" s="722"/>
    </row>
    <row r="280" spans="1:12" s="376" customFormat="1" ht="13.2" x14ac:dyDescent="0.25">
      <c r="A280" s="544" t="s">
        <v>521</v>
      </c>
      <c r="B280" s="545" t="s">
        <v>490</v>
      </c>
      <c r="C280" s="546">
        <v>57.6</v>
      </c>
      <c r="D280" s="547">
        <f t="shared" si="48"/>
        <v>48110.098499999993</v>
      </c>
      <c r="E280" s="547">
        <f t="shared" si="49"/>
        <v>28866.059099999995</v>
      </c>
      <c r="F280" s="547">
        <f t="shared" si="50"/>
        <v>38000</v>
      </c>
      <c r="G280" s="548">
        <f t="shared" si="51"/>
        <v>30</v>
      </c>
      <c r="H280" s="549">
        <f t="shared" si="52"/>
        <v>649.99481325568274</v>
      </c>
      <c r="I280" s="545" t="s">
        <v>515</v>
      </c>
      <c r="J280" s="549">
        <f t="shared" si="53"/>
        <v>9.2856401893668963</v>
      </c>
      <c r="K280" s="545" t="s">
        <v>481</v>
      </c>
      <c r="L280" s="722"/>
    </row>
    <row r="281" spans="1:12" s="376" customFormat="1" ht="13.2" x14ac:dyDescent="0.25">
      <c r="A281" s="544" t="s">
        <v>521</v>
      </c>
      <c r="B281" s="545" t="s">
        <v>238</v>
      </c>
      <c r="C281" s="546">
        <v>57.1</v>
      </c>
      <c r="D281" s="547">
        <f t="shared" si="48"/>
        <v>48420.887249999992</v>
      </c>
      <c r="E281" s="547">
        <f t="shared" si="49"/>
        <v>29052.532349999994</v>
      </c>
      <c r="F281" s="547">
        <f t="shared" si="50"/>
        <v>38000</v>
      </c>
      <c r="G281" s="548">
        <f t="shared" si="51"/>
        <v>30</v>
      </c>
      <c r="H281" s="549">
        <f t="shared" si="52"/>
        <v>649.99481325568274</v>
      </c>
      <c r="I281" s="545" t="s">
        <v>515</v>
      </c>
      <c r="J281" s="549">
        <f t="shared" si="53"/>
        <v>9.2856401893668963</v>
      </c>
      <c r="K281" s="545" t="s">
        <v>481</v>
      </c>
      <c r="L281" s="722"/>
    </row>
    <row r="282" spans="1:12" s="376" customFormat="1" ht="13.2" x14ac:dyDescent="0.25">
      <c r="A282" s="544" t="s">
        <v>521</v>
      </c>
      <c r="B282" s="545" t="s">
        <v>239</v>
      </c>
      <c r="C282" s="546">
        <v>50.5</v>
      </c>
      <c r="D282" s="547">
        <f t="shared" si="48"/>
        <v>52523.298749999994</v>
      </c>
      <c r="E282" s="547">
        <f t="shared" si="49"/>
        <v>31513.979249999997</v>
      </c>
      <c r="F282" s="547">
        <f t="shared" si="50"/>
        <v>40000</v>
      </c>
      <c r="G282" s="548">
        <f t="shared" si="51"/>
        <v>30</v>
      </c>
      <c r="H282" s="549">
        <f t="shared" si="52"/>
        <v>652.49481325568274</v>
      </c>
      <c r="I282" s="545" t="s">
        <v>515</v>
      </c>
      <c r="J282" s="549">
        <f t="shared" si="53"/>
        <v>9.3213544750811828</v>
      </c>
      <c r="K282" s="545" t="s">
        <v>481</v>
      </c>
      <c r="L282" s="722"/>
    </row>
    <row r="283" spans="1:12" s="376" customFormat="1" ht="13.2" x14ac:dyDescent="0.25">
      <c r="A283" s="544" t="s">
        <v>521</v>
      </c>
      <c r="B283" s="545" t="s">
        <v>240</v>
      </c>
      <c r="C283" s="546">
        <v>51.4</v>
      </c>
      <c r="D283" s="547">
        <f t="shared" si="48"/>
        <v>51963.878999999994</v>
      </c>
      <c r="E283" s="547">
        <f t="shared" si="49"/>
        <v>31178.327399999995</v>
      </c>
      <c r="F283" s="547">
        <f t="shared" si="50"/>
        <v>40000</v>
      </c>
      <c r="G283" s="548">
        <f t="shared" si="51"/>
        <v>30</v>
      </c>
      <c r="H283" s="549">
        <f t="shared" si="52"/>
        <v>652.49481325568274</v>
      </c>
      <c r="I283" s="545" t="s">
        <v>515</v>
      </c>
      <c r="J283" s="549">
        <f t="shared" si="53"/>
        <v>9.3213544750811828</v>
      </c>
      <c r="K283" s="545" t="s">
        <v>481</v>
      </c>
      <c r="L283" s="722"/>
    </row>
    <row r="284" spans="1:12" s="376" customFormat="1" ht="13.2" x14ac:dyDescent="0.25">
      <c r="A284" s="544" t="s">
        <v>521</v>
      </c>
      <c r="B284" s="545" t="s">
        <v>241</v>
      </c>
      <c r="C284" s="546">
        <v>51.7</v>
      </c>
      <c r="D284" s="547">
        <f t="shared" si="48"/>
        <v>51777.405749999998</v>
      </c>
      <c r="E284" s="547">
        <f t="shared" si="49"/>
        <v>31066.443449999999</v>
      </c>
      <c r="F284" s="547">
        <f t="shared" si="50"/>
        <v>40000</v>
      </c>
      <c r="G284" s="548">
        <f t="shared" si="51"/>
        <v>30</v>
      </c>
      <c r="H284" s="549">
        <f t="shared" si="52"/>
        <v>652.49481325568274</v>
      </c>
      <c r="I284" s="545" t="s">
        <v>515</v>
      </c>
      <c r="J284" s="549">
        <f t="shared" si="53"/>
        <v>9.3213544750811828</v>
      </c>
      <c r="K284" s="545" t="s">
        <v>481</v>
      </c>
      <c r="L284" s="722"/>
    </row>
    <row r="285" spans="1:12" s="376" customFormat="1" ht="13.2" x14ac:dyDescent="0.25">
      <c r="A285" s="544" t="s">
        <v>521</v>
      </c>
      <c r="B285" s="545" t="s">
        <v>242</v>
      </c>
      <c r="C285" s="546">
        <v>50.1</v>
      </c>
      <c r="D285" s="547">
        <f t="shared" si="48"/>
        <v>52771.929749999996</v>
      </c>
      <c r="E285" s="547">
        <f t="shared" si="49"/>
        <v>31663.157849999996</v>
      </c>
      <c r="F285" s="547">
        <f t="shared" si="50"/>
        <v>40000</v>
      </c>
      <c r="G285" s="548">
        <f t="shared" si="51"/>
        <v>30</v>
      </c>
      <c r="H285" s="549">
        <f t="shared" si="52"/>
        <v>652.49481325568274</v>
      </c>
      <c r="I285" s="545" t="s">
        <v>515</v>
      </c>
      <c r="J285" s="549">
        <f t="shared" si="53"/>
        <v>9.3213544750811828</v>
      </c>
      <c r="K285" s="545" t="s">
        <v>481</v>
      </c>
      <c r="L285" s="722"/>
    </row>
    <row r="286" spans="1:12" s="376" customFormat="1" ht="13.2" x14ac:dyDescent="0.25">
      <c r="A286" s="544" t="s">
        <v>521</v>
      </c>
      <c r="B286" s="545" t="s">
        <v>243</v>
      </c>
      <c r="C286" s="546">
        <v>63.2</v>
      </c>
      <c r="D286" s="547">
        <f t="shared" si="48"/>
        <v>44629.264499999997</v>
      </c>
      <c r="E286" s="547">
        <f t="shared" si="49"/>
        <v>26777.558699999998</v>
      </c>
      <c r="F286" s="547">
        <f t="shared" si="50"/>
        <v>34000</v>
      </c>
      <c r="G286" s="548">
        <f t="shared" si="51"/>
        <v>30</v>
      </c>
      <c r="H286" s="549">
        <f t="shared" si="52"/>
        <v>644.99481325568274</v>
      </c>
      <c r="I286" s="545" t="s">
        <v>515</v>
      </c>
      <c r="J286" s="549">
        <f t="shared" si="53"/>
        <v>9.2142116179383251</v>
      </c>
      <c r="K286" s="545" t="s">
        <v>481</v>
      </c>
      <c r="L286" s="722"/>
    </row>
    <row r="287" spans="1:12" s="376" customFormat="1" ht="13.8" thickBot="1" x14ac:dyDescent="0.3">
      <c r="A287" s="556" t="s">
        <v>521</v>
      </c>
      <c r="B287" s="557" t="s">
        <v>244</v>
      </c>
      <c r="C287" s="558">
        <v>41.4</v>
      </c>
      <c r="D287" s="559">
        <f t="shared" si="48"/>
        <v>58179.653999999995</v>
      </c>
      <c r="E287" s="559">
        <f t="shared" si="49"/>
        <v>34907.792399999998</v>
      </c>
      <c r="F287" s="559">
        <f t="shared" si="50"/>
        <v>50000</v>
      </c>
      <c r="G287" s="560">
        <f t="shared" si="51"/>
        <v>30</v>
      </c>
      <c r="H287" s="561">
        <f t="shared" si="52"/>
        <v>664.99481325568274</v>
      </c>
      <c r="I287" s="557" t="s">
        <v>515</v>
      </c>
      <c r="J287" s="561">
        <f t="shared" si="53"/>
        <v>9.4999259036526098</v>
      </c>
      <c r="K287" s="557" t="s">
        <v>481</v>
      </c>
      <c r="L287" s="723"/>
    </row>
    <row r="289" s="4" customFormat="1" ht="14.25" customHeight="1" x14ac:dyDescent="0.25"/>
  </sheetData>
  <mergeCells count="1513">
    <mergeCell ref="A1:H1"/>
    <mergeCell ref="L135:L150"/>
    <mergeCell ref="L119:L134"/>
    <mergeCell ref="H70:I70"/>
    <mergeCell ref="J70:K70"/>
    <mergeCell ref="L71:L86"/>
    <mergeCell ref="A69:L69"/>
    <mergeCell ref="A6:G6"/>
    <mergeCell ref="A152:D152"/>
    <mergeCell ref="L87:L102"/>
    <mergeCell ref="L103:L118"/>
    <mergeCell ref="F2:G2"/>
    <mergeCell ref="D53:D57"/>
    <mergeCell ref="A51:D51"/>
    <mergeCell ref="L160:V160"/>
    <mergeCell ref="L224:L239"/>
    <mergeCell ref="A206:L206"/>
    <mergeCell ref="H207:I207"/>
    <mergeCell ref="J207:K207"/>
    <mergeCell ref="L208:L223"/>
    <mergeCell ref="A160:K160"/>
    <mergeCell ref="L256:L271"/>
    <mergeCell ref="L272:L287"/>
    <mergeCell ref="L240:L255"/>
    <mergeCell ref="GF160:GP160"/>
    <mergeCell ref="GQ160:HA160"/>
    <mergeCell ref="HB160:HL160"/>
    <mergeCell ref="HM160:HW160"/>
    <mergeCell ref="HX160:IH160"/>
    <mergeCell ref="EC160:EM160"/>
    <mergeCell ref="EN160:EX160"/>
    <mergeCell ref="EY160:FI160"/>
    <mergeCell ref="FJ160:FT160"/>
    <mergeCell ref="FU160:GE160"/>
    <mergeCell ref="BZ160:CJ160"/>
    <mergeCell ref="CK160:CU160"/>
    <mergeCell ref="CV160:DF160"/>
    <mergeCell ref="DG160:DQ160"/>
    <mergeCell ref="DR160:EB160"/>
    <mergeCell ref="W160:AG160"/>
    <mergeCell ref="AH160:AR160"/>
    <mergeCell ref="AS160:BC160"/>
    <mergeCell ref="BD160:BN160"/>
    <mergeCell ref="BO160:BY160"/>
    <mergeCell ref="OR160:PB160"/>
    <mergeCell ref="PC160:PM160"/>
    <mergeCell ref="PN160:PX160"/>
    <mergeCell ref="PY160:QI160"/>
    <mergeCell ref="QJ160:QT160"/>
    <mergeCell ref="MO160:MY160"/>
    <mergeCell ref="MZ160:NJ160"/>
    <mergeCell ref="NK160:NU160"/>
    <mergeCell ref="NV160:OF160"/>
    <mergeCell ref="OG160:OQ160"/>
    <mergeCell ref="KL160:KV160"/>
    <mergeCell ref="KW160:LG160"/>
    <mergeCell ref="LH160:LR160"/>
    <mergeCell ref="LS160:MC160"/>
    <mergeCell ref="MD160:MN160"/>
    <mergeCell ref="II160:IS160"/>
    <mergeCell ref="IT160:JD160"/>
    <mergeCell ref="JE160:JO160"/>
    <mergeCell ref="JP160:JZ160"/>
    <mergeCell ref="KA160:KK160"/>
    <mergeCell ref="XD160:XN160"/>
    <mergeCell ref="XO160:XY160"/>
    <mergeCell ref="XZ160:YJ160"/>
    <mergeCell ref="YK160:YU160"/>
    <mergeCell ref="YV160:ZF160"/>
    <mergeCell ref="VA160:VK160"/>
    <mergeCell ref="VL160:VV160"/>
    <mergeCell ref="VW160:WG160"/>
    <mergeCell ref="WH160:WR160"/>
    <mergeCell ref="WS160:XC160"/>
    <mergeCell ref="SX160:TH160"/>
    <mergeCell ref="TI160:TS160"/>
    <mergeCell ref="TT160:UD160"/>
    <mergeCell ref="UE160:UO160"/>
    <mergeCell ref="UP160:UZ160"/>
    <mergeCell ref="QU160:RE160"/>
    <mergeCell ref="RF160:RP160"/>
    <mergeCell ref="RQ160:SA160"/>
    <mergeCell ref="SB160:SL160"/>
    <mergeCell ref="SM160:SW160"/>
    <mergeCell ref="AFP160:AFZ160"/>
    <mergeCell ref="AGA160:AGK160"/>
    <mergeCell ref="AGL160:AGV160"/>
    <mergeCell ref="AGW160:AHG160"/>
    <mergeCell ref="AHH160:AHR160"/>
    <mergeCell ref="ADM160:ADW160"/>
    <mergeCell ref="ADX160:AEH160"/>
    <mergeCell ref="AEI160:AES160"/>
    <mergeCell ref="AET160:AFD160"/>
    <mergeCell ref="AFE160:AFO160"/>
    <mergeCell ref="ABJ160:ABT160"/>
    <mergeCell ref="ABU160:ACE160"/>
    <mergeCell ref="ACF160:ACP160"/>
    <mergeCell ref="ACQ160:ADA160"/>
    <mergeCell ref="ADB160:ADL160"/>
    <mergeCell ref="ZG160:ZQ160"/>
    <mergeCell ref="ZR160:AAB160"/>
    <mergeCell ref="AAC160:AAM160"/>
    <mergeCell ref="AAN160:AAX160"/>
    <mergeCell ref="AAY160:ABI160"/>
    <mergeCell ref="AOB160:AOL160"/>
    <mergeCell ref="AOM160:AOW160"/>
    <mergeCell ref="AOX160:APH160"/>
    <mergeCell ref="API160:APS160"/>
    <mergeCell ref="APT160:AQD160"/>
    <mergeCell ref="ALY160:AMI160"/>
    <mergeCell ref="AMJ160:AMT160"/>
    <mergeCell ref="AMU160:ANE160"/>
    <mergeCell ref="ANF160:ANP160"/>
    <mergeCell ref="ANQ160:AOA160"/>
    <mergeCell ref="AJV160:AKF160"/>
    <mergeCell ref="AKG160:AKQ160"/>
    <mergeCell ref="AKR160:ALB160"/>
    <mergeCell ref="ALC160:ALM160"/>
    <mergeCell ref="ALN160:ALX160"/>
    <mergeCell ref="AHS160:AIC160"/>
    <mergeCell ref="AID160:AIN160"/>
    <mergeCell ref="AIO160:AIY160"/>
    <mergeCell ref="AIZ160:AJJ160"/>
    <mergeCell ref="AJK160:AJU160"/>
    <mergeCell ref="AWN160:AWX160"/>
    <mergeCell ref="AWY160:AXI160"/>
    <mergeCell ref="AXJ160:AXT160"/>
    <mergeCell ref="AXU160:AYE160"/>
    <mergeCell ref="AYF160:AYP160"/>
    <mergeCell ref="AUK160:AUU160"/>
    <mergeCell ref="AUV160:AVF160"/>
    <mergeCell ref="AVG160:AVQ160"/>
    <mergeCell ref="AVR160:AWB160"/>
    <mergeCell ref="AWC160:AWM160"/>
    <mergeCell ref="ASH160:ASR160"/>
    <mergeCell ref="ASS160:ATC160"/>
    <mergeCell ref="ATD160:ATN160"/>
    <mergeCell ref="ATO160:ATY160"/>
    <mergeCell ref="ATZ160:AUJ160"/>
    <mergeCell ref="AQE160:AQO160"/>
    <mergeCell ref="AQP160:AQZ160"/>
    <mergeCell ref="ARA160:ARK160"/>
    <mergeCell ref="ARL160:ARV160"/>
    <mergeCell ref="ARW160:ASG160"/>
    <mergeCell ref="BEZ160:BFJ160"/>
    <mergeCell ref="BFK160:BFU160"/>
    <mergeCell ref="BFV160:BGF160"/>
    <mergeCell ref="BGG160:BGQ160"/>
    <mergeCell ref="BGR160:BHB160"/>
    <mergeCell ref="BCW160:BDG160"/>
    <mergeCell ref="BDH160:BDR160"/>
    <mergeCell ref="BDS160:BEC160"/>
    <mergeCell ref="BED160:BEN160"/>
    <mergeCell ref="BEO160:BEY160"/>
    <mergeCell ref="BAT160:BBD160"/>
    <mergeCell ref="BBE160:BBO160"/>
    <mergeCell ref="BBP160:BBZ160"/>
    <mergeCell ref="BCA160:BCK160"/>
    <mergeCell ref="BCL160:BCV160"/>
    <mergeCell ref="AYQ160:AZA160"/>
    <mergeCell ref="AZB160:AZL160"/>
    <mergeCell ref="AZM160:AZW160"/>
    <mergeCell ref="AZX160:BAH160"/>
    <mergeCell ref="BAI160:BAS160"/>
    <mergeCell ref="BNL160:BNV160"/>
    <mergeCell ref="BNW160:BOG160"/>
    <mergeCell ref="BOH160:BOR160"/>
    <mergeCell ref="BOS160:BPC160"/>
    <mergeCell ref="BPD160:BPN160"/>
    <mergeCell ref="BLI160:BLS160"/>
    <mergeCell ref="BLT160:BMD160"/>
    <mergeCell ref="BME160:BMO160"/>
    <mergeCell ref="BMP160:BMZ160"/>
    <mergeCell ref="BNA160:BNK160"/>
    <mergeCell ref="BJF160:BJP160"/>
    <mergeCell ref="BJQ160:BKA160"/>
    <mergeCell ref="BKB160:BKL160"/>
    <mergeCell ref="BKM160:BKW160"/>
    <mergeCell ref="BKX160:BLH160"/>
    <mergeCell ref="BHC160:BHM160"/>
    <mergeCell ref="BHN160:BHX160"/>
    <mergeCell ref="BHY160:BII160"/>
    <mergeCell ref="BIJ160:BIT160"/>
    <mergeCell ref="BIU160:BJE160"/>
    <mergeCell ref="BVX160:BWH160"/>
    <mergeCell ref="BWI160:BWS160"/>
    <mergeCell ref="BWT160:BXD160"/>
    <mergeCell ref="BXE160:BXO160"/>
    <mergeCell ref="BXP160:BXZ160"/>
    <mergeCell ref="BTU160:BUE160"/>
    <mergeCell ref="BUF160:BUP160"/>
    <mergeCell ref="BUQ160:BVA160"/>
    <mergeCell ref="BVB160:BVL160"/>
    <mergeCell ref="BVM160:BVW160"/>
    <mergeCell ref="BRR160:BSB160"/>
    <mergeCell ref="BSC160:BSM160"/>
    <mergeCell ref="BSN160:BSX160"/>
    <mergeCell ref="BSY160:BTI160"/>
    <mergeCell ref="BTJ160:BTT160"/>
    <mergeCell ref="BPO160:BPY160"/>
    <mergeCell ref="BPZ160:BQJ160"/>
    <mergeCell ref="BQK160:BQU160"/>
    <mergeCell ref="BQV160:BRF160"/>
    <mergeCell ref="BRG160:BRQ160"/>
    <mergeCell ref="CEJ160:CET160"/>
    <mergeCell ref="CEU160:CFE160"/>
    <mergeCell ref="CFF160:CFP160"/>
    <mergeCell ref="CFQ160:CGA160"/>
    <mergeCell ref="CGB160:CGL160"/>
    <mergeCell ref="CCG160:CCQ160"/>
    <mergeCell ref="CCR160:CDB160"/>
    <mergeCell ref="CDC160:CDM160"/>
    <mergeCell ref="CDN160:CDX160"/>
    <mergeCell ref="CDY160:CEI160"/>
    <mergeCell ref="CAD160:CAN160"/>
    <mergeCell ref="CAO160:CAY160"/>
    <mergeCell ref="CAZ160:CBJ160"/>
    <mergeCell ref="CBK160:CBU160"/>
    <mergeCell ref="CBV160:CCF160"/>
    <mergeCell ref="BYA160:BYK160"/>
    <mergeCell ref="BYL160:BYV160"/>
    <mergeCell ref="BYW160:BZG160"/>
    <mergeCell ref="BZH160:BZR160"/>
    <mergeCell ref="BZS160:CAC160"/>
    <mergeCell ref="CMV160:CNF160"/>
    <mergeCell ref="CNG160:CNQ160"/>
    <mergeCell ref="CNR160:COB160"/>
    <mergeCell ref="COC160:COM160"/>
    <mergeCell ref="CON160:COX160"/>
    <mergeCell ref="CKS160:CLC160"/>
    <mergeCell ref="CLD160:CLN160"/>
    <mergeCell ref="CLO160:CLY160"/>
    <mergeCell ref="CLZ160:CMJ160"/>
    <mergeCell ref="CMK160:CMU160"/>
    <mergeCell ref="CIP160:CIZ160"/>
    <mergeCell ref="CJA160:CJK160"/>
    <mergeCell ref="CJL160:CJV160"/>
    <mergeCell ref="CJW160:CKG160"/>
    <mergeCell ref="CKH160:CKR160"/>
    <mergeCell ref="CGM160:CGW160"/>
    <mergeCell ref="CGX160:CHH160"/>
    <mergeCell ref="CHI160:CHS160"/>
    <mergeCell ref="CHT160:CID160"/>
    <mergeCell ref="CIE160:CIO160"/>
    <mergeCell ref="CVH160:CVR160"/>
    <mergeCell ref="CVS160:CWC160"/>
    <mergeCell ref="CWD160:CWN160"/>
    <mergeCell ref="CWO160:CWY160"/>
    <mergeCell ref="CWZ160:CXJ160"/>
    <mergeCell ref="CTE160:CTO160"/>
    <mergeCell ref="CTP160:CTZ160"/>
    <mergeCell ref="CUA160:CUK160"/>
    <mergeCell ref="CUL160:CUV160"/>
    <mergeCell ref="CUW160:CVG160"/>
    <mergeCell ref="CRB160:CRL160"/>
    <mergeCell ref="CRM160:CRW160"/>
    <mergeCell ref="CRX160:CSH160"/>
    <mergeCell ref="CSI160:CSS160"/>
    <mergeCell ref="CST160:CTD160"/>
    <mergeCell ref="COY160:CPI160"/>
    <mergeCell ref="CPJ160:CPT160"/>
    <mergeCell ref="CPU160:CQE160"/>
    <mergeCell ref="CQF160:CQP160"/>
    <mergeCell ref="CQQ160:CRA160"/>
    <mergeCell ref="DDT160:DED160"/>
    <mergeCell ref="DEE160:DEO160"/>
    <mergeCell ref="DEP160:DEZ160"/>
    <mergeCell ref="DFA160:DFK160"/>
    <mergeCell ref="DFL160:DFV160"/>
    <mergeCell ref="DBQ160:DCA160"/>
    <mergeCell ref="DCB160:DCL160"/>
    <mergeCell ref="DCM160:DCW160"/>
    <mergeCell ref="DCX160:DDH160"/>
    <mergeCell ref="DDI160:DDS160"/>
    <mergeCell ref="CZN160:CZX160"/>
    <mergeCell ref="CZY160:DAI160"/>
    <mergeCell ref="DAJ160:DAT160"/>
    <mergeCell ref="DAU160:DBE160"/>
    <mergeCell ref="DBF160:DBP160"/>
    <mergeCell ref="CXK160:CXU160"/>
    <mergeCell ref="CXV160:CYF160"/>
    <mergeCell ref="CYG160:CYQ160"/>
    <mergeCell ref="CYR160:CZB160"/>
    <mergeCell ref="CZC160:CZM160"/>
    <mergeCell ref="DMF160:DMP160"/>
    <mergeCell ref="DMQ160:DNA160"/>
    <mergeCell ref="DNB160:DNL160"/>
    <mergeCell ref="DNM160:DNW160"/>
    <mergeCell ref="DNX160:DOH160"/>
    <mergeCell ref="DKC160:DKM160"/>
    <mergeCell ref="DKN160:DKX160"/>
    <mergeCell ref="DKY160:DLI160"/>
    <mergeCell ref="DLJ160:DLT160"/>
    <mergeCell ref="DLU160:DME160"/>
    <mergeCell ref="DHZ160:DIJ160"/>
    <mergeCell ref="DIK160:DIU160"/>
    <mergeCell ref="DIV160:DJF160"/>
    <mergeCell ref="DJG160:DJQ160"/>
    <mergeCell ref="DJR160:DKB160"/>
    <mergeCell ref="DFW160:DGG160"/>
    <mergeCell ref="DGH160:DGR160"/>
    <mergeCell ref="DGS160:DHC160"/>
    <mergeCell ref="DHD160:DHN160"/>
    <mergeCell ref="DHO160:DHY160"/>
    <mergeCell ref="DUR160:DVB160"/>
    <mergeCell ref="DVC160:DVM160"/>
    <mergeCell ref="DVN160:DVX160"/>
    <mergeCell ref="DVY160:DWI160"/>
    <mergeCell ref="DWJ160:DWT160"/>
    <mergeCell ref="DSO160:DSY160"/>
    <mergeCell ref="DSZ160:DTJ160"/>
    <mergeCell ref="DTK160:DTU160"/>
    <mergeCell ref="DTV160:DUF160"/>
    <mergeCell ref="DUG160:DUQ160"/>
    <mergeCell ref="DQL160:DQV160"/>
    <mergeCell ref="DQW160:DRG160"/>
    <mergeCell ref="DRH160:DRR160"/>
    <mergeCell ref="DRS160:DSC160"/>
    <mergeCell ref="DSD160:DSN160"/>
    <mergeCell ref="DOI160:DOS160"/>
    <mergeCell ref="DOT160:DPD160"/>
    <mergeCell ref="DPE160:DPO160"/>
    <mergeCell ref="DPP160:DPZ160"/>
    <mergeCell ref="DQA160:DQK160"/>
    <mergeCell ref="EDD160:EDN160"/>
    <mergeCell ref="EDO160:EDY160"/>
    <mergeCell ref="EDZ160:EEJ160"/>
    <mergeCell ref="EEK160:EEU160"/>
    <mergeCell ref="EEV160:EFF160"/>
    <mergeCell ref="EBA160:EBK160"/>
    <mergeCell ref="EBL160:EBV160"/>
    <mergeCell ref="EBW160:ECG160"/>
    <mergeCell ref="ECH160:ECR160"/>
    <mergeCell ref="ECS160:EDC160"/>
    <mergeCell ref="DYX160:DZH160"/>
    <mergeCell ref="DZI160:DZS160"/>
    <mergeCell ref="DZT160:EAD160"/>
    <mergeCell ref="EAE160:EAO160"/>
    <mergeCell ref="EAP160:EAZ160"/>
    <mergeCell ref="DWU160:DXE160"/>
    <mergeCell ref="DXF160:DXP160"/>
    <mergeCell ref="DXQ160:DYA160"/>
    <mergeCell ref="DYB160:DYL160"/>
    <mergeCell ref="DYM160:DYW160"/>
    <mergeCell ref="ELP160:ELZ160"/>
    <mergeCell ref="EMA160:EMK160"/>
    <mergeCell ref="EML160:EMV160"/>
    <mergeCell ref="EMW160:ENG160"/>
    <mergeCell ref="ENH160:ENR160"/>
    <mergeCell ref="EJM160:EJW160"/>
    <mergeCell ref="EJX160:EKH160"/>
    <mergeCell ref="EKI160:EKS160"/>
    <mergeCell ref="EKT160:ELD160"/>
    <mergeCell ref="ELE160:ELO160"/>
    <mergeCell ref="EHJ160:EHT160"/>
    <mergeCell ref="EHU160:EIE160"/>
    <mergeCell ref="EIF160:EIP160"/>
    <mergeCell ref="EIQ160:EJA160"/>
    <mergeCell ref="EJB160:EJL160"/>
    <mergeCell ref="EFG160:EFQ160"/>
    <mergeCell ref="EFR160:EGB160"/>
    <mergeCell ref="EGC160:EGM160"/>
    <mergeCell ref="EGN160:EGX160"/>
    <mergeCell ref="EGY160:EHI160"/>
    <mergeCell ref="EUB160:EUL160"/>
    <mergeCell ref="EUM160:EUW160"/>
    <mergeCell ref="EUX160:EVH160"/>
    <mergeCell ref="EVI160:EVS160"/>
    <mergeCell ref="EVT160:EWD160"/>
    <mergeCell ref="ERY160:ESI160"/>
    <mergeCell ref="ESJ160:EST160"/>
    <mergeCell ref="ESU160:ETE160"/>
    <mergeCell ref="ETF160:ETP160"/>
    <mergeCell ref="ETQ160:EUA160"/>
    <mergeCell ref="EPV160:EQF160"/>
    <mergeCell ref="EQG160:EQQ160"/>
    <mergeCell ref="EQR160:ERB160"/>
    <mergeCell ref="ERC160:ERM160"/>
    <mergeCell ref="ERN160:ERX160"/>
    <mergeCell ref="ENS160:EOC160"/>
    <mergeCell ref="EOD160:EON160"/>
    <mergeCell ref="EOO160:EOY160"/>
    <mergeCell ref="EOZ160:EPJ160"/>
    <mergeCell ref="EPK160:EPU160"/>
    <mergeCell ref="FCN160:FCX160"/>
    <mergeCell ref="FCY160:FDI160"/>
    <mergeCell ref="FDJ160:FDT160"/>
    <mergeCell ref="FDU160:FEE160"/>
    <mergeCell ref="FEF160:FEP160"/>
    <mergeCell ref="FAK160:FAU160"/>
    <mergeCell ref="FAV160:FBF160"/>
    <mergeCell ref="FBG160:FBQ160"/>
    <mergeCell ref="FBR160:FCB160"/>
    <mergeCell ref="FCC160:FCM160"/>
    <mergeCell ref="EYH160:EYR160"/>
    <mergeCell ref="EYS160:EZC160"/>
    <mergeCell ref="EZD160:EZN160"/>
    <mergeCell ref="EZO160:EZY160"/>
    <mergeCell ref="EZZ160:FAJ160"/>
    <mergeCell ref="EWE160:EWO160"/>
    <mergeCell ref="EWP160:EWZ160"/>
    <mergeCell ref="EXA160:EXK160"/>
    <mergeCell ref="EXL160:EXV160"/>
    <mergeCell ref="EXW160:EYG160"/>
    <mergeCell ref="FKZ160:FLJ160"/>
    <mergeCell ref="FLK160:FLU160"/>
    <mergeCell ref="FLV160:FMF160"/>
    <mergeCell ref="FMG160:FMQ160"/>
    <mergeCell ref="FMR160:FNB160"/>
    <mergeCell ref="FIW160:FJG160"/>
    <mergeCell ref="FJH160:FJR160"/>
    <mergeCell ref="FJS160:FKC160"/>
    <mergeCell ref="FKD160:FKN160"/>
    <mergeCell ref="FKO160:FKY160"/>
    <mergeCell ref="FGT160:FHD160"/>
    <mergeCell ref="FHE160:FHO160"/>
    <mergeCell ref="FHP160:FHZ160"/>
    <mergeCell ref="FIA160:FIK160"/>
    <mergeCell ref="FIL160:FIV160"/>
    <mergeCell ref="FEQ160:FFA160"/>
    <mergeCell ref="FFB160:FFL160"/>
    <mergeCell ref="FFM160:FFW160"/>
    <mergeCell ref="FFX160:FGH160"/>
    <mergeCell ref="FGI160:FGS160"/>
    <mergeCell ref="FTL160:FTV160"/>
    <mergeCell ref="FTW160:FUG160"/>
    <mergeCell ref="FUH160:FUR160"/>
    <mergeCell ref="FUS160:FVC160"/>
    <mergeCell ref="FVD160:FVN160"/>
    <mergeCell ref="FRI160:FRS160"/>
    <mergeCell ref="FRT160:FSD160"/>
    <mergeCell ref="FSE160:FSO160"/>
    <mergeCell ref="FSP160:FSZ160"/>
    <mergeCell ref="FTA160:FTK160"/>
    <mergeCell ref="FPF160:FPP160"/>
    <mergeCell ref="FPQ160:FQA160"/>
    <mergeCell ref="FQB160:FQL160"/>
    <mergeCell ref="FQM160:FQW160"/>
    <mergeCell ref="FQX160:FRH160"/>
    <mergeCell ref="FNC160:FNM160"/>
    <mergeCell ref="FNN160:FNX160"/>
    <mergeCell ref="FNY160:FOI160"/>
    <mergeCell ref="FOJ160:FOT160"/>
    <mergeCell ref="FOU160:FPE160"/>
    <mergeCell ref="GBX160:GCH160"/>
    <mergeCell ref="GCI160:GCS160"/>
    <mergeCell ref="GCT160:GDD160"/>
    <mergeCell ref="GDE160:GDO160"/>
    <mergeCell ref="GDP160:GDZ160"/>
    <mergeCell ref="FZU160:GAE160"/>
    <mergeCell ref="GAF160:GAP160"/>
    <mergeCell ref="GAQ160:GBA160"/>
    <mergeCell ref="GBB160:GBL160"/>
    <mergeCell ref="GBM160:GBW160"/>
    <mergeCell ref="FXR160:FYB160"/>
    <mergeCell ref="FYC160:FYM160"/>
    <mergeCell ref="FYN160:FYX160"/>
    <mergeCell ref="FYY160:FZI160"/>
    <mergeCell ref="FZJ160:FZT160"/>
    <mergeCell ref="FVO160:FVY160"/>
    <mergeCell ref="FVZ160:FWJ160"/>
    <mergeCell ref="FWK160:FWU160"/>
    <mergeCell ref="FWV160:FXF160"/>
    <mergeCell ref="FXG160:FXQ160"/>
    <mergeCell ref="GKJ160:GKT160"/>
    <mergeCell ref="GKU160:GLE160"/>
    <mergeCell ref="GLF160:GLP160"/>
    <mergeCell ref="GLQ160:GMA160"/>
    <mergeCell ref="GMB160:GML160"/>
    <mergeCell ref="GIG160:GIQ160"/>
    <mergeCell ref="GIR160:GJB160"/>
    <mergeCell ref="GJC160:GJM160"/>
    <mergeCell ref="GJN160:GJX160"/>
    <mergeCell ref="GJY160:GKI160"/>
    <mergeCell ref="GGD160:GGN160"/>
    <mergeCell ref="GGO160:GGY160"/>
    <mergeCell ref="GGZ160:GHJ160"/>
    <mergeCell ref="GHK160:GHU160"/>
    <mergeCell ref="GHV160:GIF160"/>
    <mergeCell ref="GEA160:GEK160"/>
    <mergeCell ref="GEL160:GEV160"/>
    <mergeCell ref="GEW160:GFG160"/>
    <mergeCell ref="GFH160:GFR160"/>
    <mergeCell ref="GFS160:GGC160"/>
    <mergeCell ref="GSV160:GTF160"/>
    <mergeCell ref="GTG160:GTQ160"/>
    <mergeCell ref="GTR160:GUB160"/>
    <mergeCell ref="GUC160:GUM160"/>
    <mergeCell ref="GUN160:GUX160"/>
    <mergeCell ref="GQS160:GRC160"/>
    <mergeCell ref="GRD160:GRN160"/>
    <mergeCell ref="GRO160:GRY160"/>
    <mergeCell ref="GRZ160:GSJ160"/>
    <mergeCell ref="GSK160:GSU160"/>
    <mergeCell ref="GOP160:GOZ160"/>
    <mergeCell ref="GPA160:GPK160"/>
    <mergeCell ref="GPL160:GPV160"/>
    <mergeCell ref="GPW160:GQG160"/>
    <mergeCell ref="GQH160:GQR160"/>
    <mergeCell ref="GMM160:GMW160"/>
    <mergeCell ref="GMX160:GNH160"/>
    <mergeCell ref="GNI160:GNS160"/>
    <mergeCell ref="GNT160:GOD160"/>
    <mergeCell ref="GOE160:GOO160"/>
    <mergeCell ref="HBH160:HBR160"/>
    <mergeCell ref="HBS160:HCC160"/>
    <mergeCell ref="HCD160:HCN160"/>
    <mergeCell ref="HCO160:HCY160"/>
    <mergeCell ref="HCZ160:HDJ160"/>
    <mergeCell ref="GZE160:GZO160"/>
    <mergeCell ref="GZP160:GZZ160"/>
    <mergeCell ref="HAA160:HAK160"/>
    <mergeCell ref="HAL160:HAV160"/>
    <mergeCell ref="HAW160:HBG160"/>
    <mergeCell ref="GXB160:GXL160"/>
    <mergeCell ref="GXM160:GXW160"/>
    <mergeCell ref="GXX160:GYH160"/>
    <mergeCell ref="GYI160:GYS160"/>
    <mergeCell ref="GYT160:GZD160"/>
    <mergeCell ref="GUY160:GVI160"/>
    <mergeCell ref="GVJ160:GVT160"/>
    <mergeCell ref="GVU160:GWE160"/>
    <mergeCell ref="GWF160:GWP160"/>
    <mergeCell ref="GWQ160:GXA160"/>
    <mergeCell ref="HJT160:HKD160"/>
    <mergeCell ref="HKE160:HKO160"/>
    <mergeCell ref="HKP160:HKZ160"/>
    <mergeCell ref="HLA160:HLK160"/>
    <mergeCell ref="HLL160:HLV160"/>
    <mergeCell ref="HHQ160:HIA160"/>
    <mergeCell ref="HIB160:HIL160"/>
    <mergeCell ref="HIM160:HIW160"/>
    <mergeCell ref="HIX160:HJH160"/>
    <mergeCell ref="HJI160:HJS160"/>
    <mergeCell ref="HFN160:HFX160"/>
    <mergeCell ref="HFY160:HGI160"/>
    <mergeCell ref="HGJ160:HGT160"/>
    <mergeCell ref="HGU160:HHE160"/>
    <mergeCell ref="HHF160:HHP160"/>
    <mergeCell ref="HDK160:HDU160"/>
    <mergeCell ref="HDV160:HEF160"/>
    <mergeCell ref="HEG160:HEQ160"/>
    <mergeCell ref="HER160:HFB160"/>
    <mergeCell ref="HFC160:HFM160"/>
    <mergeCell ref="HSF160:HSP160"/>
    <mergeCell ref="HSQ160:HTA160"/>
    <mergeCell ref="HTB160:HTL160"/>
    <mergeCell ref="HTM160:HTW160"/>
    <mergeCell ref="HTX160:HUH160"/>
    <mergeCell ref="HQC160:HQM160"/>
    <mergeCell ref="HQN160:HQX160"/>
    <mergeCell ref="HQY160:HRI160"/>
    <mergeCell ref="HRJ160:HRT160"/>
    <mergeCell ref="HRU160:HSE160"/>
    <mergeCell ref="HNZ160:HOJ160"/>
    <mergeCell ref="HOK160:HOU160"/>
    <mergeCell ref="HOV160:HPF160"/>
    <mergeCell ref="HPG160:HPQ160"/>
    <mergeCell ref="HPR160:HQB160"/>
    <mergeCell ref="HLW160:HMG160"/>
    <mergeCell ref="HMH160:HMR160"/>
    <mergeCell ref="HMS160:HNC160"/>
    <mergeCell ref="HND160:HNN160"/>
    <mergeCell ref="HNO160:HNY160"/>
    <mergeCell ref="IAR160:IBB160"/>
    <mergeCell ref="IBC160:IBM160"/>
    <mergeCell ref="IBN160:IBX160"/>
    <mergeCell ref="IBY160:ICI160"/>
    <mergeCell ref="ICJ160:ICT160"/>
    <mergeCell ref="HYO160:HYY160"/>
    <mergeCell ref="HYZ160:HZJ160"/>
    <mergeCell ref="HZK160:HZU160"/>
    <mergeCell ref="HZV160:IAF160"/>
    <mergeCell ref="IAG160:IAQ160"/>
    <mergeCell ref="HWL160:HWV160"/>
    <mergeCell ref="HWW160:HXG160"/>
    <mergeCell ref="HXH160:HXR160"/>
    <mergeCell ref="HXS160:HYC160"/>
    <mergeCell ref="HYD160:HYN160"/>
    <mergeCell ref="HUI160:HUS160"/>
    <mergeCell ref="HUT160:HVD160"/>
    <mergeCell ref="HVE160:HVO160"/>
    <mergeCell ref="HVP160:HVZ160"/>
    <mergeCell ref="HWA160:HWK160"/>
    <mergeCell ref="IJD160:IJN160"/>
    <mergeCell ref="IJO160:IJY160"/>
    <mergeCell ref="IJZ160:IKJ160"/>
    <mergeCell ref="IKK160:IKU160"/>
    <mergeCell ref="IKV160:ILF160"/>
    <mergeCell ref="IHA160:IHK160"/>
    <mergeCell ref="IHL160:IHV160"/>
    <mergeCell ref="IHW160:IIG160"/>
    <mergeCell ref="IIH160:IIR160"/>
    <mergeCell ref="IIS160:IJC160"/>
    <mergeCell ref="IEX160:IFH160"/>
    <mergeCell ref="IFI160:IFS160"/>
    <mergeCell ref="IFT160:IGD160"/>
    <mergeCell ref="IGE160:IGO160"/>
    <mergeCell ref="IGP160:IGZ160"/>
    <mergeCell ref="ICU160:IDE160"/>
    <mergeCell ref="IDF160:IDP160"/>
    <mergeCell ref="IDQ160:IEA160"/>
    <mergeCell ref="IEB160:IEL160"/>
    <mergeCell ref="IEM160:IEW160"/>
    <mergeCell ref="IRP160:IRZ160"/>
    <mergeCell ref="ISA160:ISK160"/>
    <mergeCell ref="ISL160:ISV160"/>
    <mergeCell ref="ISW160:ITG160"/>
    <mergeCell ref="ITH160:ITR160"/>
    <mergeCell ref="IPM160:IPW160"/>
    <mergeCell ref="IPX160:IQH160"/>
    <mergeCell ref="IQI160:IQS160"/>
    <mergeCell ref="IQT160:IRD160"/>
    <mergeCell ref="IRE160:IRO160"/>
    <mergeCell ref="INJ160:INT160"/>
    <mergeCell ref="INU160:IOE160"/>
    <mergeCell ref="IOF160:IOP160"/>
    <mergeCell ref="IOQ160:IPA160"/>
    <mergeCell ref="IPB160:IPL160"/>
    <mergeCell ref="ILG160:ILQ160"/>
    <mergeCell ref="ILR160:IMB160"/>
    <mergeCell ref="IMC160:IMM160"/>
    <mergeCell ref="IMN160:IMX160"/>
    <mergeCell ref="IMY160:INI160"/>
    <mergeCell ref="JAB160:JAL160"/>
    <mergeCell ref="JAM160:JAW160"/>
    <mergeCell ref="JAX160:JBH160"/>
    <mergeCell ref="JBI160:JBS160"/>
    <mergeCell ref="JBT160:JCD160"/>
    <mergeCell ref="IXY160:IYI160"/>
    <mergeCell ref="IYJ160:IYT160"/>
    <mergeCell ref="IYU160:IZE160"/>
    <mergeCell ref="IZF160:IZP160"/>
    <mergeCell ref="IZQ160:JAA160"/>
    <mergeCell ref="IVV160:IWF160"/>
    <mergeCell ref="IWG160:IWQ160"/>
    <mergeCell ref="IWR160:IXB160"/>
    <mergeCell ref="IXC160:IXM160"/>
    <mergeCell ref="IXN160:IXX160"/>
    <mergeCell ref="ITS160:IUC160"/>
    <mergeCell ref="IUD160:IUN160"/>
    <mergeCell ref="IUO160:IUY160"/>
    <mergeCell ref="IUZ160:IVJ160"/>
    <mergeCell ref="IVK160:IVU160"/>
    <mergeCell ref="JIN160:JIX160"/>
    <mergeCell ref="JIY160:JJI160"/>
    <mergeCell ref="JJJ160:JJT160"/>
    <mergeCell ref="JJU160:JKE160"/>
    <mergeCell ref="JKF160:JKP160"/>
    <mergeCell ref="JGK160:JGU160"/>
    <mergeCell ref="JGV160:JHF160"/>
    <mergeCell ref="JHG160:JHQ160"/>
    <mergeCell ref="JHR160:JIB160"/>
    <mergeCell ref="JIC160:JIM160"/>
    <mergeCell ref="JEH160:JER160"/>
    <mergeCell ref="JES160:JFC160"/>
    <mergeCell ref="JFD160:JFN160"/>
    <mergeCell ref="JFO160:JFY160"/>
    <mergeCell ref="JFZ160:JGJ160"/>
    <mergeCell ref="JCE160:JCO160"/>
    <mergeCell ref="JCP160:JCZ160"/>
    <mergeCell ref="JDA160:JDK160"/>
    <mergeCell ref="JDL160:JDV160"/>
    <mergeCell ref="JDW160:JEG160"/>
    <mergeCell ref="JQZ160:JRJ160"/>
    <mergeCell ref="JRK160:JRU160"/>
    <mergeCell ref="JRV160:JSF160"/>
    <mergeCell ref="JSG160:JSQ160"/>
    <mergeCell ref="JSR160:JTB160"/>
    <mergeCell ref="JOW160:JPG160"/>
    <mergeCell ref="JPH160:JPR160"/>
    <mergeCell ref="JPS160:JQC160"/>
    <mergeCell ref="JQD160:JQN160"/>
    <mergeCell ref="JQO160:JQY160"/>
    <mergeCell ref="JMT160:JND160"/>
    <mergeCell ref="JNE160:JNO160"/>
    <mergeCell ref="JNP160:JNZ160"/>
    <mergeCell ref="JOA160:JOK160"/>
    <mergeCell ref="JOL160:JOV160"/>
    <mergeCell ref="JKQ160:JLA160"/>
    <mergeCell ref="JLB160:JLL160"/>
    <mergeCell ref="JLM160:JLW160"/>
    <mergeCell ref="JLX160:JMH160"/>
    <mergeCell ref="JMI160:JMS160"/>
    <mergeCell ref="JZL160:JZV160"/>
    <mergeCell ref="JZW160:KAG160"/>
    <mergeCell ref="KAH160:KAR160"/>
    <mergeCell ref="KAS160:KBC160"/>
    <mergeCell ref="KBD160:KBN160"/>
    <mergeCell ref="JXI160:JXS160"/>
    <mergeCell ref="JXT160:JYD160"/>
    <mergeCell ref="JYE160:JYO160"/>
    <mergeCell ref="JYP160:JYZ160"/>
    <mergeCell ref="JZA160:JZK160"/>
    <mergeCell ref="JVF160:JVP160"/>
    <mergeCell ref="JVQ160:JWA160"/>
    <mergeCell ref="JWB160:JWL160"/>
    <mergeCell ref="JWM160:JWW160"/>
    <mergeCell ref="JWX160:JXH160"/>
    <mergeCell ref="JTC160:JTM160"/>
    <mergeCell ref="JTN160:JTX160"/>
    <mergeCell ref="JTY160:JUI160"/>
    <mergeCell ref="JUJ160:JUT160"/>
    <mergeCell ref="JUU160:JVE160"/>
    <mergeCell ref="KHX160:KIH160"/>
    <mergeCell ref="KII160:KIS160"/>
    <mergeCell ref="KIT160:KJD160"/>
    <mergeCell ref="KJE160:KJO160"/>
    <mergeCell ref="KJP160:KJZ160"/>
    <mergeCell ref="KFU160:KGE160"/>
    <mergeCell ref="KGF160:KGP160"/>
    <mergeCell ref="KGQ160:KHA160"/>
    <mergeCell ref="KHB160:KHL160"/>
    <mergeCell ref="KHM160:KHW160"/>
    <mergeCell ref="KDR160:KEB160"/>
    <mergeCell ref="KEC160:KEM160"/>
    <mergeCell ref="KEN160:KEX160"/>
    <mergeCell ref="KEY160:KFI160"/>
    <mergeCell ref="KFJ160:KFT160"/>
    <mergeCell ref="KBO160:KBY160"/>
    <mergeCell ref="KBZ160:KCJ160"/>
    <mergeCell ref="KCK160:KCU160"/>
    <mergeCell ref="KCV160:KDF160"/>
    <mergeCell ref="KDG160:KDQ160"/>
    <mergeCell ref="KQJ160:KQT160"/>
    <mergeCell ref="KQU160:KRE160"/>
    <mergeCell ref="KRF160:KRP160"/>
    <mergeCell ref="KRQ160:KSA160"/>
    <mergeCell ref="KSB160:KSL160"/>
    <mergeCell ref="KOG160:KOQ160"/>
    <mergeCell ref="KOR160:KPB160"/>
    <mergeCell ref="KPC160:KPM160"/>
    <mergeCell ref="KPN160:KPX160"/>
    <mergeCell ref="KPY160:KQI160"/>
    <mergeCell ref="KMD160:KMN160"/>
    <mergeCell ref="KMO160:KMY160"/>
    <mergeCell ref="KMZ160:KNJ160"/>
    <mergeCell ref="KNK160:KNU160"/>
    <mergeCell ref="KNV160:KOF160"/>
    <mergeCell ref="KKA160:KKK160"/>
    <mergeCell ref="KKL160:KKV160"/>
    <mergeCell ref="KKW160:KLG160"/>
    <mergeCell ref="KLH160:KLR160"/>
    <mergeCell ref="KLS160:KMC160"/>
    <mergeCell ref="KYV160:KZF160"/>
    <mergeCell ref="KZG160:KZQ160"/>
    <mergeCell ref="KZR160:LAB160"/>
    <mergeCell ref="LAC160:LAM160"/>
    <mergeCell ref="LAN160:LAX160"/>
    <mergeCell ref="KWS160:KXC160"/>
    <mergeCell ref="KXD160:KXN160"/>
    <mergeCell ref="KXO160:KXY160"/>
    <mergeCell ref="KXZ160:KYJ160"/>
    <mergeCell ref="KYK160:KYU160"/>
    <mergeCell ref="KUP160:KUZ160"/>
    <mergeCell ref="KVA160:KVK160"/>
    <mergeCell ref="KVL160:KVV160"/>
    <mergeCell ref="KVW160:KWG160"/>
    <mergeCell ref="KWH160:KWR160"/>
    <mergeCell ref="KSM160:KSW160"/>
    <mergeCell ref="KSX160:KTH160"/>
    <mergeCell ref="KTI160:KTS160"/>
    <mergeCell ref="KTT160:KUD160"/>
    <mergeCell ref="KUE160:KUO160"/>
    <mergeCell ref="LHH160:LHR160"/>
    <mergeCell ref="LHS160:LIC160"/>
    <mergeCell ref="LID160:LIN160"/>
    <mergeCell ref="LIO160:LIY160"/>
    <mergeCell ref="LIZ160:LJJ160"/>
    <mergeCell ref="LFE160:LFO160"/>
    <mergeCell ref="LFP160:LFZ160"/>
    <mergeCell ref="LGA160:LGK160"/>
    <mergeCell ref="LGL160:LGV160"/>
    <mergeCell ref="LGW160:LHG160"/>
    <mergeCell ref="LDB160:LDL160"/>
    <mergeCell ref="LDM160:LDW160"/>
    <mergeCell ref="LDX160:LEH160"/>
    <mergeCell ref="LEI160:LES160"/>
    <mergeCell ref="LET160:LFD160"/>
    <mergeCell ref="LAY160:LBI160"/>
    <mergeCell ref="LBJ160:LBT160"/>
    <mergeCell ref="LBU160:LCE160"/>
    <mergeCell ref="LCF160:LCP160"/>
    <mergeCell ref="LCQ160:LDA160"/>
    <mergeCell ref="LPT160:LQD160"/>
    <mergeCell ref="LQE160:LQO160"/>
    <mergeCell ref="LQP160:LQZ160"/>
    <mergeCell ref="LRA160:LRK160"/>
    <mergeCell ref="LRL160:LRV160"/>
    <mergeCell ref="LNQ160:LOA160"/>
    <mergeCell ref="LOB160:LOL160"/>
    <mergeCell ref="LOM160:LOW160"/>
    <mergeCell ref="LOX160:LPH160"/>
    <mergeCell ref="LPI160:LPS160"/>
    <mergeCell ref="LLN160:LLX160"/>
    <mergeCell ref="LLY160:LMI160"/>
    <mergeCell ref="LMJ160:LMT160"/>
    <mergeCell ref="LMU160:LNE160"/>
    <mergeCell ref="LNF160:LNP160"/>
    <mergeCell ref="LJK160:LJU160"/>
    <mergeCell ref="LJV160:LKF160"/>
    <mergeCell ref="LKG160:LKQ160"/>
    <mergeCell ref="LKR160:LLB160"/>
    <mergeCell ref="LLC160:LLM160"/>
    <mergeCell ref="LYF160:LYP160"/>
    <mergeCell ref="LYQ160:LZA160"/>
    <mergeCell ref="LZB160:LZL160"/>
    <mergeCell ref="LZM160:LZW160"/>
    <mergeCell ref="LZX160:MAH160"/>
    <mergeCell ref="LWC160:LWM160"/>
    <mergeCell ref="LWN160:LWX160"/>
    <mergeCell ref="LWY160:LXI160"/>
    <mergeCell ref="LXJ160:LXT160"/>
    <mergeCell ref="LXU160:LYE160"/>
    <mergeCell ref="LTZ160:LUJ160"/>
    <mergeCell ref="LUK160:LUU160"/>
    <mergeCell ref="LUV160:LVF160"/>
    <mergeCell ref="LVG160:LVQ160"/>
    <mergeCell ref="LVR160:LWB160"/>
    <mergeCell ref="LRW160:LSG160"/>
    <mergeCell ref="LSH160:LSR160"/>
    <mergeCell ref="LSS160:LTC160"/>
    <mergeCell ref="LTD160:LTN160"/>
    <mergeCell ref="LTO160:LTY160"/>
    <mergeCell ref="MGR160:MHB160"/>
    <mergeCell ref="MHC160:MHM160"/>
    <mergeCell ref="MHN160:MHX160"/>
    <mergeCell ref="MHY160:MII160"/>
    <mergeCell ref="MIJ160:MIT160"/>
    <mergeCell ref="MEO160:MEY160"/>
    <mergeCell ref="MEZ160:MFJ160"/>
    <mergeCell ref="MFK160:MFU160"/>
    <mergeCell ref="MFV160:MGF160"/>
    <mergeCell ref="MGG160:MGQ160"/>
    <mergeCell ref="MCL160:MCV160"/>
    <mergeCell ref="MCW160:MDG160"/>
    <mergeCell ref="MDH160:MDR160"/>
    <mergeCell ref="MDS160:MEC160"/>
    <mergeCell ref="MED160:MEN160"/>
    <mergeCell ref="MAI160:MAS160"/>
    <mergeCell ref="MAT160:MBD160"/>
    <mergeCell ref="MBE160:MBO160"/>
    <mergeCell ref="MBP160:MBZ160"/>
    <mergeCell ref="MCA160:MCK160"/>
    <mergeCell ref="MPD160:MPN160"/>
    <mergeCell ref="MPO160:MPY160"/>
    <mergeCell ref="MPZ160:MQJ160"/>
    <mergeCell ref="MQK160:MQU160"/>
    <mergeCell ref="MQV160:MRF160"/>
    <mergeCell ref="MNA160:MNK160"/>
    <mergeCell ref="MNL160:MNV160"/>
    <mergeCell ref="MNW160:MOG160"/>
    <mergeCell ref="MOH160:MOR160"/>
    <mergeCell ref="MOS160:MPC160"/>
    <mergeCell ref="MKX160:MLH160"/>
    <mergeCell ref="MLI160:MLS160"/>
    <mergeCell ref="MLT160:MMD160"/>
    <mergeCell ref="MME160:MMO160"/>
    <mergeCell ref="MMP160:MMZ160"/>
    <mergeCell ref="MIU160:MJE160"/>
    <mergeCell ref="MJF160:MJP160"/>
    <mergeCell ref="MJQ160:MKA160"/>
    <mergeCell ref="MKB160:MKL160"/>
    <mergeCell ref="MKM160:MKW160"/>
    <mergeCell ref="MXP160:MXZ160"/>
    <mergeCell ref="MYA160:MYK160"/>
    <mergeCell ref="MYL160:MYV160"/>
    <mergeCell ref="MYW160:MZG160"/>
    <mergeCell ref="MZH160:MZR160"/>
    <mergeCell ref="MVM160:MVW160"/>
    <mergeCell ref="MVX160:MWH160"/>
    <mergeCell ref="MWI160:MWS160"/>
    <mergeCell ref="MWT160:MXD160"/>
    <mergeCell ref="MXE160:MXO160"/>
    <mergeCell ref="MTJ160:MTT160"/>
    <mergeCell ref="MTU160:MUE160"/>
    <mergeCell ref="MUF160:MUP160"/>
    <mergeCell ref="MUQ160:MVA160"/>
    <mergeCell ref="MVB160:MVL160"/>
    <mergeCell ref="MRG160:MRQ160"/>
    <mergeCell ref="MRR160:MSB160"/>
    <mergeCell ref="MSC160:MSM160"/>
    <mergeCell ref="MSN160:MSX160"/>
    <mergeCell ref="MSY160:MTI160"/>
    <mergeCell ref="NGB160:NGL160"/>
    <mergeCell ref="NGM160:NGW160"/>
    <mergeCell ref="NGX160:NHH160"/>
    <mergeCell ref="NHI160:NHS160"/>
    <mergeCell ref="NHT160:NID160"/>
    <mergeCell ref="NDY160:NEI160"/>
    <mergeCell ref="NEJ160:NET160"/>
    <mergeCell ref="NEU160:NFE160"/>
    <mergeCell ref="NFF160:NFP160"/>
    <mergeCell ref="NFQ160:NGA160"/>
    <mergeCell ref="NBV160:NCF160"/>
    <mergeCell ref="NCG160:NCQ160"/>
    <mergeCell ref="NCR160:NDB160"/>
    <mergeCell ref="NDC160:NDM160"/>
    <mergeCell ref="NDN160:NDX160"/>
    <mergeCell ref="MZS160:NAC160"/>
    <mergeCell ref="NAD160:NAN160"/>
    <mergeCell ref="NAO160:NAY160"/>
    <mergeCell ref="NAZ160:NBJ160"/>
    <mergeCell ref="NBK160:NBU160"/>
    <mergeCell ref="NON160:NOX160"/>
    <mergeCell ref="NOY160:NPI160"/>
    <mergeCell ref="NPJ160:NPT160"/>
    <mergeCell ref="NPU160:NQE160"/>
    <mergeCell ref="NQF160:NQP160"/>
    <mergeCell ref="NMK160:NMU160"/>
    <mergeCell ref="NMV160:NNF160"/>
    <mergeCell ref="NNG160:NNQ160"/>
    <mergeCell ref="NNR160:NOB160"/>
    <mergeCell ref="NOC160:NOM160"/>
    <mergeCell ref="NKH160:NKR160"/>
    <mergeCell ref="NKS160:NLC160"/>
    <mergeCell ref="NLD160:NLN160"/>
    <mergeCell ref="NLO160:NLY160"/>
    <mergeCell ref="NLZ160:NMJ160"/>
    <mergeCell ref="NIE160:NIO160"/>
    <mergeCell ref="NIP160:NIZ160"/>
    <mergeCell ref="NJA160:NJK160"/>
    <mergeCell ref="NJL160:NJV160"/>
    <mergeCell ref="NJW160:NKG160"/>
    <mergeCell ref="NWZ160:NXJ160"/>
    <mergeCell ref="NXK160:NXU160"/>
    <mergeCell ref="NXV160:NYF160"/>
    <mergeCell ref="NYG160:NYQ160"/>
    <mergeCell ref="NYR160:NZB160"/>
    <mergeCell ref="NUW160:NVG160"/>
    <mergeCell ref="NVH160:NVR160"/>
    <mergeCell ref="NVS160:NWC160"/>
    <mergeCell ref="NWD160:NWN160"/>
    <mergeCell ref="NWO160:NWY160"/>
    <mergeCell ref="NST160:NTD160"/>
    <mergeCell ref="NTE160:NTO160"/>
    <mergeCell ref="NTP160:NTZ160"/>
    <mergeCell ref="NUA160:NUK160"/>
    <mergeCell ref="NUL160:NUV160"/>
    <mergeCell ref="NQQ160:NRA160"/>
    <mergeCell ref="NRB160:NRL160"/>
    <mergeCell ref="NRM160:NRW160"/>
    <mergeCell ref="NRX160:NSH160"/>
    <mergeCell ref="NSI160:NSS160"/>
    <mergeCell ref="OFL160:OFV160"/>
    <mergeCell ref="OFW160:OGG160"/>
    <mergeCell ref="OGH160:OGR160"/>
    <mergeCell ref="OGS160:OHC160"/>
    <mergeCell ref="OHD160:OHN160"/>
    <mergeCell ref="ODI160:ODS160"/>
    <mergeCell ref="ODT160:OED160"/>
    <mergeCell ref="OEE160:OEO160"/>
    <mergeCell ref="OEP160:OEZ160"/>
    <mergeCell ref="OFA160:OFK160"/>
    <mergeCell ref="OBF160:OBP160"/>
    <mergeCell ref="OBQ160:OCA160"/>
    <mergeCell ref="OCB160:OCL160"/>
    <mergeCell ref="OCM160:OCW160"/>
    <mergeCell ref="OCX160:ODH160"/>
    <mergeCell ref="NZC160:NZM160"/>
    <mergeCell ref="NZN160:NZX160"/>
    <mergeCell ref="NZY160:OAI160"/>
    <mergeCell ref="OAJ160:OAT160"/>
    <mergeCell ref="OAU160:OBE160"/>
    <mergeCell ref="ONX160:OOH160"/>
    <mergeCell ref="OOI160:OOS160"/>
    <mergeCell ref="OOT160:OPD160"/>
    <mergeCell ref="OPE160:OPO160"/>
    <mergeCell ref="OPP160:OPZ160"/>
    <mergeCell ref="OLU160:OME160"/>
    <mergeCell ref="OMF160:OMP160"/>
    <mergeCell ref="OMQ160:ONA160"/>
    <mergeCell ref="ONB160:ONL160"/>
    <mergeCell ref="ONM160:ONW160"/>
    <mergeCell ref="OJR160:OKB160"/>
    <mergeCell ref="OKC160:OKM160"/>
    <mergeCell ref="OKN160:OKX160"/>
    <mergeCell ref="OKY160:OLI160"/>
    <mergeCell ref="OLJ160:OLT160"/>
    <mergeCell ref="OHO160:OHY160"/>
    <mergeCell ref="OHZ160:OIJ160"/>
    <mergeCell ref="OIK160:OIU160"/>
    <mergeCell ref="OIV160:OJF160"/>
    <mergeCell ref="OJG160:OJQ160"/>
    <mergeCell ref="OWJ160:OWT160"/>
    <mergeCell ref="OWU160:OXE160"/>
    <mergeCell ref="OXF160:OXP160"/>
    <mergeCell ref="OXQ160:OYA160"/>
    <mergeCell ref="OYB160:OYL160"/>
    <mergeCell ref="OUG160:OUQ160"/>
    <mergeCell ref="OUR160:OVB160"/>
    <mergeCell ref="OVC160:OVM160"/>
    <mergeCell ref="OVN160:OVX160"/>
    <mergeCell ref="OVY160:OWI160"/>
    <mergeCell ref="OSD160:OSN160"/>
    <mergeCell ref="OSO160:OSY160"/>
    <mergeCell ref="OSZ160:OTJ160"/>
    <mergeCell ref="OTK160:OTU160"/>
    <mergeCell ref="OTV160:OUF160"/>
    <mergeCell ref="OQA160:OQK160"/>
    <mergeCell ref="OQL160:OQV160"/>
    <mergeCell ref="OQW160:ORG160"/>
    <mergeCell ref="ORH160:ORR160"/>
    <mergeCell ref="ORS160:OSC160"/>
    <mergeCell ref="PEV160:PFF160"/>
    <mergeCell ref="PFG160:PFQ160"/>
    <mergeCell ref="PFR160:PGB160"/>
    <mergeCell ref="PGC160:PGM160"/>
    <mergeCell ref="PGN160:PGX160"/>
    <mergeCell ref="PCS160:PDC160"/>
    <mergeCell ref="PDD160:PDN160"/>
    <mergeCell ref="PDO160:PDY160"/>
    <mergeCell ref="PDZ160:PEJ160"/>
    <mergeCell ref="PEK160:PEU160"/>
    <mergeCell ref="PAP160:PAZ160"/>
    <mergeCell ref="PBA160:PBK160"/>
    <mergeCell ref="PBL160:PBV160"/>
    <mergeCell ref="PBW160:PCG160"/>
    <mergeCell ref="PCH160:PCR160"/>
    <mergeCell ref="OYM160:OYW160"/>
    <mergeCell ref="OYX160:OZH160"/>
    <mergeCell ref="OZI160:OZS160"/>
    <mergeCell ref="OZT160:PAD160"/>
    <mergeCell ref="PAE160:PAO160"/>
    <mergeCell ref="PNH160:PNR160"/>
    <mergeCell ref="PNS160:POC160"/>
    <mergeCell ref="POD160:PON160"/>
    <mergeCell ref="POO160:POY160"/>
    <mergeCell ref="POZ160:PPJ160"/>
    <mergeCell ref="PLE160:PLO160"/>
    <mergeCell ref="PLP160:PLZ160"/>
    <mergeCell ref="PMA160:PMK160"/>
    <mergeCell ref="PML160:PMV160"/>
    <mergeCell ref="PMW160:PNG160"/>
    <mergeCell ref="PJB160:PJL160"/>
    <mergeCell ref="PJM160:PJW160"/>
    <mergeCell ref="PJX160:PKH160"/>
    <mergeCell ref="PKI160:PKS160"/>
    <mergeCell ref="PKT160:PLD160"/>
    <mergeCell ref="PGY160:PHI160"/>
    <mergeCell ref="PHJ160:PHT160"/>
    <mergeCell ref="PHU160:PIE160"/>
    <mergeCell ref="PIF160:PIP160"/>
    <mergeCell ref="PIQ160:PJA160"/>
    <mergeCell ref="PVT160:PWD160"/>
    <mergeCell ref="PWE160:PWO160"/>
    <mergeCell ref="PWP160:PWZ160"/>
    <mergeCell ref="PXA160:PXK160"/>
    <mergeCell ref="PXL160:PXV160"/>
    <mergeCell ref="PTQ160:PUA160"/>
    <mergeCell ref="PUB160:PUL160"/>
    <mergeCell ref="PUM160:PUW160"/>
    <mergeCell ref="PUX160:PVH160"/>
    <mergeCell ref="PVI160:PVS160"/>
    <mergeCell ref="PRN160:PRX160"/>
    <mergeCell ref="PRY160:PSI160"/>
    <mergeCell ref="PSJ160:PST160"/>
    <mergeCell ref="PSU160:PTE160"/>
    <mergeCell ref="PTF160:PTP160"/>
    <mergeCell ref="PPK160:PPU160"/>
    <mergeCell ref="PPV160:PQF160"/>
    <mergeCell ref="PQG160:PQQ160"/>
    <mergeCell ref="PQR160:PRB160"/>
    <mergeCell ref="PRC160:PRM160"/>
    <mergeCell ref="QEF160:QEP160"/>
    <mergeCell ref="QEQ160:QFA160"/>
    <mergeCell ref="QFB160:QFL160"/>
    <mergeCell ref="QFM160:QFW160"/>
    <mergeCell ref="QFX160:QGH160"/>
    <mergeCell ref="QCC160:QCM160"/>
    <mergeCell ref="QCN160:QCX160"/>
    <mergeCell ref="QCY160:QDI160"/>
    <mergeCell ref="QDJ160:QDT160"/>
    <mergeCell ref="QDU160:QEE160"/>
    <mergeCell ref="PZZ160:QAJ160"/>
    <mergeCell ref="QAK160:QAU160"/>
    <mergeCell ref="QAV160:QBF160"/>
    <mergeCell ref="QBG160:QBQ160"/>
    <mergeCell ref="QBR160:QCB160"/>
    <mergeCell ref="PXW160:PYG160"/>
    <mergeCell ref="PYH160:PYR160"/>
    <mergeCell ref="PYS160:PZC160"/>
    <mergeCell ref="PZD160:PZN160"/>
    <mergeCell ref="PZO160:PZY160"/>
    <mergeCell ref="QMR160:QNB160"/>
    <mergeCell ref="QNC160:QNM160"/>
    <mergeCell ref="QNN160:QNX160"/>
    <mergeCell ref="QNY160:QOI160"/>
    <mergeCell ref="QOJ160:QOT160"/>
    <mergeCell ref="QKO160:QKY160"/>
    <mergeCell ref="QKZ160:QLJ160"/>
    <mergeCell ref="QLK160:QLU160"/>
    <mergeCell ref="QLV160:QMF160"/>
    <mergeCell ref="QMG160:QMQ160"/>
    <mergeCell ref="QIL160:QIV160"/>
    <mergeCell ref="QIW160:QJG160"/>
    <mergeCell ref="QJH160:QJR160"/>
    <mergeCell ref="QJS160:QKC160"/>
    <mergeCell ref="QKD160:QKN160"/>
    <mergeCell ref="QGI160:QGS160"/>
    <mergeCell ref="QGT160:QHD160"/>
    <mergeCell ref="QHE160:QHO160"/>
    <mergeCell ref="QHP160:QHZ160"/>
    <mergeCell ref="QIA160:QIK160"/>
    <mergeCell ref="QVD160:QVN160"/>
    <mergeCell ref="QVO160:QVY160"/>
    <mergeCell ref="QVZ160:QWJ160"/>
    <mergeCell ref="QWK160:QWU160"/>
    <mergeCell ref="QWV160:QXF160"/>
    <mergeCell ref="QTA160:QTK160"/>
    <mergeCell ref="QTL160:QTV160"/>
    <mergeCell ref="QTW160:QUG160"/>
    <mergeCell ref="QUH160:QUR160"/>
    <mergeCell ref="QUS160:QVC160"/>
    <mergeCell ref="QQX160:QRH160"/>
    <mergeCell ref="QRI160:QRS160"/>
    <mergeCell ref="QRT160:QSD160"/>
    <mergeCell ref="QSE160:QSO160"/>
    <mergeCell ref="QSP160:QSZ160"/>
    <mergeCell ref="QOU160:QPE160"/>
    <mergeCell ref="QPF160:QPP160"/>
    <mergeCell ref="QPQ160:QQA160"/>
    <mergeCell ref="QQB160:QQL160"/>
    <mergeCell ref="QQM160:QQW160"/>
    <mergeCell ref="RDP160:RDZ160"/>
    <mergeCell ref="REA160:REK160"/>
    <mergeCell ref="REL160:REV160"/>
    <mergeCell ref="REW160:RFG160"/>
    <mergeCell ref="RFH160:RFR160"/>
    <mergeCell ref="RBM160:RBW160"/>
    <mergeCell ref="RBX160:RCH160"/>
    <mergeCell ref="RCI160:RCS160"/>
    <mergeCell ref="RCT160:RDD160"/>
    <mergeCell ref="RDE160:RDO160"/>
    <mergeCell ref="QZJ160:QZT160"/>
    <mergeCell ref="QZU160:RAE160"/>
    <mergeCell ref="RAF160:RAP160"/>
    <mergeCell ref="RAQ160:RBA160"/>
    <mergeCell ref="RBB160:RBL160"/>
    <mergeCell ref="QXG160:QXQ160"/>
    <mergeCell ref="QXR160:QYB160"/>
    <mergeCell ref="QYC160:QYM160"/>
    <mergeCell ref="QYN160:QYX160"/>
    <mergeCell ref="QYY160:QZI160"/>
    <mergeCell ref="RMB160:RML160"/>
    <mergeCell ref="RMM160:RMW160"/>
    <mergeCell ref="RMX160:RNH160"/>
    <mergeCell ref="RNI160:RNS160"/>
    <mergeCell ref="RNT160:ROD160"/>
    <mergeCell ref="RJY160:RKI160"/>
    <mergeCell ref="RKJ160:RKT160"/>
    <mergeCell ref="RKU160:RLE160"/>
    <mergeCell ref="RLF160:RLP160"/>
    <mergeCell ref="RLQ160:RMA160"/>
    <mergeCell ref="RHV160:RIF160"/>
    <mergeCell ref="RIG160:RIQ160"/>
    <mergeCell ref="RIR160:RJB160"/>
    <mergeCell ref="RJC160:RJM160"/>
    <mergeCell ref="RJN160:RJX160"/>
    <mergeCell ref="RFS160:RGC160"/>
    <mergeCell ref="RGD160:RGN160"/>
    <mergeCell ref="RGO160:RGY160"/>
    <mergeCell ref="RGZ160:RHJ160"/>
    <mergeCell ref="RHK160:RHU160"/>
    <mergeCell ref="RUN160:RUX160"/>
    <mergeCell ref="RUY160:RVI160"/>
    <mergeCell ref="RVJ160:RVT160"/>
    <mergeCell ref="RVU160:RWE160"/>
    <mergeCell ref="RWF160:RWP160"/>
    <mergeCell ref="RSK160:RSU160"/>
    <mergeCell ref="RSV160:RTF160"/>
    <mergeCell ref="RTG160:RTQ160"/>
    <mergeCell ref="RTR160:RUB160"/>
    <mergeCell ref="RUC160:RUM160"/>
    <mergeCell ref="RQH160:RQR160"/>
    <mergeCell ref="RQS160:RRC160"/>
    <mergeCell ref="RRD160:RRN160"/>
    <mergeCell ref="RRO160:RRY160"/>
    <mergeCell ref="RRZ160:RSJ160"/>
    <mergeCell ref="ROE160:ROO160"/>
    <mergeCell ref="ROP160:ROZ160"/>
    <mergeCell ref="RPA160:RPK160"/>
    <mergeCell ref="RPL160:RPV160"/>
    <mergeCell ref="RPW160:RQG160"/>
    <mergeCell ref="SCZ160:SDJ160"/>
    <mergeCell ref="SDK160:SDU160"/>
    <mergeCell ref="SDV160:SEF160"/>
    <mergeCell ref="SEG160:SEQ160"/>
    <mergeCell ref="SER160:SFB160"/>
    <mergeCell ref="SAW160:SBG160"/>
    <mergeCell ref="SBH160:SBR160"/>
    <mergeCell ref="SBS160:SCC160"/>
    <mergeCell ref="SCD160:SCN160"/>
    <mergeCell ref="SCO160:SCY160"/>
    <mergeCell ref="RYT160:RZD160"/>
    <mergeCell ref="RZE160:RZO160"/>
    <mergeCell ref="RZP160:RZZ160"/>
    <mergeCell ref="SAA160:SAK160"/>
    <mergeCell ref="SAL160:SAV160"/>
    <mergeCell ref="RWQ160:RXA160"/>
    <mergeCell ref="RXB160:RXL160"/>
    <mergeCell ref="RXM160:RXW160"/>
    <mergeCell ref="RXX160:RYH160"/>
    <mergeCell ref="RYI160:RYS160"/>
    <mergeCell ref="SLL160:SLV160"/>
    <mergeCell ref="SLW160:SMG160"/>
    <mergeCell ref="SMH160:SMR160"/>
    <mergeCell ref="SMS160:SNC160"/>
    <mergeCell ref="SND160:SNN160"/>
    <mergeCell ref="SJI160:SJS160"/>
    <mergeCell ref="SJT160:SKD160"/>
    <mergeCell ref="SKE160:SKO160"/>
    <mergeCell ref="SKP160:SKZ160"/>
    <mergeCell ref="SLA160:SLK160"/>
    <mergeCell ref="SHF160:SHP160"/>
    <mergeCell ref="SHQ160:SIA160"/>
    <mergeCell ref="SIB160:SIL160"/>
    <mergeCell ref="SIM160:SIW160"/>
    <mergeCell ref="SIX160:SJH160"/>
    <mergeCell ref="SFC160:SFM160"/>
    <mergeCell ref="SFN160:SFX160"/>
    <mergeCell ref="SFY160:SGI160"/>
    <mergeCell ref="SGJ160:SGT160"/>
    <mergeCell ref="SGU160:SHE160"/>
    <mergeCell ref="STX160:SUH160"/>
    <mergeCell ref="SUI160:SUS160"/>
    <mergeCell ref="SUT160:SVD160"/>
    <mergeCell ref="SVE160:SVO160"/>
    <mergeCell ref="SVP160:SVZ160"/>
    <mergeCell ref="SRU160:SSE160"/>
    <mergeCell ref="SSF160:SSP160"/>
    <mergeCell ref="SSQ160:STA160"/>
    <mergeCell ref="STB160:STL160"/>
    <mergeCell ref="STM160:STW160"/>
    <mergeCell ref="SPR160:SQB160"/>
    <mergeCell ref="SQC160:SQM160"/>
    <mergeCell ref="SQN160:SQX160"/>
    <mergeCell ref="SQY160:SRI160"/>
    <mergeCell ref="SRJ160:SRT160"/>
    <mergeCell ref="SNO160:SNY160"/>
    <mergeCell ref="SNZ160:SOJ160"/>
    <mergeCell ref="SOK160:SOU160"/>
    <mergeCell ref="SOV160:SPF160"/>
    <mergeCell ref="SPG160:SPQ160"/>
    <mergeCell ref="TCJ160:TCT160"/>
    <mergeCell ref="TCU160:TDE160"/>
    <mergeCell ref="TDF160:TDP160"/>
    <mergeCell ref="TDQ160:TEA160"/>
    <mergeCell ref="TEB160:TEL160"/>
    <mergeCell ref="TAG160:TAQ160"/>
    <mergeCell ref="TAR160:TBB160"/>
    <mergeCell ref="TBC160:TBM160"/>
    <mergeCell ref="TBN160:TBX160"/>
    <mergeCell ref="TBY160:TCI160"/>
    <mergeCell ref="SYD160:SYN160"/>
    <mergeCell ref="SYO160:SYY160"/>
    <mergeCell ref="SYZ160:SZJ160"/>
    <mergeCell ref="SZK160:SZU160"/>
    <mergeCell ref="SZV160:TAF160"/>
    <mergeCell ref="SWA160:SWK160"/>
    <mergeCell ref="SWL160:SWV160"/>
    <mergeCell ref="SWW160:SXG160"/>
    <mergeCell ref="SXH160:SXR160"/>
    <mergeCell ref="SXS160:SYC160"/>
    <mergeCell ref="TKV160:TLF160"/>
    <mergeCell ref="TLG160:TLQ160"/>
    <mergeCell ref="TLR160:TMB160"/>
    <mergeCell ref="TMC160:TMM160"/>
    <mergeCell ref="TMN160:TMX160"/>
    <mergeCell ref="TIS160:TJC160"/>
    <mergeCell ref="TJD160:TJN160"/>
    <mergeCell ref="TJO160:TJY160"/>
    <mergeCell ref="TJZ160:TKJ160"/>
    <mergeCell ref="TKK160:TKU160"/>
    <mergeCell ref="TGP160:TGZ160"/>
    <mergeCell ref="THA160:THK160"/>
    <mergeCell ref="THL160:THV160"/>
    <mergeCell ref="THW160:TIG160"/>
    <mergeCell ref="TIH160:TIR160"/>
    <mergeCell ref="TEM160:TEW160"/>
    <mergeCell ref="TEX160:TFH160"/>
    <mergeCell ref="TFI160:TFS160"/>
    <mergeCell ref="TFT160:TGD160"/>
    <mergeCell ref="TGE160:TGO160"/>
    <mergeCell ref="TTH160:TTR160"/>
    <mergeCell ref="TTS160:TUC160"/>
    <mergeCell ref="TUD160:TUN160"/>
    <mergeCell ref="TUO160:TUY160"/>
    <mergeCell ref="TUZ160:TVJ160"/>
    <mergeCell ref="TRE160:TRO160"/>
    <mergeCell ref="TRP160:TRZ160"/>
    <mergeCell ref="TSA160:TSK160"/>
    <mergeCell ref="TSL160:TSV160"/>
    <mergeCell ref="TSW160:TTG160"/>
    <mergeCell ref="TPB160:TPL160"/>
    <mergeCell ref="TPM160:TPW160"/>
    <mergeCell ref="TPX160:TQH160"/>
    <mergeCell ref="TQI160:TQS160"/>
    <mergeCell ref="TQT160:TRD160"/>
    <mergeCell ref="TMY160:TNI160"/>
    <mergeCell ref="TNJ160:TNT160"/>
    <mergeCell ref="TNU160:TOE160"/>
    <mergeCell ref="TOF160:TOP160"/>
    <mergeCell ref="TOQ160:TPA160"/>
    <mergeCell ref="UBT160:UCD160"/>
    <mergeCell ref="UCE160:UCO160"/>
    <mergeCell ref="UCP160:UCZ160"/>
    <mergeCell ref="UDA160:UDK160"/>
    <mergeCell ref="UDL160:UDV160"/>
    <mergeCell ref="TZQ160:UAA160"/>
    <mergeCell ref="UAB160:UAL160"/>
    <mergeCell ref="UAM160:UAW160"/>
    <mergeCell ref="UAX160:UBH160"/>
    <mergeCell ref="UBI160:UBS160"/>
    <mergeCell ref="TXN160:TXX160"/>
    <mergeCell ref="TXY160:TYI160"/>
    <mergeCell ref="TYJ160:TYT160"/>
    <mergeCell ref="TYU160:TZE160"/>
    <mergeCell ref="TZF160:TZP160"/>
    <mergeCell ref="TVK160:TVU160"/>
    <mergeCell ref="TVV160:TWF160"/>
    <mergeCell ref="TWG160:TWQ160"/>
    <mergeCell ref="TWR160:TXB160"/>
    <mergeCell ref="TXC160:TXM160"/>
    <mergeCell ref="UKF160:UKP160"/>
    <mergeCell ref="UKQ160:ULA160"/>
    <mergeCell ref="ULB160:ULL160"/>
    <mergeCell ref="ULM160:ULW160"/>
    <mergeCell ref="ULX160:UMH160"/>
    <mergeCell ref="UIC160:UIM160"/>
    <mergeCell ref="UIN160:UIX160"/>
    <mergeCell ref="UIY160:UJI160"/>
    <mergeCell ref="UJJ160:UJT160"/>
    <mergeCell ref="UJU160:UKE160"/>
    <mergeCell ref="UFZ160:UGJ160"/>
    <mergeCell ref="UGK160:UGU160"/>
    <mergeCell ref="UGV160:UHF160"/>
    <mergeCell ref="UHG160:UHQ160"/>
    <mergeCell ref="UHR160:UIB160"/>
    <mergeCell ref="UDW160:UEG160"/>
    <mergeCell ref="UEH160:UER160"/>
    <mergeCell ref="UES160:UFC160"/>
    <mergeCell ref="UFD160:UFN160"/>
    <mergeCell ref="UFO160:UFY160"/>
    <mergeCell ref="USR160:UTB160"/>
    <mergeCell ref="UTC160:UTM160"/>
    <mergeCell ref="UTN160:UTX160"/>
    <mergeCell ref="UTY160:UUI160"/>
    <mergeCell ref="UUJ160:UUT160"/>
    <mergeCell ref="UQO160:UQY160"/>
    <mergeCell ref="UQZ160:URJ160"/>
    <mergeCell ref="URK160:URU160"/>
    <mergeCell ref="URV160:USF160"/>
    <mergeCell ref="USG160:USQ160"/>
    <mergeCell ref="UOL160:UOV160"/>
    <mergeCell ref="UOW160:UPG160"/>
    <mergeCell ref="UPH160:UPR160"/>
    <mergeCell ref="UPS160:UQC160"/>
    <mergeCell ref="UQD160:UQN160"/>
    <mergeCell ref="UMI160:UMS160"/>
    <mergeCell ref="UMT160:UND160"/>
    <mergeCell ref="UNE160:UNO160"/>
    <mergeCell ref="UNP160:UNZ160"/>
    <mergeCell ref="UOA160:UOK160"/>
    <mergeCell ref="VBD160:VBN160"/>
    <mergeCell ref="VBO160:VBY160"/>
    <mergeCell ref="VBZ160:VCJ160"/>
    <mergeCell ref="VCK160:VCU160"/>
    <mergeCell ref="VCV160:VDF160"/>
    <mergeCell ref="UZA160:UZK160"/>
    <mergeCell ref="UZL160:UZV160"/>
    <mergeCell ref="UZW160:VAG160"/>
    <mergeCell ref="VAH160:VAR160"/>
    <mergeCell ref="VAS160:VBC160"/>
    <mergeCell ref="UWX160:UXH160"/>
    <mergeCell ref="UXI160:UXS160"/>
    <mergeCell ref="UXT160:UYD160"/>
    <mergeCell ref="UYE160:UYO160"/>
    <mergeCell ref="UYP160:UYZ160"/>
    <mergeCell ref="UUU160:UVE160"/>
    <mergeCell ref="UVF160:UVP160"/>
    <mergeCell ref="UVQ160:UWA160"/>
    <mergeCell ref="UWB160:UWL160"/>
    <mergeCell ref="UWM160:UWW160"/>
    <mergeCell ref="VJP160:VJZ160"/>
    <mergeCell ref="VKA160:VKK160"/>
    <mergeCell ref="VKL160:VKV160"/>
    <mergeCell ref="VKW160:VLG160"/>
    <mergeCell ref="VLH160:VLR160"/>
    <mergeCell ref="VHM160:VHW160"/>
    <mergeCell ref="VHX160:VIH160"/>
    <mergeCell ref="VII160:VIS160"/>
    <mergeCell ref="VIT160:VJD160"/>
    <mergeCell ref="VJE160:VJO160"/>
    <mergeCell ref="VFJ160:VFT160"/>
    <mergeCell ref="VFU160:VGE160"/>
    <mergeCell ref="VGF160:VGP160"/>
    <mergeCell ref="VGQ160:VHA160"/>
    <mergeCell ref="VHB160:VHL160"/>
    <mergeCell ref="VDG160:VDQ160"/>
    <mergeCell ref="VDR160:VEB160"/>
    <mergeCell ref="VEC160:VEM160"/>
    <mergeCell ref="VEN160:VEX160"/>
    <mergeCell ref="VEY160:VFI160"/>
    <mergeCell ref="VSB160:VSL160"/>
    <mergeCell ref="VSM160:VSW160"/>
    <mergeCell ref="VSX160:VTH160"/>
    <mergeCell ref="VTI160:VTS160"/>
    <mergeCell ref="VTT160:VUD160"/>
    <mergeCell ref="VPY160:VQI160"/>
    <mergeCell ref="VQJ160:VQT160"/>
    <mergeCell ref="VQU160:VRE160"/>
    <mergeCell ref="VRF160:VRP160"/>
    <mergeCell ref="VRQ160:VSA160"/>
    <mergeCell ref="VNV160:VOF160"/>
    <mergeCell ref="VOG160:VOQ160"/>
    <mergeCell ref="VOR160:VPB160"/>
    <mergeCell ref="VPC160:VPM160"/>
    <mergeCell ref="VPN160:VPX160"/>
    <mergeCell ref="VLS160:VMC160"/>
    <mergeCell ref="VMD160:VMN160"/>
    <mergeCell ref="VMO160:VMY160"/>
    <mergeCell ref="VMZ160:VNJ160"/>
    <mergeCell ref="VNK160:VNU160"/>
    <mergeCell ref="WAN160:WAX160"/>
    <mergeCell ref="WAY160:WBI160"/>
    <mergeCell ref="WBJ160:WBT160"/>
    <mergeCell ref="WBU160:WCE160"/>
    <mergeCell ref="WCF160:WCP160"/>
    <mergeCell ref="VYK160:VYU160"/>
    <mergeCell ref="VYV160:VZF160"/>
    <mergeCell ref="VZG160:VZQ160"/>
    <mergeCell ref="VZR160:WAB160"/>
    <mergeCell ref="WAC160:WAM160"/>
    <mergeCell ref="VWH160:VWR160"/>
    <mergeCell ref="VWS160:VXC160"/>
    <mergeCell ref="VXD160:VXN160"/>
    <mergeCell ref="VXO160:VXY160"/>
    <mergeCell ref="VXZ160:VYJ160"/>
    <mergeCell ref="VUE160:VUO160"/>
    <mergeCell ref="VUP160:VUZ160"/>
    <mergeCell ref="VVA160:VVK160"/>
    <mergeCell ref="VVL160:VVV160"/>
    <mergeCell ref="VVW160:VWG160"/>
    <mergeCell ref="WIZ160:WJJ160"/>
    <mergeCell ref="WJK160:WJU160"/>
    <mergeCell ref="WJV160:WKF160"/>
    <mergeCell ref="WKG160:WKQ160"/>
    <mergeCell ref="WKR160:WLB160"/>
    <mergeCell ref="WGW160:WHG160"/>
    <mergeCell ref="WHH160:WHR160"/>
    <mergeCell ref="WHS160:WIC160"/>
    <mergeCell ref="WID160:WIN160"/>
    <mergeCell ref="WIO160:WIY160"/>
    <mergeCell ref="WET160:WFD160"/>
    <mergeCell ref="WFE160:WFO160"/>
    <mergeCell ref="WFP160:WFZ160"/>
    <mergeCell ref="WGA160:WGK160"/>
    <mergeCell ref="WGL160:WGV160"/>
    <mergeCell ref="WCQ160:WDA160"/>
    <mergeCell ref="WDB160:WDL160"/>
    <mergeCell ref="WDM160:WDW160"/>
    <mergeCell ref="WDX160:WEH160"/>
    <mergeCell ref="WEI160:WES160"/>
    <mergeCell ref="WSS160:WTC160"/>
    <mergeCell ref="WTD160:WTN160"/>
    <mergeCell ref="WPI160:WPS160"/>
    <mergeCell ref="WPT160:WQD160"/>
    <mergeCell ref="WQE160:WQO160"/>
    <mergeCell ref="WQP160:WQZ160"/>
    <mergeCell ref="WRA160:WRK160"/>
    <mergeCell ref="WNF160:WNP160"/>
    <mergeCell ref="WNQ160:WOA160"/>
    <mergeCell ref="WOB160:WOL160"/>
    <mergeCell ref="WOM160:WOW160"/>
    <mergeCell ref="WOX160:WPH160"/>
    <mergeCell ref="WLC160:WLM160"/>
    <mergeCell ref="WLN160:WLX160"/>
    <mergeCell ref="WLY160:WMI160"/>
    <mergeCell ref="WMJ160:WMT160"/>
    <mergeCell ref="WMU160:WNE160"/>
    <mergeCell ref="XED160:XEN160"/>
    <mergeCell ref="XEO160:XEY160"/>
    <mergeCell ref="XEZ160:XFD160"/>
    <mergeCell ref="A162:D162"/>
    <mergeCell ref="XCA160:XCK160"/>
    <mergeCell ref="XCL160:XCV160"/>
    <mergeCell ref="XCW160:XDG160"/>
    <mergeCell ref="XDH160:XDR160"/>
    <mergeCell ref="XDS160:XEC160"/>
    <mergeCell ref="WZX160:XAH160"/>
    <mergeCell ref="XAI160:XAS160"/>
    <mergeCell ref="XAT160:XBD160"/>
    <mergeCell ref="XBE160:XBO160"/>
    <mergeCell ref="XBP160:XBZ160"/>
    <mergeCell ref="WXU160:WYE160"/>
    <mergeCell ref="WYF160:WYP160"/>
    <mergeCell ref="WYQ160:WZA160"/>
    <mergeCell ref="WZB160:WZL160"/>
    <mergeCell ref="WZM160:WZW160"/>
    <mergeCell ref="WVR160:WWB160"/>
    <mergeCell ref="WWC160:WWM160"/>
    <mergeCell ref="WWN160:WWX160"/>
    <mergeCell ref="WWY160:WXI160"/>
    <mergeCell ref="WXJ160:WXT160"/>
    <mergeCell ref="WTO160:WTY160"/>
    <mergeCell ref="WTZ160:WUJ160"/>
    <mergeCell ref="WUK160:WUU160"/>
    <mergeCell ref="WUV160:WVF160"/>
    <mergeCell ref="WVG160:WVQ160"/>
    <mergeCell ref="WRL160:WRV160"/>
    <mergeCell ref="WRW160:WSG160"/>
    <mergeCell ref="WSH160:WSR160"/>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6AAB3-37D4-40C4-AD32-87DEB55DC747}">
  <sheetPr codeName="Sheet17"/>
  <dimension ref="A1:I24"/>
  <sheetViews>
    <sheetView zoomScale="70" zoomScaleNormal="70" workbookViewId="0">
      <selection sqref="A1:H1"/>
    </sheetView>
  </sheetViews>
  <sheetFormatPr defaultColWidth="8.6640625" defaultRowHeight="13.2" x14ac:dyDescent="0.25"/>
  <cols>
    <col min="1" max="1" width="49.6640625" style="4" bestFit="1" customWidth="1"/>
    <col min="2" max="2" width="21.44140625" style="4" bestFit="1" customWidth="1"/>
    <col min="3" max="3" width="26.5546875" style="4" customWidth="1"/>
    <col min="4" max="4" width="30.109375" style="4" customWidth="1"/>
    <col min="5" max="5" width="18.33203125" style="4" customWidth="1"/>
    <col min="6" max="6" width="28.44140625" style="4" customWidth="1"/>
    <col min="7" max="7" width="30" style="4" customWidth="1"/>
    <col min="8" max="8" width="40" style="4" customWidth="1"/>
    <col min="9" max="9" width="51.109375" style="4" bestFit="1" customWidth="1"/>
    <col min="10" max="16384" width="8.6640625" style="4"/>
  </cols>
  <sheetData>
    <row r="1" spans="1:9" ht="25.95" customHeight="1" x14ac:dyDescent="0.25">
      <c r="A1" s="748" t="str">
        <f>"Interior Lighting - "&amp;Prototype!A2</f>
        <v>Interior Lighting - SchoolHigh</v>
      </c>
      <c r="B1" s="682"/>
      <c r="C1" s="682"/>
      <c r="D1" s="682"/>
      <c r="E1" s="682"/>
      <c r="F1" s="682"/>
      <c r="G1" s="682"/>
      <c r="H1" s="682"/>
    </row>
    <row r="2" spans="1:9" ht="25.95" customHeight="1" x14ac:dyDescent="0.25">
      <c r="A2" s="743" t="s">
        <v>219</v>
      </c>
      <c r="B2" s="665" t="s">
        <v>522</v>
      </c>
      <c r="C2" s="665"/>
      <c r="D2" s="665"/>
      <c r="E2" s="665" t="s">
        <v>258</v>
      </c>
      <c r="F2" s="665"/>
      <c r="G2" s="665"/>
      <c r="H2" s="746" t="s">
        <v>32</v>
      </c>
    </row>
    <row r="3" spans="1:9" ht="51" customHeight="1" x14ac:dyDescent="0.25">
      <c r="A3" s="743"/>
      <c r="B3" s="593" t="s">
        <v>523</v>
      </c>
      <c r="C3" s="593" t="s">
        <v>524</v>
      </c>
      <c r="D3" s="605" t="s">
        <v>374</v>
      </c>
      <c r="E3" s="593" t="s">
        <v>525</v>
      </c>
      <c r="F3" s="593" t="s">
        <v>524</v>
      </c>
      <c r="G3" s="593" t="s">
        <v>374</v>
      </c>
      <c r="H3" s="747"/>
    </row>
    <row r="4" spans="1:9" ht="27" customHeight="1" x14ac:dyDescent="0.25">
      <c r="A4" s="183" t="s">
        <v>100</v>
      </c>
      <c r="B4" s="74">
        <v>0.55000000000000004</v>
      </c>
      <c r="C4" s="607">
        <v>0.25</v>
      </c>
      <c r="D4" s="744" t="s">
        <v>526</v>
      </c>
      <c r="E4" s="74">
        <v>0.9</v>
      </c>
      <c r="F4" s="607">
        <f>0.5*0.5</f>
        <v>0.25</v>
      </c>
      <c r="G4" s="744" t="s">
        <v>527</v>
      </c>
      <c r="H4" s="13"/>
    </row>
    <row r="5" spans="1:9" ht="27" customHeight="1" x14ac:dyDescent="0.25">
      <c r="A5" s="183" t="s">
        <v>105</v>
      </c>
      <c r="B5" s="74">
        <v>0.45</v>
      </c>
      <c r="C5" s="607">
        <v>0.25</v>
      </c>
      <c r="D5" s="744"/>
      <c r="E5" s="74">
        <v>1</v>
      </c>
      <c r="F5" s="607">
        <f>0.5*0.5</f>
        <v>0.25</v>
      </c>
      <c r="G5" s="744"/>
      <c r="H5" s="13"/>
    </row>
    <row r="6" spans="1:9" ht="27" customHeight="1" x14ac:dyDescent="0.25">
      <c r="A6" s="183" t="s">
        <v>108</v>
      </c>
      <c r="B6" s="74">
        <v>0.75</v>
      </c>
      <c r="C6" s="607">
        <f>0.25*0.5</f>
        <v>0.125</v>
      </c>
      <c r="D6" s="745"/>
      <c r="E6" s="74">
        <v>1.2</v>
      </c>
      <c r="F6" s="607">
        <f>0.5*0.5</f>
        <v>0.25</v>
      </c>
      <c r="G6" s="745"/>
      <c r="H6" s="208"/>
    </row>
    <row r="7" spans="1:9" ht="27" customHeight="1" x14ac:dyDescent="0.25">
      <c r="A7" s="183" t="s">
        <v>111</v>
      </c>
      <c r="B7" s="74">
        <v>0.4</v>
      </c>
      <c r="C7" s="607">
        <v>0.25</v>
      </c>
      <c r="D7" s="744"/>
      <c r="E7" s="74">
        <v>0.6</v>
      </c>
      <c r="F7" s="607"/>
      <c r="G7" s="744"/>
      <c r="H7" s="13"/>
    </row>
    <row r="8" spans="1:9" ht="27" customHeight="1" x14ac:dyDescent="0.25">
      <c r="A8" s="183" t="s">
        <v>114</v>
      </c>
      <c r="B8" s="74">
        <v>0.4</v>
      </c>
      <c r="C8" s="607"/>
      <c r="D8" s="744"/>
      <c r="E8" s="74">
        <v>0.55000000000000004</v>
      </c>
      <c r="F8" s="604"/>
      <c r="G8" s="744"/>
      <c r="H8" s="13"/>
    </row>
    <row r="9" spans="1:9" s="5" customFormat="1" ht="27" customHeight="1" x14ac:dyDescent="0.25">
      <c r="A9" s="183" t="s">
        <v>120</v>
      </c>
      <c r="B9" s="74">
        <v>0.95</v>
      </c>
      <c r="C9" s="607" t="s">
        <v>15</v>
      </c>
      <c r="D9" s="744"/>
      <c r="E9" s="74">
        <v>1.2</v>
      </c>
      <c r="F9" s="604"/>
      <c r="G9" s="744"/>
      <c r="H9" s="13"/>
      <c r="I9" s="4"/>
    </row>
    <row r="10" spans="1:9" ht="27" customHeight="1" x14ac:dyDescent="0.25">
      <c r="A10" s="183" t="s">
        <v>130</v>
      </c>
      <c r="B10" s="74">
        <v>0.65</v>
      </c>
      <c r="C10" s="604">
        <f>0.35*0.5</f>
        <v>0.17499999999999999</v>
      </c>
      <c r="D10" s="744"/>
      <c r="E10" s="74">
        <v>0.6</v>
      </c>
      <c r="F10" s="604"/>
      <c r="G10" s="744"/>
      <c r="H10" s="13"/>
    </row>
    <row r="11" spans="1:9" ht="27" customHeight="1" x14ac:dyDescent="0.25">
      <c r="A11" s="183" t="s">
        <v>124</v>
      </c>
      <c r="B11" s="74">
        <v>0.7</v>
      </c>
      <c r="C11" s="604">
        <f>0.25*0.5</f>
        <v>0.125</v>
      </c>
      <c r="D11" s="745"/>
      <c r="E11" s="74">
        <v>0.95</v>
      </c>
      <c r="F11" s="604">
        <f>0.5*0.5</f>
        <v>0.25</v>
      </c>
      <c r="G11" s="745"/>
      <c r="H11" s="208"/>
    </row>
    <row r="12" spans="1:9" ht="27" customHeight="1" x14ac:dyDescent="0.25">
      <c r="A12" s="183" t="s">
        <v>127</v>
      </c>
      <c r="B12" s="74">
        <v>0.65</v>
      </c>
      <c r="C12" s="604">
        <f>0.2*0.5</f>
        <v>0.1</v>
      </c>
      <c r="D12" s="745"/>
      <c r="E12" s="74">
        <v>1</v>
      </c>
      <c r="F12" s="604"/>
      <c r="G12" s="745"/>
      <c r="H12" s="208"/>
    </row>
    <row r="13" spans="1:9" ht="27" customHeight="1" x14ac:dyDescent="0.25">
      <c r="A13" s="183" t="s">
        <v>134</v>
      </c>
      <c r="B13" s="74">
        <v>0.4</v>
      </c>
      <c r="C13" s="604"/>
      <c r="D13" s="744"/>
      <c r="E13" s="74">
        <v>0.6</v>
      </c>
      <c r="F13" s="604"/>
      <c r="G13" s="744"/>
      <c r="H13" s="13"/>
    </row>
    <row r="14" spans="1:9" ht="27" customHeight="1" x14ac:dyDescent="0.25">
      <c r="A14" s="183" t="s">
        <v>137</v>
      </c>
      <c r="B14" s="74">
        <v>0.4</v>
      </c>
      <c r="C14" s="604"/>
      <c r="D14" s="744"/>
      <c r="E14" s="74">
        <v>0.7</v>
      </c>
      <c r="F14" s="604"/>
      <c r="G14" s="744"/>
      <c r="H14" s="13"/>
    </row>
    <row r="15" spans="1:9" ht="27" customHeight="1" x14ac:dyDescent="0.25">
      <c r="A15" s="183" t="s">
        <v>140</v>
      </c>
      <c r="B15" s="74">
        <v>0.8</v>
      </c>
      <c r="C15" s="604"/>
      <c r="D15" s="744"/>
      <c r="E15" s="74">
        <v>1.4</v>
      </c>
      <c r="F15" s="604"/>
      <c r="G15" s="744"/>
      <c r="H15" s="13"/>
    </row>
    <row r="16" spans="1:9" ht="27" customHeight="1" x14ac:dyDescent="0.25">
      <c r="A16" s="183" t="s">
        <v>148</v>
      </c>
      <c r="B16" s="74">
        <v>0.9</v>
      </c>
      <c r="C16" s="604">
        <f>0.35*0.5</f>
        <v>0.17499999999999999</v>
      </c>
      <c r="D16" s="745"/>
      <c r="E16" s="74">
        <v>1.4</v>
      </c>
      <c r="F16" s="604">
        <f>0.2*0.5</f>
        <v>0.1</v>
      </c>
      <c r="G16" s="745"/>
      <c r="H16" s="208"/>
    </row>
    <row r="17" spans="1:8" ht="27" customHeight="1" x14ac:dyDescent="0.25">
      <c r="A17" s="183" t="s">
        <v>152</v>
      </c>
      <c r="B17" s="74">
        <v>0.8</v>
      </c>
      <c r="C17" s="604">
        <f>0.25*0.5</f>
        <v>0.125</v>
      </c>
      <c r="D17" s="744"/>
      <c r="E17" s="74">
        <v>1.1000000000000001</v>
      </c>
      <c r="F17" s="604">
        <f>0.5*0.5</f>
        <v>0.25</v>
      </c>
      <c r="G17" s="744"/>
      <c r="H17" s="13"/>
    </row>
    <row r="18" spans="1:8" ht="27" customHeight="1" x14ac:dyDescent="0.25">
      <c r="A18" s="183" t="s">
        <v>159</v>
      </c>
      <c r="B18" s="74">
        <v>0.6</v>
      </c>
      <c r="C18" s="604"/>
      <c r="D18" s="744"/>
      <c r="E18" s="74">
        <v>1.2</v>
      </c>
      <c r="F18" s="604"/>
      <c r="G18" s="744"/>
      <c r="H18" s="13"/>
    </row>
    <row r="19" spans="1:8" ht="27" customHeight="1" x14ac:dyDescent="0.25">
      <c r="A19" s="13" t="s">
        <v>194</v>
      </c>
      <c r="B19" s="104">
        <v>0.6</v>
      </c>
      <c r="C19" s="604"/>
      <c r="D19" s="744"/>
      <c r="E19" s="104">
        <v>1.2</v>
      </c>
      <c r="F19" s="604"/>
      <c r="G19" s="744"/>
      <c r="H19" s="13"/>
    </row>
    <row r="20" spans="1:8" ht="27" customHeight="1" x14ac:dyDescent="0.25">
      <c r="A20" s="208" t="s">
        <v>208</v>
      </c>
      <c r="B20" s="214">
        <v>0.45</v>
      </c>
      <c r="C20" s="604"/>
      <c r="D20" s="744"/>
      <c r="E20" s="594">
        <v>0.7</v>
      </c>
      <c r="F20" s="604"/>
      <c r="G20" s="744"/>
      <c r="H20" s="13"/>
    </row>
    <row r="21" spans="1:8" ht="27" customHeight="1" x14ac:dyDescent="0.25">
      <c r="A21" s="13" t="s">
        <v>202</v>
      </c>
      <c r="B21" s="104">
        <v>0.5</v>
      </c>
      <c r="C21" s="604"/>
      <c r="D21" s="744"/>
      <c r="E21" s="104">
        <v>1</v>
      </c>
      <c r="F21" s="604"/>
      <c r="G21" s="744"/>
      <c r="H21" s="13"/>
    </row>
    <row r="22" spans="1:8" ht="27" customHeight="1" x14ac:dyDescent="0.25">
      <c r="A22" s="13" t="s">
        <v>202</v>
      </c>
      <c r="B22" s="104">
        <v>0.5</v>
      </c>
      <c r="C22" s="604"/>
      <c r="D22" s="744"/>
      <c r="E22" s="104">
        <v>1</v>
      </c>
      <c r="F22" s="604"/>
      <c r="G22" s="744"/>
      <c r="H22" s="13"/>
    </row>
    <row r="24" spans="1:8" x14ac:dyDescent="0.25">
      <c r="A24" s="4" t="s">
        <v>528</v>
      </c>
    </row>
  </sheetData>
  <autoFilter ref="A2:G18" xr:uid="{B6F6AAB3-37D4-40C4-AD32-87DEB55DC747}">
    <filterColumn colId="1" showButton="0"/>
    <filterColumn colId="2" showButton="0"/>
    <filterColumn colId="4" showButton="0"/>
    <filterColumn colId="5" showButton="0"/>
  </autoFilter>
  <mergeCells count="7">
    <mergeCell ref="H2:H3"/>
    <mergeCell ref="A1:H1"/>
    <mergeCell ref="A2:A3"/>
    <mergeCell ref="B2:D2"/>
    <mergeCell ref="E2:G2"/>
    <mergeCell ref="D4:D22"/>
    <mergeCell ref="G4:G22"/>
  </mergeCells>
  <phoneticPr fontId="4"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98FA8-1D97-4D12-96EB-6911ACEC625A}">
  <sheetPr codeName="Sheet18"/>
  <dimension ref="A1:I41"/>
  <sheetViews>
    <sheetView zoomScale="85" zoomScaleNormal="85" workbookViewId="0">
      <selection sqref="A1:D1"/>
    </sheetView>
  </sheetViews>
  <sheetFormatPr defaultColWidth="8.6640625" defaultRowHeight="13.2" x14ac:dyDescent="0.25"/>
  <cols>
    <col min="1" max="1" width="32" style="4" customWidth="1"/>
    <col min="2" max="2" width="30.33203125" style="4" customWidth="1"/>
    <col min="3" max="3" width="21.33203125" style="4" customWidth="1"/>
    <col min="4" max="4" width="36.33203125" style="4" customWidth="1"/>
    <col min="5" max="5" width="38.88671875" style="4" customWidth="1"/>
    <col min="6" max="6" width="19.6640625" style="4" bestFit="1" customWidth="1"/>
    <col min="7" max="7" width="17.5546875" style="4" customWidth="1"/>
    <col min="8" max="8" width="15.5546875" style="4" customWidth="1"/>
    <col min="9" max="9" width="13.33203125" style="4" customWidth="1"/>
    <col min="10" max="16384" width="8.6640625" style="4"/>
  </cols>
  <sheetData>
    <row r="1" spans="1:7" ht="25.2" customHeight="1" x14ac:dyDescent="0.25">
      <c r="A1" s="749" t="str">
        <f>"Exterior Lighting - "&amp;Prototype!A2</f>
        <v>Exterior Lighting - SchoolHigh</v>
      </c>
      <c r="B1" s="749"/>
      <c r="C1" s="749"/>
      <c r="D1" s="749"/>
    </row>
    <row r="2" spans="1:7" ht="37.200000000000003" customHeight="1" x14ac:dyDescent="0.25">
      <c r="A2" s="608" t="s">
        <v>529</v>
      </c>
      <c r="B2" s="608" t="s">
        <v>530</v>
      </c>
      <c r="C2" s="608" t="s">
        <v>531</v>
      </c>
      <c r="D2" s="608" t="s">
        <v>374</v>
      </c>
    </row>
    <row r="3" spans="1:7" ht="45.6" customHeight="1" x14ac:dyDescent="0.25">
      <c r="A3" s="221">
        <f>G15</f>
        <v>4040.6229111111111</v>
      </c>
      <c r="B3" s="221">
        <f>G16</f>
        <v>7440.8933214999997</v>
      </c>
      <c r="C3" s="34">
        <f>A3+B3</f>
        <v>11481.516232611111</v>
      </c>
      <c r="D3" s="606" t="s">
        <v>532</v>
      </c>
      <c r="E3" s="66"/>
    </row>
    <row r="4" spans="1:7" ht="22.2" customHeight="1" x14ac:dyDescent="0.25">
      <c r="A4" s="47"/>
      <c r="B4" s="47"/>
      <c r="C4" s="47"/>
    </row>
    <row r="5" spans="1:7" ht="14.4" x14ac:dyDescent="0.3">
      <c r="A5"/>
      <c r="C5" s="77"/>
      <c r="E5" s="78"/>
    </row>
    <row r="6" spans="1:7" ht="14.4" x14ac:dyDescent="0.3">
      <c r="A6"/>
      <c r="C6" s="77"/>
      <c r="E6" s="78"/>
    </row>
    <row r="7" spans="1:7" ht="15.6" x14ac:dyDescent="0.25">
      <c r="A7" s="749" t="str">
        <f>"Exterior Lighting"</f>
        <v>Exterior Lighting</v>
      </c>
      <c r="B7" s="749"/>
      <c r="C7" s="749"/>
      <c r="D7" s="749"/>
      <c r="E7" s="749"/>
      <c r="F7" s="749"/>
      <c r="G7" s="749"/>
    </row>
    <row r="8" spans="1:7" ht="51.6" customHeight="1" x14ac:dyDescent="0.25">
      <c r="A8" s="106" t="s">
        <v>533</v>
      </c>
      <c r="B8" s="750" t="s">
        <v>534</v>
      </c>
      <c r="C8" s="750"/>
      <c r="D8" s="608" t="s">
        <v>535</v>
      </c>
      <c r="E8" s="608" t="s">
        <v>536</v>
      </c>
      <c r="F8" s="608" t="s">
        <v>535</v>
      </c>
      <c r="G8" s="608" t="s">
        <v>537</v>
      </c>
    </row>
    <row r="9" spans="1:7" ht="21" customHeight="1" x14ac:dyDescent="0.25">
      <c r="A9" s="13" t="s">
        <v>538</v>
      </c>
      <c r="B9" s="13"/>
      <c r="C9" s="79"/>
      <c r="D9" s="592"/>
      <c r="E9" s="592">
        <v>200</v>
      </c>
      <c r="F9" s="617" t="s">
        <v>539</v>
      </c>
      <c r="G9" s="107">
        <f>$E9</f>
        <v>200</v>
      </c>
    </row>
    <row r="10" spans="1:7" ht="39.6" x14ac:dyDescent="0.25">
      <c r="A10" s="13" t="s">
        <v>540</v>
      </c>
      <c r="B10" s="207" t="s">
        <v>541</v>
      </c>
      <c r="C10" s="216">
        <f>B28/360*400</f>
        <v>194243.31111111111</v>
      </c>
      <c r="D10" s="592" t="s">
        <v>542</v>
      </c>
      <c r="E10" s="592">
        <v>1.9E-2</v>
      </c>
      <c r="F10" s="617" t="s">
        <v>543</v>
      </c>
      <c r="G10" s="107">
        <f>E10*C10</f>
        <v>3690.6229111111111</v>
      </c>
    </row>
    <row r="11" spans="1:7" ht="39.6" x14ac:dyDescent="0.25">
      <c r="A11" s="13" t="s">
        <v>544</v>
      </c>
      <c r="B11" s="207" t="s">
        <v>545</v>
      </c>
      <c r="C11" s="217">
        <v>10</v>
      </c>
      <c r="D11" s="592" t="s">
        <v>546</v>
      </c>
      <c r="E11" s="592">
        <v>15</v>
      </c>
      <c r="F11" s="617" t="s">
        <v>547</v>
      </c>
      <c r="G11" s="107">
        <f>E11*C11</f>
        <v>150</v>
      </c>
    </row>
    <row r="12" spans="1:7" ht="39.6" customHeight="1" x14ac:dyDescent="0.25">
      <c r="A12" s="13" t="s">
        <v>548</v>
      </c>
      <c r="B12" s="207" t="s">
        <v>549</v>
      </c>
      <c r="C12" s="218">
        <f>B28*0.1*0.25</f>
        <v>4370.4745000000003</v>
      </c>
      <c r="D12" s="592" t="s">
        <v>542</v>
      </c>
      <c r="E12" s="592">
        <v>7.0000000000000001E-3</v>
      </c>
      <c r="F12" s="617" t="s">
        <v>543</v>
      </c>
      <c r="G12" s="108">
        <f>E12*C12</f>
        <v>30.593321500000002</v>
      </c>
    </row>
    <row r="13" spans="1:7" ht="118.8" x14ac:dyDescent="0.25">
      <c r="A13" s="13" t="s">
        <v>550</v>
      </c>
      <c r="B13" s="207" t="s">
        <v>551</v>
      </c>
      <c r="C13" s="219">
        <f>0.25*4*(B21*B22+C21*C22+D21*D22+E21*E22+F21*F22)</f>
        <v>72103</v>
      </c>
      <c r="D13" s="592" t="s">
        <v>542</v>
      </c>
      <c r="E13" s="592">
        <v>0.1</v>
      </c>
      <c r="F13" s="617" t="s">
        <v>543</v>
      </c>
      <c r="G13" s="108">
        <f t="shared" ref="G13" si="0">E13*C13</f>
        <v>7210.3</v>
      </c>
    </row>
    <row r="14" spans="1:7" ht="66" x14ac:dyDescent="0.25">
      <c r="A14" s="208" t="s">
        <v>552</v>
      </c>
      <c r="B14" s="207" t="s">
        <v>553</v>
      </c>
      <c r="C14" s="219"/>
      <c r="D14" s="592"/>
      <c r="E14" s="592"/>
      <c r="F14" s="617"/>
      <c r="G14" s="220">
        <v>200</v>
      </c>
    </row>
    <row r="15" spans="1:7" x14ac:dyDescent="0.25">
      <c r="A15" s="13" t="s">
        <v>529</v>
      </c>
      <c r="B15" s="13"/>
      <c r="C15" s="79"/>
      <c r="D15" s="592"/>
      <c r="E15" s="592"/>
      <c r="F15" s="592"/>
      <c r="G15" s="220">
        <f>G10+G9+G11</f>
        <v>4040.6229111111111</v>
      </c>
    </row>
    <row r="16" spans="1:7" x14ac:dyDescent="0.25">
      <c r="A16" s="13" t="s">
        <v>554</v>
      </c>
      <c r="B16" s="13"/>
      <c r="C16" s="79"/>
      <c r="D16" s="592"/>
      <c r="E16" s="592"/>
      <c r="F16" s="592"/>
      <c r="G16" s="220">
        <f>G12+G13+G14</f>
        <v>7440.8933214999997</v>
      </c>
    </row>
    <row r="17" spans="1:9" x14ac:dyDescent="0.25">
      <c r="A17" s="13" t="s">
        <v>221</v>
      </c>
      <c r="B17" s="13"/>
      <c r="C17" s="79"/>
      <c r="D17" s="592"/>
      <c r="E17" s="592"/>
      <c r="F17" s="592"/>
      <c r="G17" s="220">
        <f>G15+G16</f>
        <v>11481.516232611111</v>
      </c>
    </row>
    <row r="20" spans="1:9" x14ac:dyDescent="0.25">
      <c r="B20" s="80" t="s">
        <v>555</v>
      </c>
      <c r="C20" s="4" t="s">
        <v>556</v>
      </c>
      <c r="D20" s="4" t="s">
        <v>557</v>
      </c>
      <c r="E20" s="4" t="s">
        <v>558</v>
      </c>
      <c r="F20" s="4" t="s">
        <v>559</v>
      </c>
    </row>
    <row r="21" spans="1:9" ht="14.4" x14ac:dyDescent="0.3">
      <c r="A21" s="4" t="s">
        <v>560</v>
      </c>
      <c r="B21" s="184">
        <v>537</v>
      </c>
      <c r="C21" s="184">
        <v>327</v>
      </c>
      <c r="D21" s="184">
        <v>474</v>
      </c>
      <c r="E21" s="184">
        <v>563</v>
      </c>
      <c r="F21" s="185">
        <v>800</v>
      </c>
    </row>
    <row r="22" spans="1:9" ht="27.75" customHeight="1" x14ac:dyDescent="0.3">
      <c r="A22" s="10" t="s">
        <v>561</v>
      </c>
      <c r="B22" s="184">
        <v>28</v>
      </c>
      <c r="C22" s="184">
        <v>28</v>
      </c>
      <c r="D22" s="184">
        <v>14</v>
      </c>
      <c r="E22" s="184">
        <v>25</v>
      </c>
      <c r="F22" s="185">
        <v>34</v>
      </c>
    </row>
    <row r="23" spans="1:9" ht="14.4" x14ac:dyDescent="0.3">
      <c r="A23" s="10" t="s">
        <v>562</v>
      </c>
      <c r="B23" s="184">
        <v>7876</v>
      </c>
      <c r="C23" s="184">
        <v>4415</v>
      </c>
      <c r="D23" s="184">
        <v>8640</v>
      </c>
      <c r="E23" s="184">
        <v>16754</v>
      </c>
      <c r="F23" s="185">
        <v>29523</v>
      </c>
    </row>
    <row r="24" spans="1:9" ht="14.4" x14ac:dyDescent="0.3">
      <c r="A24" s="4" t="s">
        <v>563</v>
      </c>
      <c r="B24" s="184">
        <v>2</v>
      </c>
      <c r="C24" s="184">
        <v>2</v>
      </c>
      <c r="D24" s="184">
        <v>1</v>
      </c>
      <c r="E24" s="184">
        <v>1</v>
      </c>
      <c r="F24" s="185">
        <v>1</v>
      </c>
    </row>
    <row r="25" spans="1:9" ht="14.4" x14ac:dyDescent="0.3">
      <c r="A25" s="66" t="s">
        <v>564</v>
      </c>
      <c r="B25" s="271" cm="1">
        <f t="array" ref="B25">SUMPRODUCT((Zones!$A$3:$A$44="SchoolHigh North Classrooms")*(ISERROR(SEARCH("SHOP",Zones!$B$3:$B$44)))*(Zones!$H$3:$H$44)*(Zones!$J$3:$J$44))</f>
        <v>72139.159999999989</v>
      </c>
      <c r="C25" s="271" cm="1">
        <f t="array" ref="C25">SUMPRODUCT((Zones!$A$3:$A$44="SchoolHigh Lab Classrooms")*(Zones!$H$3:$H$44)*(Zones!$J$3:$J$44))</f>
        <v>8829.9500000000007</v>
      </c>
      <c r="D25" s="271" cm="1">
        <f t="array" ref="D25">SUMPRODUCT((Zones!$A$3:$A$44="SchoolHigh North Classrooms")*(ISNUMBER(SEARCH("SHOP",Zones!$B$3:$B$44)))*(Zones!$H$3:$H$44)*(Zones!$J$3:$J$44))</f>
        <v>0</v>
      </c>
      <c r="E25" s="271" cm="1">
        <f t="array" ref="E25">SUMPRODUCT((Zones!$A$3:$A$44="SchoolHigh Admin/MPR")*(Zones!$H$3:$H$44)*(Zones!$J$3:$J$44))</f>
        <v>55686.179999999993</v>
      </c>
      <c r="F25" s="272" cm="1">
        <f t="array" ref="F25">SUMPRODUCT((Zones!$A$3:$A$44="SchoolHigh Sports")*(Zones!$H$3:$H$44)*(Zones!$J$3:$J$44))</f>
        <v>29522.880000000001</v>
      </c>
    </row>
    <row r="26" spans="1:9" ht="14.4" x14ac:dyDescent="0.3">
      <c r="A26" s="66" t="s">
        <v>565</v>
      </c>
      <c r="B26" s="271">
        <f>B21*B22</f>
        <v>15036</v>
      </c>
      <c r="C26" s="271">
        <f>C21*C22</f>
        <v>9156</v>
      </c>
      <c r="D26" s="271">
        <f>D21*D22</f>
        <v>6636</v>
      </c>
      <c r="E26" s="271">
        <f>E21*E22</f>
        <v>14075</v>
      </c>
      <c r="F26" s="272">
        <f>F21*F22</f>
        <v>27200</v>
      </c>
    </row>
    <row r="27" spans="1:9" ht="14.4" x14ac:dyDescent="0.3">
      <c r="A27" s="568" t="s">
        <v>566</v>
      </c>
      <c r="B27" s="133">
        <f>SUM(B21:F21)</f>
        <v>2701</v>
      </c>
      <c r="C27" s="206"/>
      <c r="D27" s="131"/>
      <c r="E27" s="568"/>
      <c r="F27" s="132"/>
      <c r="G27" s="568"/>
      <c r="H27" s="568"/>
      <c r="I27" s="568"/>
    </row>
    <row r="28" spans="1:9" ht="14.4" x14ac:dyDescent="0.3">
      <c r="A28" s="568" t="s">
        <v>567</v>
      </c>
      <c r="B28" s="133">
        <f>Prototype!B9</f>
        <v>174818.98</v>
      </c>
      <c r="C28" s="568"/>
      <c r="D28" s="131"/>
      <c r="E28" s="568"/>
      <c r="F28" s="132"/>
      <c r="G28" s="568"/>
      <c r="H28" s="568"/>
      <c r="I28" s="568"/>
    </row>
    <row r="29" spans="1:9" s="18" customFormat="1" ht="13.2" hidden="1" customHeight="1" x14ac:dyDescent="0.25">
      <c r="A29" s="18" t="s">
        <v>222</v>
      </c>
      <c r="E29" s="19"/>
      <c r="F29" s="20"/>
      <c r="G29" s="21"/>
    </row>
    <row r="33" customFormat="1" ht="14.4" x14ac:dyDescent="0.3"/>
    <row r="34" customFormat="1" ht="14.4" x14ac:dyDescent="0.3"/>
    <row r="35" customFormat="1" ht="14.4" x14ac:dyDescent="0.3"/>
    <row r="36" customFormat="1" ht="14.4" x14ac:dyDescent="0.3"/>
    <row r="37" customFormat="1" ht="14.4" x14ac:dyDescent="0.3"/>
    <row r="38" customFormat="1" ht="14.4" x14ac:dyDescent="0.3"/>
    <row r="39" customFormat="1" ht="14.4" x14ac:dyDescent="0.3"/>
    <row r="40" customFormat="1" ht="14.4" x14ac:dyDescent="0.3"/>
    <row r="41" customFormat="1" ht="14.4" x14ac:dyDescent="0.3"/>
  </sheetData>
  <mergeCells count="3">
    <mergeCell ref="A7:G7"/>
    <mergeCell ref="B8:C8"/>
    <mergeCell ref="A1:D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19C81-B0B9-4AE9-9154-3628732CA590}">
  <sheetPr codeName="Sheet9"/>
  <dimension ref="A1:K63"/>
  <sheetViews>
    <sheetView zoomScale="80" zoomScaleNormal="80" workbookViewId="0">
      <selection sqref="A1:E1"/>
    </sheetView>
  </sheetViews>
  <sheetFormatPr defaultColWidth="8.6640625" defaultRowHeight="12.75" customHeight="1" x14ac:dyDescent="0.25"/>
  <cols>
    <col min="1" max="1" width="51.109375" style="4" bestFit="1" customWidth="1"/>
    <col min="2" max="2" width="42.5546875" style="4" customWidth="1"/>
    <col min="3" max="3" width="18.44140625" style="4" bestFit="1" customWidth="1"/>
    <col min="4" max="4" width="23.33203125" style="4" customWidth="1"/>
    <col min="5" max="5" width="88.5546875" style="4" customWidth="1"/>
    <col min="6" max="6" width="50.6640625" style="4" customWidth="1"/>
    <col min="7" max="7" width="14.6640625" style="4" customWidth="1"/>
    <col min="8" max="8" width="14.44140625" style="4" customWidth="1"/>
    <col min="9" max="9" width="17.109375" style="4" customWidth="1"/>
    <col min="10" max="10" width="18.6640625" style="4" customWidth="1"/>
    <col min="11" max="11" width="43.6640625" style="4" customWidth="1"/>
    <col min="12" max="16384" width="8.6640625" style="4"/>
  </cols>
  <sheetData>
    <row r="1" spans="1:11" ht="23.4" customHeight="1" x14ac:dyDescent="0.25">
      <c r="A1" s="752" t="str">
        <f>"Equipment - "&amp;Prototype!A2</f>
        <v>Equipment - SchoolHigh</v>
      </c>
      <c r="B1" s="753"/>
      <c r="C1" s="753"/>
      <c r="D1" s="753"/>
      <c r="E1" s="753"/>
    </row>
    <row r="2" spans="1:11" ht="40.950000000000003" customHeight="1" x14ac:dyDescent="0.3">
      <c r="A2" s="605" t="s">
        <v>219</v>
      </c>
      <c r="B2" s="593" t="s">
        <v>568</v>
      </c>
      <c r="C2" s="593" t="s">
        <v>569</v>
      </c>
      <c r="D2" s="593" t="s">
        <v>570</v>
      </c>
      <c r="E2" s="613" t="s">
        <v>374</v>
      </c>
      <c r="G2"/>
      <c r="H2"/>
      <c r="I2"/>
      <c r="J2"/>
      <c r="K2"/>
    </row>
    <row r="3" spans="1:11" ht="20.399999999999999" customHeight="1" x14ac:dyDescent="0.3">
      <c r="A3" s="101" t="s">
        <v>100</v>
      </c>
      <c r="B3" s="138">
        <v>1</v>
      </c>
      <c r="C3" s="138">
        <v>0</v>
      </c>
      <c r="D3" s="139">
        <v>0</v>
      </c>
      <c r="E3" s="754" t="s">
        <v>571</v>
      </c>
      <c r="G3"/>
      <c r="H3"/>
      <c r="I3"/>
      <c r="J3"/>
      <c r="K3"/>
    </row>
    <row r="4" spans="1:11" ht="20.399999999999999" customHeight="1" x14ac:dyDescent="0.3">
      <c r="A4" s="101" t="s">
        <v>105</v>
      </c>
      <c r="B4" s="138">
        <v>0.5</v>
      </c>
      <c r="C4" s="138">
        <v>0</v>
      </c>
      <c r="D4" s="139">
        <v>0.25</v>
      </c>
      <c r="E4" s="755"/>
      <c r="G4"/>
      <c r="H4"/>
      <c r="I4"/>
      <c r="J4"/>
      <c r="K4"/>
    </row>
    <row r="5" spans="1:11" ht="20.399999999999999" customHeight="1" x14ac:dyDescent="0.3">
      <c r="A5" s="101" t="s">
        <v>108</v>
      </c>
      <c r="B5" s="138">
        <v>1</v>
      </c>
      <c r="C5" s="138">
        <v>0</v>
      </c>
      <c r="D5" s="139">
        <v>0</v>
      </c>
      <c r="E5" s="755"/>
      <c r="G5"/>
      <c r="H5"/>
      <c r="I5"/>
      <c r="J5"/>
      <c r="K5"/>
    </row>
    <row r="6" spans="1:11" ht="20.399999999999999" customHeight="1" x14ac:dyDescent="0.3">
      <c r="A6" s="101" t="s">
        <v>111</v>
      </c>
      <c r="B6" s="138">
        <v>0</v>
      </c>
      <c r="C6" s="138">
        <v>0</v>
      </c>
      <c r="D6" s="139">
        <v>0</v>
      </c>
      <c r="E6" s="756"/>
      <c r="G6"/>
      <c r="H6"/>
      <c r="I6"/>
      <c r="J6"/>
      <c r="K6"/>
    </row>
    <row r="7" spans="1:11" ht="20.399999999999999" customHeight="1" x14ac:dyDescent="0.3">
      <c r="A7" s="101" t="s">
        <v>114</v>
      </c>
      <c r="B7" s="138">
        <v>3</v>
      </c>
      <c r="C7" s="138">
        <v>0</v>
      </c>
      <c r="D7" s="139">
        <v>0</v>
      </c>
      <c r="E7" s="607" t="s">
        <v>572</v>
      </c>
      <c r="G7"/>
      <c r="H7"/>
      <c r="I7"/>
      <c r="J7"/>
      <c r="K7"/>
    </row>
    <row r="8" spans="1:11" ht="48" customHeight="1" x14ac:dyDescent="0.3">
      <c r="A8" s="101" t="s">
        <v>120</v>
      </c>
      <c r="B8" s="138">
        <v>1.5</v>
      </c>
      <c r="C8" s="138">
        <v>17.537680000000002</v>
      </c>
      <c r="D8" s="139">
        <v>1.1200000000000001</v>
      </c>
      <c r="E8" s="607" t="s">
        <v>573</v>
      </c>
      <c r="G8"/>
      <c r="H8"/>
      <c r="I8"/>
      <c r="J8"/>
      <c r="K8"/>
    </row>
    <row r="9" spans="1:11" ht="20.399999999999999" customHeight="1" x14ac:dyDescent="0.3">
      <c r="A9" s="101" t="s">
        <v>130</v>
      </c>
      <c r="B9" s="138">
        <v>0.5</v>
      </c>
      <c r="C9" s="138">
        <v>0</v>
      </c>
      <c r="D9" s="139">
        <v>0</v>
      </c>
      <c r="E9" s="136" t="s">
        <v>574</v>
      </c>
      <c r="G9"/>
      <c r="H9"/>
      <c r="I9"/>
      <c r="J9"/>
      <c r="K9"/>
    </row>
    <row r="10" spans="1:11" ht="20.399999999999999" customHeight="1" x14ac:dyDescent="0.3">
      <c r="A10" s="101" t="s">
        <v>124</v>
      </c>
      <c r="B10" s="138">
        <v>0.7</v>
      </c>
      <c r="C10" s="138">
        <v>0</v>
      </c>
      <c r="D10" s="139">
        <v>0</v>
      </c>
      <c r="E10" s="585" t="s">
        <v>571</v>
      </c>
      <c r="G10"/>
      <c r="H10"/>
      <c r="I10"/>
      <c r="J10"/>
      <c r="K10"/>
    </row>
    <row r="11" spans="1:11" ht="48" customHeight="1" x14ac:dyDescent="0.3">
      <c r="A11" s="101" t="s">
        <v>127</v>
      </c>
      <c r="B11" s="138">
        <v>0.7</v>
      </c>
      <c r="C11" s="138">
        <v>0</v>
      </c>
      <c r="D11" s="139">
        <v>0</v>
      </c>
      <c r="E11" s="607" t="s">
        <v>575</v>
      </c>
      <c r="G11"/>
      <c r="H11"/>
      <c r="I11"/>
      <c r="J11"/>
      <c r="K11"/>
    </row>
    <row r="12" spans="1:11" ht="20.399999999999999" customHeight="1" x14ac:dyDescent="0.25">
      <c r="A12" s="101" t="s">
        <v>134</v>
      </c>
      <c r="B12" s="138">
        <v>0.2</v>
      </c>
      <c r="C12" s="138">
        <v>0</v>
      </c>
      <c r="D12" s="139">
        <v>0</v>
      </c>
      <c r="E12" s="755" t="s">
        <v>571</v>
      </c>
    </row>
    <row r="13" spans="1:11" ht="20.399999999999999" customHeight="1" x14ac:dyDescent="0.25">
      <c r="A13" s="101" t="s">
        <v>137</v>
      </c>
      <c r="B13" s="138">
        <v>0.2</v>
      </c>
      <c r="C13" s="138">
        <v>0</v>
      </c>
      <c r="D13" s="139">
        <v>10</v>
      </c>
      <c r="E13" s="755"/>
    </row>
    <row r="14" spans="1:11" ht="20.399999999999999" customHeight="1" x14ac:dyDescent="0.25">
      <c r="A14" s="101" t="s">
        <v>140</v>
      </c>
      <c r="B14" s="138">
        <v>0.5</v>
      </c>
      <c r="C14" s="138">
        <v>0</v>
      </c>
      <c r="D14" s="139">
        <v>0</v>
      </c>
      <c r="E14" s="755"/>
    </row>
    <row r="15" spans="1:11" ht="20.399999999999999" customHeight="1" x14ac:dyDescent="0.25">
      <c r="A15" s="101" t="s">
        <v>148</v>
      </c>
      <c r="B15" s="138">
        <v>1.5</v>
      </c>
      <c r="C15" s="138">
        <v>0</v>
      </c>
      <c r="D15" s="139">
        <v>0</v>
      </c>
      <c r="E15" s="755"/>
    </row>
    <row r="16" spans="1:11" ht="20.399999999999999" customHeight="1" x14ac:dyDescent="0.25">
      <c r="A16" s="101" t="s">
        <v>152</v>
      </c>
      <c r="B16" s="138">
        <v>1.5</v>
      </c>
      <c r="C16" s="138">
        <v>0</v>
      </c>
      <c r="D16" s="139">
        <v>0</v>
      </c>
      <c r="E16" s="755"/>
    </row>
    <row r="17" spans="1:11" ht="13.2" x14ac:dyDescent="0.25">
      <c r="A17" s="101" t="s">
        <v>159</v>
      </c>
      <c r="B17" s="222">
        <v>0.8</v>
      </c>
      <c r="C17" s="138">
        <v>0</v>
      </c>
      <c r="D17" s="139">
        <v>0</v>
      </c>
      <c r="E17" s="741"/>
    </row>
    <row r="18" spans="1:11" ht="20.399999999999999" customHeight="1" x14ac:dyDescent="0.25">
      <c r="A18" s="101" t="s">
        <v>194</v>
      </c>
      <c r="B18" s="138">
        <v>1</v>
      </c>
      <c r="C18" s="138">
        <v>0</v>
      </c>
      <c r="D18" s="139">
        <v>0</v>
      </c>
      <c r="E18" s="755"/>
    </row>
    <row r="19" spans="1:11" ht="20.399999999999999" customHeight="1" x14ac:dyDescent="0.25">
      <c r="A19" s="208" t="s">
        <v>208</v>
      </c>
      <c r="B19" s="604">
        <v>0.5</v>
      </c>
      <c r="C19" s="138"/>
      <c r="D19" s="139"/>
      <c r="E19" s="755"/>
    </row>
    <row r="20" spans="1:11" ht="20.399999999999999" customHeight="1" x14ac:dyDescent="0.25">
      <c r="A20" s="101" t="s">
        <v>202</v>
      </c>
      <c r="B20" s="138">
        <v>0.5</v>
      </c>
      <c r="C20" s="138">
        <v>0</v>
      </c>
      <c r="D20" s="139">
        <v>0</v>
      </c>
      <c r="E20" s="755"/>
    </row>
    <row r="21" spans="1:11" ht="20.399999999999999" customHeight="1" x14ac:dyDescent="0.25">
      <c r="A21" s="101" t="s">
        <v>202</v>
      </c>
      <c r="B21" s="138">
        <v>0.5</v>
      </c>
      <c r="C21" s="138">
        <v>0</v>
      </c>
      <c r="D21" s="139">
        <v>0</v>
      </c>
      <c r="E21" s="756"/>
    </row>
    <row r="22" spans="1:11" ht="15" customHeight="1" x14ac:dyDescent="0.25">
      <c r="A22" s="122"/>
    </row>
    <row r="23" spans="1:11" ht="18" customHeight="1" x14ac:dyDescent="0.25">
      <c r="A23" s="62"/>
      <c r="B23" s="62"/>
      <c r="C23" s="62"/>
      <c r="D23" s="62"/>
      <c r="E23" s="6"/>
      <c r="F23" s="195"/>
    </row>
    <row r="24" spans="1:11" ht="18" customHeight="1" x14ac:dyDescent="0.3">
      <c r="A24" s="757" t="s">
        <v>576</v>
      </c>
      <c r="B24" s="758"/>
      <c r="C24" s="758"/>
      <c r="D24" s="758"/>
      <c r="E24" s="758"/>
      <c r="F24" s="758"/>
      <c r="G24" s="758"/>
      <c r="H24" s="758"/>
      <c r="I24" s="758"/>
      <c r="J24" s="758"/>
      <c r="K24" s="758"/>
    </row>
    <row r="25" spans="1:11" ht="43.2" x14ac:dyDescent="0.25">
      <c r="A25" s="201" t="s">
        <v>227</v>
      </c>
      <c r="B25" s="201" t="s">
        <v>577</v>
      </c>
      <c r="C25" s="201" t="s">
        <v>578</v>
      </c>
      <c r="D25" s="201" t="s">
        <v>579</v>
      </c>
      <c r="E25" s="201" t="s">
        <v>580</v>
      </c>
      <c r="F25" s="201" t="s">
        <v>581</v>
      </c>
      <c r="G25" s="201" t="s">
        <v>582</v>
      </c>
      <c r="H25" s="201" t="s">
        <v>583</v>
      </c>
      <c r="I25" s="201" t="s">
        <v>584</v>
      </c>
      <c r="J25" s="201" t="s">
        <v>585</v>
      </c>
      <c r="K25" s="201" t="s">
        <v>289</v>
      </c>
    </row>
    <row r="26" spans="1:11" ht="69" customHeight="1" x14ac:dyDescent="0.25">
      <c r="A26" s="584" t="s">
        <v>258</v>
      </c>
      <c r="B26" s="584" t="s">
        <v>586</v>
      </c>
      <c r="C26" s="584">
        <v>2</v>
      </c>
      <c r="D26" s="203">
        <v>1.1399999999999999</v>
      </c>
      <c r="E26" s="203">
        <v>0.33</v>
      </c>
      <c r="F26" s="584" t="s">
        <v>587</v>
      </c>
      <c r="G26" s="203">
        <f>IF(INDEX($C:$C,MATCH("Equivalent full load hours",$B:$B,0))=0,0,ROUND(INDEX($C:$C,MATCH("Annual energy consumption of the elevator - Existing",$B:$B,0))/INDEX($C:$C,MATCH("Equivalent full load hours",$B:$B,0))*1000,2))</f>
        <v>6379.25</v>
      </c>
      <c r="H26" s="203">
        <f>ROUND(C26*INDEX($C:$C,MATCH("Cab fan airflow",$B:$B,0))*E26,2)</f>
        <v>165</v>
      </c>
      <c r="I26" s="203">
        <f>ROUND(C26*INDEX($C:$C,MATCH("Cab floor area",$B:$B,0))*D26,2)</f>
        <v>68.17</v>
      </c>
      <c r="J26" s="203">
        <f>ROUND(SUM(G26:I26),2)</f>
        <v>6612.42</v>
      </c>
      <c r="K26" s="584" t="s">
        <v>588</v>
      </c>
    </row>
    <row r="27" spans="1:11" ht="53.4" customHeight="1" x14ac:dyDescent="0.25">
      <c r="A27" s="584" t="s">
        <v>327</v>
      </c>
      <c r="B27" s="584" t="s">
        <v>589</v>
      </c>
      <c r="C27" s="584">
        <v>2</v>
      </c>
      <c r="D27" s="203">
        <v>0.6</v>
      </c>
      <c r="E27" s="203">
        <v>0.33</v>
      </c>
      <c r="F27" s="584" t="s">
        <v>590</v>
      </c>
      <c r="G27" s="203">
        <f>IF(INDEX($C:$C,MATCH("Equivalent full load hours",$B:$B,0))=0,0,ROUND(INDEX($C:$C,MATCH("Annual energy consumption of the elevator - New Construction",$B:$B,0))/INDEX($C:$C,MATCH("Equivalent full load hours",$B:$B,0))*1000,2))</f>
        <v>3329.02</v>
      </c>
      <c r="H27" s="203">
        <f>ROUND(C27*INDEX($C:$C,MATCH("Cab fan airflow",$B:$B,0))*E27,2)</f>
        <v>165</v>
      </c>
      <c r="I27" s="203">
        <f>ROUND(C27*INDEX($C:$C,MATCH("Cab floor area",$B:$B,0))*D27,2)</f>
        <v>35.880000000000003</v>
      </c>
      <c r="J27" s="203">
        <f>ROUND(SUM(G27:I27),2)</f>
        <v>3529.9</v>
      </c>
      <c r="K27" s="584" t="s">
        <v>591</v>
      </c>
    </row>
    <row r="28" spans="1:11" ht="42" customHeight="1" x14ac:dyDescent="0.3">
      <c r="A28" s="761" t="s">
        <v>592</v>
      </c>
      <c r="B28" s="761"/>
      <c r="C28" s="761"/>
      <c r="D28" s="761"/>
      <c r="E28" s="761"/>
      <c r="F28" s="761"/>
      <c r="G28" s="761"/>
      <c r="H28" s="761"/>
      <c r="I28" s="761"/>
      <c r="J28" s="761"/>
      <c r="K28" s="761"/>
    </row>
    <row r="29" spans="1:11" ht="14.4" x14ac:dyDescent="0.3">
      <c r="A29"/>
      <c r="B29"/>
      <c r="C29"/>
      <c r="D29"/>
      <c r="E29"/>
      <c r="F29"/>
      <c r="G29"/>
      <c r="H29"/>
      <c r="I29"/>
      <c r="J29"/>
      <c r="K29"/>
    </row>
    <row r="30" spans="1:11" ht="14.4" x14ac:dyDescent="0.3">
      <c r="A30" s="759" t="s">
        <v>593</v>
      </c>
      <c r="B30" s="760"/>
      <c r="C30" s="760"/>
      <c r="D30" s="760"/>
      <c r="E30" s="760"/>
      <c r="F30"/>
      <c r="G30"/>
      <c r="H30"/>
      <c r="I30"/>
      <c r="J30"/>
      <c r="K30"/>
    </row>
    <row r="31" spans="1:11" ht="14.4" x14ac:dyDescent="0.3">
      <c r="A31" s="201" t="s">
        <v>594</v>
      </c>
      <c r="B31" s="201" t="s">
        <v>595</v>
      </c>
      <c r="C31" s="201" t="s">
        <v>51</v>
      </c>
      <c r="D31" s="201" t="s">
        <v>596</v>
      </c>
      <c r="E31" s="201" t="s">
        <v>374</v>
      </c>
      <c r="F31"/>
      <c r="G31"/>
      <c r="H31"/>
      <c r="I31"/>
      <c r="J31"/>
      <c r="K31"/>
    </row>
    <row r="32" spans="1:11" ht="28.8" x14ac:dyDescent="0.3">
      <c r="A32" s="751" t="s">
        <v>589</v>
      </c>
      <c r="B32" s="584" t="s">
        <v>597</v>
      </c>
      <c r="C32" s="584">
        <v>31634.71</v>
      </c>
      <c r="D32" s="584" t="s">
        <v>598</v>
      </c>
      <c r="E32" s="584" t="s">
        <v>599</v>
      </c>
      <c r="F32"/>
      <c r="G32"/>
      <c r="H32"/>
      <c r="I32"/>
      <c r="J32"/>
      <c r="K32"/>
    </row>
    <row r="33" spans="1:11" ht="28.8" x14ac:dyDescent="0.3">
      <c r="A33" s="751"/>
      <c r="B33" s="584" t="s">
        <v>600</v>
      </c>
      <c r="C33" s="584">
        <v>16508.63</v>
      </c>
      <c r="D33" s="584" t="s">
        <v>598</v>
      </c>
      <c r="E33" s="584" t="s">
        <v>599</v>
      </c>
      <c r="F33"/>
      <c r="G33"/>
      <c r="H33"/>
      <c r="I33"/>
      <c r="J33"/>
      <c r="K33"/>
    </row>
    <row r="34" spans="1:11" ht="28.8" x14ac:dyDescent="0.3">
      <c r="A34" s="584" t="s">
        <v>601</v>
      </c>
      <c r="B34" s="584" t="s">
        <v>602</v>
      </c>
      <c r="C34" s="584" t="s">
        <v>603</v>
      </c>
      <c r="D34" s="584" t="s">
        <v>604</v>
      </c>
      <c r="E34" s="584" t="s">
        <v>605</v>
      </c>
      <c r="F34"/>
      <c r="G34"/>
      <c r="H34"/>
      <c r="I34"/>
      <c r="J34"/>
      <c r="K34"/>
    </row>
    <row r="35" spans="1:11" ht="28.8" x14ac:dyDescent="0.3">
      <c r="A35" s="584" t="s">
        <v>606</v>
      </c>
      <c r="B35" s="584" t="s">
        <v>607</v>
      </c>
      <c r="C35" s="584" t="s">
        <v>608</v>
      </c>
      <c r="D35" s="584" t="s">
        <v>604</v>
      </c>
      <c r="E35" s="584" t="s">
        <v>605</v>
      </c>
      <c r="F35"/>
      <c r="G35"/>
      <c r="H35"/>
      <c r="I35"/>
      <c r="J35"/>
      <c r="K35"/>
    </row>
    <row r="36" spans="1:11" ht="14.4" x14ac:dyDescent="0.3">
      <c r="A36" s="584" t="s">
        <v>609</v>
      </c>
      <c r="B36" s="584" t="s">
        <v>610</v>
      </c>
      <c r="C36" s="584">
        <v>1361</v>
      </c>
      <c r="D36" s="584" t="s">
        <v>611</v>
      </c>
      <c r="E36" s="584" t="s">
        <v>612</v>
      </c>
      <c r="F36"/>
      <c r="G36"/>
      <c r="H36"/>
      <c r="I36"/>
      <c r="J36"/>
      <c r="K36"/>
    </row>
    <row r="37" spans="1:11" customFormat="1" ht="14.4" x14ac:dyDescent="0.3">
      <c r="A37" s="584" t="s">
        <v>613</v>
      </c>
      <c r="B37" s="584" t="s">
        <v>614</v>
      </c>
      <c r="C37" s="584">
        <v>29.9</v>
      </c>
      <c r="D37" s="584" t="s">
        <v>615</v>
      </c>
      <c r="E37" s="584" t="s">
        <v>616</v>
      </c>
    </row>
    <row r="38" spans="1:11" customFormat="1" ht="14.4" x14ac:dyDescent="0.3">
      <c r="A38" s="584" t="s">
        <v>617</v>
      </c>
      <c r="B38" s="584" t="s">
        <v>618</v>
      </c>
      <c r="C38" s="584">
        <v>250</v>
      </c>
      <c r="D38" s="584" t="s">
        <v>619</v>
      </c>
      <c r="E38" s="584" t="s">
        <v>620</v>
      </c>
    </row>
    <row r="39" spans="1:11" customFormat="1" ht="14.4" x14ac:dyDescent="0.3">
      <c r="A39" s="584" t="s">
        <v>621</v>
      </c>
      <c r="B39" s="584" t="s">
        <v>622</v>
      </c>
      <c r="C39" s="584">
        <v>2</v>
      </c>
      <c r="D39" s="584" t="s">
        <v>623</v>
      </c>
      <c r="E39" s="584" t="s">
        <v>624</v>
      </c>
    </row>
    <row r="40" spans="1:11" customFormat="1" ht="14.4" x14ac:dyDescent="0.3">
      <c r="A40" s="584" t="s">
        <v>625</v>
      </c>
      <c r="B40" s="584" t="s">
        <v>626</v>
      </c>
      <c r="C40" s="584">
        <v>260</v>
      </c>
      <c r="D40" s="584" t="s">
        <v>627</v>
      </c>
      <c r="E40" s="584" t="s">
        <v>624</v>
      </c>
    </row>
    <row r="41" spans="1:11" customFormat="1" ht="14.4" x14ac:dyDescent="0.3">
      <c r="A41" s="584" t="s">
        <v>628</v>
      </c>
      <c r="B41" s="584" t="s">
        <v>629</v>
      </c>
      <c r="C41" s="584">
        <v>2</v>
      </c>
      <c r="D41" s="584" t="s">
        <v>630</v>
      </c>
      <c r="E41" s="584" t="s">
        <v>631</v>
      </c>
    </row>
    <row r="42" spans="1:11" customFormat="1" ht="14.4" x14ac:dyDescent="0.3">
      <c r="A42" s="584" t="s">
        <v>632</v>
      </c>
      <c r="B42" s="584" t="s">
        <v>633</v>
      </c>
      <c r="C42" s="584">
        <v>4.2699999999999996</v>
      </c>
      <c r="D42" s="584" t="s">
        <v>634</v>
      </c>
      <c r="E42" s="584" t="s">
        <v>631</v>
      </c>
    </row>
    <row r="43" spans="1:11" customFormat="1" ht="14.4" x14ac:dyDescent="0.3">
      <c r="A43" s="584" t="s">
        <v>635</v>
      </c>
      <c r="B43" s="584" t="s">
        <v>636</v>
      </c>
      <c r="C43" s="584">
        <v>1</v>
      </c>
      <c r="D43" s="584" t="s">
        <v>637</v>
      </c>
      <c r="E43" s="584" t="s">
        <v>624</v>
      </c>
    </row>
    <row r="44" spans="1:11" customFormat="1" ht="14.4" x14ac:dyDescent="0.3">
      <c r="A44" s="584" t="s">
        <v>638</v>
      </c>
      <c r="B44" s="584" t="s">
        <v>639</v>
      </c>
      <c r="C44" s="584">
        <v>125</v>
      </c>
      <c r="D44" s="584" t="s">
        <v>640</v>
      </c>
      <c r="E44" s="584" t="s">
        <v>624</v>
      </c>
    </row>
    <row r="45" spans="1:11" customFormat="1" ht="14.4" x14ac:dyDescent="0.3">
      <c r="A45" s="584" t="s">
        <v>641</v>
      </c>
      <c r="B45" s="584" t="s">
        <v>642</v>
      </c>
      <c r="C45" s="584">
        <v>1</v>
      </c>
      <c r="D45" s="584" t="s">
        <v>643</v>
      </c>
      <c r="E45" s="584" t="s">
        <v>644</v>
      </c>
    </row>
    <row r="46" spans="1:11" customFormat="1" ht="14.4" x14ac:dyDescent="0.3">
      <c r="A46" s="584" t="s">
        <v>645</v>
      </c>
      <c r="B46" s="584" t="s">
        <v>646</v>
      </c>
      <c r="C46" s="584">
        <v>1</v>
      </c>
      <c r="D46" s="584" t="s">
        <v>647</v>
      </c>
      <c r="E46" s="584" t="s">
        <v>648</v>
      </c>
    </row>
    <row r="47" spans="1:11" customFormat="1" ht="14.4" x14ac:dyDescent="0.3">
      <c r="A47" s="584" t="s">
        <v>649</v>
      </c>
      <c r="B47" s="584" t="s">
        <v>650</v>
      </c>
      <c r="C47" s="584">
        <v>1.25</v>
      </c>
      <c r="D47" s="584" t="s">
        <v>651</v>
      </c>
      <c r="E47" s="584" t="s">
        <v>648</v>
      </c>
    </row>
    <row r="48" spans="1:11" customFormat="1" ht="14.4" x14ac:dyDescent="0.3">
      <c r="A48" s="584" t="s">
        <v>652</v>
      </c>
      <c r="B48" s="584" t="s">
        <v>653</v>
      </c>
      <c r="C48" s="584">
        <v>8</v>
      </c>
      <c r="D48" s="584" t="s">
        <v>654</v>
      </c>
      <c r="E48" s="584" t="s">
        <v>648</v>
      </c>
    </row>
    <row r="49" spans="1:5" customFormat="1" ht="14.4" x14ac:dyDescent="0.3">
      <c r="A49" s="584" t="s">
        <v>655</v>
      </c>
      <c r="B49" s="584" t="s">
        <v>656</v>
      </c>
      <c r="C49" s="584">
        <v>8.5399999999999991</v>
      </c>
      <c r="D49" s="584" t="s">
        <v>657</v>
      </c>
      <c r="E49" s="584" t="s">
        <v>658</v>
      </c>
    </row>
    <row r="50" spans="1:5" customFormat="1" ht="14.4" x14ac:dyDescent="0.3">
      <c r="A50" s="584" t="s">
        <v>659</v>
      </c>
      <c r="B50" s="584" t="s">
        <v>660</v>
      </c>
      <c r="C50" s="584">
        <v>18.34</v>
      </c>
      <c r="D50" s="584" t="s">
        <v>661</v>
      </c>
      <c r="E50" s="584" t="s">
        <v>662</v>
      </c>
    </row>
    <row r="51" spans="1:5" customFormat="1" ht="14.4" x14ac:dyDescent="0.3">
      <c r="A51" s="584" t="s">
        <v>663</v>
      </c>
      <c r="B51" s="584" t="s">
        <v>664</v>
      </c>
      <c r="C51" s="584">
        <v>23.36</v>
      </c>
      <c r="D51" s="584" t="s">
        <v>665</v>
      </c>
      <c r="E51" s="584" t="s">
        <v>666</v>
      </c>
    </row>
    <row r="52" spans="1:5" customFormat="1" ht="14.4" x14ac:dyDescent="0.3">
      <c r="A52" s="584" t="s">
        <v>667</v>
      </c>
      <c r="B52" s="584" t="s">
        <v>668</v>
      </c>
      <c r="C52" s="584">
        <v>8594.43</v>
      </c>
      <c r="D52" s="584" t="s">
        <v>669</v>
      </c>
      <c r="E52" s="584" t="s">
        <v>670</v>
      </c>
    </row>
    <row r="53" spans="1:5" customFormat="1" ht="14.4" x14ac:dyDescent="0.3">
      <c r="A53" s="584" t="s">
        <v>671</v>
      </c>
      <c r="B53" s="584" t="s">
        <v>671</v>
      </c>
      <c r="C53" s="584">
        <v>40</v>
      </c>
      <c r="D53" s="584" t="s">
        <v>672</v>
      </c>
      <c r="E53" s="584" t="s">
        <v>673</v>
      </c>
    </row>
    <row r="54" spans="1:5" customFormat="1" ht="14.4" x14ac:dyDescent="0.3">
      <c r="A54" s="584" t="s">
        <v>674</v>
      </c>
      <c r="B54" s="584" t="s">
        <v>675</v>
      </c>
      <c r="C54" s="202">
        <f>Schedules!AD212</f>
        <v>4959</v>
      </c>
      <c r="D54" s="584" t="s">
        <v>676</v>
      </c>
      <c r="E54" s="584" t="s">
        <v>677</v>
      </c>
    </row>
    <row r="55" spans="1:5" customFormat="1" ht="14.4" x14ac:dyDescent="0.3"/>
    <row r="56" spans="1:5" ht="13.2" x14ac:dyDescent="0.25"/>
    <row r="57" spans="1:5" ht="13.2" x14ac:dyDescent="0.25"/>
    <row r="58" spans="1:5" ht="60" customHeight="1" x14ac:dyDescent="0.25"/>
    <row r="59" spans="1:5" ht="13.2" x14ac:dyDescent="0.25"/>
    <row r="60" spans="1:5" ht="13.2" x14ac:dyDescent="0.25"/>
    <row r="61" spans="1:5" ht="13.2" x14ac:dyDescent="0.25"/>
    <row r="62" spans="1:5" ht="13.2" x14ac:dyDescent="0.25"/>
    <row r="63" spans="1:5" ht="13.2" x14ac:dyDescent="0.25"/>
  </sheetData>
  <autoFilter ref="A2:E21" xr:uid="{84519C81-B0B9-4AE9-9154-3628732CA590}"/>
  <mergeCells count="7">
    <mergeCell ref="A32:A33"/>
    <mergeCell ref="A1:E1"/>
    <mergeCell ref="E3:E6"/>
    <mergeCell ref="E12:E21"/>
    <mergeCell ref="A24:K24"/>
    <mergeCell ref="A30:E30"/>
    <mergeCell ref="A28:K28"/>
  </mergeCells>
  <phoneticPr fontId="4"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A2B4C-25C9-41C7-A8AC-09AC0F00160D}">
  <sheetPr codeName="Sheet3"/>
  <dimension ref="A1:XFC353"/>
  <sheetViews>
    <sheetView zoomScale="70" zoomScaleNormal="70" workbookViewId="0">
      <selection sqref="A1:AC1"/>
    </sheetView>
  </sheetViews>
  <sheetFormatPr defaultColWidth="9.33203125" defaultRowHeight="11.4" x14ac:dyDescent="0.3"/>
  <cols>
    <col min="1" max="1" width="32.5546875" style="35" customWidth="1"/>
    <col min="2" max="2" width="25.5546875" style="35" bestFit="1" customWidth="1"/>
    <col min="3" max="3" width="61.6640625" style="35" customWidth="1"/>
    <col min="4" max="4" width="31.5546875" style="35" customWidth="1"/>
    <col min="5" max="5" width="31.44140625" style="35" customWidth="1"/>
    <col min="6" max="6" width="20.33203125" style="35" customWidth="1"/>
    <col min="7" max="7" width="28" style="35" customWidth="1"/>
    <col min="8" max="8" width="32" style="35" customWidth="1"/>
    <col min="9" max="9" width="39" style="35" customWidth="1"/>
    <col min="10" max="10" width="42.5546875" style="35" customWidth="1"/>
    <col min="11" max="12" width="5.6640625" style="35" customWidth="1"/>
    <col min="13" max="13" width="29" style="35" customWidth="1"/>
    <col min="14" max="29" width="5.6640625" style="35" customWidth="1"/>
    <col min="30" max="30" width="10.109375" style="35" customWidth="1"/>
    <col min="31" max="16383" width="9.33203125" style="35"/>
    <col min="16384" max="16384" width="9.33203125" style="35" bestFit="1"/>
  </cols>
  <sheetData>
    <row r="1" spans="1:39" ht="24" customHeight="1" x14ac:dyDescent="0.3">
      <c r="A1" s="868" t="s">
        <v>678</v>
      </c>
      <c r="B1" s="869"/>
      <c r="C1" s="869"/>
      <c r="D1" s="869"/>
      <c r="E1" s="869"/>
      <c r="F1" s="869"/>
      <c r="G1" s="869"/>
      <c r="H1" s="869"/>
      <c r="I1" s="869"/>
      <c r="J1" s="869"/>
      <c r="K1" s="869"/>
      <c r="L1" s="869"/>
      <c r="M1" s="869"/>
      <c r="N1" s="869"/>
      <c r="O1" s="869"/>
      <c r="P1" s="869"/>
      <c r="Q1" s="869"/>
      <c r="R1" s="869"/>
      <c r="S1" s="869"/>
      <c r="T1" s="869"/>
      <c r="U1" s="869"/>
      <c r="V1" s="869"/>
      <c r="W1" s="869"/>
      <c r="X1" s="869"/>
      <c r="Y1" s="869"/>
      <c r="Z1" s="869"/>
      <c r="AA1" s="869"/>
      <c r="AB1" s="869"/>
      <c r="AC1" s="870"/>
      <c r="AD1" s="36"/>
      <c r="AE1" s="36"/>
      <c r="AF1" s="36"/>
      <c r="AG1" s="36"/>
      <c r="AH1" s="36"/>
      <c r="AI1" s="37"/>
      <c r="AJ1" s="37"/>
      <c r="AK1" s="37"/>
    </row>
    <row r="2" spans="1:39" ht="24" customHeight="1" x14ac:dyDescent="0.3">
      <c r="A2" s="743" t="s">
        <v>679</v>
      </c>
      <c r="B2" s="866" t="s">
        <v>89</v>
      </c>
      <c r="C2" s="743" t="s">
        <v>680</v>
      </c>
      <c r="D2" s="743" t="s">
        <v>374</v>
      </c>
      <c r="E2" s="743" t="s">
        <v>681</v>
      </c>
      <c r="F2" s="871" t="s">
        <v>682</v>
      </c>
      <c r="G2" s="871"/>
      <c r="H2" s="871"/>
      <c r="I2" s="871"/>
      <c r="J2" s="871"/>
      <c r="K2" s="871"/>
      <c r="L2" s="871"/>
      <c r="M2" s="871"/>
      <c r="N2" s="871"/>
      <c r="O2" s="871"/>
      <c r="P2" s="871"/>
      <c r="Q2" s="871"/>
      <c r="R2" s="871"/>
      <c r="S2" s="871"/>
      <c r="T2" s="871"/>
      <c r="U2" s="871"/>
      <c r="V2" s="871"/>
      <c r="W2" s="871"/>
      <c r="X2" s="871"/>
      <c r="Y2" s="871"/>
      <c r="Z2" s="871"/>
      <c r="AA2" s="871"/>
      <c r="AB2" s="871"/>
      <c r="AC2" s="871"/>
      <c r="AD2" s="36"/>
      <c r="AE2" s="36"/>
      <c r="AF2" s="36"/>
      <c r="AG2" s="36"/>
      <c r="AH2" s="36"/>
      <c r="AI2" s="37"/>
      <c r="AJ2" s="37"/>
      <c r="AK2" s="37"/>
    </row>
    <row r="3" spans="1:39" ht="25.2" customHeight="1" thickBot="1" x14ac:dyDescent="0.35">
      <c r="A3" s="866"/>
      <c r="B3" s="867"/>
      <c r="C3" s="866"/>
      <c r="D3" s="866"/>
      <c r="E3" s="866"/>
      <c r="F3" s="613">
        <v>1</v>
      </c>
      <c r="G3" s="613">
        <v>2</v>
      </c>
      <c r="H3" s="613">
        <v>3</v>
      </c>
      <c r="I3" s="613">
        <v>4</v>
      </c>
      <c r="J3" s="613">
        <v>5</v>
      </c>
      <c r="K3" s="613">
        <v>6</v>
      </c>
      <c r="L3" s="613">
        <v>7</v>
      </c>
      <c r="M3" s="613">
        <v>8</v>
      </c>
      <c r="N3" s="613">
        <v>9</v>
      </c>
      <c r="O3" s="613">
        <v>10</v>
      </c>
      <c r="P3" s="613">
        <v>11</v>
      </c>
      <c r="Q3" s="613">
        <v>12</v>
      </c>
      <c r="R3" s="613">
        <v>13</v>
      </c>
      <c r="S3" s="613">
        <v>14</v>
      </c>
      <c r="T3" s="613">
        <v>15</v>
      </c>
      <c r="U3" s="613">
        <v>16</v>
      </c>
      <c r="V3" s="613">
        <v>17</v>
      </c>
      <c r="W3" s="613">
        <v>18</v>
      </c>
      <c r="X3" s="613">
        <v>19</v>
      </c>
      <c r="Y3" s="613">
        <v>20</v>
      </c>
      <c r="Z3" s="613">
        <v>21</v>
      </c>
      <c r="AA3" s="613">
        <v>22</v>
      </c>
      <c r="AB3" s="613">
        <v>23</v>
      </c>
      <c r="AC3" s="613">
        <v>24</v>
      </c>
      <c r="AD3" s="37"/>
      <c r="AE3" s="37"/>
      <c r="AF3" s="37"/>
      <c r="AG3" s="37"/>
      <c r="AH3" s="37"/>
      <c r="AI3" s="37"/>
      <c r="AJ3" s="37"/>
      <c r="AK3" s="37"/>
    </row>
    <row r="4" spans="1:39" ht="25.2" customHeight="1" x14ac:dyDescent="0.3">
      <c r="A4" s="782" t="s">
        <v>683</v>
      </c>
      <c r="B4" s="782" t="s">
        <v>684</v>
      </c>
      <c r="C4" s="872" t="s">
        <v>685</v>
      </c>
      <c r="D4" s="788" t="s">
        <v>686</v>
      </c>
      <c r="E4" s="431" t="s">
        <v>687</v>
      </c>
      <c r="F4" s="434">
        <v>0</v>
      </c>
      <c r="G4" s="421">
        <v>0</v>
      </c>
      <c r="H4" s="421">
        <v>0</v>
      </c>
      <c r="I4" s="421">
        <v>0</v>
      </c>
      <c r="J4" s="421">
        <v>0</v>
      </c>
      <c r="K4" s="421">
        <v>0</v>
      </c>
      <c r="L4" s="421">
        <v>0</v>
      </c>
      <c r="M4" s="421">
        <v>0</v>
      </c>
      <c r="N4" s="421">
        <v>0</v>
      </c>
      <c r="O4" s="421">
        <v>0</v>
      </c>
      <c r="P4" s="421">
        <v>0</v>
      </c>
      <c r="Q4" s="421">
        <v>0</v>
      </c>
      <c r="R4" s="421">
        <v>0</v>
      </c>
      <c r="S4" s="421">
        <v>0</v>
      </c>
      <c r="T4" s="421">
        <v>0</v>
      </c>
      <c r="U4" s="421">
        <v>0</v>
      </c>
      <c r="V4" s="421">
        <v>0</v>
      </c>
      <c r="W4" s="421">
        <v>0</v>
      </c>
      <c r="X4" s="421">
        <v>0</v>
      </c>
      <c r="Y4" s="421">
        <v>0</v>
      </c>
      <c r="Z4" s="421">
        <v>0</v>
      </c>
      <c r="AA4" s="421">
        <v>0</v>
      </c>
      <c r="AB4" s="421">
        <v>0</v>
      </c>
      <c r="AC4" s="422">
        <v>0</v>
      </c>
      <c r="AD4" s="37"/>
      <c r="AE4" s="37"/>
      <c r="AF4" s="37"/>
      <c r="AG4" s="37"/>
      <c r="AH4" s="37"/>
      <c r="AI4" s="37"/>
      <c r="AJ4" s="37"/>
      <c r="AK4" s="37"/>
    </row>
    <row r="5" spans="1:39" ht="33" customHeight="1" x14ac:dyDescent="0.3">
      <c r="A5" s="783"/>
      <c r="B5" s="783"/>
      <c r="C5" s="873"/>
      <c r="D5" s="783"/>
      <c r="E5" s="432" t="s">
        <v>688</v>
      </c>
      <c r="F5" s="435">
        <v>0</v>
      </c>
      <c r="G5" s="240">
        <v>0</v>
      </c>
      <c r="H5" s="240">
        <v>0</v>
      </c>
      <c r="I5" s="240">
        <v>0</v>
      </c>
      <c r="J5" s="240">
        <v>0</v>
      </c>
      <c r="K5" s="240">
        <v>0</v>
      </c>
      <c r="L5" s="240">
        <v>0</v>
      </c>
      <c r="M5" s="240">
        <v>0.16</v>
      </c>
      <c r="N5" s="240">
        <v>0.95</v>
      </c>
      <c r="O5" s="240">
        <v>0.95</v>
      </c>
      <c r="P5" s="240">
        <v>0.95</v>
      </c>
      <c r="Q5" s="240">
        <v>0.95</v>
      </c>
      <c r="R5" s="240">
        <v>0.5</v>
      </c>
      <c r="S5" s="240">
        <v>0.95</v>
      </c>
      <c r="T5" s="240">
        <v>0.95</v>
      </c>
      <c r="U5" s="240">
        <v>0.05</v>
      </c>
      <c r="V5" s="240">
        <v>0</v>
      </c>
      <c r="W5" s="240">
        <v>0</v>
      </c>
      <c r="X5" s="240">
        <v>0</v>
      </c>
      <c r="Y5" s="240">
        <v>0</v>
      </c>
      <c r="Z5" s="240">
        <v>0</v>
      </c>
      <c r="AA5" s="240">
        <v>0</v>
      </c>
      <c r="AB5" s="240">
        <v>0</v>
      </c>
      <c r="AC5" s="423">
        <v>0</v>
      </c>
      <c r="AD5" s="37"/>
      <c r="AE5" s="37"/>
      <c r="AF5" s="37"/>
      <c r="AG5" s="37"/>
      <c r="AH5" s="37"/>
      <c r="AI5" s="37"/>
      <c r="AJ5" s="37"/>
      <c r="AK5" s="37"/>
    </row>
    <row r="6" spans="1:39" ht="33" customHeight="1" x14ac:dyDescent="0.3">
      <c r="A6" s="783"/>
      <c r="B6" s="783"/>
      <c r="C6" s="873"/>
      <c r="D6" s="783"/>
      <c r="E6" s="432" t="s">
        <v>689</v>
      </c>
      <c r="F6" s="435">
        <v>0</v>
      </c>
      <c r="G6" s="240">
        <v>0</v>
      </c>
      <c r="H6" s="240">
        <v>0</v>
      </c>
      <c r="I6" s="240">
        <v>0</v>
      </c>
      <c r="J6" s="240">
        <v>0</v>
      </c>
      <c r="K6" s="240">
        <v>0</v>
      </c>
      <c r="L6" s="240">
        <v>0</v>
      </c>
      <c r="M6" s="240">
        <v>0.16</v>
      </c>
      <c r="N6" s="240">
        <v>0.95</v>
      </c>
      <c r="O6" s="240">
        <v>0.95</v>
      </c>
      <c r="P6" s="240">
        <v>0.95</v>
      </c>
      <c r="Q6" s="240">
        <v>0.95</v>
      </c>
      <c r="R6" s="240">
        <v>0.5</v>
      </c>
      <c r="S6" s="240">
        <v>0.95</v>
      </c>
      <c r="T6" s="240">
        <v>0.05</v>
      </c>
      <c r="U6" s="240">
        <v>0</v>
      </c>
      <c r="V6" s="240">
        <v>0</v>
      </c>
      <c r="W6" s="240">
        <v>0</v>
      </c>
      <c r="X6" s="240">
        <v>0</v>
      </c>
      <c r="Y6" s="240">
        <v>0</v>
      </c>
      <c r="Z6" s="240">
        <v>0</v>
      </c>
      <c r="AA6" s="240">
        <v>0</v>
      </c>
      <c r="AB6" s="240">
        <v>0</v>
      </c>
      <c r="AC6" s="423">
        <v>0</v>
      </c>
      <c r="AD6" s="37"/>
      <c r="AE6" s="37"/>
      <c r="AF6" s="37"/>
      <c r="AG6" s="37"/>
      <c r="AH6" s="37"/>
      <c r="AI6" s="37"/>
      <c r="AJ6" s="37"/>
      <c r="AK6" s="37"/>
    </row>
    <row r="7" spans="1:39" ht="33" customHeight="1" thickBot="1" x14ac:dyDescent="0.35">
      <c r="A7" s="784"/>
      <c r="B7" s="784"/>
      <c r="C7" s="874"/>
      <c r="D7" s="784"/>
      <c r="E7" s="433" t="s">
        <v>690</v>
      </c>
      <c r="F7" s="189">
        <v>0</v>
      </c>
      <c r="G7" s="186">
        <v>0</v>
      </c>
      <c r="H7" s="186">
        <v>0</v>
      </c>
      <c r="I7" s="186">
        <v>0</v>
      </c>
      <c r="J7" s="186">
        <v>0</v>
      </c>
      <c r="K7" s="186">
        <v>0</v>
      </c>
      <c r="L7" s="186">
        <v>0</v>
      </c>
      <c r="M7" s="186">
        <v>2.5000000000000001E-2</v>
      </c>
      <c r="N7" s="186">
        <v>0.7</v>
      </c>
      <c r="O7" s="186">
        <v>0.7</v>
      </c>
      <c r="P7" s="186">
        <v>0.7</v>
      </c>
      <c r="Q7" s="186">
        <v>0.7</v>
      </c>
      <c r="R7" s="186">
        <v>0.25</v>
      </c>
      <c r="S7" s="186">
        <v>0.7</v>
      </c>
      <c r="T7" s="186">
        <v>0</v>
      </c>
      <c r="U7" s="186">
        <v>0</v>
      </c>
      <c r="V7" s="186">
        <v>0</v>
      </c>
      <c r="W7" s="186">
        <v>0</v>
      </c>
      <c r="X7" s="186">
        <v>0</v>
      </c>
      <c r="Y7" s="186">
        <v>0</v>
      </c>
      <c r="Z7" s="186">
        <v>0</v>
      </c>
      <c r="AA7" s="186">
        <v>0</v>
      </c>
      <c r="AB7" s="186">
        <v>0</v>
      </c>
      <c r="AC7" s="187">
        <v>0</v>
      </c>
      <c r="AD7" s="37"/>
      <c r="AE7" s="37"/>
      <c r="AF7" s="37"/>
      <c r="AG7" s="37"/>
      <c r="AH7" s="37"/>
      <c r="AI7" s="37"/>
      <c r="AJ7" s="37"/>
      <c r="AK7" s="37"/>
    </row>
    <row r="8" spans="1:39" ht="38.700000000000003" customHeight="1" x14ac:dyDescent="0.3">
      <c r="A8" s="782" t="s">
        <v>683</v>
      </c>
      <c r="B8" s="782" t="s">
        <v>684</v>
      </c>
      <c r="C8" s="872" t="s">
        <v>691</v>
      </c>
      <c r="D8" s="788" t="s">
        <v>686</v>
      </c>
      <c r="E8" s="431" t="s">
        <v>687</v>
      </c>
      <c r="F8" s="434">
        <v>0</v>
      </c>
      <c r="G8" s="421">
        <v>0</v>
      </c>
      <c r="H8" s="421">
        <v>0</v>
      </c>
      <c r="I8" s="421">
        <v>0</v>
      </c>
      <c r="J8" s="421">
        <v>0</v>
      </c>
      <c r="K8" s="421">
        <v>0</v>
      </c>
      <c r="L8" s="421">
        <v>0</v>
      </c>
      <c r="M8" s="421">
        <v>0</v>
      </c>
      <c r="N8" s="421">
        <v>0</v>
      </c>
      <c r="O8" s="421">
        <v>0</v>
      </c>
      <c r="P8" s="421">
        <v>0</v>
      </c>
      <c r="Q8" s="421">
        <v>0</v>
      </c>
      <c r="R8" s="421">
        <v>0</v>
      </c>
      <c r="S8" s="421">
        <v>0</v>
      </c>
      <c r="T8" s="421">
        <v>0</v>
      </c>
      <c r="U8" s="421">
        <v>0</v>
      </c>
      <c r="V8" s="421">
        <v>0</v>
      </c>
      <c r="W8" s="421">
        <v>0</v>
      </c>
      <c r="X8" s="421">
        <v>0</v>
      </c>
      <c r="Y8" s="421">
        <v>0</v>
      </c>
      <c r="Z8" s="421">
        <v>0</v>
      </c>
      <c r="AA8" s="421">
        <v>0</v>
      </c>
      <c r="AB8" s="421">
        <v>0</v>
      </c>
      <c r="AC8" s="422">
        <v>0</v>
      </c>
      <c r="AD8" s="37"/>
      <c r="AE8" s="37"/>
      <c r="AF8" s="37"/>
      <c r="AG8" s="37"/>
      <c r="AH8" s="37"/>
      <c r="AI8" s="37"/>
      <c r="AJ8" s="37"/>
      <c r="AK8" s="37"/>
      <c r="AM8" s="48"/>
    </row>
    <row r="9" spans="1:39" ht="38.700000000000003" customHeight="1" x14ac:dyDescent="0.3">
      <c r="A9" s="783"/>
      <c r="B9" s="783"/>
      <c r="C9" s="873"/>
      <c r="D9" s="783"/>
      <c r="E9" s="432" t="s">
        <v>688</v>
      </c>
      <c r="F9" s="435">
        <v>0</v>
      </c>
      <c r="G9" s="240">
        <v>0</v>
      </c>
      <c r="H9" s="240">
        <v>0</v>
      </c>
      <c r="I9" s="240">
        <v>0</v>
      </c>
      <c r="J9" s="240">
        <v>0</v>
      </c>
      <c r="K9" s="240">
        <v>0</v>
      </c>
      <c r="L9" s="240">
        <v>0</v>
      </c>
      <c r="M9" s="240">
        <v>1</v>
      </c>
      <c r="N9" s="240">
        <v>1</v>
      </c>
      <c r="O9" s="240">
        <v>1</v>
      </c>
      <c r="P9" s="240">
        <v>1</v>
      </c>
      <c r="Q9" s="240">
        <v>1</v>
      </c>
      <c r="R9" s="240">
        <v>1</v>
      </c>
      <c r="S9" s="240">
        <v>1</v>
      </c>
      <c r="T9" s="240">
        <v>1</v>
      </c>
      <c r="U9" s="240">
        <v>1</v>
      </c>
      <c r="V9" s="240">
        <v>0</v>
      </c>
      <c r="W9" s="240">
        <v>0</v>
      </c>
      <c r="X9" s="240">
        <v>0</v>
      </c>
      <c r="Y9" s="240">
        <v>0</v>
      </c>
      <c r="Z9" s="240">
        <v>0</v>
      </c>
      <c r="AA9" s="240">
        <v>0</v>
      </c>
      <c r="AB9" s="240">
        <v>0</v>
      </c>
      <c r="AC9" s="423">
        <v>0</v>
      </c>
      <c r="AD9" s="37"/>
      <c r="AE9" s="37"/>
      <c r="AF9" s="37"/>
      <c r="AG9" s="37"/>
      <c r="AH9" s="37"/>
      <c r="AI9" s="37"/>
      <c r="AJ9" s="37"/>
      <c r="AK9" s="37"/>
      <c r="AM9" s="48"/>
    </row>
    <row r="10" spans="1:39" ht="38.700000000000003" customHeight="1" x14ac:dyDescent="0.3">
      <c r="A10" s="783"/>
      <c r="B10" s="783"/>
      <c r="C10" s="873"/>
      <c r="D10" s="783"/>
      <c r="E10" s="432" t="s">
        <v>689</v>
      </c>
      <c r="F10" s="435">
        <v>0</v>
      </c>
      <c r="G10" s="240">
        <v>0</v>
      </c>
      <c r="H10" s="240">
        <v>0</v>
      </c>
      <c r="I10" s="240">
        <v>0</v>
      </c>
      <c r="J10" s="240">
        <v>0</v>
      </c>
      <c r="K10" s="240">
        <v>0</v>
      </c>
      <c r="L10" s="240">
        <v>0</v>
      </c>
      <c r="M10" s="240">
        <v>1</v>
      </c>
      <c r="N10" s="240">
        <v>1</v>
      </c>
      <c r="O10" s="240">
        <v>1</v>
      </c>
      <c r="P10" s="240">
        <v>1</v>
      </c>
      <c r="Q10" s="240">
        <v>1</v>
      </c>
      <c r="R10" s="240">
        <v>1</v>
      </c>
      <c r="S10" s="240">
        <v>1</v>
      </c>
      <c r="T10" s="240">
        <v>1</v>
      </c>
      <c r="U10" s="240">
        <v>0</v>
      </c>
      <c r="V10" s="240">
        <v>0</v>
      </c>
      <c r="W10" s="240">
        <v>0</v>
      </c>
      <c r="X10" s="240">
        <v>0</v>
      </c>
      <c r="Y10" s="240">
        <v>0</v>
      </c>
      <c r="Z10" s="240">
        <v>0</v>
      </c>
      <c r="AA10" s="240">
        <v>0</v>
      </c>
      <c r="AB10" s="240">
        <v>0</v>
      </c>
      <c r="AC10" s="423">
        <v>0</v>
      </c>
      <c r="AD10" s="37"/>
      <c r="AE10" s="37"/>
      <c r="AF10" s="37"/>
      <c r="AG10" s="37"/>
      <c r="AH10" s="37"/>
      <c r="AI10" s="37"/>
      <c r="AJ10" s="37"/>
      <c r="AK10" s="37"/>
      <c r="AM10" s="48"/>
    </row>
    <row r="11" spans="1:39" ht="38.700000000000003" customHeight="1" thickBot="1" x14ac:dyDescent="0.35">
      <c r="A11" s="784"/>
      <c r="B11" s="784"/>
      <c r="C11" s="874"/>
      <c r="D11" s="784"/>
      <c r="E11" s="433" t="s">
        <v>690</v>
      </c>
      <c r="F11" s="436">
        <v>0</v>
      </c>
      <c r="G11" s="437">
        <v>0</v>
      </c>
      <c r="H11" s="437">
        <v>0</v>
      </c>
      <c r="I11" s="437">
        <v>0</v>
      </c>
      <c r="J11" s="437">
        <v>0</v>
      </c>
      <c r="K11" s="437">
        <v>0</v>
      </c>
      <c r="L11" s="437">
        <v>0</v>
      </c>
      <c r="M11" s="437">
        <v>1</v>
      </c>
      <c r="N11" s="437">
        <v>1</v>
      </c>
      <c r="O11" s="437">
        <v>1</v>
      </c>
      <c r="P11" s="437">
        <v>1</v>
      </c>
      <c r="Q11" s="437">
        <v>1</v>
      </c>
      <c r="R11" s="437">
        <v>1</v>
      </c>
      <c r="S11" s="437">
        <v>1</v>
      </c>
      <c r="T11" s="437">
        <v>0</v>
      </c>
      <c r="U11" s="437">
        <v>0</v>
      </c>
      <c r="V11" s="437">
        <v>0</v>
      </c>
      <c r="W11" s="437">
        <v>0</v>
      </c>
      <c r="X11" s="437">
        <v>0</v>
      </c>
      <c r="Y11" s="437">
        <v>0</v>
      </c>
      <c r="Z11" s="437">
        <v>0</v>
      </c>
      <c r="AA11" s="437">
        <v>0</v>
      </c>
      <c r="AB11" s="437">
        <v>0</v>
      </c>
      <c r="AC11" s="438">
        <v>0</v>
      </c>
      <c r="AD11" s="37"/>
      <c r="AE11" s="37"/>
      <c r="AF11" s="37"/>
      <c r="AG11" s="37"/>
      <c r="AH11" s="37"/>
      <c r="AI11" s="37"/>
      <c r="AJ11" s="37"/>
      <c r="AK11" s="37"/>
      <c r="AM11" s="48"/>
    </row>
    <row r="12" spans="1:39" ht="36" customHeight="1" x14ac:dyDescent="0.3">
      <c r="A12" s="782" t="s">
        <v>683</v>
      </c>
      <c r="B12" s="782" t="s">
        <v>684</v>
      </c>
      <c r="C12" s="792" t="s">
        <v>692</v>
      </c>
      <c r="D12" s="788" t="s">
        <v>686</v>
      </c>
      <c r="E12" s="431" t="s">
        <v>687</v>
      </c>
      <c r="F12" s="434">
        <v>0</v>
      </c>
      <c r="G12" s="421">
        <v>0</v>
      </c>
      <c r="H12" s="421">
        <v>0</v>
      </c>
      <c r="I12" s="421">
        <v>0</v>
      </c>
      <c r="J12" s="421">
        <v>0</v>
      </c>
      <c r="K12" s="421">
        <v>0</v>
      </c>
      <c r="L12" s="421">
        <v>0</v>
      </c>
      <c r="M12" s="421">
        <v>0</v>
      </c>
      <c r="N12" s="421">
        <v>0</v>
      </c>
      <c r="O12" s="421">
        <v>0</v>
      </c>
      <c r="P12" s="421">
        <v>0</v>
      </c>
      <c r="Q12" s="421">
        <v>0</v>
      </c>
      <c r="R12" s="421">
        <v>0</v>
      </c>
      <c r="S12" s="421">
        <v>0</v>
      </c>
      <c r="T12" s="421">
        <v>0</v>
      </c>
      <c r="U12" s="421">
        <v>0</v>
      </c>
      <c r="V12" s="421">
        <v>0</v>
      </c>
      <c r="W12" s="421">
        <v>0</v>
      </c>
      <c r="X12" s="421">
        <v>0</v>
      </c>
      <c r="Y12" s="421">
        <v>0</v>
      </c>
      <c r="Z12" s="421">
        <v>0</v>
      </c>
      <c r="AA12" s="421">
        <v>0</v>
      </c>
      <c r="AB12" s="421">
        <v>0</v>
      </c>
      <c r="AC12" s="422">
        <v>0</v>
      </c>
      <c r="AD12" s="38"/>
      <c r="AE12" s="37"/>
      <c r="AF12" s="37"/>
      <c r="AG12" s="37"/>
      <c r="AH12" s="37"/>
      <c r="AI12" s="37"/>
      <c r="AJ12" s="37"/>
      <c r="AK12" s="37"/>
      <c r="AM12" s="48"/>
    </row>
    <row r="13" spans="1:39" ht="36" customHeight="1" x14ac:dyDescent="0.3">
      <c r="A13" s="783"/>
      <c r="B13" s="783"/>
      <c r="C13" s="793"/>
      <c r="D13" s="783"/>
      <c r="E13" s="432" t="s">
        <v>688</v>
      </c>
      <c r="F13" s="435">
        <v>0.15</v>
      </c>
      <c r="G13" s="240">
        <v>0.15</v>
      </c>
      <c r="H13" s="240">
        <v>0.15</v>
      </c>
      <c r="I13" s="240">
        <v>0.15</v>
      </c>
      <c r="J13" s="240">
        <v>0.15</v>
      </c>
      <c r="K13" s="240">
        <v>0.15</v>
      </c>
      <c r="L13" s="240">
        <v>0.15</v>
      </c>
      <c r="M13" s="240">
        <v>0.75</v>
      </c>
      <c r="N13" s="240">
        <v>0.95</v>
      </c>
      <c r="O13" s="240">
        <v>0.95</v>
      </c>
      <c r="P13" s="240">
        <v>0.95</v>
      </c>
      <c r="Q13" s="240">
        <v>0.95</v>
      </c>
      <c r="R13" s="240">
        <v>0.75</v>
      </c>
      <c r="S13" s="240">
        <v>0.95</v>
      </c>
      <c r="T13" s="240">
        <v>0.95</v>
      </c>
      <c r="U13" s="240">
        <v>0.2</v>
      </c>
      <c r="V13" s="240">
        <v>0.15</v>
      </c>
      <c r="W13" s="240">
        <v>0.15</v>
      </c>
      <c r="X13" s="240">
        <v>0.15</v>
      </c>
      <c r="Y13" s="240">
        <v>0.15</v>
      </c>
      <c r="Z13" s="240">
        <v>0.15</v>
      </c>
      <c r="AA13" s="240">
        <v>0.15</v>
      </c>
      <c r="AB13" s="240">
        <v>0.15</v>
      </c>
      <c r="AC13" s="423">
        <v>0.15</v>
      </c>
      <c r="AD13" s="38"/>
      <c r="AE13" s="37"/>
      <c r="AF13" s="37"/>
      <c r="AG13" s="37"/>
      <c r="AH13" s="37"/>
      <c r="AI13" s="37"/>
      <c r="AJ13" s="37"/>
      <c r="AK13" s="37"/>
      <c r="AM13" s="48"/>
    </row>
    <row r="14" spans="1:39" ht="36" customHeight="1" x14ac:dyDescent="0.3">
      <c r="A14" s="783"/>
      <c r="B14" s="783"/>
      <c r="C14" s="793"/>
      <c r="D14" s="783"/>
      <c r="E14" s="432" t="s">
        <v>689</v>
      </c>
      <c r="F14" s="435">
        <v>0.15</v>
      </c>
      <c r="G14" s="240">
        <v>0.15</v>
      </c>
      <c r="H14" s="240">
        <v>0.15</v>
      </c>
      <c r="I14" s="240">
        <v>0.15</v>
      </c>
      <c r="J14" s="240">
        <v>0.15</v>
      </c>
      <c r="K14" s="240">
        <v>0.15</v>
      </c>
      <c r="L14" s="240">
        <v>0.15</v>
      </c>
      <c r="M14" s="240">
        <v>0.75</v>
      </c>
      <c r="N14" s="240">
        <v>0.95</v>
      </c>
      <c r="O14" s="240">
        <v>0.95</v>
      </c>
      <c r="P14" s="240">
        <v>0.95</v>
      </c>
      <c r="Q14" s="240">
        <v>0.95</v>
      </c>
      <c r="R14" s="240">
        <v>0.75</v>
      </c>
      <c r="S14" s="240">
        <v>0.95</v>
      </c>
      <c r="T14" s="240">
        <v>0.2</v>
      </c>
      <c r="U14" s="240">
        <v>0.15</v>
      </c>
      <c r="V14" s="240">
        <v>0.15</v>
      </c>
      <c r="W14" s="240">
        <v>0.15</v>
      </c>
      <c r="X14" s="240">
        <v>0.15</v>
      </c>
      <c r="Y14" s="240">
        <v>0.15</v>
      </c>
      <c r="Z14" s="240">
        <v>0.15</v>
      </c>
      <c r="AA14" s="240">
        <v>0.15</v>
      </c>
      <c r="AB14" s="240">
        <v>0.15</v>
      </c>
      <c r="AC14" s="423">
        <v>0.15</v>
      </c>
      <c r="AD14" s="38"/>
      <c r="AE14" s="37"/>
      <c r="AF14" s="37"/>
      <c r="AG14" s="37"/>
      <c r="AH14" s="37"/>
      <c r="AI14" s="37"/>
      <c r="AJ14" s="37"/>
      <c r="AK14" s="37"/>
      <c r="AM14" s="48"/>
    </row>
    <row r="15" spans="1:39" ht="36" customHeight="1" thickBot="1" x14ac:dyDescent="0.35">
      <c r="A15" s="784"/>
      <c r="B15" s="784"/>
      <c r="C15" s="794"/>
      <c r="D15" s="784"/>
      <c r="E15" s="433" t="s">
        <v>690</v>
      </c>
      <c r="F15" s="436">
        <v>0.15</v>
      </c>
      <c r="G15" s="437">
        <v>0.15</v>
      </c>
      <c r="H15" s="437">
        <v>0.15</v>
      </c>
      <c r="I15" s="437">
        <v>0.15</v>
      </c>
      <c r="J15" s="437">
        <v>0.15</v>
      </c>
      <c r="K15" s="437">
        <v>0.15</v>
      </c>
      <c r="L15" s="437">
        <v>0.15</v>
      </c>
      <c r="M15" s="437">
        <v>0.2</v>
      </c>
      <c r="N15" s="437">
        <v>0.95</v>
      </c>
      <c r="O15" s="437">
        <v>0.95</v>
      </c>
      <c r="P15" s="437">
        <v>0.95</v>
      </c>
      <c r="Q15" s="437">
        <v>0.95</v>
      </c>
      <c r="R15" s="437">
        <v>0.75</v>
      </c>
      <c r="S15" s="437">
        <v>0.95</v>
      </c>
      <c r="T15" s="437">
        <v>0.15</v>
      </c>
      <c r="U15" s="437">
        <v>0.15</v>
      </c>
      <c r="V15" s="437">
        <v>0.15</v>
      </c>
      <c r="W15" s="437">
        <v>0.15</v>
      </c>
      <c r="X15" s="437">
        <v>0.15</v>
      </c>
      <c r="Y15" s="437">
        <v>0.15</v>
      </c>
      <c r="Z15" s="437">
        <v>0.15</v>
      </c>
      <c r="AA15" s="437">
        <v>0.15</v>
      </c>
      <c r="AB15" s="437">
        <v>0.15</v>
      </c>
      <c r="AC15" s="438">
        <v>0.15</v>
      </c>
      <c r="AD15" s="38"/>
      <c r="AE15" s="37"/>
      <c r="AF15" s="37"/>
      <c r="AG15" s="37"/>
      <c r="AH15" s="37"/>
      <c r="AI15" s="37"/>
      <c r="AJ15" s="37"/>
      <c r="AK15" s="37"/>
      <c r="AM15" s="48"/>
    </row>
    <row r="16" spans="1:39" ht="36" customHeight="1" x14ac:dyDescent="0.3">
      <c r="A16" s="782" t="s">
        <v>683</v>
      </c>
      <c r="B16" s="782" t="s">
        <v>684</v>
      </c>
      <c r="C16" s="792" t="s">
        <v>693</v>
      </c>
      <c r="D16" s="788" t="s">
        <v>694</v>
      </c>
      <c r="E16" s="431" t="s">
        <v>687</v>
      </c>
      <c r="F16" s="434">
        <v>0.03</v>
      </c>
      <c r="G16" s="421">
        <v>0.03</v>
      </c>
      <c r="H16" s="421">
        <v>0.03</v>
      </c>
      <c r="I16" s="421">
        <v>0.03</v>
      </c>
      <c r="J16" s="421">
        <v>0.03</v>
      </c>
      <c r="K16" s="421">
        <v>0.03</v>
      </c>
      <c r="L16" s="421">
        <v>0.03</v>
      </c>
      <c r="M16" s="421">
        <v>0.03</v>
      </c>
      <c r="N16" s="421">
        <v>0.05</v>
      </c>
      <c r="O16" s="421">
        <v>0.05</v>
      </c>
      <c r="P16" s="421">
        <v>0.05</v>
      </c>
      <c r="Q16" s="421">
        <v>0.05</v>
      </c>
      <c r="R16" s="421">
        <v>0.05</v>
      </c>
      <c r="S16" s="421">
        <v>0.05</v>
      </c>
      <c r="T16" s="421">
        <v>0.03</v>
      </c>
      <c r="U16" s="421">
        <v>0.03</v>
      </c>
      <c r="V16" s="421">
        <v>0.03</v>
      </c>
      <c r="W16" s="421">
        <v>0.03</v>
      </c>
      <c r="X16" s="421">
        <v>0.03</v>
      </c>
      <c r="Y16" s="421">
        <v>0.03</v>
      </c>
      <c r="Z16" s="421">
        <v>0.03</v>
      </c>
      <c r="AA16" s="421">
        <v>0.03</v>
      </c>
      <c r="AB16" s="421">
        <v>0.03</v>
      </c>
      <c r="AC16" s="422">
        <v>0.03</v>
      </c>
      <c r="AD16" s="37"/>
      <c r="AE16" s="37"/>
      <c r="AF16" s="37"/>
      <c r="AG16" s="37"/>
      <c r="AH16" s="37"/>
      <c r="AI16" s="37"/>
      <c r="AJ16" s="37"/>
      <c r="AK16" s="37"/>
      <c r="AM16" s="48"/>
    </row>
    <row r="17" spans="1:39" ht="36" customHeight="1" x14ac:dyDescent="0.3">
      <c r="A17" s="783"/>
      <c r="B17" s="783"/>
      <c r="C17" s="793"/>
      <c r="D17" s="783"/>
      <c r="E17" s="432" t="s">
        <v>688</v>
      </c>
      <c r="F17" s="435">
        <v>0.05</v>
      </c>
      <c r="G17" s="240">
        <v>0.05</v>
      </c>
      <c r="H17" s="240">
        <v>0.05</v>
      </c>
      <c r="I17" s="240">
        <v>0.05</v>
      </c>
      <c r="J17" s="240">
        <v>0.05</v>
      </c>
      <c r="K17" s="240">
        <v>0.05</v>
      </c>
      <c r="L17" s="240">
        <v>0.05</v>
      </c>
      <c r="M17" s="240">
        <v>0.1</v>
      </c>
      <c r="N17" s="240">
        <v>0.34</v>
      </c>
      <c r="O17" s="240">
        <v>0.6</v>
      </c>
      <c r="P17" s="240">
        <v>0.63</v>
      </c>
      <c r="Q17" s="240">
        <v>0.72</v>
      </c>
      <c r="R17" s="240">
        <v>0.79</v>
      </c>
      <c r="S17" s="240">
        <v>0.83</v>
      </c>
      <c r="T17" s="240">
        <v>0.61</v>
      </c>
      <c r="U17" s="240">
        <v>0.65</v>
      </c>
      <c r="V17" s="240">
        <v>0.1</v>
      </c>
      <c r="W17" s="240">
        <v>0.1</v>
      </c>
      <c r="X17" s="240">
        <v>0.19</v>
      </c>
      <c r="Y17" s="240">
        <v>0.25</v>
      </c>
      <c r="Z17" s="240">
        <v>0.22</v>
      </c>
      <c r="AA17" s="240">
        <v>0.22</v>
      </c>
      <c r="AB17" s="240">
        <v>0.12</v>
      </c>
      <c r="AC17" s="423">
        <v>0.09</v>
      </c>
      <c r="AD17" s="37"/>
      <c r="AE17" s="37"/>
      <c r="AF17" s="37"/>
      <c r="AG17" s="37"/>
      <c r="AH17" s="37"/>
      <c r="AI17" s="37"/>
      <c r="AJ17" s="37"/>
      <c r="AK17" s="37"/>
      <c r="AM17" s="48"/>
    </row>
    <row r="18" spans="1:39" ht="36" customHeight="1" x14ac:dyDescent="0.3">
      <c r="A18" s="783"/>
      <c r="B18" s="783"/>
      <c r="C18" s="793"/>
      <c r="D18" s="783"/>
      <c r="E18" s="432" t="s">
        <v>689</v>
      </c>
      <c r="F18" s="435">
        <v>0.05</v>
      </c>
      <c r="G18" s="240">
        <v>0.05</v>
      </c>
      <c r="H18" s="240">
        <v>0.05</v>
      </c>
      <c r="I18" s="240">
        <v>0.05</v>
      </c>
      <c r="J18" s="240">
        <v>0.05</v>
      </c>
      <c r="K18" s="240">
        <v>0.05</v>
      </c>
      <c r="L18" s="240">
        <v>0.05</v>
      </c>
      <c r="M18" s="240">
        <v>0.1</v>
      </c>
      <c r="N18" s="240">
        <v>0.34</v>
      </c>
      <c r="O18" s="240">
        <v>0.6</v>
      </c>
      <c r="P18" s="240">
        <v>0.63</v>
      </c>
      <c r="Q18" s="240">
        <v>0.72</v>
      </c>
      <c r="R18" s="240">
        <v>0.79</v>
      </c>
      <c r="S18" s="240">
        <v>0.83</v>
      </c>
      <c r="T18" s="240">
        <v>0.61</v>
      </c>
      <c r="U18" s="240">
        <v>0.65</v>
      </c>
      <c r="V18" s="240">
        <v>0.1</v>
      </c>
      <c r="W18" s="240">
        <v>0.1</v>
      </c>
      <c r="X18" s="240">
        <v>0.19</v>
      </c>
      <c r="Y18" s="240">
        <v>0.25</v>
      </c>
      <c r="Z18" s="240">
        <v>0.22</v>
      </c>
      <c r="AA18" s="240">
        <v>0.22</v>
      </c>
      <c r="AB18" s="240">
        <v>0.12</v>
      </c>
      <c r="AC18" s="423">
        <v>0.09</v>
      </c>
      <c r="AD18" s="37"/>
      <c r="AE18" s="37"/>
      <c r="AF18" s="37"/>
      <c r="AG18" s="37"/>
      <c r="AH18" s="37"/>
      <c r="AI18" s="37"/>
      <c r="AJ18" s="37"/>
      <c r="AK18" s="37"/>
      <c r="AM18" s="48"/>
    </row>
    <row r="19" spans="1:39" ht="36" customHeight="1" thickBot="1" x14ac:dyDescent="0.35">
      <c r="A19" s="784"/>
      <c r="B19" s="784"/>
      <c r="C19" s="794"/>
      <c r="D19" s="784"/>
      <c r="E19" s="433" t="s">
        <v>690</v>
      </c>
      <c r="F19" s="189">
        <v>0.03</v>
      </c>
      <c r="G19" s="186">
        <v>0.03</v>
      </c>
      <c r="H19" s="186">
        <v>0.03</v>
      </c>
      <c r="I19" s="186">
        <v>0.03</v>
      </c>
      <c r="J19" s="186">
        <v>0.03</v>
      </c>
      <c r="K19" s="186">
        <v>0.03</v>
      </c>
      <c r="L19" s="186">
        <v>0.03</v>
      </c>
      <c r="M19" s="186">
        <v>0.1</v>
      </c>
      <c r="N19" s="186">
        <v>0.34</v>
      </c>
      <c r="O19" s="186">
        <v>0.6</v>
      </c>
      <c r="P19" s="186">
        <v>0.63</v>
      </c>
      <c r="Q19" s="186">
        <v>0.72</v>
      </c>
      <c r="R19" s="186">
        <v>0.79</v>
      </c>
      <c r="S19" s="186">
        <v>0.83</v>
      </c>
      <c r="T19" s="186">
        <v>0.03</v>
      </c>
      <c r="U19" s="186">
        <v>0.03</v>
      </c>
      <c r="V19" s="186">
        <v>0.03</v>
      </c>
      <c r="W19" s="186">
        <v>0.03</v>
      </c>
      <c r="X19" s="186">
        <v>0.03</v>
      </c>
      <c r="Y19" s="186">
        <v>0.03</v>
      </c>
      <c r="Z19" s="186">
        <v>0.03</v>
      </c>
      <c r="AA19" s="186">
        <v>0.03</v>
      </c>
      <c r="AB19" s="186">
        <v>0.03</v>
      </c>
      <c r="AC19" s="187">
        <v>0.03</v>
      </c>
      <c r="AD19" s="37"/>
      <c r="AE19" s="37"/>
      <c r="AF19" s="37"/>
      <c r="AG19" s="37"/>
      <c r="AH19" s="37"/>
      <c r="AI19" s="37"/>
      <c r="AJ19" s="37"/>
      <c r="AK19" s="37"/>
      <c r="AM19" s="48"/>
    </row>
    <row r="20" spans="1:39" ht="36" customHeight="1" x14ac:dyDescent="0.3">
      <c r="A20" s="782" t="s">
        <v>683</v>
      </c>
      <c r="B20" s="782" t="s">
        <v>684</v>
      </c>
      <c r="C20" s="792" t="s">
        <v>695</v>
      </c>
      <c r="D20" s="788" t="s">
        <v>694</v>
      </c>
      <c r="E20" s="431" t="s">
        <v>687</v>
      </c>
      <c r="F20" s="434">
        <v>0</v>
      </c>
      <c r="G20" s="421">
        <v>0</v>
      </c>
      <c r="H20" s="421">
        <v>0</v>
      </c>
      <c r="I20" s="421">
        <v>0</v>
      </c>
      <c r="J20" s="421">
        <v>0</v>
      </c>
      <c r="K20" s="421">
        <v>0</v>
      </c>
      <c r="L20" s="421">
        <v>0</v>
      </c>
      <c r="M20" s="421">
        <v>0</v>
      </c>
      <c r="N20" s="421">
        <v>0</v>
      </c>
      <c r="O20" s="421">
        <v>0</v>
      </c>
      <c r="P20" s="421">
        <v>0</v>
      </c>
      <c r="Q20" s="421">
        <v>0</v>
      </c>
      <c r="R20" s="421">
        <v>0</v>
      </c>
      <c r="S20" s="421">
        <v>0</v>
      </c>
      <c r="T20" s="421">
        <v>0</v>
      </c>
      <c r="U20" s="421">
        <v>0</v>
      </c>
      <c r="V20" s="421">
        <v>0</v>
      </c>
      <c r="W20" s="421">
        <v>0</v>
      </c>
      <c r="X20" s="421">
        <v>0</v>
      </c>
      <c r="Y20" s="421">
        <v>0</v>
      </c>
      <c r="Z20" s="421">
        <v>0</v>
      </c>
      <c r="AA20" s="421">
        <v>0</v>
      </c>
      <c r="AB20" s="421">
        <v>0</v>
      </c>
      <c r="AC20" s="422">
        <v>0</v>
      </c>
      <c r="AD20" s="38"/>
      <c r="AE20" s="37"/>
      <c r="AF20" s="37"/>
      <c r="AG20" s="37"/>
      <c r="AH20" s="37"/>
      <c r="AI20" s="37"/>
      <c r="AJ20" s="37"/>
      <c r="AK20" s="37"/>
      <c r="AM20" s="48"/>
    </row>
    <row r="21" spans="1:39" ht="36" customHeight="1" x14ac:dyDescent="0.3">
      <c r="A21" s="783"/>
      <c r="B21" s="783"/>
      <c r="C21" s="793"/>
      <c r="D21" s="783"/>
      <c r="E21" s="432" t="s">
        <v>688</v>
      </c>
      <c r="F21" s="435">
        <v>0</v>
      </c>
      <c r="G21" s="240">
        <v>0</v>
      </c>
      <c r="H21" s="240">
        <v>0</v>
      </c>
      <c r="I21" s="240">
        <v>0</v>
      </c>
      <c r="J21" s="240">
        <v>0</v>
      </c>
      <c r="K21" s="240">
        <v>0</v>
      </c>
      <c r="L21" s="240">
        <v>0</v>
      </c>
      <c r="M21" s="240">
        <v>0.5</v>
      </c>
      <c r="N21" s="240">
        <v>0.5</v>
      </c>
      <c r="O21" s="240">
        <v>0.75</v>
      </c>
      <c r="P21" s="240">
        <v>0.9</v>
      </c>
      <c r="Q21" s="240">
        <v>0.9</v>
      </c>
      <c r="R21" s="240">
        <v>0.9</v>
      </c>
      <c r="S21" s="240">
        <v>0</v>
      </c>
      <c r="T21" s="240">
        <v>0</v>
      </c>
      <c r="U21" s="240">
        <v>0</v>
      </c>
      <c r="V21" s="240">
        <v>0</v>
      </c>
      <c r="W21" s="240">
        <v>0</v>
      </c>
      <c r="X21" s="240">
        <v>0</v>
      </c>
      <c r="Y21" s="240">
        <v>0</v>
      </c>
      <c r="Z21" s="240">
        <v>0</v>
      </c>
      <c r="AA21" s="240">
        <v>0</v>
      </c>
      <c r="AB21" s="240">
        <v>0</v>
      </c>
      <c r="AC21" s="423">
        <v>0</v>
      </c>
      <c r="AD21" s="38"/>
      <c r="AE21" s="37"/>
      <c r="AF21" s="37"/>
      <c r="AG21" s="37"/>
      <c r="AH21" s="37"/>
      <c r="AI21" s="37"/>
      <c r="AJ21" s="37"/>
      <c r="AK21" s="37"/>
      <c r="AM21" s="48"/>
    </row>
    <row r="22" spans="1:39" ht="36" customHeight="1" x14ac:dyDescent="0.3">
      <c r="A22" s="783"/>
      <c r="B22" s="783"/>
      <c r="C22" s="793"/>
      <c r="D22" s="783"/>
      <c r="E22" s="432" t="s">
        <v>689</v>
      </c>
      <c r="F22" s="435">
        <v>0</v>
      </c>
      <c r="G22" s="240">
        <v>0</v>
      </c>
      <c r="H22" s="240">
        <v>0</v>
      </c>
      <c r="I22" s="240">
        <v>0</v>
      </c>
      <c r="J22" s="240">
        <v>0</v>
      </c>
      <c r="K22" s="240">
        <v>0</v>
      </c>
      <c r="L22" s="240">
        <v>0</v>
      </c>
      <c r="M22" s="240">
        <v>0.5</v>
      </c>
      <c r="N22" s="240">
        <v>0.5</v>
      </c>
      <c r="O22" s="240">
        <v>0.75</v>
      </c>
      <c r="P22" s="240">
        <v>0.9</v>
      </c>
      <c r="Q22" s="240">
        <v>0.9</v>
      </c>
      <c r="R22" s="240">
        <v>0.9</v>
      </c>
      <c r="S22" s="240">
        <v>0</v>
      </c>
      <c r="T22" s="240">
        <v>0</v>
      </c>
      <c r="U22" s="240">
        <v>0</v>
      </c>
      <c r="V22" s="240">
        <v>0</v>
      </c>
      <c r="W22" s="240">
        <v>0</v>
      </c>
      <c r="X22" s="240">
        <v>0</v>
      </c>
      <c r="Y22" s="240">
        <v>0</v>
      </c>
      <c r="Z22" s="240">
        <v>0</v>
      </c>
      <c r="AA22" s="240">
        <v>0</v>
      </c>
      <c r="AB22" s="240">
        <v>0</v>
      </c>
      <c r="AC22" s="423">
        <v>0</v>
      </c>
      <c r="AD22" s="38"/>
      <c r="AE22" s="37"/>
      <c r="AF22" s="37"/>
      <c r="AG22" s="37"/>
      <c r="AH22" s="37"/>
      <c r="AI22" s="37"/>
      <c r="AJ22" s="37"/>
      <c r="AK22" s="37"/>
      <c r="AM22" s="48"/>
    </row>
    <row r="23" spans="1:39" ht="36" customHeight="1" thickBot="1" x14ac:dyDescent="0.35">
      <c r="A23" s="784"/>
      <c r="B23" s="784"/>
      <c r="C23" s="794"/>
      <c r="D23" s="784"/>
      <c r="E23" s="433" t="s">
        <v>690</v>
      </c>
      <c r="F23" s="189">
        <v>0</v>
      </c>
      <c r="G23" s="186">
        <v>0</v>
      </c>
      <c r="H23" s="186">
        <v>0</v>
      </c>
      <c r="I23" s="186">
        <v>0</v>
      </c>
      <c r="J23" s="186">
        <v>0</v>
      </c>
      <c r="K23" s="186">
        <v>0</v>
      </c>
      <c r="L23" s="186">
        <v>0</v>
      </c>
      <c r="M23" s="186">
        <v>0.5</v>
      </c>
      <c r="N23" s="186">
        <v>0.5</v>
      </c>
      <c r="O23" s="186">
        <v>0.75</v>
      </c>
      <c r="P23" s="186">
        <v>0.9</v>
      </c>
      <c r="Q23" s="186">
        <v>0.9</v>
      </c>
      <c r="R23" s="186">
        <v>0.9</v>
      </c>
      <c r="S23" s="186">
        <v>0</v>
      </c>
      <c r="T23" s="186">
        <v>0</v>
      </c>
      <c r="U23" s="186">
        <v>0</v>
      </c>
      <c r="V23" s="186">
        <v>0</v>
      </c>
      <c r="W23" s="186">
        <v>0</v>
      </c>
      <c r="X23" s="186">
        <v>0</v>
      </c>
      <c r="Y23" s="186">
        <v>0</v>
      </c>
      <c r="Z23" s="186">
        <v>0</v>
      </c>
      <c r="AA23" s="186">
        <v>0</v>
      </c>
      <c r="AB23" s="186">
        <v>0</v>
      </c>
      <c r="AC23" s="187">
        <v>0</v>
      </c>
      <c r="AD23" s="38"/>
      <c r="AE23" s="37"/>
      <c r="AF23" s="37"/>
      <c r="AG23" s="37"/>
      <c r="AH23" s="37"/>
      <c r="AI23" s="37"/>
      <c r="AJ23" s="37"/>
      <c r="AK23" s="37"/>
      <c r="AM23" s="48"/>
    </row>
    <row r="24" spans="1:39" ht="36" customHeight="1" x14ac:dyDescent="0.3">
      <c r="A24" s="782" t="s">
        <v>683</v>
      </c>
      <c r="B24" s="782" t="s">
        <v>684</v>
      </c>
      <c r="C24" s="792" t="s">
        <v>696</v>
      </c>
      <c r="D24" s="788" t="s">
        <v>694</v>
      </c>
      <c r="E24" s="431" t="s">
        <v>687</v>
      </c>
      <c r="F24" s="420">
        <v>0.9</v>
      </c>
      <c r="G24" s="149">
        <v>0.9</v>
      </c>
      <c r="H24" s="149">
        <v>0.9</v>
      </c>
      <c r="I24" s="149">
        <v>0.9</v>
      </c>
      <c r="J24" s="149">
        <v>0.9</v>
      </c>
      <c r="K24" s="149">
        <v>0.9</v>
      </c>
      <c r="L24" s="149">
        <v>0.9</v>
      </c>
      <c r="M24" s="149">
        <v>0.9</v>
      </c>
      <c r="N24" s="149">
        <v>0.9</v>
      </c>
      <c r="O24" s="149">
        <v>0.9</v>
      </c>
      <c r="P24" s="149">
        <v>0.9</v>
      </c>
      <c r="Q24" s="149">
        <v>0.9</v>
      </c>
      <c r="R24" s="149">
        <v>0.9</v>
      </c>
      <c r="S24" s="149">
        <v>0.9</v>
      </c>
      <c r="T24" s="149">
        <v>0.9</v>
      </c>
      <c r="U24" s="149">
        <v>0.9</v>
      </c>
      <c r="V24" s="149">
        <v>0.9</v>
      </c>
      <c r="W24" s="149">
        <v>0.9</v>
      </c>
      <c r="X24" s="149">
        <v>0.9</v>
      </c>
      <c r="Y24" s="149">
        <v>0.9</v>
      </c>
      <c r="Z24" s="149">
        <v>0.9</v>
      </c>
      <c r="AA24" s="149">
        <v>0.9</v>
      </c>
      <c r="AB24" s="149">
        <v>0.9</v>
      </c>
      <c r="AC24" s="150">
        <v>0.9</v>
      </c>
      <c r="AD24" s="38"/>
      <c r="AE24" s="37"/>
      <c r="AF24" s="37"/>
      <c r="AG24" s="37"/>
      <c r="AH24" s="37"/>
      <c r="AI24" s="37"/>
      <c r="AJ24" s="37"/>
      <c r="AK24" s="37"/>
      <c r="AM24" s="48"/>
    </row>
    <row r="25" spans="1:39" ht="36" customHeight="1" x14ac:dyDescent="0.3">
      <c r="A25" s="783"/>
      <c r="B25" s="783"/>
      <c r="C25" s="793"/>
      <c r="D25" s="783"/>
      <c r="E25" s="432" t="s">
        <v>688</v>
      </c>
      <c r="F25" s="188">
        <v>0.9</v>
      </c>
      <c r="G25" s="151">
        <v>0.9</v>
      </c>
      <c r="H25" s="151">
        <v>0.9</v>
      </c>
      <c r="I25" s="151">
        <v>0.9</v>
      </c>
      <c r="J25" s="151">
        <v>0.9</v>
      </c>
      <c r="K25" s="151">
        <v>0.9</v>
      </c>
      <c r="L25" s="151">
        <v>0.9</v>
      </c>
      <c r="M25" s="151">
        <v>0.9</v>
      </c>
      <c r="N25" s="151">
        <v>0.9</v>
      </c>
      <c r="O25" s="151">
        <v>0.9</v>
      </c>
      <c r="P25" s="151">
        <v>0.9</v>
      </c>
      <c r="Q25" s="151">
        <v>0.9</v>
      </c>
      <c r="R25" s="151">
        <v>0.9</v>
      </c>
      <c r="S25" s="151">
        <v>0.9</v>
      </c>
      <c r="T25" s="151">
        <v>0.9</v>
      </c>
      <c r="U25" s="151">
        <v>0.9</v>
      </c>
      <c r="V25" s="151">
        <v>0.9</v>
      </c>
      <c r="W25" s="151">
        <v>0.9</v>
      </c>
      <c r="X25" s="151">
        <v>0.9</v>
      </c>
      <c r="Y25" s="151">
        <v>0.9</v>
      </c>
      <c r="Z25" s="151">
        <v>0.9</v>
      </c>
      <c r="AA25" s="151">
        <v>0.9</v>
      </c>
      <c r="AB25" s="151">
        <v>0.9</v>
      </c>
      <c r="AC25" s="152">
        <v>0.9</v>
      </c>
      <c r="AD25" s="38"/>
      <c r="AE25" s="37"/>
      <c r="AF25" s="37"/>
      <c r="AG25" s="37"/>
      <c r="AH25" s="37"/>
      <c r="AI25" s="37"/>
      <c r="AJ25" s="37"/>
      <c r="AK25" s="37"/>
      <c r="AM25" s="48"/>
    </row>
    <row r="26" spans="1:39" ht="36" customHeight="1" x14ac:dyDescent="0.3">
      <c r="A26" s="783"/>
      <c r="B26" s="783"/>
      <c r="C26" s="793"/>
      <c r="D26" s="783"/>
      <c r="E26" s="432" t="s">
        <v>689</v>
      </c>
      <c r="F26" s="188">
        <v>0.9</v>
      </c>
      <c r="G26" s="151">
        <v>0.9</v>
      </c>
      <c r="H26" s="151">
        <v>0.9</v>
      </c>
      <c r="I26" s="151">
        <v>0.9</v>
      </c>
      <c r="J26" s="151">
        <v>0.9</v>
      </c>
      <c r="K26" s="151">
        <v>0.9</v>
      </c>
      <c r="L26" s="151">
        <v>0.9</v>
      </c>
      <c r="M26" s="151">
        <v>0.9</v>
      </c>
      <c r="N26" s="151">
        <v>0.9</v>
      </c>
      <c r="O26" s="151">
        <v>0.9</v>
      </c>
      <c r="P26" s="151">
        <v>0.9</v>
      </c>
      <c r="Q26" s="151">
        <v>0.9</v>
      </c>
      <c r="R26" s="151">
        <v>0.9</v>
      </c>
      <c r="S26" s="151">
        <v>0.9</v>
      </c>
      <c r="T26" s="151">
        <v>0.9</v>
      </c>
      <c r="U26" s="151">
        <v>0.9</v>
      </c>
      <c r="V26" s="151">
        <v>0.9</v>
      </c>
      <c r="W26" s="151">
        <v>0.9</v>
      </c>
      <c r="X26" s="151">
        <v>0.9</v>
      </c>
      <c r="Y26" s="151">
        <v>0.9</v>
      </c>
      <c r="Z26" s="151">
        <v>0.9</v>
      </c>
      <c r="AA26" s="151">
        <v>0.9</v>
      </c>
      <c r="AB26" s="151">
        <v>0.9</v>
      </c>
      <c r="AC26" s="152">
        <v>0.9</v>
      </c>
      <c r="AD26" s="38"/>
      <c r="AE26" s="37"/>
      <c r="AF26" s="37"/>
      <c r="AG26" s="37"/>
      <c r="AH26" s="37"/>
      <c r="AI26" s="37"/>
      <c r="AJ26" s="37"/>
      <c r="AK26" s="37"/>
      <c r="AM26" s="48"/>
    </row>
    <row r="27" spans="1:39" ht="36" customHeight="1" thickBot="1" x14ac:dyDescent="0.35">
      <c r="A27" s="784"/>
      <c r="B27" s="784"/>
      <c r="C27" s="794"/>
      <c r="D27" s="784"/>
      <c r="E27" s="433" t="s">
        <v>690</v>
      </c>
      <c r="F27" s="189">
        <v>0.9</v>
      </c>
      <c r="G27" s="186">
        <v>0.9</v>
      </c>
      <c r="H27" s="186">
        <v>0.9</v>
      </c>
      <c r="I27" s="186">
        <v>0.9</v>
      </c>
      <c r="J27" s="186">
        <v>0.9</v>
      </c>
      <c r="K27" s="186">
        <v>0.9</v>
      </c>
      <c r="L27" s="186">
        <v>0.9</v>
      </c>
      <c r="M27" s="186">
        <v>0.9</v>
      </c>
      <c r="N27" s="186">
        <v>0.9</v>
      </c>
      <c r="O27" s="186">
        <v>0.9</v>
      </c>
      <c r="P27" s="186">
        <v>0.9</v>
      </c>
      <c r="Q27" s="186">
        <v>0.9</v>
      </c>
      <c r="R27" s="186">
        <v>0.9</v>
      </c>
      <c r="S27" s="186">
        <v>0.9</v>
      </c>
      <c r="T27" s="186">
        <v>0.9</v>
      </c>
      <c r="U27" s="186">
        <v>0.9</v>
      </c>
      <c r="V27" s="186">
        <v>0.9</v>
      </c>
      <c r="W27" s="186">
        <v>0.9</v>
      </c>
      <c r="X27" s="186">
        <v>0.9</v>
      </c>
      <c r="Y27" s="186">
        <v>0.9</v>
      </c>
      <c r="Z27" s="186">
        <v>0.9</v>
      </c>
      <c r="AA27" s="186">
        <v>0.9</v>
      </c>
      <c r="AB27" s="186">
        <v>0.9</v>
      </c>
      <c r="AC27" s="187">
        <v>0.9</v>
      </c>
      <c r="AD27" s="38"/>
      <c r="AE27" s="37"/>
      <c r="AF27" s="37"/>
      <c r="AG27" s="37"/>
      <c r="AH27" s="37"/>
      <c r="AI27" s="37"/>
      <c r="AJ27" s="37"/>
      <c r="AK27" s="37"/>
      <c r="AM27" s="48"/>
    </row>
    <row r="28" spans="1:39" ht="36" customHeight="1" x14ac:dyDescent="0.3">
      <c r="A28" s="782" t="s">
        <v>683</v>
      </c>
      <c r="B28" s="782" t="s">
        <v>684</v>
      </c>
      <c r="C28" s="792" t="s">
        <v>697</v>
      </c>
      <c r="D28" s="788" t="s">
        <v>686</v>
      </c>
      <c r="E28" s="431" t="s">
        <v>687</v>
      </c>
      <c r="F28" s="434">
        <v>0</v>
      </c>
      <c r="G28" s="421">
        <v>0</v>
      </c>
      <c r="H28" s="421">
        <v>0</v>
      </c>
      <c r="I28" s="421">
        <v>0</v>
      </c>
      <c r="J28" s="421">
        <v>0</v>
      </c>
      <c r="K28" s="421">
        <v>0</v>
      </c>
      <c r="L28" s="421">
        <v>0</v>
      </c>
      <c r="M28" s="421">
        <v>0</v>
      </c>
      <c r="N28" s="421">
        <v>0</v>
      </c>
      <c r="O28" s="421">
        <v>0</v>
      </c>
      <c r="P28" s="421">
        <v>0</v>
      </c>
      <c r="Q28" s="421">
        <v>0</v>
      </c>
      <c r="R28" s="421">
        <v>0</v>
      </c>
      <c r="S28" s="421">
        <v>0</v>
      </c>
      <c r="T28" s="421">
        <v>0</v>
      </c>
      <c r="U28" s="421">
        <v>0</v>
      </c>
      <c r="V28" s="421">
        <v>0</v>
      </c>
      <c r="W28" s="421">
        <v>0</v>
      </c>
      <c r="X28" s="421">
        <v>0</v>
      </c>
      <c r="Y28" s="421">
        <v>0</v>
      </c>
      <c r="Z28" s="421">
        <v>0</v>
      </c>
      <c r="AA28" s="421">
        <v>0</v>
      </c>
      <c r="AB28" s="421">
        <v>0</v>
      </c>
      <c r="AC28" s="422">
        <v>0</v>
      </c>
      <c r="AD28" s="38"/>
      <c r="AE28" s="37"/>
      <c r="AF28" s="37"/>
      <c r="AG28" s="37"/>
      <c r="AH28" s="37"/>
      <c r="AI28" s="37"/>
      <c r="AJ28" s="37"/>
      <c r="AK28" s="37"/>
      <c r="AM28" s="48"/>
    </row>
    <row r="29" spans="1:39" ht="36" customHeight="1" x14ac:dyDescent="0.3">
      <c r="A29" s="783"/>
      <c r="B29" s="783"/>
      <c r="C29" s="793"/>
      <c r="D29" s="783"/>
      <c r="E29" s="432" t="s">
        <v>688</v>
      </c>
      <c r="F29" s="435">
        <v>0</v>
      </c>
      <c r="G29" s="240">
        <v>0</v>
      </c>
      <c r="H29" s="240">
        <v>0</v>
      </c>
      <c r="I29" s="240">
        <v>0</v>
      </c>
      <c r="J29" s="240">
        <v>0</v>
      </c>
      <c r="K29" s="240">
        <v>0</v>
      </c>
      <c r="L29" s="240">
        <v>0</v>
      </c>
      <c r="M29" s="240">
        <v>1</v>
      </c>
      <c r="N29" s="240">
        <v>1</v>
      </c>
      <c r="O29" s="240">
        <v>1</v>
      </c>
      <c r="P29" s="240">
        <v>1</v>
      </c>
      <c r="Q29" s="240">
        <v>1</v>
      </c>
      <c r="R29" s="240">
        <v>1</v>
      </c>
      <c r="S29" s="240">
        <v>1</v>
      </c>
      <c r="T29" s="240">
        <v>1</v>
      </c>
      <c r="U29" s="240">
        <v>1</v>
      </c>
      <c r="V29" s="240">
        <v>0</v>
      </c>
      <c r="W29" s="240">
        <v>0</v>
      </c>
      <c r="X29" s="240">
        <v>0</v>
      </c>
      <c r="Y29" s="240">
        <v>0</v>
      </c>
      <c r="Z29" s="240">
        <v>0</v>
      </c>
      <c r="AA29" s="240">
        <v>0</v>
      </c>
      <c r="AB29" s="240">
        <v>0</v>
      </c>
      <c r="AC29" s="423">
        <v>0</v>
      </c>
      <c r="AD29" s="38"/>
      <c r="AE29" s="37"/>
      <c r="AF29" s="37"/>
      <c r="AG29" s="37"/>
      <c r="AH29" s="37"/>
      <c r="AI29" s="37"/>
      <c r="AJ29" s="37"/>
      <c r="AK29" s="37"/>
      <c r="AM29" s="48"/>
    </row>
    <row r="30" spans="1:39" ht="36" customHeight="1" x14ac:dyDescent="0.3">
      <c r="A30" s="783"/>
      <c r="B30" s="783"/>
      <c r="C30" s="793"/>
      <c r="D30" s="783"/>
      <c r="E30" s="432" t="s">
        <v>689</v>
      </c>
      <c r="F30" s="435">
        <v>0</v>
      </c>
      <c r="G30" s="240">
        <v>0</v>
      </c>
      <c r="H30" s="240">
        <v>0</v>
      </c>
      <c r="I30" s="240">
        <v>0</v>
      </c>
      <c r="J30" s="240">
        <v>0</v>
      </c>
      <c r="K30" s="240">
        <v>0</v>
      </c>
      <c r="L30" s="240">
        <v>0</v>
      </c>
      <c r="M30" s="240">
        <v>1</v>
      </c>
      <c r="N30" s="240">
        <v>1</v>
      </c>
      <c r="O30" s="240">
        <v>1</v>
      </c>
      <c r="P30" s="240">
        <v>1</v>
      </c>
      <c r="Q30" s="240">
        <v>1</v>
      </c>
      <c r="R30" s="240">
        <v>1</v>
      </c>
      <c r="S30" s="240">
        <v>1</v>
      </c>
      <c r="T30" s="240">
        <v>1</v>
      </c>
      <c r="U30" s="240">
        <v>0</v>
      </c>
      <c r="V30" s="240">
        <v>0</v>
      </c>
      <c r="W30" s="240">
        <v>0</v>
      </c>
      <c r="X30" s="240">
        <v>0</v>
      </c>
      <c r="Y30" s="240">
        <v>0</v>
      </c>
      <c r="Z30" s="240">
        <v>0</v>
      </c>
      <c r="AA30" s="240">
        <v>0</v>
      </c>
      <c r="AB30" s="240">
        <v>0</v>
      </c>
      <c r="AC30" s="423">
        <v>0</v>
      </c>
      <c r="AD30" s="38"/>
      <c r="AE30" s="37"/>
      <c r="AF30" s="37"/>
      <c r="AG30" s="37"/>
      <c r="AH30" s="37"/>
      <c r="AI30" s="37"/>
      <c r="AJ30" s="37"/>
      <c r="AK30" s="37"/>
      <c r="AM30" s="48"/>
    </row>
    <row r="31" spans="1:39" ht="36" customHeight="1" thickBot="1" x14ac:dyDescent="0.35">
      <c r="A31" s="784"/>
      <c r="B31" s="784"/>
      <c r="C31" s="794"/>
      <c r="D31" s="784"/>
      <c r="E31" s="433" t="s">
        <v>690</v>
      </c>
      <c r="F31" s="189">
        <v>0</v>
      </c>
      <c r="G31" s="186">
        <v>0</v>
      </c>
      <c r="H31" s="186">
        <v>0</v>
      </c>
      <c r="I31" s="186">
        <v>0</v>
      </c>
      <c r="J31" s="186">
        <v>0</v>
      </c>
      <c r="K31" s="186">
        <v>0</v>
      </c>
      <c r="L31" s="186">
        <v>0</v>
      </c>
      <c r="M31" s="186">
        <v>1</v>
      </c>
      <c r="N31" s="186">
        <v>1</v>
      </c>
      <c r="O31" s="186">
        <v>1</v>
      </c>
      <c r="P31" s="186">
        <v>1</v>
      </c>
      <c r="Q31" s="186">
        <v>1</v>
      </c>
      <c r="R31" s="186">
        <v>1</v>
      </c>
      <c r="S31" s="186">
        <v>1</v>
      </c>
      <c r="T31" s="186">
        <v>0</v>
      </c>
      <c r="U31" s="186">
        <v>0</v>
      </c>
      <c r="V31" s="186">
        <v>0</v>
      </c>
      <c r="W31" s="186">
        <v>0</v>
      </c>
      <c r="X31" s="186">
        <v>0</v>
      </c>
      <c r="Y31" s="186">
        <v>0</v>
      </c>
      <c r="Z31" s="186">
        <v>0</v>
      </c>
      <c r="AA31" s="186">
        <v>0</v>
      </c>
      <c r="AB31" s="186">
        <v>0</v>
      </c>
      <c r="AC31" s="187">
        <v>0</v>
      </c>
      <c r="AD31" s="38"/>
      <c r="AE31" s="37"/>
      <c r="AF31" s="37"/>
      <c r="AG31" s="37"/>
      <c r="AH31" s="37"/>
      <c r="AI31" s="37"/>
      <c r="AJ31" s="37"/>
      <c r="AK31" s="37"/>
      <c r="AM31" s="48"/>
    </row>
    <row r="32" spans="1:39" ht="36" customHeight="1" x14ac:dyDescent="0.3">
      <c r="A32" s="782" t="s">
        <v>683</v>
      </c>
      <c r="B32" s="782" t="s">
        <v>684</v>
      </c>
      <c r="C32" s="792" t="s">
        <v>698</v>
      </c>
      <c r="D32" s="788" t="s">
        <v>686</v>
      </c>
      <c r="E32" s="431" t="s">
        <v>687</v>
      </c>
      <c r="F32" s="439">
        <v>60</v>
      </c>
      <c r="G32" s="301">
        <v>60</v>
      </c>
      <c r="H32" s="301">
        <v>60</v>
      </c>
      <c r="I32" s="301">
        <v>60</v>
      </c>
      <c r="J32" s="301">
        <v>60</v>
      </c>
      <c r="K32" s="301">
        <v>60</v>
      </c>
      <c r="L32" s="301">
        <v>60</v>
      </c>
      <c r="M32" s="301">
        <v>60</v>
      </c>
      <c r="N32" s="301">
        <v>60</v>
      </c>
      <c r="O32" s="301">
        <v>60</v>
      </c>
      <c r="P32" s="301">
        <v>60</v>
      </c>
      <c r="Q32" s="301">
        <v>60</v>
      </c>
      <c r="R32" s="301">
        <v>60</v>
      </c>
      <c r="S32" s="301">
        <v>60</v>
      </c>
      <c r="T32" s="301">
        <v>60</v>
      </c>
      <c r="U32" s="301">
        <v>60</v>
      </c>
      <c r="V32" s="301">
        <v>60</v>
      </c>
      <c r="W32" s="301">
        <v>60</v>
      </c>
      <c r="X32" s="301">
        <v>60</v>
      </c>
      <c r="Y32" s="301">
        <v>60</v>
      </c>
      <c r="Z32" s="301">
        <v>60</v>
      </c>
      <c r="AA32" s="301">
        <v>60</v>
      </c>
      <c r="AB32" s="301">
        <v>60</v>
      </c>
      <c r="AC32" s="302">
        <v>60</v>
      </c>
      <c r="AD32" s="38"/>
      <c r="AE32" s="37"/>
      <c r="AF32" s="37"/>
      <c r="AG32" s="37"/>
      <c r="AH32" s="37"/>
      <c r="AI32" s="37"/>
      <c r="AJ32" s="37"/>
      <c r="AK32" s="37"/>
      <c r="AM32" s="48"/>
    </row>
    <row r="33" spans="1:39" ht="36" customHeight="1" x14ac:dyDescent="0.3">
      <c r="A33" s="783"/>
      <c r="B33" s="783"/>
      <c r="C33" s="793"/>
      <c r="D33" s="783"/>
      <c r="E33" s="432" t="s">
        <v>688</v>
      </c>
      <c r="F33" s="440">
        <v>60</v>
      </c>
      <c r="G33" s="303">
        <v>60</v>
      </c>
      <c r="H33" s="303">
        <v>60</v>
      </c>
      <c r="I33" s="303">
        <v>60</v>
      </c>
      <c r="J33" s="303">
        <v>60</v>
      </c>
      <c r="K33" s="303">
        <v>60</v>
      </c>
      <c r="L33" s="303">
        <v>60</v>
      </c>
      <c r="M33" s="303">
        <v>70</v>
      </c>
      <c r="N33" s="303">
        <v>70</v>
      </c>
      <c r="O33" s="303">
        <v>70</v>
      </c>
      <c r="P33" s="303">
        <v>70</v>
      </c>
      <c r="Q33" s="303">
        <v>70</v>
      </c>
      <c r="R33" s="303">
        <v>70</v>
      </c>
      <c r="S33" s="303">
        <v>70</v>
      </c>
      <c r="T33" s="303">
        <v>70</v>
      </c>
      <c r="U33" s="303">
        <v>70</v>
      </c>
      <c r="V33" s="303">
        <v>60</v>
      </c>
      <c r="W33" s="303">
        <v>60</v>
      </c>
      <c r="X33" s="303">
        <v>60</v>
      </c>
      <c r="Y33" s="303">
        <v>60</v>
      </c>
      <c r="Z33" s="303">
        <v>60</v>
      </c>
      <c r="AA33" s="303">
        <v>60</v>
      </c>
      <c r="AB33" s="303">
        <v>60</v>
      </c>
      <c r="AC33" s="304">
        <v>60</v>
      </c>
      <c r="AD33" s="38"/>
      <c r="AE33" s="37"/>
      <c r="AF33" s="37"/>
      <c r="AG33" s="37"/>
      <c r="AH33" s="37"/>
      <c r="AI33" s="37"/>
      <c r="AJ33" s="37"/>
      <c r="AK33" s="37"/>
      <c r="AM33" s="48"/>
    </row>
    <row r="34" spans="1:39" ht="36" customHeight="1" x14ac:dyDescent="0.3">
      <c r="A34" s="783"/>
      <c r="B34" s="783"/>
      <c r="C34" s="793"/>
      <c r="D34" s="783"/>
      <c r="E34" s="432" t="s">
        <v>689</v>
      </c>
      <c r="F34" s="440">
        <v>60</v>
      </c>
      <c r="G34" s="303">
        <v>60</v>
      </c>
      <c r="H34" s="303">
        <v>60</v>
      </c>
      <c r="I34" s="303">
        <v>60</v>
      </c>
      <c r="J34" s="303">
        <v>60</v>
      </c>
      <c r="K34" s="303">
        <v>60</v>
      </c>
      <c r="L34" s="303">
        <v>60</v>
      </c>
      <c r="M34" s="303">
        <v>70</v>
      </c>
      <c r="N34" s="303">
        <v>70</v>
      </c>
      <c r="O34" s="303">
        <v>70</v>
      </c>
      <c r="P34" s="303">
        <v>70</v>
      </c>
      <c r="Q34" s="303">
        <v>70</v>
      </c>
      <c r="R34" s="303">
        <v>70</v>
      </c>
      <c r="S34" s="303">
        <v>70</v>
      </c>
      <c r="T34" s="303">
        <v>70</v>
      </c>
      <c r="U34" s="303">
        <v>60</v>
      </c>
      <c r="V34" s="303">
        <v>60</v>
      </c>
      <c r="W34" s="303">
        <v>60</v>
      </c>
      <c r="X34" s="303">
        <v>60</v>
      </c>
      <c r="Y34" s="303">
        <v>60</v>
      </c>
      <c r="Z34" s="303">
        <v>60</v>
      </c>
      <c r="AA34" s="303">
        <v>60</v>
      </c>
      <c r="AB34" s="303">
        <v>60</v>
      </c>
      <c r="AC34" s="304">
        <v>60</v>
      </c>
      <c r="AD34" s="38"/>
      <c r="AE34" s="37"/>
      <c r="AF34" s="37"/>
      <c r="AG34" s="37"/>
      <c r="AH34" s="37"/>
      <c r="AI34" s="37"/>
      <c r="AJ34" s="37"/>
      <c r="AK34" s="37"/>
      <c r="AM34" s="48"/>
    </row>
    <row r="35" spans="1:39" ht="36" customHeight="1" thickBot="1" x14ac:dyDescent="0.35">
      <c r="A35" s="784"/>
      <c r="B35" s="784"/>
      <c r="C35" s="794"/>
      <c r="D35" s="784"/>
      <c r="E35" s="433" t="s">
        <v>690</v>
      </c>
      <c r="F35" s="441">
        <v>60</v>
      </c>
      <c r="G35" s="442">
        <v>60</v>
      </c>
      <c r="H35" s="442">
        <v>60</v>
      </c>
      <c r="I35" s="442">
        <v>60</v>
      </c>
      <c r="J35" s="442">
        <v>60</v>
      </c>
      <c r="K35" s="442">
        <v>60</v>
      </c>
      <c r="L35" s="442">
        <v>60</v>
      </c>
      <c r="M35" s="442">
        <v>70</v>
      </c>
      <c r="N35" s="442">
        <v>70</v>
      </c>
      <c r="O35" s="442">
        <v>70</v>
      </c>
      <c r="P35" s="442">
        <v>70</v>
      </c>
      <c r="Q35" s="442">
        <v>70</v>
      </c>
      <c r="R35" s="442">
        <v>70</v>
      </c>
      <c r="S35" s="442">
        <v>70</v>
      </c>
      <c r="T35" s="442">
        <v>60</v>
      </c>
      <c r="U35" s="442">
        <v>60</v>
      </c>
      <c r="V35" s="442">
        <v>60</v>
      </c>
      <c r="W35" s="442">
        <v>60</v>
      </c>
      <c r="X35" s="442">
        <v>60</v>
      </c>
      <c r="Y35" s="442">
        <v>60</v>
      </c>
      <c r="Z35" s="442">
        <v>60</v>
      </c>
      <c r="AA35" s="442">
        <v>60</v>
      </c>
      <c r="AB35" s="442">
        <v>60</v>
      </c>
      <c r="AC35" s="443">
        <v>60</v>
      </c>
      <c r="AD35" s="38"/>
      <c r="AE35" s="37"/>
      <c r="AF35" s="37"/>
      <c r="AG35" s="37"/>
      <c r="AH35" s="37"/>
      <c r="AI35" s="37"/>
      <c r="AJ35" s="37"/>
      <c r="AK35" s="37"/>
      <c r="AM35" s="48"/>
    </row>
    <row r="36" spans="1:39" ht="36" customHeight="1" x14ac:dyDescent="0.3">
      <c r="A36" s="782" t="s">
        <v>683</v>
      </c>
      <c r="B36" s="782" t="s">
        <v>684</v>
      </c>
      <c r="C36" s="792" t="s">
        <v>699</v>
      </c>
      <c r="D36" s="788" t="s">
        <v>686</v>
      </c>
      <c r="E36" s="431" t="s">
        <v>687</v>
      </c>
      <c r="F36" s="439">
        <v>85</v>
      </c>
      <c r="G36" s="301">
        <v>85</v>
      </c>
      <c r="H36" s="301">
        <v>85</v>
      </c>
      <c r="I36" s="301">
        <v>85</v>
      </c>
      <c r="J36" s="301">
        <v>85</v>
      </c>
      <c r="K36" s="301">
        <v>85</v>
      </c>
      <c r="L36" s="301">
        <v>85</v>
      </c>
      <c r="M36" s="301">
        <v>85</v>
      </c>
      <c r="N36" s="301">
        <v>85</v>
      </c>
      <c r="O36" s="301">
        <v>85</v>
      </c>
      <c r="P36" s="301">
        <v>85</v>
      </c>
      <c r="Q36" s="301">
        <v>85</v>
      </c>
      <c r="R36" s="301">
        <v>85</v>
      </c>
      <c r="S36" s="301">
        <v>85</v>
      </c>
      <c r="T36" s="301">
        <v>85</v>
      </c>
      <c r="U36" s="301">
        <v>85</v>
      </c>
      <c r="V36" s="301">
        <v>85</v>
      </c>
      <c r="W36" s="301">
        <v>85</v>
      </c>
      <c r="X36" s="301">
        <v>85</v>
      </c>
      <c r="Y36" s="301">
        <v>85</v>
      </c>
      <c r="Z36" s="301">
        <v>85</v>
      </c>
      <c r="AA36" s="301">
        <v>85</v>
      </c>
      <c r="AB36" s="301">
        <v>85</v>
      </c>
      <c r="AC36" s="302">
        <v>85</v>
      </c>
      <c r="AD36" s="38"/>
      <c r="AE36" s="37"/>
      <c r="AF36" s="37"/>
      <c r="AG36" s="37"/>
      <c r="AH36" s="37"/>
      <c r="AI36" s="37"/>
      <c r="AJ36" s="37"/>
      <c r="AK36" s="37"/>
      <c r="AM36" s="48"/>
    </row>
    <row r="37" spans="1:39" ht="36" customHeight="1" x14ac:dyDescent="0.3">
      <c r="A37" s="783"/>
      <c r="B37" s="783"/>
      <c r="C37" s="793"/>
      <c r="D37" s="783"/>
      <c r="E37" s="432" t="s">
        <v>688</v>
      </c>
      <c r="F37" s="440">
        <v>85</v>
      </c>
      <c r="G37" s="303">
        <v>85</v>
      </c>
      <c r="H37" s="303">
        <v>85</v>
      </c>
      <c r="I37" s="303">
        <v>85</v>
      </c>
      <c r="J37" s="303">
        <v>85</v>
      </c>
      <c r="K37" s="303">
        <v>85</v>
      </c>
      <c r="L37" s="303">
        <v>85</v>
      </c>
      <c r="M37" s="303">
        <v>75</v>
      </c>
      <c r="N37" s="303">
        <v>75</v>
      </c>
      <c r="O37" s="303">
        <v>75</v>
      </c>
      <c r="P37" s="303">
        <v>75</v>
      </c>
      <c r="Q37" s="303">
        <v>75</v>
      </c>
      <c r="R37" s="303">
        <v>75</v>
      </c>
      <c r="S37" s="303">
        <v>75</v>
      </c>
      <c r="T37" s="303">
        <v>75</v>
      </c>
      <c r="U37" s="303">
        <v>75</v>
      </c>
      <c r="V37" s="303">
        <v>85</v>
      </c>
      <c r="W37" s="303">
        <v>85</v>
      </c>
      <c r="X37" s="303">
        <v>85</v>
      </c>
      <c r="Y37" s="303">
        <v>85</v>
      </c>
      <c r="Z37" s="303">
        <v>85</v>
      </c>
      <c r="AA37" s="303">
        <v>85</v>
      </c>
      <c r="AB37" s="303">
        <v>85</v>
      </c>
      <c r="AC37" s="304">
        <v>85</v>
      </c>
      <c r="AD37" s="38"/>
      <c r="AE37" s="37"/>
      <c r="AF37" s="37"/>
      <c r="AG37" s="37"/>
      <c r="AH37" s="37"/>
      <c r="AI37" s="37"/>
      <c r="AJ37" s="37"/>
      <c r="AK37" s="37"/>
      <c r="AM37" s="48"/>
    </row>
    <row r="38" spans="1:39" ht="36" customHeight="1" x14ac:dyDescent="0.3">
      <c r="A38" s="783"/>
      <c r="B38" s="783"/>
      <c r="C38" s="793"/>
      <c r="D38" s="783"/>
      <c r="E38" s="432" t="s">
        <v>689</v>
      </c>
      <c r="F38" s="440">
        <v>85</v>
      </c>
      <c r="G38" s="303">
        <v>85</v>
      </c>
      <c r="H38" s="303">
        <v>85</v>
      </c>
      <c r="I38" s="303">
        <v>85</v>
      </c>
      <c r="J38" s="303">
        <v>85</v>
      </c>
      <c r="K38" s="303">
        <v>85</v>
      </c>
      <c r="L38" s="303">
        <v>85</v>
      </c>
      <c r="M38" s="303">
        <v>75</v>
      </c>
      <c r="N38" s="303">
        <v>75</v>
      </c>
      <c r="O38" s="303">
        <v>75</v>
      </c>
      <c r="P38" s="303">
        <v>75</v>
      </c>
      <c r="Q38" s="303">
        <v>75</v>
      </c>
      <c r="R38" s="303">
        <v>75</v>
      </c>
      <c r="S38" s="303">
        <v>75</v>
      </c>
      <c r="T38" s="303">
        <v>75</v>
      </c>
      <c r="U38" s="303">
        <v>85</v>
      </c>
      <c r="V38" s="303">
        <v>85</v>
      </c>
      <c r="W38" s="303">
        <v>85</v>
      </c>
      <c r="X38" s="303">
        <v>85</v>
      </c>
      <c r="Y38" s="303">
        <v>85</v>
      </c>
      <c r="Z38" s="303">
        <v>85</v>
      </c>
      <c r="AA38" s="303">
        <v>85</v>
      </c>
      <c r="AB38" s="303">
        <v>85</v>
      </c>
      <c r="AC38" s="304">
        <v>85</v>
      </c>
      <c r="AD38" s="38"/>
      <c r="AE38" s="37"/>
      <c r="AF38" s="37"/>
      <c r="AG38" s="37"/>
      <c r="AH38" s="37"/>
      <c r="AI38" s="37"/>
      <c r="AJ38" s="37"/>
      <c r="AK38" s="37"/>
      <c r="AM38" s="48"/>
    </row>
    <row r="39" spans="1:39" ht="36" customHeight="1" thickBot="1" x14ac:dyDescent="0.35">
      <c r="A39" s="784"/>
      <c r="B39" s="784"/>
      <c r="C39" s="794"/>
      <c r="D39" s="784"/>
      <c r="E39" s="433" t="s">
        <v>690</v>
      </c>
      <c r="F39" s="441">
        <v>85</v>
      </c>
      <c r="G39" s="442">
        <v>85</v>
      </c>
      <c r="H39" s="442">
        <v>85</v>
      </c>
      <c r="I39" s="442">
        <v>85</v>
      </c>
      <c r="J39" s="442">
        <v>85</v>
      </c>
      <c r="K39" s="442">
        <v>85</v>
      </c>
      <c r="L39" s="442">
        <v>85</v>
      </c>
      <c r="M39" s="442">
        <v>75</v>
      </c>
      <c r="N39" s="442">
        <v>75</v>
      </c>
      <c r="O39" s="442">
        <v>75</v>
      </c>
      <c r="P39" s="442">
        <v>75</v>
      </c>
      <c r="Q39" s="442">
        <v>75</v>
      </c>
      <c r="R39" s="442">
        <v>75</v>
      </c>
      <c r="S39" s="442">
        <v>75</v>
      </c>
      <c r="T39" s="442">
        <v>85</v>
      </c>
      <c r="U39" s="442">
        <v>85</v>
      </c>
      <c r="V39" s="442">
        <v>85</v>
      </c>
      <c r="W39" s="442">
        <v>85</v>
      </c>
      <c r="X39" s="442">
        <v>85</v>
      </c>
      <c r="Y39" s="442">
        <v>85</v>
      </c>
      <c r="Z39" s="442">
        <v>85</v>
      </c>
      <c r="AA39" s="442">
        <v>85</v>
      </c>
      <c r="AB39" s="442">
        <v>85</v>
      </c>
      <c r="AC39" s="443">
        <v>85</v>
      </c>
      <c r="AD39" s="38"/>
      <c r="AE39" s="37"/>
      <c r="AF39" s="37"/>
      <c r="AG39" s="37"/>
      <c r="AH39" s="37"/>
      <c r="AI39" s="37"/>
      <c r="AJ39" s="37"/>
      <c r="AK39" s="37"/>
      <c r="AM39" s="48"/>
    </row>
    <row r="40" spans="1:39" ht="36" customHeight="1" x14ac:dyDescent="0.3">
      <c r="A40" s="789" t="s">
        <v>683</v>
      </c>
      <c r="B40" s="782" t="s">
        <v>684</v>
      </c>
      <c r="C40" s="792" t="s">
        <v>286</v>
      </c>
      <c r="D40" s="785" t="s">
        <v>686</v>
      </c>
      <c r="E40" s="431" t="s">
        <v>687</v>
      </c>
      <c r="F40" s="434">
        <v>1</v>
      </c>
      <c r="G40" s="421">
        <v>1</v>
      </c>
      <c r="H40" s="421">
        <v>1</v>
      </c>
      <c r="I40" s="421">
        <v>1</v>
      </c>
      <c r="J40" s="421">
        <v>1</v>
      </c>
      <c r="K40" s="421">
        <v>1</v>
      </c>
      <c r="L40" s="421">
        <v>1</v>
      </c>
      <c r="M40" s="421">
        <v>1</v>
      </c>
      <c r="N40" s="421">
        <v>1</v>
      </c>
      <c r="O40" s="421">
        <v>1</v>
      </c>
      <c r="P40" s="421">
        <v>1</v>
      </c>
      <c r="Q40" s="421">
        <v>1</v>
      </c>
      <c r="R40" s="421">
        <v>1</v>
      </c>
      <c r="S40" s="421">
        <v>1</v>
      </c>
      <c r="T40" s="421">
        <v>1</v>
      </c>
      <c r="U40" s="421">
        <v>1</v>
      </c>
      <c r="V40" s="421">
        <v>1</v>
      </c>
      <c r="W40" s="421">
        <v>1</v>
      </c>
      <c r="X40" s="421">
        <v>1</v>
      </c>
      <c r="Y40" s="421">
        <v>1</v>
      </c>
      <c r="Z40" s="421">
        <v>1</v>
      </c>
      <c r="AA40" s="421">
        <v>1</v>
      </c>
      <c r="AB40" s="421">
        <v>1</v>
      </c>
      <c r="AC40" s="422">
        <v>1</v>
      </c>
      <c r="AD40" s="38"/>
      <c r="AE40" s="37"/>
      <c r="AF40" s="37"/>
      <c r="AG40" s="37"/>
      <c r="AH40" s="37"/>
      <c r="AI40" s="37"/>
      <c r="AJ40" s="37"/>
      <c r="AK40" s="37"/>
      <c r="AM40" s="48"/>
    </row>
    <row r="41" spans="1:39" ht="36" customHeight="1" x14ac:dyDescent="0.3">
      <c r="A41" s="790"/>
      <c r="B41" s="783"/>
      <c r="C41" s="793"/>
      <c r="D41" s="786"/>
      <c r="E41" s="432" t="s">
        <v>688</v>
      </c>
      <c r="F41" s="444">
        <v>1</v>
      </c>
      <c r="G41" s="424">
        <v>1</v>
      </c>
      <c r="H41" s="424">
        <v>1</v>
      </c>
      <c r="I41" s="424">
        <v>1</v>
      </c>
      <c r="J41" s="424">
        <v>1</v>
      </c>
      <c r="K41" s="424">
        <v>1</v>
      </c>
      <c r="L41" s="424">
        <v>1</v>
      </c>
      <c r="M41" s="424">
        <v>0.25</v>
      </c>
      <c r="N41" s="424">
        <v>0.25</v>
      </c>
      <c r="O41" s="424">
        <v>0.25</v>
      </c>
      <c r="P41" s="424">
        <v>0.25</v>
      </c>
      <c r="Q41" s="424">
        <v>0.25</v>
      </c>
      <c r="R41" s="424">
        <v>0.25</v>
      </c>
      <c r="S41" s="424">
        <v>0.25</v>
      </c>
      <c r="T41" s="424">
        <v>0.25</v>
      </c>
      <c r="U41" s="424">
        <v>0.25</v>
      </c>
      <c r="V41" s="424">
        <v>1</v>
      </c>
      <c r="W41" s="424">
        <v>1</v>
      </c>
      <c r="X41" s="424">
        <v>1</v>
      </c>
      <c r="Y41" s="424">
        <v>1</v>
      </c>
      <c r="Z41" s="424">
        <v>1</v>
      </c>
      <c r="AA41" s="424">
        <v>1</v>
      </c>
      <c r="AB41" s="424">
        <v>1</v>
      </c>
      <c r="AC41" s="445">
        <v>1</v>
      </c>
      <c r="AD41" s="38"/>
      <c r="AE41" s="37"/>
      <c r="AF41" s="37"/>
      <c r="AG41" s="37"/>
      <c r="AH41" s="37"/>
      <c r="AI41" s="37"/>
      <c r="AJ41" s="37"/>
      <c r="AK41" s="37"/>
      <c r="AM41" s="48"/>
    </row>
    <row r="42" spans="1:39" ht="36" customHeight="1" x14ac:dyDescent="0.3">
      <c r="A42" s="790"/>
      <c r="B42" s="783"/>
      <c r="C42" s="793"/>
      <c r="D42" s="786"/>
      <c r="E42" s="432" t="s">
        <v>689</v>
      </c>
      <c r="F42" s="444">
        <v>1</v>
      </c>
      <c r="G42" s="424">
        <v>1</v>
      </c>
      <c r="H42" s="424">
        <v>1</v>
      </c>
      <c r="I42" s="424">
        <v>1</v>
      </c>
      <c r="J42" s="424">
        <v>1</v>
      </c>
      <c r="K42" s="424">
        <v>1</v>
      </c>
      <c r="L42" s="424">
        <v>1</v>
      </c>
      <c r="M42" s="424">
        <v>0.25</v>
      </c>
      <c r="N42" s="424">
        <v>0.25</v>
      </c>
      <c r="O42" s="424">
        <v>0.25</v>
      </c>
      <c r="P42" s="424">
        <v>0.25</v>
      </c>
      <c r="Q42" s="424">
        <v>0.25</v>
      </c>
      <c r="R42" s="424">
        <v>0.25</v>
      </c>
      <c r="S42" s="424">
        <v>0.25</v>
      </c>
      <c r="T42" s="424">
        <v>0.25</v>
      </c>
      <c r="U42" s="424">
        <v>1</v>
      </c>
      <c r="V42" s="424">
        <v>1</v>
      </c>
      <c r="W42" s="424">
        <v>1</v>
      </c>
      <c r="X42" s="424">
        <v>1</v>
      </c>
      <c r="Y42" s="424">
        <v>1</v>
      </c>
      <c r="Z42" s="424">
        <v>1</v>
      </c>
      <c r="AA42" s="424">
        <v>1</v>
      </c>
      <c r="AB42" s="424">
        <v>1</v>
      </c>
      <c r="AC42" s="445">
        <v>1</v>
      </c>
      <c r="AD42" s="38"/>
      <c r="AE42" s="37"/>
      <c r="AF42" s="37"/>
      <c r="AG42" s="37"/>
      <c r="AH42" s="37"/>
      <c r="AI42" s="37"/>
      <c r="AJ42" s="37"/>
      <c r="AK42" s="37"/>
      <c r="AM42" s="48"/>
    </row>
    <row r="43" spans="1:39" ht="36" customHeight="1" thickBot="1" x14ac:dyDescent="0.35">
      <c r="A43" s="791"/>
      <c r="B43" s="784"/>
      <c r="C43" s="794"/>
      <c r="D43" s="787"/>
      <c r="E43" s="433" t="s">
        <v>690</v>
      </c>
      <c r="F43" s="446">
        <v>1</v>
      </c>
      <c r="G43" s="447">
        <v>1</v>
      </c>
      <c r="H43" s="447">
        <v>1</v>
      </c>
      <c r="I43" s="447">
        <v>1</v>
      </c>
      <c r="J43" s="447">
        <v>1</v>
      </c>
      <c r="K43" s="447">
        <v>1</v>
      </c>
      <c r="L43" s="447">
        <v>1</v>
      </c>
      <c r="M43" s="447">
        <v>0.25</v>
      </c>
      <c r="N43" s="447">
        <v>0.25</v>
      </c>
      <c r="O43" s="447">
        <v>0.25</v>
      </c>
      <c r="P43" s="447">
        <v>0.25</v>
      </c>
      <c r="Q43" s="447">
        <v>0.25</v>
      </c>
      <c r="R43" s="447">
        <v>0.25</v>
      </c>
      <c r="S43" s="447">
        <v>0.25</v>
      </c>
      <c r="T43" s="447">
        <v>1</v>
      </c>
      <c r="U43" s="447">
        <v>1</v>
      </c>
      <c r="V43" s="447">
        <v>1</v>
      </c>
      <c r="W43" s="447">
        <v>1</v>
      </c>
      <c r="X43" s="447">
        <v>1</v>
      </c>
      <c r="Y43" s="447">
        <v>1</v>
      </c>
      <c r="Z43" s="447">
        <v>1</v>
      </c>
      <c r="AA43" s="447">
        <v>1</v>
      </c>
      <c r="AB43" s="447">
        <v>1</v>
      </c>
      <c r="AC43" s="448">
        <v>1</v>
      </c>
      <c r="AD43" s="38"/>
      <c r="AE43" s="37"/>
      <c r="AF43" s="37"/>
      <c r="AG43" s="37"/>
      <c r="AH43" s="37"/>
      <c r="AI43" s="37"/>
      <c r="AJ43" s="37"/>
      <c r="AK43" s="37"/>
      <c r="AM43" s="48"/>
    </row>
    <row r="44" spans="1:39" ht="35.25" customHeight="1" thickBot="1" x14ac:dyDescent="0.35">
      <c r="A44" s="853" t="s">
        <v>122</v>
      </c>
      <c r="B44" s="853"/>
      <c r="C44" s="853" t="s">
        <v>16</v>
      </c>
      <c r="D44" s="853"/>
      <c r="E44" s="853"/>
      <c r="F44" s="853"/>
      <c r="G44" s="853"/>
      <c r="H44" s="853"/>
      <c r="I44" s="853"/>
      <c r="J44" s="853"/>
      <c r="K44" s="853"/>
      <c r="L44" s="853"/>
      <c r="M44" s="853"/>
      <c r="N44" s="853"/>
      <c r="O44" s="853"/>
      <c r="P44" s="853"/>
      <c r="Q44" s="853"/>
      <c r="R44" s="853"/>
      <c r="S44" s="853"/>
      <c r="T44" s="853"/>
      <c r="U44" s="853"/>
      <c r="V44" s="853"/>
      <c r="W44" s="853"/>
      <c r="X44" s="853"/>
      <c r="Y44" s="853"/>
      <c r="Z44" s="853"/>
      <c r="AA44" s="853"/>
      <c r="AB44" s="853"/>
      <c r="AC44" s="854"/>
    </row>
    <row r="45" spans="1:39" s="170" customFormat="1" ht="25.2" customHeight="1" x14ac:dyDescent="0.25">
      <c r="A45" s="782" t="s">
        <v>700</v>
      </c>
      <c r="B45" s="782" t="s">
        <v>122</v>
      </c>
      <c r="C45" s="782" t="s">
        <v>685</v>
      </c>
      <c r="D45" s="788" t="s">
        <v>701</v>
      </c>
      <c r="E45" s="431" t="s">
        <v>702</v>
      </c>
      <c r="F45" s="420">
        <v>0</v>
      </c>
      <c r="G45" s="149">
        <v>0</v>
      </c>
      <c r="H45" s="149">
        <v>0</v>
      </c>
      <c r="I45" s="149">
        <v>0</v>
      </c>
      <c r="J45" s="149">
        <v>0</v>
      </c>
      <c r="K45" s="149">
        <v>0.1</v>
      </c>
      <c r="L45" s="149">
        <v>0.5</v>
      </c>
      <c r="M45" s="149">
        <v>0.95</v>
      </c>
      <c r="N45" s="149">
        <v>0.95</v>
      </c>
      <c r="O45" s="149">
        <v>0.95</v>
      </c>
      <c r="P45" s="149">
        <v>0.95</v>
      </c>
      <c r="Q45" s="149">
        <v>0.95</v>
      </c>
      <c r="R45" s="149">
        <v>0.95</v>
      </c>
      <c r="S45" s="149">
        <v>0.95</v>
      </c>
      <c r="T45" s="149">
        <v>0.5</v>
      </c>
      <c r="U45" s="149">
        <v>0</v>
      </c>
      <c r="V45" s="149">
        <v>0</v>
      </c>
      <c r="W45" s="149">
        <v>0</v>
      </c>
      <c r="X45" s="149">
        <v>0</v>
      </c>
      <c r="Y45" s="149">
        <v>0</v>
      </c>
      <c r="Z45" s="149">
        <v>0</v>
      </c>
      <c r="AA45" s="149">
        <v>0</v>
      </c>
      <c r="AB45" s="149">
        <v>0</v>
      </c>
      <c r="AC45" s="150">
        <v>0</v>
      </c>
      <c r="AD45" s="37"/>
      <c r="AE45" s="37"/>
      <c r="AF45" s="37"/>
      <c r="AG45" s="37"/>
      <c r="AH45" s="37"/>
      <c r="AI45" s="37"/>
      <c r="AJ45" s="37"/>
    </row>
    <row r="46" spans="1:39" s="170" customFormat="1" ht="25.2" customHeight="1" x14ac:dyDescent="0.25">
      <c r="A46" s="783"/>
      <c r="B46" s="783"/>
      <c r="C46" s="783"/>
      <c r="D46" s="783"/>
      <c r="E46" s="449" t="s">
        <v>703</v>
      </c>
      <c r="F46" s="188">
        <v>0</v>
      </c>
      <c r="G46" s="151">
        <v>0</v>
      </c>
      <c r="H46" s="151">
        <v>0</v>
      </c>
      <c r="I46" s="151">
        <v>0</v>
      </c>
      <c r="J46" s="151">
        <v>0</v>
      </c>
      <c r="K46" s="151">
        <v>0</v>
      </c>
      <c r="L46" s="151">
        <v>0</v>
      </c>
      <c r="M46" s="151">
        <v>0</v>
      </c>
      <c r="N46" s="151">
        <v>0</v>
      </c>
      <c r="O46" s="151">
        <v>0</v>
      </c>
      <c r="P46" s="151">
        <v>0</v>
      </c>
      <c r="Q46" s="151">
        <v>0</v>
      </c>
      <c r="R46" s="151">
        <v>0</v>
      </c>
      <c r="S46" s="151">
        <v>0</v>
      </c>
      <c r="T46" s="151">
        <v>0</v>
      </c>
      <c r="U46" s="151">
        <v>0</v>
      </c>
      <c r="V46" s="151">
        <v>0</v>
      </c>
      <c r="W46" s="151">
        <v>0</v>
      </c>
      <c r="X46" s="151">
        <v>0</v>
      </c>
      <c r="Y46" s="151">
        <v>0</v>
      </c>
      <c r="Z46" s="151">
        <v>0</v>
      </c>
      <c r="AA46" s="151">
        <v>0</v>
      </c>
      <c r="AB46" s="151">
        <v>0</v>
      </c>
      <c r="AC46" s="152">
        <v>0</v>
      </c>
      <c r="AD46" s="37"/>
      <c r="AE46" s="37"/>
      <c r="AF46" s="37"/>
      <c r="AG46" s="37"/>
      <c r="AH46" s="37"/>
      <c r="AI46" s="37"/>
      <c r="AJ46" s="37"/>
    </row>
    <row r="47" spans="1:39" s="170" customFormat="1" ht="25.2" customHeight="1" x14ac:dyDescent="0.25">
      <c r="A47" s="783"/>
      <c r="B47" s="783"/>
      <c r="C47" s="783"/>
      <c r="D47" s="783"/>
      <c r="E47" s="449" t="s">
        <v>704</v>
      </c>
      <c r="F47" s="188">
        <v>0</v>
      </c>
      <c r="G47" s="151">
        <v>0</v>
      </c>
      <c r="H47" s="151">
        <v>0</v>
      </c>
      <c r="I47" s="151">
        <v>0</v>
      </c>
      <c r="J47" s="151">
        <v>0</v>
      </c>
      <c r="K47" s="151">
        <v>0</v>
      </c>
      <c r="L47" s="151">
        <v>0</v>
      </c>
      <c r="M47" s="151">
        <v>0</v>
      </c>
      <c r="N47" s="151">
        <v>0</v>
      </c>
      <c r="O47" s="151">
        <v>0</v>
      </c>
      <c r="P47" s="151">
        <v>0</v>
      </c>
      <c r="Q47" s="151">
        <v>0</v>
      </c>
      <c r="R47" s="151">
        <v>0</v>
      </c>
      <c r="S47" s="151">
        <v>0</v>
      </c>
      <c r="T47" s="151">
        <v>0</v>
      </c>
      <c r="U47" s="151">
        <v>0</v>
      </c>
      <c r="V47" s="151">
        <v>0</v>
      </c>
      <c r="W47" s="151">
        <v>0</v>
      </c>
      <c r="X47" s="151">
        <v>0</v>
      </c>
      <c r="Y47" s="151">
        <v>0</v>
      </c>
      <c r="Z47" s="151">
        <v>0</v>
      </c>
      <c r="AA47" s="151">
        <v>0</v>
      </c>
      <c r="AB47" s="151">
        <v>0</v>
      </c>
      <c r="AC47" s="152">
        <v>0</v>
      </c>
      <c r="AD47" s="37"/>
      <c r="AE47" s="37"/>
      <c r="AF47" s="37"/>
      <c r="AG47" s="37"/>
      <c r="AH47" s="37"/>
      <c r="AI47" s="37"/>
      <c r="AJ47" s="37"/>
    </row>
    <row r="48" spans="1:39" s="170" customFormat="1" ht="25.2" customHeight="1" thickBot="1" x14ac:dyDescent="0.3">
      <c r="A48" s="784"/>
      <c r="B48" s="784"/>
      <c r="C48" s="784"/>
      <c r="D48" s="784"/>
      <c r="E48" s="433" t="s">
        <v>705</v>
      </c>
      <c r="F48" s="190">
        <v>0</v>
      </c>
      <c r="G48" s="153">
        <v>0</v>
      </c>
      <c r="H48" s="153">
        <v>0</v>
      </c>
      <c r="I48" s="153">
        <v>0</v>
      </c>
      <c r="J48" s="153">
        <v>0</v>
      </c>
      <c r="K48" s="153">
        <v>0</v>
      </c>
      <c r="L48" s="153">
        <v>0</v>
      </c>
      <c r="M48" s="153">
        <v>0</v>
      </c>
      <c r="N48" s="153">
        <v>0</v>
      </c>
      <c r="O48" s="153">
        <v>0</v>
      </c>
      <c r="P48" s="153">
        <v>0</v>
      </c>
      <c r="Q48" s="153">
        <v>0</v>
      </c>
      <c r="R48" s="153">
        <v>0</v>
      </c>
      <c r="S48" s="153">
        <v>0</v>
      </c>
      <c r="T48" s="153">
        <v>0</v>
      </c>
      <c r="U48" s="153">
        <v>0</v>
      </c>
      <c r="V48" s="153">
        <v>0</v>
      </c>
      <c r="W48" s="153">
        <v>0</v>
      </c>
      <c r="X48" s="153">
        <v>0</v>
      </c>
      <c r="Y48" s="153">
        <v>0</v>
      </c>
      <c r="Z48" s="153">
        <v>0</v>
      </c>
      <c r="AA48" s="153">
        <v>0</v>
      </c>
      <c r="AB48" s="153">
        <v>0</v>
      </c>
      <c r="AC48" s="154">
        <v>0</v>
      </c>
      <c r="AD48" s="37"/>
      <c r="AE48" s="37"/>
      <c r="AF48" s="37"/>
      <c r="AG48" s="37"/>
      <c r="AH48" s="37"/>
      <c r="AI48" s="37"/>
      <c r="AJ48" s="37"/>
    </row>
    <row r="49" spans="1:36" s="170" customFormat="1" ht="25.2" customHeight="1" x14ac:dyDescent="0.25">
      <c r="A49" s="782" t="s">
        <v>700</v>
      </c>
      <c r="B49" s="782" t="s">
        <v>122</v>
      </c>
      <c r="C49" s="782" t="s">
        <v>697</v>
      </c>
      <c r="D49" s="785" t="s">
        <v>701</v>
      </c>
      <c r="E49" s="486" t="s">
        <v>702</v>
      </c>
      <c r="F49" s="420">
        <v>0</v>
      </c>
      <c r="G49" s="149">
        <v>0</v>
      </c>
      <c r="H49" s="149">
        <v>0</v>
      </c>
      <c r="I49" s="149">
        <v>0</v>
      </c>
      <c r="J49" s="149">
        <v>0</v>
      </c>
      <c r="K49" s="149">
        <v>1</v>
      </c>
      <c r="L49" s="149">
        <v>1</v>
      </c>
      <c r="M49" s="149">
        <v>1</v>
      </c>
      <c r="N49" s="149">
        <v>1</v>
      </c>
      <c r="O49" s="149">
        <v>1</v>
      </c>
      <c r="P49" s="149">
        <v>1</v>
      </c>
      <c r="Q49" s="149">
        <v>1</v>
      </c>
      <c r="R49" s="149">
        <v>1</v>
      </c>
      <c r="S49" s="149">
        <v>1</v>
      </c>
      <c r="T49" s="149">
        <v>1</v>
      </c>
      <c r="U49" s="149">
        <v>0</v>
      </c>
      <c r="V49" s="149">
        <v>0</v>
      </c>
      <c r="W49" s="149">
        <v>0</v>
      </c>
      <c r="X49" s="149">
        <v>0</v>
      </c>
      <c r="Y49" s="149">
        <v>0</v>
      </c>
      <c r="Z49" s="149">
        <v>0</v>
      </c>
      <c r="AA49" s="149">
        <v>0</v>
      </c>
      <c r="AB49" s="149">
        <v>0</v>
      </c>
      <c r="AC49" s="150">
        <v>0</v>
      </c>
      <c r="AD49" s="37"/>
      <c r="AE49" s="37"/>
      <c r="AF49" s="37"/>
      <c r="AG49" s="37"/>
      <c r="AH49" s="37"/>
      <c r="AI49" s="37"/>
      <c r="AJ49" s="37"/>
    </row>
    <row r="50" spans="1:36" s="170" customFormat="1" ht="25.2" customHeight="1" x14ac:dyDescent="0.25">
      <c r="A50" s="783"/>
      <c r="B50" s="783"/>
      <c r="C50" s="783"/>
      <c r="D50" s="786"/>
      <c r="E50" s="429" t="s">
        <v>703</v>
      </c>
      <c r="F50" s="188">
        <v>0</v>
      </c>
      <c r="G50" s="151">
        <v>0</v>
      </c>
      <c r="H50" s="151">
        <v>0</v>
      </c>
      <c r="I50" s="151">
        <v>0</v>
      </c>
      <c r="J50" s="151">
        <v>0</v>
      </c>
      <c r="K50" s="151">
        <v>0</v>
      </c>
      <c r="L50" s="151">
        <v>0</v>
      </c>
      <c r="M50" s="151">
        <v>0</v>
      </c>
      <c r="N50" s="151">
        <v>0</v>
      </c>
      <c r="O50" s="151">
        <v>0</v>
      </c>
      <c r="P50" s="151">
        <v>0</v>
      </c>
      <c r="Q50" s="151">
        <v>0</v>
      </c>
      <c r="R50" s="151">
        <v>0</v>
      </c>
      <c r="S50" s="151">
        <v>0</v>
      </c>
      <c r="T50" s="151">
        <v>0</v>
      </c>
      <c r="U50" s="151">
        <v>0</v>
      </c>
      <c r="V50" s="151">
        <v>0</v>
      </c>
      <c r="W50" s="151">
        <v>0</v>
      </c>
      <c r="X50" s="151">
        <v>0</v>
      </c>
      <c r="Y50" s="151">
        <v>0</v>
      </c>
      <c r="Z50" s="151">
        <v>0</v>
      </c>
      <c r="AA50" s="151">
        <v>0</v>
      </c>
      <c r="AB50" s="151">
        <v>0</v>
      </c>
      <c r="AC50" s="152">
        <v>0</v>
      </c>
      <c r="AD50" s="37"/>
      <c r="AE50" s="37"/>
      <c r="AF50" s="37"/>
      <c r="AG50" s="37"/>
      <c r="AH50" s="37"/>
      <c r="AI50" s="37"/>
      <c r="AJ50" s="37"/>
    </row>
    <row r="51" spans="1:36" s="170" customFormat="1" ht="25.2" customHeight="1" x14ac:dyDescent="0.25">
      <c r="A51" s="783"/>
      <c r="B51" s="783"/>
      <c r="C51" s="783"/>
      <c r="D51" s="786"/>
      <c r="E51" s="429" t="s">
        <v>704</v>
      </c>
      <c r="F51" s="188">
        <v>0</v>
      </c>
      <c r="G51" s="151">
        <v>0</v>
      </c>
      <c r="H51" s="151">
        <v>0</v>
      </c>
      <c r="I51" s="151">
        <v>0</v>
      </c>
      <c r="J51" s="151">
        <v>0</v>
      </c>
      <c r="K51" s="151">
        <v>0</v>
      </c>
      <c r="L51" s="151">
        <v>0</v>
      </c>
      <c r="M51" s="151">
        <v>0</v>
      </c>
      <c r="N51" s="151">
        <v>0</v>
      </c>
      <c r="O51" s="151">
        <v>0</v>
      </c>
      <c r="P51" s="151">
        <v>0</v>
      </c>
      <c r="Q51" s="151">
        <v>0</v>
      </c>
      <c r="R51" s="151">
        <v>0</v>
      </c>
      <c r="S51" s="151">
        <v>0</v>
      </c>
      <c r="T51" s="151">
        <v>0</v>
      </c>
      <c r="U51" s="151">
        <v>0</v>
      </c>
      <c r="V51" s="151">
        <v>0</v>
      </c>
      <c r="W51" s="151">
        <v>0</v>
      </c>
      <c r="X51" s="151">
        <v>0</v>
      </c>
      <c r="Y51" s="151">
        <v>0</v>
      </c>
      <c r="Z51" s="151">
        <v>0</v>
      </c>
      <c r="AA51" s="151">
        <v>0</v>
      </c>
      <c r="AB51" s="151">
        <v>0</v>
      </c>
      <c r="AC51" s="152">
        <v>0</v>
      </c>
      <c r="AD51" s="37"/>
      <c r="AE51" s="37"/>
      <c r="AF51" s="37"/>
      <c r="AG51" s="37"/>
      <c r="AH51" s="37"/>
      <c r="AI51" s="37"/>
      <c r="AJ51" s="37"/>
    </row>
    <row r="52" spans="1:36" s="170" customFormat="1" ht="25.2" customHeight="1" thickBot="1" x14ac:dyDescent="0.3">
      <c r="A52" s="784"/>
      <c r="B52" s="784"/>
      <c r="C52" s="784"/>
      <c r="D52" s="787"/>
      <c r="E52" s="430" t="s">
        <v>705</v>
      </c>
      <c r="F52" s="190">
        <v>0</v>
      </c>
      <c r="G52" s="153">
        <v>0</v>
      </c>
      <c r="H52" s="153">
        <v>0</v>
      </c>
      <c r="I52" s="153">
        <v>0</v>
      </c>
      <c r="J52" s="153">
        <v>0</v>
      </c>
      <c r="K52" s="153">
        <v>0</v>
      </c>
      <c r="L52" s="153">
        <v>0</v>
      </c>
      <c r="M52" s="153">
        <v>0</v>
      </c>
      <c r="N52" s="153">
        <v>0</v>
      </c>
      <c r="O52" s="153">
        <v>0</v>
      </c>
      <c r="P52" s="153">
        <v>0</v>
      </c>
      <c r="Q52" s="153">
        <v>0</v>
      </c>
      <c r="R52" s="153">
        <v>0</v>
      </c>
      <c r="S52" s="153">
        <v>0</v>
      </c>
      <c r="T52" s="153">
        <v>0</v>
      </c>
      <c r="U52" s="153">
        <v>0</v>
      </c>
      <c r="V52" s="153">
        <v>0</v>
      </c>
      <c r="W52" s="153">
        <v>0</v>
      </c>
      <c r="X52" s="153">
        <v>0</v>
      </c>
      <c r="Y52" s="153">
        <v>0</v>
      </c>
      <c r="Z52" s="153">
        <v>0</v>
      </c>
      <c r="AA52" s="153">
        <v>0</v>
      </c>
      <c r="AB52" s="153">
        <v>0</v>
      </c>
      <c r="AC52" s="154">
        <v>0</v>
      </c>
      <c r="AD52" s="37"/>
      <c r="AE52" s="37"/>
      <c r="AF52" s="37"/>
      <c r="AG52" s="37"/>
      <c r="AH52" s="37"/>
      <c r="AI52" s="37"/>
      <c r="AJ52" s="37"/>
    </row>
    <row r="53" spans="1:36" s="170" customFormat="1" ht="25.2" customHeight="1" x14ac:dyDescent="0.25">
      <c r="A53" s="782" t="s">
        <v>700</v>
      </c>
      <c r="B53" s="782" t="s">
        <v>122</v>
      </c>
      <c r="C53" s="782" t="s">
        <v>691</v>
      </c>
      <c r="D53" s="785" t="s">
        <v>701</v>
      </c>
      <c r="E53" s="486" t="s">
        <v>702</v>
      </c>
      <c r="F53" s="420">
        <v>0</v>
      </c>
      <c r="G53" s="149">
        <v>0</v>
      </c>
      <c r="H53" s="149">
        <v>0</v>
      </c>
      <c r="I53" s="149">
        <v>0</v>
      </c>
      <c r="J53" s="149">
        <v>0</v>
      </c>
      <c r="K53" s="149">
        <v>1</v>
      </c>
      <c r="L53" s="149">
        <v>1</v>
      </c>
      <c r="M53" s="149">
        <v>1</v>
      </c>
      <c r="N53" s="149">
        <v>1</v>
      </c>
      <c r="O53" s="149">
        <v>1</v>
      </c>
      <c r="P53" s="149">
        <v>1</v>
      </c>
      <c r="Q53" s="149">
        <v>1</v>
      </c>
      <c r="R53" s="149">
        <v>1</v>
      </c>
      <c r="S53" s="149">
        <v>1</v>
      </c>
      <c r="T53" s="149">
        <v>1</v>
      </c>
      <c r="U53" s="149">
        <v>0</v>
      </c>
      <c r="V53" s="149">
        <v>0</v>
      </c>
      <c r="W53" s="149">
        <v>0</v>
      </c>
      <c r="X53" s="149">
        <v>0</v>
      </c>
      <c r="Y53" s="149">
        <v>0</v>
      </c>
      <c r="Z53" s="149">
        <v>0</v>
      </c>
      <c r="AA53" s="149">
        <v>0</v>
      </c>
      <c r="AB53" s="149">
        <v>0</v>
      </c>
      <c r="AC53" s="150">
        <v>0</v>
      </c>
      <c r="AD53" s="37"/>
      <c r="AE53" s="37"/>
      <c r="AF53" s="37"/>
      <c r="AG53" s="37"/>
      <c r="AH53" s="37"/>
      <c r="AI53" s="37"/>
      <c r="AJ53" s="37"/>
    </row>
    <row r="54" spans="1:36" s="170" customFormat="1" ht="25.2" customHeight="1" x14ac:dyDescent="0.25">
      <c r="A54" s="783"/>
      <c r="B54" s="783"/>
      <c r="C54" s="783"/>
      <c r="D54" s="786"/>
      <c r="E54" s="429" t="s">
        <v>703</v>
      </c>
      <c r="F54" s="188">
        <v>0</v>
      </c>
      <c r="G54" s="151">
        <v>0</v>
      </c>
      <c r="H54" s="151">
        <v>0</v>
      </c>
      <c r="I54" s="151">
        <v>0</v>
      </c>
      <c r="J54" s="151">
        <v>0</v>
      </c>
      <c r="K54" s="151">
        <v>0</v>
      </c>
      <c r="L54" s="151">
        <v>0</v>
      </c>
      <c r="M54" s="151">
        <v>0</v>
      </c>
      <c r="N54" s="151">
        <v>0</v>
      </c>
      <c r="O54" s="151">
        <v>0</v>
      </c>
      <c r="P54" s="151">
        <v>0</v>
      </c>
      <c r="Q54" s="151">
        <v>0</v>
      </c>
      <c r="R54" s="151">
        <v>0</v>
      </c>
      <c r="S54" s="151">
        <v>0</v>
      </c>
      <c r="T54" s="151">
        <v>0</v>
      </c>
      <c r="U54" s="151">
        <v>0</v>
      </c>
      <c r="V54" s="151">
        <v>0</v>
      </c>
      <c r="W54" s="151">
        <v>0</v>
      </c>
      <c r="X54" s="151">
        <v>0</v>
      </c>
      <c r="Y54" s="151">
        <v>0</v>
      </c>
      <c r="Z54" s="151">
        <v>0</v>
      </c>
      <c r="AA54" s="151">
        <v>0</v>
      </c>
      <c r="AB54" s="151">
        <v>0</v>
      </c>
      <c r="AC54" s="152">
        <v>0</v>
      </c>
      <c r="AD54" s="37"/>
      <c r="AE54" s="37"/>
      <c r="AF54" s="37"/>
      <c r="AG54" s="37"/>
      <c r="AH54" s="37"/>
      <c r="AI54" s="37"/>
      <c r="AJ54" s="37"/>
    </row>
    <row r="55" spans="1:36" s="170" customFormat="1" ht="25.2" customHeight="1" x14ac:dyDescent="0.25">
      <c r="A55" s="783"/>
      <c r="B55" s="783"/>
      <c r="C55" s="783"/>
      <c r="D55" s="786"/>
      <c r="E55" s="429" t="s">
        <v>704</v>
      </c>
      <c r="F55" s="188">
        <v>0</v>
      </c>
      <c r="G55" s="151">
        <v>0</v>
      </c>
      <c r="H55" s="151">
        <v>0</v>
      </c>
      <c r="I55" s="151">
        <v>0</v>
      </c>
      <c r="J55" s="151">
        <v>0</v>
      </c>
      <c r="K55" s="151">
        <v>0</v>
      </c>
      <c r="L55" s="151">
        <v>0</v>
      </c>
      <c r="M55" s="151">
        <v>0</v>
      </c>
      <c r="N55" s="151">
        <v>0</v>
      </c>
      <c r="O55" s="151">
        <v>0</v>
      </c>
      <c r="P55" s="151">
        <v>0</v>
      </c>
      <c r="Q55" s="151">
        <v>0</v>
      </c>
      <c r="R55" s="151">
        <v>0</v>
      </c>
      <c r="S55" s="151">
        <v>0</v>
      </c>
      <c r="T55" s="151">
        <v>0</v>
      </c>
      <c r="U55" s="151">
        <v>0</v>
      </c>
      <c r="V55" s="151">
        <v>0</v>
      </c>
      <c r="W55" s="151">
        <v>0</v>
      </c>
      <c r="X55" s="151">
        <v>0</v>
      </c>
      <c r="Y55" s="151">
        <v>0</v>
      </c>
      <c r="Z55" s="151">
        <v>0</v>
      </c>
      <c r="AA55" s="151">
        <v>0</v>
      </c>
      <c r="AB55" s="151">
        <v>0</v>
      </c>
      <c r="AC55" s="152">
        <v>0</v>
      </c>
      <c r="AD55" s="37"/>
      <c r="AE55" s="37"/>
      <c r="AF55" s="37"/>
      <c r="AG55" s="37"/>
      <c r="AH55" s="37"/>
      <c r="AI55" s="37"/>
      <c r="AJ55" s="37"/>
    </row>
    <row r="56" spans="1:36" s="170" customFormat="1" ht="25.2" customHeight="1" thickBot="1" x14ac:dyDescent="0.3">
      <c r="A56" s="784"/>
      <c r="B56" s="784"/>
      <c r="C56" s="784"/>
      <c r="D56" s="787"/>
      <c r="E56" s="430" t="s">
        <v>705</v>
      </c>
      <c r="F56" s="190">
        <v>0</v>
      </c>
      <c r="G56" s="153">
        <v>0</v>
      </c>
      <c r="H56" s="153">
        <v>0</v>
      </c>
      <c r="I56" s="153">
        <v>0</v>
      </c>
      <c r="J56" s="153">
        <v>0</v>
      </c>
      <c r="K56" s="153">
        <v>0</v>
      </c>
      <c r="L56" s="153">
        <v>0</v>
      </c>
      <c r="M56" s="153">
        <v>0</v>
      </c>
      <c r="N56" s="153">
        <v>0</v>
      </c>
      <c r="O56" s="153">
        <v>0</v>
      </c>
      <c r="P56" s="153">
        <v>0</v>
      </c>
      <c r="Q56" s="153">
        <v>0</v>
      </c>
      <c r="R56" s="153">
        <v>0</v>
      </c>
      <c r="S56" s="153">
        <v>0</v>
      </c>
      <c r="T56" s="153">
        <v>0</v>
      </c>
      <c r="U56" s="153">
        <v>0</v>
      </c>
      <c r="V56" s="153">
        <v>0</v>
      </c>
      <c r="W56" s="153">
        <v>0</v>
      </c>
      <c r="X56" s="153">
        <v>0</v>
      </c>
      <c r="Y56" s="153">
        <v>0</v>
      </c>
      <c r="Z56" s="153">
        <v>0</v>
      </c>
      <c r="AA56" s="153">
        <v>0</v>
      </c>
      <c r="AB56" s="153">
        <v>0</v>
      </c>
      <c r="AC56" s="154">
        <v>0</v>
      </c>
      <c r="AD56" s="37"/>
      <c r="AE56" s="37"/>
      <c r="AF56" s="37"/>
      <c r="AG56" s="37"/>
      <c r="AH56" s="37"/>
      <c r="AI56" s="37"/>
      <c r="AJ56" s="37"/>
    </row>
    <row r="57" spans="1:36" s="170" customFormat="1" ht="25.2" customHeight="1" x14ac:dyDescent="0.25">
      <c r="A57" s="782" t="s">
        <v>700</v>
      </c>
      <c r="B57" s="782" t="s">
        <v>122</v>
      </c>
      <c r="C57" s="782" t="s">
        <v>692</v>
      </c>
      <c r="D57" s="785" t="s">
        <v>701</v>
      </c>
      <c r="E57" s="486" t="s">
        <v>702</v>
      </c>
      <c r="F57" s="420">
        <v>0.15</v>
      </c>
      <c r="G57" s="149">
        <v>0.15</v>
      </c>
      <c r="H57" s="149">
        <v>0.15</v>
      </c>
      <c r="I57" s="149">
        <v>0.15</v>
      </c>
      <c r="J57" s="149">
        <v>0.15</v>
      </c>
      <c r="K57" s="149">
        <v>0.2</v>
      </c>
      <c r="L57" s="149">
        <v>0.3</v>
      </c>
      <c r="M57" s="149">
        <v>0.9</v>
      </c>
      <c r="N57" s="149">
        <v>0.9</v>
      </c>
      <c r="O57" s="149">
        <v>0.8</v>
      </c>
      <c r="P57" s="149">
        <v>0.8</v>
      </c>
      <c r="Q57" s="149">
        <v>0.8</v>
      </c>
      <c r="R57" s="149">
        <v>0.9</v>
      </c>
      <c r="S57" s="149">
        <v>0.9</v>
      </c>
      <c r="T57" s="149">
        <v>0.9</v>
      </c>
      <c r="U57" s="149">
        <v>0.7</v>
      </c>
      <c r="V57" s="149">
        <v>0.2</v>
      </c>
      <c r="W57" s="149">
        <v>0.15</v>
      </c>
      <c r="X57" s="149">
        <v>0.15</v>
      </c>
      <c r="Y57" s="149">
        <v>0.15</v>
      </c>
      <c r="Z57" s="149">
        <v>0.15</v>
      </c>
      <c r="AA57" s="149">
        <v>0.15</v>
      </c>
      <c r="AB57" s="149">
        <v>0.15</v>
      </c>
      <c r="AC57" s="150">
        <v>0.15</v>
      </c>
      <c r="AD57" s="37"/>
      <c r="AE57" s="37"/>
      <c r="AF57" s="37"/>
      <c r="AG57" s="37"/>
      <c r="AH57" s="37"/>
      <c r="AI57" s="37"/>
      <c r="AJ57" s="37"/>
    </row>
    <row r="58" spans="1:36" s="170" customFormat="1" ht="25.2" customHeight="1" x14ac:dyDescent="0.25">
      <c r="A58" s="783"/>
      <c r="B58" s="783"/>
      <c r="C58" s="783"/>
      <c r="D58" s="786"/>
      <c r="E58" s="429" t="s">
        <v>703</v>
      </c>
      <c r="F58" s="188">
        <v>0</v>
      </c>
      <c r="G58" s="151">
        <v>0</v>
      </c>
      <c r="H58" s="151">
        <v>0</v>
      </c>
      <c r="I58" s="151">
        <v>0</v>
      </c>
      <c r="J58" s="151">
        <v>0</v>
      </c>
      <c r="K58" s="151">
        <v>0</v>
      </c>
      <c r="L58" s="151">
        <v>0</v>
      </c>
      <c r="M58" s="151">
        <v>0</v>
      </c>
      <c r="N58" s="151">
        <v>0</v>
      </c>
      <c r="O58" s="151">
        <v>0</v>
      </c>
      <c r="P58" s="151">
        <v>0</v>
      </c>
      <c r="Q58" s="151">
        <v>0</v>
      </c>
      <c r="R58" s="151">
        <v>0</v>
      </c>
      <c r="S58" s="151">
        <v>0</v>
      </c>
      <c r="T58" s="151">
        <v>0</v>
      </c>
      <c r="U58" s="151">
        <v>0</v>
      </c>
      <c r="V58" s="151">
        <v>0</v>
      </c>
      <c r="W58" s="151">
        <v>0</v>
      </c>
      <c r="X58" s="151">
        <v>0</v>
      </c>
      <c r="Y58" s="151">
        <v>0</v>
      </c>
      <c r="Z58" s="151">
        <v>0</v>
      </c>
      <c r="AA58" s="151">
        <v>0</v>
      </c>
      <c r="AB58" s="151">
        <v>0</v>
      </c>
      <c r="AC58" s="152">
        <v>0</v>
      </c>
      <c r="AD58" s="37"/>
      <c r="AE58" s="37"/>
      <c r="AF58" s="37"/>
      <c r="AG58" s="37"/>
      <c r="AH58" s="37"/>
      <c r="AI58" s="37"/>
      <c r="AJ58" s="37"/>
    </row>
    <row r="59" spans="1:36" s="170" customFormat="1" ht="25.2" customHeight="1" x14ac:dyDescent="0.25">
      <c r="A59" s="783"/>
      <c r="B59" s="783"/>
      <c r="C59" s="783"/>
      <c r="D59" s="786"/>
      <c r="E59" s="429" t="s">
        <v>704</v>
      </c>
      <c r="F59" s="188">
        <v>0</v>
      </c>
      <c r="G59" s="151">
        <v>0</v>
      </c>
      <c r="H59" s="151">
        <v>0</v>
      </c>
      <c r="I59" s="151">
        <v>0</v>
      </c>
      <c r="J59" s="151">
        <v>0</v>
      </c>
      <c r="K59" s="151">
        <v>0</v>
      </c>
      <c r="L59" s="151">
        <v>0</v>
      </c>
      <c r="M59" s="151">
        <v>0</v>
      </c>
      <c r="N59" s="151">
        <v>0</v>
      </c>
      <c r="O59" s="151">
        <v>0</v>
      </c>
      <c r="P59" s="151">
        <v>0</v>
      </c>
      <c r="Q59" s="151">
        <v>0</v>
      </c>
      <c r="R59" s="151">
        <v>0</v>
      </c>
      <c r="S59" s="151">
        <v>0</v>
      </c>
      <c r="T59" s="151">
        <v>0</v>
      </c>
      <c r="U59" s="151">
        <v>0</v>
      </c>
      <c r="V59" s="151">
        <v>0</v>
      </c>
      <c r="W59" s="151">
        <v>0</v>
      </c>
      <c r="X59" s="151">
        <v>0</v>
      </c>
      <c r="Y59" s="151">
        <v>0</v>
      </c>
      <c r="Z59" s="151">
        <v>0</v>
      </c>
      <c r="AA59" s="151">
        <v>0</v>
      </c>
      <c r="AB59" s="151">
        <v>0</v>
      </c>
      <c r="AC59" s="152">
        <v>0</v>
      </c>
      <c r="AD59" s="37"/>
      <c r="AE59" s="37"/>
      <c r="AF59" s="37"/>
      <c r="AG59" s="37"/>
      <c r="AH59" s="37"/>
      <c r="AI59" s="37"/>
      <c r="AJ59" s="37"/>
    </row>
    <row r="60" spans="1:36" s="170" customFormat="1" ht="25.2" customHeight="1" thickBot="1" x14ac:dyDescent="0.3">
      <c r="A60" s="784"/>
      <c r="B60" s="784"/>
      <c r="C60" s="784"/>
      <c r="D60" s="787"/>
      <c r="E60" s="430" t="s">
        <v>705</v>
      </c>
      <c r="F60" s="189">
        <v>0</v>
      </c>
      <c r="G60" s="186">
        <v>0</v>
      </c>
      <c r="H60" s="186">
        <v>0</v>
      </c>
      <c r="I60" s="186">
        <v>0</v>
      </c>
      <c r="J60" s="186">
        <v>0</v>
      </c>
      <c r="K60" s="186">
        <v>0</v>
      </c>
      <c r="L60" s="186">
        <v>0</v>
      </c>
      <c r="M60" s="186">
        <v>0</v>
      </c>
      <c r="N60" s="186">
        <v>0</v>
      </c>
      <c r="O60" s="186">
        <v>0</v>
      </c>
      <c r="P60" s="186">
        <v>0</v>
      </c>
      <c r="Q60" s="186">
        <v>0</v>
      </c>
      <c r="R60" s="186">
        <v>0</v>
      </c>
      <c r="S60" s="186">
        <v>0</v>
      </c>
      <c r="T60" s="186">
        <v>0</v>
      </c>
      <c r="U60" s="186">
        <v>0</v>
      </c>
      <c r="V60" s="186">
        <v>0</v>
      </c>
      <c r="W60" s="186">
        <v>0</v>
      </c>
      <c r="X60" s="186">
        <v>0</v>
      </c>
      <c r="Y60" s="186">
        <v>0</v>
      </c>
      <c r="Z60" s="186">
        <v>0</v>
      </c>
      <c r="AA60" s="186">
        <v>0</v>
      </c>
      <c r="AB60" s="186">
        <v>0</v>
      </c>
      <c r="AC60" s="187">
        <v>0</v>
      </c>
      <c r="AD60" s="37"/>
      <c r="AE60" s="37"/>
      <c r="AF60" s="37"/>
      <c r="AG60" s="37"/>
      <c r="AH60" s="37"/>
      <c r="AI60" s="37"/>
      <c r="AJ60" s="37"/>
    </row>
    <row r="61" spans="1:36" s="170" customFormat="1" ht="25.2" customHeight="1" x14ac:dyDescent="0.25">
      <c r="A61" s="782" t="s">
        <v>700</v>
      </c>
      <c r="B61" s="782" t="s">
        <v>122</v>
      </c>
      <c r="C61" s="782" t="s">
        <v>698</v>
      </c>
      <c r="D61" s="785" t="s">
        <v>701</v>
      </c>
      <c r="E61" s="431" t="s">
        <v>702</v>
      </c>
      <c r="F61" s="439">
        <f>IF(F49=0,Thermostat!$B$8,Thermostat!$B$7)</f>
        <v>60</v>
      </c>
      <c r="G61" s="301">
        <f>IF(G49=0,Thermostat!$B$8,Thermostat!$B$7)</f>
        <v>60</v>
      </c>
      <c r="H61" s="301">
        <f>IF(H49=0,Thermostat!$B$8,Thermostat!$B$7)</f>
        <v>60</v>
      </c>
      <c r="I61" s="301">
        <f>IF(I49=0,Thermostat!$B$8,Thermostat!$B$7)</f>
        <v>60</v>
      </c>
      <c r="J61" s="301">
        <f>IF(J49=0,Thermostat!$B$8,Thermostat!$B$7)</f>
        <v>60</v>
      </c>
      <c r="K61" s="301">
        <f>IF(K49=0,Thermostat!$B$8,Thermostat!$B$7)</f>
        <v>70</v>
      </c>
      <c r="L61" s="301">
        <f>IF(L49=0,Thermostat!$B$8,Thermostat!$B$7)</f>
        <v>70</v>
      </c>
      <c r="M61" s="301">
        <f>IF(M49=0,Thermostat!$B$8,Thermostat!$B$7)</f>
        <v>70</v>
      </c>
      <c r="N61" s="301">
        <f>IF(N49=0,Thermostat!$B$8,Thermostat!$B$7)</f>
        <v>70</v>
      </c>
      <c r="O61" s="301">
        <f>IF(O49=0,Thermostat!$B$8,Thermostat!$B$7)</f>
        <v>70</v>
      </c>
      <c r="P61" s="301">
        <f>IF(P49=0,Thermostat!$B$8,Thermostat!$B$7)</f>
        <v>70</v>
      </c>
      <c r="Q61" s="301">
        <f>IF(Q49=0,Thermostat!$B$8,Thermostat!$B$7)</f>
        <v>70</v>
      </c>
      <c r="R61" s="301">
        <f>IF(R49=0,Thermostat!$B$8,Thermostat!$B$7)</f>
        <v>70</v>
      </c>
      <c r="S61" s="301">
        <f>IF(S49=0,Thermostat!$B$8,Thermostat!$B$7)</f>
        <v>70</v>
      </c>
      <c r="T61" s="301">
        <f>IF(T49=0,Thermostat!$B$8,Thermostat!$B$7)</f>
        <v>70</v>
      </c>
      <c r="U61" s="301">
        <f>IF(U49=0,Thermostat!$B$8,Thermostat!$B$7)</f>
        <v>60</v>
      </c>
      <c r="V61" s="301">
        <f>IF(V49=0,Thermostat!$B$8,Thermostat!$B$7)</f>
        <v>60</v>
      </c>
      <c r="W61" s="301">
        <f>IF(W49=0,Thermostat!$B$8,Thermostat!$B$7)</f>
        <v>60</v>
      </c>
      <c r="X61" s="301">
        <f>IF(X49=0,Thermostat!$B$8,Thermostat!$B$7)</f>
        <v>60</v>
      </c>
      <c r="Y61" s="301">
        <f>IF(Y49=0,Thermostat!$B$8,Thermostat!$B$7)</f>
        <v>60</v>
      </c>
      <c r="Z61" s="301">
        <f>IF(Z49=0,Thermostat!$B$8,Thermostat!$B$7)</f>
        <v>60</v>
      </c>
      <c r="AA61" s="301">
        <f>IF(AA49=0,Thermostat!$B$8,Thermostat!$B$7)</f>
        <v>60</v>
      </c>
      <c r="AB61" s="301">
        <f>IF(AB49=0,Thermostat!$B$8,Thermostat!$B$7)</f>
        <v>60</v>
      </c>
      <c r="AC61" s="302">
        <f>IF(AC49=0,Thermostat!$B$8,Thermostat!$B$7)</f>
        <v>60</v>
      </c>
      <c r="AD61" s="37"/>
      <c r="AE61" s="37"/>
      <c r="AF61" s="37"/>
      <c r="AG61" s="37"/>
      <c r="AH61" s="37"/>
      <c r="AI61" s="37"/>
      <c r="AJ61" s="37"/>
    </row>
    <row r="62" spans="1:36" s="170" customFormat="1" ht="25.2" customHeight="1" x14ac:dyDescent="0.25">
      <c r="A62" s="783"/>
      <c r="B62" s="783"/>
      <c r="C62" s="783"/>
      <c r="D62" s="827"/>
      <c r="E62" s="449" t="s">
        <v>703</v>
      </c>
      <c r="F62" s="440">
        <f>IF(F50=0,Thermostat!$B$8,Thermostat!$B$7)</f>
        <v>60</v>
      </c>
      <c r="G62" s="303">
        <f>IF(G50=0,Thermostat!$B$8,Thermostat!$B$7)</f>
        <v>60</v>
      </c>
      <c r="H62" s="303">
        <f>IF(H50=0,Thermostat!$B$8,Thermostat!$B$7)</f>
        <v>60</v>
      </c>
      <c r="I62" s="303">
        <f>IF(I50=0,Thermostat!$B$8,Thermostat!$B$7)</f>
        <v>60</v>
      </c>
      <c r="J62" s="303">
        <f>IF(J50=0,Thermostat!$B$8,Thermostat!$B$7)</f>
        <v>60</v>
      </c>
      <c r="K62" s="303">
        <f>IF(K50=0,Thermostat!$B$8,Thermostat!$B$7)</f>
        <v>60</v>
      </c>
      <c r="L62" s="303">
        <f>IF(L50=0,Thermostat!$B$8,Thermostat!$B$7)</f>
        <v>60</v>
      </c>
      <c r="M62" s="303">
        <f>IF(M50=0,Thermostat!$B$8,Thermostat!$B$7)</f>
        <v>60</v>
      </c>
      <c r="N62" s="303">
        <f>IF(N50=0,Thermostat!$B$8,Thermostat!$B$7)</f>
        <v>60</v>
      </c>
      <c r="O62" s="303">
        <f>IF(O50=0,Thermostat!$B$8,Thermostat!$B$7)</f>
        <v>60</v>
      </c>
      <c r="P62" s="303">
        <f>IF(P50=0,Thermostat!$B$8,Thermostat!$B$7)</f>
        <v>60</v>
      </c>
      <c r="Q62" s="303">
        <f>IF(Q50=0,Thermostat!$B$8,Thermostat!$B$7)</f>
        <v>60</v>
      </c>
      <c r="R62" s="303">
        <f>IF(R50=0,Thermostat!$B$8,Thermostat!$B$7)</f>
        <v>60</v>
      </c>
      <c r="S62" s="303">
        <f>IF(S50=0,Thermostat!$B$8,Thermostat!$B$7)</f>
        <v>60</v>
      </c>
      <c r="T62" s="303">
        <f>IF(T50=0,Thermostat!$B$8,Thermostat!$B$7)</f>
        <v>60</v>
      </c>
      <c r="U62" s="303">
        <f>IF(U50=0,Thermostat!$B$8,Thermostat!$B$7)</f>
        <v>60</v>
      </c>
      <c r="V62" s="303">
        <f>IF(V50=0,Thermostat!$B$8,Thermostat!$B$7)</f>
        <v>60</v>
      </c>
      <c r="W62" s="303">
        <f>IF(W50=0,Thermostat!$B$8,Thermostat!$B$7)</f>
        <v>60</v>
      </c>
      <c r="X62" s="303">
        <f>IF(X50=0,Thermostat!$B$8,Thermostat!$B$7)</f>
        <v>60</v>
      </c>
      <c r="Y62" s="303">
        <f>IF(Y50=0,Thermostat!$B$8,Thermostat!$B$7)</f>
        <v>60</v>
      </c>
      <c r="Z62" s="303">
        <f>IF(Z50=0,Thermostat!$B$8,Thermostat!$B$7)</f>
        <v>60</v>
      </c>
      <c r="AA62" s="303">
        <f>IF(AA50=0,Thermostat!$B$8,Thermostat!$B$7)</f>
        <v>60</v>
      </c>
      <c r="AB62" s="303">
        <f>IF(AB50=0,Thermostat!$B$8,Thermostat!$B$7)</f>
        <v>60</v>
      </c>
      <c r="AC62" s="304">
        <f>IF(AC50=0,Thermostat!$B$8,Thermostat!$B$7)</f>
        <v>60</v>
      </c>
      <c r="AD62" s="37"/>
      <c r="AE62" s="37"/>
      <c r="AF62" s="37"/>
      <c r="AG62" s="37"/>
      <c r="AH62" s="37"/>
      <c r="AI62" s="37"/>
      <c r="AJ62" s="37"/>
    </row>
    <row r="63" spans="1:36" ht="25.2" customHeight="1" x14ac:dyDescent="0.3">
      <c r="A63" s="783"/>
      <c r="B63" s="783"/>
      <c r="C63" s="783"/>
      <c r="D63" s="827"/>
      <c r="E63" s="449" t="s">
        <v>704</v>
      </c>
      <c r="F63" s="440">
        <f>IF(F51=0,Thermostat!$B$8,Thermostat!$B$7)</f>
        <v>60</v>
      </c>
      <c r="G63" s="303">
        <f>IF(G51=0,Thermostat!$B$8,Thermostat!$B$7)</f>
        <v>60</v>
      </c>
      <c r="H63" s="303">
        <f>IF(H51=0,Thermostat!$B$8,Thermostat!$B$7)</f>
        <v>60</v>
      </c>
      <c r="I63" s="303">
        <f>IF(I51=0,Thermostat!$B$8,Thermostat!$B$7)</f>
        <v>60</v>
      </c>
      <c r="J63" s="303">
        <f>IF(J51=0,Thermostat!$B$8,Thermostat!$B$7)</f>
        <v>60</v>
      </c>
      <c r="K63" s="303">
        <f>IF(K51=0,Thermostat!$B$8,Thermostat!$B$7)</f>
        <v>60</v>
      </c>
      <c r="L63" s="303">
        <f>IF(L51=0,Thermostat!$B$8,Thermostat!$B$7)</f>
        <v>60</v>
      </c>
      <c r="M63" s="303">
        <f>IF(M51=0,Thermostat!$B$8,Thermostat!$B$7)</f>
        <v>60</v>
      </c>
      <c r="N63" s="303">
        <f>IF(N51=0,Thermostat!$B$8,Thermostat!$B$7)</f>
        <v>60</v>
      </c>
      <c r="O63" s="303">
        <f>IF(O51=0,Thermostat!$B$8,Thermostat!$B$7)</f>
        <v>60</v>
      </c>
      <c r="P63" s="303">
        <f>IF(P51=0,Thermostat!$B$8,Thermostat!$B$7)</f>
        <v>60</v>
      </c>
      <c r="Q63" s="303">
        <f>IF(Q51=0,Thermostat!$B$8,Thermostat!$B$7)</f>
        <v>60</v>
      </c>
      <c r="R63" s="303">
        <f>IF(R51=0,Thermostat!$B$8,Thermostat!$B$7)</f>
        <v>60</v>
      </c>
      <c r="S63" s="303">
        <f>IF(S51=0,Thermostat!$B$8,Thermostat!$B$7)</f>
        <v>60</v>
      </c>
      <c r="T63" s="303">
        <f>IF(T51=0,Thermostat!$B$8,Thermostat!$B$7)</f>
        <v>60</v>
      </c>
      <c r="U63" s="303">
        <f>IF(U51=0,Thermostat!$B$8,Thermostat!$B$7)</f>
        <v>60</v>
      </c>
      <c r="V63" s="303">
        <f>IF(V51=0,Thermostat!$B$8,Thermostat!$B$7)</f>
        <v>60</v>
      </c>
      <c r="W63" s="303">
        <f>IF(W51=0,Thermostat!$B$8,Thermostat!$B$7)</f>
        <v>60</v>
      </c>
      <c r="X63" s="303">
        <f>IF(X51=0,Thermostat!$B$8,Thermostat!$B$7)</f>
        <v>60</v>
      </c>
      <c r="Y63" s="303">
        <f>IF(Y51=0,Thermostat!$B$8,Thermostat!$B$7)</f>
        <v>60</v>
      </c>
      <c r="Z63" s="303">
        <f>IF(Z51=0,Thermostat!$B$8,Thermostat!$B$7)</f>
        <v>60</v>
      </c>
      <c r="AA63" s="303">
        <f>IF(AA51=0,Thermostat!$B$8,Thermostat!$B$7)</f>
        <v>60</v>
      </c>
      <c r="AB63" s="303">
        <f>IF(AB51=0,Thermostat!$B$8,Thermostat!$B$7)</f>
        <v>60</v>
      </c>
      <c r="AC63" s="304">
        <f>IF(AC51=0,Thermostat!$B$8,Thermostat!$B$7)</f>
        <v>60</v>
      </c>
    </row>
    <row r="64" spans="1:36" ht="25.2" customHeight="1" thickBot="1" x14ac:dyDescent="0.35">
      <c r="A64" s="784"/>
      <c r="B64" s="784"/>
      <c r="C64" s="784"/>
      <c r="D64" s="828"/>
      <c r="E64" s="433" t="s">
        <v>705</v>
      </c>
      <c r="F64" s="450">
        <v>60</v>
      </c>
      <c r="G64" s="451">
        <v>60</v>
      </c>
      <c r="H64" s="451">
        <v>60</v>
      </c>
      <c r="I64" s="451">
        <v>60</v>
      </c>
      <c r="J64" s="451">
        <v>60</v>
      </c>
      <c r="K64" s="451">
        <v>60</v>
      </c>
      <c r="L64" s="451">
        <v>60</v>
      </c>
      <c r="M64" s="451">
        <v>60</v>
      </c>
      <c r="N64" s="451">
        <v>60</v>
      </c>
      <c r="O64" s="451">
        <v>60</v>
      </c>
      <c r="P64" s="451">
        <v>60</v>
      </c>
      <c r="Q64" s="451">
        <v>60</v>
      </c>
      <c r="R64" s="451">
        <v>60</v>
      </c>
      <c r="S64" s="451">
        <v>60</v>
      </c>
      <c r="T64" s="451">
        <v>60</v>
      </c>
      <c r="U64" s="451">
        <v>60</v>
      </c>
      <c r="V64" s="451">
        <v>60</v>
      </c>
      <c r="W64" s="451">
        <v>60</v>
      </c>
      <c r="X64" s="451">
        <v>60</v>
      </c>
      <c r="Y64" s="451">
        <v>60</v>
      </c>
      <c r="Z64" s="451">
        <v>60</v>
      </c>
      <c r="AA64" s="451">
        <v>60</v>
      </c>
      <c r="AB64" s="451">
        <v>60</v>
      </c>
      <c r="AC64" s="452">
        <v>60</v>
      </c>
    </row>
    <row r="65" spans="1:39" s="170" customFormat="1" ht="25.2" customHeight="1" x14ac:dyDescent="0.25">
      <c r="A65" s="782" t="s">
        <v>700</v>
      </c>
      <c r="B65" s="782" t="s">
        <v>122</v>
      </c>
      <c r="C65" s="782" t="s">
        <v>699</v>
      </c>
      <c r="D65" s="788" t="s">
        <v>701</v>
      </c>
      <c r="E65" s="431" t="s">
        <v>702</v>
      </c>
      <c r="F65" s="439">
        <f>IF(F49=0,Thermostat!$B$10,Thermostat!$B$9)</f>
        <v>85</v>
      </c>
      <c r="G65" s="301">
        <f>IF(G49=0,Thermostat!$B$10,Thermostat!$B$9)</f>
        <v>85</v>
      </c>
      <c r="H65" s="301">
        <f>IF(H49=0,Thermostat!$B$10,Thermostat!$B$9)</f>
        <v>85</v>
      </c>
      <c r="I65" s="301">
        <f>IF(I49=0,Thermostat!$B$10,Thermostat!$B$9)</f>
        <v>85</v>
      </c>
      <c r="J65" s="301">
        <f>IF(J49=0,Thermostat!$B$10,Thermostat!$B$9)</f>
        <v>85</v>
      </c>
      <c r="K65" s="301">
        <f>IF(K49=0,Thermostat!$B$10,Thermostat!$B$9)</f>
        <v>75</v>
      </c>
      <c r="L65" s="301">
        <f>IF(L49=0,Thermostat!$B$10,Thermostat!$B$9)</f>
        <v>75</v>
      </c>
      <c r="M65" s="301">
        <f>IF(M49=0,Thermostat!$B$10,Thermostat!$B$9)</f>
        <v>75</v>
      </c>
      <c r="N65" s="301">
        <f>IF(N49=0,Thermostat!$B$10,Thermostat!$B$9)</f>
        <v>75</v>
      </c>
      <c r="O65" s="301">
        <f>IF(O49=0,Thermostat!$B$10,Thermostat!$B$9)</f>
        <v>75</v>
      </c>
      <c r="P65" s="301">
        <f>IF(P49=0,Thermostat!$B$10,Thermostat!$B$9)</f>
        <v>75</v>
      </c>
      <c r="Q65" s="301">
        <f>IF(Q49=0,Thermostat!$B$10,Thermostat!$B$9)</f>
        <v>75</v>
      </c>
      <c r="R65" s="301">
        <f>IF(R49=0,Thermostat!$B$10,Thermostat!$B$9)</f>
        <v>75</v>
      </c>
      <c r="S65" s="301">
        <f>IF(S49=0,Thermostat!$B$10,Thermostat!$B$9)</f>
        <v>75</v>
      </c>
      <c r="T65" s="301">
        <f>IF(T49=0,Thermostat!$B$10,Thermostat!$B$9)</f>
        <v>75</v>
      </c>
      <c r="U65" s="301">
        <f>IF(U49=0,Thermostat!$B$10,Thermostat!$B$9)</f>
        <v>85</v>
      </c>
      <c r="V65" s="301">
        <f>IF(V49=0,Thermostat!$B$10,Thermostat!$B$9)</f>
        <v>85</v>
      </c>
      <c r="W65" s="301">
        <f>IF(W49=0,Thermostat!$B$10,Thermostat!$B$9)</f>
        <v>85</v>
      </c>
      <c r="X65" s="301">
        <f>IF(X49=0,Thermostat!$B$10,Thermostat!$B$9)</f>
        <v>85</v>
      </c>
      <c r="Y65" s="301">
        <f>IF(Y49=0,Thermostat!$B$10,Thermostat!$B$9)</f>
        <v>85</v>
      </c>
      <c r="Z65" s="301">
        <f>IF(Z49=0,Thermostat!$B$10,Thermostat!$B$9)</f>
        <v>85</v>
      </c>
      <c r="AA65" s="301">
        <f>IF(AA49=0,Thermostat!$B$10,Thermostat!$B$9)</f>
        <v>85</v>
      </c>
      <c r="AB65" s="301">
        <f>IF(AB49=0,Thermostat!$B$10,Thermostat!$B$9)</f>
        <v>85</v>
      </c>
      <c r="AC65" s="302">
        <f>IF(AC49=0,Thermostat!$B$10,Thermostat!$B$9)</f>
        <v>85</v>
      </c>
      <c r="AD65" s="37"/>
      <c r="AE65" s="37"/>
      <c r="AF65" s="37"/>
      <c r="AG65" s="37"/>
      <c r="AH65" s="37"/>
      <c r="AI65" s="37"/>
      <c r="AJ65" s="37"/>
    </row>
    <row r="66" spans="1:39" s="170" customFormat="1" ht="25.2" customHeight="1" x14ac:dyDescent="0.25">
      <c r="A66" s="783"/>
      <c r="B66" s="783"/>
      <c r="C66" s="783"/>
      <c r="D66" s="795"/>
      <c r="E66" s="449" t="s">
        <v>703</v>
      </c>
      <c r="F66" s="440">
        <f>IF(F50=0,Thermostat!$B$10,Thermostat!$B$9)</f>
        <v>85</v>
      </c>
      <c r="G66" s="303">
        <f>IF(G50=0,Thermostat!$B$10,Thermostat!$B$9)</f>
        <v>85</v>
      </c>
      <c r="H66" s="303">
        <f>IF(H50=0,Thermostat!$B$10,Thermostat!$B$9)</f>
        <v>85</v>
      </c>
      <c r="I66" s="303">
        <f>IF(I50=0,Thermostat!$B$10,Thermostat!$B$9)</f>
        <v>85</v>
      </c>
      <c r="J66" s="303">
        <f>IF(J50=0,Thermostat!$B$10,Thermostat!$B$9)</f>
        <v>85</v>
      </c>
      <c r="K66" s="303">
        <f>IF(K50=0,Thermostat!$B$10,Thermostat!$B$9)</f>
        <v>85</v>
      </c>
      <c r="L66" s="303">
        <f>IF(L50=0,Thermostat!$B$10,Thermostat!$B$9)</f>
        <v>85</v>
      </c>
      <c r="M66" s="303">
        <f>IF(M50=0,Thermostat!$B$10,Thermostat!$B$9)</f>
        <v>85</v>
      </c>
      <c r="N66" s="303">
        <f>IF(N50=0,Thermostat!$B$10,Thermostat!$B$9)</f>
        <v>85</v>
      </c>
      <c r="O66" s="303">
        <f>IF(O50=0,Thermostat!$B$10,Thermostat!$B$9)</f>
        <v>85</v>
      </c>
      <c r="P66" s="303">
        <f>IF(P50=0,Thermostat!$B$10,Thermostat!$B$9)</f>
        <v>85</v>
      </c>
      <c r="Q66" s="303">
        <f>IF(Q50=0,Thermostat!$B$10,Thermostat!$B$9)</f>
        <v>85</v>
      </c>
      <c r="R66" s="303">
        <f>IF(R50=0,Thermostat!$B$10,Thermostat!$B$9)</f>
        <v>85</v>
      </c>
      <c r="S66" s="303">
        <f>IF(S50=0,Thermostat!$B$10,Thermostat!$B$9)</f>
        <v>85</v>
      </c>
      <c r="T66" s="303">
        <f>IF(T50=0,Thermostat!$B$10,Thermostat!$B$9)</f>
        <v>85</v>
      </c>
      <c r="U66" s="303">
        <f>IF(U50=0,Thermostat!$B$10,Thermostat!$B$9)</f>
        <v>85</v>
      </c>
      <c r="V66" s="303">
        <f>IF(V50=0,Thermostat!$B$10,Thermostat!$B$9)</f>
        <v>85</v>
      </c>
      <c r="W66" s="303">
        <f>IF(W50=0,Thermostat!$B$10,Thermostat!$B$9)</f>
        <v>85</v>
      </c>
      <c r="X66" s="303">
        <f>IF(X50=0,Thermostat!$B$10,Thermostat!$B$9)</f>
        <v>85</v>
      </c>
      <c r="Y66" s="303">
        <f>IF(Y50=0,Thermostat!$B$10,Thermostat!$B$9)</f>
        <v>85</v>
      </c>
      <c r="Z66" s="303">
        <f>IF(Z50=0,Thermostat!$B$10,Thermostat!$B$9)</f>
        <v>85</v>
      </c>
      <c r="AA66" s="303">
        <f>IF(AA50=0,Thermostat!$B$10,Thermostat!$B$9)</f>
        <v>85</v>
      </c>
      <c r="AB66" s="303">
        <f>IF(AB50=0,Thermostat!$B$10,Thermostat!$B$9)</f>
        <v>85</v>
      </c>
      <c r="AC66" s="304">
        <f>IF(AC50=0,Thermostat!$B$10,Thermostat!$B$9)</f>
        <v>85</v>
      </c>
      <c r="AD66" s="37"/>
      <c r="AE66" s="37"/>
      <c r="AF66" s="37"/>
      <c r="AG66" s="37"/>
      <c r="AH66" s="37"/>
      <c r="AI66" s="37"/>
      <c r="AJ66" s="37"/>
    </row>
    <row r="67" spans="1:39" s="170" customFormat="1" ht="25.2" customHeight="1" x14ac:dyDescent="0.25">
      <c r="A67" s="783"/>
      <c r="B67" s="783"/>
      <c r="C67" s="783"/>
      <c r="D67" s="795"/>
      <c r="E67" s="449" t="s">
        <v>704</v>
      </c>
      <c r="F67" s="440">
        <f>IF(F51=0,Thermostat!$B$10,Thermostat!$B$9)</f>
        <v>85</v>
      </c>
      <c r="G67" s="303">
        <f>IF(G51=0,Thermostat!$B$10,Thermostat!$B$9)</f>
        <v>85</v>
      </c>
      <c r="H67" s="303">
        <f>IF(H51=0,Thermostat!$B$10,Thermostat!$B$9)</f>
        <v>85</v>
      </c>
      <c r="I67" s="303">
        <f>IF(I51=0,Thermostat!$B$10,Thermostat!$B$9)</f>
        <v>85</v>
      </c>
      <c r="J67" s="303">
        <f>IF(J51=0,Thermostat!$B$10,Thermostat!$B$9)</f>
        <v>85</v>
      </c>
      <c r="K67" s="303">
        <f>IF(K51=0,Thermostat!$B$10,Thermostat!$B$9)</f>
        <v>85</v>
      </c>
      <c r="L67" s="303">
        <f>IF(L51=0,Thermostat!$B$10,Thermostat!$B$9)</f>
        <v>85</v>
      </c>
      <c r="M67" s="303">
        <f>IF(M51=0,Thermostat!$B$10,Thermostat!$B$9)</f>
        <v>85</v>
      </c>
      <c r="N67" s="303">
        <f>IF(N51=0,Thermostat!$B$10,Thermostat!$B$9)</f>
        <v>85</v>
      </c>
      <c r="O67" s="303">
        <f>IF(O51=0,Thermostat!$B$10,Thermostat!$B$9)</f>
        <v>85</v>
      </c>
      <c r="P67" s="303">
        <f>IF(P51=0,Thermostat!$B$10,Thermostat!$B$9)</f>
        <v>85</v>
      </c>
      <c r="Q67" s="303">
        <f>IF(Q51=0,Thermostat!$B$10,Thermostat!$B$9)</f>
        <v>85</v>
      </c>
      <c r="R67" s="303">
        <f>IF(R51=0,Thermostat!$B$10,Thermostat!$B$9)</f>
        <v>85</v>
      </c>
      <c r="S67" s="303">
        <f>IF(S51=0,Thermostat!$B$10,Thermostat!$B$9)</f>
        <v>85</v>
      </c>
      <c r="T67" s="303">
        <f>IF(T51=0,Thermostat!$B$10,Thermostat!$B$9)</f>
        <v>85</v>
      </c>
      <c r="U67" s="303">
        <f>IF(U51=0,Thermostat!$B$10,Thermostat!$B$9)</f>
        <v>85</v>
      </c>
      <c r="V67" s="303">
        <f>IF(V51=0,Thermostat!$B$10,Thermostat!$B$9)</f>
        <v>85</v>
      </c>
      <c r="W67" s="303">
        <f>IF(W51=0,Thermostat!$B$10,Thermostat!$B$9)</f>
        <v>85</v>
      </c>
      <c r="X67" s="303">
        <f>IF(X51=0,Thermostat!$B$10,Thermostat!$B$9)</f>
        <v>85</v>
      </c>
      <c r="Y67" s="303">
        <f>IF(Y51=0,Thermostat!$B$10,Thermostat!$B$9)</f>
        <v>85</v>
      </c>
      <c r="Z67" s="303">
        <f>IF(Z51=0,Thermostat!$B$10,Thermostat!$B$9)</f>
        <v>85</v>
      </c>
      <c r="AA67" s="303">
        <f>IF(AA51=0,Thermostat!$B$10,Thermostat!$B$9)</f>
        <v>85</v>
      </c>
      <c r="AB67" s="303">
        <f>IF(AB51=0,Thermostat!$B$10,Thermostat!$B$9)</f>
        <v>85</v>
      </c>
      <c r="AC67" s="304">
        <f>IF(AC51=0,Thermostat!$B$10,Thermostat!$B$9)</f>
        <v>85</v>
      </c>
      <c r="AD67" s="37"/>
      <c r="AE67" s="37"/>
      <c r="AF67" s="37"/>
      <c r="AG67" s="37"/>
      <c r="AH67" s="37"/>
      <c r="AI67" s="37"/>
      <c r="AJ67" s="37"/>
    </row>
    <row r="68" spans="1:39" s="170" customFormat="1" ht="25.2" customHeight="1" thickBot="1" x14ac:dyDescent="0.3">
      <c r="A68" s="784"/>
      <c r="B68" s="784"/>
      <c r="C68" s="784"/>
      <c r="D68" s="796"/>
      <c r="E68" s="433" t="s">
        <v>705</v>
      </c>
      <c r="F68" s="450">
        <v>85</v>
      </c>
      <c r="G68" s="451">
        <v>85</v>
      </c>
      <c r="H68" s="451">
        <v>85</v>
      </c>
      <c r="I68" s="451">
        <v>85</v>
      </c>
      <c r="J68" s="451">
        <v>85</v>
      </c>
      <c r="K68" s="451">
        <v>85</v>
      </c>
      <c r="L68" s="451">
        <v>85</v>
      </c>
      <c r="M68" s="451">
        <v>85</v>
      </c>
      <c r="N68" s="451">
        <v>85</v>
      </c>
      <c r="O68" s="451">
        <v>85</v>
      </c>
      <c r="P68" s="451">
        <v>85</v>
      </c>
      <c r="Q68" s="451">
        <v>85</v>
      </c>
      <c r="R68" s="451">
        <v>85</v>
      </c>
      <c r="S68" s="451">
        <v>85</v>
      </c>
      <c r="T68" s="451">
        <v>85</v>
      </c>
      <c r="U68" s="451">
        <v>85</v>
      </c>
      <c r="V68" s="451">
        <v>85</v>
      </c>
      <c r="W68" s="451">
        <v>85</v>
      </c>
      <c r="X68" s="451">
        <v>85</v>
      </c>
      <c r="Y68" s="451">
        <v>85</v>
      </c>
      <c r="Z68" s="451">
        <v>85</v>
      </c>
      <c r="AA68" s="451">
        <v>85</v>
      </c>
      <c r="AB68" s="451">
        <v>85</v>
      </c>
      <c r="AC68" s="452">
        <v>85</v>
      </c>
      <c r="AD68" s="37"/>
      <c r="AE68" s="37"/>
      <c r="AF68" s="37"/>
      <c r="AG68" s="37"/>
      <c r="AH68" s="37"/>
      <c r="AI68" s="37"/>
      <c r="AJ68" s="37"/>
    </row>
    <row r="69" spans="1:39" s="170" customFormat="1" ht="25.2" customHeight="1" x14ac:dyDescent="0.25">
      <c r="A69" s="782" t="s">
        <v>700</v>
      </c>
      <c r="B69" s="782" t="s">
        <v>122</v>
      </c>
      <c r="C69" s="782" t="s">
        <v>706</v>
      </c>
      <c r="D69" s="788" t="s">
        <v>701</v>
      </c>
      <c r="E69" s="431" t="s">
        <v>702</v>
      </c>
      <c r="F69" s="420">
        <v>0</v>
      </c>
      <c r="G69" s="149">
        <v>0</v>
      </c>
      <c r="H69" s="149">
        <v>0</v>
      </c>
      <c r="I69" s="149">
        <v>0</v>
      </c>
      <c r="J69" s="149">
        <v>0</v>
      </c>
      <c r="K69" s="149">
        <v>1</v>
      </c>
      <c r="L69" s="149">
        <v>1</v>
      </c>
      <c r="M69" s="149">
        <v>1</v>
      </c>
      <c r="N69" s="149">
        <v>1</v>
      </c>
      <c r="O69" s="149">
        <v>1</v>
      </c>
      <c r="P69" s="149">
        <v>1</v>
      </c>
      <c r="Q69" s="149">
        <v>1</v>
      </c>
      <c r="R69" s="149">
        <v>1</v>
      </c>
      <c r="S69" s="149">
        <v>1</v>
      </c>
      <c r="T69" s="149">
        <v>1</v>
      </c>
      <c r="U69" s="149">
        <v>0</v>
      </c>
      <c r="V69" s="149">
        <v>0</v>
      </c>
      <c r="W69" s="149">
        <v>0</v>
      </c>
      <c r="X69" s="149">
        <v>0</v>
      </c>
      <c r="Y69" s="149">
        <v>0</v>
      </c>
      <c r="Z69" s="149">
        <v>0</v>
      </c>
      <c r="AA69" s="149">
        <v>0</v>
      </c>
      <c r="AB69" s="149">
        <v>0</v>
      </c>
      <c r="AC69" s="150">
        <v>0</v>
      </c>
      <c r="AD69" s="37"/>
      <c r="AE69" s="37"/>
      <c r="AF69" s="37"/>
      <c r="AG69" s="37"/>
      <c r="AH69" s="37"/>
      <c r="AI69" s="37"/>
      <c r="AJ69" s="37"/>
    </row>
    <row r="70" spans="1:39" s="170" customFormat="1" ht="25.2" customHeight="1" x14ac:dyDescent="0.25">
      <c r="A70" s="783"/>
      <c r="B70" s="783"/>
      <c r="C70" s="783"/>
      <c r="D70" s="783"/>
      <c r="E70" s="449" t="s">
        <v>703</v>
      </c>
      <c r="F70" s="188">
        <v>0</v>
      </c>
      <c r="G70" s="151">
        <v>0</v>
      </c>
      <c r="H70" s="151">
        <v>0</v>
      </c>
      <c r="I70" s="151">
        <v>0</v>
      </c>
      <c r="J70" s="151">
        <v>0</v>
      </c>
      <c r="K70" s="151">
        <v>0</v>
      </c>
      <c r="L70" s="151">
        <v>0</v>
      </c>
      <c r="M70" s="151">
        <v>0</v>
      </c>
      <c r="N70" s="151">
        <v>0</v>
      </c>
      <c r="O70" s="151">
        <v>0</v>
      </c>
      <c r="P70" s="151">
        <v>0</v>
      </c>
      <c r="Q70" s="151">
        <v>0</v>
      </c>
      <c r="R70" s="151">
        <v>0</v>
      </c>
      <c r="S70" s="151">
        <v>0</v>
      </c>
      <c r="T70" s="151">
        <v>0</v>
      </c>
      <c r="U70" s="151">
        <v>0</v>
      </c>
      <c r="V70" s="151">
        <v>0</v>
      </c>
      <c r="W70" s="151">
        <v>0</v>
      </c>
      <c r="X70" s="151">
        <v>0</v>
      </c>
      <c r="Y70" s="151">
        <v>0</v>
      </c>
      <c r="Z70" s="151">
        <v>0</v>
      </c>
      <c r="AA70" s="151">
        <v>0</v>
      </c>
      <c r="AB70" s="151">
        <v>0</v>
      </c>
      <c r="AC70" s="152">
        <v>0</v>
      </c>
      <c r="AD70" s="37"/>
      <c r="AE70" s="37"/>
      <c r="AF70" s="37"/>
      <c r="AG70" s="37"/>
      <c r="AH70" s="37"/>
      <c r="AI70" s="37"/>
      <c r="AJ70" s="37"/>
    </row>
    <row r="71" spans="1:39" s="170" customFormat="1" ht="25.2" customHeight="1" x14ac:dyDescent="0.25">
      <c r="A71" s="783"/>
      <c r="B71" s="783"/>
      <c r="C71" s="783"/>
      <c r="D71" s="783"/>
      <c r="E71" s="449" t="s">
        <v>704</v>
      </c>
      <c r="F71" s="188">
        <v>0</v>
      </c>
      <c r="G71" s="151">
        <v>0</v>
      </c>
      <c r="H71" s="151">
        <v>0</v>
      </c>
      <c r="I71" s="151">
        <v>0</v>
      </c>
      <c r="J71" s="151">
        <v>0</v>
      </c>
      <c r="K71" s="151">
        <v>0</v>
      </c>
      <c r="L71" s="151">
        <v>0</v>
      </c>
      <c r="M71" s="151">
        <v>0</v>
      </c>
      <c r="N71" s="151">
        <v>0</v>
      </c>
      <c r="O71" s="151">
        <v>0</v>
      </c>
      <c r="P71" s="151">
        <v>0</v>
      </c>
      <c r="Q71" s="151">
        <v>0</v>
      </c>
      <c r="R71" s="151">
        <v>0</v>
      </c>
      <c r="S71" s="151">
        <v>0</v>
      </c>
      <c r="T71" s="151">
        <v>0</v>
      </c>
      <c r="U71" s="151">
        <v>0</v>
      </c>
      <c r="V71" s="151">
        <v>0</v>
      </c>
      <c r="W71" s="151">
        <v>0</v>
      </c>
      <c r="X71" s="151">
        <v>0</v>
      </c>
      <c r="Y71" s="151">
        <v>0</v>
      </c>
      <c r="Z71" s="151">
        <v>0</v>
      </c>
      <c r="AA71" s="151">
        <v>0</v>
      </c>
      <c r="AB71" s="151">
        <v>0</v>
      </c>
      <c r="AC71" s="152">
        <v>0</v>
      </c>
      <c r="AD71" s="37"/>
      <c r="AE71" s="37"/>
      <c r="AF71" s="37"/>
      <c r="AG71" s="37"/>
      <c r="AH71" s="37"/>
      <c r="AI71" s="37"/>
      <c r="AJ71" s="37"/>
    </row>
    <row r="72" spans="1:39" s="170" customFormat="1" ht="25.2" customHeight="1" thickBot="1" x14ac:dyDescent="0.3">
      <c r="A72" s="784"/>
      <c r="B72" s="784"/>
      <c r="C72" s="784"/>
      <c r="D72" s="784"/>
      <c r="E72" s="433" t="s">
        <v>705</v>
      </c>
      <c r="F72" s="189">
        <v>0</v>
      </c>
      <c r="G72" s="186">
        <v>0</v>
      </c>
      <c r="H72" s="186">
        <v>0</v>
      </c>
      <c r="I72" s="186">
        <v>0</v>
      </c>
      <c r="J72" s="186">
        <v>0</v>
      </c>
      <c r="K72" s="186">
        <v>0</v>
      </c>
      <c r="L72" s="186">
        <v>0</v>
      </c>
      <c r="M72" s="186">
        <v>0</v>
      </c>
      <c r="N72" s="186">
        <v>0</v>
      </c>
      <c r="O72" s="186">
        <v>0</v>
      </c>
      <c r="P72" s="186">
        <v>0</v>
      </c>
      <c r="Q72" s="186">
        <v>0</v>
      </c>
      <c r="R72" s="186">
        <v>0</v>
      </c>
      <c r="S72" s="186">
        <v>0</v>
      </c>
      <c r="T72" s="186">
        <v>0</v>
      </c>
      <c r="U72" s="186">
        <v>0</v>
      </c>
      <c r="V72" s="186">
        <v>0</v>
      </c>
      <c r="W72" s="186">
        <v>0</v>
      </c>
      <c r="X72" s="186">
        <v>0</v>
      </c>
      <c r="Y72" s="186">
        <v>0</v>
      </c>
      <c r="Z72" s="186">
        <v>0</v>
      </c>
      <c r="AA72" s="186">
        <v>0</v>
      </c>
      <c r="AB72" s="186">
        <v>0</v>
      </c>
      <c r="AC72" s="187">
        <v>0</v>
      </c>
      <c r="AD72" s="37"/>
      <c r="AE72" s="37"/>
      <c r="AF72" s="37"/>
      <c r="AG72" s="37"/>
      <c r="AH72" s="37"/>
      <c r="AI72" s="37"/>
      <c r="AJ72" s="37"/>
    </row>
    <row r="73" spans="1:39" s="170" customFormat="1" ht="25.2" customHeight="1" x14ac:dyDescent="0.25">
      <c r="A73" s="782" t="s">
        <v>700</v>
      </c>
      <c r="B73" s="782" t="s">
        <v>122</v>
      </c>
      <c r="C73" s="782" t="s">
        <v>286</v>
      </c>
      <c r="D73" s="788" t="s">
        <v>701</v>
      </c>
      <c r="E73" s="431" t="s">
        <v>702</v>
      </c>
      <c r="F73" s="420">
        <v>1</v>
      </c>
      <c r="G73" s="149">
        <v>1</v>
      </c>
      <c r="H73" s="149">
        <v>1</v>
      </c>
      <c r="I73" s="149">
        <v>1</v>
      </c>
      <c r="J73" s="149">
        <v>1</v>
      </c>
      <c r="K73" s="149">
        <v>0.25</v>
      </c>
      <c r="L73" s="149">
        <v>0.25</v>
      </c>
      <c r="M73" s="149">
        <v>0.25</v>
      </c>
      <c r="N73" s="149">
        <v>0.25</v>
      </c>
      <c r="O73" s="149">
        <v>0.25</v>
      </c>
      <c r="P73" s="149">
        <v>0.25</v>
      </c>
      <c r="Q73" s="149">
        <v>0.25</v>
      </c>
      <c r="R73" s="149">
        <v>0.25</v>
      </c>
      <c r="S73" s="149">
        <v>0.25</v>
      </c>
      <c r="T73" s="149">
        <v>0.25</v>
      </c>
      <c r="U73" s="149">
        <v>1</v>
      </c>
      <c r="V73" s="149">
        <v>1</v>
      </c>
      <c r="W73" s="149">
        <v>1</v>
      </c>
      <c r="X73" s="149">
        <v>1</v>
      </c>
      <c r="Y73" s="149">
        <v>1</v>
      </c>
      <c r="Z73" s="149">
        <v>1</v>
      </c>
      <c r="AA73" s="149">
        <v>1</v>
      </c>
      <c r="AB73" s="149">
        <v>1</v>
      </c>
      <c r="AC73" s="150">
        <v>1</v>
      </c>
      <c r="AD73" s="37"/>
      <c r="AE73" s="37"/>
      <c r="AF73" s="37"/>
      <c r="AG73" s="37"/>
      <c r="AH73" s="37"/>
      <c r="AI73" s="37"/>
      <c r="AJ73" s="37"/>
    </row>
    <row r="74" spans="1:39" s="170" customFormat="1" ht="25.2" customHeight="1" x14ac:dyDescent="0.25">
      <c r="A74" s="783"/>
      <c r="B74" s="783"/>
      <c r="C74" s="783"/>
      <c r="D74" s="783"/>
      <c r="E74" s="449" t="s">
        <v>703</v>
      </c>
      <c r="F74" s="188">
        <v>1</v>
      </c>
      <c r="G74" s="151">
        <v>1</v>
      </c>
      <c r="H74" s="151">
        <v>1</v>
      </c>
      <c r="I74" s="151">
        <v>1</v>
      </c>
      <c r="J74" s="151">
        <v>1</v>
      </c>
      <c r="K74" s="151">
        <v>1</v>
      </c>
      <c r="L74" s="151">
        <v>1</v>
      </c>
      <c r="M74" s="151">
        <v>1</v>
      </c>
      <c r="N74" s="151">
        <v>1</v>
      </c>
      <c r="O74" s="151">
        <v>1</v>
      </c>
      <c r="P74" s="151">
        <v>1</v>
      </c>
      <c r="Q74" s="151">
        <v>1</v>
      </c>
      <c r="R74" s="151">
        <v>1</v>
      </c>
      <c r="S74" s="151">
        <v>1</v>
      </c>
      <c r="T74" s="151">
        <v>1</v>
      </c>
      <c r="U74" s="151">
        <v>1</v>
      </c>
      <c r="V74" s="151">
        <v>1</v>
      </c>
      <c r="W74" s="151">
        <v>1</v>
      </c>
      <c r="X74" s="151">
        <v>1</v>
      </c>
      <c r="Y74" s="151">
        <v>1</v>
      </c>
      <c r="Z74" s="151">
        <v>1</v>
      </c>
      <c r="AA74" s="151">
        <v>1</v>
      </c>
      <c r="AB74" s="151">
        <v>1</v>
      </c>
      <c r="AC74" s="152">
        <v>1</v>
      </c>
      <c r="AD74" s="37"/>
      <c r="AE74" s="37"/>
      <c r="AF74" s="37"/>
      <c r="AG74" s="37"/>
      <c r="AH74" s="37"/>
      <c r="AI74" s="37"/>
      <c r="AJ74" s="37"/>
    </row>
    <row r="75" spans="1:39" s="170" customFormat="1" ht="25.2" customHeight="1" x14ac:dyDescent="0.25">
      <c r="A75" s="783"/>
      <c r="B75" s="783"/>
      <c r="C75" s="783"/>
      <c r="D75" s="783"/>
      <c r="E75" s="449" t="s">
        <v>704</v>
      </c>
      <c r="F75" s="188">
        <v>1</v>
      </c>
      <c r="G75" s="151">
        <v>1</v>
      </c>
      <c r="H75" s="151">
        <v>1</v>
      </c>
      <c r="I75" s="151">
        <v>1</v>
      </c>
      <c r="J75" s="151">
        <v>1</v>
      </c>
      <c r="K75" s="151">
        <v>1</v>
      </c>
      <c r="L75" s="151">
        <v>1</v>
      </c>
      <c r="M75" s="151">
        <v>1</v>
      </c>
      <c r="N75" s="151">
        <v>1</v>
      </c>
      <c r="O75" s="151">
        <v>1</v>
      </c>
      <c r="P75" s="151">
        <v>1</v>
      </c>
      <c r="Q75" s="151">
        <v>1</v>
      </c>
      <c r="R75" s="151">
        <v>1</v>
      </c>
      <c r="S75" s="151">
        <v>1</v>
      </c>
      <c r="T75" s="151">
        <v>1</v>
      </c>
      <c r="U75" s="151">
        <v>1</v>
      </c>
      <c r="V75" s="151">
        <v>1</v>
      </c>
      <c r="W75" s="151">
        <v>1</v>
      </c>
      <c r="X75" s="151">
        <v>1</v>
      </c>
      <c r="Y75" s="151">
        <v>1</v>
      </c>
      <c r="Z75" s="151">
        <v>1</v>
      </c>
      <c r="AA75" s="151">
        <v>1</v>
      </c>
      <c r="AB75" s="151">
        <v>1</v>
      </c>
      <c r="AC75" s="152">
        <v>1</v>
      </c>
      <c r="AD75" s="37"/>
      <c r="AE75" s="37"/>
      <c r="AF75" s="37"/>
      <c r="AG75" s="37"/>
      <c r="AH75" s="37"/>
      <c r="AI75" s="37"/>
      <c r="AJ75" s="37"/>
    </row>
    <row r="76" spans="1:39" s="170" customFormat="1" ht="25.2" customHeight="1" thickBot="1" x14ac:dyDescent="0.3">
      <c r="A76" s="784"/>
      <c r="B76" s="784"/>
      <c r="C76" s="784"/>
      <c r="D76" s="784"/>
      <c r="E76" s="433" t="s">
        <v>705</v>
      </c>
      <c r="F76" s="189">
        <v>1</v>
      </c>
      <c r="G76" s="186">
        <v>1</v>
      </c>
      <c r="H76" s="186">
        <v>1</v>
      </c>
      <c r="I76" s="186">
        <v>1</v>
      </c>
      <c r="J76" s="186">
        <v>1</v>
      </c>
      <c r="K76" s="186">
        <v>1</v>
      </c>
      <c r="L76" s="186">
        <v>1</v>
      </c>
      <c r="M76" s="186">
        <v>1</v>
      </c>
      <c r="N76" s="186">
        <v>1</v>
      </c>
      <c r="O76" s="186">
        <v>1</v>
      </c>
      <c r="P76" s="186">
        <v>1</v>
      </c>
      <c r="Q76" s="186">
        <v>1</v>
      </c>
      <c r="R76" s="186">
        <v>1</v>
      </c>
      <c r="S76" s="186">
        <v>1</v>
      </c>
      <c r="T76" s="186">
        <v>1</v>
      </c>
      <c r="U76" s="186">
        <v>1</v>
      </c>
      <c r="V76" s="186">
        <v>1</v>
      </c>
      <c r="W76" s="186">
        <v>1</v>
      </c>
      <c r="X76" s="186">
        <v>1</v>
      </c>
      <c r="Y76" s="186">
        <v>1</v>
      </c>
      <c r="Z76" s="186">
        <v>1</v>
      </c>
      <c r="AA76" s="186">
        <v>1</v>
      </c>
      <c r="AB76" s="186">
        <v>1</v>
      </c>
      <c r="AC76" s="187">
        <v>1</v>
      </c>
      <c r="AD76" s="37"/>
      <c r="AE76" s="37"/>
      <c r="AF76" s="37"/>
      <c r="AG76" s="37"/>
      <c r="AH76" s="37"/>
      <c r="AI76" s="37"/>
      <c r="AJ76" s="37"/>
    </row>
    <row r="77" spans="1:39" ht="36" customHeight="1" x14ac:dyDescent="0.3">
      <c r="A77" s="782" t="s">
        <v>700</v>
      </c>
      <c r="B77" s="782" t="s">
        <v>122</v>
      </c>
      <c r="C77" s="792" t="s">
        <v>696</v>
      </c>
      <c r="D77" s="788" t="s">
        <v>694</v>
      </c>
      <c r="E77" s="431" t="s">
        <v>702</v>
      </c>
      <c r="F77" s="420">
        <v>0.9</v>
      </c>
      <c r="G77" s="149">
        <v>0.9</v>
      </c>
      <c r="H77" s="149">
        <v>0.9</v>
      </c>
      <c r="I77" s="149">
        <v>0.9</v>
      </c>
      <c r="J77" s="149">
        <v>0.9</v>
      </c>
      <c r="K77" s="149">
        <v>0.9</v>
      </c>
      <c r="L77" s="149">
        <v>0.9</v>
      </c>
      <c r="M77" s="149">
        <v>0.9</v>
      </c>
      <c r="N77" s="149">
        <v>0.9</v>
      </c>
      <c r="O77" s="149">
        <v>0.9</v>
      </c>
      <c r="P77" s="149">
        <v>0.9</v>
      </c>
      <c r="Q77" s="149">
        <v>0.9</v>
      </c>
      <c r="R77" s="149">
        <v>0.9</v>
      </c>
      <c r="S77" s="149">
        <v>0.9</v>
      </c>
      <c r="T77" s="149">
        <v>0.9</v>
      </c>
      <c r="U77" s="149">
        <v>0.9</v>
      </c>
      <c r="V77" s="149">
        <v>0.9</v>
      </c>
      <c r="W77" s="149">
        <v>0.9</v>
      </c>
      <c r="X77" s="149">
        <v>0.9</v>
      </c>
      <c r="Y77" s="149">
        <v>0.9</v>
      </c>
      <c r="Z77" s="149">
        <v>0.9</v>
      </c>
      <c r="AA77" s="149">
        <v>0.9</v>
      </c>
      <c r="AB77" s="149">
        <v>0.9</v>
      </c>
      <c r="AC77" s="150">
        <v>0.9</v>
      </c>
      <c r="AD77" s="38"/>
      <c r="AE77" s="37"/>
      <c r="AF77" s="37"/>
      <c r="AG77" s="37"/>
      <c r="AH77" s="37"/>
      <c r="AI77" s="37"/>
      <c r="AJ77" s="37"/>
      <c r="AK77" s="37"/>
      <c r="AM77" s="48"/>
    </row>
    <row r="78" spans="1:39" ht="36" customHeight="1" x14ac:dyDescent="0.3">
      <c r="A78" s="783"/>
      <c r="B78" s="783"/>
      <c r="C78" s="793"/>
      <c r="D78" s="783"/>
      <c r="E78" s="449" t="s">
        <v>703</v>
      </c>
      <c r="F78" s="188">
        <v>0.9</v>
      </c>
      <c r="G78" s="151">
        <v>0.9</v>
      </c>
      <c r="H78" s="151">
        <v>0.9</v>
      </c>
      <c r="I78" s="151">
        <v>0.9</v>
      </c>
      <c r="J78" s="151">
        <v>0.9</v>
      </c>
      <c r="K78" s="151">
        <v>0.9</v>
      </c>
      <c r="L78" s="151">
        <v>0.9</v>
      </c>
      <c r="M78" s="151">
        <v>0.9</v>
      </c>
      <c r="N78" s="151">
        <v>0.9</v>
      </c>
      <c r="O78" s="151">
        <v>0.9</v>
      </c>
      <c r="P78" s="151">
        <v>0.9</v>
      </c>
      <c r="Q78" s="151">
        <v>0.9</v>
      </c>
      <c r="R78" s="151">
        <v>0.9</v>
      </c>
      <c r="S78" s="151">
        <v>0.9</v>
      </c>
      <c r="T78" s="151">
        <v>0.9</v>
      </c>
      <c r="U78" s="151">
        <v>0.9</v>
      </c>
      <c r="V78" s="151">
        <v>0.9</v>
      </c>
      <c r="W78" s="151">
        <v>0.9</v>
      </c>
      <c r="X78" s="151">
        <v>0.9</v>
      </c>
      <c r="Y78" s="151">
        <v>0.9</v>
      </c>
      <c r="Z78" s="151">
        <v>0.9</v>
      </c>
      <c r="AA78" s="151">
        <v>0.9</v>
      </c>
      <c r="AB78" s="151">
        <v>0.9</v>
      </c>
      <c r="AC78" s="152">
        <v>0.9</v>
      </c>
      <c r="AD78" s="38"/>
      <c r="AE78" s="37"/>
      <c r="AF78" s="37"/>
      <c r="AG78" s="37"/>
      <c r="AH78" s="37"/>
      <c r="AI78" s="37"/>
      <c r="AJ78" s="37"/>
      <c r="AK78" s="37"/>
      <c r="AM78" s="48"/>
    </row>
    <row r="79" spans="1:39" ht="36" customHeight="1" x14ac:dyDescent="0.3">
      <c r="A79" s="783"/>
      <c r="B79" s="783"/>
      <c r="C79" s="793"/>
      <c r="D79" s="783"/>
      <c r="E79" s="449" t="s">
        <v>704</v>
      </c>
      <c r="F79" s="188">
        <v>0.9</v>
      </c>
      <c r="G79" s="151">
        <v>0.9</v>
      </c>
      <c r="H79" s="151">
        <v>0.9</v>
      </c>
      <c r="I79" s="151">
        <v>0.9</v>
      </c>
      <c r="J79" s="151">
        <v>0.9</v>
      </c>
      <c r="K79" s="151">
        <v>0.9</v>
      </c>
      <c r="L79" s="151">
        <v>0.9</v>
      </c>
      <c r="M79" s="151">
        <v>0.9</v>
      </c>
      <c r="N79" s="151">
        <v>0.9</v>
      </c>
      <c r="O79" s="151">
        <v>0.9</v>
      </c>
      <c r="P79" s="151">
        <v>0.9</v>
      </c>
      <c r="Q79" s="151">
        <v>0.9</v>
      </c>
      <c r="R79" s="151">
        <v>0.9</v>
      </c>
      <c r="S79" s="151">
        <v>0.9</v>
      </c>
      <c r="T79" s="151">
        <v>0.9</v>
      </c>
      <c r="U79" s="151">
        <v>0.9</v>
      </c>
      <c r="V79" s="151">
        <v>0.9</v>
      </c>
      <c r="W79" s="151">
        <v>0.9</v>
      </c>
      <c r="X79" s="151">
        <v>0.9</v>
      </c>
      <c r="Y79" s="151">
        <v>0.9</v>
      </c>
      <c r="Z79" s="151">
        <v>0.9</v>
      </c>
      <c r="AA79" s="151">
        <v>0.9</v>
      </c>
      <c r="AB79" s="151">
        <v>0.9</v>
      </c>
      <c r="AC79" s="152">
        <v>0.9</v>
      </c>
      <c r="AD79" s="38"/>
      <c r="AE79" s="37"/>
      <c r="AF79" s="37"/>
      <c r="AG79" s="37"/>
      <c r="AH79" s="37"/>
      <c r="AI79" s="37"/>
      <c r="AJ79" s="37"/>
      <c r="AK79" s="37"/>
      <c r="AM79" s="48"/>
    </row>
    <row r="80" spans="1:39" ht="36" customHeight="1" thickBot="1" x14ac:dyDescent="0.35">
      <c r="A80" s="784"/>
      <c r="B80" s="784"/>
      <c r="C80" s="794"/>
      <c r="D80" s="784"/>
      <c r="E80" s="488" t="s">
        <v>705</v>
      </c>
      <c r="F80" s="189">
        <v>0.9</v>
      </c>
      <c r="G80" s="186">
        <v>0.9</v>
      </c>
      <c r="H80" s="186">
        <v>0.9</v>
      </c>
      <c r="I80" s="186">
        <v>0.9</v>
      </c>
      <c r="J80" s="186">
        <v>0.9</v>
      </c>
      <c r="K80" s="186">
        <v>0.9</v>
      </c>
      <c r="L80" s="186">
        <v>0.9</v>
      </c>
      <c r="M80" s="186">
        <v>0.9</v>
      </c>
      <c r="N80" s="186">
        <v>0.9</v>
      </c>
      <c r="O80" s="186">
        <v>0.9</v>
      </c>
      <c r="P80" s="186">
        <v>0.9</v>
      </c>
      <c r="Q80" s="186">
        <v>0.9</v>
      </c>
      <c r="R80" s="186">
        <v>0.9</v>
      </c>
      <c r="S80" s="186">
        <v>0.9</v>
      </c>
      <c r="T80" s="186">
        <v>0.9</v>
      </c>
      <c r="U80" s="186">
        <v>0.9</v>
      </c>
      <c r="V80" s="186">
        <v>0.9</v>
      </c>
      <c r="W80" s="186">
        <v>0.9</v>
      </c>
      <c r="X80" s="186">
        <v>0.9</v>
      </c>
      <c r="Y80" s="186">
        <v>0.9</v>
      </c>
      <c r="Z80" s="186">
        <v>0.9</v>
      </c>
      <c r="AA80" s="186">
        <v>0.9</v>
      </c>
      <c r="AB80" s="186">
        <v>0.9</v>
      </c>
      <c r="AC80" s="187">
        <v>0.9</v>
      </c>
      <c r="AD80" s="38"/>
      <c r="AE80" s="37"/>
      <c r="AF80" s="37"/>
      <c r="AG80" s="37"/>
      <c r="AH80" s="37"/>
      <c r="AI80" s="37"/>
      <c r="AJ80" s="37"/>
      <c r="AK80" s="37"/>
      <c r="AM80" s="48"/>
    </row>
    <row r="81" spans="1:41" ht="38.700000000000003" customHeight="1" x14ac:dyDescent="0.3">
      <c r="A81" s="782" t="s">
        <v>700</v>
      </c>
      <c r="B81" s="797" t="s">
        <v>122</v>
      </c>
      <c r="C81" s="782" t="s">
        <v>695</v>
      </c>
      <c r="D81" s="788" t="s">
        <v>694</v>
      </c>
      <c r="E81" s="431" t="s">
        <v>702</v>
      </c>
      <c r="F81" s="420">
        <v>0</v>
      </c>
      <c r="G81" s="149">
        <v>0</v>
      </c>
      <c r="H81" s="149">
        <v>0</v>
      </c>
      <c r="I81" s="149">
        <v>0</v>
      </c>
      <c r="J81" s="149">
        <v>0</v>
      </c>
      <c r="K81" s="149">
        <v>0</v>
      </c>
      <c r="L81" s="149">
        <v>0</v>
      </c>
      <c r="M81" s="149">
        <v>0.5</v>
      </c>
      <c r="N81" s="149">
        <v>0.5</v>
      </c>
      <c r="O81" s="149">
        <v>0.75</v>
      </c>
      <c r="P81" s="149">
        <v>0.9</v>
      </c>
      <c r="Q81" s="149">
        <v>0.9</v>
      </c>
      <c r="R81" s="149">
        <v>0.9</v>
      </c>
      <c r="S81" s="149">
        <v>0</v>
      </c>
      <c r="T81" s="149">
        <v>0</v>
      </c>
      <c r="U81" s="149">
        <v>0</v>
      </c>
      <c r="V81" s="149">
        <v>0</v>
      </c>
      <c r="W81" s="149">
        <v>0</v>
      </c>
      <c r="X81" s="149">
        <v>0</v>
      </c>
      <c r="Y81" s="149">
        <v>0</v>
      </c>
      <c r="Z81" s="149">
        <v>0</v>
      </c>
      <c r="AA81" s="149">
        <v>0</v>
      </c>
      <c r="AB81" s="149">
        <v>0</v>
      </c>
      <c r="AC81" s="150">
        <v>0</v>
      </c>
      <c r="AD81" s="37"/>
      <c r="AE81" s="37"/>
      <c r="AF81" s="37"/>
      <c r="AG81" s="37"/>
      <c r="AH81" s="37"/>
      <c r="AI81" s="37"/>
      <c r="AJ81" s="37"/>
      <c r="AK81" s="37"/>
      <c r="AM81" s="48"/>
      <c r="AO81" s="171"/>
    </row>
    <row r="82" spans="1:41" ht="38.700000000000003" customHeight="1" x14ac:dyDescent="0.3">
      <c r="A82" s="783"/>
      <c r="B82" s="798"/>
      <c r="C82" s="783"/>
      <c r="D82" s="783"/>
      <c r="E82" s="449" t="s">
        <v>703</v>
      </c>
      <c r="F82" s="188">
        <v>0</v>
      </c>
      <c r="G82" s="151">
        <v>0</v>
      </c>
      <c r="H82" s="151">
        <v>0</v>
      </c>
      <c r="I82" s="151">
        <v>0</v>
      </c>
      <c r="J82" s="151">
        <v>0</v>
      </c>
      <c r="K82" s="151">
        <v>0</v>
      </c>
      <c r="L82" s="151">
        <v>0</v>
      </c>
      <c r="M82" s="151">
        <v>0</v>
      </c>
      <c r="N82" s="151">
        <v>0</v>
      </c>
      <c r="O82" s="151">
        <v>0</v>
      </c>
      <c r="P82" s="151">
        <v>0</v>
      </c>
      <c r="Q82" s="151">
        <v>0</v>
      </c>
      <c r="R82" s="151">
        <v>0</v>
      </c>
      <c r="S82" s="151">
        <v>0</v>
      </c>
      <c r="T82" s="151">
        <v>0</v>
      </c>
      <c r="U82" s="151">
        <v>0</v>
      </c>
      <c r="V82" s="151">
        <v>0</v>
      </c>
      <c r="W82" s="151">
        <v>0</v>
      </c>
      <c r="X82" s="151">
        <v>0</v>
      </c>
      <c r="Y82" s="151">
        <v>0</v>
      </c>
      <c r="Z82" s="151">
        <v>0</v>
      </c>
      <c r="AA82" s="151">
        <v>0</v>
      </c>
      <c r="AB82" s="151">
        <v>0</v>
      </c>
      <c r="AC82" s="152">
        <v>0</v>
      </c>
      <c r="AD82" s="37"/>
      <c r="AE82" s="37"/>
      <c r="AF82" s="37"/>
      <c r="AG82" s="37"/>
      <c r="AH82" s="37"/>
      <c r="AI82" s="37"/>
      <c r="AJ82" s="37"/>
      <c r="AK82" s="37"/>
      <c r="AM82" s="48"/>
      <c r="AO82" s="171"/>
    </row>
    <row r="83" spans="1:41" ht="38.700000000000003" customHeight="1" x14ac:dyDescent="0.3">
      <c r="A83" s="783"/>
      <c r="B83" s="798"/>
      <c r="C83" s="783"/>
      <c r="D83" s="783"/>
      <c r="E83" s="449" t="s">
        <v>704</v>
      </c>
      <c r="F83" s="188">
        <v>0</v>
      </c>
      <c r="G83" s="151">
        <v>0</v>
      </c>
      <c r="H83" s="151">
        <v>0</v>
      </c>
      <c r="I83" s="151">
        <v>0</v>
      </c>
      <c r="J83" s="151">
        <v>0</v>
      </c>
      <c r="K83" s="151">
        <v>0</v>
      </c>
      <c r="L83" s="151">
        <v>0</v>
      </c>
      <c r="M83" s="151">
        <v>0</v>
      </c>
      <c r="N83" s="151">
        <v>0</v>
      </c>
      <c r="O83" s="151">
        <v>0</v>
      </c>
      <c r="P83" s="151">
        <v>0</v>
      </c>
      <c r="Q83" s="151">
        <v>0</v>
      </c>
      <c r="R83" s="151">
        <v>0</v>
      </c>
      <c r="S83" s="151">
        <v>0</v>
      </c>
      <c r="T83" s="151">
        <v>0</v>
      </c>
      <c r="U83" s="151">
        <v>0</v>
      </c>
      <c r="V83" s="151">
        <v>0</v>
      </c>
      <c r="W83" s="151">
        <v>0</v>
      </c>
      <c r="X83" s="151">
        <v>0</v>
      </c>
      <c r="Y83" s="151">
        <v>0</v>
      </c>
      <c r="Z83" s="151">
        <v>0</v>
      </c>
      <c r="AA83" s="151">
        <v>0</v>
      </c>
      <c r="AB83" s="151">
        <v>0</v>
      </c>
      <c r="AC83" s="152">
        <v>0</v>
      </c>
      <c r="AD83" s="37"/>
      <c r="AE83" s="37"/>
      <c r="AF83" s="37"/>
      <c r="AG83" s="37"/>
      <c r="AH83" s="37"/>
      <c r="AI83" s="37"/>
      <c r="AJ83" s="37"/>
      <c r="AK83" s="37"/>
      <c r="AM83" s="48"/>
      <c r="AO83" s="171"/>
    </row>
    <row r="84" spans="1:41" ht="38.700000000000003" customHeight="1" thickBot="1" x14ac:dyDescent="0.35">
      <c r="A84" s="784"/>
      <c r="B84" s="799"/>
      <c r="C84" s="784"/>
      <c r="D84" s="784"/>
      <c r="E84" s="488" t="s">
        <v>705</v>
      </c>
      <c r="F84" s="189">
        <v>0</v>
      </c>
      <c r="G84" s="186">
        <v>0</v>
      </c>
      <c r="H84" s="186">
        <v>0</v>
      </c>
      <c r="I84" s="186">
        <v>0</v>
      </c>
      <c r="J84" s="186">
        <v>0</v>
      </c>
      <c r="K84" s="186">
        <v>0</v>
      </c>
      <c r="L84" s="186">
        <v>0</v>
      </c>
      <c r="M84" s="186">
        <v>0</v>
      </c>
      <c r="N84" s="186">
        <v>0</v>
      </c>
      <c r="O84" s="186">
        <v>0</v>
      </c>
      <c r="P84" s="186">
        <v>0</v>
      </c>
      <c r="Q84" s="186">
        <v>0</v>
      </c>
      <c r="R84" s="186">
        <v>0</v>
      </c>
      <c r="S84" s="186">
        <v>0</v>
      </c>
      <c r="T84" s="186">
        <v>0</v>
      </c>
      <c r="U84" s="186">
        <v>0</v>
      </c>
      <c r="V84" s="186">
        <v>0</v>
      </c>
      <c r="W84" s="186">
        <v>0</v>
      </c>
      <c r="X84" s="186">
        <v>0</v>
      </c>
      <c r="Y84" s="186">
        <v>0</v>
      </c>
      <c r="Z84" s="186">
        <v>0</v>
      </c>
      <c r="AA84" s="186">
        <v>0</v>
      </c>
      <c r="AB84" s="186">
        <v>0</v>
      </c>
      <c r="AC84" s="187">
        <v>0</v>
      </c>
      <c r="AD84" s="37"/>
      <c r="AE84" s="37"/>
      <c r="AF84" s="37"/>
      <c r="AG84" s="37"/>
      <c r="AH84" s="37"/>
      <c r="AI84" s="37"/>
      <c r="AJ84" s="37"/>
      <c r="AK84" s="37"/>
      <c r="AM84" s="48"/>
      <c r="AO84" s="171"/>
    </row>
    <row r="85" spans="1:41" ht="38.700000000000003" customHeight="1" x14ac:dyDescent="0.3">
      <c r="A85" s="789" t="s">
        <v>700</v>
      </c>
      <c r="B85" s="797" t="s">
        <v>122</v>
      </c>
      <c r="C85" s="782" t="s">
        <v>693</v>
      </c>
      <c r="D85" s="785" t="s">
        <v>694</v>
      </c>
      <c r="E85" s="431" t="s">
        <v>702</v>
      </c>
      <c r="F85" s="420">
        <v>0.05</v>
      </c>
      <c r="G85" s="149">
        <v>0.05</v>
      </c>
      <c r="H85" s="149">
        <v>0.05</v>
      </c>
      <c r="I85" s="149">
        <v>0.05</v>
      </c>
      <c r="J85" s="149">
        <v>0.05</v>
      </c>
      <c r="K85" s="149">
        <v>0.05</v>
      </c>
      <c r="L85" s="149">
        <v>0.05</v>
      </c>
      <c r="M85" s="149">
        <v>0.1</v>
      </c>
      <c r="N85" s="149">
        <v>0.34</v>
      </c>
      <c r="O85" s="149">
        <v>0.6</v>
      </c>
      <c r="P85" s="149">
        <v>0.63</v>
      </c>
      <c r="Q85" s="149">
        <v>0.72</v>
      </c>
      <c r="R85" s="149">
        <v>0.79</v>
      </c>
      <c r="S85" s="149">
        <v>0.83</v>
      </c>
      <c r="T85" s="149">
        <v>0.61</v>
      </c>
      <c r="U85" s="149">
        <v>0.65</v>
      </c>
      <c r="V85" s="149">
        <v>0.1</v>
      </c>
      <c r="W85" s="149">
        <v>0.1</v>
      </c>
      <c r="X85" s="149">
        <v>0.19</v>
      </c>
      <c r="Y85" s="149">
        <v>0.25</v>
      </c>
      <c r="Z85" s="149">
        <v>0.22</v>
      </c>
      <c r="AA85" s="149">
        <v>0.22</v>
      </c>
      <c r="AB85" s="149">
        <v>0.12</v>
      </c>
      <c r="AC85" s="150">
        <v>0.09</v>
      </c>
      <c r="AD85" s="37"/>
      <c r="AE85" s="37"/>
      <c r="AF85" s="37"/>
      <c r="AG85" s="37"/>
      <c r="AH85" s="37"/>
      <c r="AI85" s="37"/>
      <c r="AJ85" s="37"/>
      <c r="AK85" s="37"/>
      <c r="AM85" s="48"/>
    </row>
    <row r="86" spans="1:41" ht="38.700000000000003" customHeight="1" x14ac:dyDescent="0.3">
      <c r="A86" s="790"/>
      <c r="B86" s="798"/>
      <c r="C86" s="783"/>
      <c r="D86" s="786"/>
      <c r="E86" s="449" t="s">
        <v>703</v>
      </c>
      <c r="F86" s="188">
        <v>0.03</v>
      </c>
      <c r="G86" s="151">
        <v>0.03</v>
      </c>
      <c r="H86" s="151">
        <v>0.03</v>
      </c>
      <c r="I86" s="151">
        <v>0.03</v>
      </c>
      <c r="J86" s="151">
        <v>0.03</v>
      </c>
      <c r="K86" s="151">
        <v>0.03</v>
      </c>
      <c r="L86" s="151">
        <v>0.03</v>
      </c>
      <c r="M86" s="151">
        <v>0.03</v>
      </c>
      <c r="N86" s="151">
        <v>0.03</v>
      </c>
      <c r="O86" s="151">
        <v>0.03</v>
      </c>
      <c r="P86" s="151">
        <v>0.03</v>
      </c>
      <c r="Q86" s="151">
        <v>0.03</v>
      </c>
      <c r="R86" s="151">
        <v>0.03</v>
      </c>
      <c r="S86" s="151">
        <v>0.03</v>
      </c>
      <c r="T86" s="151">
        <v>0.03</v>
      </c>
      <c r="U86" s="151">
        <v>0.03</v>
      </c>
      <c r="V86" s="151">
        <v>0.03</v>
      </c>
      <c r="W86" s="151">
        <v>0.03</v>
      </c>
      <c r="X86" s="151">
        <v>0.03</v>
      </c>
      <c r="Y86" s="151">
        <v>0.03</v>
      </c>
      <c r="Z86" s="151">
        <v>0.03</v>
      </c>
      <c r="AA86" s="151">
        <v>0.03</v>
      </c>
      <c r="AB86" s="151">
        <v>0.03</v>
      </c>
      <c r="AC86" s="152">
        <v>0.03</v>
      </c>
      <c r="AD86" s="37"/>
      <c r="AE86" s="37"/>
      <c r="AF86" s="37"/>
      <c r="AG86" s="37"/>
      <c r="AH86" s="37"/>
      <c r="AI86" s="37"/>
      <c r="AJ86" s="37"/>
      <c r="AK86" s="37"/>
      <c r="AM86" s="48"/>
    </row>
    <row r="87" spans="1:41" ht="38.700000000000003" customHeight="1" x14ac:dyDescent="0.3">
      <c r="A87" s="790"/>
      <c r="B87" s="798"/>
      <c r="C87" s="783"/>
      <c r="D87" s="786"/>
      <c r="E87" s="449" t="s">
        <v>704</v>
      </c>
      <c r="F87" s="188">
        <v>0.03</v>
      </c>
      <c r="G87" s="151">
        <v>0.03</v>
      </c>
      <c r="H87" s="151">
        <v>0.03</v>
      </c>
      <c r="I87" s="151">
        <v>0.03</v>
      </c>
      <c r="J87" s="151">
        <v>0.03</v>
      </c>
      <c r="K87" s="151">
        <v>0.03</v>
      </c>
      <c r="L87" s="151">
        <v>0.03</v>
      </c>
      <c r="M87" s="151">
        <v>0.03</v>
      </c>
      <c r="N87" s="151">
        <v>0.03</v>
      </c>
      <c r="O87" s="151">
        <v>0.03</v>
      </c>
      <c r="P87" s="151">
        <v>0.03</v>
      </c>
      <c r="Q87" s="151">
        <v>0.03</v>
      </c>
      <c r="R87" s="151">
        <v>0.03</v>
      </c>
      <c r="S87" s="151">
        <v>0.03</v>
      </c>
      <c r="T87" s="151">
        <v>0.03</v>
      </c>
      <c r="U87" s="151">
        <v>0.03</v>
      </c>
      <c r="V87" s="151">
        <v>0.03</v>
      </c>
      <c r="W87" s="151">
        <v>0.03</v>
      </c>
      <c r="X87" s="151">
        <v>0.03</v>
      </c>
      <c r="Y87" s="151">
        <v>0.03</v>
      </c>
      <c r="Z87" s="151">
        <v>0.03</v>
      </c>
      <c r="AA87" s="151">
        <v>0.03</v>
      </c>
      <c r="AB87" s="151">
        <v>0.03</v>
      </c>
      <c r="AC87" s="152">
        <v>0.03</v>
      </c>
      <c r="AD87" s="37"/>
      <c r="AE87" s="37"/>
      <c r="AF87" s="37"/>
      <c r="AG87" s="37"/>
      <c r="AH87" s="37"/>
      <c r="AI87" s="37"/>
      <c r="AJ87" s="37"/>
      <c r="AK87" s="37"/>
      <c r="AM87" s="48"/>
    </row>
    <row r="88" spans="1:41" ht="38.700000000000003" customHeight="1" thickBot="1" x14ac:dyDescent="0.35">
      <c r="A88" s="791"/>
      <c r="B88" s="799"/>
      <c r="C88" s="784"/>
      <c r="D88" s="787"/>
      <c r="E88" s="498" t="s">
        <v>705</v>
      </c>
      <c r="F88" s="190">
        <v>0.03</v>
      </c>
      <c r="G88" s="153">
        <v>0.03</v>
      </c>
      <c r="H88" s="153">
        <v>0.03</v>
      </c>
      <c r="I88" s="153">
        <v>0.03</v>
      </c>
      <c r="J88" s="153">
        <v>0.03</v>
      </c>
      <c r="K88" s="153">
        <v>0.03</v>
      </c>
      <c r="L88" s="153">
        <v>0.03</v>
      </c>
      <c r="M88" s="153">
        <v>0.03</v>
      </c>
      <c r="N88" s="153">
        <v>0.03</v>
      </c>
      <c r="O88" s="153">
        <v>0.03</v>
      </c>
      <c r="P88" s="153">
        <v>0.03</v>
      </c>
      <c r="Q88" s="153">
        <v>0.03</v>
      </c>
      <c r="R88" s="153">
        <v>0.03</v>
      </c>
      <c r="S88" s="153">
        <v>0.03</v>
      </c>
      <c r="T88" s="153">
        <v>0.03</v>
      </c>
      <c r="U88" s="153">
        <v>0.03</v>
      </c>
      <c r="V88" s="153">
        <v>0.03</v>
      </c>
      <c r="W88" s="153">
        <v>0.03</v>
      </c>
      <c r="X88" s="153">
        <v>0.03</v>
      </c>
      <c r="Y88" s="153">
        <v>0.03</v>
      </c>
      <c r="Z88" s="153">
        <v>0.03</v>
      </c>
      <c r="AA88" s="153">
        <v>0.03</v>
      </c>
      <c r="AB88" s="153">
        <v>0.03</v>
      </c>
      <c r="AC88" s="154">
        <v>0.03</v>
      </c>
      <c r="AD88" s="37"/>
      <c r="AE88" s="37"/>
      <c r="AF88" s="37"/>
      <c r="AG88" s="37"/>
      <c r="AH88" s="37"/>
      <c r="AI88" s="37"/>
      <c r="AJ88" s="37"/>
      <c r="AK88" s="37"/>
      <c r="AM88" s="48"/>
    </row>
    <row r="89" spans="1:41" ht="35.25" customHeight="1" thickBot="1" x14ac:dyDescent="0.35">
      <c r="A89" s="847" t="s">
        <v>102</v>
      </c>
      <c r="B89" s="847"/>
      <c r="C89" s="847" t="s">
        <v>16</v>
      </c>
      <c r="D89" s="847"/>
      <c r="E89" s="847"/>
      <c r="F89" s="847"/>
      <c r="G89" s="847"/>
      <c r="H89" s="847"/>
      <c r="I89" s="847"/>
      <c r="J89" s="847"/>
      <c r="K89" s="847"/>
      <c r="L89" s="847"/>
      <c r="M89" s="847"/>
      <c r="N89" s="847"/>
      <c r="O89" s="847"/>
      <c r="P89" s="847"/>
      <c r="Q89" s="847"/>
      <c r="R89" s="847"/>
      <c r="S89" s="847"/>
      <c r="T89" s="847"/>
      <c r="U89" s="847"/>
      <c r="V89" s="847"/>
      <c r="W89" s="847"/>
      <c r="X89" s="847"/>
      <c r="Y89" s="847"/>
      <c r="Z89" s="847"/>
      <c r="AA89" s="847"/>
      <c r="AB89" s="847"/>
      <c r="AC89" s="848"/>
    </row>
    <row r="90" spans="1:41" customFormat="1" ht="26.4" customHeight="1" x14ac:dyDescent="0.3">
      <c r="A90" s="800" t="s">
        <v>707</v>
      </c>
      <c r="B90" s="803" t="s">
        <v>102</v>
      </c>
      <c r="C90" s="803" t="s">
        <v>685</v>
      </c>
      <c r="D90" s="766" t="s">
        <v>701</v>
      </c>
      <c r="E90" s="492" t="s">
        <v>702</v>
      </c>
      <c r="F90" s="421">
        <v>0</v>
      </c>
      <c r="G90" s="421">
        <v>0</v>
      </c>
      <c r="H90" s="421">
        <v>0</v>
      </c>
      <c r="I90" s="421">
        <v>0</v>
      </c>
      <c r="J90" s="421">
        <v>0</v>
      </c>
      <c r="K90" s="421">
        <v>0</v>
      </c>
      <c r="L90" s="421">
        <v>0</v>
      </c>
      <c r="M90" s="421">
        <v>0.25</v>
      </c>
      <c r="N90" s="421">
        <v>0.01</v>
      </c>
      <c r="O90" s="421">
        <v>0.01</v>
      </c>
      <c r="P90" s="421">
        <v>0.01</v>
      </c>
      <c r="Q90" s="421">
        <v>0.01</v>
      </c>
      <c r="R90" s="421">
        <v>0.01</v>
      </c>
      <c r="S90" s="421">
        <v>0.5</v>
      </c>
      <c r="T90" s="421">
        <v>0</v>
      </c>
      <c r="U90" s="421">
        <v>0</v>
      </c>
      <c r="V90" s="421">
        <v>0</v>
      </c>
      <c r="W90" s="421">
        <v>0</v>
      </c>
      <c r="X90" s="421">
        <v>0</v>
      </c>
      <c r="Y90" s="421">
        <v>0</v>
      </c>
      <c r="Z90" s="421">
        <v>0</v>
      </c>
      <c r="AA90" s="421">
        <v>0</v>
      </c>
      <c r="AB90" s="421">
        <v>0</v>
      </c>
      <c r="AC90" s="422">
        <v>0</v>
      </c>
      <c r="AD90" s="37"/>
      <c r="AE90" s="37"/>
      <c r="AF90" s="37"/>
      <c r="AG90" s="37"/>
      <c r="AH90" s="37"/>
      <c r="AI90" s="37"/>
      <c r="AJ90" s="37"/>
    </row>
    <row r="91" spans="1:41" customFormat="1" ht="26.4" customHeight="1" x14ac:dyDescent="0.3">
      <c r="A91" s="801"/>
      <c r="B91" s="804"/>
      <c r="C91" s="804"/>
      <c r="D91" s="806"/>
      <c r="E91" s="493" t="s">
        <v>703</v>
      </c>
      <c r="F91" s="151">
        <v>0</v>
      </c>
      <c r="G91" s="151">
        <v>0</v>
      </c>
      <c r="H91" s="151">
        <v>0</v>
      </c>
      <c r="I91" s="151">
        <v>0</v>
      </c>
      <c r="J91" s="151">
        <v>0</v>
      </c>
      <c r="K91" s="151">
        <v>0</v>
      </c>
      <c r="L91" s="151">
        <v>0</v>
      </c>
      <c r="M91" s="151">
        <v>0</v>
      </c>
      <c r="N91" s="151">
        <v>0</v>
      </c>
      <c r="O91" s="151">
        <v>0</v>
      </c>
      <c r="P91" s="151">
        <v>0</v>
      </c>
      <c r="Q91" s="151">
        <v>0</v>
      </c>
      <c r="R91" s="151">
        <v>0</v>
      </c>
      <c r="S91" s="151">
        <v>0</v>
      </c>
      <c r="T91" s="151">
        <v>0</v>
      </c>
      <c r="U91" s="151">
        <v>0</v>
      </c>
      <c r="V91" s="151">
        <v>0</v>
      </c>
      <c r="W91" s="151">
        <v>0</v>
      </c>
      <c r="X91" s="151">
        <v>0</v>
      </c>
      <c r="Y91" s="151">
        <v>0</v>
      </c>
      <c r="Z91" s="151">
        <v>0</v>
      </c>
      <c r="AA91" s="151">
        <v>0</v>
      </c>
      <c r="AB91" s="151">
        <v>0</v>
      </c>
      <c r="AC91" s="152">
        <v>0</v>
      </c>
      <c r="AD91" s="37"/>
      <c r="AE91" s="37"/>
      <c r="AF91" s="37"/>
      <c r="AG91" s="37"/>
      <c r="AH91" s="37"/>
      <c r="AI91" s="37"/>
      <c r="AJ91" s="37"/>
    </row>
    <row r="92" spans="1:41" customFormat="1" ht="26.4" customHeight="1" x14ac:dyDescent="0.3">
      <c r="A92" s="801"/>
      <c r="B92" s="804"/>
      <c r="C92" s="804"/>
      <c r="D92" s="806"/>
      <c r="E92" s="493" t="s">
        <v>704</v>
      </c>
      <c r="F92" s="151">
        <v>0</v>
      </c>
      <c r="G92" s="151">
        <v>0</v>
      </c>
      <c r="H92" s="151">
        <v>0</v>
      </c>
      <c r="I92" s="151">
        <v>0</v>
      </c>
      <c r="J92" s="151">
        <v>0</v>
      </c>
      <c r="K92" s="151">
        <v>0</v>
      </c>
      <c r="L92" s="151">
        <v>0</v>
      </c>
      <c r="M92" s="151">
        <v>0</v>
      </c>
      <c r="N92" s="151">
        <v>0</v>
      </c>
      <c r="O92" s="151">
        <v>0</v>
      </c>
      <c r="P92" s="151">
        <v>0</v>
      </c>
      <c r="Q92" s="151">
        <v>0</v>
      </c>
      <c r="R92" s="151">
        <v>0</v>
      </c>
      <c r="S92" s="151">
        <v>0</v>
      </c>
      <c r="T92" s="151">
        <v>0</v>
      </c>
      <c r="U92" s="151">
        <v>0</v>
      </c>
      <c r="V92" s="151">
        <v>0</v>
      </c>
      <c r="W92" s="151">
        <v>0</v>
      </c>
      <c r="X92" s="151">
        <v>0</v>
      </c>
      <c r="Y92" s="151">
        <v>0</v>
      </c>
      <c r="Z92" s="151">
        <v>0</v>
      </c>
      <c r="AA92" s="151">
        <v>0</v>
      </c>
      <c r="AB92" s="151">
        <v>0</v>
      </c>
      <c r="AC92" s="152">
        <v>0</v>
      </c>
      <c r="AD92" s="37"/>
      <c r="AE92" s="37"/>
      <c r="AF92" s="37"/>
      <c r="AG92" s="37"/>
      <c r="AH92" s="37"/>
      <c r="AI92" s="37"/>
      <c r="AJ92" s="37"/>
    </row>
    <row r="93" spans="1:41" customFormat="1" ht="26.4" customHeight="1" thickBot="1" x14ac:dyDescent="0.35">
      <c r="A93" s="802"/>
      <c r="B93" s="805"/>
      <c r="C93" s="805"/>
      <c r="D93" s="807"/>
      <c r="E93" s="494" t="s">
        <v>705</v>
      </c>
      <c r="F93" s="153">
        <v>0</v>
      </c>
      <c r="G93" s="153">
        <v>0</v>
      </c>
      <c r="H93" s="153">
        <v>0</v>
      </c>
      <c r="I93" s="153">
        <v>0</v>
      </c>
      <c r="J93" s="153">
        <v>0</v>
      </c>
      <c r="K93" s="153">
        <v>0</v>
      </c>
      <c r="L93" s="153">
        <v>0</v>
      </c>
      <c r="M93" s="153">
        <v>0</v>
      </c>
      <c r="N93" s="153">
        <v>0</v>
      </c>
      <c r="O93" s="153">
        <v>0</v>
      </c>
      <c r="P93" s="153">
        <v>0</v>
      </c>
      <c r="Q93" s="153">
        <v>0</v>
      </c>
      <c r="R93" s="153">
        <v>0</v>
      </c>
      <c r="S93" s="153">
        <v>0</v>
      </c>
      <c r="T93" s="153">
        <v>0</v>
      </c>
      <c r="U93" s="153">
        <v>0</v>
      </c>
      <c r="V93" s="153">
        <v>0</v>
      </c>
      <c r="W93" s="153">
        <v>0</v>
      </c>
      <c r="X93" s="153">
        <v>0</v>
      </c>
      <c r="Y93" s="153">
        <v>0</v>
      </c>
      <c r="Z93" s="153">
        <v>0</v>
      </c>
      <c r="AA93" s="153">
        <v>0</v>
      </c>
      <c r="AB93" s="153">
        <v>0</v>
      </c>
      <c r="AC93" s="154">
        <v>0</v>
      </c>
      <c r="AD93" s="37"/>
      <c r="AE93" s="37"/>
      <c r="AF93" s="37"/>
      <c r="AG93" s="37"/>
      <c r="AH93" s="37"/>
      <c r="AI93" s="37"/>
      <c r="AJ93" s="37"/>
    </row>
    <row r="94" spans="1:41" customFormat="1" ht="26.4" customHeight="1" x14ac:dyDescent="0.3">
      <c r="A94" s="808" t="s">
        <v>707</v>
      </c>
      <c r="B94" s="808" t="s">
        <v>102</v>
      </c>
      <c r="C94" s="808" t="s">
        <v>697</v>
      </c>
      <c r="D94" s="810" t="s">
        <v>701</v>
      </c>
      <c r="E94" s="495" t="s">
        <v>702</v>
      </c>
      <c r="F94" s="496">
        <v>0</v>
      </c>
      <c r="G94" s="496">
        <v>0</v>
      </c>
      <c r="H94" s="496">
        <v>0</v>
      </c>
      <c r="I94" s="496">
        <v>0</v>
      </c>
      <c r="J94" s="496">
        <v>0</v>
      </c>
      <c r="K94" s="496">
        <v>0</v>
      </c>
      <c r="L94" s="496">
        <v>0</v>
      </c>
      <c r="M94" s="496">
        <v>1</v>
      </c>
      <c r="N94" s="496">
        <v>1</v>
      </c>
      <c r="O94" s="496">
        <v>1</v>
      </c>
      <c r="P94" s="496">
        <v>1</v>
      </c>
      <c r="Q94" s="496">
        <v>1</v>
      </c>
      <c r="R94" s="496">
        <v>1</v>
      </c>
      <c r="S94" s="496">
        <v>1</v>
      </c>
      <c r="T94" s="496">
        <v>0</v>
      </c>
      <c r="U94" s="496">
        <v>0</v>
      </c>
      <c r="V94" s="496">
        <v>0</v>
      </c>
      <c r="W94" s="496">
        <v>0</v>
      </c>
      <c r="X94" s="496">
        <v>0</v>
      </c>
      <c r="Y94" s="496">
        <v>0</v>
      </c>
      <c r="Z94" s="496">
        <v>0</v>
      </c>
      <c r="AA94" s="496">
        <v>0</v>
      </c>
      <c r="AB94" s="496">
        <v>0</v>
      </c>
      <c r="AC94" s="497">
        <v>0</v>
      </c>
      <c r="AD94" s="37"/>
      <c r="AE94" s="37"/>
      <c r="AF94" s="37"/>
      <c r="AG94" s="37"/>
      <c r="AH94" s="37"/>
      <c r="AI94" s="37"/>
      <c r="AJ94" s="37"/>
    </row>
    <row r="95" spans="1:41" customFormat="1" ht="26.4" customHeight="1" x14ac:dyDescent="0.3">
      <c r="A95" s="804"/>
      <c r="B95" s="804"/>
      <c r="C95" s="804"/>
      <c r="D95" s="806"/>
      <c r="E95" s="493" t="s">
        <v>703</v>
      </c>
      <c r="F95" s="151">
        <v>0</v>
      </c>
      <c r="G95" s="151">
        <v>0</v>
      </c>
      <c r="H95" s="151">
        <v>0</v>
      </c>
      <c r="I95" s="151">
        <v>0</v>
      </c>
      <c r="J95" s="151">
        <v>0</v>
      </c>
      <c r="K95" s="151">
        <v>0</v>
      </c>
      <c r="L95" s="151">
        <v>0</v>
      </c>
      <c r="M95" s="240">
        <v>0</v>
      </c>
      <c r="N95" s="240">
        <v>0</v>
      </c>
      <c r="O95" s="240">
        <v>0</v>
      </c>
      <c r="P95" s="240">
        <v>0</v>
      </c>
      <c r="Q95" s="240">
        <v>0</v>
      </c>
      <c r="R95" s="240">
        <v>0</v>
      </c>
      <c r="S95" s="240">
        <v>0</v>
      </c>
      <c r="T95" s="240">
        <v>0</v>
      </c>
      <c r="U95" s="240">
        <v>0</v>
      </c>
      <c r="V95" s="240">
        <v>0</v>
      </c>
      <c r="W95" s="240">
        <v>0</v>
      </c>
      <c r="X95" s="151">
        <v>0</v>
      </c>
      <c r="Y95" s="151">
        <v>0</v>
      </c>
      <c r="Z95" s="151">
        <v>0</v>
      </c>
      <c r="AA95" s="151">
        <v>0</v>
      </c>
      <c r="AB95" s="151">
        <v>0</v>
      </c>
      <c r="AC95" s="152">
        <v>0</v>
      </c>
      <c r="AD95" s="37"/>
      <c r="AE95" s="37"/>
      <c r="AF95" s="37"/>
      <c r="AG95" s="37"/>
      <c r="AH95" s="37"/>
      <c r="AI95" s="37"/>
      <c r="AJ95" s="37"/>
    </row>
    <row r="96" spans="1:41" customFormat="1" ht="26.4" customHeight="1" x14ac:dyDescent="0.3">
      <c r="A96" s="804"/>
      <c r="B96" s="804"/>
      <c r="C96" s="804"/>
      <c r="D96" s="806"/>
      <c r="E96" s="493" t="s">
        <v>704</v>
      </c>
      <c r="F96" s="151">
        <v>0</v>
      </c>
      <c r="G96" s="151">
        <v>0</v>
      </c>
      <c r="H96" s="151">
        <v>0</v>
      </c>
      <c r="I96" s="151">
        <v>0</v>
      </c>
      <c r="J96" s="151">
        <v>0</v>
      </c>
      <c r="K96" s="151">
        <v>0</v>
      </c>
      <c r="L96" s="151">
        <v>0</v>
      </c>
      <c r="M96" s="151">
        <v>0</v>
      </c>
      <c r="N96" s="151">
        <v>0</v>
      </c>
      <c r="O96" s="151">
        <v>0</v>
      </c>
      <c r="P96" s="151">
        <v>0</v>
      </c>
      <c r="Q96" s="151">
        <v>0</v>
      </c>
      <c r="R96" s="151">
        <v>0</v>
      </c>
      <c r="S96" s="151">
        <v>0</v>
      </c>
      <c r="T96" s="151">
        <v>0</v>
      </c>
      <c r="U96" s="151">
        <v>0</v>
      </c>
      <c r="V96" s="151">
        <v>0</v>
      </c>
      <c r="W96" s="151">
        <v>0</v>
      </c>
      <c r="X96" s="151">
        <v>0</v>
      </c>
      <c r="Y96" s="151">
        <v>0</v>
      </c>
      <c r="Z96" s="151">
        <v>0</v>
      </c>
      <c r="AA96" s="151">
        <v>0</v>
      </c>
      <c r="AB96" s="151">
        <v>0</v>
      </c>
      <c r="AC96" s="152">
        <v>0</v>
      </c>
      <c r="AD96" s="37"/>
      <c r="AE96" s="37"/>
      <c r="AF96" s="37"/>
      <c r="AG96" s="37"/>
      <c r="AH96" s="37"/>
      <c r="AI96" s="37"/>
      <c r="AJ96" s="37"/>
    </row>
    <row r="97" spans="1:36" customFormat="1" ht="26.4" customHeight="1" thickBot="1" x14ac:dyDescent="0.35">
      <c r="A97" s="809"/>
      <c r="B97" s="809"/>
      <c r="C97" s="809"/>
      <c r="D97" s="811"/>
      <c r="E97" s="494" t="s">
        <v>705</v>
      </c>
      <c r="F97" s="153">
        <v>0</v>
      </c>
      <c r="G97" s="153">
        <v>0</v>
      </c>
      <c r="H97" s="153">
        <v>0</v>
      </c>
      <c r="I97" s="153">
        <v>0</v>
      </c>
      <c r="J97" s="153">
        <v>0</v>
      </c>
      <c r="K97" s="153">
        <v>0</v>
      </c>
      <c r="L97" s="153">
        <v>0</v>
      </c>
      <c r="M97" s="153">
        <v>0</v>
      </c>
      <c r="N97" s="153">
        <v>0</v>
      </c>
      <c r="O97" s="153">
        <v>0</v>
      </c>
      <c r="P97" s="153">
        <v>0</v>
      </c>
      <c r="Q97" s="153">
        <v>0</v>
      </c>
      <c r="R97" s="153">
        <v>0</v>
      </c>
      <c r="S97" s="153">
        <v>0</v>
      </c>
      <c r="T97" s="153">
        <v>0</v>
      </c>
      <c r="U97" s="153">
        <v>0</v>
      </c>
      <c r="V97" s="153">
        <v>0</v>
      </c>
      <c r="W97" s="153">
        <v>0</v>
      </c>
      <c r="X97" s="153">
        <v>0</v>
      </c>
      <c r="Y97" s="153">
        <v>0</v>
      </c>
      <c r="Z97" s="153">
        <v>0</v>
      </c>
      <c r="AA97" s="153">
        <v>0</v>
      </c>
      <c r="AB97" s="153">
        <v>0</v>
      </c>
      <c r="AC97" s="154">
        <v>0</v>
      </c>
      <c r="AD97" s="37"/>
      <c r="AE97" s="37"/>
      <c r="AF97" s="37"/>
      <c r="AG97" s="37"/>
      <c r="AH97" s="37"/>
      <c r="AI97" s="37"/>
      <c r="AJ97" s="37"/>
    </row>
    <row r="98" spans="1:36" customFormat="1" ht="26.4" customHeight="1" x14ac:dyDescent="0.3">
      <c r="A98" s="800" t="s">
        <v>707</v>
      </c>
      <c r="B98" s="803" t="s">
        <v>102</v>
      </c>
      <c r="C98" s="803" t="s">
        <v>691</v>
      </c>
      <c r="D98" s="766" t="s">
        <v>701</v>
      </c>
      <c r="E98" s="495" t="s">
        <v>702</v>
      </c>
      <c r="F98" s="496">
        <v>0</v>
      </c>
      <c r="G98" s="496">
        <v>0</v>
      </c>
      <c r="H98" s="496">
        <v>0</v>
      </c>
      <c r="I98" s="496">
        <v>0</v>
      </c>
      <c r="J98" s="496">
        <v>0</v>
      </c>
      <c r="K98" s="496">
        <v>0</v>
      </c>
      <c r="L98" s="496">
        <v>0</v>
      </c>
      <c r="M98" s="496">
        <v>1</v>
      </c>
      <c r="N98" s="496">
        <v>1</v>
      </c>
      <c r="O98" s="496">
        <v>1</v>
      </c>
      <c r="P98" s="496">
        <v>1</v>
      </c>
      <c r="Q98" s="496">
        <v>1</v>
      </c>
      <c r="R98" s="496">
        <v>1</v>
      </c>
      <c r="S98" s="496">
        <v>1</v>
      </c>
      <c r="T98" s="496">
        <v>0</v>
      </c>
      <c r="U98" s="496">
        <v>0</v>
      </c>
      <c r="V98" s="496">
        <v>0</v>
      </c>
      <c r="W98" s="496">
        <v>0</v>
      </c>
      <c r="X98" s="496">
        <v>0</v>
      </c>
      <c r="Y98" s="496">
        <v>0</v>
      </c>
      <c r="Z98" s="496">
        <v>0</v>
      </c>
      <c r="AA98" s="496">
        <v>0</v>
      </c>
      <c r="AB98" s="496">
        <v>0</v>
      </c>
      <c r="AC98" s="497">
        <v>0</v>
      </c>
      <c r="AD98" s="37"/>
      <c r="AE98" s="37"/>
      <c r="AF98" s="37"/>
      <c r="AG98" s="37"/>
      <c r="AH98" s="37"/>
      <c r="AI98" s="37"/>
      <c r="AJ98" s="37"/>
    </row>
    <row r="99" spans="1:36" customFormat="1" ht="26.4" customHeight="1" x14ac:dyDescent="0.3">
      <c r="A99" s="801"/>
      <c r="B99" s="804"/>
      <c r="C99" s="804"/>
      <c r="D99" s="806"/>
      <c r="E99" s="493" t="s">
        <v>703</v>
      </c>
      <c r="F99" s="151">
        <v>0</v>
      </c>
      <c r="G99" s="151">
        <v>0</v>
      </c>
      <c r="H99" s="151">
        <v>0</v>
      </c>
      <c r="I99" s="151">
        <v>0</v>
      </c>
      <c r="J99" s="151">
        <v>0</v>
      </c>
      <c r="K99" s="151">
        <v>0</v>
      </c>
      <c r="L99" s="151">
        <v>0</v>
      </c>
      <c r="M99" s="151">
        <v>0</v>
      </c>
      <c r="N99" s="151">
        <v>0</v>
      </c>
      <c r="O99" s="151">
        <v>0</v>
      </c>
      <c r="P99" s="151">
        <v>0</v>
      </c>
      <c r="Q99" s="151">
        <v>0</v>
      </c>
      <c r="R99" s="151">
        <v>0</v>
      </c>
      <c r="S99" s="151">
        <v>0</v>
      </c>
      <c r="T99" s="151">
        <v>0</v>
      </c>
      <c r="U99" s="151">
        <v>0</v>
      </c>
      <c r="V99" s="151">
        <v>0</v>
      </c>
      <c r="W99" s="151">
        <v>0</v>
      </c>
      <c r="X99" s="151">
        <v>0</v>
      </c>
      <c r="Y99" s="151">
        <v>0</v>
      </c>
      <c r="Z99" s="151">
        <v>0</v>
      </c>
      <c r="AA99" s="151">
        <v>0</v>
      </c>
      <c r="AB99" s="151">
        <v>0</v>
      </c>
      <c r="AC99" s="152">
        <v>0</v>
      </c>
      <c r="AD99" s="37"/>
      <c r="AE99" s="37"/>
      <c r="AF99" s="37"/>
      <c r="AG99" s="37"/>
      <c r="AH99" s="37"/>
      <c r="AI99" s="37"/>
      <c r="AJ99" s="37"/>
    </row>
    <row r="100" spans="1:36" customFormat="1" ht="26.4" customHeight="1" x14ac:dyDescent="0.3">
      <c r="A100" s="801"/>
      <c r="B100" s="804"/>
      <c r="C100" s="804"/>
      <c r="D100" s="806"/>
      <c r="E100" s="493" t="s">
        <v>704</v>
      </c>
      <c r="F100" s="151">
        <v>0</v>
      </c>
      <c r="G100" s="151">
        <v>0</v>
      </c>
      <c r="H100" s="151">
        <v>0</v>
      </c>
      <c r="I100" s="151">
        <v>0</v>
      </c>
      <c r="J100" s="151">
        <v>0</v>
      </c>
      <c r="K100" s="151">
        <v>0</v>
      </c>
      <c r="L100" s="151">
        <v>0</v>
      </c>
      <c r="M100" s="151">
        <v>0</v>
      </c>
      <c r="N100" s="151">
        <v>0</v>
      </c>
      <c r="O100" s="151">
        <v>0</v>
      </c>
      <c r="P100" s="151">
        <v>0</v>
      </c>
      <c r="Q100" s="151">
        <v>0</v>
      </c>
      <c r="R100" s="151">
        <v>0</v>
      </c>
      <c r="S100" s="151">
        <v>0</v>
      </c>
      <c r="T100" s="151">
        <v>0</v>
      </c>
      <c r="U100" s="151">
        <v>0</v>
      </c>
      <c r="V100" s="151">
        <v>0</v>
      </c>
      <c r="W100" s="151">
        <v>0</v>
      </c>
      <c r="X100" s="151">
        <v>0</v>
      </c>
      <c r="Y100" s="151">
        <v>0</v>
      </c>
      <c r="Z100" s="151">
        <v>0</v>
      </c>
      <c r="AA100" s="151">
        <v>0</v>
      </c>
      <c r="AB100" s="151">
        <v>0</v>
      </c>
      <c r="AC100" s="152">
        <v>0</v>
      </c>
      <c r="AD100" s="37"/>
      <c r="AE100" s="37"/>
      <c r="AF100" s="37"/>
      <c r="AG100" s="37"/>
      <c r="AH100" s="37"/>
      <c r="AI100" s="37"/>
      <c r="AJ100" s="37"/>
    </row>
    <row r="101" spans="1:36" customFormat="1" ht="26.4" customHeight="1" thickBot="1" x14ac:dyDescent="0.35">
      <c r="A101" s="802"/>
      <c r="B101" s="805"/>
      <c r="C101" s="805"/>
      <c r="D101" s="807"/>
      <c r="E101" s="494" t="s">
        <v>705</v>
      </c>
      <c r="F101" s="153">
        <v>0</v>
      </c>
      <c r="G101" s="153">
        <v>0</v>
      </c>
      <c r="H101" s="153">
        <v>0</v>
      </c>
      <c r="I101" s="153">
        <v>0</v>
      </c>
      <c r="J101" s="153">
        <v>0</v>
      </c>
      <c r="K101" s="153">
        <v>0</v>
      </c>
      <c r="L101" s="153">
        <v>0</v>
      </c>
      <c r="M101" s="153">
        <v>0</v>
      </c>
      <c r="N101" s="153">
        <v>0</v>
      </c>
      <c r="O101" s="153">
        <v>0</v>
      </c>
      <c r="P101" s="153">
        <v>0</v>
      </c>
      <c r="Q101" s="153">
        <v>0</v>
      </c>
      <c r="R101" s="153">
        <v>0</v>
      </c>
      <c r="S101" s="153">
        <v>0</v>
      </c>
      <c r="T101" s="153">
        <v>0</v>
      </c>
      <c r="U101" s="153">
        <v>0</v>
      </c>
      <c r="V101" s="153">
        <v>0</v>
      </c>
      <c r="W101" s="153">
        <v>0</v>
      </c>
      <c r="X101" s="153">
        <v>0</v>
      </c>
      <c r="Y101" s="153">
        <v>0</v>
      </c>
      <c r="Z101" s="153">
        <v>0</v>
      </c>
      <c r="AA101" s="153">
        <v>0</v>
      </c>
      <c r="AB101" s="153">
        <v>0</v>
      </c>
      <c r="AC101" s="154">
        <v>0</v>
      </c>
      <c r="AD101" s="37"/>
      <c r="AE101" s="37"/>
      <c r="AF101" s="37"/>
      <c r="AG101" s="37"/>
      <c r="AH101" s="37"/>
      <c r="AI101" s="37"/>
      <c r="AJ101" s="37"/>
    </row>
    <row r="102" spans="1:36" customFormat="1" ht="26.4" customHeight="1" x14ac:dyDescent="0.3">
      <c r="A102" s="800" t="s">
        <v>707</v>
      </c>
      <c r="B102" s="803" t="s">
        <v>102</v>
      </c>
      <c r="C102" s="803" t="s">
        <v>692</v>
      </c>
      <c r="D102" s="766" t="s">
        <v>701</v>
      </c>
      <c r="E102" s="495" t="s">
        <v>702</v>
      </c>
      <c r="F102" s="496">
        <v>0.05</v>
      </c>
      <c r="G102" s="496">
        <v>0.05</v>
      </c>
      <c r="H102" s="496">
        <v>0.05</v>
      </c>
      <c r="I102" s="496">
        <v>0.05</v>
      </c>
      <c r="J102" s="496">
        <v>0.05</v>
      </c>
      <c r="K102" s="496">
        <v>0.05</v>
      </c>
      <c r="L102" s="496">
        <v>0.05</v>
      </c>
      <c r="M102" s="496">
        <v>0.5</v>
      </c>
      <c r="N102" s="496">
        <v>0.05</v>
      </c>
      <c r="O102" s="496">
        <v>0.05</v>
      </c>
      <c r="P102" s="496">
        <v>0.05</v>
      </c>
      <c r="Q102" s="496">
        <v>0.05</v>
      </c>
      <c r="R102" s="496">
        <v>0.05</v>
      </c>
      <c r="S102" s="496">
        <v>0.5</v>
      </c>
      <c r="T102" s="496">
        <v>0.05</v>
      </c>
      <c r="U102" s="496">
        <v>0.05</v>
      </c>
      <c r="V102" s="496">
        <v>0.05</v>
      </c>
      <c r="W102" s="496">
        <v>0.05</v>
      </c>
      <c r="X102" s="496">
        <v>0.05</v>
      </c>
      <c r="Y102" s="496">
        <v>0.05</v>
      </c>
      <c r="Z102" s="496">
        <v>0.05</v>
      </c>
      <c r="AA102" s="496">
        <v>0.05</v>
      </c>
      <c r="AB102" s="496">
        <v>0.05</v>
      </c>
      <c r="AC102" s="497">
        <v>0.05</v>
      </c>
      <c r="AD102" s="37"/>
      <c r="AE102" s="37"/>
      <c r="AF102" s="37"/>
      <c r="AG102" s="37"/>
      <c r="AH102" s="37"/>
      <c r="AI102" s="37"/>
      <c r="AJ102" s="37"/>
    </row>
    <row r="103" spans="1:36" customFormat="1" ht="26.4" customHeight="1" x14ac:dyDescent="0.3">
      <c r="A103" s="801"/>
      <c r="B103" s="804"/>
      <c r="C103" s="804"/>
      <c r="D103" s="806"/>
      <c r="E103" s="493" t="s">
        <v>703</v>
      </c>
      <c r="F103" s="151">
        <v>0</v>
      </c>
      <c r="G103" s="151">
        <v>0</v>
      </c>
      <c r="H103" s="151">
        <v>0</v>
      </c>
      <c r="I103" s="151">
        <v>0</v>
      </c>
      <c r="J103" s="151">
        <v>0</v>
      </c>
      <c r="K103" s="151">
        <v>0</v>
      </c>
      <c r="L103" s="151">
        <v>0</v>
      </c>
      <c r="M103" s="151">
        <v>0</v>
      </c>
      <c r="N103" s="151">
        <v>0</v>
      </c>
      <c r="O103" s="151">
        <v>0</v>
      </c>
      <c r="P103" s="151">
        <v>0</v>
      </c>
      <c r="Q103" s="151">
        <v>0</v>
      </c>
      <c r="R103" s="151">
        <v>0</v>
      </c>
      <c r="S103" s="151">
        <v>0</v>
      </c>
      <c r="T103" s="151">
        <v>0</v>
      </c>
      <c r="U103" s="151">
        <v>0</v>
      </c>
      <c r="V103" s="151">
        <v>0</v>
      </c>
      <c r="W103" s="151">
        <v>0</v>
      </c>
      <c r="X103" s="151">
        <v>0</v>
      </c>
      <c r="Y103" s="151">
        <v>0</v>
      </c>
      <c r="Z103" s="151">
        <v>0</v>
      </c>
      <c r="AA103" s="151">
        <v>0</v>
      </c>
      <c r="AB103" s="151">
        <v>0</v>
      </c>
      <c r="AC103" s="152">
        <v>0</v>
      </c>
      <c r="AD103" s="37"/>
      <c r="AE103" s="37"/>
      <c r="AF103" s="37"/>
      <c r="AG103" s="37"/>
      <c r="AH103" s="37"/>
      <c r="AI103" s="37"/>
      <c r="AJ103" s="37"/>
    </row>
    <row r="104" spans="1:36" customFormat="1" ht="26.4" customHeight="1" x14ac:dyDescent="0.3">
      <c r="A104" s="801"/>
      <c r="B104" s="804"/>
      <c r="C104" s="804"/>
      <c r="D104" s="806"/>
      <c r="E104" s="493" t="s">
        <v>704</v>
      </c>
      <c r="F104" s="151">
        <v>0</v>
      </c>
      <c r="G104" s="151">
        <v>0</v>
      </c>
      <c r="H104" s="151">
        <v>0</v>
      </c>
      <c r="I104" s="151">
        <v>0</v>
      </c>
      <c r="J104" s="151">
        <v>0</v>
      </c>
      <c r="K104" s="151">
        <v>0</v>
      </c>
      <c r="L104" s="151">
        <v>0</v>
      </c>
      <c r="M104" s="151">
        <v>0</v>
      </c>
      <c r="N104" s="151">
        <v>0</v>
      </c>
      <c r="O104" s="151">
        <v>0</v>
      </c>
      <c r="P104" s="151">
        <v>0</v>
      </c>
      <c r="Q104" s="151">
        <v>0</v>
      </c>
      <c r="R104" s="151">
        <v>0</v>
      </c>
      <c r="S104" s="151">
        <v>0</v>
      </c>
      <c r="T104" s="151">
        <v>0</v>
      </c>
      <c r="U104" s="151">
        <v>0</v>
      </c>
      <c r="V104" s="151">
        <v>0</v>
      </c>
      <c r="W104" s="151">
        <v>0</v>
      </c>
      <c r="X104" s="151">
        <v>0</v>
      </c>
      <c r="Y104" s="151">
        <v>0</v>
      </c>
      <c r="Z104" s="151">
        <v>0</v>
      </c>
      <c r="AA104" s="151">
        <v>0</v>
      </c>
      <c r="AB104" s="151">
        <v>0</v>
      </c>
      <c r="AC104" s="152">
        <v>0</v>
      </c>
      <c r="AD104" s="37"/>
      <c r="AE104" s="37"/>
      <c r="AF104" s="37"/>
      <c r="AG104" s="37"/>
      <c r="AH104" s="37"/>
      <c r="AI104" s="37"/>
      <c r="AJ104" s="37"/>
    </row>
    <row r="105" spans="1:36" customFormat="1" ht="26.4" customHeight="1" thickBot="1" x14ac:dyDescent="0.35">
      <c r="A105" s="802"/>
      <c r="B105" s="805"/>
      <c r="C105" s="805"/>
      <c r="D105" s="807"/>
      <c r="E105" s="494" t="s">
        <v>705</v>
      </c>
      <c r="F105" s="153">
        <v>0</v>
      </c>
      <c r="G105" s="153">
        <v>0</v>
      </c>
      <c r="H105" s="153">
        <v>0</v>
      </c>
      <c r="I105" s="153">
        <v>0</v>
      </c>
      <c r="J105" s="153">
        <v>0</v>
      </c>
      <c r="K105" s="153">
        <v>0</v>
      </c>
      <c r="L105" s="153">
        <v>0</v>
      </c>
      <c r="M105" s="153">
        <v>0</v>
      </c>
      <c r="N105" s="153">
        <v>0</v>
      </c>
      <c r="O105" s="153">
        <v>0</v>
      </c>
      <c r="P105" s="153">
        <v>0</v>
      </c>
      <c r="Q105" s="153">
        <v>0</v>
      </c>
      <c r="R105" s="153">
        <v>0</v>
      </c>
      <c r="S105" s="153">
        <v>0</v>
      </c>
      <c r="T105" s="153">
        <v>0</v>
      </c>
      <c r="U105" s="153">
        <v>0</v>
      </c>
      <c r="V105" s="153">
        <v>0</v>
      </c>
      <c r="W105" s="153">
        <v>0</v>
      </c>
      <c r="X105" s="153">
        <v>0</v>
      </c>
      <c r="Y105" s="153">
        <v>0</v>
      </c>
      <c r="Z105" s="153">
        <v>0</v>
      </c>
      <c r="AA105" s="153">
        <v>0</v>
      </c>
      <c r="AB105" s="153">
        <v>0</v>
      </c>
      <c r="AC105" s="154">
        <v>0</v>
      </c>
      <c r="AD105" s="37"/>
      <c r="AE105" s="37"/>
      <c r="AF105" s="37"/>
      <c r="AG105" s="37"/>
      <c r="AH105" s="37"/>
      <c r="AI105" s="37"/>
      <c r="AJ105" s="37"/>
    </row>
    <row r="106" spans="1:36" customFormat="1" ht="23.4" customHeight="1" x14ac:dyDescent="0.3">
      <c r="A106" s="800" t="s">
        <v>707</v>
      </c>
      <c r="B106" s="803" t="s">
        <v>102</v>
      </c>
      <c r="C106" s="803" t="s">
        <v>698</v>
      </c>
      <c r="D106" s="766" t="s">
        <v>701</v>
      </c>
      <c r="E106" s="495" t="s">
        <v>702</v>
      </c>
      <c r="F106" s="425">
        <v>60</v>
      </c>
      <c r="G106" s="425">
        <v>60</v>
      </c>
      <c r="H106" s="425">
        <v>60</v>
      </c>
      <c r="I106" s="425">
        <v>60</v>
      </c>
      <c r="J106" s="425">
        <v>60</v>
      </c>
      <c r="K106" s="425">
        <v>60</v>
      </c>
      <c r="L106" s="425">
        <v>60</v>
      </c>
      <c r="M106" s="425">
        <v>70</v>
      </c>
      <c r="N106" s="425">
        <v>70</v>
      </c>
      <c r="O106" s="425">
        <v>70</v>
      </c>
      <c r="P106" s="425">
        <v>70</v>
      </c>
      <c r="Q106" s="425">
        <v>70</v>
      </c>
      <c r="R106" s="425">
        <v>70</v>
      </c>
      <c r="S106" s="425">
        <v>70</v>
      </c>
      <c r="T106" s="425">
        <v>60</v>
      </c>
      <c r="U106" s="425">
        <v>60</v>
      </c>
      <c r="V106" s="425">
        <v>60</v>
      </c>
      <c r="W106" s="425">
        <v>60</v>
      </c>
      <c r="X106" s="425">
        <v>60</v>
      </c>
      <c r="Y106" s="425">
        <v>60</v>
      </c>
      <c r="Z106" s="425">
        <v>60</v>
      </c>
      <c r="AA106" s="425">
        <v>60</v>
      </c>
      <c r="AB106" s="425">
        <v>60</v>
      </c>
      <c r="AC106" s="426">
        <v>60</v>
      </c>
      <c r="AD106" s="37"/>
      <c r="AE106" s="37"/>
      <c r="AF106" s="37"/>
      <c r="AG106" s="37"/>
      <c r="AH106" s="37"/>
      <c r="AI106" s="37"/>
      <c r="AJ106" s="37"/>
    </row>
    <row r="107" spans="1:36" customFormat="1" ht="23.4" customHeight="1" x14ac:dyDescent="0.3">
      <c r="A107" s="801"/>
      <c r="B107" s="804"/>
      <c r="C107" s="804"/>
      <c r="D107" s="806"/>
      <c r="E107" s="493" t="s">
        <v>703</v>
      </c>
      <c r="F107" s="156">
        <v>60</v>
      </c>
      <c r="G107" s="156">
        <v>60</v>
      </c>
      <c r="H107" s="156">
        <v>60</v>
      </c>
      <c r="I107" s="156">
        <v>60</v>
      </c>
      <c r="J107" s="156">
        <v>60</v>
      </c>
      <c r="K107" s="156">
        <v>60</v>
      </c>
      <c r="L107" s="156">
        <v>60</v>
      </c>
      <c r="M107" s="156">
        <v>60</v>
      </c>
      <c r="N107" s="156">
        <v>60</v>
      </c>
      <c r="O107" s="156">
        <v>60</v>
      </c>
      <c r="P107" s="156">
        <v>60</v>
      </c>
      <c r="Q107" s="156">
        <v>60</v>
      </c>
      <c r="R107" s="156">
        <v>60</v>
      </c>
      <c r="S107" s="156">
        <v>60</v>
      </c>
      <c r="T107" s="156">
        <v>60</v>
      </c>
      <c r="U107" s="156">
        <v>60</v>
      </c>
      <c r="V107" s="156">
        <v>60</v>
      </c>
      <c r="W107" s="156">
        <v>60</v>
      </c>
      <c r="X107" s="156">
        <v>60</v>
      </c>
      <c r="Y107" s="156">
        <v>60</v>
      </c>
      <c r="Z107" s="156">
        <v>60</v>
      </c>
      <c r="AA107" s="156">
        <v>60</v>
      </c>
      <c r="AB107" s="156">
        <v>60</v>
      </c>
      <c r="AC107" s="157">
        <v>60</v>
      </c>
      <c r="AD107" s="37"/>
      <c r="AE107" s="37"/>
      <c r="AF107" s="37"/>
      <c r="AG107" s="37"/>
      <c r="AH107" s="37"/>
      <c r="AI107" s="37"/>
      <c r="AJ107" s="37"/>
    </row>
    <row r="108" spans="1:36" customFormat="1" ht="23.4" customHeight="1" x14ac:dyDescent="0.3">
      <c r="A108" s="801"/>
      <c r="B108" s="804"/>
      <c r="C108" s="804"/>
      <c r="D108" s="806"/>
      <c r="E108" s="493" t="s">
        <v>704</v>
      </c>
      <c r="F108" s="156">
        <f>IF(F96=1,Thermostat!$B$3,Thermostat!$B$4)</f>
        <v>60</v>
      </c>
      <c r="G108" s="156">
        <f>IF(G96=1,Thermostat!$B$3,Thermostat!$B$4)</f>
        <v>60</v>
      </c>
      <c r="H108" s="156">
        <f>IF(H96=1,Thermostat!$B$3,Thermostat!$B$4)</f>
        <v>60</v>
      </c>
      <c r="I108" s="156">
        <f>IF(I96=1,Thermostat!$B$3,Thermostat!$B$4)</f>
        <v>60</v>
      </c>
      <c r="J108" s="156">
        <f>IF(J96=1,Thermostat!$B$3,Thermostat!$B$4)</f>
        <v>60</v>
      </c>
      <c r="K108" s="156">
        <f>IF(K96=1,Thermostat!$B$3,Thermostat!$B$4)</f>
        <v>60</v>
      </c>
      <c r="L108" s="156">
        <f>IF(L96=1,Thermostat!$B$3,Thermostat!$B$4)</f>
        <v>60</v>
      </c>
      <c r="M108" s="156">
        <f>IF(M96=1,Thermostat!$B$3,Thermostat!$B$4)</f>
        <v>60</v>
      </c>
      <c r="N108" s="156">
        <f>IF(N96=1,Thermostat!$B$3,Thermostat!$B$4)</f>
        <v>60</v>
      </c>
      <c r="O108" s="156">
        <f>IF(O96=1,Thermostat!$B$3,Thermostat!$B$4)</f>
        <v>60</v>
      </c>
      <c r="P108" s="156">
        <f>IF(P96=1,Thermostat!$B$3,Thermostat!$B$4)</f>
        <v>60</v>
      </c>
      <c r="Q108" s="156">
        <f>IF(Q96=1,Thermostat!$B$3,Thermostat!$B$4)</f>
        <v>60</v>
      </c>
      <c r="R108" s="156">
        <f>IF(R96=1,Thermostat!$B$3,Thermostat!$B$4)</f>
        <v>60</v>
      </c>
      <c r="S108" s="156">
        <f>IF(S96=1,Thermostat!$B$3,Thermostat!$B$4)</f>
        <v>60</v>
      </c>
      <c r="T108" s="156">
        <f>IF(T96=1,Thermostat!$B$3,Thermostat!$B$4)</f>
        <v>60</v>
      </c>
      <c r="U108" s="156">
        <f>IF(U96=1,Thermostat!$B$3,Thermostat!$B$4)</f>
        <v>60</v>
      </c>
      <c r="V108" s="156">
        <f>IF(V96=1,Thermostat!$B$3,Thermostat!$B$4)</f>
        <v>60</v>
      </c>
      <c r="W108" s="156">
        <f>IF(W96=1,Thermostat!$B$3,Thermostat!$B$4)</f>
        <v>60</v>
      </c>
      <c r="X108" s="156">
        <f>IF(X96=1,Thermostat!$B$3,Thermostat!$B$4)</f>
        <v>60</v>
      </c>
      <c r="Y108" s="156">
        <f>IF(Y96=1,Thermostat!$B$3,Thermostat!$B$4)</f>
        <v>60</v>
      </c>
      <c r="Z108" s="156">
        <f>IF(Z96=1,Thermostat!$B$3,Thermostat!$B$4)</f>
        <v>60</v>
      </c>
      <c r="AA108" s="156">
        <f>IF(AA96=1,Thermostat!$B$3,Thermostat!$B$4)</f>
        <v>60</v>
      </c>
      <c r="AB108" s="156">
        <f>IF(AB96=1,Thermostat!$B$3,Thermostat!$B$4)</f>
        <v>60</v>
      </c>
      <c r="AC108" s="157">
        <f>IF(AC96=1,Thermostat!$B$3,Thermostat!$B$4)</f>
        <v>60</v>
      </c>
      <c r="AD108" s="37"/>
      <c r="AE108" s="37"/>
      <c r="AF108" s="37"/>
      <c r="AG108" s="37"/>
      <c r="AH108" s="37"/>
      <c r="AI108" s="37"/>
      <c r="AJ108" s="37"/>
    </row>
    <row r="109" spans="1:36" customFormat="1" ht="23.4" customHeight="1" thickBot="1" x14ac:dyDescent="0.35">
      <c r="A109" s="802"/>
      <c r="B109" s="805"/>
      <c r="C109" s="805"/>
      <c r="D109" s="807"/>
      <c r="E109" s="494" t="s">
        <v>705</v>
      </c>
      <c r="F109" s="158">
        <v>60</v>
      </c>
      <c r="G109" s="158">
        <v>60</v>
      </c>
      <c r="H109" s="158">
        <v>60</v>
      </c>
      <c r="I109" s="158">
        <v>60</v>
      </c>
      <c r="J109" s="158">
        <v>60</v>
      </c>
      <c r="K109" s="158">
        <v>60</v>
      </c>
      <c r="L109" s="158">
        <v>60</v>
      </c>
      <c r="M109" s="158">
        <v>60</v>
      </c>
      <c r="N109" s="158">
        <v>60</v>
      </c>
      <c r="O109" s="158">
        <v>60</v>
      </c>
      <c r="P109" s="158">
        <v>60</v>
      </c>
      <c r="Q109" s="158">
        <v>60</v>
      </c>
      <c r="R109" s="158">
        <v>60</v>
      </c>
      <c r="S109" s="158">
        <v>60</v>
      </c>
      <c r="T109" s="158">
        <v>60</v>
      </c>
      <c r="U109" s="158">
        <v>60</v>
      </c>
      <c r="V109" s="158">
        <v>60</v>
      </c>
      <c r="W109" s="158">
        <v>60</v>
      </c>
      <c r="X109" s="158">
        <v>60</v>
      </c>
      <c r="Y109" s="158">
        <v>60</v>
      </c>
      <c r="Z109" s="158">
        <v>60</v>
      </c>
      <c r="AA109" s="158">
        <v>60</v>
      </c>
      <c r="AB109" s="158">
        <v>60</v>
      </c>
      <c r="AC109" s="159">
        <v>60</v>
      </c>
      <c r="AD109" s="37"/>
      <c r="AE109" s="37"/>
      <c r="AF109" s="37"/>
      <c r="AG109" s="37"/>
      <c r="AH109" s="37"/>
      <c r="AI109" s="37"/>
      <c r="AJ109" s="37"/>
    </row>
    <row r="110" spans="1:36" customFormat="1" ht="24.6" customHeight="1" x14ac:dyDescent="0.3">
      <c r="A110" s="800" t="s">
        <v>707</v>
      </c>
      <c r="B110" s="803" t="s">
        <v>102</v>
      </c>
      <c r="C110" s="803" t="s">
        <v>699</v>
      </c>
      <c r="D110" s="766" t="s">
        <v>701</v>
      </c>
      <c r="E110" s="495" t="s">
        <v>702</v>
      </c>
      <c r="F110" s="425">
        <v>85</v>
      </c>
      <c r="G110" s="425">
        <v>85</v>
      </c>
      <c r="H110" s="425">
        <v>85</v>
      </c>
      <c r="I110" s="425">
        <v>85</v>
      </c>
      <c r="J110" s="425">
        <v>85</v>
      </c>
      <c r="K110" s="425">
        <v>85</v>
      </c>
      <c r="L110" s="425">
        <v>85</v>
      </c>
      <c r="M110" s="425">
        <v>75</v>
      </c>
      <c r="N110" s="425">
        <v>75</v>
      </c>
      <c r="O110" s="425">
        <v>75</v>
      </c>
      <c r="P110" s="425">
        <v>75</v>
      </c>
      <c r="Q110" s="425">
        <v>75</v>
      </c>
      <c r="R110" s="425">
        <v>75</v>
      </c>
      <c r="S110" s="425">
        <v>75</v>
      </c>
      <c r="T110" s="425">
        <v>85</v>
      </c>
      <c r="U110" s="425">
        <v>85</v>
      </c>
      <c r="V110" s="425">
        <v>85</v>
      </c>
      <c r="W110" s="425">
        <v>85</v>
      </c>
      <c r="X110" s="425">
        <v>85</v>
      </c>
      <c r="Y110" s="425">
        <v>85</v>
      </c>
      <c r="Z110" s="425">
        <v>85</v>
      </c>
      <c r="AA110" s="425">
        <v>85</v>
      </c>
      <c r="AB110" s="425">
        <v>85</v>
      </c>
      <c r="AC110" s="426">
        <v>85</v>
      </c>
      <c r="AD110" s="37"/>
      <c r="AE110" s="37"/>
      <c r="AF110" s="37"/>
      <c r="AG110" s="37"/>
      <c r="AH110" s="37"/>
      <c r="AI110" s="37"/>
      <c r="AJ110" s="37"/>
    </row>
    <row r="111" spans="1:36" customFormat="1" ht="25.2" customHeight="1" x14ac:dyDescent="0.3">
      <c r="A111" s="801"/>
      <c r="B111" s="804"/>
      <c r="C111" s="804"/>
      <c r="D111" s="806"/>
      <c r="E111" s="493" t="s">
        <v>703</v>
      </c>
      <c r="F111" s="156">
        <v>85</v>
      </c>
      <c r="G111" s="156">
        <v>85</v>
      </c>
      <c r="H111" s="156">
        <v>85</v>
      </c>
      <c r="I111" s="156">
        <v>85</v>
      </c>
      <c r="J111" s="156">
        <v>85</v>
      </c>
      <c r="K111" s="156">
        <v>85</v>
      </c>
      <c r="L111" s="156">
        <v>85</v>
      </c>
      <c r="M111" s="156">
        <v>85</v>
      </c>
      <c r="N111" s="156">
        <v>85</v>
      </c>
      <c r="O111" s="156">
        <v>85</v>
      </c>
      <c r="P111" s="156">
        <v>85</v>
      </c>
      <c r="Q111" s="156">
        <v>85</v>
      </c>
      <c r="R111" s="156">
        <v>85</v>
      </c>
      <c r="S111" s="156">
        <v>85</v>
      </c>
      <c r="T111" s="156">
        <v>85</v>
      </c>
      <c r="U111" s="156">
        <v>85</v>
      </c>
      <c r="V111" s="156">
        <v>85</v>
      </c>
      <c r="W111" s="156">
        <v>85</v>
      </c>
      <c r="X111" s="156">
        <v>85</v>
      </c>
      <c r="Y111" s="156">
        <v>85</v>
      </c>
      <c r="Z111" s="156">
        <v>85</v>
      </c>
      <c r="AA111" s="156">
        <v>85</v>
      </c>
      <c r="AB111" s="156">
        <v>85</v>
      </c>
      <c r="AC111" s="157">
        <v>85</v>
      </c>
      <c r="AD111" s="37"/>
      <c r="AE111" s="37"/>
      <c r="AF111" s="37"/>
      <c r="AG111" s="37"/>
      <c r="AH111" s="37"/>
      <c r="AI111" s="37"/>
      <c r="AJ111" s="37"/>
    </row>
    <row r="112" spans="1:36" customFormat="1" ht="25.2" customHeight="1" x14ac:dyDescent="0.3">
      <c r="A112" s="801"/>
      <c r="B112" s="804"/>
      <c r="C112" s="804"/>
      <c r="D112" s="806"/>
      <c r="E112" s="493" t="s">
        <v>704</v>
      </c>
      <c r="F112" s="156">
        <f>IF(F96=1,Thermostat!$B$5,Thermostat!$B$6)</f>
        <v>85</v>
      </c>
      <c r="G112" s="156">
        <f>IF(G96=1,Thermostat!$B$5,Thermostat!$B$6)</f>
        <v>85</v>
      </c>
      <c r="H112" s="156">
        <f>IF(H96=1,Thermostat!$B$5,Thermostat!$B$6)</f>
        <v>85</v>
      </c>
      <c r="I112" s="156">
        <f>IF(I96=1,Thermostat!$B$5,Thermostat!$B$6)</f>
        <v>85</v>
      </c>
      <c r="J112" s="156">
        <f>IF(J96=1,Thermostat!$B$5,Thermostat!$B$6)</f>
        <v>85</v>
      </c>
      <c r="K112" s="156">
        <f>IF(K96=1,Thermostat!$B$5,Thermostat!$B$6)</f>
        <v>85</v>
      </c>
      <c r="L112" s="156">
        <f>IF(L96=1,Thermostat!$B$5,Thermostat!$B$6)</f>
        <v>85</v>
      </c>
      <c r="M112" s="156">
        <f>IF(M96=1,Thermostat!$B$5,Thermostat!$B$6)</f>
        <v>85</v>
      </c>
      <c r="N112" s="156">
        <f>IF(N96=1,Thermostat!$B$5,Thermostat!$B$6)</f>
        <v>85</v>
      </c>
      <c r="O112" s="156">
        <f>IF(O96=1,Thermostat!$B$5,Thermostat!$B$6)</f>
        <v>85</v>
      </c>
      <c r="P112" s="156">
        <f>IF(P96=1,Thermostat!$B$5,Thermostat!$B$6)</f>
        <v>85</v>
      </c>
      <c r="Q112" s="156">
        <f>IF(Q96=1,Thermostat!$B$5,Thermostat!$B$6)</f>
        <v>85</v>
      </c>
      <c r="R112" s="156">
        <f>IF(R96=1,Thermostat!$B$5,Thermostat!$B$6)</f>
        <v>85</v>
      </c>
      <c r="S112" s="156">
        <f>IF(S96=1,Thermostat!$B$5,Thermostat!$B$6)</f>
        <v>85</v>
      </c>
      <c r="T112" s="156">
        <f>IF(T96=1,Thermostat!$B$5,Thermostat!$B$6)</f>
        <v>85</v>
      </c>
      <c r="U112" s="156">
        <f>IF(U96=1,Thermostat!$B$5,Thermostat!$B$6)</f>
        <v>85</v>
      </c>
      <c r="V112" s="156">
        <f>IF(V96=1,Thermostat!$B$5,Thermostat!$B$6)</f>
        <v>85</v>
      </c>
      <c r="W112" s="156">
        <f>IF(W96=1,Thermostat!$B$5,Thermostat!$B$6)</f>
        <v>85</v>
      </c>
      <c r="X112" s="156">
        <f>IF(X96=1,Thermostat!$B$5,Thermostat!$B$6)</f>
        <v>85</v>
      </c>
      <c r="Y112" s="156">
        <f>IF(Y96=1,Thermostat!$B$5,Thermostat!$B$6)</f>
        <v>85</v>
      </c>
      <c r="Z112" s="156">
        <f>IF(Z96=1,Thermostat!$B$5,Thermostat!$B$6)</f>
        <v>85</v>
      </c>
      <c r="AA112" s="156">
        <f>IF(AA96=1,Thermostat!$B$5,Thermostat!$B$6)</f>
        <v>85</v>
      </c>
      <c r="AB112" s="156">
        <f>IF(AB96=1,Thermostat!$B$5,Thermostat!$B$6)</f>
        <v>85</v>
      </c>
      <c r="AC112" s="157">
        <f>IF(AC96=1,Thermostat!$B$5,Thermostat!$B$6)</f>
        <v>85</v>
      </c>
      <c r="AD112" s="37"/>
      <c r="AE112" s="37"/>
      <c r="AF112" s="37"/>
      <c r="AG112" s="37"/>
      <c r="AH112" s="37"/>
      <c r="AI112" s="37"/>
      <c r="AJ112" s="37"/>
    </row>
    <row r="113" spans="1:36" customFormat="1" ht="25.2" customHeight="1" thickBot="1" x14ac:dyDescent="0.35">
      <c r="A113" s="802"/>
      <c r="B113" s="805"/>
      <c r="C113" s="805"/>
      <c r="D113" s="807"/>
      <c r="E113" s="494" t="s">
        <v>705</v>
      </c>
      <c r="F113" s="158">
        <v>85</v>
      </c>
      <c r="G113" s="158">
        <v>85</v>
      </c>
      <c r="H113" s="158">
        <v>85</v>
      </c>
      <c r="I113" s="158">
        <v>85</v>
      </c>
      <c r="J113" s="158">
        <v>85</v>
      </c>
      <c r="K113" s="158">
        <v>85</v>
      </c>
      <c r="L113" s="158">
        <v>85</v>
      </c>
      <c r="M113" s="158">
        <v>85</v>
      </c>
      <c r="N113" s="158">
        <v>85</v>
      </c>
      <c r="O113" s="158">
        <v>85</v>
      </c>
      <c r="P113" s="158">
        <v>85</v>
      </c>
      <c r="Q113" s="158">
        <v>85</v>
      </c>
      <c r="R113" s="158">
        <v>85</v>
      </c>
      <c r="S113" s="158">
        <v>85</v>
      </c>
      <c r="T113" s="158">
        <v>85</v>
      </c>
      <c r="U113" s="158">
        <v>85</v>
      </c>
      <c r="V113" s="158">
        <v>85</v>
      </c>
      <c r="W113" s="158">
        <v>85</v>
      </c>
      <c r="X113" s="158">
        <v>85</v>
      </c>
      <c r="Y113" s="158">
        <v>85</v>
      </c>
      <c r="Z113" s="158">
        <v>85</v>
      </c>
      <c r="AA113" s="158">
        <v>85</v>
      </c>
      <c r="AB113" s="158">
        <v>85</v>
      </c>
      <c r="AC113" s="159">
        <v>85</v>
      </c>
      <c r="AD113" s="37"/>
      <c r="AE113" s="37"/>
      <c r="AF113" s="37"/>
      <c r="AG113" s="37"/>
      <c r="AH113" s="37"/>
      <c r="AI113" s="37"/>
      <c r="AJ113" s="37"/>
    </row>
    <row r="114" spans="1:36" customFormat="1" ht="30" customHeight="1" x14ac:dyDescent="0.3">
      <c r="A114" s="800" t="s">
        <v>707</v>
      </c>
      <c r="B114" s="803" t="s">
        <v>102</v>
      </c>
      <c r="C114" s="803" t="s">
        <v>706</v>
      </c>
      <c r="D114" s="766" t="s">
        <v>701</v>
      </c>
      <c r="E114" s="495" t="s">
        <v>702</v>
      </c>
      <c r="F114" s="496">
        <v>0</v>
      </c>
      <c r="G114" s="496">
        <v>0</v>
      </c>
      <c r="H114" s="496">
        <v>0</v>
      </c>
      <c r="I114" s="496">
        <v>0</v>
      </c>
      <c r="J114" s="496">
        <v>0</v>
      </c>
      <c r="K114" s="496">
        <v>0</v>
      </c>
      <c r="L114" s="496">
        <v>0</v>
      </c>
      <c r="M114" s="496">
        <v>1</v>
      </c>
      <c r="N114" s="496">
        <v>1</v>
      </c>
      <c r="O114" s="496">
        <v>1</v>
      </c>
      <c r="P114" s="496">
        <v>1</v>
      </c>
      <c r="Q114" s="496">
        <v>1</v>
      </c>
      <c r="R114" s="496">
        <v>1</v>
      </c>
      <c r="S114" s="496">
        <v>1</v>
      </c>
      <c r="T114" s="496">
        <v>0</v>
      </c>
      <c r="U114" s="496">
        <v>0</v>
      </c>
      <c r="V114" s="496">
        <v>0</v>
      </c>
      <c r="W114" s="496">
        <v>0</v>
      </c>
      <c r="X114" s="496">
        <v>0</v>
      </c>
      <c r="Y114" s="496">
        <v>0</v>
      </c>
      <c r="Z114" s="496">
        <v>0</v>
      </c>
      <c r="AA114" s="496">
        <v>0</v>
      </c>
      <c r="AB114" s="496">
        <v>0</v>
      </c>
      <c r="AC114" s="497">
        <v>0</v>
      </c>
      <c r="AD114" s="37"/>
      <c r="AE114" s="37"/>
      <c r="AF114" s="37"/>
      <c r="AG114" s="37"/>
      <c r="AH114" s="37"/>
      <c r="AI114" s="37"/>
      <c r="AJ114" s="37"/>
    </row>
    <row r="115" spans="1:36" customFormat="1" ht="30" customHeight="1" x14ac:dyDescent="0.3">
      <c r="A115" s="801"/>
      <c r="B115" s="804"/>
      <c r="C115" s="804"/>
      <c r="D115" s="806"/>
      <c r="E115" s="493" t="s">
        <v>703</v>
      </c>
      <c r="F115" s="151">
        <v>0</v>
      </c>
      <c r="G115" s="151">
        <v>0</v>
      </c>
      <c r="H115" s="151">
        <v>0</v>
      </c>
      <c r="I115" s="151">
        <v>0</v>
      </c>
      <c r="J115" s="151">
        <v>0</v>
      </c>
      <c r="K115" s="151">
        <v>0</v>
      </c>
      <c r="L115" s="151">
        <v>0</v>
      </c>
      <c r="M115" s="151">
        <v>0</v>
      </c>
      <c r="N115" s="151">
        <v>0</v>
      </c>
      <c r="O115" s="151">
        <v>0</v>
      </c>
      <c r="P115" s="151">
        <v>0</v>
      </c>
      <c r="Q115" s="151">
        <v>0</v>
      </c>
      <c r="R115" s="151">
        <v>0</v>
      </c>
      <c r="S115" s="151">
        <v>0</v>
      </c>
      <c r="T115" s="151">
        <v>0</v>
      </c>
      <c r="U115" s="151">
        <v>0</v>
      </c>
      <c r="V115" s="151">
        <v>0</v>
      </c>
      <c r="W115" s="151">
        <v>0</v>
      </c>
      <c r="X115" s="151">
        <v>0</v>
      </c>
      <c r="Y115" s="151">
        <v>0</v>
      </c>
      <c r="Z115" s="151">
        <v>0</v>
      </c>
      <c r="AA115" s="151">
        <v>0</v>
      </c>
      <c r="AB115" s="151">
        <v>0</v>
      </c>
      <c r="AC115" s="152">
        <v>0</v>
      </c>
      <c r="AD115" s="37"/>
      <c r="AE115" s="37"/>
      <c r="AF115" s="37"/>
      <c r="AG115" s="37"/>
      <c r="AH115" s="37"/>
      <c r="AI115" s="37"/>
      <c r="AJ115" s="37"/>
    </row>
    <row r="116" spans="1:36" customFormat="1" ht="30" customHeight="1" x14ac:dyDescent="0.3">
      <c r="A116" s="801"/>
      <c r="B116" s="804"/>
      <c r="C116" s="804"/>
      <c r="D116" s="806"/>
      <c r="E116" s="493" t="s">
        <v>704</v>
      </c>
      <c r="F116" s="151">
        <v>0</v>
      </c>
      <c r="G116" s="151">
        <v>0</v>
      </c>
      <c r="H116" s="151">
        <v>0</v>
      </c>
      <c r="I116" s="151">
        <v>0</v>
      </c>
      <c r="J116" s="151">
        <v>0</v>
      </c>
      <c r="K116" s="151">
        <v>0</v>
      </c>
      <c r="L116" s="151">
        <v>0</v>
      </c>
      <c r="M116" s="151">
        <v>0</v>
      </c>
      <c r="N116" s="151">
        <v>0</v>
      </c>
      <c r="O116" s="151">
        <v>0</v>
      </c>
      <c r="P116" s="151">
        <v>0</v>
      </c>
      <c r="Q116" s="151">
        <v>0</v>
      </c>
      <c r="R116" s="151">
        <v>0</v>
      </c>
      <c r="S116" s="151">
        <v>0</v>
      </c>
      <c r="T116" s="151">
        <v>0</v>
      </c>
      <c r="U116" s="151">
        <v>0</v>
      </c>
      <c r="V116" s="151">
        <v>0</v>
      </c>
      <c r="W116" s="151">
        <v>0</v>
      </c>
      <c r="X116" s="151">
        <v>0</v>
      </c>
      <c r="Y116" s="151">
        <v>0</v>
      </c>
      <c r="Z116" s="151">
        <v>0</v>
      </c>
      <c r="AA116" s="151">
        <v>0</v>
      </c>
      <c r="AB116" s="151">
        <v>0</v>
      </c>
      <c r="AC116" s="152">
        <v>0</v>
      </c>
      <c r="AD116" s="37"/>
      <c r="AE116" s="37"/>
      <c r="AF116" s="37"/>
      <c r="AG116" s="37"/>
      <c r="AH116" s="37"/>
      <c r="AI116" s="37"/>
      <c r="AJ116" s="37"/>
    </row>
    <row r="117" spans="1:36" customFormat="1" ht="30" customHeight="1" thickBot="1" x14ac:dyDescent="0.35">
      <c r="A117" s="802"/>
      <c r="B117" s="805"/>
      <c r="C117" s="805"/>
      <c r="D117" s="807"/>
      <c r="E117" s="494" t="s">
        <v>705</v>
      </c>
      <c r="F117" s="153">
        <v>0</v>
      </c>
      <c r="G117" s="153">
        <v>0</v>
      </c>
      <c r="H117" s="153">
        <v>0</v>
      </c>
      <c r="I117" s="153">
        <v>0</v>
      </c>
      <c r="J117" s="153">
        <v>0</v>
      </c>
      <c r="K117" s="153">
        <v>0</v>
      </c>
      <c r="L117" s="153">
        <v>0</v>
      </c>
      <c r="M117" s="153">
        <v>0</v>
      </c>
      <c r="N117" s="153">
        <v>0</v>
      </c>
      <c r="O117" s="153">
        <v>0</v>
      </c>
      <c r="P117" s="153">
        <v>0</v>
      </c>
      <c r="Q117" s="153">
        <v>0</v>
      </c>
      <c r="R117" s="153">
        <v>0</v>
      </c>
      <c r="S117" s="153">
        <v>0</v>
      </c>
      <c r="T117" s="153">
        <v>0</v>
      </c>
      <c r="U117" s="153">
        <v>0</v>
      </c>
      <c r="V117" s="153">
        <v>0</v>
      </c>
      <c r="W117" s="153">
        <v>0</v>
      </c>
      <c r="X117" s="153">
        <v>0</v>
      </c>
      <c r="Y117" s="153">
        <v>0</v>
      </c>
      <c r="Z117" s="153">
        <v>0</v>
      </c>
      <c r="AA117" s="153">
        <v>0</v>
      </c>
      <c r="AB117" s="153">
        <v>0</v>
      </c>
      <c r="AC117" s="154">
        <v>0</v>
      </c>
      <c r="AD117" s="37"/>
      <c r="AE117" s="37"/>
      <c r="AF117" s="37"/>
      <c r="AG117" s="37"/>
      <c r="AH117" s="37"/>
      <c r="AI117" s="37"/>
      <c r="AJ117" s="37"/>
    </row>
    <row r="118" spans="1:36" customFormat="1" ht="26.4" customHeight="1" x14ac:dyDescent="0.3">
      <c r="A118" s="800" t="s">
        <v>707</v>
      </c>
      <c r="B118" s="803" t="s">
        <v>102</v>
      </c>
      <c r="C118" s="803" t="s">
        <v>286</v>
      </c>
      <c r="D118" s="766" t="s">
        <v>701</v>
      </c>
      <c r="E118" s="495" t="s">
        <v>702</v>
      </c>
      <c r="F118" s="496">
        <v>1</v>
      </c>
      <c r="G118" s="496">
        <v>1</v>
      </c>
      <c r="H118" s="496">
        <v>1</v>
      </c>
      <c r="I118" s="496">
        <v>1</v>
      </c>
      <c r="J118" s="496">
        <v>1</v>
      </c>
      <c r="K118" s="496">
        <v>1</v>
      </c>
      <c r="L118" s="496">
        <v>1</v>
      </c>
      <c r="M118" s="496">
        <v>0.25</v>
      </c>
      <c r="N118" s="496">
        <v>0.25</v>
      </c>
      <c r="O118" s="496">
        <v>0.25</v>
      </c>
      <c r="P118" s="496">
        <v>0.25</v>
      </c>
      <c r="Q118" s="496">
        <v>0.25</v>
      </c>
      <c r="R118" s="496">
        <v>0.25</v>
      </c>
      <c r="S118" s="496">
        <v>0.25</v>
      </c>
      <c r="T118" s="496">
        <v>1</v>
      </c>
      <c r="U118" s="496">
        <v>1</v>
      </c>
      <c r="V118" s="496">
        <v>1</v>
      </c>
      <c r="W118" s="496">
        <v>1</v>
      </c>
      <c r="X118" s="496">
        <v>1</v>
      </c>
      <c r="Y118" s="496">
        <v>1</v>
      </c>
      <c r="Z118" s="496">
        <v>1</v>
      </c>
      <c r="AA118" s="496">
        <v>1</v>
      </c>
      <c r="AB118" s="496">
        <v>1</v>
      </c>
      <c r="AC118" s="497">
        <v>1</v>
      </c>
      <c r="AD118" s="37"/>
      <c r="AE118" s="37"/>
      <c r="AF118" s="37"/>
      <c r="AG118" s="37"/>
      <c r="AH118" s="37"/>
      <c r="AI118" s="37"/>
      <c r="AJ118" s="37"/>
    </row>
    <row r="119" spans="1:36" customFormat="1" ht="26.4" customHeight="1" x14ac:dyDescent="0.3">
      <c r="A119" s="801"/>
      <c r="B119" s="804"/>
      <c r="C119" s="804"/>
      <c r="D119" s="806"/>
      <c r="E119" s="493" t="s">
        <v>703</v>
      </c>
      <c r="F119" s="151">
        <v>1</v>
      </c>
      <c r="G119" s="151">
        <v>1</v>
      </c>
      <c r="H119" s="151">
        <v>1</v>
      </c>
      <c r="I119" s="151">
        <v>1</v>
      </c>
      <c r="J119" s="151">
        <v>1</v>
      </c>
      <c r="K119" s="151">
        <v>1</v>
      </c>
      <c r="L119" s="151">
        <v>1</v>
      </c>
      <c r="M119" s="151">
        <v>1</v>
      </c>
      <c r="N119" s="151">
        <v>1</v>
      </c>
      <c r="O119" s="151">
        <v>1</v>
      </c>
      <c r="P119" s="151">
        <v>1</v>
      </c>
      <c r="Q119" s="151">
        <v>1</v>
      </c>
      <c r="R119" s="151">
        <v>1</v>
      </c>
      <c r="S119" s="151">
        <v>1</v>
      </c>
      <c r="T119" s="151">
        <v>1</v>
      </c>
      <c r="U119" s="151">
        <v>1</v>
      </c>
      <c r="V119" s="151">
        <v>1</v>
      </c>
      <c r="W119" s="151">
        <v>1</v>
      </c>
      <c r="X119" s="151">
        <v>1</v>
      </c>
      <c r="Y119" s="151">
        <v>1</v>
      </c>
      <c r="Z119" s="151">
        <v>1</v>
      </c>
      <c r="AA119" s="151">
        <v>1</v>
      </c>
      <c r="AB119" s="151">
        <v>1</v>
      </c>
      <c r="AC119" s="152">
        <v>1</v>
      </c>
      <c r="AD119" s="37"/>
      <c r="AE119" s="37"/>
      <c r="AF119" s="37"/>
      <c r="AG119" s="37"/>
      <c r="AH119" s="37"/>
      <c r="AI119" s="37"/>
      <c r="AJ119" s="37"/>
    </row>
    <row r="120" spans="1:36" customFormat="1" ht="26.4" customHeight="1" x14ac:dyDescent="0.3">
      <c r="A120" s="801"/>
      <c r="B120" s="804"/>
      <c r="C120" s="804"/>
      <c r="D120" s="806"/>
      <c r="E120" s="493" t="s">
        <v>704</v>
      </c>
      <c r="F120" s="151">
        <v>1</v>
      </c>
      <c r="G120" s="151">
        <v>1</v>
      </c>
      <c r="H120" s="151">
        <v>1</v>
      </c>
      <c r="I120" s="151">
        <v>1</v>
      </c>
      <c r="J120" s="151">
        <v>1</v>
      </c>
      <c r="K120" s="151">
        <v>1</v>
      </c>
      <c r="L120" s="151">
        <v>1</v>
      </c>
      <c r="M120" s="151">
        <v>1</v>
      </c>
      <c r="N120" s="151">
        <v>1</v>
      </c>
      <c r="O120" s="151">
        <v>1</v>
      </c>
      <c r="P120" s="151">
        <v>1</v>
      </c>
      <c r="Q120" s="151">
        <v>1</v>
      </c>
      <c r="R120" s="151">
        <v>1</v>
      </c>
      <c r="S120" s="151">
        <v>1</v>
      </c>
      <c r="T120" s="151">
        <v>1</v>
      </c>
      <c r="U120" s="151">
        <v>1</v>
      </c>
      <c r="V120" s="151">
        <v>1</v>
      </c>
      <c r="W120" s="151">
        <v>1</v>
      </c>
      <c r="X120" s="151">
        <v>1</v>
      </c>
      <c r="Y120" s="151">
        <v>1</v>
      </c>
      <c r="Z120" s="151">
        <v>1</v>
      </c>
      <c r="AA120" s="151">
        <v>1</v>
      </c>
      <c r="AB120" s="151">
        <v>1</v>
      </c>
      <c r="AC120" s="152">
        <v>1</v>
      </c>
      <c r="AD120" s="37"/>
      <c r="AE120" s="37"/>
      <c r="AF120" s="37"/>
      <c r="AG120" s="37"/>
      <c r="AH120" s="37"/>
      <c r="AI120" s="37"/>
      <c r="AJ120" s="37"/>
    </row>
    <row r="121" spans="1:36" customFormat="1" ht="26.4" customHeight="1" thickBot="1" x14ac:dyDescent="0.35">
      <c r="A121" s="802"/>
      <c r="B121" s="805"/>
      <c r="C121" s="805"/>
      <c r="D121" s="807"/>
      <c r="E121" s="494" t="s">
        <v>705</v>
      </c>
      <c r="F121" s="153">
        <v>1</v>
      </c>
      <c r="G121" s="153">
        <v>1</v>
      </c>
      <c r="H121" s="153">
        <v>1</v>
      </c>
      <c r="I121" s="153">
        <v>1</v>
      </c>
      <c r="J121" s="153">
        <v>1</v>
      </c>
      <c r="K121" s="153">
        <v>1</v>
      </c>
      <c r="L121" s="153">
        <v>1</v>
      </c>
      <c r="M121" s="153">
        <v>1</v>
      </c>
      <c r="N121" s="153">
        <v>1</v>
      </c>
      <c r="O121" s="153">
        <v>1</v>
      </c>
      <c r="P121" s="153">
        <v>1</v>
      </c>
      <c r="Q121" s="153">
        <v>1</v>
      </c>
      <c r="R121" s="153">
        <v>1</v>
      </c>
      <c r="S121" s="153">
        <v>1</v>
      </c>
      <c r="T121" s="153">
        <v>1</v>
      </c>
      <c r="U121" s="153">
        <v>1</v>
      </c>
      <c r="V121" s="153">
        <v>1</v>
      </c>
      <c r="W121" s="153">
        <v>1</v>
      </c>
      <c r="X121" s="153">
        <v>1</v>
      </c>
      <c r="Y121" s="153">
        <v>1</v>
      </c>
      <c r="Z121" s="153">
        <v>1</v>
      </c>
      <c r="AA121" s="153">
        <v>1</v>
      </c>
      <c r="AB121" s="153">
        <v>1</v>
      </c>
      <c r="AC121" s="154">
        <v>1</v>
      </c>
      <c r="AD121" s="37"/>
      <c r="AE121" s="37"/>
      <c r="AF121" s="37"/>
      <c r="AG121" s="37"/>
      <c r="AH121" s="37"/>
      <c r="AI121" s="37"/>
      <c r="AJ121" s="37"/>
    </row>
    <row r="122" spans="1:36" customFormat="1" ht="26.4" customHeight="1" x14ac:dyDescent="0.3">
      <c r="A122" s="800" t="s">
        <v>707</v>
      </c>
      <c r="B122" s="803" t="s">
        <v>102</v>
      </c>
      <c r="C122" s="803" t="s">
        <v>696</v>
      </c>
      <c r="D122" s="766" t="s">
        <v>694</v>
      </c>
      <c r="E122" s="495" t="s">
        <v>702</v>
      </c>
      <c r="F122" s="191">
        <v>0.9</v>
      </c>
      <c r="G122" s="191">
        <v>0.9</v>
      </c>
      <c r="H122" s="191">
        <v>0.9</v>
      </c>
      <c r="I122" s="191">
        <v>0.9</v>
      </c>
      <c r="J122" s="191">
        <v>0.9</v>
      </c>
      <c r="K122" s="191">
        <v>0.9</v>
      </c>
      <c r="L122" s="191">
        <v>0.9</v>
      </c>
      <c r="M122" s="191">
        <v>0.9</v>
      </c>
      <c r="N122" s="191">
        <v>0.9</v>
      </c>
      <c r="O122" s="191">
        <v>0.9</v>
      </c>
      <c r="P122" s="191">
        <v>0.9</v>
      </c>
      <c r="Q122" s="191">
        <v>0.9</v>
      </c>
      <c r="R122" s="191">
        <v>0.9</v>
      </c>
      <c r="S122" s="191">
        <v>0.9</v>
      </c>
      <c r="T122" s="191">
        <v>0.9</v>
      </c>
      <c r="U122" s="191">
        <v>0.9</v>
      </c>
      <c r="V122" s="191">
        <v>0.9</v>
      </c>
      <c r="W122" s="191">
        <v>0.9</v>
      </c>
      <c r="X122" s="191">
        <v>0.9</v>
      </c>
      <c r="Y122" s="191">
        <v>0.9</v>
      </c>
      <c r="Z122" s="191">
        <v>0.9</v>
      </c>
      <c r="AA122" s="191">
        <v>0.9</v>
      </c>
      <c r="AB122" s="191">
        <v>0.9</v>
      </c>
      <c r="AC122" s="192">
        <v>0.9</v>
      </c>
      <c r="AD122" s="37"/>
      <c r="AE122" s="37"/>
      <c r="AF122" s="37"/>
      <c r="AG122" s="37"/>
      <c r="AH122" s="37"/>
      <c r="AI122" s="37"/>
      <c r="AJ122" s="37"/>
    </row>
    <row r="123" spans="1:36" customFormat="1" ht="26.4" customHeight="1" x14ac:dyDescent="0.3">
      <c r="A123" s="801"/>
      <c r="B123" s="804"/>
      <c r="C123" s="804"/>
      <c r="D123" s="806"/>
      <c r="E123" s="493" t="s">
        <v>703</v>
      </c>
      <c r="F123" s="151">
        <v>0.9</v>
      </c>
      <c r="G123" s="151">
        <v>0.9</v>
      </c>
      <c r="H123" s="151">
        <v>0.9</v>
      </c>
      <c r="I123" s="151">
        <v>0.9</v>
      </c>
      <c r="J123" s="151">
        <v>0.9</v>
      </c>
      <c r="K123" s="151">
        <v>0.9</v>
      </c>
      <c r="L123" s="151">
        <v>0.9</v>
      </c>
      <c r="M123" s="151">
        <v>0.9</v>
      </c>
      <c r="N123" s="151">
        <v>0.9</v>
      </c>
      <c r="O123" s="151">
        <v>0.9</v>
      </c>
      <c r="P123" s="151">
        <v>0.9</v>
      </c>
      <c r="Q123" s="151">
        <v>0.9</v>
      </c>
      <c r="R123" s="151">
        <v>0.9</v>
      </c>
      <c r="S123" s="151">
        <v>0.9</v>
      </c>
      <c r="T123" s="151">
        <v>0.9</v>
      </c>
      <c r="U123" s="151">
        <v>0.9</v>
      </c>
      <c r="V123" s="151">
        <v>0.9</v>
      </c>
      <c r="W123" s="151">
        <v>0.9</v>
      </c>
      <c r="X123" s="151">
        <v>0.9</v>
      </c>
      <c r="Y123" s="151">
        <v>0.9</v>
      </c>
      <c r="Z123" s="151">
        <v>0.9</v>
      </c>
      <c r="AA123" s="151">
        <v>0.9</v>
      </c>
      <c r="AB123" s="151">
        <v>0.9</v>
      </c>
      <c r="AC123" s="152">
        <v>0.9</v>
      </c>
      <c r="AD123" s="37"/>
      <c r="AE123" s="37"/>
      <c r="AF123" s="37"/>
      <c r="AG123" s="37"/>
      <c r="AH123" s="37"/>
      <c r="AI123" s="37"/>
      <c r="AJ123" s="37"/>
    </row>
    <row r="124" spans="1:36" customFormat="1" ht="26.4" customHeight="1" x14ac:dyDescent="0.3">
      <c r="A124" s="801"/>
      <c r="B124" s="804"/>
      <c r="C124" s="804"/>
      <c r="D124" s="806"/>
      <c r="E124" s="493" t="s">
        <v>704</v>
      </c>
      <c r="F124" s="151">
        <v>0.9</v>
      </c>
      <c r="G124" s="151">
        <v>0.9</v>
      </c>
      <c r="H124" s="151">
        <v>0.9</v>
      </c>
      <c r="I124" s="151">
        <v>0.9</v>
      </c>
      <c r="J124" s="151">
        <v>0.9</v>
      </c>
      <c r="K124" s="151">
        <v>0.9</v>
      </c>
      <c r="L124" s="151">
        <v>0.9</v>
      </c>
      <c r="M124" s="151">
        <v>0.9</v>
      </c>
      <c r="N124" s="151">
        <v>0.9</v>
      </c>
      <c r="O124" s="151">
        <v>0.9</v>
      </c>
      <c r="P124" s="151">
        <v>0.9</v>
      </c>
      <c r="Q124" s="151">
        <v>0.9</v>
      </c>
      <c r="R124" s="151">
        <v>0.9</v>
      </c>
      <c r="S124" s="151">
        <v>0.9</v>
      </c>
      <c r="T124" s="151">
        <v>0.9</v>
      </c>
      <c r="U124" s="151">
        <v>0.9</v>
      </c>
      <c r="V124" s="151">
        <v>0.9</v>
      </c>
      <c r="W124" s="151">
        <v>0.9</v>
      </c>
      <c r="X124" s="151">
        <v>0.9</v>
      </c>
      <c r="Y124" s="151">
        <v>0.9</v>
      </c>
      <c r="Z124" s="151">
        <v>0.9</v>
      </c>
      <c r="AA124" s="151">
        <v>0.9</v>
      </c>
      <c r="AB124" s="151">
        <v>0.9</v>
      </c>
      <c r="AC124" s="152">
        <v>0.9</v>
      </c>
      <c r="AD124" s="37"/>
      <c r="AE124" s="37"/>
      <c r="AF124" s="37"/>
      <c r="AG124" s="37"/>
      <c r="AH124" s="37"/>
      <c r="AI124" s="37"/>
      <c r="AJ124" s="37"/>
    </row>
    <row r="125" spans="1:36" customFormat="1" ht="26.4" customHeight="1" thickBot="1" x14ac:dyDescent="0.35">
      <c r="A125" s="802"/>
      <c r="B125" s="805"/>
      <c r="C125" s="805"/>
      <c r="D125" s="807"/>
      <c r="E125" s="494" t="s">
        <v>705</v>
      </c>
      <c r="F125" s="153">
        <v>0.9</v>
      </c>
      <c r="G125" s="153">
        <v>0.9</v>
      </c>
      <c r="H125" s="153">
        <v>0.9</v>
      </c>
      <c r="I125" s="153">
        <v>0.9</v>
      </c>
      <c r="J125" s="153">
        <v>0.9</v>
      </c>
      <c r="K125" s="153">
        <v>0.9</v>
      </c>
      <c r="L125" s="153">
        <v>0.9</v>
      </c>
      <c r="M125" s="153">
        <v>0.9</v>
      </c>
      <c r="N125" s="153">
        <v>0.9</v>
      </c>
      <c r="O125" s="153">
        <v>0.9</v>
      </c>
      <c r="P125" s="153">
        <v>0.9</v>
      </c>
      <c r="Q125" s="153">
        <v>0.9</v>
      </c>
      <c r="R125" s="153">
        <v>0.9</v>
      </c>
      <c r="S125" s="153">
        <v>0.9</v>
      </c>
      <c r="T125" s="153">
        <v>0.9</v>
      </c>
      <c r="U125" s="153">
        <v>0.9</v>
      </c>
      <c r="V125" s="153">
        <v>0.9</v>
      </c>
      <c r="W125" s="153">
        <v>0.9</v>
      </c>
      <c r="X125" s="153">
        <v>0.9</v>
      </c>
      <c r="Y125" s="153">
        <v>0.9</v>
      </c>
      <c r="Z125" s="153">
        <v>0.9</v>
      </c>
      <c r="AA125" s="153">
        <v>0.9</v>
      </c>
      <c r="AB125" s="153">
        <v>0.9</v>
      </c>
      <c r="AC125" s="154">
        <v>0.9</v>
      </c>
      <c r="AD125" s="37"/>
      <c r="AE125" s="37"/>
      <c r="AF125" s="37"/>
      <c r="AG125" s="37"/>
      <c r="AH125" s="37"/>
      <c r="AI125" s="37"/>
      <c r="AJ125" s="37"/>
    </row>
    <row r="126" spans="1:36" customFormat="1" ht="26.4" customHeight="1" x14ac:dyDescent="0.3">
      <c r="A126" s="800" t="s">
        <v>707</v>
      </c>
      <c r="B126" s="803" t="s">
        <v>102</v>
      </c>
      <c r="C126" s="803" t="s">
        <v>693</v>
      </c>
      <c r="D126" s="766" t="s">
        <v>694</v>
      </c>
      <c r="E126" s="495" t="s">
        <v>702</v>
      </c>
      <c r="F126" s="191">
        <v>0.05</v>
      </c>
      <c r="G126" s="191">
        <v>0.05</v>
      </c>
      <c r="H126" s="191">
        <v>0.05</v>
      </c>
      <c r="I126" s="191">
        <v>0.05</v>
      </c>
      <c r="J126" s="191">
        <v>0.05</v>
      </c>
      <c r="K126" s="191">
        <v>0.05</v>
      </c>
      <c r="L126" s="191">
        <v>0.05</v>
      </c>
      <c r="M126" s="191">
        <v>0.1</v>
      </c>
      <c r="N126" s="191">
        <v>0.34</v>
      </c>
      <c r="O126" s="191">
        <v>0.6</v>
      </c>
      <c r="P126" s="191">
        <v>0.63</v>
      </c>
      <c r="Q126" s="191">
        <v>0.72</v>
      </c>
      <c r="R126" s="191">
        <v>0.79</v>
      </c>
      <c r="S126" s="191">
        <v>0.83</v>
      </c>
      <c r="T126" s="191">
        <v>0.61</v>
      </c>
      <c r="U126" s="191">
        <v>0.65</v>
      </c>
      <c r="V126" s="191">
        <v>0.1</v>
      </c>
      <c r="W126" s="191">
        <v>0.1</v>
      </c>
      <c r="X126" s="191">
        <v>0.19</v>
      </c>
      <c r="Y126" s="191">
        <v>0.25</v>
      </c>
      <c r="Z126" s="191">
        <v>0.22</v>
      </c>
      <c r="AA126" s="191">
        <v>0.22</v>
      </c>
      <c r="AB126" s="191">
        <v>0.12</v>
      </c>
      <c r="AC126" s="192">
        <v>0.09</v>
      </c>
      <c r="AD126" s="37"/>
      <c r="AE126" s="37"/>
      <c r="AF126" s="37"/>
      <c r="AG126" s="37"/>
      <c r="AH126" s="37"/>
      <c r="AI126" s="37"/>
      <c r="AJ126" s="37"/>
    </row>
    <row r="127" spans="1:36" customFormat="1" ht="26.4" customHeight="1" x14ac:dyDescent="0.3">
      <c r="A127" s="801"/>
      <c r="B127" s="804"/>
      <c r="C127" s="804"/>
      <c r="D127" s="806"/>
      <c r="E127" s="493" t="s">
        <v>703</v>
      </c>
      <c r="F127" s="151">
        <v>0.03</v>
      </c>
      <c r="G127" s="151">
        <v>0.03</v>
      </c>
      <c r="H127" s="151">
        <v>0.03</v>
      </c>
      <c r="I127" s="151">
        <v>0.03</v>
      </c>
      <c r="J127" s="151">
        <v>0.03</v>
      </c>
      <c r="K127" s="151">
        <v>0.03</v>
      </c>
      <c r="L127" s="151">
        <v>0.03</v>
      </c>
      <c r="M127" s="151">
        <v>0.03</v>
      </c>
      <c r="N127" s="151">
        <v>0.03</v>
      </c>
      <c r="O127" s="151">
        <v>0.03</v>
      </c>
      <c r="P127" s="151">
        <v>0.03</v>
      </c>
      <c r="Q127" s="151">
        <v>0.03</v>
      </c>
      <c r="R127" s="151">
        <v>0.03</v>
      </c>
      <c r="S127" s="151">
        <v>0.03</v>
      </c>
      <c r="T127" s="151">
        <v>0.03</v>
      </c>
      <c r="U127" s="151">
        <v>0.03</v>
      </c>
      <c r="V127" s="151">
        <v>0.03</v>
      </c>
      <c r="W127" s="151">
        <v>0.03</v>
      </c>
      <c r="X127" s="151">
        <v>0.03</v>
      </c>
      <c r="Y127" s="151">
        <v>0.03</v>
      </c>
      <c r="Z127" s="151">
        <v>0.03</v>
      </c>
      <c r="AA127" s="151">
        <v>0.03</v>
      </c>
      <c r="AB127" s="151">
        <v>0.03</v>
      </c>
      <c r="AC127" s="152">
        <v>0.03</v>
      </c>
      <c r="AD127" s="37"/>
      <c r="AE127" s="37"/>
      <c r="AF127" s="37"/>
      <c r="AG127" s="37"/>
      <c r="AH127" s="37"/>
      <c r="AI127" s="37"/>
      <c r="AJ127" s="37"/>
    </row>
    <row r="128" spans="1:36" customFormat="1" ht="26.4" customHeight="1" x14ac:dyDescent="0.3">
      <c r="A128" s="801"/>
      <c r="B128" s="804"/>
      <c r="C128" s="804"/>
      <c r="D128" s="806"/>
      <c r="E128" s="493" t="s">
        <v>704</v>
      </c>
      <c r="F128" s="151">
        <v>0.03</v>
      </c>
      <c r="G128" s="151">
        <v>0.03</v>
      </c>
      <c r="H128" s="151">
        <v>0.03</v>
      </c>
      <c r="I128" s="151">
        <v>0.03</v>
      </c>
      <c r="J128" s="151">
        <v>0.03</v>
      </c>
      <c r="K128" s="151">
        <v>0.03</v>
      </c>
      <c r="L128" s="151">
        <v>0.03</v>
      </c>
      <c r="M128" s="151">
        <v>0.03</v>
      </c>
      <c r="N128" s="151">
        <v>0.03</v>
      </c>
      <c r="O128" s="151">
        <v>0.03</v>
      </c>
      <c r="P128" s="151">
        <v>0.03</v>
      </c>
      <c r="Q128" s="151">
        <v>0.03</v>
      </c>
      <c r="R128" s="151">
        <v>0.03</v>
      </c>
      <c r="S128" s="151">
        <v>0.03</v>
      </c>
      <c r="T128" s="151">
        <v>0.03</v>
      </c>
      <c r="U128" s="151">
        <v>0.03</v>
      </c>
      <c r="V128" s="151">
        <v>0.03</v>
      </c>
      <c r="W128" s="151">
        <v>0.03</v>
      </c>
      <c r="X128" s="151">
        <v>0.03</v>
      </c>
      <c r="Y128" s="151">
        <v>0.03</v>
      </c>
      <c r="Z128" s="151">
        <v>0.03</v>
      </c>
      <c r="AA128" s="151">
        <v>0.03</v>
      </c>
      <c r="AB128" s="151">
        <v>0.03</v>
      </c>
      <c r="AC128" s="152">
        <v>0.03</v>
      </c>
      <c r="AD128" s="37"/>
      <c r="AE128" s="37"/>
      <c r="AF128" s="37"/>
      <c r="AG128" s="37"/>
      <c r="AH128" s="37"/>
      <c r="AI128" s="37"/>
      <c r="AJ128" s="37"/>
    </row>
    <row r="129" spans="1:36" customFormat="1" ht="26.4" customHeight="1" thickBot="1" x14ac:dyDescent="0.35">
      <c r="A129" s="822"/>
      <c r="B129" s="809"/>
      <c r="C129" s="809"/>
      <c r="D129" s="811"/>
      <c r="E129" s="494" t="s">
        <v>705</v>
      </c>
      <c r="F129" s="153">
        <v>0.03</v>
      </c>
      <c r="G129" s="153">
        <v>0.03</v>
      </c>
      <c r="H129" s="153">
        <v>0.03</v>
      </c>
      <c r="I129" s="153">
        <v>0.03</v>
      </c>
      <c r="J129" s="153">
        <v>0.03</v>
      </c>
      <c r="K129" s="153">
        <v>0.03</v>
      </c>
      <c r="L129" s="153">
        <v>0.03</v>
      </c>
      <c r="M129" s="153">
        <v>0.03</v>
      </c>
      <c r="N129" s="153">
        <v>0.03</v>
      </c>
      <c r="O129" s="153">
        <v>0.03</v>
      </c>
      <c r="P129" s="153">
        <v>0.03</v>
      </c>
      <c r="Q129" s="153">
        <v>0.03</v>
      </c>
      <c r="R129" s="153">
        <v>0.03</v>
      </c>
      <c r="S129" s="153">
        <v>0.03</v>
      </c>
      <c r="T129" s="153">
        <v>0.03</v>
      </c>
      <c r="U129" s="153">
        <v>0.03</v>
      </c>
      <c r="V129" s="153">
        <v>0.03</v>
      </c>
      <c r="W129" s="153">
        <v>0.03</v>
      </c>
      <c r="X129" s="153">
        <v>0.03</v>
      </c>
      <c r="Y129" s="153">
        <v>0.03</v>
      </c>
      <c r="Z129" s="153">
        <v>0.03</v>
      </c>
      <c r="AA129" s="153">
        <v>0.03</v>
      </c>
      <c r="AB129" s="153">
        <v>0.03</v>
      </c>
      <c r="AC129" s="154">
        <v>0.03</v>
      </c>
      <c r="AD129" s="37"/>
      <c r="AE129" s="37"/>
      <c r="AF129" s="37"/>
      <c r="AG129" s="37"/>
      <c r="AH129" s="37"/>
      <c r="AI129" s="37"/>
      <c r="AJ129" s="37"/>
    </row>
    <row r="130" spans="1:36" ht="35.25" customHeight="1" thickBot="1" x14ac:dyDescent="0.35">
      <c r="A130" s="823" t="s">
        <v>204</v>
      </c>
      <c r="B130" s="824"/>
      <c r="C130" s="824" t="s">
        <v>16</v>
      </c>
      <c r="D130" s="824"/>
      <c r="E130" s="825"/>
      <c r="F130" s="825"/>
      <c r="G130" s="825"/>
      <c r="H130" s="825"/>
      <c r="I130" s="825"/>
      <c r="J130" s="825"/>
      <c r="K130" s="825"/>
      <c r="L130" s="825"/>
      <c r="M130" s="825"/>
      <c r="N130" s="825"/>
      <c r="O130" s="825"/>
      <c r="P130" s="825"/>
      <c r="Q130" s="825"/>
      <c r="R130" s="825"/>
      <c r="S130" s="825"/>
      <c r="T130" s="825"/>
      <c r="U130" s="825"/>
      <c r="V130" s="825"/>
      <c r="W130" s="825"/>
      <c r="X130" s="825"/>
      <c r="Y130" s="825"/>
      <c r="Z130" s="825"/>
      <c r="AA130" s="825"/>
      <c r="AB130" s="825"/>
      <c r="AC130" s="826"/>
    </row>
    <row r="131" spans="1:36" customFormat="1" ht="26.4" customHeight="1" x14ac:dyDescent="0.3">
      <c r="A131" s="800" t="s">
        <v>708</v>
      </c>
      <c r="B131" s="803" t="s">
        <v>204</v>
      </c>
      <c r="C131" s="803" t="s">
        <v>685</v>
      </c>
      <c r="D131" s="779" t="s">
        <v>686</v>
      </c>
      <c r="E131" s="507" t="s">
        <v>687</v>
      </c>
      <c r="F131" s="499">
        <v>0</v>
      </c>
      <c r="G131" s="149">
        <v>0</v>
      </c>
      <c r="H131" s="149">
        <v>0</v>
      </c>
      <c r="I131" s="149">
        <v>0</v>
      </c>
      <c r="J131" s="149">
        <v>0</v>
      </c>
      <c r="K131" s="149">
        <v>0</v>
      </c>
      <c r="L131" s="149">
        <v>0</v>
      </c>
      <c r="M131" s="149">
        <v>0</v>
      </c>
      <c r="N131" s="149">
        <v>0</v>
      </c>
      <c r="O131" s="149">
        <v>0</v>
      </c>
      <c r="P131" s="149">
        <v>0</v>
      </c>
      <c r="Q131" s="149">
        <v>0</v>
      </c>
      <c r="R131" s="149">
        <v>0</v>
      </c>
      <c r="S131" s="149">
        <v>0</v>
      </c>
      <c r="T131" s="149">
        <v>0</v>
      </c>
      <c r="U131" s="149">
        <v>0</v>
      </c>
      <c r="V131" s="149">
        <v>0</v>
      </c>
      <c r="W131" s="149">
        <v>0</v>
      </c>
      <c r="X131" s="149">
        <v>0</v>
      </c>
      <c r="Y131" s="149">
        <v>0</v>
      </c>
      <c r="Z131" s="149">
        <v>0</v>
      </c>
      <c r="AA131" s="149">
        <v>0</v>
      </c>
      <c r="AB131" s="149">
        <v>0</v>
      </c>
      <c r="AC131" s="150">
        <v>0</v>
      </c>
      <c r="AD131" s="582"/>
      <c r="AE131" s="37"/>
      <c r="AF131" s="37"/>
      <c r="AG131" s="37"/>
      <c r="AH131" s="37"/>
      <c r="AI131" s="37"/>
      <c r="AJ131" s="37"/>
    </row>
    <row r="132" spans="1:36" customFormat="1" ht="26.4" customHeight="1" x14ac:dyDescent="0.3">
      <c r="A132" s="801"/>
      <c r="B132" s="804"/>
      <c r="C132" s="804"/>
      <c r="D132" s="819"/>
      <c r="E132" s="508" t="s">
        <v>709</v>
      </c>
      <c r="F132" s="427">
        <v>0</v>
      </c>
      <c r="G132" s="151">
        <v>0</v>
      </c>
      <c r="H132" s="151">
        <v>0</v>
      </c>
      <c r="I132" s="151">
        <v>0</v>
      </c>
      <c r="J132" s="151">
        <v>0</v>
      </c>
      <c r="K132" s="151">
        <v>0</v>
      </c>
      <c r="L132" s="151">
        <v>0.01</v>
      </c>
      <c r="M132" s="151">
        <v>0.25</v>
      </c>
      <c r="N132" s="151">
        <v>0.25</v>
      </c>
      <c r="O132" s="151">
        <v>0.25</v>
      </c>
      <c r="P132" s="151">
        <v>0.25</v>
      </c>
      <c r="Q132" s="151">
        <v>0.25</v>
      </c>
      <c r="R132" s="151">
        <v>0.02</v>
      </c>
      <c r="S132" s="151">
        <v>0.25</v>
      </c>
      <c r="T132" s="151">
        <v>0.25</v>
      </c>
      <c r="U132" s="151">
        <v>0.25</v>
      </c>
      <c r="V132" s="151">
        <v>0.25</v>
      </c>
      <c r="W132" s="151">
        <v>0.25</v>
      </c>
      <c r="X132" s="151">
        <v>0.25</v>
      </c>
      <c r="Y132" s="151">
        <v>0.25</v>
      </c>
      <c r="Z132" s="151">
        <v>0.01</v>
      </c>
      <c r="AA132" s="151">
        <v>0</v>
      </c>
      <c r="AB132" s="151">
        <v>0</v>
      </c>
      <c r="AC132" s="152">
        <v>0</v>
      </c>
      <c r="AD132" s="582"/>
      <c r="AE132" s="37"/>
      <c r="AF132" s="37"/>
      <c r="AG132" s="37"/>
      <c r="AH132" s="37"/>
      <c r="AI132" s="37"/>
      <c r="AJ132" s="37"/>
    </row>
    <row r="133" spans="1:36" customFormat="1" ht="26.4" customHeight="1" x14ac:dyDescent="0.3">
      <c r="A133" s="822"/>
      <c r="B133" s="809"/>
      <c r="C133" s="809"/>
      <c r="D133" s="821"/>
      <c r="E133" s="508" t="s">
        <v>710</v>
      </c>
      <c r="F133" s="500">
        <v>0</v>
      </c>
      <c r="G133" s="186">
        <v>0</v>
      </c>
      <c r="H133" s="186">
        <v>0</v>
      </c>
      <c r="I133" s="186">
        <v>0</v>
      </c>
      <c r="J133" s="186">
        <v>0</v>
      </c>
      <c r="K133" s="186">
        <v>0</v>
      </c>
      <c r="L133" s="186">
        <v>0.01</v>
      </c>
      <c r="M133" s="186">
        <v>0.125</v>
      </c>
      <c r="N133" s="186">
        <v>0.125</v>
      </c>
      <c r="O133" s="186">
        <v>0.125</v>
      </c>
      <c r="P133" s="186">
        <v>0.125</v>
      </c>
      <c r="Q133" s="186">
        <v>0.125</v>
      </c>
      <c r="R133" s="186">
        <v>0.02</v>
      </c>
      <c r="S133" s="186">
        <v>0.125</v>
      </c>
      <c r="T133" s="186">
        <v>0.125</v>
      </c>
      <c r="U133" s="186">
        <v>0.125</v>
      </c>
      <c r="V133" s="186">
        <v>0.125</v>
      </c>
      <c r="W133" s="186">
        <v>0.125</v>
      </c>
      <c r="X133" s="186">
        <v>0.125</v>
      </c>
      <c r="Y133" s="186">
        <v>0.125</v>
      </c>
      <c r="Z133" s="186">
        <v>0.01</v>
      </c>
      <c r="AA133" s="186">
        <v>0</v>
      </c>
      <c r="AB133" s="186">
        <v>0</v>
      </c>
      <c r="AC133" s="187">
        <v>0</v>
      </c>
      <c r="AD133" s="582"/>
      <c r="AE133" s="37"/>
      <c r="AF133" s="37"/>
      <c r="AG133" s="37"/>
      <c r="AH133" s="37"/>
      <c r="AI133" s="37"/>
      <c r="AJ133" s="37"/>
    </row>
    <row r="134" spans="1:36" customFormat="1" ht="26.4" customHeight="1" x14ac:dyDescent="0.3">
      <c r="A134" s="822"/>
      <c r="B134" s="809"/>
      <c r="C134" s="809"/>
      <c r="D134" s="821"/>
      <c r="E134" s="508" t="s">
        <v>711</v>
      </c>
      <c r="F134" s="500">
        <v>0</v>
      </c>
      <c r="G134" s="186">
        <v>0</v>
      </c>
      <c r="H134" s="186">
        <v>0</v>
      </c>
      <c r="I134" s="186">
        <v>0</v>
      </c>
      <c r="J134" s="186">
        <v>0</v>
      </c>
      <c r="K134" s="186">
        <v>0</v>
      </c>
      <c r="L134" s="186">
        <v>0</v>
      </c>
      <c r="M134" s="186">
        <v>3.7499999999999999E-2</v>
      </c>
      <c r="N134" s="186">
        <v>0.25</v>
      </c>
      <c r="O134" s="186">
        <v>0.25</v>
      </c>
      <c r="P134" s="186">
        <v>0.25</v>
      </c>
      <c r="Q134" s="186">
        <v>0.25</v>
      </c>
      <c r="R134" s="186">
        <v>0.02</v>
      </c>
      <c r="S134" s="186">
        <v>0.25</v>
      </c>
      <c r="T134" s="186">
        <v>0.25</v>
      </c>
      <c r="U134" s="186">
        <v>0.01</v>
      </c>
      <c r="V134" s="186">
        <v>0.01</v>
      </c>
      <c r="W134" s="186">
        <v>0.05</v>
      </c>
      <c r="X134" s="186">
        <v>0.5</v>
      </c>
      <c r="Y134" s="186">
        <v>0.5</v>
      </c>
      <c r="Z134" s="186">
        <v>0.95</v>
      </c>
      <c r="AA134" s="186">
        <v>0.95</v>
      </c>
      <c r="AB134" s="186">
        <v>0.05</v>
      </c>
      <c r="AC134" s="187">
        <v>0</v>
      </c>
      <c r="AD134" s="582"/>
      <c r="AE134" s="37"/>
      <c r="AF134" s="37"/>
      <c r="AG134" s="37"/>
      <c r="AH134" s="37"/>
      <c r="AI134" s="37"/>
      <c r="AJ134" s="37"/>
    </row>
    <row r="135" spans="1:36" customFormat="1" ht="26.4" customHeight="1" x14ac:dyDescent="0.3">
      <c r="A135" s="822"/>
      <c r="B135" s="809"/>
      <c r="C135" s="809"/>
      <c r="D135" s="821"/>
      <c r="E135" s="508" t="s">
        <v>712</v>
      </c>
      <c r="F135" s="500">
        <v>0</v>
      </c>
      <c r="G135" s="186">
        <v>0</v>
      </c>
      <c r="H135" s="186">
        <v>0</v>
      </c>
      <c r="I135" s="186">
        <v>0</v>
      </c>
      <c r="J135" s="186">
        <v>0</v>
      </c>
      <c r="K135" s="186">
        <v>0</v>
      </c>
      <c r="L135" s="186">
        <v>0</v>
      </c>
      <c r="M135" s="186">
        <v>1.8749999999999999E-2</v>
      </c>
      <c r="N135" s="186">
        <v>0.125</v>
      </c>
      <c r="O135" s="186">
        <v>0.125</v>
      </c>
      <c r="P135" s="186">
        <v>0.125</v>
      </c>
      <c r="Q135" s="186">
        <v>0.125</v>
      </c>
      <c r="R135" s="186">
        <v>0.02</v>
      </c>
      <c r="S135" s="186">
        <v>0.125</v>
      </c>
      <c r="T135" s="186">
        <v>0.125</v>
      </c>
      <c r="U135" s="186">
        <v>0.01</v>
      </c>
      <c r="V135" s="186">
        <v>0.01</v>
      </c>
      <c r="W135" s="186">
        <v>2.5000000000000001E-2</v>
      </c>
      <c r="X135" s="186">
        <v>0.25</v>
      </c>
      <c r="Y135" s="186">
        <v>0.25</v>
      </c>
      <c r="Z135" s="186">
        <v>0.5</v>
      </c>
      <c r="AA135" s="186">
        <v>0.5</v>
      </c>
      <c r="AB135" s="186">
        <v>2.5000000000000001E-2</v>
      </c>
      <c r="AC135" s="187">
        <v>0</v>
      </c>
      <c r="AD135" s="582"/>
      <c r="AE135" s="37"/>
      <c r="AF135" s="37"/>
      <c r="AG135" s="37"/>
      <c r="AH135" s="37"/>
      <c r="AI135" s="37"/>
      <c r="AJ135" s="37"/>
    </row>
    <row r="136" spans="1:36" customFormat="1" ht="26.4" customHeight="1" x14ac:dyDescent="0.3">
      <c r="A136" s="822"/>
      <c r="B136" s="809"/>
      <c r="C136" s="809"/>
      <c r="D136" s="821"/>
      <c r="E136" s="508" t="s">
        <v>713</v>
      </c>
      <c r="F136" s="500">
        <v>0</v>
      </c>
      <c r="G136" s="186">
        <v>0</v>
      </c>
      <c r="H136" s="186">
        <v>0</v>
      </c>
      <c r="I136" s="186">
        <v>0</v>
      </c>
      <c r="J136" s="186">
        <v>0</v>
      </c>
      <c r="K136" s="186">
        <v>0</v>
      </c>
      <c r="L136" s="186">
        <v>0</v>
      </c>
      <c r="M136" s="186">
        <v>0.05</v>
      </c>
      <c r="N136" s="186">
        <v>0.95</v>
      </c>
      <c r="O136" s="186">
        <v>0.95</v>
      </c>
      <c r="P136" s="186">
        <v>0.95</v>
      </c>
      <c r="Q136" s="186">
        <v>0.95</v>
      </c>
      <c r="R136" s="186">
        <v>0.95</v>
      </c>
      <c r="S136" s="186">
        <v>0.95</v>
      </c>
      <c r="T136" s="186">
        <v>0.05</v>
      </c>
      <c r="U136" s="186">
        <v>0</v>
      </c>
      <c r="V136" s="186">
        <v>0</v>
      </c>
      <c r="W136" s="186">
        <v>0</v>
      </c>
      <c r="X136" s="186">
        <v>0</v>
      </c>
      <c r="Y136" s="186">
        <v>0</v>
      </c>
      <c r="Z136" s="186">
        <v>0</v>
      </c>
      <c r="AA136" s="186">
        <v>0</v>
      </c>
      <c r="AB136" s="186">
        <v>0</v>
      </c>
      <c r="AC136" s="187">
        <v>0</v>
      </c>
      <c r="AD136" s="582"/>
      <c r="AE136" s="37"/>
      <c r="AF136" s="37"/>
      <c r="AG136" s="37"/>
      <c r="AH136" s="37"/>
      <c r="AI136" s="37"/>
      <c r="AJ136" s="37"/>
    </row>
    <row r="137" spans="1:36" customFormat="1" ht="26.4" customHeight="1" x14ac:dyDescent="0.3">
      <c r="A137" s="822"/>
      <c r="B137" s="809"/>
      <c r="C137" s="809"/>
      <c r="D137" s="821"/>
      <c r="E137" s="509" t="s">
        <v>714</v>
      </c>
      <c r="F137" s="500">
        <v>0</v>
      </c>
      <c r="G137" s="186">
        <v>0</v>
      </c>
      <c r="H137" s="186">
        <v>0</v>
      </c>
      <c r="I137" s="186">
        <v>0</v>
      </c>
      <c r="J137" s="186">
        <v>0</v>
      </c>
      <c r="K137" s="186">
        <v>0</v>
      </c>
      <c r="L137" s="186">
        <v>0</v>
      </c>
      <c r="M137" s="186">
        <v>2.5000000000000001E-2</v>
      </c>
      <c r="N137" s="186">
        <v>0.5</v>
      </c>
      <c r="O137" s="186">
        <v>0.5</v>
      </c>
      <c r="P137" s="186">
        <v>0.5</v>
      </c>
      <c r="Q137" s="186">
        <v>0.5</v>
      </c>
      <c r="R137" s="186">
        <v>0.5</v>
      </c>
      <c r="S137" s="186">
        <v>0.5</v>
      </c>
      <c r="T137" s="186">
        <v>2.5000000000000001E-2</v>
      </c>
      <c r="U137" s="186">
        <v>0</v>
      </c>
      <c r="V137" s="186">
        <v>0</v>
      </c>
      <c r="W137" s="186">
        <v>0</v>
      </c>
      <c r="X137" s="186">
        <v>0</v>
      </c>
      <c r="Y137" s="186">
        <v>0</v>
      </c>
      <c r="Z137" s="186">
        <v>0</v>
      </c>
      <c r="AA137" s="186">
        <v>0</v>
      </c>
      <c r="AB137" s="186">
        <v>0</v>
      </c>
      <c r="AC137" s="187">
        <v>0</v>
      </c>
      <c r="AD137" s="582"/>
      <c r="AE137" s="37"/>
      <c r="AF137" s="37"/>
      <c r="AG137" s="37"/>
      <c r="AH137" s="37"/>
      <c r="AI137" s="37"/>
      <c r="AJ137" s="37"/>
    </row>
    <row r="138" spans="1:36" customFormat="1" ht="26.4" customHeight="1" thickBot="1" x14ac:dyDescent="0.35">
      <c r="A138" s="802"/>
      <c r="B138" s="805"/>
      <c r="C138" s="805"/>
      <c r="D138" s="820"/>
      <c r="E138" s="510" t="s">
        <v>715</v>
      </c>
      <c r="F138" s="428">
        <v>0</v>
      </c>
      <c r="G138" s="153">
        <v>0</v>
      </c>
      <c r="H138" s="153">
        <v>0</v>
      </c>
      <c r="I138" s="153">
        <v>0</v>
      </c>
      <c r="J138" s="153">
        <v>0</v>
      </c>
      <c r="K138" s="153">
        <v>0</v>
      </c>
      <c r="L138" s="153">
        <v>0</v>
      </c>
      <c r="M138" s="153">
        <v>0.05</v>
      </c>
      <c r="N138" s="153">
        <v>0.3</v>
      </c>
      <c r="O138" s="153">
        <v>0.3</v>
      </c>
      <c r="P138" s="153">
        <v>0.3</v>
      </c>
      <c r="Q138" s="153">
        <v>0.3</v>
      </c>
      <c r="R138" s="153">
        <v>0.3</v>
      </c>
      <c r="S138" s="153">
        <v>0.3</v>
      </c>
      <c r="T138" s="153">
        <v>0.3</v>
      </c>
      <c r="U138" s="153">
        <v>0.3</v>
      </c>
      <c r="V138" s="153">
        <v>0.3</v>
      </c>
      <c r="W138" s="153">
        <v>0.05</v>
      </c>
      <c r="X138" s="153">
        <v>0</v>
      </c>
      <c r="Y138" s="153">
        <v>0</v>
      </c>
      <c r="Z138" s="153">
        <v>0</v>
      </c>
      <c r="AA138" s="153">
        <v>0</v>
      </c>
      <c r="AB138" s="153">
        <v>0</v>
      </c>
      <c r="AC138" s="154">
        <v>0</v>
      </c>
      <c r="AD138" s="582"/>
      <c r="AE138" s="37"/>
      <c r="AF138" s="37"/>
      <c r="AG138" s="37"/>
      <c r="AH138" s="37"/>
      <c r="AI138" s="37"/>
      <c r="AJ138" s="37"/>
    </row>
    <row r="139" spans="1:36" customFormat="1" ht="26.4" customHeight="1" x14ac:dyDescent="0.3">
      <c r="A139" s="812" t="s">
        <v>708</v>
      </c>
      <c r="B139" s="815" t="s">
        <v>204</v>
      </c>
      <c r="C139" s="803" t="s">
        <v>697</v>
      </c>
      <c r="D139" s="779" t="s">
        <v>686</v>
      </c>
      <c r="E139" s="511" t="s">
        <v>687</v>
      </c>
      <c r="F139" s="499">
        <v>0</v>
      </c>
      <c r="G139" s="149">
        <v>0</v>
      </c>
      <c r="H139" s="149">
        <v>0</v>
      </c>
      <c r="I139" s="149">
        <v>0</v>
      </c>
      <c r="J139" s="149">
        <v>0</v>
      </c>
      <c r="K139" s="149">
        <v>0</v>
      </c>
      <c r="L139" s="149">
        <v>0</v>
      </c>
      <c r="M139" s="149">
        <v>0</v>
      </c>
      <c r="N139" s="149">
        <v>0</v>
      </c>
      <c r="O139" s="149">
        <v>0</v>
      </c>
      <c r="P139" s="149">
        <v>0</v>
      </c>
      <c r="Q139" s="149">
        <v>0</v>
      </c>
      <c r="R139" s="149">
        <v>0</v>
      </c>
      <c r="S139" s="149">
        <v>0</v>
      </c>
      <c r="T139" s="149">
        <v>0</v>
      </c>
      <c r="U139" s="149">
        <v>0</v>
      </c>
      <c r="V139" s="149">
        <v>0</v>
      </c>
      <c r="W139" s="149">
        <v>0</v>
      </c>
      <c r="X139" s="149">
        <v>0</v>
      </c>
      <c r="Y139" s="149">
        <v>0</v>
      </c>
      <c r="Z139" s="149">
        <v>0</v>
      </c>
      <c r="AA139" s="149">
        <v>0</v>
      </c>
      <c r="AB139" s="149">
        <v>0</v>
      </c>
      <c r="AC139" s="150">
        <v>0</v>
      </c>
      <c r="AD139" s="582"/>
      <c r="AE139" s="37"/>
      <c r="AF139" s="37"/>
      <c r="AG139" s="37"/>
      <c r="AH139" s="37"/>
      <c r="AI139" s="37"/>
      <c r="AJ139" s="37"/>
    </row>
    <row r="140" spans="1:36" customFormat="1" ht="26.4" customHeight="1" x14ac:dyDescent="0.3">
      <c r="A140" s="813"/>
      <c r="B140" s="816"/>
      <c r="C140" s="808"/>
      <c r="D140" s="818"/>
      <c r="E140" s="512" t="s">
        <v>709</v>
      </c>
      <c r="F140" s="501">
        <v>0</v>
      </c>
      <c r="G140" s="191">
        <v>0</v>
      </c>
      <c r="H140" s="191">
        <v>0</v>
      </c>
      <c r="I140" s="191">
        <v>0</v>
      </c>
      <c r="J140" s="191">
        <v>0</v>
      </c>
      <c r="K140" s="191">
        <v>0</v>
      </c>
      <c r="L140" s="191">
        <v>1</v>
      </c>
      <c r="M140" s="191">
        <v>1</v>
      </c>
      <c r="N140" s="191">
        <v>1</v>
      </c>
      <c r="O140" s="191">
        <v>1</v>
      </c>
      <c r="P140" s="191">
        <v>1</v>
      </c>
      <c r="Q140" s="191">
        <v>1</v>
      </c>
      <c r="R140" s="191">
        <v>1</v>
      </c>
      <c r="S140" s="191">
        <v>1</v>
      </c>
      <c r="T140" s="191">
        <v>1</v>
      </c>
      <c r="U140" s="191">
        <v>1</v>
      </c>
      <c r="V140" s="191">
        <v>1</v>
      </c>
      <c r="W140" s="191">
        <v>1</v>
      </c>
      <c r="X140" s="191">
        <v>1</v>
      </c>
      <c r="Y140" s="191">
        <v>1</v>
      </c>
      <c r="Z140" s="191">
        <v>1</v>
      </c>
      <c r="AA140" s="191">
        <v>0</v>
      </c>
      <c r="AB140" s="191">
        <v>0</v>
      </c>
      <c r="AC140" s="192">
        <v>0</v>
      </c>
      <c r="AD140" s="582"/>
      <c r="AE140" s="37"/>
      <c r="AF140" s="37"/>
      <c r="AG140" s="37"/>
      <c r="AH140" s="37"/>
      <c r="AI140" s="37"/>
      <c r="AJ140" s="37"/>
    </row>
    <row r="141" spans="1:36" customFormat="1" ht="26.4" customHeight="1" x14ac:dyDescent="0.3">
      <c r="A141" s="813"/>
      <c r="B141" s="816"/>
      <c r="C141" s="808"/>
      <c r="D141" s="818"/>
      <c r="E141" s="512" t="s">
        <v>710</v>
      </c>
      <c r="F141" s="501">
        <v>0</v>
      </c>
      <c r="G141" s="191">
        <v>0</v>
      </c>
      <c r="H141" s="191">
        <v>0</v>
      </c>
      <c r="I141" s="191">
        <v>0</v>
      </c>
      <c r="J141" s="191">
        <v>0</v>
      </c>
      <c r="K141" s="191">
        <v>0</v>
      </c>
      <c r="L141" s="191">
        <v>1</v>
      </c>
      <c r="M141" s="191">
        <v>1</v>
      </c>
      <c r="N141" s="191">
        <v>1</v>
      </c>
      <c r="O141" s="191">
        <v>1</v>
      </c>
      <c r="P141" s="191">
        <v>1</v>
      </c>
      <c r="Q141" s="191">
        <v>1</v>
      </c>
      <c r="R141" s="191">
        <v>1</v>
      </c>
      <c r="S141" s="191">
        <v>1</v>
      </c>
      <c r="T141" s="191">
        <v>1</v>
      </c>
      <c r="U141" s="191">
        <v>1</v>
      </c>
      <c r="V141" s="191">
        <v>1</v>
      </c>
      <c r="W141" s="191">
        <v>1</v>
      </c>
      <c r="X141" s="191">
        <v>1</v>
      </c>
      <c r="Y141" s="191">
        <v>1</v>
      </c>
      <c r="Z141" s="191">
        <v>1</v>
      </c>
      <c r="AA141" s="191">
        <v>0</v>
      </c>
      <c r="AB141" s="191">
        <v>0</v>
      </c>
      <c r="AC141" s="192">
        <v>0</v>
      </c>
      <c r="AD141" s="582"/>
      <c r="AE141" s="37"/>
      <c r="AF141" s="37"/>
      <c r="AG141" s="37"/>
      <c r="AH141" s="37"/>
      <c r="AI141" s="37"/>
      <c r="AJ141" s="37"/>
    </row>
    <row r="142" spans="1:36" customFormat="1" ht="26.4" customHeight="1" x14ac:dyDescent="0.3">
      <c r="A142" s="813"/>
      <c r="B142" s="816"/>
      <c r="C142" s="808"/>
      <c r="D142" s="818"/>
      <c r="E142" s="512" t="s">
        <v>711</v>
      </c>
      <c r="F142" s="501">
        <v>0</v>
      </c>
      <c r="G142" s="191">
        <v>0</v>
      </c>
      <c r="H142" s="191">
        <v>0</v>
      </c>
      <c r="I142" s="191">
        <v>0</v>
      </c>
      <c r="J142" s="191">
        <v>0</v>
      </c>
      <c r="K142" s="191">
        <v>0</v>
      </c>
      <c r="L142" s="191">
        <v>0</v>
      </c>
      <c r="M142" s="191">
        <v>1</v>
      </c>
      <c r="N142" s="191">
        <v>1</v>
      </c>
      <c r="O142" s="191">
        <v>1</v>
      </c>
      <c r="P142" s="191">
        <v>1</v>
      </c>
      <c r="Q142" s="191">
        <v>1</v>
      </c>
      <c r="R142" s="191">
        <v>1</v>
      </c>
      <c r="S142" s="191">
        <v>1</v>
      </c>
      <c r="T142" s="191">
        <v>1</v>
      </c>
      <c r="U142" s="191">
        <v>1</v>
      </c>
      <c r="V142" s="191">
        <v>1</v>
      </c>
      <c r="W142" s="191">
        <v>1</v>
      </c>
      <c r="X142" s="191">
        <v>1</v>
      </c>
      <c r="Y142" s="191">
        <v>1</v>
      </c>
      <c r="Z142" s="191">
        <v>1</v>
      </c>
      <c r="AA142" s="191">
        <v>1</v>
      </c>
      <c r="AB142" s="191">
        <v>1</v>
      </c>
      <c r="AC142" s="192">
        <v>0</v>
      </c>
      <c r="AD142" s="582"/>
      <c r="AE142" s="37"/>
      <c r="AF142" s="37"/>
      <c r="AG142" s="37"/>
      <c r="AH142" s="37"/>
      <c r="AI142" s="37"/>
      <c r="AJ142" s="37"/>
    </row>
    <row r="143" spans="1:36" customFormat="1" ht="26.4" customHeight="1" x14ac:dyDescent="0.3">
      <c r="A143" s="813"/>
      <c r="B143" s="816"/>
      <c r="C143" s="808"/>
      <c r="D143" s="818"/>
      <c r="E143" s="512" t="s">
        <v>712</v>
      </c>
      <c r="F143" s="501">
        <v>0</v>
      </c>
      <c r="G143" s="191">
        <v>0</v>
      </c>
      <c r="H143" s="191">
        <v>0</v>
      </c>
      <c r="I143" s="191">
        <v>0</v>
      </c>
      <c r="J143" s="191">
        <v>0</v>
      </c>
      <c r="K143" s="191">
        <v>0</v>
      </c>
      <c r="L143" s="191">
        <v>0</v>
      </c>
      <c r="M143" s="191">
        <v>1</v>
      </c>
      <c r="N143" s="191">
        <v>1</v>
      </c>
      <c r="O143" s="191">
        <v>1</v>
      </c>
      <c r="P143" s="191">
        <v>1</v>
      </c>
      <c r="Q143" s="191">
        <v>1</v>
      </c>
      <c r="R143" s="191">
        <v>1</v>
      </c>
      <c r="S143" s="191">
        <v>1</v>
      </c>
      <c r="T143" s="191">
        <v>1</v>
      </c>
      <c r="U143" s="191">
        <v>1</v>
      </c>
      <c r="V143" s="191">
        <v>1</v>
      </c>
      <c r="W143" s="191">
        <v>1</v>
      </c>
      <c r="X143" s="191">
        <v>1</v>
      </c>
      <c r="Y143" s="191">
        <v>1</v>
      </c>
      <c r="Z143" s="191">
        <v>1</v>
      </c>
      <c r="AA143" s="191">
        <v>1</v>
      </c>
      <c r="AB143" s="191">
        <v>1</v>
      </c>
      <c r="AC143" s="192">
        <v>0</v>
      </c>
      <c r="AD143" s="582"/>
      <c r="AE143" s="37"/>
      <c r="AF143" s="37"/>
      <c r="AG143" s="37"/>
      <c r="AH143" s="37"/>
      <c r="AI143" s="37"/>
      <c r="AJ143" s="37"/>
    </row>
    <row r="144" spans="1:36" customFormat="1" ht="26.4" customHeight="1" x14ac:dyDescent="0.3">
      <c r="A144" s="813"/>
      <c r="B144" s="816"/>
      <c r="C144" s="808"/>
      <c r="D144" s="818"/>
      <c r="E144" s="512" t="s">
        <v>713</v>
      </c>
      <c r="F144" s="501">
        <v>0</v>
      </c>
      <c r="G144" s="191">
        <v>0</v>
      </c>
      <c r="H144" s="191">
        <v>0</v>
      </c>
      <c r="I144" s="191">
        <v>0</v>
      </c>
      <c r="J144" s="191">
        <v>0</v>
      </c>
      <c r="K144" s="191">
        <v>0</v>
      </c>
      <c r="L144" s="191">
        <v>0</v>
      </c>
      <c r="M144" s="191">
        <v>1</v>
      </c>
      <c r="N144" s="191">
        <v>1</v>
      </c>
      <c r="O144" s="191">
        <v>1</v>
      </c>
      <c r="P144" s="191">
        <v>1</v>
      </c>
      <c r="Q144" s="191">
        <v>1</v>
      </c>
      <c r="R144" s="191">
        <v>1</v>
      </c>
      <c r="S144" s="191">
        <v>1</v>
      </c>
      <c r="T144" s="191">
        <v>1</v>
      </c>
      <c r="U144" s="191">
        <v>0</v>
      </c>
      <c r="V144" s="191">
        <v>0</v>
      </c>
      <c r="W144" s="191">
        <v>0</v>
      </c>
      <c r="X144" s="191">
        <v>0</v>
      </c>
      <c r="Y144" s="191">
        <v>0</v>
      </c>
      <c r="Z144" s="191">
        <v>0</v>
      </c>
      <c r="AA144" s="191">
        <v>0</v>
      </c>
      <c r="AB144" s="191">
        <v>0</v>
      </c>
      <c r="AC144" s="192">
        <v>0</v>
      </c>
      <c r="AD144" s="582"/>
      <c r="AE144" s="37"/>
      <c r="AF144" s="37"/>
      <c r="AG144" s="37"/>
      <c r="AH144" s="37"/>
      <c r="AI144" s="37"/>
      <c r="AJ144" s="37"/>
    </row>
    <row r="145" spans="1:36" customFormat="1" ht="26.4" customHeight="1" x14ac:dyDescent="0.3">
      <c r="A145" s="813"/>
      <c r="B145" s="816"/>
      <c r="C145" s="804"/>
      <c r="D145" s="819"/>
      <c r="E145" s="429" t="s">
        <v>714</v>
      </c>
      <c r="F145" s="427">
        <v>0</v>
      </c>
      <c r="G145" s="151">
        <v>0</v>
      </c>
      <c r="H145" s="151">
        <v>0</v>
      </c>
      <c r="I145" s="151">
        <v>0</v>
      </c>
      <c r="J145" s="151">
        <v>0</v>
      </c>
      <c r="K145" s="151">
        <v>0</v>
      </c>
      <c r="L145" s="151">
        <v>0</v>
      </c>
      <c r="M145" s="151">
        <v>1</v>
      </c>
      <c r="N145" s="151">
        <v>1</v>
      </c>
      <c r="O145" s="151">
        <v>1</v>
      </c>
      <c r="P145" s="151">
        <v>1</v>
      </c>
      <c r="Q145" s="151">
        <v>1</v>
      </c>
      <c r="R145" s="151">
        <v>1</v>
      </c>
      <c r="S145" s="151">
        <v>1</v>
      </c>
      <c r="T145" s="151">
        <v>1</v>
      </c>
      <c r="U145" s="151">
        <v>0</v>
      </c>
      <c r="V145" s="151">
        <v>0</v>
      </c>
      <c r="W145" s="151">
        <v>0</v>
      </c>
      <c r="X145" s="151">
        <v>0</v>
      </c>
      <c r="Y145" s="151">
        <v>0</v>
      </c>
      <c r="Z145" s="151">
        <v>0</v>
      </c>
      <c r="AA145" s="151">
        <v>0</v>
      </c>
      <c r="AB145" s="151">
        <v>0</v>
      </c>
      <c r="AC145" s="152">
        <v>0</v>
      </c>
      <c r="AD145" s="582"/>
      <c r="AE145" s="37"/>
      <c r="AF145" s="37"/>
      <c r="AG145" s="37"/>
      <c r="AH145" s="37"/>
      <c r="AI145" s="37"/>
      <c r="AJ145" s="37"/>
    </row>
    <row r="146" spans="1:36" customFormat="1" ht="26.4" customHeight="1" thickBot="1" x14ac:dyDescent="0.35">
      <c r="A146" s="814"/>
      <c r="B146" s="817"/>
      <c r="C146" s="805"/>
      <c r="D146" s="820"/>
      <c r="E146" s="430" t="s">
        <v>715</v>
      </c>
      <c r="F146" s="428">
        <v>0</v>
      </c>
      <c r="G146" s="153">
        <v>0</v>
      </c>
      <c r="H146" s="153">
        <v>0</v>
      </c>
      <c r="I146" s="153">
        <v>0</v>
      </c>
      <c r="J146" s="153">
        <v>0</v>
      </c>
      <c r="K146" s="153">
        <v>0</v>
      </c>
      <c r="L146" s="153">
        <v>0</v>
      </c>
      <c r="M146" s="153">
        <v>1</v>
      </c>
      <c r="N146" s="153">
        <v>1</v>
      </c>
      <c r="O146" s="153">
        <v>1</v>
      </c>
      <c r="P146" s="153">
        <v>1</v>
      </c>
      <c r="Q146" s="153">
        <v>1</v>
      </c>
      <c r="R146" s="153">
        <v>1</v>
      </c>
      <c r="S146" s="153">
        <v>1</v>
      </c>
      <c r="T146" s="153">
        <v>1</v>
      </c>
      <c r="U146" s="153">
        <v>1</v>
      </c>
      <c r="V146" s="153">
        <v>1</v>
      </c>
      <c r="W146" s="153">
        <v>1</v>
      </c>
      <c r="X146" s="153">
        <v>0</v>
      </c>
      <c r="Y146" s="153">
        <v>0</v>
      </c>
      <c r="Z146" s="153">
        <v>0</v>
      </c>
      <c r="AA146" s="153">
        <v>0</v>
      </c>
      <c r="AB146" s="153">
        <v>0</v>
      </c>
      <c r="AC146" s="154">
        <v>0</v>
      </c>
      <c r="AD146" s="582"/>
      <c r="AE146" s="37"/>
      <c r="AF146" s="37"/>
      <c r="AG146" s="37"/>
      <c r="AH146" s="37"/>
      <c r="AI146" s="37"/>
      <c r="AJ146" s="37"/>
    </row>
    <row r="147" spans="1:36" customFormat="1" ht="26.4" customHeight="1" x14ac:dyDescent="0.3">
      <c r="A147" s="812" t="s">
        <v>708</v>
      </c>
      <c r="B147" s="815" t="s">
        <v>204</v>
      </c>
      <c r="C147" s="803" t="s">
        <v>691</v>
      </c>
      <c r="D147" s="779" t="s">
        <v>686</v>
      </c>
      <c r="E147" s="511" t="s">
        <v>687</v>
      </c>
      <c r="F147" s="499">
        <v>0</v>
      </c>
      <c r="G147" s="149">
        <v>0</v>
      </c>
      <c r="H147" s="149">
        <v>0</v>
      </c>
      <c r="I147" s="149">
        <v>0</v>
      </c>
      <c r="J147" s="149">
        <v>0</v>
      </c>
      <c r="K147" s="149">
        <v>0</v>
      </c>
      <c r="L147" s="149">
        <v>0</v>
      </c>
      <c r="M147" s="149">
        <v>0</v>
      </c>
      <c r="N147" s="149">
        <v>0</v>
      </c>
      <c r="O147" s="149">
        <v>0</v>
      </c>
      <c r="P147" s="149">
        <v>0</v>
      </c>
      <c r="Q147" s="149">
        <v>0</v>
      </c>
      <c r="R147" s="149">
        <v>0</v>
      </c>
      <c r="S147" s="149">
        <v>0</v>
      </c>
      <c r="T147" s="149">
        <v>0</v>
      </c>
      <c r="U147" s="149">
        <v>0</v>
      </c>
      <c r="V147" s="149">
        <v>0</v>
      </c>
      <c r="W147" s="149">
        <v>0</v>
      </c>
      <c r="X147" s="149">
        <v>0</v>
      </c>
      <c r="Y147" s="149">
        <v>0</v>
      </c>
      <c r="Z147" s="149">
        <v>0</v>
      </c>
      <c r="AA147" s="149">
        <v>0</v>
      </c>
      <c r="AB147" s="149">
        <v>0</v>
      </c>
      <c r="AC147" s="150">
        <v>0</v>
      </c>
      <c r="AD147" s="582"/>
      <c r="AE147" s="37"/>
      <c r="AF147" s="37"/>
      <c r="AG147" s="37"/>
      <c r="AH147" s="37"/>
      <c r="AI147" s="37"/>
      <c r="AJ147" s="37"/>
    </row>
    <row r="148" spans="1:36" customFormat="1" ht="26.4" customHeight="1" x14ac:dyDescent="0.3">
      <c r="A148" s="813"/>
      <c r="B148" s="816"/>
      <c r="C148" s="808"/>
      <c r="D148" s="818"/>
      <c r="E148" s="512" t="s">
        <v>709</v>
      </c>
      <c r="F148" s="501">
        <v>0</v>
      </c>
      <c r="G148" s="191">
        <v>0</v>
      </c>
      <c r="H148" s="191">
        <v>0</v>
      </c>
      <c r="I148" s="191">
        <v>0</v>
      </c>
      <c r="J148" s="191">
        <v>0</v>
      </c>
      <c r="K148" s="191">
        <v>0</v>
      </c>
      <c r="L148" s="191">
        <v>1</v>
      </c>
      <c r="M148" s="191">
        <v>1</v>
      </c>
      <c r="N148" s="191">
        <v>1</v>
      </c>
      <c r="O148" s="191">
        <v>1</v>
      </c>
      <c r="P148" s="191">
        <v>1</v>
      </c>
      <c r="Q148" s="191">
        <v>1</v>
      </c>
      <c r="R148" s="191">
        <v>1</v>
      </c>
      <c r="S148" s="191">
        <v>1</v>
      </c>
      <c r="T148" s="191">
        <v>1</v>
      </c>
      <c r="U148" s="191">
        <v>1</v>
      </c>
      <c r="V148" s="191">
        <v>1</v>
      </c>
      <c r="W148" s="191">
        <v>1</v>
      </c>
      <c r="X148" s="191">
        <v>1</v>
      </c>
      <c r="Y148" s="191">
        <v>1</v>
      </c>
      <c r="Z148" s="191">
        <v>1</v>
      </c>
      <c r="AA148" s="191">
        <v>0</v>
      </c>
      <c r="AB148" s="191">
        <v>0</v>
      </c>
      <c r="AC148" s="192">
        <v>0</v>
      </c>
      <c r="AD148" s="582"/>
      <c r="AE148" s="37"/>
      <c r="AF148" s="37"/>
      <c r="AG148" s="37"/>
      <c r="AH148" s="37"/>
      <c r="AI148" s="37"/>
      <c r="AJ148" s="37"/>
    </row>
    <row r="149" spans="1:36" customFormat="1" ht="26.4" customHeight="1" x14ac:dyDescent="0.3">
      <c r="A149" s="813"/>
      <c r="B149" s="816"/>
      <c r="C149" s="808"/>
      <c r="D149" s="818"/>
      <c r="E149" s="512" t="s">
        <v>710</v>
      </c>
      <c r="F149" s="501">
        <v>0</v>
      </c>
      <c r="G149" s="191">
        <v>0</v>
      </c>
      <c r="H149" s="191">
        <v>0</v>
      </c>
      <c r="I149" s="191">
        <v>0</v>
      </c>
      <c r="J149" s="191">
        <v>0</v>
      </c>
      <c r="K149" s="191">
        <v>0</v>
      </c>
      <c r="L149" s="191">
        <v>1</v>
      </c>
      <c r="M149" s="191">
        <v>1</v>
      </c>
      <c r="N149" s="191">
        <v>1</v>
      </c>
      <c r="O149" s="191">
        <v>1</v>
      </c>
      <c r="P149" s="191">
        <v>1</v>
      </c>
      <c r="Q149" s="191">
        <v>1</v>
      </c>
      <c r="R149" s="191">
        <v>1</v>
      </c>
      <c r="S149" s="191">
        <v>1</v>
      </c>
      <c r="T149" s="191">
        <v>1</v>
      </c>
      <c r="U149" s="191">
        <v>1</v>
      </c>
      <c r="V149" s="191">
        <v>1</v>
      </c>
      <c r="W149" s="191">
        <v>1</v>
      </c>
      <c r="X149" s="191">
        <v>1</v>
      </c>
      <c r="Y149" s="191">
        <v>1</v>
      </c>
      <c r="Z149" s="191">
        <v>1</v>
      </c>
      <c r="AA149" s="191">
        <v>0</v>
      </c>
      <c r="AB149" s="191">
        <v>0</v>
      </c>
      <c r="AC149" s="192">
        <v>0</v>
      </c>
      <c r="AD149" s="582"/>
      <c r="AE149" s="37"/>
      <c r="AF149" s="37"/>
      <c r="AG149" s="37"/>
      <c r="AH149" s="37"/>
      <c r="AI149" s="37"/>
      <c r="AJ149" s="37"/>
    </row>
    <row r="150" spans="1:36" customFormat="1" ht="26.4" customHeight="1" x14ac:dyDescent="0.3">
      <c r="A150" s="813"/>
      <c r="B150" s="816"/>
      <c r="C150" s="808"/>
      <c r="D150" s="818"/>
      <c r="E150" s="512" t="s">
        <v>711</v>
      </c>
      <c r="F150" s="501">
        <v>0</v>
      </c>
      <c r="G150" s="191">
        <v>0</v>
      </c>
      <c r="H150" s="191">
        <v>0</v>
      </c>
      <c r="I150" s="191">
        <v>0</v>
      </c>
      <c r="J150" s="191">
        <v>0</v>
      </c>
      <c r="K150" s="191">
        <v>0</v>
      </c>
      <c r="L150" s="191">
        <v>0</v>
      </c>
      <c r="M150" s="191">
        <v>1</v>
      </c>
      <c r="N150" s="191">
        <v>1</v>
      </c>
      <c r="O150" s="191">
        <v>1</v>
      </c>
      <c r="P150" s="191">
        <v>1</v>
      </c>
      <c r="Q150" s="191">
        <v>1</v>
      </c>
      <c r="R150" s="191">
        <v>1</v>
      </c>
      <c r="S150" s="191">
        <v>1</v>
      </c>
      <c r="T150" s="191">
        <v>1</v>
      </c>
      <c r="U150" s="191">
        <v>1</v>
      </c>
      <c r="V150" s="191">
        <v>1</v>
      </c>
      <c r="W150" s="191">
        <v>1</v>
      </c>
      <c r="X150" s="191">
        <v>1</v>
      </c>
      <c r="Y150" s="191">
        <v>1</v>
      </c>
      <c r="Z150" s="191">
        <v>1</v>
      </c>
      <c r="AA150" s="191">
        <v>1</v>
      </c>
      <c r="AB150" s="191">
        <v>1</v>
      </c>
      <c r="AC150" s="192">
        <v>0</v>
      </c>
      <c r="AD150" s="582"/>
      <c r="AE150" s="37"/>
      <c r="AF150" s="37"/>
      <c r="AG150" s="37"/>
      <c r="AH150" s="37"/>
      <c r="AI150" s="37"/>
      <c r="AJ150" s="37"/>
    </row>
    <row r="151" spans="1:36" customFormat="1" ht="26.4" customHeight="1" x14ac:dyDescent="0.3">
      <c r="A151" s="813"/>
      <c r="B151" s="816"/>
      <c r="C151" s="808"/>
      <c r="D151" s="818"/>
      <c r="E151" s="512" t="s">
        <v>712</v>
      </c>
      <c r="F151" s="501">
        <v>0</v>
      </c>
      <c r="G151" s="191">
        <v>0</v>
      </c>
      <c r="H151" s="191">
        <v>0</v>
      </c>
      <c r="I151" s="191">
        <v>0</v>
      </c>
      <c r="J151" s="191">
        <v>0</v>
      </c>
      <c r="K151" s="191">
        <v>0</v>
      </c>
      <c r="L151" s="191">
        <v>0</v>
      </c>
      <c r="M151" s="191">
        <v>1</v>
      </c>
      <c r="N151" s="191">
        <v>1</v>
      </c>
      <c r="O151" s="191">
        <v>1</v>
      </c>
      <c r="P151" s="191">
        <v>1</v>
      </c>
      <c r="Q151" s="191">
        <v>1</v>
      </c>
      <c r="R151" s="191">
        <v>1</v>
      </c>
      <c r="S151" s="191">
        <v>1</v>
      </c>
      <c r="T151" s="191">
        <v>1</v>
      </c>
      <c r="U151" s="191">
        <v>1</v>
      </c>
      <c r="V151" s="191">
        <v>1</v>
      </c>
      <c r="W151" s="191">
        <v>1</v>
      </c>
      <c r="X151" s="191">
        <v>1</v>
      </c>
      <c r="Y151" s="191">
        <v>1</v>
      </c>
      <c r="Z151" s="191">
        <v>1</v>
      </c>
      <c r="AA151" s="191">
        <v>1</v>
      </c>
      <c r="AB151" s="191">
        <v>1</v>
      </c>
      <c r="AC151" s="192">
        <v>0</v>
      </c>
      <c r="AD151" s="582"/>
      <c r="AE151" s="37"/>
      <c r="AF151" s="37"/>
      <c r="AG151" s="37"/>
      <c r="AH151" s="37"/>
      <c r="AI151" s="37"/>
      <c r="AJ151" s="37"/>
    </row>
    <row r="152" spans="1:36" customFormat="1" ht="26.4" customHeight="1" x14ac:dyDescent="0.3">
      <c r="A152" s="813"/>
      <c r="B152" s="816"/>
      <c r="C152" s="808"/>
      <c r="D152" s="818"/>
      <c r="E152" s="512" t="s">
        <v>713</v>
      </c>
      <c r="F152" s="501">
        <v>0</v>
      </c>
      <c r="G152" s="191">
        <v>0</v>
      </c>
      <c r="H152" s="191">
        <v>0</v>
      </c>
      <c r="I152" s="191">
        <v>0</v>
      </c>
      <c r="J152" s="191">
        <v>0</v>
      </c>
      <c r="K152" s="191">
        <v>0</v>
      </c>
      <c r="L152" s="191">
        <v>0</v>
      </c>
      <c r="M152" s="191">
        <v>1</v>
      </c>
      <c r="N152" s="191">
        <v>1</v>
      </c>
      <c r="O152" s="191">
        <v>1</v>
      </c>
      <c r="P152" s="191">
        <v>1</v>
      </c>
      <c r="Q152" s="191">
        <v>1</v>
      </c>
      <c r="R152" s="191">
        <v>1</v>
      </c>
      <c r="S152" s="191">
        <v>1</v>
      </c>
      <c r="T152" s="191">
        <v>1</v>
      </c>
      <c r="U152" s="191">
        <v>0</v>
      </c>
      <c r="V152" s="191">
        <v>0</v>
      </c>
      <c r="W152" s="191">
        <v>0</v>
      </c>
      <c r="X152" s="191">
        <v>0</v>
      </c>
      <c r="Y152" s="191">
        <v>0</v>
      </c>
      <c r="Z152" s="191">
        <v>0</v>
      </c>
      <c r="AA152" s="191">
        <v>0</v>
      </c>
      <c r="AB152" s="191">
        <v>0</v>
      </c>
      <c r="AC152" s="192">
        <v>0</v>
      </c>
      <c r="AD152" s="582"/>
      <c r="AE152" s="37"/>
      <c r="AF152" s="37"/>
      <c r="AG152" s="37"/>
      <c r="AH152" s="37"/>
      <c r="AI152" s="37"/>
      <c r="AJ152" s="37"/>
    </row>
    <row r="153" spans="1:36" customFormat="1" ht="26.4" customHeight="1" x14ac:dyDescent="0.3">
      <c r="A153" s="813"/>
      <c r="B153" s="816"/>
      <c r="C153" s="804"/>
      <c r="D153" s="819"/>
      <c r="E153" s="429" t="s">
        <v>714</v>
      </c>
      <c r="F153" s="427">
        <v>0</v>
      </c>
      <c r="G153" s="151">
        <v>0</v>
      </c>
      <c r="H153" s="151">
        <v>0</v>
      </c>
      <c r="I153" s="151">
        <v>0</v>
      </c>
      <c r="J153" s="151">
        <v>0</v>
      </c>
      <c r="K153" s="151">
        <v>0</v>
      </c>
      <c r="L153" s="151">
        <v>0</v>
      </c>
      <c r="M153" s="151">
        <v>1</v>
      </c>
      <c r="N153" s="151">
        <v>1</v>
      </c>
      <c r="O153" s="151">
        <v>1</v>
      </c>
      <c r="P153" s="151">
        <v>1</v>
      </c>
      <c r="Q153" s="151">
        <v>1</v>
      </c>
      <c r="R153" s="151">
        <v>1</v>
      </c>
      <c r="S153" s="151">
        <v>1</v>
      </c>
      <c r="T153" s="151">
        <v>1</v>
      </c>
      <c r="U153" s="151">
        <v>0</v>
      </c>
      <c r="V153" s="151">
        <v>0</v>
      </c>
      <c r="W153" s="151">
        <v>0</v>
      </c>
      <c r="X153" s="151">
        <v>0</v>
      </c>
      <c r="Y153" s="151">
        <v>0</v>
      </c>
      <c r="Z153" s="151">
        <v>0</v>
      </c>
      <c r="AA153" s="151">
        <v>0</v>
      </c>
      <c r="AB153" s="151">
        <v>0</v>
      </c>
      <c r="AC153" s="152">
        <v>0</v>
      </c>
      <c r="AD153" s="582"/>
      <c r="AE153" s="37"/>
      <c r="AF153" s="37"/>
      <c r="AG153" s="37"/>
      <c r="AH153" s="37"/>
      <c r="AI153" s="37"/>
      <c r="AJ153" s="37"/>
    </row>
    <row r="154" spans="1:36" customFormat="1" ht="26.4" customHeight="1" thickBot="1" x14ac:dyDescent="0.35">
      <c r="A154" s="814"/>
      <c r="B154" s="817"/>
      <c r="C154" s="809"/>
      <c r="D154" s="821"/>
      <c r="E154" s="430" t="s">
        <v>715</v>
      </c>
      <c r="F154" s="428">
        <v>0</v>
      </c>
      <c r="G154" s="153">
        <v>0</v>
      </c>
      <c r="H154" s="153">
        <v>0</v>
      </c>
      <c r="I154" s="153">
        <v>0</v>
      </c>
      <c r="J154" s="153">
        <v>0</v>
      </c>
      <c r="K154" s="153">
        <v>0</v>
      </c>
      <c r="L154" s="153">
        <v>0</v>
      </c>
      <c r="M154" s="153">
        <v>1</v>
      </c>
      <c r="N154" s="153">
        <v>1</v>
      </c>
      <c r="O154" s="153">
        <v>1</v>
      </c>
      <c r="P154" s="153">
        <v>1</v>
      </c>
      <c r="Q154" s="153">
        <v>1</v>
      </c>
      <c r="R154" s="153">
        <v>1</v>
      </c>
      <c r="S154" s="153">
        <v>1</v>
      </c>
      <c r="T154" s="153">
        <v>1</v>
      </c>
      <c r="U154" s="153">
        <v>1</v>
      </c>
      <c r="V154" s="153">
        <v>1</v>
      </c>
      <c r="W154" s="153">
        <v>1</v>
      </c>
      <c r="X154" s="153">
        <v>0</v>
      </c>
      <c r="Y154" s="153">
        <v>0</v>
      </c>
      <c r="Z154" s="153">
        <v>0</v>
      </c>
      <c r="AA154" s="153">
        <v>0</v>
      </c>
      <c r="AB154" s="153">
        <v>0</v>
      </c>
      <c r="AC154" s="154">
        <v>0</v>
      </c>
      <c r="AD154" s="582"/>
      <c r="AE154" s="37"/>
      <c r="AF154" s="37"/>
      <c r="AG154" s="37"/>
      <c r="AH154" s="37"/>
      <c r="AI154" s="37"/>
      <c r="AJ154" s="37"/>
    </row>
    <row r="155" spans="1:36" customFormat="1" ht="26.4" customHeight="1" x14ac:dyDescent="0.3">
      <c r="A155" s="812" t="s">
        <v>708</v>
      </c>
      <c r="B155" s="815" t="s">
        <v>204</v>
      </c>
      <c r="C155" s="803" t="s">
        <v>692</v>
      </c>
      <c r="D155" s="779" t="s">
        <v>686</v>
      </c>
      <c r="E155" s="511" t="s">
        <v>687</v>
      </c>
      <c r="F155" s="499">
        <v>0.15</v>
      </c>
      <c r="G155" s="149">
        <v>0.15</v>
      </c>
      <c r="H155" s="149">
        <v>0.15</v>
      </c>
      <c r="I155" s="149">
        <v>0.15</v>
      </c>
      <c r="J155" s="149">
        <v>0.15</v>
      </c>
      <c r="K155" s="149">
        <v>0.15</v>
      </c>
      <c r="L155" s="149">
        <v>0.15</v>
      </c>
      <c r="M155" s="149">
        <v>0.15</v>
      </c>
      <c r="N155" s="149">
        <v>0.15</v>
      </c>
      <c r="O155" s="149">
        <v>0.15</v>
      </c>
      <c r="P155" s="149">
        <v>0.15</v>
      </c>
      <c r="Q155" s="149">
        <v>0.15</v>
      </c>
      <c r="R155" s="149">
        <v>0.15</v>
      </c>
      <c r="S155" s="149">
        <v>0.15</v>
      </c>
      <c r="T155" s="149">
        <v>0.15</v>
      </c>
      <c r="U155" s="149">
        <v>0.15</v>
      </c>
      <c r="V155" s="149">
        <v>0.15</v>
      </c>
      <c r="W155" s="149">
        <v>0.15</v>
      </c>
      <c r="X155" s="149">
        <v>0.15</v>
      </c>
      <c r="Y155" s="149">
        <v>0.15</v>
      </c>
      <c r="Z155" s="149">
        <v>0.15</v>
      </c>
      <c r="AA155" s="149">
        <v>0.15</v>
      </c>
      <c r="AB155" s="149">
        <v>0.15</v>
      </c>
      <c r="AC155" s="150">
        <v>0.15</v>
      </c>
      <c r="AD155" s="582"/>
      <c r="AE155" s="37"/>
      <c r="AF155" s="37"/>
      <c r="AG155" s="37"/>
      <c r="AH155" s="37"/>
      <c r="AI155" s="37"/>
      <c r="AJ155" s="37"/>
    </row>
    <row r="156" spans="1:36" customFormat="1" ht="26.4" customHeight="1" x14ac:dyDescent="0.3">
      <c r="A156" s="813"/>
      <c r="B156" s="816"/>
      <c r="C156" s="808"/>
      <c r="D156" s="818"/>
      <c r="E156" s="512" t="s">
        <v>709</v>
      </c>
      <c r="F156" s="501">
        <v>0.15</v>
      </c>
      <c r="G156" s="191">
        <v>0.15</v>
      </c>
      <c r="H156" s="191">
        <v>0.15</v>
      </c>
      <c r="I156" s="191">
        <v>0.15</v>
      </c>
      <c r="J156" s="191">
        <v>0.15</v>
      </c>
      <c r="K156" s="191">
        <v>0.15</v>
      </c>
      <c r="L156" s="191">
        <v>0.2</v>
      </c>
      <c r="M156" s="191">
        <v>0.75</v>
      </c>
      <c r="N156" s="191">
        <v>0.75</v>
      </c>
      <c r="O156" s="191">
        <v>0.75</v>
      </c>
      <c r="P156" s="191">
        <v>0.75</v>
      </c>
      <c r="Q156" s="191">
        <v>0.75</v>
      </c>
      <c r="R156" s="191">
        <v>0.2</v>
      </c>
      <c r="S156" s="191">
        <v>0.75</v>
      </c>
      <c r="T156" s="191">
        <v>0.75</v>
      </c>
      <c r="U156" s="191">
        <v>0.75</v>
      </c>
      <c r="V156" s="191">
        <v>0.75</v>
      </c>
      <c r="W156" s="191">
        <v>0.75</v>
      </c>
      <c r="X156" s="191">
        <v>0.75</v>
      </c>
      <c r="Y156" s="191">
        <v>0.75</v>
      </c>
      <c r="Z156" s="191">
        <v>0.2</v>
      </c>
      <c r="AA156" s="191">
        <v>0.15</v>
      </c>
      <c r="AB156" s="191">
        <v>0.15</v>
      </c>
      <c r="AC156" s="192">
        <v>0.15</v>
      </c>
      <c r="AD156" s="582"/>
      <c r="AE156" s="37"/>
      <c r="AF156" s="37"/>
      <c r="AG156" s="37"/>
      <c r="AH156" s="37"/>
      <c r="AI156" s="37"/>
      <c r="AJ156" s="37"/>
    </row>
    <row r="157" spans="1:36" customFormat="1" ht="26.4" customHeight="1" x14ac:dyDescent="0.3">
      <c r="A157" s="813"/>
      <c r="B157" s="816"/>
      <c r="C157" s="808"/>
      <c r="D157" s="818"/>
      <c r="E157" s="512" t="s">
        <v>710</v>
      </c>
      <c r="F157" s="501">
        <v>0.15</v>
      </c>
      <c r="G157" s="191">
        <v>0.15</v>
      </c>
      <c r="H157" s="191">
        <v>0.15</v>
      </c>
      <c r="I157" s="191">
        <v>0.15</v>
      </c>
      <c r="J157" s="191">
        <v>0.15</v>
      </c>
      <c r="K157" s="191">
        <v>0.15</v>
      </c>
      <c r="L157" s="191">
        <v>0.2</v>
      </c>
      <c r="M157" s="191">
        <v>0.75</v>
      </c>
      <c r="N157" s="191">
        <v>0.75</v>
      </c>
      <c r="O157" s="191">
        <v>0.75</v>
      </c>
      <c r="P157" s="191">
        <v>0.75</v>
      </c>
      <c r="Q157" s="191">
        <v>0.75</v>
      </c>
      <c r="R157" s="191">
        <v>0.2</v>
      </c>
      <c r="S157" s="191">
        <v>0.75</v>
      </c>
      <c r="T157" s="191">
        <v>0.75</v>
      </c>
      <c r="U157" s="191">
        <v>0.75</v>
      </c>
      <c r="V157" s="191">
        <v>0.75</v>
      </c>
      <c r="W157" s="191">
        <v>0.75</v>
      </c>
      <c r="X157" s="191">
        <v>0.75</v>
      </c>
      <c r="Y157" s="191">
        <v>0.75</v>
      </c>
      <c r="Z157" s="191">
        <v>0.2</v>
      </c>
      <c r="AA157" s="191">
        <v>0.15</v>
      </c>
      <c r="AB157" s="191">
        <v>0.15</v>
      </c>
      <c r="AC157" s="192">
        <v>0.15</v>
      </c>
      <c r="AD157" s="582"/>
      <c r="AE157" s="37"/>
      <c r="AF157" s="37"/>
      <c r="AG157" s="37"/>
      <c r="AH157" s="37"/>
      <c r="AI157" s="37"/>
      <c r="AJ157" s="37"/>
    </row>
    <row r="158" spans="1:36" customFormat="1" ht="26.4" customHeight="1" x14ac:dyDescent="0.3">
      <c r="A158" s="813"/>
      <c r="B158" s="816"/>
      <c r="C158" s="808"/>
      <c r="D158" s="818"/>
      <c r="E158" s="512" t="s">
        <v>711</v>
      </c>
      <c r="F158" s="501">
        <v>0.15</v>
      </c>
      <c r="G158" s="191">
        <v>0.15</v>
      </c>
      <c r="H158" s="191">
        <v>0.15</v>
      </c>
      <c r="I158" s="191">
        <v>0.15</v>
      </c>
      <c r="J158" s="191">
        <v>0.15</v>
      </c>
      <c r="K158" s="191">
        <v>0.15</v>
      </c>
      <c r="L158" s="191">
        <v>0.15</v>
      </c>
      <c r="M158" s="191">
        <v>0.2</v>
      </c>
      <c r="N158" s="191">
        <v>0.75</v>
      </c>
      <c r="O158" s="191">
        <v>0.75</v>
      </c>
      <c r="P158" s="191">
        <v>0.75</v>
      </c>
      <c r="Q158" s="191">
        <v>0.75</v>
      </c>
      <c r="R158" s="191">
        <v>0.2</v>
      </c>
      <c r="S158" s="191">
        <v>0.75</v>
      </c>
      <c r="T158" s="191">
        <v>0.75</v>
      </c>
      <c r="U158" s="191">
        <v>0.15</v>
      </c>
      <c r="V158" s="191">
        <v>0.15</v>
      </c>
      <c r="W158" s="191">
        <v>0.2</v>
      </c>
      <c r="X158" s="191">
        <v>0.75</v>
      </c>
      <c r="Y158" s="191">
        <v>0.75</v>
      </c>
      <c r="Z158" s="191">
        <v>0.95</v>
      </c>
      <c r="AA158" s="191">
        <v>0.95</v>
      </c>
      <c r="AB158" s="191">
        <v>0.2</v>
      </c>
      <c r="AC158" s="192">
        <v>0.15</v>
      </c>
      <c r="AD158" s="582"/>
      <c r="AE158" s="37"/>
      <c r="AF158" s="37"/>
      <c r="AG158" s="37"/>
      <c r="AH158" s="37"/>
      <c r="AI158" s="37"/>
      <c r="AJ158" s="37"/>
    </row>
    <row r="159" spans="1:36" customFormat="1" ht="26.4" customHeight="1" x14ac:dyDescent="0.3">
      <c r="A159" s="813"/>
      <c r="B159" s="816"/>
      <c r="C159" s="808"/>
      <c r="D159" s="818"/>
      <c r="E159" s="512" t="s">
        <v>712</v>
      </c>
      <c r="F159" s="501">
        <v>0.15</v>
      </c>
      <c r="G159" s="191">
        <v>0.15</v>
      </c>
      <c r="H159" s="191">
        <v>0.15</v>
      </c>
      <c r="I159" s="191">
        <v>0.15</v>
      </c>
      <c r="J159" s="191">
        <v>0.15</v>
      </c>
      <c r="K159" s="191">
        <v>0.15</v>
      </c>
      <c r="L159" s="191">
        <v>0.15</v>
      </c>
      <c r="M159" s="191">
        <v>0.2</v>
      </c>
      <c r="N159" s="191">
        <v>0.75</v>
      </c>
      <c r="O159" s="191">
        <v>0.75</v>
      </c>
      <c r="P159" s="191">
        <v>0.75</v>
      </c>
      <c r="Q159" s="191">
        <v>0.75</v>
      </c>
      <c r="R159" s="191">
        <v>0.2</v>
      </c>
      <c r="S159" s="191">
        <v>0.75</v>
      </c>
      <c r="T159" s="191">
        <v>0.75</v>
      </c>
      <c r="U159" s="191">
        <v>0.15</v>
      </c>
      <c r="V159" s="191">
        <v>0.15</v>
      </c>
      <c r="W159" s="191">
        <v>0.2</v>
      </c>
      <c r="X159" s="191">
        <v>0.75</v>
      </c>
      <c r="Y159" s="191">
        <v>0.75</v>
      </c>
      <c r="Z159" s="191">
        <v>0.75</v>
      </c>
      <c r="AA159" s="191">
        <v>0.75</v>
      </c>
      <c r="AB159" s="191">
        <v>0.2</v>
      </c>
      <c r="AC159" s="192">
        <v>0.15</v>
      </c>
      <c r="AD159" s="582"/>
      <c r="AE159" s="37"/>
      <c r="AF159" s="37"/>
      <c r="AG159" s="37"/>
      <c r="AH159" s="37"/>
      <c r="AI159" s="37"/>
      <c r="AJ159" s="37"/>
    </row>
    <row r="160" spans="1:36" customFormat="1" ht="26.4" customHeight="1" x14ac:dyDescent="0.3">
      <c r="A160" s="813"/>
      <c r="B160" s="816"/>
      <c r="C160" s="808"/>
      <c r="D160" s="818"/>
      <c r="E160" s="512" t="s">
        <v>713</v>
      </c>
      <c r="F160" s="501">
        <v>0.15</v>
      </c>
      <c r="G160" s="191">
        <v>0.15</v>
      </c>
      <c r="H160" s="191">
        <v>0.15</v>
      </c>
      <c r="I160" s="191">
        <v>0.15</v>
      </c>
      <c r="J160" s="191">
        <v>0.15</v>
      </c>
      <c r="K160" s="191">
        <v>0.15</v>
      </c>
      <c r="L160" s="191">
        <v>0.15</v>
      </c>
      <c r="M160" s="191">
        <v>0.2</v>
      </c>
      <c r="N160" s="191">
        <v>0.95</v>
      </c>
      <c r="O160" s="191">
        <v>0.95</v>
      </c>
      <c r="P160" s="191">
        <v>0.95</v>
      </c>
      <c r="Q160" s="191">
        <v>0.95</v>
      </c>
      <c r="R160" s="191">
        <v>0.95</v>
      </c>
      <c r="S160" s="191">
        <v>0.95</v>
      </c>
      <c r="T160" s="191">
        <v>0.2</v>
      </c>
      <c r="U160" s="191">
        <v>0.15</v>
      </c>
      <c r="V160" s="191">
        <v>0.15</v>
      </c>
      <c r="W160" s="191">
        <v>0.15</v>
      </c>
      <c r="X160" s="191">
        <v>0.15</v>
      </c>
      <c r="Y160" s="191">
        <v>0.15</v>
      </c>
      <c r="Z160" s="191">
        <v>0.15</v>
      </c>
      <c r="AA160" s="191">
        <v>0.15</v>
      </c>
      <c r="AB160" s="191">
        <v>0.15</v>
      </c>
      <c r="AC160" s="192">
        <v>0.15</v>
      </c>
      <c r="AD160" s="582"/>
      <c r="AE160" s="37"/>
      <c r="AF160" s="37"/>
      <c r="AG160" s="37"/>
      <c r="AH160" s="37"/>
      <c r="AI160" s="37"/>
      <c r="AJ160" s="37"/>
    </row>
    <row r="161" spans="1:36" customFormat="1" ht="26.4" customHeight="1" x14ac:dyDescent="0.3">
      <c r="A161" s="813"/>
      <c r="B161" s="816"/>
      <c r="C161" s="804"/>
      <c r="D161" s="819"/>
      <c r="E161" s="429" t="s">
        <v>714</v>
      </c>
      <c r="F161" s="427">
        <v>0.15</v>
      </c>
      <c r="G161" s="151">
        <v>0.15</v>
      </c>
      <c r="H161" s="151">
        <v>0.15</v>
      </c>
      <c r="I161" s="151">
        <v>0.15</v>
      </c>
      <c r="J161" s="151">
        <v>0.15</v>
      </c>
      <c r="K161" s="151">
        <v>0.15</v>
      </c>
      <c r="L161" s="151">
        <v>0.15</v>
      </c>
      <c r="M161" s="151">
        <v>0.2</v>
      </c>
      <c r="N161" s="151">
        <v>0.75</v>
      </c>
      <c r="O161" s="151">
        <v>0.75</v>
      </c>
      <c r="P161" s="151">
        <v>0.75</v>
      </c>
      <c r="Q161" s="151">
        <v>0.75</v>
      </c>
      <c r="R161" s="151">
        <v>0.75</v>
      </c>
      <c r="S161" s="151">
        <v>0.75</v>
      </c>
      <c r="T161" s="151">
        <v>0.2</v>
      </c>
      <c r="U161" s="151">
        <v>0.15</v>
      </c>
      <c r="V161" s="151">
        <v>0.15</v>
      </c>
      <c r="W161" s="151">
        <v>0.15</v>
      </c>
      <c r="X161" s="151">
        <v>0.15</v>
      </c>
      <c r="Y161" s="151">
        <v>0.15</v>
      </c>
      <c r="Z161" s="151">
        <v>0.15</v>
      </c>
      <c r="AA161" s="151">
        <v>0.15</v>
      </c>
      <c r="AB161" s="151">
        <v>0.15</v>
      </c>
      <c r="AC161" s="152">
        <v>0.15</v>
      </c>
      <c r="AD161" s="582"/>
      <c r="AE161" s="37"/>
      <c r="AF161" s="37"/>
      <c r="AG161" s="37"/>
      <c r="AH161" s="37"/>
      <c r="AI161" s="37"/>
      <c r="AJ161" s="37"/>
    </row>
    <row r="162" spans="1:36" customFormat="1" ht="26.4" customHeight="1" thickBot="1" x14ac:dyDescent="0.35">
      <c r="A162" s="814"/>
      <c r="B162" s="817"/>
      <c r="C162" s="805"/>
      <c r="D162" s="821"/>
      <c r="E162" s="513" t="s">
        <v>715</v>
      </c>
      <c r="F162" s="500">
        <v>0.15</v>
      </c>
      <c r="G162" s="186">
        <v>0.15</v>
      </c>
      <c r="H162" s="186">
        <v>0.15</v>
      </c>
      <c r="I162" s="186">
        <v>0.15</v>
      </c>
      <c r="J162" s="186">
        <v>0.15</v>
      </c>
      <c r="K162" s="186">
        <v>0.15</v>
      </c>
      <c r="L162" s="186">
        <v>0.15</v>
      </c>
      <c r="M162" s="186">
        <v>0.2</v>
      </c>
      <c r="N162" s="186">
        <v>0.75</v>
      </c>
      <c r="O162" s="186">
        <v>0.75</v>
      </c>
      <c r="P162" s="186">
        <v>0.75</v>
      </c>
      <c r="Q162" s="186">
        <v>0.75</v>
      </c>
      <c r="R162" s="186">
        <v>0.75</v>
      </c>
      <c r="S162" s="186">
        <v>0.75</v>
      </c>
      <c r="T162" s="186">
        <v>0.75</v>
      </c>
      <c r="U162" s="186">
        <v>0.75</v>
      </c>
      <c r="V162" s="186">
        <v>0.75</v>
      </c>
      <c r="W162" s="186">
        <v>0.2</v>
      </c>
      <c r="X162" s="186">
        <v>0.15</v>
      </c>
      <c r="Y162" s="186">
        <v>0.15</v>
      </c>
      <c r="Z162" s="186">
        <v>0.15</v>
      </c>
      <c r="AA162" s="186">
        <v>0.15</v>
      </c>
      <c r="AB162" s="186">
        <v>0.15</v>
      </c>
      <c r="AC162" s="187">
        <v>0.15</v>
      </c>
      <c r="AD162" s="582"/>
      <c r="AE162" s="37"/>
      <c r="AF162" s="37"/>
      <c r="AG162" s="37"/>
      <c r="AH162" s="37"/>
      <c r="AI162" s="37"/>
      <c r="AJ162" s="37"/>
    </row>
    <row r="163" spans="1:36" customFormat="1" ht="23.4" customHeight="1" x14ac:dyDescent="0.3">
      <c r="A163" s="815" t="s">
        <v>708</v>
      </c>
      <c r="B163" s="803" t="s">
        <v>204</v>
      </c>
      <c r="C163" s="885" t="s">
        <v>698</v>
      </c>
      <c r="D163" s="766" t="s">
        <v>686</v>
      </c>
      <c r="E163" s="511" t="s">
        <v>687</v>
      </c>
      <c r="F163" s="502">
        <v>60</v>
      </c>
      <c r="G163" s="155">
        <v>60</v>
      </c>
      <c r="H163" s="155">
        <v>60</v>
      </c>
      <c r="I163" s="155">
        <v>60</v>
      </c>
      <c r="J163" s="155">
        <v>60</v>
      </c>
      <c r="K163" s="155">
        <v>60</v>
      </c>
      <c r="L163" s="155">
        <v>60</v>
      </c>
      <c r="M163" s="155">
        <v>60</v>
      </c>
      <c r="N163" s="155">
        <v>60</v>
      </c>
      <c r="O163" s="155">
        <v>60</v>
      </c>
      <c r="P163" s="155">
        <v>60</v>
      </c>
      <c r="Q163" s="155">
        <v>60</v>
      </c>
      <c r="R163" s="155">
        <v>60</v>
      </c>
      <c r="S163" s="155">
        <v>60</v>
      </c>
      <c r="T163" s="155">
        <v>60</v>
      </c>
      <c r="U163" s="155">
        <v>60</v>
      </c>
      <c r="V163" s="155">
        <v>60</v>
      </c>
      <c r="W163" s="155">
        <v>60</v>
      </c>
      <c r="X163" s="155">
        <v>60</v>
      </c>
      <c r="Y163" s="155">
        <v>60</v>
      </c>
      <c r="Z163" s="155">
        <v>60</v>
      </c>
      <c r="AA163" s="155">
        <v>60</v>
      </c>
      <c r="AB163" s="155">
        <v>60</v>
      </c>
      <c r="AC163" s="491">
        <v>60</v>
      </c>
      <c r="AD163" s="582"/>
      <c r="AE163" s="37"/>
      <c r="AF163" s="37"/>
      <c r="AG163" s="37"/>
      <c r="AH163" s="37"/>
      <c r="AI163" s="37"/>
      <c r="AJ163" s="37"/>
    </row>
    <row r="164" spans="1:36" customFormat="1" ht="23.4" customHeight="1" x14ac:dyDescent="0.3">
      <c r="A164" s="816"/>
      <c r="B164" s="808"/>
      <c r="C164" s="818"/>
      <c r="D164" s="886"/>
      <c r="E164" s="429" t="s">
        <v>709</v>
      </c>
      <c r="F164" s="503">
        <v>60</v>
      </c>
      <c r="G164" s="156">
        <v>60</v>
      </c>
      <c r="H164" s="156">
        <v>60</v>
      </c>
      <c r="I164" s="156">
        <v>60</v>
      </c>
      <c r="J164" s="156">
        <v>60</v>
      </c>
      <c r="K164" s="156">
        <v>60</v>
      </c>
      <c r="L164" s="156">
        <v>70</v>
      </c>
      <c r="M164" s="156">
        <v>70</v>
      </c>
      <c r="N164" s="156">
        <v>70</v>
      </c>
      <c r="O164" s="156">
        <v>70</v>
      </c>
      <c r="P164" s="156">
        <v>70</v>
      </c>
      <c r="Q164" s="156">
        <v>70</v>
      </c>
      <c r="R164" s="156">
        <v>70</v>
      </c>
      <c r="S164" s="156">
        <v>70</v>
      </c>
      <c r="T164" s="156">
        <v>70</v>
      </c>
      <c r="U164" s="156">
        <v>70</v>
      </c>
      <c r="V164" s="156">
        <v>70</v>
      </c>
      <c r="W164" s="156">
        <v>70</v>
      </c>
      <c r="X164" s="156">
        <v>70</v>
      </c>
      <c r="Y164" s="156">
        <v>70</v>
      </c>
      <c r="Z164" s="156">
        <v>70</v>
      </c>
      <c r="AA164" s="156">
        <v>60</v>
      </c>
      <c r="AB164" s="156">
        <v>60</v>
      </c>
      <c r="AC164" s="157">
        <v>60</v>
      </c>
      <c r="AD164" s="582"/>
      <c r="AE164" s="37"/>
      <c r="AF164" s="37"/>
      <c r="AG164" s="37"/>
      <c r="AH164" s="37"/>
      <c r="AI164" s="37"/>
      <c r="AJ164" s="37"/>
    </row>
    <row r="165" spans="1:36" customFormat="1" ht="23.4" customHeight="1" x14ac:dyDescent="0.3">
      <c r="A165" s="816"/>
      <c r="B165" s="808"/>
      <c r="C165" s="818"/>
      <c r="D165" s="886"/>
      <c r="E165" s="429" t="s">
        <v>710</v>
      </c>
      <c r="F165" s="503">
        <v>60</v>
      </c>
      <c r="G165" s="156">
        <v>60</v>
      </c>
      <c r="H165" s="156">
        <v>60</v>
      </c>
      <c r="I165" s="156">
        <v>60</v>
      </c>
      <c r="J165" s="156">
        <v>60</v>
      </c>
      <c r="K165" s="156">
        <v>60</v>
      </c>
      <c r="L165" s="156">
        <v>70</v>
      </c>
      <c r="M165" s="156">
        <v>70</v>
      </c>
      <c r="N165" s="156">
        <v>70</v>
      </c>
      <c r="O165" s="156">
        <v>70</v>
      </c>
      <c r="P165" s="156">
        <v>70</v>
      </c>
      <c r="Q165" s="156">
        <v>70</v>
      </c>
      <c r="R165" s="156">
        <v>70</v>
      </c>
      <c r="S165" s="156">
        <v>70</v>
      </c>
      <c r="T165" s="156">
        <v>70</v>
      </c>
      <c r="U165" s="156">
        <v>70</v>
      </c>
      <c r="V165" s="156">
        <v>70</v>
      </c>
      <c r="W165" s="156">
        <v>70</v>
      </c>
      <c r="X165" s="156">
        <v>70</v>
      </c>
      <c r="Y165" s="156">
        <v>70</v>
      </c>
      <c r="Z165" s="156">
        <v>70</v>
      </c>
      <c r="AA165" s="156">
        <v>60</v>
      </c>
      <c r="AB165" s="156">
        <v>60</v>
      </c>
      <c r="AC165" s="157">
        <v>60</v>
      </c>
      <c r="AD165" s="582"/>
      <c r="AE165" s="37"/>
      <c r="AF165" s="37"/>
      <c r="AG165" s="37"/>
      <c r="AH165" s="37"/>
      <c r="AI165" s="37"/>
      <c r="AJ165" s="37"/>
    </row>
    <row r="166" spans="1:36" customFormat="1" ht="23.4" customHeight="1" x14ac:dyDescent="0.3">
      <c r="A166" s="816"/>
      <c r="B166" s="808"/>
      <c r="C166" s="818"/>
      <c r="D166" s="886"/>
      <c r="E166" s="429" t="s">
        <v>711</v>
      </c>
      <c r="F166" s="503">
        <v>60</v>
      </c>
      <c r="G166" s="156">
        <v>60</v>
      </c>
      <c r="H166" s="156">
        <v>60</v>
      </c>
      <c r="I166" s="156">
        <v>60</v>
      </c>
      <c r="J166" s="156">
        <v>60</v>
      </c>
      <c r="K166" s="156">
        <v>60</v>
      </c>
      <c r="L166" s="156">
        <v>60</v>
      </c>
      <c r="M166" s="156">
        <v>70</v>
      </c>
      <c r="N166" s="156">
        <v>70</v>
      </c>
      <c r="O166" s="156">
        <v>70</v>
      </c>
      <c r="P166" s="156">
        <v>70</v>
      </c>
      <c r="Q166" s="156">
        <v>70</v>
      </c>
      <c r="R166" s="156">
        <v>70</v>
      </c>
      <c r="S166" s="156">
        <v>70</v>
      </c>
      <c r="T166" s="156">
        <v>70</v>
      </c>
      <c r="U166" s="156">
        <v>70</v>
      </c>
      <c r="V166" s="156">
        <v>70</v>
      </c>
      <c r="W166" s="156">
        <v>70</v>
      </c>
      <c r="X166" s="156">
        <v>70</v>
      </c>
      <c r="Y166" s="156">
        <v>70</v>
      </c>
      <c r="Z166" s="156">
        <v>70</v>
      </c>
      <c r="AA166" s="156">
        <v>70</v>
      </c>
      <c r="AB166" s="156">
        <v>70</v>
      </c>
      <c r="AC166" s="157">
        <v>60</v>
      </c>
      <c r="AD166" s="582"/>
      <c r="AE166" s="37"/>
      <c r="AF166" s="37"/>
      <c r="AG166" s="37"/>
      <c r="AH166" s="37"/>
      <c r="AI166" s="37"/>
      <c r="AJ166" s="37"/>
    </row>
    <row r="167" spans="1:36" customFormat="1" ht="23.4" customHeight="1" x14ac:dyDescent="0.3">
      <c r="A167" s="816"/>
      <c r="B167" s="808"/>
      <c r="C167" s="818"/>
      <c r="D167" s="886"/>
      <c r="E167" s="429" t="s">
        <v>712</v>
      </c>
      <c r="F167" s="503">
        <v>60</v>
      </c>
      <c r="G167" s="156">
        <v>60</v>
      </c>
      <c r="H167" s="156">
        <v>60</v>
      </c>
      <c r="I167" s="156">
        <v>60</v>
      </c>
      <c r="J167" s="156">
        <v>60</v>
      </c>
      <c r="K167" s="156">
        <v>60</v>
      </c>
      <c r="L167" s="156">
        <v>60</v>
      </c>
      <c r="M167" s="156">
        <v>70</v>
      </c>
      <c r="N167" s="156">
        <v>70</v>
      </c>
      <c r="O167" s="156">
        <v>70</v>
      </c>
      <c r="P167" s="156">
        <v>70</v>
      </c>
      <c r="Q167" s="156">
        <v>70</v>
      </c>
      <c r="R167" s="156">
        <v>70</v>
      </c>
      <c r="S167" s="156">
        <v>70</v>
      </c>
      <c r="T167" s="156">
        <v>70</v>
      </c>
      <c r="U167" s="156">
        <v>70</v>
      </c>
      <c r="V167" s="156">
        <v>70</v>
      </c>
      <c r="W167" s="156">
        <v>70</v>
      </c>
      <c r="X167" s="156">
        <v>70</v>
      </c>
      <c r="Y167" s="156">
        <v>70</v>
      </c>
      <c r="Z167" s="156">
        <v>70</v>
      </c>
      <c r="AA167" s="156">
        <v>70</v>
      </c>
      <c r="AB167" s="156">
        <v>70</v>
      </c>
      <c r="AC167" s="157">
        <v>60</v>
      </c>
      <c r="AD167" s="582"/>
      <c r="AE167" s="37"/>
      <c r="AF167" s="37"/>
      <c r="AG167" s="37"/>
      <c r="AH167" s="37"/>
      <c r="AI167" s="37"/>
      <c r="AJ167" s="37"/>
    </row>
    <row r="168" spans="1:36" customFormat="1" ht="23.4" customHeight="1" x14ac:dyDescent="0.3">
      <c r="A168" s="816"/>
      <c r="B168" s="808"/>
      <c r="C168" s="818"/>
      <c r="D168" s="886"/>
      <c r="E168" s="429" t="s">
        <v>713</v>
      </c>
      <c r="F168" s="503">
        <v>60</v>
      </c>
      <c r="G168" s="156">
        <v>60</v>
      </c>
      <c r="H168" s="156">
        <v>60</v>
      </c>
      <c r="I168" s="156">
        <v>60</v>
      </c>
      <c r="J168" s="156">
        <v>60</v>
      </c>
      <c r="K168" s="156">
        <v>60</v>
      </c>
      <c r="L168" s="156">
        <v>60</v>
      </c>
      <c r="M168" s="156">
        <v>70</v>
      </c>
      <c r="N168" s="156">
        <v>70</v>
      </c>
      <c r="O168" s="156">
        <v>70</v>
      </c>
      <c r="P168" s="156">
        <v>70</v>
      </c>
      <c r="Q168" s="156">
        <v>70</v>
      </c>
      <c r="R168" s="156">
        <v>70</v>
      </c>
      <c r="S168" s="156">
        <v>70</v>
      </c>
      <c r="T168" s="156">
        <v>70</v>
      </c>
      <c r="U168" s="156">
        <v>60</v>
      </c>
      <c r="V168" s="156">
        <v>60</v>
      </c>
      <c r="W168" s="156">
        <v>60</v>
      </c>
      <c r="X168" s="156">
        <v>60</v>
      </c>
      <c r="Y168" s="156">
        <v>60</v>
      </c>
      <c r="Z168" s="156">
        <v>60</v>
      </c>
      <c r="AA168" s="156">
        <v>60</v>
      </c>
      <c r="AB168" s="156">
        <v>60</v>
      </c>
      <c r="AC168" s="157">
        <v>60</v>
      </c>
      <c r="AD168" s="582"/>
      <c r="AE168" s="37"/>
      <c r="AF168" s="37"/>
      <c r="AG168" s="37"/>
      <c r="AH168" s="37"/>
      <c r="AI168" s="37"/>
      <c r="AJ168" s="37"/>
    </row>
    <row r="169" spans="1:36" customFormat="1" ht="23.4" customHeight="1" x14ac:dyDescent="0.3">
      <c r="A169" s="816"/>
      <c r="B169" s="804"/>
      <c r="C169" s="819"/>
      <c r="D169" s="806"/>
      <c r="E169" s="429" t="s">
        <v>714</v>
      </c>
      <c r="F169" s="503">
        <v>60</v>
      </c>
      <c r="G169" s="156">
        <v>60</v>
      </c>
      <c r="H169" s="156">
        <v>60</v>
      </c>
      <c r="I169" s="156">
        <v>60</v>
      </c>
      <c r="J169" s="156">
        <v>60</v>
      </c>
      <c r="K169" s="156">
        <v>60</v>
      </c>
      <c r="L169" s="156">
        <v>60</v>
      </c>
      <c r="M169" s="156">
        <v>70</v>
      </c>
      <c r="N169" s="156">
        <v>70</v>
      </c>
      <c r="O169" s="156">
        <v>70</v>
      </c>
      <c r="P169" s="156">
        <v>70</v>
      </c>
      <c r="Q169" s="156">
        <v>70</v>
      </c>
      <c r="R169" s="156">
        <v>70</v>
      </c>
      <c r="S169" s="156">
        <v>70</v>
      </c>
      <c r="T169" s="156">
        <v>70</v>
      </c>
      <c r="U169" s="156">
        <v>60</v>
      </c>
      <c r="V169" s="156">
        <v>60</v>
      </c>
      <c r="W169" s="156">
        <v>60</v>
      </c>
      <c r="X169" s="156">
        <v>60</v>
      </c>
      <c r="Y169" s="156">
        <v>60</v>
      </c>
      <c r="Z169" s="156">
        <v>60</v>
      </c>
      <c r="AA169" s="156">
        <v>60</v>
      </c>
      <c r="AB169" s="156">
        <v>60</v>
      </c>
      <c r="AC169" s="157">
        <v>60</v>
      </c>
      <c r="AD169" s="582"/>
      <c r="AE169" s="37"/>
      <c r="AF169" s="37"/>
      <c r="AG169" s="37"/>
      <c r="AH169" s="37"/>
      <c r="AI169" s="37"/>
      <c r="AJ169" s="37"/>
    </row>
    <row r="170" spans="1:36" customFormat="1" ht="23.4" customHeight="1" thickBot="1" x14ac:dyDescent="0.35">
      <c r="A170" s="817"/>
      <c r="B170" s="809"/>
      <c r="C170" s="821"/>
      <c r="D170" s="811"/>
      <c r="E170" s="430" t="s">
        <v>715</v>
      </c>
      <c r="F170" s="504">
        <v>60</v>
      </c>
      <c r="G170" s="158">
        <v>60</v>
      </c>
      <c r="H170" s="158">
        <v>60</v>
      </c>
      <c r="I170" s="158">
        <v>60</v>
      </c>
      <c r="J170" s="158">
        <v>60</v>
      </c>
      <c r="K170" s="158">
        <v>60</v>
      </c>
      <c r="L170" s="158">
        <v>60</v>
      </c>
      <c r="M170" s="158">
        <v>70</v>
      </c>
      <c r="N170" s="158">
        <v>70</v>
      </c>
      <c r="O170" s="158">
        <v>70</v>
      </c>
      <c r="P170" s="158">
        <v>70</v>
      </c>
      <c r="Q170" s="158">
        <v>70</v>
      </c>
      <c r="R170" s="158">
        <v>70</v>
      </c>
      <c r="S170" s="158">
        <v>70</v>
      </c>
      <c r="T170" s="158">
        <v>70</v>
      </c>
      <c r="U170" s="158">
        <v>70</v>
      </c>
      <c r="V170" s="158">
        <v>70</v>
      </c>
      <c r="W170" s="158">
        <v>70</v>
      </c>
      <c r="X170" s="158">
        <v>60</v>
      </c>
      <c r="Y170" s="158">
        <v>60</v>
      </c>
      <c r="Z170" s="158">
        <v>60</v>
      </c>
      <c r="AA170" s="158">
        <v>60</v>
      </c>
      <c r="AB170" s="158">
        <v>60</v>
      </c>
      <c r="AC170" s="159">
        <v>60</v>
      </c>
      <c r="AD170" s="582"/>
      <c r="AE170" s="37"/>
      <c r="AF170" s="37"/>
      <c r="AG170" s="37"/>
      <c r="AH170" s="37"/>
      <c r="AI170" s="37"/>
      <c r="AJ170" s="37"/>
    </row>
    <row r="171" spans="1:36" customFormat="1" ht="24.6" customHeight="1" x14ac:dyDescent="0.3">
      <c r="A171" s="815" t="s">
        <v>708</v>
      </c>
      <c r="B171" s="803" t="s">
        <v>204</v>
      </c>
      <c r="C171" s="885" t="s">
        <v>699</v>
      </c>
      <c r="D171" s="766" t="s">
        <v>686</v>
      </c>
      <c r="E171" s="512" t="s">
        <v>687</v>
      </c>
      <c r="F171" s="505">
        <v>85</v>
      </c>
      <c r="G171" s="163">
        <v>85</v>
      </c>
      <c r="H171" s="163">
        <v>85</v>
      </c>
      <c r="I171" s="163">
        <v>85</v>
      </c>
      <c r="J171" s="163">
        <v>85</v>
      </c>
      <c r="K171" s="163">
        <v>85</v>
      </c>
      <c r="L171" s="163">
        <v>85</v>
      </c>
      <c r="M171" s="163">
        <v>85</v>
      </c>
      <c r="N171" s="163">
        <v>85</v>
      </c>
      <c r="O171" s="163">
        <v>85</v>
      </c>
      <c r="P171" s="163">
        <v>85</v>
      </c>
      <c r="Q171" s="163">
        <v>85</v>
      </c>
      <c r="R171" s="163">
        <v>85</v>
      </c>
      <c r="S171" s="163">
        <v>85</v>
      </c>
      <c r="T171" s="163">
        <v>85</v>
      </c>
      <c r="U171" s="163">
        <v>85</v>
      </c>
      <c r="V171" s="163">
        <v>85</v>
      </c>
      <c r="W171" s="163">
        <v>85</v>
      </c>
      <c r="X171" s="163">
        <v>85</v>
      </c>
      <c r="Y171" s="163">
        <v>85</v>
      </c>
      <c r="Z171" s="163">
        <v>85</v>
      </c>
      <c r="AA171" s="163">
        <v>85</v>
      </c>
      <c r="AB171" s="163">
        <v>85</v>
      </c>
      <c r="AC171" s="164">
        <v>85</v>
      </c>
      <c r="AD171" s="582"/>
      <c r="AE171" s="37"/>
      <c r="AF171" s="37"/>
      <c r="AG171" s="37"/>
      <c r="AH171" s="37"/>
      <c r="AI171" s="37"/>
      <c r="AJ171" s="37"/>
    </row>
    <row r="172" spans="1:36" customFormat="1" ht="25.2" customHeight="1" x14ac:dyDescent="0.3">
      <c r="A172" s="816"/>
      <c r="B172" s="808"/>
      <c r="C172" s="818"/>
      <c r="D172" s="886"/>
      <c r="E172" s="429" t="s">
        <v>709</v>
      </c>
      <c r="F172" s="503">
        <v>85</v>
      </c>
      <c r="G172" s="156">
        <v>85</v>
      </c>
      <c r="H172" s="156">
        <v>85</v>
      </c>
      <c r="I172" s="156">
        <v>85</v>
      </c>
      <c r="J172" s="156">
        <v>85</v>
      </c>
      <c r="K172" s="156">
        <v>85</v>
      </c>
      <c r="L172" s="156">
        <v>75</v>
      </c>
      <c r="M172" s="156">
        <v>75</v>
      </c>
      <c r="N172" s="156">
        <v>75</v>
      </c>
      <c r="O172" s="156">
        <v>75</v>
      </c>
      <c r="P172" s="156">
        <v>75</v>
      </c>
      <c r="Q172" s="156">
        <v>75</v>
      </c>
      <c r="R172" s="156">
        <v>75</v>
      </c>
      <c r="S172" s="156">
        <v>75</v>
      </c>
      <c r="T172" s="156">
        <v>75</v>
      </c>
      <c r="U172" s="156">
        <v>75</v>
      </c>
      <c r="V172" s="156">
        <v>75</v>
      </c>
      <c r="W172" s="156">
        <v>75</v>
      </c>
      <c r="X172" s="156">
        <v>75</v>
      </c>
      <c r="Y172" s="156">
        <v>75</v>
      </c>
      <c r="Z172" s="156">
        <v>75</v>
      </c>
      <c r="AA172" s="156">
        <v>85</v>
      </c>
      <c r="AB172" s="156">
        <v>85</v>
      </c>
      <c r="AC172" s="157">
        <v>85</v>
      </c>
      <c r="AD172" s="582"/>
      <c r="AE172" s="37"/>
      <c r="AF172" s="37"/>
      <c r="AG172" s="37"/>
      <c r="AH172" s="37"/>
      <c r="AI172" s="37"/>
      <c r="AJ172" s="37"/>
    </row>
    <row r="173" spans="1:36" customFormat="1" ht="25.2" customHeight="1" x14ac:dyDescent="0.3">
      <c r="A173" s="816"/>
      <c r="B173" s="808"/>
      <c r="C173" s="818"/>
      <c r="D173" s="886"/>
      <c r="E173" s="429" t="s">
        <v>710</v>
      </c>
      <c r="F173" s="503">
        <v>85</v>
      </c>
      <c r="G173" s="156">
        <v>85</v>
      </c>
      <c r="H173" s="156">
        <v>85</v>
      </c>
      <c r="I173" s="156">
        <v>85</v>
      </c>
      <c r="J173" s="156">
        <v>85</v>
      </c>
      <c r="K173" s="156">
        <v>85</v>
      </c>
      <c r="L173" s="156">
        <v>75</v>
      </c>
      <c r="M173" s="156">
        <v>75</v>
      </c>
      <c r="N173" s="156">
        <v>75</v>
      </c>
      <c r="O173" s="156">
        <v>75</v>
      </c>
      <c r="P173" s="156">
        <v>75</v>
      </c>
      <c r="Q173" s="156">
        <v>75</v>
      </c>
      <c r="R173" s="156">
        <v>75</v>
      </c>
      <c r="S173" s="156">
        <v>75</v>
      </c>
      <c r="T173" s="156">
        <v>75</v>
      </c>
      <c r="U173" s="156">
        <v>75</v>
      </c>
      <c r="V173" s="156">
        <v>75</v>
      </c>
      <c r="W173" s="156">
        <v>75</v>
      </c>
      <c r="X173" s="156">
        <v>75</v>
      </c>
      <c r="Y173" s="156">
        <v>75</v>
      </c>
      <c r="Z173" s="156">
        <v>75</v>
      </c>
      <c r="AA173" s="156">
        <v>85</v>
      </c>
      <c r="AB173" s="156">
        <v>85</v>
      </c>
      <c r="AC173" s="157">
        <v>85</v>
      </c>
      <c r="AD173" s="582"/>
      <c r="AE173" s="37"/>
      <c r="AF173" s="37"/>
      <c r="AG173" s="37"/>
      <c r="AH173" s="37"/>
      <c r="AI173" s="37"/>
      <c r="AJ173" s="37"/>
    </row>
    <row r="174" spans="1:36" customFormat="1" ht="25.2" customHeight="1" x14ac:dyDescent="0.3">
      <c r="A174" s="816"/>
      <c r="B174" s="808"/>
      <c r="C174" s="818"/>
      <c r="D174" s="886"/>
      <c r="E174" s="429" t="s">
        <v>711</v>
      </c>
      <c r="F174" s="503">
        <v>85</v>
      </c>
      <c r="G174" s="156">
        <v>85</v>
      </c>
      <c r="H174" s="156">
        <v>85</v>
      </c>
      <c r="I174" s="156">
        <v>85</v>
      </c>
      <c r="J174" s="156">
        <v>85</v>
      </c>
      <c r="K174" s="156">
        <v>85</v>
      </c>
      <c r="L174" s="156">
        <v>85</v>
      </c>
      <c r="M174" s="156">
        <v>75</v>
      </c>
      <c r="N174" s="156">
        <v>75</v>
      </c>
      <c r="O174" s="156">
        <v>75</v>
      </c>
      <c r="P174" s="156">
        <v>75</v>
      </c>
      <c r="Q174" s="156">
        <v>75</v>
      </c>
      <c r="R174" s="156">
        <v>75</v>
      </c>
      <c r="S174" s="156">
        <v>75</v>
      </c>
      <c r="T174" s="156">
        <v>75</v>
      </c>
      <c r="U174" s="156">
        <v>75</v>
      </c>
      <c r="V174" s="156">
        <v>75</v>
      </c>
      <c r="W174" s="156">
        <v>75</v>
      </c>
      <c r="X174" s="156">
        <v>75</v>
      </c>
      <c r="Y174" s="156">
        <v>75</v>
      </c>
      <c r="Z174" s="156">
        <v>75</v>
      </c>
      <c r="AA174" s="156">
        <v>75</v>
      </c>
      <c r="AB174" s="156">
        <v>75</v>
      </c>
      <c r="AC174" s="157">
        <v>85</v>
      </c>
      <c r="AD174" s="582"/>
      <c r="AE174" s="37"/>
      <c r="AF174" s="37"/>
      <c r="AG174" s="37"/>
      <c r="AH174" s="37"/>
      <c r="AI174" s="37"/>
      <c r="AJ174" s="37"/>
    </row>
    <row r="175" spans="1:36" customFormat="1" ht="25.2" customHeight="1" x14ac:dyDescent="0.3">
      <c r="A175" s="816"/>
      <c r="B175" s="808"/>
      <c r="C175" s="818"/>
      <c r="D175" s="886"/>
      <c r="E175" s="429" t="s">
        <v>712</v>
      </c>
      <c r="F175" s="503">
        <v>85</v>
      </c>
      <c r="G175" s="156">
        <v>85</v>
      </c>
      <c r="H175" s="156">
        <v>85</v>
      </c>
      <c r="I175" s="156">
        <v>85</v>
      </c>
      <c r="J175" s="156">
        <v>85</v>
      </c>
      <c r="K175" s="156">
        <v>85</v>
      </c>
      <c r="L175" s="156">
        <v>85</v>
      </c>
      <c r="M175" s="156">
        <v>75</v>
      </c>
      <c r="N175" s="156">
        <v>75</v>
      </c>
      <c r="O175" s="156">
        <v>75</v>
      </c>
      <c r="P175" s="156">
        <v>75</v>
      </c>
      <c r="Q175" s="156">
        <v>75</v>
      </c>
      <c r="R175" s="156">
        <v>75</v>
      </c>
      <c r="S175" s="156">
        <v>75</v>
      </c>
      <c r="T175" s="156">
        <v>75</v>
      </c>
      <c r="U175" s="156">
        <v>75</v>
      </c>
      <c r="V175" s="156">
        <v>75</v>
      </c>
      <c r="W175" s="156">
        <v>75</v>
      </c>
      <c r="X175" s="156">
        <v>75</v>
      </c>
      <c r="Y175" s="156">
        <v>75</v>
      </c>
      <c r="Z175" s="156">
        <v>75</v>
      </c>
      <c r="AA175" s="156">
        <v>75</v>
      </c>
      <c r="AB175" s="156">
        <v>75</v>
      </c>
      <c r="AC175" s="157">
        <v>85</v>
      </c>
      <c r="AD175" s="582"/>
      <c r="AE175" s="37"/>
      <c r="AF175" s="37"/>
      <c r="AG175" s="37"/>
      <c r="AH175" s="37"/>
      <c r="AI175" s="37"/>
      <c r="AJ175" s="37"/>
    </row>
    <row r="176" spans="1:36" customFormat="1" ht="25.2" customHeight="1" x14ac:dyDescent="0.3">
      <c r="A176" s="816"/>
      <c r="B176" s="808"/>
      <c r="C176" s="818"/>
      <c r="D176" s="886"/>
      <c r="E176" s="429" t="s">
        <v>713</v>
      </c>
      <c r="F176" s="503">
        <v>85</v>
      </c>
      <c r="G176" s="156">
        <v>85</v>
      </c>
      <c r="H176" s="156">
        <v>85</v>
      </c>
      <c r="I176" s="156">
        <v>85</v>
      </c>
      <c r="J176" s="156">
        <v>85</v>
      </c>
      <c r="K176" s="156">
        <v>85</v>
      </c>
      <c r="L176" s="156">
        <v>85</v>
      </c>
      <c r="M176" s="156">
        <v>75</v>
      </c>
      <c r="N176" s="156">
        <v>75</v>
      </c>
      <c r="O176" s="156">
        <v>75</v>
      </c>
      <c r="P176" s="156">
        <v>75</v>
      </c>
      <c r="Q176" s="156">
        <v>75</v>
      </c>
      <c r="R176" s="156">
        <v>75</v>
      </c>
      <c r="S176" s="156">
        <v>75</v>
      </c>
      <c r="T176" s="156">
        <v>75</v>
      </c>
      <c r="U176" s="156">
        <v>85</v>
      </c>
      <c r="V176" s="156">
        <v>85</v>
      </c>
      <c r="W176" s="156">
        <v>85</v>
      </c>
      <c r="X176" s="156">
        <v>85</v>
      </c>
      <c r="Y176" s="156">
        <v>85</v>
      </c>
      <c r="Z176" s="156">
        <v>85</v>
      </c>
      <c r="AA176" s="156">
        <v>85</v>
      </c>
      <c r="AB176" s="156">
        <v>85</v>
      </c>
      <c r="AC176" s="157">
        <v>85</v>
      </c>
      <c r="AD176" s="582"/>
      <c r="AE176" s="37"/>
      <c r="AF176" s="37"/>
      <c r="AG176" s="37"/>
      <c r="AH176" s="37"/>
      <c r="AI176" s="37"/>
      <c r="AJ176" s="37"/>
    </row>
    <row r="177" spans="1:36" customFormat="1" ht="25.2" customHeight="1" x14ac:dyDescent="0.3">
      <c r="A177" s="816"/>
      <c r="B177" s="804"/>
      <c r="C177" s="819"/>
      <c r="D177" s="806"/>
      <c r="E177" s="429" t="s">
        <v>714</v>
      </c>
      <c r="F177" s="503">
        <v>85</v>
      </c>
      <c r="G177" s="156">
        <v>85</v>
      </c>
      <c r="H177" s="156">
        <v>85</v>
      </c>
      <c r="I177" s="156">
        <v>85</v>
      </c>
      <c r="J177" s="156">
        <v>85</v>
      </c>
      <c r="K177" s="156">
        <v>85</v>
      </c>
      <c r="L177" s="156">
        <v>85</v>
      </c>
      <c r="M177" s="156">
        <v>75</v>
      </c>
      <c r="N177" s="156">
        <v>75</v>
      </c>
      <c r="O177" s="156">
        <v>75</v>
      </c>
      <c r="P177" s="156">
        <v>75</v>
      </c>
      <c r="Q177" s="156">
        <v>75</v>
      </c>
      <c r="R177" s="156">
        <v>75</v>
      </c>
      <c r="S177" s="156">
        <v>75</v>
      </c>
      <c r="T177" s="156">
        <v>75</v>
      </c>
      <c r="U177" s="156">
        <v>85</v>
      </c>
      <c r="V177" s="156">
        <v>85</v>
      </c>
      <c r="W177" s="156">
        <v>85</v>
      </c>
      <c r="X177" s="156">
        <v>85</v>
      </c>
      <c r="Y177" s="156">
        <v>85</v>
      </c>
      <c r="Z177" s="156">
        <v>85</v>
      </c>
      <c r="AA177" s="156">
        <v>85</v>
      </c>
      <c r="AB177" s="156">
        <v>85</v>
      </c>
      <c r="AC177" s="157">
        <v>85</v>
      </c>
      <c r="AD177" s="582"/>
      <c r="AE177" s="37"/>
      <c r="AF177" s="37"/>
      <c r="AG177" s="37"/>
      <c r="AH177" s="37"/>
      <c r="AI177" s="37"/>
      <c r="AJ177" s="37"/>
    </row>
    <row r="178" spans="1:36" customFormat="1" ht="25.2" customHeight="1" thickBot="1" x14ac:dyDescent="0.35">
      <c r="A178" s="817"/>
      <c r="B178" s="809"/>
      <c r="C178" s="821"/>
      <c r="D178" s="811"/>
      <c r="E178" s="513" t="s">
        <v>715</v>
      </c>
      <c r="F178" s="506">
        <v>85</v>
      </c>
      <c r="G178" s="442">
        <v>85</v>
      </c>
      <c r="H178" s="442">
        <v>85</v>
      </c>
      <c r="I178" s="442">
        <v>85</v>
      </c>
      <c r="J178" s="442">
        <v>85</v>
      </c>
      <c r="K178" s="442">
        <v>85</v>
      </c>
      <c r="L178" s="442">
        <v>85</v>
      </c>
      <c r="M178" s="442">
        <v>75</v>
      </c>
      <c r="N178" s="442">
        <v>75</v>
      </c>
      <c r="O178" s="442">
        <v>75</v>
      </c>
      <c r="P178" s="442">
        <v>75</v>
      </c>
      <c r="Q178" s="442">
        <v>75</v>
      </c>
      <c r="R178" s="442">
        <v>75</v>
      </c>
      <c r="S178" s="442">
        <v>75</v>
      </c>
      <c r="T178" s="442">
        <v>75</v>
      </c>
      <c r="U178" s="442">
        <v>75</v>
      </c>
      <c r="V178" s="442">
        <v>75</v>
      </c>
      <c r="W178" s="442">
        <v>75</v>
      </c>
      <c r="X178" s="442">
        <v>85</v>
      </c>
      <c r="Y178" s="442">
        <v>85</v>
      </c>
      <c r="Z178" s="442">
        <v>85</v>
      </c>
      <c r="AA178" s="442">
        <v>85</v>
      </c>
      <c r="AB178" s="442">
        <v>85</v>
      </c>
      <c r="AC178" s="443">
        <v>85</v>
      </c>
      <c r="AD178" s="582"/>
      <c r="AE178" s="37"/>
      <c r="AF178" s="37"/>
      <c r="AG178" s="37"/>
      <c r="AH178" s="37"/>
      <c r="AI178" s="37"/>
      <c r="AJ178" s="37"/>
    </row>
    <row r="179" spans="1:36" customFormat="1" ht="30" customHeight="1" x14ac:dyDescent="0.3">
      <c r="A179" s="815" t="s">
        <v>708</v>
      </c>
      <c r="B179" s="803" t="s">
        <v>204</v>
      </c>
      <c r="C179" s="885" t="s">
        <v>706</v>
      </c>
      <c r="D179" s="766" t="s">
        <v>686</v>
      </c>
      <c r="E179" s="511" t="s">
        <v>687</v>
      </c>
      <c r="F179" s="499">
        <v>0</v>
      </c>
      <c r="G179" s="149">
        <v>0</v>
      </c>
      <c r="H179" s="149">
        <v>0</v>
      </c>
      <c r="I179" s="149">
        <v>0</v>
      </c>
      <c r="J179" s="149">
        <v>0</v>
      </c>
      <c r="K179" s="149">
        <v>0</v>
      </c>
      <c r="L179" s="149">
        <v>0</v>
      </c>
      <c r="M179" s="149">
        <v>0</v>
      </c>
      <c r="N179" s="149">
        <v>0</v>
      </c>
      <c r="O179" s="149">
        <v>0</v>
      </c>
      <c r="P179" s="149">
        <v>0</v>
      </c>
      <c r="Q179" s="149">
        <v>0</v>
      </c>
      <c r="R179" s="149">
        <v>0</v>
      </c>
      <c r="S179" s="149">
        <v>0</v>
      </c>
      <c r="T179" s="149">
        <v>0</v>
      </c>
      <c r="U179" s="149">
        <v>0</v>
      </c>
      <c r="V179" s="149">
        <v>0</v>
      </c>
      <c r="W179" s="149">
        <v>0</v>
      </c>
      <c r="X179" s="149">
        <v>0</v>
      </c>
      <c r="Y179" s="149">
        <v>0</v>
      </c>
      <c r="Z179" s="149">
        <v>0</v>
      </c>
      <c r="AA179" s="149">
        <v>0</v>
      </c>
      <c r="AB179" s="149">
        <v>0</v>
      </c>
      <c r="AC179" s="150">
        <v>0</v>
      </c>
      <c r="AD179" s="582"/>
      <c r="AE179" s="37"/>
      <c r="AF179" s="37"/>
      <c r="AG179" s="37"/>
      <c r="AH179" s="37"/>
      <c r="AI179" s="37"/>
      <c r="AJ179" s="37"/>
    </row>
    <row r="180" spans="1:36" customFormat="1" ht="30" customHeight="1" x14ac:dyDescent="0.3">
      <c r="A180" s="816"/>
      <c r="B180" s="808"/>
      <c r="C180" s="818"/>
      <c r="D180" s="886"/>
      <c r="E180" s="429" t="s">
        <v>709</v>
      </c>
      <c r="F180" s="427">
        <v>0</v>
      </c>
      <c r="G180" s="151">
        <v>0</v>
      </c>
      <c r="H180" s="151">
        <v>0</v>
      </c>
      <c r="I180" s="151">
        <v>0</v>
      </c>
      <c r="J180" s="151">
        <v>0</v>
      </c>
      <c r="K180" s="151">
        <v>0</v>
      </c>
      <c r="L180" s="151">
        <v>1</v>
      </c>
      <c r="M180" s="151">
        <v>1</v>
      </c>
      <c r="N180" s="151">
        <v>1</v>
      </c>
      <c r="O180" s="151">
        <v>1</v>
      </c>
      <c r="P180" s="151">
        <v>1</v>
      </c>
      <c r="Q180" s="151">
        <v>1</v>
      </c>
      <c r="R180" s="151">
        <v>1</v>
      </c>
      <c r="S180" s="151">
        <v>1</v>
      </c>
      <c r="T180" s="151">
        <v>1</v>
      </c>
      <c r="U180" s="151">
        <v>1</v>
      </c>
      <c r="V180" s="151">
        <v>1</v>
      </c>
      <c r="W180" s="151">
        <v>1</v>
      </c>
      <c r="X180" s="151">
        <v>1</v>
      </c>
      <c r="Y180" s="151">
        <v>1</v>
      </c>
      <c r="Z180" s="151">
        <v>1</v>
      </c>
      <c r="AA180" s="151">
        <v>0</v>
      </c>
      <c r="AB180" s="151">
        <v>0</v>
      </c>
      <c r="AC180" s="152">
        <v>0</v>
      </c>
      <c r="AD180" s="582"/>
      <c r="AE180" s="37"/>
      <c r="AF180" s="37"/>
      <c r="AG180" s="37"/>
      <c r="AH180" s="37"/>
      <c r="AI180" s="37"/>
      <c r="AJ180" s="37"/>
    </row>
    <row r="181" spans="1:36" customFormat="1" ht="30" customHeight="1" x14ac:dyDescent="0.3">
      <c r="A181" s="816"/>
      <c r="B181" s="808"/>
      <c r="C181" s="818"/>
      <c r="D181" s="886"/>
      <c r="E181" s="429" t="s">
        <v>710</v>
      </c>
      <c r="F181" s="427">
        <v>0</v>
      </c>
      <c r="G181" s="151">
        <v>0</v>
      </c>
      <c r="H181" s="151">
        <v>0</v>
      </c>
      <c r="I181" s="151">
        <v>0</v>
      </c>
      <c r="J181" s="151">
        <v>0</v>
      </c>
      <c r="K181" s="151">
        <v>0</v>
      </c>
      <c r="L181" s="151">
        <v>1</v>
      </c>
      <c r="M181" s="151">
        <v>1</v>
      </c>
      <c r="N181" s="151">
        <v>1</v>
      </c>
      <c r="O181" s="151">
        <v>1</v>
      </c>
      <c r="P181" s="151">
        <v>1</v>
      </c>
      <c r="Q181" s="151">
        <v>1</v>
      </c>
      <c r="R181" s="151">
        <v>1</v>
      </c>
      <c r="S181" s="151">
        <v>1</v>
      </c>
      <c r="T181" s="151">
        <v>1</v>
      </c>
      <c r="U181" s="151">
        <v>1</v>
      </c>
      <c r="V181" s="151">
        <v>1</v>
      </c>
      <c r="W181" s="151">
        <v>1</v>
      </c>
      <c r="X181" s="151">
        <v>1</v>
      </c>
      <c r="Y181" s="151">
        <v>1</v>
      </c>
      <c r="Z181" s="151">
        <v>1</v>
      </c>
      <c r="AA181" s="151">
        <v>0</v>
      </c>
      <c r="AB181" s="151">
        <v>0</v>
      </c>
      <c r="AC181" s="152">
        <v>0</v>
      </c>
      <c r="AD181" s="582"/>
      <c r="AE181" s="37"/>
      <c r="AF181" s="37"/>
      <c r="AG181" s="37"/>
      <c r="AH181" s="37"/>
      <c r="AI181" s="37"/>
      <c r="AJ181" s="37"/>
    </row>
    <row r="182" spans="1:36" customFormat="1" ht="30" customHeight="1" x14ac:dyDescent="0.3">
      <c r="A182" s="816"/>
      <c r="B182" s="808"/>
      <c r="C182" s="818"/>
      <c r="D182" s="886"/>
      <c r="E182" s="429" t="s">
        <v>711</v>
      </c>
      <c r="F182" s="427">
        <v>0</v>
      </c>
      <c r="G182" s="151">
        <v>0</v>
      </c>
      <c r="H182" s="151">
        <v>0</v>
      </c>
      <c r="I182" s="151">
        <v>0</v>
      </c>
      <c r="J182" s="151">
        <v>0</v>
      </c>
      <c r="K182" s="151">
        <v>0</v>
      </c>
      <c r="L182" s="151">
        <v>0</v>
      </c>
      <c r="M182" s="151">
        <v>1</v>
      </c>
      <c r="N182" s="151">
        <v>1</v>
      </c>
      <c r="O182" s="151">
        <v>1</v>
      </c>
      <c r="P182" s="151">
        <v>1</v>
      </c>
      <c r="Q182" s="151">
        <v>1</v>
      </c>
      <c r="R182" s="151">
        <v>1</v>
      </c>
      <c r="S182" s="151">
        <v>1</v>
      </c>
      <c r="T182" s="151">
        <v>1</v>
      </c>
      <c r="U182" s="151">
        <v>1</v>
      </c>
      <c r="V182" s="151">
        <v>1</v>
      </c>
      <c r="W182" s="151">
        <v>1</v>
      </c>
      <c r="X182" s="151">
        <v>1</v>
      </c>
      <c r="Y182" s="151">
        <v>1</v>
      </c>
      <c r="Z182" s="151">
        <v>1</v>
      </c>
      <c r="AA182" s="151">
        <v>1</v>
      </c>
      <c r="AB182" s="151">
        <v>1</v>
      </c>
      <c r="AC182" s="152">
        <v>0</v>
      </c>
      <c r="AD182" s="582"/>
      <c r="AE182" s="37"/>
      <c r="AF182" s="37"/>
      <c r="AG182" s="37"/>
      <c r="AH182" s="37"/>
      <c r="AI182" s="37"/>
      <c r="AJ182" s="37"/>
    </row>
    <row r="183" spans="1:36" customFormat="1" ht="30" customHeight="1" x14ac:dyDescent="0.3">
      <c r="A183" s="816"/>
      <c r="B183" s="808"/>
      <c r="C183" s="818"/>
      <c r="D183" s="886"/>
      <c r="E183" s="429" t="s">
        <v>712</v>
      </c>
      <c r="F183" s="427">
        <v>0</v>
      </c>
      <c r="G183" s="151">
        <v>0</v>
      </c>
      <c r="H183" s="151">
        <v>0</v>
      </c>
      <c r="I183" s="151">
        <v>0</v>
      </c>
      <c r="J183" s="151">
        <v>0</v>
      </c>
      <c r="K183" s="151">
        <v>0</v>
      </c>
      <c r="L183" s="151">
        <v>0</v>
      </c>
      <c r="M183" s="151">
        <v>1</v>
      </c>
      <c r="N183" s="151">
        <v>1</v>
      </c>
      <c r="O183" s="151">
        <v>1</v>
      </c>
      <c r="P183" s="151">
        <v>1</v>
      </c>
      <c r="Q183" s="151">
        <v>1</v>
      </c>
      <c r="R183" s="151">
        <v>1</v>
      </c>
      <c r="S183" s="151">
        <v>1</v>
      </c>
      <c r="T183" s="151">
        <v>1</v>
      </c>
      <c r="U183" s="151">
        <v>1</v>
      </c>
      <c r="V183" s="151">
        <v>1</v>
      </c>
      <c r="W183" s="151">
        <v>1</v>
      </c>
      <c r="X183" s="151">
        <v>1</v>
      </c>
      <c r="Y183" s="151">
        <v>1</v>
      </c>
      <c r="Z183" s="151">
        <v>1</v>
      </c>
      <c r="AA183" s="151">
        <v>1</v>
      </c>
      <c r="AB183" s="151">
        <v>1</v>
      </c>
      <c r="AC183" s="152">
        <v>0</v>
      </c>
      <c r="AD183" s="582"/>
      <c r="AE183" s="37"/>
      <c r="AF183" s="37"/>
      <c r="AG183" s="37"/>
      <c r="AH183" s="37"/>
      <c r="AI183" s="37"/>
      <c r="AJ183" s="37"/>
    </row>
    <row r="184" spans="1:36" customFormat="1" ht="30" customHeight="1" x14ac:dyDescent="0.3">
      <c r="A184" s="816"/>
      <c r="B184" s="808"/>
      <c r="C184" s="818"/>
      <c r="D184" s="886"/>
      <c r="E184" s="429" t="s">
        <v>713</v>
      </c>
      <c r="F184" s="427">
        <v>0</v>
      </c>
      <c r="G184" s="151">
        <v>0</v>
      </c>
      <c r="H184" s="151">
        <v>0</v>
      </c>
      <c r="I184" s="151">
        <v>0</v>
      </c>
      <c r="J184" s="151">
        <v>0</v>
      </c>
      <c r="K184" s="151">
        <v>0</v>
      </c>
      <c r="L184" s="151">
        <v>0</v>
      </c>
      <c r="M184" s="151">
        <v>1</v>
      </c>
      <c r="N184" s="151">
        <v>1</v>
      </c>
      <c r="O184" s="151">
        <v>1</v>
      </c>
      <c r="P184" s="151">
        <v>1</v>
      </c>
      <c r="Q184" s="151">
        <v>1</v>
      </c>
      <c r="R184" s="151">
        <v>1</v>
      </c>
      <c r="S184" s="151">
        <v>1</v>
      </c>
      <c r="T184" s="151">
        <v>1</v>
      </c>
      <c r="U184" s="151">
        <v>0</v>
      </c>
      <c r="V184" s="151">
        <v>0</v>
      </c>
      <c r="W184" s="151">
        <v>0</v>
      </c>
      <c r="X184" s="151">
        <v>0</v>
      </c>
      <c r="Y184" s="151">
        <v>0</v>
      </c>
      <c r="Z184" s="151">
        <v>0</v>
      </c>
      <c r="AA184" s="151">
        <v>0</v>
      </c>
      <c r="AB184" s="151">
        <v>0</v>
      </c>
      <c r="AC184" s="152">
        <v>0</v>
      </c>
      <c r="AD184" s="582"/>
      <c r="AE184" s="37"/>
      <c r="AF184" s="37"/>
      <c r="AG184" s="37"/>
      <c r="AH184" s="37"/>
      <c r="AI184" s="37"/>
      <c r="AJ184" s="37"/>
    </row>
    <row r="185" spans="1:36" customFormat="1" ht="30" customHeight="1" x14ac:dyDescent="0.3">
      <c r="A185" s="816"/>
      <c r="B185" s="804"/>
      <c r="C185" s="819"/>
      <c r="D185" s="806"/>
      <c r="E185" s="429" t="s">
        <v>714</v>
      </c>
      <c r="F185" s="427">
        <v>0</v>
      </c>
      <c r="G185" s="151">
        <v>0</v>
      </c>
      <c r="H185" s="151">
        <v>0</v>
      </c>
      <c r="I185" s="151">
        <v>0</v>
      </c>
      <c r="J185" s="151">
        <v>0</v>
      </c>
      <c r="K185" s="151">
        <v>0</v>
      </c>
      <c r="L185" s="151">
        <v>0</v>
      </c>
      <c r="M185" s="151">
        <v>1</v>
      </c>
      <c r="N185" s="151">
        <v>1</v>
      </c>
      <c r="O185" s="151">
        <v>1</v>
      </c>
      <c r="P185" s="151">
        <v>1</v>
      </c>
      <c r="Q185" s="151">
        <v>1</v>
      </c>
      <c r="R185" s="151">
        <v>1</v>
      </c>
      <c r="S185" s="151">
        <v>1</v>
      </c>
      <c r="T185" s="151">
        <v>1</v>
      </c>
      <c r="U185" s="151">
        <v>0</v>
      </c>
      <c r="V185" s="151">
        <v>0</v>
      </c>
      <c r="W185" s="151">
        <v>0</v>
      </c>
      <c r="X185" s="151">
        <v>0</v>
      </c>
      <c r="Y185" s="151">
        <v>0</v>
      </c>
      <c r="Z185" s="151">
        <v>0</v>
      </c>
      <c r="AA185" s="151">
        <v>0</v>
      </c>
      <c r="AB185" s="151">
        <v>0</v>
      </c>
      <c r="AC185" s="152">
        <v>0</v>
      </c>
      <c r="AD185" s="582"/>
      <c r="AE185" s="37"/>
      <c r="AF185" s="37"/>
      <c r="AG185" s="37"/>
      <c r="AH185" s="37"/>
      <c r="AI185" s="37"/>
      <c r="AJ185" s="37"/>
    </row>
    <row r="186" spans="1:36" customFormat="1" ht="30" customHeight="1" thickBot="1" x14ac:dyDescent="0.35">
      <c r="A186" s="817"/>
      <c r="B186" s="809"/>
      <c r="C186" s="821"/>
      <c r="D186" s="811"/>
      <c r="E186" s="430" t="s">
        <v>715</v>
      </c>
      <c r="F186" s="428">
        <v>0</v>
      </c>
      <c r="G186" s="153">
        <v>0</v>
      </c>
      <c r="H186" s="153">
        <v>0</v>
      </c>
      <c r="I186" s="153">
        <v>0</v>
      </c>
      <c r="J186" s="153">
        <v>0</v>
      </c>
      <c r="K186" s="153">
        <v>0</v>
      </c>
      <c r="L186" s="153">
        <v>0</v>
      </c>
      <c r="M186" s="153">
        <v>1</v>
      </c>
      <c r="N186" s="153">
        <v>1</v>
      </c>
      <c r="O186" s="153">
        <v>1</v>
      </c>
      <c r="P186" s="153">
        <v>1</v>
      </c>
      <c r="Q186" s="153">
        <v>1</v>
      </c>
      <c r="R186" s="153">
        <v>1</v>
      </c>
      <c r="S186" s="153">
        <v>1</v>
      </c>
      <c r="T186" s="153">
        <v>1</v>
      </c>
      <c r="U186" s="153">
        <v>1</v>
      </c>
      <c r="V186" s="153">
        <v>1</v>
      </c>
      <c r="W186" s="153">
        <v>1</v>
      </c>
      <c r="X186" s="153">
        <v>0</v>
      </c>
      <c r="Y186" s="153">
        <v>0</v>
      </c>
      <c r="Z186" s="153">
        <v>0</v>
      </c>
      <c r="AA186" s="153">
        <v>0</v>
      </c>
      <c r="AB186" s="153">
        <v>0</v>
      </c>
      <c r="AC186" s="154">
        <v>0</v>
      </c>
      <c r="AD186" s="582"/>
      <c r="AE186" s="37"/>
      <c r="AF186" s="37"/>
      <c r="AG186" s="37"/>
      <c r="AH186" s="37"/>
      <c r="AI186" s="37"/>
      <c r="AJ186" s="37"/>
    </row>
    <row r="187" spans="1:36" customFormat="1" ht="26.4" customHeight="1" x14ac:dyDescent="0.3">
      <c r="A187" s="815" t="s">
        <v>708</v>
      </c>
      <c r="B187" s="803" t="s">
        <v>204</v>
      </c>
      <c r="C187" s="885" t="s">
        <v>286</v>
      </c>
      <c r="D187" s="779" t="s">
        <v>686</v>
      </c>
      <c r="E187" s="512" t="s">
        <v>687</v>
      </c>
      <c r="F187" s="501">
        <v>1</v>
      </c>
      <c r="G187" s="191">
        <v>1</v>
      </c>
      <c r="H187" s="191">
        <v>1</v>
      </c>
      <c r="I187" s="191">
        <v>1</v>
      </c>
      <c r="J187" s="191">
        <v>1</v>
      </c>
      <c r="K187" s="191">
        <v>1</v>
      </c>
      <c r="L187" s="191">
        <v>1</v>
      </c>
      <c r="M187" s="191">
        <v>1</v>
      </c>
      <c r="N187" s="191">
        <v>1</v>
      </c>
      <c r="O187" s="191">
        <v>1</v>
      </c>
      <c r="P187" s="191">
        <v>1</v>
      </c>
      <c r="Q187" s="191">
        <v>1</v>
      </c>
      <c r="R187" s="191">
        <v>1</v>
      </c>
      <c r="S187" s="191">
        <v>1</v>
      </c>
      <c r="T187" s="191">
        <v>1</v>
      </c>
      <c r="U187" s="191">
        <v>1</v>
      </c>
      <c r="V187" s="191">
        <v>1</v>
      </c>
      <c r="W187" s="191">
        <v>1</v>
      </c>
      <c r="X187" s="191">
        <v>1</v>
      </c>
      <c r="Y187" s="191">
        <v>1</v>
      </c>
      <c r="Z187" s="191">
        <v>1</v>
      </c>
      <c r="AA187" s="191">
        <v>1</v>
      </c>
      <c r="AB187" s="191">
        <v>1</v>
      </c>
      <c r="AC187" s="192">
        <v>1</v>
      </c>
      <c r="AD187" s="582"/>
      <c r="AE187" s="37"/>
      <c r="AF187" s="37"/>
      <c r="AG187" s="37"/>
      <c r="AH187" s="37"/>
      <c r="AI187" s="37"/>
      <c r="AJ187" s="37"/>
    </row>
    <row r="188" spans="1:36" customFormat="1" ht="26.4" customHeight="1" x14ac:dyDescent="0.3">
      <c r="A188" s="816"/>
      <c r="B188" s="808"/>
      <c r="C188" s="818"/>
      <c r="D188" s="818"/>
      <c r="E188" s="508" t="s">
        <v>709</v>
      </c>
      <c r="F188" s="427">
        <v>1</v>
      </c>
      <c r="G188" s="151">
        <v>1</v>
      </c>
      <c r="H188" s="151">
        <v>1</v>
      </c>
      <c r="I188" s="151">
        <v>1</v>
      </c>
      <c r="J188" s="151">
        <v>1</v>
      </c>
      <c r="K188" s="151">
        <v>1</v>
      </c>
      <c r="L188" s="151">
        <v>0.25</v>
      </c>
      <c r="M188" s="151">
        <v>0.25</v>
      </c>
      <c r="N188" s="151">
        <v>0.25</v>
      </c>
      <c r="O188" s="151">
        <v>0.25</v>
      </c>
      <c r="P188" s="151">
        <v>0.25</v>
      </c>
      <c r="Q188" s="151">
        <v>0.25</v>
      </c>
      <c r="R188" s="151">
        <v>0.25</v>
      </c>
      <c r="S188" s="151">
        <v>0.25</v>
      </c>
      <c r="T188" s="151">
        <v>0.25</v>
      </c>
      <c r="U188" s="151">
        <v>0.25</v>
      </c>
      <c r="V188" s="151">
        <v>0.25</v>
      </c>
      <c r="W188" s="151">
        <v>0.25</v>
      </c>
      <c r="X188" s="151">
        <v>0.25</v>
      </c>
      <c r="Y188" s="151">
        <v>0.25</v>
      </c>
      <c r="Z188" s="151">
        <v>0.25</v>
      </c>
      <c r="AA188" s="151">
        <v>1</v>
      </c>
      <c r="AB188" s="151">
        <v>1</v>
      </c>
      <c r="AC188" s="152">
        <v>1</v>
      </c>
      <c r="AD188" s="582"/>
      <c r="AE188" s="37"/>
      <c r="AF188" s="37"/>
      <c r="AG188" s="37"/>
      <c r="AH188" s="37"/>
      <c r="AI188" s="37"/>
      <c r="AJ188" s="37"/>
    </row>
    <row r="189" spans="1:36" customFormat="1" ht="26.4" customHeight="1" x14ac:dyDescent="0.3">
      <c r="A189" s="816"/>
      <c r="B189" s="808"/>
      <c r="C189" s="818"/>
      <c r="D189" s="818"/>
      <c r="E189" s="512" t="s">
        <v>710</v>
      </c>
      <c r="F189" s="427">
        <v>1</v>
      </c>
      <c r="G189" s="151">
        <v>1</v>
      </c>
      <c r="H189" s="151">
        <v>1</v>
      </c>
      <c r="I189" s="151">
        <v>1</v>
      </c>
      <c r="J189" s="151">
        <v>1</v>
      </c>
      <c r="K189" s="151">
        <v>1</v>
      </c>
      <c r="L189" s="151">
        <v>0.25</v>
      </c>
      <c r="M189" s="151">
        <v>0.25</v>
      </c>
      <c r="N189" s="151">
        <v>0.25</v>
      </c>
      <c r="O189" s="151">
        <v>0.25</v>
      </c>
      <c r="P189" s="151">
        <v>0.25</v>
      </c>
      <c r="Q189" s="151">
        <v>0.25</v>
      </c>
      <c r="R189" s="151">
        <v>0.25</v>
      </c>
      <c r="S189" s="151">
        <v>0.25</v>
      </c>
      <c r="T189" s="151">
        <v>0.25</v>
      </c>
      <c r="U189" s="151">
        <v>0.25</v>
      </c>
      <c r="V189" s="151">
        <v>0.25</v>
      </c>
      <c r="W189" s="151">
        <v>0.25</v>
      </c>
      <c r="X189" s="151">
        <v>0.25</v>
      </c>
      <c r="Y189" s="151">
        <v>0.25</v>
      </c>
      <c r="Z189" s="151">
        <v>0.25</v>
      </c>
      <c r="AA189" s="151">
        <v>1</v>
      </c>
      <c r="AB189" s="151">
        <v>1</v>
      </c>
      <c r="AC189" s="152">
        <v>1</v>
      </c>
      <c r="AD189" s="582"/>
      <c r="AE189" s="37"/>
      <c r="AF189" s="37"/>
      <c r="AG189" s="37"/>
      <c r="AH189" s="37"/>
      <c r="AI189" s="37"/>
      <c r="AJ189" s="37"/>
    </row>
    <row r="190" spans="1:36" customFormat="1" ht="26.4" customHeight="1" x14ac:dyDescent="0.3">
      <c r="A190" s="816"/>
      <c r="B190" s="808"/>
      <c r="C190" s="818"/>
      <c r="D190" s="818"/>
      <c r="E190" s="508" t="s">
        <v>711</v>
      </c>
      <c r="F190" s="427">
        <v>1</v>
      </c>
      <c r="G190" s="151">
        <v>1</v>
      </c>
      <c r="H190" s="151">
        <v>1</v>
      </c>
      <c r="I190" s="151">
        <v>1</v>
      </c>
      <c r="J190" s="151">
        <v>1</v>
      </c>
      <c r="K190" s="151">
        <v>1</v>
      </c>
      <c r="L190" s="151">
        <v>1</v>
      </c>
      <c r="M190" s="151">
        <v>0.25</v>
      </c>
      <c r="N190" s="151">
        <v>0.25</v>
      </c>
      <c r="O190" s="151">
        <v>0.25</v>
      </c>
      <c r="P190" s="151">
        <v>0.25</v>
      </c>
      <c r="Q190" s="151">
        <v>0.25</v>
      </c>
      <c r="R190" s="151">
        <v>0.25</v>
      </c>
      <c r="S190" s="151">
        <v>0.25</v>
      </c>
      <c r="T190" s="151">
        <v>0.25</v>
      </c>
      <c r="U190" s="151">
        <v>0.25</v>
      </c>
      <c r="V190" s="151">
        <v>0.25</v>
      </c>
      <c r="W190" s="151">
        <v>0.25</v>
      </c>
      <c r="X190" s="151">
        <v>0.25</v>
      </c>
      <c r="Y190" s="151">
        <v>0.25</v>
      </c>
      <c r="Z190" s="151">
        <v>0.25</v>
      </c>
      <c r="AA190" s="151">
        <v>0.25</v>
      </c>
      <c r="AB190" s="151">
        <v>0.25</v>
      </c>
      <c r="AC190" s="152">
        <v>1</v>
      </c>
      <c r="AD190" s="582"/>
      <c r="AE190" s="37"/>
      <c r="AF190" s="37"/>
      <c r="AG190" s="37"/>
      <c r="AH190" s="37"/>
      <c r="AI190" s="37"/>
      <c r="AJ190" s="37"/>
    </row>
    <row r="191" spans="1:36" customFormat="1" ht="26.4" customHeight="1" x14ac:dyDescent="0.3">
      <c r="A191" s="816"/>
      <c r="B191" s="808"/>
      <c r="C191" s="818"/>
      <c r="D191" s="818"/>
      <c r="E191" s="508" t="s">
        <v>712</v>
      </c>
      <c r="F191" s="427">
        <v>1</v>
      </c>
      <c r="G191" s="151">
        <v>1</v>
      </c>
      <c r="H191" s="151">
        <v>1</v>
      </c>
      <c r="I191" s="151">
        <v>1</v>
      </c>
      <c r="J191" s="151">
        <v>1</v>
      </c>
      <c r="K191" s="151">
        <v>1</v>
      </c>
      <c r="L191" s="151">
        <v>1</v>
      </c>
      <c r="M191" s="151">
        <v>0.25</v>
      </c>
      <c r="N191" s="151">
        <v>0.25</v>
      </c>
      <c r="O191" s="151">
        <v>0.25</v>
      </c>
      <c r="P191" s="151">
        <v>0.25</v>
      </c>
      <c r="Q191" s="151">
        <v>0.25</v>
      </c>
      <c r="R191" s="151">
        <v>0.25</v>
      </c>
      <c r="S191" s="151">
        <v>0.25</v>
      </c>
      <c r="T191" s="151">
        <v>0.25</v>
      </c>
      <c r="U191" s="151">
        <v>0.25</v>
      </c>
      <c r="V191" s="151">
        <v>0.25</v>
      </c>
      <c r="W191" s="151">
        <v>0.25</v>
      </c>
      <c r="X191" s="151">
        <v>0.25</v>
      </c>
      <c r="Y191" s="151">
        <v>0.25</v>
      </c>
      <c r="Z191" s="151">
        <v>0.25</v>
      </c>
      <c r="AA191" s="151">
        <v>0.25</v>
      </c>
      <c r="AB191" s="151">
        <v>0.25</v>
      </c>
      <c r="AC191" s="152">
        <v>1</v>
      </c>
      <c r="AD191" s="582"/>
      <c r="AE191" s="37"/>
      <c r="AF191" s="37"/>
      <c r="AG191" s="37"/>
      <c r="AH191" s="37"/>
      <c r="AI191" s="37"/>
      <c r="AJ191" s="37"/>
    </row>
    <row r="192" spans="1:36" customFormat="1" ht="26.4" customHeight="1" x14ac:dyDescent="0.3">
      <c r="A192" s="816"/>
      <c r="B192" s="808"/>
      <c r="C192" s="818"/>
      <c r="D192" s="818"/>
      <c r="E192" s="512" t="s">
        <v>713</v>
      </c>
      <c r="F192" s="427">
        <v>1</v>
      </c>
      <c r="G192" s="151">
        <v>1</v>
      </c>
      <c r="H192" s="151">
        <v>1</v>
      </c>
      <c r="I192" s="151">
        <v>1</v>
      </c>
      <c r="J192" s="151">
        <v>1</v>
      </c>
      <c r="K192" s="151">
        <v>1</v>
      </c>
      <c r="L192" s="151">
        <v>1</v>
      </c>
      <c r="M192" s="151">
        <v>0.25</v>
      </c>
      <c r="N192" s="151">
        <v>0.25</v>
      </c>
      <c r="O192" s="151">
        <v>0.25</v>
      </c>
      <c r="P192" s="151">
        <v>0.25</v>
      </c>
      <c r="Q192" s="151">
        <v>0.25</v>
      </c>
      <c r="R192" s="151">
        <v>0.25</v>
      </c>
      <c r="S192" s="151">
        <v>0.25</v>
      </c>
      <c r="T192" s="151">
        <v>0.25</v>
      </c>
      <c r="U192" s="151">
        <v>1</v>
      </c>
      <c r="V192" s="151">
        <v>1</v>
      </c>
      <c r="W192" s="151">
        <v>1</v>
      </c>
      <c r="X192" s="151">
        <v>1</v>
      </c>
      <c r="Y192" s="151">
        <v>1</v>
      </c>
      <c r="Z192" s="151">
        <v>1</v>
      </c>
      <c r="AA192" s="151">
        <v>1</v>
      </c>
      <c r="AB192" s="151">
        <v>1</v>
      </c>
      <c r="AC192" s="152">
        <v>1</v>
      </c>
      <c r="AD192" s="582"/>
      <c r="AE192" s="37"/>
      <c r="AF192" s="37"/>
      <c r="AG192" s="37"/>
      <c r="AH192" s="37"/>
      <c r="AI192" s="37"/>
      <c r="AJ192" s="37"/>
    </row>
    <row r="193" spans="1:36" customFormat="1" ht="26.4" customHeight="1" x14ac:dyDescent="0.3">
      <c r="A193" s="816"/>
      <c r="B193" s="804"/>
      <c r="C193" s="819"/>
      <c r="D193" s="819"/>
      <c r="E193" s="429" t="s">
        <v>716</v>
      </c>
      <c r="F193" s="427">
        <v>1</v>
      </c>
      <c r="G193" s="151">
        <v>1</v>
      </c>
      <c r="H193" s="151">
        <v>1</v>
      </c>
      <c r="I193" s="151">
        <v>1</v>
      </c>
      <c r="J193" s="151">
        <v>1</v>
      </c>
      <c r="K193" s="151">
        <v>1</v>
      </c>
      <c r="L193" s="151">
        <v>1</v>
      </c>
      <c r="M193" s="151">
        <v>0.25</v>
      </c>
      <c r="N193" s="151">
        <v>0.25</v>
      </c>
      <c r="O193" s="151">
        <v>0.25</v>
      </c>
      <c r="P193" s="151">
        <v>0.25</v>
      </c>
      <c r="Q193" s="151">
        <v>0.25</v>
      </c>
      <c r="R193" s="151">
        <v>0.25</v>
      </c>
      <c r="S193" s="151">
        <v>0.25</v>
      </c>
      <c r="T193" s="151">
        <v>0.25</v>
      </c>
      <c r="U193" s="151">
        <v>1</v>
      </c>
      <c r="V193" s="151">
        <v>1</v>
      </c>
      <c r="W193" s="151">
        <v>1</v>
      </c>
      <c r="X193" s="151">
        <v>1</v>
      </c>
      <c r="Y193" s="151">
        <v>1</v>
      </c>
      <c r="Z193" s="151">
        <v>1</v>
      </c>
      <c r="AA193" s="151">
        <v>1</v>
      </c>
      <c r="AB193" s="151">
        <v>1</v>
      </c>
      <c r="AC193" s="152">
        <v>1</v>
      </c>
      <c r="AD193" s="582"/>
      <c r="AE193" s="37"/>
      <c r="AF193" s="37"/>
      <c r="AG193" s="37"/>
      <c r="AH193" s="37"/>
      <c r="AI193" s="37"/>
      <c r="AJ193" s="37"/>
    </row>
    <row r="194" spans="1:36" customFormat="1" ht="26.4" customHeight="1" thickBot="1" x14ac:dyDescent="0.35">
      <c r="A194" s="817"/>
      <c r="B194" s="809"/>
      <c r="C194" s="821"/>
      <c r="D194" s="821"/>
      <c r="E194" s="430" t="s">
        <v>715</v>
      </c>
      <c r="F194" s="428">
        <v>1</v>
      </c>
      <c r="G194" s="153">
        <v>1</v>
      </c>
      <c r="H194" s="153">
        <v>1</v>
      </c>
      <c r="I194" s="153">
        <v>1</v>
      </c>
      <c r="J194" s="153">
        <v>1</v>
      </c>
      <c r="K194" s="153">
        <v>1</v>
      </c>
      <c r="L194" s="153">
        <v>1</v>
      </c>
      <c r="M194" s="153">
        <v>0.25</v>
      </c>
      <c r="N194" s="153">
        <v>0.25</v>
      </c>
      <c r="O194" s="153">
        <v>0.25</v>
      </c>
      <c r="P194" s="153">
        <v>0.25</v>
      </c>
      <c r="Q194" s="153">
        <v>0.25</v>
      </c>
      <c r="R194" s="153">
        <v>0.25</v>
      </c>
      <c r="S194" s="153">
        <v>0.25</v>
      </c>
      <c r="T194" s="153">
        <v>0.25</v>
      </c>
      <c r="U194" s="153">
        <v>0.25</v>
      </c>
      <c r="V194" s="153">
        <v>0.25</v>
      </c>
      <c r="W194" s="153">
        <v>0.25</v>
      </c>
      <c r="X194" s="153">
        <v>1</v>
      </c>
      <c r="Y194" s="153">
        <v>1</v>
      </c>
      <c r="Z194" s="153">
        <v>1</v>
      </c>
      <c r="AA194" s="153">
        <v>1</v>
      </c>
      <c r="AB194" s="153">
        <v>1</v>
      </c>
      <c r="AC194" s="154">
        <v>1</v>
      </c>
      <c r="AD194" s="582"/>
      <c r="AE194" s="37"/>
      <c r="AF194" s="37"/>
      <c r="AG194" s="37"/>
      <c r="AH194" s="37"/>
      <c r="AI194" s="37"/>
      <c r="AJ194" s="37"/>
    </row>
    <row r="195" spans="1:36" customFormat="1" ht="26.4" customHeight="1" x14ac:dyDescent="0.3">
      <c r="A195" s="815" t="s">
        <v>708</v>
      </c>
      <c r="B195" s="803" t="s">
        <v>204</v>
      </c>
      <c r="C195" s="885" t="s">
        <v>696</v>
      </c>
      <c r="D195" s="885" t="s">
        <v>717</v>
      </c>
      <c r="E195" s="511" t="s">
        <v>687</v>
      </c>
      <c r="F195" s="499">
        <v>0.9</v>
      </c>
      <c r="G195" s="149">
        <v>0.9</v>
      </c>
      <c r="H195" s="149">
        <v>0.9</v>
      </c>
      <c r="I195" s="149">
        <v>0.9</v>
      </c>
      <c r="J195" s="149">
        <v>0.9</v>
      </c>
      <c r="K195" s="149">
        <v>0.9</v>
      </c>
      <c r="L195" s="149">
        <v>0.9</v>
      </c>
      <c r="M195" s="149">
        <v>0.9</v>
      </c>
      <c r="N195" s="149">
        <v>0.9</v>
      </c>
      <c r="O195" s="149">
        <v>0.9</v>
      </c>
      <c r="P195" s="149">
        <v>0.9</v>
      </c>
      <c r="Q195" s="149">
        <v>0.9</v>
      </c>
      <c r="R195" s="149">
        <v>0.9</v>
      </c>
      <c r="S195" s="149">
        <v>0.9</v>
      </c>
      <c r="T195" s="149">
        <v>0.9</v>
      </c>
      <c r="U195" s="149">
        <v>0.9</v>
      </c>
      <c r="V195" s="149">
        <v>0.9</v>
      </c>
      <c r="W195" s="149">
        <v>0.9</v>
      </c>
      <c r="X195" s="149">
        <v>0.9</v>
      </c>
      <c r="Y195" s="149">
        <v>0.9</v>
      </c>
      <c r="Z195" s="149">
        <v>0.9</v>
      </c>
      <c r="AA195" s="149">
        <v>0.9</v>
      </c>
      <c r="AB195" s="149">
        <v>0.9</v>
      </c>
      <c r="AC195" s="150">
        <v>0.9</v>
      </c>
      <c r="AD195" s="582"/>
      <c r="AE195" s="37"/>
      <c r="AF195" s="37"/>
      <c r="AG195" s="37"/>
      <c r="AH195" s="37"/>
      <c r="AI195" s="37"/>
      <c r="AJ195" s="37"/>
    </row>
    <row r="196" spans="1:36" customFormat="1" ht="26.4" customHeight="1" x14ac:dyDescent="0.3">
      <c r="A196" s="816"/>
      <c r="B196" s="808"/>
      <c r="C196" s="818"/>
      <c r="D196" s="818"/>
      <c r="E196" s="512" t="s">
        <v>709</v>
      </c>
      <c r="F196" s="427">
        <v>0.9</v>
      </c>
      <c r="G196" s="151">
        <v>0.9</v>
      </c>
      <c r="H196" s="151">
        <v>0.9</v>
      </c>
      <c r="I196" s="151">
        <v>0.9</v>
      </c>
      <c r="J196" s="151">
        <v>0.9</v>
      </c>
      <c r="K196" s="151">
        <v>0.9</v>
      </c>
      <c r="L196" s="151">
        <v>0.9</v>
      </c>
      <c r="M196" s="151">
        <v>0.9</v>
      </c>
      <c r="N196" s="151">
        <v>0.9</v>
      </c>
      <c r="O196" s="151">
        <v>0.9</v>
      </c>
      <c r="P196" s="151">
        <v>0.9</v>
      </c>
      <c r="Q196" s="151">
        <v>0.9</v>
      </c>
      <c r="R196" s="151">
        <v>0.9</v>
      </c>
      <c r="S196" s="151">
        <v>0.9</v>
      </c>
      <c r="T196" s="151">
        <v>0.9</v>
      </c>
      <c r="U196" s="151">
        <v>0.9</v>
      </c>
      <c r="V196" s="151">
        <v>0.9</v>
      </c>
      <c r="W196" s="151">
        <v>0.9</v>
      </c>
      <c r="X196" s="151">
        <v>0.9</v>
      </c>
      <c r="Y196" s="151">
        <v>0.9</v>
      </c>
      <c r="Z196" s="151">
        <v>0.9</v>
      </c>
      <c r="AA196" s="151">
        <v>0.9</v>
      </c>
      <c r="AB196" s="151">
        <v>0.9</v>
      </c>
      <c r="AC196" s="152">
        <v>0.9</v>
      </c>
      <c r="AD196" s="582"/>
      <c r="AE196" s="37"/>
      <c r="AF196" s="37"/>
      <c r="AG196" s="37"/>
      <c r="AH196" s="37"/>
      <c r="AI196" s="37"/>
      <c r="AJ196" s="37"/>
    </row>
    <row r="197" spans="1:36" customFormat="1" ht="26.4" customHeight="1" x14ac:dyDescent="0.3">
      <c r="A197" s="816"/>
      <c r="B197" s="808"/>
      <c r="C197" s="818"/>
      <c r="D197" s="818"/>
      <c r="E197" s="512" t="s">
        <v>710</v>
      </c>
      <c r="F197" s="427">
        <v>0.9</v>
      </c>
      <c r="G197" s="151">
        <v>0.9</v>
      </c>
      <c r="H197" s="151">
        <v>0.9</v>
      </c>
      <c r="I197" s="151">
        <v>0.9</v>
      </c>
      <c r="J197" s="151">
        <v>0.9</v>
      </c>
      <c r="K197" s="151">
        <v>0.9</v>
      </c>
      <c r="L197" s="151">
        <v>0.9</v>
      </c>
      <c r="M197" s="151">
        <v>0.9</v>
      </c>
      <c r="N197" s="151">
        <v>0.9</v>
      </c>
      <c r="O197" s="151">
        <v>0.9</v>
      </c>
      <c r="P197" s="151">
        <v>0.9</v>
      </c>
      <c r="Q197" s="151">
        <v>0.9</v>
      </c>
      <c r="R197" s="151">
        <v>0.9</v>
      </c>
      <c r="S197" s="151">
        <v>0.9</v>
      </c>
      <c r="T197" s="151">
        <v>0.9</v>
      </c>
      <c r="U197" s="151">
        <v>0.9</v>
      </c>
      <c r="V197" s="151">
        <v>0.9</v>
      </c>
      <c r="W197" s="151">
        <v>0.9</v>
      </c>
      <c r="X197" s="151">
        <v>0.9</v>
      </c>
      <c r="Y197" s="151">
        <v>0.9</v>
      </c>
      <c r="Z197" s="151">
        <v>0.9</v>
      </c>
      <c r="AA197" s="151">
        <v>0.9</v>
      </c>
      <c r="AB197" s="151">
        <v>0.9</v>
      </c>
      <c r="AC197" s="152">
        <v>0.9</v>
      </c>
      <c r="AD197" s="582"/>
      <c r="AE197" s="37"/>
      <c r="AF197" s="37"/>
      <c r="AG197" s="37"/>
      <c r="AH197" s="37"/>
      <c r="AI197" s="37"/>
      <c r="AJ197" s="37"/>
    </row>
    <row r="198" spans="1:36" customFormat="1" ht="26.4" customHeight="1" x14ac:dyDescent="0.3">
      <c r="A198" s="816"/>
      <c r="B198" s="808"/>
      <c r="C198" s="818"/>
      <c r="D198" s="818"/>
      <c r="E198" s="512" t="s">
        <v>711</v>
      </c>
      <c r="F198" s="427">
        <v>0.9</v>
      </c>
      <c r="G198" s="151">
        <v>0.9</v>
      </c>
      <c r="H198" s="151">
        <v>0.9</v>
      </c>
      <c r="I198" s="151">
        <v>0.9</v>
      </c>
      <c r="J198" s="151">
        <v>0.9</v>
      </c>
      <c r="K198" s="151">
        <v>0.9</v>
      </c>
      <c r="L198" s="151">
        <v>0.9</v>
      </c>
      <c r="M198" s="151">
        <v>0.9</v>
      </c>
      <c r="N198" s="151">
        <v>0.9</v>
      </c>
      <c r="O198" s="151">
        <v>0.9</v>
      </c>
      <c r="P198" s="151">
        <v>0.9</v>
      </c>
      <c r="Q198" s="151">
        <v>0.9</v>
      </c>
      <c r="R198" s="151">
        <v>0.9</v>
      </c>
      <c r="S198" s="151">
        <v>0.9</v>
      </c>
      <c r="T198" s="151">
        <v>0.9</v>
      </c>
      <c r="U198" s="151">
        <v>0.9</v>
      </c>
      <c r="V198" s="151">
        <v>0.9</v>
      </c>
      <c r="W198" s="151">
        <v>0.9</v>
      </c>
      <c r="X198" s="151">
        <v>0.9</v>
      </c>
      <c r="Y198" s="151">
        <v>0.9</v>
      </c>
      <c r="Z198" s="151">
        <v>0.9</v>
      </c>
      <c r="AA198" s="151">
        <v>0.9</v>
      </c>
      <c r="AB198" s="151">
        <v>0.9</v>
      </c>
      <c r="AC198" s="152">
        <v>0.9</v>
      </c>
      <c r="AD198" s="582"/>
      <c r="AE198" s="37"/>
      <c r="AF198" s="37"/>
      <c r="AG198" s="37"/>
      <c r="AH198" s="37"/>
      <c r="AI198" s="37"/>
      <c r="AJ198" s="37"/>
    </row>
    <row r="199" spans="1:36" customFormat="1" ht="26.4" customHeight="1" x14ac:dyDescent="0.3">
      <c r="A199" s="816"/>
      <c r="B199" s="808"/>
      <c r="C199" s="818"/>
      <c r="D199" s="818"/>
      <c r="E199" s="512" t="s">
        <v>712</v>
      </c>
      <c r="F199" s="427">
        <v>0.9</v>
      </c>
      <c r="G199" s="151">
        <v>0.9</v>
      </c>
      <c r="H199" s="151">
        <v>0.9</v>
      </c>
      <c r="I199" s="151">
        <v>0.9</v>
      </c>
      <c r="J199" s="151">
        <v>0.9</v>
      </c>
      <c r="K199" s="151">
        <v>0.9</v>
      </c>
      <c r="L199" s="151">
        <v>0.9</v>
      </c>
      <c r="M199" s="151">
        <v>0.9</v>
      </c>
      <c r="N199" s="151">
        <v>0.9</v>
      </c>
      <c r="O199" s="151">
        <v>0.9</v>
      </c>
      <c r="P199" s="151">
        <v>0.9</v>
      </c>
      <c r="Q199" s="151">
        <v>0.9</v>
      </c>
      <c r="R199" s="151">
        <v>0.9</v>
      </c>
      <c r="S199" s="151">
        <v>0.9</v>
      </c>
      <c r="T199" s="151">
        <v>0.9</v>
      </c>
      <c r="U199" s="151">
        <v>0.9</v>
      </c>
      <c r="V199" s="151">
        <v>0.9</v>
      </c>
      <c r="W199" s="151">
        <v>0.9</v>
      </c>
      <c r="X199" s="151">
        <v>0.9</v>
      </c>
      <c r="Y199" s="151">
        <v>0.9</v>
      </c>
      <c r="Z199" s="151">
        <v>0.9</v>
      </c>
      <c r="AA199" s="151">
        <v>0.9</v>
      </c>
      <c r="AB199" s="151">
        <v>0.9</v>
      </c>
      <c r="AC199" s="152">
        <v>0.9</v>
      </c>
      <c r="AD199" s="582"/>
      <c r="AE199" s="37"/>
      <c r="AF199" s="37"/>
      <c r="AG199" s="37"/>
      <c r="AH199" s="37"/>
      <c r="AI199" s="37"/>
      <c r="AJ199" s="37"/>
    </row>
    <row r="200" spans="1:36" customFormat="1" ht="26.4" customHeight="1" x14ac:dyDescent="0.3">
      <c r="A200" s="816"/>
      <c r="B200" s="808"/>
      <c r="C200" s="818"/>
      <c r="D200" s="818"/>
      <c r="E200" s="512" t="s">
        <v>718</v>
      </c>
      <c r="F200" s="427">
        <v>0.9</v>
      </c>
      <c r="G200" s="151">
        <v>0.9</v>
      </c>
      <c r="H200" s="151">
        <v>0.9</v>
      </c>
      <c r="I200" s="151">
        <v>0.9</v>
      </c>
      <c r="J200" s="151">
        <v>0.9</v>
      </c>
      <c r="K200" s="151">
        <v>0.9</v>
      </c>
      <c r="L200" s="151">
        <v>0.9</v>
      </c>
      <c r="M200" s="151">
        <v>0.9</v>
      </c>
      <c r="N200" s="151">
        <v>0.9</v>
      </c>
      <c r="O200" s="151">
        <v>0.9</v>
      </c>
      <c r="P200" s="151">
        <v>0.9</v>
      </c>
      <c r="Q200" s="151">
        <v>0.9</v>
      </c>
      <c r="R200" s="151">
        <v>0.9</v>
      </c>
      <c r="S200" s="151">
        <v>0.9</v>
      </c>
      <c r="T200" s="151">
        <v>0.9</v>
      </c>
      <c r="U200" s="151">
        <v>0.9</v>
      </c>
      <c r="V200" s="151">
        <v>0.9</v>
      </c>
      <c r="W200" s="151">
        <v>0.9</v>
      </c>
      <c r="X200" s="151">
        <v>0.9</v>
      </c>
      <c r="Y200" s="151">
        <v>0.9</v>
      </c>
      <c r="Z200" s="151">
        <v>0.9</v>
      </c>
      <c r="AA200" s="151">
        <v>0.9</v>
      </c>
      <c r="AB200" s="151">
        <v>0.9</v>
      </c>
      <c r="AC200" s="152">
        <v>0.9</v>
      </c>
      <c r="AD200" s="582"/>
      <c r="AE200" s="37"/>
      <c r="AF200" s="37"/>
      <c r="AG200" s="37"/>
      <c r="AH200" s="37"/>
      <c r="AI200" s="37"/>
      <c r="AJ200" s="37"/>
    </row>
    <row r="201" spans="1:36" customFormat="1" ht="26.4" customHeight="1" x14ac:dyDescent="0.3">
      <c r="A201" s="816"/>
      <c r="B201" s="804"/>
      <c r="C201" s="819"/>
      <c r="D201" s="819"/>
      <c r="E201" s="429" t="s">
        <v>719</v>
      </c>
      <c r="F201" s="427">
        <v>0.9</v>
      </c>
      <c r="G201" s="151">
        <v>0.9</v>
      </c>
      <c r="H201" s="151">
        <v>0.9</v>
      </c>
      <c r="I201" s="151">
        <v>0.9</v>
      </c>
      <c r="J201" s="151">
        <v>0.9</v>
      </c>
      <c r="K201" s="151">
        <v>0.9</v>
      </c>
      <c r="L201" s="151">
        <v>0.9</v>
      </c>
      <c r="M201" s="151">
        <v>0.9</v>
      </c>
      <c r="N201" s="151">
        <v>0.9</v>
      </c>
      <c r="O201" s="151">
        <v>0.9</v>
      </c>
      <c r="P201" s="151">
        <v>0.9</v>
      </c>
      <c r="Q201" s="151">
        <v>0.9</v>
      </c>
      <c r="R201" s="151">
        <v>0.9</v>
      </c>
      <c r="S201" s="151">
        <v>0.9</v>
      </c>
      <c r="T201" s="151">
        <v>0.9</v>
      </c>
      <c r="U201" s="151">
        <v>0.9</v>
      </c>
      <c r="V201" s="151">
        <v>0.9</v>
      </c>
      <c r="W201" s="151">
        <v>0.9</v>
      </c>
      <c r="X201" s="151">
        <v>0.9</v>
      </c>
      <c r="Y201" s="151">
        <v>0.9</v>
      </c>
      <c r="Z201" s="151">
        <v>0.9</v>
      </c>
      <c r="AA201" s="151">
        <v>0.9</v>
      </c>
      <c r="AB201" s="151">
        <v>0.9</v>
      </c>
      <c r="AC201" s="152">
        <v>0.9</v>
      </c>
      <c r="AD201" s="582"/>
      <c r="AE201" s="37"/>
      <c r="AF201" s="37"/>
      <c r="AG201" s="37"/>
      <c r="AH201" s="37"/>
      <c r="AI201" s="37"/>
      <c r="AJ201" s="37"/>
    </row>
    <row r="202" spans="1:36" customFormat="1" ht="26.4" customHeight="1" thickBot="1" x14ac:dyDescent="0.35">
      <c r="A202" s="816"/>
      <c r="B202" s="809"/>
      <c r="C202" s="821"/>
      <c r="D202" s="821"/>
      <c r="E202" s="430" t="s">
        <v>720</v>
      </c>
      <c r="F202" s="428">
        <v>0.9</v>
      </c>
      <c r="G202" s="153">
        <v>0.9</v>
      </c>
      <c r="H202" s="153">
        <v>0.9</v>
      </c>
      <c r="I202" s="153">
        <v>0.9</v>
      </c>
      <c r="J202" s="153">
        <v>0.9</v>
      </c>
      <c r="K202" s="153">
        <v>0.9</v>
      </c>
      <c r="L202" s="153">
        <v>0.9</v>
      </c>
      <c r="M202" s="153">
        <v>0.9</v>
      </c>
      <c r="N202" s="153">
        <v>0.9</v>
      </c>
      <c r="O202" s="153">
        <v>0.9</v>
      </c>
      <c r="P202" s="153">
        <v>0.9</v>
      </c>
      <c r="Q202" s="153">
        <v>0.9</v>
      </c>
      <c r="R202" s="153">
        <v>0.9</v>
      </c>
      <c r="S202" s="153">
        <v>0.9</v>
      </c>
      <c r="T202" s="153">
        <v>0.9</v>
      </c>
      <c r="U202" s="153">
        <v>0.9</v>
      </c>
      <c r="V202" s="153">
        <v>0.9</v>
      </c>
      <c r="W202" s="153">
        <v>0.9</v>
      </c>
      <c r="X202" s="153">
        <v>0.9</v>
      </c>
      <c r="Y202" s="153">
        <v>0.9</v>
      </c>
      <c r="Z202" s="153">
        <v>0.9</v>
      </c>
      <c r="AA202" s="153">
        <v>0.9</v>
      </c>
      <c r="AB202" s="153">
        <v>0.9</v>
      </c>
      <c r="AC202" s="154">
        <v>0.9</v>
      </c>
      <c r="AD202" s="582"/>
      <c r="AE202" s="37"/>
      <c r="AF202" s="37"/>
      <c r="AG202" s="37"/>
      <c r="AH202" s="37"/>
      <c r="AI202" s="37"/>
      <c r="AJ202" s="37"/>
    </row>
    <row r="203" spans="1:36" customFormat="1" ht="26.4" customHeight="1" x14ac:dyDescent="0.3">
      <c r="A203" s="876" t="s">
        <v>708</v>
      </c>
      <c r="B203" s="879" t="s">
        <v>204</v>
      </c>
      <c r="C203" s="879" t="s">
        <v>693</v>
      </c>
      <c r="D203" s="882" t="s">
        <v>721</v>
      </c>
      <c r="E203" s="160" t="s">
        <v>687</v>
      </c>
      <c r="F203" s="420">
        <v>0.03</v>
      </c>
      <c r="G203" s="149">
        <v>0.03</v>
      </c>
      <c r="H203" s="149">
        <v>0.03</v>
      </c>
      <c r="I203" s="149">
        <v>0.03</v>
      </c>
      <c r="J203" s="149">
        <v>0.03</v>
      </c>
      <c r="K203" s="149">
        <v>0.03</v>
      </c>
      <c r="L203" s="149">
        <v>0.03</v>
      </c>
      <c r="M203" s="149">
        <v>0.03</v>
      </c>
      <c r="N203" s="149">
        <v>0.03</v>
      </c>
      <c r="O203" s="149">
        <v>0.03</v>
      </c>
      <c r="P203" s="149">
        <v>0.03</v>
      </c>
      <c r="Q203" s="149">
        <v>0.03</v>
      </c>
      <c r="R203" s="149">
        <v>0.03</v>
      </c>
      <c r="S203" s="149">
        <v>0.03</v>
      </c>
      <c r="T203" s="149">
        <v>0.03</v>
      </c>
      <c r="U203" s="149">
        <v>0.03</v>
      </c>
      <c r="V203" s="149">
        <v>0.03</v>
      </c>
      <c r="W203" s="149">
        <v>0.03</v>
      </c>
      <c r="X203" s="149">
        <v>0.03</v>
      </c>
      <c r="Y203" s="149">
        <v>0.03</v>
      </c>
      <c r="Z203" s="149">
        <v>0.03</v>
      </c>
      <c r="AA203" s="149">
        <v>0.03</v>
      </c>
      <c r="AB203" s="149">
        <v>0.03</v>
      </c>
      <c r="AC203" s="150">
        <v>0.03</v>
      </c>
      <c r="AD203" s="37"/>
      <c r="AE203" s="37"/>
      <c r="AF203" s="37"/>
      <c r="AG203" s="37"/>
      <c r="AH203" s="37"/>
      <c r="AI203" s="37"/>
      <c r="AJ203" s="37"/>
    </row>
    <row r="204" spans="1:36" customFormat="1" ht="26.4" customHeight="1" x14ac:dyDescent="0.3">
      <c r="A204" s="877"/>
      <c r="B204" s="880"/>
      <c r="C204" s="880"/>
      <c r="D204" s="883"/>
      <c r="E204" s="172" t="s">
        <v>709</v>
      </c>
      <c r="F204" s="188">
        <v>0.03</v>
      </c>
      <c r="G204" s="151">
        <v>0.03</v>
      </c>
      <c r="H204" s="151">
        <v>0.03</v>
      </c>
      <c r="I204" s="151">
        <v>0.03</v>
      </c>
      <c r="J204" s="151">
        <v>0.03</v>
      </c>
      <c r="K204" s="151">
        <v>0.03</v>
      </c>
      <c r="L204" s="151">
        <v>0.05</v>
      </c>
      <c r="M204" s="151">
        <v>0.25</v>
      </c>
      <c r="N204" s="151">
        <v>0.25</v>
      </c>
      <c r="O204" s="151">
        <v>0.25</v>
      </c>
      <c r="P204" s="151">
        <v>0.25</v>
      </c>
      <c r="Q204" s="151">
        <v>0.25</v>
      </c>
      <c r="R204" s="151">
        <v>0.05</v>
      </c>
      <c r="S204" s="151">
        <v>0.25</v>
      </c>
      <c r="T204" s="151">
        <v>0.25</v>
      </c>
      <c r="U204" s="151">
        <v>0.25</v>
      </c>
      <c r="V204" s="151">
        <v>0.25</v>
      </c>
      <c r="W204" s="151">
        <v>0.25</v>
      </c>
      <c r="X204" s="151">
        <v>0.25</v>
      </c>
      <c r="Y204" s="151">
        <v>0.25</v>
      </c>
      <c r="Z204" s="151">
        <v>0.05</v>
      </c>
      <c r="AA204" s="151">
        <v>0.03</v>
      </c>
      <c r="AB204" s="151">
        <v>0.03</v>
      </c>
      <c r="AC204" s="152">
        <v>0.03</v>
      </c>
      <c r="AD204" s="37"/>
      <c r="AE204" s="37"/>
      <c r="AF204" s="37"/>
      <c r="AG204" s="37"/>
      <c r="AH204" s="37"/>
      <c r="AI204" s="37"/>
      <c r="AJ204" s="37"/>
    </row>
    <row r="205" spans="1:36" customFormat="1" ht="26.4" customHeight="1" x14ac:dyDescent="0.3">
      <c r="A205" s="877"/>
      <c r="B205" s="880"/>
      <c r="C205" s="880"/>
      <c r="D205" s="883"/>
      <c r="E205" s="172" t="s">
        <v>710</v>
      </c>
      <c r="F205" s="188">
        <v>0.03</v>
      </c>
      <c r="G205" s="151">
        <v>0.03</v>
      </c>
      <c r="H205" s="151">
        <v>0.03</v>
      </c>
      <c r="I205" s="151">
        <v>0.03</v>
      </c>
      <c r="J205" s="151">
        <v>0.03</v>
      </c>
      <c r="K205" s="151">
        <v>0.03</v>
      </c>
      <c r="L205" s="151">
        <v>0.05</v>
      </c>
      <c r="M205" s="151">
        <v>0.125</v>
      </c>
      <c r="N205" s="151">
        <v>0.125</v>
      </c>
      <c r="O205" s="151">
        <v>0.125</v>
      </c>
      <c r="P205" s="151">
        <v>0.125</v>
      </c>
      <c r="Q205" s="151">
        <v>0.125</v>
      </c>
      <c r="R205" s="151">
        <v>0.05</v>
      </c>
      <c r="S205" s="151">
        <v>0.125</v>
      </c>
      <c r="T205" s="151">
        <v>0.125</v>
      </c>
      <c r="U205" s="151">
        <v>0.125</v>
      </c>
      <c r="V205" s="151">
        <v>0.125</v>
      </c>
      <c r="W205" s="151">
        <v>0.125</v>
      </c>
      <c r="X205" s="151">
        <v>0.125</v>
      </c>
      <c r="Y205" s="151">
        <v>0.125</v>
      </c>
      <c r="Z205" s="151">
        <v>0.05</v>
      </c>
      <c r="AA205" s="151">
        <v>0.03</v>
      </c>
      <c r="AB205" s="151">
        <v>0.03</v>
      </c>
      <c r="AC205" s="152">
        <v>0.03</v>
      </c>
      <c r="AD205" s="37"/>
      <c r="AE205" s="37"/>
      <c r="AF205" s="37"/>
      <c r="AG205" s="37"/>
      <c r="AH205" s="37"/>
      <c r="AI205" s="37"/>
      <c r="AJ205" s="37"/>
    </row>
    <row r="206" spans="1:36" customFormat="1" ht="26.4" customHeight="1" x14ac:dyDescent="0.3">
      <c r="A206" s="877"/>
      <c r="B206" s="880"/>
      <c r="C206" s="880"/>
      <c r="D206" s="883"/>
      <c r="E206" s="172" t="s">
        <v>711</v>
      </c>
      <c r="F206" s="188">
        <v>0.03</v>
      </c>
      <c r="G206" s="151">
        <v>0.03</v>
      </c>
      <c r="H206" s="151">
        <v>0.03</v>
      </c>
      <c r="I206" s="151">
        <v>0.03</v>
      </c>
      <c r="J206" s="151">
        <v>0.03</v>
      </c>
      <c r="K206" s="151">
        <v>0.03</v>
      </c>
      <c r="L206" s="151">
        <v>0.03</v>
      </c>
      <c r="M206" s="151">
        <v>0.05</v>
      </c>
      <c r="N206" s="151">
        <v>0.25</v>
      </c>
      <c r="O206" s="151">
        <v>0.25</v>
      </c>
      <c r="P206" s="151">
        <v>0.25</v>
      </c>
      <c r="Q206" s="151">
        <v>0.25</v>
      </c>
      <c r="R206" s="151">
        <v>0.05</v>
      </c>
      <c r="S206" s="151">
        <v>0.25</v>
      </c>
      <c r="T206" s="151">
        <v>0.25</v>
      </c>
      <c r="U206" s="151">
        <v>0.05</v>
      </c>
      <c r="V206" s="151">
        <v>0.05</v>
      </c>
      <c r="W206" s="151">
        <v>0.05</v>
      </c>
      <c r="X206" s="151">
        <v>0.5</v>
      </c>
      <c r="Y206" s="151">
        <v>0.5</v>
      </c>
      <c r="Z206" s="151">
        <v>0.95</v>
      </c>
      <c r="AA206" s="151">
        <v>0.95</v>
      </c>
      <c r="AB206" s="151">
        <v>0.05</v>
      </c>
      <c r="AC206" s="152">
        <v>0.03</v>
      </c>
      <c r="AD206" s="37"/>
      <c r="AE206" s="37"/>
      <c r="AF206" s="37"/>
      <c r="AG206" s="37"/>
      <c r="AH206" s="37"/>
      <c r="AI206" s="37"/>
      <c r="AJ206" s="37"/>
    </row>
    <row r="207" spans="1:36" customFormat="1" ht="26.4" customHeight="1" x14ac:dyDescent="0.3">
      <c r="A207" s="877"/>
      <c r="B207" s="880"/>
      <c r="C207" s="880"/>
      <c r="D207" s="883"/>
      <c r="E207" s="172" t="s">
        <v>712</v>
      </c>
      <c r="F207" s="188">
        <v>0.03</v>
      </c>
      <c r="G207" s="151">
        <v>0.03</v>
      </c>
      <c r="H207" s="151">
        <v>0.03</v>
      </c>
      <c r="I207" s="151">
        <v>0.03</v>
      </c>
      <c r="J207" s="151">
        <v>0.03</v>
      </c>
      <c r="K207" s="151">
        <v>0.03</v>
      </c>
      <c r="L207" s="151">
        <v>0.03</v>
      </c>
      <c r="M207" s="151">
        <v>0.05</v>
      </c>
      <c r="N207" s="151">
        <v>0.125</v>
      </c>
      <c r="O207" s="151">
        <v>0.125</v>
      </c>
      <c r="P207" s="151">
        <v>0.125</v>
      </c>
      <c r="Q207" s="151">
        <v>0.125</v>
      </c>
      <c r="R207" s="151">
        <v>0.05</v>
      </c>
      <c r="S207" s="151">
        <v>0.125</v>
      </c>
      <c r="T207" s="151">
        <v>0.125</v>
      </c>
      <c r="U207" s="151">
        <v>0.05</v>
      </c>
      <c r="V207" s="151">
        <v>0.05</v>
      </c>
      <c r="W207" s="151">
        <v>0.05</v>
      </c>
      <c r="X207" s="151">
        <v>0.25</v>
      </c>
      <c r="Y207" s="151">
        <v>0.25</v>
      </c>
      <c r="Z207" s="151">
        <v>0.5</v>
      </c>
      <c r="AA207" s="151">
        <v>0.5</v>
      </c>
      <c r="AB207" s="151">
        <v>0.05</v>
      </c>
      <c r="AC207" s="152">
        <v>0.03</v>
      </c>
      <c r="AD207" s="37"/>
      <c r="AE207" s="37"/>
      <c r="AF207" s="37"/>
      <c r="AG207" s="37"/>
      <c r="AH207" s="37"/>
      <c r="AI207" s="37"/>
      <c r="AJ207" s="37"/>
    </row>
    <row r="208" spans="1:36" customFormat="1" ht="26.4" customHeight="1" x14ac:dyDescent="0.3">
      <c r="A208" s="877"/>
      <c r="B208" s="880"/>
      <c r="C208" s="880"/>
      <c r="D208" s="883"/>
      <c r="E208" s="172" t="s">
        <v>722</v>
      </c>
      <c r="F208" s="188">
        <v>0.03</v>
      </c>
      <c r="G208" s="151">
        <v>0.03</v>
      </c>
      <c r="H208" s="151">
        <v>0.03</v>
      </c>
      <c r="I208" s="151">
        <v>0.03</v>
      </c>
      <c r="J208" s="151">
        <v>0.03</v>
      </c>
      <c r="K208" s="151">
        <v>0.03</v>
      </c>
      <c r="L208" s="151">
        <v>0.03</v>
      </c>
      <c r="M208" s="151">
        <v>0.05</v>
      </c>
      <c r="N208" s="151">
        <v>0.95</v>
      </c>
      <c r="O208" s="151">
        <v>0.95</v>
      </c>
      <c r="P208" s="151">
        <v>0.95</v>
      </c>
      <c r="Q208" s="151">
        <v>0.95</v>
      </c>
      <c r="R208" s="151">
        <v>0.95</v>
      </c>
      <c r="S208" s="151">
        <v>0.95</v>
      </c>
      <c r="T208" s="151">
        <v>0.05</v>
      </c>
      <c r="U208" s="151">
        <v>0.03</v>
      </c>
      <c r="V208" s="151">
        <v>0.03</v>
      </c>
      <c r="W208" s="151">
        <v>0.03</v>
      </c>
      <c r="X208" s="151">
        <v>0.03</v>
      </c>
      <c r="Y208" s="151">
        <v>0.03</v>
      </c>
      <c r="Z208" s="151">
        <v>0.03</v>
      </c>
      <c r="AA208" s="151">
        <v>0.03</v>
      </c>
      <c r="AB208" s="151">
        <v>0.03</v>
      </c>
      <c r="AC208" s="152">
        <v>0.03</v>
      </c>
      <c r="AD208" s="37"/>
      <c r="AE208" s="37"/>
      <c r="AF208" s="37"/>
      <c r="AG208" s="37"/>
      <c r="AH208" s="37"/>
      <c r="AI208" s="37"/>
      <c r="AJ208" s="37"/>
    </row>
    <row r="209" spans="1:36" customFormat="1" ht="26.4" customHeight="1" x14ac:dyDescent="0.3">
      <c r="A209" s="877"/>
      <c r="B209" s="880"/>
      <c r="C209" s="880"/>
      <c r="D209" s="883"/>
      <c r="E209" s="161" t="s">
        <v>723</v>
      </c>
      <c r="F209" s="188">
        <v>0.03</v>
      </c>
      <c r="G209" s="151">
        <v>0.03</v>
      </c>
      <c r="H209" s="151">
        <v>0.03</v>
      </c>
      <c r="I209" s="151">
        <v>0.03</v>
      </c>
      <c r="J209" s="151">
        <v>0.03</v>
      </c>
      <c r="K209" s="151">
        <v>0.03</v>
      </c>
      <c r="L209" s="151">
        <v>0.03</v>
      </c>
      <c r="M209" s="151">
        <v>0.05</v>
      </c>
      <c r="N209" s="151">
        <v>0.5</v>
      </c>
      <c r="O209" s="151">
        <v>0.5</v>
      </c>
      <c r="P209" s="151">
        <v>0.5</v>
      </c>
      <c r="Q209" s="151">
        <v>0.5</v>
      </c>
      <c r="R209" s="151">
        <v>0.5</v>
      </c>
      <c r="S209" s="151">
        <v>0.5</v>
      </c>
      <c r="T209" s="151">
        <v>0.05</v>
      </c>
      <c r="U209" s="151">
        <v>0.03</v>
      </c>
      <c r="V209" s="151">
        <v>0.03</v>
      </c>
      <c r="W209" s="151">
        <v>0.03</v>
      </c>
      <c r="X209" s="151">
        <v>0.03</v>
      </c>
      <c r="Y209" s="151">
        <v>0.03</v>
      </c>
      <c r="Z209" s="151">
        <v>0.03</v>
      </c>
      <c r="AA209" s="151">
        <v>0.03</v>
      </c>
      <c r="AB209" s="151">
        <v>0.03</v>
      </c>
      <c r="AC209" s="152">
        <v>0.03</v>
      </c>
      <c r="AD209" s="37"/>
      <c r="AE209" s="37"/>
      <c r="AF209" s="37"/>
      <c r="AG209" s="37"/>
      <c r="AH209" s="37"/>
      <c r="AI209" s="37"/>
      <c r="AJ209" s="37"/>
    </row>
    <row r="210" spans="1:36" customFormat="1" ht="26.4" customHeight="1" thickBot="1" x14ac:dyDescent="0.35">
      <c r="A210" s="878"/>
      <c r="B210" s="881"/>
      <c r="C210" s="881"/>
      <c r="D210" s="884"/>
      <c r="E210" s="162" t="s">
        <v>720</v>
      </c>
      <c r="F210" s="190">
        <v>0.03</v>
      </c>
      <c r="G210" s="153">
        <v>0.03</v>
      </c>
      <c r="H210" s="153">
        <v>0.03</v>
      </c>
      <c r="I210" s="153">
        <v>0.03</v>
      </c>
      <c r="J210" s="153">
        <v>0.03</v>
      </c>
      <c r="K210" s="153">
        <v>0.03</v>
      </c>
      <c r="L210" s="153">
        <v>0.03</v>
      </c>
      <c r="M210" s="153">
        <v>0.05</v>
      </c>
      <c r="N210" s="153">
        <v>0.3</v>
      </c>
      <c r="O210" s="153">
        <v>0.3</v>
      </c>
      <c r="P210" s="153">
        <v>0.3</v>
      </c>
      <c r="Q210" s="153">
        <v>0.3</v>
      </c>
      <c r="R210" s="153">
        <v>0.3</v>
      </c>
      <c r="S210" s="153">
        <v>0.3</v>
      </c>
      <c r="T210" s="153">
        <v>0.3</v>
      </c>
      <c r="U210" s="153">
        <v>0.3</v>
      </c>
      <c r="V210" s="153">
        <v>0.3</v>
      </c>
      <c r="W210" s="153">
        <v>0.05</v>
      </c>
      <c r="X210" s="153">
        <v>0.03</v>
      </c>
      <c r="Y210" s="153">
        <v>0.03</v>
      </c>
      <c r="Z210" s="153">
        <v>0.03</v>
      </c>
      <c r="AA210" s="153">
        <v>0.03</v>
      </c>
      <c r="AB210" s="153">
        <v>0.03</v>
      </c>
      <c r="AC210" s="154">
        <v>0.03</v>
      </c>
      <c r="AD210" s="37"/>
      <c r="AE210" s="37"/>
      <c r="AF210" s="37"/>
      <c r="AG210" s="37"/>
      <c r="AH210" s="37"/>
      <c r="AI210" s="37"/>
      <c r="AJ210" s="37"/>
    </row>
    <row r="211" spans="1:36" ht="25.2" customHeight="1" thickBot="1" x14ac:dyDescent="0.35">
      <c r="A211" s="849" t="s">
        <v>16</v>
      </c>
      <c r="B211" s="849"/>
      <c r="C211" s="849" t="s">
        <v>16</v>
      </c>
      <c r="D211" s="849"/>
      <c r="E211" s="850"/>
      <c r="F211" s="851"/>
      <c r="G211" s="851"/>
      <c r="H211" s="851"/>
      <c r="I211" s="851"/>
      <c r="J211" s="851"/>
      <c r="K211" s="851"/>
      <c r="L211" s="851"/>
      <c r="M211" s="851"/>
      <c r="N211" s="851"/>
      <c r="O211" s="851"/>
      <c r="P211" s="851"/>
      <c r="Q211" s="851"/>
      <c r="R211" s="851"/>
      <c r="S211" s="851"/>
      <c r="T211" s="851"/>
      <c r="U211" s="851"/>
      <c r="V211" s="851"/>
      <c r="W211" s="851"/>
      <c r="X211" s="851"/>
      <c r="Y211" s="851"/>
      <c r="Z211" s="851"/>
      <c r="AA211" s="851"/>
      <c r="AB211" s="851"/>
      <c r="AC211" s="852"/>
      <c r="AD211" s="196" t="s">
        <v>674</v>
      </c>
    </row>
    <row r="212" spans="1:36" ht="25.2" customHeight="1" x14ac:dyDescent="0.3">
      <c r="A212" s="855"/>
      <c r="B212" s="858" t="s">
        <v>85</v>
      </c>
      <c r="C212" s="860" t="s">
        <v>576</v>
      </c>
      <c r="D212" s="865" t="s">
        <v>724</v>
      </c>
      <c r="E212" s="524" t="s">
        <v>702</v>
      </c>
      <c r="F212" s="514">
        <v>0</v>
      </c>
      <c r="G212" s="229">
        <v>0</v>
      </c>
      <c r="H212" s="229">
        <v>0</v>
      </c>
      <c r="I212" s="229">
        <v>0</v>
      </c>
      <c r="J212" s="229">
        <v>0</v>
      </c>
      <c r="K212" s="229">
        <v>1</v>
      </c>
      <c r="L212" s="229">
        <v>1</v>
      </c>
      <c r="M212" s="229">
        <v>1</v>
      </c>
      <c r="N212" s="229">
        <v>1</v>
      </c>
      <c r="O212" s="229">
        <v>1</v>
      </c>
      <c r="P212" s="229">
        <v>1</v>
      </c>
      <c r="Q212" s="229">
        <v>1</v>
      </c>
      <c r="R212" s="229">
        <v>1</v>
      </c>
      <c r="S212" s="229">
        <v>1</v>
      </c>
      <c r="T212" s="229">
        <v>1</v>
      </c>
      <c r="U212" s="229">
        <v>1</v>
      </c>
      <c r="V212" s="229">
        <v>1</v>
      </c>
      <c r="W212" s="229">
        <v>1</v>
      </c>
      <c r="X212" s="229">
        <v>1</v>
      </c>
      <c r="Y212" s="229">
        <v>1</v>
      </c>
      <c r="Z212" s="229">
        <v>1</v>
      </c>
      <c r="AA212" s="229">
        <v>1</v>
      </c>
      <c r="AB212" s="229">
        <v>1</v>
      </c>
      <c r="AC212" s="230">
        <v>1</v>
      </c>
      <c r="AD212" s="35">
        <f>SUM(F212:AC212)*261+ SUM(F213:AC213)*52+ SUM(F214:AC214)*52</f>
        <v>4959</v>
      </c>
    </row>
    <row r="213" spans="1:36" ht="25.2" customHeight="1" x14ac:dyDescent="0.3">
      <c r="A213" s="856"/>
      <c r="B213" s="845"/>
      <c r="C213" s="836"/>
      <c r="D213" s="839"/>
      <c r="E213" s="525" t="s">
        <v>703</v>
      </c>
      <c r="F213" s="515">
        <v>0</v>
      </c>
      <c r="G213" s="231">
        <v>0</v>
      </c>
      <c r="H213" s="231">
        <v>0</v>
      </c>
      <c r="I213" s="231">
        <v>0</v>
      </c>
      <c r="J213" s="231">
        <v>0</v>
      </c>
      <c r="K213" s="231">
        <v>0</v>
      </c>
      <c r="L213" s="231">
        <v>0</v>
      </c>
      <c r="M213" s="231">
        <v>0</v>
      </c>
      <c r="N213" s="231">
        <v>0</v>
      </c>
      <c r="O213" s="231">
        <v>0</v>
      </c>
      <c r="P213" s="231">
        <v>0</v>
      </c>
      <c r="Q213" s="231">
        <v>0</v>
      </c>
      <c r="R213" s="231">
        <v>0</v>
      </c>
      <c r="S213" s="231">
        <v>0</v>
      </c>
      <c r="T213" s="231">
        <v>0</v>
      </c>
      <c r="U213" s="231">
        <v>0</v>
      </c>
      <c r="V213" s="231">
        <v>0</v>
      </c>
      <c r="W213" s="231">
        <v>0</v>
      </c>
      <c r="X213" s="231">
        <v>0</v>
      </c>
      <c r="Y213" s="231">
        <v>0</v>
      </c>
      <c r="Z213" s="231">
        <v>0</v>
      </c>
      <c r="AA213" s="231">
        <v>0</v>
      </c>
      <c r="AB213" s="231">
        <v>0</v>
      </c>
      <c r="AC213" s="232">
        <v>0</v>
      </c>
    </row>
    <row r="214" spans="1:36" ht="35.25" customHeight="1" thickBot="1" x14ac:dyDescent="0.35">
      <c r="A214" s="857"/>
      <c r="B214" s="859"/>
      <c r="C214" s="861"/>
      <c r="D214" s="863"/>
      <c r="E214" s="526" t="s">
        <v>704</v>
      </c>
      <c r="F214" s="516">
        <v>0</v>
      </c>
      <c r="G214" s="233">
        <v>0</v>
      </c>
      <c r="H214" s="233">
        <v>0</v>
      </c>
      <c r="I214" s="233">
        <v>0</v>
      </c>
      <c r="J214" s="233">
        <v>0</v>
      </c>
      <c r="K214" s="233">
        <v>0</v>
      </c>
      <c r="L214" s="233">
        <v>0</v>
      </c>
      <c r="M214" s="233">
        <v>0</v>
      </c>
      <c r="N214" s="233">
        <v>0</v>
      </c>
      <c r="O214" s="233">
        <v>0</v>
      </c>
      <c r="P214" s="233">
        <v>0</v>
      </c>
      <c r="Q214" s="233">
        <v>0</v>
      </c>
      <c r="R214" s="233">
        <v>0</v>
      </c>
      <c r="S214" s="233">
        <v>0</v>
      </c>
      <c r="T214" s="233">
        <v>0</v>
      </c>
      <c r="U214" s="233">
        <v>0</v>
      </c>
      <c r="V214" s="233">
        <v>0</v>
      </c>
      <c r="W214" s="233">
        <v>0</v>
      </c>
      <c r="X214" s="233">
        <v>0</v>
      </c>
      <c r="Y214" s="233">
        <v>0</v>
      </c>
      <c r="Z214" s="233">
        <v>0</v>
      </c>
      <c r="AA214" s="233">
        <v>0</v>
      </c>
      <c r="AB214" s="233">
        <v>0</v>
      </c>
      <c r="AC214" s="234">
        <v>0</v>
      </c>
    </row>
    <row r="215" spans="1:36" ht="25.2" customHeight="1" x14ac:dyDescent="0.3">
      <c r="A215" s="855"/>
      <c r="B215" s="858" t="s">
        <v>85</v>
      </c>
      <c r="C215" s="860" t="s">
        <v>725</v>
      </c>
      <c r="D215" s="862"/>
      <c r="E215" s="527" t="s">
        <v>702</v>
      </c>
      <c r="F215" s="517">
        <v>1</v>
      </c>
      <c r="G215" s="165">
        <v>1</v>
      </c>
      <c r="H215" s="165">
        <v>1</v>
      </c>
      <c r="I215" s="165">
        <v>1</v>
      </c>
      <c r="J215" s="165">
        <v>1</v>
      </c>
      <c r="K215" s="165">
        <v>1</v>
      </c>
      <c r="L215" s="165">
        <v>1</v>
      </c>
      <c r="M215" s="165">
        <v>1</v>
      </c>
      <c r="N215" s="165">
        <v>1</v>
      </c>
      <c r="O215" s="165">
        <v>1</v>
      </c>
      <c r="P215" s="165">
        <v>1</v>
      </c>
      <c r="Q215" s="165">
        <v>1</v>
      </c>
      <c r="R215" s="165">
        <v>1</v>
      </c>
      <c r="S215" s="165">
        <v>1</v>
      </c>
      <c r="T215" s="165">
        <v>1</v>
      </c>
      <c r="U215" s="165">
        <v>1</v>
      </c>
      <c r="V215" s="165">
        <v>1</v>
      </c>
      <c r="W215" s="165">
        <v>1</v>
      </c>
      <c r="X215" s="165">
        <v>1</v>
      </c>
      <c r="Y215" s="165">
        <v>1</v>
      </c>
      <c r="Z215" s="165">
        <v>1</v>
      </c>
      <c r="AA215" s="165">
        <v>1</v>
      </c>
      <c r="AB215" s="165">
        <v>1</v>
      </c>
      <c r="AC215" s="166">
        <v>1</v>
      </c>
    </row>
    <row r="216" spans="1:36" ht="25.2" customHeight="1" x14ac:dyDescent="0.3">
      <c r="A216" s="856"/>
      <c r="B216" s="845"/>
      <c r="C216" s="836"/>
      <c r="D216" s="839"/>
      <c r="E216" s="525" t="s">
        <v>703</v>
      </c>
      <c r="F216" s="518">
        <v>1</v>
      </c>
      <c r="G216" s="142">
        <v>1</v>
      </c>
      <c r="H216" s="142">
        <v>1</v>
      </c>
      <c r="I216" s="142">
        <v>1</v>
      </c>
      <c r="J216" s="142">
        <v>1</v>
      </c>
      <c r="K216" s="142">
        <v>1</v>
      </c>
      <c r="L216" s="142">
        <v>1</v>
      </c>
      <c r="M216" s="142">
        <v>1</v>
      </c>
      <c r="N216" s="142">
        <v>1</v>
      </c>
      <c r="O216" s="142">
        <v>1</v>
      </c>
      <c r="P216" s="142">
        <v>1</v>
      </c>
      <c r="Q216" s="142">
        <v>1</v>
      </c>
      <c r="R216" s="142">
        <v>1</v>
      </c>
      <c r="S216" s="142">
        <v>1</v>
      </c>
      <c r="T216" s="142">
        <v>1</v>
      </c>
      <c r="U216" s="142">
        <v>1</v>
      </c>
      <c r="V216" s="142">
        <v>1</v>
      </c>
      <c r="W216" s="142">
        <v>1</v>
      </c>
      <c r="X216" s="142">
        <v>1</v>
      </c>
      <c r="Y216" s="142">
        <v>1</v>
      </c>
      <c r="Z216" s="142">
        <v>1</v>
      </c>
      <c r="AA216" s="142">
        <v>1</v>
      </c>
      <c r="AB216" s="142">
        <v>1</v>
      </c>
      <c r="AC216" s="167">
        <v>1</v>
      </c>
    </row>
    <row r="217" spans="1:36" ht="25.2" customHeight="1" thickBot="1" x14ac:dyDescent="0.35">
      <c r="A217" s="857"/>
      <c r="B217" s="859"/>
      <c r="C217" s="861"/>
      <c r="D217" s="863"/>
      <c r="E217" s="526" t="s">
        <v>704</v>
      </c>
      <c r="F217" s="519">
        <v>1</v>
      </c>
      <c r="G217" s="168">
        <v>1</v>
      </c>
      <c r="H217" s="168">
        <v>1</v>
      </c>
      <c r="I217" s="168">
        <v>1</v>
      </c>
      <c r="J217" s="168">
        <v>1</v>
      </c>
      <c r="K217" s="168">
        <v>1</v>
      </c>
      <c r="L217" s="168">
        <v>1</v>
      </c>
      <c r="M217" s="168">
        <v>1</v>
      </c>
      <c r="N217" s="168">
        <v>1</v>
      </c>
      <c r="O217" s="168">
        <v>1</v>
      </c>
      <c r="P217" s="168">
        <v>1</v>
      </c>
      <c r="Q217" s="168">
        <v>1</v>
      </c>
      <c r="R217" s="168">
        <v>1</v>
      </c>
      <c r="S217" s="168">
        <v>1</v>
      </c>
      <c r="T217" s="168">
        <v>1</v>
      </c>
      <c r="U217" s="168">
        <v>1</v>
      </c>
      <c r="V217" s="168">
        <v>1</v>
      </c>
      <c r="W217" s="168">
        <v>1</v>
      </c>
      <c r="X217" s="168">
        <v>1</v>
      </c>
      <c r="Y217" s="168">
        <v>1</v>
      </c>
      <c r="Z217" s="168">
        <v>1</v>
      </c>
      <c r="AA217" s="168">
        <v>1</v>
      </c>
      <c r="AB217" s="168">
        <v>1</v>
      </c>
      <c r="AC217" s="169">
        <v>1</v>
      </c>
    </row>
    <row r="218" spans="1:36" ht="30.75" customHeight="1" x14ac:dyDescent="0.3">
      <c r="A218" s="855"/>
      <c r="B218" s="858" t="s">
        <v>85</v>
      </c>
      <c r="C218" s="860" t="s">
        <v>726</v>
      </c>
      <c r="D218" s="862"/>
      <c r="E218" s="527" t="s">
        <v>702</v>
      </c>
      <c r="F218" s="517">
        <v>0</v>
      </c>
      <c r="G218" s="165">
        <v>0</v>
      </c>
      <c r="H218" s="165">
        <v>0</v>
      </c>
      <c r="I218" s="165">
        <v>0</v>
      </c>
      <c r="J218" s="165">
        <v>0</v>
      </c>
      <c r="K218" s="165">
        <v>1</v>
      </c>
      <c r="L218" s="165">
        <v>1</v>
      </c>
      <c r="M218" s="165">
        <v>1</v>
      </c>
      <c r="N218" s="165">
        <v>1</v>
      </c>
      <c r="O218" s="165">
        <v>1</v>
      </c>
      <c r="P218" s="165">
        <v>1</v>
      </c>
      <c r="Q218" s="165">
        <v>1</v>
      </c>
      <c r="R218" s="165">
        <v>1</v>
      </c>
      <c r="S218" s="165">
        <v>1</v>
      </c>
      <c r="T218" s="165">
        <v>1</v>
      </c>
      <c r="U218" s="165">
        <v>1</v>
      </c>
      <c r="V218" s="165">
        <v>1</v>
      </c>
      <c r="W218" s="165">
        <v>1</v>
      </c>
      <c r="X218" s="165">
        <v>1</v>
      </c>
      <c r="Y218" s="165">
        <v>1</v>
      </c>
      <c r="Z218" s="165">
        <v>1</v>
      </c>
      <c r="AA218" s="165">
        <v>1</v>
      </c>
      <c r="AB218" s="165">
        <v>0</v>
      </c>
      <c r="AC218" s="166">
        <v>0</v>
      </c>
    </row>
    <row r="219" spans="1:36" ht="30.75" customHeight="1" x14ac:dyDescent="0.3">
      <c r="A219" s="856"/>
      <c r="B219" s="845"/>
      <c r="C219" s="836"/>
      <c r="D219" s="839"/>
      <c r="E219" s="525" t="s">
        <v>703</v>
      </c>
      <c r="F219" s="518">
        <v>0</v>
      </c>
      <c r="G219" s="142">
        <v>0</v>
      </c>
      <c r="H219" s="142">
        <v>0</v>
      </c>
      <c r="I219" s="142">
        <v>0</v>
      </c>
      <c r="J219" s="142">
        <v>0</v>
      </c>
      <c r="K219" s="142">
        <v>1</v>
      </c>
      <c r="L219" s="142">
        <v>1</v>
      </c>
      <c r="M219" s="142">
        <v>1</v>
      </c>
      <c r="N219" s="142">
        <v>1</v>
      </c>
      <c r="O219" s="142">
        <v>1</v>
      </c>
      <c r="P219" s="142">
        <v>1</v>
      </c>
      <c r="Q219" s="142">
        <v>1</v>
      </c>
      <c r="R219" s="142">
        <v>1</v>
      </c>
      <c r="S219" s="142">
        <v>1</v>
      </c>
      <c r="T219" s="142">
        <v>1</v>
      </c>
      <c r="U219" s="142">
        <v>1</v>
      </c>
      <c r="V219" s="142">
        <v>1</v>
      </c>
      <c r="W219" s="142">
        <v>1</v>
      </c>
      <c r="X219" s="142">
        <v>1</v>
      </c>
      <c r="Y219" s="142">
        <v>1</v>
      </c>
      <c r="Z219" s="142">
        <v>1</v>
      </c>
      <c r="AA219" s="142">
        <v>1</v>
      </c>
      <c r="AB219" s="142">
        <v>1</v>
      </c>
      <c r="AC219" s="167">
        <v>1</v>
      </c>
    </row>
    <row r="220" spans="1:36" ht="37.5" customHeight="1" thickBot="1" x14ac:dyDescent="0.35">
      <c r="A220" s="857"/>
      <c r="B220" s="859"/>
      <c r="C220" s="861"/>
      <c r="D220" s="863"/>
      <c r="E220" s="526" t="s">
        <v>704</v>
      </c>
      <c r="F220" s="519">
        <v>0</v>
      </c>
      <c r="G220" s="168">
        <v>0</v>
      </c>
      <c r="H220" s="168">
        <v>0</v>
      </c>
      <c r="I220" s="168">
        <v>0</v>
      </c>
      <c r="J220" s="168">
        <v>0</v>
      </c>
      <c r="K220" s="168">
        <v>1</v>
      </c>
      <c r="L220" s="168">
        <v>1</v>
      </c>
      <c r="M220" s="168">
        <v>1</v>
      </c>
      <c r="N220" s="168">
        <v>1</v>
      </c>
      <c r="O220" s="168">
        <v>1</v>
      </c>
      <c r="P220" s="168">
        <v>1</v>
      </c>
      <c r="Q220" s="168">
        <v>1</v>
      </c>
      <c r="R220" s="168">
        <v>1</v>
      </c>
      <c r="S220" s="168">
        <v>1</v>
      </c>
      <c r="T220" s="168">
        <v>1</v>
      </c>
      <c r="U220" s="168">
        <v>1</v>
      </c>
      <c r="V220" s="168">
        <v>1</v>
      </c>
      <c r="W220" s="168">
        <v>1</v>
      </c>
      <c r="X220" s="168">
        <v>1</v>
      </c>
      <c r="Y220" s="168">
        <v>1</v>
      </c>
      <c r="Z220" s="168">
        <v>1</v>
      </c>
      <c r="AA220" s="168">
        <v>1</v>
      </c>
      <c r="AB220" s="168">
        <v>1</v>
      </c>
      <c r="AC220" s="169">
        <v>1</v>
      </c>
    </row>
    <row r="221" spans="1:36" ht="36" customHeight="1" x14ac:dyDescent="0.3">
      <c r="A221" s="829" t="s">
        <v>727</v>
      </c>
      <c r="B221" s="832" t="s">
        <v>85</v>
      </c>
      <c r="C221" s="864" t="s">
        <v>728</v>
      </c>
      <c r="D221" s="838" t="s">
        <v>729</v>
      </c>
      <c r="E221" s="528" t="s">
        <v>702</v>
      </c>
      <c r="F221" s="520">
        <v>102.6</v>
      </c>
      <c r="G221" s="148">
        <v>102.6</v>
      </c>
      <c r="H221" s="148">
        <v>102.6</v>
      </c>
      <c r="I221" s="148">
        <v>102.6</v>
      </c>
      <c r="J221" s="148">
        <v>102.6</v>
      </c>
      <c r="K221" s="148">
        <v>102.6</v>
      </c>
      <c r="L221" s="148">
        <v>102.6</v>
      </c>
      <c r="M221" s="148">
        <v>102.6</v>
      </c>
      <c r="N221" s="148">
        <v>102.6</v>
      </c>
      <c r="O221" s="148">
        <v>102.6</v>
      </c>
      <c r="P221" s="148">
        <v>102.6</v>
      </c>
      <c r="Q221" s="148">
        <v>102.6</v>
      </c>
      <c r="R221" s="148">
        <v>102.6</v>
      </c>
      <c r="S221" s="148">
        <v>102.6</v>
      </c>
      <c r="T221" s="148">
        <v>102.6</v>
      </c>
      <c r="U221" s="148">
        <v>102.6</v>
      </c>
      <c r="V221" s="148">
        <v>102.6</v>
      </c>
      <c r="W221" s="148">
        <v>102.6</v>
      </c>
      <c r="X221" s="148">
        <v>102.6</v>
      </c>
      <c r="Y221" s="148">
        <v>102.6</v>
      </c>
      <c r="Z221" s="148">
        <v>102.6</v>
      </c>
      <c r="AA221" s="148">
        <v>102.6</v>
      </c>
      <c r="AB221" s="148">
        <v>102.6</v>
      </c>
      <c r="AC221" s="147">
        <v>102.6</v>
      </c>
    </row>
    <row r="222" spans="1:36" ht="36" customHeight="1" x14ac:dyDescent="0.3">
      <c r="A222" s="830"/>
      <c r="B222" s="833"/>
      <c r="C222" s="836"/>
      <c r="D222" s="839"/>
      <c r="E222" s="525" t="s">
        <v>703</v>
      </c>
      <c r="F222" s="521">
        <v>102.6</v>
      </c>
      <c r="G222" s="146">
        <v>102.6</v>
      </c>
      <c r="H222" s="146">
        <v>102.6</v>
      </c>
      <c r="I222" s="146">
        <v>102.6</v>
      </c>
      <c r="J222" s="146">
        <v>102.6</v>
      </c>
      <c r="K222" s="146">
        <v>102.6</v>
      </c>
      <c r="L222" s="146">
        <v>102.6</v>
      </c>
      <c r="M222" s="146">
        <v>102.6</v>
      </c>
      <c r="N222" s="146">
        <v>102.6</v>
      </c>
      <c r="O222" s="146">
        <v>102.6</v>
      </c>
      <c r="P222" s="146">
        <v>102.6</v>
      </c>
      <c r="Q222" s="146">
        <v>102.6</v>
      </c>
      <c r="R222" s="146">
        <v>102.6</v>
      </c>
      <c r="S222" s="146">
        <v>102.6</v>
      </c>
      <c r="T222" s="146">
        <v>102.6</v>
      </c>
      <c r="U222" s="146">
        <v>102.6</v>
      </c>
      <c r="V222" s="146">
        <v>102.6</v>
      </c>
      <c r="W222" s="146">
        <v>102.6</v>
      </c>
      <c r="X222" s="146">
        <v>102.6</v>
      </c>
      <c r="Y222" s="146">
        <v>102.6</v>
      </c>
      <c r="Z222" s="146">
        <v>102.6</v>
      </c>
      <c r="AA222" s="146">
        <v>102.6</v>
      </c>
      <c r="AB222" s="146">
        <v>102.6</v>
      </c>
      <c r="AC222" s="145">
        <v>102.6</v>
      </c>
    </row>
    <row r="223" spans="1:36" ht="36" customHeight="1" thickBot="1" x14ac:dyDescent="0.35">
      <c r="A223" s="831"/>
      <c r="B223" s="834"/>
      <c r="C223" s="837"/>
      <c r="D223" s="840"/>
      <c r="E223" s="529" t="s">
        <v>704</v>
      </c>
      <c r="F223" s="522">
        <v>102.6</v>
      </c>
      <c r="G223" s="144">
        <v>102.6</v>
      </c>
      <c r="H223" s="144">
        <v>102.6</v>
      </c>
      <c r="I223" s="144">
        <v>102.6</v>
      </c>
      <c r="J223" s="144">
        <v>102.6</v>
      </c>
      <c r="K223" s="144">
        <v>102.6</v>
      </c>
      <c r="L223" s="144">
        <v>102.6</v>
      </c>
      <c r="M223" s="144">
        <v>102.6</v>
      </c>
      <c r="N223" s="144">
        <v>102.6</v>
      </c>
      <c r="O223" s="144">
        <v>102.6</v>
      </c>
      <c r="P223" s="144">
        <v>102.6</v>
      </c>
      <c r="Q223" s="144">
        <v>102.6</v>
      </c>
      <c r="R223" s="144">
        <v>102.6</v>
      </c>
      <c r="S223" s="144">
        <v>102.6</v>
      </c>
      <c r="T223" s="144">
        <v>102.6</v>
      </c>
      <c r="U223" s="144">
        <v>102.6</v>
      </c>
      <c r="V223" s="144">
        <v>102.6</v>
      </c>
      <c r="W223" s="144">
        <v>102.6</v>
      </c>
      <c r="X223" s="144">
        <v>102.6</v>
      </c>
      <c r="Y223" s="144">
        <v>102.6</v>
      </c>
      <c r="Z223" s="144">
        <v>102.6</v>
      </c>
      <c r="AA223" s="144">
        <v>102.6</v>
      </c>
      <c r="AB223" s="144">
        <v>102.6</v>
      </c>
      <c r="AC223" s="143">
        <v>102.6</v>
      </c>
    </row>
    <row r="224" spans="1:36" ht="36" customHeight="1" x14ac:dyDescent="0.3">
      <c r="A224" s="841" t="s">
        <v>204</v>
      </c>
      <c r="B224" s="844" t="s">
        <v>85</v>
      </c>
      <c r="C224" s="835" t="s">
        <v>730</v>
      </c>
      <c r="D224" s="875" t="s">
        <v>731</v>
      </c>
      <c r="E224" s="528" t="s">
        <v>702</v>
      </c>
      <c r="F224" s="520">
        <v>331</v>
      </c>
      <c r="G224" s="148">
        <v>331</v>
      </c>
      <c r="H224" s="148">
        <v>331</v>
      </c>
      <c r="I224" s="148">
        <v>331</v>
      </c>
      <c r="J224" s="148">
        <v>331</v>
      </c>
      <c r="K224" s="148">
        <v>331</v>
      </c>
      <c r="L224" s="148">
        <v>331</v>
      </c>
      <c r="M224" s="148">
        <v>331</v>
      </c>
      <c r="N224" s="148">
        <v>331</v>
      </c>
      <c r="O224" s="148">
        <v>331</v>
      </c>
      <c r="P224" s="148">
        <v>331</v>
      </c>
      <c r="Q224" s="148">
        <v>331</v>
      </c>
      <c r="R224" s="148">
        <v>331</v>
      </c>
      <c r="S224" s="148">
        <v>331</v>
      </c>
      <c r="T224" s="148">
        <v>331</v>
      </c>
      <c r="U224" s="148">
        <v>331</v>
      </c>
      <c r="V224" s="148">
        <v>331</v>
      </c>
      <c r="W224" s="148">
        <v>331</v>
      </c>
      <c r="X224" s="148">
        <v>331</v>
      </c>
      <c r="Y224" s="148">
        <v>331</v>
      </c>
      <c r="Z224" s="148">
        <v>331</v>
      </c>
      <c r="AA224" s="148">
        <v>331</v>
      </c>
      <c r="AB224" s="148">
        <v>331</v>
      </c>
      <c r="AC224" s="147">
        <v>331</v>
      </c>
    </row>
    <row r="225" spans="1:29" ht="36" customHeight="1" x14ac:dyDescent="0.3">
      <c r="A225" s="842"/>
      <c r="B225" s="845"/>
      <c r="C225" s="836"/>
      <c r="D225" s="839"/>
      <c r="E225" s="525" t="s">
        <v>703</v>
      </c>
      <c r="F225" s="523">
        <v>331</v>
      </c>
      <c r="G225" s="193">
        <v>331</v>
      </c>
      <c r="H225" s="193">
        <v>331</v>
      </c>
      <c r="I225" s="193">
        <v>331</v>
      </c>
      <c r="J225" s="193">
        <v>331</v>
      </c>
      <c r="K225" s="193">
        <v>331</v>
      </c>
      <c r="L225" s="193">
        <v>331</v>
      </c>
      <c r="M225" s="193">
        <v>331</v>
      </c>
      <c r="N225" s="193">
        <v>331</v>
      </c>
      <c r="O225" s="193">
        <v>331</v>
      </c>
      <c r="P225" s="193">
        <v>331</v>
      </c>
      <c r="Q225" s="193">
        <v>331</v>
      </c>
      <c r="R225" s="193">
        <v>331</v>
      </c>
      <c r="S225" s="193">
        <v>331</v>
      </c>
      <c r="T225" s="193">
        <v>331</v>
      </c>
      <c r="U225" s="193">
        <v>331</v>
      </c>
      <c r="V225" s="193">
        <v>331</v>
      </c>
      <c r="W225" s="193">
        <v>331</v>
      </c>
      <c r="X225" s="193">
        <v>331</v>
      </c>
      <c r="Y225" s="193">
        <v>331</v>
      </c>
      <c r="Z225" s="193">
        <v>331</v>
      </c>
      <c r="AA225" s="193">
        <v>331</v>
      </c>
      <c r="AB225" s="193">
        <v>331</v>
      </c>
      <c r="AC225" s="194">
        <v>331</v>
      </c>
    </row>
    <row r="226" spans="1:29" ht="36" customHeight="1" thickBot="1" x14ac:dyDescent="0.35">
      <c r="A226" s="842"/>
      <c r="B226" s="845"/>
      <c r="C226" s="836"/>
      <c r="D226" s="839"/>
      <c r="E226" s="529" t="s">
        <v>704</v>
      </c>
      <c r="F226" s="523">
        <v>331</v>
      </c>
      <c r="G226" s="193">
        <v>331</v>
      </c>
      <c r="H226" s="193">
        <v>331</v>
      </c>
      <c r="I226" s="193">
        <v>331</v>
      </c>
      <c r="J226" s="193">
        <v>331</v>
      </c>
      <c r="K226" s="193">
        <v>331</v>
      </c>
      <c r="L226" s="193">
        <v>331</v>
      </c>
      <c r="M226" s="193">
        <v>331</v>
      </c>
      <c r="N226" s="193">
        <v>331</v>
      </c>
      <c r="O226" s="193">
        <v>331</v>
      </c>
      <c r="P226" s="193">
        <v>331</v>
      </c>
      <c r="Q226" s="193">
        <v>331</v>
      </c>
      <c r="R226" s="193">
        <v>331</v>
      </c>
      <c r="S226" s="193">
        <v>331</v>
      </c>
      <c r="T226" s="193">
        <v>331</v>
      </c>
      <c r="U226" s="193">
        <v>331</v>
      </c>
      <c r="V226" s="193">
        <v>331</v>
      </c>
      <c r="W226" s="193">
        <v>331</v>
      </c>
      <c r="X226" s="193">
        <v>331</v>
      </c>
      <c r="Y226" s="193">
        <v>331</v>
      </c>
      <c r="Z226" s="193">
        <v>331</v>
      </c>
      <c r="AA226" s="193">
        <v>331</v>
      </c>
      <c r="AB226" s="193">
        <v>331</v>
      </c>
      <c r="AC226" s="194">
        <v>331</v>
      </c>
    </row>
    <row r="227" spans="1:29" ht="36" customHeight="1" x14ac:dyDescent="0.3">
      <c r="A227" s="829" t="s">
        <v>732</v>
      </c>
      <c r="B227" s="832" t="s">
        <v>85</v>
      </c>
      <c r="C227" s="864" t="s">
        <v>733</v>
      </c>
      <c r="D227" s="838" t="s">
        <v>729</v>
      </c>
      <c r="E227" s="528" t="s">
        <v>702</v>
      </c>
      <c r="F227" s="520">
        <v>146.5</v>
      </c>
      <c r="G227" s="148">
        <v>146.5</v>
      </c>
      <c r="H227" s="148">
        <v>146.5</v>
      </c>
      <c r="I227" s="148">
        <v>146.5</v>
      </c>
      <c r="J227" s="148">
        <v>146.5</v>
      </c>
      <c r="K227" s="148">
        <v>146.5</v>
      </c>
      <c r="L227" s="148">
        <v>146.5</v>
      </c>
      <c r="M227" s="148">
        <v>146.5</v>
      </c>
      <c r="N227" s="148">
        <v>146.5</v>
      </c>
      <c r="O227" s="148">
        <v>146.5</v>
      </c>
      <c r="P227" s="148">
        <v>146.5</v>
      </c>
      <c r="Q227" s="148">
        <v>146.5</v>
      </c>
      <c r="R227" s="148">
        <v>146.5</v>
      </c>
      <c r="S227" s="148">
        <v>146.5</v>
      </c>
      <c r="T227" s="148">
        <v>146.5</v>
      </c>
      <c r="U227" s="148">
        <v>146.5</v>
      </c>
      <c r="V227" s="148">
        <v>146.5</v>
      </c>
      <c r="W227" s="148">
        <v>146.5</v>
      </c>
      <c r="X227" s="148">
        <v>146.5</v>
      </c>
      <c r="Y227" s="148">
        <v>146.5</v>
      </c>
      <c r="Z227" s="148">
        <v>146.5</v>
      </c>
      <c r="AA227" s="148">
        <v>146.5</v>
      </c>
      <c r="AB227" s="148">
        <v>146.5</v>
      </c>
      <c r="AC227" s="147">
        <v>146.5</v>
      </c>
    </row>
    <row r="228" spans="1:29" ht="36" customHeight="1" x14ac:dyDescent="0.3">
      <c r="A228" s="830"/>
      <c r="B228" s="833"/>
      <c r="C228" s="836"/>
      <c r="D228" s="839"/>
      <c r="E228" s="525" t="s">
        <v>703</v>
      </c>
      <c r="F228" s="521">
        <v>146.5</v>
      </c>
      <c r="G228" s="146">
        <v>146.5</v>
      </c>
      <c r="H228" s="146">
        <v>146.5</v>
      </c>
      <c r="I228" s="146">
        <v>146.5</v>
      </c>
      <c r="J228" s="146">
        <v>146.5</v>
      </c>
      <c r="K228" s="146">
        <v>146.5</v>
      </c>
      <c r="L228" s="146">
        <v>146.5</v>
      </c>
      <c r="M228" s="146">
        <v>146.5</v>
      </c>
      <c r="N228" s="146">
        <v>146.5</v>
      </c>
      <c r="O228" s="146">
        <v>146.5</v>
      </c>
      <c r="P228" s="146">
        <v>146.5</v>
      </c>
      <c r="Q228" s="146">
        <v>146.5</v>
      </c>
      <c r="R228" s="146">
        <v>146.5</v>
      </c>
      <c r="S228" s="146">
        <v>146.5</v>
      </c>
      <c r="T228" s="146">
        <v>146.5</v>
      </c>
      <c r="U228" s="146">
        <v>146.5</v>
      </c>
      <c r="V228" s="146">
        <v>146.5</v>
      </c>
      <c r="W228" s="146">
        <v>146.5</v>
      </c>
      <c r="X228" s="146">
        <v>146.5</v>
      </c>
      <c r="Y228" s="146">
        <v>146.5</v>
      </c>
      <c r="Z228" s="146">
        <v>146.5</v>
      </c>
      <c r="AA228" s="146">
        <v>146.5</v>
      </c>
      <c r="AB228" s="146">
        <v>146.5</v>
      </c>
      <c r="AC228" s="145">
        <v>146.5</v>
      </c>
    </row>
    <row r="229" spans="1:29" ht="36" customHeight="1" thickBot="1" x14ac:dyDescent="0.35">
      <c r="A229" s="831"/>
      <c r="B229" s="834"/>
      <c r="C229" s="837"/>
      <c r="D229" s="840"/>
      <c r="E229" s="529" t="s">
        <v>704</v>
      </c>
      <c r="F229" s="522">
        <v>146.5</v>
      </c>
      <c r="G229" s="144">
        <v>146.5</v>
      </c>
      <c r="H229" s="144">
        <v>146.5</v>
      </c>
      <c r="I229" s="144">
        <v>146.5</v>
      </c>
      <c r="J229" s="144">
        <v>146.5</v>
      </c>
      <c r="K229" s="144">
        <v>146.5</v>
      </c>
      <c r="L229" s="144">
        <v>146.5</v>
      </c>
      <c r="M229" s="144">
        <v>146.5</v>
      </c>
      <c r="N229" s="144">
        <v>146.5</v>
      </c>
      <c r="O229" s="144">
        <v>146.5</v>
      </c>
      <c r="P229" s="144">
        <v>146.5</v>
      </c>
      <c r="Q229" s="144">
        <v>146.5</v>
      </c>
      <c r="R229" s="144">
        <v>146.5</v>
      </c>
      <c r="S229" s="144">
        <v>146.5</v>
      </c>
      <c r="T229" s="144">
        <v>146.5</v>
      </c>
      <c r="U229" s="144">
        <v>146.5</v>
      </c>
      <c r="V229" s="144">
        <v>146.5</v>
      </c>
      <c r="W229" s="144">
        <v>146.5</v>
      </c>
      <c r="X229" s="144">
        <v>146.5</v>
      </c>
      <c r="Y229" s="144">
        <v>146.5</v>
      </c>
      <c r="Z229" s="144">
        <v>146.5</v>
      </c>
      <c r="AA229" s="144">
        <v>146.5</v>
      </c>
      <c r="AB229" s="144">
        <v>146.5</v>
      </c>
      <c r="AC229" s="143">
        <v>146.5</v>
      </c>
    </row>
    <row r="230" spans="1:29" ht="36" customHeight="1" x14ac:dyDescent="0.3">
      <c r="A230" s="829" t="s">
        <v>150</v>
      </c>
      <c r="B230" s="832" t="s">
        <v>85</v>
      </c>
      <c r="C230" s="864" t="s">
        <v>734</v>
      </c>
      <c r="D230" s="838" t="s">
        <v>729</v>
      </c>
      <c r="E230" s="528" t="s">
        <v>702</v>
      </c>
      <c r="F230" s="520">
        <v>117.2</v>
      </c>
      <c r="G230" s="148">
        <v>117.2</v>
      </c>
      <c r="H230" s="148">
        <v>117.2</v>
      </c>
      <c r="I230" s="148">
        <v>117.2</v>
      </c>
      <c r="J230" s="148">
        <v>117.2</v>
      </c>
      <c r="K230" s="148">
        <v>117.2</v>
      </c>
      <c r="L230" s="148">
        <v>117.2</v>
      </c>
      <c r="M230" s="148">
        <v>117.2</v>
      </c>
      <c r="N230" s="148">
        <v>117.2</v>
      </c>
      <c r="O230" s="148">
        <v>117.2</v>
      </c>
      <c r="P230" s="148">
        <v>117.2</v>
      </c>
      <c r="Q230" s="148">
        <v>117.2</v>
      </c>
      <c r="R230" s="148">
        <v>117.2</v>
      </c>
      <c r="S230" s="148">
        <v>117.2</v>
      </c>
      <c r="T230" s="148">
        <v>117.2</v>
      </c>
      <c r="U230" s="148">
        <v>117.2</v>
      </c>
      <c r="V230" s="148">
        <v>117.2</v>
      </c>
      <c r="W230" s="148">
        <v>117.2</v>
      </c>
      <c r="X230" s="148">
        <v>117.2</v>
      </c>
      <c r="Y230" s="148">
        <v>117.2</v>
      </c>
      <c r="Z230" s="148">
        <v>117.2</v>
      </c>
      <c r="AA230" s="148">
        <v>117.2</v>
      </c>
      <c r="AB230" s="148">
        <v>117.2</v>
      </c>
      <c r="AC230" s="147">
        <v>117.2</v>
      </c>
    </row>
    <row r="231" spans="1:29" ht="36" customHeight="1" x14ac:dyDescent="0.3">
      <c r="A231" s="830"/>
      <c r="B231" s="833"/>
      <c r="C231" s="836"/>
      <c r="D231" s="839"/>
      <c r="E231" s="525" t="s">
        <v>703</v>
      </c>
      <c r="F231" s="521">
        <v>117.2</v>
      </c>
      <c r="G231" s="146">
        <v>117.2</v>
      </c>
      <c r="H231" s="146">
        <v>117.2</v>
      </c>
      <c r="I231" s="146">
        <v>117.2</v>
      </c>
      <c r="J231" s="146">
        <v>117.2</v>
      </c>
      <c r="K231" s="146">
        <v>117.2</v>
      </c>
      <c r="L231" s="146">
        <v>117.2</v>
      </c>
      <c r="M231" s="146">
        <v>117.2</v>
      </c>
      <c r="N231" s="146">
        <v>117.2</v>
      </c>
      <c r="O231" s="146">
        <v>117.2</v>
      </c>
      <c r="P231" s="146">
        <v>117.2</v>
      </c>
      <c r="Q231" s="146">
        <v>117.2</v>
      </c>
      <c r="R231" s="146">
        <v>117.2</v>
      </c>
      <c r="S231" s="146">
        <v>117.2</v>
      </c>
      <c r="T231" s="146">
        <v>117.2</v>
      </c>
      <c r="U231" s="146">
        <v>117.2</v>
      </c>
      <c r="V231" s="146">
        <v>117.2</v>
      </c>
      <c r="W231" s="146">
        <v>117.2</v>
      </c>
      <c r="X231" s="146">
        <v>117.2</v>
      </c>
      <c r="Y231" s="146">
        <v>117.2</v>
      </c>
      <c r="Z231" s="146">
        <v>117.2</v>
      </c>
      <c r="AA231" s="146">
        <v>117.2</v>
      </c>
      <c r="AB231" s="146">
        <v>117.2</v>
      </c>
      <c r="AC231" s="145">
        <v>117.2</v>
      </c>
    </row>
    <row r="232" spans="1:29" ht="36" customHeight="1" thickBot="1" x14ac:dyDescent="0.35">
      <c r="A232" s="831"/>
      <c r="B232" s="834"/>
      <c r="C232" s="837"/>
      <c r="D232" s="840"/>
      <c r="E232" s="529" t="s">
        <v>704</v>
      </c>
      <c r="F232" s="522">
        <v>117.2</v>
      </c>
      <c r="G232" s="144">
        <v>117.2</v>
      </c>
      <c r="H232" s="144">
        <v>117.2</v>
      </c>
      <c r="I232" s="144">
        <v>117.2</v>
      </c>
      <c r="J232" s="144">
        <v>117.2</v>
      </c>
      <c r="K232" s="144">
        <v>117.2</v>
      </c>
      <c r="L232" s="144">
        <v>117.2</v>
      </c>
      <c r="M232" s="144">
        <v>117.2</v>
      </c>
      <c r="N232" s="144">
        <v>117.2</v>
      </c>
      <c r="O232" s="144">
        <v>117.2</v>
      </c>
      <c r="P232" s="144">
        <v>117.2</v>
      </c>
      <c r="Q232" s="144">
        <v>117.2</v>
      </c>
      <c r="R232" s="144">
        <v>117.2</v>
      </c>
      <c r="S232" s="144">
        <v>117.2</v>
      </c>
      <c r="T232" s="144">
        <v>117.2</v>
      </c>
      <c r="U232" s="144">
        <v>117.2</v>
      </c>
      <c r="V232" s="144">
        <v>117.2</v>
      </c>
      <c r="W232" s="144">
        <v>117.2</v>
      </c>
      <c r="X232" s="144">
        <v>117.2</v>
      </c>
      <c r="Y232" s="144">
        <v>117.2</v>
      </c>
      <c r="Z232" s="144">
        <v>117.2</v>
      </c>
      <c r="AA232" s="144">
        <v>117.2</v>
      </c>
      <c r="AB232" s="144">
        <v>117.2</v>
      </c>
      <c r="AC232" s="143">
        <v>117.2</v>
      </c>
    </row>
    <row r="233" spans="1:29" ht="36" customHeight="1" x14ac:dyDescent="0.3">
      <c r="A233" s="841" t="s">
        <v>735</v>
      </c>
      <c r="B233" s="844" t="s">
        <v>85</v>
      </c>
      <c r="C233" s="835" t="s">
        <v>736</v>
      </c>
      <c r="D233" s="838" t="s">
        <v>729</v>
      </c>
      <c r="E233" s="528" t="s">
        <v>702</v>
      </c>
      <c r="F233" s="520">
        <v>161.19999999999999</v>
      </c>
      <c r="G233" s="148">
        <v>161.19999999999999</v>
      </c>
      <c r="H233" s="148">
        <v>161.19999999999999</v>
      </c>
      <c r="I233" s="148">
        <v>161.19999999999999</v>
      </c>
      <c r="J233" s="148">
        <v>161.19999999999999</v>
      </c>
      <c r="K233" s="148">
        <v>161.19999999999999</v>
      </c>
      <c r="L233" s="148">
        <v>161.19999999999999</v>
      </c>
      <c r="M233" s="148">
        <v>161.19999999999999</v>
      </c>
      <c r="N233" s="148">
        <v>161.19999999999999</v>
      </c>
      <c r="O233" s="148">
        <v>161.19999999999999</v>
      </c>
      <c r="P233" s="148">
        <v>161.19999999999999</v>
      </c>
      <c r="Q233" s="148">
        <v>161.19999999999999</v>
      </c>
      <c r="R233" s="148">
        <v>161.19999999999999</v>
      </c>
      <c r="S233" s="148">
        <v>161.19999999999999</v>
      </c>
      <c r="T233" s="148">
        <v>161.19999999999999</v>
      </c>
      <c r="U233" s="148">
        <v>161.19999999999999</v>
      </c>
      <c r="V233" s="148">
        <v>161.19999999999999</v>
      </c>
      <c r="W233" s="148">
        <v>161.19999999999999</v>
      </c>
      <c r="X233" s="148">
        <v>161.19999999999999</v>
      </c>
      <c r="Y233" s="148">
        <v>161.19999999999999</v>
      </c>
      <c r="Z233" s="148">
        <v>161.19999999999999</v>
      </c>
      <c r="AA233" s="148">
        <v>161.19999999999999</v>
      </c>
      <c r="AB233" s="148">
        <v>161.19999999999999</v>
      </c>
      <c r="AC233" s="147">
        <v>161.19999999999999</v>
      </c>
    </row>
    <row r="234" spans="1:29" ht="36" customHeight="1" x14ac:dyDescent="0.3">
      <c r="A234" s="842"/>
      <c r="B234" s="845"/>
      <c r="C234" s="836"/>
      <c r="D234" s="839"/>
      <c r="E234" s="525" t="s">
        <v>703</v>
      </c>
      <c r="F234" s="521">
        <v>161.19999999999999</v>
      </c>
      <c r="G234" s="146">
        <v>161.19999999999999</v>
      </c>
      <c r="H234" s="146">
        <v>161.19999999999999</v>
      </c>
      <c r="I234" s="146">
        <v>161.19999999999999</v>
      </c>
      <c r="J234" s="146">
        <v>161.19999999999999</v>
      </c>
      <c r="K234" s="146">
        <v>161.19999999999999</v>
      </c>
      <c r="L234" s="146">
        <v>161.19999999999999</v>
      </c>
      <c r="M234" s="146">
        <v>161.19999999999999</v>
      </c>
      <c r="N234" s="146">
        <v>161.19999999999999</v>
      </c>
      <c r="O234" s="146">
        <v>161.19999999999999</v>
      </c>
      <c r="P234" s="146">
        <v>161.19999999999999</v>
      </c>
      <c r="Q234" s="146">
        <v>161.19999999999999</v>
      </c>
      <c r="R234" s="146">
        <v>161.19999999999999</v>
      </c>
      <c r="S234" s="146">
        <v>161.19999999999999</v>
      </c>
      <c r="T234" s="146">
        <v>161.19999999999999</v>
      </c>
      <c r="U234" s="146">
        <v>161.19999999999999</v>
      </c>
      <c r="V234" s="146">
        <v>161.19999999999999</v>
      </c>
      <c r="W234" s="146">
        <v>161.19999999999999</v>
      </c>
      <c r="X234" s="146">
        <v>161.19999999999999</v>
      </c>
      <c r="Y234" s="146">
        <v>161.19999999999999</v>
      </c>
      <c r="Z234" s="146">
        <v>161.19999999999999</v>
      </c>
      <c r="AA234" s="146">
        <v>161.19999999999999</v>
      </c>
      <c r="AB234" s="146">
        <v>161.19999999999999</v>
      </c>
      <c r="AC234" s="145">
        <v>161.19999999999999</v>
      </c>
    </row>
    <row r="235" spans="1:29" ht="36" customHeight="1" thickBot="1" x14ac:dyDescent="0.35">
      <c r="A235" s="843"/>
      <c r="B235" s="846"/>
      <c r="C235" s="837"/>
      <c r="D235" s="840"/>
      <c r="E235" s="529" t="s">
        <v>704</v>
      </c>
      <c r="F235" s="522">
        <v>161.19999999999999</v>
      </c>
      <c r="G235" s="144">
        <v>161.19999999999999</v>
      </c>
      <c r="H235" s="144">
        <v>161.19999999999999</v>
      </c>
      <c r="I235" s="144">
        <v>161.19999999999999</v>
      </c>
      <c r="J235" s="144">
        <v>161.19999999999999</v>
      </c>
      <c r="K235" s="144">
        <v>161.19999999999999</v>
      </c>
      <c r="L235" s="144">
        <v>161.19999999999999</v>
      </c>
      <c r="M235" s="144">
        <v>161.19999999999999</v>
      </c>
      <c r="N235" s="144">
        <v>161.19999999999999</v>
      </c>
      <c r="O235" s="144">
        <v>161.19999999999999</v>
      </c>
      <c r="P235" s="144">
        <v>161.19999999999999</v>
      </c>
      <c r="Q235" s="144">
        <v>161.19999999999999</v>
      </c>
      <c r="R235" s="144">
        <v>161.19999999999999</v>
      </c>
      <c r="S235" s="144">
        <v>161.19999999999999</v>
      </c>
      <c r="T235" s="144">
        <v>161.19999999999999</v>
      </c>
      <c r="U235" s="144">
        <v>161.19999999999999</v>
      </c>
      <c r="V235" s="144">
        <v>161.19999999999999</v>
      </c>
      <c r="W235" s="144">
        <v>161.19999999999999</v>
      </c>
      <c r="X235" s="144">
        <v>161.19999999999999</v>
      </c>
      <c r="Y235" s="144">
        <v>161.19999999999999</v>
      </c>
      <c r="Z235" s="144">
        <v>161.19999999999999</v>
      </c>
      <c r="AA235" s="144">
        <v>161.19999999999999</v>
      </c>
      <c r="AB235" s="144">
        <v>161.19999999999999</v>
      </c>
      <c r="AC235" s="143">
        <v>161.19999999999999</v>
      </c>
    </row>
    <row r="236" spans="1:29" ht="36" customHeight="1" x14ac:dyDescent="0.3">
      <c r="A236" s="841" t="s">
        <v>737</v>
      </c>
      <c r="B236" s="844" t="s">
        <v>85</v>
      </c>
      <c r="C236" s="835" t="s">
        <v>738</v>
      </c>
      <c r="D236" s="838" t="s">
        <v>729</v>
      </c>
      <c r="E236" s="528" t="s">
        <v>702</v>
      </c>
      <c r="F236" s="520">
        <v>131.9</v>
      </c>
      <c r="G236" s="148">
        <v>131.9</v>
      </c>
      <c r="H236" s="148">
        <v>131.9</v>
      </c>
      <c r="I236" s="148">
        <v>131.9</v>
      </c>
      <c r="J236" s="148">
        <v>131.9</v>
      </c>
      <c r="K236" s="148">
        <v>131.9</v>
      </c>
      <c r="L236" s="148">
        <v>131.9</v>
      </c>
      <c r="M236" s="148">
        <v>131.9</v>
      </c>
      <c r="N236" s="148">
        <v>131.9</v>
      </c>
      <c r="O236" s="148">
        <v>131.9</v>
      </c>
      <c r="P236" s="148">
        <v>131.9</v>
      </c>
      <c r="Q236" s="148">
        <v>131.9</v>
      </c>
      <c r="R236" s="148">
        <v>131.9</v>
      </c>
      <c r="S236" s="148">
        <v>131.9</v>
      </c>
      <c r="T236" s="148">
        <v>131.9</v>
      </c>
      <c r="U236" s="148">
        <v>131.9</v>
      </c>
      <c r="V236" s="148">
        <v>131.9</v>
      </c>
      <c r="W236" s="148">
        <v>131.9</v>
      </c>
      <c r="X236" s="148">
        <v>131.9</v>
      </c>
      <c r="Y236" s="148">
        <v>131.9</v>
      </c>
      <c r="Z236" s="148">
        <v>131.9</v>
      </c>
      <c r="AA236" s="148">
        <v>131.9</v>
      </c>
      <c r="AB236" s="148">
        <v>131.9</v>
      </c>
      <c r="AC236" s="147">
        <v>131.9</v>
      </c>
    </row>
    <row r="237" spans="1:29" ht="36" customHeight="1" x14ac:dyDescent="0.3">
      <c r="A237" s="842"/>
      <c r="B237" s="845"/>
      <c r="C237" s="836"/>
      <c r="D237" s="839"/>
      <c r="E237" s="525" t="s">
        <v>703</v>
      </c>
      <c r="F237" s="521">
        <v>131.9</v>
      </c>
      <c r="G237" s="146">
        <v>131.9</v>
      </c>
      <c r="H237" s="146">
        <v>131.9</v>
      </c>
      <c r="I237" s="146">
        <v>131.9</v>
      </c>
      <c r="J237" s="146">
        <v>131.9</v>
      </c>
      <c r="K237" s="146">
        <v>131.9</v>
      </c>
      <c r="L237" s="146">
        <v>131.9</v>
      </c>
      <c r="M237" s="146">
        <v>131.9</v>
      </c>
      <c r="N237" s="146">
        <v>131.9</v>
      </c>
      <c r="O237" s="146">
        <v>131.9</v>
      </c>
      <c r="P237" s="146">
        <v>131.9</v>
      </c>
      <c r="Q237" s="146">
        <v>131.9</v>
      </c>
      <c r="R237" s="146">
        <v>131.9</v>
      </c>
      <c r="S237" s="146">
        <v>131.9</v>
      </c>
      <c r="T237" s="146">
        <v>131.9</v>
      </c>
      <c r="U237" s="146">
        <v>131.9</v>
      </c>
      <c r="V237" s="146">
        <v>131.9</v>
      </c>
      <c r="W237" s="146">
        <v>131.9</v>
      </c>
      <c r="X237" s="146">
        <v>131.9</v>
      </c>
      <c r="Y237" s="146">
        <v>131.9</v>
      </c>
      <c r="Z237" s="146">
        <v>131.9</v>
      </c>
      <c r="AA237" s="146">
        <v>131.9</v>
      </c>
      <c r="AB237" s="146">
        <v>131.9</v>
      </c>
      <c r="AC237" s="145">
        <v>131.9</v>
      </c>
    </row>
    <row r="238" spans="1:29" ht="36" customHeight="1" thickBot="1" x14ac:dyDescent="0.35">
      <c r="A238" s="843"/>
      <c r="B238" s="846"/>
      <c r="C238" s="837"/>
      <c r="D238" s="840"/>
      <c r="E238" s="529" t="s">
        <v>704</v>
      </c>
      <c r="F238" s="522">
        <v>131.9</v>
      </c>
      <c r="G238" s="144">
        <v>131.9</v>
      </c>
      <c r="H238" s="144">
        <v>131.9</v>
      </c>
      <c r="I238" s="144">
        <v>131.9</v>
      </c>
      <c r="J238" s="144">
        <v>131.9</v>
      </c>
      <c r="K238" s="144">
        <v>131.9</v>
      </c>
      <c r="L238" s="144">
        <v>131.9</v>
      </c>
      <c r="M238" s="144">
        <v>131.9</v>
      </c>
      <c r="N238" s="144">
        <v>131.9</v>
      </c>
      <c r="O238" s="144">
        <v>131.9</v>
      </c>
      <c r="P238" s="144">
        <v>131.9</v>
      </c>
      <c r="Q238" s="144">
        <v>131.9</v>
      </c>
      <c r="R238" s="144">
        <v>131.9</v>
      </c>
      <c r="S238" s="144">
        <v>131.9</v>
      </c>
      <c r="T238" s="144">
        <v>131.9</v>
      </c>
      <c r="U238" s="144">
        <v>131.9</v>
      </c>
      <c r="V238" s="144">
        <v>131.9</v>
      </c>
      <c r="W238" s="144">
        <v>131.9</v>
      </c>
      <c r="X238" s="144">
        <v>131.9</v>
      </c>
      <c r="Y238" s="144">
        <v>131.9</v>
      </c>
      <c r="Z238" s="144">
        <v>131.9</v>
      </c>
      <c r="AA238" s="144">
        <v>131.9</v>
      </c>
      <c r="AB238" s="144">
        <v>131.9</v>
      </c>
      <c r="AC238" s="143">
        <v>131.9</v>
      </c>
    </row>
    <row r="239" spans="1:29" ht="36" customHeight="1" x14ac:dyDescent="0.3">
      <c r="A239" s="829" t="s">
        <v>739</v>
      </c>
      <c r="B239" s="832" t="s">
        <v>85</v>
      </c>
      <c r="C239" s="835" t="s">
        <v>740</v>
      </c>
      <c r="D239" s="838" t="s">
        <v>729</v>
      </c>
      <c r="E239" s="528" t="s">
        <v>702</v>
      </c>
      <c r="F239" s="520">
        <v>219.8</v>
      </c>
      <c r="G239" s="148">
        <v>219.8</v>
      </c>
      <c r="H239" s="148">
        <v>219.8</v>
      </c>
      <c r="I239" s="148">
        <v>219.8</v>
      </c>
      <c r="J239" s="148">
        <v>219.8</v>
      </c>
      <c r="K239" s="148">
        <v>219.8</v>
      </c>
      <c r="L239" s="148">
        <v>219.8</v>
      </c>
      <c r="M239" s="148">
        <v>219.8</v>
      </c>
      <c r="N239" s="148">
        <v>219.8</v>
      </c>
      <c r="O239" s="148">
        <v>219.8</v>
      </c>
      <c r="P239" s="148">
        <v>219.8</v>
      </c>
      <c r="Q239" s="148">
        <v>219.8</v>
      </c>
      <c r="R239" s="148">
        <v>219.8</v>
      </c>
      <c r="S239" s="148">
        <v>219.8</v>
      </c>
      <c r="T239" s="148">
        <v>219.8</v>
      </c>
      <c r="U239" s="148">
        <v>219.8</v>
      </c>
      <c r="V239" s="148">
        <v>219.8</v>
      </c>
      <c r="W239" s="148">
        <v>219.8</v>
      </c>
      <c r="X239" s="148">
        <v>219.8</v>
      </c>
      <c r="Y239" s="148">
        <v>219.8</v>
      </c>
      <c r="Z239" s="148">
        <v>219.8</v>
      </c>
      <c r="AA239" s="148">
        <v>219.8</v>
      </c>
      <c r="AB239" s="148">
        <v>219.8</v>
      </c>
      <c r="AC239" s="147">
        <v>219.8</v>
      </c>
    </row>
    <row r="240" spans="1:29" ht="36" customHeight="1" x14ac:dyDescent="0.3">
      <c r="A240" s="830"/>
      <c r="B240" s="833"/>
      <c r="C240" s="836"/>
      <c r="D240" s="839"/>
      <c r="E240" s="525" t="s">
        <v>703</v>
      </c>
      <c r="F240" s="521">
        <v>219.8</v>
      </c>
      <c r="G240" s="146">
        <v>219.8</v>
      </c>
      <c r="H240" s="146">
        <v>219.8</v>
      </c>
      <c r="I240" s="146">
        <v>219.8</v>
      </c>
      <c r="J240" s="146">
        <v>219.8</v>
      </c>
      <c r="K240" s="146">
        <v>219.8</v>
      </c>
      <c r="L240" s="146">
        <v>219.8</v>
      </c>
      <c r="M240" s="146">
        <v>219.8</v>
      </c>
      <c r="N240" s="146">
        <v>219.8</v>
      </c>
      <c r="O240" s="146">
        <v>219.8</v>
      </c>
      <c r="P240" s="146">
        <v>219.8</v>
      </c>
      <c r="Q240" s="146">
        <v>219.8</v>
      </c>
      <c r="R240" s="146">
        <v>219.8</v>
      </c>
      <c r="S240" s="146">
        <v>219.8</v>
      </c>
      <c r="T240" s="146">
        <v>219.8</v>
      </c>
      <c r="U240" s="146">
        <v>219.8</v>
      </c>
      <c r="V240" s="146">
        <v>219.8</v>
      </c>
      <c r="W240" s="146">
        <v>219.8</v>
      </c>
      <c r="X240" s="146">
        <v>219.8</v>
      </c>
      <c r="Y240" s="146">
        <v>219.8</v>
      </c>
      <c r="Z240" s="146">
        <v>219.8</v>
      </c>
      <c r="AA240" s="146">
        <v>219.8</v>
      </c>
      <c r="AB240" s="146">
        <v>219.8</v>
      </c>
      <c r="AC240" s="145">
        <v>219.8</v>
      </c>
    </row>
    <row r="241" spans="1:29" ht="36" customHeight="1" thickBot="1" x14ac:dyDescent="0.35">
      <c r="A241" s="831"/>
      <c r="B241" s="834"/>
      <c r="C241" s="837"/>
      <c r="D241" s="840"/>
      <c r="E241" s="530" t="s">
        <v>704</v>
      </c>
      <c r="F241" s="522">
        <v>219.8</v>
      </c>
      <c r="G241" s="144">
        <v>219.8</v>
      </c>
      <c r="H241" s="144">
        <v>219.8</v>
      </c>
      <c r="I241" s="144">
        <v>219.8</v>
      </c>
      <c r="J241" s="144">
        <v>219.8</v>
      </c>
      <c r="K241" s="144">
        <v>219.8</v>
      </c>
      <c r="L241" s="144">
        <v>219.8</v>
      </c>
      <c r="M241" s="144">
        <v>219.8</v>
      </c>
      <c r="N241" s="144">
        <v>219.8</v>
      </c>
      <c r="O241" s="144">
        <v>219.8</v>
      </c>
      <c r="P241" s="144">
        <v>219.8</v>
      </c>
      <c r="Q241" s="144">
        <v>219.8</v>
      </c>
      <c r="R241" s="144">
        <v>219.8</v>
      </c>
      <c r="S241" s="144">
        <v>219.8</v>
      </c>
      <c r="T241" s="144">
        <v>219.8</v>
      </c>
      <c r="U241" s="144">
        <v>219.8</v>
      </c>
      <c r="V241" s="144">
        <v>219.8</v>
      </c>
      <c r="W241" s="144">
        <v>219.8</v>
      </c>
      <c r="X241" s="144">
        <v>219.8</v>
      </c>
      <c r="Y241" s="144">
        <v>219.8</v>
      </c>
      <c r="Z241" s="144">
        <v>219.8</v>
      </c>
      <c r="AA241" s="144">
        <v>219.8</v>
      </c>
      <c r="AB241" s="144">
        <v>219.8</v>
      </c>
      <c r="AC241" s="143">
        <v>219.8</v>
      </c>
    </row>
    <row r="242" spans="1:29" ht="37.5" customHeight="1" thickBot="1" x14ac:dyDescent="0.35">
      <c r="A242" s="887" t="s">
        <v>741</v>
      </c>
      <c r="B242" s="887"/>
      <c r="C242" s="887" t="s">
        <v>16</v>
      </c>
      <c r="D242" s="887"/>
      <c r="E242" s="887"/>
      <c r="F242" s="887"/>
      <c r="G242" s="887"/>
      <c r="H242" s="887"/>
      <c r="I242" s="887"/>
      <c r="J242" s="887"/>
      <c r="K242" s="887"/>
      <c r="L242" s="887"/>
      <c r="M242" s="887"/>
      <c r="N242" s="887"/>
      <c r="O242" s="887"/>
      <c r="P242" s="887"/>
      <c r="Q242" s="887"/>
      <c r="R242" s="887"/>
      <c r="S242" s="887"/>
      <c r="T242" s="887"/>
      <c r="U242" s="887"/>
      <c r="V242" s="887"/>
      <c r="W242" s="887"/>
      <c r="X242" s="887"/>
      <c r="Y242" s="887"/>
      <c r="Z242" s="887"/>
      <c r="AA242" s="887"/>
      <c r="AB242" s="887"/>
      <c r="AC242" s="888"/>
    </row>
    <row r="243" spans="1:29" ht="30" customHeight="1" x14ac:dyDescent="0.3">
      <c r="A243" s="769" t="s">
        <v>742</v>
      </c>
      <c r="B243" s="763" t="s">
        <v>321</v>
      </c>
      <c r="C243" s="763" t="s">
        <v>697</v>
      </c>
      <c r="D243" s="766" t="s">
        <v>743</v>
      </c>
      <c r="E243" s="456" t="s">
        <v>702</v>
      </c>
      <c r="F243" s="571">
        <v>1</v>
      </c>
      <c r="G243" s="571">
        <v>1</v>
      </c>
      <c r="H243" s="571">
        <v>1</v>
      </c>
      <c r="I243" s="571">
        <v>1</v>
      </c>
      <c r="J243" s="571">
        <v>1</v>
      </c>
      <c r="K243" s="571">
        <v>1</v>
      </c>
      <c r="L243" s="571">
        <v>1</v>
      </c>
      <c r="M243" s="571">
        <v>1</v>
      </c>
      <c r="N243" s="571">
        <v>1</v>
      </c>
      <c r="O243" s="571">
        <v>1</v>
      </c>
      <c r="P243" s="571">
        <v>1</v>
      </c>
      <c r="Q243" s="571">
        <v>1</v>
      </c>
      <c r="R243" s="571">
        <v>1</v>
      </c>
      <c r="S243" s="571">
        <v>1</v>
      </c>
      <c r="T243" s="571">
        <v>1</v>
      </c>
      <c r="U243" s="571">
        <v>1</v>
      </c>
      <c r="V243" s="571">
        <v>1</v>
      </c>
      <c r="W243" s="571">
        <v>1</v>
      </c>
      <c r="X243" s="571">
        <v>1</v>
      </c>
      <c r="Y243" s="571">
        <v>1</v>
      </c>
      <c r="Z243" s="571">
        <v>1</v>
      </c>
      <c r="AA243" s="571">
        <v>1</v>
      </c>
      <c r="AB243" s="571">
        <v>1</v>
      </c>
      <c r="AC243" s="572">
        <v>1</v>
      </c>
    </row>
    <row r="244" spans="1:29" ht="30" customHeight="1" x14ac:dyDescent="0.3">
      <c r="A244" s="770"/>
      <c r="B244" s="764"/>
      <c r="C244" s="764"/>
      <c r="D244" s="767"/>
      <c r="E244" s="457" t="s">
        <v>703</v>
      </c>
      <c r="F244" s="569">
        <v>1</v>
      </c>
      <c r="G244" s="569">
        <v>1</v>
      </c>
      <c r="H244" s="569">
        <v>1</v>
      </c>
      <c r="I244" s="569">
        <v>1</v>
      </c>
      <c r="J244" s="569">
        <v>1</v>
      </c>
      <c r="K244" s="569">
        <v>1</v>
      </c>
      <c r="L244" s="569">
        <v>1</v>
      </c>
      <c r="M244" s="569">
        <v>1</v>
      </c>
      <c r="N244" s="569">
        <v>1</v>
      </c>
      <c r="O244" s="569">
        <v>1</v>
      </c>
      <c r="P244" s="569">
        <v>1</v>
      </c>
      <c r="Q244" s="569">
        <v>1</v>
      </c>
      <c r="R244" s="569">
        <v>1</v>
      </c>
      <c r="S244" s="569">
        <v>1</v>
      </c>
      <c r="T244" s="569">
        <v>1</v>
      </c>
      <c r="U244" s="569">
        <v>1</v>
      </c>
      <c r="V244" s="569">
        <v>1</v>
      </c>
      <c r="W244" s="569">
        <v>1</v>
      </c>
      <c r="X244" s="569">
        <v>1</v>
      </c>
      <c r="Y244" s="569">
        <v>1</v>
      </c>
      <c r="Z244" s="569">
        <v>1</v>
      </c>
      <c r="AA244" s="569">
        <v>1</v>
      </c>
      <c r="AB244" s="569">
        <v>1</v>
      </c>
      <c r="AC244" s="573">
        <v>1</v>
      </c>
    </row>
    <row r="245" spans="1:29" ht="30" customHeight="1" thickBot="1" x14ac:dyDescent="0.35">
      <c r="A245" s="771"/>
      <c r="B245" s="765"/>
      <c r="C245" s="765"/>
      <c r="D245" s="768"/>
      <c r="E245" s="459" t="s">
        <v>704</v>
      </c>
      <c r="F245" s="570">
        <v>1</v>
      </c>
      <c r="G245" s="570">
        <v>1</v>
      </c>
      <c r="H245" s="570">
        <v>1</v>
      </c>
      <c r="I245" s="570">
        <v>1</v>
      </c>
      <c r="J245" s="570">
        <v>1</v>
      </c>
      <c r="K245" s="570">
        <v>1</v>
      </c>
      <c r="L245" s="570">
        <v>1</v>
      </c>
      <c r="M245" s="570">
        <v>1</v>
      </c>
      <c r="N245" s="570">
        <v>1</v>
      </c>
      <c r="O245" s="570">
        <v>1</v>
      </c>
      <c r="P245" s="570">
        <v>1</v>
      </c>
      <c r="Q245" s="570">
        <v>1</v>
      </c>
      <c r="R245" s="570">
        <v>1</v>
      </c>
      <c r="S245" s="570">
        <v>1</v>
      </c>
      <c r="T245" s="570">
        <v>1</v>
      </c>
      <c r="U245" s="570">
        <v>1</v>
      </c>
      <c r="V245" s="570">
        <v>1</v>
      </c>
      <c r="W245" s="570">
        <v>1</v>
      </c>
      <c r="X245" s="570">
        <v>1</v>
      </c>
      <c r="Y245" s="570">
        <v>1</v>
      </c>
      <c r="Z245" s="570">
        <v>1</v>
      </c>
      <c r="AA245" s="570">
        <v>1</v>
      </c>
      <c r="AB245" s="570">
        <v>1</v>
      </c>
      <c r="AC245" s="576">
        <v>1</v>
      </c>
    </row>
    <row r="246" spans="1:29" ht="30" customHeight="1" x14ac:dyDescent="0.3">
      <c r="A246" s="769" t="s">
        <v>742</v>
      </c>
      <c r="B246" s="763" t="s">
        <v>321</v>
      </c>
      <c r="C246" s="763" t="s">
        <v>698</v>
      </c>
      <c r="D246" s="766" t="s">
        <v>743</v>
      </c>
      <c r="E246" s="456" t="s">
        <v>702</v>
      </c>
      <c r="F246" s="571">
        <f>Thermostat!$B$19</f>
        <v>35</v>
      </c>
      <c r="G246" s="571">
        <f>Thermostat!$B$19</f>
        <v>35</v>
      </c>
      <c r="H246" s="571">
        <f>Thermostat!$B$19</f>
        <v>35</v>
      </c>
      <c r="I246" s="571">
        <f>Thermostat!$B$19</f>
        <v>35</v>
      </c>
      <c r="J246" s="571">
        <f>Thermostat!$B$19</f>
        <v>35</v>
      </c>
      <c r="K246" s="571">
        <f>Thermostat!$B$19</f>
        <v>35</v>
      </c>
      <c r="L246" s="571">
        <f>Thermostat!$B$19</f>
        <v>35</v>
      </c>
      <c r="M246" s="571">
        <f>Thermostat!$B$19</f>
        <v>35</v>
      </c>
      <c r="N246" s="571">
        <f>Thermostat!$B$19</f>
        <v>35</v>
      </c>
      <c r="O246" s="571">
        <f>Thermostat!$B$19</f>
        <v>35</v>
      </c>
      <c r="P246" s="571">
        <f>Thermostat!$B$19</f>
        <v>35</v>
      </c>
      <c r="Q246" s="571">
        <f>Thermostat!$B$19</f>
        <v>35</v>
      </c>
      <c r="R246" s="571">
        <f>Thermostat!$B$19</f>
        <v>35</v>
      </c>
      <c r="S246" s="571">
        <f>Thermostat!$B$19</f>
        <v>35</v>
      </c>
      <c r="T246" s="571">
        <f>Thermostat!$B$19</f>
        <v>35</v>
      </c>
      <c r="U246" s="571">
        <f>Thermostat!$B$19</f>
        <v>35</v>
      </c>
      <c r="V246" s="571">
        <f>Thermostat!$B$19</f>
        <v>35</v>
      </c>
      <c r="W246" s="571">
        <f>Thermostat!$B$19</f>
        <v>35</v>
      </c>
      <c r="X246" s="571">
        <f>Thermostat!$B$19</f>
        <v>35</v>
      </c>
      <c r="Y246" s="571">
        <f>Thermostat!$B$19</f>
        <v>35</v>
      </c>
      <c r="Z246" s="571">
        <f>Thermostat!$B$19</f>
        <v>35</v>
      </c>
      <c r="AA246" s="571">
        <f>Thermostat!$B$19</f>
        <v>35</v>
      </c>
      <c r="AB246" s="571">
        <f>Thermostat!$B$19</f>
        <v>35</v>
      </c>
      <c r="AC246" s="572">
        <f>Thermostat!$B$19</f>
        <v>35</v>
      </c>
    </row>
    <row r="247" spans="1:29" ht="30" customHeight="1" x14ac:dyDescent="0.3">
      <c r="A247" s="770"/>
      <c r="B247" s="764"/>
      <c r="C247" s="764"/>
      <c r="D247" s="767"/>
      <c r="E247" s="457" t="s">
        <v>703</v>
      </c>
      <c r="F247" s="569">
        <f>Thermostat!$B$19</f>
        <v>35</v>
      </c>
      <c r="G247" s="569">
        <f>Thermostat!$B$19</f>
        <v>35</v>
      </c>
      <c r="H247" s="569">
        <f>Thermostat!$B$19</f>
        <v>35</v>
      </c>
      <c r="I247" s="569">
        <f>Thermostat!$B$19</f>
        <v>35</v>
      </c>
      <c r="J247" s="569">
        <f>Thermostat!$B$19</f>
        <v>35</v>
      </c>
      <c r="K247" s="569">
        <f>Thermostat!$B$19</f>
        <v>35</v>
      </c>
      <c r="L247" s="569">
        <f>Thermostat!$B$19</f>
        <v>35</v>
      </c>
      <c r="M247" s="569">
        <f>Thermostat!$B$19</f>
        <v>35</v>
      </c>
      <c r="N247" s="569">
        <f>Thermostat!$B$19</f>
        <v>35</v>
      </c>
      <c r="O247" s="569">
        <f>Thermostat!$B$19</f>
        <v>35</v>
      </c>
      <c r="P247" s="569">
        <f>Thermostat!$B$19</f>
        <v>35</v>
      </c>
      <c r="Q247" s="569">
        <f>Thermostat!$B$19</f>
        <v>35</v>
      </c>
      <c r="R247" s="569">
        <f>Thermostat!$B$19</f>
        <v>35</v>
      </c>
      <c r="S247" s="569">
        <f>Thermostat!$B$19</f>
        <v>35</v>
      </c>
      <c r="T247" s="569">
        <f>Thermostat!$B$19</f>
        <v>35</v>
      </c>
      <c r="U247" s="569">
        <f>Thermostat!$B$19</f>
        <v>35</v>
      </c>
      <c r="V247" s="569">
        <f>Thermostat!$B$19</f>
        <v>35</v>
      </c>
      <c r="W247" s="569">
        <f>Thermostat!$B$19</f>
        <v>35</v>
      </c>
      <c r="X247" s="569">
        <f>Thermostat!$B$19</f>
        <v>35</v>
      </c>
      <c r="Y247" s="569">
        <f>Thermostat!$B$19</f>
        <v>35</v>
      </c>
      <c r="Z247" s="569">
        <f>Thermostat!$B$19</f>
        <v>35</v>
      </c>
      <c r="AA247" s="569">
        <f>Thermostat!$B$19</f>
        <v>35</v>
      </c>
      <c r="AB247" s="569">
        <f>Thermostat!$B$19</f>
        <v>35</v>
      </c>
      <c r="AC247" s="573">
        <f>Thermostat!$B$19</f>
        <v>35</v>
      </c>
    </row>
    <row r="248" spans="1:29" ht="30" customHeight="1" thickBot="1" x14ac:dyDescent="0.35">
      <c r="A248" s="771"/>
      <c r="B248" s="765"/>
      <c r="C248" s="765"/>
      <c r="D248" s="768"/>
      <c r="E248" s="577" t="s">
        <v>704</v>
      </c>
      <c r="F248" s="570">
        <f>Thermostat!$B$19</f>
        <v>35</v>
      </c>
      <c r="G248" s="570">
        <f>Thermostat!$B$19</f>
        <v>35</v>
      </c>
      <c r="H248" s="570">
        <f>Thermostat!$B$19</f>
        <v>35</v>
      </c>
      <c r="I248" s="570">
        <f>Thermostat!$B$19</f>
        <v>35</v>
      </c>
      <c r="J248" s="570">
        <f>Thermostat!$B$19</f>
        <v>35</v>
      </c>
      <c r="K248" s="570">
        <f>Thermostat!$B$19</f>
        <v>35</v>
      </c>
      <c r="L248" s="570">
        <f>Thermostat!$B$19</f>
        <v>35</v>
      </c>
      <c r="M248" s="570">
        <f>Thermostat!$B$19</f>
        <v>35</v>
      </c>
      <c r="N248" s="570">
        <f>Thermostat!$B$19</f>
        <v>35</v>
      </c>
      <c r="O248" s="570">
        <f>Thermostat!$B$19</f>
        <v>35</v>
      </c>
      <c r="P248" s="570">
        <f>Thermostat!$B$19</f>
        <v>35</v>
      </c>
      <c r="Q248" s="570">
        <f>Thermostat!$B$19</f>
        <v>35</v>
      </c>
      <c r="R248" s="570">
        <f>Thermostat!$B$19</f>
        <v>35</v>
      </c>
      <c r="S248" s="570">
        <f>Thermostat!$B$19</f>
        <v>35</v>
      </c>
      <c r="T248" s="570">
        <f>Thermostat!$B$19</f>
        <v>35</v>
      </c>
      <c r="U248" s="570">
        <f>Thermostat!$B$19</f>
        <v>35</v>
      </c>
      <c r="V248" s="570">
        <f>Thermostat!$B$19</f>
        <v>35</v>
      </c>
      <c r="W248" s="570">
        <f>Thermostat!$B$19</f>
        <v>35</v>
      </c>
      <c r="X248" s="570">
        <f>Thermostat!$B$19</f>
        <v>35</v>
      </c>
      <c r="Y248" s="570">
        <f>Thermostat!$B$19</f>
        <v>35</v>
      </c>
      <c r="Z248" s="570">
        <f>Thermostat!$B$19</f>
        <v>35</v>
      </c>
      <c r="AA248" s="570">
        <f>Thermostat!$B$19</f>
        <v>35</v>
      </c>
      <c r="AB248" s="570">
        <f>Thermostat!$B$19</f>
        <v>35</v>
      </c>
      <c r="AC248" s="576">
        <f>Thermostat!$B$19</f>
        <v>35</v>
      </c>
    </row>
    <row r="249" spans="1:29" ht="30" customHeight="1" x14ac:dyDescent="0.3">
      <c r="A249" s="769" t="s">
        <v>742</v>
      </c>
      <c r="B249" s="763" t="s">
        <v>321</v>
      </c>
      <c r="C249" s="763" t="s">
        <v>699</v>
      </c>
      <c r="D249" s="766" t="s">
        <v>743</v>
      </c>
      <c r="E249" s="456" t="s">
        <v>702</v>
      </c>
      <c r="F249" s="571">
        <f>Thermostat!$B$20</f>
        <v>35</v>
      </c>
      <c r="G249" s="571">
        <f>Thermostat!$B$20</f>
        <v>35</v>
      </c>
      <c r="H249" s="571">
        <f>Thermostat!$B$20</f>
        <v>35</v>
      </c>
      <c r="I249" s="571">
        <f>Thermostat!$B$20</f>
        <v>35</v>
      </c>
      <c r="J249" s="571">
        <f>Thermostat!$B$20</f>
        <v>35</v>
      </c>
      <c r="K249" s="571">
        <f>Thermostat!$B$20</f>
        <v>35</v>
      </c>
      <c r="L249" s="571">
        <f>Thermostat!$B$20</f>
        <v>35</v>
      </c>
      <c r="M249" s="571">
        <f>Thermostat!$B$20</f>
        <v>35</v>
      </c>
      <c r="N249" s="571">
        <f>Thermostat!$B$20</f>
        <v>35</v>
      </c>
      <c r="O249" s="571">
        <f>Thermostat!$B$20</f>
        <v>35</v>
      </c>
      <c r="P249" s="571">
        <f>Thermostat!$B$20</f>
        <v>35</v>
      </c>
      <c r="Q249" s="571">
        <f>Thermostat!$B$20</f>
        <v>35</v>
      </c>
      <c r="R249" s="571">
        <f>Thermostat!$B$20</f>
        <v>35</v>
      </c>
      <c r="S249" s="571">
        <f>Thermostat!$B$20</f>
        <v>35</v>
      </c>
      <c r="T249" s="571">
        <f>Thermostat!$B$20</f>
        <v>35</v>
      </c>
      <c r="U249" s="571">
        <f>Thermostat!$B$20</f>
        <v>35</v>
      </c>
      <c r="V249" s="571">
        <f>Thermostat!$B$20</f>
        <v>35</v>
      </c>
      <c r="W249" s="571">
        <f>Thermostat!$B$20</f>
        <v>35</v>
      </c>
      <c r="X249" s="571">
        <f>Thermostat!$B$20</f>
        <v>35</v>
      </c>
      <c r="Y249" s="571">
        <f>Thermostat!$B$20</f>
        <v>35</v>
      </c>
      <c r="Z249" s="571">
        <f>Thermostat!$B$20</f>
        <v>35</v>
      </c>
      <c r="AA249" s="571">
        <f>Thermostat!$B$20</f>
        <v>35</v>
      </c>
      <c r="AB249" s="571">
        <f>Thermostat!$B$20</f>
        <v>35</v>
      </c>
      <c r="AC249" s="572">
        <f>Thermostat!$B$20</f>
        <v>35</v>
      </c>
    </row>
    <row r="250" spans="1:29" ht="30" customHeight="1" x14ac:dyDescent="0.3">
      <c r="A250" s="770"/>
      <c r="B250" s="764"/>
      <c r="C250" s="764"/>
      <c r="D250" s="767"/>
      <c r="E250" s="457" t="s">
        <v>703</v>
      </c>
      <c r="F250" s="569">
        <f>Thermostat!$B$20</f>
        <v>35</v>
      </c>
      <c r="G250" s="569">
        <f>Thermostat!$B$20</f>
        <v>35</v>
      </c>
      <c r="H250" s="569">
        <f>Thermostat!$B$20</f>
        <v>35</v>
      </c>
      <c r="I250" s="569">
        <f>Thermostat!$B$20</f>
        <v>35</v>
      </c>
      <c r="J250" s="569">
        <f>Thermostat!$B$20</f>
        <v>35</v>
      </c>
      <c r="K250" s="569">
        <f>Thermostat!$B$20</f>
        <v>35</v>
      </c>
      <c r="L250" s="569">
        <f>Thermostat!$B$20</f>
        <v>35</v>
      </c>
      <c r="M250" s="569">
        <f>Thermostat!$B$20</f>
        <v>35</v>
      </c>
      <c r="N250" s="569">
        <f>Thermostat!$B$20</f>
        <v>35</v>
      </c>
      <c r="O250" s="569">
        <f>Thermostat!$B$20</f>
        <v>35</v>
      </c>
      <c r="P250" s="569">
        <f>Thermostat!$B$20</f>
        <v>35</v>
      </c>
      <c r="Q250" s="569">
        <f>Thermostat!$B$20</f>
        <v>35</v>
      </c>
      <c r="R250" s="569">
        <f>Thermostat!$B$20</f>
        <v>35</v>
      </c>
      <c r="S250" s="569">
        <f>Thermostat!$B$20</f>
        <v>35</v>
      </c>
      <c r="T250" s="569">
        <f>Thermostat!$B$20</f>
        <v>35</v>
      </c>
      <c r="U250" s="569">
        <f>Thermostat!$B$20</f>
        <v>35</v>
      </c>
      <c r="V250" s="569">
        <f>Thermostat!$B$20</f>
        <v>35</v>
      </c>
      <c r="W250" s="569">
        <f>Thermostat!$B$20</f>
        <v>35</v>
      </c>
      <c r="X250" s="569">
        <f>Thermostat!$B$20</f>
        <v>35</v>
      </c>
      <c r="Y250" s="569">
        <f>Thermostat!$B$20</f>
        <v>35</v>
      </c>
      <c r="Z250" s="569">
        <f>Thermostat!$B$20</f>
        <v>35</v>
      </c>
      <c r="AA250" s="569">
        <f>Thermostat!$B$20</f>
        <v>35</v>
      </c>
      <c r="AB250" s="569">
        <f>Thermostat!$B$20</f>
        <v>35</v>
      </c>
      <c r="AC250" s="573">
        <f>Thermostat!$B$20</f>
        <v>35</v>
      </c>
    </row>
    <row r="251" spans="1:29" ht="30" customHeight="1" thickBot="1" x14ac:dyDescent="0.35">
      <c r="A251" s="771"/>
      <c r="B251" s="765"/>
      <c r="C251" s="765"/>
      <c r="D251" s="768"/>
      <c r="E251" s="459" t="s">
        <v>704</v>
      </c>
      <c r="F251" s="570">
        <f>Thermostat!$B$20</f>
        <v>35</v>
      </c>
      <c r="G251" s="570">
        <f>Thermostat!$B$20</f>
        <v>35</v>
      </c>
      <c r="H251" s="570">
        <f>Thermostat!$B$20</f>
        <v>35</v>
      </c>
      <c r="I251" s="570">
        <f>Thermostat!$B$20</f>
        <v>35</v>
      </c>
      <c r="J251" s="570">
        <f>Thermostat!$B$20</f>
        <v>35</v>
      </c>
      <c r="K251" s="570">
        <f>Thermostat!$B$20</f>
        <v>35</v>
      </c>
      <c r="L251" s="570">
        <f>Thermostat!$B$20</f>
        <v>35</v>
      </c>
      <c r="M251" s="570">
        <f>Thermostat!$B$20</f>
        <v>35</v>
      </c>
      <c r="N251" s="570">
        <f>Thermostat!$B$20</f>
        <v>35</v>
      </c>
      <c r="O251" s="570">
        <f>Thermostat!$B$20</f>
        <v>35</v>
      </c>
      <c r="P251" s="570">
        <f>Thermostat!$B$20</f>
        <v>35</v>
      </c>
      <c r="Q251" s="570">
        <f>Thermostat!$B$20</f>
        <v>35</v>
      </c>
      <c r="R251" s="570">
        <f>Thermostat!$B$20</f>
        <v>35</v>
      </c>
      <c r="S251" s="570">
        <f>Thermostat!$B$20</f>
        <v>35</v>
      </c>
      <c r="T251" s="570">
        <f>Thermostat!$B$20</f>
        <v>35</v>
      </c>
      <c r="U251" s="570">
        <f>Thermostat!$B$20</f>
        <v>35</v>
      </c>
      <c r="V251" s="570">
        <f>Thermostat!$B$20</f>
        <v>35</v>
      </c>
      <c r="W251" s="570">
        <f>Thermostat!$B$20</f>
        <v>35</v>
      </c>
      <c r="X251" s="570">
        <f>Thermostat!$B$20</f>
        <v>35</v>
      </c>
      <c r="Y251" s="570">
        <f>Thermostat!$B$20</f>
        <v>35</v>
      </c>
      <c r="Z251" s="570">
        <f>Thermostat!$B$20</f>
        <v>35</v>
      </c>
      <c r="AA251" s="570">
        <f>Thermostat!$B$20</f>
        <v>35</v>
      </c>
      <c r="AB251" s="570">
        <f>Thermostat!$B$20</f>
        <v>35</v>
      </c>
      <c r="AC251" s="576">
        <f>Thermostat!$B$20</f>
        <v>35</v>
      </c>
    </row>
    <row r="252" spans="1:29" ht="30" customHeight="1" x14ac:dyDescent="0.3">
      <c r="A252" s="769" t="s">
        <v>742</v>
      </c>
      <c r="B252" s="763" t="s">
        <v>321</v>
      </c>
      <c r="C252" s="763" t="s">
        <v>691</v>
      </c>
      <c r="D252" s="766" t="s">
        <v>744</v>
      </c>
      <c r="E252" s="456" t="s">
        <v>687</v>
      </c>
      <c r="F252" s="571">
        <f t="shared" ref="F252:AC252" si="0">F8</f>
        <v>0</v>
      </c>
      <c r="G252" s="571">
        <f t="shared" si="0"/>
        <v>0</v>
      </c>
      <c r="H252" s="571">
        <f t="shared" si="0"/>
        <v>0</v>
      </c>
      <c r="I252" s="571">
        <f t="shared" si="0"/>
        <v>0</v>
      </c>
      <c r="J252" s="571">
        <f t="shared" si="0"/>
        <v>0</v>
      </c>
      <c r="K252" s="571">
        <f t="shared" si="0"/>
        <v>0</v>
      </c>
      <c r="L252" s="571">
        <f t="shared" si="0"/>
        <v>0</v>
      </c>
      <c r="M252" s="571">
        <f t="shared" si="0"/>
        <v>0</v>
      </c>
      <c r="N252" s="571">
        <f t="shared" si="0"/>
        <v>0</v>
      </c>
      <c r="O252" s="571">
        <f t="shared" si="0"/>
        <v>0</v>
      </c>
      <c r="P252" s="571">
        <f t="shared" si="0"/>
        <v>0</v>
      </c>
      <c r="Q252" s="571">
        <f t="shared" si="0"/>
        <v>0</v>
      </c>
      <c r="R252" s="571">
        <f t="shared" si="0"/>
        <v>0</v>
      </c>
      <c r="S252" s="571">
        <f t="shared" si="0"/>
        <v>0</v>
      </c>
      <c r="T252" s="571">
        <f t="shared" si="0"/>
        <v>0</v>
      </c>
      <c r="U252" s="571">
        <f t="shared" si="0"/>
        <v>0</v>
      </c>
      <c r="V252" s="571">
        <f t="shared" si="0"/>
        <v>0</v>
      </c>
      <c r="W252" s="571">
        <f t="shared" si="0"/>
        <v>0</v>
      </c>
      <c r="X252" s="571">
        <f t="shared" si="0"/>
        <v>0</v>
      </c>
      <c r="Y252" s="571">
        <f t="shared" si="0"/>
        <v>0</v>
      </c>
      <c r="Z252" s="571">
        <f t="shared" si="0"/>
        <v>0</v>
      </c>
      <c r="AA252" s="571">
        <f t="shared" si="0"/>
        <v>0</v>
      </c>
      <c r="AB252" s="571">
        <f t="shared" si="0"/>
        <v>0</v>
      </c>
      <c r="AC252" s="572">
        <f t="shared" si="0"/>
        <v>0</v>
      </c>
    </row>
    <row r="253" spans="1:29" ht="30" customHeight="1" x14ac:dyDescent="0.3">
      <c r="A253" s="770"/>
      <c r="B253" s="764"/>
      <c r="C253" s="764"/>
      <c r="D253" s="767"/>
      <c r="E253" s="457" t="s">
        <v>688</v>
      </c>
      <c r="F253" s="569">
        <f t="shared" ref="F253:AC253" si="1">F9</f>
        <v>0</v>
      </c>
      <c r="G253" s="569">
        <f t="shared" si="1"/>
        <v>0</v>
      </c>
      <c r="H253" s="569">
        <f t="shared" si="1"/>
        <v>0</v>
      </c>
      <c r="I253" s="569">
        <f t="shared" si="1"/>
        <v>0</v>
      </c>
      <c r="J253" s="569">
        <f t="shared" si="1"/>
        <v>0</v>
      </c>
      <c r="K253" s="569">
        <f t="shared" si="1"/>
        <v>0</v>
      </c>
      <c r="L253" s="569">
        <f t="shared" si="1"/>
        <v>0</v>
      </c>
      <c r="M253" s="569">
        <f t="shared" si="1"/>
        <v>1</v>
      </c>
      <c r="N253" s="569">
        <f t="shared" si="1"/>
        <v>1</v>
      </c>
      <c r="O253" s="569">
        <f t="shared" si="1"/>
        <v>1</v>
      </c>
      <c r="P253" s="569">
        <f t="shared" si="1"/>
        <v>1</v>
      </c>
      <c r="Q253" s="569">
        <f t="shared" si="1"/>
        <v>1</v>
      </c>
      <c r="R253" s="569">
        <f t="shared" si="1"/>
        <v>1</v>
      </c>
      <c r="S253" s="569">
        <f t="shared" si="1"/>
        <v>1</v>
      </c>
      <c r="T253" s="569">
        <f t="shared" si="1"/>
        <v>1</v>
      </c>
      <c r="U253" s="569">
        <f t="shared" si="1"/>
        <v>1</v>
      </c>
      <c r="V253" s="569">
        <f t="shared" si="1"/>
        <v>0</v>
      </c>
      <c r="W253" s="569">
        <f t="shared" si="1"/>
        <v>0</v>
      </c>
      <c r="X253" s="569">
        <f t="shared" si="1"/>
        <v>0</v>
      </c>
      <c r="Y253" s="569">
        <f t="shared" si="1"/>
        <v>0</v>
      </c>
      <c r="Z253" s="569">
        <f t="shared" si="1"/>
        <v>0</v>
      </c>
      <c r="AA253" s="569">
        <f t="shared" si="1"/>
        <v>0</v>
      </c>
      <c r="AB253" s="569">
        <f t="shared" si="1"/>
        <v>0</v>
      </c>
      <c r="AC253" s="573">
        <f t="shared" si="1"/>
        <v>0</v>
      </c>
    </row>
    <row r="254" spans="1:29" ht="30" customHeight="1" x14ac:dyDescent="0.3">
      <c r="A254" s="770"/>
      <c r="B254" s="764"/>
      <c r="C254" s="764"/>
      <c r="D254" s="767"/>
      <c r="E254" s="457" t="s">
        <v>689</v>
      </c>
      <c r="F254" s="569">
        <f t="shared" ref="F254:AC254" si="2">F10</f>
        <v>0</v>
      </c>
      <c r="G254" s="569">
        <f t="shared" si="2"/>
        <v>0</v>
      </c>
      <c r="H254" s="569">
        <f t="shared" si="2"/>
        <v>0</v>
      </c>
      <c r="I254" s="569">
        <f t="shared" si="2"/>
        <v>0</v>
      </c>
      <c r="J254" s="569">
        <f t="shared" si="2"/>
        <v>0</v>
      </c>
      <c r="K254" s="569">
        <f t="shared" si="2"/>
        <v>0</v>
      </c>
      <c r="L254" s="569">
        <f t="shared" si="2"/>
        <v>0</v>
      </c>
      <c r="M254" s="569">
        <f t="shared" si="2"/>
        <v>1</v>
      </c>
      <c r="N254" s="569">
        <f t="shared" si="2"/>
        <v>1</v>
      </c>
      <c r="O254" s="569">
        <f t="shared" si="2"/>
        <v>1</v>
      </c>
      <c r="P254" s="569">
        <f t="shared" si="2"/>
        <v>1</v>
      </c>
      <c r="Q254" s="569">
        <f t="shared" si="2"/>
        <v>1</v>
      </c>
      <c r="R254" s="569">
        <f t="shared" si="2"/>
        <v>1</v>
      </c>
      <c r="S254" s="569">
        <f t="shared" si="2"/>
        <v>1</v>
      </c>
      <c r="T254" s="569">
        <f t="shared" si="2"/>
        <v>1</v>
      </c>
      <c r="U254" s="569">
        <f t="shared" si="2"/>
        <v>0</v>
      </c>
      <c r="V254" s="569">
        <f t="shared" si="2"/>
        <v>0</v>
      </c>
      <c r="W254" s="569">
        <f t="shared" si="2"/>
        <v>0</v>
      </c>
      <c r="X254" s="569">
        <f t="shared" si="2"/>
        <v>0</v>
      </c>
      <c r="Y254" s="569">
        <f t="shared" si="2"/>
        <v>0</v>
      </c>
      <c r="Z254" s="569">
        <f t="shared" si="2"/>
        <v>0</v>
      </c>
      <c r="AA254" s="569">
        <f t="shared" si="2"/>
        <v>0</v>
      </c>
      <c r="AB254" s="569">
        <f t="shared" si="2"/>
        <v>0</v>
      </c>
      <c r="AC254" s="573">
        <f t="shared" si="2"/>
        <v>0</v>
      </c>
    </row>
    <row r="255" spans="1:29" ht="30" customHeight="1" thickBot="1" x14ac:dyDescent="0.35">
      <c r="A255" s="771"/>
      <c r="B255" s="765"/>
      <c r="C255" s="765"/>
      <c r="D255" s="768"/>
      <c r="E255" s="577" t="s">
        <v>745</v>
      </c>
      <c r="F255" s="570">
        <f t="shared" ref="F255:AC255" si="3">F11</f>
        <v>0</v>
      </c>
      <c r="G255" s="570">
        <f t="shared" si="3"/>
        <v>0</v>
      </c>
      <c r="H255" s="570">
        <f t="shared" si="3"/>
        <v>0</v>
      </c>
      <c r="I255" s="570">
        <f t="shared" si="3"/>
        <v>0</v>
      </c>
      <c r="J255" s="570">
        <f t="shared" si="3"/>
        <v>0</v>
      </c>
      <c r="K255" s="570">
        <f t="shared" si="3"/>
        <v>0</v>
      </c>
      <c r="L255" s="570">
        <f t="shared" si="3"/>
        <v>0</v>
      </c>
      <c r="M255" s="570">
        <f t="shared" si="3"/>
        <v>1</v>
      </c>
      <c r="N255" s="570">
        <f t="shared" si="3"/>
        <v>1</v>
      </c>
      <c r="O255" s="570">
        <f t="shared" si="3"/>
        <v>1</v>
      </c>
      <c r="P255" s="570">
        <f t="shared" si="3"/>
        <v>1</v>
      </c>
      <c r="Q255" s="570">
        <f t="shared" si="3"/>
        <v>1</v>
      </c>
      <c r="R255" s="570">
        <f t="shared" si="3"/>
        <v>1</v>
      </c>
      <c r="S255" s="570">
        <f t="shared" si="3"/>
        <v>1</v>
      </c>
      <c r="T255" s="570">
        <f t="shared" si="3"/>
        <v>0</v>
      </c>
      <c r="U255" s="570">
        <f t="shared" si="3"/>
        <v>0</v>
      </c>
      <c r="V255" s="570">
        <f t="shared" si="3"/>
        <v>0</v>
      </c>
      <c r="W255" s="570">
        <f t="shared" si="3"/>
        <v>0</v>
      </c>
      <c r="X255" s="570">
        <f t="shared" si="3"/>
        <v>0</v>
      </c>
      <c r="Y255" s="570">
        <f t="shared" si="3"/>
        <v>0</v>
      </c>
      <c r="Z255" s="570">
        <f t="shared" si="3"/>
        <v>0</v>
      </c>
      <c r="AA255" s="570">
        <f t="shared" si="3"/>
        <v>0</v>
      </c>
      <c r="AB255" s="570">
        <f t="shared" si="3"/>
        <v>0</v>
      </c>
      <c r="AC255" s="576">
        <f t="shared" si="3"/>
        <v>0</v>
      </c>
    </row>
    <row r="256" spans="1:29" ht="30" customHeight="1" x14ac:dyDescent="0.3">
      <c r="A256" s="769" t="s">
        <v>742</v>
      </c>
      <c r="B256" s="763" t="s">
        <v>321</v>
      </c>
      <c r="C256" s="763" t="s">
        <v>692</v>
      </c>
      <c r="D256" s="766" t="s">
        <v>746</v>
      </c>
      <c r="E256" s="456" t="s">
        <v>687</v>
      </c>
      <c r="F256" s="571">
        <f t="shared" ref="F256:AC256" si="4">F12</f>
        <v>0</v>
      </c>
      <c r="G256" s="571">
        <f t="shared" si="4"/>
        <v>0</v>
      </c>
      <c r="H256" s="571">
        <f t="shared" si="4"/>
        <v>0</v>
      </c>
      <c r="I256" s="571">
        <f t="shared" si="4"/>
        <v>0</v>
      </c>
      <c r="J256" s="571">
        <f t="shared" si="4"/>
        <v>0</v>
      </c>
      <c r="K256" s="571">
        <f t="shared" si="4"/>
        <v>0</v>
      </c>
      <c r="L256" s="571">
        <f t="shared" si="4"/>
        <v>0</v>
      </c>
      <c r="M256" s="571">
        <f t="shared" si="4"/>
        <v>0</v>
      </c>
      <c r="N256" s="571">
        <f t="shared" si="4"/>
        <v>0</v>
      </c>
      <c r="O256" s="571">
        <f t="shared" si="4"/>
        <v>0</v>
      </c>
      <c r="P256" s="571">
        <f t="shared" si="4"/>
        <v>0</v>
      </c>
      <c r="Q256" s="571">
        <f t="shared" si="4"/>
        <v>0</v>
      </c>
      <c r="R256" s="571">
        <f t="shared" si="4"/>
        <v>0</v>
      </c>
      <c r="S256" s="571">
        <f t="shared" si="4"/>
        <v>0</v>
      </c>
      <c r="T256" s="571">
        <f t="shared" si="4"/>
        <v>0</v>
      </c>
      <c r="U256" s="571">
        <f t="shared" si="4"/>
        <v>0</v>
      </c>
      <c r="V256" s="571">
        <f t="shared" si="4"/>
        <v>0</v>
      </c>
      <c r="W256" s="571">
        <f t="shared" si="4"/>
        <v>0</v>
      </c>
      <c r="X256" s="571">
        <f t="shared" si="4"/>
        <v>0</v>
      </c>
      <c r="Y256" s="571">
        <f t="shared" si="4"/>
        <v>0</v>
      </c>
      <c r="Z256" s="571">
        <f t="shared" si="4"/>
        <v>0</v>
      </c>
      <c r="AA256" s="571">
        <f t="shared" si="4"/>
        <v>0</v>
      </c>
      <c r="AB256" s="571">
        <f t="shared" si="4"/>
        <v>0</v>
      </c>
      <c r="AC256" s="572">
        <f t="shared" si="4"/>
        <v>0</v>
      </c>
    </row>
    <row r="257" spans="1:29" ht="30" customHeight="1" x14ac:dyDescent="0.3">
      <c r="A257" s="770"/>
      <c r="B257" s="764"/>
      <c r="C257" s="764"/>
      <c r="D257" s="767"/>
      <c r="E257" s="457" t="s">
        <v>688</v>
      </c>
      <c r="F257" s="569">
        <f t="shared" ref="F257:AC257" si="5">F13</f>
        <v>0.15</v>
      </c>
      <c r="G257" s="569">
        <f t="shared" si="5"/>
        <v>0.15</v>
      </c>
      <c r="H257" s="569">
        <f t="shared" si="5"/>
        <v>0.15</v>
      </c>
      <c r="I257" s="569">
        <f t="shared" si="5"/>
        <v>0.15</v>
      </c>
      <c r="J257" s="569">
        <f t="shared" si="5"/>
        <v>0.15</v>
      </c>
      <c r="K257" s="569">
        <f t="shared" si="5"/>
        <v>0.15</v>
      </c>
      <c r="L257" s="569">
        <f t="shared" si="5"/>
        <v>0.15</v>
      </c>
      <c r="M257" s="569">
        <f t="shared" si="5"/>
        <v>0.75</v>
      </c>
      <c r="N257" s="569">
        <f t="shared" si="5"/>
        <v>0.95</v>
      </c>
      <c r="O257" s="569">
        <f t="shared" si="5"/>
        <v>0.95</v>
      </c>
      <c r="P257" s="569">
        <f t="shared" si="5"/>
        <v>0.95</v>
      </c>
      <c r="Q257" s="569">
        <f t="shared" si="5"/>
        <v>0.95</v>
      </c>
      <c r="R257" s="569">
        <f t="shared" si="5"/>
        <v>0.75</v>
      </c>
      <c r="S257" s="569">
        <f t="shared" si="5"/>
        <v>0.95</v>
      </c>
      <c r="T257" s="569">
        <f t="shared" si="5"/>
        <v>0.95</v>
      </c>
      <c r="U257" s="569">
        <f t="shared" si="5"/>
        <v>0.2</v>
      </c>
      <c r="V257" s="569">
        <f t="shared" si="5"/>
        <v>0.15</v>
      </c>
      <c r="W257" s="569">
        <f t="shared" si="5"/>
        <v>0.15</v>
      </c>
      <c r="X257" s="569">
        <f t="shared" si="5"/>
        <v>0.15</v>
      </c>
      <c r="Y257" s="569">
        <f t="shared" si="5"/>
        <v>0.15</v>
      </c>
      <c r="Z257" s="569">
        <f t="shared" si="5"/>
        <v>0.15</v>
      </c>
      <c r="AA257" s="569">
        <f t="shared" si="5"/>
        <v>0.15</v>
      </c>
      <c r="AB257" s="569">
        <f t="shared" si="5"/>
        <v>0.15</v>
      </c>
      <c r="AC257" s="573">
        <f t="shared" si="5"/>
        <v>0.15</v>
      </c>
    </row>
    <row r="258" spans="1:29" ht="30" customHeight="1" x14ac:dyDescent="0.3">
      <c r="A258" s="770"/>
      <c r="B258" s="764"/>
      <c r="C258" s="764"/>
      <c r="D258" s="767"/>
      <c r="E258" s="457" t="s">
        <v>689</v>
      </c>
      <c r="F258" s="569">
        <f t="shared" ref="F258:AC258" si="6">F14</f>
        <v>0.15</v>
      </c>
      <c r="G258" s="569">
        <f t="shared" si="6"/>
        <v>0.15</v>
      </c>
      <c r="H258" s="569">
        <f t="shared" si="6"/>
        <v>0.15</v>
      </c>
      <c r="I258" s="569">
        <f t="shared" si="6"/>
        <v>0.15</v>
      </c>
      <c r="J258" s="569">
        <f t="shared" si="6"/>
        <v>0.15</v>
      </c>
      <c r="K258" s="569">
        <f t="shared" si="6"/>
        <v>0.15</v>
      </c>
      <c r="L258" s="569">
        <f t="shared" si="6"/>
        <v>0.15</v>
      </c>
      <c r="M258" s="569">
        <f t="shared" si="6"/>
        <v>0.75</v>
      </c>
      <c r="N258" s="569">
        <f t="shared" si="6"/>
        <v>0.95</v>
      </c>
      <c r="O258" s="569">
        <f t="shared" si="6"/>
        <v>0.95</v>
      </c>
      <c r="P258" s="569">
        <f t="shared" si="6"/>
        <v>0.95</v>
      </c>
      <c r="Q258" s="569">
        <f t="shared" si="6"/>
        <v>0.95</v>
      </c>
      <c r="R258" s="569">
        <f t="shared" si="6"/>
        <v>0.75</v>
      </c>
      <c r="S258" s="569">
        <f t="shared" si="6"/>
        <v>0.95</v>
      </c>
      <c r="T258" s="569">
        <f t="shared" si="6"/>
        <v>0.2</v>
      </c>
      <c r="U258" s="569">
        <f t="shared" si="6"/>
        <v>0.15</v>
      </c>
      <c r="V258" s="569">
        <f t="shared" si="6"/>
        <v>0.15</v>
      </c>
      <c r="W258" s="569">
        <f t="shared" si="6"/>
        <v>0.15</v>
      </c>
      <c r="X258" s="569">
        <f t="shared" si="6"/>
        <v>0.15</v>
      </c>
      <c r="Y258" s="569">
        <f t="shared" si="6"/>
        <v>0.15</v>
      </c>
      <c r="Z258" s="569">
        <f t="shared" si="6"/>
        <v>0.15</v>
      </c>
      <c r="AA258" s="569">
        <f t="shared" si="6"/>
        <v>0.15</v>
      </c>
      <c r="AB258" s="569">
        <f t="shared" si="6"/>
        <v>0.15</v>
      </c>
      <c r="AC258" s="573">
        <f t="shared" si="6"/>
        <v>0.15</v>
      </c>
    </row>
    <row r="259" spans="1:29" ht="30" customHeight="1" thickBot="1" x14ac:dyDescent="0.35">
      <c r="A259" s="771"/>
      <c r="B259" s="765"/>
      <c r="C259" s="765"/>
      <c r="D259" s="768"/>
      <c r="E259" s="577" t="s">
        <v>745</v>
      </c>
      <c r="F259" s="570">
        <f t="shared" ref="F259:AC259" si="7">F15</f>
        <v>0.15</v>
      </c>
      <c r="G259" s="570">
        <f t="shared" si="7"/>
        <v>0.15</v>
      </c>
      <c r="H259" s="570">
        <f t="shared" si="7"/>
        <v>0.15</v>
      </c>
      <c r="I259" s="570">
        <f t="shared" si="7"/>
        <v>0.15</v>
      </c>
      <c r="J259" s="570">
        <f t="shared" si="7"/>
        <v>0.15</v>
      </c>
      <c r="K259" s="570">
        <f t="shared" si="7"/>
        <v>0.15</v>
      </c>
      <c r="L259" s="570">
        <f t="shared" si="7"/>
        <v>0.15</v>
      </c>
      <c r="M259" s="570">
        <f t="shared" si="7"/>
        <v>0.2</v>
      </c>
      <c r="N259" s="570">
        <f t="shared" si="7"/>
        <v>0.95</v>
      </c>
      <c r="O259" s="570">
        <f t="shared" si="7"/>
        <v>0.95</v>
      </c>
      <c r="P259" s="570">
        <f t="shared" si="7"/>
        <v>0.95</v>
      </c>
      <c r="Q259" s="570">
        <f t="shared" si="7"/>
        <v>0.95</v>
      </c>
      <c r="R259" s="570">
        <f t="shared" si="7"/>
        <v>0.75</v>
      </c>
      <c r="S259" s="570">
        <f t="shared" si="7"/>
        <v>0.95</v>
      </c>
      <c r="T259" s="570">
        <f t="shared" si="7"/>
        <v>0.15</v>
      </c>
      <c r="U259" s="570">
        <f t="shared" si="7"/>
        <v>0.15</v>
      </c>
      <c r="V259" s="570">
        <f t="shared" si="7"/>
        <v>0.15</v>
      </c>
      <c r="W259" s="570">
        <f t="shared" si="7"/>
        <v>0.15</v>
      </c>
      <c r="X259" s="570">
        <f t="shared" si="7"/>
        <v>0.15</v>
      </c>
      <c r="Y259" s="570">
        <f t="shared" si="7"/>
        <v>0.15</v>
      </c>
      <c r="Z259" s="570">
        <f t="shared" si="7"/>
        <v>0.15</v>
      </c>
      <c r="AA259" s="570">
        <f t="shared" si="7"/>
        <v>0.15</v>
      </c>
      <c r="AB259" s="570">
        <f t="shared" si="7"/>
        <v>0.15</v>
      </c>
      <c r="AC259" s="576">
        <f t="shared" si="7"/>
        <v>0.15</v>
      </c>
    </row>
    <row r="260" spans="1:29" ht="30" customHeight="1" x14ac:dyDescent="0.3">
      <c r="A260" s="769" t="s">
        <v>742</v>
      </c>
      <c r="B260" s="763" t="s">
        <v>321</v>
      </c>
      <c r="C260" s="763" t="s">
        <v>696</v>
      </c>
      <c r="D260" s="766" t="s">
        <v>747</v>
      </c>
      <c r="E260" s="456" t="s">
        <v>687</v>
      </c>
      <c r="F260" s="571">
        <f t="shared" ref="F260:AC260" si="8">F24</f>
        <v>0.9</v>
      </c>
      <c r="G260" s="571">
        <f t="shared" si="8"/>
        <v>0.9</v>
      </c>
      <c r="H260" s="571">
        <f t="shared" si="8"/>
        <v>0.9</v>
      </c>
      <c r="I260" s="571">
        <f t="shared" si="8"/>
        <v>0.9</v>
      </c>
      <c r="J260" s="571">
        <f t="shared" si="8"/>
        <v>0.9</v>
      </c>
      <c r="K260" s="571">
        <f t="shared" si="8"/>
        <v>0.9</v>
      </c>
      <c r="L260" s="571">
        <f t="shared" si="8"/>
        <v>0.9</v>
      </c>
      <c r="M260" s="571">
        <f t="shared" si="8"/>
        <v>0.9</v>
      </c>
      <c r="N260" s="571">
        <f t="shared" si="8"/>
        <v>0.9</v>
      </c>
      <c r="O260" s="571">
        <f t="shared" si="8"/>
        <v>0.9</v>
      </c>
      <c r="P260" s="571">
        <f t="shared" si="8"/>
        <v>0.9</v>
      </c>
      <c r="Q260" s="571">
        <f t="shared" si="8"/>
        <v>0.9</v>
      </c>
      <c r="R260" s="571">
        <f t="shared" si="8"/>
        <v>0.9</v>
      </c>
      <c r="S260" s="571">
        <f t="shared" si="8"/>
        <v>0.9</v>
      </c>
      <c r="T260" s="571">
        <f t="shared" si="8"/>
        <v>0.9</v>
      </c>
      <c r="U260" s="571">
        <f t="shared" si="8"/>
        <v>0.9</v>
      </c>
      <c r="V260" s="571">
        <f t="shared" si="8"/>
        <v>0.9</v>
      </c>
      <c r="W260" s="571">
        <f t="shared" si="8"/>
        <v>0.9</v>
      </c>
      <c r="X260" s="571">
        <f t="shared" si="8"/>
        <v>0.9</v>
      </c>
      <c r="Y260" s="571">
        <f t="shared" si="8"/>
        <v>0.9</v>
      </c>
      <c r="Z260" s="571">
        <f t="shared" si="8"/>
        <v>0.9</v>
      </c>
      <c r="AA260" s="571">
        <f t="shared" si="8"/>
        <v>0.9</v>
      </c>
      <c r="AB260" s="571">
        <f t="shared" si="8"/>
        <v>0.9</v>
      </c>
      <c r="AC260" s="572">
        <f t="shared" si="8"/>
        <v>0.9</v>
      </c>
    </row>
    <row r="261" spans="1:29" ht="30" customHeight="1" x14ac:dyDescent="0.3">
      <c r="A261" s="770"/>
      <c r="B261" s="764"/>
      <c r="C261" s="764"/>
      <c r="D261" s="767"/>
      <c r="E261" s="457" t="s">
        <v>688</v>
      </c>
      <c r="F261" s="569">
        <f t="shared" ref="F261:AC261" si="9">F25</f>
        <v>0.9</v>
      </c>
      <c r="G261" s="569">
        <f t="shared" si="9"/>
        <v>0.9</v>
      </c>
      <c r="H261" s="569">
        <f t="shared" si="9"/>
        <v>0.9</v>
      </c>
      <c r="I261" s="569">
        <f t="shared" si="9"/>
        <v>0.9</v>
      </c>
      <c r="J261" s="569">
        <f t="shared" si="9"/>
        <v>0.9</v>
      </c>
      <c r="K261" s="569">
        <f t="shared" si="9"/>
        <v>0.9</v>
      </c>
      <c r="L261" s="569">
        <f t="shared" si="9"/>
        <v>0.9</v>
      </c>
      <c r="M261" s="569">
        <f t="shared" si="9"/>
        <v>0.9</v>
      </c>
      <c r="N261" s="569">
        <f t="shared" si="9"/>
        <v>0.9</v>
      </c>
      <c r="O261" s="569">
        <f t="shared" si="9"/>
        <v>0.9</v>
      </c>
      <c r="P261" s="569">
        <f t="shared" si="9"/>
        <v>0.9</v>
      </c>
      <c r="Q261" s="569">
        <f t="shared" si="9"/>
        <v>0.9</v>
      </c>
      <c r="R261" s="569">
        <f t="shared" si="9"/>
        <v>0.9</v>
      </c>
      <c r="S261" s="569">
        <f t="shared" si="9"/>
        <v>0.9</v>
      </c>
      <c r="T261" s="569">
        <f t="shared" si="9"/>
        <v>0.9</v>
      </c>
      <c r="U261" s="569">
        <f t="shared" si="9"/>
        <v>0.9</v>
      </c>
      <c r="V261" s="569">
        <f t="shared" si="9"/>
        <v>0.9</v>
      </c>
      <c r="W261" s="569">
        <f t="shared" si="9"/>
        <v>0.9</v>
      </c>
      <c r="X261" s="569">
        <f t="shared" si="9"/>
        <v>0.9</v>
      </c>
      <c r="Y261" s="569">
        <f t="shared" si="9"/>
        <v>0.9</v>
      </c>
      <c r="Z261" s="569">
        <f t="shared" si="9"/>
        <v>0.9</v>
      </c>
      <c r="AA261" s="569">
        <f t="shared" si="9"/>
        <v>0.9</v>
      </c>
      <c r="AB261" s="569">
        <f t="shared" si="9"/>
        <v>0.9</v>
      </c>
      <c r="AC261" s="573">
        <f t="shared" si="9"/>
        <v>0.9</v>
      </c>
    </row>
    <row r="262" spans="1:29" ht="30" customHeight="1" x14ac:dyDescent="0.3">
      <c r="A262" s="770"/>
      <c r="B262" s="764"/>
      <c r="C262" s="764"/>
      <c r="D262" s="767"/>
      <c r="E262" s="457" t="s">
        <v>689</v>
      </c>
      <c r="F262" s="569">
        <f t="shared" ref="F262:AC262" si="10">F26</f>
        <v>0.9</v>
      </c>
      <c r="G262" s="569">
        <f t="shared" si="10"/>
        <v>0.9</v>
      </c>
      <c r="H262" s="569">
        <f t="shared" si="10"/>
        <v>0.9</v>
      </c>
      <c r="I262" s="569">
        <f t="shared" si="10"/>
        <v>0.9</v>
      </c>
      <c r="J262" s="569">
        <f t="shared" si="10"/>
        <v>0.9</v>
      </c>
      <c r="K262" s="569">
        <f t="shared" si="10"/>
        <v>0.9</v>
      </c>
      <c r="L262" s="569">
        <f t="shared" si="10"/>
        <v>0.9</v>
      </c>
      <c r="M262" s="569">
        <f t="shared" si="10"/>
        <v>0.9</v>
      </c>
      <c r="N262" s="569">
        <f t="shared" si="10"/>
        <v>0.9</v>
      </c>
      <c r="O262" s="569">
        <f t="shared" si="10"/>
        <v>0.9</v>
      </c>
      <c r="P262" s="569">
        <f t="shared" si="10"/>
        <v>0.9</v>
      </c>
      <c r="Q262" s="569">
        <f t="shared" si="10"/>
        <v>0.9</v>
      </c>
      <c r="R262" s="569">
        <f t="shared" si="10"/>
        <v>0.9</v>
      </c>
      <c r="S262" s="569">
        <f t="shared" si="10"/>
        <v>0.9</v>
      </c>
      <c r="T262" s="569">
        <f t="shared" si="10"/>
        <v>0.9</v>
      </c>
      <c r="U262" s="569">
        <f t="shared" si="10"/>
        <v>0.9</v>
      </c>
      <c r="V262" s="569">
        <f t="shared" si="10"/>
        <v>0.9</v>
      </c>
      <c r="W262" s="569">
        <f t="shared" si="10"/>
        <v>0.9</v>
      </c>
      <c r="X262" s="569">
        <f t="shared" si="10"/>
        <v>0.9</v>
      </c>
      <c r="Y262" s="569">
        <f t="shared" si="10"/>
        <v>0.9</v>
      </c>
      <c r="Z262" s="569">
        <f t="shared" si="10"/>
        <v>0.9</v>
      </c>
      <c r="AA262" s="569">
        <f t="shared" si="10"/>
        <v>0.9</v>
      </c>
      <c r="AB262" s="569">
        <f t="shared" si="10"/>
        <v>0.9</v>
      </c>
      <c r="AC262" s="573">
        <f t="shared" si="10"/>
        <v>0.9</v>
      </c>
    </row>
    <row r="263" spans="1:29" ht="30" customHeight="1" thickBot="1" x14ac:dyDescent="0.35">
      <c r="A263" s="772"/>
      <c r="B263" s="773"/>
      <c r="C263" s="773"/>
      <c r="D263" s="774"/>
      <c r="E263" s="578" t="s">
        <v>745</v>
      </c>
      <c r="F263" s="574">
        <f t="shared" ref="F263:AC263" si="11">F27</f>
        <v>0.9</v>
      </c>
      <c r="G263" s="574">
        <f t="shared" si="11"/>
        <v>0.9</v>
      </c>
      <c r="H263" s="574">
        <f t="shared" si="11"/>
        <v>0.9</v>
      </c>
      <c r="I263" s="574">
        <f t="shared" si="11"/>
        <v>0.9</v>
      </c>
      <c r="J263" s="574">
        <f t="shared" si="11"/>
        <v>0.9</v>
      </c>
      <c r="K263" s="574">
        <f t="shared" si="11"/>
        <v>0.9</v>
      </c>
      <c r="L263" s="574">
        <f t="shared" si="11"/>
        <v>0.9</v>
      </c>
      <c r="M263" s="574">
        <f t="shared" si="11"/>
        <v>0.9</v>
      </c>
      <c r="N263" s="574">
        <f t="shared" si="11"/>
        <v>0.9</v>
      </c>
      <c r="O263" s="574">
        <f t="shared" si="11"/>
        <v>0.9</v>
      </c>
      <c r="P263" s="574">
        <f t="shared" si="11"/>
        <v>0.9</v>
      </c>
      <c r="Q263" s="574">
        <f t="shared" si="11"/>
        <v>0.9</v>
      </c>
      <c r="R263" s="574">
        <f t="shared" si="11"/>
        <v>0.9</v>
      </c>
      <c r="S263" s="574">
        <f t="shared" si="11"/>
        <v>0.9</v>
      </c>
      <c r="T263" s="574">
        <f t="shared" si="11"/>
        <v>0.9</v>
      </c>
      <c r="U263" s="574">
        <f t="shared" si="11"/>
        <v>0.9</v>
      </c>
      <c r="V263" s="574">
        <f t="shared" si="11"/>
        <v>0.9</v>
      </c>
      <c r="W263" s="574">
        <f t="shared" si="11"/>
        <v>0.9</v>
      </c>
      <c r="X263" s="574">
        <f t="shared" si="11"/>
        <v>0.9</v>
      </c>
      <c r="Y263" s="574">
        <f t="shared" si="11"/>
        <v>0.9</v>
      </c>
      <c r="Z263" s="574">
        <f t="shared" si="11"/>
        <v>0.9</v>
      </c>
      <c r="AA263" s="574">
        <f t="shared" si="11"/>
        <v>0.9</v>
      </c>
      <c r="AB263" s="574">
        <f t="shared" si="11"/>
        <v>0.9</v>
      </c>
      <c r="AC263" s="575">
        <f t="shared" si="11"/>
        <v>0.9</v>
      </c>
    </row>
    <row r="264" spans="1:29" customFormat="1" ht="28.5" customHeight="1" thickBot="1" x14ac:dyDescent="0.35">
      <c r="A264" s="775" t="s">
        <v>116</v>
      </c>
      <c r="B264" s="775"/>
      <c r="C264" s="775"/>
      <c r="D264" s="775"/>
      <c r="E264" s="775"/>
      <c r="F264" s="775"/>
      <c r="G264" s="775"/>
      <c r="H264" s="775"/>
      <c r="I264" s="775"/>
      <c r="J264" s="775"/>
      <c r="K264" s="775"/>
      <c r="L264" s="775"/>
      <c r="M264" s="775"/>
      <c r="N264" s="775"/>
      <c r="O264" s="775"/>
      <c r="P264" s="775"/>
      <c r="Q264" s="775"/>
      <c r="R264" s="775"/>
      <c r="S264" s="775"/>
      <c r="T264" s="775"/>
      <c r="U264" s="775"/>
      <c r="V264" s="775"/>
      <c r="W264" s="775"/>
      <c r="X264" s="775"/>
      <c r="Y264" s="775"/>
      <c r="Z264" s="775"/>
      <c r="AA264" s="775"/>
      <c r="AB264" s="775"/>
      <c r="AC264" s="775"/>
    </row>
    <row r="265" spans="1:29" customFormat="1" ht="15" customHeight="1" x14ac:dyDescent="0.3">
      <c r="A265" s="769" t="s">
        <v>748</v>
      </c>
      <c r="B265" s="763" t="s">
        <v>116</v>
      </c>
      <c r="C265" s="776" t="s">
        <v>685</v>
      </c>
      <c r="D265" s="779" t="s">
        <v>749</v>
      </c>
      <c r="E265" s="453" t="s">
        <v>702</v>
      </c>
      <c r="F265" s="456">
        <v>0</v>
      </c>
      <c r="G265" s="609">
        <v>0</v>
      </c>
      <c r="H265" s="609">
        <v>0</v>
      </c>
      <c r="I265" s="609">
        <v>0</v>
      </c>
      <c r="J265" s="609">
        <v>0</v>
      </c>
      <c r="K265" s="609">
        <v>0</v>
      </c>
      <c r="L265" s="609">
        <v>0</v>
      </c>
      <c r="M265" s="609">
        <v>0.05</v>
      </c>
      <c r="N265" s="609">
        <v>0.75</v>
      </c>
      <c r="O265" s="609">
        <v>0.9</v>
      </c>
      <c r="P265" s="609">
        <v>0.9</v>
      </c>
      <c r="Q265" s="609">
        <v>0.8</v>
      </c>
      <c r="R265" s="609">
        <v>0.8</v>
      </c>
      <c r="S265" s="609">
        <v>0.8</v>
      </c>
      <c r="T265" s="609">
        <v>0.8</v>
      </c>
      <c r="U265" s="609">
        <v>0.45</v>
      </c>
      <c r="V265" s="609">
        <v>0.15</v>
      </c>
      <c r="W265" s="609">
        <v>0.05</v>
      </c>
      <c r="X265" s="609">
        <v>0.15</v>
      </c>
      <c r="Y265" s="609">
        <v>0.2</v>
      </c>
      <c r="Z265" s="609">
        <v>0.2</v>
      </c>
      <c r="AA265" s="609">
        <v>0.1</v>
      </c>
      <c r="AB265" s="609">
        <v>0</v>
      </c>
      <c r="AC265" s="369">
        <v>0</v>
      </c>
    </row>
    <row r="266" spans="1:29" customFormat="1" ht="14.4" x14ac:dyDescent="0.3">
      <c r="A266" s="770"/>
      <c r="B266" s="764"/>
      <c r="C266" s="777"/>
      <c r="D266" s="780"/>
      <c r="E266" s="454" t="s">
        <v>703</v>
      </c>
      <c r="F266" s="457">
        <v>0</v>
      </c>
      <c r="G266" s="610">
        <v>0</v>
      </c>
      <c r="H266" s="610">
        <v>0</v>
      </c>
      <c r="I266" s="610">
        <v>0</v>
      </c>
      <c r="J266" s="610">
        <v>0</v>
      </c>
      <c r="K266" s="610">
        <v>0</v>
      </c>
      <c r="L266" s="610">
        <v>0</v>
      </c>
      <c r="M266" s="610">
        <v>0</v>
      </c>
      <c r="N266" s="610">
        <v>0.1</v>
      </c>
      <c r="O266" s="610">
        <v>0.1</v>
      </c>
      <c r="P266" s="610">
        <v>0.1</v>
      </c>
      <c r="Q266" s="610">
        <v>0.1</v>
      </c>
      <c r="R266" s="610">
        <v>0.1</v>
      </c>
      <c r="S266" s="610">
        <v>0</v>
      </c>
      <c r="T266" s="610">
        <v>0</v>
      </c>
      <c r="U266" s="610">
        <v>0</v>
      </c>
      <c r="V266" s="610">
        <v>0</v>
      </c>
      <c r="W266" s="610">
        <v>0</v>
      </c>
      <c r="X266" s="610">
        <v>0</v>
      </c>
      <c r="Y266" s="610">
        <v>0</v>
      </c>
      <c r="Z266" s="610">
        <v>0</v>
      </c>
      <c r="AA266" s="610">
        <v>0</v>
      </c>
      <c r="AB266" s="610">
        <v>0</v>
      </c>
      <c r="AC266" s="370">
        <v>0</v>
      </c>
    </row>
    <row r="267" spans="1:29" customFormat="1" ht="14.4" x14ac:dyDescent="0.3">
      <c r="A267" s="770"/>
      <c r="B267" s="764"/>
      <c r="C267" s="777"/>
      <c r="D267" s="780"/>
      <c r="E267" s="454" t="s">
        <v>704</v>
      </c>
      <c r="F267" s="457">
        <v>0</v>
      </c>
      <c r="G267" s="610">
        <v>0</v>
      </c>
      <c r="H267" s="610">
        <v>0</v>
      </c>
      <c r="I267" s="610">
        <v>0</v>
      </c>
      <c r="J267" s="610">
        <v>0</v>
      </c>
      <c r="K267" s="610">
        <v>0</v>
      </c>
      <c r="L267" s="610">
        <v>0</v>
      </c>
      <c r="M267" s="610">
        <v>0</v>
      </c>
      <c r="N267" s="610">
        <v>0</v>
      </c>
      <c r="O267" s="610">
        <v>0</v>
      </c>
      <c r="P267" s="610">
        <v>0</v>
      </c>
      <c r="Q267" s="610">
        <v>0</v>
      </c>
      <c r="R267" s="610">
        <v>0</v>
      </c>
      <c r="S267" s="610">
        <v>0</v>
      </c>
      <c r="T267" s="610">
        <v>0</v>
      </c>
      <c r="U267" s="610">
        <v>0</v>
      </c>
      <c r="V267" s="610">
        <v>0</v>
      </c>
      <c r="W267" s="610">
        <v>0</v>
      </c>
      <c r="X267" s="610">
        <v>0</v>
      </c>
      <c r="Y267" s="610">
        <v>0</v>
      </c>
      <c r="Z267" s="610">
        <v>0</v>
      </c>
      <c r="AA267" s="610">
        <v>0</v>
      </c>
      <c r="AB267" s="610">
        <v>0</v>
      </c>
      <c r="AC267" s="370">
        <v>0</v>
      </c>
    </row>
    <row r="268" spans="1:29" customFormat="1" ht="15" thickBot="1" x14ac:dyDescent="0.35">
      <c r="A268" s="772"/>
      <c r="B268" s="773"/>
      <c r="C268" s="778"/>
      <c r="D268" s="781"/>
      <c r="E268" s="455" t="s">
        <v>745</v>
      </c>
      <c r="F268" s="459">
        <v>0</v>
      </c>
      <c r="G268" s="372">
        <v>0</v>
      </c>
      <c r="H268" s="372">
        <v>0</v>
      </c>
      <c r="I268" s="372">
        <v>0</v>
      </c>
      <c r="J268" s="372">
        <v>0</v>
      </c>
      <c r="K268" s="372">
        <v>0</v>
      </c>
      <c r="L268" s="372">
        <v>0</v>
      </c>
      <c r="M268" s="372">
        <v>2.5000000000000001E-2</v>
      </c>
      <c r="N268" s="372">
        <v>0.7</v>
      </c>
      <c r="O268" s="372">
        <v>0.7</v>
      </c>
      <c r="P268" s="372">
        <v>0.7</v>
      </c>
      <c r="Q268" s="372">
        <v>0.7</v>
      </c>
      <c r="R268" s="372">
        <v>0.25</v>
      </c>
      <c r="S268" s="372">
        <v>0.7</v>
      </c>
      <c r="T268" s="372">
        <v>0</v>
      </c>
      <c r="U268" s="372">
        <v>0</v>
      </c>
      <c r="V268" s="372">
        <v>0</v>
      </c>
      <c r="W268" s="372">
        <v>0</v>
      </c>
      <c r="X268" s="372">
        <v>0</v>
      </c>
      <c r="Y268" s="372">
        <v>0</v>
      </c>
      <c r="Z268" s="372">
        <v>0</v>
      </c>
      <c r="AA268" s="372">
        <v>0</v>
      </c>
      <c r="AB268" s="372">
        <v>0</v>
      </c>
      <c r="AC268" s="373">
        <v>0</v>
      </c>
    </row>
    <row r="269" spans="1:29" customFormat="1" ht="15" customHeight="1" x14ac:dyDescent="0.3">
      <c r="A269" s="769" t="s">
        <v>748</v>
      </c>
      <c r="B269" s="763" t="s">
        <v>116</v>
      </c>
      <c r="C269" s="776" t="s">
        <v>691</v>
      </c>
      <c r="D269" s="779" t="s">
        <v>749</v>
      </c>
      <c r="E269" s="453" t="s">
        <v>702</v>
      </c>
      <c r="F269" s="456">
        <v>0.05</v>
      </c>
      <c r="G269" s="609">
        <v>0.05</v>
      </c>
      <c r="H269" s="609">
        <v>0.05</v>
      </c>
      <c r="I269" s="609">
        <v>0.05</v>
      </c>
      <c r="J269" s="609">
        <v>0.05</v>
      </c>
      <c r="K269" s="609">
        <v>0.05</v>
      </c>
      <c r="L269" s="609">
        <v>0.05</v>
      </c>
      <c r="M269" s="609">
        <v>0.3</v>
      </c>
      <c r="N269" s="609">
        <v>0.6</v>
      </c>
      <c r="O269" s="609">
        <v>0.65</v>
      </c>
      <c r="P269" s="609">
        <v>0.65</v>
      </c>
      <c r="Q269" s="609">
        <v>0.65</v>
      </c>
      <c r="R269" s="609">
        <v>0.55000000000000004</v>
      </c>
      <c r="S269" s="609">
        <v>0.55000000000000004</v>
      </c>
      <c r="T269" s="609">
        <v>0.55000000000000004</v>
      </c>
      <c r="U269" s="609">
        <v>0.5</v>
      </c>
      <c r="V269" s="609">
        <v>0.35</v>
      </c>
      <c r="W269" s="609">
        <v>0.35</v>
      </c>
      <c r="X269" s="609">
        <v>0.35</v>
      </c>
      <c r="Y269" s="609">
        <v>0.35</v>
      </c>
      <c r="Z269" s="609">
        <v>0.35</v>
      </c>
      <c r="AA269" s="609">
        <v>0.3</v>
      </c>
      <c r="AB269" s="609">
        <v>0.05</v>
      </c>
      <c r="AC269" s="369">
        <v>0.05</v>
      </c>
    </row>
    <row r="270" spans="1:29" customFormat="1" ht="14.4" x14ac:dyDescent="0.3">
      <c r="A270" s="770"/>
      <c r="B270" s="764"/>
      <c r="C270" s="777"/>
      <c r="D270" s="780"/>
      <c r="E270" s="454" t="s">
        <v>703</v>
      </c>
      <c r="F270" s="457">
        <v>0.05</v>
      </c>
      <c r="G270" s="610">
        <v>0.05</v>
      </c>
      <c r="H270" s="610">
        <v>0.05</v>
      </c>
      <c r="I270" s="610">
        <v>0.05</v>
      </c>
      <c r="J270" s="610">
        <v>0.05</v>
      </c>
      <c r="K270" s="610">
        <v>0.05</v>
      </c>
      <c r="L270" s="610">
        <v>0.05</v>
      </c>
      <c r="M270" s="610">
        <v>0.05</v>
      </c>
      <c r="N270" s="610">
        <v>0.15</v>
      </c>
      <c r="O270" s="610">
        <v>0.15</v>
      </c>
      <c r="P270" s="610">
        <v>0.15</v>
      </c>
      <c r="Q270" s="610">
        <v>0.15</v>
      </c>
      <c r="R270" s="610">
        <v>0.15</v>
      </c>
      <c r="S270" s="610">
        <v>0.05</v>
      </c>
      <c r="T270" s="610">
        <v>0.05</v>
      </c>
      <c r="U270" s="610">
        <v>0.05</v>
      </c>
      <c r="V270" s="610">
        <v>0.05</v>
      </c>
      <c r="W270" s="610">
        <v>0.05</v>
      </c>
      <c r="X270" s="610">
        <v>0.05</v>
      </c>
      <c r="Y270" s="610">
        <v>0.05</v>
      </c>
      <c r="Z270" s="610">
        <v>0.05</v>
      </c>
      <c r="AA270" s="610">
        <v>0.05</v>
      </c>
      <c r="AB270" s="610">
        <v>0.05</v>
      </c>
      <c r="AC270" s="370">
        <v>0.05</v>
      </c>
    </row>
    <row r="271" spans="1:29" customFormat="1" ht="14.4" x14ac:dyDescent="0.3">
      <c r="A271" s="770"/>
      <c r="B271" s="764"/>
      <c r="C271" s="777"/>
      <c r="D271" s="780"/>
      <c r="E271" s="454" t="s">
        <v>704</v>
      </c>
      <c r="F271" s="457">
        <v>0.05</v>
      </c>
      <c r="G271" s="610">
        <v>0.05</v>
      </c>
      <c r="H271" s="610">
        <v>0.05</v>
      </c>
      <c r="I271" s="610">
        <v>0.05</v>
      </c>
      <c r="J271" s="610">
        <v>0.05</v>
      </c>
      <c r="K271" s="610">
        <v>0.05</v>
      </c>
      <c r="L271" s="610">
        <v>0.05</v>
      </c>
      <c r="M271" s="610">
        <v>0.05</v>
      </c>
      <c r="N271" s="610">
        <v>0.05</v>
      </c>
      <c r="O271" s="610">
        <v>0.05</v>
      </c>
      <c r="P271" s="610">
        <v>0.05</v>
      </c>
      <c r="Q271" s="610">
        <v>0.05</v>
      </c>
      <c r="R271" s="610">
        <v>0.05</v>
      </c>
      <c r="S271" s="610">
        <v>0.05</v>
      </c>
      <c r="T271" s="610">
        <v>0.05</v>
      </c>
      <c r="U271" s="610">
        <v>0.05</v>
      </c>
      <c r="V271" s="610">
        <v>0.05</v>
      </c>
      <c r="W271" s="610">
        <v>0.05</v>
      </c>
      <c r="X271" s="610">
        <v>0.05</v>
      </c>
      <c r="Y271" s="610">
        <v>0.05</v>
      </c>
      <c r="Z271" s="610">
        <v>0.05</v>
      </c>
      <c r="AA271" s="610">
        <v>0.05</v>
      </c>
      <c r="AB271" s="610">
        <v>0.05</v>
      </c>
      <c r="AC271" s="370">
        <v>0.05</v>
      </c>
    </row>
    <row r="272" spans="1:29" customFormat="1" ht="15" thickBot="1" x14ac:dyDescent="0.35">
      <c r="A272" s="772"/>
      <c r="B272" s="773"/>
      <c r="C272" s="778"/>
      <c r="D272" s="781"/>
      <c r="E272" s="455" t="s">
        <v>745</v>
      </c>
      <c r="F272" s="459">
        <v>0.05</v>
      </c>
      <c r="G272" s="372">
        <v>0.05</v>
      </c>
      <c r="H272" s="372">
        <v>0.05</v>
      </c>
      <c r="I272" s="372">
        <v>0.05</v>
      </c>
      <c r="J272" s="372">
        <v>0.05</v>
      </c>
      <c r="K272" s="372">
        <v>0.05</v>
      </c>
      <c r="L272" s="372">
        <v>0.05</v>
      </c>
      <c r="M272" s="372">
        <v>0.3</v>
      </c>
      <c r="N272" s="372">
        <v>0.6</v>
      </c>
      <c r="O272" s="372">
        <v>0.65</v>
      </c>
      <c r="P272" s="372">
        <v>0.65</v>
      </c>
      <c r="Q272" s="372">
        <v>0.65</v>
      </c>
      <c r="R272" s="372">
        <v>0.55000000000000004</v>
      </c>
      <c r="S272" s="372">
        <v>0.55000000000000004</v>
      </c>
      <c r="T272" s="372">
        <v>0.05</v>
      </c>
      <c r="U272" s="372">
        <v>0.05</v>
      </c>
      <c r="V272" s="372">
        <v>0.05</v>
      </c>
      <c r="W272" s="372">
        <v>0.05</v>
      </c>
      <c r="X272" s="372">
        <v>0.05</v>
      </c>
      <c r="Y272" s="372">
        <v>0.05</v>
      </c>
      <c r="Z272" s="372">
        <v>0.05</v>
      </c>
      <c r="AA272" s="372">
        <v>0.05</v>
      </c>
      <c r="AB272" s="372">
        <v>0.05</v>
      </c>
      <c r="AC272" s="373">
        <v>0.05</v>
      </c>
    </row>
    <row r="273" spans="1:29" customFormat="1" ht="15" customHeight="1" x14ac:dyDescent="0.3">
      <c r="A273" s="769" t="s">
        <v>748</v>
      </c>
      <c r="B273" s="763" t="s">
        <v>116</v>
      </c>
      <c r="C273" s="776" t="s">
        <v>692</v>
      </c>
      <c r="D273" s="779" t="s">
        <v>749</v>
      </c>
      <c r="E273" s="453" t="s">
        <v>702</v>
      </c>
      <c r="F273" s="456">
        <v>0.05</v>
      </c>
      <c r="G273" s="609">
        <v>0.05</v>
      </c>
      <c r="H273" s="609">
        <v>0.05</v>
      </c>
      <c r="I273" s="609">
        <v>0.05</v>
      </c>
      <c r="J273" s="609">
        <v>0.05</v>
      </c>
      <c r="K273" s="609">
        <v>0.05</v>
      </c>
      <c r="L273" s="609">
        <v>0.05</v>
      </c>
      <c r="M273" s="609">
        <v>0.3</v>
      </c>
      <c r="N273" s="609">
        <v>0.85</v>
      </c>
      <c r="O273" s="609">
        <v>0.95</v>
      </c>
      <c r="P273" s="609">
        <v>0.95</v>
      </c>
      <c r="Q273" s="609">
        <v>0.95</v>
      </c>
      <c r="R273" s="609">
        <v>0.8</v>
      </c>
      <c r="S273" s="609">
        <v>0.8</v>
      </c>
      <c r="T273" s="609">
        <v>0.8</v>
      </c>
      <c r="U273" s="609">
        <v>0.7</v>
      </c>
      <c r="V273" s="609">
        <v>0.5</v>
      </c>
      <c r="W273" s="609">
        <v>0.5</v>
      </c>
      <c r="X273" s="609">
        <v>0.35</v>
      </c>
      <c r="Y273" s="609">
        <v>0.35</v>
      </c>
      <c r="Z273" s="609">
        <v>0.35</v>
      </c>
      <c r="AA273" s="609">
        <v>0.3</v>
      </c>
      <c r="AB273" s="609">
        <v>0.05</v>
      </c>
      <c r="AC273" s="369">
        <v>0.05</v>
      </c>
    </row>
    <row r="274" spans="1:29" customFormat="1" ht="14.4" x14ac:dyDescent="0.3">
      <c r="A274" s="770"/>
      <c r="B274" s="764"/>
      <c r="C274" s="777"/>
      <c r="D274" s="780"/>
      <c r="E274" s="454" t="s">
        <v>703</v>
      </c>
      <c r="F274" s="457">
        <v>0.05</v>
      </c>
      <c r="G274" s="610">
        <v>0.05</v>
      </c>
      <c r="H274" s="610">
        <v>0.05</v>
      </c>
      <c r="I274" s="610">
        <v>0.05</v>
      </c>
      <c r="J274" s="610">
        <v>0.05</v>
      </c>
      <c r="K274" s="610">
        <v>0.05</v>
      </c>
      <c r="L274" s="610">
        <v>0.05</v>
      </c>
      <c r="M274" s="610">
        <v>0.05</v>
      </c>
      <c r="N274" s="610">
        <v>0.15</v>
      </c>
      <c r="O274" s="610">
        <v>0.15</v>
      </c>
      <c r="P274" s="610">
        <v>0.15</v>
      </c>
      <c r="Q274" s="610">
        <v>0.15</v>
      </c>
      <c r="R274" s="610">
        <v>0.15</v>
      </c>
      <c r="S274" s="610">
        <v>0.05</v>
      </c>
      <c r="T274" s="610">
        <v>0.05</v>
      </c>
      <c r="U274" s="610">
        <v>0.05</v>
      </c>
      <c r="V274" s="610">
        <v>0.05</v>
      </c>
      <c r="W274" s="610">
        <v>0.05</v>
      </c>
      <c r="X274" s="610">
        <v>0.05</v>
      </c>
      <c r="Y274" s="610">
        <v>0.05</v>
      </c>
      <c r="Z274" s="610">
        <v>0.05</v>
      </c>
      <c r="AA274" s="610">
        <v>0.05</v>
      </c>
      <c r="AB274" s="610">
        <v>0.05</v>
      </c>
      <c r="AC274" s="370">
        <v>0.05</v>
      </c>
    </row>
    <row r="275" spans="1:29" customFormat="1" ht="14.4" x14ac:dyDescent="0.3">
      <c r="A275" s="770"/>
      <c r="B275" s="764"/>
      <c r="C275" s="777"/>
      <c r="D275" s="780"/>
      <c r="E275" s="454" t="s">
        <v>704</v>
      </c>
      <c r="F275" s="457">
        <v>0.05</v>
      </c>
      <c r="G275" s="610">
        <v>0.05</v>
      </c>
      <c r="H275" s="610">
        <v>0.05</v>
      </c>
      <c r="I275" s="610">
        <v>0.05</v>
      </c>
      <c r="J275" s="610">
        <v>0.05</v>
      </c>
      <c r="K275" s="610">
        <v>0.05</v>
      </c>
      <c r="L275" s="610">
        <v>0.05</v>
      </c>
      <c r="M275" s="610">
        <v>0.05</v>
      </c>
      <c r="N275" s="610">
        <v>0.05</v>
      </c>
      <c r="O275" s="610">
        <v>0.05</v>
      </c>
      <c r="P275" s="610">
        <v>0.05</v>
      </c>
      <c r="Q275" s="610">
        <v>0.05</v>
      </c>
      <c r="R275" s="610">
        <v>0.05</v>
      </c>
      <c r="S275" s="610">
        <v>0.05</v>
      </c>
      <c r="T275" s="610">
        <v>0.05</v>
      </c>
      <c r="U275" s="610">
        <v>0.05</v>
      </c>
      <c r="V275" s="610">
        <v>0.05</v>
      </c>
      <c r="W275" s="610">
        <v>0.05</v>
      </c>
      <c r="X275" s="610">
        <v>0.05</v>
      </c>
      <c r="Y275" s="610">
        <v>0.05</v>
      </c>
      <c r="Z275" s="610">
        <v>0.05</v>
      </c>
      <c r="AA275" s="610">
        <v>0.05</v>
      </c>
      <c r="AB275" s="610">
        <v>0.05</v>
      </c>
      <c r="AC275" s="370">
        <v>0.05</v>
      </c>
    </row>
    <row r="276" spans="1:29" customFormat="1" ht="15" thickBot="1" x14ac:dyDescent="0.35">
      <c r="A276" s="772"/>
      <c r="B276" s="773"/>
      <c r="C276" s="778"/>
      <c r="D276" s="781"/>
      <c r="E276" s="455" t="s">
        <v>745</v>
      </c>
      <c r="F276" s="459">
        <v>0.05</v>
      </c>
      <c r="G276" s="372">
        <v>0.05</v>
      </c>
      <c r="H276" s="372">
        <v>0.05</v>
      </c>
      <c r="I276" s="372">
        <v>0.05</v>
      </c>
      <c r="J276" s="372">
        <v>0.05</v>
      </c>
      <c r="K276" s="372">
        <v>0.05</v>
      </c>
      <c r="L276" s="372">
        <v>0.05</v>
      </c>
      <c r="M276" s="372">
        <v>0.3</v>
      </c>
      <c r="N276" s="372">
        <v>0.85</v>
      </c>
      <c r="O276" s="372">
        <v>0.95</v>
      </c>
      <c r="P276" s="372">
        <v>0.95</v>
      </c>
      <c r="Q276" s="372">
        <v>0.95</v>
      </c>
      <c r="R276" s="372">
        <v>0.8</v>
      </c>
      <c r="S276" s="372">
        <v>0.8</v>
      </c>
      <c r="T276" s="372">
        <v>0.05</v>
      </c>
      <c r="U276" s="372">
        <v>0.05</v>
      </c>
      <c r="V276" s="372">
        <v>0.05</v>
      </c>
      <c r="W276" s="372">
        <v>0.05</v>
      </c>
      <c r="X276" s="372">
        <v>0.05</v>
      </c>
      <c r="Y276" s="372">
        <v>0.05</v>
      </c>
      <c r="Z276" s="372">
        <v>0.05</v>
      </c>
      <c r="AA276" s="372">
        <v>0.05</v>
      </c>
      <c r="AB276" s="372">
        <v>0.05</v>
      </c>
      <c r="AC276" s="373">
        <v>0.05</v>
      </c>
    </row>
    <row r="277" spans="1:29" customFormat="1" ht="15" customHeight="1" x14ac:dyDescent="0.3">
      <c r="A277" s="769" t="s">
        <v>748</v>
      </c>
      <c r="B277" s="763" t="s">
        <v>116</v>
      </c>
      <c r="C277" s="776" t="s">
        <v>693</v>
      </c>
      <c r="D277" s="779" t="s">
        <v>749</v>
      </c>
      <c r="E277" s="453" t="s">
        <v>702</v>
      </c>
      <c r="F277" s="456">
        <v>0.05</v>
      </c>
      <c r="G277" s="609">
        <v>0.05</v>
      </c>
      <c r="H277" s="609">
        <v>0.05</v>
      </c>
      <c r="I277" s="609">
        <v>0.05</v>
      </c>
      <c r="J277" s="609">
        <v>0.05</v>
      </c>
      <c r="K277" s="609">
        <v>0.05</v>
      </c>
      <c r="L277" s="609">
        <v>0.05</v>
      </c>
      <c r="M277" s="609">
        <v>0.1</v>
      </c>
      <c r="N277" s="609">
        <v>0.34</v>
      </c>
      <c r="O277" s="609">
        <v>0.6</v>
      </c>
      <c r="P277" s="609">
        <v>0.63</v>
      </c>
      <c r="Q277" s="609">
        <v>0.72</v>
      </c>
      <c r="R277" s="609">
        <v>0.79</v>
      </c>
      <c r="S277" s="609">
        <v>0.83</v>
      </c>
      <c r="T277" s="609">
        <v>0.61</v>
      </c>
      <c r="U277" s="609">
        <v>0.65</v>
      </c>
      <c r="V277" s="609">
        <v>0.1</v>
      </c>
      <c r="W277" s="609">
        <v>0.1</v>
      </c>
      <c r="X277" s="609">
        <v>0.19</v>
      </c>
      <c r="Y277" s="609">
        <v>0.25</v>
      </c>
      <c r="Z277" s="609">
        <v>0.22</v>
      </c>
      <c r="AA277" s="609">
        <v>0.22</v>
      </c>
      <c r="AB277" s="609">
        <v>0.12</v>
      </c>
      <c r="AC277" s="369">
        <v>0.09</v>
      </c>
    </row>
    <row r="278" spans="1:29" customFormat="1" ht="14.4" x14ac:dyDescent="0.3">
      <c r="A278" s="770"/>
      <c r="B278" s="764"/>
      <c r="C278" s="777"/>
      <c r="D278" s="780"/>
      <c r="E278" s="454" t="s">
        <v>703</v>
      </c>
      <c r="F278" s="457">
        <v>0.03</v>
      </c>
      <c r="G278" s="610">
        <v>0.03</v>
      </c>
      <c r="H278" s="610">
        <v>0.03</v>
      </c>
      <c r="I278" s="610">
        <v>0.03</v>
      </c>
      <c r="J278" s="610">
        <v>0.03</v>
      </c>
      <c r="K278" s="610">
        <v>0.03</v>
      </c>
      <c r="L278" s="610">
        <v>0.03</v>
      </c>
      <c r="M278" s="610">
        <v>0.03</v>
      </c>
      <c r="N278" s="610">
        <v>0.03</v>
      </c>
      <c r="O278" s="610">
        <v>0.05</v>
      </c>
      <c r="P278" s="610">
        <v>0.05</v>
      </c>
      <c r="Q278" s="610">
        <v>0.05</v>
      </c>
      <c r="R278" s="610">
        <v>0.05</v>
      </c>
      <c r="S278" s="610">
        <v>0.03</v>
      </c>
      <c r="T278" s="610">
        <v>0.03</v>
      </c>
      <c r="U278" s="610">
        <v>0.03</v>
      </c>
      <c r="V278" s="610">
        <v>0.03</v>
      </c>
      <c r="W278" s="610">
        <v>0.03</v>
      </c>
      <c r="X278" s="610">
        <v>0.03</v>
      </c>
      <c r="Y278" s="610">
        <v>0.03</v>
      </c>
      <c r="Z278" s="610">
        <v>0.03</v>
      </c>
      <c r="AA278" s="610">
        <v>0.03</v>
      </c>
      <c r="AB278" s="610">
        <v>0.03</v>
      </c>
      <c r="AC278" s="370">
        <v>0.03</v>
      </c>
    </row>
    <row r="279" spans="1:29" customFormat="1" ht="14.4" x14ac:dyDescent="0.3">
      <c r="A279" s="770"/>
      <c r="B279" s="764"/>
      <c r="C279" s="777"/>
      <c r="D279" s="780"/>
      <c r="E279" s="454" t="s">
        <v>704</v>
      </c>
      <c r="F279" s="457">
        <v>0.03</v>
      </c>
      <c r="G279" s="610">
        <v>0.03</v>
      </c>
      <c r="H279" s="610">
        <v>0.03</v>
      </c>
      <c r="I279" s="610">
        <v>0.03</v>
      </c>
      <c r="J279" s="610">
        <v>0.03</v>
      </c>
      <c r="K279" s="610">
        <v>0.03</v>
      </c>
      <c r="L279" s="610">
        <v>0.03</v>
      </c>
      <c r="M279" s="610">
        <v>0.03</v>
      </c>
      <c r="N279" s="610">
        <v>0.05</v>
      </c>
      <c r="O279" s="610">
        <v>0.05</v>
      </c>
      <c r="P279" s="610">
        <v>0.05</v>
      </c>
      <c r="Q279" s="610">
        <v>0.05</v>
      </c>
      <c r="R279" s="610">
        <v>0.05</v>
      </c>
      <c r="S279" s="610">
        <v>0.05</v>
      </c>
      <c r="T279" s="610">
        <v>0.03</v>
      </c>
      <c r="U279" s="610">
        <v>0.03</v>
      </c>
      <c r="V279" s="610">
        <v>0.03</v>
      </c>
      <c r="W279" s="610">
        <v>0.03</v>
      </c>
      <c r="X279" s="610">
        <v>0.03</v>
      </c>
      <c r="Y279" s="610">
        <v>0.03</v>
      </c>
      <c r="Z279" s="610">
        <v>0.03</v>
      </c>
      <c r="AA279" s="610">
        <v>0.03</v>
      </c>
      <c r="AB279" s="610">
        <v>0.03</v>
      </c>
      <c r="AC279" s="370">
        <v>0.03</v>
      </c>
    </row>
    <row r="280" spans="1:29" customFormat="1" ht="15" thickBot="1" x14ac:dyDescent="0.35">
      <c r="A280" s="772"/>
      <c r="B280" s="773"/>
      <c r="C280" s="778"/>
      <c r="D280" s="781"/>
      <c r="E280" s="455" t="s">
        <v>745</v>
      </c>
      <c r="F280" s="458">
        <v>0.03</v>
      </c>
      <c r="G280" s="611">
        <v>0.03</v>
      </c>
      <c r="H280" s="611">
        <v>0.03</v>
      </c>
      <c r="I280" s="611">
        <v>0.03</v>
      </c>
      <c r="J280" s="611">
        <v>0.03</v>
      </c>
      <c r="K280" s="611">
        <v>0.03</v>
      </c>
      <c r="L280" s="611">
        <v>0.03</v>
      </c>
      <c r="M280" s="611">
        <v>0.1</v>
      </c>
      <c r="N280" s="611">
        <v>0.34</v>
      </c>
      <c r="O280" s="611">
        <v>0.6</v>
      </c>
      <c r="P280" s="611">
        <v>0.63</v>
      </c>
      <c r="Q280" s="611">
        <v>0.72</v>
      </c>
      <c r="R280" s="611">
        <v>0.79</v>
      </c>
      <c r="S280" s="611">
        <v>0.83</v>
      </c>
      <c r="T280" s="611">
        <v>0.03</v>
      </c>
      <c r="U280" s="611">
        <v>0.03</v>
      </c>
      <c r="V280" s="611">
        <v>0.03</v>
      </c>
      <c r="W280" s="611">
        <v>0.03</v>
      </c>
      <c r="X280" s="611">
        <v>0.03</v>
      </c>
      <c r="Y280" s="611">
        <v>0.03</v>
      </c>
      <c r="Z280" s="611">
        <v>0.03</v>
      </c>
      <c r="AA280" s="611">
        <v>0.03</v>
      </c>
      <c r="AB280" s="611">
        <v>0.03</v>
      </c>
      <c r="AC280" s="371">
        <v>0.03</v>
      </c>
    </row>
    <row r="281" spans="1:29" customFormat="1" ht="15" customHeight="1" x14ac:dyDescent="0.3">
      <c r="A281" s="769" t="s">
        <v>748</v>
      </c>
      <c r="B281" s="763" t="s">
        <v>116</v>
      </c>
      <c r="C281" s="776" t="s">
        <v>697</v>
      </c>
      <c r="D281" s="779" t="s">
        <v>749</v>
      </c>
      <c r="E281" s="453" t="s">
        <v>702</v>
      </c>
      <c r="F281" s="461">
        <v>0</v>
      </c>
      <c r="G281" s="375">
        <v>0</v>
      </c>
      <c r="H281" s="375">
        <v>0</v>
      </c>
      <c r="I281" s="375">
        <v>0</v>
      </c>
      <c r="J281" s="375">
        <v>0</v>
      </c>
      <c r="K281" s="375">
        <v>0</v>
      </c>
      <c r="L281" s="375">
        <v>1</v>
      </c>
      <c r="M281" s="375">
        <v>1</v>
      </c>
      <c r="N281" s="375">
        <v>1</v>
      </c>
      <c r="O281" s="375">
        <v>1</v>
      </c>
      <c r="P281" s="375">
        <v>1</v>
      </c>
      <c r="Q281" s="375">
        <v>1</v>
      </c>
      <c r="R281" s="375">
        <v>1</v>
      </c>
      <c r="S281" s="375">
        <v>1</v>
      </c>
      <c r="T281" s="375">
        <v>1</v>
      </c>
      <c r="U281" s="375">
        <v>1</v>
      </c>
      <c r="V281" s="375">
        <v>1</v>
      </c>
      <c r="W281" s="375">
        <v>1</v>
      </c>
      <c r="X281" s="375">
        <v>1</v>
      </c>
      <c r="Y281" s="375">
        <v>1</v>
      </c>
      <c r="Z281" s="375">
        <v>1</v>
      </c>
      <c r="AA281" s="375">
        <v>1</v>
      </c>
      <c r="AB281" s="375">
        <v>0</v>
      </c>
      <c r="AC281" s="460">
        <v>0</v>
      </c>
    </row>
    <row r="282" spans="1:29" customFormat="1" ht="14.4" x14ac:dyDescent="0.3">
      <c r="A282" s="770"/>
      <c r="B282" s="764"/>
      <c r="C282" s="777"/>
      <c r="D282" s="780"/>
      <c r="E282" s="454" t="s">
        <v>703</v>
      </c>
      <c r="F282" s="457">
        <v>0</v>
      </c>
      <c r="G282" s="610">
        <v>0</v>
      </c>
      <c r="H282" s="610">
        <v>0</v>
      </c>
      <c r="I282" s="610">
        <v>0</v>
      </c>
      <c r="J282" s="610">
        <v>0</v>
      </c>
      <c r="K282" s="610">
        <v>0</v>
      </c>
      <c r="L282" s="610">
        <v>0</v>
      </c>
      <c r="M282" s="610">
        <v>1</v>
      </c>
      <c r="N282" s="610">
        <v>1</v>
      </c>
      <c r="O282" s="610">
        <v>1</v>
      </c>
      <c r="P282" s="610">
        <v>1</v>
      </c>
      <c r="Q282" s="610">
        <v>1</v>
      </c>
      <c r="R282" s="610">
        <v>1</v>
      </c>
      <c r="S282" s="610">
        <v>0</v>
      </c>
      <c r="T282" s="610">
        <v>0</v>
      </c>
      <c r="U282" s="610">
        <v>0</v>
      </c>
      <c r="V282" s="610">
        <v>0</v>
      </c>
      <c r="W282" s="610">
        <v>0</v>
      </c>
      <c r="X282" s="610">
        <v>0</v>
      </c>
      <c r="Y282" s="610">
        <v>0</v>
      </c>
      <c r="Z282" s="610">
        <v>0</v>
      </c>
      <c r="AA282" s="610">
        <v>0</v>
      </c>
      <c r="AB282" s="610">
        <v>0</v>
      </c>
      <c r="AC282" s="370">
        <v>0</v>
      </c>
    </row>
    <row r="283" spans="1:29" customFormat="1" ht="14.4" x14ac:dyDescent="0.3">
      <c r="A283" s="770"/>
      <c r="B283" s="764"/>
      <c r="C283" s="777"/>
      <c r="D283" s="780"/>
      <c r="E283" s="454" t="s">
        <v>704</v>
      </c>
      <c r="F283" s="457">
        <v>0</v>
      </c>
      <c r="G283" s="610">
        <v>0</v>
      </c>
      <c r="H283" s="610">
        <v>0</v>
      </c>
      <c r="I283" s="610">
        <v>0</v>
      </c>
      <c r="J283" s="610">
        <v>0</v>
      </c>
      <c r="K283" s="610">
        <v>0</v>
      </c>
      <c r="L283" s="610">
        <v>0</v>
      </c>
      <c r="M283" s="610">
        <v>0</v>
      </c>
      <c r="N283" s="610">
        <v>0</v>
      </c>
      <c r="O283" s="610">
        <v>0</v>
      </c>
      <c r="P283" s="610">
        <v>0</v>
      </c>
      <c r="Q283" s="610">
        <v>0</v>
      </c>
      <c r="R283" s="610">
        <v>0</v>
      </c>
      <c r="S283" s="610">
        <v>0</v>
      </c>
      <c r="T283" s="610">
        <v>0</v>
      </c>
      <c r="U283" s="610">
        <v>0</v>
      </c>
      <c r="V283" s="610">
        <v>0</v>
      </c>
      <c r="W283" s="610">
        <v>0</v>
      </c>
      <c r="X283" s="610">
        <v>0</v>
      </c>
      <c r="Y283" s="610">
        <v>0</v>
      </c>
      <c r="Z283" s="610">
        <v>0</v>
      </c>
      <c r="AA283" s="610">
        <v>0</v>
      </c>
      <c r="AB283" s="610">
        <v>0</v>
      </c>
      <c r="AC283" s="370">
        <v>0</v>
      </c>
    </row>
    <row r="284" spans="1:29" customFormat="1" ht="15" thickBot="1" x14ac:dyDescent="0.35">
      <c r="A284" s="772"/>
      <c r="B284" s="773"/>
      <c r="C284" s="778"/>
      <c r="D284" s="781"/>
      <c r="E284" s="455" t="s">
        <v>745</v>
      </c>
      <c r="F284" s="459">
        <v>0</v>
      </c>
      <c r="G284" s="372">
        <v>0</v>
      </c>
      <c r="H284" s="372">
        <v>0</v>
      </c>
      <c r="I284" s="372">
        <v>0</v>
      </c>
      <c r="J284" s="372">
        <v>0</v>
      </c>
      <c r="K284" s="372">
        <v>0</v>
      </c>
      <c r="L284" s="372">
        <v>0</v>
      </c>
      <c r="M284" s="372">
        <v>1</v>
      </c>
      <c r="N284" s="372">
        <v>1</v>
      </c>
      <c r="O284" s="372">
        <v>1</v>
      </c>
      <c r="P284" s="372">
        <v>1</v>
      </c>
      <c r="Q284" s="372">
        <v>1</v>
      </c>
      <c r="R284" s="372">
        <v>1</v>
      </c>
      <c r="S284" s="372">
        <v>1</v>
      </c>
      <c r="T284" s="372">
        <v>0</v>
      </c>
      <c r="U284" s="372">
        <v>0</v>
      </c>
      <c r="V284" s="372">
        <v>0</v>
      </c>
      <c r="W284" s="372">
        <v>0</v>
      </c>
      <c r="X284" s="372">
        <v>0</v>
      </c>
      <c r="Y284" s="372">
        <v>0</v>
      </c>
      <c r="Z284" s="372">
        <v>0</v>
      </c>
      <c r="AA284" s="372">
        <v>0</v>
      </c>
      <c r="AB284" s="372">
        <v>0</v>
      </c>
      <c r="AC284" s="373">
        <v>0</v>
      </c>
    </row>
    <row r="285" spans="1:29" customFormat="1" ht="15" customHeight="1" x14ac:dyDescent="0.3">
      <c r="A285" s="769" t="s">
        <v>748</v>
      </c>
      <c r="B285" s="763" t="s">
        <v>116</v>
      </c>
      <c r="C285" s="776" t="s">
        <v>698</v>
      </c>
      <c r="D285" s="779" t="s">
        <v>750</v>
      </c>
      <c r="E285" s="487" t="s">
        <v>702</v>
      </c>
      <c r="F285" s="456">
        <f>Thermostat!$B$15</f>
        <v>60</v>
      </c>
      <c r="G285" s="609">
        <f>Thermostat!$B$15</f>
        <v>60</v>
      </c>
      <c r="H285" s="609">
        <f>Thermostat!$B$15</f>
        <v>60</v>
      </c>
      <c r="I285" s="609">
        <f>Thermostat!$B$15</f>
        <v>60</v>
      </c>
      <c r="J285" s="609">
        <f>Thermostat!$B$15</f>
        <v>60</v>
      </c>
      <c r="K285" s="609">
        <f>Thermostat!$B$15</f>
        <v>60</v>
      </c>
      <c r="L285" s="609">
        <f>Thermostat!$B$15</f>
        <v>60</v>
      </c>
      <c r="M285" s="609">
        <f>Thermostat!$B$15</f>
        <v>60</v>
      </c>
      <c r="N285" s="609">
        <f>Thermostat!$B$15</f>
        <v>60</v>
      </c>
      <c r="O285" s="609">
        <f>Thermostat!$B$15</f>
        <v>60</v>
      </c>
      <c r="P285" s="609">
        <f>Thermostat!$B$15</f>
        <v>60</v>
      </c>
      <c r="Q285" s="609">
        <f>Thermostat!$B$15</f>
        <v>60</v>
      </c>
      <c r="R285" s="609">
        <f>Thermostat!$B$15</f>
        <v>60</v>
      </c>
      <c r="S285" s="609">
        <f>Thermostat!$B$15</f>
        <v>60</v>
      </c>
      <c r="T285" s="609">
        <f>Thermostat!$B$15</f>
        <v>60</v>
      </c>
      <c r="U285" s="609">
        <f>Thermostat!$B$15</f>
        <v>60</v>
      </c>
      <c r="V285" s="609">
        <f>Thermostat!$B$15</f>
        <v>60</v>
      </c>
      <c r="W285" s="609">
        <f>Thermostat!$B$15</f>
        <v>60</v>
      </c>
      <c r="X285" s="609">
        <f>Thermostat!$B$15</f>
        <v>60</v>
      </c>
      <c r="Y285" s="609">
        <f>Thermostat!$B$15</f>
        <v>60</v>
      </c>
      <c r="Z285" s="609">
        <f>Thermostat!$B$15</f>
        <v>60</v>
      </c>
      <c r="AA285" s="609">
        <f>Thermostat!$B$15</f>
        <v>60</v>
      </c>
      <c r="AB285" s="609">
        <f>Thermostat!$B$15</f>
        <v>60</v>
      </c>
      <c r="AC285" s="369">
        <f>Thermostat!$B$15</f>
        <v>60</v>
      </c>
    </row>
    <row r="286" spans="1:29" customFormat="1" ht="14.4" x14ac:dyDescent="0.3">
      <c r="A286" s="770"/>
      <c r="B286" s="764"/>
      <c r="C286" s="777"/>
      <c r="D286" s="780"/>
      <c r="E286" s="454" t="s">
        <v>703</v>
      </c>
      <c r="F286" s="457">
        <f>Thermostat!$B$15</f>
        <v>60</v>
      </c>
      <c r="G286" s="610">
        <f>Thermostat!$B$15</f>
        <v>60</v>
      </c>
      <c r="H286" s="610">
        <f>Thermostat!$B$15</f>
        <v>60</v>
      </c>
      <c r="I286" s="610">
        <f>Thermostat!$B$15</f>
        <v>60</v>
      </c>
      <c r="J286" s="610">
        <f>Thermostat!$B$15</f>
        <v>60</v>
      </c>
      <c r="K286" s="610">
        <f>Thermostat!$B$15</f>
        <v>60</v>
      </c>
      <c r="L286" s="610">
        <f>Thermostat!$B$15</f>
        <v>60</v>
      </c>
      <c r="M286" s="610">
        <f>Thermostat!$B$15</f>
        <v>60</v>
      </c>
      <c r="N286" s="610">
        <f>Thermostat!$B$15</f>
        <v>60</v>
      </c>
      <c r="O286" s="610">
        <f>Thermostat!$B$15</f>
        <v>60</v>
      </c>
      <c r="P286" s="610">
        <f>Thermostat!$B$15</f>
        <v>60</v>
      </c>
      <c r="Q286" s="610">
        <f>Thermostat!$B$15</f>
        <v>60</v>
      </c>
      <c r="R286" s="610">
        <f>Thermostat!$B$15</f>
        <v>60</v>
      </c>
      <c r="S286" s="610">
        <f>Thermostat!$B$15</f>
        <v>60</v>
      </c>
      <c r="T286" s="610">
        <f>Thermostat!$B$15</f>
        <v>60</v>
      </c>
      <c r="U286" s="610">
        <f>Thermostat!$B$15</f>
        <v>60</v>
      </c>
      <c r="V286" s="610">
        <f>Thermostat!$B$15</f>
        <v>60</v>
      </c>
      <c r="W286" s="610">
        <f>Thermostat!$B$15</f>
        <v>60</v>
      </c>
      <c r="X286" s="610">
        <f>Thermostat!$B$15</f>
        <v>60</v>
      </c>
      <c r="Y286" s="610">
        <f>Thermostat!$B$15</f>
        <v>60</v>
      </c>
      <c r="Z286" s="610">
        <f>Thermostat!$B$15</f>
        <v>60</v>
      </c>
      <c r="AA286" s="610">
        <f>Thermostat!$B$15</f>
        <v>60</v>
      </c>
      <c r="AB286" s="610">
        <f>Thermostat!$B$15</f>
        <v>60</v>
      </c>
      <c r="AC286" s="370">
        <f>Thermostat!$B$15</f>
        <v>60</v>
      </c>
    </row>
    <row r="287" spans="1:29" customFormat="1" ht="14.4" x14ac:dyDescent="0.3">
      <c r="A287" s="770"/>
      <c r="B287" s="764"/>
      <c r="C287" s="777"/>
      <c r="D287" s="780"/>
      <c r="E287" s="454" t="s">
        <v>704</v>
      </c>
      <c r="F287" s="457">
        <f>Thermostat!$B$15</f>
        <v>60</v>
      </c>
      <c r="G287" s="610">
        <f>Thermostat!$B$15</f>
        <v>60</v>
      </c>
      <c r="H287" s="610">
        <f>Thermostat!$B$15</f>
        <v>60</v>
      </c>
      <c r="I287" s="610">
        <f>Thermostat!$B$15</f>
        <v>60</v>
      </c>
      <c r="J287" s="610">
        <f>Thermostat!$B$15</f>
        <v>60</v>
      </c>
      <c r="K287" s="610">
        <f>Thermostat!$B$15</f>
        <v>60</v>
      </c>
      <c r="L287" s="610">
        <f>Thermostat!$B$15</f>
        <v>60</v>
      </c>
      <c r="M287" s="610">
        <f>Thermostat!$B$15</f>
        <v>60</v>
      </c>
      <c r="N287" s="610">
        <f>Thermostat!$B$15</f>
        <v>60</v>
      </c>
      <c r="O287" s="610">
        <f>Thermostat!$B$15</f>
        <v>60</v>
      </c>
      <c r="P287" s="610">
        <f>Thermostat!$B$15</f>
        <v>60</v>
      </c>
      <c r="Q287" s="610">
        <f>Thermostat!$B$15</f>
        <v>60</v>
      </c>
      <c r="R287" s="610">
        <f>Thermostat!$B$15</f>
        <v>60</v>
      </c>
      <c r="S287" s="610">
        <f>Thermostat!$B$15</f>
        <v>60</v>
      </c>
      <c r="T287" s="610">
        <f>Thermostat!$B$15</f>
        <v>60</v>
      </c>
      <c r="U287" s="610">
        <f>Thermostat!$B$15</f>
        <v>60</v>
      </c>
      <c r="V287" s="610">
        <f>Thermostat!$B$15</f>
        <v>60</v>
      </c>
      <c r="W287" s="610">
        <f>Thermostat!$B$15</f>
        <v>60</v>
      </c>
      <c r="X287" s="610">
        <f>Thermostat!$B$15</f>
        <v>60</v>
      </c>
      <c r="Y287" s="610">
        <f>Thermostat!$B$15</f>
        <v>60</v>
      </c>
      <c r="Z287" s="610">
        <f>Thermostat!$B$15</f>
        <v>60</v>
      </c>
      <c r="AA287" s="610">
        <f>Thermostat!$B$15</f>
        <v>60</v>
      </c>
      <c r="AB287" s="610">
        <f>Thermostat!$B$15</f>
        <v>60</v>
      </c>
      <c r="AC287" s="370">
        <f>Thermostat!$B$15</f>
        <v>60</v>
      </c>
    </row>
    <row r="288" spans="1:29" customFormat="1" ht="15" thickBot="1" x14ac:dyDescent="0.35">
      <c r="A288" s="772"/>
      <c r="B288" s="773"/>
      <c r="C288" s="778"/>
      <c r="D288" s="781"/>
      <c r="E288" s="455" t="s">
        <v>745</v>
      </c>
      <c r="F288" s="459">
        <v>60</v>
      </c>
      <c r="G288" s="372">
        <v>60</v>
      </c>
      <c r="H288" s="372">
        <v>60</v>
      </c>
      <c r="I288" s="372">
        <v>60</v>
      </c>
      <c r="J288" s="372">
        <v>60</v>
      </c>
      <c r="K288" s="372">
        <v>60</v>
      </c>
      <c r="L288" s="372">
        <v>60</v>
      </c>
      <c r="M288" s="372">
        <v>60</v>
      </c>
      <c r="N288" s="372">
        <v>60</v>
      </c>
      <c r="O288" s="372">
        <v>60</v>
      </c>
      <c r="P288" s="372">
        <v>60</v>
      </c>
      <c r="Q288" s="372">
        <v>60</v>
      </c>
      <c r="R288" s="372">
        <v>60</v>
      </c>
      <c r="S288" s="372">
        <v>60</v>
      </c>
      <c r="T288" s="372">
        <v>60</v>
      </c>
      <c r="U288" s="372">
        <v>60</v>
      </c>
      <c r="V288" s="372">
        <v>60</v>
      </c>
      <c r="W288" s="372">
        <v>60</v>
      </c>
      <c r="X288" s="372">
        <v>60</v>
      </c>
      <c r="Y288" s="372">
        <v>60</v>
      </c>
      <c r="Z288" s="372">
        <v>60</v>
      </c>
      <c r="AA288" s="372">
        <v>60</v>
      </c>
      <c r="AB288" s="372">
        <v>60</v>
      </c>
      <c r="AC288" s="373">
        <v>60</v>
      </c>
    </row>
    <row r="289" spans="1:29" customFormat="1" ht="15" customHeight="1" x14ac:dyDescent="0.3">
      <c r="A289" s="769" t="s">
        <v>748</v>
      </c>
      <c r="B289" s="763" t="s">
        <v>116</v>
      </c>
      <c r="C289" s="776" t="s">
        <v>699</v>
      </c>
      <c r="D289" s="779" t="s">
        <v>750</v>
      </c>
      <c r="E289" s="453" t="s">
        <v>702</v>
      </c>
      <c r="F289" s="456">
        <f>Thermostat!$B$17</f>
        <v>85</v>
      </c>
      <c r="G289" s="609">
        <f>Thermostat!$B$17</f>
        <v>85</v>
      </c>
      <c r="H289" s="609">
        <f>Thermostat!$B$17</f>
        <v>85</v>
      </c>
      <c r="I289" s="609">
        <f>Thermostat!$B$17</f>
        <v>85</v>
      </c>
      <c r="J289" s="609">
        <f>Thermostat!$B$17</f>
        <v>85</v>
      </c>
      <c r="K289" s="609">
        <f>Thermostat!$B$17</f>
        <v>85</v>
      </c>
      <c r="L289" s="609">
        <f>Thermostat!$B$17</f>
        <v>85</v>
      </c>
      <c r="M289" s="609">
        <f>Thermostat!$B$17</f>
        <v>85</v>
      </c>
      <c r="N289" s="609">
        <f>Thermostat!$B$17</f>
        <v>85</v>
      </c>
      <c r="O289" s="609">
        <f>Thermostat!$B$17</f>
        <v>85</v>
      </c>
      <c r="P289" s="609">
        <f>Thermostat!$B$17</f>
        <v>85</v>
      </c>
      <c r="Q289" s="609">
        <f>Thermostat!$B$17</f>
        <v>85</v>
      </c>
      <c r="R289" s="609">
        <f>Thermostat!$B$17</f>
        <v>85</v>
      </c>
      <c r="S289" s="609">
        <f>Thermostat!$B$17</f>
        <v>85</v>
      </c>
      <c r="T289" s="609">
        <f>Thermostat!$B$17</f>
        <v>85</v>
      </c>
      <c r="U289" s="609">
        <f>Thermostat!$B$17</f>
        <v>85</v>
      </c>
      <c r="V289" s="609">
        <f>Thermostat!$B$17</f>
        <v>85</v>
      </c>
      <c r="W289" s="609">
        <f>Thermostat!$B$17</f>
        <v>85</v>
      </c>
      <c r="X289" s="609">
        <f>Thermostat!$B$17</f>
        <v>85</v>
      </c>
      <c r="Y289" s="609">
        <f>Thermostat!$B$17</f>
        <v>85</v>
      </c>
      <c r="Z289" s="609">
        <f>Thermostat!$B$17</f>
        <v>85</v>
      </c>
      <c r="AA289" s="609">
        <f>Thermostat!$B$17</f>
        <v>85</v>
      </c>
      <c r="AB289" s="609">
        <f>Thermostat!$B$17</f>
        <v>85</v>
      </c>
      <c r="AC289" s="369">
        <f>Thermostat!$B$17</f>
        <v>85</v>
      </c>
    </row>
    <row r="290" spans="1:29" customFormat="1" ht="14.4" x14ac:dyDescent="0.3">
      <c r="A290" s="770"/>
      <c r="B290" s="764"/>
      <c r="C290" s="777"/>
      <c r="D290" s="780"/>
      <c r="E290" s="454" t="s">
        <v>703</v>
      </c>
      <c r="F290" s="457">
        <f>Thermostat!$B$17</f>
        <v>85</v>
      </c>
      <c r="G290" s="610">
        <f>Thermostat!$B$17</f>
        <v>85</v>
      </c>
      <c r="H290" s="610">
        <f>Thermostat!$B$17</f>
        <v>85</v>
      </c>
      <c r="I290" s="610">
        <f>Thermostat!$B$17</f>
        <v>85</v>
      </c>
      <c r="J290" s="610">
        <f>Thermostat!$B$17</f>
        <v>85</v>
      </c>
      <c r="K290" s="610">
        <f>Thermostat!$B$17</f>
        <v>85</v>
      </c>
      <c r="L290" s="610">
        <f>Thermostat!$B$17</f>
        <v>85</v>
      </c>
      <c r="M290" s="610">
        <f>Thermostat!$B$17</f>
        <v>85</v>
      </c>
      <c r="N290" s="610">
        <f>Thermostat!$B$17</f>
        <v>85</v>
      </c>
      <c r="O290" s="610">
        <f>Thermostat!$B$17</f>
        <v>85</v>
      </c>
      <c r="P290" s="610">
        <f>Thermostat!$B$17</f>
        <v>85</v>
      </c>
      <c r="Q290" s="610">
        <f>Thermostat!$B$17</f>
        <v>85</v>
      </c>
      <c r="R290" s="610">
        <f>Thermostat!$B$17</f>
        <v>85</v>
      </c>
      <c r="S290" s="610">
        <f>Thermostat!$B$17</f>
        <v>85</v>
      </c>
      <c r="T290" s="610">
        <f>Thermostat!$B$17</f>
        <v>85</v>
      </c>
      <c r="U290" s="610">
        <f>Thermostat!$B$17</f>
        <v>85</v>
      </c>
      <c r="V290" s="610">
        <f>Thermostat!$B$17</f>
        <v>85</v>
      </c>
      <c r="W290" s="610">
        <f>Thermostat!$B$17</f>
        <v>85</v>
      </c>
      <c r="X290" s="610">
        <f>Thermostat!$B$17</f>
        <v>85</v>
      </c>
      <c r="Y290" s="610">
        <f>Thermostat!$B$17</f>
        <v>85</v>
      </c>
      <c r="Z290" s="610">
        <f>Thermostat!$B$17</f>
        <v>85</v>
      </c>
      <c r="AA290" s="610">
        <f>Thermostat!$B$17</f>
        <v>85</v>
      </c>
      <c r="AB290" s="610">
        <f>Thermostat!$B$17</f>
        <v>85</v>
      </c>
      <c r="AC290" s="370">
        <f>Thermostat!$B$17</f>
        <v>85</v>
      </c>
    </row>
    <row r="291" spans="1:29" customFormat="1" ht="14.4" x14ac:dyDescent="0.3">
      <c r="A291" s="770"/>
      <c r="B291" s="764"/>
      <c r="C291" s="777"/>
      <c r="D291" s="780"/>
      <c r="E291" s="454" t="s">
        <v>704</v>
      </c>
      <c r="F291" s="457">
        <f>Thermostat!$B$17</f>
        <v>85</v>
      </c>
      <c r="G291" s="610">
        <f>Thermostat!$B$17</f>
        <v>85</v>
      </c>
      <c r="H291" s="610">
        <f>Thermostat!$B$17</f>
        <v>85</v>
      </c>
      <c r="I291" s="610">
        <f>Thermostat!$B$17</f>
        <v>85</v>
      </c>
      <c r="J291" s="610">
        <f>Thermostat!$B$17</f>
        <v>85</v>
      </c>
      <c r="K291" s="610">
        <f>Thermostat!$B$17</f>
        <v>85</v>
      </c>
      <c r="L291" s="610">
        <f>Thermostat!$B$17</f>
        <v>85</v>
      </c>
      <c r="M291" s="610">
        <f>Thermostat!$B$17</f>
        <v>85</v>
      </c>
      <c r="N291" s="610">
        <f>Thermostat!$B$17</f>
        <v>85</v>
      </c>
      <c r="O291" s="610">
        <f>Thermostat!$B$17</f>
        <v>85</v>
      </c>
      <c r="P291" s="610">
        <f>Thermostat!$B$17</f>
        <v>85</v>
      </c>
      <c r="Q291" s="610">
        <f>Thermostat!$B$17</f>
        <v>85</v>
      </c>
      <c r="R291" s="610">
        <f>Thermostat!$B$17</f>
        <v>85</v>
      </c>
      <c r="S291" s="610">
        <f>Thermostat!$B$17</f>
        <v>85</v>
      </c>
      <c r="T291" s="610">
        <f>Thermostat!$B$17</f>
        <v>85</v>
      </c>
      <c r="U291" s="610">
        <f>Thermostat!$B$17</f>
        <v>85</v>
      </c>
      <c r="V291" s="610">
        <f>Thermostat!$B$17</f>
        <v>85</v>
      </c>
      <c r="W291" s="610">
        <f>Thermostat!$B$17</f>
        <v>85</v>
      </c>
      <c r="X291" s="610">
        <f>Thermostat!$B$17</f>
        <v>85</v>
      </c>
      <c r="Y291" s="610">
        <f>Thermostat!$B$17</f>
        <v>85</v>
      </c>
      <c r="Z291" s="610">
        <f>Thermostat!$B$17</f>
        <v>85</v>
      </c>
      <c r="AA291" s="610">
        <f>Thermostat!$B$17</f>
        <v>85</v>
      </c>
      <c r="AB291" s="610">
        <f>Thermostat!$B$17</f>
        <v>85</v>
      </c>
      <c r="AC291" s="370">
        <f>Thermostat!$B$17</f>
        <v>85</v>
      </c>
    </row>
    <row r="292" spans="1:29" customFormat="1" ht="15" thickBot="1" x14ac:dyDescent="0.35">
      <c r="A292" s="772"/>
      <c r="B292" s="773"/>
      <c r="C292" s="778"/>
      <c r="D292" s="781"/>
      <c r="E292" s="455" t="s">
        <v>745</v>
      </c>
      <c r="F292" s="459">
        <v>85</v>
      </c>
      <c r="G292" s="372">
        <v>85</v>
      </c>
      <c r="H292" s="372">
        <v>85</v>
      </c>
      <c r="I292" s="372">
        <v>85</v>
      </c>
      <c r="J292" s="372">
        <v>85</v>
      </c>
      <c r="K292" s="372">
        <v>85</v>
      </c>
      <c r="L292" s="372">
        <v>85</v>
      </c>
      <c r="M292" s="372">
        <v>85</v>
      </c>
      <c r="N292" s="372">
        <v>85</v>
      </c>
      <c r="O292" s="372">
        <v>85</v>
      </c>
      <c r="P292" s="372">
        <v>85</v>
      </c>
      <c r="Q292" s="372">
        <v>85</v>
      </c>
      <c r="R292" s="372">
        <v>85</v>
      </c>
      <c r="S292" s="372">
        <v>85</v>
      </c>
      <c r="T292" s="372">
        <v>85</v>
      </c>
      <c r="U292" s="372">
        <v>85</v>
      </c>
      <c r="V292" s="372">
        <v>85</v>
      </c>
      <c r="W292" s="372">
        <v>85</v>
      </c>
      <c r="X292" s="372">
        <v>85</v>
      </c>
      <c r="Y292" s="372">
        <v>85</v>
      </c>
      <c r="Z292" s="372">
        <v>85</v>
      </c>
      <c r="AA292" s="372">
        <v>85</v>
      </c>
      <c r="AB292" s="372">
        <v>85</v>
      </c>
      <c r="AC292" s="373">
        <v>85</v>
      </c>
    </row>
    <row r="293" spans="1:29" customFormat="1" ht="15" customHeight="1" x14ac:dyDescent="0.3">
      <c r="A293" s="769" t="s">
        <v>748</v>
      </c>
      <c r="B293" s="763" t="s">
        <v>116</v>
      </c>
      <c r="C293" s="776" t="s">
        <v>286</v>
      </c>
      <c r="D293" s="779" t="s">
        <v>751</v>
      </c>
      <c r="E293" s="453" t="s">
        <v>702</v>
      </c>
      <c r="F293" s="456">
        <v>1</v>
      </c>
      <c r="G293" s="609">
        <v>1</v>
      </c>
      <c r="H293" s="609">
        <v>1</v>
      </c>
      <c r="I293" s="609">
        <v>1</v>
      </c>
      <c r="J293" s="609">
        <v>1</v>
      </c>
      <c r="K293" s="609">
        <v>1</v>
      </c>
      <c r="L293" s="609">
        <v>0.25</v>
      </c>
      <c r="M293" s="609">
        <v>0.25</v>
      </c>
      <c r="N293" s="609">
        <v>0.25</v>
      </c>
      <c r="O293" s="609">
        <v>0.25</v>
      </c>
      <c r="P293" s="609">
        <v>0.25</v>
      </c>
      <c r="Q293" s="609">
        <v>0.25</v>
      </c>
      <c r="R293" s="609">
        <v>0.25</v>
      </c>
      <c r="S293" s="609">
        <v>0.25</v>
      </c>
      <c r="T293" s="609">
        <v>0.25</v>
      </c>
      <c r="U293" s="609">
        <v>0.25</v>
      </c>
      <c r="V293" s="609">
        <v>0.25</v>
      </c>
      <c r="W293" s="609">
        <v>0.25</v>
      </c>
      <c r="X293" s="609">
        <v>0.25</v>
      </c>
      <c r="Y293" s="609">
        <v>0.25</v>
      </c>
      <c r="Z293" s="609">
        <v>0.25</v>
      </c>
      <c r="AA293" s="609">
        <v>0.25</v>
      </c>
      <c r="AB293" s="609">
        <v>1</v>
      </c>
      <c r="AC293" s="369">
        <v>1</v>
      </c>
    </row>
    <row r="294" spans="1:29" customFormat="1" ht="14.4" x14ac:dyDescent="0.3">
      <c r="A294" s="770"/>
      <c r="B294" s="764"/>
      <c r="C294" s="777"/>
      <c r="D294" s="780"/>
      <c r="E294" s="454" t="s">
        <v>703</v>
      </c>
      <c r="F294" s="457">
        <v>1</v>
      </c>
      <c r="G294" s="610">
        <v>1</v>
      </c>
      <c r="H294" s="610">
        <v>1</v>
      </c>
      <c r="I294" s="610">
        <v>1</v>
      </c>
      <c r="J294" s="610">
        <v>1</v>
      </c>
      <c r="K294" s="610">
        <v>1</v>
      </c>
      <c r="L294" s="610">
        <v>1</v>
      </c>
      <c r="M294" s="610">
        <v>0.25</v>
      </c>
      <c r="N294" s="610">
        <v>0.25</v>
      </c>
      <c r="O294" s="610">
        <v>0.25</v>
      </c>
      <c r="P294" s="610">
        <v>0.25</v>
      </c>
      <c r="Q294" s="610">
        <v>0.25</v>
      </c>
      <c r="R294" s="610">
        <v>0.25</v>
      </c>
      <c r="S294" s="610">
        <v>1</v>
      </c>
      <c r="T294" s="610">
        <v>1</v>
      </c>
      <c r="U294" s="610">
        <v>1</v>
      </c>
      <c r="V294" s="610">
        <v>1</v>
      </c>
      <c r="W294" s="610">
        <v>1</v>
      </c>
      <c r="X294" s="610">
        <v>1</v>
      </c>
      <c r="Y294" s="610">
        <v>1</v>
      </c>
      <c r="Z294" s="610">
        <v>1</v>
      </c>
      <c r="AA294" s="610">
        <v>1</v>
      </c>
      <c r="AB294" s="610">
        <v>1</v>
      </c>
      <c r="AC294" s="370">
        <v>1</v>
      </c>
    </row>
    <row r="295" spans="1:29" customFormat="1" ht="14.4" x14ac:dyDescent="0.3">
      <c r="A295" s="770"/>
      <c r="B295" s="764"/>
      <c r="C295" s="777"/>
      <c r="D295" s="780"/>
      <c r="E295" s="454" t="s">
        <v>704</v>
      </c>
      <c r="F295" s="457">
        <v>1</v>
      </c>
      <c r="G295" s="610">
        <v>1</v>
      </c>
      <c r="H295" s="610">
        <v>1</v>
      </c>
      <c r="I295" s="610">
        <v>1</v>
      </c>
      <c r="J295" s="610">
        <v>1</v>
      </c>
      <c r="K295" s="610">
        <v>1</v>
      </c>
      <c r="L295" s="610">
        <v>1</v>
      </c>
      <c r="M295" s="610">
        <v>1</v>
      </c>
      <c r="N295" s="610">
        <v>1</v>
      </c>
      <c r="O295" s="610">
        <v>1</v>
      </c>
      <c r="P295" s="610">
        <v>1</v>
      </c>
      <c r="Q295" s="610">
        <v>1</v>
      </c>
      <c r="R295" s="610">
        <v>1</v>
      </c>
      <c r="S295" s="610">
        <v>1</v>
      </c>
      <c r="T295" s="610">
        <v>1</v>
      </c>
      <c r="U295" s="610">
        <v>1</v>
      </c>
      <c r="V295" s="610">
        <v>1</v>
      </c>
      <c r="W295" s="610">
        <v>1</v>
      </c>
      <c r="X295" s="610">
        <v>1</v>
      </c>
      <c r="Y295" s="610">
        <v>1</v>
      </c>
      <c r="Z295" s="610">
        <v>1</v>
      </c>
      <c r="AA295" s="610">
        <v>1</v>
      </c>
      <c r="AB295" s="610">
        <v>1</v>
      </c>
      <c r="AC295" s="370">
        <v>1</v>
      </c>
    </row>
    <row r="296" spans="1:29" customFormat="1" ht="15" thickBot="1" x14ac:dyDescent="0.35">
      <c r="A296" s="772"/>
      <c r="B296" s="773"/>
      <c r="C296" s="778"/>
      <c r="D296" s="781"/>
      <c r="E296" s="455" t="s">
        <v>745</v>
      </c>
      <c r="F296" s="458">
        <v>1</v>
      </c>
      <c r="G296" s="611">
        <v>1</v>
      </c>
      <c r="H296" s="611">
        <v>1</v>
      </c>
      <c r="I296" s="611">
        <v>1</v>
      </c>
      <c r="J296" s="611">
        <v>1</v>
      </c>
      <c r="K296" s="611">
        <v>1</v>
      </c>
      <c r="L296" s="611">
        <v>1</v>
      </c>
      <c r="M296" s="611">
        <v>0.25</v>
      </c>
      <c r="N296" s="611">
        <v>0.25</v>
      </c>
      <c r="O296" s="611">
        <v>0.25</v>
      </c>
      <c r="P296" s="611">
        <v>0.25</v>
      </c>
      <c r="Q296" s="611">
        <v>0.25</v>
      </c>
      <c r="R296" s="611">
        <v>0.25</v>
      </c>
      <c r="S296" s="611">
        <v>0.25</v>
      </c>
      <c r="T296" s="611">
        <v>1</v>
      </c>
      <c r="U296" s="611">
        <v>1</v>
      </c>
      <c r="V296" s="611">
        <v>1</v>
      </c>
      <c r="W296" s="611">
        <v>1</v>
      </c>
      <c r="X296" s="611">
        <v>1</v>
      </c>
      <c r="Y296" s="611">
        <v>1</v>
      </c>
      <c r="Z296" s="611">
        <v>1</v>
      </c>
      <c r="AA296" s="611">
        <v>1</v>
      </c>
      <c r="AB296" s="611">
        <v>1</v>
      </c>
      <c r="AC296" s="371">
        <v>1</v>
      </c>
    </row>
    <row r="297" spans="1:29" customFormat="1" ht="33" customHeight="1" thickBot="1" x14ac:dyDescent="0.35">
      <c r="A297" s="775" t="s">
        <v>132</v>
      </c>
      <c r="B297" s="775"/>
      <c r="C297" s="775"/>
      <c r="D297" s="775"/>
      <c r="E297" s="896"/>
      <c r="F297" s="775"/>
      <c r="G297" s="775"/>
      <c r="H297" s="775"/>
      <c r="I297" s="775"/>
      <c r="J297" s="775"/>
      <c r="K297" s="775"/>
      <c r="L297" s="775"/>
      <c r="M297" s="775"/>
      <c r="N297" s="775"/>
      <c r="O297" s="775"/>
      <c r="P297" s="775"/>
      <c r="Q297" s="775"/>
      <c r="R297" s="775"/>
      <c r="S297" s="775"/>
      <c r="T297" s="775"/>
      <c r="U297" s="775"/>
      <c r="V297" s="775"/>
      <c r="W297" s="775"/>
      <c r="X297" s="775"/>
      <c r="Y297" s="775"/>
      <c r="Z297" s="775"/>
      <c r="AA297" s="775"/>
      <c r="AB297" s="775"/>
      <c r="AC297" s="775"/>
    </row>
    <row r="298" spans="1:29" s="374" customFormat="1" ht="15" customHeight="1" x14ac:dyDescent="0.3">
      <c r="A298" s="769" t="s">
        <v>752</v>
      </c>
      <c r="B298" s="763" t="s">
        <v>132</v>
      </c>
      <c r="C298" s="776" t="s">
        <v>685</v>
      </c>
      <c r="D298" s="779" t="s">
        <v>749</v>
      </c>
      <c r="E298" s="453" t="s">
        <v>702</v>
      </c>
      <c r="F298" s="456">
        <v>0</v>
      </c>
      <c r="G298" s="609">
        <v>0</v>
      </c>
      <c r="H298" s="609">
        <v>0</v>
      </c>
      <c r="I298" s="609">
        <v>0</v>
      </c>
      <c r="J298" s="609">
        <v>0</v>
      </c>
      <c r="K298" s="609">
        <v>0</v>
      </c>
      <c r="L298" s="609">
        <v>0</v>
      </c>
      <c r="M298" s="609">
        <v>0.05</v>
      </c>
      <c r="N298" s="609">
        <v>0.75</v>
      </c>
      <c r="O298" s="609">
        <v>0.9</v>
      </c>
      <c r="P298" s="609">
        <v>0.9</v>
      </c>
      <c r="Q298" s="609">
        <v>0.8</v>
      </c>
      <c r="R298" s="609">
        <v>0.8</v>
      </c>
      <c r="S298" s="609">
        <v>0.8</v>
      </c>
      <c r="T298" s="609">
        <v>0.8</v>
      </c>
      <c r="U298" s="609">
        <v>0.45</v>
      </c>
      <c r="V298" s="609">
        <v>0.15</v>
      </c>
      <c r="W298" s="609">
        <v>0.05</v>
      </c>
      <c r="X298" s="609">
        <v>0.15</v>
      </c>
      <c r="Y298" s="609">
        <v>0.2</v>
      </c>
      <c r="Z298" s="609">
        <v>0.2</v>
      </c>
      <c r="AA298" s="609">
        <v>0.1</v>
      </c>
      <c r="AB298" s="609">
        <v>0</v>
      </c>
      <c r="AC298" s="369">
        <v>0</v>
      </c>
    </row>
    <row r="299" spans="1:29" s="374" customFormat="1" ht="14.4" x14ac:dyDescent="0.3">
      <c r="A299" s="770"/>
      <c r="B299" s="764"/>
      <c r="C299" s="777"/>
      <c r="D299" s="780"/>
      <c r="E299" s="454" t="s">
        <v>703</v>
      </c>
      <c r="F299" s="457">
        <v>0</v>
      </c>
      <c r="G299" s="610">
        <v>0</v>
      </c>
      <c r="H299" s="610">
        <v>0</v>
      </c>
      <c r="I299" s="610">
        <v>0</v>
      </c>
      <c r="J299" s="610">
        <v>0</v>
      </c>
      <c r="K299" s="610">
        <v>0</v>
      </c>
      <c r="L299" s="610">
        <v>0</v>
      </c>
      <c r="M299" s="610">
        <v>0</v>
      </c>
      <c r="N299" s="610">
        <v>0.1</v>
      </c>
      <c r="O299" s="610">
        <v>0.1</v>
      </c>
      <c r="P299" s="610">
        <v>0.1</v>
      </c>
      <c r="Q299" s="610">
        <v>0.1</v>
      </c>
      <c r="R299" s="610">
        <v>0.1</v>
      </c>
      <c r="S299" s="610">
        <v>0</v>
      </c>
      <c r="T299" s="610">
        <v>0</v>
      </c>
      <c r="U299" s="610">
        <v>0</v>
      </c>
      <c r="V299" s="610">
        <v>0</v>
      </c>
      <c r="W299" s="610">
        <v>0</v>
      </c>
      <c r="X299" s="610">
        <v>0</v>
      </c>
      <c r="Y299" s="610">
        <v>0</v>
      </c>
      <c r="Z299" s="610">
        <v>0</v>
      </c>
      <c r="AA299" s="610">
        <v>0</v>
      </c>
      <c r="AB299" s="610">
        <v>0</v>
      </c>
      <c r="AC299" s="370">
        <v>0</v>
      </c>
    </row>
    <row r="300" spans="1:29" s="374" customFormat="1" ht="14.4" x14ac:dyDescent="0.3">
      <c r="A300" s="770"/>
      <c r="B300" s="764"/>
      <c r="C300" s="777"/>
      <c r="D300" s="780"/>
      <c r="E300" s="454" t="s">
        <v>704</v>
      </c>
      <c r="F300" s="457">
        <v>0</v>
      </c>
      <c r="G300" s="610">
        <v>0</v>
      </c>
      <c r="H300" s="610">
        <v>0</v>
      </c>
      <c r="I300" s="610">
        <v>0</v>
      </c>
      <c r="J300" s="610">
        <v>0</v>
      </c>
      <c r="K300" s="610">
        <v>0</v>
      </c>
      <c r="L300" s="610">
        <v>0</v>
      </c>
      <c r="M300" s="610">
        <v>0</v>
      </c>
      <c r="N300" s="610">
        <v>0</v>
      </c>
      <c r="O300" s="610">
        <v>0</v>
      </c>
      <c r="P300" s="610">
        <v>0</v>
      </c>
      <c r="Q300" s="610">
        <v>0</v>
      </c>
      <c r="R300" s="610">
        <v>0</v>
      </c>
      <c r="S300" s="610">
        <v>0</v>
      </c>
      <c r="T300" s="610">
        <v>0</v>
      </c>
      <c r="U300" s="610">
        <v>0</v>
      </c>
      <c r="V300" s="610">
        <v>0</v>
      </c>
      <c r="W300" s="610">
        <v>0</v>
      </c>
      <c r="X300" s="610">
        <v>0</v>
      </c>
      <c r="Y300" s="610">
        <v>0</v>
      </c>
      <c r="Z300" s="610">
        <v>0</v>
      </c>
      <c r="AA300" s="610">
        <v>0</v>
      </c>
      <c r="AB300" s="610">
        <v>0</v>
      </c>
      <c r="AC300" s="370">
        <v>0</v>
      </c>
    </row>
    <row r="301" spans="1:29" s="374" customFormat="1" ht="15" thickBot="1" x14ac:dyDescent="0.35">
      <c r="A301" s="772"/>
      <c r="B301" s="773"/>
      <c r="C301" s="778"/>
      <c r="D301" s="781"/>
      <c r="E301" s="455" t="s">
        <v>745</v>
      </c>
      <c r="F301" s="459">
        <v>0</v>
      </c>
      <c r="G301" s="372">
        <v>0</v>
      </c>
      <c r="H301" s="372">
        <v>0</v>
      </c>
      <c r="I301" s="372">
        <v>0</v>
      </c>
      <c r="J301" s="372">
        <v>0</v>
      </c>
      <c r="K301" s="372">
        <v>0</v>
      </c>
      <c r="L301" s="372">
        <v>0</v>
      </c>
      <c r="M301" s="372">
        <v>2.5000000000000001E-2</v>
      </c>
      <c r="N301" s="372">
        <v>0.7</v>
      </c>
      <c r="O301" s="372">
        <v>0.7</v>
      </c>
      <c r="P301" s="372">
        <v>0.7</v>
      </c>
      <c r="Q301" s="372">
        <v>0.7</v>
      </c>
      <c r="R301" s="372">
        <v>0.25</v>
      </c>
      <c r="S301" s="372">
        <v>0.7</v>
      </c>
      <c r="T301" s="372">
        <v>0</v>
      </c>
      <c r="U301" s="372">
        <v>0</v>
      </c>
      <c r="V301" s="372">
        <v>0</v>
      </c>
      <c r="W301" s="372">
        <v>0</v>
      </c>
      <c r="X301" s="372">
        <v>0</v>
      </c>
      <c r="Y301" s="372">
        <v>0</v>
      </c>
      <c r="Z301" s="372">
        <v>0</v>
      </c>
      <c r="AA301" s="372">
        <v>0</v>
      </c>
      <c r="AB301" s="372">
        <v>0</v>
      </c>
      <c r="AC301" s="373">
        <v>0</v>
      </c>
    </row>
    <row r="302" spans="1:29" s="374" customFormat="1" ht="15" customHeight="1" x14ac:dyDescent="0.3">
      <c r="A302" s="769" t="str">
        <f>A298</f>
        <v>Restroom</v>
      </c>
      <c r="B302" s="763" t="s">
        <v>132</v>
      </c>
      <c r="C302" s="776" t="s">
        <v>691</v>
      </c>
      <c r="D302" s="779" t="s">
        <v>749</v>
      </c>
      <c r="E302" s="453" t="s">
        <v>702</v>
      </c>
      <c r="F302" s="456">
        <v>0.05</v>
      </c>
      <c r="G302" s="609">
        <v>0.05</v>
      </c>
      <c r="H302" s="609">
        <v>0.05</v>
      </c>
      <c r="I302" s="609">
        <v>0.05</v>
      </c>
      <c r="J302" s="609">
        <v>0.05</v>
      </c>
      <c r="K302" s="609">
        <v>0.05</v>
      </c>
      <c r="L302" s="609">
        <v>0.05</v>
      </c>
      <c r="M302" s="609">
        <v>0.3</v>
      </c>
      <c r="N302" s="609">
        <v>0.6</v>
      </c>
      <c r="O302" s="609">
        <v>0.65</v>
      </c>
      <c r="P302" s="609">
        <v>0.65</v>
      </c>
      <c r="Q302" s="609">
        <v>0.65</v>
      </c>
      <c r="R302" s="609">
        <v>0.55000000000000004</v>
      </c>
      <c r="S302" s="609">
        <v>0.55000000000000004</v>
      </c>
      <c r="T302" s="609">
        <v>0.55000000000000004</v>
      </c>
      <c r="U302" s="609">
        <v>0.5</v>
      </c>
      <c r="V302" s="609">
        <v>0.35</v>
      </c>
      <c r="W302" s="609">
        <v>0.35</v>
      </c>
      <c r="X302" s="609">
        <v>0.35</v>
      </c>
      <c r="Y302" s="609">
        <v>0.35</v>
      </c>
      <c r="Z302" s="609">
        <v>0.35</v>
      </c>
      <c r="AA302" s="609">
        <v>0.3</v>
      </c>
      <c r="AB302" s="609">
        <v>0.05</v>
      </c>
      <c r="AC302" s="369">
        <v>0.05</v>
      </c>
    </row>
    <row r="303" spans="1:29" s="374" customFormat="1" ht="14.4" x14ac:dyDescent="0.3">
      <c r="A303" s="770"/>
      <c r="B303" s="764"/>
      <c r="C303" s="777"/>
      <c r="D303" s="780"/>
      <c r="E303" s="454" t="s">
        <v>703</v>
      </c>
      <c r="F303" s="457">
        <v>0.05</v>
      </c>
      <c r="G303" s="610">
        <v>0.05</v>
      </c>
      <c r="H303" s="610">
        <v>0.05</v>
      </c>
      <c r="I303" s="610">
        <v>0.05</v>
      </c>
      <c r="J303" s="610">
        <v>0.05</v>
      </c>
      <c r="K303" s="610">
        <v>0.05</v>
      </c>
      <c r="L303" s="610">
        <v>0.05</v>
      </c>
      <c r="M303" s="610">
        <v>0.05</v>
      </c>
      <c r="N303" s="610">
        <v>0.15</v>
      </c>
      <c r="O303" s="610">
        <v>0.15</v>
      </c>
      <c r="P303" s="610">
        <v>0.15</v>
      </c>
      <c r="Q303" s="610">
        <v>0.15</v>
      </c>
      <c r="R303" s="610">
        <v>0.15</v>
      </c>
      <c r="S303" s="610">
        <v>0.05</v>
      </c>
      <c r="T303" s="610">
        <v>0.05</v>
      </c>
      <c r="U303" s="610">
        <v>0.05</v>
      </c>
      <c r="V303" s="610">
        <v>0.05</v>
      </c>
      <c r="W303" s="610">
        <v>0.05</v>
      </c>
      <c r="X303" s="610">
        <v>0.05</v>
      </c>
      <c r="Y303" s="610">
        <v>0.05</v>
      </c>
      <c r="Z303" s="610">
        <v>0.05</v>
      </c>
      <c r="AA303" s="610">
        <v>0.05</v>
      </c>
      <c r="AB303" s="610">
        <v>0.05</v>
      </c>
      <c r="AC303" s="370">
        <v>0.05</v>
      </c>
    </row>
    <row r="304" spans="1:29" s="374" customFormat="1" ht="14.4" x14ac:dyDescent="0.3">
      <c r="A304" s="770"/>
      <c r="B304" s="764"/>
      <c r="C304" s="777"/>
      <c r="D304" s="780"/>
      <c r="E304" s="454" t="s">
        <v>704</v>
      </c>
      <c r="F304" s="457">
        <v>0.05</v>
      </c>
      <c r="G304" s="610">
        <v>0.05</v>
      </c>
      <c r="H304" s="610">
        <v>0.05</v>
      </c>
      <c r="I304" s="610">
        <v>0.05</v>
      </c>
      <c r="J304" s="610">
        <v>0.05</v>
      </c>
      <c r="K304" s="610">
        <v>0.05</v>
      </c>
      <c r="L304" s="610">
        <v>0.05</v>
      </c>
      <c r="M304" s="610">
        <v>0.05</v>
      </c>
      <c r="N304" s="610">
        <v>0.05</v>
      </c>
      <c r="O304" s="610">
        <v>0.05</v>
      </c>
      <c r="P304" s="610">
        <v>0.05</v>
      </c>
      <c r="Q304" s="610">
        <v>0.05</v>
      </c>
      <c r="R304" s="610">
        <v>0.05</v>
      </c>
      <c r="S304" s="610">
        <v>0.05</v>
      </c>
      <c r="T304" s="610">
        <v>0.05</v>
      </c>
      <c r="U304" s="610">
        <v>0.05</v>
      </c>
      <c r="V304" s="610">
        <v>0.05</v>
      </c>
      <c r="W304" s="610">
        <v>0.05</v>
      </c>
      <c r="X304" s="610">
        <v>0.05</v>
      </c>
      <c r="Y304" s="610">
        <v>0.05</v>
      </c>
      <c r="Z304" s="610">
        <v>0.05</v>
      </c>
      <c r="AA304" s="610">
        <v>0.05</v>
      </c>
      <c r="AB304" s="610">
        <v>0.05</v>
      </c>
      <c r="AC304" s="370">
        <v>0.05</v>
      </c>
    </row>
    <row r="305" spans="1:29" s="374" customFormat="1" ht="15" thickBot="1" x14ac:dyDescent="0.35">
      <c r="A305" s="772"/>
      <c r="B305" s="773"/>
      <c r="C305" s="778"/>
      <c r="D305" s="897"/>
      <c r="E305" s="455" t="s">
        <v>745</v>
      </c>
      <c r="F305" s="459">
        <v>0.05</v>
      </c>
      <c r="G305" s="372">
        <v>0.05</v>
      </c>
      <c r="H305" s="372">
        <v>0.05</v>
      </c>
      <c r="I305" s="372">
        <v>0.05</v>
      </c>
      <c r="J305" s="372">
        <v>0.05</v>
      </c>
      <c r="K305" s="372">
        <v>0.05</v>
      </c>
      <c r="L305" s="372">
        <v>0.05</v>
      </c>
      <c r="M305" s="372">
        <v>0.3</v>
      </c>
      <c r="N305" s="372">
        <v>0.6</v>
      </c>
      <c r="O305" s="372">
        <v>0.65</v>
      </c>
      <c r="P305" s="372">
        <v>0.65</v>
      </c>
      <c r="Q305" s="372">
        <v>0.65</v>
      </c>
      <c r="R305" s="372">
        <v>0.55000000000000004</v>
      </c>
      <c r="S305" s="372">
        <v>0.55000000000000004</v>
      </c>
      <c r="T305" s="372">
        <v>0.05</v>
      </c>
      <c r="U305" s="372">
        <v>0.05</v>
      </c>
      <c r="V305" s="372">
        <v>0.05</v>
      </c>
      <c r="W305" s="372">
        <v>0.05</v>
      </c>
      <c r="X305" s="372">
        <v>0.05</v>
      </c>
      <c r="Y305" s="372">
        <v>0.05</v>
      </c>
      <c r="Z305" s="372">
        <v>0.05</v>
      </c>
      <c r="AA305" s="372">
        <v>0.05</v>
      </c>
      <c r="AB305" s="372">
        <v>0.05</v>
      </c>
      <c r="AC305" s="373">
        <v>0.05</v>
      </c>
    </row>
    <row r="306" spans="1:29" s="374" customFormat="1" ht="15" customHeight="1" x14ac:dyDescent="0.3">
      <c r="A306" s="769" t="str">
        <f t="shared" ref="A306" si="12">A302</f>
        <v>Restroom</v>
      </c>
      <c r="B306" s="763" t="s">
        <v>132</v>
      </c>
      <c r="C306" s="890" t="s">
        <v>692</v>
      </c>
      <c r="D306" s="893" t="s">
        <v>749</v>
      </c>
      <c r="E306" s="453" t="s">
        <v>702</v>
      </c>
      <c r="F306" s="456">
        <v>0.05</v>
      </c>
      <c r="G306" s="609">
        <v>0.05</v>
      </c>
      <c r="H306" s="609">
        <v>0.05</v>
      </c>
      <c r="I306" s="609">
        <v>0.05</v>
      </c>
      <c r="J306" s="609">
        <v>0.05</v>
      </c>
      <c r="K306" s="609">
        <v>0.05</v>
      </c>
      <c r="L306" s="609">
        <v>0.05</v>
      </c>
      <c r="M306" s="609">
        <v>0.3</v>
      </c>
      <c r="N306" s="609">
        <v>0.85</v>
      </c>
      <c r="O306" s="609">
        <v>0.95</v>
      </c>
      <c r="P306" s="609">
        <v>0.95</v>
      </c>
      <c r="Q306" s="609">
        <v>0.95</v>
      </c>
      <c r="R306" s="609">
        <v>0.8</v>
      </c>
      <c r="S306" s="609">
        <v>0.8</v>
      </c>
      <c r="T306" s="609">
        <v>0.8</v>
      </c>
      <c r="U306" s="609">
        <v>0.7</v>
      </c>
      <c r="V306" s="609">
        <v>0.5</v>
      </c>
      <c r="W306" s="609">
        <v>0.5</v>
      </c>
      <c r="X306" s="609">
        <v>0.35</v>
      </c>
      <c r="Y306" s="609">
        <v>0.35</v>
      </c>
      <c r="Z306" s="609">
        <v>0.35</v>
      </c>
      <c r="AA306" s="609">
        <v>0.3</v>
      </c>
      <c r="AB306" s="609">
        <v>0.05</v>
      </c>
      <c r="AC306" s="369">
        <v>0.05</v>
      </c>
    </row>
    <row r="307" spans="1:29" s="374" customFormat="1" ht="14.4" x14ac:dyDescent="0.3">
      <c r="A307" s="770"/>
      <c r="B307" s="764"/>
      <c r="C307" s="891"/>
      <c r="D307" s="894"/>
      <c r="E307" s="454" t="s">
        <v>703</v>
      </c>
      <c r="F307" s="457">
        <v>0.05</v>
      </c>
      <c r="G307" s="610">
        <v>0.05</v>
      </c>
      <c r="H307" s="610">
        <v>0.05</v>
      </c>
      <c r="I307" s="610">
        <v>0.05</v>
      </c>
      <c r="J307" s="610">
        <v>0.05</v>
      </c>
      <c r="K307" s="610">
        <v>0.05</v>
      </c>
      <c r="L307" s="610">
        <v>0.05</v>
      </c>
      <c r="M307" s="610">
        <v>0.05</v>
      </c>
      <c r="N307" s="610">
        <v>0.15</v>
      </c>
      <c r="O307" s="610">
        <v>0.15</v>
      </c>
      <c r="P307" s="610">
        <v>0.15</v>
      </c>
      <c r="Q307" s="610">
        <v>0.15</v>
      </c>
      <c r="R307" s="610">
        <v>0.15</v>
      </c>
      <c r="S307" s="610">
        <v>0.05</v>
      </c>
      <c r="T307" s="610">
        <v>0.05</v>
      </c>
      <c r="U307" s="610">
        <v>0.05</v>
      </c>
      <c r="V307" s="610">
        <v>0.05</v>
      </c>
      <c r="W307" s="610">
        <v>0.05</v>
      </c>
      <c r="X307" s="610">
        <v>0.05</v>
      </c>
      <c r="Y307" s="610">
        <v>0.05</v>
      </c>
      <c r="Z307" s="610">
        <v>0.05</v>
      </c>
      <c r="AA307" s="610">
        <v>0.05</v>
      </c>
      <c r="AB307" s="610">
        <v>0.05</v>
      </c>
      <c r="AC307" s="370">
        <v>0.05</v>
      </c>
    </row>
    <row r="308" spans="1:29" s="374" customFormat="1" ht="14.4" x14ac:dyDescent="0.3">
      <c r="A308" s="770"/>
      <c r="B308" s="764"/>
      <c r="C308" s="891"/>
      <c r="D308" s="894"/>
      <c r="E308" s="454" t="s">
        <v>704</v>
      </c>
      <c r="F308" s="457">
        <v>0.05</v>
      </c>
      <c r="G308" s="610">
        <v>0.05</v>
      </c>
      <c r="H308" s="610">
        <v>0.05</v>
      </c>
      <c r="I308" s="610">
        <v>0.05</v>
      </c>
      <c r="J308" s="610">
        <v>0.05</v>
      </c>
      <c r="K308" s="610">
        <v>0.05</v>
      </c>
      <c r="L308" s="610">
        <v>0.05</v>
      </c>
      <c r="M308" s="610">
        <v>0.05</v>
      </c>
      <c r="N308" s="610">
        <v>0.05</v>
      </c>
      <c r="O308" s="610">
        <v>0.05</v>
      </c>
      <c r="P308" s="610">
        <v>0.05</v>
      </c>
      <c r="Q308" s="610">
        <v>0.05</v>
      </c>
      <c r="R308" s="610">
        <v>0.05</v>
      </c>
      <c r="S308" s="610">
        <v>0.05</v>
      </c>
      <c r="T308" s="610">
        <v>0.05</v>
      </c>
      <c r="U308" s="610">
        <v>0.05</v>
      </c>
      <c r="V308" s="610">
        <v>0.05</v>
      </c>
      <c r="W308" s="610">
        <v>0.05</v>
      </c>
      <c r="X308" s="610">
        <v>0.05</v>
      </c>
      <c r="Y308" s="610">
        <v>0.05</v>
      </c>
      <c r="Z308" s="610">
        <v>0.05</v>
      </c>
      <c r="AA308" s="610">
        <v>0.05</v>
      </c>
      <c r="AB308" s="610">
        <v>0.05</v>
      </c>
      <c r="AC308" s="370">
        <v>0.05</v>
      </c>
    </row>
    <row r="309" spans="1:29" s="374" customFormat="1" ht="15" thickBot="1" x14ac:dyDescent="0.35">
      <c r="A309" s="772"/>
      <c r="B309" s="773"/>
      <c r="C309" s="892"/>
      <c r="D309" s="895"/>
      <c r="E309" s="455" t="s">
        <v>745</v>
      </c>
      <c r="F309" s="459">
        <v>0.05</v>
      </c>
      <c r="G309" s="372">
        <v>0.05</v>
      </c>
      <c r="H309" s="372">
        <v>0.05</v>
      </c>
      <c r="I309" s="372">
        <v>0.05</v>
      </c>
      <c r="J309" s="372">
        <v>0.05</v>
      </c>
      <c r="K309" s="372">
        <v>0.05</v>
      </c>
      <c r="L309" s="372">
        <v>0.05</v>
      </c>
      <c r="M309" s="372">
        <v>0.3</v>
      </c>
      <c r="N309" s="372">
        <v>0.85</v>
      </c>
      <c r="O309" s="372">
        <v>0.95</v>
      </c>
      <c r="P309" s="372">
        <v>0.95</v>
      </c>
      <c r="Q309" s="372">
        <v>0.95</v>
      </c>
      <c r="R309" s="372">
        <v>0.8</v>
      </c>
      <c r="S309" s="372">
        <v>0.8</v>
      </c>
      <c r="T309" s="372">
        <v>0.05</v>
      </c>
      <c r="U309" s="372">
        <v>0.05</v>
      </c>
      <c r="V309" s="372">
        <v>0.05</v>
      </c>
      <c r="W309" s="372">
        <v>0.05</v>
      </c>
      <c r="X309" s="372">
        <v>0.05</v>
      </c>
      <c r="Y309" s="372">
        <v>0.05</v>
      </c>
      <c r="Z309" s="372">
        <v>0.05</v>
      </c>
      <c r="AA309" s="372">
        <v>0.05</v>
      </c>
      <c r="AB309" s="372">
        <v>0.05</v>
      </c>
      <c r="AC309" s="373">
        <v>0.05</v>
      </c>
    </row>
    <row r="310" spans="1:29" s="374" customFormat="1" ht="15" customHeight="1" x14ac:dyDescent="0.3">
      <c r="A310" s="769" t="str">
        <f t="shared" ref="A310" si="13">A306</f>
        <v>Restroom</v>
      </c>
      <c r="B310" s="763" t="s">
        <v>132</v>
      </c>
      <c r="C310" s="776" t="s">
        <v>693</v>
      </c>
      <c r="D310" s="889" t="s">
        <v>749</v>
      </c>
      <c r="E310" s="453" t="s">
        <v>702</v>
      </c>
      <c r="F310" s="456">
        <v>0.05</v>
      </c>
      <c r="G310" s="609">
        <v>0.05</v>
      </c>
      <c r="H310" s="609">
        <v>0.05</v>
      </c>
      <c r="I310" s="609">
        <v>0.05</v>
      </c>
      <c r="J310" s="609">
        <v>0.05</v>
      </c>
      <c r="K310" s="609">
        <v>0.05</v>
      </c>
      <c r="L310" s="609">
        <v>0.05</v>
      </c>
      <c r="M310" s="609">
        <v>0.1</v>
      </c>
      <c r="N310" s="609">
        <v>0.34</v>
      </c>
      <c r="O310" s="609">
        <v>0.6</v>
      </c>
      <c r="P310" s="609">
        <v>0.63</v>
      </c>
      <c r="Q310" s="609">
        <v>0.72</v>
      </c>
      <c r="R310" s="609">
        <v>0.79</v>
      </c>
      <c r="S310" s="609">
        <v>0.83</v>
      </c>
      <c r="T310" s="609">
        <v>0.61</v>
      </c>
      <c r="U310" s="609">
        <v>0.65</v>
      </c>
      <c r="V310" s="609">
        <v>0.1</v>
      </c>
      <c r="W310" s="609">
        <v>0.1</v>
      </c>
      <c r="X310" s="609">
        <v>0.19</v>
      </c>
      <c r="Y310" s="609">
        <v>0.25</v>
      </c>
      <c r="Z310" s="609">
        <v>0.22</v>
      </c>
      <c r="AA310" s="609">
        <v>0.22</v>
      </c>
      <c r="AB310" s="609">
        <v>0.12</v>
      </c>
      <c r="AC310" s="369">
        <v>0.09</v>
      </c>
    </row>
    <row r="311" spans="1:29" s="374" customFormat="1" ht="14.4" x14ac:dyDescent="0.3">
      <c r="A311" s="770"/>
      <c r="B311" s="764"/>
      <c r="C311" s="777"/>
      <c r="D311" s="780"/>
      <c r="E311" s="454" t="s">
        <v>703</v>
      </c>
      <c r="F311" s="457">
        <v>0.03</v>
      </c>
      <c r="G311" s="610">
        <v>0.03</v>
      </c>
      <c r="H311" s="610">
        <v>0.03</v>
      </c>
      <c r="I311" s="610">
        <v>0.03</v>
      </c>
      <c r="J311" s="610">
        <v>0.03</v>
      </c>
      <c r="K311" s="610">
        <v>0.03</v>
      </c>
      <c r="L311" s="610">
        <v>0.03</v>
      </c>
      <c r="M311" s="610">
        <v>0.03</v>
      </c>
      <c r="N311" s="610">
        <v>0.03</v>
      </c>
      <c r="O311" s="610">
        <v>0.05</v>
      </c>
      <c r="P311" s="610">
        <v>0.05</v>
      </c>
      <c r="Q311" s="610">
        <v>0.05</v>
      </c>
      <c r="R311" s="610">
        <v>0.05</v>
      </c>
      <c r="S311" s="610">
        <v>0.03</v>
      </c>
      <c r="T311" s="610">
        <v>0.03</v>
      </c>
      <c r="U311" s="610">
        <v>0.03</v>
      </c>
      <c r="V311" s="610">
        <v>0.03</v>
      </c>
      <c r="W311" s="610">
        <v>0.03</v>
      </c>
      <c r="X311" s="610">
        <v>0.03</v>
      </c>
      <c r="Y311" s="610">
        <v>0.03</v>
      </c>
      <c r="Z311" s="610">
        <v>0.03</v>
      </c>
      <c r="AA311" s="610">
        <v>0.03</v>
      </c>
      <c r="AB311" s="610">
        <v>0.03</v>
      </c>
      <c r="AC311" s="370">
        <v>0.03</v>
      </c>
    </row>
    <row r="312" spans="1:29" s="374" customFormat="1" ht="14.4" x14ac:dyDescent="0.3">
      <c r="A312" s="770"/>
      <c r="B312" s="764"/>
      <c r="C312" s="777"/>
      <c r="D312" s="780"/>
      <c r="E312" s="454" t="s">
        <v>704</v>
      </c>
      <c r="F312" s="457">
        <v>0.03</v>
      </c>
      <c r="G312" s="610">
        <v>0.03</v>
      </c>
      <c r="H312" s="610">
        <v>0.03</v>
      </c>
      <c r="I312" s="610">
        <v>0.03</v>
      </c>
      <c r="J312" s="610">
        <v>0.03</v>
      </c>
      <c r="K312" s="610">
        <v>0.03</v>
      </c>
      <c r="L312" s="610">
        <v>0.03</v>
      </c>
      <c r="M312" s="610">
        <v>0.03</v>
      </c>
      <c r="N312" s="610">
        <v>0.05</v>
      </c>
      <c r="O312" s="610">
        <v>0.05</v>
      </c>
      <c r="P312" s="610">
        <v>0.05</v>
      </c>
      <c r="Q312" s="610">
        <v>0.05</v>
      </c>
      <c r="R312" s="610">
        <v>0.05</v>
      </c>
      <c r="S312" s="610">
        <v>0.05</v>
      </c>
      <c r="T312" s="610">
        <v>0.03</v>
      </c>
      <c r="U312" s="610">
        <v>0.03</v>
      </c>
      <c r="V312" s="610">
        <v>0.03</v>
      </c>
      <c r="W312" s="610">
        <v>0.03</v>
      </c>
      <c r="X312" s="610">
        <v>0.03</v>
      </c>
      <c r="Y312" s="610">
        <v>0.03</v>
      </c>
      <c r="Z312" s="610">
        <v>0.03</v>
      </c>
      <c r="AA312" s="610">
        <v>0.03</v>
      </c>
      <c r="AB312" s="610">
        <v>0.03</v>
      </c>
      <c r="AC312" s="370">
        <v>0.03</v>
      </c>
    </row>
    <row r="313" spans="1:29" s="374" customFormat="1" ht="15" thickBot="1" x14ac:dyDescent="0.35">
      <c r="A313" s="772"/>
      <c r="B313" s="773"/>
      <c r="C313" s="778"/>
      <c r="D313" s="781"/>
      <c r="E313" s="455" t="s">
        <v>745</v>
      </c>
      <c r="F313" s="459">
        <v>0.03</v>
      </c>
      <c r="G313" s="372">
        <v>0.03</v>
      </c>
      <c r="H313" s="372">
        <v>0.03</v>
      </c>
      <c r="I313" s="372">
        <v>0.03</v>
      </c>
      <c r="J313" s="372">
        <v>0.03</v>
      </c>
      <c r="K313" s="372">
        <v>0.03</v>
      </c>
      <c r="L313" s="372">
        <v>0.03</v>
      </c>
      <c r="M313" s="372">
        <v>0.1</v>
      </c>
      <c r="N313" s="372">
        <v>0.34</v>
      </c>
      <c r="O313" s="372">
        <v>0.6</v>
      </c>
      <c r="P313" s="372">
        <v>0.63</v>
      </c>
      <c r="Q313" s="372">
        <v>0.72</v>
      </c>
      <c r="R313" s="372">
        <v>0.79</v>
      </c>
      <c r="S313" s="372">
        <v>0.83</v>
      </c>
      <c r="T313" s="372">
        <v>0.03</v>
      </c>
      <c r="U313" s="372">
        <v>0.03</v>
      </c>
      <c r="V313" s="372">
        <v>0.03</v>
      </c>
      <c r="W313" s="372">
        <v>0.03</v>
      </c>
      <c r="X313" s="372">
        <v>0.03</v>
      </c>
      <c r="Y313" s="372">
        <v>0.03</v>
      </c>
      <c r="Z313" s="372">
        <v>0.03</v>
      </c>
      <c r="AA313" s="372">
        <v>0.03</v>
      </c>
      <c r="AB313" s="372">
        <v>0.03</v>
      </c>
      <c r="AC313" s="373">
        <v>0.03</v>
      </c>
    </row>
    <row r="314" spans="1:29" s="374" customFormat="1" ht="15" customHeight="1" x14ac:dyDescent="0.3">
      <c r="A314" s="769" t="str">
        <f t="shared" ref="A314" si="14">A310</f>
        <v>Restroom</v>
      </c>
      <c r="B314" s="763" t="s">
        <v>132</v>
      </c>
      <c r="C314" s="776" t="s">
        <v>697</v>
      </c>
      <c r="D314" s="779" t="s">
        <v>749</v>
      </c>
      <c r="E314" s="453" t="s">
        <v>702</v>
      </c>
      <c r="F314" s="456">
        <v>0</v>
      </c>
      <c r="G314" s="609">
        <v>0</v>
      </c>
      <c r="H314" s="609">
        <v>0</v>
      </c>
      <c r="I314" s="609">
        <v>0</v>
      </c>
      <c r="J314" s="609">
        <v>0</v>
      </c>
      <c r="K314" s="609">
        <v>0</v>
      </c>
      <c r="L314" s="609">
        <v>1</v>
      </c>
      <c r="M314" s="609">
        <v>1</v>
      </c>
      <c r="N314" s="609">
        <v>1</v>
      </c>
      <c r="O314" s="609">
        <v>1</v>
      </c>
      <c r="P314" s="609">
        <v>1</v>
      </c>
      <c r="Q314" s="609">
        <v>1</v>
      </c>
      <c r="R314" s="609">
        <v>1</v>
      </c>
      <c r="S314" s="609">
        <v>1</v>
      </c>
      <c r="T314" s="609">
        <v>1</v>
      </c>
      <c r="U314" s="609">
        <v>1</v>
      </c>
      <c r="V314" s="609">
        <v>1</v>
      </c>
      <c r="W314" s="609">
        <v>1</v>
      </c>
      <c r="X314" s="609">
        <v>1</v>
      </c>
      <c r="Y314" s="609">
        <v>1</v>
      </c>
      <c r="Z314" s="609">
        <v>1</v>
      </c>
      <c r="AA314" s="609">
        <v>1</v>
      </c>
      <c r="AB314" s="609">
        <v>0</v>
      </c>
      <c r="AC314" s="369">
        <v>0</v>
      </c>
    </row>
    <row r="315" spans="1:29" s="374" customFormat="1" ht="14.4" x14ac:dyDescent="0.3">
      <c r="A315" s="770"/>
      <c r="B315" s="764"/>
      <c r="C315" s="777"/>
      <c r="D315" s="780"/>
      <c r="E315" s="454" t="s">
        <v>703</v>
      </c>
      <c r="F315" s="457">
        <v>0</v>
      </c>
      <c r="G315" s="610">
        <v>0</v>
      </c>
      <c r="H315" s="610">
        <v>0</v>
      </c>
      <c r="I315" s="610">
        <v>0</v>
      </c>
      <c r="J315" s="610">
        <v>0</v>
      </c>
      <c r="K315" s="610">
        <v>0</v>
      </c>
      <c r="L315" s="610">
        <v>0</v>
      </c>
      <c r="M315" s="610">
        <v>1</v>
      </c>
      <c r="N315" s="610">
        <v>1</v>
      </c>
      <c r="O315" s="610">
        <v>1</v>
      </c>
      <c r="P315" s="610">
        <v>1</v>
      </c>
      <c r="Q315" s="610">
        <v>1</v>
      </c>
      <c r="R315" s="610">
        <v>1</v>
      </c>
      <c r="S315" s="610">
        <v>0</v>
      </c>
      <c r="T315" s="610">
        <v>0</v>
      </c>
      <c r="U315" s="610">
        <v>0</v>
      </c>
      <c r="V315" s="610">
        <v>0</v>
      </c>
      <c r="W315" s="610">
        <v>0</v>
      </c>
      <c r="X315" s="610">
        <v>0</v>
      </c>
      <c r="Y315" s="610">
        <v>0</v>
      </c>
      <c r="Z315" s="610">
        <v>0</v>
      </c>
      <c r="AA315" s="610">
        <v>0</v>
      </c>
      <c r="AB315" s="610">
        <v>0</v>
      </c>
      <c r="AC315" s="370">
        <v>0</v>
      </c>
    </row>
    <row r="316" spans="1:29" s="374" customFormat="1" ht="14.4" x14ac:dyDescent="0.3">
      <c r="A316" s="770"/>
      <c r="B316" s="764"/>
      <c r="C316" s="777"/>
      <c r="D316" s="780"/>
      <c r="E316" s="454" t="s">
        <v>704</v>
      </c>
      <c r="F316" s="457">
        <v>0</v>
      </c>
      <c r="G316" s="610">
        <v>0</v>
      </c>
      <c r="H316" s="610">
        <v>0</v>
      </c>
      <c r="I316" s="610">
        <v>0</v>
      </c>
      <c r="J316" s="610">
        <v>0</v>
      </c>
      <c r="K316" s="610">
        <v>0</v>
      </c>
      <c r="L316" s="610">
        <v>0</v>
      </c>
      <c r="M316" s="610">
        <v>0</v>
      </c>
      <c r="N316" s="610">
        <v>0</v>
      </c>
      <c r="O316" s="610">
        <v>0</v>
      </c>
      <c r="P316" s="610">
        <v>0</v>
      </c>
      <c r="Q316" s="610">
        <v>0</v>
      </c>
      <c r="R316" s="610">
        <v>0</v>
      </c>
      <c r="S316" s="610">
        <v>0</v>
      </c>
      <c r="T316" s="610">
        <v>0</v>
      </c>
      <c r="U316" s="610">
        <v>0</v>
      </c>
      <c r="V316" s="610">
        <v>0</v>
      </c>
      <c r="W316" s="610">
        <v>0</v>
      </c>
      <c r="X316" s="610">
        <v>0</v>
      </c>
      <c r="Y316" s="610">
        <v>0</v>
      </c>
      <c r="Z316" s="610">
        <v>0</v>
      </c>
      <c r="AA316" s="610">
        <v>0</v>
      </c>
      <c r="AB316" s="610">
        <v>0</v>
      </c>
      <c r="AC316" s="370">
        <v>0</v>
      </c>
    </row>
    <row r="317" spans="1:29" s="374" customFormat="1" ht="15" thickBot="1" x14ac:dyDescent="0.35">
      <c r="A317" s="772"/>
      <c r="B317" s="773"/>
      <c r="C317" s="778"/>
      <c r="D317" s="781"/>
      <c r="E317" s="455" t="s">
        <v>745</v>
      </c>
      <c r="F317" s="459">
        <v>0</v>
      </c>
      <c r="G317" s="372">
        <v>0</v>
      </c>
      <c r="H317" s="372">
        <v>0</v>
      </c>
      <c r="I317" s="372">
        <v>0</v>
      </c>
      <c r="J317" s="372">
        <v>0</v>
      </c>
      <c r="K317" s="372">
        <v>0</v>
      </c>
      <c r="L317" s="372">
        <v>0</v>
      </c>
      <c r="M317" s="372">
        <v>1</v>
      </c>
      <c r="N317" s="372">
        <v>1</v>
      </c>
      <c r="O317" s="372">
        <v>1</v>
      </c>
      <c r="P317" s="372">
        <v>1</v>
      </c>
      <c r="Q317" s="372">
        <v>1</v>
      </c>
      <c r="R317" s="372">
        <v>1</v>
      </c>
      <c r="S317" s="372">
        <v>1</v>
      </c>
      <c r="T317" s="372">
        <v>0</v>
      </c>
      <c r="U317" s="372">
        <v>0</v>
      </c>
      <c r="V317" s="372">
        <v>0</v>
      </c>
      <c r="W317" s="372">
        <v>0</v>
      </c>
      <c r="X317" s="372">
        <v>0</v>
      </c>
      <c r="Y317" s="372">
        <v>0</v>
      </c>
      <c r="Z317" s="372">
        <v>0</v>
      </c>
      <c r="AA317" s="372">
        <v>0</v>
      </c>
      <c r="AB317" s="372">
        <v>0</v>
      </c>
      <c r="AC317" s="373">
        <v>0</v>
      </c>
    </row>
    <row r="318" spans="1:29" s="374" customFormat="1" ht="15" customHeight="1" x14ac:dyDescent="0.3">
      <c r="A318" s="769" t="str">
        <f t="shared" ref="A318" si="15">A314</f>
        <v>Restroom</v>
      </c>
      <c r="B318" s="763" t="s">
        <v>132</v>
      </c>
      <c r="C318" s="776" t="s">
        <v>698</v>
      </c>
      <c r="D318" s="779" t="s">
        <v>753</v>
      </c>
      <c r="E318" s="453" t="s">
        <v>702</v>
      </c>
      <c r="F318" s="456">
        <v>60</v>
      </c>
      <c r="G318" s="609">
        <v>60</v>
      </c>
      <c r="H318" s="609">
        <v>60</v>
      </c>
      <c r="I318" s="609">
        <v>60</v>
      </c>
      <c r="J318" s="609">
        <v>60</v>
      </c>
      <c r="K318" s="609">
        <v>60</v>
      </c>
      <c r="L318" s="609">
        <v>70</v>
      </c>
      <c r="M318" s="609">
        <v>70</v>
      </c>
      <c r="N318" s="609">
        <v>70</v>
      </c>
      <c r="O318" s="609">
        <v>70</v>
      </c>
      <c r="P318" s="609">
        <v>70</v>
      </c>
      <c r="Q318" s="609">
        <v>70</v>
      </c>
      <c r="R318" s="609">
        <v>70</v>
      </c>
      <c r="S318" s="609">
        <v>70</v>
      </c>
      <c r="T318" s="609">
        <v>70</v>
      </c>
      <c r="U318" s="609">
        <v>70</v>
      </c>
      <c r="V318" s="609">
        <v>70</v>
      </c>
      <c r="W318" s="609">
        <v>70</v>
      </c>
      <c r="X318" s="609">
        <v>70</v>
      </c>
      <c r="Y318" s="609">
        <v>70</v>
      </c>
      <c r="Z318" s="609">
        <v>70</v>
      </c>
      <c r="AA318" s="609">
        <v>70</v>
      </c>
      <c r="AB318" s="609">
        <v>60</v>
      </c>
      <c r="AC318" s="369">
        <v>60</v>
      </c>
    </row>
    <row r="319" spans="1:29" s="374" customFormat="1" ht="14.4" x14ac:dyDescent="0.3">
      <c r="A319" s="770"/>
      <c r="B319" s="764"/>
      <c r="C319" s="777"/>
      <c r="D319" s="780"/>
      <c r="E319" s="454" t="s">
        <v>703</v>
      </c>
      <c r="F319" s="457">
        <v>60</v>
      </c>
      <c r="G319" s="610">
        <v>60</v>
      </c>
      <c r="H319" s="610">
        <v>60</v>
      </c>
      <c r="I319" s="610">
        <v>60</v>
      </c>
      <c r="J319" s="610">
        <v>60</v>
      </c>
      <c r="K319" s="610">
        <v>60</v>
      </c>
      <c r="L319" s="610">
        <v>60</v>
      </c>
      <c r="M319" s="610">
        <v>70</v>
      </c>
      <c r="N319" s="610">
        <v>70</v>
      </c>
      <c r="O319" s="610">
        <v>70</v>
      </c>
      <c r="P319" s="610">
        <v>70</v>
      </c>
      <c r="Q319" s="610">
        <v>70</v>
      </c>
      <c r="R319" s="610">
        <v>70</v>
      </c>
      <c r="S319" s="610">
        <v>60</v>
      </c>
      <c r="T319" s="610">
        <v>60</v>
      </c>
      <c r="U319" s="610">
        <v>60</v>
      </c>
      <c r="V319" s="610">
        <v>60</v>
      </c>
      <c r="W319" s="610">
        <v>60</v>
      </c>
      <c r="X319" s="610">
        <v>60</v>
      </c>
      <c r="Y319" s="610">
        <v>60</v>
      </c>
      <c r="Z319" s="610">
        <v>60</v>
      </c>
      <c r="AA319" s="610">
        <v>60</v>
      </c>
      <c r="AB319" s="610">
        <v>60</v>
      </c>
      <c r="AC319" s="370">
        <v>60</v>
      </c>
    </row>
    <row r="320" spans="1:29" s="374" customFormat="1" ht="14.4" x14ac:dyDescent="0.3">
      <c r="A320" s="770"/>
      <c r="B320" s="764"/>
      <c r="C320" s="777"/>
      <c r="D320" s="780"/>
      <c r="E320" s="454" t="s">
        <v>704</v>
      </c>
      <c r="F320" s="457">
        <v>60</v>
      </c>
      <c r="G320" s="610">
        <v>60</v>
      </c>
      <c r="H320" s="610">
        <v>60</v>
      </c>
      <c r="I320" s="610">
        <v>60</v>
      </c>
      <c r="J320" s="610">
        <v>60</v>
      </c>
      <c r="K320" s="610">
        <v>60</v>
      </c>
      <c r="L320" s="610">
        <v>60</v>
      </c>
      <c r="M320" s="610">
        <v>60</v>
      </c>
      <c r="N320" s="610">
        <v>60</v>
      </c>
      <c r="O320" s="610">
        <v>60</v>
      </c>
      <c r="P320" s="610">
        <v>60</v>
      </c>
      <c r="Q320" s="610">
        <v>60</v>
      </c>
      <c r="R320" s="610">
        <v>60</v>
      </c>
      <c r="S320" s="610">
        <v>60</v>
      </c>
      <c r="T320" s="610">
        <v>60</v>
      </c>
      <c r="U320" s="610">
        <v>60</v>
      </c>
      <c r="V320" s="610">
        <v>60</v>
      </c>
      <c r="W320" s="610">
        <v>60</v>
      </c>
      <c r="X320" s="610">
        <v>60</v>
      </c>
      <c r="Y320" s="610">
        <v>60</v>
      </c>
      <c r="Z320" s="610">
        <v>60</v>
      </c>
      <c r="AA320" s="610">
        <v>60</v>
      </c>
      <c r="AB320" s="610">
        <v>60</v>
      </c>
      <c r="AC320" s="370">
        <v>60</v>
      </c>
    </row>
    <row r="321" spans="1:16383" s="374" customFormat="1" ht="15" thickBot="1" x14ac:dyDescent="0.35">
      <c r="A321" s="772"/>
      <c r="B321" s="773"/>
      <c r="C321" s="778"/>
      <c r="D321" s="781"/>
      <c r="E321" s="455" t="s">
        <v>745</v>
      </c>
      <c r="F321" s="459">
        <v>60</v>
      </c>
      <c r="G321" s="372">
        <v>60</v>
      </c>
      <c r="H321" s="372">
        <v>60</v>
      </c>
      <c r="I321" s="372">
        <v>60</v>
      </c>
      <c r="J321" s="372">
        <v>60</v>
      </c>
      <c r="K321" s="372">
        <v>60</v>
      </c>
      <c r="L321" s="372">
        <v>60</v>
      </c>
      <c r="M321" s="372">
        <v>70</v>
      </c>
      <c r="N321" s="372">
        <v>70</v>
      </c>
      <c r="O321" s="372">
        <v>70</v>
      </c>
      <c r="P321" s="372">
        <v>70</v>
      </c>
      <c r="Q321" s="372">
        <v>70</v>
      </c>
      <c r="R321" s="372">
        <v>70</v>
      </c>
      <c r="S321" s="372">
        <v>70</v>
      </c>
      <c r="T321" s="372">
        <v>60</v>
      </c>
      <c r="U321" s="372">
        <v>60</v>
      </c>
      <c r="V321" s="372">
        <v>60</v>
      </c>
      <c r="W321" s="372">
        <v>60</v>
      </c>
      <c r="X321" s="372">
        <v>60</v>
      </c>
      <c r="Y321" s="372">
        <v>60</v>
      </c>
      <c r="Z321" s="372">
        <v>60</v>
      </c>
      <c r="AA321" s="372">
        <v>60</v>
      </c>
      <c r="AB321" s="372">
        <v>60</v>
      </c>
      <c r="AC321" s="373">
        <v>60</v>
      </c>
    </row>
    <row r="322" spans="1:16383" s="374" customFormat="1" ht="15" customHeight="1" x14ac:dyDescent="0.3">
      <c r="A322" s="769" t="str">
        <f t="shared" ref="A322" si="16">A318</f>
        <v>Restroom</v>
      </c>
      <c r="B322" s="763" t="s">
        <v>132</v>
      </c>
      <c r="C322" s="776" t="s">
        <v>699</v>
      </c>
      <c r="D322" s="779" t="s">
        <v>753</v>
      </c>
      <c r="E322" s="453" t="s">
        <v>702</v>
      </c>
      <c r="F322" s="456">
        <v>85</v>
      </c>
      <c r="G322" s="609">
        <v>85</v>
      </c>
      <c r="H322" s="609">
        <v>85</v>
      </c>
      <c r="I322" s="609">
        <v>85</v>
      </c>
      <c r="J322" s="609">
        <v>85</v>
      </c>
      <c r="K322" s="609">
        <v>85</v>
      </c>
      <c r="L322" s="609">
        <v>75</v>
      </c>
      <c r="M322" s="609">
        <v>75</v>
      </c>
      <c r="N322" s="609">
        <v>75</v>
      </c>
      <c r="O322" s="609">
        <v>75</v>
      </c>
      <c r="P322" s="609">
        <v>75</v>
      </c>
      <c r="Q322" s="609">
        <v>75</v>
      </c>
      <c r="R322" s="609">
        <v>75</v>
      </c>
      <c r="S322" s="609">
        <v>75</v>
      </c>
      <c r="T322" s="609">
        <v>75</v>
      </c>
      <c r="U322" s="609">
        <v>75</v>
      </c>
      <c r="V322" s="609">
        <v>75</v>
      </c>
      <c r="W322" s="609">
        <v>75</v>
      </c>
      <c r="X322" s="609">
        <v>75</v>
      </c>
      <c r="Y322" s="609">
        <v>75</v>
      </c>
      <c r="Z322" s="609">
        <v>75</v>
      </c>
      <c r="AA322" s="609">
        <v>75</v>
      </c>
      <c r="AB322" s="609">
        <v>85</v>
      </c>
      <c r="AC322" s="369">
        <v>85</v>
      </c>
    </row>
    <row r="323" spans="1:16383" s="374" customFormat="1" ht="14.4" x14ac:dyDescent="0.3">
      <c r="A323" s="770"/>
      <c r="B323" s="764"/>
      <c r="C323" s="777"/>
      <c r="D323" s="780"/>
      <c r="E323" s="454" t="s">
        <v>703</v>
      </c>
      <c r="F323" s="457">
        <v>85</v>
      </c>
      <c r="G323" s="610">
        <v>85</v>
      </c>
      <c r="H323" s="610">
        <v>85</v>
      </c>
      <c r="I323" s="610">
        <v>85</v>
      </c>
      <c r="J323" s="610">
        <v>85</v>
      </c>
      <c r="K323" s="610">
        <v>85</v>
      </c>
      <c r="L323" s="610">
        <v>85</v>
      </c>
      <c r="M323" s="610">
        <v>75</v>
      </c>
      <c r="N323" s="610">
        <v>75</v>
      </c>
      <c r="O323" s="610">
        <v>75</v>
      </c>
      <c r="P323" s="610">
        <v>75</v>
      </c>
      <c r="Q323" s="610">
        <v>75</v>
      </c>
      <c r="R323" s="610">
        <v>75</v>
      </c>
      <c r="S323" s="610">
        <v>85</v>
      </c>
      <c r="T323" s="610">
        <v>85</v>
      </c>
      <c r="U323" s="610">
        <v>85</v>
      </c>
      <c r="V323" s="610">
        <v>85</v>
      </c>
      <c r="W323" s="610">
        <v>85</v>
      </c>
      <c r="X323" s="610">
        <v>85</v>
      </c>
      <c r="Y323" s="610">
        <v>85</v>
      </c>
      <c r="Z323" s="610">
        <v>85</v>
      </c>
      <c r="AA323" s="610">
        <v>85</v>
      </c>
      <c r="AB323" s="610">
        <v>85</v>
      </c>
      <c r="AC323" s="370">
        <v>85</v>
      </c>
    </row>
    <row r="324" spans="1:16383" s="374" customFormat="1" ht="14.4" x14ac:dyDescent="0.3">
      <c r="A324" s="770"/>
      <c r="B324" s="764"/>
      <c r="C324" s="777"/>
      <c r="D324" s="780"/>
      <c r="E324" s="454" t="s">
        <v>704</v>
      </c>
      <c r="F324" s="457">
        <v>85</v>
      </c>
      <c r="G324" s="610">
        <v>85</v>
      </c>
      <c r="H324" s="610">
        <v>85</v>
      </c>
      <c r="I324" s="610">
        <v>85</v>
      </c>
      <c r="J324" s="610">
        <v>85</v>
      </c>
      <c r="K324" s="610">
        <v>85</v>
      </c>
      <c r="L324" s="610">
        <v>85</v>
      </c>
      <c r="M324" s="610">
        <v>85</v>
      </c>
      <c r="N324" s="610">
        <v>85</v>
      </c>
      <c r="O324" s="610">
        <v>85</v>
      </c>
      <c r="P324" s="610">
        <v>85</v>
      </c>
      <c r="Q324" s="610">
        <v>85</v>
      </c>
      <c r="R324" s="610">
        <v>85</v>
      </c>
      <c r="S324" s="610">
        <v>85</v>
      </c>
      <c r="T324" s="610">
        <v>85</v>
      </c>
      <c r="U324" s="610">
        <v>85</v>
      </c>
      <c r="V324" s="610">
        <v>85</v>
      </c>
      <c r="W324" s="610">
        <v>85</v>
      </c>
      <c r="X324" s="610">
        <v>85</v>
      </c>
      <c r="Y324" s="610">
        <v>85</v>
      </c>
      <c r="Z324" s="610">
        <v>85</v>
      </c>
      <c r="AA324" s="610">
        <v>85</v>
      </c>
      <c r="AB324" s="610">
        <v>85</v>
      </c>
      <c r="AC324" s="370">
        <v>85</v>
      </c>
    </row>
    <row r="325" spans="1:16383" s="374" customFormat="1" ht="15" thickBot="1" x14ac:dyDescent="0.35">
      <c r="A325" s="772"/>
      <c r="B325" s="773"/>
      <c r="C325" s="778"/>
      <c r="D325" s="781"/>
      <c r="E325" s="455" t="s">
        <v>745</v>
      </c>
      <c r="F325" s="459">
        <v>85</v>
      </c>
      <c r="G325" s="372">
        <v>85</v>
      </c>
      <c r="H325" s="372">
        <v>85</v>
      </c>
      <c r="I325" s="372">
        <v>85</v>
      </c>
      <c r="J325" s="372">
        <v>85</v>
      </c>
      <c r="K325" s="372">
        <v>85</v>
      </c>
      <c r="L325" s="372">
        <v>85</v>
      </c>
      <c r="M325" s="372">
        <v>75</v>
      </c>
      <c r="N325" s="372">
        <v>75</v>
      </c>
      <c r="O325" s="372">
        <v>75</v>
      </c>
      <c r="P325" s="372">
        <v>75</v>
      </c>
      <c r="Q325" s="372">
        <v>75</v>
      </c>
      <c r="R325" s="372">
        <v>75</v>
      </c>
      <c r="S325" s="372">
        <v>75</v>
      </c>
      <c r="T325" s="372">
        <v>85</v>
      </c>
      <c r="U325" s="372">
        <v>85</v>
      </c>
      <c r="V325" s="372">
        <v>85</v>
      </c>
      <c r="W325" s="372">
        <v>85</v>
      </c>
      <c r="X325" s="372">
        <v>85</v>
      </c>
      <c r="Y325" s="372">
        <v>85</v>
      </c>
      <c r="Z325" s="372">
        <v>85</v>
      </c>
      <c r="AA325" s="372">
        <v>85</v>
      </c>
      <c r="AB325" s="372">
        <v>85</v>
      </c>
      <c r="AC325" s="373">
        <v>85</v>
      </c>
    </row>
    <row r="326" spans="1:16383" s="374" customFormat="1" ht="15" customHeight="1" x14ac:dyDescent="0.3">
      <c r="A326" s="769" t="str">
        <f t="shared" ref="A326" si="17">A322</f>
        <v>Restroom</v>
      </c>
      <c r="B326" s="763" t="s">
        <v>132</v>
      </c>
      <c r="C326" s="776" t="s">
        <v>286</v>
      </c>
      <c r="D326" s="779" t="s">
        <v>751</v>
      </c>
      <c r="E326" s="453" t="s">
        <v>702</v>
      </c>
      <c r="F326" s="456">
        <v>1</v>
      </c>
      <c r="G326" s="609">
        <v>1</v>
      </c>
      <c r="H326" s="609">
        <v>1</v>
      </c>
      <c r="I326" s="609">
        <v>1</v>
      </c>
      <c r="J326" s="609">
        <v>1</v>
      </c>
      <c r="K326" s="609">
        <v>1</v>
      </c>
      <c r="L326" s="609">
        <v>0.25</v>
      </c>
      <c r="M326" s="609">
        <v>0.25</v>
      </c>
      <c r="N326" s="609">
        <v>0.25</v>
      </c>
      <c r="O326" s="609">
        <v>0.25</v>
      </c>
      <c r="P326" s="609">
        <v>0.25</v>
      </c>
      <c r="Q326" s="609">
        <v>0.25</v>
      </c>
      <c r="R326" s="609">
        <v>0.25</v>
      </c>
      <c r="S326" s="609">
        <v>0.25</v>
      </c>
      <c r="T326" s="609">
        <v>0.25</v>
      </c>
      <c r="U326" s="609">
        <v>0.25</v>
      </c>
      <c r="V326" s="609">
        <v>0.25</v>
      </c>
      <c r="W326" s="609">
        <v>0.25</v>
      </c>
      <c r="X326" s="609">
        <v>0.25</v>
      </c>
      <c r="Y326" s="609">
        <v>0.25</v>
      </c>
      <c r="Z326" s="609">
        <v>0.25</v>
      </c>
      <c r="AA326" s="609">
        <v>0.25</v>
      </c>
      <c r="AB326" s="609">
        <v>1</v>
      </c>
      <c r="AC326" s="369">
        <v>1</v>
      </c>
    </row>
    <row r="327" spans="1:16383" s="374" customFormat="1" ht="14.4" x14ac:dyDescent="0.3">
      <c r="A327" s="770"/>
      <c r="B327" s="764"/>
      <c r="C327" s="777"/>
      <c r="D327" s="780"/>
      <c r="E327" s="454" t="s">
        <v>703</v>
      </c>
      <c r="F327" s="457">
        <v>1</v>
      </c>
      <c r="G327" s="610">
        <v>1</v>
      </c>
      <c r="H327" s="610">
        <v>1</v>
      </c>
      <c r="I327" s="610">
        <v>1</v>
      </c>
      <c r="J327" s="610">
        <v>1</v>
      </c>
      <c r="K327" s="610">
        <v>1</v>
      </c>
      <c r="L327" s="610">
        <v>1</v>
      </c>
      <c r="M327" s="610">
        <v>0.25</v>
      </c>
      <c r="N327" s="610">
        <v>0.25</v>
      </c>
      <c r="O327" s="610">
        <v>0.25</v>
      </c>
      <c r="P327" s="610">
        <v>0.25</v>
      </c>
      <c r="Q327" s="610">
        <v>0.25</v>
      </c>
      <c r="R327" s="610">
        <v>0.25</v>
      </c>
      <c r="S327" s="610">
        <v>1</v>
      </c>
      <c r="T327" s="610">
        <v>1</v>
      </c>
      <c r="U327" s="610">
        <v>1</v>
      </c>
      <c r="V327" s="610">
        <v>1</v>
      </c>
      <c r="W327" s="610">
        <v>1</v>
      </c>
      <c r="X327" s="610">
        <v>1</v>
      </c>
      <c r="Y327" s="610">
        <v>1</v>
      </c>
      <c r="Z327" s="610">
        <v>1</v>
      </c>
      <c r="AA327" s="610">
        <v>1</v>
      </c>
      <c r="AB327" s="610">
        <v>1</v>
      </c>
      <c r="AC327" s="370">
        <v>1</v>
      </c>
    </row>
    <row r="328" spans="1:16383" s="374" customFormat="1" ht="14.4" x14ac:dyDescent="0.3">
      <c r="A328" s="770"/>
      <c r="B328" s="764"/>
      <c r="C328" s="777"/>
      <c r="D328" s="780"/>
      <c r="E328" s="454" t="s">
        <v>704</v>
      </c>
      <c r="F328" s="457">
        <v>1</v>
      </c>
      <c r="G328" s="610">
        <v>1</v>
      </c>
      <c r="H328" s="610">
        <v>1</v>
      </c>
      <c r="I328" s="610">
        <v>1</v>
      </c>
      <c r="J328" s="610">
        <v>1</v>
      </c>
      <c r="K328" s="610">
        <v>1</v>
      </c>
      <c r="L328" s="610">
        <v>1</v>
      </c>
      <c r="M328" s="610">
        <v>1</v>
      </c>
      <c r="N328" s="610">
        <v>1</v>
      </c>
      <c r="O328" s="610">
        <v>1</v>
      </c>
      <c r="P328" s="610">
        <v>1</v>
      </c>
      <c r="Q328" s="610">
        <v>1</v>
      </c>
      <c r="R328" s="610">
        <v>1</v>
      </c>
      <c r="S328" s="610">
        <v>1</v>
      </c>
      <c r="T328" s="610">
        <v>1</v>
      </c>
      <c r="U328" s="610">
        <v>1</v>
      </c>
      <c r="V328" s="610">
        <v>1</v>
      </c>
      <c r="W328" s="610">
        <v>1</v>
      </c>
      <c r="X328" s="610">
        <v>1</v>
      </c>
      <c r="Y328" s="610">
        <v>1</v>
      </c>
      <c r="Z328" s="610">
        <v>1</v>
      </c>
      <c r="AA328" s="610">
        <v>1</v>
      </c>
      <c r="AB328" s="610">
        <v>1</v>
      </c>
      <c r="AC328" s="370">
        <v>1</v>
      </c>
    </row>
    <row r="329" spans="1:16383" s="374" customFormat="1" ht="15" thickBot="1" x14ac:dyDescent="0.35">
      <c r="A329" s="772"/>
      <c r="B329" s="773"/>
      <c r="C329" s="778"/>
      <c r="D329" s="781"/>
      <c r="E329" s="455" t="s">
        <v>745</v>
      </c>
      <c r="F329" s="458">
        <v>1</v>
      </c>
      <c r="G329" s="611">
        <v>1</v>
      </c>
      <c r="H329" s="611">
        <v>1</v>
      </c>
      <c r="I329" s="611">
        <v>1</v>
      </c>
      <c r="J329" s="611">
        <v>1</v>
      </c>
      <c r="K329" s="611">
        <v>1</v>
      </c>
      <c r="L329" s="611">
        <v>1</v>
      </c>
      <c r="M329" s="611">
        <v>0.25</v>
      </c>
      <c r="N329" s="611">
        <v>0.25</v>
      </c>
      <c r="O329" s="611">
        <v>0.25</v>
      </c>
      <c r="P329" s="611">
        <v>0.25</v>
      </c>
      <c r="Q329" s="611">
        <v>0.25</v>
      </c>
      <c r="R329" s="611">
        <v>0.25</v>
      </c>
      <c r="S329" s="611">
        <v>0.25</v>
      </c>
      <c r="T329" s="611">
        <v>1</v>
      </c>
      <c r="U329" s="611">
        <v>1</v>
      </c>
      <c r="V329" s="611">
        <v>1</v>
      </c>
      <c r="W329" s="611">
        <v>1</v>
      </c>
      <c r="X329" s="611">
        <v>1</v>
      </c>
      <c r="Y329" s="611">
        <v>1</v>
      </c>
      <c r="Z329" s="611">
        <v>1</v>
      </c>
      <c r="AA329" s="611">
        <v>1</v>
      </c>
      <c r="AB329" s="611">
        <v>1</v>
      </c>
      <c r="AC329" s="371">
        <v>1</v>
      </c>
    </row>
    <row r="330" spans="1:16383" s="374" customFormat="1" ht="15" thickBot="1" x14ac:dyDescent="0.35">
      <c r="A330" s="531"/>
      <c r="B330" s="615"/>
      <c r="C330" s="532"/>
      <c r="D330" s="615"/>
      <c r="E330" s="532"/>
      <c r="F330" s="532"/>
      <c r="G330" s="532"/>
      <c r="H330" s="532"/>
      <c r="I330" s="532"/>
      <c r="J330" s="532"/>
      <c r="K330" s="532"/>
      <c r="L330" s="532"/>
      <c r="M330" s="532"/>
      <c r="N330" s="532"/>
      <c r="O330" s="532"/>
      <c r="P330" s="532"/>
      <c r="Q330" s="532"/>
      <c r="R330" s="532"/>
      <c r="S330" s="532"/>
      <c r="T330" s="532"/>
      <c r="U330" s="532"/>
      <c r="V330" s="532"/>
      <c r="W330" s="532"/>
      <c r="X330" s="532"/>
      <c r="Y330" s="532"/>
      <c r="Z330" s="532"/>
      <c r="AA330" s="532"/>
      <c r="AB330" s="532"/>
      <c r="AC330" s="533"/>
    </row>
    <row r="331" spans="1:16383" customFormat="1" ht="31.2" customHeight="1" x14ac:dyDescent="0.3">
      <c r="A331" s="898" t="s">
        <v>754</v>
      </c>
      <c r="B331" s="899"/>
      <c r="C331" s="899"/>
      <c r="D331" s="899"/>
      <c r="E331" s="899"/>
      <c r="F331" s="899"/>
      <c r="G331" s="899"/>
      <c r="H331" s="899"/>
      <c r="I331" s="899"/>
      <c r="J331" s="899"/>
      <c r="K331" s="899"/>
      <c r="L331" s="899"/>
      <c r="M331" s="899"/>
      <c r="N331" s="899"/>
      <c r="O331" s="899"/>
      <c r="P331" s="899"/>
      <c r="Q331" s="899"/>
      <c r="R331" s="899"/>
      <c r="S331" s="899"/>
      <c r="T331" s="899"/>
      <c r="U331" s="899"/>
      <c r="V331" s="899"/>
      <c r="W331" s="899"/>
      <c r="X331" s="899"/>
      <c r="Y331" s="899"/>
      <c r="Z331" s="899"/>
      <c r="AA331" s="899"/>
      <c r="AB331" s="899"/>
      <c r="AC331" s="900"/>
      <c r="AD331" s="901"/>
      <c r="AE331" s="901"/>
      <c r="AF331" s="901"/>
      <c r="AG331" s="901"/>
      <c r="AH331" s="902"/>
      <c r="AI331" s="901"/>
      <c r="AJ331" s="901"/>
      <c r="AK331" s="901"/>
      <c r="AL331" s="901"/>
      <c r="AM331" s="901"/>
      <c r="AN331" s="901"/>
      <c r="AO331" s="901"/>
      <c r="AP331" s="901"/>
      <c r="AQ331" s="901"/>
      <c r="AR331" s="901"/>
      <c r="AS331" s="901"/>
      <c r="AT331" s="901"/>
      <c r="AU331" s="901"/>
      <c r="AV331" s="901"/>
      <c r="AW331" s="901"/>
      <c r="AX331" s="901"/>
      <c r="AY331" s="901"/>
      <c r="AZ331" s="901"/>
      <c r="BA331" s="901"/>
      <c r="BB331" s="901"/>
      <c r="BC331" s="901"/>
      <c r="BD331" s="901"/>
      <c r="BE331" s="901"/>
      <c r="BF331" s="901"/>
      <c r="BG331" s="901"/>
      <c r="BH331" s="901"/>
      <c r="BI331" s="901"/>
      <c r="BJ331" s="901"/>
      <c r="BK331" s="902"/>
      <c r="BL331" s="901"/>
      <c r="BM331" s="901"/>
      <c r="BN331" s="901"/>
      <c r="BO331" s="901"/>
      <c r="BP331" s="901"/>
      <c r="BQ331" s="901"/>
      <c r="BR331" s="901"/>
      <c r="BS331" s="901"/>
      <c r="BT331" s="901"/>
      <c r="BU331" s="901"/>
      <c r="BV331" s="901"/>
      <c r="BW331" s="901"/>
      <c r="BX331" s="901"/>
      <c r="BY331" s="901"/>
      <c r="BZ331" s="901"/>
      <c r="CA331" s="901"/>
      <c r="CB331" s="901"/>
      <c r="CC331" s="901"/>
      <c r="CD331" s="901"/>
      <c r="CE331" s="901"/>
      <c r="CF331" s="901"/>
      <c r="CG331" s="901"/>
      <c r="CH331" s="901"/>
      <c r="CI331" s="901"/>
      <c r="CJ331" s="901"/>
      <c r="CK331" s="901"/>
      <c r="CL331" s="901"/>
      <c r="CM331" s="901"/>
      <c r="CN331" s="902"/>
      <c r="CO331" s="901"/>
      <c r="CP331" s="901"/>
      <c r="CQ331" s="901"/>
      <c r="CR331" s="901"/>
      <c r="CS331" s="901"/>
      <c r="CT331" s="901"/>
      <c r="CU331" s="901"/>
      <c r="CV331" s="901"/>
      <c r="CW331" s="901"/>
      <c r="CX331" s="901"/>
      <c r="CY331" s="901"/>
      <c r="CZ331" s="901"/>
      <c r="DA331" s="901"/>
      <c r="DB331" s="901"/>
      <c r="DC331" s="901"/>
      <c r="DD331" s="901"/>
      <c r="DE331" s="901"/>
      <c r="DF331" s="901"/>
      <c r="DG331" s="901"/>
      <c r="DH331" s="901"/>
      <c r="DI331" s="901"/>
      <c r="DJ331" s="901"/>
      <c r="DK331" s="901"/>
      <c r="DL331" s="901"/>
      <c r="DM331" s="901"/>
      <c r="DN331" s="901"/>
      <c r="DO331" s="901"/>
      <c r="DP331" s="901"/>
      <c r="DQ331" s="902"/>
      <c r="DR331" s="901"/>
      <c r="DS331" s="901"/>
      <c r="DT331" s="901"/>
      <c r="DU331" s="901"/>
      <c r="DV331" s="901"/>
      <c r="DW331" s="901"/>
      <c r="DX331" s="901"/>
      <c r="DY331" s="901"/>
      <c r="DZ331" s="901"/>
      <c r="EA331" s="901"/>
      <c r="EB331" s="901"/>
      <c r="EC331" s="901"/>
      <c r="ED331" s="901"/>
      <c r="EE331" s="901"/>
      <c r="EF331" s="901"/>
      <c r="EG331" s="901"/>
      <c r="EH331" s="901"/>
      <c r="EI331" s="901"/>
      <c r="EJ331" s="901"/>
      <c r="EK331" s="901"/>
      <c r="EL331" s="901"/>
      <c r="EM331" s="901"/>
      <c r="EN331" s="901"/>
      <c r="EO331" s="901"/>
      <c r="EP331" s="901"/>
      <c r="EQ331" s="901"/>
      <c r="ER331" s="901"/>
      <c r="ES331" s="901"/>
      <c r="ET331" s="902"/>
      <c r="EU331" s="901"/>
      <c r="EV331" s="901"/>
      <c r="EW331" s="901"/>
      <c r="EX331" s="901"/>
      <c r="EY331" s="901"/>
      <c r="EZ331" s="901"/>
      <c r="FA331" s="901"/>
      <c r="FB331" s="901"/>
      <c r="FC331" s="901"/>
      <c r="FD331" s="901"/>
      <c r="FE331" s="901"/>
      <c r="FF331" s="901"/>
      <c r="FG331" s="901"/>
      <c r="FH331" s="901"/>
      <c r="FI331" s="901"/>
      <c r="FJ331" s="901"/>
      <c r="FK331" s="901"/>
      <c r="FL331" s="901"/>
      <c r="FM331" s="901"/>
      <c r="FN331" s="901"/>
      <c r="FO331" s="901"/>
      <c r="FP331" s="901"/>
      <c r="FQ331" s="901"/>
      <c r="FR331" s="901"/>
      <c r="FS331" s="901"/>
      <c r="FT331" s="901"/>
      <c r="FU331" s="901"/>
      <c r="FV331" s="901"/>
      <c r="FW331" s="902"/>
      <c r="FX331" s="901"/>
      <c r="FY331" s="901"/>
      <c r="FZ331" s="901"/>
      <c r="GA331" s="901"/>
      <c r="GB331" s="901"/>
      <c r="GC331" s="901"/>
      <c r="GD331" s="901"/>
      <c r="GE331" s="901"/>
      <c r="GF331" s="901"/>
      <c r="GG331" s="901"/>
      <c r="GH331" s="901"/>
      <c r="GI331" s="901"/>
      <c r="GJ331" s="901"/>
      <c r="GK331" s="901"/>
      <c r="GL331" s="901"/>
      <c r="GM331" s="901"/>
      <c r="GN331" s="901"/>
      <c r="GO331" s="901"/>
      <c r="GP331" s="901"/>
      <c r="GQ331" s="901"/>
      <c r="GR331" s="901"/>
      <c r="GS331" s="901"/>
      <c r="GT331" s="901"/>
      <c r="GU331" s="901"/>
      <c r="GV331" s="901"/>
      <c r="GW331" s="901"/>
      <c r="GX331" s="901"/>
      <c r="GY331" s="901"/>
      <c r="GZ331" s="902"/>
      <c r="HA331" s="901"/>
      <c r="HB331" s="901"/>
      <c r="HC331" s="901"/>
      <c r="HD331" s="901"/>
      <c r="HE331" s="901"/>
      <c r="HF331" s="901"/>
      <c r="HG331" s="901"/>
      <c r="HH331" s="901"/>
      <c r="HI331" s="901"/>
      <c r="HJ331" s="901"/>
      <c r="HK331" s="901"/>
      <c r="HL331" s="901"/>
      <c r="HM331" s="901"/>
      <c r="HN331" s="901"/>
      <c r="HO331" s="901"/>
      <c r="HP331" s="901"/>
      <c r="HQ331" s="901"/>
      <c r="HR331" s="901"/>
      <c r="HS331" s="901"/>
      <c r="HT331" s="901"/>
      <c r="HU331" s="901"/>
      <c r="HV331" s="901"/>
      <c r="HW331" s="901"/>
      <c r="HX331" s="901"/>
      <c r="HY331" s="901"/>
      <c r="HZ331" s="901"/>
      <c r="IA331" s="901"/>
      <c r="IB331" s="901"/>
      <c r="IC331" s="902"/>
      <c r="ID331" s="901"/>
      <c r="IE331" s="901"/>
      <c r="IF331" s="901"/>
      <c r="IG331" s="901"/>
      <c r="IH331" s="901"/>
      <c r="II331" s="901"/>
      <c r="IJ331" s="901"/>
      <c r="IK331" s="901"/>
      <c r="IL331" s="901"/>
      <c r="IM331" s="901"/>
      <c r="IN331" s="901"/>
      <c r="IO331" s="901"/>
      <c r="IP331" s="901"/>
      <c r="IQ331" s="901"/>
      <c r="IR331" s="901"/>
      <c r="IS331" s="901"/>
      <c r="IT331" s="901"/>
      <c r="IU331" s="901"/>
      <c r="IV331" s="901"/>
      <c r="IW331" s="901"/>
      <c r="IX331" s="901"/>
      <c r="IY331" s="901"/>
      <c r="IZ331" s="901"/>
      <c r="JA331" s="901"/>
      <c r="JB331" s="901"/>
      <c r="JC331" s="901"/>
      <c r="JD331" s="901"/>
      <c r="JE331" s="901"/>
      <c r="JF331" s="902"/>
      <c r="JG331" s="901"/>
      <c r="JH331" s="901"/>
      <c r="JI331" s="901"/>
      <c r="JJ331" s="901"/>
      <c r="JK331" s="901"/>
      <c r="JL331" s="901"/>
      <c r="JM331" s="901"/>
      <c r="JN331" s="901"/>
      <c r="JO331" s="901"/>
      <c r="JP331" s="901"/>
      <c r="JQ331" s="901"/>
      <c r="JR331" s="901"/>
      <c r="JS331" s="901"/>
      <c r="JT331" s="901"/>
      <c r="JU331" s="901"/>
      <c r="JV331" s="901"/>
      <c r="JW331" s="901"/>
      <c r="JX331" s="901"/>
      <c r="JY331" s="901"/>
      <c r="JZ331" s="901"/>
      <c r="KA331" s="901"/>
      <c r="KB331" s="901"/>
      <c r="KC331" s="901"/>
      <c r="KD331" s="901"/>
      <c r="KE331" s="901"/>
      <c r="KF331" s="901"/>
      <c r="KG331" s="901"/>
      <c r="KH331" s="901"/>
      <c r="KI331" s="902"/>
      <c r="KJ331" s="901"/>
      <c r="KK331" s="901"/>
      <c r="KL331" s="901"/>
      <c r="KM331" s="901"/>
      <c r="KN331" s="901"/>
      <c r="KO331" s="901"/>
      <c r="KP331" s="901"/>
      <c r="KQ331" s="901"/>
      <c r="KR331" s="901"/>
      <c r="KS331" s="901"/>
      <c r="KT331" s="901"/>
      <c r="KU331" s="901"/>
      <c r="KV331" s="901"/>
      <c r="KW331" s="901"/>
      <c r="KX331" s="901"/>
      <c r="KY331" s="901"/>
      <c r="KZ331" s="901"/>
      <c r="LA331" s="901"/>
      <c r="LB331" s="901"/>
      <c r="LC331" s="901"/>
      <c r="LD331" s="901"/>
      <c r="LE331" s="901"/>
      <c r="LF331" s="901"/>
      <c r="LG331" s="901"/>
      <c r="LH331" s="901"/>
      <c r="LI331" s="901"/>
      <c r="LJ331" s="901"/>
      <c r="LK331" s="901"/>
      <c r="LL331" s="902"/>
      <c r="LM331" s="901"/>
      <c r="LN331" s="901"/>
      <c r="LO331" s="901"/>
      <c r="LP331" s="901"/>
      <c r="LQ331" s="901"/>
      <c r="LR331" s="901"/>
      <c r="LS331" s="901"/>
      <c r="LT331" s="901"/>
      <c r="LU331" s="901"/>
      <c r="LV331" s="901"/>
      <c r="LW331" s="901"/>
      <c r="LX331" s="901"/>
      <c r="LY331" s="901"/>
      <c r="LZ331" s="901"/>
      <c r="MA331" s="901"/>
      <c r="MB331" s="901"/>
      <c r="MC331" s="901"/>
      <c r="MD331" s="901"/>
      <c r="ME331" s="901"/>
      <c r="MF331" s="901"/>
      <c r="MG331" s="901"/>
      <c r="MH331" s="901"/>
      <c r="MI331" s="901"/>
      <c r="MJ331" s="901"/>
      <c r="MK331" s="901"/>
      <c r="ML331" s="901"/>
      <c r="MM331" s="901"/>
      <c r="MN331" s="901"/>
      <c r="MO331" s="902"/>
      <c r="MP331" s="901"/>
      <c r="MQ331" s="901"/>
      <c r="MR331" s="901"/>
      <c r="MS331" s="901"/>
      <c r="MT331" s="901"/>
      <c r="MU331" s="901"/>
      <c r="MV331" s="901"/>
      <c r="MW331" s="901"/>
      <c r="MX331" s="901"/>
      <c r="MY331" s="901"/>
      <c r="MZ331" s="901"/>
      <c r="NA331" s="901"/>
      <c r="NB331" s="901"/>
      <c r="NC331" s="901"/>
      <c r="ND331" s="901"/>
      <c r="NE331" s="901"/>
      <c r="NF331" s="901"/>
      <c r="NG331" s="901"/>
      <c r="NH331" s="901"/>
      <c r="NI331" s="901"/>
      <c r="NJ331" s="901"/>
      <c r="NK331" s="901"/>
      <c r="NL331" s="901"/>
      <c r="NM331" s="901"/>
      <c r="NN331" s="901"/>
      <c r="NO331" s="901"/>
      <c r="NP331" s="901"/>
      <c r="NQ331" s="901"/>
      <c r="NR331" s="902"/>
      <c r="NS331" s="901"/>
      <c r="NT331" s="901"/>
      <c r="NU331" s="901"/>
      <c r="NV331" s="901"/>
      <c r="NW331" s="901"/>
      <c r="NX331" s="901"/>
      <c r="NY331" s="901"/>
      <c r="NZ331" s="901"/>
      <c r="OA331" s="901"/>
      <c r="OB331" s="901"/>
      <c r="OC331" s="901"/>
      <c r="OD331" s="901"/>
      <c r="OE331" s="901"/>
      <c r="OF331" s="901"/>
      <c r="OG331" s="901"/>
      <c r="OH331" s="901"/>
      <c r="OI331" s="901"/>
      <c r="OJ331" s="901"/>
      <c r="OK331" s="901"/>
      <c r="OL331" s="901"/>
      <c r="OM331" s="901"/>
      <c r="ON331" s="901"/>
      <c r="OO331" s="901"/>
      <c r="OP331" s="901"/>
      <c r="OQ331" s="901"/>
      <c r="OR331" s="901"/>
      <c r="OS331" s="901"/>
      <c r="OT331" s="901"/>
      <c r="OU331" s="902"/>
      <c r="OV331" s="901"/>
      <c r="OW331" s="901"/>
      <c r="OX331" s="901"/>
      <c r="OY331" s="901"/>
      <c r="OZ331" s="901"/>
      <c r="PA331" s="901"/>
      <c r="PB331" s="901"/>
      <c r="PC331" s="901"/>
      <c r="PD331" s="901"/>
      <c r="PE331" s="901"/>
      <c r="PF331" s="901"/>
      <c r="PG331" s="901"/>
      <c r="PH331" s="901"/>
      <c r="PI331" s="901"/>
      <c r="PJ331" s="901"/>
      <c r="PK331" s="901"/>
      <c r="PL331" s="901"/>
      <c r="PM331" s="901"/>
      <c r="PN331" s="901"/>
      <c r="PO331" s="901"/>
      <c r="PP331" s="901"/>
      <c r="PQ331" s="901"/>
      <c r="PR331" s="901"/>
      <c r="PS331" s="901"/>
      <c r="PT331" s="901"/>
      <c r="PU331" s="901"/>
      <c r="PV331" s="901"/>
      <c r="PW331" s="901"/>
      <c r="PX331" s="902"/>
      <c r="PY331" s="901"/>
      <c r="PZ331" s="901"/>
      <c r="QA331" s="901"/>
      <c r="QB331" s="901"/>
      <c r="QC331" s="901"/>
      <c r="QD331" s="901"/>
      <c r="QE331" s="901"/>
      <c r="QF331" s="901"/>
      <c r="QG331" s="901"/>
      <c r="QH331" s="901"/>
      <c r="QI331" s="901"/>
      <c r="QJ331" s="901"/>
      <c r="QK331" s="901"/>
      <c r="QL331" s="901"/>
      <c r="QM331" s="901"/>
      <c r="QN331" s="901"/>
      <c r="QO331" s="901"/>
      <c r="QP331" s="901"/>
      <c r="QQ331" s="901"/>
      <c r="QR331" s="901"/>
      <c r="QS331" s="901"/>
      <c r="QT331" s="901"/>
      <c r="QU331" s="901"/>
      <c r="QV331" s="901"/>
      <c r="QW331" s="901"/>
      <c r="QX331" s="901"/>
      <c r="QY331" s="901"/>
      <c r="QZ331" s="901"/>
      <c r="RA331" s="902"/>
      <c r="RB331" s="901"/>
      <c r="RC331" s="901"/>
      <c r="RD331" s="901"/>
      <c r="RE331" s="901"/>
      <c r="RF331" s="901"/>
      <c r="RG331" s="901"/>
      <c r="RH331" s="901"/>
      <c r="RI331" s="901"/>
      <c r="RJ331" s="901"/>
      <c r="RK331" s="901"/>
      <c r="RL331" s="901"/>
      <c r="RM331" s="901"/>
      <c r="RN331" s="901"/>
      <c r="RO331" s="901"/>
      <c r="RP331" s="901"/>
      <c r="RQ331" s="901"/>
      <c r="RR331" s="901"/>
      <c r="RS331" s="901"/>
      <c r="RT331" s="901"/>
      <c r="RU331" s="901"/>
      <c r="RV331" s="901"/>
      <c r="RW331" s="901"/>
      <c r="RX331" s="901"/>
      <c r="RY331" s="901"/>
      <c r="RZ331" s="901"/>
      <c r="SA331" s="901"/>
      <c r="SB331" s="901"/>
      <c r="SC331" s="901"/>
      <c r="SD331" s="902"/>
      <c r="SE331" s="901"/>
      <c r="SF331" s="901"/>
      <c r="SG331" s="901"/>
      <c r="SH331" s="901"/>
      <c r="SI331" s="901"/>
      <c r="SJ331" s="901"/>
      <c r="SK331" s="901"/>
      <c r="SL331" s="901"/>
      <c r="SM331" s="901"/>
      <c r="SN331" s="901"/>
      <c r="SO331" s="901"/>
      <c r="SP331" s="901"/>
      <c r="SQ331" s="901"/>
      <c r="SR331" s="901"/>
      <c r="SS331" s="901"/>
      <c r="ST331" s="901"/>
      <c r="SU331" s="901"/>
      <c r="SV331" s="901"/>
      <c r="SW331" s="901"/>
      <c r="SX331" s="901"/>
      <c r="SY331" s="901"/>
      <c r="SZ331" s="901"/>
      <c r="TA331" s="901"/>
      <c r="TB331" s="901"/>
      <c r="TC331" s="901"/>
      <c r="TD331" s="901"/>
      <c r="TE331" s="901"/>
      <c r="TF331" s="901"/>
      <c r="TG331" s="902"/>
      <c r="TH331" s="901"/>
      <c r="TI331" s="901"/>
      <c r="TJ331" s="901"/>
      <c r="TK331" s="901"/>
      <c r="TL331" s="901"/>
      <c r="TM331" s="901"/>
      <c r="TN331" s="901"/>
      <c r="TO331" s="901"/>
      <c r="TP331" s="901"/>
      <c r="TQ331" s="901"/>
      <c r="TR331" s="901"/>
      <c r="TS331" s="901"/>
      <c r="TT331" s="901"/>
      <c r="TU331" s="901"/>
      <c r="TV331" s="901"/>
      <c r="TW331" s="901"/>
      <c r="TX331" s="901"/>
      <c r="TY331" s="901"/>
      <c r="TZ331" s="901"/>
      <c r="UA331" s="901"/>
      <c r="UB331" s="901"/>
      <c r="UC331" s="901"/>
      <c r="UD331" s="901"/>
      <c r="UE331" s="901"/>
      <c r="UF331" s="901"/>
      <c r="UG331" s="901"/>
      <c r="UH331" s="901"/>
      <c r="UI331" s="901"/>
      <c r="UJ331" s="902"/>
      <c r="UK331" s="901"/>
      <c r="UL331" s="901"/>
      <c r="UM331" s="901"/>
      <c r="UN331" s="901"/>
      <c r="UO331" s="901"/>
      <c r="UP331" s="901"/>
      <c r="UQ331" s="901"/>
      <c r="UR331" s="901"/>
      <c r="US331" s="901"/>
      <c r="UT331" s="901"/>
      <c r="UU331" s="901"/>
      <c r="UV331" s="901"/>
      <c r="UW331" s="901"/>
      <c r="UX331" s="901"/>
      <c r="UY331" s="901"/>
      <c r="UZ331" s="901"/>
      <c r="VA331" s="901"/>
      <c r="VB331" s="901"/>
      <c r="VC331" s="901"/>
      <c r="VD331" s="901"/>
      <c r="VE331" s="901"/>
      <c r="VF331" s="901"/>
      <c r="VG331" s="901"/>
      <c r="VH331" s="901"/>
      <c r="VI331" s="901"/>
      <c r="VJ331" s="901"/>
      <c r="VK331" s="901"/>
      <c r="VL331" s="901"/>
      <c r="VM331" s="902"/>
      <c r="VN331" s="901"/>
      <c r="VO331" s="901"/>
      <c r="VP331" s="901"/>
      <c r="VQ331" s="901"/>
      <c r="VR331" s="901"/>
      <c r="VS331" s="901"/>
      <c r="VT331" s="901"/>
      <c r="VU331" s="901"/>
      <c r="VV331" s="901"/>
      <c r="VW331" s="901"/>
      <c r="VX331" s="901"/>
      <c r="VY331" s="901"/>
      <c r="VZ331" s="901"/>
      <c r="WA331" s="901"/>
      <c r="WB331" s="901"/>
      <c r="WC331" s="901"/>
      <c r="WD331" s="901"/>
      <c r="WE331" s="901"/>
      <c r="WF331" s="901"/>
      <c r="WG331" s="901"/>
      <c r="WH331" s="901"/>
      <c r="WI331" s="901"/>
      <c r="WJ331" s="901"/>
      <c r="WK331" s="901"/>
      <c r="WL331" s="901"/>
      <c r="WM331" s="901"/>
      <c r="WN331" s="901"/>
      <c r="WO331" s="901"/>
      <c r="WP331" s="902"/>
      <c r="WQ331" s="901"/>
      <c r="WR331" s="901"/>
      <c r="WS331" s="901"/>
      <c r="WT331" s="901"/>
      <c r="WU331" s="901"/>
      <c r="WV331" s="901"/>
      <c r="WW331" s="901"/>
      <c r="WX331" s="901"/>
      <c r="WY331" s="901"/>
      <c r="WZ331" s="901"/>
      <c r="XA331" s="901"/>
      <c r="XB331" s="901"/>
      <c r="XC331" s="901"/>
      <c r="XD331" s="901"/>
      <c r="XE331" s="901"/>
      <c r="XF331" s="901"/>
      <c r="XG331" s="901"/>
      <c r="XH331" s="901"/>
      <c r="XI331" s="901"/>
      <c r="XJ331" s="901"/>
      <c r="XK331" s="901"/>
      <c r="XL331" s="901"/>
      <c r="XM331" s="901"/>
      <c r="XN331" s="901"/>
      <c r="XO331" s="901"/>
      <c r="XP331" s="901"/>
      <c r="XQ331" s="901"/>
      <c r="XR331" s="901"/>
      <c r="XS331" s="902"/>
      <c r="XT331" s="901"/>
      <c r="XU331" s="901"/>
      <c r="XV331" s="901"/>
      <c r="XW331" s="901"/>
      <c r="XX331" s="901"/>
      <c r="XY331" s="901"/>
      <c r="XZ331" s="901"/>
      <c r="YA331" s="901"/>
      <c r="YB331" s="901"/>
      <c r="YC331" s="901"/>
      <c r="YD331" s="901"/>
      <c r="YE331" s="901"/>
      <c r="YF331" s="901"/>
      <c r="YG331" s="901"/>
      <c r="YH331" s="901"/>
      <c r="YI331" s="901"/>
      <c r="YJ331" s="901"/>
      <c r="YK331" s="901"/>
      <c r="YL331" s="901"/>
      <c r="YM331" s="901"/>
      <c r="YN331" s="901"/>
      <c r="YO331" s="901"/>
      <c r="YP331" s="901"/>
      <c r="YQ331" s="901"/>
      <c r="YR331" s="901"/>
      <c r="YS331" s="901"/>
      <c r="YT331" s="901"/>
      <c r="YU331" s="901"/>
      <c r="YV331" s="902"/>
      <c r="YW331" s="901"/>
      <c r="YX331" s="901"/>
      <c r="YY331" s="901"/>
      <c r="YZ331" s="901"/>
      <c r="ZA331" s="901"/>
      <c r="ZB331" s="901"/>
      <c r="ZC331" s="901"/>
      <c r="ZD331" s="901"/>
      <c r="ZE331" s="901"/>
      <c r="ZF331" s="901"/>
      <c r="ZG331" s="901"/>
      <c r="ZH331" s="901"/>
      <c r="ZI331" s="901"/>
      <c r="ZJ331" s="901"/>
      <c r="ZK331" s="901"/>
      <c r="ZL331" s="901"/>
      <c r="ZM331" s="901"/>
      <c r="ZN331" s="901"/>
      <c r="ZO331" s="901"/>
      <c r="ZP331" s="901"/>
      <c r="ZQ331" s="901"/>
      <c r="ZR331" s="901"/>
      <c r="ZS331" s="901"/>
      <c r="ZT331" s="901"/>
      <c r="ZU331" s="901"/>
      <c r="ZV331" s="901"/>
      <c r="ZW331" s="901"/>
      <c r="ZX331" s="901"/>
      <c r="ZY331" s="902"/>
      <c r="ZZ331" s="901"/>
      <c r="AAA331" s="901"/>
      <c r="AAB331" s="901"/>
      <c r="AAC331" s="901"/>
      <c r="AAD331" s="901"/>
      <c r="AAE331" s="901"/>
      <c r="AAF331" s="901"/>
      <c r="AAG331" s="901"/>
      <c r="AAH331" s="901"/>
      <c r="AAI331" s="901"/>
      <c r="AAJ331" s="901"/>
      <c r="AAK331" s="901"/>
      <c r="AAL331" s="901"/>
      <c r="AAM331" s="901"/>
      <c r="AAN331" s="901"/>
      <c r="AAO331" s="901"/>
      <c r="AAP331" s="901"/>
      <c r="AAQ331" s="901"/>
      <c r="AAR331" s="901"/>
      <c r="AAS331" s="901"/>
      <c r="AAT331" s="901"/>
      <c r="AAU331" s="901"/>
      <c r="AAV331" s="901"/>
      <c r="AAW331" s="901"/>
      <c r="AAX331" s="901"/>
      <c r="AAY331" s="901"/>
      <c r="AAZ331" s="901"/>
      <c r="ABA331" s="901"/>
      <c r="ABB331" s="902"/>
      <c r="ABC331" s="901"/>
      <c r="ABD331" s="901"/>
      <c r="ABE331" s="901"/>
      <c r="ABF331" s="901"/>
      <c r="ABG331" s="901"/>
      <c r="ABH331" s="901"/>
      <c r="ABI331" s="901"/>
      <c r="ABJ331" s="901"/>
      <c r="ABK331" s="901"/>
      <c r="ABL331" s="901"/>
      <c r="ABM331" s="901"/>
      <c r="ABN331" s="901"/>
      <c r="ABO331" s="901"/>
      <c r="ABP331" s="901"/>
      <c r="ABQ331" s="901"/>
      <c r="ABR331" s="901"/>
      <c r="ABS331" s="901"/>
      <c r="ABT331" s="901"/>
      <c r="ABU331" s="901"/>
      <c r="ABV331" s="901"/>
      <c r="ABW331" s="901"/>
      <c r="ABX331" s="901"/>
      <c r="ABY331" s="901"/>
      <c r="ABZ331" s="901"/>
      <c r="ACA331" s="901"/>
      <c r="ACB331" s="901"/>
      <c r="ACC331" s="901"/>
      <c r="ACD331" s="901"/>
      <c r="ACE331" s="902"/>
      <c r="ACF331" s="901"/>
      <c r="ACG331" s="901"/>
      <c r="ACH331" s="901"/>
      <c r="ACI331" s="901"/>
      <c r="ACJ331" s="901"/>
      <c r="ACK331" s="901"/>
      <c r="ACL331" s="901"/>
      <c r="ACM331" s="901"/>
      <c r="ACN331" s="901"/>
      <c r="ACO331" s="901"/>
      <c r="ACP331" s="901"/>
      <c r="ACQ331" s="901"/>
      <c r="ACR331" s="901"/>
      <c r="ACS331" s="901"/>
      <c r="ACT331" s="901"/>
      <c r="ACU331" s="901"/>
      <c r="ACV331" s="901"/>
      <c r="ACW331" s="901"/>
      <c r="ACX331" s="901"/>
      <c r="ACY331" s="901"/>
      <c r="ACZ331" s="901"/>
      <c r="ADA331" s="901"/>
      <c r="ADB331" s="901"/>
      <c r="ADC331" s="901"/>
      <c r="ADD331" s="901"/>
      <c r="ADE331" s="901"/>
      <c r="ADF331" s="901"/>
      <c r="ADG331" s="901"/>
      <c r="ADH331" s="902"/>
      <c r="ADI331" s="901"/>
      <c r="ADJ331" s="901"/>
      <c r="ADK331" s="901"/>
      <c r="ADL331" s="901"/>
      <c r="ADM331" s="901"/>
      <c r="ADN331" s="901"/>
      <c r="ADO331" s="901"/>
      <c r="ADP331" s="901"/>
      <c r="ADQ331" s="901"/>
      <c r="ADR331" s="901"/>
      <c r="ADS331" s="901"/>
      <c r="ADT331" s="901"/>
      <c r="ADU331" s="901"/>
      <c r="ADV331" s="901"/>
      <c r="ADW331" s="901"/>
      <c r="ADX331" s="901"/>
      <c r="ADY331" s="901"/>
      <c r="ADZ331" s="901"/>
      <c r="AEA331" s="901"/>
      <c r="AEB331" s="901"/>
      <c r="AEC331" s="901"/>
      <c r="AED331" s="901"/>
      <c r="AEE331" s="901"/>
      <c r="AEF331" s="901"/>
      <c r="AEG331" s="901"/>
      <c r="AEH331" s="901"/>
      <c r="AEI331" s="901"/>
      <c r="AEJ331" s="901"/>
      <c r="AEK331" s="902"/>
      <c r="AEL331" s="901"/>
      <c r="AEM331" s="901"/>
      <c r="AEN331" s="901"/>
      <c r="AEO331" s="901"/>
      <c r="AEP331" s="901"/>
      <c r="AEQ331" s="901"/>
      <c r="AER331" s="901"/>
      <c r="AES331" s="901"/>
      <c r="AET331" s="901"/>
      <c r="AEU331" s="901"/>
      <c r="AEV331" s="901"/>
      <c r="AEW331" s="901"/>
      <c r="AEX331" s="901"/>
      <c r="AEY331" s="901"/>
      <c r="AEZ331" s="901"/>
      <c r="AFA331" s="901"/>
      <c r="AFB331" s="901"/>
      <c r="AFC331" s="901"/>
      <c r="AFD331" s="901"/>
      <c r="AFE331" s="901"/>
      <c r="AFF331" s="901"/>
      <c r="AFG331" s="901"/>
      <c r="AFH331" s="901"/>
      <c r="AFI331" s="901"/>
      <c r="AFJ331" s="901"/>
      <c r="AFK331" s="901"/>
      <c r="AFL331" s="901"/>
      <c r="AFM331" s="901"/>
      <c r="AFN331" s="902"/>
      <c r="AFO331" s="901"/>
      <c r="AFP331" s="901"/>
      <c r="AFQ331" s="901"/>
      <c r="AFR331" s="901"/>
      <c r="AFS331" s="901"/>
      <c r="AFT331" s="901"/>
      <c r="AFU331" s="901"/>
      <c r="AFV331" s="901"/>
      <c r="AFW331" s="901"/>
      <c r="AFX331" s="901"/>
      <c r="AFY331" s="901"/>
      <c r="AFZ331" s="901"/>
      <c r="AGA331" s="901"/>
      <c r="AGB331" s="901"/>
      <c r="AGC331" s="901"/>
      <c r="AGD331" s="901"/>
      <c r="AGE331" s="901"/>
      <c r="AGF331" s="901"/>
      <c r="AGG331" s="901"/>
      <c r="AGH331" s="901"/>
      <c r="AGI331" s="901"/>
      <c r="AGJ331" s="901"/>
      <c r="AGK331" s="901"/>
      <c r="AGL331" s="901"/>
      <c r="AGM331" s="901"/>
      <c r="AGN331" s="901"/>
      <c r="AGO331" s="901"/>
      <c r="AGP331" s="901"/>
      <c r="AGQ331" s="902"/>
      <c r="AGR331" s="901"/>
      <c r="AGS331" s="901"/>
      <c r="AGT331" s="901"/>
      <c r="AGU331" s="901"/>
      <c r="AGV331" s="901"/>
      <c r="AGW331" s="901"/>
      <c r="AGX331" s="901"/>
      <c r="AGY331" s="901"/>
      <c r="AGZ331" s="901"/>
      <c r="AHA331" s="901"/>
      <c r="AHB331" s="901"/>
      <c r="AHC331" s="901"/>
      <c r="AHD331" s="901"/>
      <c r="AHE331" s="901"/>
      <c r="AHF331" s="901"/>
      <c r="AHG331" s="901"/>
      <c r="AHH331" s="901"/>
      <c r="AHI331" s="901"/>
      <c r="AHJ331" s="901"/>
      <c r="AHK331" s="901"/>
      <c r="AHL331" s="901"/>
      <c r="AHM331" s="901"/>
      <c r="AHN331" s="901"/>
      <c r="AHO331" s="901"/>
      <c r="AHP331" s="901"/>
      <c r="AHQ331" s="901"/>
      <c r="AHR331" s="901"/>
      <c r="AHS331" s="901"/>
      <c r="AHT331" s="902"/>
      <c r="AHU331" s="901"/>
      <c r="AHV331" s="901"/>
      <c r="AHW331" s="901"/>
      <c r="AHX331" s="901"/>
      <c r="AHY331" s="901"/>
      <c r="AHZ331" s="901"/>
      <c r="AIA331" s="901"/>
      <c r="AIB331" s="901"/>
      <c r="AIC331" s="901"/>
      <c r="AID331" s="901"/>
      <c r="AIE331" s="901"/>
      <c r="AIF331" s="901"/>
      <c r="AIG331" s="901"/>
      <c r="AIH331" s="901"/>
      <c r="AII331" s="901"/>
      <c r="AIJ331" s="901"/>
      <c r="AIK331" s="901"/>
      <c r="AIL331" s="901"/>
      <c r="AIM331" s="901"/>
      <c r="AIN331" s="901"/>
      <c r="AIO331" s="901"/>
      <c r="AIP331" s="901"/>
      <c r="AIQ331" s="901"/>
      <c r="AIR331" s="901"/>
      <c r="AIS331" s="901"/>
      <c r="AIT331" s="901"/>
      <c r="AIU331" s="901"/>
      <c r="AIV331" s="901"/>
      <c r="AIW331" s="902"/>
      <c r="AIX331" s="901"/>
      <c r="AIY331" s="901"/>
      <c r="AIZ331" s="901"/>
      <c r="AJA331" s="901"/>
      <c r="AJB331" s="901"/>
      <c r="AJC331" s="901"/>
      <c r="AJD331" s="901"/>
      <c r="AJE331" s="901"/>
      <c r="AJF331" s="901"/>
      <c r="AJG331" s="901"/>
      <c r="AJH331" s="901"/>
      <c r="AJI331" s="901"/>
      <c r="AJJ331" s="901"/>
      <c r="AJK331" s="901"/>
      <c r="AJL331" s="901"/>
      <c r="AJM331" s="901"/>
      <c r="AJN331" s="901"/>
      <c r="AJO331" s="901"/>
      <c r="AJP331" s="901"/>
      <c r="AJQ331" s="901"/>
      <c r="AJR331" s="901"/>
      <c r="AJS331" s="901"/>
      <c r="AJT331" s="901"/>
      <c r="AJU331" s="901"/>
      <c r="AJV331" s="901"/>
      <c r="AJW331" s="901"/>
      <c r="AJX331" s="901"/>
      <c r="AJY331" s="901"/>
      <c r="AJZ331" s="902"/>
      <c r="AKA331" s="901"/>
      <c r="AKB331" s="901"/>
      <c r="AKC331" s="901"/>
      <c r="AKD331" s="901"/>
      <c r="AKE331" s="901"/>
      <c r="AKF331" s="901"/>
      <c r="AKG331" s="901"/>
      <c r="AKH331" s="901"/>
      <c r="AKI331" s="901"/>
      <c r="AKJ331" s="901"/>
      <c r="AKK331" s="901"/>
      <c r="AKL331" s="901"/>
      <c r="AKM331" s="901"/>
      <c r="AKN331" s="901"/>
      <c r="AKO331" s="901"/>
      <c r="AKP331" s="901"/>
      <c r="AKQ331" s="901"/>
      <c r="AKR331" s="901"/>
      <c r="AKS331" s="901"/>
      <c r="AKT331" s="901"/>
      <c r="AKU331" s="901"/>
      <c r="AKV331" s="901"/>
      <c r="AKW331" s="901"/>
      <c r="AKX331" s="901"/>
      <c r="AKY331" s="901"/>
      <c r="AKZ331" s="901"/>
      <c r="ALA331" s="901"/>
      <c r="ALB331" s="901"/>
      <c r="ALC331" s="902"/>
      <c r="ALD331" s="901"/>
      <c r="ALE331" s="901"/>
      <c r="ALF331" s="901"/>
      <c r="ALG331" s="901"/>
      <c r="ALH331" s="901"/>
      <c r="ALI331" s="901"/>
      <c r="ALJ331" s="901"/>
      <c r="ALK331" s="901"/>
      <c r="ALL331" s="901"/>
      <c r="ALM331" s="901"/>
      <c r="ALN331" s="901"/>
      <c r="ALO331" s="901"/>
      <c r="ALP331" s="901"/>
      <c r="ALQ331" s="901"/>
      <c r="ALR331" s="901"/>
      <c r="ALS331" s="901"/>
      <c r="ALT331" s="901"/>
      <c r="ALU331" s="901"/>
      <c r="ALV331" s="901"/>
      <c r="ALW331" s="901"/>
      <c r="ALX331" s="901"/>
      <c r="ALY331" s="901"/>
      <c r="ALZ331" s="901"/>
      <c r="AMA331" s="901"/>
      <c r="AMB331" s="901"/>
      <c r="AMC331" s="901"/>
      <c r="AMD331" s="901"/>
      <c r="AME331" s="901"/>
      <c r="AMF331" s="902"/>
      <c r="AMG331" s="901"/>
      <c r="AMH331" s="901"/>
      <c r="AMI331" s="901"/>
      <c r="AMJ331" s="901"/>
      <c r="AMK331" s="901"/>
      <c r="AML331" s="901"/>
      <c r="AMM331" s="901"/>
      <c r="AMN331" s="901"/>
      <c r="AMO331" s="901"/>
      <c r="AMP331" s="901"/>
      <c r="AMQ331" s="901"/>
      <c r="AMR331" s="901"/>
      <c r="AMS331" s="901"/>
      <c r="AMT331" s="901"/>
      <c r="AMU331" s="901"/>
      <c r="AMV331" s="901"/>
      <c r="AMW331" s="901"/>
      <c r="AMX331" s="901"/>
      <c r="AMY331" s="901"/>
      <c r="AMZ331" s="901"/>
      <c r="ANA331" s="901"/>
      <c r="ANB331" s="901"/>
      <c r="ANC331" s="901"/>
      <c r="AND331" s="901"/>
      <c r="ANE331" s="901"/>
      <c r="ANF331" s="901"/>
      <c r="ANG331" s="901"/>
      <c r="ANH331" s="901"/>
      <c r="ANI331" s="902"/>
      <c r="ANJ331" s="901"/>
      <c r="ANK331" s="901"/>
      <c r="ANL331" s="901"/>
      <c r="ANM331" s="901"/>
      <c r="ANN331" s="901"/>
      <c r="ANO331" s="901"/>
      <c r="ANP331" s="901"/>
      <c r="ANQ331" s="901"/>
      <c r="ANR331" s="901"/>
      <c r="ANS331" s="901"/>
      <c r="ANT331" s="901"/>
      <c r="ANU331" s="901"/>
      <c r="ANV331" s="901"/>
      <c r="ANW331" s="901"/>
      <c r="ANX331" s="901"/>
      <c r="ANY331" s="901"/>
      <c r="ANZ331" s="901"/>
      <c r="AOA331" s="901"/>
      <c r="AOB331" s="901"/>
      <c r="AOC331" s="901"/>
      <c r="AOD331" s="901"/>
      <c r="AOE331" s="901"/>
      <c r="AOF331" s="901"/>
      <c r="AOG331" s="901"/>
      <c r="AOH331" s="901"/>
      <c r="AOI331" s="901"/>
      <c r="AOJ331" s="901"/>
      <c r="AOK331" s="901"/>
      <c r="AOL331" s="902"/>
      <c r="AOM331" s="901"/>
      <c r="AON331" s="901"/>
      <c r="AOO331" s="901"/>
      <c r="AOP331" s="901"/>
      <c r="AOQ331" s="901"/>
      <c r="AOR331" s="901"/>
      <c r="AOS331" s="901"/>
      <c r="AOT331" s="901"/>
      <c r="AOU331" s="901"/>
      <c r="AOV331" s="901"/>
      <c r="AOW331" s="901"/>
      <c r="AOX331" s="901"/>
      <c r="AOY331" s="901"/>
      <c r="AOZ331" s="901"/>
      <c r="APA331" s="901"/>
      <c r="APB331" s="901"/>
      <c r="APC331" s="901"/>
      <c r="APD331" s="901"/>
      <c r="APE331" s="901"/>
      <c r="APF331" s="901"/>
      <c r="APG331" s="901"/>
      <c r="APH331" s="901"/>
      <c r="API331" s="901"/>
      <c r="APJ331" s="901"/>
      <c r="APK331" s="901"/>
      <c r="APL331" s="901"/>
      <c r="APM331" s="901"/>
      <c r="APN331" s="901"/>
      <c r="APO331" s="902"/>
      <c r="APP331" s="901"/>
      <c r="APQ331" s="901"/>
      <c r="APR331" s="901"/>
      <c r="APS331" s="901"/>
      <c r="APT331" s="901"/>
      <c r="APU331" s="901"/>
      <c r="APV331" s="901"/>
      <c r="APW331" s="901"/>
      <c r="APX331" s="901"/>
      <c r="APY331" s="901"/>
      <c r="APZ331" s="901"/>
      <c r="AQA331" s="901"/>
      <c r="AQB331" s="901"/>
      <c r="AQC331" s="901"/>
      <c r="AQD331" s="901"/>
      <c r="AQE331" s="901"/>
      <c r="AQF331" s="901"/>
      <c r="AQG331" s="901"/>
      <c r="AQH331" s="901"/>
      <c r="AQI331" s="901"/>
      <c r="AQJ331" s="901"/>
      <c r="AQK331" s="901"/>
      <c r="AQL331" s="901"/>
      <c r="AQM331" s="901"/>
      <c r="AQN331" s="901"/>
      <c r="AQO331" s="901"/>
      <c r="AQP331" s="901"/>
      <c r="AQQ331" s="901"/>
      <c r="AQR331" s="902"/>
      <c r="AQS331" s="901"/>
      <c r="AQT331" s="901"/>
      <c r="AQU331" s="901"/>
      <c r="AQV331" s="901"/>
      <c r="AQW331" s="901"/>
      <c r="AQX331" s="901"/>
      <c r="AQY331" s="901"/>
      <c r="AQZ331" s="901"/>
      <c r="ARA331" s="901"/>
      <c r="ARB331" s="901"/>
      <c r="ARC331" s="901"/>
      <c r="ARD331" s="901"/>
      <c r="ARE331" s="901"/>
      <c r="ARF331" s="901"/>
      <c r="ARG331" s="901"/>
      <c r="ARH331" s="901"/>
      <c r="ARI331" s="901"/>
      <c r="ARJ331" s="901"/>
      <c r="ARK331" s="901"/>
      <c r="ARL331" s="901"/>
      <c r="ARM331" s="901"/>
      <c r="ARN331" s="901"/>
      <c r="ARO331" s="901"/>
      <c r="ARP331" s="901"/>
      <c r="ARQ331" s="901"/>
      <c r="ARR331" s="901"/>
      <c r="ARS331" s="901"/>
      <c r="ART331" s="901"/>
      <c r="ARU331" s="902"/>
      <c r="ARV331" s="901"/>
      <c r="ARW331" s="901"/>
      <c r="ARX331" s="901"/>
      <c r="ARY331" s="901"/>
      <c r="ARZ331" s="901"/>
      <c r="ASA331" s="901"/>
      <c r="ASB331" s="901"/>
      <c r="ASC331" s="901"/>
      <c r="ASD331" s="901"/>
      <c r="ASE331" s="901"/>
      <c r="ASF331" s="901"/>
      <c r="ASG331" s="901"/>
      <c r="ASH331" s="901"/>
      <c r="ASI331" s="901"/>
      <c r="ASJ331" s="901"/>
      <c r="ASK331" s="901"/>
      <c r="ASL331" s="901"/>
      <c r="ASM331" s="901"/>
      <c r="ASN331" s="901"/>
      <c r="ASO331" s="901"/>
      <c r="ASP331" s="901"/>
      <c r="ASQ331" s="901"/>
      <c r="ASR331" s="901"/>
      <c r="ASS331" s="901"/>
      <c r="AST331" s="901"/>
      <c r="ASU331" s="901"/>
      <c r="ASV331" s="901"/>
      <c r="ASW331" s="901"/>
      <c r="ASX331" s="902"/>
      <c r="ASY331" s="901"/>
      <c r="ASZ331" s="901"/>
      <c r="ATA331" s="901"/>
      <c r="ATB331" s="901"/>
      <c r="ATC331" s="901"/>
      <c r="ATD331" s="901"/>
      <c r="ATE331" s="901"/>
      <c r="ATF331" s="901"/>
      <c r="ATG331" s="901"/>
      <c r="ATH331" s="901"/>
      <c r="ATI331" s="901"/>
      <c r="ATJ331" s="901"/>
      <c r="ATK331" s="901"/>
      <c r="ATL331" s="901"/>
      <c r="ATM331" s="901"/>
      <c r="ATN331" s="901"/>
      <c r="ATO331" s="901"/>
      <c r="ATP331" s="901"/>
      <c r="ATQ331" s="901"/>
      <c r="ATR331" s="901"/>
      <c r="ATS331" s="901"/>
      <c r="ATT331" s="901"/>
      <c r="ATU331" s="901"/>
      <c r="ATV331" s="901"/>
      <c r="ATW331" s="901"/>
      <c r="ATX331" s="901"/>
      <c r="ATY331" s="901"/>
      <c r="ATZ331" s="901"/>
      <c r="AUA331" s="902"/>
      <c r="AUB331" s="901"/>
      <c r="AUC331" s="901"/>
      <c r="AUD331" s="901"/>
      <c r="AUE331" s="901"/>
      <c r="AUF331" s="901"/>
      <c r="AUG331" s="901"/>
      <c r="AUH331" s="901"/>
      <c r="AUI331" s="901"/>
      <c r="AUJ331" s="901"/>
      <c r="AUK331" s="901"/>
      <c r="AUL331" s="901"/>
      <c r="AUM331" s="901"/>
      <c r="AUN331" s="901"/>
      <c r="AUO331" s="901"/>
      <c r="AUP331" s="901"/>
      <c r="AUQ331" s="901"/>
      <c r="AUR331" s="901"/>
      <c r="AUS331" s="901"/>
      <c r="AUT331" s="901"/>
      <c r="AUU331" s="901"/>
      <c r="AUV331" s="901"/>
      <c r="AUW331" s="901"/>
      <c r="AUX331" s="901"/>
      <c r="AUY331" s="901"/>
      <c r="AUZ331" s="901"/>
      <c r="AVA331" s="901"/>
      <c r="AVB331" s="901"/>
      <c r="AVC331" s="901"/>
      <c r="AVD331" s="902"/>
      <c r="AVE331" s="901"/>
      <c r="AVF331" s="901"/>
      <c r="AVG331" s="901"/>
      <c r="AVH331" s="901"/>
      <c r="AVI331" s="901"/>
      <c r="AVJ331" s="901"/>
      <c r="AVK331" s="901"/>
      <c r="AVL331" s="901"/>
      <c r="AVM331" s="901"/>
      <c r="AVN331" s="901"/>
      <c r="AVO331" s="901"/>
      <c r="AVP331" s="901"/>
      <c r="AVQ331" s="901"/>
      <c r="AVR331" s="901"/>
      <c r="AVS331" s="901"/>
      <c r="AVT331" s="901"/>
      <c r="AVU331" s="901"/>
      <c r="AVV331" s="901"/>
      <c r="AVW331" s="901"/>
      <c r="AVX331" s="901"/>
      <c r="AVY331" s="901"/>
      <c r="AVZ331" s="901"/>
      <c r="AWA331" s="901"/>
      <c r="AWB331" s="901"/>
      <c r="AWC331" s="901"/>
      <c r="AWD331" s="901"/>
      <c r="AWE331" s="901"/>
      <c r="AWF331" s="901"/>
      <c r="AWG331" s="902"/>
      <c r="AWH331" s="901"/>
      <c r="AWI331" s="901"/>
      <c r="AWJ331" s="901"/>
      <c r="AWK331" s="901"/>
      <c r="AWL331" s="901"/>
      <c r="AWM331" s="901"/>
      <c r="AWN331" s="901"/>
      <c r="AWO331" s="901"/>
      <c r="AWP331" s="901"/>
      <c r="AWQ331" s="901"/>
      <c r="AWR331" s="901"/>
      <c r="AWS331" s="901"/>
      <c r="AWT331" s="901"/>
      <c r="AWU331" s="901"/>
      <c r="AWV331" s="901"/>
      <c r="AWW331" s="901"/>
      <c r="AWX331" s="901"/>
      <c r="AWY331" s="901"/>
      <c r="AWZ331" s="901"/>
      <c r="AXA331" s="901"/>
      <c r="AXB331" s="901"/>
      <c r="AXC331" s="901"/>
      <c r="AXD331" s="901"/>
      <c r="AXE331" s="901"/>
      <c r="AXF331" s="901"/>
      <c r="AXG331" s="901"/>
      <c r="AXH331" s="901"/>
      <c r="AXI331" s="901"/>
      <c r="AXJ331" s="902"/>
      <c r="AXK331" s="901"/>
      <c r="AXL331" s="901"/>
      <c r="AXM331" s="901"/>
      <c r="AXN331" s="901"/>
      <c r="AXO331" s="901"/>
      <c r="AXP331" s="901"/>
      <c r="AXQ331" s="901"/>
      <c r="AXR331" s="901"/>
      <c r="AXS331" s="901"/>
      <c r="AXT331" s="901"/>
      <c r="AXU331" s="901"/>
      <c r="AXV331" s="901"/>
      <c r="AXW331" s="901"/>
      <c r="AXX331" s="901"/>
      <c r="AXY331" s="901"/>
      <c r="AXZ331" s="901"/>
      <c r="AYA331" s="901"/>
      <c r="AYB331" s="901"/>
      <c r="AYC331" s="901"/>
      <c r="AYD331" s="901"/>
      <c r="AYE331" s="901"/>
      <c r="AYF331" s="901"/>
      <c r="AYG331" s="901"/>
      <c r="AYH331" s="901"/>
      <c r="AYI331" s="901"/>
      <c r="AYJ331" s="901"/>
      <c r="AYK331" s="901"/>
      <c r="AYL331" s="901"/>
      <c r="AYM331" s="902"/>
      <c r="AYN331" s="901"/>
      <c r="AYO331" s="901"/>
      <c r="AYP331" s="901"/>
      <c r="AYQ331" s="901"/>
      <c r="AYR331" s="901"/>
      <c r="AYS331" s="901"/>
      <c r="AYT331" s="901"/>
      <c r="AYU331" s="901"/>
      <c r="AYV331" s="901"/>
      <c r="AYW331" s="901"/>
      <c r="AYX331" s="901"/>
      <c r="AYY331" s="901"/>
      <c r="AYZ331" s="901"/>
      <c r="AZA331" s="901"/>
      <c r="AZB331" s="901"/>
      <c r="AZC331" s="901"/>
      <c r="AZD331" s="901"/>
      <c r="AZE331" s="901"/>
      <c r="AZF331" s="901"/>
      <c r="AZG331" s="901"/>
      <c r="AZH331" s="901"/>
      <c r="AZI331" s="901"/>
      <c r="AZJ331" s="901"/>
      <c r="AZK331" s="901"/>
      <c r="AZL331" s="901"/>
      <c r="AZM331" s="901"/>
      <c r="AZN331" s="901"/>
      <c r="AZO331" s="901"/>
      <c r="AZP331" s="902"/>
      <c r="AZQ331" s="901"/>
      <c r="AZR331" s="901"/>
      <c r="AZS331" s="901"/>
      <c r="AZT331" s="901"/>
      <c r="AZU331" s="901"/>
      <c r="AZV331" s="901"/>
      <c r="AZW331" s="901"/>
      <c r="AZX331" s="901"/>
      <c r="AZY331" s="901"/>
      <c r="AZZ331" s="901"/>
      <c r="BAA331" s="901"/>
      <c r="BAB331" s="901"/>
      <c r="BAC331" s="901"/>
      <c r="BAD331" s="901"/>
      <c r="BAE331" s="901"/>
      <c r="BAF331" s="901"/>
      <c r="BAG331" s="901"/>
      <c r="BAH331" s="901"/>
      <c r="BAI331" s="901"/>
      <c r="BAJ331" s="901"/>
      <c r="BAK331" s="901"/>
      <c r="BAL331" s="901"/>
      <c r="BAM331" s="901"/>
      <c r="BAN331" s="901"/>
      <c r="BAO331" s="901"/>
      <c r="BAP331" s="901"/>
      <c r="BAQ331" s="901"/>
      <c r="BAR331" s="901"/>
      <c r="BAS331" s="902"/>
      <c r="BAT331" s="901"/>
      <c r="BAU331" s="901"/>
      <c r="BAV331" s="901"/>
      <c r="BAW331" s="901"/>
      <c r="BAX331" s="901"/>
      <c r="BAY331" s="901"/>
      <c r="BAZ331" s="901"/>
      <c r="BBA331" s="901"/>
      <c r="BBB331" s="901"/>
      <c r="BBC331" s="901"/>
      <c r="BBD331" s="901"/>
      <c r="BBE331" s="901"/>
      <c r="BBF331" s="901"/>
      <c r="BBG331" s="901"/>
      <c r="BBH331" s="901"/>
      <c r="BBI331" s="901"/>
      <c r="BBJ331" s="901"/>
      <c r="BBK331" s="901"/>
      <c r="BBL331" s="901"/>
      <c r="BBM331" s="901"/>
      <c r="BBN331" s="901"/>
      <c r="BBO331" s="901"/>
      <c r="BBP331" s="901"/>
      <c r="BBQ331" s="901"/>
      <c r="BBR331" s="901"/>
      <c r="BBS331" s="901"/>
      <c r="BBT331" s="901"/>
      <c r="BBU331" s="901"/>
      <c r="BBV331" s="902"/>
      <c r="BBW331" s="901"/>
      <c r="BBX331" s="901"/>
      <c r="BBY331" s="901"/>
      <c r="BBZ331" s="901"/>
      <c r="BCA331" s="901"/>
      <c r="BCB331" s="901"/>
      <c r="BCC331" s="901"/>
      <c r="BCD331" s="901"/>
      <c r="BCE331" s="901"/>
      <c r="BCF331" s="901"/>
      <c r="BCG331" s="901"/>
      <c r="BCH331" s="901"/>
      <c r="BCI331" s="901"/>
      <c r="BCJ331" s="901"/>
      <c r="BCK331" s="901"/>
      <c r="BCL331" s="901"/>
      <c r="BCM331" s="901"/>
      <c r="BCN331" s="901"/>
      <c r="BCO331" s="901"/>
      <c r="BCP331" s="901"/>
      <c r="BCQ331" s="901"/>
      <c r="BCR331" s="901"/>
      <c r="BCS331" s="901"/>
      <c r="BCT331" s="901"/>
      <c r="BCU331" s="901"/>
      <c r="BCV331" s="901"/>
      <c r="BCW331" s="901"/>
      <c r="BCX331" s="901"/>
      <c r="BCY331" s="902"/>
      <c r="BCZ331" s="901"/>
      <c r="BDA331" s="901"/>
      <c r="BDB331" s="901"/>
      <c r="BDC331" s="901"/>
      <c r="BDD331" s="901"/>
      <c r="BDE331" s="901"/>
      <c r="BDF331" s="901"/>
      <c r="BDG331" s="901"/>
      <c r="BDH331" s="901"/>
      <c r="BDI331" s="901"/>
      <c r="BDJ331" s="901"/>
      <c r="BDK331" s="901"/>
      <c r="BDL331" s="901"/>
      <c r="BDM331" s="901"/>
      <c r="BDN331" s="901"/>
      <c r="BDO331" s="901"/>
      <c r="BDP331" s="901"/>
      <c r="BDQ331" s="901"/>
      <c r="BDR331" s="901"/>
      <c r="BDS331" s="901"/>
      <c r="BDT331" s="901"/>
      <c r="BDU331" s="901"/>
      <c r="BDV331" s="901"/>
      <c r="BDW331" s="901"/>
      <c r="BDX331" s="901"/>
      <c r="BDY331" s="901"/>
      <c r="BDZ331" s="901"/>
      <c r="BEA331" s="901"/>
      <c r="BEB331" s="902"/>
      <c r="BEC331" s="901"/>
      <c r="BED331" s="901"/>
      <c r="BEE331" s="901"/>
      <c r="BEF331" s="901"/>
      <c r="BEG331" s="901"/>
      <c r="BEH331" s="901"/>
      <c r="BEI331" s="901"/>
      <c r="BEJ331" s="901"/>
      <c r="BEK331" s="901"/>
      <c r="BEL331" s="901"/>
      <c r="BEM331" s="901"/>
      <c r="BEN331" s="901"/>
      <c r="BEO331" s="901"/>
      <c r="BEP331" s="901"/>
      <c r="BEQ331" s="901"/>
      <c r="BER331" s="901"/>
      <c r="BES331" s="901"/>
      <c r="BET331" s="901"/>
      <c r="BEU331" s="901"/>
      <c r="BEV331" s="901"/>
      <c r="BEW331" s="901"/>
      <c r="BEX331" s="901"/>
      <c r="BEY331" s="901"/>
      <c r="BEZ331" s="901"/>
      <c r="BFA331" s="901"/>
      <c r="BFB331" s="901"/>
      <c r="BFC331" s="901"/>
      <c r="BFD331" s="901"/>
      <c r="BFE331" s="902"/>
      <c r="BFF331" s="901"/>
      <c r="BFG331" s="901"/>
      <c r="BFH331" s="901"/>
      <c r="BFI331" s="901"/>
      <c r="BFJ331" s="901"/>
      <c r="BFK331" s="901"/>
      <c r="BFL331" s="901"/>
      <c r="BFM331" s="901"/>
      <c r="BFN331" s="901"/>
      <c r="BFO331" s="901"/>
      <c r="BFP331" s="901"/>
      <c r="BFQ331" s="901"/>
      <c r="BFR331" s="901"/>
      <c r="BFS331" s="901"/>
      <c r="BFT331" s="901"/>
      <c r="BFU331" s="901"/>
      <c r="BFV331" s="901"/>
      <c r="BFW331" s="901"/>
      <c r="BFX331" s="901"/>
      <c r="BFY331" s="901"/>
      <c r="BFZ331" s="901"/>
      <c r="BGA331" s="901"/>
      <c r="BGB331" s="901"/>
      <c r="BGC331" s="901"/>
      <c r="BGD331" s="901"/>
      <c r="BGE331" s="901"/>
      <c r="BGF331" s="901"/>
      <c r="BGG331" s="901"/>
      <c r="BGH331" s="902"/>
      <c r="BGI331" s="901"/>
      <c r="BGJ331" s="901"/>
      <c r="BGK331" s="901"/>
      <c r="BGL331" s="901"/>
      <c r="BGM331" s="901"/>
      <c r="BGN331" s="901"/>
      <c r="BGO331" s="901"/>
      <c r="BGP331" s="901"/>
      <c r="BGQ331" s="901"/>
      <c r="BGR331" s="901"/>
      <c r="BGS331" s="901"/>
      <c r="BGT331" s="901"/>
      <c r="BGU331" s="901"/>
      <c r="BGV331" s="901"/>
      <c r="BGW331" s="901"/>
      <c r="BGX331" s="901"/>
      <c r="BGY331" s="901"/>
      <c r="BGZ331" s="901"/>
      <c r="BHA331" s="901"/>
      <c r="BHB331" s="901"/>
      <c r="BHC331" s="901"/>
      <c r="BHD331" s="901"/>
      <c r="BHE331" s="901"/>
      <c r="BHF331" s="901"/>
      <c r="BHG331" s="901"/>
      <c r="BHH331" s="901"/>
      <c r="BHI331" s="901"/>
      <c r="BHJ331" s="901"/>
      <c r="BHK331" s="902"/>
      <c r="BHL331" s="901"/>
      <c r="BHM331" s="901"/>
      <c r="BHN331" s="901"/>
      <c r="BHO331" s="901"/>
      <c r="BHP331" s="901"/>
      <c r="BHQ331" s="901"/>
      <c r="BHR331" s="901"/>
      <c r="BHS331" s="901"/>
      <c r="BHT331" s="901"/>
      <c r="BHU331" s="901"/>
      <c r="BHV331" s="901"/>
      <c r="BHW331" s="901"/>
      <c r="BHX331" s="901"/>
      <c r="BHY331" s="901"/>
      <c r="BHZ331" s="901"/>
      <c r="BIA331" s="901"/>
      <c r="BIB331" s="901"/>
      <c r="BIC331" s="901"/>
      <c r="BID331" s="901"/>
      <c r="BIE331" s="901"/>
      <c r="BIF331" s="901"/>
      <c r="BIG331" s="901"/>
      <c r="BIH331" s="901"/>
      <c r="BII331" s="901"/>
      <c r="BIJ331" s="901"/>
      <c r="BIK331" s="901"/>
      <c r="BIL331" s="901"/>
      <c r="BIM331" s="901"/>
      <c r="BIN331" s="902"/>
      <c r="BIO331" s="901"/>
      <c r="BIP331" s="901"/>
      <c r="BIQ331" s="901"/>
      <c r="BIR331" s="901"/>
      <c r="BIS331" s="901"/>
      <c r="BIT331" s="901"/>
      <c r="BIU331" s="901"/>
      <c r="BIV331" s="901"/>
      <c r="BIW331" s="901"/>
      <c r="BIX331" s="901"/>
      <c r="BIY331" s="901"/>
      <c r="BIZ331" s="901"/>
      <c r="BJA331" s="901"/>
      <c r="BJB331" s="901"/>
      <c r="BJC331" s="901"/>
      <c r="BJD331" s="901"/>
      <c r="BJE331" s="901"/>
      <c r="BJF331" s="901"/>
      <c r="BJG331" s="901"/>
      <c r="BJH331" s="901"/>
      <c r="BJI331" s="901"/>
      <c r="BJJ331" s="901"/>
      <c r="BJK331" s="901"/>
      <c r="BJL331" s="901"/>
      <c r="BJM331" s="901"/>
      <c r="BJN331" s="901"/>
      <c r="BJO331" s="901"/>
      <c r="BJP331" s="901"/>
      <c r="BJQ331" s="902"/>
      <c r="BJR331" s="901"/>
      <c r="BJS331" s="901"/>
      <c r="BJT331" s="901"/>
      <c r="BJU331" s="901"/>
      <c r="BJV331" s="901"/>
      <c r="BJW331" s="901"/>
      <c r="BJX331" s="901"/>
      <c r="BJY331" s="901"/>
      <c r="BJZ331" s="901"/>
      <c r="BKA331" s="901"/>
      <c r="BKB331" s="901"/>
      <c r="BKC331" s="901"/>
      <c r="BKD331" s="901"/>
      <c r="BKE331" s="901"/>
      <c r="BKF331" s="901"/>
      <c r="BKG331" s="901"/>
      <c r="BKH331" s="901"/>
      <c r="BKI331" s="901"/>
      <c r="BKJ331" s="901"/>
      <c r="BKK331" s="901"/>
      <c r="BKL331" s="901"/>
      <c r="BKM331" s="901"/>
      <c r="BKN331" s="901"/>
      <c r="BKO331" s="901"/>
      <c r="BKP331" s="901"/>
      <c r="BKQ331" s="901"/>
      <c r="BKR331" s="901"/>
      <c r="BKS331" s="901"/>
      <c r="BKT331" s="902"/>
      <c r="BKU331" s="901"/>
      <c r="BKV331" s="901"/>
      <c r="BKW331" s="901"/>
      <c r="BKX331" s="901"/>
      <c r="BKY331" s="901"/>
      <c r="BKZ331" s="901"/>
      <c r="BLA331" s="901"/>
      <c r="BLB331" s="901"/>
      <c r="BLC331" s="901"/>
      <c r="BLD331" s="901"/>
      <c r="BLE331" s="901"/>
      <c r="BLF331" s="901"/>
      <c r="BLG331" s="901"/>
      <c r="BLH331" s="901"/>
      <c r="BLI331" s="901"/>
      <c r="BLJ331" s="901"/>
      <c r="BLK331" s="901"/>
      <c r="BLL331" s="901"/>
      <c r="BLM331" s="901"/>
      <c r="BLN331" s="901"/>
      <c r="BLO331" s="901"/>
      <c r="BLP331" s="901"/>
      <c r="BLQ331" s="901"/>
      <c r="BLR331" s="901"/>
      <c r="BLS331" s="901"/>
      <c r="BLT331" s="901"/>
      <c r="BLU331" s="901"/>
      <c r="BLV331" s="901"/>
      <c r="BLW331" s="902"/>
      <c r="BLX331" s="901"/>
      <c r="BLY331" s="901"/>
      <c r="BLZ331" s="901"/>
      <c r="BMA331" s="901"/>
      <c r="BMB331" s="901"/>
      <c r="BMC331" s="901"/>
      <c r="BMD331" s="901"/>
      <c r="BME331" s="901"/>
      <c r="BMF331" s="901"/>
      <c r="BMG331" s="901"/>
      <c r="BMH331" s="901"/>
      <c r="BMI331" s="901"/>
      <c r="BMJ331" s="901"/>
      <c r="BMK331" s="901"/>
      <c r="BML331" s="901"/>
      <c r="BMM331" s="901"/>
      <c r="BMN331" s="901"/>
      <c r="BMO331" s="901"/>
      <c r="BMP331" s="901"/>
      <c r="BMQ331" s="901"/>
      <c r="BMR331" s="901"/>
      <c r="BMS331" s="901"/>
      <c r="BMT331" s="901"/>
      <c r="BMU331" s="901"/>
      <c r="BMV331" s="901"/>
      <c r="BMW331" s="901"/>
      <c r="BMX331" s="901"/>
      <c r="BMY331" s="901"/>
      <c r="BMZ331" s="902"/>
      <c r="BNA331" s="901"/>
      <c r="BNB331" s="901"/>
      <c r="BNC331" s="901"/>
      <c r="BND331" s="901"/>
      <c r="BNE331" s="901"/>
      <c r="BNF331" s="901"/>
      <c r="BNG331" s="901"/>
      <c r="BNH331" s="901"/>
      <c r="BNI331" s="901"/>
      <c r="BNJ331" s="901"/>
      <c r="BNK331" s="901"/>
      <c r="BNL331" s="901"/>
      <c r="BNM331" s="901"/>
      <c r="BNN331" s="901"/>
      <c r="BNO331" s="901"/>
      <c r="BNP331" s="901"/>
      <c r="BNQ331" s="901"/>
      <c r="BNR331" s="901"/>
      <c r="BNS331" s="901"/>
      <c r="BNT331" s="901"/>
      <c r="BNU331" s="901"/>
      <c r="BNV331" s="901"/>
      <c r="BNW331" s="901"/>
      <c r="BNX331" s="901"/>
      <c r="BNY331" s="901"/>
      <c r="BNZ331" s="901"/>
      <c r="BOA331" s="901"/>
      <c r="BOB331" s="901"/>
      <c r="BOC331" s="902"/>
      <c r="BOD331" s="901"/>
      <c r="BOE331" s="901"/>
      <c r="BOF331" s="901"/>
      <c r="BOG331" s="901"/>
      <c r="BOH331" s="901"/>
      <c r="BOI331" s="901"/>
      <c r="BOJ331" s="901"/>
      <c r="BOK331" s="901"/>
      <c r="BOL331" s="901"/>
      <c r="BOM331" s="901"/>
      <c r="BON331" s="901"/>
      <c r="BOO331" s="901"/>
      <c r="BOP331" s="901"/>
      <c r="BOQ331" s="901"/>
      <c r="BOR331" s="901"/>
      <c r="BOS331" s="901"/>
      <c r="BOT331" s="901"/>
      <c r="BOU331" s="901"/>
      <c r="BOV331" s="901"/>
      <c r="BOW331" s="901"/>
      <c r="BOX331" s="901"/>
      <c r="BOY331" s="901"/>
      <c r="BOZ331" s="901"/>
      <c r="BPA331" s="901"/>
      <c r="BPB331" s="901"/>
      <c r="BPC331" s="901"/>
      <c r="BPD331" s="901"/>
      <c r="BPE331" s="901"/>
      <c r="BPF331" s="902"/>
      <c r="BPG331" s="901"/>
      <c r="BPH331" s="901"/>
      <c r="BPI331" s="901"/>
      <c r="BPJ331" s="901"/>
      <c r="BPK331" s="901"/>
      <c r="BPL331" s="901"/>
      <c r="BPM331" s="901"/>
      <c r="BPN331" s="901"/>
      <c r="BPO331" s="901"/>
      <c r="BPP331" s="901"/>
      <c r="BPQ331" s="901"/>
      <c r="BPR331" s="901"/>
      <c r="BPS331" s="901"/>
      <c r="BPT331" s="901"/>
      <c r="BPU331" s="901"/>
      <c r="BPV331" s="901"/>
      <c r="BPW331" s="901"/>
      <c r="BPX331" s="901"/>
      <c r="BPY331" s="901"/>
      <c r="BPZ331" s="901"/>
      <c r="BQA331" s="901"/>
      <c r="BQB331" s="901"/>
      <c r="BQC331" s="901"/>
      <c r="BQD331" s="901"/>
      <c r="BQE331" s="901"/>
      <c r="BQF331" s="901"/>
      <c r="BQG331" s="901"/>
      <c r="BQH331" s="901"/>
      <c r="BQI331" s="902"/>
      <c r="BQJ331" s="901"/>
      <c r="BQK331" s="901"/>
      <c r="BQL331" s="901"/>
      <c r="BQM331" s="901"/>
      <c r="BQN331" s="901"/>
      <c r="BQO331" s="901"/>
      <c r="BQP331" s="901"/>
      <c r="BQQ331" s="901"/>
      <c r="BQR331" s="901"/>
      <c r="BQS331" s="901"/>
      <c r="BQT331" s="901"/>
      <c r="BQU331" s="901"/>
      <c r="BQV331" s="901"/>
      <c r="BQW331" s="901"/>
      <c r="BQX331" s="901"/>
      <c r="BQY331" s="901"/>
      <c r="BQZ331" s="901"/>
      <c r="BRA331" s="901"/>
      <c r="BRB331" s="901"/>
      <c r="BRC331" s="901"/>
      <c r="BRD331" s="901"/>
      <c r="BRE331" s="901"/>
      <c r="BRF331" s="901"/>
      <c r="BRG331" s="901"/>
      <c r="BRH331" s="901"/>
      <c r="BRI331" s="901"/>
      <c r="BRJ331" s="901"/>
      <c r="BRK331" s="901"/>
      <c r="BRL331" s="902"/>
      <c r="BRM331" s="901"/>
      <c r="BRN331" s="901"/>
      <c r="BRO331" s="901"/>
      <c r="BRP331" s="901"/>
      <c r="BRQ331" s="901"/>
      <c r="BRR331" s="901"/>
      <c r="BRS331" s="901"/>
      <c r="BRT331" s="901"/>
      <c r="BRU331" s="901"/>
      <c r="BRV331" s="901"/>
      <c r="BRW331" s="901"/>
      <c r="BRX331" s="901"/>
      <c r="BRY331" s="901"/>
      <c r="BRZ331" s="901"/>
      <c r="BSA331" s="901"/>
      <c r="BSB331" s="901"/>
      <c r="BSC331" s="901"/>
      <c r="BSD331" s="901"/>
      <c r="BSE331" s="901"/>
      <c r="BSF331" s="901"/>
      <c r="BSG331" s="901"/>
      <c r="BSH331" s="901"/>
      <c r="BSI331" s="901"/>
      <c r="BSJ331" s="901"/>
      <c r="BSK331" s="901"/>
      <c r="BSL331" s="901"/>
      <c r="BSM331" s="901"/>
      <c r="BSN331" s="901"/>
      <c r="BSO331" s="902"/>
      <c r="BSP331" s="901"/>
      <c r="BSQ331" s="901"/>
      <c r="BSR331" s="901"/>
      <c r="BSS331" s="901"/>
      <c r="BST331" s="901"/>
      <c r="BSU331" s="901"/>
      <c r="BSV331" s="901"/>
      <c r="BSW331" s="901"/>
      <c r="BSX331" s="901"/>
      <c r="BSY331" s="901"/>
      <c r="BSZ331" s="901"/>
      <c r="BTA331" s="901"/>
      <c r="BTB331" s="901"/>
      <c r="BTC331" s="901"/>
      <c r="BTD331" s="901"/>
      <c r="BTE331" s="901"/>
      <c r="BTF331" s="901"/>
      <c r="BTG331" s="901"/>
      <c r="BTH331" s="901"/>
      <c r="BTI331" s="901"/>
      <c r="BTJ331" s="901"/>
      <c r="BTK331" s="901"/>
      <c r="BTL331" s="901"/>
      <c r="BTM331" s="901"/>
      <c r="BTN331" s="901"/>
      <c r="BTO331" s="901"/>
      <c r="BTP331" s="901"/>
      <c r="BTQ331" s="901"/>
      <c r="BTR331" s="902"/>
      <c r="BTS331" s="901"/>
      <c r="BTT331" s="901"/>
      <c r="BTU331" s="901"/>
      <c r="BTV331" s="901"/>
      <c r="BTW331" s="901"/>
      <c r="BTX331" s="901"/>
      <c r="BTY331" s="901"/>
      <c r="BTZ331" s="901"/>
      <c r="BUA331" s="901"/>
      <c r="BUB331" s="901"/>
      <c r="BUC331" s="901"/>
      <c r="BUD331" s="901"/>
      <c r="BUE331" s="901"/>
      <c r="BUF331" s="901"/>
      <c r="BUG331" s="901"/>
      <c r="BUH331" s="901"/>
      <c r="BUI331" s="901"/>
      <c r="BUJ331" s="901"/>
      <c r="BUK331" s="901"/>
      <c r="BUL331" s="901"/>
      <c r="BUM331" s="901"/>
      <c r="BUN331" s="901"/>
      <c r="BUO331" s="901"/>
      <c r="BUP331" s="901"/>
      <c r="BUQ331" s="901"/>
      <c r="BUR331" s="901"/>
      <c r="BUS331" s="901"/>
      <c r="BUT331" s="901"/>
      <c r="BUU331" s="902"/>
      <c r="BUV331" s="901"/>
      <c r="BUW331" s="901"/>
      <c r="BUX331" s="901"/>
      <c r="BUY331" s="901"/>
      <c r="BUZ331" s="901"/>
      <c r="BVA331" s="901"/>
      <c r="BVB331" s="901"/>
      <c r="BVC331" s="901"/>
      <c r="BVD331" s="901"/>
      <c r="BVE331" s="901"/>
      <c r="BVF331" s="901"/>
      <c r="BVG331" s="901"/>
      <c r="BVH331" s="901"/>
      <c r="BVI331" s="901"/>
      <c r="BVJ331" s="901"/>
      <c r="BVK331" s="901"/>
      <c r="BVL331" s="901"/>
      <c r="BVM331" s="901"/>
      <c r="BVN331" s="901"/>
      <c r="BVO331" s="901"/>
      <c r="BVP331" s="901"/>
      <c r="BVQ331" s="901"/>
      <c r="BVR331" s="901"/>
      <c r="BVS331" s="901"/>
      <c r="BVT331" s="901"/>
      <c r="BVU331" s="901"/>
      <c r="BVV331" s="901"/>
      <c r="BVW331" s="901"/>
      <c r="BVX331" s="902"/>
      <c r="BVY331" s="901"/>
      <c r="BVZ331" s="901"/>
      <c r="BWA331" s="901"/>
      <c r="BWB331" s="901"/>
      <c r="BWC331" s="901"/>
      <c r="BWD331" s="901"/>
      <c r="BWE331" s="901"/>
      <c r="BWF331" s="901"/>
      <c r="BWG331" s="901"/>
      <c r="BWH331" s="901"/>
      <c r="BWI331" s="901"/>
      <c r="BWJ331" s="901"/>
      <c r="BWK331" s="901"/>
      <c r="BWL331" s="901"/>
      <c r="BWM331" s="901"/>
      <c r="BWN331" s="901"/>
      <c r="BWO331" s="901"/>
      <c r="BWP331" s="901"/>
      <c r="BWQ331" s="901"/>
      <c r="BWR331" s="901"/>
      <c r="BWS331" s="901"/>
      <c r="BWT331" s="901"/>
      <c r="BWU331" s="901"/>
      <c r="BWV331" s="901"/>
      <c r="BWW331" s="901"/>
      <c r="BWX331" s="901"/>
      <c r="BWY331" s="901"/>
      <c r="BWZ331" s="901"/>
      <c r="BXA331" s="902"/>
      <c r="BXB331" s="901"/>
      <c r="BXC331" s="901"/>
      <c r="BXD331" s="901"/>
      <c r="BXE331" s="901"/>
      <c r="BXF331" s="901"/>
      <c r="BXG331" s="901"/>
      <c r="BXH331" s="901"/>
      <c r="BXI331" s="901"/>
      <c r="BXJ331" s="901"/>
      <c r="BXK331" s="901"/>
      <c r="BXL331" s="901"/>
      <c r="BXM331" s="901"/>
      <c r="BXN331" s="901"/>
      <c r="BXO331" s="901"/>
      <c r="BXP331" s="901"/>
      <c r="BXQ331" s="901"/>
      <c r="BXR331" s="901"/>
      <c r="BXS331" s="901"/>
      <c r="BXT331" s="901"/>
      <c r="BXU331" s="901"/>
      <c r="BXV331" s="901"/>
      <c r="BXW331" s="901"/>
      <c r="BXX331" s="901"/>
      <c r="BXY331" s="901"/>
      <c r="BXZ331" s="901"/>
      <c r="BYA331" s="901"/>
      <c r="BYB331" s="901"/>
      <c r="BYC331" s="901"/>
      <c r="BYD331" s="902"/>
      <c r="BYE331" s="901"/>
      <c r="BYF331" s="901"/>
      <c r="BYG331" s="901"/>
      <c r="BYH331" s="901"/>
      <c r="BYI331" s="901"/>
      <c r="BYJ331" s="901"/>
      <c r="BYK331" s="901"/>
      <c r="BYL331" s="901"/>
      <c r="BYM331" s="901"/>
      <c r="BYN331" s="901"/>
      <c r="BYO331" s="901"/>
      <c r="BYP331" s="901"/>
      <c r="BYQ331" s="901"/>
      <c r="BYR331" s="901"/>
      <c r="BYS331" s="901"/>
      <c r="BYT331" s="901"/>
      <c r="BYU331" s="901"/>
      <c r="BYV331" s="901"/>
      <c r="BYW331" s="901"/>
      <c r="BYX331" s="901"/>
      <c r="BYY331" s="901"/>
      <c r="BYZ331" s="901"/>
      <c r="BZA331" s="901"/>
      <c r="BZB331" s="901"/>
      <c r="BZC331" s="901"/>
      <c r="BZD331" s="901"/>
      <c r="BZE331" s="901"/>
      <c r="BZF331" s="901"/>
      <c r="BZG331" s="902"/>
      <c r="BZH331" s="901"/>
      <c r="BZI331" s="901"/>
      <c r="BZJ331" s="901"/>
      <c r="BZK331" s="901"/>
      <c r="BZL331" s="901"/>
      <c r="BZM331" s="901"/>
      <c r="BZN331" s="901"/>
      <c r="BZO331" s="901"/>
      <c r="BZP331" s="901"/>
      <c r="BZQ331" s="901"/>
      <c r="BZR331" s="901"/>
      <c r="BZS331" s="901"/>
      <c r="BZT331" s="901"/>
      <c r="BZU331" s="901"/>
      <c r="BZV331" s="901"/>
      <c r="BZW331" s="901"/>
      <c r="BZX331" s="901"/>
      <c r="BZY331" s="901"/>
      <c r="BZZ331" s="901"/>
      <c r="CAA331" s="901"/>
      <c r="CAB331" s="901"/>
      <c r="CAC331" s="901"/>
      <c r="CAD331" s="901"/>
      <c r="CAE331" s="901"/>
      <c r="CAF331" s="901"/>
      <c r="CAG331" s="901"/>
      <c r="CAH331" s="901"/>
      <c r="CAI331" s="901"/>
      <c r="CAJ331" s="902"/>
      <c r="CAK331" s="901"/>
      <c r="CAL331" s="901"/>
      <c r="CAM331" s="901"/>
      <c r="CAN331" s="901"/>
      <c r="CAO331" s="901"/>
      <c r="CAP331" s="901"/>
      <c r="CAQ331" s="901"/>
      <c r="CAR331" s="901"/>
      <c r="CAS331" s="901"/>
      <c r="CAT331" s="901"/>
      <c r="CAU331" s="901"/>
      <c r="CAV331" s="901"/>
      <c r="CAW331" s="901"/>
      <c r="CAX331" s="901"/>
      <c r="CAY331" s="901"/>
      <c r="CAZ331" s="901"/>
      <c r="CBA331" s="901"/>
      <c r="CBB331" s="901"/>
      <c r="CBC331" s="901"/>
      <c r="CBD331" s="901"/>
      <c r="CBE331" s="901"/>
      <c r="CBF331" s="901"/>
      <c r="CBG331" s="901"/>
      <c r="CBH331" s="901"/>
      <c r="CBI331" s="901"/>
      <c r="CBJ331" s="901"/>
      <c r="CBK331" s="901"/>
      <c r="CBL331" s="901"/>
      <c r="CBM331" s="902"/>
      <c r="CBN331" s="901"/>
      <c r="CBO331" s="901"/>
      <c r="CBP331" s="901"/>
      <c r="CBQ331" s="901"/>
      <c r="CBR331" s="901"/>
      <c r="CBS331" s="901"/>
      <c r="CBT331" s="901"/>
      <c r="CBU331" s="901"/>
      <c r="CBV331" s="901"/>
      <c r="CBW331" s="901"/>
      <c r="CBX331" s="901"/>
      <c r="CBY331" s="901"/>
      <c r="CBZ331" s="901"/>
      <c r="CCA331" s="901"/>
      <c r="CCB331" s="901"/>
      <c r="CCC331" s="901"/>
      <c r="CCD331" s="901"/>
      <c r="CCE331" s="901"/>
      <c r="CCF331" s="901"/>
      <c r="CCG331" s="901"/>
      <c r="CCH331" s="901"/>
      <c r="CCI331" s="901"/>
      <c r="CCJ331" s="901"/>
      <c r="CCK331" s="901"/>
      <c r="CCL331" s="901"/>
      <c r="CCM331" s="901"/>
      <c r="CCN331" s="901"/>
      <c r="CCO331" s="901"/>
      <c r="CCP331" s="902"/>
      <c r="CCQ331" s="901"/>
      <c r="CCR331" s="901"/>
      <c r="CCS331" s="901"/>
      <c r="CCT331" s="901"/>
      <c r="CCU331" s="901"/>
      <c r="CCV331" s="901"/>
      <c r="CCW331" s="901"/>
      <c r="CCX331" s="901"/>
      <c r="CCY331" s="901"/>
      <c r="CCZ331" s="901"/>
      <c r="CDA331" s="901"/>
      <c r="CDB331" s="901"/>
      <c r="CDC331" s="901"/>
      <c r="CDD331" s="901"/>
      <c r="CDE331" s="901"/>
      <c r="CDF331" s="901"/>
      <c r="CDG331" s="901"/>
      <c r="CDH331" s="901"/>
      <c r="CDI331" s="901"/>
      <c r="CDJ331" s="901"/>
      <c r="CDK331" s="901"/>
      <c r="CDL331" s="901"/>
      <c r="CDM331" s="901"/>
      <c r="CDN331" s="901"/>
      <c r="CDO331" s="901"/>
      <c r="CDP331" s="901"/>
      <c r="CDQ331" s="901"/>
      <c r="CDR331" s="901"/>
      <c r="CDS331" s="902"/>
      <c r="CDT331" s="901"/>
      <c r="CDU331" s="901"/>
      <c r="CDV331" s="901"/>
      <c r="CDW331" s="901"/>
      <c r="CDX331" s="901"/>
      <c r="CDY331" s="901"/>
      <c r="CDZ331" s="901"/>
      <c r="CEA331" s="901"/>
      <c r="CEB331" s="901"/>
      <c r="CEC331" s="901"/>
      <c r="CED331" s="901"/>
      <c r="CEE331" s="901"/>
      <c r="CEF331" s="901"/>
      <c r="CEG331" s="901"/>
      <c r="CEH331" s="901"/>
      <c r="CEI331" s="901"/>
      <c r="CEJ331" s="901"/>
      <c r="CEK331" s="901"/>
      <c r="CEL331" s="901"/>
      <c r="CEM331" s="901"/>
      <c r="CEN331" s="901"/>
      <c r="CEO331" s="901"/>
      <c r="CEP331" s="901"/>
      <c r="CEQ331" s="901"/>
      <c r="CER331" s="901"/>
      <c r="CES331" s="901"/>
      <c r="CET331" s="901"/>
      <c r="CEU331" s="901"/>
      <c r="CEV331" s="902"/>
      <c r="CEW331" s="901"/>
      <c r="CEX331" s="901"/>
      <c r="CEY331" s="901"/>
      <c r="CEZ331" s="901"/>
      <c r="CFA331" s="901"/>
      <c r="CFB331" s="901"/>
      <c r="CFC331" s="901"/>
      <c r="CFD331" s="901"/>
      <c r="CFE331" s="901"/>
      <c r="CFF331" s="901"/>
      <c r="CFG331" s="901"/>
      <c r="CFH331" s="901"/>
      <c r="CFI331" s="901"/>
      <c r="CFJ331" s="901"/>
      <c r="CFK331" s="901"/>
      <c r="CFL331" s="901"/>
      <c r="CFM331" s="901"/>
      <c r="CFN331" s="901"/>
      <c r="CFO331" s="901"/>
      <c r="CFP331" s="901"/>
      <c r="CFQ331" s="901"/>
      <c r="CFR331" s="901"/>
      <c r="CFS331" s="901"/>
      <c r="CFT331" s="901"/>
      <c r="CFU331" s="901"/>
      <c r="CFV331" s="901"/>
      <c r="CFW331" s="901"/>
      <c r="CFX331" s="901"/>
      <c r="CFY331" s="902"/>
      <c r="CFZ331" s="901"/>
      <c r="CGA331" s="901"/>
      <c r="CGB331" s="901"/>
      <c r="CGC331" s="901"/>
      <c r="CGD331" s="901"/>
      <c r="CGE331" s="901"/>
      <c r="CGF331" s="901"/>
      <c r="CGG331" s="901"/>
      <c r="CGH331" s="901"/>
      <c r="CGI331" s="901"/>
      <c r="CGJ331" s="901"/>
      <c r="CGK331" s="901"/>
      <c r="CGL331" s="901"/>
      <c r="CGM331" s="901"/>
      <c r="CGN331" s="901"/>
      <c r="CGO331" s="901"/>
      <c r="CGP331" s="901"/>
      <c r="CGQ331" s="901"/>
      <c r="CGR331" s="901"/>
      <c r="CGS331" s="901"/>
      <c r="CGT331" s="901"/>
      <c r="CGU331" s="901"/>
      <c r="CGV331" s="901"/>
      <c r="CGW331" s="901"/>
      <c r="CGX331" s="901"/>
      <c r="CGY331" s="901"/>
      <c r="CGZ331" s="901"/>
      <c r="CHA331" s="901"/>
      <c r="CHB331" s="902"/>
      <c r="CHC331" s="901"/>
      <c r="CHD331" s="901"/>
      <c r="CHE331" s="901"/>
      <c r="CHF331" s="901"/>
      <c r="CHG331" s="901"/>
      <c r="CHH331" s="901"/>
      <c r="CHI331" s="901"/>
      <c r="CHJ331" s="901"/>
      <c r="CHK331" s="901"/>
      <c r="CHL331" s="901"/>
      <c r="CHM331" s="901"/>
      <c r="CHN331" s="901"/>
      <c r="CHO331" s="901"/>
      <c r="CHP331" s="901"/>
      <c r="CHQ331" s="901"/>
      <c r="CHR331" s="901"/>
      <c r="CHS331" s="901"/>
      <c r="CHT331" s="901"/>
      <c r="CHU331" s="901"/>
      <c r="CHV331" s="901"/>
      <c r="CHW331" s="901"/>
      <c r="CHX331" s="901"/>
      <c r="CHY331" s="901"/>
      <c r="CHZ331" s="901"/>
      <c r="CIA331" s="901"/>
      <c r="CIB331" s="901"/>
      <c r="CIC331" s="901"/>
      <c r="CID331" s="901"/>
      <c r="CIE331" s="902"/>
      <c r="CIF331" s="901"/>
      <c r="CIG331" s="901"/>
      <c r="CIH331" s="901"/>
      <c r="CII331" s="901"/>
      <c r="CIJ331" s="901"/>
      <c r="CIK331" s="901"/>
      <c r="CIL331" s="901"/>
      <c r="CIM331" s="901"/>
      <c r="CIN331" s="901"/>
      <c r="CIO331" s="901"/>
      <c r="CIP331" s="901"/>
      <c r="CIQ331" s="901"/>
      <c r="CIR331" s="901"/>
      <c r="CIS331" s="901"/>
      <c r="CIT331" s="901"/>
      <c r="CIU331" s="901"/>
      <c r="CIV331" s="901"/>
      <c r="CIW331" s="901"/>
      <c r="CIX331" s="901"/>
      <c r="CIY331" s="901"/>
      <c r="CIZ331" s="901"/>
      <c r="CJA331" s="901"/>
      <c r="CJB331" s="901"/>
      <c r="CJC331" s="901"/>
      <c r="CJD331" s="901"/>
      <c r="CJE331" s="901"/>
      <c r="CJF331" s="901"/>
      <c r="CJG331" s="901"/>
      <c r="CJH331" s="902"/>
      <c r="CJI331" s="901"/>
      <c r="CJJ331" s="901"/>
      <c r="CJK331" s="901"/>
      <c r="CJL331" s="901"/>
      <c r="CJM331" s="901"/>
      <c r="CJN331" s="901"/>
      <c r="CJO331" s="901"/>
      <c r="CJP331" s="901"/>
      <c r="CJQ331" s="901"/>
      <c r="CJR331" s="901"/>
      <c r="CJS331" s="901"/>
      <c r="CJT331" s="901"/>
      <c r="CJU331" s="901"/>
      <c r="CJV331" s="901"/>
      <c r="CJW331" s="901"/>
      <c r="CJX331" s="901"/>
      <c r="CJY331" s="901"/>
      <c r="CJZ331" s="901"/>
      <c r="CKA331" s="901"/>
      <c r="CKB331" s="901"/>
      <c r="CKC331" s="901"/>
      <c r="CKD331" s="901"/>
      <c r="CKE331" s="901"/>
      <c r="CKF331" s="901"/>
      <c r="CKG331" s="901"/>
      <c r="CKH331" s="901"/>
      <c r="CKI331" s="901"/>
      <c r="CKJ331" s="901"/>
      <c r="CKK331" s="902"/>
      <c r="CKL331" s="901"/>
      <c r="CKM331" s="901"/>
      <c r="CKN331" s="901"/>
      <c r="CKO331" s="901"/>
      <c r="CKP331" s="901"/>
      <c r="CKQ331" s="901"/>
      <c r="CKR331" s="901"/>
      <c r="CKS331" s="901"/>
      <c r="CKT331" s="901"/>
      <c r="CKU331" s="901"/>
      <c r="CKV331" s="901"/>
      <c r="CKW331" s="901"/>
      <c r="CKX331" s="901"/>
      <c r="CKY331" s="901"/>
      <c r="CKZ331" s="901"/>
      <c r="CLA331" s="901"/>
      <c r="CLB331" s="901"/>
      <c r="CLC331" s="901"/>
      <c r="CLD331" s="901"/>
      <c r="CLE331" s="901"/>
      <c r="CLF331" s="901"/>
      <c r="CLG331" s="901"/>
      <c r="CLH331" s="901"/>
      <c r="CLI331" s="901"/>
      <c r="CLJ331" s="901"/>
      <c r="CLK331" s="901"/>
      <c r="CLL331" s="901"/>
      <c r="CLM331" s="901"/>
      <c r="CLN331" s="902"/>
      <c r="CLO331" s="901"/>
      <c r="CLP331" s="901"/>
      <c r="CLQ331" s="901"/>
      <c r="CLR331" s="901"/>
      <c r="CLS331" s="901"/>
      <c r="CLT331" s="901"/>
      <c r="CLU331" s="901"/>
      <c r="CLV331" s="901"/>
      <c r="CLW331" s="901"/>
      <c r="CLX331" s="901"/>
      <c r="CLY331" s="901"/>
      <c r="CLZ331" s="901"/>
      <c r="CMA331" s="901"/>
      <c r="CMB331" s="901"/>
      <c r="CMC331" s="901"/>
      <c r="CMD331" s="901"/>
      <c r="CME331" s="901"/>
      <c r="CMF331" s="901"/>
      <c r="CMG331" s="901"/>
      <c r="CMH331" s="901"/>
      <c r="CMI331" s="901"/>
      <c r="CMJ331" s="901"/>
      <c r="CMK331" s="901"/>
      <c r="CML331" s="901"/>
      <c r="CMM331" s="901"/>
      <c r="CMN331" s="901"/>
      <c r="CMO331" s="901"/>
      <c r="CMP331" s="901"/>
      <c r="CMQ331" s="902"/>
      <c r="CMR331" s="901"/>
      <c r="CMS331" s="901"/>
      <c r="CMT331" s="901"/>
      <c r="CMU331" s="901"/>
      <c r="CMV331" s="901"/>
      <c r="CMW331" s="901"/>
      <c r="CMX331" s="901"/>
      <c r="CMY331" s="901"/>
      <c r="CMZ331" s="901"/>
      <c r="CNA331" s="901"/>
      <c r="CNB331" s="901"/>
      <c r="CNC331" s="901"/>
      <c r="CND331" s="901"/>
      <c r="CNE331" s="901"/>
      <c r="CNF331" s="901"/>
      <c r="CNG331" s="901"/>
      <c r="CNH331" s="901"/>
      <c r="CNI331" s="901"/>
      <c r="CNJ331" s="901"/>
      <c r="CNK331" s="901"/>
      <c r="CNL331" s="901"/>
      <c r="CNM331" s="901"/>
      <c r="CNN331" s="901"/>
      <c r="CNO331" s="901"/>
      <c r="CNP331" s="901"/>
      <c r="CNQ331" s="901"/>
      <c r="CNR331" s="901"/>
      <c r="CNS331" s="901"/>
      <c r="CNT331" s="902"/>
      <c r="CNU331" s="901"/>
      <c r="CNV331" s="901"/>
      <c r="CNW331" s="901"/>
      <c r="CNX331" s="901"/>
      <c r="CNY331" s="901"/>
      <c r="CNZ331" s="901"/>
      <c r="COA331" s="901"/>
      <c r="COB331" s="901"/>
      <c r="COC331" s="901"/>
      <c r="COD331" s="901"/>
      <c r="COE331" s="901"/>
      <c r="COF331" s="901"/>
      <c r="COG331" s="901"/>
      <c r="COH331" s="901"/>
      <c r="COI331" s="901"/>
      <c r="COJ331" s="901"/>
      <c r="COK331" s="901"/>
      <c r="COL331" s="901"/>
      <c r="COM331" s="901"/>
      <c r="CON331" s="901"/>
      <c r="COO331" s="901"/>
      <c r="COP331" s="901"/>
      <c r="COQ331" s="901"/>
      <c r="COR331" s="901"/>
      <c r="COS331" s="901"/>
      <c r="COT331" s="901"/>
      <c r="COU331" s="901"/>
      <c r="COV331" s="901"/>
      <c r="COW331" s="902"/>
      <c r="COX331" s="901"/>
      <c r="COY331" s="901"/>
      <c r="COZ331" s="901"/>
      <c r="CPA331" s="901"/>
      <c r="CPB331" s="901"/>
      <c r="CPC331" s="901"/>
      <c r="CPD331" s="901"/>
      <c r="CPE331" s="901"/>
      <c r="CPF331" s="901"/>
      <c r="CPG331" s="901"/>
      <c r="CPH331" s="901"/>
      <c r="CPI331" s="901"/>
      <c r="CPJ331" s="901"/>
      <c r="CPK331" s="901"/>
      <c r="CPL331" s="901"/>
      <c r="CPM331" s="901"/>
      <c r="CPN331" s="901"/>
      <c r="CPO331" s="901"/>
      <c r="CPP331" s="901"/>
      <c r="CPQ331" s="901"/>
      <c r="CPR331" s="901"/>
      <c r="CPS331" s="901"/>
      <c r="CPT331" s="901"/>
      <c r="CPU331" s="901"/>
      <c r="CPV331" s="901"/>
      <c r="CPW331" s="901"/>
      <c r="CPX331" s="901"/>
      <c r="CPY331" s="901"/>
      <c r="CPZ331" s="902"/>
      <c r="CQA331" s="901"/>
      <c r="CQB331" s="901"/>
      <c r="CQC331" s="901"/>
      <c r="CQD331" s="901"/>
      <c r="CQE331" s="901"/>
      <c r="CQF331" s="901"/>
      <c r="CQG331" s="901"/>
      <c r="CQH331" s="901"/>
      <c r="CQI331" s="901"/>
      <c r="CQJ331" s="901"/>
      <c r="CQK331" s="901"/>
      <c r="CQL331" s="901"/>
      <c r="CQM331" s="901"/>
      <c r="CQN331" s="901"/>
      <c r="CQO331" s="901"/>
      <c r="CQP331" s="901"/>
      <c r="CQQ331" s="901"/>
      <c r="CQR331" s="901"/>
      <c r="CQS331" s="901"/>
      <c r="CQT331" s="901"/>
      <c r="CQU331" s="901"/>
      <c r="CQV331" s="901"/>
      <c r="CQW331" s="901"/>
      <c r="CQX331" s="901"/>
      <c r="CQY331" s="901"/>
      <c r="CQZ331" s="901"/>
      <c r="CRA331" s="901"/>
      <c r="CRB331" s="901"/>
      <c r="CRC331" s="902"/>
      <c r="CRD331" s="901"/>
      <c r="CRE331" s="901"/>
      <c r="CRF331" s="901"/>
      <c r="CRG331" s="901"/>
      <c r="CRH331" s="901"/>
      <c r="CRI331" s="901"/>
      <c r="CRJ331" s="901"/>
      <c r="CRK331" s="901"/>
      <c r="CRL331" s="901"/>
      <c r="CRM331" s="901"/>
      <c r="CRN331" s="901"/>
      <c r="CRO331" s="901"/>
      <c r="CRP331" s="901"/>
      <c r="CRQ331" s="901"/>
      <c r="CRR331" s="901"/>
      <c r="CRS331" s="901"/>
      <c r="CRT331" s="901"/>
      <c r="CRU331" s="901"/>
      <c r="CRV331" s="901"/>
      <c r="CRW331" s="901"/>
      <c r="CRX331" s="901"/>
      <c r="CRY331" s="901"/>
      <c r="CRZ331" s="901"/>
      <c r="CSA331" s="901"/>
      <c r="CSB331" s="901"/>
      <c r="CSC331" s="901"/>
      <c r="CSD331" s="901"/>
      <c r="CSE331" s="901"/>
      <c r="CSF331" s="902"/>
      <c r="CSG331" s="901"/>
      <c r="CSH331" s="901"/>
      <c r="CSI331" s="901"/>
      <c r="CSJ331" s="901"/>
      <c r="CSK331" s="901"/>
      <c r="CSL331" s="901"/>
      <c r="CSM331" s="901"/>
      <c r="CSN331" s="901"/>
      <c r="CSO331" s="901"/>
      <c r="CSP331" s="901"/>
      <c r="CSQ331" s="901"/>
      <c r="CSR331" s="901"/>
      <c r="CSS331" s="901"/>
      <c r="CST331" s="901"/>
      <c r="CSU331" s="901"/>
      <c r="CSV331" s="901"/>
      <c r="CSW331" s="901"/>
      <c r="CSX331" s="901"/>
      <c r="CSY331" s="901"/>
      <c r="CSZ331" s="901"/>
      <c r="CTA331" s="901"/>
      <c r="CTB331" s="901"/>
      <c r="CTC331" s="901"/>
      <c r="CTD331" s="901"/>
      <c r="CTE331" s="901"/>
      <c r="CTF331" s="901"/>
      <c r="CTG331" s="901"/>
      <c r="CTH331" s="901"/>
      <c r="CTI331" s="902"/>
      <c r="CTJ331" s="901"/>
      <c r="CTK331" s="901"/>
      <c r="CTL331" s="901"/>
      <c r="CTM331" s="901"/>
      <c r="CTN331" s="901"/>
      <c r="CTO331" s="901"/>
      <c r="CTP331" s="901"/>
      <c r="CTQ331" s="901"/>
      <c r="CTR331" s="901"/>
      <c r="CTS331" s="901"/>
      <c r="CTT331" s="901"/>
      <c r="CTU331" s="901"/>
      <c r="CTV331" s="901"/>
      <c r="CTW331" s="901"/>
      <c r="CTX331" s="901"/>
      <c r="CTY331" s="901"/>
      <c r="CTZ331" s="901"/>
      <c r="CUA331" s="901"/>
      <c r="CUB331" s="901"/>
      <c r="CUC331" s="901"/>
      <c r="CUD331" s="901"/>
      <c r="CUE331" s="901"/>
      <c r="CUF331" s="901"/>
      <c r="CUG331" s="901"/>
      <c r="CUH331" s="901"/>
      <c r="CUI331" s="901"/>
      <c r="CUJ331" s="901"/>
      <c r="CUK331" s="901"/>
      <c r="CUL331" s="902"/>
      <c r="CUM331" s="901"/>
      <c r="CUN331" s="901"/>
      <c r="CUO331" s="901"/>
      <c r="CUP331" s="901"/>
      <c r="CUQ331" s="901"/>
      <c r="CUR331" s="901"/>
      <c r="CUS331" s="901"/>
      <c r="CUT331" s="901"/>
      <c r="CUU331" s="901"/>
      <c r="CUV331" s="901"/>
      <c r="CUW331" s="901"/>
      <c r="CUX331" s="901"/>
      <c r="CUY331" s="901"/>
      <c r="CUZ331" s="901"/>
      <c r="CVA331" s="901"/>
      <c r="CVB331" s="901"/>
      <c r="CVC331" s="901"/>
      <c r="CVD331" s="901"/>
      <c r="CVE331" s="901"/>
      <c r="CVF331" s="901"/>
      <c r="CVG331" s="901"/>
      <c r="CVH331" s="901"/>
      <c r="CVI331" s="901"/>
      <c r="CVJ331" s="901"/>
      <c r="CVK331" s="901"/>
      <c r="CVL331" s="901"/>
      <c r="CVM331" s="901"/>
      <c r="CVN331" s="901"/>
      <c r="CVO331" s="902"/>
      <c r="CVP331" s="901"/>
      <c r="CVQ331" s="901"/>
      <c r="CVR331" s="901"/>
      <c r="CVS331" s="901"/>
      <c r="CVT331" s="901"/>
      <c r="CVU331" s="901"/>
      <c r="CVV331" s="901"/>
      <c r="CVW331" s="901"/>
      <c r="CVX331" s="901"/>
      <c r="CVY331" s="901"/>
      <c r="CVZ331" s="901"/>
      <c r="CWA331" s="901"/>
      <c r="CWB331" s="901"/>
      <c r="CWC331" s="901"/>
      <c r="CWD331" s="901"/>
      <c r="CWE331" s="901"/>
      <c r="CWF331" s="901"/>
      <c r="CWG331" s="901"/>
      <c r="CWH331" s="901"/>
      <c r="CWI331" s="901"/>
      <c r="CWJ331" s="901"/>
      <c r="CWK331" s="901"/>
      <c r="CWL331" s="901"/>
      <c r="CWM331" s="901"/>
      <c r="CWN331" s="901"/>
      <c r="CWO331" s="901"/>
      <c r="CWP331" s="901"/>
      <c r="CWQ331" s="901"/>
      <c r="CWR331" s="902"/>
      <c r="CWS331" s="901"/>
      <c r="CWT331" s="901"/>
      <c r="CWU331" s="901"/>
      <c r="CWV331" s="901"/>
      <c r="CWW331" s="901"/>
      <c r="CWX331" s="901"/>
      <c r="CWY331" s="901"/>
      <c r="CWZ331" s="901"/>
      <c r="CXA331" s="901"/>
      <c r="CXB331" s="901"/>
      <c r="CXC331" s="901"/>
      <c r="CXD331" s="901"/>
      <c r="CXE331" s="901"/>
      <c r="CXF331" s="901"/>
      <c r="CXG331" s="901"/>
      <c r="CXH331" s="901"/>
      <c r="CXI331" s="901"/>
      <c r="CXJ331" s="901"/>
      <c r="CXK331" s="901"/>
      <c r="CXL331" s="901"/>
      <c r="CXM331" s="901"/>
      <c r="CXN331" s="901"/>
      <c r="CXO331" s="901"/>
      <c r="CXP331" s="901"/>
      <c r="CXQ331" s="901"/>
      <c r="CXR331" s="901"/>
      <c r="CXS331" s="901"/>
      <c r="CXT331" s="901"/>
      <c r="CXU331" s="902"/>
      <c r="CXV331" s="901"/>
      <c r="CXW331" s="901"/>
      <c r="CXX331" s="901"/>
      <c r="CXY331" s="901"/>
      <c r="CXZ331" s="901"/>
      <c r="CYA331" s="901"/>
      <c r="CYB331" s="901"/>
      <c r="CYC331" s="901"/>
      <c r="CYD331" s="901"/>
      <c r="CYE331" s="901"/>
      <c r="CYF331" s="901"/>
      <c r="CYG331" s="901"/>
      <c r="CYH331" s="901"/>
      <c r="CYI331" s="901"/>
      <c r="CYJ331" s="901"/>
      <c r="CYK331" s="901"/>
      <c r="CYL331" s="901"/>
      <c r="CYM331" s="901"/>
      <c r="CYN331" s="901"/>
      <c r="CYO331" s="901"/>
      <c r="CYP331" s="901"/>
      <c r="CYQ331" s="901"/>
      <c r="CYR331" s="901"/>
      <c r="CYS331" s="901"/>
      <c r="CYT331" s="901"/>
      <c r="CYU331" s="901"/>
      <c r="CYV331" s="901"/>
      <c r="CYW331" s="901"/>
      <c r="CYX331" s="902"/>
      <c r="CYY331" s="901"/>
      <c r="CYZ331" s="901"/>
      <c r="CZA331" s="901"/>
      <c r="CZB331" s="901"/>
      <c r="CZC331" s="901"/>
      <c r="CZD331" s="901"/>
      <c r="CZE331" s="901"/>
      <c r="CZF331" s="901"/>
      <c r="CZG331" s="901"/>
      <c r="CZH331" s="901"/>
      <c r="CZI331" s="901"/>
      <c r="CZJ331" s="901"/>
      <c r="CZK331" s="901"/>
      <c r="CZL331" s="901"/>
      <c r="CZM331" s="901"/>
      <c r="CZN331" s="901"/>
      <c r="CZO331" s="901"/>
      <c r="CZP331" s="901"/>
      <c r="CZQ331" s="901"/>
      <c r="CZR331" s="901"/>
      <c r="CZS331" s="901"/>
      <c r="CZT331" s="901"/>
      <c r="CZU331" s="901"/>
      <c r="CZV331" s="901"/>
      <c r="CZW331" s="901"/>
      <c r="CZX331" s="901"/>
      <c r="CZY331" s="901"/>
      <c r="CZZ331" s="901"/>
      <c r="DAA331" s="902"/>
      <c r="DAB331" s="901"/>
      <c r="DAC331" s="901"/>
      <c r="DAD331" s="901"/>
      <c r="DAE331" s="901"/>
      <c r="DAF331" s="901"/>
      <c r="DAG331" s="901"/>
      <c r="DAH331" s="901"/>
      <c r="DAI331" s="901"/>
      <c r="DAJ331" s="901"/>
      <c r="DAK331" s="901"/>
      <c r="DAL331" s="901"/>
      <c r="DAM331" s="901"/>
      <c r="DAN331" s="901"/>
      <c r="DAO331" s="901"/>
      <c r="DAP331" s="901"/>
      <c r="DAQ331" s="901"/>
      <c r="DAR331" s="901"/>
      <c r="DAS331" s="901"/>
      <c r="DAT331" s="901"/>
      <c r="DAU331" s="901"/>
      <c r="DAV331" s="901"/>
      <c r="DAW331" s="901"/>
      <c r="DAX331" s="901"/>
      <c r="DAY331" s="901"/>
      <c r="DAZ331" s="901"/>
      <c r="DBA331" s="901"/>
      <c r="DBB331" s="901"/>
      <c r="DBC331" s="901"/>
      <c r="DBD331" s="902"/>
      <c r="DBE331" s="901"/>
      <c r="DBF331" s="901"/>
      <c r="DBG331" s="901"/>
      <c r="DBH331" s="901"/>
      <c r="DBI331" s="901"/>
      <c r="DBJ331" s="901"/>
      <c r="DBK331" s="901"/>
      <c r="DBL331" s="901"/>
      <c r="DBM331" s="901"/>
      <c r="DBN331" s="901"/>
      <c r="DBO331" s="901"/>
      <c r="DBP331" s="901"/>
      <c r="DBQ331" s="901"/>
      <c r="DBR331" s="901"/>
      <c r="DBS331" s="901"/>
      <c r="DBT331" s="901"/>
      <c r="DBU331" s="901"/>
      <c r="DBV331" s="901"/>
      <c r="DBW331" s="901"/>
      <c r="DBX331" s="901"/>
      <c r="DBY331" s="901"/>
      <c r="DBZ331" s="901"/>
      <c r="DCA331" s="901"/>
      <c r="DCB331" s="901"/>
      <c r="DCC331" s="901"/>
      <c r="DCD331" s="901"/>
      <c r="DCE331" s="901"/>
      <c r="DCF331" s="901"/>
      <c r="DCG331" s="902"/>
      <c r="DCH331" s="901"/>
      <c r="DCI331" s="901"/>
      <c r="DCJ331" s="901"/>
      <c r="DCK331" s="901"/>
      <c r="DCL331" s="901"/>
      <c r="DCM331" s="901"/>
      <c r="DCN331" s="901"/>
      <c r="DCO331" s="901"/>
      <c r="DCP331" s="901"/>
      <c r="DCQ331" s="901"/>
      <c r="DCR331" s="901"/>
      <c r="DCS331" s="901"/>
      <c r="DCT331" s="901"/>
      <c r="DCU331" s="901"/>
      <c r="DCV331" s="901"/>
      <c r="DCW331" s="901"/>
      <c r="DCX331" s="901"/>
      <c r="DCY331" s="901"/>
      <c r="DCZ331" s="901"/>
      <c r="DDA331" s="901"/>
      <c r="DDB331" s="901"/>
      <c r="DDC331" s="901"/>
      <c r="DDD331" s="901"/>
      <c r="DDE331" s="901"/>
      <c r="DDF331" s="901"/>
      <c r="DDG331" s="901"/>
      <c r="DDH331" s="901"/>
      <c r="DDI331" s="901"/>
      <c r="DDJ331" s="902"/>
      <c r="DDK331" s="901"/>
      <c r="DDL331" s="901"/>
      <c r="DDM331" s="901"/>
      <c r="DDN331" s="901"/>
      <c r="DDO331" s="901"/>
      <c r="DDP331" s="901"/>
      <c r="DDQ331" s="901"/>
      <c r="DDR331" s="901"/>
      <c r="DDS331" s="901"/>
      <c r="DDT331" s="901"/>
      <c r="DDU331" s="901"/>
      <c r="DDV331" s="901"/>
      <c r="DDW331" s="901"/>
      <c r="DDX331" s="901"/>
      <c r="DDY331" s="901"/>
      <c r="DDZ331" s="901"/>
      <c r="DEA331" s="901"/>
      <c r="DEB331" s="901"/>
      <c r="DEC331" s="901"/>
      <c r="DED331" s="901"/>
      <c r="DEE331" s="901"/>
      <c r="DEF331" s="901"/>
      <c r="DEG331" s="901"/>
      <c r="DEH331" s="901"/>
      <c r="DEI331" s="901"/>
      <c r="DEJ331" s="901"/>
      <c r="DEK331" s="901"/>
      <c r="DEL331" s="901"/>
      <c r="DEM331" s="902"/>
      <c r="DEN331" s="901"/>
      <c r="DEO331" s="901"/>
      <c r="DEP331" s="901"/>
      <c r="DEQ331" s="901"/>
      <c r="DER331" s="901"/>
      <c r="DES331" s="901"/>
      <c r="DET331" s="901"/>
      <c r="DEU331" s="901"/>
      <c r="DEV331" s="901"/>
      <c r="DEW331" s="901"/>
      <c r="DEX331" s="901"/>
      <c r="DEY331" s="901"/>
      <c r="DEZ331" s="901"/>
      <c r="DFA331" s="901"/>
      <c r="DFB331" s="901"/>
      <c r="DFC331" s="901"/>
      <c r="DFD331" s="901"/>
      <c r="DFE331" s="901"/>
      <c r="DFF331" s="901"/>
      <c r="DFG331" s="901"/>
      <c r="DFH331" s="901"/>
      <c r="DFI331" s="901"/>
      <c r="DFJ331" s="901"/>
      <c r="DFK331" s="901"/>
      <c r="DFL331" s="901"/>
      <c r="DFM331" s="901"/>
      <c r="DFN331" s="901"/>
      <c r="DFO331" s="901"/>
      <c r="DFP331" s="902"/>
      <c r="DFQ331" s="901"/>
      <c r="DFR331" s="901"/>
      <c r="DFS331" s="901"/>
      <c r="DFT331" s="901"/>
      <c r="DFU331" s="901"/>
      <c r="DFV331" s="901"/>
      <c r="DFW331" s="901"/>
      <c r="DFX331" s="901"/>
      <c r="DFY331" s="901"/>
      <c r="DFZ331" s="901"/>
      <c r="DGA331" s="901"/>
      <c r="DGB331" s="901"/>
      <c r="DGC331" s="901"/>
      <c r="DGD331" s="901"/>
      <c r="DGE331" s="901"/>
      <c r="DGF331" s="901"/>
      <c r="DGG331" s="901"/>
      <c r="DGH331" s="901"/>
      <c r="DGI331" s="901"/>
      <c r="DGJ331" s="901"/>
      <c r="DGK331" s="901"/>
      <c r="DGL331" s="901"/>
      <c r="DGM331" s="901"/>
      <c r="DGN331" s="901"/>
      <c r="DGO331" s="901"/>
      <c r="DGP331" s="901"/>
      <c r="DGQ331" s="901"/>
      <c r="DGR331" s="901"/>
      <c r="DGS331" s="902"/>
      <c r="DGT331" s="901"/>
      <c r="DGU331" s="901"/>
      <c r="DGV331" s="901"/>
      <c r="DGW331" s="901"/>
      <c r="DGX331" s="901"/>
      <c r="DGY331" s="901"/>
      <c r="DGZ331" s="901"/>
      <c r="DHA331" s="901"/>
      <c r="DHB331" s="901"/>
      <c r="DHC331" s="901"/>
      <c r="DHD331" s="901"/>
      <c r="DHE331" s="901"/>
      <c r="DHF331" s="901"/>
      <c r="DHG331" s="901"/>
      <c r="DHH331" s="901"/>
      <c r="DHI331" s="901"/>
      <c r="DHJ331" s="901"/>
      <c r="DHK331" s="901"/>
      <c r="DHL331" s="901"/>
      <c r="DHM331" s="901"/>
      <c r="DHN331" s="901"/>
      <c r="DHO331" s="901"/>
      <c r="DHP331" s="901"/>
      <c r="DHQ331" s="901"/>
      <c r="DHR331" s="901"/>
      <c r="DHS331" s="901"/>
      <c r="DHT331" s="901"/>
      <c r="DHU331" s="901"/>
      <c r="DHV331" s="902"/>
      <c r="DHW331" s="901"/>
      <c r="DHX331" s="901"/>
      <c r="DHY331" s="901"/>
      <c r="DHZ331" s="901"/>
      <c r="DIA331" s="901"/>
      <c r="DIB331" s="901"/>
      <c r="DIC331" s="901"/>
      <c r="DID331" s="901"/>
      <c r="DIE331" s="901"/>
      <c r="DIF331" s="901"/>
      <c r="DIG331" s="901"/>
      <c r="DIH331" s="901"/>
      <c r="DII331" s="901"/>
      <c r="DIJ331" s="901"/>
      <c r="DIK331" s="901"/>
      <c r="DIL331" s="901"/>
      <c r="DIM331" s="901"/>
      <c r="DIN331" s="901"/>
      <c r="DIO331" s="901"/>
      <c r="DIP331" s="901"/>
      <c r="DIQ331" s="901"/>
      <c r="DIR331" s="901"/>
      <c r="DIS331" s="901"/>
      <c r="DIT331" s="901"/>
      <c r="DIU331" s="901"/>
      <c r="DIV331" s="901"/>
      <c r="DIW331" s="901"/>
      <c r="DIX331" s="901"/>
      <c r="DIY331" s="902"/>
      <c r="DIZ331" s="901"/>
      <c r="DJA331" s="901"/>
      <c r="DJB331" s="901"/>
      <c r="DJC331" s="901"/>
      <c r="DJD331" s="901"/>
      <c r="DJE331" s="901"/>
      <c r="DJF331" s="901"/>
      <c r="DJG331" s="901"/>
      <c r="DJH331" s="901"/>
      <c r="DJI331" s="901"/>
      <c r="DJJ331" s="901"/>
      <c r="DJK331" s="901"/>
      <c r="DJL331" s="901"/>
      <c r="DJM331" s="901"/>
      <c r="DJN331" s="901"/>
      <c r="DJO331" s="901"/>
      <c r="DJP331" s="901"/>
      <c r="DJQ331" s="901"/>
      <c r="DJR331" s="901"/>
      <c r="DJS331" s="901"/>
      <c r="DJT331" s="901"/>
      <c r="DJU331" s="901"/>
      <c r="DJV331" s="901"/>
      <c r="DJW331" s="901"/>
      <c r="DJX331" s="901"/>
      <c r="DJY331" s="901"/>
      <c r="DJZ331" s="901"/>
      <c r="DKA331" s="901"/>
      <c r="DKB331" s="902"/>
      <c r="DKC331" s="901"/>
      <c r="DKD331" s="901"/>
      <c r="DKE331" s="901"/>
      <c r="DKF331" s="901"/>
      <c r="DKG331" s="901"/>
      <c r="DKH331" s="901"/>
      <c r="DKI331" s="901"/>
      <c r="DKJ331" s="901"/>
      <c r="DKK331" s="901"/>
      <c r="DKL331" s="901"/>
      <c r="DKM331" s="901"/>
      <c r="DKN331" s="901"/>
      <c r="DKO331" s="901"/>
      <c r="DKP331" s="901"/>
      <c r="DKQ331" s="901"/>
      <c r="DKR331" s="901"/>
      <c r="DKS331" s="901"/>
      <c r="DKT331" s="901"/>
      <c r="DKU331" s="901"/>
      <c r="DKV331" s="901"/>
      <c r="DKW331" s="901"/>
      <c r="DKX331" s="901"/>
      <c r="DKY331" s="901"/>
      <c r="DKZ331" s="901"/>
      <c r="DLA331" s="901"/>
      <c r="DLB331" s="901"/>
      <c r="DLC331" s="901"/>
      <c r="DLD331" s="901"/>
      <c r="DLE331" s="902"/>
      <c r="DLF331" s="901"/>
      <c r="DLG331" s="901"/>
      <c r="DLH331" s="901"/>
      <c r="DLI331" s="901"/>
      <c r="DLJ331" s="901"/>
      <c r="DLK331" s="901"/>
      <c r="DLL331" s="901"/>
      <c r="DLM331" s="901"/>
      <c r="DLN331" s="901"/>
      <c r="DLO331" s="901"/>
      <c r="DLP331" s="901"/>
      <c r="DLQ331" s="901"/>
      <c r="DLR331" s="901"/>
      <c r="DLS331" s="901"/>
      <c r="DLT331" s="901"/>
      <c r="DLU331" s="901"/>
      <c r="DLV331" s="901"/>
      <c r="DLW331" s="901"/>
      <c r="DLX331" s="901"/>
      <c r="DLY331" s="901"/>
      <c r="DLZ331" s="901"/>
      <c r="DMA331" s="901"/>
      <c r="DMB331" s="901"/>
      <c r="DMC331" s="901"/>
      <c r="DMD331" s="901"/>
      <c r="DME331" s="901"/>
      <c r="DMF331" s="901"/>
      <c r="DMG331" s="901"/>
      <c r="DMH331" s="902"/>
      <c r="DMI331" s="901"/>
      <c r="DMJ331" s="901"/>
      <c r="DMK331" s="901"/>
      <c r="DML331" s="901"/>
      <c r="DMM331" s="901"/>
      <c r="DMN331" s="901"/>
      <c r="DMO331" s="901"/>
      <c r="DMP331" s="901"/>
      <c r="DMQ331" s="901"/>
      <c r="DMR331" s="901"/>
      <c r="DMS331" s="901"/>
      <c r="DMT331" s="901"/>
      <c r="DMU331" s="901"/>
      <c r="DMV331" s="901"/>
      <c r="DMW331" s="901"/>
      <c r="DMX331" s="901"/>
      <c r="DMY331" s="901"/>
      <c r="DMZ331" s="901"/>
      <c r="DNA331" s="901"/>
      <c r="DNB331" s="901"/>
      <c r="DNC331" s="901"/>
      <c r="DND331" s="901"/>
      <c r="DNE331" s="901"/>
      <c r="DNF331" s="901"/>
      <c r="DNG331" s="901"/>
      <c r="DNH331" s="901"/>
      <c r="DNI331" s="901"/>
      <c r="DNJ331" s="901"/>
      <c r="DNK331" s="902"/>
      <c r="DNL331" s="901"/>
      <c r="DNM331" s="901"/>
      <c r="DNN331" s="901"/>
      <c r="DNO331" s="901"/>
      <c r="DNP331" s="901"/>
      <c r="DNQ331" s="901"/>
      <c r="DNR331" s="901"/>
      <c r="DNS331" s="901"/>
      <c r="DNT331" s="901"/>
      <c r="DNU331" s="901"/>
      <c r="DNV331" s="901"/>
      <c r="DNW331" s="901"/>
      <c r="DNX331" s="901"/>
      <c r="DNY331" s="901"/>
      <c r="DNZ331" s="901"/>
      <c r="DOA331" s="901"/>
      <c r="DOB331" s="901"/>
      <c r="DOC331" s="901"/>
      <c r="DOD331" s="901"/>
      <c r="DOE331" s="901"/>
      <c r="DOF331" s="901"/>
      <c r="DOG331" s="901"/>
      <c r="DOH331" s="901"/>
      <c r="DOI331" s="901"/>
      <c r="DOJ331" s="901"/>
      <c r="DOK331" s="901"/>
      <c r="DOL331" s="901"/>
      <c r="DOM331" s="901"/>
      <c r="DON331" s="902"/>
      <c r="DOO331" s="901"/>
      <c r="DOP331" s="901"/>
      <c r="DOQ331" s="901"/>
      <c r="DOR331" s="901"/>
      <c r="DOS331" s="901"/>
      <c r="DOT331" s="901"/>
      <c r="DOU331" s="901"/>
      <c r="DOV331" s="901"/>
      <c r="DOW331" s="901"/>
      <c r="DOX331" s="901"/>
      <c r="DOY331" s="901"/>
      <c r="DOZ331" s="901"/>
      <c r="DPA331" s="901"/>
      <c r="DPB331" s="901"/>
      <c r="DPC331" s="901"/>
      <c r="DPD331" s="901"/>
      <c r="DPE331" s="901"/>
      <c r="DPF331" s="901"/>
      <c r="DPG331" s="901"/>
      <c r="DPH331" s="901"/>
      <c r="DPI331" s="901"/>
      <c r="DPJ331" s="901"/>
      <c r="DPK331" s="901"/>
      <c r="DPL331" s="901"/>
      <c r="DPM331" s="901"/>
      <c r="DPN331" s="901"/>
      <c r="DPO331" s="901"/>
      <c r="DPP331" s="901"/>
      <c r="DPQ331" s="902"/>
      <c r="DPR331" s="901"/>
      <c r="DPS331" s="901"/>
      <c r="DPT331" s="901"/>
      <c r="DPU331" s="901"/>
      <c r="DPV331" s="901"/>
      <c r="DPW331" s="901"/>
      <c r="DPX331" s="901"/>
      <c r="DPY331" s="901"/>
      <c r="DPZ331" s="901"/>
      <c r="DQA331" s="901"/>
      <c r="DQB331" s="901"/>
      <c r="DQC331" s="901"/>
      <c r="DQD331" s="901"/>
      <c r="DQE331" s="901"/>
      <c r="DQF331" s="901"/>
      <c r="DQG331" s="901"/>
      <c r="DQH331" s="901"/>
      <c r="DQI331" s="901"/>
      <c r="DQJ331" s="901"/>
      <c r="DQK331" s="901"/>
      <c r="DQL331" s="901"/>
      <c r="DQM331" s="901"/>
      <c r="DQN331" s="901"/>
      <c r="DQO331" s="901"/>
      <c r="DQP331" s="901"/>
      <c r="DQQ331" s="901"/>
      <c r="DQR331" s="901"/>
      <c r="DQS331" s="901"/>
      <c r="DQT331" s="902"/>
      <c r="DQU331" s="901"/>
      <c r="DQV331" s="901"/>
      <c r="DQW331" s="901"/>
      <c r="DQX331" s="901"/>
      <c r="DQY331" s="901"/>
      <c r="DQZ331" s="901"/>
      <c r="DRA331" s="901"/>
      <c r="DRB331" s="901"/>
      <c r="DRC331" s="901"/>
      <c r="DRD331" s="901"/>
      <c r="DRE331" s="901"/>
      <c r="DRF331" s="901"/>
      <c r="DRG331" s="901"/>
      <c r="DRH331" s="901"/>
      <c r="DRI331" s="901"/>
      <c r="DRJ331" s="901"/>
      <c r="DRK331" s="901"/>
      <c r="DRL331" s="901"/>
      <c r="DRM331" s="901"/>
      <c r="DRN331" s="901"/>
      <c r="DRO331" s="901"/>
      <c r="DRP331" s="901"/>
      <c r="DRQ331" s="901"/>
      <c r="DRR331" s="901"/>
      <c r="DRS331" s="901"/>
      <c r="DRT331" s="901"/>
      <c r="DRU331" s="901"/>
      <c r="DRV331" s="901"/>
      <c r="DRW331" s="902"/>
      <c r="DRX331" s="901"/>
      <c r="DRY331" s="901"/>
      <c r="DRZ331" s="901"/>
      <c r="DSA331" s="901"/>
      <c r="DSB331" s="901"/>
      <c r="DSC331" s="901"/>
      <c r="DSD331" s="901"/>
      <c r="DSE331" s="901"/>
      <c r="DSF331" s="901"/>
      <c r="DSG331" s="901"/>
      <c r="DSH331" s="901"/>
      <c r="DSI331" s="901"/>
      <c r="DSJ331" s="901"/>
      <c r="DSK331" s="901"/>
      <c r="DSL331" s="901"/>
      <c r="DSM331" s="901"/>
      <c r="DSN331" s="901"/>
      <c r="DSO331" s="901"/>
      <c r="DSP331" s="901"/>
      <c r="DSQ331" s="901"/>
      <c r="DSR331" s="901"/>
      <c r="DSS331" s="901"/>
      <c r="DST331" s="901"/>
      <c r="DSU331" s="901"/>
      <c r="DSV331" s="901"/>
      <c r="DSW331" s="901"/>
      <c r="DSX331" s="901"/>
      <c r="DSY331" s="901"/>
      <c r="DSZ331" s="902"/>
      <c r="DTA331" s="901"/>
      <c r="DTB331" s="901"/>
      <c r="DTC331" s="901"/>
      <c r="DTD331" s="901"/>
      <c r="DTE331" s="901"/>
      <c r="DTF331" s="901"/>
      <c r="DTG331" s="901"/>
      <c r="DTH331" s="901"/>
      <c r="DTI331" s="901"/>
      <c r="DTJ331" s="901"/>
      <c r="DTK331" s="901"/>
      <c r="DTL331" s="901"/>
      <c r="DTM331" s="901"/>
      <c r="DTN331" s="901"/>
      <c r="DTO331" s="901"/>
      <c r="DTP331" s="901"/>
      <c r="DTQ331" s="901"/>
      <c r="DTR331" s="901"/>
      <c r="DTS331" s="901"/>
      <c r="DTT331" s="901"/>
      <c r="DTU331" s="901"/>
      <c r="DTV331" s="901"/>
      <c r="DTW331" s="901"/>
      <c r="DTX331" s="901"/>
      <c r="DTY331" s="901"/>
      <c r="DTZ331" s="901"/>
      <c r="DUA331" s="901"/>
      <c r="DUB331" s="901"/>
      <c r="DUC331" s="902"/>
      <c r="DUD331" s="901"/>
      <c r="DUE331" s="901"/>
      <c r="DUF331" s="901"/>
      <c r="DUG331" s="901"/>
      <c r="DUH331" s="901"/>
      <c r="DUI331" s="901"/>
      <c r="DUJ331" s="901"/>
      <c r="DUK331" s="901"/>
      <c r="DUL331" s="901"/>
      <c r="DUM331" s="901"/>
      <c r="DUN331" s="901"/>
      <c r="DUO331" s="901"/>
      <c r="DUP331" s="901"/>
      <c r="DUQ331" s="901"/>
      <c r="DUR331" s="901"/>
      <c r="DUS331" s="901"/>
      <c r="DUT331" s="901"/>
      <c r="DUU331" s="901"/>
      <c r="DUV331" s="901"/>
      <c r="DUW331" s="901"/>
      <c r="DUX331" s="901"/>
      <c r="DUY331" s="901"/>
      <c r="DUZ331" s="901"/>
      <c r="DVA331" s="901"/>
      <c r="DVB331" s="901"/>
      <c r="DVC331" s="901"/>
      <c r="DVD331" s="901"/>
      <c r="DVE331" s="901"/>
      <c r="DVF331" s="902"/>
      <c r="DVG331" s="901"/>
      <c r="DVH331" s="901"/>
      <c r="DVI331" s="901"/>
      <c r="DVJ331" s="901"/>
      <c r="DVK331" s="901"/>
      <c r="DVL331" s="901"/>
      <c r="DVM331" s="901"/>
      <c r="DVN331" s="901"/>
      <c r="DVO331" s="901"/>
      <c r="DVP331" s="901"/>
      <c r="DVQ331" s="901"/>
      <c r="DVR331" s="901"/>
      <c r="DVS331" s="901"/>
      <c r="DVT331" s="901"/>
      <c r="DVU331" s="901"/>
      <c r="DVV331" s="901"/>
      <c r="DVW331" s="901"/>
      <c r="DVX331" s="901"/>
      <c r="DVY331" s="901"/>
      <c r="DVZ331" s="901"/>
      <c r="DWA331" s="901"/>
      <c r="DWB331" s="901"/>
      <c r="DWC331" s="901"/>
      <c r="DWD331" s="901"/>
      <c r="DWE331" s="901"/>
      <c r="DWF331" s="901"/>
      <c r="DWG331" s="901"/>
      <c r="DWH331" s="901"/>
      <c r="DWI331" s="902"/>
      <c r="DWJ331" s="901"/>
      <c r="DWK331" s="901"/>
      <c r="DWL331" s="901"/>
      <c r="DWM331" s="901"/>
      <c r="DWN331" s="901"/>
      <c r="DWO331" s="901"/>
      <c r="DWP331" s="901"/>
      <c r="DWQ331" s="901"/>
      <c r="DWR331" s="901"/>
      <c r="DWS331" s="901"/>
      <c r="DWT331" s="901"/>
      <c r="DWU331" s="901"/>
      <c r="DWV331" s="901"/>
      <c r="DWW331" s="901"/>
      <c r="DWX331" s="901"/>
      <c r="DWY331" s="901"/>
      <c r="DWZ331" s="901"/>
      <c r="DXA331" s="901"/>
      <c r="DXB331" s="901"/>
      <c r="DXC331" s="901"/>
      <c r="DXD331" s="901"/>
      <c r="DXE331" s="901"/>
      <c r="DXF331" s="901"/>
      <c r="DXG331" s="901"/>
      <c r="DXH331" s="901"/>
      <c r="DXI331" s="901"/>
      <c r="DXJ331" s="901"/>
      <c r="DXK331" s="901"/>
      <c r="DXL331" s="902"/>
      <c r="DXM331" s="901"/>
      <c r="DXN331" s="901"/>
      <c r="DXO331" s="901"/>
      <c r="DXP331" s="901"/>
      <c r="DXQ331" s="901"/>
      <c r="DXR331" s="901"/>
      <c r="DXS331" s="901"/>
      <c r="DXT331" s="901"/>
      <c r="DXU331" s="901"/>
      <c r="DXV331" s="901"/>
      <c r="DXW331" s="901"/>
      <c r="DXX331" s="901"/>
      <c r="DXY331" s="901"/>
      <c r="DXZ331" s="901"/>
      <c r="DYA331" s="901"/>
      <c r="DYB331" s="901"/>
      <c r="DYC331" s="901"/>
      <c r="DYD331" s="901"/>
      <c r="DYE331" s="901"/>
      <c r="DYF331" s="901"/>
      <c r="DYG331" s="901"/>
      <c r="DYH331" s="901"/>
      <c r="DYI331" s="901"/>
      <c r="DYJ331" s="901"/>
      <c r="DYK331" s="901"/>
      <c r="DYL331" s="901"/>
      <c r="DYM331" s="901"/>
      <c r="DYN331" s="901"/>
      <c r="DYO331" s="902"/>
      <c r="DYP331" s="901"/>
      <c r="DYQ331" s="901"/>
      <c r="DYR331" s="901"/>
      <c r="DYS331" s="901"/>
      <c r="DYT331" s="901"/>
      <c r="DYU331" s="901"/>
      <c r="DYV331" s="901"/>
      <c r="DYW331" s="901"/>
      <c r="DYX331" s="901"/>
      <c r="DYY331" s="901"/>
      <c r="DYZ331" s="901"/>
      <c r="DZA331" s="901"/>
      <c r="DZB331" s="901"/>
      <c r="DZC331" s="901"/>
      <c r="DZD331" s="901"/>
      <c r="DZE331" s="901"/>
      <c r="DZF331" s="901"/>
      <c r="DZG331" s="901"/>
      <c r="DZH331" s="901"/>
      <c r="DZI331" s="901"/>
      <c r="DZJ331" s="901"/>
      <c r="DZK331" s="901"/>
      <c r="DZL331" s="901"/>
      <c r="DZM331" s="901"/>
      <c r="DZN331" s="901"/>
      <c r="DZO331" s="901"/>
      <c r="DZP331" s="901"/>
      <c r="DZQ331" s="901"/>
      <c r="DZR331" s="902"/>
      <c r="DZS331" s="901"/>
      <c r="DZT331" s="901"/>
      <c r="DZU331" s="901"/>
      <c r="DZV331" s="901"/>
      <c r="DZW331" s="901"/>
      <c r="DZX331" s="901"/>
      <c r="DZY331" s="901"/>
      <c r="DZZ331" s="901"/>
      <c r="EAA331" s="901"/>
      <c r="EAB331" s="901"/>
      <c r="EAC331" s="901"/>
      <c r="EAD331" s="901"/>
      <c r="EAE331" s="901"/>
      <c r="EAF331" s="901"/>
      <c r="EAG331" s="901"/>
      <c r="EAH331" s="901"/>
      <c r="EAI331" s="901"/>
      <c r="EAJ331" s="901"/>
      <c r="EAK331" s="901"/>
      <c r="EAL331" s="901"/>
      <c r="EAM331" s="901"/>
      <c r="EAN331" s="901"/>
      <c r="EAO331" s="901"/>
      <c r="EAP331" s="901"/>
      <c r="EAQ331" s="901"/>
      <c r="EAR331" s="901"/>
      <c r="EAS331" s="901"/>
      <c r="EAT331" s="901"/>
      <c r="EAU331" s="902"/>
      <c r="EAV331" s="901"/>
      <c r="EAW331" s="901"/>
      <c r="EAX331" s="901"/>
      <c r="EAY331" s="901"/>
      <c r="EAZ331" s="901"/>
      <c r="EBA331" s="901"/>
      <c r="EBB331" s="901"/>
      <c r="EBC331" s="901"/>
      <c r="EBD331" s="901"/>
      <c r="EBE331" s="901"/>
      <c r="EBF331" s="901"/>
      <c r="EBG331" s="901"/>
      <c r="EBH331" s="901"/>
      <c r="EBI331" s="901"/>
      <c r="EBJ331" s="901"/>
      <c r="EBK331" s="901"/>
      <c r="EBL331" s="901"/>
      <c r="EBM331" s="901"/>
      <c r="EBN331" s="901"/>
      <c r="EBO331" s="901"/>
      <c r="EBP331" s="901"/>
      <c r="EBQ331" s="901"/>
      <c r="EBR331" s="901"/>
      <c r="EBS331" s="901"/>
      <c r="EBT331" s="901"/>
      <c r="EBU331" s="901"/>
      <c r="EBV331" s="901"/>
      <c r="EBW331" s="901"/>
      <c r="EBX331" s="902"/>
      <c r="EBY331" s="901"/>
      <c r="EBZ331" s="901"/>
      <c r="ECA331" s="901"/>
      <c r="ECB331" s="901"/>
      <c r="ECC331" s="901"/>
      <c r="ECD331" s="901"/>
      <c r="ECE331" s="901"/>
      <c r="ECF331" s="901"/>
      <c r="ECG331" s="901"/>
      <c r="ECH331" s="901"/>
      <c r="ECI331" s="901"/>
      <c r="ECJ331" s="901"/>
      <c r="ECK331" s="901"/>
      <c r="ECL331" s="901"/>
      <c r="ECM331" s="901"/>
      <c r="ECN331" s="901"/>
      <c r="ECO331" s="901"/>
      <c r="ECP331" s="901"/>
      <c r="ECQ331" s="901"/>
      <c r="ECR331" s="901"/>
      <c r="ECS331" s="901"/>
      <c r="ECT331" s="901"/>
      <c r="ECU331" s="901"/>
      <c r="ECV331" s="901"/>
      <c r="ECW331" s="901"/>
      <c r="ECX331" s="901"/>
      <c r="ECY331" s="901"/>
      <c r="ECZ331" s="901"/>
      <c r="EDA331" s="902"/>
      <c r="EDB331" s="901"/>
      <c r="EDC331" s="901"/>
      <c r="EDD331" s="901"/>
      <c r="EDE331" s="901"/>
      <c r="EDF331" s="901"/>
      <c r="EDG331" s="901"/>
      <c r="EDH331" s="901"/>
      <c r="EDI331" s="901"/>
      <c r="EDJ331" s="901"/>
      <c r="EDK331" s="901"/>
      <c r="EDL331" s="901"/>
      <c r="EDM331" s="901"/>
      <c r="EDN331" s="901"/>
      <c r="EDO331" s="901"/>
      <c r="EDP331" s="901"/>
      <c r="EDQ331" s="901"/>
      <c r="EDR331" s="901"/>
      <c r="EDS331" s="901"/>
      <c r="EDT331" s="901"/>
      <c r="EDU331" s="901"/>
      <c r="EDV331" s="901"/>
      <c r="EDW331" s="901"/>
      <c r="EDX331" s="901"/>
      <c r="EDY331" s="901"/>
      <c r="EDZ331" s="901"/>
      <c r="EEA331" s="901"/>
      <c r="EEB331" s="901"/>
      <c r="EEC331" s="901"/>
      <c r="EED331" s="902"/>
      <c r="EEE331" s="901"/>
      <c r="EEF331" s="901"/>
      <c r="EEG331" s="901"/>
      <c r="EEH331" s="901"/>
      <c r="EEI331" s="901"/>
      <c r="EEJ331" s="901"/>
      <c r="EEK331" s="901"/>
      <c r="EEL331" s="901"/>
      <c r="EEM331" s="901"/>
      <c r="EEN331" s="901"/>
      <c r="EEO331" s="901"/>
      <c r="EEP331" s="901"/>
      <c r="EEQ331" s="901"/>
      <c r="EER331" s="901"/>
      <c r="EES331" s="901"/>
      <c r="EET331" s="901"/>
      <c r="EEU331" s="901"/>
      <c r="EEV331" s="901"/>
      <c r="EEW331" s="901"/>
      <c r="EEX331" s="901"/>
      <c r="EEY331" s="901"/>
      <c r="EEZ331" s="901"/>
      <c r="EFA331" s="901"/>
      <c r="EFB331" s="901"/>
      <c r="EFC331" s="901"/>
      <c r="EFD331" s="901"/>
      <c r="EFE331" s="901"/>
      <c r="EFF331" s="901"/>
      <c r="EFG331" s="902"/>
      <c r="EFH331" s="901"/>
      <c r="EFI331" s="901"/>
      <c r="EFJ331" s="901"/>
      <c r="EFK331" s="901"/>
      <c r="EFL331" s="901"/>
      <c r="EFM331" s="901"/>
      <c r="EFN331" s="901"/>
      <c r="EFO331" s="901"/>
      <c r="EFP331" s="901"/>
      <c r="EFQ331" s="901"/>
      <c r="EFR331" s="901"/>
      <c r="EFS331" s="901"/>
      <c r="EFT331" s="901"/>
      <c r="EFU331" s="901"/>
      <c r="EFV331" s="901"/>
      <c r="EFW331" s="901"/>
      <c r="EFX331" s="901"/>
      <c r="EFY331" s="901"/>
      <c r="EFZ331" s="901"/>
      <c r="EGA331" s="901"/>
      <c r="EGB331" s="901"/>
      <c r="EGC331" s="901"/>
      <c r="EGD331" s="901"/>
      <c r="EGE331" s="901"/>
      <c r="EGF331" s="901"/>
      <c r="EGG331" s="901"/>
      <c r="EGH331" s="901"/>
      <c r="EGI331" s="901"/>
      <c r="EGJ331" s="902"/>
      <c r="EGK331" s="901"/>
      <c r="EGL331" s="901"/>
      <c r="EGM331" s="901"/>
      <c r="EGN331" s="901"/>
      <c r="EGO331" s="901"/>
      <c r="EGP331" s="901"/>
      <c r="EGQ331" s="901"/>
      <c r="EGR331" s="901"/>
      <c r="EGS331" s="901"/>
      <c r="EGT331" s="901"/>
      <c r="EGU331" s="901"/>
      <c r="EGV331" s="901"/>
      <c r="EGW331" s="901"/>
      <c r="EGX331" s="901"/>
      <c r="EGY331" s="901"/>
      <c r="EGZ331" s="901"/>
      <c r="EHA331" s="901"/>
      <c r="EHB331" s="901"/>
      <c r="EHC331" s="901"/>
      <c r="EHD331" s="901"/>
      <c r="EHE331" s="901"/>
      <c r="EHF331" s="901"/>
      <c r="EHG331" s="901"/>
      <c r="EHH331" s="901"/>
      <c r="EHI331" s="901"/>
      <c r="EHJ331" s="901"/>
      <c r="EHK331" s="901"/>
      <c r="EHL331" s="901"/>
      <c r="EHM331" s="902"/>
      <c r="EHN331" s="901"/>
      <c r="EHO331" s="901"/>
      <c r="EHP331" s="901"/>
      <c r="EHQ331" s="901"/>
      <c r="EHR331" s="901"/>
      <c r="EHS331" s="901"/>
      <c r="EHT331" s="901"/>
      <c r="EHU331" s="901"/>
      <c r="EHV331" s="901"/>
      <c r="EHW331" s="901"/>
      <c r="EHX331" s="901"/>
      <c r="EHY331" s="901"/>
      <c r="EHZ331" s="901"/>
      <c r="EIA331" s="901"/>
      <c r="EIB331" s="901"/>
      <c r="EIC331" s="901"/>
      <c r="EID331" s="901"/>
      <c r="EIE331" s="901"/>
      <c r="EIF331" s="901"/>
      <c r="EIG331" s="901"/>
      <c r="EIH331" s="901"/>
      <c r="EII331" s="901"/>
      <c r="EIJ331" s="901"/>
      <c r="EIK331" s="901"/>
      <c r="EIL331" s="901"/>
      <c r="EIM331" s="901"/>
      <c r="EIN331" s="901"/>
      <c r="EIO331" s="901"/>
      <c r="EIP331" s="902"/>
      <c r="EIQ331" s="901"/>
      <c r="EIR331" s="901"/>
      <c r="EIS331" s="901"/>
      <c r="EIT331" s="901"/>
      <c r="EIU331" s="901"/>
      <c r="EIV331" s="901"/>
      <c r="EIW331" s="901"/>
      <c r="EIX331" s="901"/>
      <c r="EIY331" s="901"/>
      <c r="EIZ331" s="901"/>
      <c r="EJA331" s="901"/>
      <c r="EJB331" s="901"/>
      <c r="EJC331" s="901"/>
      <c r="EJD331" s="901"/>
      <c r="EJE331" s="901"/>
      <c r="EJF331" s="901"/>
      <c r="EJG331" s="901"/>
      <c r="EJH331" s="901"/>
      <c r="EJI331" s="901"/>
      <c r="EJJ331" s="901"/>
      <c r="EJK331" s="901"/>
      <c r="EJL331" s="901"/>
      <c r="EJM331" s="901"/>
      <c r="EJN331" s="901"/>
      <c r="EJO331" s="901"/>
      <c r="EJP331" s="901"/>
      <c r="EJQ331" s="901"/>
      <c r="EJR331" s="901"/>
      <c r="EJS331" s="902"/>
      <c r="EJT331" s="901"/>
      <c r="EJU331" s="901"/>
      <c r="EJV331" s="901"/>
      <c r="EJW331" s="901"/>
      <c r="EJX331" s="901"/>
      <c r="EJY331" s="901"/>
      <c r="EJZ331" s="901"/>
      <c r="EKA331" s="901"/>
      <c r="EKB331" s="901"/>
      <c r="EKC331" s="901"/>
      <c r="EKD331" s="901"/>
      <c r="EKE331" s="901"/>
      <c r="EKF331" s="901"/>
      <c r="EKG331" s="901"/>
      <c r="EKH331" s="901"/>
      <c r="EKI331" s="901"/>
      <c r="EKJ331" s="901"/>
      <c r="EKK331" s="901"/>
      <c r="EKL331" s="901"/>
      <c r="EKM331" s="901"/>
      <c r="EKN331" s="901"/>
      <c r="EKO331" s="901"/>
      <c r="EKP331" s="901"/>
      <c r="EKQ331" s="901"/>
      <c r="EKR331" s="901"/>
      <c r="EKS331" s="901"/>
      <c r="EKT331" s="901"/>
      <c r="EKU331" s="901"/>
      <c r="EKV331" s="902"/>
      <c r="EKW331" s="901"/>
      <c r="EKX331" s="901"/>
      <c r="EKY331" s="901"/>
      <c r="EKZ331" s="901"/>
      <c r="ELA331" s="901"/>
      <c r="ELB331" s="901"/>
      <c r="ELC331" s="901"/>
      <c r="ELD331" s="901"/>
      <c r="ELE331" s="901"/>
      <c r="ELF331" s="901"/>
      <c r="ELG331" s="901"/>
      <c r="ELH331" s="901"/>
      <c r="ELI331" s="901"/>
      <c r="ELJ331" s="901"/>
      <c r="ELK331" s="901"/>
      <c r="ELL331" s="901"/>
      <c r="ELM331" s="901"/>
      <c r="ELN331" s="901"/>
      <c r="ELO331" s="901"/>
      <c r="ELP331" s="901"/>
      <c r="ELQ331" s="901"/>
      <c r="ELR331" s="901"/>
      <c r="ELS331" s="901"/>
      <c r="ELT331" s="901"/>
      <c r="ELU331" s="901"/>
      <c r="ELV331" s="901"/>
      <c r="ELW331" s="901"/>
      <c r="ELX331" s="901"/>
      <c r="ELY331" s="902"/>
      <c r="ELZ331" s="901"/>
      <c r="EMA331" s="901"/>
      <c r="EMB331" s="901"/>
      <c r="EMC331" s="901"/>
      <c r="EMD331" s="901"/>
      <c r="EME331" s="901"/>
      <c r="EMF331" s="901"/>
      <c r="EMG331" s="901"/>
      <c r="EMH331" s="901"/>
      <c r="EMI331" s="901"/>
      <c r="EMJ331" s="901"/>
      <c r="EMK331" s="901"/>
      <c r="EML331" s="901"/>
      <c r="EMM331" s="901"/>
      <c r="EMN331" s="901"/>
      <c r="EMO331" s="901"/>
      <c r="EMP331" s="901"/>
      <c r="EMQ331" s="901"/>
      <c r="EMR331" s="901"/>
      <c r="EMS331" s="901"/>
      <c r="EMT331" s="901"/>
      <c r="EMU331" s="901"/>
      <c r="EMV331" s="901"/>
      <c r="EMW331" s="901"/>
      <c r="EMX331" s="901"/>
      <c r="EMY331" s="901"/>
      <c r="EMZ331" s="901"/>
      <c r="ENA331" s="901"/>
      <c r="ENB331" s="902"/>
      <c r="ENC331" s="901"/>
      <c r="END331" s="901"/>
      <c r="ENE331" s="901"/>
      <c r="ENF331" s="901"/>
      <c r="ENG331" s="901"/>
      <c r="ENH331" s="901"/>
      <c r="ENI331" s="901"/>
      <c r="ENJ331" s="901"/>
      <c r="ENK331" s="901"/>
      <c r="ENL331" s="901"/>
      <c r="ENM331" s="901"/>
      <c r="ENN331" s="901"/>
      <c r="ENO331" s="901"/>
      <c r="ENP331" s="901"/>
      <c r="ENQ331" s="901"/>
      <c r="ENR331" s="901"/>
      <c r="ENS331" s="901"/>
      <c r="ENT331" s="901"/>
      <c r="ENU331" s="901"/>
      <c r="ENV331" s="901"/>
      <c r="ENW331" s="901"/>
      <c r="ENX331" s="901"/>
      <c r="ENY331" s="901"/>
      <c r="ENZ331" s="901"/>
      <c r="EOA331" s="901"/>
      <c r="EOB331" s="901"/>
      <c r="EOC331" s="901"/>
      <c r="EOD331" s="901"/>
      <c r="EOE331" s="902"/>
      <c r="EOF331" s="901"/>
      <c r="EOG331" s="901"/>
      <c r="EOH331" s="901"/>
      <c r="EOI331" s="901"/>
      <c r="EOJ331" s="901"/>
      <c r="EOK331" s="901"/>
      <c r="EOL331" s="901"/>
      <c r="EOM331" s="901"/>
      <c r="EON331" s="901"/>
      <c r="EOO331" s="901"/>
      <c r="EOP331" s="901"/>
      <c r="EOQ331" s="901"/>
      <c r="EOR331" s="901"/>
      <c r="EOS331" s="901"/>
      <c r="EOT331" s="901"/>
      <c r="EOU331" s="901"/>
      <c r="EOV331" s="901"/>
      <c r="EOW331" s="901"/>
      <c r="EOX331" s="901"/>
      <c r="EOY331" s="901"/>
      <c r="EOZ331" s="901"/>
      <c r="EPA331" s="901"/>
      <c r="EPB331" s="901"/>
      <c r="EPC331" s="901"/>
      <c r="EPD331" s="901"/>
      <c r="EPE331" s="901"/>
      <c r="EPF331" s="901"/>
      <c r="EPG331" s="901"/>
      <c r="EPH331" s="902"/>
      <c r="EPI331" s="901"/>
      <c r="EPJ331" s="901"/>
      <c r="EPK331" s="901"/>
      <c r="EPL331" s="901"/>
      <c r="EPM331" s="901"/>
      <c r="EPN331" s="901"/>
      <c r="EPO331" s="901"/>
      <c r="EPP331" s="901"/>
      <c r="EPQ331" s="901"/>
      <c r="EPR331" s="901"/>
      <c r="EPS331" s="901"/>
      <c r="EPT331" s="901"/>
      <c r="EPU331" s="901"/>
      <c r="EPV331" s="901"/>
      <c r="EPW331" s="901"/>
      <c r="EPX331" s="901"/>
      <c r="EPY331" s="901"/>
      <c r="EPZ331" s="901"/>
      <c r="EQA331" s="901"/>
      <c r="EQB331" s="901"/>
      <c r="EQC331" s="901"/>
      <c r="EQD331" s="901"/>
      <c r="EQE331" s="901"/>
      <c r="EQF331" s="901"/>
      <c r="EQG331" s="901"/>
      <c r="EQH331" s="901"/>
      <c r="EQI331" s="901"/>
      <c r="EQJ331" s="901"/>
      <c r="EQK331" s="902"/>
      <c r="EQL331" s="901"/>
      <c r="EQM331" s="901"/>
      <c r="EQN331" s="901"/>
      <c r="EQO331" s="901"/>
      <c r="EQP331" s="901"/>
      <c r="EQQ331" s="901"/>
      <c r="EQR331" s="901"/>
      <c r="EQS331" s="901"/>
      <c r="EQT331" s="901"/>
      <c r="EQU331" s="901"/>
      <c r="EQV331" s="901"/>
      <c r="EQW331" s="901"/>
      <c r="EQX331" s="901"/>
      <c r="EQY331" s="901"/>
      <c r="EQZ331" s="901"/>
      <c r="ERA331" s="901"/>
      <c r="ERB331" s="901"/>
      <c r="ERC331" s="901"/>
      <c r="ERD331" s="901"/>
      <c r="ERE331" s="901"/>
      <c r="ERF331" s="901"/>
      <c r="ERG331" s="901"/>
      <c r="ERH331" s="901"/>
      <c r="ERI331" s="901"/>
      <c r="ERJ331" s="901"/>
      <c r="ERK331" s="901"/>
      <c r="ERL331" s="901"/>
      <c r="ERM331" s="901"/>
      <c r="ERN331" s="902"/>
      <c r="ERO331" s="901"/>
      <c r="ERP331" s="901"/>
      <c r="ERQ331" s="901"/>
      <c r="ERR331" s="901"/>
      <c r="ERS331" s="901"/>
      <c r="ERT331" s="901"/>
      <c r="ERU331" s="901"/>
      <c r="ERV331" s="901"/>
      <c r="ERW331" s="901"/>
      <c r="ERX331" s="901"/>
      <c r="ERY331" s="901"/>
      <c r="ERZ331" s="901"/>
      <c r="ESA331" s="901"/>
      <c r="ESB331" s="901"/>
      <c r="ESC331" s="901"/>
      <c r="ESD331" s="901"/>
      <c r="ESE331" s="901"/>
      <c r="ESF331" s="901"/>
      <c r="ESG331" s="901"/>
      <c r="ESH331" s="901"/>
      <c r="ESI331" s="901"/>
      <c r="ESJ331" s="901"/>
      <c r="ESK331" s="901"/>
      <c r="ESL331" s="901"/>
      <c r="ESM331" s="901"/>
      <c r="ESN331" s="901"/>
      <c r="ESO331" s="901"/>
      <c r="ESP331" s="901"/>
      <c r="ESQ331" s="902"/>
      <c r="ESR331" s="901"/>
      <c r="ESS331" s="901"/>
      <c r="EST331" s="901"/>
      <c r="ESU331" s="901"/>
      <c r="ESV331" s="901"/>
      <c r="ESW331" s="901"/>
      <c r="ESX331" s="901"/>
      <c r="ESY331" s="901"/>
      <c r="ESZ331" s="901"/>
      <c r="ETA331" s="901"/>
      <c r="ETB331" s="901"/>
      <c r="ETC331" s="901"/>
      <c r="ETD331" s="901"/>
      <c r="ETE331" s="901"/>
      <c r="ETF331" s="901"/>
      <c r="ETG331" s="901"/>
      <c r="ETH331" s="901"/>
      <c r="ETI331" s="901"/>
      <c r="ETJ331" s="901"/>
      <c r="ETK331" s="901"/>
      <c r="ETL331" s="901"/>
      <c r="ETM331" s="901"/>
      <c r="ETN331" s="901"/>
      <c r="ETO331" s="901"/>
      <c r="ETP331" s="901"/>
      <c r="ETQ331" s="901"/>
      <c r="ETR331" s="901"/>
      <c r="ETS331" s="901"/>
      <c r="ETT331" s="902"/>
      <c r="ETU331" s="901"/>
      <c r="ETV331" s="901"/>
      <c r="ETW331" s="901"/>
      <c r="ETX331" s="901"/>
      <c r="ETY331" s="901"/>
      <c r="ETZ331" s="901"/>
      <c r="EUA331" s="901"/>
      <c r="EUB331" s="901"/>
      <c r="EUC331" s="901"/>
      <c r="EUD331" s="901"/>
      <c r="EUE331" s="901"/>
      <c r="EUF331" s="901"/>
      <c r="EUG331" s="901"/>
      <c r="EUH331" s="901"/>
      <c r="EUI331" s="901"/>
      <c r="EUJ331" s="901"/>
      <c r="EUK331" s="901"/>
      <c r="EUL331" s="901"/>
      <c r="EUM331" s="901"/>
      <c r="EUN331" s="901"/>
      <c r="EUO331" s="901"/>
      <c r="EUP331" s="901"/>
      <c r="EUQ331" s="901"/>
      <c r="EUR331" s="901"/>
      <c r="EUS331" s="901"/>
      <c r="EUT331" s="901"/>
      <c r="EUU331" s="901"/>
      <c r="EUV331" s="901"/>
      <c r="EUW331" s="902"/>
      <c r="EUX331" s="901"/>
      <c r="EUY331" s="901"/>
      <c r="EUZ331" s="901"/>
      <c r="EVA331" s="901"/>
      <c r="EVB331" s="901"/>
      <c r="EVC331" s="901"/>
      <c r="EVD331" s="901"/>
      <c r="EVE331" s="901"/>
      <c r="EVF331" s="901"/>
      <c r="EVG331" s="901"/>
      <c r="EVH331" s="901"/>
      <c r="EVI331" s="901"/>
      <c r="EVJ331" s="901"/>
      <c r="EVK331" s="901"/>
      <c r="EVL331" s="901"/>
      <c r="EVM331" s="901"/>
      <c r="EVN331" s="901"/>
      <c r="EVO331" s="901"/>
      <c r="EVP331" s="901"/>
      <c r="EVQ331" s="901"/>
      <c r="EVR331" s="901"/>
      <c r="EVS331" s="901"/>
      <c r="EVT331" s="901"/>
      <c r="EVU331" s="901"/>
      <c r="EVV331" s="901"/>
      <c r="EVW331" s="901"/>
      <c r="EVX331" s="901"/>
      <c r="EVY331" s="901"/>
      <c r="EVZ331" s="902"/>
      <c r="EWA331" s="901"/>
      <c r="EWB331" s="901"/>
      <c r="EWC331" s="901"/>
      <c r="EWD331" s="901"/>
      <c r="EWE331" s="901"/>
      <c r="EWF331" s="901"/>
      <c r="EWG331" s="901"/>
      <c r="EWH331" s="901"/>
      <c r="EWI331" s="901"/>
      <c r="EWJ331" s="901"/>
      <c r="EWK331" s="901"/>
      <c r="EWL331" s="901"/>
      <c r="EWM331" s="901"/>
      <c r="EWN331" s="901"/>
      <c r="EWO331" s="901"/>
      <c r="EWP331" s="901"/>
      <c r="EWQ331" s="901"/>
      <c r="EWR331" s="901"/>
      <c r="EWS331" s="901"/>
      <c r="EWT331" s="901"/>
      <c r="EWU331" s="901"/>
      <c r="EWV331" s="901"/>
      <c r="EWW331" s="901"/>
      <c r="EWX331" s="901"/>
      <c r="EWY331" s="901"/>
      <c r="EWZ331" s="901"/>
      <c r="EXA331" s="901"/>
      <c r="EXB331" s="901"/>
      <c r="EXC331" s="902"/>
      <c r="EXD331" s="901"/>
      <c r="EXE331" s="901"/>
      <c r="EXF331" s="901"/>
      <c r="EXG331" s="901"/>
      <c r="EXH331" s="901"/>
      <c r="EXI331" s="901"/>
      <c r="EXJ331" s="901"/>
      <c r="EXK331" s="901"/>
      <c r="EXL331" s="901"/>
      <c r="EXM331" s="901"/>
      <c r="EXN331" s="901"/>
      <c r="EXO331" s="901"/>
      <c r="EXP331" s="901"/>
      <c r="EXQ331" s="901"/>
      <c r="EXR331" s="901"/>
      <c r="EXS331" s="901"/>
      <c r="EXT331" s="901"/>
      <c r="EXU331" s="901"/>
      <c r="EXV331" s="901"/>
      <c r="EXW331" s="901"/>
      <c r="EXX331" s="901"/>
      <c r="EXY331" s="901"/>
      <c r="EXZ331" s="901"/>
      <c r="EYA331" s="901"/>
      <c r="EYB331" s="901"/>
      <c r="EYC331" s="901"/>
      <c r="EYD331" s="901"/>
      <c r="EYE331" s="901"/>
      <c r="EYF331" s="902"/>
      <c r="EYG331" s="901"/>
      <c r="EYH331" s="901"/>
      <c r="EYI331" s="901"/>
      <c r="EYJ331" s="901"/>
      <c r="EYK331" s="901"/>
      <c r="EYL331" s="901"/>
      <c r="EYM331" s="901"/>
      <c r="EYN331" s="901"/>
      <c r="EYO331" s="901"/>
      <c r="EYP331" s="901"/>
      <c r="EYQ331" s="901"/>
      <c r="EYR331" s="901"/>
      <c r="EYS331" s="901"/>
      <c r="EYT331" s="901"/>
      <c r="EYU331" s="901"/>
      <c r="EYV331" s="901"/>
      <c r="EYW331" s="901"/>
      <c r="EYX331" s="901"/>
      <c r="EYY331" s="901"/>
      <c r="EYZ331" s="901"/>
      <c r="EZA331" s="901"/>
      <c r="EZB331" s="901"/>
      <c r="EZC331" s="901"/>
      <c r="EZD331" s="901"/>
      <c r="EZE331" s="901"/>
      <c r="EZF331" s="901"/>
      <c r="EZG331" s="901"/>
      <c r="EZH331" s="901"/>
      <c r="EZI331" s="902"/>
      <c r="EZJ331" s="901"/>
      <c r="EZK331" s="901"/>
      <c r="EZL331" s="901"/>
      <c r="EZM331" s="901"/>
      <c r="EZN331" s="901"/>
      <c r="EZO331" s="901"/>
      <c r="EZP331" s="901"/>
      <c r="EZQ331" s="901"/>
      <c r="EZR331" s="901"/>
      <c r="EZS331" s="901"/>
      <c r="EZT331" s="901"/>
      <c r="EZU331" s="901"/>
      <c r="EZV331" s="901"/>
      <c r="EZW331" s="901"/>
      <c r="EZX331" s="901"/>
      <c r="EZY331" s="901"/>
      <c r="EZZ331" s="901"/>
      <c r="FAA331" s="901"/>
      <c r="FAB331" s="901"/>
      <c r="FAC331" s="901"/>
      <c r="FAD331" s="901"/>
      <c r="FAE331" s="901"/>
      <c r="FAF331" s="901"/>
      <c r="FAG331" s="901"/>
      <c r="FAH331" s="901"/>
      <c r="FAI331" s="901"/>
      <c r="FAJ331" s="901"/>
      <c r="FAK331" s="901"/>
      <c r="FAL331" s="902"/>
      <c r="FAM331" s="901"/>
      <c r="FAN331" s="901"/>
      <c r="FAO331" s="901"/>
      <c r="FAP331" s="901"/>
      <c r="FAQ331" s="901"/>
      <c r="FAR331" s="901"/>
      <c r="FAS331" s="901"/>
      <c r="FAT331" s="901"/>
      <c r="FAU331" s="901"/>
      <c r="FAV331" s="901"/>
      <c r="FAW331" s="901"/>
      <c r="FAX331" s="901"/>
      <c r="FAY331" s="901"/>
      <c r="FAZ331" s="901"/>
      <c r="FBA331" s="901"/>
      <c r="FBB331" s="901"/>
      <c r="FBC331" s="901"/>
      <c r="FBD331" s="901"/>
      <c r="FBE331" s="901"/>
      <c r="FBF331" s="901"/>
      <c r="FBG331" s="901"/>
      <c r="FBH331" s="901"/>
      <c r="FBI331" s="901"/>
      <c r="FBJ331" s="901"/>
      <c r="FBK331" s="901"/>
      <c r="FBL331" s="901"/>
      <c r="FBM331" s="901"/>
      <c r="FBN331" s="901"/>
      <c r="FBO331" s="902"/>
      <c r="FBP331" s="901"/>
      <c r="FBQ331" s="901"/>
      <c r="FBR331" s="901"/>
      <c r="FBS331" s="901"/>
      <c r="FBT331" s="901"/>
      <c r="FBU331" s="901"/>
      <c r="FBV331" s="901"/>
      <c r="FBW331" s="901"/>
      <c r="FBX331" s="901"/>
      <c r="FBY331" s="901"/>
      <c r="FBZ331" s="901"/>
      <c r="FCA331" s="901"/>
      <c r="FCB331" s="901"/>
      <c r="FCC331" s="901"/>
      <c r="FCD331" s="901"/>
      <c r="FCE331" s="901"/>
      <c r="FCF331" s="901"/>
      <c r="FCG331" s="901"/>
      <c r="FCH331" s="901"/>
      <c r="FCI331" s="901"/>
      <c r="FCJ331" s="901"/>
      <c r="FCK331" s="901"/>
      <c r="FCL331" s="901"/>
      <c r="FCM331" s="901"/>
      <c r="FCN331" s="901"/>
      <c r="FCO331" s="901"/>
      <c r="FCP331" s="901"/>
      <c r="FCQ331" s="901"/>
      <c r="FCR331" s="902"/>
      <c r="FCS331" s="901"/>
      <c r="FCT331" s="901"/>
      <c r="FCU331" s="901"/>
      <c r="FCV331" s="901"/>
      <c r="FCW331" s="901"/>
      <c r="FCX331" s="901"/>
      <c r="FCY331" s="901"/>
      <c r="FCZ331" s="901"/>
      <c r="FDA331" s="901"/>
      <c r="FDB331" s="901"/>
      <c r="FDC331" s="901"/>
      <c r="FDD331" s="901"/>
      <c r="FDE331" s="901"/>
      <c r="FDF331" s="901"/>
      <c r="FDG331" s="901"/>
      <c r="FDH331" s="901"/>
      <c r="FDI331" s="901"/>
      <c r="FDJ331" s="901"/>
      <c r="FDK331" s="901"/>
      <c r="FDL331" s="901"/>
      <c r="FDM331" s="901"/>
      <c r="FDN331" s="901"/>
      <c r="FDO331" s="901"/>
      <c r="FDP331" s="901"/>
      <c r="FDQ331" s="901"/>
      <c r="FDR331" s="901"/>
      <c r="FDS331" s="901"/>
      <c r="FDT331" s="901"/>
      <c r="FDU331" s="902"/>
      <c r="FDV331" s="901"/>
      <c r="FDW331" s="901"/>
      <c r="FDX331" s="901"/>
      <c r="FDY331" s="901"/>
      <c r="FDZ331" s="901"/>
      <c r="FEA331" s="901"/>
      <c r="FEB331" s="901"/>
      <c r="FEC331" s="901"/>
      <c r="FED331" s="901"/>
      <c r="FEE331" s="901"/>
      <c r="FEF331" s="901"/>
      <c r="FEG331" s="901"/>
      <c r="FEH331" s="901"/>
      <c r="FEI331" s="901"/>
      <c r="FEJ331" s="901"/>
      <c r="FEK331" s="901"/>
      <c r="FEL331" s="901"/>
      <c r="FEM331" s="901"/>
      <c r="FEN331" s="901"/>
      <c r="FEO331" s="901"/>
      <c r="FEP331" s="901"/>
      <c r="FEQ331" s="901"/>
      <c r="FER331" s="901"/>
      <c r="FES331" s="901"/>
      <c r="FET331" s="901"/>
      <c r="FEU331" s="901"/>
      <c r="FEV331" s="901"/>
      <c r="FEW331" s="901"/>
      <c r="FEX331" s="902"/>
      <c r="FEY331" s="901"/>
      <c r="FEZ331" s="901"/>
      <c r="FFA331" s="901"/>
      <c r="FFB331" s="901"/>
      <c r="FFC331" s="901"/>
      <c r="FFD331" s="901"/>
      <c r="FFE331" s="901"/>
      <c r="FFF331" s="901"/>
      <c r="FFG331" s="901"/>
      <c r="FFH331" s="901"/>
      <c r="FFI331" s="901"/>
      <c r="FFJ331" s="901"/>
      <c r="FFK331" s="901"/>
      <c r="FFL331" s="901"/>
      <c r="FFM331" s="901"/>
      <c r="FFN331" s="901"/>
      <c r="FFO331" s="901"/>
      <c r="FFP331" s="901"/>
      <c r="FFQ331" s="901"/>
      <c r="FFR331" s="901"/>
      <c r="FFS331" s="901"/>
      <c r="FFT331" s="901"/>
      <c r="FFU331" s="901"/>
      <c r="FFV331" s="901"/>
      <c r="FFW331" s="901"/>
      <c r="FFX331" s="901"/>
      <c r="FFY331" s="901"/>
      <c r="FFZ331" s="901"/>
      <c r="FGA331" s="902"/>
      <c r="FGB331" s="901"/>
      <c r="FGC331" s="901"/>
      <c r="FGD331" s="901"/>
      <c r="FGE331" s="901"/>
      <c r="FGF331" s="901"/>
      <c r="FGG331" s="901"/>
      <c r="FGH331" s="901"/>
      <c r="FGI331" s="901"/>
      <c r="FGJ331" s="901"/>
      <c r="FGK331" s="901"/>
      <c r="FGL331" s="901"/>
      <c r="FGM331" s="901"/>
      <c r="FGN331" s="901"/>
      <c r="FGO331" s="901"/>
      <c r="FGP331" s="901"/>
      <c r="FGQ331" s="901"/>
      <c r="FGR331" s="901"/>
      <c r="FGS331" s="901"/>
      <c r="FGT331" s="901"/>
      <c r="FGU331" s="901"/>
      <c r="FGV331" s="901"/>
      <c r="FGW331" s="901"/>
      <c r="FGX331" s="901"/>
      <c r="FGY331" s="901"/>
      <c r="FGZ331" s="901"/>
      <c r="FHA331" s="901"/>
      <c r="FHB331" s="901"/>
      <c r="FHC331" s="901"/>
      <c r="FHD331" s="902"/>
      <c r="FHE331" s="901"/>
      <c r="FHF331" s="901"/>
      <c r="FHG331" s="901"/>
      <c r="FHH331" s="901"/>
      <c r="FHI331" s="901"/>
      <c r="FHJ331" s="901"/>
      <c r="FHK331" s="901"/>
      <c r="FHL331" s="901"/>
      <c r="FHM331" s="901"/>
      <c r="FHN331" s="901"/>
      <c r="FHO331" s="901"/>
      <c r="FHP331" s="901"/>
      <c r="FHQ331" s="901"/>
      <c r="FHR331" s="901"/>
      <c r="FHS331" s="901"/>
      <c r="FHT331" s="901"/>
      <c r="FHU331" s="901"/>
      <c r="FHV331" s="901"/>
      <c r="FHW331" s="901"/>
      <c r="FHX331" s="901"/>
      <c r="FHY331" s="901"/>
      <c r="FHZ331" s="901"/>
      <c r="FIA331" s="901"/>
      <c r="FIB331" s="901"/>
      <c r="FIC331" s="901"/>
      <c r="FID331" s="901"/>
      <c r="FIE331" s="901"/>
      <c r="FIF331" s="901"/>
      <c r="FIG331" s="902"/>
      <c r="FIH331" s="901"/>
      <c r="FII331" s="901"/>
      <c r="FIJ331" s="901"/>
      <c r="FIK331" s="901"/>
      <c r="FIL331" s="901"/>
      <c r="FIM331" s="901"/>
      <c r="FIN331" s="901"/>
      <c r="FIO331" s="901"/>
      <c r="FIP331" s="901"/>
      <c r="FIQ331" s="901"/>
      <c r="FIR331" s="901"/>
      <c r="FIS331" s="901"/>
      <c r="FIT331" s="901"/>
      <c r="FIU331" s="901"/>
      <c r="FIV331" s="901"/>
      <c r="FIW331" s="901"/>
      <c r="FIX331" s="901"/>
      <c r="FIY331" s="901"/>
      <c r="FIZ331" s="901"/>
      <c r="FJA331" s="901"/>
      <c r="FJB331" s="901"/>
      <c r="FJC331" s="901"/>
      <c r="FJD331" s="901"/>
      <c r="FJE331" s="901"/>
      <c r="FJF331" s="901"/>
      <c r="FJG331" s="901"/>
      <c r="FJH331" s="901"/>
      <c r="FJI331" s="901"/>
      <c r="FJJ331" s="902"/>
      <c r="FJK331" s="901"/>
      <c r="FJL331" s="901"/>
      <c r="FJM331" s="901"/>
      <c r="FJN331" s="901"/>
      <c r="FJO331" s="901"/>
      <c r="FJP331" s="901"/>
      <c r="FJQ331" s="901"/>
      <c r="FJR331" s="901"/>
      <c r="FJS331" s="901"/>
      <c r="FJT331" s="901"/>
      <c r="FJU331" s="901"/>
      <c r="FJV331" s="901"/>
      <c r="FJW331" s="901"/>
      <c r="FJX331" s="901"/>
      <c r="FJY331" s="901"/>
      <c r="FJZ331" s="901"/>
      <c r="FKA331" s="901"/>
      <c r="FKB331" s="901"/>
      <c r="FKC331" s="901"/>
      <c r="FKD331" s="901"/>
      <c r="FKE331" s="901"/>
      <c r="FKF331" s="901"/>
      <c r="FKG331" s="901"/>
      <c r="FKH331" s="901"/>
      <c r="FKI331" s="901"/>
      <c r="FKJ331" s="901"/>
      <c r="FKK331" s="901"/>
      <c r="FKL331" s="901"/>
      <c r="FKM331" s="902"/>
      <c r="FKN331" s="901"/>
      <c r="FKO331" s="901"/>
      <c r="FKP331" s="901"/>
      <c r="FKQ331" s="901"/>
      <c r="FKR331" s="901"/>
      <c r="FKS331" s="901"/>
      <c r="FKT331" s="901"/>
      <c r="FKU331" s="901"/>
      <c r="FKV331" s="901"/>
      <c r="FKW331" s="901"/>
      <c r="FKX331" s="901"/>
      <c r="FKY331" s="901"/>
      <c r="FKZ331" s="901"/>
      <c r="FLA331" s="901"/>
      <c r="FLB331" s="901"/>
      <c r="FLC331" s="901"/>
      <c r="FLD331" s="901"/>
      <c r="FLE331" s="901"/>
      <c r="FLF331" s="901"/>
      <c r="FLG331" s="901"/>
      <c r="FLH331" s="901"/>
      <c r="FLI331" s="901"/>
      <c r="FLJ331" s="901"/>
      <c r="FLK331" s="901"/>
      <c r="FLL331" s="901"/>
      <c r="FLM331" s="901"/>
      <c r="FLN331" s="901"/>
      <c r="FLO331" s="901"/>
      <c r="FLP331" s="902"/>
      <c r="FLQ331" s="901"/>
      <c r="FLR331" s="901"/>
      <c r="FLS331" s="901"/>
      <c r="FLT331" s="901"/>
      <c r="FLU331" s="901"/>
      <c r="FLV331" s="901"/>
      <c r="FLW331" s="901"/>
      <c r="FLX331" s="901"/>
      <c r="FLY331" s="901"/>
      <c r="FLZ331" s="901"/>
      <c r="FMA331" s="901"/>
      <c r="FMB331" s="901"/>
      <c r="FMC331" s="901"/>
      <c r="FMD331" s="901"/>
      <c r="FME331" s="901"/>
      <c r="FMF331" s="901"/>
      <c r="FMG331" s="901"/>
      <c r="FMH331" s="901"/>
      <c r="FMI331" s="901"/>
      <c r="FMJ331" s="901"/>
      <c r="FMK331" s="901"/>
      <c r="FML331" s="901"/>
      <c r="FMM331" s="901"/>
      <c r="FMN331" s="901"/>
      <c r="FMO331" s="901"/>
      <c r="FMP331" s="901"/>
      <c r="FMQ331" s="901"/>
      <c r="FMR331" s="901"/>
      <c r="FMS331" s="902"/>
      <c r="FMT331" s="901"/>
      <c r="FMU331" s="901"/>
      <c r="FMV331" s="901"/>
      <c r="FMW331" s="901"/>
      <c r="FMX331" s="901"/>
      <c r="FMY331" s="901"/>
      <c r="FMZ331" s="901"/>
      <c r="FNA331" s="901"/>
      <c r="FNB331" s="901"/>
      <c r="FNC331" s="901"/>
      <c r="FND331" s="901"/>
      <c r="FNE331" s="901"/>
      <c r="FNF331" s="901"/>
      <c r="FNG331" s="901"/>
      <c r="FNH331" s="901"/>
      <c r="FNI331" s="901"/>
      <c r="FNJ331" s="901"/>
      <c r="FNK331" s="901"/>
      <c r="FNL331" s="901"/>
      <c r="FNM331" s="901"/>
      <c r="FNN331" s="901"/>
      <c r="FNO331" s="901"/>
      <c r="FNP331" s="901"/>
      <c r="FNQ331" s="901"/>
      <c r="FNR331" s="901"/>
      <c r="FNS331" s="901"/>
      <c r="FNT331" s="901"/>
      <c r="FNU331" s="901"/>
      <c r="FNV331" s="902"/>
      <c r="FNW331" s="901"/>
      <c r="FNX331" s="901"/>
      <c r="FNY331" s="901"/>
      <c r="FNZ331" s="901"/>
      <c r="FOA331" s="901"/>
      <c r="FOB331" s="901"/>
      <c r="FOC331" s="901"/>
      <c r="FOD331" s="901"/>
      <c r="FOE331" s="901"/>
      <c r="FOF331" s="901"/>
      <c r="FOG331" s="901"/>
      <c r="FOH331" s="901"/>
      <c r="FOI331" s="901"/>
      <c r="FOJ331" s="901"/>
      <c r="FOK331" s="901"/>
      <c r="FOL331" s="901"/>
      <c r="FOM331" s="901"/>
      <c r="FON331" s="901"/>
      <c r="FOO331" s="901"/>
      <c r="FOP331" s="901"/>
      <c r="FOQ331" s="901"/>
      <c r="FOR331" s="901"/>
      <c r="FOS331" s="901"/>
      <c r="FOT331" s="901"/>
      <c r="FOU331" s="901"/>
      <c r="FOV331" s="901"/>
      <c r="FOW331" s="901"/>
      <c r="FOX331" s="901"/>
      <c r="FOY331" s="902"/>
      <c r="FOZ331" s="901"/>
      <c r="FPA331" s="901"/>
      <c r="FPB331" s="901"/>
      <c r="FPC331" s="901"/>
      <c r="FPD331" s="901"/>
      <c r="FPE331" s="901"/>
      <c r="FPF331" s="901"/>
      <c r="FPG331" s="901"/>
      <c r="FPH331" s="901"/>
      <c r="FPI331" s="901"/>
      <c r="FPJ331" s="901"/>
      <c r="FPK331" s="901"/>
      <c r="FPL331" s="901"/>
      <c r="FPM331" s="901"/>
      <c r="FPN331" s="901"/>
      <c r="FPO331" s="901"/>
      <c r="FPP331" s="901"/>
      <c r="FPQ331" s="901"/>
      <c r="FPR331" s="901"/>
      <c r="FPS331" s="901"/>
      <c r="FPT331" s="901"/>
      <c r="FPU331" s="901"/>
      <c r="FPV331" s="901"/>
      <c r="FPW331" s="901"/>
      <c r="FPX331" s="901"/>
      <c r="FPY331" s="901"/>
      <c r="FPZ331" s="901"/>
      <c r="FQA331" s="901"/>
      <c r="FQB331" s="902"/>
      <c r="FQC331" s="901"/>
      <c r="FQD331" s="901"/>
      <c r="FQE331" s="901"/>
      <c r="FQF331" s="901"/>
      <c r="FQG331" s="901"/>
      <c r="FQH331" s="901"/>
      <c r="FQI331" s="901"/>
      <c r="FQJ331" s="901"/>
      <c r="FQK331" s="901"/>
      <c r="FQL331" s="901"/>
      <c r="FQM331" s="901"/>
      <c r="FQN331" s="901"/>
      <c r="FQO331" s="901"/>
      <c r="FQP331" s="901"/>
      <c r="FQQ331" s="901"/>
      <c r="FQR331" s="901"/>
      <c r="FQS331" s="901"/>
      <c r="FQT331" s="901"/>
      <c r="FQU331" s="901"/>
      <c r="FQV331" s="901"/>
      <c r="FQW331" s="901"/>
      <c r="FQX331" s="901"/>
      <c r="FQY331" s="901"/>
      <c r="FQZ331" s="901"/>
      <c r="FRA331" s="901"/>
      <c r="FRB331" s="901"/>
      <c r="FRC331" s="901"/>
      <c r="FRD331" s="901"/>
      <c r="FRE331" s="902"/>
      <c r="FRF331" s="901"/>
      <c r="FRG331" s="901"/>
      <c r="FRH331" s="901"/>
      <c r="FRI331" s="901"/>
      <c r="FRJ331" s="901"/>
      <c r="FRK331" s="901"/>
      <c r="FRL331" s="901"/>
      <c r="FRM331" s="901"/>
      <c r="FRN331" s="901"/>
      <c r="FRO331" s="901"/>
      <c r="FRP331" s="901"/>
      <c r="FRQ331" s="901"/>
      <c r="FRR331" s="901"/>
      <c r="FRS331" s="901"/>
      <c r="FRT331" s="901"/>
      <c r="FRU331" s="901"/>
      <c r="FRV331" s="901"/>
      <c r="FRW331" s="901"/>
      <c r="FRX331" s="901"/>
      <c r="FRY331" s="901"/>
      <c r="FRZ331" s="901"/>
      <c r="FSA331" s="901"/>
      <c r="FSB331" s="901"/>
      <c r="FSC331" s="901"/>
      <c r="FSD331" s="901"/>
      <c r="FSE331" s="901"/>
      <c r="FSF331" s="901"/>
      <c r="FSG331" s="901"/>
      <c r="FSH331" s="902"/>
      <c r="FSI331" s="901"/>
      <c r="FSJ331" s="901"/>
      <c r="FSK331" s="901"/>
      <c r="FSL331" s="901"/>
      <c r="FSM331" s="901"/>
      <c r="FSN331" s="901"/>
      <c r="FSO331" s="901"/>
      <c r="FSP331" s="901"/>
      <c r="FSQ331" s="901"/>
      <c r="FSR331" s="901"/>
      <c r="FSS331" s="901"/>
      <c r="FST331" s="901"/>
      <c r="FSU331" s="901"/>
      <c r="FSV331" s="901"/>
      <c r="FSW331" s="901"/>
      <c r="FSX331" s="901"/>
      <c r="FSY331" s="901"/>
      <c r="FSZ331" s="901"/>
      <c r="FTA331" s="901"/>
      <c r="FTB331" s="901"/>
      <c r="FTC331" s="901"/>
      <c r="FTD331" s="901"/>
      <c r="FTE331" s="901"/>
      <c r="FTF331" s="901"/>
      <c r="FTG331" s="901"/>
      <c r="FTH331" s="901"/>
      <c r="FTI331" s="901"/>
      <c r="FTJ331" s="901"/>
      <c r="FTK331" s="902"/>
      <c r="FTL331" s="901"/>
      <c r="FTM331" s="901"/>
      <c r="FTN331" s="901"/>
      <c r="FTO331" s="901"/>
      <c r="FTP331" s="901"/>
      <c r="FTQ331" s="901"/>
      <c r="FTR331" s="901"/>
      <c r="FTS331" s="901"/>
      <c r="FTT331" s="901"/>
      <c r="FTU331" s="901"/>
      <c r="FTV331" s="901"/>
      <c r="FTW331" s="901"/>
      <c r="FTX331" s="901"/>
      <c r="FTY331" s="901"/>
      <c r="FTZ331" s="901"/>
      <c r="FUA331" s="901"/>
      <c r="FUB331" s="901"/>
      <c r="FUC331" s="901"/>
      <c r="FUD331" s="901"/>
      <c r="FUE331" s="901"/>
      <c r="FUF331" s="901"/>
      <c r="FUG331" s="901"/>
      <c r="FUH331" s="901"/>
      <c r="FUI331" s="901"/>
      <c r="FUJ331" s="901"/>
      <c r="FUK331" s="901"/>
      <c r="FUL331" s="901"/>
      <c r="FUM331" s="901"/>
      <c r="FUN331" s="902"/>
      <c r="FUO331" s="901"/>
      <c r="FUP331" s="901"/>
      <c r="FUQ331" s="901"/>
      <c r="FUR331" s="901"/>
      <c r="FUS331" s="901"/>
      <c r="FUT331" s="901"/>
      <c r="FUU331" s="901"/>
      <c r="FUV331" s="901"/>
      <c r="FUW331" s="901"/>
      <c r="FUX331" s="901"/>
      <c r="FUY331" s="901"/>
      <c r="FUZ331" s="901"/>
      <c r="FVA331" s="901"/>
      <c r="FVB331" s="901"/>
      <c r="FVC331" s="901"/>
      <c r="FVD331" s="901"/>
      <c r="FVE331" s="901"/>
      <c r="FVF331" s="901"/>
      <c r="FVG331" s="901"/>
      <c r="FVH331" s="901"/>
      <c r="FVI331" s="901"/>
      <c r="FVJ331" s="901"/>
      <c r="FVK331" s="901"/>
      <c r="FVL331" s="901"/>
      <c r="FVM331" s="901"/>
      <c r="FVN331" s="901"/>
      <c r="FVO331" s="901"/>
      <c r="FVP331" s="901"/>
      <c r="FVQ331" s="902"/>
      <c r="FVR331" s="901"/>
      <c r="FVS331" s="901"/>
      <c r="FVT331" s="901"/>
      <c r="FVU331" s="901"/>
      <c r="FVV331" s="901"/>
      <c r="FVW331" s="901"/>
      <c r="FVX331" s="901"/>
      <c r="FVY331" s="901"/>
      <c r="FVZ331" s="901"/>
      <c r="FWA331" s="901"/>
      <c r="FWB331" s="901"/>
      <c r="FWC331" s="901"/>
      <c r="FWD331" s="901"/>
      <c r="FWE331" s="901"/>
      <c r="FWF331" s="901"/>
      <c r="FWG331" s="901"/>
      <c r="FWH331" s="901"/>
      <c r="FWI331" s="901"/>
      <c r="FWJ331" s="901"/>
      <c r="FWK331" s="901"/>
      <c r="FWL331" s="901"/>
      <c r="FWM331" s="901"/>
      <c r="FWN331" s="901"/>
      <c r="FWO331" s="901"/>
      <c r="FWP331" s="901"/>
      <c r="FWQ331" s="901"/>
      <c r="FWR331" s="901"/>
      <c r="FWS331" s="901"/>
      <c r="FWT331" s="902"/>
      <c r="FWU331" s="901"/>
      <c r="FWV331" s="901"/>
      <c r="FWW331" s="901"/>
      <c r="FWX331" s="901"/>
      <c r="FWY331" s="901"/>
      <c r="FWZ331" s="901"/>
      <c r="FXA331" s="901"/>
      <c r="FXB331" s="901"/>
      <c r="FXC331" s="901"/>
      <c r="FXD331" s="901"/>
      <c r="FXE331" s="901"/>
      <c r="FXF331" s="901"/>
      <c r="FXG331" s="901"/>
      <c r="FXH331" s="901"/>
      <c r="FXI331" s="901"/>
      <c r="FXJ331" s="901"/>
      <c r="FXK331" s="901"/>
      <c r="FXL331" s="901"/>
      <c r="FXM331" s="901"/>
      <c r="FXN331" s="901"/>
      <c r="FXO331" s="901"/>
      <c r="FXP331" s="901"/>
      <c r="FXQ331" s="901"/>
      <c r="FXR331" s="901"/>
      <c r="FXS331" s="901"/>
      <c r="FXT331" s="901"/>
      <c r="FXU331" s="901"/>
      <c r="FXV331" s="901"/>
      <c r="FXW331" s="902"/>
      <c r="FXX331" s="901"/>
      <c r="FXY331" s="901"/>
      <c r="FXZ331" s="901"/>
      <c r="FYA331" s="901"/>
      <c r="FYB331" s="901"/>
      <c r="FYC331" s="901"/>
      <c r="FYD331" s="901"/>
      <c r="FYE331" s="901"/>
      <c r="FYF331" s="901"/>
      <c r="FYG331" s="901"/>
      <c r="FYH331" s="901"/>
      <c r="FYI331" s="901"/>
      <c r="FYJ331" s="901"/>
      <c r="FYK331" s="901"/>
      <c r="FYL331" s="901"/>
      <c r="FYM331" s="901"/>
      <c r="FYN331" s="901"/>
      <c r="FYO331" s="901"/>
      <c r="FYP331" s="901"/>
      <c r="FYQ331" s="901"/>
      <c r="FYR331" s="901"/>
      <c r="FYS331" s="901"/>
      <c r="FYT331" s="901"/>
      <c r="FYU331" s="901"/>
      <c r="FYV331" s="901"/>
      <c r="FYW331" s="901"/>
      <c r="FYX331" s="901"/>
      <c r="FYY331" s="901"/>
      <c r="FYZ331" s="902"/>
      <c r="FZA331" s="901"/>
      <c r="FZB331" s="901"/>
      <c r="FZC331" s="901"/>
      <c r="FZD331" s="901"/>
      <c r="FZE331" s="901"/>
      <c r="FZF331" s="901"/>
      <c r="FZG331" s="901"/>
      <c r="FZH331" s="901"/>
      <c r="FZI331" s="901"/>
      <c r="FZJ331" s="901"/>
      <c r="FZK331" s="901"/>
      <c r="FZL331" s="901"/>
      <c r="FZM331" s="901"/>
      <c r="FZN331" s="901"/>
      <c r="FZO331" s="901"/>
      <c r="FZP331" s="901"/>
      <c r="FZQ331" s="901"/>
      <c r="FZR331" s="901"/>
      <c r="FZS331" s="901"/>
      <c r="FZT331" s="901"/>
      <c r="FZU331" s="901"/>
      <c r="FZV331" s="901"/>
      <c r="FZW331" s="901"/>
      <c r="FZX331" s="901"/>
      <c r="FZY331" s="901"/>
      <c r="FZZ331" s="901"/>
      <c r="GAA331" s="901"/>
      <c r="GAB331" s="901"/>
      <c r="GAC331" s="902"/>
      <c r="GAD331" s="901"/>
      <c r="GAE331" s="901"/>
      <c r="GAF331" s="901"/>
      <c r="GAG331" s="901"/>
      <c r="GAH331" s="901"/>
      <c r="GAI331" s="901"/>
      <c r="GAJ331" s="901"/>
      <c r="GAK331" s="901"/>
      <c r="GAL331" s="901"/>
      <c r="GAM331" s="901"/>
      <c r="GAN331" s="901"/>
      <c r="GAO331" s="901"/>
      <c r="GAP331" s="901"/>
      <c r="GAQ331" s="901"/>
      <c r="GAR331" s="901"/>
      <c r="GAS331" s="901"/>
      <c r="GAT331" s="901"/>
      <c r="GAU331" s="901"/>
      <c r="GAV331" s="901"/>
      <c r="GAW331" s="901"/>
      <c r="GAX331" s="901"/>
      <c r="GAY331" s="901"/>
      <c r="GAZ331" s="901"/>
      <c r="GBA331" s="901"/>
      <c r="GBB331" s="901"/>
      <c r="GBC331" s="901"/>
      <c r="GBD331" s="901"/>
      <c r="GBE331" s="901"/>
      <c r="GBF331" s="902"/>
      <c r="GBG331" s="901"/>
      <c r="GBH331" s="901"/>
      <c r="GBI331" s="901"/>
      <c r="GBJ331" s="901"/>
      <c r="GBK331" s="901"/>
      <c r="GBL331" s="901"/>
      <c r="GBM331" s="901"/>
      <c r="GBN331" s="901"/>
      <c r="GBO331" s="901"/>
      <c r="GBP331" s="901"/>
      <c r="GBQ331" s="901"/>
      <c r="GBR331" s="901"/>
      <c r="GBS331" s="901"/>
      <c r="GBT331" s="901"/>
      <c r="GBU331" s="901"/>
      <c r="GBV331" s="901"/>
      <c r="GBW331" s="901"/>
      <c r="GBX331" s="901"/>
      <c r="GBY331" s="901"/>
      <c r="GBZ331" s="901"/>
      <c r="GCA331" s="901"/>
      <c r="GCB331" s="901"/>
      <c r="GCC331" s="901"/>
      <c r="GCD331" s="901"/>
      <c r="GCE331" s="901"/>
      <c r="GCF331" s="901"/>
      <c r="GCG331" s="901"/>
      <c r="GCH331" s="901"/>
      <c r="GCI331" s="902"/>
      <c r="GCJ331" s="901"/>
      <c r="GCK331" s="901"/>
      <c r="GCL331" s="901"/>
      <c r="GCM331" s="901"/>
      <c r="GCN331" s="901"/>
      <c r="GCO331" s="901"/>
      <c r="GCP331" s="901"/>
      <c r="GCQ331" s="901"/>
      <c r="GCR331" s="901"/>
      <c r="GCS331" s="901"/>
      <c r="GCT331" s="901"/>
      <c r="GCU331" s="901"/>
      <c r="GCV331" s="901"/>
      <c r="GCW331" s="901"/>
      <c r="GCX331" s="901"/>
      <c r="GCY331" s="901"/>
      <c r="GCZ331" s="901"/>
      <c r="GDA331" s="901"/>
      <c r="GDB331" s="901"/>
      <c r="GDC331" s="901"/>
      <c r="GDD331" s="901"/>
      <c r="GDE331" s="901"/>
      <c r="GDF331" s="901"/>
      <c r="GDG331" s="901"/>
      <c r="GDH331" s="901"/>
      <c r="GDI331" s="901"/>
      <c r="GDJ331" s="901"/>
      <c r="GDK331" s="901"/>
      <c r="GDL331" s="902"/>
      <c r="GDM331" s="901"/>
      <c r="GDN331" s="901"/>
      <c r="GDO331" s="901"/>
      <c r="GDP331" s="901"/>
      <c r="GDQ331" s="901"/>
      <c r="GDR331" s="901"/>
      <c r="GDS331" s="901"/>
      <c r="GDT331" s="901"/>
      <c r="GDU331" s="901"/>
      <c r="GDV331" s="901"/>
      <c r="GDW331" s="901"/>
      <c r="GDX331" s="901"/>
      <c r="GDY331" s="901"/>
      <c r="GDZ331" s="901"/>
      <c r="GEA331" s="901"/>
      <c r="GEB331" s="901"/>
      <c r="GEC331" s="901"/>
      <c r="GED331" s="901"/>
      <c r="GEE331" s="901"/>
      <c r="GEF331" s="901"/>
      <c r="GEG331" s="901"/>
      <c r="GEH331" s="901"/>
      <c r="GEI331" s="901"/>
      <c r="GEJ331" s="901"/>
      <c r="GEK331" s="901"/>
      <c r="GEL331" s="901"/>
      <c r="GEM331" s="901"/>
      <c r="GEN331" s="901"/>
      <c r="GEO331" s="902"/>
      <c r="GEP331" s="901"/>
      <c r="GEQ331" s="901"/>
      <c r="GER331" s="901"/>
      <c r="GES331" s="901"/>
      <c r="GET331" s="901"/>
      <c r="GEU331" s="901"/>
      <c r="GEV331" s="901"/>
      <c r="GEW331" s="901"/>
      <c r="GEX331" s="901"/>
      <c r="GEY331" s="901"/>
      <c r="GEZ331" s="901"/>
      <c r="GFA331" s="901"/>
      <c r="GFB331" s="901"/>
      <c r="GFC331" s="901"/>
      <c r="GFD331" s="901"/>
      <c r="GFE331" s="901"/>
      <c r="GFF331" s="901"/>
      <c r="GFG331" s="901"/>
      <c r="GFH331" s="901"/>
      <c r="GFI331" s="901"/>
      <c r="GFJ331" s="901"/>
      <c r="GFK331" s="901"/>
      <c r="GFL331" s="901"/>
      <c r="GFM331" s="901"/>
      <c r="GFN331" s="901"/>
      <c r="GFO331" s="901"/>
      <c r="GFP331" s="901"/>
      <c r="GFQ331" s="901"/>
      <c r="GFR331" s="902"/>
      <c r="GFS331" s="901"/>
      <c r="GFT331" s="901"/>
      <c r="GFU331" s="901"/>
      <c r="GFV331" s="901"/>
      <c r="GFW331" s="901"/>
      <c r="GFX331" s="901"/>
      <c r="GFY331" s="901"/>
      <c r="GFZ331" s="901"/>
      <c r="GGA331" s="901"/>
      <c r="GGB331" s="901"/>
      <c r="GGC331" s="901"/>
      <c r="GGD331" s="901"/>
      <c r="GGE331" s="901"/>
      <c r="GGF331" s="901"/>
      <c r="GGG331" s="901"/>
      <c r="GGH331" s="901"/>
      <c r="GGI331" s="901"/>
      <c r="GGJ331" s="901"/>
      <c r="GGK331" s="901"/>
      <c r="GGL331" s="901"/>
      <c r="GGM331" s="901"/>
      <c r="GGN331" s="901"/>
      <c r="GGO331" s="901"/>
      <c r="GGP331" s="901"/>
      <c r="GGQ331" s="901"/>
      <c r="GGR331" s="901"/>
      <c r="GGS331" s="901"/>
      <c r="GGT331" s="901"/>
      <c r="GGU331" s="902"/>
      <c r="GGV331" s="901"/>
      <c r="GGW331" s="901"/>
      <c r="GGX331" s="901"/>
      <c r="GGY331" s="901"/>
      <c r="GGZ331" s="901"/>
      <c r="GHA331" s="901"/>
      <c r="GHB331" s="901"/>
      <c r="GHC331" s="901"/>
      <c r="GHD331" s="901"/>
      <c r="GHE331" s="901"/>
      <c r="GHF331" s="901"/>
      <c r="GHG331" s="901"/>
      <c r="GHH331" s="901"/>
      <c r="GHI331" s="901"/>
      <c r="GHJ331" s="901"/>
      <c r="GHK331" s="901"/>
      <c r="GHL331" s="901"/>
      <c r="GHM331" s="901"/>
      <c r="GHN331" s="901"/>
      <c r="GHO331" s="901"/>
      <c r="GHP331" s="901"/>
      <c r="GHQ331" s="901"/>
      <c r="GHR331" s="901"/>
      <c r="GHS331" s="901"/>
      <c r="GHT331" s="901"/>
      <c r="GHU331" s="901"/>
      <c r="GHV331" s="901"/>
      <c r="GHW331" s="901"/>
      <c r="GHX331" s="902"/>
      <c r="GHY331" s="901"/>
      <c r="GHZ331" s="901"/>
      <c r="GIA331" s="901"/>
      <c r="GIB331" s="901"/>
      <c r="GIC331" s="901"/>
      <c r="GID331" s="901"/>
      <c r="GIE331" s="901"/>
      <c r="GIF331" s="901"/>
      <c r="GIG331" s="901"/>
      <c r="GIH331" s="901"/>
      <c r="GII331" s="901"/>
      <c r="GIJ331" s="901"/>
      <c r="GIK331" s="901"/>
      <c r="GIL331" s="901"/>
      <c r="GIM331" s="901"/>
      <c r="GIN331" s="901"/>
      <c r="GIO331" s="901"/>
      <c r="GIP331" s="901"/>
      <c r="GIQ331" s="901"/>
      <c r="GIR331" s="901"/>
      <c r="GIS331" s="901"/>
      <c r="GIT331" s="901"/>
      <c r="GIU331" s="901"/>
      <c r="GIV331" s="901"/>
      <c r="GIW331" s="901"/>
      <c r="GIX331" s="901"/>
      <c r="GIY331" s="901"/>
      <c r="GIZ331" s="901"/>
      <c r="GJA331" s="902"/>
      <c r="GJB331" s="901"/>
      <c r="GJC331" s="901"/>
      <c r="GJD331" s="901"/>
      <c r="GJE331" s="901"/>
      <c r="GJF331" s="901"/>
      <c r="GJG331" s="901"/>
      <c r="GJH331" s="901"/>
      <c r="GJI331" s="901"/>
      <c r="GJJ331" s="901"/>
      <c r="GJK331" s="901"/>
      <c r="GJL331" s="901"/>
      <c r="GJM331" s="901"/>
      <c r="GJN331" s="901"/>
      <c r="GJO331" s="901"/>
      <c r="GJP331" s="901"/>
      <c r="GJQ331" s="901"/>
      <c r="GJR331" s="901"/>
      <c r="GJS331" s="901"/>
      <c r="GJT331" s="901"/>
      <c r="GJU331" s="901"/>
      <c r="GJV331" s="901"/>
      <c r="GJW331" s="901"/>
      <c r="GJX331" s="901"/>
      <c r="GJY331" s="901"/>
      <c r="GJZ331" s="901"/>
      <c r="GKA331" s="901"/>
      <c r="GKB331" s="901"/>
      <c r="GKC331" s="901"/>
      <c r="GKD331" s="902"/>
      <c r="GKE331" s="901"/>
      <c r="GKF331" s="901"/>
      <c r="GKG331" s="901"/>
      <c r="GKH331" s="901"/>
      <c r="GKI331" s="901"/>
      <c r="GKJ331" s="901"/>
      <c r="GKK331" s="901"/>
      <c r="GKL331" s="901"/>
      <c r="GKM331" s="901"/>
      <c r="GKN331" s="901"/>
      <c r="GKO331" s="901"/>
      <c r="GKP331" s="901"/>
      <c r="GKQ331" s="901"/>
      <c r="GKR331" s="901"/>
      <c r="GKS331" s="901"/>
      <c r="GKT331" s="901"/>
      <c r="GKU331" s="901"/>
      <c r="GKV331" s="901"/>
      <c r="GKW331" s="901"/>
      <c r="GKX331" s="901"/>
      <c r="GKY331" s="901"/>
      <c r="GKZ331" s="901"/>
      <c r="GLA331" s="901"/>
      <c r="GLB331" s="901"/>
      <c r="GLC331" s="901"/>
      <c r="GLD331" s="901"/>
      <c r="GLE331" s="901"/>
      <c r="GLF331" s="901"/>
      <c r="GLG331" s="902"/>
      <c r="GLH331" s="901"/>
      <c r="GLI331" s="901"/>
      <c r="GLJ331" s="901"/>
      <c r="GLK331" s="901"/>
      <c r="GLL331" s="901"/>
      <c r="GLM331" s="901"/>
      <c r="GLN331" s="901"/>
      <c r="GLO331" s="901"/>
      <c r="GLP331" s="901"/>
      <c r="GLQ331" s="901"/>
      <c r="GLR331" s="901"/>
      <c r="GLS331" s="901"/>
      <c r="GLT331" s="901"/>
      <c r="GLU331" s="901"/>
      <c r="GLV331" s="901"/>
      <c r="GLW331" s="901"/>
      <c r="GLX331" s="901"/>
      <c r="GLY331" s="901"/>
      <c r="GLZ331" s="901"/>
      <c r="GMA331" s="901"/>
      <c r="GMB331" s="901"/>
      <c r="GMC331" s="901"/>
      <c r="GMD331" s="901"/>
      <c r="GME331" s="901"/>
      <c r="GMF331" s="901"/>
      <c r="GMG331" s="901"/>
      <c r="GMH331" s="901"/>
      <c r="GMI331" s="901"/>
      <c r="GMJ331" s="902"/>
      <c r="GMK331" s="901"/>
      <c r="GML331" s="901"/>
      <c r="GMM331" s="901"/>
      <c r="GMN331" s="901"/>
      <c r="GMO331" s="901"/>
      <c r="GMP331" s="901"/>
      <c r="GMQ331" s="901"/>
      <c r="GMR331" s="901"/>
      <c r="GMS331" s="901"/>
      <c r="GMT331" s="901"/>
      <c r="GMU331" s="901"/>
      <c r="GMV331" s="901"/>
      <c r="GMW331" s="901"/>
      <c r="GMX331" s="901"/>
      <c r="GMY331" s="901"/>
      <c r="GMZ331" s="901"/>
      <c r="GNA331" s="901"/>
      <c r="GNB331" s="901"/>
      <c r="GNC331" s="901"/>
      <c r="GND331" s="901"/>
      <c r="GNE331" s="901"/>
      <c r="GNF331" s="901"/>
      <c r="GNG331" s="901"/>
      <c r="GNH331" s="901"/>
      <c r="GNI331" s="901"/>
      <c r="GNJ331" s="901"/>
      <c r="GNK331" s="901"/>
      <c r="GNL331" s="901"/>
      <c r="GNM331" s="902"/>
      <c r="GNN331" s="901"/>
      <c r="GNO331" s="901"/>
      <c r="GNP331" s="901"/>
      <c r="GNQ331" s="901"/>
      <c r="GNR331" s="901"/>
      <c r="GNS331" s="901"/>
      <c r="GNT331" s="901"/>
      <c r="GNU331" s="901"/>
      <c r="GNV331" s="901"/>
      <c r="GNW331" s="901"/>
      <c r="GNX331" s="901"/>
      <c r="GNY331" s="901"/>
      <c r="GNZ331" s="901"/>
      <c r="GOA331" s="901"/>
      <c r="GOB331" s="901"/>
      <c r="GOC331" s="901"/>
      <c r="GOD331" s="901"/>
      <c r="GOE331" s="901"/>
      <c r="GOF331" s="901"/>
      <c r="GOG331" s="901"/>
      <c r="GOH331" s="901"/>
      <c r="GOI331" s="901"/>
      <c r="GOJ331" s="901"/>
      <c r="GOK331" s="901"/>
      <c r="GOL331" s="901"/>
      <c r="GOM331" s="901"/>
      <c r="GON331" s="901"/>
      <c r="GOO331" s="901"/>
      <c r="GOP331" s="902"/>
      <c r="GOQ331" s="901"/>
      <c r="GOR331" s="901"/>
      <c r="GOS331" s="901"/>
      <c r="GOT331" s="901"/>
      <c r="GOU331" s="901"/>
      <c r="GOV331" s="901"/>
      <c r="GOW331" s="901"/>
      <c r="GOX331" s="901"/>
      <c r="GOY331" s="901"/>
      <c r="GOZ331" s="901"/>
      <c r="GPA331" s="901"/>
      <c r="GPB331" s="901"/>
      <c r="GPC331" s="901"/>
      <c r="GPD331" s="901"/>
      <c r="GPE331" s="901"/>
      <c r="GPF331" s="901"/>
      <c r="GPG331" s="901"/>
      <c r="GPH331" s="901"/>
      <c r="GPI331" s="901"/>
      <c r="GPJ331" s="901"/>
      <c r="GPK331" s="901"/>
      <c r="GPL331" s="901"/>
      <c r="GPM331" s="901"/>
      <c r="GPN331" s="901"/>
      <c r="GPO331" s="901"/>
      <c r="GPP331" s="901"/>
      <c r="GPQ331" s="901"/>
      <c r="GPR331" s="901"/>
      <c r="GPS331" s="902"/>
      <c r="GPT331" s="901"/>
      <c r="GPU331" s="901"/>
      <c r="GPV331" s="901"/>
      <c r="GPW331" s="901"/>
      <c r="GPX331" s="901"/>
      <c r="GPY331" s="901"/>
      <c r="GPZ331" s="901"/>
      <c r="GQA331" s="901"/>
      <c r="GQB331" s="901"/>
      <c r="GQC331" s="901"/>
      <c r="GQD331" s="901"/>
      <c r="GQE331" s="901"/>
      <c r="GQF331" s="901"/>
      <c r="GQG331" s="901"/>
      <c r="GQH331" s="901"/>
      <c r="GQI331" s="901"/>
      <c r="GQJ331" s="901"/>
      <c r="GQK331" s="901"/>
      <c r="GQL331" s="901"/>
      <c r="GQM331" s="901"/>
      <c r="GQN331" s="901"/>
      <c r="GQO331" s="901"/>
      <c r="GQP331" s="901"/>
      <c r="GQQ331" s="901"/>
      <c r="GQR331" s="901"/>
      <c r="GQS331" s="901"/>
      <c r="GQT331" s="901"/>
      <c r="GQU331" s="901"/>
      <c r="GQV331" s="902"/>
      <c r="GQW331" s="901"/>
      <c r="GQX331" s="901"/>
      <c r="GQY331" s="901"/>
      <c r="GQZ331" s="901"/>
      <c r="GRA331" s="901"/>
      <c r="GRB331" s="901"/>
      <c r="GRC331" s="901"/>
      <c r="GRD331" s="901"/>
      <c r="GRE331" s="901"/>
      <c r="GRF331" s="901"/>
      <c r="GRG331" s="901"/>
      <c r="GRH331" s="901"/>
      <c r="GRI331" s="901"/>
      <c r="GRJ331" s="901"/>
      <c r="GRK331" s="901"/>
      <c r="GRL331" s="901"/>
      <c r="GRM331" s="901"/>
      <c r="GRN331" s="901"/>
      <c r="GRO331" s="901"/>
      <c r="GRP331" s="901"/>
      <c r="GRQ331" s="901"/>
      <c r="GRR331" s="901"/>
      <c r="GRS331" s="901"/>
      <c r="GRT331" s="901"/>
      <c r="GRU331" s="901"/>
      <c r="GRV331" s="901"/>
      <c r="GRW331" s="901"/>
      <c r="GRX331" s="901"/>
      <c r="GRY331" s="902"/>
      <c r="GRZ331" s="901"/>
      <c r="GSA331" s="901"/>
      <c r="GSB331" s="901"/>
      <c r="GSC331" s="901"/>
      <c r="GSD331" s="901"/>
      <c r="GSE331" s="901"/>
      <c r="GSF331" s="901"/>
      <c r="GSG331" s="901"/>
      <c r="GSH331" s="901"/>
      <c r="GSI331" s="901"/>
      <c r="GSJ331" s="901"/>
      <c r="GSK331" s="901"/>
      <c r="GSL331" s="901"/>
      <c r="GSM331" s="901"/>
      <c r="GSN331" s="901"/>
      <c r="GSO331" s="901"/>
      <c r="GSP331" s="901"/>
      <c r="GSQ331" s="901"/>
      <c r="GSR331" s="901"/>
      <c r="GSS331" s="901"/>
      <c r="GST331" s="901"/>
      <c r="GSU331" s="901"/>
      <c r="GSV331" s="901"/>
      <c r="GSW331" s="901"/>
      <c r="GSX331" s="901"/>
      <c r="GSY331" s="901"/>
      <c r="GSZ331" s="901"/>
      <c r="GTA331" s="901"/>
      <c r="GTB331" s="902"/>
      <c r="GTC331" s="901"/>
      <c r="GTD331" s="901"/>
      <c r="GTE331" s="901"/>
      <c r="GTF331" s="901"/>
      <c r="GTG331" s="901"/>
      <c r="GTH331" s="901"/>
      <c r="GTI331" s="901"/>
      <c r="GTJ331" s="901"/>
      <c r="GTK331" s="901"/>
      <c r="GTL331" s="901"/>
      <c r="GTM331" s="901"/>
      <c r="GTN331" s="901"/>
      <c r="GTO331" s="901"/>
      <c r="GTP331" s="901"/>
      <c r="GTQ331" s="901"/>
      <c r="GTR331" s="901"/>
      <c r="GTS331" s="901"/>
      <c r="GTT331" s="901"/>
      <c r="GTU331" s="901"/>
      <c r="GTV331" s="901"/>
      <c r="GTW331" s="901"/>
      <c r="GTX331" s="901"/>
      <c r="GTY331" s="901"/>
      <c r="GTZ331" s="901"/>
      <c r="GUA331" s="901"/>
      <c r="GUB331" s="901"/>
      <c r="GUC331" s="901"/>
      <c r="GUD331" s="901"/>
      <c r="GUE331" s="902"/>
      <c r="GUF331" s="901"/>
      <c r="GUG331" s="901"/>
      <c r="GUH331" s="901"/>
      <c r="GUI331" s="901"/>
      <c r="GUJ331" s="901"/>
      <c r="GUK331" s="901"/>
      <c r="GUL331" s="901"/>
      <c r="GUM331" s="901"/>
      <c r="GUN331" s="901"/>
      <c r="GUO331" s="901"/>
      <c r="GUP331" s="901"/>
      <c r="GUQ331" s="901"/>
      <c r="GUR331" s="901"/>
      <c r="GUS331" s="901"/>
      <c r="GUT331" s="901"/>
      <c r="GUU331" s="901"/>
      <c r="GUV331" s="901"/>
      <c r="GUW331" s="901"/>
      <c r="GUX331" s="901"/>
      <c r="GUY331" s="901"/>
      <c r="GUZ331" s="901"/>
      <c r="GVA331" s="901"/>
      <c r="GVB331" s="901"/>
      <c r="GVC331" s="901"/>
      <c r="GVD331" s="901"/>
      <c r="GVE331" s="901"/>
      <c r="GVF331" s="901"/>
      <c r="GVG331" s="901"/>
      <c r="GVH331" s="902"/>
      <c r="GVI331" s="901"/>
      <c r="GVJ331" s="901"/>
      <c r="GVK331" s="901"/>
      <c r="GVL331" s="901"/>
      <c r="GVM331" s="901"/>
      <c r="GVN331" s="901"/>
      <c r="GVO331" s="901"/>
      <c r="GVP331" s="901"/>
      <c r="GVQ331" s="901"/>
      <c r="GVR331" s="901"/>
      <c r="GVS331" s="901"/>
      <c r="GVT331" s="901"/>
      <c r="GVU331" s="901"/>
      <c r="GVV331" s="901"/>
      <c r="GVW331" s="901"/>
      <c r="GVX331" s="901"/>
      <c r="GVY331" s="901"/>
      <c r="GVZ331" s="901"/>
      <c r="GWA331" s="901"/>
      <c r="GWB331" s="901"/>
      <c r="GWC331" s="901"/>
      <c r="GWD331" s="901"/>
      <c r="GWE331" s="901"/>
      <c r="GWF331" s="901"/>
      <c r="GWG331" s="901"/>
      <c r="GWH331" s="901"/>
      <c r="GWI331" s="901"/>
      <c r="GWJ331" s="901"/>
      <c r="GWK331" s="902"/>
      <c r="GWL331" s="901"/>
      <c r="GWM331" s="901"/>
      <c r="GWN331" s="901"/>
      <c r="GWO331" s="901"/>
      <c r="GWP331" s="901"/>
      <c r="GWQ331" s="901"/>
      <c r="GWR331" s="901"/>
      <c r="GWS331" s="901"/>
      <c r="GWT331" s="901"/>
      <c r="GWU331" s="901"/>
      <c r="GWV331" s="901"/>
      <c r="GWW331" s="901"/>
      <c r="GWX331" s="901"/>
      <c r="GWY331" s="901"/>
      <c r="GWZ331" s="901"/>
      <c r="GXA331" s="901"/>
      <c r="GXB331" s="901"/>
      <c r="GXC331" s="901"/>
      <c r="GXD331" s="901"/>
      <c r="GXE331" s="901"/>
      <c r="GXF331" s="901"/>
      <c r="GXG331" s="901"/>
      <c r="GXH331" s="901"/>
      <c r="GXI331" s="901"/>
      <c r="GXJ331" s="901"/>
      <c r="GXK331" s="901"/>
      <c r="GXL331" s="901"/>
      <c r="GXM331" s="901"/>
      <c r="GXN331" s="902"/>
      <c r="GXO331" s="901"/>
      <c r="GXP331" s="901"/>
      <c r="GXQ331" s="901"/>
      <c r="GXR331" s="901"/>
      <c r="GXS331" s="901"/>
      <c r="GXT331" s="901"/>
      <c r="GXU331" s="901"/>
      <c r="GXV331" s="901"/>
      <c r="GXW331" s="901"/>
      <c r="GXX331" s="901"/>
      <c r="GXY331" s="901"/>
      <c r="GXZ331" s="901"/>
      <c r="GYA331" s="901"/>
      <c r="GYB331" s="901"/>
      <c r="GYC331" s="901"/>
      <c r="GYD331" s="901"/>
      <c r="GYE331" s="901"/>
      <c r="GYF331" s="901"/>
      <c r="GYG331" s="901"/>
      <c r="GYH331" s="901"/>
      <c r="GYI331" s="901"/>
      <c r="GYJ331" s="901"/>
      <c r="GYK331" s="901"/>
      <c r="GYL331" s="901"/>
      <c r="GYM331" s="901"/>
      <c r="GYN331" s="901"/>
      <c r="GYO331" s="901"/>
      <c r="GYP331" s="901"/>
      <c r="GYQ331" s="902"/>
      <c r="GYR331" s="901"/>
      <c r="GYS331" s="901"/>
      <c r="GYT331" s="901"/>
      <c r="GYU331" s="901"/>
      <c r="GYV331" s="901"/>
      <c r="GYW331" s="901"/>
      <c r="GYX331" s="901"/>
      <c r="GYY331" s="901"/>
      <c r="GYZ331" s="901"/>
      <c r="GZA331" s="901"/>
      <c r="GZB331" s="901"/>
      <c r="GZC331" s="901"/>
      <c r="GZD331" s="901"/>
      <c r="GZE331" s="901"/>
      <c r="GZF331" s="901"/>
      <c r="GZG331" s="901"/>
      <c r="GZH331" s="901"/>
      <c r="GZI331" s="901"/>
      <c r="GZJ331" s="901"/>
      <c r="GZK331" s="901"/>
      <c r="GZL331" s="901"/>
      <c r="GZM331" s="901"/>
      <c r="GZN331" s="901"/>
      <c r="GZO331" s="901"/>
      <c r="GZP331" s="901"/>
      <c r="GZQ331" s="901"/>
      <c r="GZR331" s="901"/>
      <c r="GZS331" s="901"/>
      <c r="GZT331" s="902"/>
      <c r="GZU331" s="901"/>
      <c r="GZV331" s="901"/>
      <c r="GZW331" s="901"/>
      <c r="GZX331" s="901"/>
      <c r="GZY331" s="901"/>
      <c r="GZZ331" s="901"/>
      <c r="HAA331" s="901"/>
      <c r="HAB331" s="901"/>
      <c r="HAC331" s="901"/>
      <c r="HAD331" s="901"/>
      <c r="HAE331" s="901"/>
      <c r="HAF331" s="901"/>
      <c r="HAG331" s="901"/>
      <c r="HAH331" s="901"/>
      <c r="HAI331" s="901"/>
      <c r="HAJ331" s="901"/>
      <c r="HAK331" s="901"/>
      <c r="HAL331" s="901"/>
      <c r="HAM331" s="901"/>
      <c r="HAN331" s="901"/>
      <c r="HAO331" s="901"/>
      <c r="HAP331" s="901"/>
      <c r="HAQ331" s="901"/>
      <c r="HAR331" s="901"/>
      <c r="HAS331" s="901"/>
      <c r="HAT331" s="901"/>
      <c r="HAU331" s="901"/>
      <c r="HAV331" s="901"/>
      <c r="HAW331" s="902"/>
      <c r="HAX331" s="901"/>
      <c r="HAY331" s="901"/>
      <c r="HAZ331" s="901"/>
      <c r="HBA331" s="901"/>
      <c r="HBB331" s="901"/>
      <c r="HBC331" s="901"/>
      <c r="HBD331" s="901"/>
      <c r="HBE331" s="901"/>
      <c r="HBF331" s="901"/>
      <c r="HBG331" s="901"/>
      <c r="HBH331" s="901"/>
      <c r="HBI331" s="901"/>
      <c r="HBJ331" s="901"/>
      <c r="HBK331" s="901"/>
      <c r="HBL331" s="901"/>
      <c r="HBM331" s="901"/>
      <c r="HBN331" s="901"/>
      <c r="HBO331" s="901"/>
      <c r="HBP331" s="901"/>
      <c r="HBQ331" s="901"/>
      <c r="HBR331" s="901"/>
      <c r="HBS331" s="901"/>
      <c r="HBT331" s="901"/>
      <c r="HBU331" s="901"/>
      <c r="HBV331" s="901"/>
      <c r="HBW331" s="901"/>
      <c r="HBX331" s="901"/>
      <c r="HBY331" s="901"/>
      <c r="HBZ331" s="902"/>
      <c r="HCA331" s="901"/>
      <c r="HCB331" s="901"/>
      <c r="HCC331" s="901"/>
      <c r="HCD331" s="901"/>
      <c r="HCE331" s="901"/>
      <c r="HCF331" s="901"/>
      <c r="HCG331" s="901"/>
      <c r="HCH331" s="901"/>
      <c r="HCI331" s="901"/>
      <c r="HCJ331" s="901"/>
      <c r="HCK331" s="901"/>
      <c r="HCL331" s="901"/>
      <c r="HCM331" s="901"/>
      <c r="HCN331" s="901"/>
      <c r="HCO331" s="901"/>
      <c r="HCP331" s="901"/>
      <c r="HCQ331" s="901"/>
      <c r="HCR331" s="901"/>
      <c r="HCS331" s="901"/>
      <c r="HCT331" s="901"/>
      <c r="HCU331" s="901"/>
      <c r="HCV331" s="901"/>
      <c r="HCW331" s="901"/>
      <c r="HCX331" s="901"/>
      <c r="HCY331" s="901"/>
      <c r="HCZ331" s="901"/>
      <c r="HDA331" s="901"/>
      <c r="HDB331" s="901"/>
      <c r="HDC331" s="902"/>
      <c r="HDD331" s="901"/>
      <c r="HDE331" s="901"/>
      <c r="HDF331" s="901"/>
      <c r="HDG331" s="901"/>
      <c r="HDH331" s="901"/>
      <c r="HDI331" s="901"/>
      <c r="HDJ331" s="901"/>
      <c r="HDK331" s="901"/>
      <c r="HDL331" s="901"/>
      <c r="HDM331" s="901"/>
      <c r="HDN331" s="901"/>
      <c r="HDO331" s="901"/>
      <c r="HDP331" s="901"/>
      <c r="HDQ331" s="901"/>
      <c r="HDR331" s="901"/>
      <c r="HDS331" s="901"/>
      <c r="HDT331" s="901"/>
      <c r="HDU331" s="901"/>
      <c r="HDV331" s="901"/>
      <c r="HDW331" s="901"/>
      <c r="HDX331" s="901"/>
      <c r="HDY331" s="901"/>
      <c r="HDZ331" s="901"/>
      <c r="HEA331" s="901"/>
      <c r="HEB331" s="901"/>
      <c r="HEC331" s="901"/>
      <c r="HED331" s="901"/>
      <c r="HEE331" s="901"/>
      <c r="HEF331" s="902"/>
      <c r="HEG331" s="901"/>
      <c r="HEH331" s="901"/>
      <c r="HEI331" s="901"/>
      <c r="HEJ331" s="901"/>
      <c r="HEK331" s="901"/>
      <c r="HEL331" s="901"/>
      <c r="HEM331" s="901"/>
      <c r="HEN331" s="901"/>
      <c r="HEO331" s="901"/>
      <c r="HEP331" s="901"/>
      <c r="HEQ331" s="901"/>
      <c r="HER331" s="901"/>
      <c r="HES331" s="901"/>
      <c r="HET331" s="901"/>
      <c r="HEU331" s="901"/>
      <c r="HEV331" s="901"/>
      <c r="HEW331" s="901"/>
      <c r="HEX331" s="901"/>
      <c r="HEY331" s="901"/>
      <c r="HEZ331" s="901"/>
      <c r="HFA331" s="901"/>
      <c r="HFB331" s="901"/>
      <c r="HFC331" s="901"/>
      <c r="HFD331" s="901"/>
      <c r="HFE331" s="901"/>
      <c r="HFF331" s="901"/>
      <c r="HFG331" s="901"/>
      <c r="HFH331" s="901"/>
      <c r="HFI331" s="902"/>
      <c r="HFJ331" s="901"/>
      <c r="HFK331" s="901"/>
      <c r="HFL331" s="901"/>
      <c r="HFM331" s="901"/>
      <c r="HFN331" s="901"/>
      <c r="HFO331" s="901"/>
      <c r="HFP331" s="901"/>
      <c r="HFQ331" s="901"/>
      <c r="HFR331" s="901"/>
      <c r="HFS331" s="901"/>
      <c r="HFT331" s="901"/>
      <c r="HFU331" s="901"/>
      <c r="HFV331" s="901"/>
      <c r="HFW331" s="901"/>
      <c r="HFX331" s="901"/>
      <c r="HFY331" s="901"/>
      <c r="HFZ331" s="901"/>
      <c r="HGA331" s="901"/>
      <c r="HGB331" s="901"/>
      <c r="HGC331" s="901"/>
      <c r="HGD331" s="901"/>
      <c r="HGE331" s="901"/>
      <c r="HGF331" s="901"/>
      <c r="HGG331" s="901"/>
      <c r="HGH331" s="901"/>
      <c r="HGI331" s="901"/>
      <c r="HGJ331" s="901"/>
      <c r="HGK331" s="901"/>
      <c r="HGL331" s="902"/>
      <c r="HGM331" s="901"/>
      <c r="HGN331" s="901"/>
      <c r="HGO331" s="901"/>
      <c r="HGP331" s="901"/>
      <c r="HGQ331" s="901"/>
      <c r="HGR331" s="901"/>
      <c r="HGS331" s="901"/>
      <c r="HGT331" s="901"/>
      <c r="HGU331" s="901"/>
      <c r="HGV331" s="901"/>
      <c r="HGW331" s="901"/>
      <c r="HGX331" s="901"/>
      <c r="HGY331" s="901"/>
      <c r="HGZ331" s="901"/>
      <c r="HHA331" s="901"/>
      <c r="HHB331" s="901"/>
      <c r="HHC331" s="901"/>
      <c r="HHD331" s="901"/>
      <c r="HHE331" s="901"/>
      <c r="HHF331" s="901"/>
      <c r="HHG331" s="901"/>
      <c r="HHH331" s="901"/>
      <c r="HHI331" s="901"/>
      <c r="HHJ331" s="901"/>
      <c r="HHK331" s="901"/>
      <c r="HHL331" s="901"/>
      <c r="HHM331" s="901"/>
      <c r="HHN331" s="901"/>
      <c r="HHO331" s="902"/>
      <c r="HHP331" s="901"/>
      <c r="HHQ331" s="901"/>
      <c r="HHR331" s="901"/>
      <c r="HHS331" s="901"/>
      <c r="HHT331" s="901"/>
      <c r="HHU331" s="901"/>
      <c r="HHV331" s="901"/>
      <c r="HHW331" s="901"/>
      <c r="HHX331" s="901"/>
      <c r="HHY331" s="901"/>
      <c r="HHZ331" s="901"/>
      <c r="HIA331" s="901"/>
      <c r="HIB331" s="901"/>
      <c r="HIC331" s="901"/>
      <c r="HID331" s="901"/>
      <c r="HIE331" s="901"/>
      <c r="HIF331" s="901"/>
      <c r="HIG331" s="901"/>
      <c r="HIH331" s="901"/>
      <c r="HII331" s="901"/>
      <c r="HIJ331" s="901"/>
      <c r="HIK331" s="901"/>
      <c r="HIL331" s="901"/>
      <c r="HIM331" s="901"/>
      <c r="HIN331" s="901"/>
      <c r="HIO331" s="901"/>
      <c r="HIP331" s="901"/>
      <c r="HIQ331" s="901"/>
      <c r="HIR331" s="902"/>
      <c r="HIS331" s="901"/>
      <c r="HIT331" s="901"/>
      <c r="HIU331" s="901"/>
      <c r="HIV331" s="901"/>
      <c r="HIW331" s="901"/>
      <c r="HIX331" s="901"/>
      <c r="HIY331" s="901"/>
      <c r="HIZ331" s="901"/>
      <c r="HJA331" s="901"/>
      <c r="HJB331" s="901"/>
      <c r="HJC331" s="901"/>
      <c r="HJD331" s="901"/>
      <c r="HJE331" s="901"/>
      <c r="HJF331" s="901"/>
      <c r="HJG331" s="901"/>
      <c r="HJH331" s="901"/>
      <c r="HJI331" s="901"/>
      <c r="HJJ331" s="901"/>
      <c r="HJK331" s="901"/>
      <c r="HJL331" s="901"/>
      <c r="HJM331" s="901"/>
      <c r="HJN331" s="901"/>
      <c r="HJO331" s="901"/>
      <c r="HJP331" s="901"/>
      <c r="HJQ331" s="901"/>
      <c r="HJR331" s="901"/>
      <c r="HJS331" s="901"/>
      <c r="HJT331" s="901"/>
      <c r="HJU331" s="902"/>
      <c r="HJV331" s="901"/>
      <c r="HJW331" s="901"/>
      <c r="HJX331" s="901"/>
      <c r="HJY331" s="901"/>
      <c r="HJZ331" s="901"/>
      <c r="HKA331" s="901"/>
      <c r="HKB331" s="901"/>
      <c r="HKC331" s="901"/>
      <c r="HKD331" s="901"/>
      <c r="HKE331" s="901"/>
      <c r="HKF331" s="901"/>
      <c r="HKG331" s="901"/>
      <c r="HKH331" s="901"/>
      <c r="HKI331" s="901"/>
      <c r="HKJ331" s="901"/>
      <c r="HKK331" s="901"/>
      <c r="HKL331" s="901"/>
      <c r="HKM331" s="901"/>
      <c r="HKN331" s="901"/>
      <c r="HKO331" s="901"/>
      <c r="HKP331" s="901"/>
      <c r="HKQ331" s="901"/>
      <c r="HKR331" s="901"/>
      <c r="HKS331" s="901"/>
      <c r="HKT331" s="901"/>
      <c r="HKU331" s="901"/>
      <c r="HKV331" s="901"/>
      <c r="HKW331" s="901"/>
      <c r="HKX331" s="902"/>
      <c r="HKY331" s="901"/>
      <c r="HKZ331" s="901"/>
      <c r="HLA331" s="901"/>
      <c r="HLB331" s="901"/>
      <c r="HLC331" s="901"/>
      <c r="HLD331" s="901"/>
      <c r="HLE331" s="901"/>
      <c r="HLF331" s="901"/>
      <c r="HLG331" s="901"/>
      <c r="HLH331" s="901"/>
      <c r="HLI331" s="901"/>
      <c r="HLJ331" s="901"/>
      <c r="HLK331" s="901"/>
      <c r="HLL331" s="901"/>
      <c r="HLM331" s="901"/>
      <c r="HLN331" s="901"/>
      <c r="HLO331" s="901"/>
      <c r="HLP331" s="901"/>
      <c r="HLQ331" s="901"/>
      <c r="HLR331" s="901"/>
      <c r="HLS331" s="901"/>
      <c r="HLT331" s="901"/>
      <c r="HLU331" s="901"/>
      <c r="HLV331" s="901"/>
      <c r="HLW331" s="901"/>
      <c r="HLX331" s="901"/>
      <c r="HLY331" s="901"/>
      <c r="HLZ331" s="901"/>
      <c r="HMA331" s="902"/>
      <c r="HMB331" s="901"/>
      <c r="HMC331" s="901"/>
      <c r="HMD331" s="901"/>
      <c r="HME331" s="901"/>
      <c r="HMF331" s="901"/>
      <c r="HMG331" s="901"/>
      <c r="HMH331" s="901"/>
      <c r="HMI331" s="901"/>
      <c r="HMJ331" s="901"/>
      <c r="HMK331" s="901"/>
      <c r="HML331" s="901"/>
      <c r="HMM331" s="901"/>
      <c r="HMN331" s="901"/>
      <c r="HMO331" s="901"/>
      <c r="HMP331" s="901"/>
      <c r="HMQ331" s="901"/>
      <c r="HMR331" s="901"/>
      <c r="HMS331" s="901"/>
      <c r="HMT331" s="901"/>
      <c r="HMU331" s="901"/>
      <c r="HMV331" s="901"/>
      <c r="HMW331" s="901"/>
      <c r="HMX331" s="901"/>
      <c r="HMY331" s="901"/>
      <c r="HMZ331" s="901"/>
      <c r="HNA331" s="901"/>
      <c r="HNB331" s="901"/>
      <c r="HNC331" s="901"/>
      <c r="HND331" s="902"/>
      <c r="HNE331" s="901"/>
      <c r="HNF331" s="901"/>
      <c r="HNG331" s="901"/>
      <c r="HNH331" s="901"/>
      <c r="HNI331" s="901"/>
      <c r="HNJ331" s="901"/>
      <c r="HNK331" s="901"/>
      <c r="HNL331" s="901"/>
      <c r="HNM331" s="901"/>
      <c r="HNN331" s="901"/>
      <c r="HNO331" s="901"/>
      <c r="HNP331" s="901"/>
      <c r="HNQ331" s="901"/>
      <c r="HNR331" s="901"/>
      <c r="HNS331" s="901"/>
      <c r="HNT331" s="901"/>
      <c r="HNU331" s="901"/>
      <c r="HNV331" s="901"/>
      <c r="HNW331" s="901"/>
      <c r="HNX331" s="901"/>
      <c r="HNY331" s="901"/>
      <c r="HNZ331" s="901"/>
      <c r="HOA331" s="901"/>
      <c r="HOB331" s="901"/>
      <c r="HOC331" s="901"/>
      <c r="HOD331" s="901"/>
      <c r="HOE331" s="901"/>
      <c r="HOF331" s="901"/>
      <c r="HOG331" s="902"/>
      <c r="HOH331" s="901"/>
      <c r="HOI331" s="901"/>
      <c r="HOJ331" s="901"/>
      <c r="HOK331" s="901"/>
      <c r="HOL331" s="901"/>
      <c r="HOM331" s="901"/>
      <c r="HON331" s="901"/>
      <c r="HOO331" s="901"/>
      <c r="HOP331" s="901"/>
      <c r="HOQ331" s="901"/>
      <c r="HOR331" s="901"/>
      <c r="HOS331" s="901"/>
      <c r="HOT331" s="901"/>
      <c r="HOU331" s="901"/>
      <c r="HOV331" s="901"/>
      <c r="HOW331" s="901"/>
      <c r="HOX331" s="901"/>
      <c r="HOY331" s="901"/>
      <c r="HOZ331" s="901"/>
      <c r="HPA331" s="901"/>
      <c r="HPB331" s="901"/>
      <c r="HPC331" s="901"/>
      <c r="HPD331" s="901"/>
      <c r="HPE331" s="901"/>
      <c r="HPF331" s="901"/>
      <c r="HPG331" s="901"/>
      <c r="HPH331" s="901"/>
      <c r="HPI331" s="901"/>
      <c r="HPJ331" s="902"/>
      <c r="HPK331" s="901"/>
      <c r="HPL331" s="901"/>
      <c r="HPM331" s="901"/>
      <c r="HPN331" s="901"/>
      <c r="HPO331" s="901"/>
      <c r="HPP331" s="901"/>
      <c r="HPQ331" s="901"/>
      <c r="HPR331" s="901"/>
      <c r="HPS331" s="901"/>
      <c r="HPT331" s="901"/>
      <c r="HPU331" s="901"/>
      <c r="HPV331" s="901"/>
      <c r="HPW331" s="901"/>
      <c r="HPX331" s="901"/>
      <c r="HPY331" s="901"/>
      <c r="HPZ331" s="901"/>
      <c r="HQA331" s="901"/>
      <c r="HQB331" s="901"/>
      <c r="HQC331" s="901"/>
      <c r="HQD331" s="901"/>
      <c r="HQE331" s="901"/>
      <c r="HQF331" s="901"/>
      <c r="HQG331" s="901"/>
      <c r="HQH331" s="901"/>
      <c r="HQI331" s="901"/>
      <c r="HQJ331" s="901"/>
      <c r="HQK331" s="901"/>
      <c r="HQL331" s="901"/>
      <c r="HQM331" s="902"/>
      <c r="HQN331" s="901"/>
      <c r="HQO331" s="901"/>
      <c r="HQP331" s="901"/>
      <c r="HQQ331" s="901"/>
      <c r="HQR331" s="901"/>
      <c r="HQS331" s="901"/>
      <c r="HQT331" s="901"/>
      <c r="HQU331" s="901"/>
      <c r="HQV331" s="901"/>
      <c r="HQW331" s="901"/>
      <c r="HQX331" s="901"/>
      <c r="HQY331" s="901"/>
      <c r="HQZ331" s="901"/>
      <c r="HRA331" s="901"/>
      <c r="HRB331" s="901"/>
      <c r="HRC331" s="901"/>
      <c r="HRD331" s="901"/>
      <c r="HRE331" s="901"/>
      <c r="HRF331" s="901"/>
      <c r="HRG331" s="901"/>
      <c r="HRH331" s="901"/>
      <c r="HRI331" s="901"/>
      <c r="HRJ331" s="901"/>
      <c r="HRK331" s="901"/>
      <c r="HRL331" s="901"/>
      <c r="HRM331" s="901"/>
      <c r="HRN331" s="901"/>
      <c r="HRO331" s="901"/>
      <c r="HRP331" s="902"/>
      <c r="HRQ331" s="901"/>
      <c r="HRR331" s="901"/>
      <c r="HRS331" s="901"/>
      <c r="HRT331" s="901"/>
      <c r="HRU331" s="901"/>
      <c r="HRV331" s="901"/>
      <c r="HRW331" s="901"/>
      <c r="HRX331" s="901"/>
      <c r="HRY331" s="901"/>
      <c r="HRZ331" s="901"/>
      <c r="HSA331" s="901"/>
      <c r="HSB331" s="901"/>
      <c r="HSC331" s="901"/>
      <c r="HSD331" s="901"/>
      <c r="HSE331" s="901"/>
      <c r="HSF331" s="901"/>
      <c r="HSG331" s="901"/>
      <c r="HSH331" s="901"/>
      <c r="HSI331" s="901"/>
      <c r="HSJ331" s="901"/>
      <c r="HSK331" s="901"/>
      <c r="HSL331" s="901"/>
      <c r="HSM331" s="901"/>
      <c r="HSN331" s="901"/>
      <c r="HSO331" s="901"/>
      <c r="HSP331" s="901"/>
      <c r="HSQ331" s="901"/>
      <c r="HSR331" s="901"/>
      <c r="HSS331" s="902"/>
      <c r="HST331" s="901"/>
      <c r="HSU331" s="901"/>
      <c r="HSV331" s="901"/>
      <c r="HSW331" s="901"/>
      <c r="HSX331" s="901"/>
      <c r="HSY331" s="901"/>
      <c r="HSZ331" s="901"/>
      <c r="HTA331" s="901"/>
      <c r="HTB331" s="901"/>
      <c r="HTC331" s="901"/>
      <c r="HTD331" s="901"/>
      <c r="HTE331" s="901"/>
      <c r="HTF331" s="901"/>
      <c r="HTG331" s="901"/>
      <c r="HTH331" s="901"/>
      <c r="HTI331" s="901"/>
      <c r="HTJ331" s="901"/>
      <c r="HTK331" s="901"/>
      <c r="HTL331" s="901"/>
      <c r="HTM331" s="901"/>
      <c r="HTN331" s="901"/>
      <c r="HTO331" s="901"/>
      <c r="HTP331" s="901"/>
      <c r="HTQ331" s="901"/>
      <c r="HTR331" s="901"/>
      <c r="HTS331" s="901"/>
      <c r="HTT331" s="901"/>
      <c r="HTU331" s="901"/>
      <c r="HTV331" s="902"/>
      <c r="HTW331" s="901"/>
      <c r="HTX331" s="901"/>
      <c r="HTY331" s="901"/>
      <c r="HTZ331" s="901"/>
      <c r="HUA331" s="901"/>
      <c r="HUB331" s="901"/>
      <c r="HUC331" s="901"/>
      <c r="HUD331" s="901"/>
      <c r="HUE331" s="901"/>
      <c r="HUF331" s="901"/>
      <c r="HUG331" s="901"/>
      <c r="HUH331" s="901"/>
      <c r="HUI331" s="901"/>
      <c r="HUJ331" s="901"/>
      <c r="HUK331" s="901"/>
      <c r="HUL331" s="901"/>
      <c r="HUM331" s="901"/>
      <c r="HUN331" s="901"/>
      <c r="HUO331" s="901"/>
      <c r="HUP331" s="901"/>
      <c r="HUQ331" s="901"/>
      <c r="HUR331" s="901"/>
      <c r="HUS331" s="901"/>
      <c r="HUT331" s="901"/>
      <c r="HUU331" s="901"/>
      <c r="HUV331" s="901"/>
      <c r="HUW331" s="901"/>
      <c r="HUX331" s="901"/>
      <c r="HUY331" s="902"/>
      <c r="HUZ331" s="901"/>
      <c r="HVA331" s="901"/>
      <c r="HVB331" s="901"/>
      <c r="HVC331" s="901"/>
      <c r="HVD331" s="901"/>
      <c r="HVE331" s="901"/>
      <c r="HVF331" s="901"/>
      <c r="HVG331" s="901"/>
      <c r="HVH331" s="901"/>
      <c r="HVI331" s="901"/>
      <c r="HVJ331" s="901"/>
      <c r="HVK331" s="901"/>
      <c r="HVL331" s="901"/>
      <c r="HVM331" s="901"/>
      <c r="HVN331" s="901"/>
      <c r="HVO331" s="901"/>
      <c r="HVP331" s="901"/>
      <c r="HVQ331" s="901"/>
      <c r="HVR331" s="901"/>
      <c r="HVS331" s="901"/>
      <c r="HVT331" s="901"/>
      <c r="HVU331" s="901"/>
      <c r="HVV331" s="901"/>
      <c r="HVW331" s="901"/>
      <c r="HVX331" s="901"/>
      <c r="HVY331" s="901"/>
      <c r="HVZ331" s="901"/>
      <c r="HWA331" s="901"/>
      <c r="HWB331" s="902"/>
      <c r="HWC331" s="901"/>
      <c r="HWD331" s="901"/>
      <c r="HWE331" s="901"/>
      <c r="HWF331" s="901"/>
      <c r="HWG331" s="901"/>
      <c r="HWH331" s="901"/>
      <c r="HWI331" s="901"/>
      <c r="HWJ331" s="901"/>
      <c r="HWK331" s="901"/>
      <c r="HWL331" s="901"/>
      <c r="HWM331" s="901"/>
      <c r="HWN331" s="901"/>
      <c r="HWO331" s="901"/>
      <c r="HWP331" s="901"/>
      <c r="HWQ331" s="901"/>
      <c r="HWR331" s="901"/>
      <c r="HWS331" s="901"/>
      <c r="HWT331" s="901"/>
      <c r="HWU331" s="901"/>
      <c r="HWV331" s="901"/>
      <c r="HWW331" s="901"/>
      <c r="HWX331" s="901"/>
      <c r="HWY331" s="901"/>
      <c r="HWZ331" s="901"/>
      <c r="HXA331" s="901"/>
      <c r="HXB331" s="901"/>
      <c r="HXC331" s="901"/>
      <c r="HXD331" s="901"/>
      <c r="HXE331" s="902"/>
      <c r="HXF331" s="901"/>
      <c r="HXG331" s="901"/>
      <c r="HXH331" s="901"/>
      <c r="HXI331" s="901"/>
      <c r="HXJ331" s="901"/>
      <c r="HXK331" s="901"/>
      <c r="HXL331" s="901"/>
      <c r="HXM331" s="901"/>
      <c r="HXN331" s="901"/>
      <c r="HXO331" s="901"/>
      <c r="HXP331" s="901"/>
      <c r="HXQ331" s="901"/>
      <c r="HXR331" s="901"/>
      <c r="HXS331" s="901"/>
      <c r="HXT331" s="901"/>
      <c r="HXU331" s="901"/>
      <c r="HXV331" s="901"/>
      <c r="HXW331" s="901"/>
      <c r="HXX331" s="901"/>
      <c r="HXY331" s="901"/>
      <c r="HXZ331" s="901"/>
      <c r="HYA331" s="901"/>
      <c r="HYB331" s="901"/>
      <c r="HYC331" s="901"/>
      <c r="HYD331" s="901"/>
      <c r="HYE331" s="901"/>
      <c r="HYF331" s="901"/>
      <c r="HYG331" s="901"/>
      <c r="HYH331" s="902"/>
      <c r="HYI331" s="901"/>
      <c r="HYJ331" s="901"/>
      <c r="HYK331" s="901"/>
      <c r="HYL331" s="901"/>
      <c r="HYM331" s="901"/>
      <c r="HYN331" s="901"/>
      <c r="HYO331" s="901"/>
      <c r="HYP331" s="901"/>
      <c r="HYQ331" s="901"/>
      <c r="HYR331" s="901"/>
      <c r="HYS331" s="901"/>
      <c r="HYT331" s="901"/>
      <c r="HYU331" s="901"/>
      <c r="HYV331" s="901"/>
      <c r="HYW331" s="901"/>
      <c r="HYX331" s="901"/>
      <c r="HYY331" s="901"/>
      <c r="HYZ331" s="901"/>
      <c r="HZA331" s="901"/>
      <c r="HZB331" s="901"/>
      <c r="HZC331" s="901"/>
      <c r="HZD331" s="901"/>
      <c r="HZE331" s="901"/>
      <c r="HZF331" s="901"/>
      <c r="HZG331" s="901"/>
      <c r="HZH331" s="901"/>
      <c r="HZI331" s="901"/>
      <c r="HZJ331" s="901"/>
      <c r="HZK331" s="902"/>
      <c r="HZL331" s="901"/>
      <c r="HZM331" s="901"/>
      <c r="HZN331" s="901"/>
      <c r="HZO331" s="901"/>
      <c r="HZP331" s="901"/>
      <c r="HZQ331" s="901"/>
      <c r="HZR331" s="901"/>
      <c r="HZS331" s="901"/>
      <c r="HZT331" s="901"/>
      <c r="HZU331" s="901"/>
      <c r="HZV331" s="901"/>
      <c r="HZW331" s="901"/>
      <c r="HZX331" s="901"/>
      <c r="HZY331" s="901"/>
      <c r="HZZ331" s="901"/>
      <c r="IAA331" s="901"/>
      <c r="IAB331" s="901"/>
      <c r="IAC331" s="901"/>
      <c r="IAD331" s="901"/>
      <c r="IAE331" s="901"/>
      <c r="IAF331" s="901"/>
      <c r="IAG331" s="901"/>
      <c r="IAH331" s="901"/>
      <c r="IAI331" s="901"/>
      <c r="IAJ331" s="901"/>
      <c r="IAK331" s="901"/>
      <c r="IAL331" s="901"/>
      <c r="IAM331" s="901"/>
      <c r="IAN331" s="902"/>
      <c r="IAO331" s="901"/>
      <c r="IAP331" s="901"/>
      <c r="IAQ331" s="901"/>
      <c r="IAR331" s="901"/>
      <c r="IAS331" s="901"/>
      <c r="IAT331" s="901"/>
      <c r="IAU331" s="901"/>
      <c r="IAV331" s="901"/>
      <c r="IAW331" s="901"/>
      <c r="IAX331" s="901"/>
      <c r="IAY331" s="901"/>
      <c r="IAZ331" s="901"/>
      <c r="IBA331" s="901"/>
      <c r="IBB331" s="901"/>
      <c r="IBC331" s="901"/>
      <c r="IBD331" s="901"/>
      <c r="IBE331" s="901"/>
      <c r="IBF331" s="901"/>
      <c r="IBG331" s="901"/>
      <c r="IBH331" s="901"/>
      <c r="IBI331" s="901"/>
      <c r="IBJ331" s="901"/>
      <c r="IBK331" s="901"/>
      <c r="IBL331" s="901"/>
      <c r="IBM331" s="901"/>
      <c r="IBN331" s="901"/>
      <c r="IBO331" s="901"/>
      <c r="IBP331" s="901"/>
      <c r="IBQ331" s="902"/>
      <c r="IBR331" s="901"/>
      <c r="IBS331" s="901"/>
      <c r="IBT331" s="901"/>
      <c r="IBU331" s="901"/>
      <c r="IBV331" s="901"/>
      <c r="IBW331" s="901"/>
      <c r="IBX331" s="901"/>
      <c r="IBY331" s="901"/>
      <c r="IBZ331" s="901"/>
      <c r="ICA331" s="901"/>
      <c r="ICB331" s="901"/>
      <c r="ICC331" s="901"/>
      <c r="ICD331" s="901"/>
      <c r="ICE331" s="901"/>
      <c r="ICF331" s="901"/>
      <c r="ICG331" s="901"/>
      <c r="ICH331" s="901"/>
      <c r="ICI331" s="901"/>
      <c r="ICJ331" s="901"/>
      <c r="ICK331" s="901"/>
      <c r="ICL331" s="901"/>
      <c r="ICM331" s="901"/>
      <c r="ICN331" s="901"/>
      <c r="ICO331" s="901"/>
      <c r="ICP331" s="901"/>
      <c r="ICQ331" s="901"/>
      <c r="ICR331" s="901"/>
      <c r="ICS331" s="901"/>
      <c r="ICT331" s="902"/>
      <c r="ICU331" s="901"/>
      <c r="ICV331" s="901"/>
      <c r="ICW331" s="901"/>
      <c r="ICX331" s="901"/>
      <c r="ICY331" s="901"/>
      <c r="ICZ331" s="901"/>
      <c r="IDA331" s="901"/>
      <c r="IDB331" s="901"/>
      <c r="IDC331" s="901"/>
      <c r="IDD331" s="901"/>
      <c r="IDE331" s="901"/>
      <c r="IDF331" s="901"/>
      <c r="IDG331" s="901"/>
      <c r="IDH331" s="901"/>
      <c r="IDI331" s="901"/>
      <c r="IDJ331" s="901"/>
      <c r="IDK331" s="901"/>
      <c r="IDL331" s="901"/>
      <c r="IDM331" s="901"/>
      <c r="IDN331" s="901"/>
      <c r="IDO331" s="901"/>
      <c r="IDP331" s="901"/>
      <c r="IDQ331" s="901"/>
      <c r="IDR331" s="901"/>
      <c r="IDS331" s="901"/>
      <c r="IDT331" s="901"/>
      <c r="IDU331" s="901"/>
      <c r="IDV331" s="901"/>
      <c r="IDW331" s="902"/>
      <c r="IDX331" s="901"/>
      <c r="IDY331" s="901"/>
      <c r="IDZ331" s="901"/>
      <c r="IEA331" s="901"/>
      <c r="IEB331" s="901"/>
      <c r="IEC331" s="901"/>
      <c r="IED331" s="901"/>
      <c r="IEE331" s="901"/>
      <c r="IEF331" s="901"/>
      <c r="IEG331" s="901"/>
      <c r="IEH331" s="901"/>
      <c r="IEI331" s="901"/>
      <c r="IEJ331" s="901"/>
      <c r="IEK331" s="901"/>
      <c r="IEL331" s="901"/>
      <c r="IEM331" s="901"/>
      <c r="IEN331" s="901"/>
      <c r="IEO331" s="901"/>
      <c r="IEP331" s="901"/>
      <c r="IEQ331" s="901"/>
      <c r="IER331" s="901"/>
      <c r="IES331" s="901"/>
      <c r="IET331" s="901"/>
      <c r="IEU331" s="901"/>
      <c r="IEV331" s="901"/>
      <c r="IEW331" s="901"/>
      <c r="IEX331" s="901"/>
      <c r="IEY331" s="901"/>
      <c r="IEZ331" s="902"/>
      <c r="IFA331" s="901"/>
      <c r="IFB331" s="901"/>
      <c r="IFC331" s="901"/>
      <c r="IFD331" s="901"/>
      <c r="IFE331" s="901"/>
      <c r="IFF331" s="901"/>
      <c r="IFG331" s="901"/>
      <c r="IFH331" s="901"/>
      <c r="IFI331" s="901"/>
      <c r="IFJ331" s="901"/>
      <c r="IFK331" s="901"/>
      <c r="IFL331" s="901"/>
      <c r="IFM331" s="901"/>
      <c r="IFN331" s="901"/>
      <c r="IFO331" s="901"/>
      <c r="IFP331" s="901"/>
      <c r="IFQ331" s="901"/>
      <c r="IFR331" s="901"/>
      <c r="IFS331" s="901"/>
      <c r="IFT331" s="901"/>
      <c r="IFU331" s="901"/>
      <c r="IFV331" s="901"/>
      <c r="IFW331" s="901"/>
      <c r="IFX331" s="901"/>
      <c r="IFY331" s="901"/>
      <c r="IFZ331" s="901"/>
      <c r="IGA331" s="901"/>
      <c r="IGB331" s="901"/>
      <c r="IGC331" s="902"/>
      <c r="IGD331" s="901"/>
      <c r="IGE331" s="901"/>
      <c r="IGF331" s="901"/>
      <c r="IGG331" s="901"/>
      <c r="IGH331" s="901"/>
      <c r="IGI331" s="901"/>
      <c r="IGJ331" s="901"/>
      <c r="IGK331" s="901"/>
      <c r="IGL331" s="901"/>
      <c r="IGM331" s="901"/>
      <c r="IGN331" s="901"/>
      <c r="IGO331" s="901"/>
      <c r="IGP331" s="901"/>
      <c r="IGQ331" s="901"/>
      <c r="IGR331" s="901"/>
      <c r="IGS331" s="901"/>
      <c r="IGT331" s="901"/>
      <c r="IGU331" s="901"/>
      <c r="IGV331" s="901"/>
      <c r="IGW331" s="901"/>
      <c r="IGX331" s="901"/>
      <c r="IGY331" s="901"/>
      <c r="IGZ331" s="901"/>
      <c r="IHA331" s="901"/>
      <c r="IHB331" s="901"/>
      <c r="IHC331" s="901"/>
      <c r="IHD331" s="901"/>
      <c r="IHE331" s="901"/>
      <c r="IHF331" s="902"/>
      <c r="IHG331" s="901"/>
      <c r="IHH331" s="901"/>
      <c r="IHI331" s="901"/>
      <c r="IHJ331" s="901"/>
      <c r="IHK331" s="901"/>
      <c r="IHL331" s="901"/>
      <c r="IHM331" s="901"/>
      <c r="IHN331" s="901"/>
      <c r="IHO331" s="901"/>
      <c r="IHP331" s="901"/>
      <c r="IHQ331" s="901"/>
      <c r="IHR331" s="901"/>
      <c r="IHS331" s="901"/>
      <c r="IHT331" s="901"/>
      <c r="IHU331" s="901"/>
      <c r="IHV331" s="901"/>
      <c r="IHW331" s="901"/>
      <c r="IHX331" s="901"/>
      <c r="IHY331" s="901"/>
      <c r="IHZ331" s="901"/>
      <c r="IIA331" s="901"/>
      <c r="IIB331" s="901"/>
      <c r="IIC331" s="901"/>
      <c r="IID331" s="901"/>
      <c r="IIE331" s="901"/>
      <c r="IIF331" s="901"/>
      <c r="IIG331" s="901"/>
      <c r="IIH331" s="901"/>
      <c r="III331" s="902"/>
      <c r="IIJ331" s="901"/>
      <c r="IIK331" s="901"/>
      <c r="IIL331" s="901"/>
      <c r="IIM331" s="901"/>
      <c r="IIN331" s="901"/>
      <c r="IIO331" s="901"/>
      <c r="IIP331" s="901"/>
      <c r="IIQ331" s="901"/>
      <c r="IIR331" s="901"/>
      <c r="IIS331" s="901"/>
      <c r="IIT331" s="901"/>
      <c r="IIU331" s="901"/>
      <c r="IIV331" s="901"/>
      <c r="IIW331" s="901"/>
      <c r="IIX331" s="901"/>
      <c r="IIY331" s="901"/>
      <c r="IIZ331" s="901"/>
      <c r="IJA331" s="901"/>
      <c r="IJB331" s="901"/>
      <c r="IJC331" s="901"/>
      <c r="IJD331" s="901"/>
      <c r="IJE331" s="901"/>
      <c r="IJF331" s="901"/>
      <c r="IJG331" s="901"/>
      <c r="IJH331" s="901"/>
      <c r="IJI331" s="901"/>
      <c r="IJJ331" s="901"/>
      <c r="IJK331" s="901"/>
      <c r="IJL331" s="902"/>
      <c r="IJM331" s="901"/>
      <c r="IJN331" s="901"/>
      <c r="IJO331" s="901"/>
      <c r="IJP331" s="901"/>
      <c r="IJQ331" s="901"/>
      <c r="IJR331" s="901"/>
      <c r="IJS331" s="901"/>
      <c r="IJT331" s="901"/>
      <c r="IJU331" s="901"/>
      <c r="IJV331" s="901"/>
      <c r="IJW331" s="901"/>
      <c r="IJX331" s="901"/>
      <c r="IJY331" s="901"/>
      <c r="IJZ331" s="901"/>
      <c r="IKA331" s="901"/>
      <c r="IKB331" s="901"/>
      <c r="IKC331" s="901"/>
      <c r="IKD331" s="901"/>
      <c r="IKE331" s="901"/>
      <c r="IKF331" s="901"/>
      <c r="IKG331" s="901"/>
      <c r="IKH331" s="901"/>
      <c r="IKI331" s="901"/>
      <c r="IKJ331" s="901"/>
      <c r="IKK331" s="901"/>
      <c r="IKL331" s="901"/>
      <c r="IKM331" s="901"/>
      <c r="IKN331" s="901"/>
      <c r="IKO331" s="902"/>
      <c r="IKP331" s="901"/>
      <c r="IKQ331" s="901"/>
      <c r="IKR331" s="901"/>
      <c r="IKS331" s="901"/>
      <c r="IKT331" s="901"/>
      <c r="IKU331" s="901"/>
      <c r="IKV331" s="901"/>
      <c r="IKW331" s="901"/>
      <c r="IKX331" s="901"/>
      <c r="IKY331" s="901"/>
      <c r="IKZ331" s="901"/>
      <c r="ILA331" s="901"/>
      <c r="ILB331" s="901"/>
      <c r="ILC331" s="901"/>
      <c r="ILD331" s="901"/>
      <c r="ILE331" s="901"/>
      <c r="ILF331" s="901"/>
      <c r="ILG331" s="901"/>
      <c r="ILH331" s="901"/>
      <c r="ILI331" s="901"/>
      <c r="ILJ331" s="901"/>
      <c r="ILK331" s="901"/>
      <c r="ILL331" s="901"/>
      <c r="ILM331" s="901"/>
      <c r="ILN331" s="901"/>
      <c r="ILO331" s="901"/>
      <c r="ILP331" s="901"/>
      <c r="ILQ331" s="901"/>
      <c r="ILR331" s="902"/>
      <c r="ILS331" s="901"/>
      <c r="ILT331" s="901"/>
      <c r="ILU331" s="901"/>
      <c r="ILV331" s="901"/>
      <c r="ILW331" s="901"/>
      <c r="ILX331" s="901"/>
      <c r="ILY331" s="901"/>
      <c r="ILZ331" s="901"/>
      <c r="IMA331" s="901"/>
      <c r="IMB331" s="901"/>
      <c r="IMC331" s="901"/>
      <c r="IMD331" s="901"/>
      <c r="IME331" s="901"/>
      <c r="IMF331" s="901"/>
      <c r="IMG331" s="901"/>
      <c r="IMH331" s="901"/>
      <c r="IMI331" s="901"/>
      <c r="IMJ331" s="901"/>
      <c r="IMK331" s="901"/>
      <c r="IML331" s="901"/>
      <c r="IMM331" s="901"/>
      <c r="IMN331" s="901"/>
      <c r="IMO331" s="901"/>
      <c r="IMP331" s="901"/>
      <c r="IMQ331" s="901"/>
      <c r="IMR331" s="901"/>
      <c r="IMS331" s="901"/>
      <c r="IMT331" s="901"/>
      <c r="IMU331" s="902"/>
      <c r="IMV331" s="901"/>
      <c r="IMW331" s="901"/>
      <c r="IMX331" s="901"/>
      <c r="IMY331" s="901"/>
      <c r="IMZ331" s="901"/>
      <c r="INA331" s="901"/>
      <c r="INB331" s="901"/>
      <c r="INC331" s="901"/>
      <c r="IND331" s="901"/>
      <c r="INE331" s="901"/>
      <c r="INF331" s="901"/>
      <c r="ING331" s="901"/>
      <c r="INH331" s="901"/>
      <c r="INI331" s="901"/>
      <c r="INJ331" s="901"/>
      <c r="INK331" s="901"/>
      <c r="INL331" s="901"/>
      <c r="INM331" s="901"/>
      <c r="INN331" s="901"/>
      <c r="INO331" s="901"/>
      <c r="INP331" s="901"/>
      <c r="INQ331" s="901"/>
      <c r="INR331" s="901"/>
      <c r="INS331" s="901"/>
      <c r="INT331" s="901"/>
      <c r="INU331" s="901"/>
      <c r="INV331" s="901"/>
      <c r="INW331" s="901"/>
      <c r="INX331" s="902"/>
      <c r="INY331" s="901"/>
      <c r="INZ331" s="901"/>
      <c r="IOA331" s="901"/>
      <c r="IOB331" s="901"/>
      <c r="IOC331" s="901"/>
      <c r="IOD331" s="901"/>
      <c r="IOE331" s="901"/>
      <c r="IOF331" s="901"/>
      <c r="IOG331" s="901"/>
      <c r="IOH331" s="901"/>
      <c r="IOI331" s="901"/>
      <c r="IOJ331" s="901"/>
      <c r="IOK331" s="901"/>
      <c r="IOL331" s="901"/>
      <c r="IOM331" s="901"/>
      <c r="ION331" s="901"/>
      <c r="IOO331" s="901"/>
      <c r="IOP331" s="901"/>
      <c r="IOQ331" s="901"/>
      <c r="IOR331" s="901"/>
      <c r="IOS331" s="901"/>
      <c r="IOT331" s="901"/>
      <c r="IOU331" s="901"/>
      <c r="IOV331" s="901"/>
      <c r="IOW331" s="901"/>
      <c r="IOX331" s="901"/>
      <c r="IOY331" s="901"/>
      <c r="IOZ331" s="901"/>
      <c r="IPA331" s="902"/>
      <c r="IPB331" s="901"/>
      <c r="IPC331" s="901"/>
      <c r="IPD331" s="901"/>
      <c r="IPE331" s="901"/>
      <c r="IPF331" s="901"/>
      <c r="IPG331" s="901"/>
      <c r="IPH331" s="901"/>
      <c r="IPI331" s="901"/>
      <c r="IPJ331" s="901"/>
      <c r="IPK331" s="901"/>
      <c r="IPL331" s="901"/>
      <c r="IPM331" s="901"/>
      <c r="IPN331" s="901"/>
      <c r="IPO331" s="901"/>
      <c r="IPP331" s="901"/>
      <c r="IPQ331" s="901"/>
      <c r="IPR331" s="901"/>
      <c r="IPS331" s="901"/>
      <c r="IPT331" s="901"/>
      <c r="IPU331" s="901"/>
      <c r="IPV331" s="901"/>
      <c r="IPW331" s="901"/>
      <c r="IPX331" s="901"/>
      <c r="IPY331" s="901"/>
      <c r="IPZ331" s="901"/>
      <c r="IQA331" s="901"/>
      <c r="IQB331" s="901"/>
      <c r="IQC331" s="901"/>
      <c r="IQD331" s="902"/>
      <c r="IQE331" s="901"/>
      <c r="IQF331" s="901"/>
      <c r="IQG331" s="901"/>
      <c r="IQH331" s="901"/>
      <c r="IQI331" s="901"/>
      <c r="IQJ331" s="901"/>
      <c r="IQK331" s="901"/>
      <c r="IQL331" s="901"/>
      <c r="IQM331" s="901"/>
      <c r="IQN331" s="901"/>
      <c r="IQO331" s="901"/>
      <c r="IQP331" s="901"/>
      <c r="IQQ331" s="901"/>
      <c r="IQR331" s="901"/>
      <c r="IQS331" s="901"/>
      <c r="IQT331" s="901"/>
      <c r="IQU331" s="901"/>
      <c r="IQV331" s="901"/>
      <c r="IQW331" s="901"/>
      <c r="IQX331" s="901"/>
      <c r="IQY331" s="901"/>
      <c r="IQZ331" s="901"/>
      <c r="IRA331" s="901"/>
      <c r="IRB331" s="901"/>
      <c r="IRC331" s="901"/>
      <c r="IRD331" s="901"/>
      <c r="IRE331" s="901"/>
      <c r="IRF331" s="901"/>
      <c r="IRG331" s="902"/>
      <c r="IRH331" s="901"/>
      <c r="IRI331" s="901"/>
      <c r="IRJ331" s="901"/>
      <c r="IRK331" s="901"/>
      <c r="IRL331" s="901"/>
      <c r="IRM331" s="901"/>
      <c r="IRN331" s="901"/>
      <c r="IRO331" s="901"/>
      <c r="IRP331" s="901"/>
      <c r="IRQ331" s="901"/>
      <c r="IRR331" s="901"/>
      <c r="IRS331" s="901"/>
      <c r="IRT331" s="901"/>
      <c r="IRU331" s="901"/>
      <c r="IRV331" s="901"/>
      <c r="IRW331" s="901"/>
      <c r="IRX331" s="901"/>
      <c r="IRY331" s="901"/>
      <c r="IRZ331" s="901"/>
      <c r="ISA331" s="901"/>
      <c r="ISB331" s="901"/>
      <c r="ISC331" s="901"/>
      <c r="ISD331" s="901"/>
      <c r="ISE331" s="901"/>
      <c r="ISF331" s="901"/>
      <c r="ISG331" s="901"/>
      <c r="ISH331" s="901"/>
      <c r="ISI331" s="901"/>
      <c r="ISJ331" s="902"/>
      <c r="ISK331" s="901"/>
      <c r="ISL331" s="901"/>
      <c r="ISM331" s="901"/>
      <c r="ISN331" s="901"/>
      <c r="ISO331" s="901"/>
      <c r="ISP331" s="901"/>
      <c r="ISQ331" s="901"/>
      <c r="ISR331" s="901"/>
      <c r="ISS331" s="901"/>
      <c r="IST331" s="901"/>
      <c r="ISU331" s="901"/>
      <c r="ISV331" s="901"/>
      <c r="ISW331" s="901"/>
      <c r="ISX331" s="901"/>
      <c r="ISY331" s="901"/>
      <c r="ISZ331" s="901"/>
      <c r="ITA331" s="901"/>
      <c r="ITB331" s="901"/>
      <c r="ITC331" s="901"/>
      <c r="ITD331" s="901"/>
      <c r="ITE331" s="901"/>
      <c r="ITF331" s="901"/>
      <c r="ITG331" s="901"/>
      <c r="ITH331" s="901"/>
      <c r="ITI331" s="901"/>
      <c r="ITJ331" s="901"/>
      <c r="ITK331" s="901"/>
      <c r="ITL331" s="901"/>
      <c r="ITM331" s="902"/>
      <c r="ITN331" s="901"/>
      <c r="ITO331" s="901"/>
      <c r="ITP331" s="901"/>
      <c r="ITQ331" s="901"/>
      <c r="ITR331" s="901"/>
      <c r="ITS331" s="901"/>
      <c r="ITT331" s="901"/>
      <c r="ITU331" s="901"/>
      <c r="ITV331" s="901"/>
      <c r="ITW331" s="901"/>
      <c r="ITX331" s="901"/>
      <c r="ITY331" s="901"/>
      <c r="ITZ331" s="901"/>
      <c r="IUA331" s="901"/>
      <c r="IUB331" s="901"/>
      <c r="IUC331" s="901"/>
      <c r="IUD331" s="901"/>
      <c r="IUE331" s="901"/>
      <c r="IUF331" s="901"/>
      <c r="IUG331" s="901"/>
      <c r="IUH331" s="901"/>
      <c r="IUI331" s="901"/>
      <c r="IUJ331" s="901"/>
      <c r="IUK331" s="901"/>
      <c r="IUL331" s="901"/>
      <c r="IUM331" s="901"/>
      <c r="IUN331" s="901"/>
      <c r="IUO331" s="901"/>
      <c r="IUP331" s="902"/>
      <c r="IUQ331" s="901"/>
      <c r="IUR331" s="901"/>
      <c r="IUS331" s="901"/>
      <c r="IUT331" s="901"/>
      <c r="IUU331" s="901"/>
      <c r="IUV331" s="901"/>
      <c r="IUW331" s="901"/>
      <c r="IUX331" s="901"/>
      <c r="IUY331" s="901"/>
      <c r="IUZ331" s="901"/>
      <c r="IVA331" s="901"/>
      <c r="IVB331" s="901"/>
      <c r="IVC331" s="901"/>
      <c r="IVD331" s="901"/>
      <c r="IVE331" s="901"/>
      <c r="IVF331" s="901"/>
      <c r="IVG331" s="901"/>
      <c r="IVH331" s="901"/>
      <c r="IVI331" s="901"/>
      <c r="IVJ331" s="901"/>
      <c r="IVK331" s="901"/>
      <c r="IVL331" s="901"/>
      <c r="IVM331" s="901"/>
      <c r="IVN331" s="901"/>
      <c r="IVO331" s="901"/>
      <c r="IVP331" s="901"/>
      <c r="IVQ331" s="901"/>
      <c r="IVR331" s="901"/>
      <c r="IVS331" s="902"/>
      <c r="IVT331" s="901"/>
      <c r="IVU331" s="901"/>
      <c r="IVV331" s="901"/>
      <c r="IVW331" s="901"/>
      <c r="IVX331" s="901"/>
      <c r="IVY331" s="901"/>
      <c r="IVZ331" s="901"/>
      <c r="IWA331" s="901"/>
      <c r="IWB331" s="901"/>
      <c r="IWC331" s="901"/>
      <c r="IWD331" s="901"/>
      <c r="IWE331" s="901"/>
      <c r="IWF331" s="901"/>
      <c r="IWG331" s="901"/>
      <c r="IWH331" s="901"/>
      <c r="IWI331" s="901"/>
      <c r="IWJ331" s="901"/>
      <c r="IWK331" s="901"/>
      <c r="IWL331" s="901"/>
      <c r="IWM331" s="901"/>
      <c r="IWN331" s="901"/>
      <c r="IWO331" s="901"/>
      <c r="IWP331" s="901"/>
      <c r="IWQ331" s="901"/>
      <c r="IWR331" s="901"/>
      <c r="IWS331" s="901"/>
      <c r="IWT331" s="901"/>
      <c r="IWU331" s="901"/>
      <c r="IWV331" s="902"/>
      <c r="IWW331" s="901"/>
      <c r="IWX331" s="901"/>
      <c r="IWY331" s="901"/>
      <c r="IWZ331" s="901"/>
      <c r="IXA331" s="901"/>
      <c r="IXB331" s="901"/>
      <c r="IXC331" s="901"/>
      <c r="IXD331" s="901"/>
      <c r="IXE331" s="901"/>
      <c r="IXF331" s="901"/>
      <c r="IXG331" s="901"/>
      <c r="IXH331" s="901"/>
      <c r="IXI331" s="901"/>
      <c r="IXJ331" s="901"/>
      <c r="IXK331" s="901"/>
      <c r="IXL331" s="901"/>
      <c r="IXM331" s="901"/>
      <c r="IXN331" s="901"/>
      <c r="IXO331" s="901"/>
      <c r="IXP331" s="901"/>
      <c r="IXQ331" s="901"/>
      <c r="IXR331" s="901"/>
      <c r="IXS331" s="901"/>
      <c r="IXT331" s="901"/>
      <c r="IXU331" s="901"/>
      <c r="IXV331" s="901"/>
      <c r="IXW331" s="901"/>
      <c r="IXX331" s="901"/>
      <c r="IXY331" s="902"/>
      <c r="IXZ331" s="901"/>
      <c r="IYA331" s="901"/>
      <c r="IYB331" s="901"/>
      <c r="IYC331" s="901"/>
      <c r="IYD331" s="901"/>
      <c r="IYE331" s="901"/>
      <c r="IYF331" s="901"/>
      <c r="IYG331" s="901"/>
      <c r="IYH331" s="901"/>
      <c r="IYI331" s="901"/>
      <c r="IYJ331" s="901"/>
      <c r="IYK331" s="901"/>
      <c r="IYL331" s="901"/>
      <c r="IYM331" s="901"/>
      <c r="IYN331" s="901"/>
      <c r="IYO331" s="901"/>
      <c r="IYP331" s="901"/>
      <c r="IYQ331" s="901"/>
      <c r="IYR331" s="901"/>
      <c r="IYS331" s="901"/>
      <c r="IYT331" s="901"/>
      <c r="IYU331" s="901"/>
      <c r="IYV331" s="901"/>
      <c r="IYW331" s="901"/>
      <c r="IYX331" s="901"/>
      <c r="IYY331" s="901"/>
      <c r="IYZ331" s="901"/>
      <c r="IZA331" s="901"/>
      <c r="IZB331" s="902"/>
      <c r="IZC331" s="901"/>
      <c r="IZD331" s="901"/>
      <c r="IZE331" s="901"/>
      <c r="IZF331" s="901"/>
      <c r="IZG331" s="901"/>
      <c r="IZH331" s="901"/>
      <c r="IZI331" s="901"/>
      <c r="IZJ331" s="901"/>
      <c r="IZK331" s="901"/>
      <c r="IZL331" s="901"/>
      <c r="IZM331" s="901"/>
      <c r="IZN331" s="901"/>
      <c r="IZO331" s="901"/>
      <c r="IZP331" s="901"/>
      <c r="IZQ331" s="901"/>
      <c r="IZR331" s="901"/>
      <c r="IZS331" s="901"/>
      <c r="IZT331" s="901"/>
      <c r="IZU331" s="901"/>
      <c r="IZV331" s="901"/>
      <c r="IZW331" s="901"/>
      <c r="IZX331" s="901"/>
      <c r="IZY331" s="901"/>
      <c r="IZZ331" s="901"/>
      <c r="JAA331" s="901"/>
      <c r="JAB331" s="901"/>
      <c r="JAC331" s="901"/>
      <c r="JAD331" s="901"/>
      <c r="JAE331" s="902"/>
      <c r="JAF331" s="901"/>
      <c r="JAG331" s="901"/>
      <c r="JAH331" s="901"/>
      <c r="JAI331" s="901"/>
      <c r="JAJ331" s="901"/>
      <c r="JAK331" s="901"/>
      <c r="JAL331" s="901"/>
      <c r="JAM331" s="901"/>
      <c r="JAN331" s="901"/>
      <c r="JAO331" s="901"/>
      <c r="JAP331" s="901"/>
      <c r="JAQ331" s="901"/>
      <c r="JAR331" s="901"/>
      <c r="JAS331" s="901"/>
      <c r="JAT331" s="901"/>
      <c r="JAU331" s="901"/>
      <c r="JAV331" s="901"/>
      <c r="JAW331" s="901"/>
      <c r="JAX331" s="901"/>
      <c r="JAY331" s="901"/>
      <c r="JAZ331" s="901"/>
      <c r="JBA331" s="901"/>
      <c r="JBB331" s="901"/>
      <c r="JBC331" s="901"/>
      <c r="JBD331" s="901"/>
      <c r="JBE331" s="901"/>
      <c r="JBF331" s="901"/>
      <c r="JBG331" s="901"/>
      <c r="JBH331" s="902"/>
      <c r="JBI331" s="901"/>
      <c r="JBJ331" s="901"/>
      <c r="JBK331" s="901"/>
      <c r="JBL331" s="901"/>
      <c r="JBM331" s="901"/>
      <c r="JBN331" s="901"/>
      <c r="JBO331" s="901"/>
      <c r="JBP331" s="901"/>
      <c r="JBQ331" s="901"/>
      <c r="JBR331" s="901"/>
      <c r="JBS331" s="901"/>
      <c r="JBT331" s="901"/>
      <c r="JBU331" s="901"/>
      <c r="JBV331" s="901"/>
      <c r="JBW331" s="901"/>
      <c r="JBX331" s="901"/>
      <c r="JBY331" s="901"/>
      <c r="JBZ331" s="901"/>
      <c r="JCA331" s="901"/>
      <c r="JCB331" s="901"/>
      <c r="JCC331" s="901"/>
      <c r="JCD331" s="901"/>
      <c r="JCE331" s="901"/>
      <c r="JCF331" s="901"/>
      <c r="JCG331" s="901"/>
      <c r="JCH331" s="901"/>
      <c r="JCI331" s="901"/>
      <c r="JCJ331" s="901"/>
      <c r="JCK331" s="902"/>
      <c r="JCL331" s="901"/>
      <c r="JCM331" s="901"/>
      <c r="JCN331" s="901"/>
      <c r="JCO331" s="901"/>
      <c r="JCP331" s="901"/>
      <c r="JCQ331" s="901"/>
      <c r="JCR331" s="901"/>
      <c r="JCS331" s="901"/>
      <c r="JCT331" s="901"/>
      <c r="JCU331" s="901"/>
      <c r="JCV331" s="901"/>
      <c r="JCW331" s="901"/>
      <c r="JCX331" s="901"/>
      <c r="JCY331" s="901"/>
      <c r="JCZ331" s="901"/>
      <c r="JDA331" s="901"/>
      <c r="JDB331" s="901"/>
      <c r="JDC331" s="901"/>
      <c r="JDD331" s="901"/>
      <c r="JDE331" s="901"/>
      <c r="JDF331" s="901"/>
      <c r="JDG331" s="901"/>
      <c r="JDH331" s="901"/>
      <c r="JDI331" s="901"/>
      <c r="JDJ331" s="901"/>
      <c r="JDK331" s="901"/>
      <c r="JDL331" s="901"/>
      <c r="JDM331" s="901"/>
      <c r="JDN331" s="902"/>
      <c r="JDO331" s="901"/>
      <c r="JDP331" s="901"/>
      <c r="JDQ331" s="901"/>
      <c r="JDR331" s="901"/>
      <c r="JDS331" s="901"/>
      <c r="JDT331" s="901"/>
      <c r="JDU331" s="901"/>
      <c r="JDV331" s="901"/>
      <c r="JDW331" s="901"/>
      <c r="JDX331" s="901"/>
      <c r="JDY331" s="901"/>
      <c r="JDZ331" s="901"/>
      <c r="JEA331" s="901"/>
      <c r="JEB331" s="901"/>
      <c r="JEC331" s="901"/>
      <c r="JED331" s="901"/>
      <c r="JEE331" s="901"/>
      <c r="JEF331" s="901"/>
      <c r="JEG331" s="901"/>
      <c r="JEH331" s="901"/>
      <c r="JEI331" s="901"/>
      <c r="JEJ331" s="901"/>
      <c r="JEK331" s="901"/>
      <c r="JEL331" s="901"/>
      <c r="JEM331" s="901"/>
      <c r="JEN331" s="901"/>
      <c r="JEO331" s="901"/>
      <c r="JEP331" s="901"/>
      <c r="JEQ331" s="902"/>
      <c r="JER331" s="901"/>
      <c r="JES331" s="901"/>
      <c r="JET331" s="901"/>
      <c r="JEU331" s="901"/>
      <c r="JEV331" s="901"/>
      <c r="JEW331" s="901"/>
      <c r="JEX331" s="901"/>
      <c r="JEY331" s="901"/>
      <c r="JEZ331" s="901"/>
      <c r="JFA331" s="901"/>
      <c r="JFB331" s="901"/>
      <c r="JFC331" s="901"/>
      <c r="JFD331" s="901"/>
      <c r="JFE331" s="901"/>
      <c r="JFF331" s="901"/>
      <c r="JFG331" s="901"/>
      <c r="JFH331" s="901"/>
      <c r="JFI331" s="901"/>
      <c r="JFJ331" s="901"/>
      <c r="JFK331" s="901"/>
      <c r="JFL331" s="901"/>
      <c r="JFM331" s="901"/>
      <c r="JFN331" s="901"/>
      <c r="JFO331" s="901"/>
      <c r="JFP331" s="901"/>
      <c r="JFQ331" s="901"/>
      <c r="JFR331" s="901"/>
      <c r="JFS331" s="901"/>
      <c r="JFT331" s="902"/>
      <c r="JFU331" s="901"/>
      <c r="JFV331" s="901"/>
      <c r="JFW331" s="901"/>
      <c r="JFX331" s="901"/>
      <c r="JFY331" s="901"/>
      <c r="JFZ331" s="901"/>
      <c r="JGA331" s="901"/>
      <c r="JGB331" s="901"/>
      <c r="JGC331" s="901"/>
      <c r="JGD331" s="901"/>
      <c r="JGE331" s="901"/>
      <c r="JGF331" s="901"/>
      <c r="JGG331" s="901"/>
      <c r="JGH331" s="901"/>
      <c r="JGI331" s="901"/>
      <c r="JGJ331" s="901"/>
      <c r="JGK331" s="901"/>
      <c r="JGL331" s="901"/>
      <c r="JGM331" s="901"/>
      <c r="JGN331" s="901"/>
      <c r="JGO331" s="901"/>
      <c r="JGP331" s="901"/>
      <c r="JGQ331" s="901"/>
      <c r="JGR331" s="901"/>
      <c r="JGS331" s="901"/>
      <c r="JGT331" s="901"/>
      <c r="JGU331" s="901"/>
      <c r="JGV331" s="901"/>
      <c r="JGW331" s="902"/>
      <c r="JGX331" s="901"/>
      <c r="JGY331" s="901"/>
      <c r="JGZ331" s="901"/>
      <c r="JHA331" s="901"/>
      <c r="JHB331" s="901"/>
      <c r="JHC331" s="901"/>
      <c r="JHD331" s="901"/>
      <c r="JHE331" s="901"/>
      <c r="JHF331" s="901"/>
      <c r="JHG331" s="901"/>
      <c r="JHH331" s="901"/>
      <c r="JHI331" s="901"/>
      <c r="JHJ331" s="901"/>
      <c r="JHK331" s="901"/>
      <c r="JHL331" s="901"/>
      <c r="JHM331" s="901"/>
      <c r="JHN331" s="901"/>
      <c r="JHO331" s="901"/>
      <c r="JHP331" s="901"/>
      <c r="JHQ331" s="901"/>
      <c r="JHR331" s="901"/>
      <c r="JHS331" s="901"/>
      <c r="JHT331" s="901"/>
      <c r="JHU331" s="901"/>
      <c r="JHV331" s="901"/>
      <c r="JHW331" s="901"/>
      <c r="JHX331" s="901"/>
      <c r="JHY331" s="901"/>
      <c r="JHZ331" s="902"/>
      <c r="JIA331" s="901"/>
      <c r="JIB331" s="901"/>
      <c r="JIC331" s="901"/>
      <c r="JID331" s="901"/>
      <c r="JIE331" s="901"/>
      <c r="JIF331" s="901"/>
      <c r="JIG331" s="901"/>
      <c r="JIH331" s="901"/>
      <c r="JII331" s="901"/>
      <c r="JIJ331" s="901"/>
      <c r="JIK331" s="901"/>
      <c r="JIL331" s="901"/>
      <c r="JIM331" s="901"/>
      <c r="JIN331" s="901"/>
      <c r="JIO331" s="901"/>
      <c r="JIP331" s="901"/>
      <c r="JIQ331" s="901"/>
      <c r="JIR331" s="901"/>
      <c r="JIS331" s="901"/>
      <c r="JIT331" s="901"/>
      <c r="JIU331" s="901"/>
      <c r="JIV331" s="901"/>
      <c r="JIW331" s="901"/>
      <c r="JIX331" s="901"/>
      <c r="JIY331" s="901"/>
      <c r="JIZ331" s="901"/>
      <c r="JJA331" s="901"/>
      <c r="JJB331" s="901"/>
      <c r="JJC331" s="902"/>
      <c r="JJD331" s="901"/>
      <c r="JJE331" s="901"/>
      <c r="JJF331" s="901"/>
      <c r="JJG331" s="901"/>
      <c r="JJH331" s="901"/>
      <c r="JJI331" s="901"/>
      <c r="JJJ331" s="901"/>
      <c r="JJK331" s="901"/>
      <c r="JJL331" s="901"/>
      <c r="JJM331" s="901"/>
      <c r="JJN331" s="901"/>
      <c r="JJO331" s="901"/>
      <c r="JJP331" s="901"/>
      <c r="JJQ331" s="901"/>
      <c r="JJR331" s="901"/>
      <c r="JJS331" s="901"/>
      <c r="JJT331" s="901"/>
      <c r="JJU331" s="901"/>
      <c r="JJV331" s="901"/>
      <c r="JJW331" s="901"/>
      <c r="JJX331" s="901"/>
      <c r="JJY331" s="901"/>
      <c r="JJZ331" s="901"/>
      <c r="JKA331" s="901"/>
      <c r="JKB331" s="901"/>
      <c r="JKC331" s="901"/>
      <c r="JKD331" s="901"/>
      <c r="JKE331" s="901"/>
      <c r="JKF331" s="902"/>
      <c r="JKG331" s="901"/>
      <c r="JKH331" s="901"/>
      <c r="JKI331" s="901"/>
      <c r="JKJ331" s="901"/>
      <c r="JKK331" s="901"/>
      <c r="JKL331" s="901"/>
      <c r="JKM331" s="901"/>
      <c r="JKN331" s="901"/>
      <c r="JKO331" s="901"/>
      <c r="JKP331" s="901"/>
      <c r="JKQ331" s="901"/>
      <c r="JKR331" s="901"/>
      <c r="JKS331" s="901"/>
      <c r="JKT331" s="901"/>
      <c r="JKU331" s="901"/>
      <c r="JKV331" s="901"/>
      <c r="JKW331" s="901"/>
      <c r="JKX331" s="901"/>
      <c r="JKY331" s="901"/>
      <c r="JKZ331" s="901"/>
      <c r="JLA331" s="901"/>
      <c r="JLB331" s="901"/>
      <c r="JLC331" s="901"/>
      <c r="JLD331" s="901"/>
      <c r="JLE331" s="901"/>
      <c r="JLF331" s="901"/>
      <c r="JLG331" s="901"/>
      <c r="JLH331" s="901"/>
      <c r="JLI331" s="902"/>
      <c r="JLJ331" s="901"/>
      <c r="JLK331" s="901"/>
      <c r="JLL331" s="901"/>
      <c r="JLM331" s="901"/>
      <c r="JLN331" s="901"/>
      <c r="JLO331" s="901"/>
      <c r="JLP331" s="901"/>
      <c r="JLQ331" s="901"/>
      <c r="JLR331" s="901"/>
      <c r="JLS331" s="901"/>
      <c r="JLT331" s="901"/>
      <c r="JLU331" s="901"/>
      <c r="JLV331" s="901"/>
      <c r="JLW331" s="901"/>
      <c r="JLX331" s="901"/>
      <c r="JLY331" s="901"/>
      <c r="JLZ331" s="901"/>
      <c r="JMA331" s="901"/>
      <c r="JMB331" s="901"/>
      <c r="JMC331" s="901"/>
      <c r="JMD331" s="901"/>
      <c r="JME331" s="901"/>
      <c r="JMF331" s="901"/>
      <c r="JMG331" s="901"/>
      <c r="JMH331" s="901"/>
      <c r="JMI331" s="901"/>
      <c r="JMJ331" s="901"/>
      <c r="JMK331" s="901"/>
      <c r="JML331" s="902"/>
      <c r="JMM331" s="901"/>
      <c r="JMN331" s="901"/>
      <c r="JMO331" s="901"/>
      <c r="JMP331" s="901"/>
      <c r="JMQ331" s="901"/>
      <c r="JMR331" s="901"/>
      <c r="JMS331" s="901"/>
      <c r="JMT331" s="901"/>
      <c r="JMU331" s="901"/>
      <c r="JMV331" s="901"/>
      <c r="JMW331" s="901"/>
      <c r="JMX331" s="901"/>
      <c r="JMY331" s="901"/>
      <c r="JMZ331" s="901"/>
      <c r="JNA331" s="901"/>
      <c r="JNB331" s="901"/>
      <c r="JNC331" s="901"/>
      <c r="JND331" s="901"/>
      <c r="JNE331" s="901"/>
      <c r="JNF331" s="901"/>
      <c r="JNG331" s="901"/>
      <c r="JNH331" s="901"/>
      <c r="JNI331" s="901"/>
      <c r="JNJ331" s="901"/>
      <c r="JNK331" s="901"/>
      <c r="JNL331" s="901"/>
      <c r="JNM331" s="901"/>
      <c r="JNN331" s="901"/>
      <c r="JNO331" s="902"/>
      <c r="JNP331" s="901"/>
      <c r="JNQ331" s="901"/>
      <c r="JNR331" s="901"/>
      <c r="JNS331" s="901"/>
      <c r="JNT331" s="901"/>
      <c r="JNU331" s="901"/>
      <c r="JNV331" s="901"/>
      <c r="JNW331" s="901"/>
      <c r="JNX331" s="901"/>
      <c r="JNY331" s="901"/>
      <c r="JNZ331" s="901"/>
      <c r="JOA331" s="901"/>
      <c r="JOB331" s="901"/>
      <c r="JOC331" s="901"/>
      <c r="JOD331" s="901"/>
      <c r="JOE331" s="901"/>
      <c r="JOF331" s="901"/>
      <c r="JOG331" s="901"/>
      <c r="JOH331" s="901"/>
      <c r="JOI331" s="901"/>
      <c r="JOJ331" s="901"/>
      <c r="JOK331" s="901"/>
      <c r="JOL331" s="901"/>
      <c r="JOM331" s="901"/>
      <c r="JON331" s="901"/>
      <c r="JOO331" s="901"/>
      <c r="JOP331" s="901"/>
      <c r="JOQ331" s="901"/>
      <c r="JOR331" s="902"/>
      <c r="JOS331" s="901"/>
      <c r="JOT331" s="901"/>
      <c r="JOU331" s="901"/>
      <c r="JOV331" s="901"/>
      <c r="JOW331" s="901"/>
      <c r="JOX331" s="901"/>
      <c r="JOY331" s="901"/>
      <c r="JOZ331" s="901"/>
      <c r="JPA331" s="901"/>
      <c r="JPB331" s="901"/>
      <c r="JPC331" s="901"/>
      <c r="JPD331" s="901"/>
      <c r="JPE331" s="901"/>
      <c r="JPF331" s="901"/>
      <c r="JPG331" s="901"/>
      <c r="JPH331" s="901"/>
      <c r="JPI331" s="901"/>
      <c r="JPJ331" s="901"/>
      <c r="JPK331" s="901"/>
      <c r="JPL331" s="901"/>
      <c r="JPM331" s="901"/>
      <c r="JPN331" s="901"/>
      <c r="JPO331" s="901"/>
      <c r="JPP331" s="901"/>
      <c r="JPQ331" s="901"/>
      <c r="JPR331" s="901"/>
      <c r="JPS331" s="901"/>
      <c r="JPT331" s="901"/>
      <c r="JPU331" s="902"/>
      <c r="JPV331" s="901"/>
      <c r="JPW331" s="901"/>
      <c r="JPX331" s="901"/>
      <c r="JPY331" s="901"/>
      <c r="JPZ331" s="901"/>
      <c r="JQA331" s="901"/>
      <c r="JQB331" s="901"/>
      <c r="JQC331" s="901"/>
      <c r="JQD331" s="901"/>
      <c r="JQE331" s="901"/>
      <c r="JQF331" s="901"/>
      <c r="JQG331" s="901"/>
      <c r="JQH331" s="901"/>
      <c r="JQI331" s="901"/>
      <c r="JQJ331" s="901"/>
      <c r="JQK331" s="901"/>
      <c r="JQL331" s="901"/>
      <c r="JQM331" s="901"/>
      <c r="JQN331" s="901"/>
      <c r="JQO331" s="901"/>
      <c r="JQP331" s="901"/>
      <c r="JQQ331" s="901"/>
      <c r="JQR331" s="901"/>
      <c r="JQS331" s="901"/>
      <c r="JQT331" s="901"/>
      <c r="JQU331" s="901"/>
      <c r="JQV331" s="901"/>
      <c r="JQW331" s="901"/>
      <c r="JQX331" s="902"/>
      <c r="JQY331" s="901"/>
      <c r="JQZ331" s="901"/>
      <c r="JRA331" s="901"/>
      <c r="JRB331" s="901"/>
      <c r="JRC331" s="901"/>
      <c r="JRD331" s="901"/>
      <c r="JRE331" s="901"/>
      <c r="JRF331" s="901"/>
      <c r="JRG331" s="901"/>
      <c r="JRH331" s="901"/>
      <c r="JRI331" s="901"/>
      <c r="JRJ331" s="901"/>
      <c r="JRK331" s="901"/>
      <c r="JRL331" s="901"/>
      <c r="JRM331" s="901"/>
      <c r="JRN331" s="901"/>
      <c r="JRO331" s="901"/>
      <c r="JRP331" s="901"/>
      <c r="JRQ331" s="901"/>
      <c r="JRR331" s="901"/>
      <c r="JRS331" s="901"/>
      <c r="JRT331" s="901"/>
      <c r="JRU331" s="901"/>
      <c r="JRV331" s="901"/>
      <c r="JRW331" s="901"/>
      <c r="JRX331" s="901"/>
      <c r="JRY331" s="901"/>
      <c r="JRZ331" s="901"/>
      <c r="JSA331" s="902"/>
      <c r="JSB331" s="901"/>
      <c r="JSC331" s="901"/>
      <c r="JSD331" s="901"/>
      <c r="JSE331" s="901"/>
      <c r="JSF331" s="901"/>
      <c r="JSG331" s="901"/>
      <c r="JSH331" s="901"/>
      <c r="JSI331" s="901"/>
      <c r="JSJ331" s="901"/>
      <c r="JSK331" s="901"/>
      <c r="JSL331" s="901"/>
      <c r="JSM331" s="901"/>
      <c r="JSN331" s="901"/>
      <c r="JSO331" s="901"/>
      <c r="JSP331" s="901"/>
      <c r="JSQ331" s="901"/>
      <c r="JSR331" s="901"/>
      <c r="JSS331" s="901"/>
      <c r="JST331" s="901"/>
      <c r="JSU331" s="901"/>
      <c r="JSV331" s="901"/>
      <c r="JSW331" s="901"/>
      <c r="JSX331" s="901"/>
      <c r="JSY331" s="901"/>
      <c r="JSZ331" s="901"/>
      <c r="JTA331" s="901"/>
      <c r="JTB331" s="901"/>
      <c r="JTC331" s="901"/>
      <c r="JTD331" s="902"/>
      <c r="JTE331" s="901"/>
      <c r="JTF331" s="901"/>
      <c r="JTG331" s="901"/>
      <c r="JTH331" s="901"/>
      <c r="JTI331" s="901"/>
      <c r="JTJ331" s="901"/>
      <c r="JTK331" s="901"/>
      <c r="JTL331" s="901"/>
      <c r="JTM331" s="901"/>
      <c r="JTN331" s="901"/>
      <c r="JTO331" s="901"/>
      <c r="JTP331" s="901"/>
      <c r="JTQ331" s="901"/>
      <c r="JTR331" s="901"/>
      <c r="JTS331" s="901"/>
      <c r="JTT331" s="901"/>
      <c r="JTU331" s="901"/>
      <c r="JTV331" s="901"/>
      <c r="JTW331" s="901"/>
      <c r="JTX331" s="901"/>
      <c r="JTY331" s="901"/>
      <c r="JTZ331" s="901"/>
      <c r="JUA331" s="901"/>
      <c r="JUB331" s="901"/>
      <c r="JUC331" s="901"/>
      <c r="JUD331" s="901"/>
      <c r="JUE331" s="901"/>
      <c r="JUF331" s="901"/>
      <c r="JUG331" s="902"/>
      <c r="JUH331" s="901"/>
      <c r="JUI331" s="901"/>
      <c r="JUJ331" s="901"/>
      <c r="JUK331" s="901"/>
      <c r="JUL331" s="901"/>
      <c r="JUM331" s="901"/>
      <c r="JUN331" s="901"/>
      <c r="JUO331" s="901"/>
      <c r="JUP331" s="901"/>
      <c r="JUQ331" s="901"/>
      <c r="JUR331" s="901"/>
      <c r="JUS331" s="901"/>
      <c r="JUT331" s="901"/>
      <c r="JUU331" s="901"/>
      <c r="JUV331" s="901"/>
      <c r="JUW331" s="901"/>
      <c r="JUX331" s="901"/>
      <c r="JUY331" s="901"/>
      <c r="JUZ331" s="901"/>
      <c r="JVA331" s="901"/>
      <c r="JVB331" s="901"/>
      <c r="JVC331" s="901"/>
      <c r="JVD331" s="901"/>
      <c r="JVE331" s="901"/>
      <c r="JVF331" s="901"/>
      <c r="JVG331" s="901"/>
      <c r="JVH331" s="901"/>
      <c r="JVI331" s="901"/>
      <c r="JVJ331" s="902"/>
      <c r="JVK331" s="901"/>
      <c r="JVL331" s="901"/>
      <c r="JVM331" s="901"/>
      <c r="JVN331" s="901"/>
      <c r="JVO331" s="901"/>
      <c r="JVP331" s="901"/>
      <c r="JVQ331" s="901"/>
      <c r="JVR331" s="901"/>
      <c r="JVS331" s="901"/>
      <c r="JVT331" s="901"/>
      <c r="JVU331" s="901"/>
      <c r="JVV331" s="901"/>
      <c r="JVW331" s="901"/>
      <c r="JVX331" s="901"/>
      <c r="JVY331" s="901"/>
      <c r="JVZ331" s="901"/>
      <c r="JWA331" s="901"/>
      <c r="JWB331" s="901"/>
      <c r="JWC331" s="901"/>
      <c r="JWD331" s="901"/>
      <c r="JWE331" s="901"/>
      <c r="JWF331" s="901"/>
      <c r="JWG331" s="901"/>
      <c r="JWH331" s="901"/>
      <c r="JWI331" s="901"/>
      <c r="JWJ331" s="901"/>
      <c r="JWK331" s="901"/>
      <c r="JWL331" s="901"/>
      <c r="JWM331" s="902"/>
      <c r="JWN331" s="901"/>
      <c r="JWO331" s="901"/>
      <c r="JWP331" s="901"/>
      <c r="JWQ331" s="901"/>
      <c r="JWR331" s="901"/>
      <c r="JWS331" s="901"/>
      <c r="JWT331" s="901"/>
      <c r="JWU331" s="901"/>
      <c r="JWV331" s="901"/>
      <c r="JWW331" s="901"/>
      <c r="JWX331" s="901"/>
      <c r="JWY331" s="901"/>
      <c r="JWZ331" s="901"/>
      <c r="JXA331" s="901"/>
      <c r="JXB331" s="901"/>
      <c r="JXC331" s="901"/>
      <c r="JXD331" s="901"/>
      <c r="JXE331" s="901"/>
      <c r="JXF331" s="901"/>
      <c r="JXG331" s="901"/>
      <c r="JXH331" s="901"/>
      <c r="JXI331" s="901"/>
      <c r="JXJ331" s="901"/>
      <c r="JXK331" s="901"/>
      <c r="JXL331" s="901"/>
      <c r="JXM331" s="901"/>
      <c r="JXN331" s="901"/>
      <c r="JXO331" s="901"/>
      <c r="JXP331" s="902"/>
      <c r="JXQ331" s="901"/>
      <c r="JXR331" s="901"/>
      <c r="JXS331" s="901"/>
      <c r="JXT331" s="901"/>
      <c r="JXU331" s="901"/>
      <c r="JXV331" s="901"/>
      <c r="JXW331" s="901"/>
      <c r="JXX331" s="901"/>
      <c r="JXY331" s="901"/>
      <c r="JXZ331" s="901"/>
      <c r="JYA331" s="901"/>
      <c r="JYB331" s="901"/>
      <c r="JYC331" s="901"/>
      <c r="JYD331" s="901"/>
      <c r="JYE331" s="901"/>
      <c r="JYF331" s="901"/>
      <c r="JYG331" s="901"/>
      <c r="JYH331" s="901"/>
      <c r="JYI331" s="901"/>
      <c r="JYJ331" s="901"/>
      <c r="JYK331" s="901"/>
      <c r="JYL331" s="901"/>
      <c r="JYM331" s="901"/>
      <c r="JYN331" s="901"/>
      <c r="JYO331" s="901"/>
      <c r="JYP331" s="901"/>
      <c r="JYQ331" s="901"/>
      <c r="JYR331" s="901"/>
      <c r="JYS331" s="902"/>
      <c r="JYT331" s="901"/>
      <c r="JYU331" s="901"/>
      <c r="JYV331" s="901"/>
      <c r="JYW331" s="901"/>
      <c r="JYX331" s="901"/>
      <c r="JYY331" s="901"/>
      <c r="JYZ331" s="901"/>
      <c r="JZA331" s="901"/>
      <c r="JZB331" s="901"/>
      <c r="JZC331" s="901"/>
      <c r="JZD331" s="901"/>
      <c r="JZE331" s="901"/>
      <c r="JZF331" s="901"/>
      <c r="JZG331" s="901"/>
      <c r="JZH331" s="901"/>
      <c r="JZI331" s="901"/>
      <c r="JZJ331" s="901"/>
      <c r="JZK331" s="901"/>
      <c r="JZL331" s="901"/>
      <c r="JZM331" s="901"/>
      <c r="JZN331" s="901"/>
      <c r="JZO331" s="901"/>
      <c r="JZP331" s="901"/>
      <c r="JZQ331" s="901"/>
      <c r="JZR331" s="901"/>
      <c r="JZS331" s="901"/>
      <c r="JZT331" s="901"/>
      <c r="JZU331" s="901"/>
      <c r="JZV331" s="902"/>
      <c r="JZW331" s="901"/>
      <c r="JZX331" s="901"/>
      <c r="JZY331" s="901"/>
      <c r="JZZ331" s="901"/>
      <c r="KAA331" s="901"/>
      <c r="KAB331" s="901"/>
      <c r="KAC331" s="901"/>
      <c r="KAD331" s="901"/>
      <c r="KAE331" s="901"/>
      <c r="KAF331" s="901"/>
      <c r="KAG331" s="901"/>
      <c r="KAH331" s="901"/>
      <c r="KAI331" s="901"/>
      <c r="KAJ331" s="901"/>
      <c r="KAK331" s="901"/>
      <c r="KAL331" s="901"/>
      <c r="KAM331" s="901"/>
      <c r="KAN331" s="901"/>
      <c r="KAO331" s="901"/>
      <c r="KAP331" s="901"/>
      <c r="KAQ331" s="901"/>
      <c r="KAR331" s="901"/>
      <c r="KAS331" s="901"/>
      <c r="KAT331" s="901"/>
      <c r="KAU331" s="901"/>
      <c r="KAV331" s="901"/>
      <c r="KAW331" s="901"/>
      <c r="KAX331" s="901"/>
      <c r="KAY331" s="902"/>
      <c r="KAZ331" s="901"/>
      <c r="KBA331" s="901"/>
      <c r="KBB331" s="901"/>
      <c r="KBC331" s="901"/>
      <c r="KBD331" s="901"/>
      <c r="KBE331" s="901"/>
      <c r="KBF331" s="901"/>
      <c r="KBG331" s="901"/>
      <c r="KBH331" s="901"/>
      <c r="KBI331" s="901"/>
      <c r="KBJ331" s="901"/>
      <c r="KBK331" s="901"/>
      <c r="KBL331" s="901"/>
      <c r="KBM331" s="901"/>
      <c r="KBN331" s="901"/>
      <c r="KBO331" s="901"/>
      <c r="KBP331" s="901"/>
      <c r="KBQ331" s="901"/>
      <c r="KBR331" s="901"/>
      <c r="KBS331" s="901"/>
      <c r="KBT331" s="901"/>
      <c r="KBU331" s="901"/>
      <c r="KBV331" s="901"/>
      <c r="KBW331" s="901"/>
      <c r="KBX331" s="901"/>
      <c r="KBY331" s="901"/>
      <c r="KBZ331" s="901"/>
      <c r="KCA331" s="901"/>
      <c r="KCB331" s="902"/>
      <c r="KCC331" s="901"/>
      <c r="KCD331" s="901"/>
      <c r="KCE331" s="901"/>
      <c r="KCF331" s="901"/>
      <c r="KCG331" s="901"/>
      <c r="KCH331" s="901"/>
      <c r="KCI331" s="901"/>
      <c r="KCJ331" s="901"/>
      <c r="KCK331" s="901"/>
      <c r="KCL331" s="901"/>
      <c r="KCM331" s="901"/>
      <c r="KCN331" s="901"/>
      <c r="KCO331" s="901"/>
      <c r="KCP331" s="901"/>
      <c r="KCQ331" s="901"/>
      <c r="KCR331" s="901"/>
      <c r="KCS331" s="901"/>
      <c r="KCT331" s="901"/>
      <c r="KCU331" s="901"/>
      <c r="KCV331" s="901"/>
      <c r="KCW331" s="901"/>
      <c r="KCX331" s="901"/>
      <c r="KCY331" s="901"/>
      <c r="KCZ331" s="901"/>
      <c r="KDA331" s="901"/>
      <c r="KDB331" s="901"/>
      <c r="KDC331" s="901"/>
      <c r="KDD331" s="901"/>
      <c r="KDE331" s="902"/>
      <c r="KDF331" s="901"/>
      <c r="KDG331" s="901"/>
      <c r="KDH331" s="901"/>
      <c r="KDI331" s="901"/>
      <c r="KDJ331" s="901"/>
      <c r="KDK331" s="901"/>
      <c r="KDL331" s="901"/>
      <c r="KDM331" s="901"/>
      <c r="KDN331" s="901"/>
      <c r="KDO331" s="901"/>
      <c r="KDP331" s="901"/>
      <c r="KDQ331" s="901"/>
      <c r="KDR331" s="901"/>
      <c r="KDS331" s="901"/>
      <c r="KDT331" s="901"/>
      <c r="KDU331" s="901"/>
      <c r="KDV331" s="901"/>
      <c r="KDW331" s="901"/>
      <c r="KDX331" s="901"/>
      <c r="KDY331" s="901"/>
      <c r="KDZ331" s="901"/>
      <c r="KEA331" s="901"/>
      <c r="KEB331" s="901"/>
      <c r="KEC331" s="901"/>
      <c r="KED331" s="901"/>
      <c r="KEE331" s="901"/>
      <c r="KEF331" s="901"/>
      <c r="KEG331" s="901"/>
      <c r="KEH331" s="902"/>
      <c r="KEI331" s="901"/>
      <c r="KEJ331" s="901"/>
      <c r="KEK331" s="901"/>
      <c r="KEL331" s="901"/>
      <c r="KEM331" s="901"/>
      <c r="KEN331" s="901"/>
      <c r="KEO331" s="901"/>
      <c r="KEP331" s="901"/>
      <c r="KEQ331" s="901"/>
      <c r="KER331" s="901"/>
      <c r="KES331" s="901"/>
      <c r="KET331" s="901"/>
      <c r="KEU331" s="901"/>
      <c r="KEV331" s="901"/>
      <c r="KEW331" s="901"/>
      <c r="KEX331" s="901"/>
      <c r="KEY331" s="901"/>
      <c r="KEZ331" s="901"/>
      <c r="KFA331" s="901"/>
      <c r="KFB331" s="901"/>
      <c r="KFC331" s="901"/>
      <c r="KFD331" s="901"/>
      <c r="KFE331" s="901"/>
      <c r="KFF331" s="901"/>
      <c r="KFG331" s="901"/>
      <c r="KFH331" s="901"/>
      <c r="KFI331" s="901"/>
      <c r="KFJ331" s="901"/>
      <c r="KFK331" s="902"/>
      <c r="KFL331" s="901"/>
      <c r="KFM331" s="901"/>
      <c r="KFN331" s="901"/>
      <c r="KFO331" s="901"/>
      <c r="KFP331" s="901"/>
      <c r="KFQ331" s="901"/>
      <c r="KFR331" s="901"/>
      <c r="KFS331" s="901"/>
      <c r="KFT331" s="901"/>
      <c r="KFU331" s="901"/>
      <c r="KFV331" s="901"/>
      <c r="KFW331" s="901"/>
      <c r="KFX331" s="901"/>
      <c r="KFY331" s="901"/>
      <c r="KFZ331" s="901"/>
      <c r="KGA331" s="901"/>
      <c r="KGB331" s="901"/>
      <c r="KGC331" s="901"/>
      <c r="KGD331" s="901"/>
      <c r="KGE331" s="901"/>
      <c r="KGF331" s="901"/>
      <c r="KGG331" s="901"/>
      <c r="KGH331" s="901"/>
      <c r="KGI331" s="901"/>
      <c r="KGJ331" s="901"/>
      <c r="KGK331" s="901"/>
      <c r="KGL331" s="901"/>
      <c r="KGM331" s="901"/>
      <c r="KGN331" s="902"/>
      <c r="KGO331" s="901"/>
      <c r="KGP331" s="901"/>
      <c r="KGQ331" s="901"/>
      <c r="KGR331" s="901"/>
      <c r="KGS331" s="901"/>
      <c r="KGT331" s="901"/>
      <c r="KGU331" s="901"/>
      <c r="KGV331" s="901"/>
      <c r="KGW331" s="901"/>
      <c r="KGX331" s="901"/>
      <c r="KGY331" s="901"/>
      <c r="KGZ331" s="901"/>
      <c r="KHA331" s="901"/>
      <c r="KHB331" s="901"/>
      <c r="KHC331" s="901"/>
      <c r="KHD331" s="901"/>
      <c r="KHE331" s="901"/>
      <c r="KHF331" s="901"/>
      <c r="KHG331" s="901"/>
      <c r="KHH331" s="901"/>
      <c r="KHI331" s="901"/>
      <c r="KHJ331" s="901"/>
      <c r="KHK331" s="901"/>
      <c r="KHL331" s="901"/>
      <c r="KHM331" s="901"/>
      <c r="KHN331" s="901"/>
      <c r="KHO331" s="901"/>
      <c r="KHP331" s="901"/>
      <c r="KHQ331" s="902"/>
      <c r="KHR331" s="901"/>
      <c r="KHS331" s="901"/>
      <c r="KHT331" s="901"/>
      <c r="KHU331" s="901"/>
      <c r="KHV331" s="901"/>
      <c r="KHW331" s="901"/>
      <c r="KHX331" s="901"/>
      <c r="KHY331" s="901"/>
      <c r="KHZ331" s="901"/>
      <c r="KIA331" s="901"/>
      <c r="KIB331" s="901"/>
      <c r="KIC331" s="901"/>
      <c r="KID331" s="901"/>
      <c r="KIE331" s="901"/>
      <c r="KIF331" s="901"/>
      <c r="KIG331" s="901"/>
      <c r="KIH331" s="901"/>
      <c r="KII331" s="901"/>
      <c r="KIJ331" s="901"/>
      <c r="KIK331" s="901"/>
      <c r="KIL331" s="901"/>
      <c r="KIM331" s="901"/>
      <c r="KIN331" s="901"/>
      <c r="KIO331" s="901"/>
      <c r="KIP331" s="901"/>
      <c r="KIQ331" s="901"/>
      <c r="KIR331" s="901"/>
      <c r="KIS331" s="901"/>
      <c r="KIT331" s="902"/>
      <c r="KIU331" s="901"/>
      <c r="KIV331" s="901"/>
      <c r="KIW331" s="901"/>
      <c r="KIX331" s="901"/>
      <c r="KIY331" s="901"/>
      <c r="KIZ331" s="901"/>
      <c r="KJA331" s="901"/>
      <c r="KJB331" s="901"/>
      <c r="KJC331" s="901"/>
      <c r="KJD331" s="901"/>
      <c r="KJE331" s="901"/>
      <c r="KJF331" s="901"/>
      <c r="KJG331" s="901"/>
      <c r="KJH331" s="901"/>
      <c r="KJI331" s="901"/>
      <c r="KJJ331" s="901"/>
      <c r="KJK331" s="901"/>
      <c r="KJL331" s="901"/>
      <c r="KJM331" s="901"/>
      <c r="KJN331" s="901"/>
      <c r="KJO331" s="901"/>
      <c r="KJP331" s="901"/>
      <c r="KJQ331" s="901"/>
      <c r="KJR331" s="901"/>
      <c r="KJS331" s="901"/>
      <c r="KJT331" s="901"/>
      <c r="KJU331" s="901"/>
      <c r="KJV331" s="901"/>
      <c r="KJW331" s="902"/>
      <c r="KJX331" s="901"/>
      <c r="KJY331" s="901"/>
      <c r="KJZ331" s="901"/>
      <c r="KKA331" s="901"/>
      <c r="KKB331" s="901"/>
      <c r="KKC331" s="901"/>
      <c r="KKD331" s="901"/>
      <c r="KKE331" s="901"/>
      <c r="KKF331" s="901"/>
      <c r="KKG331" s="901"/>
      <c r="KKH331" s="901"/>
      <c r="KKI331" s="901"/>
      <c r="KKJ331" s="901"/>
      <c r="KKK331" s="901"/>
      <c r="KKL331" s="901"/>
      <c r="KKM331" s="901"/>
      <c r="KKN331" s="901"/>
      <c r="KKO331" s="901"/>
      <c r="KKP331" s="901"/>
      <c r="KKQ331" s="901"/>
      <c r="KKR331" s="901"/>
      <c r="KKS331" s="901"/>
      <c r="KKT331" s="901"/>
      <c r="KKU331" s="901"/>
      <c r="KKV331" s="901"/>
      <c r="KKW331" s="901"/>
      <c r="KKX331" s="901"/>
      <c r="KKY331" s="901"/>
      <c r="KKZ331" s="902"/>
      <c r="KLA331" s="901"/>
      <c r="KLB331" s="901"/>
      <c r="KLC331" s="901"/>
      <c r="KLD331" s="901"/>
      <c r="KLE331" s="901"/>
      <c r="KLF331" s="901"/>
      <c r="KLG331" s="901"/>
      <c r="KLH331" s="901"/>
      <c r="KLI331" s="901"/>
      <c r="KLJ331" s="901"/>
      <c r="KLK331" s="901"/>
      <c r="KLL331" s="901"/>
      <c r="KLM331" s="901"/>
      <c r="KLN331" s="901"/>
      <c r="KLO331" s="901"/>
      <c r="KLP331" s="901"/>
      <c r="KLQ331" s="901"/>
      <c r="KLR331" s="901"/>
      <c r="KLS331" s="901"/>
      <c r="KLT331" s="901"/>
      <c r="KLU331" s="901"/>
      <c r="KLV331" s="901"/>
      <c r="KLW331" s="901"/>
      <c r="KLX331" s="901"/>
      <c r="KLY331" s="901"/>
      <c r="KLZ331" s="901"/>
      <c r="KMA331" s="901"/>
      <c r="KMB331" s="901"/>
      <c r="KMC331" s="902"/>
      <c r="KMD331" s="901"/>
      <c r="KME331" s="901"/>
      <c r="KMF331" s="901"/>
      <c r="KMG331" s="901"/>
      <c r="KMH331" s="901"/>
      <c r="KMI331" s="901"/>
      <c r="KMJ331" s="901"/>
      <c r="KMK331" s="901"/>
      <c r="KML331" s="901"/>
      <c r="KMM331" s="901"/>
      <c r="KMN331" s="901"/>
      <c r="KMO331" s="901"/>
      <c r="KMP331" s="901"/>
      <c r="KMQ331" s="901"/>
      <c r="KMR331" s="901"/>
      <c r="KMS331" s="901"/>
      <c r="KMT331" s="901"/>
      <c r="KMU331" s="901"/>
      <c r="KMV331" s="901"/>
      <c r="KMW331" s="901"/>
      <c r="KMX331" s="901"/>
      <c r="KMY331" s="901"/>
      <c r="KMZ331" s="901"/>
      <c r="KNA331" s="901"/>
      <c r="KNB331" s="901"/>
      <c r="KNC331" s="901"/>
      <c r="KND331" s="901"/>
      <c r="KNE331" s="901"/>
      <c r="KNF331" s="902"/>
      <c r="KNG331" s="901"/>
      <c r="KNH331" s="901"/>
      <c r="KNI331" s="901"/>
      <c r="KNJ331" s="901"/>
      <c r="KNK331" s="901"/>
      <c r="KNL331" s="901"/>
      <c r="KNM331" s="901"/>
      <c r="KNN331" s="901"/>
      <c r="KNO331" s="901"/>
      <c r="KNP331" s="901"/>
      <c r="KNQ331" s="901"/>
      <c r="KNR331" s="901"/>
      <c r="KNS331" s="901"/>
      <c r="KNT331" s="901"/>
      <c r="KNU331" s="901"/>
      <c r="KNV331" s="901"/>
      <c r="KNW331" s="901"/>
      <c r="KNX331" s="901"/>
      <c r="KNY331" s="901"/>
      <c r="KNZ331" s="901"/>
      <c r="KOA331" s="901"/>
      <c r="KOB331" s="901"/>
      <c r="KOC331" s="901"/>
      <c r="KOD331" s="901"/>
      <c r="KOE331" s="901"/>
      <c r="KOF331" s="901"/>
      <c r="KOG331" s="901"/>
      <c r="KOH331" s="901"/>
      <c r="KOI331" s="902"/>
      <c r="KOJ331" s="901"/>
      <c r="KOK331" s="901"/>
      <c r="KOL331" s="901"/>
      <c r="KOM331" s="901"/>
      <c r="KON331" s="901"/>
      <c r="KOO331" s="901"/>
      <c r="KOP331" s="901"/>
      <c r="KOQ331" s="901"/>
      <c r="KOR331" s="901"/>
      <c r="KOS331" s="901"/>
      <c r="KOT331" s="901"/>
      <c r="KOU331" s="901"/>
      <c r="KOV331" s="901"/>
      <c r="KOW331" s="901"/>
      <c r="KOX331" s="901"/>
      <c r="KOY331" s="901"/>
      <c r="KOZ331" s="901"/>
      <c r="KPA331" s="901"/>
      <c r="KPB331" s="901"/>
      <c r="KPC331" s="901"/>
      <c r="KPD331" s="901"/>
      <c r="KPE331" s="901"/>
      <c r="KPF331" s="901"/>
      <c r="KPG331" s="901"/>
      <c r="KPH331" s="901"/>
      <c r="KPI331" s="901"/>
      <c r="KPJ331" s="901"/>
      <c r="KPK331" s="901"/>
      <c r="KPL331" s="902"/>
      <c r="KPM331" s="901"/>
      <c r="KPN331" s="901"/>
      <c r="KPO331" s="901"/>
      <c r="KPP331" s="901"/>
      <c r="KPQ331" s="901"/>
      <c r="KPR331" s="901"/>
      <c r="KPS331" s="901"/>
      <c r="KPT331" s="901"/>
      <c r="KPU331" s="901"/>
      <c r="KPV331" s="901"/>
      <c r="KPW331" s="901"/>
      <c r="KPX331" s="901"/>
      <c r="KPY331" s="901"/>
      <c r="KPZ331" s="901"/>
      <c r="KQA331" s="901"/>
      <c r="KQB331" s="901"/>
      <c r="KQC331" s="901"/>
      <c r="KQD331" s="901"/>
      <c r="KQE331" s="901"/>
      <c r="KQF331" s="901"/>
      <c r="KQG331" s="901"/>
      <c r="KQH331" s="901"/>
      <c r="KQI331" s="901"/>
      <c r="KQJ331" s="901"/>
      <c r="KQK331" s="901"/>
      <c r="KQL331" s="901"/>
      <c r="KQM331" s="901"/>
      <c r="KQN331" s="901"/>
      <c r="KQO331" s="902"/>
      <c r="KQP331" s="901"/>
      <c r="KQQ331" s="901"/>
      <c r="KQR331" s="901"/>
      <c r="KQS331" s="901"/>
      <c r="KQT331" s="901"/>
      <c r="KQU331" s="901"/>
      <c r="KQV331" s="901"/>
      <c r="KQW331" s="901"/>
      <c r="KQX331" s="901"/>
      <c r="KQY331" s="901"/>
      <c r="KQZ331" s="901"/>
      <c r="KRA331" s="901"/>
      <c r="KRB331" s="901"/>
      <c r="KRC331" s="901"/>
      <c r="KRD331" s="901"/>
      <c r="KRE331" s="901"/>
      <c r="KRF331" s="901"/>
      <c r="KRG331" s="901"/>
      <c r="KRH331" s="901"/>
      <c r="KRI331" s="901"/>
      <c r="KRJ331" s="901"/>
      <c r="KRK331" s="901"/>
      <c r="KRL331" s="901"/>
      <c r="KRM331" s="901"/>
      <c r="KRN331" s="901"/>
      <c r="KRO331" s="901"/>
      <c r="KRP331" s="901"/>
      <c r="KRQ331" s="901"/>
      <c r="KRR331" s="902"/>
      <c r="KRS331" s="901"/>
      <c r="KRT331" s="901"/>
      <c r="KRU331" s="901"/>
      <c r="KRV331" s="901"/>
      <c r="KRW331" s="901"/>
      <c r="KRX331" s="901"/>
      <c r="KRY331" s="901"/>
      <c r="KRZ331" s="901"/>
      <c r="KSA331" s="901"/>
      <c r="KSB331" s="901"/>
      <c r="KSC331" s="901"/>
      <c r="KSD331" s="901"/>
      <c r="KSE331" s="901"/>
      <c r="KSF331" s="901"/>
      <c r="KSG331" s="901"/>
      <c r="KSH331" s="901"/>
      <c r="KSI331" s="901"/>
      <c r="KSJ331" s="901"/>
      <c r="KSK331" s="901"/>
      <c r="KSL331" s="901"/>
      <c r="KSM331" s="901"/>
      <c r="KSN331" s="901"/>
      <c r="KSO331" s="901"/>
      <c r="KSP331" s="901"/>
      <c r="KSQ331" s="901"/>
      <c r="KSR331" s="901"/>
      <c r="KSS331" s="901"/>
      <c r="KST331" s="901"/>
      <c r="KSU331" s="902"/>
      <c r="KSV331" s="901"/>
      <c r="KSW331" s="901"/>
      <c r="KSX331" s="901"/>
      <c r="KSY331" s="901"/>
      <c r="KSZ331" s="901"/>
      <c r="KTA331" s="901"/>
      <c r="KTB331" s="901"/>
      <c r="KTC331" s="901"/>
      <c r="KTD331" s="901"/>
      <c r="KTE331" s="901"/>
      <c r="KTF331" s="901"/>
      <c r="KTG331" s="901"/>
      <c r="KTH331" s="901"/>
      <c r="KTI331" s="901"/>
      <c r="KTJ331" s="901"/>
      <c r="KTK331" s="901"/>
      <c r="KTL331" s="901"/>
      <c r="KTM331" s="901"/>
      <c r="KTN331" s="901"/>
      <c r="KTO331" s="901"/>
      <c r="KTP331" s="901"/>
      <c r="KTQ331" s="901"/>
      <c r="KTR331" s="901"/>
      <c r="KTS331" s="901"/>
      <c r="KTT331" s="901"/>
      <c r="KTU331" s="901"/>
      <c r="KTV331" s="901"/>
      <c r="KTW331" s="901"/>
      <c r="KTX331" s="902"/>
      <c r="KTY331" s="901"/>
      <c r="KTZ331" s="901"/>
      <c r="KUA331" s="901"/>
      <c r="KUB331" s="901"/>
      <c r="KUC331" s="901"/>
      <c r="KUD331" s="901"/>
      <c r="KUE331" s="901"/>
      <c r="KUF331" s="901"/>
      <c r="KUG331" s="901"/>
      <c r="KUH331" s="901"/>
      <c r="KUI331" s="901"/>
      <c r="KUJ331" s="901"/>
      <c r="KUK331" s="901"/>
      <c r="KUL331" s="901"/>
      <c r="KUM331" s="901"/>
      <c r="KUN331" s="901"/>
      <c r="KUO331" s="901"/>
      <c r="KUP331" s="901"/>
      <c r="KUQ331" s="901"/>
      <c r="KUR331" s="901"/>
      <c r="KUS331" s="901"/>
      <c r="KUT331" s="901"/>
      <c r="KUU331" s="901"/>
      <c r="KUV331" s="901"/>
      <c r="KUW331" s="901"/>
      <c r="KUX331" s="901"/>
      <c r="KUY331" s="901"/>
      <c r="KUZ331" s="901"/>
      <c r="KVA331" s="902"/>
      <c r="KVB331" s="901"/>
      <c r="KVC331" s="901"/>
      <c r="KVD331" s="901"/>
      <c r="KVE331" s="901"/>
      <c r="KVF331" s="901"/>
      <c r="KVG331" s="901"/>
      <c r="KVH331" s="901"/>
      <c r="KVI331" s="901"/>
      <c r="KVJ331" s="901"/>
      <c r="KVK331" s="901"/>
      <c r="KVL331" s="901"/>
      <c r="KVM331" s="901"/>
      <c r="KVN331" s="901"/>
      <c r="KVO331" s="901"/>
      <c r="KVP331" s="901"/>
      <c r="KVQ331" s="901"/>
      <c r="KVR331" s="901"/>
      <c r="KVS331" s="901"/>
      <c r="KVT331" s="901"/>
      <c r="KVU331" s="901"/>
      <c r="KVV331" s="901"/>
      <c r="KVW331" s="901"/>
      <c r="KVX331" s="901"/>
      <c r="KVY331" s="901"/>
      <c r="KVZ331" s="901"/>
      <c r="KWA331" s="901"/>
      <c r="KWB331" s="901"/>
      <c r="KWC331" s="901"/>
      <c r="KWD331" s="902"/>
      <c r="KWE331" s="901"/>
      <c r="KWF331" s="901"/>
      <c r="KWG331" s="901"/>
      <c r="KWH331" s="901"/>
      <c r="KWI331" s="901"/>
      <c r="KWJ331" s="901"/>
      <c r="KWK331" s="901"/>
      <c r="KWL331" s="901"/>
      <c r="KWM331" s="901"/>
      <c r="KWN331" s="901"/>
      <c r="KWO331" s="901"/>
      <c r="KWP331" s="901"/>
      <c r="KWQ331" s="901"/>
      <c r="KWR331" s="901"/>
      <c r="KWS331" s="901"/>
      <c r="KWT331" s="901"/>
      <c r="KWU331" s="901"/>
      <c r="KWV331" s="901"/>
      <c r="KWW331" s="901"/>
      <c r="KWX331" s="901"/>
      <c r="KWY331" s="901"/>
      <c r="KWZ331" s="901"/>
      <c r="KXA331" s="901"/>
      <c r="KXB331" s="901"/>
      <c r="KXC331" s="901"/>
      <c r="KXD331" s="901"/>
      <c r="KXE331" s="901"/>
      <c r="KXF331" s="901"/>
      <c r="KXG331" s="902"/>
      <c r="KXH331" s="901"/>
      <c r="KXI331" s="901"/>
      <c r="KXJ331" s="901"/>
      <c r="KXK331" s="901"/>
      <c r="KXL331" s="901"/>
      <c r="KXM331" s="901"/>
      <c r="KXN331" s="901"/>
      <c r="KXO331" s="901"/>
      <c r="KXP331" s="901"/>
      <c r="KXQ331" s="901"/>
      <c r="KXR331" s="901"/>
      <c r="KXS331" s="901"/>
      <c r="KXT331" s="901"/>
      <c r="KXU331" s="901"/>
      <c r="KXV331" s="901"/>
      <c r="KXW331" s="901"/>
      <c r="KXX331" s="901"/>
      <c r="KXY331" s="901"/>
      <c r="KXZ331" s="901"/>
      <c r="KYA331" s="901"/>
      <c r="KYB331" s="901"/>
      <c r="KYC331" s="901"/>
      <c r="KYD331" s="901"/>
      <c r="KYE331" s="901"/>
      <c r="KYF331" s="901"/>
      <c r="KYG331" s="901"/>
      <c r="KYH331" s="901"/>
      <c r="KYI331" s="901"/>
      <c r="KYJ331" s="902"/>
      <c r="KYK331" s="901"/>
      <c r="KYL331" s="901"/>
      <c r="KYM331" s="901"/>
      <c r="KYN331" s="901"/>
      <c r="KYO331" s="901"/>
      <c r="KYP331" s="901"/>
      <c r="KYQ331" s="901"/>
      <c r="KYR331" s="901"/>
      <c r="KYS331" s="901"/>
      <c r="KYT331" s="901"/>
      <c r="KYU331" s="901"/>
      <c r="KYV331" s="901"/>
      <c r="KYW331" s="901"/>
      <c r="KYX331" s="901"/>
      <c r="KYY331" s="901"/>
      <c r="KYZ331" s="901"/>
      <c r="KZA331" s="901"/>
      <c r="KZB331" s="901"/>
      <c r="KZC331" s="901"/>
      <c r="KZD331" s="901"/>
      <c r="KZE331" s="901"/>
      <c r="KZF331" s="901"/>
      <c r="KZG331" s="901"/>
      <c r="KZH331" s="901"/>
      <c r="KZI331" s="901"/>
      <c r="KZJ331" s="901"/>
      <c r="KZK331" s="901"/>
      <c r="KZL331" s="901"/>
      <c r="KZM331" s="902"/>
      <c r="KZN331" s="901"/>
      <c r="KZO331" s="901"/>
      <c r="KZP331" s="901"/>
      <c r="KZQ331" s="901"/>
      <c r="KZR331" s="901"/>
      <c r="KZS331" s="901"/>
      <c r="KZT331" s="901"/>
      <c r="KZU331" s="901"/>
      <c r="KZV331" s="901"/>
      <c r="KZW331" s="901"/>
      <c r="KZX331" s="901"/>
      <c r="KZY331" s="901"/>
      <c r="KZZ331" s="901"/>
      <c r="LAA331" s="901"/>
      <c r="LAB331" s="901"/>
      <c r="LAC331" s="901"/>
      <c r="LAD331" s="901"/>
      <c r="LAE331" s="901"/>
      <c r="LAF331" s="901"/>
      <c r="LAG331" s="901"/>
      <c r="LAH331" s="901"/>
      <c r="LAI331" s="901"/>
      <c r="LAJ331" s="901"/>
      <c r="LAK331" s="901"/>
      <c r="LAL331" s="901"/>
      <c r="LAM331" s="901"/>
      <c r="LAN331" s="901"/>
      <c r="LAO331" s="901"/>
      <c r="LAP331" s="902"/>
      <c r="LAQ331" s="901"/>
      <c r="LAR331" s="901"/>
      <c r="LAS331" s="901"/>
      <c r="LAT331" s="901"/>
      <c r="LAU331" s="901"/>
      <c r="LAV331" s="901"/>
      <c r="LAW331" s="901"/>
      <c r="LAX331" s="901"/>
      <c r="LAY331" s="901"/>
      <c r="LAZ331" s="901"/>
      <c r="LBA331" s="901"/>
      <c r="LBB331" s="901"/>
      <c r="LBC331" s="901"/>
      <c r="LBD331" s="901"/>
      <c r="LBE331" s="901"/>
      <c r="LBF331" s="901"/>
      <c r="LBG331" s="901"/>
      <c r="LBH331" s="901"/>
      <c r="LBI331" s="901"/>
      <c r="LBJ331" s="901"/>
      <c r="LBK331" s="901"/>
      <c r="LBL331" s="901"/>
      <c r="LBM331" s="901"/>
      <c r="LBN331" s="901"/>
      <c r="LBO331" s="901"/>
      <c r="LBP331" s="901"/>
      <c r="LBQ331" s="901"/>
      <c r="LBR331" s="901"/>
      <c r="LBS331" s="902"/>
      <c r="LBT331" s="901"/>
      <c r="LBU331" s="901"/>
      <c r="LBV331" s="901"/>
      <c r="LBW331" s="901"/>
      <c r="LBX331" s="901"/>
      <c r="LBY331" s="901"/>
      <c r="LBZ331" s="901"/>
      <c r="LCA331" s="901"/>
      <c r="LCB331" s="901"/>
      <c r="LCC331" s="901"/>
      <c r="LCD331" s="901"/>
      <c r="LCE331" s="901"/>
      <c r="LCF331" s="901"/>
      <c r="LCG331" s="901"/>
      <c r="LCH331" s="901"/>
      <c r="LCI331" s="901"/>
      <c r="LCJ331" s="901"/>
      <c r="LCK331" s="901"/>
      <c r="LCL331" s="901"/>
      <c r="LCM331" s="901"/>
      <c r="LCN331" s="901"/>
      <c r="LCO331" s="901"/>
      <c r="LCP331" s="901"/>
      <c r="LCQ331" s="901"/>
      <c r="LCR331" s="901"/>
      <c r="LCS331" s="901"/>
      <c r="LCT331" s="901"/>
      <c r="LCU331" s="901"/>
      <c r="LCV331" s="902"/>
      <c r="LCW331" s="901"/>
      <c r="LCX331" s="901"/>
      <c r="LCY331" s="901"/>
      <c r="LCZ331" s="901"/>
      <c r="LDA331" s="901"/>
      <c r="LDB331" s="901"/>
      <c r="LDC331" s="901"/>
      <c r="LDD331" s="901"/>
      <c r="LDE331" s="901"/>
      <c r="LDF331" s="901"/>
      <c r="LDG331" s="901"/>
      <c r="LDH331" s="901"/>
      <c r="LDI331" s="901"/>
      <c r="LDJ331" s="901"/>
      <c r="LDK331" s="901"/>
      <c r="LDL331" s="901"/>
      <c r="LDM331" s="901"/>
      <c r="LDN331" s="901"/>
      <c r="LDO331" s="901"/>
      <c r="LDP331" s="901"/>
      <c r="LDQ331" s="901"/>
      <c r="LDR331" s="901"/>
      <c r="LDS331" s="901"/>
      <c r="LDT331" s="901"/>
      <c r="LDU331" s="901"/>
      <c r="LDV331" s="901"/>
      <c r="LDW331" s="901"/>
      <c r="LDX331" s="901"/>
      <c r="LDY331" s="902"/>
      <c r="LDZ331" s="901"/>
      <c r="LEA331" s="901"/>
      <c r="LEB331" s="901"/>
      <c r="LEC331" s="901"/>
      <c r="LED331" s="901"/>
      <c r="LEE331" s="901"/>
      <c r="LEF331" s="901"/>
      <c r="LEG331" s="901"/>
      <c r="LEH331" s="901"/>
      <c r="LEI331" s="901"/>
      <c r="LEJ331" s="901"/>
      <c r="LEK331" s="901"/>
      <c r="LEL331" s="901"/>
      <c r="LEM331" s="901"/>
      <c r="LEN331" s="901"/>
      <c r="LEO331" s="901"/>
      <c r="LEP331" s="901"/>
      <c r="LEQ331" s="901"/>
      <c r="LER331" s="901"/>
      <c r="LES331" s="901"/>
      <c r="LET331" s="901"/>
      <c r="LEU331" s="901"/>
      <c r="LEV331" s="901"/>
      <c r="LEW331" s="901"/>
      <c r="LEX331" s="901"/>
      <c r="LEY331" s="901"/>
      <c r="LEZ331" s="901"/>
      <c r="LFA331" s="901"/>
      <c r="LFB331" s="902"/>
      <c r="LFC331" s="901"/>
      <c r="LFD331" s="901"/>
      <c r="LFE331" s="901"/>
      <c r="LFF331" s="901"/>
      <c r="LFG331" s="901"/>
      <c r="LFH331" s="901"/>
      <c r="LFI331" s="901"/>
      <c r="LFJ331" s="901"/>
      <c r="LFK331" s="901"/>
      <c r="LFL331" s="901"/>
      <c r="LFM331" s="901"/>
      <c r="LFN331" s="901"/>
      <c r="LFO331" s="901"/>
      <c r="LFP331" s="901"/>
      <c r="LFQ331" s="901"/>
      <c r="LFR331" s="901"/>
      <c r="LFS331" s="901"/>
      <c r="LFT331" s="901"/>
      <c r="LFU331" s="901"/>
      <c r="LFV331" s="901"/>
      <c r="LFW331" s="901"/>
      <c r="LFX331" s="901"/>
      <c r="LFY331" s="901"/>
      <c r="LFZ331" s="901"/>
      <c r="LGA331" s="901"/>
      <c r="LGB331" s="901"/>
      <c r="LGC331" s="901"/>
      <c r="LGD331" s="901"/>
      <c r="LGE331" s="902"/>
      <c r="LGF331" s="901"/>
      <c r="LGG331" s="901"/>
      <c r="LGH331" s="901"/>
      <c r="LGI331" s="901"/>
      <c r="LGJ331" s="901"/>
      <c r="LGK331" s="901"/>
      <c r="LGL331" s="901"/>
      <c r="LGM331" s="901"/>
      <c r="LGN331" s="901"/>
      <c r="LGO331" s="901"/>
      <c r="LGP331" s="901"/>
      <c r="LGQ331" s="901"/>
      <c r="LGR331" s="901"/>
      <c r="LGS331" s="901"/>
      <c r="LGT331" s="901"/>
      <c r="LGU331" s="901"/>
      <c r="LGV331" s="901"/>
      <c r="LGW331" s="901"/>
      <c r="LGX331" s="901"/>
      <c r="LGY331" s="901"/>
      <c r="LGZ331" s="901"/>
      <c r="LHA331" s="901"/>
      <c r="LHB331" s="901"/>
      <c r="LHC331" s="901"/>
      <c r="LHD331" s="901"/>
      <c r="LHE331" s="901"/>
      <c r="LHF331" s="901"/>
      <c r="LHG331" s="901"/>
      <c r="LHH331" s="902"/>
      <c r="LHI331" s="901"/>
      <c r="LHJ331" s="901"/>
      <c r="LHK331" s="901"/>
      <c r="LHL331" s="901"/>
      <c r="LHM331" s="901"/>
      <c r="LHN331" s="901"/>
      <c r="LHO331" s="901"/>
      <c r="LHP331" s="901"/>
      <c r="LHQ331" s="901"/>
      <c r="LHR331" s="901"/>
      <c r="LHS331" s="901"/>
      <c r="LHT331" s="901"/>
      <c r="LHU331" s="901"/>
      <c r="LHV331" s="901"/>
      <c r="LHW331" s="901"/>
      <c r="LHX331" s="901"/>
      <c r="LHY331" s="901"/>
      <c r="LHZ331" s="901"/>
      <c r="LIA331" s="901"/>
      <c r="LIB331" s="901"/>
      <c r="LIC331" s="901"/>
      <c r="LID331" s="901"/>
      <c r="LIE331" s="901"/>
      <c r="LIF331" s="901"/>
      <c r="LIG331" s="901"/>
      <c r="LIH331" s="901"/>
      <c r="LII331" s="901"/>
      <c r="LIJ331" s="901"/>
      <c r="LIK331" s="902"/>
      <c r="LIL331" s="901"/>
      <c r="LIM331" s="901"/>
      <c r="LIN331" s="901"/>
      <c r="LIO331" s="901"/>
      <c r="LIP331" s="901"/>
      <c r="LIQ331" s="901"/>
      <c r="LIR331" s="901"/>
      <c r="LIS331" s="901"/>
      <c r="LIT331" s="901"/>
      <c r="LIU331" s="901"/>
      <c r="LIV331" s="901"/>
      <c r="LIW331" s="901"/>
      <c r="LIX331" s="901"/>
      <c r="LIY331" s="901"/>
      <c r="LIZ331" s="901"/>
      <c r="LJA331" s="901"/>
      <c r="LJB331" s="901"/>
      <c r="LJC331" s="901"/>
      <c r="LJD331" s="901"/>
      <c r="LJE331" s="901"/>
      <c r="LJF331" s="901"/>
      <c r="LJG331" s="901"/>
      <c r="LJH331" s="901"/>
      <c r="LJI331" s="901"/>
      <c r="LJJ331" s="901"/>
      <c r="LJK331" s="901"/>
      <c r="LJL331" s="901"/>
      <c r="LJM331" s="901"/>
      <c r="LJN331" s="902"/>
      <c r="LJO331" s="901"/>
      <c r="LJP331" s="901"/>
      <c r="LJQ331" s="901"/>
      <c r="LJR331" s="901"/>
      <c r="LJS331" s="901"/>
      <c r="LJT331" s="901"/>
      <c r="LJU331" s="901"/>
      <c r="LJV331" s="901"/>
      <c r="LJW331" s="901"/>
      <c r="LJX331" s="901"/>
      <c r="LJY331" s="901"/>
      <c r="LJZ331" s="901"/>
      <c r="LKA331" s="901"/>
      <c r="LKB331" s="901"/>
      <c r="LKC331" s="901"/>
      <c r="LKD331" s="901"/>
      <c r="LKE331" s="901"/>
      <c r="LKF331" s="901"/>
      <c r="LKG331" s="901"/>
      <c r="LKH331" s="901"/>
      <c r="LKI331" s="901"/>
      <c r="LKJ331" s="901"/>
      <c r="LKK331" s="901"/>
      <c r="LKL331" s="901"/>
      <c r="LKM331" s="901"/>
      <c r="LKN331" s="901"/>
      <c r="LKO331" s="901"/>
      <c r="LKP331" s="901"/>
      <c r="LKQ331" s="902"/>
      <c r="LKR331" s="901"/>
      <c r="LKS331" s="901"/>
      <c r="LKT331" s="901"/>
      <c r="LKU331" s="901"/>
      <c r="LKV331" s="901"/>
      <c r="LKW331" s="901"/>
      <c r="LKX331" s="901"/>
      <c r="LKY331" s="901"/>
      <c r="LKZ331" s="901"/>
      <c r="LLA331" s="901"/>
      <c r="LLB331" s="901"/>
      <c r="LLC331" s="901"/>
      <c r="LLD331" s="901"/>
      <c r="LLE331" s="901"/>
      <c r="LLF331" s="901"/>
      <c r="LLG331" s="901"/>
      <c r="LLH331" s="901"/>
      <c r="LLI331" s="901"/>
      <c r="LLJ331" s="901"/>
      <c r="LLK331" s="901"/>
      <c r="LLL331" s="901"/>
      <c r="LLM331" s="901"/>
      <c r="LLN331" s="901"/>
      <c r="LLO331" s="901"/>
      <c r="LLP331" s="901"/>
      <c r="LLQ331" s="901"/>
      <c r="LLR331" s="901"/>
      <c r="LLS331" s="901"/>
      <c r="LLT331" s="902"/>
      <c r="LLU331" s="901"/>
      <c r="LLV331" s="901"/>
      <c r="LLW331" s="901"/>
      <c r="LLX331" s="901"/>
      <c r="LLY331" s="901"/>
      <c r="LLZ331" s="901"/>
      <c r="LMA331" s="901"/>
      <c r="LMB331" s="901"/>
      <c r="LMC331" s="901"/>
      <c r="LMD331" s="901"/>
      <c r="LME331" s="901"/>
      <c r="LMF331" s="901"/>
      <c r="LMG331" s="901"/>
      <c r="LMH331" s="901"/>
      <c r="LMI331" s="901"/>
      <c r="LMJ331" s="901"/>
      <c r="LMK331" s="901"/>
      <c r="LML331" s="901"/>
      <c r="LMM331" s="901"/>
      <c r="LMN331" s="901"/>
      <c r="LMO331" s="901"/>
      <c r="LMP331" s="901"/>
      <c r="LMQ331" s="901"/>
      <c r="LMR331" s="901"/>
      <c r="LMS331" s="901"/>
      <c r="LMT331" s="901"/>
      <c r="LMU331" s="901"/>
      <c r="LMV331" s="901"/>
      <c r="LMW331" s="902"/>
      <c r="LMX331" s="901"/>
      <c r="LMY331" s="901"/>
      <c r="LMZ331" s="901"/>
      <c r="LNA331" s="901"/>
      <c r="LNB331" s="901"/>
      <c r="LNC331" s="901"/>
      <c r="LND331" s="901"/>
      <c r="LNE331" s="901"/>
      <c r="LNF331" s="901"/>
      <c r="LNG331" s="901"/>
      <c r="LNH331" s="901"/>
      <c r="LNI331" s="901"/>
      <c r="LNJ331" s="901"/>
      <c r="LNK331" s="901"/>
      <c r="LNL331" s="901"/>
      <c r="LNM331" s="901"/>
      <c r="LNN331" s="901"/>
      <c r="LNO331" s="901"/>
      <c r="LNP331" s="901"/>
      <c r="LNQ331" s="901"/>
      <c r="LNR331" s="901"/>
      <c r="LNS331" s="901"/>
      <c r="LNT331" s="901"/>
      <c r="LNU331" s="901"/>
      <c r="LNV331" s="901"/>
      <c r="LNW331" s="901"/>
      <c r="LNX331" s="901"/>
      <c r="LNY331" s="901"/>
      <c r="LNZ331" s="902"/>
      <c r="LOA331" s="901"/>
      <c r="LOB331" s="901"/>
      <c r="LOC331" s="901"/>
      <c r="LOD331" s="901"/>
      <c r="LOE331" s="901"/>
      <c r="LOF331" s="901"/>
      <c r="LOG331" s="901"/>
      <c r="LOH331" s="901"/>
      <c r="LOI331" s="901"/>
      <c r="LOJ331" s="901"/>
      <c r="LOK331" s="901"/>
      <c r="LOL331" s="901"/>
      <c r="LOM331" s="901"/>
      <c r="LON331" s="901"/>
      <c r="LOO331" s="901"/>
      <c r="LOP331" s="901"/>
      <c r="LOQ331" s="901"/>
      <c r="LOR331" s="901"/>
      <c r="LOS331" s="901"/>
      <c r="LOT331" s="901"/>
      <c r="LOU331" s="901"/>
      <c r="LOV331" s="901"/>
      <c r="LOW331" s="901"/>
      <c r="LOX331" s="901"/>
      <c r="LOY331" s="901"/>
      <c r="LOZ331" s="901"/>
      <c r="LPA331" s="901"/>
      <c r="LPB331" s="901"/>
      <c r="LPC331" s="902"/>
      <c r="LPD331" s="901"/>
      <c r="LPE331" s="901"/>
      <c r="LPF331" s="901"/>
      <c r="LPG331" s="901"/>
      <c r="LPH331" s="901"/>
      <c r="LPI331" s="901"/>
      <c r="LPJ331" s="901"/>
      <c r="LPK331" s="901"/>
      <c r="LPL331" s="901"/>
      <c r="LPM331" s="901"/>
      <c r="LPN331" s="901"/>
      <c r="LPO331" s="901"/>
      <c r="LPP331" s="901"/>
      <c r="LPQ331" s="901"/>
      <c r="LPR331" s="901"/>
      <c r="LPS331" s="901"/>
      <c r="LPT331" s="901"/>
      <c r="LPU331" s="901"/>
      <c r="LPV331" s="901"/>
      <c r="LPW331" s="901"/>
      <c r="LPX331" s="901"/>
      <c r="LPY331" s="901"/>
      <c r="LPZ331" s="901"/>
      <c r="LQA331" s="901"/>
      <c r="LQB331" s="901"/>
      <c r="LQC331" s="901"/>
      <c r="LQD331" s="901"/>
      <c r="LQE331" s="901"/>
      <c r="LQF331" s="902"/>
      <c r="LQG331" s="901"/>
      <c r="LQH331" s="901"/>
      <c r="LQI331" s="901"/>
      <c r="LQJ331" s="901"/>
      <c r="LQK331" s="901"/>
      <c r="LQL331" s="901"/>
      <c r="LQM331" s="901"/>
      <c r="LQN331" s="901"/>
      <c r="LQO331" s="901"/>
      <c r="LQP331" s="901"/>
      <c r="LQQ331" s="901"/>
      <c r="LQR331" s="901"/>
      <c r="LQS331" s="901"/>
      <c r="LQT331" s="901"/>
      <c r="LQU331" s="901"/>
      <c r="LQV331" s="901"/>
      <c r="LQW331" s="901"/>
      <c r="LQX331" s="901"/>
      <c r="LQY331" s="901"/>
      <c r="LQZ331" s="901"/>
      <c r="LRA331" s="901"/>
      <c r="LRB331" s="901"/>
      <c r="LRC331" s="901"/>
      <c r="LRD331" s="901"/>
      <c r="LRE331" s="901"/>
      <c r="LRF331" s="901"/>
      <c r="LRG331" s="901"/>
      <c r="LRH331" s="901"/>
      <c r="LRI331" s="902"/>
      <c r="LRJ331" s="901"/>
      <c r="LRK331" s="901"/>
      <c r="LRL331" s="901"/>
      <c r="LRM331" s="901"/>
      <c r="LRN331" s="901"/>
      <c r="LRO331" s="901"/>
      <c r="LRP331" s="901"/>
      <c r="LRQ331" s="901"/>
      <c r="LRR331" s="901"/>
      <c r="LRS331" s="901"/>
      <c r="LRT331" s="901"/>
      <c r="LRU331" s="901"/>
      <c r="LRV331" s="901"/>
      <c r="LRW331" s="901"/>
      <c r="LRX331" s="901"/>
      <c r="LRY331" s="901"/>
      <c r="LRZ331" s="901"/>
      <c r="LSA331" s="901"/>
      <c r="LSB331" s="901"/>
      <c r="LSC331" s="901"/>
      <c r="LSD331" s="901"/>
      <c r="LSE331" s="901"/>
      <c r="LSF331" s="901"/>
      <c r="LSG331" s="901"/>
      <c r="LSH331" s="901"/>
      <c r="LSI331" s="901"/>
      <c r="LSJ331" s="901"/>
      <c r="LSK331" s="901"/>
      <c r="LSL331" s="902"/>
      <c r="LSM331" s="901"/>
      <c r="LSN331" s="901"/>
      <c r="LSO331" s="901"/>
      <c r="LSP331" s="901"/>
      <c r="LSQ331" s="901"/>
      <c r="LSR331" s="901"/>
      <c r="LSS331" s="901"/>
      <c r="LST331" s="901"/>
      <c r="LSU331" s="901"/>
      <c r="LSV331" s="901"/>
      <c r="LSW331" s="901"/>
      <c r="LSX331" s="901"/>
      <c r="LSY331" s="901"/>
      <c r="LSZ331" s="901"/>
      <c r="LTA331" s="901"/>
      <c r="LTB331" s="901"/>
      <c r="LTC331" s="901"/>
      <c r="LTD331" s="901"/>
      <c r="LTE331" s="901"/>
      <c r="LTF331" s="901"/>
      <c r="LTG331" s="901"/>
      <c r="LTH331" s="901"/>
      <c r="LTI331" s="901"/>
      <c r="LTJ331" s="901"/>
      <c r="LTK331" s="901"/>
      <c r="LTL331" s="901"/>
      <c r="LTM331" s="901"/>
      <c r="LTN331" s="901"/>
      <c r="LTO331" s="902"/>
      <c r="LTP331" s="901"/>
      <c r="LTQ331" s="901"/>
      <c r="LTR331" s="901"/>
      <c r="LTS331" s="901"/>
      <c r="LTT331" s="901"/>
      <c r="LTU331" s="901"/>
      <c r="LTV331" s="901"/>
      <c r="LTW331" s="901"/>
      <c r="LTX331" s="901"/>
      <c r="LTY331" s="901"/>
      <c r="LTZ331" s="901"/>
      <c r="LUA331" s="901"/>
      <c r="LUB331" s="901"/>
      <c r="LUC331" s="901"/>
      <c r="LUD331" s="901"/>
      <c r="LUE331" s="901"/>
      <c r="LUF331" s="901"/>
      <c r="LUG331" s="901"/>
      <c r="LUH331" s="901"/>
      <c r="LUI331" s="901"/>
      <c r="LUJ331" s="901"/>
      <c r="LUK331" s="901"/>
      <c r="LUL331" s="901"/>
      <c r="LUM331" s="901"/>
      <c r="LUN331" s="901"/>
      <c r="LUO331" s="901"/>
      <c r="LUP331" s="901"/>
      <c r="LUQ331" s="901"/>
      <c r="LUR331" s="902"/>
      <c r="LUS331" s="901"/>
      <c r="LUT331" s="901"/>
      <c r="LUU331" s="901"/>
      <c r="LUV331" s="901"/>
      <c r="LUW331" s="901"/>
      <c r="LUX331" s="901"/>
      <c r="LUY331" s="901"/>
      <c r="LUZ331" s="901"/>
      <c r="LVA331" s="901"/>
      <c r="LVB331" s="901"/>
      <c r="LVC331" s="901"/>
      <c r="LVD331" s="901"/>
      <c r="LVE331" s="901"/>
      <c r="LVF331" s="901"/>
      <c r="LVG331" s="901"/>
      <c r="LVH331" s="901"/>
      <c r="LVI331" s="901"/>
      <c r="LVJ331" s="901"/>
      <c r="LVK331" s="901"/>
      <c r="LVL331" s="901"/>
      <c r="LVM331" s="901"/>
      <c r="LVN331" s="901"/>
      <c r="LVO331" s="901"/>
      <c r="LVP331" s="901"/>
      <c r="LVQ331" s="901"/>
      <c r="LVR331" s="901"/>
      <c r="LVS331" s="901"/>
      <c r="LVT331" s="901"/>
      <c r="LVU331" s="902"/>
      <c r="LVV331" s="901"/>
      <c r="LVW331" s="901"/>
      <c r="LVX331" s="901"/>
      <c r="LVY331" s="901"/>
      <c r="LVZ331" s="901"/>
      <c r="LWA331" s="901"/>
      <c r="LWB331" s="901"/>
      <c r="LWC331" s="901"/>
      <c r="LWD331" s="901"/>
      <c r="LWE331" s="901"/>
      <c r="LWF331" s="901"/>
      <c r="LWG331" s="901"/>
      <c r="LWH331" s="901"/>
      <c r="LWI331" s="901"/>
      <c r="LWJ331" s="901"/>
      <c r="LWK331" s="901"/>
      <c r="LWL331" s="901"/>
      <c r="LWM331" s="901"/>
      <c r="LWN331" s="901"/>
      <c r="LWO331" s="901"/>
      <c r="LWP331" s="901"/>
      <c r="LWQ331" s="901"/>
      <c r="LWR331" s="901"/>
      <c r="LWS331" s="901"/>
      <c r="LWT331" s="901"/>
      <c r="LWU331" s="901"/>
      <c r="LWV331" s="901"/>
      <c r="LWW331" s="901"/>
      <c r="LWX331" s="902"/>
      <c r="LWY331" s="901"/>
      <c r="LWZ331" s="901"/>
      <c r="LXA331" s="901"/>
      <c r="LXB331" s="901"/>
      <c r="LXC331" s="901"/>
      <c r="LXD331" s="901"/>
      <c r="LXE331" s="901"/>
      <c r="LXF331" s="901"/>
      <c r="LXG331" s="901"/>
      <c r="LXH331" s="901"/>
      <c r="LXI331" s="901"/>
      <c r="LXJ331" s="901"/>
      <c r="LXK331" s="901"/>
      <c r="LXL331" s="901"/>
      <c r="LXM331" s="901"/>
      <c r="LXN331" s="901"/>
      <c r="LXO331" s="901"/>
      <c r="LXP331" s="901"/>
      <c r="LXQ331" s="901"/>
      <c r="LXR331" s="901"/>
      <c r="LXS331" s="901"/>
      <c r="LXT331" s="901"/>
      <c r="LXU331" s="901"/>
      <c r="LXV331" s="901"/>
      <c r="LXW331" s="901"/>
      <c r="LXX331" s="901"/>
      <c r="LXY331" s="901"/>
      <c r="LXZ331" s="901"/>
      <c r="LYA331" s="902"/>
      <c r="LYB331" s="901"/>
      <c r="LYC331" s="901"/>
      <c r="LYD331" s="901"/>
      <c r="LYE331" s="901"/>
      <c r="LYF331" s="901"/>
      <c r="LYG331" s="901"/>
      <c r="LYH331" s="901"/>
      <c r="LYI331" s="901"/>
      <c r="LYJ331" s="901"/>
      <c r="LYK331" s="901"/>
      <c r="LYL331" s="901"/>
      <c r="LYM331" s="901"/>
      <c r="LYN331" s="901"/>
      <c r="LYO331" s="901"/>
      <c r="LYP331" s="901"/>
      <c r="LYQ331" s="901"/>
      <c r="LYR331" s="901"/>
      <c r="LYS331" s="901"/>
      <c r="LYT331" s="901"/>
      <c r="LYU331" s="901"/>
      <c r="LYV331" s="901"/>
      <c r="LYW331" s="901"/>
      <c r="LYX331" s="901"/>
      <c r="LYY331" s="901"/>
      <c r="LYZ331" s="901"/>
      <c r="LZA331" s="901"/>
      <c r="LZB331" s="901"/>
      <c r="LZC331" s="901"/>
      <c r="LZD331" s="902"/>
      <c r="LZE331" s="901"/>
      <c r="LZF331" s="901"/>
      <c r="LZG331" s="901"/>
      <c r="LZH331" s="901"/>
      <c r="LZI331" s="901"/>
      <c r="LZJ331" s="901"/>
      <c r="LZK331" s="901"/>
      <c r="LZL331" s="901"/>
      <c r="LZM331" s="901"/>
      <c r="LZN331" s="901"/>
      <c r="LZO331" s="901"/>
      <c r="LZP331" s="901"/>
      <c r="LZQ331" s="901"/>
      <c r="LZR331" s="901"/>
      <c r="LZS331" s="901"/>
      <c r="LZT331" s="901"/>
      <c r="LZU331" s="901"/>
      <c r="LZV331" s="901"/>
      <c r="LZW331" s="901"/>
      <c r="LZX331" s="901"/>
      <c r="LZY331" s="901"/>
      <c r="LZZ331" s="901"/>
      <c r="MAA331" s="901"/>
      <c r="MAB331" s="901"/>
      <c r="MAC331" s="901"/>
      <c r="MAD331" s="901"/>
      <c r="MAE331" s="901"/>
      <c r="MAF331" s="901"/>
      <c r="MAG331" s="902"/>
      <c r="MAH331" s="901"/>
      <c r="MAI331" s="901"/>
      <c r="MAJ331" s="901"/>
      <c r="MAK331" s="901"/>
      <c r="MAL331" s="901"/>
      <c r="MAM331" s="901"/>
      <c r="MAN331" s="901"/>
      <c r="MAO331" s="901"/>
      <c r="MAP331" s="901"/>
      <c r="MAQ331" s="901"/>
      <c r="MAR331" s="901"/>
      <c r="MAS331" s="901"/>
      <c r="MAT331" s="901"/>
      <c r="MAU331" s="901"/>
      <c r="MAV331" s="901"/>
      <c r="MAW331" s="901"/>
      <c r="MAX331" s="901"/>
      <c r="MAY331" s="901"/>
      <c r="MAZ331" s="901"/>
      <c r="MBA331" s="901"/>
      <c r="MBB331" s="901"/>
      <c r="MBC331" s="901"/>
      <c r="MBD331" s="901"/>
      <c r="MBE331" s="901"/>
      <c r="MBF331" s="901"/>
      <c r="MBG331" s="901"/>
      <c r="MBH331" s="901"/>
      <c r="MBI331" s="901"/>
      <c r="MBJ331" s="902"/>
      <c r="MBK331" s="901"/>
      <c r="MBL331" s="901"/>
      <c r="MBM331" s="901"/>
      <c r="MBN331" s="901"/>
      <c r="MBO331" s="901"/>
      <c r="MBP331" s="901"/>
      <c r="MBQ331" s="901"/>
      <c r="MBR331" s="901"/>
      <c r="MBS331" s="901"/>
      <c r="MBT331" s="901"/>
      <c r="MBU331" s="901"/>
      <c r="MBV331" s="901"/>
      <c r="MBW331" s="901"/>
      <c r="MBX331" s="901"/>
      <c r="MBY331" s="901"/>
      <c r="MBZ331" s="901"/>
      <c r="MCA331" s="901"/>
      <c r="MCB331" s="901"/>
      <c r="MCC331" s="901"/>
      <c r="MCD331" s="901"/>
      <c r="MCE331" s="901"/>
      <c r="MCF331" s="901"/>
      <c r="MCG331" s="901"/>
      <c r="MCH331" s="901"/>
      <c r="MCI331" s="901"/>
      <c r="MCJ331" s="901"/>
      <c r="MCK331" s="901"/>
      <c r="MCL331" s="901"/>
      <c r="MCM331" s="902"/>
      <c r="MCN331" s="901"/>
      <c r="MCO331" s="901"/>
      <c r="MCP331" s="901"/>
      <c r="MCQ331" s="901"/>
      <c r="MCR331" s="901"/>
      <c r="MCS331" s="901"/>
      <c r="MCT331" s="901"/>
      <c r="MCU331" s="901"/>
      <c r="MCV331" s="901"/>
      <c r="MCW331" s="901"/>
      <c r="MCX331" s="901"/>
      <c r="MCY331" s="901"/>
      <c r="MCZ331" s="901"/>
      <c r="MDA331" s="901"/>
      <c r="MDB331" s="901"/>
      <c r="MDC331" s="901"/>
      <c r="MDD331" s="901"/>
      <c r="MDE331" s="901"/>
      <c r="MDF331" s="901"/>
      <c r="MDG331" s="901"/>
      <c r="MDH331" s="901"/>
      <c r="MDI331" s="901"/>
      <c r="MDJ331" s="901"/>
      <c r="MDK331" s="901"/>
      <c r="MDL331" s="901"/>
      <c r="MDM331" s="901"/>
      <c r="MDN331" s="901"/>
      <c r="MDO331" s="901"/>
      <c r="MDP331" s="902"/>
      <c r="MDQ331" s="901"/>
      <c r="MDR331" s="901"/>
      <c r="MDS331" s="901"/>
      <c r="MDT331" s="901"/>
      <c r="MDU331" s="901"/>
      <c r="MDV331" s="901"/>
      <c r="MDW331" s="901"/>
      <c r="MDX331" s="901"/>
      <c r="MDY331" s="901"/>
      <c r="MDZ331" s="901"/>
      <c r="MEA331" s="901"/>
      <c r="MEB331" s="901"/>
      <c r="MEC331" s="901"/>
      <c r="MED331" s="901"/>
      <c r="MEE331" s="901"/>
      <c r="MEF331" s="901"/>
      <c r="MEG331" s="901"/>
      <c r="MEH331" s="901"/>
      <c r="MEI331" s="901"/>
      <c r="MEJ331" s="901"/>
      <c r="MEK331" s="901"/>
      <c r="MEL331" s="901"/>
      <c r="MEM331" s="901"/>
      <c r="MEN331" s="901"/>
      <c r="MEO331" s="901"/>
      <c r="MEP331" s="901"/>
      <c r="MEQ331" s="901"/>
      <c r="MER331" s="901"/>
      <c r="MES331" s="902"/>
      <c r="MET331" s="901"/>
      <c r="MEU331" s="901"/>
      <c r="MEV331" s="901"/>
      <c r="MEW331" s="901"/>
      <c r="MEX331" s="901"/>
      <c r="MEY331" s="901"/>
      <c r="MEZ331" s="901"/>
      <c r="MFA331" s="901"/>
      <c r="MFB331" s="901"/>
      <c r="MFC331" s="901"/>
      <c r="MFD331" s="901"/>
      <c r="MFE331" s="901"/>
      <c r="MFF331" s="901"/>
      <c r="MFG331" s="901"/>
      <c r="MFH331" s="901"/>
      <c r="MFI331" s="901"/>
      <c r="MFJ331" s="901"/>
      <c r="MFK331" s="901"/>
      <c r="MFL331" s="901"/>
      <c r="MFM331" s="901"/>
      <c r="MFN331" s="901"/>
      <c r="MFO331" s="901"/>
      <c r="MFP331" s="901"/>
      <c r="MFQ331" s="901"/>
      <c r="MFR331" s="901"/>
      <c r="MFS331" s="901"/>
      <c r="MFT331" s="901"/>
      <c r="MFU331" s="901"/>
      <c r="MFV331" s="902"/>
      <c r="MFW331" s="901"/>
      <c r="MFX331" s="901"/>
      <c r="MFY331" s="901"/>
      <c r="MFZ331" s="901"/>
      <c r="MGA331" s="901"/>
      <c r="MGB331" s="901"/>
      <c r="MGC331" s="901"/>
      <c r="MGD331" s="901"/>
      <c r="MGE331" s="901"/>
      <c r="MGF331" s="901"/>
      <c r="MGG331" s="901"/>
      <c r="MGH331" s="901"/>
      <c r="MGI331" s="901"/>
      <c r="MGJ331" s="901"/>
      <c r="MGK331" s="901"/>
      <c r="MGL331" s="901"/>
      <c r="MGM331" s="901"/>
      <c r="MGN331" s="901"/>
      <c r="MGO331" s="901"/>
      <c r="MGP331" s="901"/>
      <c r="MGQ331" s="901"/>
      <c r="MGR331" s="901"/>
      <c r="MGS331" s="901"/>
      <c r="MGT331" s="901"/>
      <c r="MGU331" s="901"/>
      <c r="MGV331" s="901"/>
      <c r="MGW331" s="901"/>
      <c r="MGX331" s="901"/>
      <c r="MGY331" s="902"/>
      <c r="MGZ331" s="901"/>
      <c r="MHA331" s="901"/>
      <c r="MHB331" s="901"/>
      <c r="MHC331" s="901"/>
      <c r="MHD331" s="901"/>
      <c r="MHE331" s="901"/>
      <c r="MHF331" s="901"/>
      <c r="MHG331" s="901"/>
      <c r="MHH331" s="901"/>
      <c r="MHI331" s="901"/>
      <c r="MHJ331" s="901"/>
      <c r="MHK331" s="901"/>
      <c r="MHL331" s="901"/>
      <c r="MHM331" s="901"/>
      <c r="MHN331" s="901"/>
      <c r="MHO331" s="901"/>
      <c r="MHP331" s="901"/>
      <c r="MHQ331" s="901"/>
      <c r="MHR331" s="901"/>
      <c r="MHS331" s="901"/>
      <c r="MHT331" s="901"/>
      <c r="MHU331" s="901"/>
      <c r="MHV331" s="901"/>
      <c r="MHW331" s="901"/>
      <c r="MHX331" s="901"/>
      <c r="MHY331" s="901"/>
      <c r="MHZ331" s="901"/>
      <c r="MIA331" s="901"/>
      <c r="MIB331" s="902"/>
      <c r="MIC331" s="901"/>
      <c r="MID331" s="901"/>
      <c r="MIE331" s="901"/>
      <c r="MIF331" s="901"/>
      <c r="MIG331" s="901"/>
      <c r="MIH331" s="901"/>
      <c r="MII331" s="901"/>
      <c r="MIJ331" s="901"/>
      <c r="MIK331" s="901"/>
      <c r="MIL331" s="901"/>
      <c r="MIM331" s="901"/>
      <c r="MIN331" s="901"/>
      <c r="MIO331" s="901"/>
      <c r="MIP331" s="901"/>
      <c r="MIQ331" s="901"/>
      <c r="MIR331" s="901"/>
      <c r="MIS331" s="901"/>
      <c r="MIT331" s="901"/>
      <c r="MIU331" s="901"/>
      <c r="MIV331" s="901"/>
      <c r="MIW331" s="901"/>
      <c r="MIX331" s="901"/>
      <c r="MIY331" s="901"/>
      <c r="MIZ331" s="901"/>
      <c r="MJA331" s="901"/>
      <c r="MJB331" s="901"/>
      <c r="MJC331" s="901"/>
      <c r="MJD331" s="901"/>
      <c r="MJE331" s="902"/>
      <c r="MJF331" s="901"/>
      <c r="MJG331" s="901"/>
      <c r="MJH331" s="901"/>
      <c r="MJI331" s="901"/>
      <c r="MJJ331" s="901"/>
      <c r="MJK331" s="901"/>
      <c r="MJL331" s="901"/>
      <c r="MJM331" s="901"/>
      <c r="MJN331" s="901"/>
      <c r="MJO331" s="901"/>
      <c r="MJP331" s="901"/>
      <c r="MJQ331" s="901"/>
      <c r="MJR331" s="901"/>
      <c r="MJS331" s="901"/>
      <c r="MJT331" s="901"/>
      <c r="MJU331" s="901"/>
      <c r="MJV331" s="901"/>
      <c r="MJW331" s="901"/>
      <c r="MJX331" s="901"/>
      <c r="MJY331" s="901"/>
      <c r="MJZ331" s="901"/>
      <c r="MKA331" s="901"/>
      <c r="MKB331" s="901"/>
      <c r="MKC331" s="901"/>
      <c r="MKD331" s="901"/>
      <c r="MKE331" s="901"/>
      <c r="MKF331" s="901"/>
      <c r="MKG331" s="901"/>
      <c r="MKH331" s="902"/>
      <c r="MKI331" s="901"/>
      <c r="MKJ331" s="901"/>
      <c r="MKK331" s="901"/>
      <c r="MKL331" s="901"/>
      <c r="MKM331" s="901"/>
      <c r="MKN331" s="901"/>
      <c r="MKO331" s="901"/>
      <c r="MKP331" s="901"/>
      <c r="MKQ331" s="901"/>
      <c r="MKR331" s="901"/>
      <c r="MKS331" s="901"/>
      <c r="MKT331" s="901"/>
      <c r="MKU331" s="901"/>
      <c r="MKV331" s="901"/>
      <c r="MKW331" s="901"/>
      <c r="MKX331" s="901"/>
      <c r="MKY331" s="901"/>
      <c r="MKZ331" s="901"/>
      <c r="MLA331" s="901"/>
      <c r="MLB331" s="901"/>
      <c r="MLC331" s="901"/>
      <c r="MLD331" s="901"/>
      <c r="MLE331" s="901"/>
      <c r="MLF331" s="901"/>
      <c r="MLG331" s="901"/>
      <c r="MLH331" s="901"/>
      <c r="MLI331" s="901"/>
      <c r="MLJ331" s="901"/>
      <c r="MLK331" s="902"/>
      <c r="MLL331" s="901"/>
      <c r="MLM331" s="901"/>
      <c r="MLN331" s="901"/>
      <c r="MLO331" s="901"/>
      <c r="MLP331" s="901"/>
      <c r="MLQ331" s="901"/>
      <c r="MLR331" s="901"/>
      <c r="MLS331" s="901"/>
      <c r="MLT331" s="901"/>
      <c r="MLU331" s="901"/>
      <c r="MLV331" s="901"/>
      <c r="MLW331" s="901"/>
      <c r="MLX331" s="901"/>
      <c r="MLY331" s="901"/>
      <c r="MLZ331" s="901"/>
      <c r="MMA331" s="901"/>
      <c r="MMB331" s="901"/>
      <c r="MMC331" s="901"/>
      <c r="MMD331" s="901"/>
      <c r="MME331" s="901"/>
      <c r="MMF331" s="901"/>
      <c r="MMG331" s="901"/>
      <c r="MMH331" s="901"/>
      <c r="MMI331" s="901"/>
      <c r="MMJ331" s="901"/>
      <c r="MMK331" s="901"/>
      <c r="MML331" s="901"/>
      <c r="MMM331" s="901"/>
      <c r="MMN331" s="902"/>
      <c r="MMO331" s="901"/>
      <c r="MMP331" s="901"/>
      <c r="MMQ331" s="901"/>
      <c r="MMR331" s="901"/>
      <c r="MMS331" s="901"/>
      <c r="MMT331" s="901"/>
      <c r="MMU331" s="901"/>
      <c r="MMV331" s="901"/>
      <c r="MMW331" s="901"/>
      <c r="MMX331" s="901"/>
      <c r="MMY331" s="901"/>
      <c r="MMZ331" s="901"/>
      <c r="MNA331" s="901"/>
      <c r="MNB331" s="901"/>
      <c r="MNC331" s="901"/>
      <c r="MND331" s="901"/>
      <c r="MNE331" s="901"/>
      <c r="MNF331" s="901"/>
      <c r="MNG331" s="901"/>
      <c r="MNH331" s="901"/>
      <c r="MNI331" s="901"/>
      <c r="MNJ331" s="901"/>
      <c r="MNK331" s="901"/>
      <c r="MNL331" s="901"/>
      <c r="MNM331" s="901"/>
      <c r="MNN331" s="901"/>
      <c r="MNO331" s="901"/>
      <c r="MNP331" s="901"/>
      <c r="MNQ331" s="902"/>
      <c r="MNR331" s="901"/>
      <c r="MNS331" s="901"/>
      <c r="MNT331" s="901"/>
      <c r="MNU331" s="901"/>
      <c r="MNV331" s="901"/>
      <c r="MNW331" s="901"/>
      <c r="MNX331" s="901"/>
      <c r="MNY331" s="901"/>
      <c r="MNZ331" s="901"/>
      <c r="MOA331" s="901"/>
      <c r="MOB331" s="901"/>
      <c r="MOC331" s="901"/>
      <c r="MOD331" s="901"/>
      <c r="MOE331" s="901"/>
      <c r="MOF331" s="901"/>
      <c r="MOG331" s="901"/>
      <c r="MOH331" s="901"/>
      <c r="MOI331" s="901"/>
      <c r="MOJ331" s="901"/>
      <c r="MOK331" s="901"/>
      <c r="MOL331" s="901"/>
      <c r="MOM331" s="901"/>
      <c r="MON331" s="901"/>
      <c r="MOO331" s="901"/>
      <c r="MOP331" s="901"/>
      <c r="MOQ331" s="901"/>
      <c r="MOR331" s="901"/>
      <c r="MOS331" s="901"/>
      <c r="MOT331" s="902"/>
      <c r="MOU331" s="901"/>
      <c r="MOV331" s="901"/>
      <c r="MOW331" s="901"/>
      <c r="MOX331" s="901"/>
      <c r="MOY331" s="901"/>
      <c r="MOZ331" s="901"/>
      <c r="MPA331" s="901"/>
      <c r="MPB331" s="901"/>
      <c r="MPC331" s="901"/>
      <c r="MPD331" s="901"/>
      <c r="MPE331" s="901"/>
      <c r="MPF331" s="901"/>
      <c r="MPG331" s="901"/>
      <c r="MPH331" s="901"/>
      <c r="MPI331" s="901"/>
      <c r="MPJ331" s="901"/>
      <c r="MPK331" s="901"/>
      <c r="MPL331" s="901"/>
      <c r="MPM331" s="901"/>
      <c r="MPN331" s="901"/>
      <c r="MPO331" s="901"/>
      <c r="MPP331" s="901"/>
      <c r="MPQ331" s="901"/>
      <c r="MPR331" s="901"/>
      <c r="MPS331" s="901"/>
      <c r="MPT331" s="901"/>
      <c r="MPU331" s="901"/>
      <c r="MPV331" s="901"/>
      <c r="MPW331" s="902"/>
      <c r="MPX331" s="901"/>
      <c r="MPY331" s="901"/>
      <c r="MPZ331" s="901"/>
      <c r="MQA331" s="901"/>
      <c r="MQB331" s="901"/>
      <c r="MQC331" s="901"/>
      <c r="MQD331" s="901"/>
      <c r="MQE331" s="901"/>
      <c r="MQF331" s="901"/>
      <c r="MQG331" s="901"/>
      <c r="MQH331" s="901"/>
      <c r="MQI331" s="901"/>
      <c r="MQJ331" s="901"/>
      <c r="MQK331" s="901"/>
      <c r="MQL331" s="901"/>
      <c r="MQM331" s="901"/>
      <c r="MQN331" s="901"/>
      <c r="MQO331" s="901"/>
      <c r="MQP331" s="901"/>
      <c r="MQQ331" s="901"/>
      <c r="MQR331" s="901"/>
      <c r="MQS331" s="901"/>
      <c r="MQT331" s="901"/>
      <c r="MQU331" s="901"/>
      <c r="MQV331" s="901"/>
      <c r="MQW331" s="901"/>
      <c r="MQX331" s="901"/>
      <c r="MQY331" s="901"/>
      <c r="MQZ331" s="902"/>
      <c r="MRA331" s="901"/>
      <c r="MRB331" s="901"/>
      <c r="MRC331" s="901"/>
      <c r="MRD331" s="901"/>
      <c r="MRE331" s="901"/>
      <c r="MRF331" s="901"/>
      <c r="MRG331" s="901"/>
      <c r="MRH331" s="901"/>
      <c r="MRI331" s="901"/>
      <c r="MRJ331" s="901"/>
      <c r="MRK331" s="901"/>
      <c r="MRL331" s="901"/>
      <c r="MRM331" s="901"/>
      <c r="MRN331" s="901"/>
      <c r="MRO331" s="901"/>
      <c r="MRP331" s="901"/>
      <c r="MRQ331" s="901"/>
      <c r="MRR331" s="901"/>
      <c r="MRS331" s="901"/>
      <c r="MRT331" s="901"/>
      <c r="MRU331" s="901"/>
      <c r="MRV331" s="901"/>
      <c r="MRW331" s="901"/>
      <c r="MRX331" s="901"/>
      <c r="MRY331" s="901"/>
      <c r="MRZ331" s="901"/>
      <c r="MSA331" s="901"/>
      <c r="MSB331" s="901"/>
      <c r="MSC331" s="902"/>
      <c r="MSD331" s="901"/>
      <c r="MSE331" s="901"/>
      <c r="MSF331" s="901"/>
      <c r="MSG331" s="901"/>
      <c r="MSH331" s="901"/>
      <c r="MSI331" s="901"/>
      <c r="MSJ331" s="901"/>
      <c r="MSK331" s="901"/>
      <c r="MSL331" s="901"/>
      <c r="MSM331" s="901"/>
      <c r="MSN331" s="901"/>
      <c r="MSO331" s="901"/>
      <c r="MSP331" s="901"/>
      <c r="MSQ331" s="901"/>
      <c r="MSR331" s="901"/>
      <c r="MSS331" s="901"/>
      <c r="MST331" s="901"/>
      <c r="MSU331" s="901"/>
      <c r="MSV331" s="901"/>
      <c r="MSW331" s="901"/>
      <c r="MSX331" s="901"/>
      <c r="MSY331" s="901"/>
      <c r="MSZ331" s="901"/>
      <c r="MTA331" s="901"/>
      <c r="MTB331" s="901"/>
      <c r="MTC331" s="901"/>
      <c r="MTD331" s="901"/>
      <c r="MTE331" s="901"/>
      <c r="MTF331" s="902"/>
      <c r="MTG331" s="901"/>
      <c r="MTH331" s="901"/>
      <c r="MTI331" s="901"/>
      <c r="MTJ331" s="901"/>
      <c r="MTK331" s="901"/>
      <c r="MTL331" s="901"/>
      <c r="MTM331" s="901"/>
      <c r="MTN331" s="901"/>
      <c r="MTO331" s="901"/>
      <c r="MTP331" s="901"/>
      <c r="MTQ331" s="901"/>
      <c r="MTR331" s="901"/>
      <c r="MTS331" s="901"/>
      <c r="MTT331" s="901"/>
      <c r="MTU331" s="901"/>
      <c r="MTV331" s="901"/>
      <c r="MTW331" s="901"/>
      <c r="MTX331" s="901"/>
      <c r="MTY331" s="901"/>
      <c r="MTZ331" s="901"/>
      <c r="MUA331" s="901"/>
      <c r="MUB331" s="901"/>
      <c r="MUC331" s="901"/>
      <c r="MUD331" s="901"/>
      <c r="MUE331" s="901"/>
      <c r="MUF331" s="901"/>
      <c r="MUG331" s="901"/>
      <c r="MUH331" s="901"/>
      <c r="MUI331" s="902"/>
      <c r="MUJ331" s="901"/>
      <c r="MUK331" s="901"/>
      <c r="MUL331" s="901"/>
      <c r="MUM331" s="901"/>
      <c r="MUN331" s="901"/>
      <c r="MUO331" s="901"/>
      <c r="MUP331" s="901"/>
      <c r="MUQ331" s="901"/>
      <c r="MUR331" s="901"/>
      <c r="MUS331" s="901"/>
      <c r="MUT331" s="901"/>
      <c r="MUU331" s="901"/>
      <c r="MUV331" s="901"/>
      <c r="MUW331" s="901"/>
      <c r="MUX331" s="901"/>
      <c r="MUY331" s="901"/>
      <c r="MUZ331" s="901"/>
      <c r="MVA331" s="901"/>
      <c r="MVB331" s="901"/>
      <c r="MVC331" s="901"/>
      <c r="MVD331" s="901"/>
      <c r="MVE331" s="901"/>
      <c r="MVF331" s="901"/>
      <c r="MVG331" s="901"/>
      <c r="MVH331" s="901"/>
      <c r="MVI331" s="901"/>
      <c r="MVJ331" s="901"/>
      <c r="MVK331" s="901"/>
      <c r="MVL331" s="902"/>
      <c r="MVM331" s="901"/>
      <c r="MVN331" s="901"/>
      <c r="MVO331" s="901"/>
      <c r="MVP331" s="901"/>
      <c r="MVQ331" s="901"/>
      <c r="MVR331" s="901"/>
      <c r="MVS331" s="901"/>
      <c r="MVT331" s="901"/>
      <c r="MVU331" s="901"/>
      <c r="MVV331" s="901"/>
      <c r="MVW331" s="901"/>
      <c r="MVX331" s="901"/>
      <c r="MVY331" s="901"/>
      <c r="MVZ331" s="901"/>
      <c r="MWA331" s="901"/>
      <c r="MWB331" s="901"/>
      <c r="MWC331" s="901"/>
      <c r="MWD331" s="901"/>
      <c r="MWE331" s="901"/>
      <c r="MWF331" s="901"/>
      <c r="MWG331" s="901"/>
      <c r="MWH331" s="901"/>
      <c r="MWI331" s="901"/>
      <c r="MWJ331" s="901"/>
      <c r="MWK331" s="901"/>
      <c r="MWL331" s="901"/>
      <c r="MWM331" s="901"/>
      <c r="MWN331" s="901"/>
      <c r="MWO331" s="902"/>
      <c r="MWP331" s="901"/>
      <c r="MWQ331" s="901"/>
      <c r="MWR331" s="901"/>
      <c r="MWS331" s="901"/>
      <c r="MWT331" s="901"/>
      <c r="MWU331" s="901"/>
      <c r="MWV331" s="901"/>
      <c r="MWW331" s="901"/>
      <c r="MWX331" s="901"/>
      <c r="MWY331" s="901"/>
      <c r="MWZ331" s="901"/>
      <c r="MXA331" s="901"/>
      <c r="MXB331" s="901"/>
      <c r="MXC331" s="901"/>
      <c r="MXD331" s="901"/>
      <c r="MXE331" s="901"/>
      <c r="MXF331" s="901"/>
      <c r="MXG331" s="901"/>
      <c r="MXH331" s="901"/>
      <c r="MXI331" s="901"/>
      <c r="MXJ331" s="901"/>
      <c r="MXK331" s="901"/>
      <c r="MXL331" s="901"/>
      <c r="MXM331" s="901"/>
      <c r="MXN331" s="901"/>
      <c r="MXO331" s="901"/>
      <c r="MXP331" s="901"/>
      <c r="MXQ331" s="901"/>
      <c r="MXR331" s="902"/>
      <c r="MXS331" s="901"/>
      <c r="MXT331" s="901"/>
      <c r="MXU331" s="901"/>
      <c r="MXV331" s="901"/>
      <c r="MXW331" s="901"/>
      <c r="MXX331" s="901"/>
      <c r="MXY331" s="901"/>
      <c r="MXZ331" s="901"/>
      <c r="MYA331" s="901"/>
      <c r="MYB331" s="901"/>
      <c r="MYC331" s="901"/>
      <c r="MYD331" s="901"/>
      <c r="MYE331" s="901"/>
      <c r="MYF331" s="901"/>
      <c r="MYG331" s="901"/>
      <c r="MYH331" s="901"/>
      <c r="MYI331" s="901"/>
      <c r="MYJ331" s="901"/>
      <c r="MYK331" s="901"/>
      <c r="MYL331" s="901"/>
      <c r="MYM331" s="901"/>
      <c r="MYN331" s="901"/>
      <c r="MYO331" s="901"/>
      <c r="MYP331" s="901"/>
      <c r="MYQ331" s="901"/>
      <c r="MYR331" s="901"/>
      <c r="MYS331" s="901"/>
      <c r="MYT331" s="901"/>
      <c r="MYU331" s="902"/>
      <c r="MYV331" s="901"/>
      <c r="MYW331" s="901"/>
      <c r="MYX331" s="901"/>
      <c r="MYY331" s="901"/>
      <c r="MYZ331" s="901"/>
      <c r="MZA331" s="901"/>
      <c r="MZB331" s="901"/>
      <c r="MZC331" s="901"/>
      <c r="MZD331" s="901"/>
      <c r="MZE331" s="901"/>
      <c r="MZF331" s="901"/>
      <c r="MZG331" s="901"/>
      <c r="MZH331" s="901"/>
      <c r="MZI331" s="901"/>
      <c r="MZJ331" s="901"/>
      <c r="MZK331" s="901"/>
      <c r="MZL331" s="901"/>
      <c r="MZM331" s="901"/>
      <c r="MZN331" s="901"/>
      <c r="MZO331" s="901"/>
      <c r="MZP331" s="901"/>
      <c r="MZQ331" s="901"/>
      <c r="MZR331" s="901"/>
      <c r="MZS331" s="901"/>
      <c r="MZT331" s="901"/>
      <c r="MZU331" s="901"/>
      <c r="MZV331" s="901"/>
      <c r="MZW331" s="901"/>
      <c r="MZX331" s="902"/>
      <c r="MZY331" s="901"/>
      <c r="MZZ331" s="901"/>
      <c r="NAA331" s="901"/>
      <c r="NAB331" s="901"/>
      <c r="NAC331" s="901"/>
      <c r="NAD331" s="901"/>
      <c r="NAE331" s="901"/>
      <c r="NAF331" s="901"/>
      <c r="NAG331" s="901"/>
      <c r="NAH331" s="901"/>
      <c r="NAI331" s="901"/>
      <c r="NAJ331" s="901"/>
      <c r="NAK331" s="901"/>
      <c r="NAL331" s="901"/>
      <c r="NAM331" s="901"/>
      <c r="NAN331" s="901"/>
      <c r="NAO331" s="901"/>
      <c r="NAP331" s="901"/>
      <c r="NAQ331" s="901"/>
      <c r="NAR331" s="901"/>
      <c r="NAS331" s="901"/>
      <c r="NAT331" s="901"/>
      <c r="NAU331" s="901"/>
      <c r="NAV331" s="901"/>
      <c r="NAW331" s="901"/>
      <c r="NAX331" s="901"/>
      <c r="NAY331" s="901"/>
      <c r="NAZ331" s="901"/>
      <c r="NBA331" s="902"/>
      <c r="NBB331" s="901"/>
      <c r="NBC331" s="901"/>
      <c r="NBD331" s="901"/>
      <c r="NBE331" s="901"/>
      <c r="NBF331" s="901"/>
      <c r="NBG331" s="901"/>
      <c r="NBH331" s="901"/>
      <c r="NBI331" s="901"/>
      <c r="NBJ331" s="901"/>
      <c r="NBK331" s="901"/>
      <c r="NBL331" s="901"/>
      <c r="NBM331" s="901"/>
      <c r="NBN331" s="901"/>
      <c r="NBO331" s="901"/>
      <c r="NBP331" s="901"/>
      <c r="NBQ331" s="901"/>
      <c r="NBR331" s="901"/>
      <c r="NBS331" s="901"/>
      <c r="NBT331" s="901"/>
      <c r="NBU331" s="901"/>
      <c r="NBV331" s="901"/>
      <c r="NBW331" s="901"/>
      <c r="NBX331" s="901"/>
      <c r="NBY331" s="901"/>
      <c r="NBZ331" s="901"/>
      <c r="NCA331" s="901"/>
      <c r="NCB331" s="901"/>
      <c r="NCC331" s="901"/>
      <c r="NCD331" s="902"/>
      <c r="NCE331" s="901"/>
      <c r="NCF331" s="901"/>
      <c r="NCG331" s="901"/>
      <c r="NCH331" s="901"/>
      <c r="NCI331" s="901"/>
      <c r="NCJ331" s="901"/>
      <c r="NCK331" s="901"/>
      <c r="NCL331" s="901"/>
      <c r="NCM331" s="901"/>
      <c r="NCN331" s="901"/>
      <c r="NCO331" s="901"/>
      <c r="NCP331" s="901"/>
      <c r="NCQ331" s="901"/>
      <c r="NCR331" s="901"/>
      <c r="NCS331" s="901"/>
      <c r="NCT331" s="901"/>
      <c r="NCU331" s="901"/>
      <c r="NCV331" s="901"/>
      <c r="NCW331" s="901"/>
      <c r="NCX331" s="901"/>
      <c r="NCY331" s="901"/>
      <c r="NCZ331" s="901"/>
      <c r="NDA331" s="901"/>
      <c r="NDB331" s="901"/>
      <c r="NDC331" s="901"/>
      <c r="NDD331" s="901"/>
      <c r="NDE331" s="901"/>
      <c r="NDF331" s="901"/>
      <c r="NDG331" s="902"/>
      <c r="NDH331" s="901"/>
      <c r="NDI331" s="901"/>
      <c r="NDJ331" s="901"/>
      <c r="NDK331" s="901"/>
      <c r="NDL331" s="901"/>
      <c r="NDM331" s="901"/>
      <c r="NDN331" s="901"/>
      <c r="NDO331" s="901"/>
      <c r="NDP331" s="901"/>
      <c r="NDQ331" s="901"/>
      <c r="NDR331" s="901"/>
      <c r="NDS331" s="901"/>
      <c r="NDT331" s="901"/>
      <c r="NDU331" s="901"/>
      <c r="NDV331" s="901"/>
      <c r="NDW331" s="901"/>
      <c r="NDX331" s="901"/>
      <c r="NDY331" s="901"/>
      <c r="NDZ331" s="901"/>
      <c r="NEA331" s="901"/>
      <c r="NEB331" s="901"/>
      <c r="NEC331" s="901"/>
      <c r="NED331" s="901"/>
      <c r="NEE331" s="901"/>
      <c r="NEF331" s="901"/>
      <c r="NEG331" s="901"/>
      <c r="NEH331" s="901"/>
      <c r="NEI331" s="901"/>
      <c r="NEJ331" s="902"/>
      <c r="NEK331" s="901"/>
      <c r="NEL331" s="901"/>
      <c r="NEM331" s="901"/>
      <c r="NEN331" s="901"/>
      <c r="NEO331" s="901"/>
      <c r="NEP331" s="901"/>
      <c r="NEQ331" s="901"/>
      <c r="NER331" s="901"/>
      <c r="NES331" s="901"/>
      <c r="NET331" s="901"/>
      <c r="NEU331" s="901"/>
      <c r="NEV331" s="901"/>
      <c r="NEW331" s="901"/>
      <c r="NEX331" s="901"/>
      <c r="NEY331" s="901"/>
      <c r="NEZ331" s="901"/>
      <c r="NFA331" s="901"/>
      <c r="NFB331" s="901"/>
      <c r="NFC331" s="901"/>
      <c r="NFD331" s="901"/>
      <c r="NFE331" s="901"/>
      <c r="NFF331" s="901"/>
      <c r="NFG331" s="901"/>
      <c r="NFH331" s="901"/>
      <c r="NFI331" s="901"/>
      <c r="NFJ331" s="901"/>
      <c r="NFK331" s="901"/>
      <c r="NFL331" s="901"/>
      <c r="NFM331" s="902"/>
      <c r="NFN331" s="901"/>
      <c r="NFO331" s="901"/>
      <c r="NFP331" s="901"/>
      <c r="NFQ331" s="901"/>
      <c r="NFR331" s="901"/>
      <c r="NFS331" s="901"/>
      <c r="NFT331" s="901"/>
      <c r="NFU331" s="901"/>
      <c r="NFV331" s="901"/>
      <c r="NFW331" s="901"/>
      <c r="NFX331" s="901"/>
      <c r="NFY331" s="901"/>
      <c r="NFZ331" s="901"/>
      <c r="NGA331" s="901"/>
      <c r="NGB331" s="901"/>
      <c r="NGC331" s="901"/>
      <c r="NGD331" s="901"/>
      <c r="NGE331" s="901"/>
      <c r="NGF331" s="901"/>
      <c r="NGG331" s="901"/>
      <c r="NGH331" s="901"/>
      <c r="NGI331" s="901"/>
      <c r="NGJ331" s="901"/>
      <c r="NGK331" s="901"/>
      <c r="NGL331" s="901"/>
      <c r="NGM331" s="901"/>
      <c r="NGN331" s="901"/>
      <c r="NGO331" s="901"/>
      <c r="NGP331" s="902"/>
      <c r="NGQ331" s="901"/>
      <c r="NGR331" s="901"/>
      <c r="NGS331" s="901"/>
      <c r="NGT331" s="901"/>
      <c r="NGU331" s="901"/>
      <c r="NGV331" s="901"/>
      <c r="NGW331" s="901"/>
      <c r="NGX331" s="901"/>
      <c r="NGY331" s="901"/>
      <c r="NGZ331" s="901"/>
      <c r="NHA331" s="901"/>
      <c r="NHB331" s="901"/>
      <c r="NHC331" s="901"/>
      <c r="NHD331" s="901"/>
      <c r="NHE331" s="901"/>
      <c r="NHF331" s="901"/>
      <c r="NHG331" s="901"/>
      <c r="NHH331" s="901"/>
      <c r="NHI331" s="901"/>
      <c r="NHJ331" s="901"/>
      <c r="NHK331" s="901"/>
      <c r="NHL331" s="901"/>
      <c r="NHM331" s="901"/>
      <c r="NHN331" s="901"/>
      <c r="NHO331" s="901"/>
      <c r="NHP331" s="901"/>
      <c r="NHQ331" s="901"/>
      <c r="NHR331" s="901"/>
      <c r="NHS331" s="902"/>
      <c r="NHT331" s="901"/>
      <c r="NHU331" s="901"/>
      <c r="NHV331" s="901"/>
      <c r="NHW331" s="901"/>
      <c r="NHX331" s="901"/>
      <c r="NHY331" s="901"/>
      <c r="NHZ331" s="901"/>
      <c r="NIA331" s="901"/>
      <c r="NIB331" s="901"/>
      <c r="NIC331" s="901"/>
      <c r="NID331" s="901"/>
      <c r="NIE331" s="901"/>
      <c r="NIF331" s="901"/>
      <c r="NIG331" s="901"/>
      <c r="NIH331" s="901"/>
      <c r="NII331" s="901"/>
      <c r="NIJ331" s="901"/>
      <c r="NIK331" s="901"/>
      <c r="NIL331" s="901"/>
      <c r="NIM331" s="901"/>
      <c r="NIN331" s="901"/>
      <c r="NIO331" s="901"/>
      <c r="NIP331" s="901"/>
      <c r="NIQ331" s="901"/>
      <c r="NIR331" s="901"/>
      <c r="NIS331" s="901"/>
      <c r="NIT331" s="901"/>
      <c r="NIU331" s="901"/>
      <c r="NIV331" s="902"/>
      <c r="NIW331" s="901"/>
      <c r="NIX331" s="901"/>
      <c r="NIY331" s="901"/>
      <c r="NIZ331" s="901"/>
      <c r="NJA331" s="901"/>
      <c r="NJB331" s="901"/>
      <c r="NJC331" s="901"/>
      <c r="NJD331" s="901"/>
      <c r="NJE331" s="901"/>
      <c r="NJF331" s="901"/>
      <c r="NJG331" s="901"/>
      <c r="NJH331" s="901"/>
      <c r="NJI331" s="901"/>
      <c r="NJJ331" s="901"/>
      <c r="NJK331" s="901"/>
      <c r="NJL331" s="901"/>
      <c r="NJM331" s="901"/>
      <c r="NJN331" s="901"/>
      <c r="NJO331" s="901"/>
      <c r="NJP331" s="901"/>
      <c r="NJQ331" s="901"/>
      <c r="NJR331" s="901"/>
      <c r="NJS331" s="901"/>
      <c r="NJT331" s="901"/>
      <c r="NJU331" s="901"/>
      <c r="NJV331" s="901"/>
      <c r="NJW331" s="901"/>
      <c r="NJX331" s="901"/>
      <c r="NJY331" s="902"/>
      <c r="NJZ331" s="901"/>
      <c r="NKA331" s="901"/>
      <c r="NKB331" s="901"/>
      <c r="NKC331" s="901"/>
      <c r="NKD331" s="901"/>
      <c r="NKE331" s="901"/>
      <c r="NKF331" s="901"/>
      <c r="NKG331" s="901"/>
      <c r="NKH331" s="901"/>
      <c r="NKI331" s="901"/>
      <c r="NKJ331" s="901"/>
      <c r="NKK331" s="901"/>
      <c r="NKL331" s="901"/>
      <c r="NKM331" s="901"/>
      <c r="NKN331" s="901"/>
      <c r="NKO331" s="901"/>
      <c r="NKP331" s="901"/>
      <c r="NKQ331" s="901"/>
      <c r="NKR331" s="901"/>
      <c r="NKS331" s="901"/>
      <c r="NKT331" s="901"/>
      <c r="NKU331" s="901"/>
      <c r="NKV331" s="901"/>
      <c r="NKW331" s="901"/>
      <c r="NKX331" s="901"/>
      <c r="NKY331" s="901"/>
      <c r="NKZ331" s="901"/>
      <c r="NLA331" s="901"/>
      <c r="NLB331" s="902"/>
      <c r="NLC331" s="901"/>
      <c r="NLD331" s="901"/>
      <c r="NLE331" s="901"/>
      <c r="NLF331" s="901"/>
      <c r="NLG331" s="901"/>
      <c r="NLH331" s="901"/>
      <c r="NLI331" s="901"/>
      <c r="NLJ331" s="901"/>
      <c r="NLK331" s="901"/>
      <c r="NLL331" s="901"/>
      <c r="NLM331" s="901"/>
      <c r="NLN331" s="901"/>
      <c r="NLO331" s="901"/>
      <c r="NLP331" s="901"/>
      <c r="NLQ331" s="901"/>
      <c r="NLR331" s="901"/>
      <c r="NLS331" s="901"/>
      <c r="NLT331" s="901"/>
      <c r="NLU331" s="901"/>
      <c r="NLV331" s="901"/>
      <c r="NLW331" s="901"/>
      <c r="NLX331" s="901"/>
      <c r="NLY331" s="901"/>
      <c r="NLZ331" s="901"/>
      <c r="NMA331" s="901"/>
      <c r="NMB331" s="901"/>
      <c r="NMC331" s="901"/>
      <c r="NMD331" s="901"/>
      <c r="NME331" s="902"/>
      <c r="NMF331" s="901"/>
      <c r="NMG331" s="901"/>
      <c r="NMH331" s="901"/>
      <c r="NMI331" s="901"/>
      <c r="NMJ331" s="901"/>
      <c r="NMK331" s="901"/>
      <c r="NML331" s="901"/>
      <c r="NMM331" s="901"/>
      <c r="NMN331" s="901"/>
      <c r="NMO331" s="901"/>
      <c r="NMP331" s="901"/>
      <c r="NMQ331" s="901"/>
      <c r="NMR331" s="901"/>
      <c r="NMS331" s="901"/>
      <c r="NMT331" s="901"/>
      <c r="NMU331" s="901"/>
      <c r="NMV331" s="901"/>
      <c r="NMW331" s="901"/>
      <c r="NMX331" s="901"/>
      <c r="NMY331" s="901"/>
      <c r="NMZ331" s="901"/>
      <c r="NNA331" s="901"/>
      <c r="NNB331" s="901"/>
      <c r="NNC331" s="901"/>
      <c r="NND331" s="901"/>
      <c r="NNE331" s="901"/>
      <c r="NNF331" s="901"/>
      <c r="NNG331" s="901"/>
      <c r="NNH331" s="902"/>
      <c r="NNI331" s="901"/>
      <c r="NNJ331" s="901"/>
      <c r="NNK331" s="901"/>
      <c r="NNL331" s="901"/>
      <c r="NNM331" s="901"/>
      <c r="NNN331" s="901"/>
      <c r="NNO331" s="901"/>
      <c r="NNP331" s="901"/>
      <c r="NNQ331" s="901"/>
      <c r="NNR331" s="901"/>
      <c r="NNS331" s="901"/>
      <c r="NNT331" s="901"/>
      <c r="NNU331" s="901"/>
      <c r="NNV331" s="901"/>
      <c r="NNW331" s="901"/>
      <c r="NNX331" s="901"/>
      <c r="NNY331" s="901"/>
      <c r="NNZ331" s="901"/>
      <c r="NOA331" s="901"/>
      <c r="NOB331" s="901"/>
      <c r="NOC331" s="901"/>
      <c r="NOD331" s="901"/>
      <c r="NOE331" s="901"/>
      <c r="NOF331" s="901"/>
      <c r="NOG331" s="901"/>
      <c r="NOH331" s="901"/>
      <c r="NOI331" s="901"/>
      <c r="NOJ331" s="901"/>
      <c r="NOK331" s="902"/>
      <c r="NOL331" s="901"/>
      <c r="NOM331" s="901"/>
      <c r="NON331" s="901"/>
      <c r="NOO331" s="901"/>
      <c r="NOP331" s="901"/>
      <c r="NOQ331" s="901"/>
      <c r="NOR331" s="901"/>
      <c r="NOS331" s="901"/>
      <c r="NOT331" s="901"/>
      <c r="NOU331" s="901"/>
      <c r="NOV331" s="901"/>
      <c r="NOW331" s="901"/>
      <c r="NOX331" s="901"/>
      <c r="NOY331" s="901"/>
      <c r="NOZ331" s="901"/>
      <c r="NPA331" s="901"/>
      <c r="NPB331" s="901"/>
      <c r="NPC331" s="901"/>
      <c r="NPD331" s="901"/>
      <c r="NPE331" s="901"/>
      <c r="NPF331" s="901"/>
      <c r="NPG331" s="901"/>
      <c r="NPH331" s="901"/>
      <c r="NPI331" s="901"/>
      <c r="NPJ331" s="901"/>
      <c r="NPK331" s="901"/>
      <c r="NPL331" s="901"/>
      <c r="NPM331" s="901"/>
      <c r="NPN331" s="902"/>
      <c r="NPO331" s="901"/>
      <c r="NPP331" s="901"/>
      <c r="NPQ331" s="901"/>
      <c r="NPR331" s="901"/>
      <c r="NPS331" s="901"/>
      <c r="NPT331" s="901"/>
      <c r="NPU331" s="901"/>
      <c r="NPV331" s="901"/>
      <c r="NPW331" s="901"/>
      <c r="NPX331" s="901"/>
      <c r="NPY331" s="901"/>
      <c r="NPZ331" s="901"/>
      <c r="NQA331" s="901"/>
      <c r="NQB331" s="901"/>
      <c r="NQC331" s="901"/>
      <c r="NQD331" s="901"/>
      <c r="NQE331" s="901"/>
      <c r="NQF331" s="901"/>
      <c r="NQG331" s="901"/>
      <c r="NQH331" s="901"/>
      <c r="NQI331" s="901"/>
      <c r="NQJ331" s="901"/>
      <c r="NQK331" s="901"/>
      <c r="NQL331" s="901"/>
      <c r="NQM331" s="901"/>
      <c r="NQN331" s="901"/>
      <c r="NQO331" s="901"/>
      <c r="NQP331" s="901"/>
      <c r="NQQ331" s="902"/>
      <c r="NQR331" s="901"/>
      <c r="NQS331" s="901"/>
      <c r="NQT331" s="901"/>
      <c r="NQU331" s="901"/>
      <c r="NQV331" s="901"/>
      <c r="NQW331" s="901"/>
      <c r="NQX331" s="901"/>
      <c r="NQY331" s="901"/>
      <c r="NQZ331" s="901"/>
      <c r="NRA331" s="901"/>
      <c r="NRB331" s="901"/>
      <c r="NRC331" s="901"/>
      <c r="NRD331" s="901"/>
      <c r="NRE331" s="901"/>
      <c r="NRF331" s="901"/>
      <c r="NRG331" s="901"/>
      <c r="NRH331" s="901"/>
      <c r="NRI331" s="901"/>
      <c r="NRJ331" s="901"/>
      <c r="NRK331" s="901"/>
      <c r="NRL331" s="901"/>
      <c r="NRM331" s="901"/>
      <c r="NRN331" s="901"/>
      <c r="NRO331" s="901"/>
      <c r="NRP331" s="901"/>
      <c r="NRQ331" s="901"/>
      <c r="NRR331" s="901"/>
      <c r="NRS331" s="901"/>
      <c r="NRT331" s="902"/>
      <c r="NRU331" s="901"/>
      <c r="NRV331" s="901"/>
      <c r="NRW331" s="901"/>
      <c r="NRX331" s="901"/>
      <c r="NRY331" s="901"/>
      <c r="NRZ331" s="901"/>
      <c r="NSA331" s="901"/>
      <c r="NSB331" s="901"/>
      <c r="NSC331" s="901"/>
      <c r="NSD331" s="901"/>
      <c r="NSE331" s="901"/>
      <c r="NSF331" s="901"/>
      <c r="NSG331" s="901"/>
      <c r="NSH331" s="901"/>
      <c r="NSI331" s="901"/>
      <c r="NSJ331" s="901"/>
      <c r="NSK331" s="901"/>
      <c r="NSL331" s="901"/>
      <c r="NSM331" s="901"/>
      <c r="NSN331" s="901"/>
      <c r="NSO331" s="901"/>
      <c r="NSP331" s="901"/>
      <c r="NSQ331" s="901"/>
      <c r="NSR331" s="901"/>
      <c r="NSS331" s="901"/>
      <c r="NST331" s="901"/>
      <c r="NSU331" s="901"/>
      <c r="NSV331" s="901"/>
      <c r="NSW331" s="902"/>
      <c r="NSX331" s="901"/>
      <c r="NSY331" s="901"/>
      <c r="NSZ331" s="901"/>
      <c r="NTA331" s="901"/>
      <c r="NTB331" s="901"/>
      <c r="NTC331" s="901"/>
      <c r="NTD331" s="901"/>
      <c r="NTE331" s="901"/>
      <c r="NTF331" s="901"/>
      <c r="NTG331" s="901"/>
      <c r="NTH331" s="901"/>
      <c r="NTI331" s="901"/>
      <c r="NTJ331" s="901"/>
      <c r="NTK331" s="901"/>
      <c r="NTL331" s="901"/>
      <c r="NTM331" s="901"/>
      <c r="NTN331" s="901"/>
      <c r="NTO331" s="901"/>
      <c r="NTP331" s="901"/>
      <c r="NTQ331" s="901"/>
      <c r="NTR331" s="901"/>
      <c r="NTS331" s="901"/>
      <c r="NTT331" s="901"/>
      <c r="NTU331" s="901"/>
      <c r="NTV331" s="901"/>
      <c r="NTW331" s="901"/>
      <c r="NTX331" s="901"/>
      <c r="NTY331" s="901"/>
      <c r="NTZ331" s="902"/>
      <c r="NUA331" s="901"/>
      <c r="NUB331" s="901"/>
      <c r="NUC331" s="901"/>
      <c r="NUD331" s="901"/>
      <c r="NUE331" s="901"/>
      <c r="NUF331" s="901"/>
      <c r="NUG331" s="901"/>
      <c r="NUH331" s="901"/>
      <c r="NUI331" s="901"/>
      <c r="NUJ331" s="901"/>
      <c r="NUK331" s="901"/>
      <c r="NUL331" s="901"/>
      <c r="NUM331" s="901"/>
      <c r="NUN331" s="901"/>
      <c r="NUO331" s="901"/>
      <c r="NUP331" s="901"/>
      <c r="NUQ331" s="901"/>
      <c r="NUR331" s="901"/>
      <c r="NUS331" s="901"/>
      <c r="NUT331" s="901"/>
      <c r="NUU331" s="901"/>
      <c r="NUV331" s="901"/>
      <c r="NUW331" s="901"/>
      <c r="NUX331" s="901"/>
      <c r="NUY331" s="901"/>
      <c r="NUZ331" s="901"/>
      <c r="NVA331" s="901"/>
      <c r="NVB331" s="901"/>
      <c r="NVC331" s="902"/>
      <c r="NVD331" s="901"/>
      <c r="NVE331" s="901"/>
      <c r="NVF331" s="901"/>
      <c r="NVG331" s="901"/>
      <c r="NVH331" s="901"/>
      <c r="NVI331" s="901"/>
      <c r="NVJ331" s="901"/>
      <c r="NVK331" s="901"/>
      <c r="NVL331" s="901"/>
      <c r="NVM331" s="901"/>
      <c r="NVN331" s="901"/>
      <c r="NVO331" s="901"/>
      <c r="NVP331" s="901"/>
      <c r="NVQ331" s="901"/>
      <c r="NVR331" s="901"/>
      <c r="NVS331" s="901"/>
      <c r="NVT331" s="901"/>
      <c r="NVU331" s="901"/>
      <c r="NVV331" s="901"/>
      <c r="NVW331" s="901"/>
      <c r="NVX331" s="901"/>
      <c r="NVY331" s="901"/>
      <c r="NVZ331" s="901"/>
      <c r="NWA331" s="901"/>
      <c r="NWB331" s="901"/>
      <c r="NWC331" s="901"/>
      <c r="NWD331" s="901"/>
      <c r="NWE331" s="901"/>
      <c r="NWF331" s="902"/>
      <c r="NWG331" s="901"/>
      <c r="NWH331" s="901"/>
      <c r="NWI331" s="901"/>
      <c r="NWJ331" s="901"/>
      <c r="NWK331" s="901"/>
      <c r="NWL331" s="901"/>
      <c r="NWM331" s="901"/>
      <c r="NWN331" s="901"/>
      <c r="NWO331" s="901"/>
      <c r="NWP331" s="901"/>
      <c r="NWQ331" s="901"/>
      <c r="NWR331" s="901"/>
      <c r="NWS331" s="901"/>
      <c r="NWT331" s="901"/>
      <c r="NWU331" s="901"/>
      <c r="NWV331" s="901"/>
      <c r="NWW331" s="901"/>
      <c r="NWX331" s="901"/>
      <c r="NWY331" s="901"/>
      <c r="NWZ331" s="901"/>
      <c r="NXA331" s="901"/>
      <c r="NXB331" s="901"/>
      <c r="NXC331" s="901"/>
      <c r="NXD331" s="901"/>
      <c r="NXE331" s="901"/>
      <c r="NXF331" s="901"/>
      <c r="NXG331" s="901"/>
      <c r="NXH331" s="901"/>
      <c r="NXI331" s="902"/>
      <c r="NXJ331" s="901"/>
      <c r="NXK331" s="901"/>
      <c r="NXL331" s="901"/>
      <c r="NXM331" s="901"/>
      <c r="NXN331" s="901"/>
      <c r="NXO331" s="901"/>
      <c r="NXP331" s="901"/>
      <c r="NXQ331" s="901"/>
      <c r="NXR331" s="901"/>
      <c r="NXS331" s="901"/>
      <c r="NXT331" s="901"/>
      <c r="NXU331" s="901"/>
      <c r="NXV331" s="901"/>
      <c r="NXW331" s="901"/>
      <c r="NXX331" s="901"/>
      <c r="NXY331" s="901"/>
      <c r="NXZ331" s="901"/>
      <c r="NYA331" s="901"/>
      <c r="NYB331" s="901"/>
      <c r="NYC331" s="901"/>
      <c r="NYD331" s="901"/>
      <c r="NYE331" s="901"/>
      <c r="NYF331" s="901"/>
      <c r="NYG331" s="901"/>
      <c r="NYH331" s="901"/>
      <c r="NYI331" s="901"/>
      <c r="NYJ331" s="901"/>
      <c r="NYK331" s="901"/>
      <c r="NYL331" s="902"/>
      <c r="NYM331" s="901"/>
      <c r="NYN331" s="901"/>
      <c r="NYO331" s="901"/>
      <c r="NYP331" s="901"/>
      <c r="NYQ331" s="901"/>
      <c r="NYR331" s="901"/>
      <c r="NYS331" s="901"/>
      <c r="NYT331" s="901"/>
      <c r="NYU331" s="901"/>
      <c r="NYV331" s="901"/>
      <c r="NYW331" s="901"/>
      <c r="NYX331" s="901"/>
      <c r="NYY331" s="901"/>
      <c r="NYZ331" s="901"/>
      <c r="NZA331" s="901"/>
      <c r="NZB331" s="901"/>
      <c r="NZC331" s="901"/>
      <c r="NZD331" s="901"/>
      <c r="NZE331" s="901"/>
      <c r="NZF331" s="901"/>
      <c r="NZG331" s="901"/>
      <c r="NZH331" s="901"/>
      <c r="NZI331" s="901"/>
      <c r="NZJ331" s="901"/>
      <c r="NZK331" s="901"/>
      <c r="NZL331" s="901"/>
      <c r="NZM331" s="901"/>
      <c r="NZN331" s="901"/>
      <c r="NZO331" s="902"/>
      <c r="NZP331" s="901"/>
      <c r="NZQ331" s="901"/>
      <c r="NZR331" s="901"/>
      <c r="NZS331" s="901"/>
      <c r="NZT331" s="901"/>
      <c r="NZU331" s="901"/>
      <c r="NZV331" s="901"/>
      <c r="NZW331" s="901"/>
      <c r="NZX331" s="901"/>
      <c r="NZY331" s="901"/>
      <c r="NZZ331" s="901"/>
      <c r="OAA331" s="901"/>
      <c r="OAB331" s="901"/>
      <c r="OAC331" s="901"/>
      <c r="OAD331" s="901"/>
      <c r="OAE331" s="901"/>
      <c r="OAF331" s="901"/>
      <c r="OAG331" s="901"/>
      <c r="OAH331" s="901"/>
      <c r="OAI331" s="901"/>
      <c r="OAJ331" s="901"/>
      <c r="OAK331" s="901"/>
      <c r="OAL331" s="901"/>
      <c r="OAM331" s="901"/>
      <c r="OAN331" s="901"/>
      <c r="OAO331" s="901"/>
      <c r="OAP331" s="901"/>
      <c r="OAQ331" s="901"/>
      <c r="OAR331" s="902"/>
      <c r="OAS331" s="901"/>
      <c r="OAT331" s="901"/>
      <c r="OAU331" s="901"/>
      <c r="OAV331" s="901"/>
      <c r="OAW331" s="901"/>
      <c r="OAX331" s="901"/>
      <c r="OAY331" s="901"/>
      <c r="OAZ331" s="901"/>
      <c r="OBA331" s="901"/>
      <c r="OBB331" s="901"/>
      <c r="OBC331" s="901"/>
      <c r="OBD331" s="901"/>
      <c r="OBE331" s="901"/>
      <c r="OBF331" s="901"/>
      <c r="OBG331" s="901"/>
      <c r="OBH331" s="901"/>
      <c r="OBI331" s="901"/>
      <c r="OBJ331" s="901"/>
      <c r="OBK331" s="901"/>
      <c r="OBL331" s="901"/>
      <c r="OBM331" s="901"/>
      <c r="OBN331" s="901"/>
      <c r="OBO331" s="901"/>
      <c r="OBP331" s="901"/>
      <c r="OBQ331" s="901"/>
      <c r="OBR331" s="901"/>
      <c r="OBS331" s="901"/>
      <c r="OBT331" s="901"/>
      <c r="OBU331" s="902"/>
      <c r="OBV331" s="901"/>
      <c r="OBW331" s="901"/>
      <c r="OBX331" s="901"/>
      <c r="OBY331" s="901"/>
      <c r="OBZ331" s="901"/>
      <c r="OCA331" s="901"/>
      <c r="OCB331" s="901"/>
      <c r="OCC331" s="901"/>
      <c r="OCD331" s="901"/>
      <c r="OCE331" s="901"/>
      <c r="OCF331" s="901"/>
      <c r="OCG331" s="901"/>
      <c r="OCH331" s="901"/>
      <c r="OCI331" s="901"/>
      <c r="OCJ331" s="901"/>
      <c r="OCK331" s="901"/>
      <c r="OCL331" s="901"/>
      <c r="OCM331" s="901"/>
      <c r="OCN331" s="901"/>
      <c r="OCO331" s="901"/>
      <c r="OCP331" s="901"/>
      <c r="OCQ331" s="901"/>
      <c r="OCR331" s="901"/>
      <c r="OCS331" s="901"/>
      <c r="OCT331" s="901"/>
      <c r="OCU331" s="901"/>
      <c r="OCV331" s="901"/>
      <c r="OCW331" s="901"/>
      <c r="OCX331" s="902"/>
      <c r="OCY331" s="901"/>
      <c r="OCZ331" s="901"/>
      <c r="ODA331" s="901"/>
      <c r="ODB331" s="901"/>
      <c r="ODC331" s="901"/>
      <c r="ODD331" s="901"/>
      <c r="ODE331" s="901"/>
      <c r="ODF331" s="901"/>
      <c r="ODG331" s="901"/>
      <c r="ODH331" s="901"/>
      <c r="ODI331" s="901"/>
      <c r="ODJ331" s="901"/>
      <c r="ODK331" s="901"/>
      <c r="ODL331" s="901"/>
      <c r="ODM331" s="901"/>
      <c r="ODN331" s="901"/>
      <c r="ODO331" s="901"/>
      <c r="ODP331" s="901"/>
      <c r="ODQ331" s="901"/>
      <c r="ODR331" s="901"/>
      <c r="ODS331" s="901"/>
      <c r="ODT331" s="901"/>
      <c r="ODU331" s="901"/>
      <c r="ODV331" s="901"/>
      <c r="ODW331" s="901"/>
      <c r="ODX331" s="901"/>
      <c r="ODY331" s="901"/>
      <c r="ODZ331" s="901"/>
      <c r="OEA331" s="902"/>
      <c r="OEB331" s="901"/>
      <c r="OEC331" s="901"/>
      <c r="OED331" s="901"/>
      <c r="OEE331" s="901"/>
      <c r="OEF331" s="901"/>
      <c r="OEG331" s="901"/>
      <c r="OEH331" s="901"/>
      <c r="OEI331" s="901"/>
      <c r="OEJ331" s="901"/>
      <c r="OEK331" s="901"/>
      <c r="OEL331" s="901"/>
      <c r="OEM331" s="901"/>
      <c r="OEN331" s="901"/>
      <c r="OEO331" s="901"/>
      <c r="OEP331" s="901"/>
      <c r="OEQ331" s="901"/>
      <c r="OER331" s="901"/>
      <c r="OES331" s="901"/>
      <c r="OET331" s="901"/>
      <c r="OEU331" s="901"/>
      <c r="OEV331" s="901"/>
      <c r="OEW331" s="901"/>
      <c r="OEX331" s="901"/>
      <c r="OEY331" s="901"/>
      <c r="OEZ331" s="901"/>
      <c r="OFA331" s="901"/>
      <c r="OFB331" s="901"/>
      <c r="OFC331" s="901"/>
      <c r="OFD331" s="902"/>
      <c r="OFE331" s="901"/>
      <c r="OFF331" s="901"/>
      <c r="OFG331" s="901"/>
      <c r="OFH331" s="901"/>
      <c r="OFI331" s="901"/>
      <c r="OFJ331" s="901"/>
      <c r="OFK331" s="901"/>
      <c r="OFL331" s="901"/>
      <c r="OFM331" s="901"/>
      <c r="OFN331" s="901"/>
      <c r="OFO331" s="901"/>
      <c r="OFP331" s="901"/>
      <c r="OFQ331" s="901"/>
      <c r="OFR331" s="901"/>
      <c r="OFS331" s="901"/>
      <c r="OFT331" s="901"/>
      <c r="OFU331" s="901"/>
      <c r="OFV331" s="901"/>
      <c r="OFW331" s="901"/>
      <c r="OFX331" s="901"/>
      <c r="OFY331" s="901"/>
      <c r="OFZ331" s="901"/>
      <c r="OGA331" s="901"/>
      <c r="OGB331" s="901"/>
      <c r="OGC331" s="901"/>
      <c r="OGD331" s="901"/>
      <c r="OGE331" s="901"/>
      <c r="OGF331" s="901"/>
      <c r="OGG331" s="902"/>
      <c r="OGH331" s="901"/>
      <c r="OGI331" s="901"/>
      <c r="OGJ331" s="901"/>
      <c r="OGK331" s="901"/>
      <c r="OGL331" s="901"/>
      <c r="OGM331" s="901"/>
      <c r="OGN331" s="901"/>
      <c r="OGO331" s="901"/>
      <c r="OGP331" s="901"/>
      <c r="OGQ331" s="901"/>
      <c r="OGR331" s="901"/>
      <c r="OGS331" s="901"/>
      <c r="OGT331" s="901"/>
      <c r="OGU331" s="901"/>
      <c r="OGV331" s="901"/>
      <c r="OGW331" s="901"/>
      <c r="OGX331" s="901"/>
      <c r="OGY331" s="901"/>
      <c r="OGZ331" s="901"/>
      <c r="OHA331" s="901"/>
      <c r="OHB331" s="901"/>
      <c r="OHC331" s="901"/>
      <c r="OHD331" s="901"/>
      <c r="OHE331" s="901"/>
      <c r="OHF331" s="901"/>
      <c r="OHG331" s="901"/>
      <c r="OHH331" s="901"/>
      <c r="OHI331" s="901"/>
      <c r="OHJ331" s="902"/>
      <c r="OHK331" s="901"/>
      <c r="OHL331" s="901"/>
      <c r="OHM331" s="901"/>
      <c r="OHN331" s="901"/>
      <c r="OHO331" s="901"/>
      <c r="OHP331" s="901"/>
      <c r="OHQ331" s="901"/>
      <c r="OHR331" s="901"/>
      <c r="OHS331" s="901"/>
      <c r="OHT331" s="901"/>
      <c r="OHU331" s="901"/>
      <c r="OHV331" s="901"/>
      <c r="OHW331" s="901"/>
      <c r="OHX331" s="901"/>
      <c r="OHY331" s="901"/>
      <c r="OHZ331" s="901"/>
      <c r="OIA331" s="901"/>
      <c r="OIB331" s="901"/>
      <c r="OIC331" s="901"/>
      <c r="OID331" s="901"/>
      <c r="OIE331" s="901"/>
      <c r="OIF331" s="901"/>
      <c r="OIG331" s="901"/>
      <c r="OIH331" s="901"/>
      <c r="OII331" s="901"/>
      <c r="OIJ331" s="901"/>
      <c r="OIK331" s="901"/>
      <c r="OIL331" s="901"/>
      <c r="OIM331" s="902"/>
      <c r="OIN331" s="901"/>
      <c r="OIO331" s="901"/>
      <c r="OIP331" s="901"/>
      <c r="OIQ331" s="901"/>
      <c r="OIR331" s="901"/>
      <c r="OIS331" s="901"/>
      <c r="OIT331" s="901"/>
      <c r="OIU331" s="901"/>
      <c r="OIV331" s="901"/>
      <c r="OIW331" s="901"/>
      <c r="OIX331" s="901"/>
      <c r="OIY331" s="901"/>
      <c r="OIZ331" s="901"/>
      <c r="OJA331" s="901"/>
      <c r="OJB331" s="901"/>
      <c r="OJC331" s="901"/>
      <c r="OJD331" s="901"/>
      <c r="OJE331" s="901"/>
      <c r="OJF331" s="901"/>
      <c r="OJG331" s="901"/>
      <c r="OJH331" s="901"/>
      <c r="OJI331" s="901"/>
      <c r="OJJ331" s="901"/>
      <c r="OJK331" s="901"/>
      <c r="OJL331" s="901"/>
      <c r="OJM331" s="901"/>
      <c r="OJN331" s="901"/>
      <c r="OJO331" s="901"/>
      <c r="OJP331" s="902"/>
      <c r="OJQ331" s="901"/>
      <c r="OJR331" s="901"/>
      <c r="OJS331" s="901"/>
      <c r="OJT331" s="901"/>
      <c r="OJU331" s="901"/>
      <c r="OJV331" s="901"/>
      <c r="OJW331" s="901"/>
      <c r="OJX331" s="901"/>
      <c r="OJY331" s="901"/>
      <c r="OJZ331" s="901"/>
      <c r="OKA331" s="901"/>
      <c r="OKB331" s="901"/>
      <c r="OKC331" s="901"/>
      <c r="OKD331" s="901"/>
      <c r="OKE331" s="901"/>
      <c r="OKF331" s="901"/>
      <c r="OKG331" s="901"/>
      <c r="OKH331" s="901"/>
      <c r="OKI331" s="901"/>
      <c r="OKJ331" s="901"/>
      <c r="OKK331" s="901"/>
      <c r="OKL331" s="901"/>
      <c r="OKM331" s="901"/>
      <c r="OKN331" s="901"/>
      <c r="OKO331" s="901"/>
      <c r="OKP331" s="901"/>
      <c r="OKQ331" s="901"/>
      <c r="OKR331" s="901"/>
      <c r="OKS331" s="902"/>
      <c r="OKT331" s="901"/>
      <c r="OKU331" s="901"/>
      <c r="OKV331" s="901"/>
      <c r="OKW331" s="901"/>
      <c r="OKX331" s="901"/>
      <c r="OKY331" s="901"/>
      <c r="OKZ331" s="901"/>
      <c r="OLA331" s="901"/>
      <c r="OLB331" s="901"/>
      <c r="OLC331" s="901"/>
      <c r="OLD331" s="901"/>
      <c r="OLE331" s="901"/>
      <c r="OLF331" s="901"/>
      <c r="OLG331" s="901"/>
      <c r="OLH331" s="901"/>
      <c r="OLI331" s="901"/>
      <c r="OLJ331" s="901"/>
      <c r="OLK331" s="901"/>
      <c r="OLL331" s="901"/>
      <c r="OLM331" s="901"/>
      <c r="OLN331" s="901"/>
      <c r="OLO331" s="901"/>
      <c r="OLP331" s="901"/>
      <c r="OLQ331" s="901"/>
      <c r="OLR331" s="901"/>
      <c r="OLS331" s="901"/>
      <c r="OLT331" s="901"/>
      <c r="OLU331" s="901"/>
      <c r="OLV331" s="902"/>
      <c r="OLW331" s="901"/>
      <c r="OLX331" s="901"/>
      <c r="OLY331" s="901"/>
      <c r="OLZ331" s="901"/>
      <c r="OMA331" s="901"/>
      <c r="OMB331" s="901"/>
      <c r="OMC331" s="901"/>
      <c r="OMD331" s="901"/>
      <c r="OME331" s="901"/>
      <c r="OMF331" s="901"/>
      <c r="OMG331" s="901"/>
      <c r="OMH331" s="901"/>
      <c r="OMI331" s="901"/>
      <c r="OMJ331" s="901"/>
      <c r="OMK331" s="901"/>
      <c r="OML331" s="901"/>
      <c r="OMM331" s="901"/>
      <c r="OMN331" s="901"/>
      <c r="OMO331" s="901"/>
      <c r="OMP331" s="901"/>
      <c r="OMQ331" s="901"/>
      <c r="OMR331" s="901"/>
      <c r="OMS331" s="901"/>
      <c r="OMT331" s="901"/>
      <c r="OMU331" s="901"/>
      <c r="OMV331" s="901"/>
      <c r="OMW331" s="901"/>
      <c r="OMX331" s="901"/>
      <c r="OMY331" s="902"/>
      <c r="OMZ331" s="901"/>
      <c r="ONA331" s="901"/>
      <c r="ONB331" s="901"/>
      <c r="ONC331" s="901"/>
      <c r="OND331" s="901"/>
      <c r="ONE331" s="901"/>
      <c r="ONF331" s="901"/>
      <c r="ONG331" s="901"/>
      <c r="ONH331" s="901"/>
      <c r="ONI331" s="901"/>
      <c r="ONJ331" s="901"/>
      <c r="ONK331" s="901"/>
      <c r="ONL331" s="901"/>
      <c r="ONM331" s="901"/>
      <c r="ONN331" s="901"/>
      <c r="ONO331" s="901"/>
      <c r="ONP331" s="901"/>
      <c r="ONQ331" s="901"/>
      <c r="ONR331" s="901"/>
      <c r="ONS331" s="901"/>
      <c r="ONT331" s="901"/>
      <c r="ONU331" s="901"/>
      <c r="ONV331" s="901"/>
      <c r="ONW331" s="901"/>
      <c r="ONX331" s="901"/>
      <c r="ONY331" s="901"/>
      <c r="ONZ331" s="901"/>
      <c r="OOA331" s="901"/>
      <c r="OOB331" s="902"/>
      <c r="OOC331" s="901"/>
      <c r="OOD331" s="901"/>
      <c r="OOE331" s="901"/>
      <c r="OOF331" s="901"/>
      <c r="OOG331" s="901"/>
      <c r="OOH331" s="901"/>
      <c r="OOI331" s="901"/>
      <c r="OOJ331" s="901"/>
      <c r="OOK331" s="901"/>
      <c r="OOL331" s="901"/>
      <c r="OOM331" s="901"/>
      <c r="OON331" s="901"/>
      <c r="OOO331" s="901"/>
      <c r="OOP331" s="901"/>
      <c r="OOQ331" s="901"/>
      <c r="OOR331" s="901"/>
      <c r="OOS331" s="901"/>
      <c r="OOT331" s="901"/>
      <c r="OOU331" s="901"/>
      <c r="OOV331" s="901"/>
      <c r="OOW331" s="901"/>
      <c r="OOX331" s="901"/>
      <c r="OOY331" s="901"/>
      <c r="OOZ331" s="901"/>
      <c r="OPA331" s="901"/>
      <c r="OPB331" s="901"/>
      <c r="OPC331" s="901"/>
      <c r="OPD331" s="901"/>
      <c r="OPE331" s="902"/>
      <c r="OPF331" s="901"/>
      <c r="OPG331" s="901"/>
      <c r="OPH331" s="901"/>
      <c r="OPI331" s="901"/>
      <c r="OPJ331" s="901"/>
      <c r="OPK331" s="901"/>
      <c r="OPL331" s="901"/>
      <c r="OPM331" s="901"/>
      <c r="OPN331" s="901"/>
      <c r="OPO331" s="901"/>
      <c r="OPP331" s="901"/>
      <c r="OPQ331" s="901"/>
      <c r="OPR331" s="901"/>
      <c r="OPS331" s="901"/>
      <c r="OPT331" s="901"/>
      <c r="OPU331" s="901"/>
      <c r="OPV331" s="901"/>
      <c r="OPW331" s="901"/>
      <c r="OPX331" s="901"/>
      <c r="OPY331" s="901"/>
      <c r="OPZ331" s="901"/>
      <c r="OQA331" s="901"/>
      <c r="OQB331" s="901"/>
      <c r="OQC331" s="901"/>
      <c r="OQD331" s="901"/>
      <c r="OQE331" s="901"/>
      <c r="OQF331" s="901"/>
      <c r="OQG331" s="901"/>
      <c r="OQH331" s="902"/>
      <c r="OQI331" s="901"/>
      <c r="OQJ331" s="901"/>
      <c r="OQK331" s="901"/>
      <c r="OQL331" s="901"/>
      <c r="OQM331" s="901"/>
      <c r="OQN331" s="901"/>
      <c r="OQO331" s="901"/>
      <c r="OQP331" s="901"/>
      <c r="OQQ331" s="901"/>
      <c r="OQR331" s="901"/>
      <c r="OQS331" s="901"/>
      <c r="OQT331" s="901"/>
      <c r="OQU331" s="901"/>
      <c r="OQV331" s="901"/>
      <c r="OQW331" s="901"/>
      <c r="OQX331" s="901"/>
      <c r="OQY331" s="901"/>
      <c r="OQZ331" s="901"/>
      <c r="ORA331" s="901"/>
      <c r="ORB331" s="901"/>
      <c r="ORC331" s="901"/>
      <c r="ORD331" s="901"/>
      <c r="ORE331" s="901"/>
      <c r="ORF331" s="901"/>
      <c r="ORG331" s="901"/>
      <c r="ORH331" s="901"/>
      <c r="ORI331" s="901"/>
      <c r="ORJ331" s="901"/>
      <c r="ORK331" s="902"/>
      <c r="ORL331" s="901"/>
      <c r="ORM331" s="901"/>
      <c r="ORN331" s="901"/>
      <c r="ORO331" s="901"/>
      <c r="ORP331" s="901"/>
      <c r="ORQ331" s="901"/>
      <c r="ORR331" s="901"/>
      <c r="ORS331" s="901"/>
      <c r="ORT331" s="901"/>
      <c r="ORU331" s="901"/>
      <c r="ORV331" s="901"/>
      <c r="ORW331" s="901"/>
      <c r="ORX331" s="901"/>
      <c r="ORY331" s="901"/>
      <c r="ORZ331" s="901"/>
      <c r="OSA331" s="901"/>
      <c r="OSB331" s="901"/>
      <c r="OSC331" s="901"/>
      <c r="OSD331" s="901"/>
      <c r="OSE331" s="901"/>
      <c r="OSF331" s="901"/>
      <c r="OSG331" s="901"/>
      <c r="OSH331" s="901"/>
      <c r="OSI331" s="901"/>
      <c r="OSJ331" s="901"/>
      <c r="OSK331" s="901"/>
      <c r="OSL331" s="901"/>
      <c r="OSM331" s="901"/>
      <c r="OSN331" s="902"/>
      <c r="OSO331" s="901"/>
      <c r="OSP331" s="901"/>
      <c r="OSQ331" s="901"/>
      <c r="OSR331" s="901"/>
      <c r="OSS331" s="901"/>
      <c r="OST331" s="901"/>
      <c r="OSU331" s="901"/>
      <c r="OSV331" s="901"/>
      <c r="OSW331" s="901"/>
      <c r="OSX331" s="901"/>
      <c r="OSY331" s="901"/>
      <c r="OSZ331" s="901"/>
      <c r="OTA331" s="901"/>
      <c r="OTB331" s="901"/>
      <c r="OTC331" s="901"/>
      <c r="OTD331" s="901"/>
      <c r="OTE331" s="901"/>
      <c r="OTF331" s="901"/>
      <c r="OTG331" s="901"/>
      <c r="OTH331" s="901"/>
      <c r="OTI331" s="901"/>
      <c r="OTJ331" s="901"/>
      <c r="OTK331" s="901"/>
      <c r="OTL331" s="901"/>
      <c r="OTM331" s="901"/>
      <c r="OTN331" s="901"/>
      <c r="OTO331" s="901"/>
      <c r="OTP331" s="901"/>
      <c r="OTQ331" s="902"/>
      <c r="OTR331" s="901"/>
      <c r="OTS331" s="901"/>
      <c r="OTT331" s="901"/>
      <c r="OTU331" s="901"/>
      <c r="OTV331" s="901"/>
      <c r="OTW331" s="901"/>
      <c r="OTX331" s="901"/>
      <c r="OTY331" s="901"/>
      <c r="OTZ331" s="901"/>
      <c r="OUA331" s="901"/>
      <c r="OUB331" s="901"/>
      <c r="OUC331" s="901"/>
      <c r="OUD331" s="901"/>
      <c r="OUE331" s="901"/>
      <c r="OUF331" s="901"/>
      <c r="OUG331" s="901"/>
      <c r="OUH331" s="901"/>
      <c r="OUI331" s="901"/>
      <c r="OUJ331" s="901"/>
      <c r="OUK331" s="901"/>
      <c r="OUL331" s="901"/>
      <c r="OUM331" s="901"/>
      <c r="OUN331" s="901"/>
      <c r="OUO331" s="901"/>
      <c r="OUP331" s="901"/>
      <c r="OUQ331" s="901"/>
      <c r="OUR331" s="901"/>
      <c r="OUS331" s="901"/>
      <c r="OUT331" s="902"/>
      <c r="OUU331" s="901"/>
      <c r="OUV331" s="901"/>
      <c r="OUW331" s="901"/>
      <c r="OUX331" s="901"/>
      <c r="OUY331" s="901"/>
      <c r="OUZ331" s="901"/>
      <c r="OVA331" s="901"/>
      <c r="OVB331" s="901"/>
      <c r="OVC331" s="901"/>
      <c r="OVD331" s="901"/>
      <c r="OVE331" s="901"/>
      <c r="OVF331" s="901"/>
      <c r="OVG331" s="901"/>
      <c r="OVH331" s="901"/>
      <c r="OVI331" s="901"/>
      <c r="OVJ331" s="901"/>
      <c r="OVK331" s="901"/>
      <c r="OVL331" s="901"/>
      <c r="OVM331" s="901"/>
      <c r="OVN331" s="901"/>
      <c r="OVO331" s="901"/>
      <c r="OVP331" s="901"/>
      <c r="OVQ331" s="901"/>
      <c r="OVR331" s="901"/>
      <c r="OVS331" s="901"/>
      <c r="OVT331" s="901"/>
      <c r="OVU331" s="901"/>
      <c r="OVV331" s="901"/>
      <c r="OVW331" s="902"/>
      <c r="OVX331" s="901"/>
      <c r="OVY331" s="901"/>
      <c r="OVZ331" s="901"/>
      <c r="OWA331" s="901"/>
      <c r="OWB331" s="901"/>
      <c r="OWC331" s="901"/>
      <c r="OWD331" s="901"/>
      <c r="OWE331" s="901"/>
      <c r="OWF331" s="901"/>
      <c r="OWG331" s="901"/>
      <c r="OWH331" s="901"/>
      <c r="OWI331" s="901"/>
      <c r="OWJ331" s="901"/>
      <c r="OWK331" s="901"/>
      <c r="OWL331" s="901"/>
      <c r="OWM331" s="901"/>
      <c r="OWN331" s="901"/>
      <c r="OWO331" s="901"/>
      <c r="OWP331" s="901"/>
      <c r="OWQ331" s="901"/>
      <c r="OWR331" s="901"/>
      <c r="OWS331" s="901"/>
      <c r="OWT331" s="901"/>
      <c r="OWU331" s="901"/>
      <c r="OWV331" s="901"/>
      <c r="OWW331" s="901"/>
      <c r="OWX331" s="901"/>
      <c r="OWY331" s="901"/>
      <c r="OWZ331" s="902"/>
      <c r="OXA331" s="901"/>
      <c r="OXB331" s="901"/>
      <c r="OXC331" s="901"/>
      <c r="OXD331" s="901"/>
      <c r="OXE331" s="901"/>
      <c r="OXF331" s="901"/>
      <c r="OXG331" s="901"/>
      <c r="OXH331" s="901"/>
      <c r="OXI331" s="901"/>
      <c r="OXJ331" s="901"/>
      <c r="OXK331" s="901"/>
      <c r="OXL331" s="901"/>
      <c r="OXM331" s="901"/>
      <c r="OXN331" s="901"/>
      <c r="OXO331" s="901"/>
      <c r="OXP331" s="901"/>
      <c r="OXQ331" s="901"/>
      <c r="OXR331" s="901"/>
      <c r="OXS331" s="901"/>
      <c r="OXT331" s="901"/>
      <c r="OXU331" s="901"/>
      <c r="OXV331" s="901"/>
      <c r="OXW331" s="901"/>
      <c r="OXX331" s="901"/>
      <c r="OXY331" s="901"/>
      <c r="OXZ331" s="901"/>
      <c r="OYA331" s="901"/>
      <c r="OYB331" s="901"/>
      <c r="OYC331" s="902"/>
      <c r="OYD331" s="901"/>
      <c r="OYE331" s="901"/>
      <c r="OYF331" s="901"/>
      <c r="OYG331" s="901"/>
      <c r="OYH331" s="901"/>
      <c r="OYI331" s="901"/>
      <c r="OYJ331" s="901"/>
      <c r="OYK331" s="901"/>
      <c r="OYL331" s="901"/>
      <c r="OYM331" s="901"/>
      <c r="OYN331" s="901"/>
      <c r="OYO331" s="901"/>
      <c r="OYP331" s="901"/>
      <c r="OYQ331" s="901"/>
      <c r="OYR331" s="901"/>
      <c r="OYS331" s="901"/>
      <c r="OYT331" s="901"/>
      <c r="OYU331" s="901"/>
      <c r="OYV331" s="901"/>
      <c r="OYW331" s="901"/>
      <c r="OYX331" s="901"/>
      <c r="OYY331" s="901"/>
      <c r="OYZ331" s="901"/>
      <c r="OZA331" s="901"/>
      <c r="OZB331" s="901"/>
      <c r="OZC331" s="901"/>
      <c r="OZD331" s="901"/>
      <c r="OZE331" s="901"/>
      <c r="OZF331" s="902"/>
      <c r="OZG331" s="901"/>
      <c r="OZH331" s="901"/>
      <c r="OZI331" s="901"/>
      <c r="OZJ331" s="901"/>
      <c r="OZK331" s="901"/>
      <c r="OZL331" s="901"/>
      <c r="OZM331" s="901"/>
      <c r="OZN331" s="901"/>
      <c r="OZO331" s="901"/>
      <c r="OZP331" s="901"/>
      <c r="OZQ331" s="901"/>
      <c r="OZR331" s="901"/>
      <c r="OZS331" s="901"/>
      <c r="OZT331" s="901"/>
      <c r="OZU331" s="901"/>
      <c r="OZV331" s="901"/>
      <c r="OZW331" s="901"/>
      <c r="OZX331" s="901"/>
      <c r="OZY331" s="901"/>
      <c r="OZZ331" s="901"/>
      <c r="PAA331" s="901"/>
      <c r="PAB331" s="901"/>
      <c r="PAC331" s="901"/>
      <c r="PAD331" s="901"/>
      <c r="PAE331" s="901"/>
      <c r="PAF331" s="901"/>
      <c r="PAG331" s="901"/>
      <c r="PAH331" s="901"/>
      <c r="PAI331" s="902"/>
      <c r="PAJ331" s="901"/>
      <c r="PAK331" s="901"/>
      <c r="PAL331" s="901"/>
      <c r="PAM331" s="901"/>
      <c r="PAN331" s="901"/>
      <c r="PAO331" s="901"/>
      <c r="PAP331" s="901"/>
      <c r="PAQ331" s="901"/>
      <c r="PAR331" s="901"/>
      <c r="PAS331" s="901"/>
      <c r="PAT331" s="901"/>
      <c r="PAU331" s="901"/>
      <c r="PAV331" s="901"/>
      <c r="PAW331" s="901"/>
      <c r="PAX331" s="901"/>
      <c r="PAY331" s="901"/>
      <c r="PAZ331" s="901"/>
      <c r="PBA331" s="901"/>
      <c r="PBB331" s="901"/>
      <c r="PBC331" s="901"/>
      <c r="PBD331" s="901"/>
      <c r="PBE331" s="901"/>
      <c r="PBF331" s="901"/>
      <c r="PBG331" s="901"/>
      <c r="PBH331" s="901"/>
      <c r="PBI331" s="901"/>
      <c r="PBJ331" s="901"/>
      <c r="PBK331" s="901"/>
      <c r="PBL331" s="902"/>
      <c r="PBM331" s="901"/>
      <c r="PBN331" s="901"/>
      <c r="PBO331" s="901"/>
      <c r="PBP331" s="901"/>
      <c r="PBQ331" s="901"/>
      <c r="PBR331" s="901"/>
      <c r="PBS331" s="901"/>
      <c r="PBT331" s="901"/>
      <c r="PBU331" s="901"/>
      <c r="PBV331" s="901"/>
      <c r="PBW331" s="901"/>
      <c r="PBX331" s="901"/>
      <c r="PBY331" s="901"/>
      <c r="PBZ331" s="901"/>
      <c r="PCA331" s="901"/>
      <c r="PCB331" s="901"/>
      <c r="PCC331" s="901"/>
      <c r="PCD331" s="901"/>
      <c r="PCE331" s="901"/>
      <c r="PCF331" s="901"/>
      <c r="PCG331" s="901"/>
      <c r="PCH331" s="901"/>
      <c r="PCI331" s="901"/>
      <c r="PCJ331" s="901"/>
      <c r="PCK331" s="901"/>
      <c r="PCL331" s="901"/>
      <c r="PCM331" s="901"/>
      <c r="PCN331" s="901"/>
      <c r="PCO331" s="902"/>
      <c r="PCP331" s="901"/>
      <c r="PCQ331" s="901"/>
      <c r="PCR331" s="901"/>
      <c r="PCS331" s="901"/>
      <c r="PCT331" s="901"/>
      <c r="PCU331" s="901"/>
      <c r="PCV331" s="901"/>
      <c r="PCW331" s="901"/>
      <c r="PCX331" s="901"/>
      <c r="PCY331" s="901"/>
      <c r="PCZ331" s="901"/>
      <c r="PDA331" s="901"/>
      <c r="PDB331" s="901"/>
      <c r="PDC331" s="901"/>
      <c r="PDD331" s="901"/>
      <c r="PDE331" s="901"/>
      <c r="PDF331" s="901"/>
      <c r="PDG331" s="901"/>
      <c r="PDH331" s="901"/>
      <c r="PDI331" s="901"/>
      <c r="PDJ331" s="901"/>
      <c r="PDK331" s="901"/>
      <c r="PDL331" s="901"/>
      <c r="PDM331" s="901"/>
      <c r="PDN331" s="901"/>
      <c r="PDO331" s="901"/>
      <c r="PDP331" s="901"/>
      <c r="PDQ331" s="901"/>
      <c r="PDR331" s="902"/>
      <c r="PDS331" s="901"/>
      <c r="PDT331" s="901"/>
      <c r="PDU331" s="901"/>
      <c r="PDV331" s="901"/>
      <c r="PDW331" s="901"/>
      <c r="PDX331" s="901"/>
      <c r="PDY331" s="901"/>
      <c r="PDZ331" s="901"/>
      <c r="PEA331" s="901"/>
      <c r="PEB331" s="901"/>
      <c r="PEC331" s="901"/>
      <c r="PED331" s="901"/>
      <c r="PEE331" s="901"/>
      <c r="PEF331" s="901"/>
      <c r="PEG331" s="901"/>
      <c r="PEH331" s="901"/>
      <c r="PEI331" s="901"/>
      <c r="PEJ331" s="901"/>
      <c r="PEK331" s="901"/>
      <c r="PEL331" s="901"/>
      <c r="PEM331" s="901"/>
      <c r="PEN331" s="901"/>
      <c r="PEO331" s="901"/>
      <c r="PEP331" s="901"/>
      <c r="PEQ331" s="901"/>
      <c r="PER331" s="901"/>
      <c r="PES331" s="901"/>
      <c r="PET331" s="901"/>
      <c r="PEU331" s="902"/>
      <c r="PEV331" s="901"/>
      <c r="PEW331" s="901"/>
      <c r="PEX331" s="901"/>
      <c r="PEY331" s="901"/>
      <c r="PEZ331" s="901"/>
      <c r="PFA331" s="901"/>
      <c r="PFB331" s="901"/>
      <c r="PFC331" s="901"/>
      <c r="PFD331" s="901"/>
      <c r="PFE331" s="901"/>
      <c r="PFF331" s="901"/>
      <c r="PFG331" s="901"/>
      <c r="PFH331" s="901"/>
      <c r="PFI331" s="901"/>
      <c r="PFJ331" s="901"/>
      <c r="PFK331" s="901"/>
      <c r="PFL331" s="901"/>
      <c r="PFM331" s="901"/>
      <c r="PFN331" s="901"/>
      <c r="PFO331" s="901"/>
      <c r="PFP331" s="901"/>
      <c r="PFQ331" s="901"/>
      <c r="PFR331" s="901"/>
      <c r="PFS331" s="901"/>
      <c r="PFT331" s="901"/>
      <c r="PFU331" s="901"/>
      <c r="PFV331" s="901"/>
      <c r="PFW331" s="901"/>
      <c r="PFX331" s="902"/>
      <c r="PFY331" s="901"/>
      <c r="PFZ331" s="901"/>
      <c r="PGA331" s="901"/>
      <c r="PGB331" s="901"/>
      <c r="PGC331" s="901"/>
      <c r="PGD331" s="901"/>
      <c r="PGE331" s="901"/>
      <c r="PGF331" s="901"/>
      <c r="PGG331" s="901"/>
      <c r="PGH331" s="901"/>
      <c r="PGI331" s="901"/>
      <c r="PGJ331" s="901"/>
      <c r="PGK331" s="901"/>
      <c r="PGL331" s="901"/>
      <c r="PGM331" s="901"/>
      <c r="PGN331" s="901"/>
      <c r="PGO331" s="901"/>
      <c r="PGP331" s="901"/>
      <c r="PGQ331" s="901"/>
      <c r="PGR331" s="901"/>
      <c r="PGS331" s="901"/>
      <c r="PGT331" s="901"/>
      <c r="PGU331" s="901"/>
      <c r="PGV331" s="901"/>
      <c r="PGW331" s="901"/>
      <c r="PGX331" s="901"/>
      <c r="PGY331" s="901"/>
      <c r="PGZ331" s="901"/>
      <c r="PHA331" s="902"/>
      <c r="PHB331" s="901"/>
      <c r="PHC331" s="901"/>
      <c r="PHD331" s="901"/>
      <c r="PHE331" s="901"/>
      <c r="PHF331" s="901"/>
      <c r="PHG331" s="901"/>
      <c r="PHH331" s="901"/>
      <c r="PHI331" s="901"/>
      <c r="PHJ331" s="901"/>
      <c r="PHK331" s="901"/>
      <c r="PHL331" s="901"/>
      <c r="PHM331" s="901"/>
      <c r="PHN331" s="901"/>
      <c r="PHO331" s="901"/>
      <c r="PHP331" s="901"/>
      <c r="PHQ331" s="901"/>
      <c r="PHR331" s="901"/>
      <c r="PHS331" s="901"/>
      <c r="PHT331" s="901"/>
      <c r="PHU331" s="901"/>
      <c r="PHV331" s="901"/>
      <c r="PHW331" s="901"/>
      <c r="PHX331" s="901"/>
      <c r="PHY331" s="901"/>
      <c r="PHZ331" s="901"/>
      <c r="PIA331" s="901"/>
      <c r="PIB331" s="901"/>
      <c r="PIC331" s="901"/>
      <c r="PID331" s="902"/>
      <c r="PIE331" s="901"/>
      <c r="PIF331" s="901"/>
      <c r="PIG331" s="901"/>
      <c r="PIH331" s="901"/>
      <c r="PII331" s="901"/>
      <c r="PIJ331" s="901"/>
      <c r="PIK331" s="901"/>
      <c r="PIL331" s="901"/>
      <c r="PIM331" s="901"/>
      <c r="PIN331" s="901"/>
      <c r="PIO331" s="901"/>
      <c r="PIP331" s="901"/>
      <c r="PIQ331" s="901"/>
      <c r="PIR331" s="901"/>
      <c r="PIS331" s="901"/>
      <c r="PIT331" s="901"/>
      <c r="PIU331" s="901"/>
      <c r="PIV331" s="901"/>
      <c r="PIW331" s="901"/>
      <c r="PIX331" s="901"/>
      <c r="PIY331" s="901"/>
      <c r="PIZ331" s="901"/>
      <c r="PJA331" s="901"/>
      <c r="PJB331" s="901"/>
      <c r="PJC331" s="901"/>
      <c r="PJD331" s="901"/>
      <c r="PJE331" s="901"/>
      <c r="PJF331" s="901"/>
      <c r="PJG331" s="902"/>
      <c r="PJH331" s="901"/>
      <c r="PJI331" s="901"/>
      <c r="PJJ331" s="901"/>
      <c r="PJK331" s="901"/>
      <c r="PJL331" s="901"/>
      <c r="PJM331" s="901"/>
      <c r="PJN331" s="901"/>
      <c r="PJO331" s="901"/>
      <c r="PJP331" s="901"/>
      <c r="PJQ331" s="901"/>
      <c r="PJR331" s="901"/>
      <c r="PJS331" s="901"/>
      <c r="PJT331" s="901"/>
      <c r="PJU331" s="901"/>
      <c r="PJV331" s="901"/>
      <c r="PJW331" s="901"/>
      <c r="PJX331" s="901"/>
      <c r="PJY331" s="901"/>
      <c r="PJZ331" s="901"/>
      <c r="PKA331" s="901"/>
      <c r="PKB331" s="901"/>
      <c r="PKC331" s="901"/>
      <c r="PKD331" s="901"/>
      <c r="PKE331" s="901"/>
      <c r="PKF331" s="901"/>
      <c r="PKG331" s="901"/>
      <c r="PKH331" s="901"/>
      <c r="PKI331" s="901"/>
      <c r="PKJ331" s="902"/>
      <c r="PKK331" s="901"/>
      <c r="PKL331" s="901"/>
      <c r="PKM331" s="901"/>
      <c r="PKN331" s="901"/>
      <c r="PKO331" s="901"/>
      <c r="PKP331" s="901"/>
      <c r="PKQ331" s="901"/>
      <c r="PKR331" s="901"/>
      <c r="PKS331" s="901"/>
      <c r="PKT331" s="901"/>
      <c r="PKU331" s="901"/>
      <c r="PKV331" s="901"/>
      <c r="PKW331" s="901"/>
      <c r="PKX331" s="901"/>
      <c r="PKY331" s="901"/>
      <c r="PKZ331" s="901"/>
      <c r="PLA331" s="901"/>
      <c r="PLB331" s="901"/>
      <c r="PLC331" s="901"/>
      <c r="PLD331" s="901"/>
      <c r="PLE331" s="901"/>
      <c r="PLF331" s="901"/>
      <c r="PLG331" s="901"/>
      <c r="PLH331" s="901"/>
      <c r="PLI331" s="901"/>
      <c r="PLJ331" s="901"/>
      <c r="PLK331" s="901"/>
      <c r="PLL331" s="901"/>
      <c r="PLM331" s="902"/>
      <c r="PLN331" s="901"/>
      <c r="PLO331" s="901"/>
      <c r="PLP331" s="901"/>
      <c r="PLQ331" s="901"/>
      <c r="PLR331" s="901"/>
      <c r="PLS331" s="901"/>
      <c r="PLT331" s="901"/>
      <c r="PLU331" s="901"/>
      <c r="PLV331" s="901"/>
      <c r="PLW331" s="901"/>
      <c r="PLX331" s="901"/>
      <c r="PLY331" s="901"/>
      <c r="PLZ331" s="901"/>
      <c r="PMA331" s="901"/>
      <c r="PMB331" s="901"/>
      <c r="PMC331" s="901"/>
      <c r="PMD331" s="901"/>
      <c r="PME331" s="901"/>
      <c r="PMF331" s="901"/>
      <c r="PMG331" s="901"/>
      <c r="PMH331" s="901"/>
      <c r="PMI331" s="901"/>
      <c r="PMJ331" s="901"/>
      <c r="PMK331" s="901"/>
      <c r="PML331" s="901"/>
      <c r="PMM331" s="901"/>
      <c r="PMN331" s="901"/>
      <c r="PMO331" s="901"/>
      <c r="PMP331" s="902"/>
      <c r="PMQ331" s="901"/>
      <c r="PMR331" s="901"/>
      <c r="PMS331" s="901"/>
      <c r="PMT331" s="901"/>
      <c r="PMU331" s="901"/>
      <c r="PMV331" s="901"/>
      <c r="PMW331" s="901"/>
      <c r="PMX331" s="901"/>
      <c r="PMY331" s="901"/>
      <c r="PMZ331" s="901"/>
      <c r="PNA331" s="901"/>
      <c r="PNB331" s="901"/>
      <c r="PNC331" s="901"/>
      <c r="PND331" s="901"/>
      <c r="PNE331" s="901"/>
      <c r="PNF331" s="901"/>
      <c r="PNG331" s="901"/>
      <c r="PNH331" s="901"/>
      <c r="PNI331" s="901"/>
      <c r="PNJ331" s="901"/>
      <c r="PNK331" s="901"/>
      <c r="PNL331" s="901"/>
      <c r="PNM331" s="901"/>
      <c r="PNN331" s="901"/>
      <c r="PNO331" s="901"/>
      <c r="PNP331" s="901"/>
      <c r="PNQ331" s="901"/>
      <c r="PNR331" s="901"/>
      <c r="PNS331" s="902"/>
      <c r="PNT331" s="901"/>
      <c r="PNU331" s="901"/>
      <c r="PNV331" s="901"/>
      <c r="PNW331" s="901"/>
      <c r="PNX331" s="901"/>
      <c r="PNY331" s="901"/>
      <c r="PNZ331" s="901"/>
      <c r="POA331" s="901"/>
      <c r="POB331" s="901"/>
      <c r="POC331" s="901"/>
      <c r="POD331" s="901"/>
      <c r="POE331" s="901"/>
      <c r="POF331" s="901"/>
      <c r="POG331" s="901"/>
      <c r="POH331" s="901"/>
      <c r="POI331" s="901"/>
      <c r="POJ331" s="901"/>
      <c r="POK331" s="901"/>
      <c r="POL331" s="901"/>
      <c r="POM331" s="901"/>
      <c r="PON331" s="901"/>
      <c r="POO331" s="901"/>
      <c r="POP331" s="901"/>
      <c r="POQ331" s="901"/>
      <c r="POR331" s="901"/>
      <c r="POS331" s="901"/>
      <c r="POT331" s="901"/>
      <c r="POU331" s="901"/>
      <c r="POV331" s="902"/>
      <c r="POW331" s="901"/>
      <c r="POX331" s="901"/>
      <c r="POY331" s="901"/>
      <c r="POZ331" s="901"/>
      <c r="PPA331" s="901"/>
      <c r="PPB331" s="901"/>
      <c r="PPC331" s="901"/>
      <c r="PPD331" s="901"/>
      <c r="PPE331" s="901"/>
      <c r="PPF331" s="901"/>
      <c r="PPG331" s="901"/>
      <c r="PPH331" s="901"/>
      <c r="PPI331" s="901"/>
      <c r="PPJ331" s="901"/>
      <c r="PPK331" s="901"/>
      <c r="PPL331" s="901"/>
      <c r="PPM331" s="901"/>
      <c r="PPN331" s="901"/>
      <c r="PPO331" s="901"/>
      <c r="PPP331" s="901"/>
      <c r="PPQ331" s="901"/>
      <c r="PPR331" s="901"/>
      <c r="PPS331" s="901"/>
      <c r="PPT331" s="901"/>
      <c r="PPU331" s="901"/>
      <c r="PPV331" s="901"/>
      <c r="PPW331" s="901"/>
      <c r="PPX331" s="901"/>
      <c r="PPY331" s="902"/>
      <c r="PPZ331" s="901"/>
      <c r="PQA331" s="901"/>
      <c r="PQB331" s="901"/>
      <c r="PQC331" s="901"/>
      <c r="PQD331" s="901"/>
      <c r="PQE331" s="901"/>
      <c r="PQF331" s="901"/>
      <c r="PQG331" s="901"/>
      <c r="PQH331" s="901"/>
      <c r="PQI331" s="901"/>
      <c r="PQJ331" s="901"/>
      <c r="PQK331" s="901"/>
      <c r="PQL331" s="901"/>
      <c r="PQM331" s="901"/>
      <c r="PQN331" s="901"/>
      <c r="PQO331" s="901"/>
      <c r="PQP331" s="901"/>
      <c r="PQQ331" s="901"/>
      <c r="PQR331" s="901"/>
      <c r="PQS331" s="901"/>
      <c r="PQT331" s="901"/>
      <c r="PQU331" s="901"/>
      <c r="PQV331" s="901"/>
      <c r="PQW331" s="901"/>
      <c r="PQX331" s="901"/>
      <c r="PQY331" s="901"/>
      <c r="PQZ331" s="901"/>
      <c r="PRA331" s="901"/>
      <c r="PRB331" s="902"/>
      <c r="PRC331" s="901"/>
      <c r="PRD331" s="901"/>
      <c r="PRE331" s="901"/>
      <c r="PRF331" s="901"/>
      <c r="PRG331" s="901"/>
      <c r="PRH331" s="901"/>
      <c r="PRI331" s="901"/>
      <c r="PRJ331" s="901"/>
      <c r="PRK331" s="901"/>
      <c r="PRL331" s="901"/>
      <c r="PRM331" s="901"/>
      <c r="PRN331" s="901"/>
      <c r="PRO331" s="901"/>
      <c r="PRP331" s="901"/>
      <c r="PRQ331" s="901"/>
      <c r="PRR331" s="901"/>
      <c r="PRS331" s="901"/>
      <c r="PRT331" s="901"/>
      <c r="PRU331" s="901"/>
      <c r="PRV331" s="901"/>
      <c r="PRW331" s="901"/>
      <c r="PRX331" s="901"/>
      <c r="PRY331" s="901"/>
      <c r="PRZ331" s="901"/>
      <c r="PSA331" s="901"/>
      <c r="PSB331" s="901"/>
      <c r="PSC331" s="901"/>
      <c r="PSD331" s="901"/>
      <c r="PSE331" s="902"/>
      <c r="PSF331" s="901"/>
      <c r="PSG331" s="901"/>
      <c r="PSH331" s="901"/>
      <c r="PSI331" s="901"/>
      <c r="PSJ331" s="901"/>
      <c r="PSK331" s="901"/>
      <c r="PSL331" s="901"/>
      <c r="PSM331" s="901"/>
      <c r="PSN331" s="901"/>
      <c r="PSO331" s="901"/>
      <c r="PSP331" s="901"/>
      <c r="PSQ331" s="901"/>
      <c r="PSR331" s="901"/>
      <c r="PSS331" s="901"/>
      <c r="PST331" s="901"/>
      <c r="PSU331" s="901"/>
      <c r="PSV331" s="901"/>
      <c r="PSW331" s="901"/>
      <c r="PSX331" s="901"/>
      <c r="PSY331" s="901"/>
      <c r="PSZ331" s="901"/>
      <c r="PTA331" s="901"/>
      <c r="PTB331" s="901"/>
      <c r="PTC331" s="901"/>
      <c r="PTD331" s="901"/>
      <c r="PTE331" s="901"/>
      <c r="PTF331" s="901"/>
      <c r="PTG331" s="901"/>
      <c r="PTH331" s="902"/>
      <c r="PTI331" s="901"/>
      <c r="PTJ331" s="901"/>
      <c r="PTK331" s="901"/>
      <c r="PTL331" s="901"/>
      <c r="PTM331" s="901"/>
      <c r="PTN331" s="901"/>
      <c r="PTO331" s="901"/>
      <c r="PTP331" s="901"/>
      <c r="PTQ331" s="901"/>
      <c r="PTR331" s="901"/>
      <c r="PTS331" s="901"/>
      <c r="PTT331" s="901"/>
      <c r="PTU331" s="901"/>
      <c r="PTV331" s="901"/>
      <c r="PTW331" s="901"/>
      <c r="PTX331" s="901"/>
      <c r="PTY331" s="901"/>
      <c r="PTZ331" s="901"/>
      <c r="PUA331" s="901"/>
      <c r="PUB331" s="901"/>
      <c r="PUC331" s="901"/>
      <c r="PUD331" s="901"/>
      <c r="PUE331" s="901"/>
      <c r="PUF331" s="901"/>
      <c r="PUG331" s="901"/>
      <c r="PUH331" s="901"/>
      <c r="PUI331" s="901"/>
      <c r="PUJ331" s="901"/>
      <c r="PUK331" s="902"/>
      <c r="PUL331" s="901"/>
      <c r="PUM331" s="901"/>
      <c r="PUN331" s="901"/>
      <c r="PUO331" s="901"/>
      <c r="PUP331" s="901"/>
      <c r="PUQ331" s="901"/>
      <c r="PUR331" s="901"/>
      <c r="PUS331" s="901"/>
      <c r="PUT331" s="901"/>
      <c r="PUU331" s="901"/>
      <c r="PUV331" s="901"/>
      <c r="PUW331" s="901"/>
      <c r="PUX331" s="901"/>
      <c r="PUY331" s="901"/>
      <c r="PUZ331" s="901"/>
      <c r="PVA331" s="901"/>
      <c r="PVB331" s="901"/>
      <c r="PVC331" s="901"/>
      <c r="PVD331" s="901"/>
      <c r="PVE331" s="901"/>
      <c r="PVF331" s="901"/>
      <c r="PVG331" s="901"/>
      <c r="PVH331" s="901"/>
      <c r="PVI331" s="901"/>
      <c r="PVJ331" s="901"/>
      <c r="PVK331" s="901"/>
      <c r="PVL331" s="901"/>
      <c r="PVM331" s="901"/>
      <c r="PVN331" s="902"/>
      <c r="PVO331" s="901"/>
      <c r="PVP331" s="901"/>
      <c r="PVQ331" s="901"/>
      <c r="PVR331" s="901"/>
      <c r="PVS331" s="901"/>
      <c r="PVT331" s="901"/>
      <c r="PVU331" s="901"/>
      <c r="PVV331" s="901"/>
      <c r="PVW331" s="901"/>
      <c r="PVX331" s="901"/>
      <c r="PVY331" s="901"/>
      <c r="PVZ331" s="901"/>
      <c r="PWA331" s="901"/>
      <c r="PWB331" s="901"/>
      <c r="PWC331" s="901"/>
      <c r="PWD331" s="901"/>
      <c r="PWE331" s="901"/>
      <c r="PWF331" s="901"/>
      <c r="PWG331" s="901"/>
      <c r="PWH331" s="901"/>
      <c r="PWI331" s="901"/>
      <c r="PWJ331" s="901"/>
      <c r="PWK331" s="901"/>
      <c r="PWL331" s="901"/>
      <c r="PWM331" s="901"/>
      <c r="PWN331" s="901"/>
      <c r="PWO331" s="901"/>
      <c r="PWP331" s="901"/>
      <c r="PWQ331" s="902"/>
      <c r="PWR331" s="901"/>
      <c r="PWS331" s="901"/>
      <c r="PWT331" s="901"/>
      <c r="PWU331" s="901"/>
      <c r="PWV331" s="901"/>
      <c r="PWW331" s="901"/>
      <c r="PWX331" s="901"/>
      <c r="PWY331" s="901"/>
      <c r="PWZ331" s="901"/>
      <c r="PXA331" s="901"/>
      <c r="PXB331" s="901"/>
      <c r="PXC331" s="901"/>
      <c r="PXD331" s="901"/>
      <c r="PXE331" s="901"/>
      <c r="PXF331" s="901"/>
      <c r="PXG331" s="901"/>
      <c r="PXH331" s="901"/>
      <c r="PXI331" s="901"/>
      <c r="PXJ331" s="901"/>
      <c r="PXK331" s="901"/>
      <c r="PXL331" s="901"/>
      <c r="PXM331" s="901"/>
      <c r="PXN331" s="901"/>
      <c r="PXO331" s="901"/>
      <c r="PXP331" s="901"/>
      <c r="PXQ331" s="901"/>
      <c r="PXR331" s="901"/>
      <c r="PXS331" s="901"/>
      <c r="PXT331" s="902"/>
      <c r="PXU331" s="901"/>
      <c r="PXV331" s="901"/>
      <c r="PXW331" s="901"/>
      <c r="PXX331" s="901"/>
      <c r="PXY331" s="901"/>
      <c r="PXZ331" s="901"/>
      <c r="PYA331" s="901"/>
      <c r="PYB331" s="901"/>
      <c r="PYC331" s="901"/>
      <c r="PYD331" s="901"/>
      <c r="PYE331" s="901"/>
      <c r="PYF331" s="901"/>
      <c r="PYG331" s="901"/>
      <c r="PYH331" s="901"/>
      <c r="PYI331" s="901"/>
      <c r="PYJ331" s="901"/>
      <c r="PYK331" s="901"/>
      <c r="PYL331" s="901"/>
      <c r="PYM331" s="901"/>
      <c r="PYN331" s="901"/>
      <c r="PYO331" s="901"/>
      <c r="PYP331" s="901"/>
      <c r="PYQ331" s="901"/>
      <c r="PYR331" s="901"/>
      <c r="PYS331" s="901"/>
      <c r="PYT331" s="901"/>
      <c r="PYU331" s="901"/>
      <c r="PYV331" s="901"/>
      <c r="PYW331" s="902"/>
      <c r="PYX331" s="901"/>
      <c r="PYY331" s="901"/>
      <c r="PYZ331" s="901"/>
      <c r="PZA331" s="901"/>
      <c r="PZB331" s="901"/>
      <c r="PZC331" s="901"/>
      <c r="PZD331" s="901"/>
      <c r="PZE331" s="901"/>
      <c r="PZF331" s="901"/>
      <c r="PZG331" s="901"/>
      <c r="PZH331" s="901"/>
      <c r="PZI331" s="901"/>
      <c r="PZJ331" s="901"/>
      <c r="PZK331" s="901"/>
      <c r="PZL331" s="901"/>
      <c r="PZM331" s="901"/>
      <c r="PZN331" s="901"/>
      <c r="PZO331" s="901"/>
      <c r="PZP331" s="901"/>
      <c r="PZQ331" s="901"/>
      <c r="PZR331" s="901"/>
      <c r="PZS331" s="901"/>
      <c r="PZT331" s="901"/>
      <c r="PZU331" s="901"/>
      <c r="PZV331" s="901"/>
      <c r="PZW331" s="901"/>
      <c r="PZX331" s="901"/>
      <c r="PZY331" s="901"/>
      <c r="PZZ331" s="902"/>
      <c r="QAA331" s="901"/>
      <c r="QAB331" s="901"/>
      <c r="QAC331" s="901"/>
      <c r="QAD331" s="901"/>
      <c r="QAE331" s="901"/>
      <c r="QAF331" s="901"/>
      <c r="QAG331" s="901"/>
      <c r="QAH331" s="901"/>
      <c r="QAI331" s="901"/>
      <c r="QAJ331" s="901"/>
      <c r="QAK331" s="901"/>
      <c r="QAL331" s="901"/>
      <c r="QAM331" s="901"/>
      <c r="QAN331" s="901"/>
      <c r="QAO331" s="901"/>
      <c r="QAP331" s="901"/>
      <c r="QAQ331" s="901"/>
      <c r="QAR331" s="901"/>
      <c r="QAS331" s="901"/>
      <c r="QAT331" s="901"/>
      <c r="QAU331" s="901"/>
      <c r="QAV331" s="901"/>
      <c r="QAW331" s="901"/>
      <c r="QAX331" s="901"/>
      <c r="QAY331" s="901"/>
      <c r="QAZ331" s="901"/>
      <c r="QBA331" s="901"/>
      <c r="QBB331" s="901"/>
      <c r="QBC331" s="902"/>
      <c r="QBD331" s="901"/>
      <c r="QBE331" s="901"/>
      <c r="QBF331" s="901"/>
      <c r="QBG331" s="901"/>
      <c r="QBH331" s="901"/>
      <c r="QBI331" s="901"/>
      <c r="QBJ331" s="901"/>
      <c r="QBK331" s="901"/>
      <c r="QBL331" s="901"/>
      <c r="QBM331" s="901"/>
      <c r="QBN331" s="901"/>
      <c r="QBO331" s="901"/>
      <c r="QBP331" s="901"/>
      <c r="QBQ331" s="901"/>
      <c r="QBR331" s="901"/>
      <c r="QBS331" s="901"/>
      <c r="QBT331" s="901"/>
      <c r="QBU331" s="901"/>
      <c r="QBV331" s="901"/>
      <c r="QBW331" s="901"/>
      <c r="QBX331" s="901"/>
      <c r="QBY331" s="901"/>
      <c r="QBZ331" s="901"/>
      <c r="QCA331" s="901"/>
      <c r="QCB331" s="901"/>
      <c r="QCC331" s="901"/>
      <c r="QCD331" s="901"/>
      <c r="QCE331" s="901"/>
      <c r="QCF331" s="902"/>
      <c r="QCG331" s="901"/>
      <c r="QCH331" s="901"/>
      <c r="QCI331" s="901"/>
      <c r="QCJ331" s="901"/>
      <c r="QCK331" s="901"/>
      <c r="QCL331" s="901"/>
      <c r="QCM331" s="901"/>
      <c r="QCN331" s="901"/>
      <c r="QCO331" s="901"/>
      <c r="QCP331" s="901"/>
      <c r="QCQ331" s="901"/>
      <c r="QCR331" s="901"/>
      <c r="QCS331" s="901"/>
      <c r="QCT331" s="901"/>
      <c r="QCU331" s="901"/>
      <c r="QCV331" s="901"/>
      <c r="QCW331" s="901"/>
      <c r="QCX331" s="901"/>
      <c r="QCY331" s="901"/>
      <c r="QCZ331" s="901"/>
      <c r="QDA331" s="901"/>
      <c r="QDB331" s="901"/>
      <c r="QDC331" s="901"/>
      <c r="QDD331" s="901"/>
      <c r="QDE331" s="901"/>
      <c r="QDF331" s="901"/>
      <c r="QDG331" s="901"/>
      <c r="QDH331" s="901"/>
      <c r="QDI331" s="902"/>
      <c r="QDJ331" s="901"/>
      <c r="QDK331" s="901"/>
      <c r="QDL331" s="901"/>
      <c r="QDM331" s="901"/>
      <c r="QDN331" s="901"/>
      <c r="QDO331" s="901"/>
      <c r="QDP331" s="901"/>
      <c r="QDQ331" s="901"/>
      <c r="QDR331" s="901"/>
      <c r="QDS331" s="901"/>
      <c r="QDT331" s="901"/>
      <c r="QDU331" s="901"/>
      <c r="QDV331" s="901"/>
      <c r="QDW331" s="901"/>
      <c r="QDX331" s="901"/>
      <c r="QDY331" s="901"/>
      <c r="QDZ331" s="901"/>
      <c r="QEA331" s="901"/>
      <c r="QEB331" s="901"/>
      <c r="QEC331" s="901"/>
      <c r="QED331" s="901"/>
      <c r="QEE331" s="901"/>
      <c r="QEF331" s="901"/>
      <c r="QEG331" s="901"/>
      <c r="QEH331" s="901"/>
      <c r="QEI331" s="901"/>
      <c r="QEJ331" s="901"/>
      <c r="QEK331" s="901"/>
      <c r="QEL331" s="902"/>
      <c r="QEM331" s="901"/>
      <c r="QEN331" s="901"/>
      <c r="QEO331" s="901"/>
      <c r="QEP331" s="901"/>
      <c r="QEQ331" s="901"/>
      <c r="QER331" s="901"/>
      <c r="QES331" s="901"/>
      <c r="QET331" s="901"/>
      <c r="QEU331" s="901"/>
      <c r="QEV331" s="901"/>
      <c r="QEW331" s="901"/>
      <c r="QEX331" s="901"/>
      <c r="QEY331" s="901"/>
      <c r="QEZ331" s="901"/>
      <c r="QFA331" s="901"/>
      <c r="QFB331" s="901"/>
      <c r="QFC331" s="901"/>
      <c r="QFD331" s="901"/>
      <c r="QFE331" s="901"/>
      <c r="QFF331" s="901"/>
      <c r="QFG331" s="901"/>
      <c r="QFH331" s="901"/>
      <c r="QFI331" s="901"/>
      <c r="QFJ331" s="901"/>
      <c r="QFK331" s="901"/>
      <c r="QFL331" s="901"/>
      <c r="QFM331" s="901"/>
      <c r="QFN331" s="901"/>
      <c r="QFO331" s="902"/>
      <c r="QFP331" s="901"/>
      <c r="QFQ331" s="901"/>
      <c r="QFR331" s="901"/>
      <c r="QFS331" s="901"/>
      <c r="QFT331" s="901"/>
      <c r="QFU331" s="901"/>
      <c r="QFV331" s="901"/>
      <c r="QFW331" s="901"/>
      <c r="QFX331" s="901"/>
      <c r="QFY331" s="901"/>
      <c r="QFZ331" s="901"/>
      <c r="QGA331" s="901"/>
      <c r="QGB331" s="901"/>
      <c r="QGC331" s="901"/>
      <c r="QGD331" s="901"/>
      <c r="QGE331" s="901"/>
      <c r="QGF331" s="901"/>
      <c r="QGG331" s="901"/>
      <c r="QGH331" s="901"/>
      <c r="QGI331" s="901"/>
      <c r="QGJ331" s="901"/>
      <c r="QGK331" s="901"/>
      <c r="QGL331" s="901"/>
      <c r="QGM331" s="901"/>
      <c r="QGN331" s="901"/>
      <c r="QGO331" s="901"/>
      <c r="QGP331" s="901"/>
      <c r="QGQ331" s="901"/>
      <c r="QGR331" s="902"/>
      <c r="QGS331" s="901"/>
      <c r="QGT331" s="901"/>
      <c r="QGU331" s="901"/>
      <c r="QGV331" s="901"/>
      <c r="QGW331" s="901"/>
      <c r="QGX331" s="901"/>
      <c r="QGY331" s="901"/>
      <c r="QGZ331" s="901"/>
      <c r="QHA331" s="901"/>
      <c r="QHB331" s="901"/>
      <c r="QHC331" s="901"/>
      <c r="QHD331" s="901"/>
      <c r="QHE331" s="901"/>
      <c r="QHF331" s="901"/>
      <c r="QHG331" s="901"/>
      <c r="QHH331" s="901"/>
      <c r="QHI331" s="901"/>
      <c r="QHJ331" s="901"/>
      <c r="QHK331" s="901"/>
      <c r="QHL331" s="901"/>
      <c r="QHM331" s="901"/>
      <c r="QHN331" s="901"/>
      <c r="QHO331" s="901"/>
      <c r="QHP331" s="901"/>
      <c r="QHQ331" s="901"/>
      <c r="QHR331" s="901"/>
      <c r="QHS331" s="901"/>
      <c r="QHT331" s="901"/>
      <c r="QHU331" s="902"/>
      <c r="QHV331" s="901"/>
      <c r="QHW331" s="901"/>
      <c r="QHX331" s="901"/>
      <c r="QHY331" s="901"/>
      <c r="QHZ331" s="901"/>
      <c r="QIA331" s="901"/>
      <c r="QIB331" s="901"/>
      <c r="QIC331" s="901"/>
      <c r="QID331" s="901"/>
      <c r="QIE331" s="901"/>
      <c r="QIF331" s="901"/>
      <c r="QIG331" s="901"/>
      <c r="QIH331" s="901"/>
      <c r="QII331" s="901"/>
      <c r="QIJ331" s="901"/>
      <c r="QIK331" s="901"/>
      <c r="QIL331" s="901"/>
      <c r="QIM331" s="901"/>
      <c r="QIN331" s="901"/>
      <c r="QIO331" s="901"/>
      <c r="QIP331" s="901"/>
      <c r="QIQ331" s="901"/>
      <c r="QIR331" s="901"/>
      <c r="QIS331" s="901"/>
      <c r="QIT331" s="901"/>
      <c r="QIU331" s="901"/>
      <c r="QIV331" s="901"/>
      <c r="QIW331" s="901"/>
      <c r="QIX331" s="902"/>
      <c r="QIY331" s="901"/>
      <c r="QIZ331" s="901"/>
      <c r="QJA331" s="901"/>
      <c r="QJB331" s="901"/>
      <c r="QJC331" s="901"/>
      <c r="QJD331" s="901"/>
      <c r="QJE331" s="901"/>
      <c r="QJF331" s="901"/>
      <c r="QJG331" s="901"/>
      <c r="QJH331" s="901"/>
      <c r="QJI331" s="901"/>
      <c r="QJJ331" s="901"/>
      <c r="QJK331" s="901"/>
      <c r="QJL331" s="901"/>
      <c r="QJM331" s="901"/>
      <c r="QJN331" s="901"/>
      <c r="QJO331" s="901"/>
      <c r="QJP331" s="901"/>
      <c r="QJQ331" s="901"/>
      <c r="QJR331" s="901"/>
      <c r="QJS331" s="901"/>
      <c r="QJT331" s="901"/>
      <c r="QJU331" s="901"/>
      <c r="QJV331" s="901"/>
      <c r="QJW331" s="901"/>
      <c r="QJX331" s="901"/>
      <c r="QJY331" s="901"/>
      <c r="QJZ331" s="901"/>
      <c r="QKA331" s="902"/>
      <c r="QKB331" s="901"/>
      <c r="QKC331" s="901"/>
      <c r="QKD331" s="901"/>
      <c r="QKE331" s="901"/>
      <c r="QKF331" s="901"/>
      <c r="QKG331" s="901"/>
      <c r="QKH331" s="901"/>
      <c r="QKI331" s="901"/>
      <c r="QKJ331" s="901"/>
      <c r="QKK331" s="901"/>
      <c r="QKL331" s="901"/>
      <c r="QKM331" s="901"/>
      <c r="QKN331" s="901"/>
      <c r="QKO331" s="901"/>
      <c r="QKP331" s="901"/>
      <c r="QKQ331" s="901"/>
      <c r="QKR331" s="901"/>
      <c r="QKS331" s="901"/>
      <c r="QKT331" s="901"/>
      <c r="QKU331" s="901"/>
      <c r="QKV331" s="901"/>
      <c r="QKW331" s="901"/>
      <c r="QKX331" s="901"/>
      <c r="QKY331" s="901"/>
      <c r="QKZ331" s="901"/>
      <c r="QLA331" s="901"/>
      <c r="QLB331" s="901"/>
      <c r="QLC331" s="901"/>
      <c r="QLD331" s="902"/>
      <c r="QLE331" s="901"/>
      <c r="QLF331" s="901"/>
      <c r="QLG331" s="901"/>
      <c r="QLH331" s="901"/>
      <c r="QLI331" s="901"/>
      <c r="QLJ331" s="901"/>
      <c r="QLK331" s="901"/>
      <c r="QLL331" s="901"/>
      <c r="QLM331" s="901"/>
      <c r="QLN331" s="901"/>
      <c r="QLO331" s="901"/>
      <c r="QLP331" s="901"/>
      <c r="QLQ331" s="901"/>
      <c r="QLR331" s="901"/>
      <c r="QLS331" s="901"/>
      <c r="QLT331" s="901"/>
      <c r="QLU331" s="901"/>
      <c r="QLV331" s="901"/>
      <c r="QLW331" s="901"/>
      <c r="QLX331" s="901"/>
      <c r="QLY331" s="901"/>
      <c r="QLZ331" s="901"/>
      <c r="QMA331" s="901"/>
      <c r="QMB331" s="901"/>
      <c r="QMC331" s="901"/>
      <c r="QMD331" s="901"/>
      <c r="QME331" s="901"/>
      <c r="QMF331" s="901"/>
      <c r="QMG331" s="902"/>
      <c r="QMH331" s="901"/>
      <c r="QMI331" s="901"/>
      <c r="QMJ331" s="901"/>
      <c r="QMK331" s="901"/>
      <c r="QML331" s="901"/>
      <c r="QMM331" s="901"/>
      <c r="QMN331" s="901"/>
      <c r="QMO331" s="901"/>
      <c r="QMP331" s="901"/>
      <c r="QMQ331" s="901"/>
      <c r="QMR331" s="901"/>
      <c r="QMS331" s="901"/>
      <c r="QMT331" s="901"/>
      <c r="QMU331" s="901"/>
      <c r="QMV331" s="901"/>
      <c r="QMW331" s="901"/>
      <c r="QMX331" s="901"/>
      <c r="QMY331" s="901"/>
      <c r="QMZ331" s="901"/>
      <c r="QNA331" s="901"/>
      <c r="QNB331" s="901"/>
      <c r="QNC331" s="901"/>
      <c r="QND331" s="901"/>
      <c r="QNE331" s="901"/>
      <c r="QNF331" s="901"/>
      <c r="QNG331" s="901"/>
      <c r="QNH331" s="901"/>
      <c r="QNI331" s="901"/>
      <c r="QNJ331" s="902"/>
      <c r="QNK331" s="901"/>
      <c r="QNL331" s="901"/>
      <c r="QNM331" s="901"/>
      <c r="QNN331" s="901"/>
      <c r="QNO331" s="901"/>
      <c r="QNP331" s="901"/>
      <c r="QNQ331" s="901"/>
      <c r="QNR331" s="901"/>
      <c r="QNS331" s="901"/>
      <c r="QNT331" s="901"/>
      <c r="QNU331" s="901"/>
      <c r="QNV331" s="901"/>
      <c r="QNW331" s="901"/>
      <c r="QNX331" s="901"/>
      <c r="QNY331" s="901"/>
      <c r="QNZ331" s="901"/>
      <c r="QOA331" s="901"/>
      <c r="QOB331" s="901"/>
      <c r="QOC331" s="901"/>
      <c r="QOD331" s="901"/>
      <c r="QOE331" s="901"/>
      <c r="QOF331" s="901"/>
      <c r="QOG331" s="901"/>
      <c r="QOH331" s="901"/>
      <c r="QOI331" s="901"/>
      <c r="QOJ331" s="901"/>
      <c r="QOK331" s="901"/>
      <c r="QOL331" s="901"/>
      <c r="QOM331" s="902"/>
      <c r="QON331" s="901"/>
      <c r="QOO331" s="901"/>
      <c r="QOP331" s="901"/>
      <c r="QOQ331" s="901"/>
      <c r="QOR331" s="901"/>
      <c r="QOS331" s="901"/>
      <c r="QOT331" s="901"/>
      <c r="QOU331" s="901"/>
      <c r="QOV331" s="901"/>
      <c r="QOW331" s="901"/>
      <c r="QOX331" s="901"/>
      <c r="QOY331" s="901"/>
      <c r="QOZ331" s="901"/>
      <c r="QPA331" s="901"/>
      <c r="QPB331" s="901"/>
      <c r="QPC331" s="901"/>
      <c r="QPD331" s="901"/>
      <c r="QPE331" s="901"/>
      <c r="QPF331" s="901"/>
      <c r="QPG331" s="901"/>
      <c r="QPH331" s="901"/>
      <c r="QPI331" s="901"/>
      <c r="QPJ331" s="901"/>
      <c r="QPK331" s="901"/>
      <c r="QPL331" s="901"/>
      <c r="QPM331" s="901"/>
      <c r="QPN331" s="901"/>
      <c r="QPO331" s="901"/>
      <c r="QPP331" s="902"/>
      <c r="QPQ331" s="901"/>
      <c r="QPR331" s="901"/>
      <c r="QPS331" s="901"/>
      <c r="QPT331" s="901"/>
      <c r="QPU331" s="901"/>
      <c r="QPV331" s="901"/>
      <c r="QPW331" s="901"/>
      <c r="QPX331" s="901"/>
      <c r="QPY331" s="901"/>
      <c r="QPZ331" s="901"/>
      <c r="QQA331" s="901"/>
      <c r="QQB331" s="901"/>
      <c r="QQC331" s="901"/>
      <c r="QQD331" s="901"/>
      <c r="QQE331" s="901"/>
      <c r="QQF331" s="901"/>
      <c r="QQG331" s="901"/>
      <c r="QQH331" s="901"/>
      <c r="QQI331" s="901"/>
      <c r="QQJ331" s="901"/>
      <c r="QQK331" s="901"/>
      <c r="QQL331" s="901"/>
      <c r="QQM331" s="901"/>
      <c r="QQN331" s="901"/>
      <c r="QQO331" s="901"/>
      <c r="QQP331" s="901"/>
      <c r="QQQ331" s="901"/>
      <c r="QQR331" s="901"/>
      <c r="QQS331" s="902"/>
      <c r="QQT331" s="901"/>
      <c r="QQU331" s="901"/>
      <c r="QQV331" s="901"/>
      <c r="QQW331" s="901"/>
      <c r="QQX331" s="901"/>
      <c r="QQY331" s="901"/>
      <c r="QQZ331" s="901"/>
      <c r="QRA331" s="901"/>
      <c r="QRB331" s="901"/>
      <c r="QRC331" s="901"/>
      <c r="QRD331" s="901"/>
      <c r="QRE331" s="901"/>
      <c r="QRF331" s="901"/>
      <c r="QRG331" s="901"/>
      <c r="QRH331" s="901"/>
      <c r="QRI331" s="901"/>
      <c r="QRJ331" s="901"/>
      <c r="QRK331" s="901"/>
      <c r="QRL331" s="901"/>
      <c r="QRM331" s="901"/>
      <c r="QRN331" s="901"/>
      <c r="QRO331" s="901"/>
      <c r="QRP331" s="901"/>
      <c r="QRQ331" s="901"/>
      <c r="QRR331" s="901"/>
      <c r="QRS331" s="901"/>
      <c r="QRT331" s="901"/>
      <c r="QRU331" s="901"/>
      <c r="QRV331" s="902"/>
      <c r="QRW331" s="901"/>
      <c r="QRX331" s="901"/>
      <c r="QRY331" s="901"/>
      <c r="QRZ331" s="901"/>
      <c r="QSA331" s="901"/>
      <c r="QSB331" s="901"/>
      <c r="QSC331" s="901"/>
      <c r="QSD331" s="901"/>
      <c r="QSE331" s="901"/>
      <c r="QSF331" s="901"/>
      <c r="QSG331" s="901"/>
      <c r="QSH331" s="901"/>
      <c r="QSI331" s="901"/>
      <c r="QSJ331" s="901"/>
      <c r="QSK331" s="901"/>
      <c r="QSL331" s="901"/>
      <c r="QSM331" s="901"/>
      <c r="QSN331" s="901"/>
      <c r="QSO331" s="901"/>
      <c r="QSP331" s="901"/>
      <c r="QSQ331" s="901"/>
      <c r="QSR331" s="901"/>
      <c r="QSS331" s="901"/>
      <c r="QST331" s="901"/>
      <c r="QSU331" s="901"/>
      <c r="QSV331" s="901"/>
      <c r="QSW331" s="901"/>
      <c r="QSX331" s="901"/>
      <c r="QSY331" s="902"/>
      <c r="QSZ331" s="901"/>
      <c r="QTA331" s="901"/>
      <c r="QTB331" s="901"/>
      <c r="QTC331" s="901"/>
      <c r="QTD331" s="901"/>
      <c r="QTE331" s="901"/>
      <c r="QTF331" s="901"/>
      <c r="QTG331" s="901"/>
      <c r="QTH331" s="901"/>
      <c r="QTI331" s="901"/>
      <c r="QTJ331" s="901"/>
      <c r="QTK331" s="901"/>
      <c r="QTL331" s="901"/>
      <c r="QTM331" s="901"/>
      <c r="QTN331" s="901"/>
      <c r="QTO331" s="901"/>
      <c r="QTP331" s="901"/>
      <c r="QTQ331" s="901"/>
      <c r="QTR331" s="901"/>
      <c r="QTS331" s="901"/>
      <c r="QTT331" s="901"/>
      <c r="QTU331" s="901"/>
      <c r="QTV331" s="901"/>
      <c r="QTW331" s="901"/>
      <c r="QTX331" s="901"/>
      <c r="QTY331" s="901"/>
      <c r="QTZ331" s="901"/>
      <c r="QUA331" s="901"/>
      <c r="QUB331" s="902"/>
      <c r="QUC331" s="901"/>
      <c r="QUD331" s="901"/>
      <c r="QUE331" s="901"/>
      <c r="QUF331" s="901"/>
      <c r="QUG331" s="901"/>
      <c r="QUH331" s="901"/>
      <c r="QUI331" s="901"/>
      <c r="QUJ331" s="901"/>
      <c r="QUK331" s="901"/>
      <c r="QUL331" s="901"/>
      <c r="QUM331" s="901"/>
      <c r="QUN331" s="901"/>
      <c r="QUO331" s="901"/>
      <c r="QUP331" s="901"/>
      <c r="QUQ331" s="901"/>
      <c r="QUR331" s="901"/>
      <c r="QUS331" s="901"/>
      <c r="QUT331" s="901"/>
      <c r="QUU331" s="901"/>
      <c r="QUV331" s="901"/>
      <c r="QUW331" s="901"/>
      <c r="QUX331" s="901"/>
      <c r="QUY331" s="901"/>
      <c r="QUZ331" s="901"/>
      <c r="QVA331" s="901"/>
      <c r="QVB331" s="901"/>
      <c r="QVC331" s="901"/>
      <c r="QVD331" s="901"/>
      <c r="QVE331" s="902"/>
      <c r="QVF331" s="901"/>
      <c r="QVG331" s="901"/>
      <c r="QVH331" s="901"/>
      <c r="QVI331" s="901"/>
      <c r="QVJ331" s="901"/>
      <c r="QVK331" s="901"/>
      <c r="QVL331" s="901"/>
      <c r="QVM331" s="901"/>
      <c r="QVN331" s="901"/>
      <c r="QVO331" s="901"/>
      <c r="QVP331" s="901"/>
      <c r="QVQ331" s="901"/>
      <c r="QVR331" s="901"/>
      <c r="QVS331" s="901"/>
      <c r="QVT331" s="901"/>
      <c r="QVU331" s="901"/>
      <c r="QVV331" s="901"/>
      <c r="QVW331" s="901"/>
      <c r="QVX331" s="901"/>
      <c r="QVY331" s="901"/>
      <c r="QVZ331" s="901"/>
      <c r="QWA331" s="901"/>
      <c r="QWB331" s="901"/>
      <c r="QWC331" s="901"/>
      <c r="QWD331" s="901"/>
      <c r="QWE331" s="901"/>
      <c r="QWF331" s="901"/>
      <c r="QWG331" s="901"/>
      <c r="QWH331" s="902"/>
      <c r="QWI331" s="901"/>
      <c r="QWJ331" s="901"/>
      <c r="QWK331" s="901"/>
      <c r="QWL331" s="901"/>
      <c r="QWM331" s="901"/>
      <c r="QWN331" s="901"/>
      <c r="QWO331" s="901"/>
      <c r="QWP331" s="901"/>
      <c r="QWQ331" s="901"/>
      <c r="QWR331" s="901"/>
      <c r="QWS331" s="901"/>
      <c r="QWT331" s="901"/>
      <c r="QWU331" s="901"/>
      <c r="QWV331" s="901"/>
      <c r="QWW331" s="901"/>
      <c r="QWX331" s="901"/>
      <c r="QWY331" s="901"/>
      <c r="QWZ331" s="901"/>
      <c r="QXA331" s="901"/>
      <c r="QXB331" s="901"/>
      <c r="QXC331" s="901"/>
      <c r="QXD331" s="901"/>
      <c r="QXE331" s="901"/>
      <c r="QXF331" s="901"/>
      <c r="QXG331" s="901"/>
      <c r="QXH331" s="901"/>
      <c r="QXI331" s="901"/>
      <c r="QXJ331" s="901"/>
      <c r="QXK331" s="902"/>
      <c r="QXL331" s="901"/>
      <c r="QXM331" s="901"/>
      <c r="QXN331" s="901"/>
      <c r="QXO331" s="901"/>
      <c r="QXP331" s="901"/>
      <c r="QXQ331" s="901"/>
      <c r="QXR331" s="901"/>
      <c r="QXS331" s="901"/>
      <c r="QXT331" s="901"/>
      <c r="QXU331" s="901"/>
      <c r="QXV331" s="901"/>
      <c r="QXW331" s="901"/>
      <c r="QXX331" s="901"/>
      <c r="QXY331" s="901"/>
      <c r="QXZ331" s="901"/>
      <c r="QYA331" s="901"/>
      <c r="QYB331" s="901"/>
      <c r="QYC331" s="901"/>
      <c r="QYD331" s="901"/>
      <c r="QYE331" s="901"/>
      <c r="QYF331" s="901"/>
      <c r="QYG331" s="901"/>
      <c r="QYH331" s="901"/>
      <c r="QYI331" s="901"/>
      <c r="QYJ331" s="901"/>
      <c r="QYK331" s="901"/>
      <c r="QYL331" s="901"/>
      <c r="QYM331" s="901"/>
      <c r="QYN331" s="902"/>
      <c r="QYO331" s="901"/>
      <c r="QYP331" s="901"/>
      <c r="QYQ331" s="901"/>
      <c r="QYR331" s="901"/>
      <c r="QYS331" s="901"/>
      <c r="QYT331" s="901"/>
      <c r="QYU331" s="901"/>
      <c r="QYV331" s="901"/>
      <c r="QYW331" s="901"/>
      <c r="QYX331" s="901"/>
      <c r="QYY331" s="901"/>
      <c r="QYZ331" s="901"/>
      <c r="QZA331" s="901"/>
      <c r="QZB331" s="901"/>
      <c r="QZC331" s="901"/>
      <c r="QZD331" s="901"/>
      <c r="QZE331" s="901"/>
      <c r="QZF331" s="901"/>
      <c r="QZG331" s="901"/>
      <c r="QZH331" s="901"/>
      <c r="QZI331" s="901"/>
      <c r="QZJ331" s="901"/>
      <c r="QZK331" s="901"/>
      <c r="QZL331" s="901"/>
      <c r="QZM331" s="901"/>
      <c r="QZN331" s="901"/>
      <c r="QZO331" s="901"/>
      <c r="QZP331" s="901"/>
      <c r="QZQ331" s="902"/>
      <c r="QZR331" s="901"/>
      <c r="QZS331" s="901"/>
      <c r="QZT331" s="901"/>
      <c r="QZU331" s="901"/>
      <c r="QZV331" s="901"/>
      <c r="QZW331" s="901"/>
      <c r="QZX331" s="901"/>
      <c r="QZY331" s="901"/>
      <c r="QZZ331" s="901"/>
      <c r="RAA331" s="901"/>
      <c r="RAB331" s="901"/>
      <c r="RAC331" s="901"/>
      <c r="RAD331" s="901"/>
      <c r="RAE331" s="901"/>
      <c r="RAF331" s="901"/>
      <c r="RAG331" s="901"/>
      <c r="RAH331" s="901"/>
      <c r="RAI331" s="901"/>
      <c r="RAJ331" s="901"/>
      <c r="RAK331" s="901"/>
      <c r="RAL331" s="901"/>
      <c r="RAM331" s="901"/>
      <c r="RAN331" s="901"/>
      <c r="RAO331" s="901"/>
      <c r="RAP331" s="901"/>
      <c r="RAQ331" s="901"/>
      <c r="RAR331" s="901"/>
      <c r="RAS331" s="901"/>
      <c r="RAT331" s="902"/>
      <c r="RAU331" s="901"/>
      <c r="RAV331" s="901"/>
      <c r="RAW331" s="901"/>
      <c r="RAX331" s="901"/>
      <c r="RAY331" s="901"/>
      <c r="RAZ331" s="901"/>
      <c r="RBA331" s="901"/>
      <c r="RBB331" s="901"/>
      <c r="RBC331" s="901"/>
      <c r="RBD331" s="901"/>
      <c r="RBE331" s="901"/>
      <c r="RBF331" s="901"/>
      <c r="RBG331" s="901"/>
      <c r="RBH331" s="901"/>
      <c r="RBI331" s="901"/>
      <c r="RBJ331" s="901"/>
      <c r="RBK331" s="901"/>
      <c r="RBL331" s="901"/>
      <c r="RBM331" s="901"/>
      <c r="RBN331" s="901"/>
      <c r="RBO331" s="901"/>
      <c r="RBP331" s="901"/>
      <c r="RBQ331" s="901"/>
      <c r="RBR331" s="901"/>
      <c r="RBS331" s="901"/>
      <c r="RBT331" s="901"/>
      <c r="RBU331" s="901"/>
      <c r="RBV331" s="901"/>
      <c r="RBW331" s="902"/>
      <c r="RBX331" s="901"/>
      <c r="RBY331" s="901"/>
      <c r="RBZ331" s="901"/>
      <c r="RCA331" s="901"/>
      <c r="RCB331" s="901"/>
      <c r="RCC331" s="901"/>
      <c r="RCD331" s="901"/>
      <c r="RCE331" s="901"/>
      <c r="RCF331" s="901"/>
      <c r="RCG331" s="901"/>
      <c r="RCH331" s="901"/>
      <c r="RCI331" s="901"/>
      <c r="RCJ331" s="901"/>
      <c r="RCK331" s="901"/>
      <c r="RCL331" s="901"/>
      <c r="RCM331" s="901"/>
      <c r="RCN331" s="901"/>
      <c r="RCO331" s="901"/>
      <c r="RCP331" s="901"/>
      <c r="RCQ331" s="901"/>
      <c r="RCR331" s="901"/>
      <c r="RCS331" s="901"/>
      <c r="RCT331" s="901"/>
      <c r="RCU331" s="901"/>
      <c r="RCV331" s="901"/>
      <c r="RCW331" s="901"/>
      <c r="RCX331" s="901"/>
      <c r="RCY331" s="901"/>
      <c r="RCZ331" s="902"/>
      <c r="RDA331" s="901"/>
      <c r="RDB331" s="901"/>
      <c r="RDC331" s="901"/>
      <c r="RDD331" s="901"/>
      <c r="RDE331" s="901"/>
      <c r="RDF331" s="901"/>
      <c r="RDG331" s="901"/>
      <c r="RDH331" s="901"/>
      <c r="RDI331" s="901"/>
      <c r="RDJ331" s="901"/>
      <c r="RDK331" s="901"/>
      <c r="RDL331" s="901"/>
      <c r="RDM331" s="901"/>
      <c r="RDN331" s="901"/>
      <c r="RDO331" s="901"/>
      <c r="RDP331" s="901"/>
      <c r="RDQ331" s="901"/>
      <c r="RDR331" s="901"/>
      <c r="RDS331" s="901"/>
      <c r="RDT331" s="901"/>
      <c r="RDU331" s="901"/>
      <c r="RDV331" s="901"/>
      <c r="RDW331" s="901"/>
      <c r="RDX331" s="901"/>
      <c r="RDY331" s="901"/>
      <c r="RDZ331" s="901"/>
      <c r="REA331" s="901"/>
      <c r="REB331" s="901"/>
      <c r="REC331" s="902"/>
      <c r="RED331" s="901"/>
      <c r="REE331" s="901"/>
      <c r="REF331" s="901"/>
      <c r="REG331" s="901"/>
      <c r="REH331" s="901"/>
      <c r="REI331" s="901"/>
      <c r="REJ331" s="901"/>
      <c r="REK331" s="901"/>
      <c r="REL331" s="901"/>
      <c r="REM331" s="901"/>
      <c r="REN331" s="901"/>
      <c r="REO331" s="901"/>
      <c r="REP331" s="901"/>
      <c r="REQ331" s="901"/>
      <c r="RER331" s="901"/>
      <c r="RES331" s="901"/>
      <c r="RET331" s="901"/>
      <c r="REU331" s="901"/>
      <c r="REV331" s="901"/>
      <c r="REW331" s="901"/>
      <c r="REX331" s="901"/>
      <c r="REY331" s="901"/>
      <c r="REZ331" s="901"/>
      <c r="RFA331" s="901"/>
      <c r="RFB331" s="901"/>
      <c r="RFC331" s="901"/>
      <c r="RFD331" s="901"/>
      <c r="RFE331" s="901"/>
      <c r="RFF331" s="902"/>
      <c r="RFG331" s="901"/>
      <c r="RFH331" s="901"/>
      <c r="RFI331" s="901"/>
      <c r="RFJ331" s="901"/>
      <c r="RFK331" s="901"/>
      <c r="RFL331" s="901"/>
      <c r="RFM331" s="901"/>
      <c r="RFN331" s="901"/>
      <c r="RFO331" s="901"/>
      <c r="RFP331" s="901"/>
      <c r="RFQ331" s="901"/>
      <c r="RFR331" s="901"/>
      <c r="RFS331" s="901"/>
      <c r="RFT331" s="901"/>
      <c r="RFU331" s="901"/>
      <c r="RFV331" s="901"/>
      <c r="RFW331" s="901"/>
      <c r="RFX331" s="901"/>
      <c r="RFY331" s="901"/>
      <c r="RFZ331" s="901"/>
      <c r="RGA331" s="901"/>
      <c r="RGB331" s="901"/>
      <c r="RGC331" s="901"/>
      <c r="RGD331" s="901"/>
      <c r="RGE331" s="901"/>
      <c r="RGF331" s="901"/>
      <c r="RGG331" s="901"/>
      <c r="RGH331" s="901"/>
      <c r="RGI331" s="902"/>
      <c r="RGJ331" s="901"/>
      <c r="RGK331" s="901"/>
      <c r="RGL331" s="901"/>
      <c r="RGM331" s="901"/>
      <c r="RGN331" s="901"/>
      <c r="RGO331" s="901"/>
      <c r="RGP331" s="901"/>
      <c r="RGQ331" s="901"/>
      <c r="RGR331" s="901"/>
      <c r="RGS331" s="901"/>
      <c r="RGT331" s="901"/>
      <c r="RGU331" s="901"/>
      <c r="RGV331" s="901"/>
      <c r="RGW331" s="901"/>
      <c r="RGX331" s="901"/>
      <c r="RGY331" s="901"/>
      <c r="RGZ331" s="901"/>
      <c r="RHA331" s="901"/>
      <c r="RHB331" s="901"/>
      <c r="RHC331" s="901"/>
      <c r="RHD331" s="901"/>
      <c r="RHE331" s="901"/>
      <c r="RHF331" s="901"/>
      <c r="RHG331" s="901"/>
      <c r="RHH331" s="901"/>
      <c r="RHI331" s="901"/>
      <c r="RHJ331" s="901"/>
      <c r="RHK331" s="901"/>
      <c r="RHL331" s="902"/>
      <c r="RHM331" s="901"/>
      <c r="RHN331" s="901"/>
      <c r="RHO331" s="901"/>
      <c r="RHP331" s="901"/>
      <c r="RHQ331" s="901"/>
      <c r="RHR331" s="901"/>
      <c r="RHS331" s="901"/>
      <c r="RHT331" s="901"/>
      <c r="RHU331" s="901"/>
      <c r="RHV331" s="901"/>
      <c r="RHW331" s="901"/>
      <c r="RHX331" s="901"/>
      <c r="RHY331" s="901"/>
      <c r="RHZ331" s="901"/>
      <c r="RIA331" s="901"/>
      <c r="RIB331" s="901"/>
      <c r="RIC331" s="901"/>
      <c r="RID331" s="901"/>
      <c r="RIE331" s="901"/>
      <c r="RIF331" s="901"/>
      <c r="RIG331" s="901"/>
      <c r="RIH331" s="901"/>
      <c r="RII331" s="901"/>
      <c r="RIJ331" s="901"/>
      <c r="RIK331" s="901"/>
      <c r="RIL331" s="901"/>
      <c r="RIM331" s="901"/>
      <c r="RIN331" s="901"/>
      <c r="RIO331" s="902"/>
      <c r="RIP331" s="901"/>
      <c r="RIQ331" s="901"/>
      <c r="RIR331" s="901"/>
      <c r="RIS331" s="901"/>
      <c r="RIT331" s="901"/>
      <c r="RIU331" s="901"/>
      <c r="RIV331" s="901"/>
      <c r="RIW331" s="901"/>
      <c r="RIX331" s="901"/>
      <c r="RIY331" s="901"/>
      <c r="RIZ331" s="901"/>
      <c r="RJA331" s="901"/>
      <c r="RJB331" s="901"/>
      <c r="RJC331" s="901"/>
      <c r="RJD331" s="901"/>
      <c r="RJE331" s="901"/>
      <c r="RJF331" s="901"/>
      <c r="RJG331" s="901"/>
      <c r="RJH331" s="901"/>
      <c r="RJI331" s="901"/>
      <c r="RJJ331" s="901"/>
      <c r="RJK331" s="901"/>
      <c r="RJL331" s="901"/>
      <c r="RJM331" s="901"/>
      <c r="RJN331" s="901"/>
      <c r="RJO331" s="901"/>
      <c r="RJP331" s="901"/>
      <c r="RJQ331" s="901"/>
      <c r="RJR331" s="902"/>
      <c r="RJS331" s="901"/>
      <c r="RJT331" s="901"/>
      <c r="RJU331" s="901"/>
      <c r="RJV331" s="901"/>
      <c r="RJW331" s="901"/>
      <c r="RJX331" s="901"/>
      <c r="RJY331" s="901"/>
      <c r="RJZ331" s="901"/>
      <c r="RKA331" s="901"/>
      <c r="RKB331" s="901"/>
      <c r="RKC331" s="901"/>
      <c r="RKD331" s="901"/>
      <c r="RKE331" s="901"/>
      <c r="RKF331" s="901"/>
      <c r="RKG331" s="901"/>
      <c r="RKH331" s="901"/>
      <c r="RKI331" s="901"/>
      <c r="RKJ331" s="901"/>
      <c r="RKK331" s="901"/>
      <c r="RKL331" s="901"/>
      <c r="RKM331" s="901"/>
      <c r="RKN331" s="901"/>
      <c r="RKO331" s="901"/>
      <c r="RKP331" s="901"/>
      <c r="RKQ331" s="901"/>
      <c r="RKR331" s="901"/>
      <c r="RKS331" s="901"/>
      <c r="RKT331" s="901"/>
      <c r="RKU331" s="902"/>
      <c r="RKV331" s="901"/>
      <c r="RKW331" s="901"/>
      <c r="RKX331" s="901"/>
      <c r="RKY331" s="901"/>
      <c r="RKZ331" s="901"/>
      <c r="RLA331" s="901"/>
      <c r="RLB331" s="901"/>
      <c r="RLC331" s="901"/>
      <c r="RLD331" s="901"/>
      <c r="RLE331" s="901"/>
      <c r="RLF331" s="901"/>
      <c r="RLG331" s="901"/>
      <c r="RLH331" s="901"/>
      <c r="RLI331" s="901"/>
      <c r="RLJ331" s="901"/>
      <c r="RLK331" s="901"/>
      <c r="RLL331" s="901"/>
      <c r="RLM331" s="901"/>
      <c r="RLN331" s="901"/>
      <c r="RLO331" s="901"/>
      <c r="RLP331" s="901"/>
      <c r="RLQ331" s="901"/>
      <c r="RLR331" s="901"/>
      <c r="RLS331" s="901"/>
      <c r="RLT331" s="901"/>
      <c r="RLU331" s="901"/>
      <c r="RLV331" s="901"/>
      <c r="RLW331" s="901"/>
      <c r="RLX331" s="902"/>
      <c r="RLY331" s="901"/>
      <c r="RLZ331" s="901"/>
      <c r="RMA331" s="901"/>
      <c r="RMB331" s="901"/>
      <c r="RMC331" s="901"/>
      <c r="RMD331" s="901"/>
      <c r="RME331" s="901"/>
      <c r="RMF331" s="901"/>
      <c r="RMG331" s="901"/>
      <c r="RMH331" s="901"/>
      <c r="RMI331" s="901"/>
      <c r="RMJ331" s="901"/>
      <c r="RMK331" s="901"/>
      <c r="RML331" s="901"/>
      <c r="RMM331" s="901"/>
      <c r="RMN331" s="901"/>
      <c r="RMO331" s="901"/>
      <c r="RMP331" s="901"/>
      <c r="RMQ331" s="901"/>
      <c r="RMR331" s="901"/>
      <c r="RMS331" s="901"/>
      <c r="RMT331" s="901"/>
      <c r="RMU331" s="901"/>
      <c r="RMV331" s="901"/>
      <c r="RMW331" s="901"/>
      <c r="RMX331" s="901"/>
      <c r="RMY331" s="901"/>
      <c r="RMZ331" s="901"/>
      <c r="RNA331" s="902"/>
      <c r="RNB331" s="901"/>
      <c r="RNC331" s="901"/>
      <c r="RND331" s="901"/>
      <c r="RNE331" s="901"/>
      <c r="RNF331" s="901"/>
      <c r="RNG331" s="901"/>
      <c r="RNH331" s="901"/>
      <c r="RNI331" s="901"/>
      <c r="RNJ331" s="901"/>
      <c r="RNK331" s="901"/>
      <c r="RNL331" s="901"/>
      <c r="RNM331" s="901"/>
      <c r="RNN331" s="901"/>
      <c r="RNO331" s="901"/>
      <c r="RNP331" s="901"/>
      <c r="RNQ331" s="901"/>
      <c r="RNR331" s="901"/>
      <c r="RNS331" s="901"/>
      <c r="RNT331" s="901"/>
      <c r="RNU331" s="901"/>
      <c r="RNV331" s="901"/>
      <c r="RNW331" s="901"/>
      <c r="RNX331" s="901"/>
      <c r="RNY331" s="901"/>
      <c r="RNZ331" s="901"/>
      <c r="ROA331" s="901"/>
      <c r="ROB331" s="901"/>
      <c r="ROC331" s="901"/>
      <c r="ROD331" s="902"/>
      <c r="ROE331" s="901"/>
      <c r="ROF331" s="901"/>
      <c r="ROG331" s="901"/>
      <c r="ROH331" s="901"/>
      <c r="ROI331" s="901"/>
      <c r="ROJ331" s="901"/>
      <c r="ROK331" s="901"/>
      <c r="ROL331" s="901"/>
      <c r="ROM331" s="901"/>
      <c r="RON331" s="901"/>
      <c r="ROO331" s="901"/>
      <c r="ROP331" s="901"/>
      <c r="ROQ331" s="901"/>
      <c r="ROR331" s="901"/>
      <c r="ROS331" s="901"/>
      <c r="ROT331" s="901"/>
      <c r="ROU331" s="901"/>
      <c r="ROV331" s="901"/>
      <c r="ROW331" s="901"/>
      <c r="ROX331" s="901"/>
      <c r="ROY331" s="901"/>
      <c r="ROZ331" s="901"/>
      <c r="RPA331" s="901"/>
      <c r="RPB331" s="901"/>
      <c r="RPC331" s="901"/>
      <c r="RPD331" s="901"/>
      <c r="RPE331" s="901"/>
      <c r="RPF331" s="901"/>
      <c r="RPG331" s="902"/>
      <c r="RPH331" s="901"/>
      <c r="RPI331" s="901"/>
      <c r="RPJ331" s="901"/>
      <c r="RPK331" s="901"/>
      <c r="RPL331" s="901"/>
      <c r="RPM331" s="901"/>
      <c r="RPN331" s="901"/>
      <c r="RPO331" s="901"/>
      <c r="RPP331" s="901"/>
      <c r="RPQ331" s="901"/>
      <c r="RPR331" s="901"/>
      <c r="RPS331" s="901"/>
      <c r="RPT331" s="901"/>
      <c r="RPU331" s="901"/>
      <c r="RPV331" s="901"/>
      <c r="RPW331" s="901"/>
      <c r="RPX331" s="901"/>
      <c r="RPY331" s="901"/>
      <c r="RPZ331" s="901"/>
      <c r="RQA331" s="901"/>
      <c r="RQB331" s="901"/>
      <c r="RQC331" s="901"/>
      <c r="RQD331" s="901"/>
      <c r="RQE331" s="901"/>
      <c r="RQF331" s="901"/>
      <c r="RQG331" s="901"/>
      <c r="RQH331" s="901"/>
      <c r="RQI331" s="901"/>
      <c r="RQJ331" s="902"/>
      <c r="RQK331" s="901"/>
      <c r="RQL331" s="901"/>
      <c r="RQM331" s="901"/>
      <c r="RQN331" s="901"/>
      <c r="RQO331" s="901"/>
      <c r="RQP331" s="901"/>
      <c r="RQQ331" s="901"/>
      <c r="RQR331" s="901"/>
      <c r="RQS331" s="901"/>
      <c r="RQT331" s="901"/>
      <c r="RQU331" s="901"/>
      <c r="RQV331" s="901"/>
      <c r="RQW331" s="901"/>
      <c r="RQX331" s="901"/>
      <c r="RQY331" s="901"/>
      <c r="RQZ331" s="901"/>
      <c r="RRA331" s="901"/>
      <c r="RRB331" s="901"/>
      <c r="RRC331" s="901"/>
      <c r="RRD331" s="901"/>
      <c r="RRE331" s="901"/>
      <c r="RRF331" s="901"/>
      <c r="RRG331" s="901"/>
      <c r="RRH331" s="901"/>
      <c r="RRI331" s="901"/>
      <c r="RRJ331" s="901"/>
      <c r="RRK331" s="901"/>
      <c r="RRL331" s="901"/>
      <c r="RRM331" s="902"/>
      <c r="RRN331" s="901"/>
      <c r="RRO331" s="901"/>
      <c r="RRP331" s="901"/>
      <c r="RRQ331" s="901"/>
      <c r="RRR331" s="901"/>
      <c r="RRS331" s="901"/>
      <c r="RRT331" s="901"/>
      <c r="RRU331" s="901"/>
      <c r="RRV331" s="901"/>
      <c r="RRW331" s="901"/>
      <c r="RRX331" s="901"/>
      <c r="RRY331" s="901"/>
      <c r="RRZ331" s="901"/>
      <c r="RSA331" s="901"/>
      <c r="RSB331" s="901"/>
      <c r="RSC331" s="901"/>
      <c r="RSD331" s="901"/>
      <c r="RSE331" s="901"/>
      <c r="RSF331" s="901"/>
      <c r="RSG331" s="901"/>
      <c r="RSH331" s="901"/>
      <c r="RSI331" s="901"/>
      <c r="RSJ331" s="901"/>
      <c r="RSK331" s="901"/>
      <c r="RSL331" s="901"/>
      <c r="RSM331" s="901"/>
      <c r="RSN331" s="901"/>
      <c r="RSO331" s="901"/>
      <c r="RSP331" s="902"/>
      <c r="RSQ331" s="901"/>
      <c r="RSR331" s="901"/>
      <c r="RSS331" s="901"/>
      <c r="RST331" s="901"/>
      <c r="RSU331" s="901"/>
      <c r="RSV331" s="901"/>
      <c r="RSW331" s="901"/>
      <c r="RSX331" s="901"/>
      <c r="RSY331" s="901"/>
      <c r="RSZ331" s="901"/>
      <c r="RTA331" s="901"/>
      <c r="RTB331" s="901"/>
      <c r="RTC331" s="901"/>
      <c r="RTD331" s="901"/>
      <c r="RTE331" s="901"/>
      <c r="RTF331" s="901"/>
      <c r="RTG331" s="901"/>
      <c r="RTH331" s="901"/>
      <c r="RTI331" s="901"/>
      <c r="RTJ331" s="901"/>
      <c r="RTK331" s="901"/>
      <c r="RTL331" s="901"/>
      <c r="RTM331" s="901"/>
      <c r="RTN331" s="901"/>
      <c r="RTO331" s="901"/>
      <c r="RTP331" s="901"/>
      <c r="RTQ331" s="901"/>
      <c r="RTR331" s="901"/>
      <c r="RTS331" s="902"/>
      <c r="RTT331" s="901"/>
      <c r="RTU331" s="901"/>
      <c r="RTV331" s="901"/>
      <c r="RTW331" s="901"/>
      <c r="RTX331" s="901"/>
      <c r="RTY331" s="901"/>
      <c r="RTZ331" s="901"/>
      <c r="RUA331" s="901"/>
      <c r="RUB331" s="901"/>
      <c r="RUC331" s="901"/>
      <c r="RUD331" s="901"/>
      <c r="RUE331" s="901"/>
      <c r="RUF331" s="901"/>
      <c r="RUG331" s="901"/>
      <c r="RUH331" s="901"/>
      <c r="RUI331" s="901"/>
      <c r="RUJ331" s="901"/>
      <c r="RUK331" s="901"/>
      <c r="RUL331" s="901"/>
      <c r="RUM331" s="901"/>
      <c r="RUN331" s="901"/>
      <c r="RUO331" s="901"/>
      <c r="RUP331" s="901"/>
      <c r="RUQ331" s="901"/>
      <c r="RUR331" s="901"/>
      <c r="RUS331" s="901"/>
      <c r="RUT331" s="901"/>
      <c r="RUU331" s="901"/>
      <c r="RUV331" s="902"/>
      <c r="RUW331" s="901"/>
      <c r="RUX331" s="901"/>
      <c r="RUY331" s="901"/>
      <c r="RUZ331" s="901"/>
      <c r="RVA331" s="901"/>
      <c r="RVB331" s="901"/>
      <c r="RVC331" s="901"/>
      <c r="RVD331" s="901"/>
      <c r="RVE331" s="901"/>
      <c r="RVF331" s="901"/>
      <c r="RVG331" s="901"/>
      <c r="RVH331" s="901"/>
      <c r="RVI331" s="901"/>
      <c r="RVJ331" s="901"/>
      <c r="RVK331" s="901"/>
      <c r="RVL331" s="901"/>
      <c r="RVM331" s="901"/>
      <c r="RVN331" s="901"/>
      <c r="RVO331" s="901"/>
      <c r="RVP331" s="901"/>
      <c r="RVQ331" s="901"/>
      <c r="RVR331" s="901"/>
      <c r="RVS331" s="901"/>
      <c r="RVT331" s="901"/>
      <c r="RVU331" s="901"/>
      <c r="RVV331" s="901"/>
      <c r="RVW331" s="901"/>
      <c r="RVX331" s="901"/>
      <c r="RVY331" s="902"/>
      <c r="RVZ331" s="901"/>
      <c r="RWA331" s="901"/>
      <c r="RWB331" s="901"/>
      <c r="RWC331" s="901"/>
      <c r="RWD331" s="901"/>
      <c r="RWE331" s="901"/>
      <c r="RWF331" s="901"/>
      <c r="RWG331" s="901"/>
      <c r="RWH331" s="901"/>
      <c r="RWI331" s="901"/>
      <c r="RWJ331" s="901"/>
      <c r="RWK331" s="901"/>
      <c r="RWL331" s="901"/>
      <c r="RWM331" s="901"/>
      <c r="RWN331" s="901"/>
      <c r="RWO331" s="901"/>
      <c r="RWP331" s="901"/>
      <c r="RWQ331" s="901"/>
      <c r="RWR331" s="901"/>
      <c r="RWS331" s="901"/>
      <c r="RWT331" s="901"/>
      <c r="RWU331" s="901"/>
      <c r="RWV331" s="901"/>
      <c r="RWW331" s="901"/>
      <c r="RWX331" s="901"/>
      <c r="RWY331" s="901"/>
      <c r="RWZ331" s="901"/>
      <c r="RXA331" s="901"/>
      <c r="RXB331" s="902"/>
      <c r="RXC331" s="901"/>
      <c r="RXD331" s="901"/>
      <c r="RXE331" s="901"/>
      <c r="RXF331" s="901"/>
      <c r="RXG331" s="901"/>
      <c r="RXH331" s="901"/>
      <c r="RXI331" s="901"/>
      <c r="RXJ331" s="901"/>
      <c r="RXK331" s="901"/>
      <c r="RXL331" s="901"/>
      <c r="RXM331" s="901"/>
      <c r="RXN331" s="901"/>
      <c r="RXO331" s="901"/>
      <c r="RXP331" s="901"/>
      <c r="RXQ331" s="901"/>
      <c r="RXR331" s="901"/>
      <c r="RXS331" s="901"/>
      <c r="RXT331" s="901"/>
      <c r="RXU331" s="901"/>
      <c r="RXV331" s="901"/>
      <c r="RXW331" s="901"/>
      <c r="RXX331" s="901"/>
      <c r="RXY331" s="901"/>
      <c r="RXZ331" s="901"/>
      <c r="RYA331" s="901"/>
      <c r="RYB331" s="901"/>
      <c r="RYC331" s="901"/>
      <c r="RYD331" s="901"/>
      <c r="RYE331" s="902"/>
      <c r="RYF331" s="901"/>
      <c r="RYG331" s="901"/>
      <c r="RYH331" s="901"/>
      <c r="RYI331" s="901"/>
      <c r="RYJ331" s="901"/>
      <c r="RYK331" s="901"/>
      <c r="RYL331" s="901"/>
      <c r="RYM331" s="901"/>
      <c r="RYN331" s="901"/>
      <c r="RYO331" s="901"/>
      <c r="RYP331" s="901"/>
      <c r="RYQ331" s="901"/>
      <c r="RYR331" s="901"/>
      <c r="RYS331" s="901"/>
      <c r="RYT331" s="901"/>
      <c r="RYU331" s="901"/>
      <c r="RYV331" s="901"/>
      <c r="RYW331" s="901"/>
      <c r="RYX331" s="901"/>
      <c r="RYY331" s="901"/>
      <c r="RYZ331" s="901"/>
      <c r="RZA331" s="901"/>
      <c r="RZB331" s="901"/>
      <c r="RZC331" s="901"/>
      <c r="RZD331" s="901"/>
      <c r="RZE331" s="901"/>
      <c r="RZF331" s="901"/>
      <c r="RZG331" s="901"/>
      <c r="RZH331" s="902"/>
      <c r="RZI331" s="901"/>
      <c r="RZJ331" s="901"/>
      <c r="RZK331" s="901"/>
      <c r="RZL331" s="901"/>
      <c r="RZM331" s="901"/>
      <c r="RZN331" s="901"/>
      <c r="RZO331" s="901"/>
      <c r="RZP331" s="901"/>
      <c r="RZQ331" s="901"/>
      <c r="RZR331" s="901"/>
      <c r="RZS331" s="901"/>
      <c r="RZT331" s="901"/>
      <c r="RZU331" s="901"/>
      <c r="RZV331" s="901"/>
      <c r="RZW331" s="901"/>
      <c r="RZX331" s="901"/>
      <c r="RZY331" s="901"/>
      <c r="RZZ331" s="901"/>
      <c r="SAA331" s="901"/>
      <c r="SAB331" s="901"/>
      <c r="SAC331" s="901"/>
      <c r="SAD331" s="901"/>
      <c r="SAE331" s="901"/>
      <c r="SAF331" s="901"/>
      <c r="SAG331" s="901"/>
      <c r="SAH331" s="901"/>
      <c r="SAI331" s="901"/>
      <c r="SAJ331" s="901"/>
      <c r="SAK331" s="902"/>
      <c r="SAL331" s="901"/>
      <c r="SAM331" s="901"/>
      <c r="SAN331" s="901"/>
      <c r="SAO331" s="901"/>
      <c r="SAP331" s="901"/>
      <c r="SAQ331" s="901"/>
      <c r="SAR331" s="901"/>
      <c r="SAS331" s="901"/>
      <c r="SAT331" s="901"/>
      <c r="SAU331" s="901"/>
      <c r="SAV331" s="901"/>
      <c r="SAW331" s="901"/>
      <c r="SAX331" s="901"/>
      <c r="SAY331" s="901"/>
      <c r="SAZ331" s="901"/>
      <c r="SBA331" s="901"/>
      <c r="SBB331" s="901"/>
      <c r="SBC331" s="901"/>
      <c r="SBD331" s="901"/>
      <c r="SBE331" s="901"/>
      <c r="SBF331" s="901"/>
      <c r="SBG331" s="901"/>
      <c r="SBH331" s="901"/>
      <c r="SBI331" s="901"/>
      <c r="SBJ331" s="901"/>
      <c r="SBK331" s="901"/>
      <c r="SBL331" s="901"/>
      <c r="SBM331" s="901"/>
      <c r="SBN331" s="902"/>
      <c r="SBO331" s="901"/>
      <c r="SBP331" s="901"/>
      <c r="SBQ331" s="901"/>
      <c r="SBR331" s="901"/>
      <c r="SBS331" s="901"/>
      <c r="SBT331" s="901"/>
      <c r="SBU331" s="901"/>
      <c r="SBV331" s="901"/>
      <c r="SBW331" s="901"/>
      <c r="SBX331" s="901"/>
      <c r="SBY331" s="901"/>
      <c r="SBZ331" s="901"/>
      <c r="SCA331" s="901"/>
      <c r="SCB331" s="901"/>
      <c r="SCC331" s="901"/>
      <c r="SCD331" s="901"/>
      <c r="SCE331" s="901"/>
      <c r="SCF331" s="901"/>
      <c r="SCG331" s="901"/>
      <c r="SCH331" s="901"/>
      <c r="SCI331" s="901"/>
      <c r="SCJ331" s="901"/>
      <c r="SCK331" s="901"/>
      <c r="SCL331" s="901"/>
      <c r="SCM331" s="901"/>
      <c r="SCN331" s="901"/>
      <c r="SCO331" s="901"/>
      <c r="SCP331" s="901"/>
      <c r="SCQ331" s="902"/>
      <c r="SCR331" s="901"/>
      <c r="SCS331" s="901"/>
      <c r="SCT331" s="901"/>
      <c r="SCU331" s="901"/>
      <c r="SCV331" s="901"/>
      <c r="SCW331" s="901"/>
      <c r="SCX331" s="901"/>
      <c r="SCY331" s="901"/>
      <c r="SCZ331" s="901"/>
      <c r="SDA331" s="901"/>
      <c r="SDB331" s="901"/>
      <c r="SDC331" s="901"/>
      <c r="SDD331" s="901"/>
      <c r="SDE331" s="901"/>
      <c r="SDF331" s="901"/>
      <c r="SDG331" s="901"/>
      <c r="SDH331" s="901"/>
      <c r="SDI331" s="901"/>
      <c r="SDJ331" s="901"/>
      <c r="SDK331" s="901"/>
      <c r="SDL331" s="901"/>
      <c r="SDM331" s="901"/>
      <c r="SDN331" s="901"/>
      <c r="SDO331" s="901"/>
      <c r="SDP331" s="901"/>
      <c r="SDQ331" s="901"/>
      <c r="SDR331" s="901"/>
      <c r="SDS331" s="901"/>
      <c r="SDT331" s="902"/>
      <c r="SDU331" s="901"/>
      <c r="SDV331" s="901"/>
      <c r="SDW331" s="901"/>
      <c r="SDX331" s="901"/>
      <c r="SDY331" s="901"/>
      <c r="SDZ331" s="901"/>
      <c r="SEA331" s="901"/>
      <c r="SEB331" s="901"/>
      <c r="SEC331" s="901"/>
      <c r="SED331" s="901"/>
      <c r="SEE331" s="901"/>
      <c r="SEF331" s="901"/>
      <c r="SEG331" s="901"/>
      <c r="SEH331" s="901"/>
      <c r="SEI331" s="901"/>
      <c r="SEJ331" s="901"/>
      <c r="SEK331" s="901"/>
      <c r="SEL331" s="901"/>
      <c r="SEM331" s="901"/>
      <c r="SEN331" s="901"/>
      <c r="SEO331" s="901"/>
      <c r="SEP331" s="901"/>
      <c r="SEQ331" s="901"/>
      <c r="SER331" s="901"/>
      <c r="SES331" s="901"/>
      <c r="SET331" s="901"/>
      <c r="SEU331" s="901"/>
      <c r="SEV331" s="901"/>
      <c r="SEW331" s="902"/>
      <c r="SEX331" s="901"/>
      <c r="SEY331" s="901"/>
      <c r="SEZ331" s="901"/>
      <c r="SFA331" s="901"/>
      <c r="SFB331" s="901"/>
      <c r="SFC331" s="901"/>
      <c r="SFD331" s="901"/>
      <c r="SFE331" s="901"/>
      <c r="SFF331" s="901"/>
      <c r="SFG331" s="901"/>
      <c r="SFH331" s="901"/>
      <c r="SFI331" s="901"/>
      <c r="SFJ331" s="901"/>
      <c r="SFK331" s="901"/>
      <c r="SFL331" s="901"/>
      <c r="SFM331" s="901"/>
      <c r="SFN331" s="901"/>
      <c r="SFO331" s="901"/>
      <c r="SFP331" s="901"/>
      <c r="SFQ331" s="901"/>
      <c r="SFR331" s="901"/>
      <c r="SFS331" s="901"/>
      <c r="SFT331" s="901"/>
      <c r="SFU331" s="901"/>
      <c r="SFV331" s="901"/>
      <c r="SFW331" s="901"/>
      <c r="SFX331" s="901"/>
      <c r="SFY331" s="901"/>
      <c r="SFZ331" s="902"/>
      <c r="SGA331" s="901"/>
      <c r="SGB331" s="901"/>
      <c r="SGC331" s="901"/>
      <c r="SGD331" s="901"/>
      <c r="SGE331" s="901"/>
      <c r="SGF331" s="901"/>
      <c r="SGG331" s="901"/>
      <c r="SGH331" s="901"/>
      <c r="SGI331" s="901"/>
      <c r="SGJ331" s="901"/>
      <c r="SGK331" s="901"/>
      <c r="SGL331" s="901"/>
      <c r="SGM331" s="901"/>
      <c r="SGN331" s="901"/>
      <c r="SGO331" s="901"/>
      <c r="SGP331" s="901"/>
      <c r="SGQ331" s="901"/>
      <c r="SGR331" s="901"/>
      <c r="SGS331" s="901"/>
      <c r="SGT331" s="901"/>
      <c r="SGU331" s="901"/>
      <c r="SGV331" s="901"/>
      <c r="SGW331" s="901"/>
      <c r="SGX331" s="901"/>
      <c r="SGY331" s="901"/>
      <c r="SGZ331" s="901"/>
      <c r="SHA331" s="901"/>
      <c r="SHB331" s="901"/>
      <c r="SHC331" s="902"/>
      <c r="SHD331" s="901"/>
      <c r="SHE331" s="901"/>
      <c r="SHF331" s="901"/>
      <c r="SHG331" s="901"/>
      <c r="SHH331" s="901"/>
      <c r="SHI331" s="901"/>
      <c r="SHJ331" s="901"/>
      <c r="SHK331" s="901"/>
      <c r="SHL331" s="901"/>
      <c r="SHM331" s="901"/>
      <c r="SHN331" s="901"/>
      <c r="SHO331" s="901"/>
      <c r="SHP331" s="901"/>
      <c r="SHQ331" s="901"/>
      <c r="SHR331" s="901"/>
      <c r="SHS331" s="901"/>
      <c r="SHT331" s="901"/>
      <c r="SHU331" s="901"/>
      <c r="SHV331" s="901"/>
      <c r="SHW331" s="901"/>
      <c r="SHX331" s="901"/>
      <c r="SHY331" s="901"/>
      <c r="SHZ331" s="901"/>
      <c r="SIA331" s="901"/>
      <c r="SIB331" s="901"/>
      <c r="SIC331" s="901"/>
      <c r="SID331" s="901"/>
      <c r="SIE331" s="901"/>
      <c r="SIF331" s="902"/>
      <c r="SIG331" s="901"/>
      <c r="SIH331" s="901"/>
      <c r="SII331" s="901"/>
      <c r="SIJ331" s="901"/>
      <c r="SIK331" s="901"/>
      <c r="SIL331" s="901"/>
      <c r="SIM331" s="901"/>
      <c r="SIN331" s="901"/>
      <c r="SIO331" s="901"/>
      <c r="SIP331" s="901"/>
      <c r="SIQ331" s="901"/>
      <c r="SIR331" s="901"/>
      <c r="SIS331" s="901"/>
      <c r="SIT331" s="901"/>
      <c r="SIU331" s="901"/>
      <c r="SIV331" s="901"/>
      <c r="SIW331" s="901"/>
      <c r="SIX331" s="901"/>
      <c r="SIY331" s="901"/>
      <c r="SIZ331" s="901"/>
      <c r="SJA331" s="901"/>
      <c r="SJB331" s="901"/>
      <c r="SJC331" s="901"/>
      <c r="SJD331" s="901"/>
      <c r="SJE331" s="901"/>
      <c r="SJF331" s="901"/>
      <c r="SJG331" s="901"/>
      <c r="SJH331" s="901"/>
      <c r="SJI331" s="902"/>
      <c r="SJJ331" s="901"/>
      <c r="SJK331" s="901"/>
      <c r="SJL331" s="901"/>
      <c r="SJM331" s="901"/>
      <c r="SJN331" s="901"/>
      <c r="SJO331" s="901"/>
      <c r="SJP331" s="901"/>
      <c r="SJQ331" s="901"/>
      <c r="SJR331" s="901"/>
      <c r="SJS331" s="901"/>
      <c r="SJT331" s="901"/>
      <c r="SJU331" s="901"/>
      <c r="SJV331" s="901"/>
      <c r="SJW331" s="901"/>
      <c r="SJX331" s="901"/>
      <c r="SJY331" s="901"/>
      <c r="SJZ331" s="901"/>
      <c r="SKA331" s="901"/>
      <c r="SKB331" s="901"/>
      <c r="SKC331" s="901"/>
      <c r="SKD331" s="901"/>
      <c r="SKE331" s="901"/>
      <c r="SKF331" s="901"/>
      <c r="SKG331" s="901"/>
      <c r="SKH331" s="901"/>
      <c r="SKI331" s="901"/>
      <c r="SKJ331" s="901"/>
      <c r="SKK331" s="901"/>
      <c r="SKL331" s="902"/>
      <c r="SKM331" s="901"/>
      <c r="SKN331" s="901"/>
      <c r="SKO331" s="901"/>
      <c r="SKP331" s="901"/>
      <c r="SKQ331" s="901"/>
      <c r="SKR331" s="901"/>
      <c r="SKS331" s="901"/>
      <c r="SKT331" s="901"/>
      <c r="SKU331" s="901"/>
      <c r="SKV331" s="901"/>
      <c r="SKW331" s="901"/>
      <c r="SKX331" s="901"/>
      <c r="SKY331" s="901"/>
      <c r="SKZ331" s="901"/>
      <c r="SLA331" s="901"/>
      <c r="SLB331" s="901"/>
      <c r="SLC331" s="901"/>
      <c r="SLD331" s="901"/>
      <c r="SLE331" s="901"/>
      <c r="SLF331" s="901"/>
      <c r="SLG331" s="901"/>
      <c r="SLH331" s="901"/>
      <c r="SLI331" s="901"/>
      <c r="SLJ331" s="901"/>
      <c r="SLK331" s="901"/>
      <c r="SLL331" s="901"/>
      <c r="SLM331" s="901"/>
      <c r="SLN331" s="901"/>
      <c r="SLO331" s="902"/>
      <c r="SLP331" s="901"/>
      <c r="SLQ331" s="901"/>
      <c r="SLR331" s="901"/>
      <c r="SLS331" s="901"/>
      <c r="SLT331" s="901"/>
      <c r="SLU331" s="901"/>
      <c r="SLV331" s="901"/>
      <c r="SLW331" s="901"/>
      <c r="SLX331" s="901"/>
      <c r="SLY331" s="901"/>
      <c r="SLZ331" s="901"/>
      <c r="SMA331" s="901"/>
      <c r="SMB331" s="901"/>
      <c r="SMC331" s="901"/>
      <c r="SMD331" s="901"/>
      <c r="SME331" s="901"/>
      <c r="SMF331" s="901"/>
      <c r="SMG331" s="901"/>
      <c r="SMH331" s="901"/>
      <c r="SMI331" s="901"/>
      <c r="SMJ331" s="901"/>
      <c r="SMK331" s="901"/>
      <c r="SML331" s="901"/>
      <c r="SMM331" s="901"/>
      <c r="SMN331" s="901"/>
      <c r="SMO331" s="901"/>
      <c r="SMP331" s="901"/>
      <c r="SMQ331" s="901"/>
      <c r="SMR331" s="902"/>
      <c r="SMS331" s="901"/>
      <c r="SMT331" s="901"/>
      <c r="SMU331" s="901"/>
      <c r="SMV331" s="901"/>
      <c r="SMW331" s="901"/>
      <c r="SMX331" s="901"/>
      <c r="SMY331" s="901"/>
      <c r="SMZ331" s="901"/>
      <c r="SNA331" s="901"/>
      <c r="SNB331" s="901"/>
      <c r="SNC331" s="901"/>
      <c r="SND331" s="901"/>
      <c r="SNE331" s="901"/>
      <c r="SNF331" s="901"/>
      <c r="SNG331" s="901"/>
      <c r="SNH331" s="901"/>
      <c r="SNI331" s="901"/>
      <c r="SNJ331" s="901"/>
      <c r="SNK331" s="901"/>
      <c r="SNL331" s="901"/>
      <c r="SNM331" s="901"/>
      <c r="SNN331" s="901"/>
      <c r="SNO331" s="901"/>
      <c r="SNP331" s="901"/>
      <c r="SNQ331" s="901"/>
      <c r="SNR331" s="901"/>
      <c r="SNS331" s="901"/>
      <c r="SNT331" s="901"/>
      <c r="SNU331" s="902"/>
      <c r="SNV331" s="901"/>
      <c r="SNW331" s="901"/>
      <c r="SNX331" s="901"/>
      <c r="SNY331" s="901"/>
      <c r="SNZ331" s="901"/>
      <c r="SOA331" s="901"/>
      <c r="SOB331" s="901"/>
      <c r="SOC331" s="901"/>
      <c r="SOD331" s="901"/>
      <c r="SOE331" s="901"/>
      <c r="SOF331" s="901"/>
      <c r="SOG331" s="901"/>
      <c r="SOH331" s="901"/>
      <c r="SOI331" s="901"/>
      <c r="SOJ331" s="901"/>
      <c r="SOK331" s="901"/>
      <c r="SOL331" s="901"/>
      <c r="SOM331" s="901"/>
      <c r="SON331" s="901"/>
      <c r="SOO331" s="901"/>
      <c r="SOP331" s="901"/>
      <c r="SOQ331" s="901"/>
      <c r="SOR331" s="901"/>
      <c r="SOS331" s="901"/>
      <c r="SOT331" s="901"/>
      <c r="SOU331" s="901"/>
      <c r="SOV331" s="901"/>
      <c r="SOW331" s="901"/>
      <c r="SOX331" s="902"/>
      <c r="SOY331" s="901"/>
      <c r="SOZ331" s="901"/>
      <c r="SPA331" s="901"/>
      <c r="SPB331" s="901"/>
      <c r="SPC331" s="901"/>
      <c r="SPD331" s="901"/>
      <c r="SPE331" s="901"/>
      <c r="SPF331" s="901"/>
      <c r="SPG331" s="901"/>
      <c r="SPH331" s="901"/>
      <c r="SPI331" s="901"/>
      <c r="SPJ331" s="901"/>
      <c r="SPK331" s="901"/>
      <c r="SPL331" s="901"/>
      <c r="SPM331" s="901"/>
      <c r="SPN331" s="901"/>
      <c r="SPO331" s="901"/>
      <c r="SPP331" s="901"/>
      <c r="SPQ331" s="901"/>
      <c r="SPR331" s="901"/>
      <c r="SPS331" s="901"/>
      <c r="SPT331" s="901"/>
      <c r="SPU331" s="901"/>
      <c r="SPV331" s="901"/>
      <c r="SPW331" s="901"/>
      <c r="SPX331" s="901"/>
      <c r="SPY331" s="901"/>
      <c r="SPZ331" s="901"/>
      <c r="SQA331" s="902"/>
      <c r="SQB331" s="901"/>
      <c r="SQC331" s="901"/>
      <c r="SQD331" s="901"/>
      <c r="SQE331" s="901"/>
      <c r="SQF331" s="901"/>
      <c r="SQG331" s="901"/>
      <c r="SQH331" s="901"/>
      <c r="SQI331" s="901"/>
      <c r="SQJ331" s="901"/>
      <c r="SQK331" s="901"/>
      <c r="SQL331" s="901"/>
      <c r="SQM331" s="901"/>
      <c r="SQN331" s="901"/>
      <c r="SQO331" s="901"/>
      <c r="SQP331" s="901"/>
      <c r="SQQ331" s="901"/>
      <c r="SQR331" s="901"/>
      <c r="SQS331" s="901"/>
      <c r="SQT331" s="901"/>
      <c r="SQU331" s="901"/>
      <c r="SQV331" s="901"/>
      <c r="SQW331" s="901"/>
      <c r="SQX331" s="901"/>
      <c r="SQY331" s="901"/>
      <c r="SQZ331" s="901"/>
      <c r="SRA331" s="901"/>
      <c r="SRB331" s="901"/>
      <c r="SRC331" s="901"/>
      <c r="SRD331" s="902"/>
      <c r="SRE331" s="901"/>
      <c r="SRF331" s="901"/>
      <c r="SRG331" s="901"/>
      <c r="SRH331" s="901"/>
      <c r="SRI331" s="901"/>
      <c r="SRJ331" s="901"/>
      <c r="SRK331" s="901"/>
      <c r="SRL331" s="901"/>
      <c r="SRM331" s="901"/>
      <c r="SRN331" s="901"/>
      <c r="SRO331" s="901"/>
      <c r="SRP331" s="901"/>
      <c r="SRQ331" s="901"/>
      <c r="SRR331" s="901"/>
      <c r="SRS331" s="901"/>
      <c r="SRT331" s="901"/>
      <c r="SRU331" s="901"/>
      <c r="SRV331" s="901"/>
      <c r="SRW331" s="901"/>
      <c r="SRX331" s="901"/>
      <c r="SRY331" s="901"/>
      <c r="SRZ331" s="901"/>
      <c r="SSA331" s="901"/>
      <c r="SSB331" s="901"/>
      <c r="SSC331" s="901"/>
      <c r="SSD331" s="901"/>
      <c r="SSE331" s="901"/>
      <c r="SSF331" s="901"/>
      <c r="SSG331" s="902"/>
      <c r="SSH331" s="901"/>
      <c r="SSI331" s="901"/>
      <c r="SSJ331" s="901"/>
      <c r="SSK331" s="901"/>
      <c r="SSL331" s="901"/>
      <c r="SSM331" s="901"/>
      <c r="SSN331" s="901"/>
      <c r="SSO331" s="901"/>
      <c r="SSP331" s="901"/>
      <c r="SSQ331" s="901"/>
      <c r="SSR331" s="901"/>
      <c r="SSS331" s="901"/>
      <c r="SST331" s="901"/>
      <c r="SSU331" s="901"/>
      <c r="SSV331" s="901"/>
      <c r="SSW331" s="901"/>
      <c r="SSX331" s="901"/>
      <c r="SSY331" s="901"/>
      <c r="SSZ331" s="901"/>
      <c r="STA331" s="901"/>
      <c r="STB331" s="901"/>
      <c r="STC331" s="901"/>
      <c r="STD331" s="901"/>
      <c r="STE331" s="901"/>
      <c r="STF331" s="901"/>
      <c r="STG331" s="901"/>
      <c r="STH331" s="901"/>
      <c r="STI331" s="901"/>
      <c r="STJ331" s="902"/>
      <c r="STK331" s="901"/>
      <c r="STL331" s="901"/>
      <c r="STM331" s="901"/>
      <c r="STN331" s="901"/>
      <c r="STO331" s="901"/>
      <c r="STP331" s="901"/>
      <c r="STQ331" s="901"/>
      <c r="STR331" s="901"/>
      <c r="STS331" s="901"/>
      <c r="STT331" s="901"/>
      <c r="STU331" s="901"/>
      <c r="STV331" s="901"/>
      <c r="STW331" s="901"/>
      <c r="STX331" s="901"/>
      <c r="STY331" s="901"/>
      <c r="STZ331" s="901"/>
      <c r="SUA331" s="901"/>
      <c r="SUB331" s="901"/>
      <c r="SUC331" s="901"/>
      <c r="SUD331" s="901"/>
      <c r="SUE331" s="901"/>
      <c r="SUF331" s="901"/>
      <c r="SUG331" s="901"/>
      <c r="SUH331" s="901"/>
      <c r="SUI331" s="901"/>
      <c r="SUJ331" s="901"/>
      <c r="SUK331" s="901"/>
      <c r="SUL331" s="901"/>
      <c r="SUM331" s="902"/>
      <c r="SUN331" s="901"/>
      <c r="SUO331" s="901"/>
      <c r="SUP331" s="901"/>
      <c r="SUQ331" s="901"/>
      <c r="SUR331" s="901"/>
      <c r="SUS331" s="901"/>
      <c r="SUT331" s="901"/>
      <c r="SUU331" s="901"/>
      <c r="SUV331" s="901"/>
      <c r="SUW331" s="901"/>
      <c r="SUX331" s="901"/>
      <c r="SUY331" s="901"/>
      <c r="SUZ331" s="901"/>
      <c r="SVA331" s="901"/>
      <c r="SVB331" s="901"/>
      <c r="SVC331" s="901"/>
      <c r="SVD331" s="901"/>
      <c r="SVE331" s="901"/>
      <c r="SVF331" s="901"/>
      <c r="SVG331" s="901"/>
      <c r="SVH331" s="901"/>
      <c r="SVI331" s="901"/>
      <c r="SVJ331" s="901"/>
      <c r="SVK331" s="901"/>
      <c r="SVL331" s="901"/>
      <c r="SVM331" s="901"/>
      <c r="SVN331" s="901"/>
      <c r="SVO331" s="901"/>
      <c r="SVP331" s="902"/>
      <c r="SVQ331" s="901"/>
      <c r="SVR331" s="901"/>
      <c r="SVS331" s="901"/>
      <c r="SVT331" s="901"/>
      <c r="SVU331" s="901"/>
      <c r="SVV331" s="901"/>
      <c r="SVW331" s="901"/>
      <c r="SVX331" s="901"/>
      <c r="SVY331" s="901"/>
      <c r="SVZ331" s="901"/>
      <c r="SWA331" s="901"/>
      <c r="SWB331" s="901"/>
      <c r="SWC331" s="901"/>
      <c r="SWD331" s="901"/>
      <c r="SWE331" s="901"/>
      <c r="SWF331" s="901"/>
      <c r="SWG331" s="901"/>
      <c r="SWH331" s="901"/>
      <c r="SWI331" s="901"/>
      <c r="SWJ331" s="901"/>
      <c r="SWK331" s="901"/>
      <c r="SWL331" s="901"/>
      <c r="SWM331" s="901"/>
      <c r="SWN331" s="901"/>
      <c r="SWO331" s="901"/>
      <c r="SWP331" s="901"/>
      <c r="SWQ331" s="901"/>
      <c r="SWR331" s="901"/>
      <c r="SWS331" s="902"/>
      <c r="SWT331" s="901"/>
      <c r="SWU331" s="901"/>
      <c r="SWV331" s="901"/>
      <c r="SWW331" s="901"/>
      <c r="SWX331" s="901"/>
      <c r="SWY331" s="901"/>
      <c r="SWZ331" s="901"/>
      <c r="SXA331" s="901"/>
      <c r="SXB331" s="901"/>
      <c r="SXC331" s="901"/>
      <c r="SXD331" s="901"/>
      <c r="SXE331" s="901"/>
      <c r="SXF331" s="901"/>
      <c r="SXG331" s="901"/>
      <c r="SXH331" s="901"/>
      <c r="SXI331" s="901"/>
      <c r="SXJ331" s="901"/>
      <c r="SXK331" s="901"/>
      <c r="SXL331" s="901"/>
      <c r="SXM331" s="901"/>
      <c r="SXN331" s="901"/>
      <c r="SXO331" s="901"/>
      <c r="SXP331" s="901"/>
      <c r="SXQ331" s="901"/>
      <c r="SXR331" s="901"/>
      <c r="SXS331" s="901"/>
      <c r="SXT331" s="901"/>
      <c r="SXU331" s="901"/>
      <c r="SXV331" s="902"/>
      <c r="SXW331" s="901"/>
      <c r="SXX331" s="901"/>
      <c r="SXY331" s="901"/>
      <c r="SXZ331" s="901"/>
      <c r="SYA331" s="901"/>
      <c r="SYB331" s="901"/>
      <c r="SYC331" s="901"/>
      <c r="SYD331" s="901"/>
      <c r="SYE331" s="901"/>
      <c r="SYF331" s="901"/>
      <c r="SYG331" s="901"/>
      <c r="SYH331" s="901"/>
      <c r="SYI331" s="901"/>
      <c r="SYJ331" s="901"/>
      <c r="SYK331" s="901"/>
      <c r="SYL331" s="901"/>
      <c r="SYM331" s="901"/>
      <c r="SYN331" s="901"/>
      <c r="SYO331" s="901"/>
      <c r="SYP331" s="901"/>
      <c r="SYQ331" s="901"/>
      <c r="SYR331" s="901"/>
      <c r="SYS331" s="901"/>
      <c r="SYT331" s="901"/>
      <c r="SYU331" s="901"/>
      <c r="SYV331" s="901"/>
      <c r="SYW331" s="901"/>
      <c r="SYX331" s="901"/>
      <c r="SYY331" s="902"/>
      <c r="SYZ331" s="901"/>
      <c r="SZA331" s="901"/>
      <c r="SZB331" s="901"/>
      <c r="SZC331" s="901"/>
      <c r="SZD331" s="901"/>
      <c r="SZE331" s="901"/>
      <c r="SZF331" s="901"/>
      <c r="SZG331" s="901"/>
      <c r="SZH331" s="901"/>
      <c r="SZI331" s="901"/>
      <c r="SZJ331" s="901"/>
      <c r="SZK331" s="901"/>
      <c r="SZL331" s="901"/>
      <c r="SZM331" s="901"/>
      <c r="SZN331" s="901"/>
      <c r="SZO331" s="901"/>
      <c r="SZP331" s="901"/>
      <c r="SZQ331" s="901"/>
      <c r="SZR331" s="901"/>
      <c r="SZS331" s="901"/>
      <c r="SZT331" s="901"/>
      <c r="SZU331" s="901"/>
      <c r="SZV331" s="901"/>
      <c r="SZW331" s="901"/>
      <c r="SZX331" s="901"/>
      <c r="SZY331" s="901"/>
      <c r="SZZ331" s="901"/>
      <c r="TAA331" s="901"/>
      <c r="TAB331" s="902"/>
      <c r="TAC331" s="901"/>
      <c r="TAD331" s="901"/>
      <c r="TAE331" s="901"/>
      <c r="TAF331" s="901"/>
      <c r="TAG331" s="901"/>
      <c r="TAH331" s="901"/>
      <c r="TAI331" s="901"/>
      <c r="TAJ331" s="901"/>
      <c r="TAK331" s="901"/>
      <c r="TAL331" s="901"/>
      <c r="TAM331" s="901"/>
      <c r="TAN331" s="901"/>
      <c r="TAO331" s="901"/>
      <c r="TAP331" s="901"/>
      <c r="TAQ331" s="901"/>
      <c r="TAR331" s="901"/>
      <c r="TAS331" s="901"/>
      <c r="TAT331" s="901"/>
      <c r="TAU331" s="901"/>
      <c r="TAV331" s="901"/>
      <c r="TAW331" s="901"/>
      <c r="TAX331" s="901"/>
      <c r="TAY331" s="901"/>
      <c r="TAZ331" s="901"/>
      <c r="TBA331" s="901"/>
      <c r="TBB331" s="901"/>
      <c r="TBC331" s="901"/>
      <c r="TBD331" s="901"/>
      <c r="TBE331" s="902"/>
      <c r="TBF331" s="901"/>
      <c r="TBG331" s="901"/>
      <c r="TBH331" s="901"/>
      <c r="TBI331" s="901"/>
      <c r="TBJ331" s="901"/>
      <c r="TBK331" s="901"/>
      <c r="TBL331" s="901"/>
      <c r="TBM331" s="901"/>
      <c r="TBN331" s="901"/>
      <c r="TBO331" s="901"/>
      <c r="TBP331" s="901"/>
      <c r="TBQ331" s="901"/>
      <c r="TBR331" s="901"/>
      <c r="TBS331" s="901"/>
      <c r="TBT331" s="901"/>
      <c r="TBU331" s="901"/>
      <c r="TBV331" s="901"/>
      <c r="TBW331" s="901"/>
      <c r="TBX331" s="901"/>
      <c r="TBY331" s="901"/>
      <c r="TBZ331" s="901"/>
      <c r="TCA331" s="901"/>
      <c r="TCB331" s="901"/>
      <c r="TCC331" s="901"/>
      <c r="TCD331" s="901"/>
      <c r="TCE331" s="901"/>
      <c r="TCF331" s="901"/>
      <c r="TCG331" s="901"/>
      <c r="TCH331" s="902"/>
      <c r="TCI331" s="901"/>
      <c r="TCJ331" s="901"/>
      <c r="TCK331" s="901"/>
      <c r="TCL331" s="901"/>
      <c r="TCM331" s="901"/>
      <c r="TCN331" s="901"/>
      <c r="TCO331" s="901"/>
      <c r="TCP331" s="901"/>
      <c r="TCQ331" s="901"/>
      <c r="TCR331" s="901"/>
      <c r="TCS331" s="901"/>
      <c r="TCT331" s="901"/>
      <c r="TCU331" s="901"/>
      <c r="TCV331" s="901"/>
      <c r="TCW331" s="901"/>
      <c r="TCX331" s="901"/>
      <c r="TCY331" s="901"/>
      <c r="TCZ331" s="901"/>
      <c r="TDA331" s="901"/>
      <c r="TDB331" s="901"/>
      <c r="TDC331" s="901"/>
      <c r="TDD331" s="901"/>
      <c r="TDE331" s="901"/>
      <c r="TDF331" s="901"/>
      <c r="TDG331" s="901"/>
      <c r="TDH331" s="901"/>
      <c r="TDI331" s="901"/>
      <c r="TDJ331" s="901"/>
      <c r="TDK331" s="902"/>
      <c r="TDL331" s="901"/>
      <c r="TDM331" s="901"/>
      <c r="TDN331" s="901"/>
      <c r="TDO331" s="901"/>
      <c r="TDP331" s="901"/>
      <c r="TDQ331" s="901"/>
      <c r="TDR331" s="901"/>
      <c r="TDS331" s="901"/>
      <c r="TDT331" s="901"/>
      <c r="TDU331" s="901"/>
      <c r="TDV331" s="901"/>
      <c r="TDW331" s="901"/>
      <c r="TDX331" s="901"/>
      <c r="TDY331" s="901"/>
      <c r="TDZ331" s="901"/>
      <c r="TEA331" s="901"/>
      <c r="TEB331" s="901"/>
      <c r="TEC331" s="901"/>
      <c r="TED331" s="901"/>
      <c r="TEE331" s="901"/>
      <c r="TEF331" s="901"/>
      <c r="TEG331" s="901"/>
      <c r="TEH331" s="901"/>
      <c r="TEI331" s="901"/>
      <c r="TEJ331" s="901"/>
      <c r="TEK331" s="901"/>
      <c r="TEL331" s="901"/>
      <c r="TEM331" s="901"/>
      <c r="TEN331" s="902"/>
      <c r="TEO331" s="901"/>
      <c r="TEP331" s="901"/>
      <c r="TEQ331" s="901"/>
      <c r="TER331" s="901"/>
      <c r="TES331" s="901"/>
      <c r="TET331" s="901"/>
      <c r="TEU331" s="901"/>
      <c r="TEV331" s="901"/>
      <c r="TEW331" s="901"/>
      <c r="TEX331" s="901"/>
      <c r="TEY331" s="901"/>
      <c r="TEZ331" s="901"/>
      <c r="TFA331" s="901"/>
      <c r="TFB331" s="901"/>
      <c r="TFC331" s="901"/>
      <c r="TFD331" s="901"/>
      <c r="TFE331" s="901"/>
      <c r="TFF331" s="901"/>
      <c r="TFG331" s="901"/>
      <c r="TFH331" s="901"/>
      <c r="TFI331" s="901"/>
      <c r="TFJ331" s="901"/>
      <c r="TFK331" s="901"/>
      <c r="TFL331" s="901"/>
      <c r="TFM331" s="901"/>
      <c r="TFN331" s="901"/>
      <c r="TFO331" s="901"/>
      <c r="TFP331" s="901"/>
      <c r="TFQ331" s="902"/>
      <c r="TFR331" s="901"/>
      <c r="TFS331" s="901"/>
      <c r="TFT331" s="901"/>
      <c r="TFU331" s="901"/>
      <c r="TFV331" s="901"/>
      <c r="TFW331" s="901"/>
      <c r="TFX331" s="901"/>
      <c r="TFY331" s="901"/>
      <c r="TFZ331" s="901"/>
      <c r="TGA331" s="901"/>
      <c r="TGB331" s="901"/>
      <c r="TGC331" s="901"/>
      <c r="TGD331" s="901"/>
      <c r="TGE331" s="901"/>
      <c r="TGF331" s="901"/>
      <c r="TGG331" s="901"/>
      <c r="TGH331" s="901"/>
      <c r="TGI331" s="901"/>
      <c r="TGJ331" s="901"/>
      <c r="TGK331" s="901"/>
      <c r="TGL331" s="901"/>
      <c r="TGM331" s="901"/>
      <c r="TGN331" s="901"/>
      <c r="TGO331" s="901"/>
      <c r="TGP331" s="901"/>
      <c r="TGQ331" s="901"/>
      <c r="TGR331" s="901"/>
      <c r="TGS331" s="901"/>
      <c r="TGT331" s="902"/>
      <c r="TGU331" s="901"/>
      <c r="TGV331" s="901"/>
      <c r="TGW331" s="901"/>
      <c r="TGX331" s="901"/>
      <c r="TGY331" s="901"/>
      <c r="TGZ331" s="901"/>
      <c r="THA331" s="901"/>
      <c r="THB331" s="901"/>
      <c r="THC331" s="901"/>
      <c r="THD331" s="901"/>
      <c r="THE331" s="901"/>
      <c r="THF331" s="901"/>
      <c r="THG331" s="901"/>
      <c r="THH331" s="901"/>
      <c r="THI331" s="901"/>
      <c r="THJ331" s="901"/>
      <c r="THK331" s="901"/>
      <c r="THL331" s="901"/>
      <c r="THM331" s="901"/>
      <c r="THN331" s="901"/>
      <c r="THO331" s="901"/>
      <c r="THP331" s="901"/>
      <c r="THQ331" s="901"/>
      <c r="THR331" s="901"/>
      <c r="THS331" s="901"/>
      <c r="THT331" s="901"/>
      <c r="THU331" s="901"/>
      <c r="THV331" s="901"/>
      <c r="THW331" s="902"/>
      <c r="THX331" s="901"/>
      <c r="THY331" s="901"/>
      <c r="THZ331" s="901"/>
      <c r="TIA331" s="901"/>
      <c r="TIB331" s="901"/>
      <c r="TIC331" s="901"/>
      <c r="TID331" s="901"/>
      <c r="TIE331" s="901"/>
      <c r="TIF331" s="901"/>
      <c r="TIG331" s="901"/>
      <c r="TIH331" s="901"/>
      <c r="TII331" s="901"/>
      <c r="TIJ331" s="901"/>
      <c r="TIK331" s="901"/>
      <c r="TIL331" s="901"/>
      <c r="TIM331" s="901"/>
      <c r="TIN331" s="901"/>
      <c r="TIO331" s="901"/>
      <c r="TIP331" s="901"/>
      <c r="TIQ331" s="901"/>
      <c r="TIR331" s="901"/>
      <c r="TIS331" s="901"/>
      <c r="TIT331" s="901"/>
      <c r="TIU331" s="901"/>
      <c r="TIV331" s="901"/>
      <c r="TIW331" s="901"/>
      <c r="TIX331" s="901"/>
      <c r="TIY331" s="901"/>
      <c r="TIZ331" s="902"/>
      <c r="TJA331" s="901"/>
      <c r="TJB331" s="901"/>
      <c r="TJC331" s="901"/>
      <c r="TJD331" s="901"/>
      <c r="TJE331" s="901"/>
      <c r="TJF331" s="901"/>
      <c r="TJG331" s="901"/>
      <c r="TJH331" s="901"/>
      <c r="TJI331" s="901"/>
      <c r="TJJ331" s="901"/>
      <c r="TJK331" s="901"/>
      <c r="TJL331" s="901"/>
      <c r="TJM331" s="901"/>
      <c r="TJN331" s="901"/>
      <c r="TJO331" s="901"/>
      <c r="TJP331" s="901"/>
      <c r="TJQ331" s="901"/>
      <c r="TJR331" s="901"/>
      <c r="TJS331" s="901"/>
      <c r="TJT331" s="901"/>
      <c r="TJU331" s="901"/>
      <c r="TJV331" s="901"/>
      <c r="TJW331" s="901"/>
      <c r="TJX331" s="901"/>
      <c r="TJY331" s="901"/>
      <c r="TJZ331" s="901"/>
      <c r="TKA331" s="901"/>
      <c r="TKB331" s="901"/>
      <c r="TKC331" s="902"/>
      <c r="TKD331" s="901"/>
      <c r="TKE331" s="901"/>
      <c r="TKF331" s="901"/>
      <c r="TKG331" s="901"/>
      <c r="TKH331" s="901"/>
      <c r="TKI331" s="901"/>
      <c r="TKJ331" s="901"/>
      <c r="TKK331" s="901"/>
      <c r="TKL331" s="901"/>
      <c r="TKM331" s="901"/>
      <c r="TKN331" s="901"/>
      <c r="TKO331" s="901"/>
      <c r="TKP331" s="901"/>
      <c r="TKQ331" s="901"/>
      <c r="TKR331" s="901"/>
      <c r="TKS331" s="901"/>
      <c r="TKT331" s="901"/>
      <c r="TKU331" s="901"/>
      <c r="TKV331" s="901"/>
      <c r="TKW331" s="901"/>
      <c r="TKX331" s="901"/>
      <c r="TKY331" s="901"/>
      <c r="TKZ331" s="901"/>
      <c r="TLA331" s="901"/>
      <c r="TLB331" s="901"/>
      <c r="TLC331" s="901"/>
      <c r="TLD331" s="901"/>
      <c r="TLE331" s="901"/>
      <c r="TLF331" s="902"/>
      <c r="TLG331" s="901"/>
      <c r="TLH331" s="901"/>
      <c r="TLI331" s="901"/>
      <c r="TLJ331" s="901"/>
      <c r="TLK331" s="901"/>
      <c r="TLL331" s="901"/>
      <c r="TLM331" s="901"/>
      <c r="TLN331" s="901"/>
      <c r="TLO331" s="901"/>
      <c r="TLP331" s="901"/>
      <c r="TLQ331" s="901"/>
      <c r="TLR331" s="901"/>
      <c r="TLS331" s="901"/>
      <c r="TLT331" s="901"/>
      <c r="TLU331" s="901"/>
      <c r="TLV331" s="901"/>
      <c r="TLW331" s="901"/>
      <c r="TLX331" s="901"/>
      <c r="TLY331" s="901"/>
      <c r="TLZ331" s="901"/>
      <c r="TMA331" s="901"/>
      <c r="TMB331" s="901"/>
      <c r="TMC331" s="901"/>
      <c r="TMD331" s="901"/>
      <c r="TME331" s="901"/>
      <c r="TMF331" s="901"/>
      <c r="TMG331" s="901"/>
      <c r="TMH331" s="901"/>
      <c r="TMI331" s="902"/>
      <c r="TMJ331" s="901"/>
      <c r="TMK331" s="901"/>
      <c r="TML331" s="901"/>
      <c r="TMM331" s="901"/>
      <c r="TMN331" s="901"/>
      <c r="TMO331" s="901"/>
      <c r="TMP331" s="901"/>
      <c r="TMQ331" s="901"/>
      <c r="TMR331" s="901"/>
      <c r="TMS331" s="901"/>
      <c r="TMT331" s="901"/>
      <c r="TMU331" s="901"/>
      <c r="TMV331" s="901"/>
      <c r="TMW331" s="901"/>
      <c r="TMX331" s="901"/>
      <c r="TMY331" s="901"/>
      <c r="TMZ331" s="901"/>
      <c r="TNA331" s="901"/>
      <c r="TNB331" s="901"/>
      <c r="TNC331" s="901"/>
      <c r="TND331" s="901"/>
      <c r="TNE331" s="901"/>
      <c r="TNF331" s="901"/>
      <c r="TNG331" s="901"/>
      <c r="TNH331" s="901"/>
      <c r="TNI331" s="901"/>
      <c r="TNJ331" s="901"/>
      <c r="TNK331" s="901"/>
      <c r="TNL331" s="902"/>
      <c r="TNM331" s="901"/>
      <c r="TNN331" s="901"/>
      <c r="TNO331" s="901"/>
      <c r="TNP331" s="901"/>
      <c r="TNQ331" s="901"/>
      <c r="TNR331" s="901"/>
      <c r="TNS331" s="901"/>
      <c r="TNT331" s="901"/>
      <c r="TNU331" s="901"/>
      <c r="TNV331" s="901"/>
      <c r="TNW331" s="901"/>
      <c r="TNX331" s="901"/>
      <c r="TNY331" s="901"/>
      <c r="TNZ331" s="901"/>
      <c r="TOA331" s="901"/>
      <c r="TOB331" s="901"/>
      <c r="TOC331" s="901"/>
      <c r="TOD331" s="901"/>
      <c r="TOE331" s="901"/>
      <c r="TOF331" s="901"/>
      <c r="TOG331" s="901"/>
      <c r="TOH331" s="901"/>
      <c r="TOI331" s="901"/>
      <c r="TOJ331" s="901"/>
      <c r="TOK331" s="901"/>
      <c r="TOL331" s="901"/>
      <c r="TOM331" s="901"/>
      <c r="TON331" s="901"/>
      <c r="TOO331" s="902"/>
      <c r="TOP331" s="901"/>
      <c r="TOQ331" s="901"/>
      <c r="TOR331" s="901"/>
      <c r="TOS331" s="901"/>
      <c r="TOT331" s="901"/>
      <c r="TOU331" s="901"/>
      <c r="TOV331" s="901"/>
      <c r="TOW331" s="901"/>
      <c r="TOX331" s="901"/>
      <c r="TOY331" s="901"/>
      <c r="TOZ331" s="901"/>
      <c r="TPA331" s="901"/>
      <c r="TPB331" s="901"/>
      <c r="TPC331" s="901"/>
      <c r="TPD331" s="901"/>
      <c r="TPE331" s="901"/>
      <c r="TPF331" s="901"/>
      <c r="TPG331" s="901"/>
      <c r="TPH331" s="901"/>
      <c r="TPI331" s="901"/>
      <c r="TPJ331" s="901"/>
      <c r="TPK331" s="901"/>
      <c r="TPL331" s="901"/>
      <c r="TPM331" s="901"/>
      <c r="TPN331" s="901"/>
      <c r="TPO331" s="901"/>
      <c r="TPP331" s="901"/>
      <c r="TPQ331" s="901"/>
      <c r="TPR331" s="902"/>
      <c r="TPS331" s="901"/>
      <c r="TPT331" s="901"/>
      <c r="TPU331" s="901"/>
      <c r="TPV331" s="901"/>
      <c r="TPW331" s="901"/>
      <c r="TPX331" s="901"/>
      <c r="TPY331" s="901"/>
      <c r="TPZ331" s="901"/>
      <c r="TQA331" s="901"/>
      <c r="TQB331" s="901"/>
      <c r="TQC331" s="901"/>
      <c r="TQD331" s="901"/>
      <c r="TQE331" s="901"/>
      <c r="TQF331" s="901"/>
      <c r="TQG331" s="901"/>
      <c r="TQH331" s="901"/>
      <c r="TQI331" s="901"/>
      <c r="TQJ331" s="901"/>
      <c r="TQK331" s="901"/>
      <c r="TQL331" s="901"/>
      <c r="TQM331" s="901"/>
      <c r="TQN331" s="901"/>
      <c r="TQO331" s="901"/>
      <c r="TQP331" s="901"/>
      <c r="TQQ331" s="901"/>
      <c r="TQR331" s="901"/>
      <c r="TQS331" s="901"/>
      <c r="TQT331" s="901"/>
      <c r="TQU331" s="902"/>
      <c r="TQV331" s="901"/>
      <c r="TQW331" s="901"/>
      <c r="TQX331" s="901"/>
      <c r="TQY331" s="901"/>
      <c r="TQZ331" s="901"/>
      <c r="TRA331" s="901"/>
      <c r="TRB331" s="901"/>
      <c r="TRC331" s="901"/>
      <c r="TRD331" s="901"/>
      <c r="TRE331" s="901"/>
      <c r="TRF331" s="901"/>
      <c r="TRG331" s="901"/>
      <c r="TRH331" s="901"/>
      <c r="TRI331" s="901"/>
      <c r="TRJ331" s="901"/>
      <c r="TRK331" s="901"/>
      <c r="TRL331" s="901"/>
      <c r="TRM331" s="901"/>
      <c r="TRN331" s="901"/>
      <c r="TRO331" s="901"/>
      <c r="TRP331" s="901"/>
      <c r="TRQ331" s="901"/>
      <c r="TRR331" s="901"/>
      <c r="TRS331" s="901"/>
      <c r="TRT331" s="901"/>
      <c r="TRU331" s="901"/>
      <c r="TRV331" s="901"/>
      <c r="TRW331" s="901"/>
      <c r="TRX331" s="902"/>
      <c r="TRY331" s="901"/>
      <c r="TRZ331" s="901"/>
      <c r="TSA331" s="901"/>
      <c r="TSB331" s="901"/>
      <c r="TSC331" s="901"/>
      <c r="TSD331" s="901"/>
      <c r="TSE331" s="901"/>
      <c r="TSF331" s="901"/>
      <c r="TSG331" s="901"/>
      <c r="TSH331" s="901"/>
      <c r="TSI331" s="901"/>
      <c r="TSJ331" s="901"/>
      <c r="TSK331" s="901"/>
      <c r="TSL331" s="901"/>
      <c r="TSM331" s="901"/>
      <c r="TSN331" s="901"/>
      <c r="TSO331" s="901"/>
      <c r="TSP331" s="901"/>
      <c r="TSQ331" s="901"/>
      <c r="TSR331" s="901"/>
      <c r="TSS331" s="901"/>
      <c r="TST331" s="901"/>
      <c r="TSU331" s="901"/>
      <c r="TSV331" s="901"/>
      <c r="TSW331" s="901"/>
      <c r="TSX331" s="901"/>
      <c r="TSY331" s="901"/>
      <c r="TSZ331" s="901"/>
      <c r="TTA331" s="902"/>
      <c r="TTB331" s="901"/>
      <c r="TTC331" s="901"/>
      <c r="TTD331" s="901"/>
      <c r="TTE331" s="901"/>
      <c r="TTF331" s="901"/>
      <c r="TTG331" s="901"/>
      <c r="TTH331" s="901"/>
      <c r="TTI331" s="901"/>
      <c r="TTJ331" s="901"/>
      <c r="TTK331" s="901"/>
      <c r="TTL331" s="901"/>
      <c r="TTM331" s="901"/>
      <c r="TTN331" s="901"/>
      <c r="TTO331" s="901"/>
      <c r="TTP331" s="901"/>
      <c r="TTQ331" s="901"/>
      <c r="TTR331" s="901"/>
      <c r="TTS331" s="901"/>
      <c r="TTT331" s="901"/>
      <c r="TTU331" s="901"/>
      <c r="TTV331" s="901"/>
      <c r="TTW331" s="901"/>
      <c r="TTX331" s="901"/>
      <c r="TTY331" s="901"/>
      <c r="TTZ331" s="901"/>
      <c r="TUA331" s="901"/>
      <c r="TUB331" s="901"/>
      <c r="TUC331" s="901"/>
      <c r="TUD331" s="902"/>
      <c r="TUE331" s="901"/>
      <c r="TUF331" s="901"/>
      <c r="TUG331" s="901"/>
      <c r="TUH331" s="901"/>
      <c r="TUI331" s="901"/>
      <c r="TUJ331" s="901"/>
      <c r="TUK331" s="901"/>
      <c r="TUL331" s="901"/>
      <c r="TUM331" s="901"/>
      <c r="TUN331" s="901"/>
      <c r="TUO331" s="901"/>
      <c r="TUP331" s="901"/>
      <c r="TUQ331" s="901"/>
      <c r="TUR331" s="901"/>
      <c r="TUS331" s="901"/>
      <c r="TUT331" s="901"/>
      <c r="TUU331" s="901"/>
      <c r="TUV331" s="901"/>
      <c r="TUW331" s="901"/>
      <c r="TUX331" s="901"/>
      <c r="TUY331" s="901"/>
      <c r="TUZ331" s="901"/>
      <c r="TVA331" s="901"/>
      <c r="TVB331" s="901"/>
      <c r="TVC331" s="901"/>
      <c r="TVD331" s="901"/>
      <c r="TVE331" s="901"/>
      <c r="TVF331" s="901"/>
      <c r="TVG331" s="902"/>
      <c r="TVH331" s="901"/>
      <c r="TVI331" s="901"/>
      <c r="TVJ331" s="901"/>
      <c r="TVK331" s="901"/>
      <c r="TVL331" s="901"/>
      <c r="TVM331" s="901"/>
      <c r="TVN331" s="901"/>
      <c r="TVO331" s="901"/>
      <c r="TVP331" s="901"/>
      <c r="TVQ331" s="901"/>
      <c r="TVR331" s="901"/>
      <c r="TVS331" s="901"/>
      <c r="TVT331" s="901"/>
      <c r="TVU331" s="901"/>
      <c r="TVV331" s="901"/>
      <c r="TVW331" s="901"/>
      <c r="TVX331" s="901"/>
      <c r="TVY331" s="901"/>
      <c r="TVZ331" s="901"/>
      <c r="TWA331" s="901"/>
      <c r="TWB331" s="901"/>
      <c r="TWC331" s="901"/>
      <c r="TWD331" s="901"/>
      <c r="TWE331" s="901"/>
      <c r="TWF331" s="901"/>
      <c r="TWG331" s="901"/>
      <c r="TWH331" s="901"/>
      <c r="TWI331" s="901"/>
      <c r="TWJ331" s="902"/>
      <c r="TWK331" s="901"/>
      <c r="TWL331" s="901"/>
      <c r="TWM331" s="901"/>
      <c r="TWN331" s="901"/>
      <c r="TWO331" s="901"/>
      <c r="TWP331" s="901"/>
      <c r="TWQ331" s="901"/>
      <c r="TWR331" s="901"/>
      <c r="TWS331" s="901"/>
      <c r="TWT331" s="901"/>
      <c r="TWU331" s="901"/>
      <c r="TWV331" s="901"/>
      <c r="TWW331" s="901"/>
      <c r="TWX331" s="901"/>
      <c r="TWY331" s="901"/>
      <c r="TWZ331" s="901"/>
      <c r="TXA331" s="901"/>
      <c r="TXB331" s="901"/>
      <c r="TXC331" s="901"/>
      <c r="TXD331" s="901"/>
      <c r="TXE331" s="901"/>
      <c r="TXF331" s="901"/>
      <c r="TXG331" s="901"/>
      <c r="TXH331" s="901"/>
      <c r="TXI331" s="901"/>
      <c r="TXJ331" s="901"/>
      <c r="TXK331" s="901"/>
      <c r="TXL331" s="901"/>
      <c r="TXM331" s="902"/>
      <c r="TXN331" s="901"/>
      <c r="TXO331" s="901"/>
      <c r="TXP331" s="901"/>
      <c r="TXQ331" s="901"/>
      <c r="TXR331" s="901"/>
      <c r="TXS331" s="901"/>
      <c r="TXT331" s="901"/>
      <c r="TXU331" s="901"/>
      <c r="TXV331" s="901"/>
      <c r="TXW331" s="901"/>
      <c r="TXX331" s="901"/>
      <c r="TXY331" s="901"/>
      <c r="TXZ331" s="901"/>
      <c r="TYA331" s="901"/>
      <c r="TYB331" s="901"/>
      <c r="TYC331" s="901"/>
      <c r="TYD331" s="901"/>
      <c r="TYE331" s="901"/>
      <c r="TYF331" s="901"/>
      <c r="TYG331" s="901"/>
      <c r="TYH331" s="901"/>
      <c r="TYI331" s="901"/>
      <c r="TYJ331" s="901"/>
      <c r="TYK331" s="901"/>
      <c r="TYL331" s="901"/>
      <c r="TYM331" s="901"/>
      <c r="TYN331" s="901"/>
      <c r="TYO331" s="901"/>
      <c r="TYP331" s="902"/>
      <c r="TYQ331" s="901"/>
      <c r="TYR331" s="901"/>
      <c r="TYS331" s="901"/>
      <c r="TYT331" s="901"/>
      <c r="TYU331" s="901"/>
      <c r="TYV331" s="901"/>
      <c r="TYW331" s="901"/>
      <c r="TYX331" s="901"/>
      <c r="TYY331" s="901"/>
      <c r="TYZ331" s="901"/>
      <c r="TZA331" s="901"/>
      <c r="TZB331" s="901"/>
      <c r="TZC331" s="901"/>
      <c r="TZD331" s="901"/>
      <c r="TZE331" s="901"/>
      <c r="TZF331" s="901"/>
      <c r="TZG331" s="901"/>
      <c r="TZH331" s="901"/>
      <c r="TZI331" s="901"/>
      <c r="TZJ331" s="901"/>
      <c r="TZK331" s="901"/>
      <c r="TZL331" s="901"/>
      <c r="TZM331" s="901"/>
      <c r="TZN331" s="901"/>
      <c r="TZO331" s="901"/>
      <c r="TZP331" s="901"/>
      <c r="TZQ331" s="901"/>
      <c r="TZR331" s="901"/>
      <c r="TZS331" s="902"/>
      <c r="TZT331" s="901"/>
      <c r="TZU331" s="901"/>
      <c r="TZV331" s="901"/>
      <c r="TZW331" s="901"/>
      <c r="TZX331" s="901"/>
      <c r="TZY331" s="901"/>
      <c r="TZZ331" s="901"/>
      <c r="UAA331" s="901"/>
      <c r="UAB331" s="901"/>
      <c r="UAC331" s="901"/>
      <c r="UAD331" s="901"/>
      <c r="UAE331" s="901"/>
      <c r="UAF331" s="901"/>
      <c r="UAG331" s="901"/>
      <c r="UAH331" s="901"/>
      <c r="UAI331" s="901"/>
      <c r="UAJ331" s="901"/>
      <c r="UAK331" s="901"/>
      <c r="UAL331" s="901"/>
      <c r="UAM331" s="901"/>
      <c r="UAN331" s="901"/>
      <c r="UAO331" s="901"/>
      <c r="UAP331" s="901"/>
      <c r="UAQ331" s="901"/>
      <c r="UAR331" s="901"/>
      <c r="UAS331" s="901"/>
      <c r="UAT331" s="901"/>
      <c r="UAU331" s="901"/>
      <c r="UAV331" s="902"/>
      <c r="UAW331" s="901"/>
      <c r="UAX331" s="901"/>
      <c r="UAY331" s="901"/>
      <c r="UAZ331" s="901"/>
      <c r="UBA331" s="901"/>
      <c r="UBB331" s="901"/>
      <c r="UBC331" s="901"/>
      <c r="UBD331" s="901"/>
      <c r="UBE331" s="901"/>
      <c r="UBF331" s="901"/>
      <c r="UBG331" s="901"/>
      <c r="UBH331" s="901"/>
      <c r="UBI331" s="901"/>
      <c r="UBJ331" s="901"/>
      <c r="UBK331" s="901"/>
      <c r="UBL331" s="901"/>
      <c r="UBM331" s="901"/>
      <c r="UBN331" s="901"/>
      <c r="UBO331" s="901"/>
      <c r="UBP331" s="901"/>
      <c r="UBQ331" s="901"/>
      <c r="UBR331" s="901"/>
      <c r="UBS331" s="901"/>
      <c r="UBT331" s="901"/>
      <c r="UBU331" s="901"/>
      <c r="UBV331" s="901"/>
      <c r="UBW331" s="901"/>
      <c r="UBX331" s="901"/>
      <c r="UBY331" s="902"/>
      <c r="UBZ331" s="901"/>
      <c r="UCA331" s="901"/>
      <c r="UCB331" s="901"/>
      <c r="UCC331" s="901"/>
      <c r="UCD331" s="901"/>
      <c r="UCE331" s="901"/>
      <c r="UCF331" s="901"/>
      <c r="UCG331" s="901"/>
      <c r="UCH331" s="901"/>
      <c r="UCI331" s="901"/>
      <c r="UCJ331" s="901"/>
      <c r="UCK331" s="901"/>
      <c r="UCL331" s="901"/>
      <c r="UCM331" s="901"/>
      <c r="UCN331" s="901"/>
      <c r="UCO331" s="901"/>
      <c r="UCP331" s="901"/>
      <c r="UCQ331" s="901"/>
      <c r="UCR331" s="901"/>
      <c r="UCS331" s="901"/>
      <c r="UCT331" s="901"/>
      <c r="UCU331" s="901"/>
      <c r="UCV331" s="901"/>
      <c r="UCW331" s="901"/>
      <c r="UCX331" s="901"/>
      <c r="UCY331" s="901"/>
      <c r="UCZ331" s="901"/>
      <c r="UDA331" s="901"/>
      <c r="UDB331" s="902"/>
      <c r="UDC331" s="901"/>
      <c r="UDD331" s="901"/>
      <c r="UDE331" s="901"/>
      <c r="UDF331" s="901"/>
      <c r="UDG331" s="901"/>
      <c r="UDH331" s="901"/>
      <c r="UDI331" s="901"/>
      <c r="UDJ331" s="901"/>
      <c r="UDK331" s="901"/>
      <c r="UDL331" s="901"/>
      <c r="UDM331" s="901"/>
      <c r="UDN331" s="901"/>
      <c r="UDO331" s="901"/>
      <c r="UDP331" s="901"/>
      <c r="UDQ331" s="901"/>
      <c r="UDR331" s="901"/>
      <c r="UDS331" s="901"/>
      <c r="UDT331" s="901"/>
      <c r="UDU331" s="901"/>
      <c r="UDV331" s="901"/>
      <c r="UDW331" s="901"/>
      <c r="UDX331" s="901"/>
      <c r="UDY331" s="901"/>
      <c r="UDZ331" s="901"/>
      <c r="UEA331" s="901"/>
      <c r="UEB331" s="901"/>
      <c r="UEC331" s="901"/>
      <c r="UED331" s="901"/>
      <c r="UEE331" s="902"/>
      <c r="UEF331" s="901"/>
      <c r="UEG331" s="901"/>
      <c r="UEH331" s="901"/>
      <c r="UEI331" s="901"/>
      <c r="UEJ331" s="901"/>
      <c r="UEK331" s="901"/>
      <c r="UEL331" s="901"/>
      <c r="UEM331" s="901"/>
      <c r="UEN331" s="901"/>
      <c r="UEO331" s="901"/>
      <c r="UEP331" s="901"/>
      <c r="UEQ331" s="901"/>
      <c r="UER331" s="901"/>
      <c r="UES331" s="901"/>
      <c r="UET331" s="901"/>
      <c r="UEU331" s="901"/>
      <c r="UEV331" s="901"/>
      <c r="UEW331" s="901"/>
      <c r="UEX331" s="901"/>
      <c r="UEY331" s="901"/>
      <c r="UEZ331" s="901"/>
      <c r="UFA331" s="901"/>
      <c r="UFB331" s="901"/>
      <c r="UFC331" s="901"/>
      <c r="UFD331" s="901"/>
      <c r="UFE331" s="901"/>
      <c r="UFF331" s="901"/>
      <c r="UFG331" s="901"/>
      <c r="UFH331" s="902"/>
      <c r="UFI331" s="901"/>
      <c r="UFJ331" s="901"/>
      <c r="UFK331" s="901"/>
      <c r="UFL331" s="901"/>
      <c r="UFM331" s="901"/>
      <c r="UFN331" s="901"/>
      <c r="UFO331" s="901"/>
      <c r="UFP331" s="901"/>
      <c r="UFQ331" s="901"/>
      <c r="UFR331" s="901"/>
      <c r="UFS331" s="901"/>
      <c r="UFT331" s="901"/>
      <c r="UFU331" s="901"/>
      <c r="UFV331" s="901"/>
      <c r="UFW331" s="901"/>
      <c r="UFX331" s="901"/>
      <c r="UFY331" s="901"/>
      <c r="UFZ331" s="901"/>
      <c r="UGA331" s="901"/>
      <c r="UGB331" s="901"/>
      <c r="UGC331" s="901"/>
      <c r="UGD331" s="901"/>
      <c r="UGE331" s="901"/>
      <c r="UGF331" s="901"/>
      <c r="UGG331" s="901"/>
      <c r="UGH331" s="901"/>
      <c r="UGI331" s="901"/>
      <c r="UGJ331" s="901"/>
      <c r="UGK331" s="902"/>
      <c r="UGL331" s="901"/>
      <c r="UGM331" s="901"/>
      <c r="UGN331" s="901"/>
      <c r="UGO331" s="901"/>
      <c r="UGP331" s="901"/>
      <c r="UGQ331" s="901"/>
      <c r="UGR331" s="901"/>
      <c r="UGS331" s="901"/>
      <c r="UGT331" s="901"/>
      <c r="UGU331" s="901"/>
      <c r="UGV331" s="901"/>
      <c r="UGW331" s="901"/>
      <c r="UGX331" s="901"/>
      <c r="UGY331" s="901"/>
      <c r="UGZ331" s="901"/>
      <c r="UHA331" s="901"/>
      <c r="UHB331" s="901"/>
      <c r="UHC331" s="901"/>
      <c r="UHD331" s="901"/>
      <c r="UHE331" s="901"/>
      <c r="UHF331" s="901"/>
      <c r="UHG331" s="901"/>
      <c r="UHH331" s="901"/>
      <c r="UHI331" s="901"/>
      <c r="UHJ331" s="901"/>
      <c r="UHK331" s="901"/>
      <c r="UHL331" s="901"/>
      <c r="UHM331" s="901"/>
      <c r="UHN331" s="902"/>
      <c r="UHO331" s="901"/>
      <c r="UHP331" s="901"/>
      <c r="UHQ331" s="901"/>
      <c r="UHR331" s="901"/>
      <c r="UHS331" s="901"/>
      <c r="UHT331" s="901"/>
      <c r="UHU331" s="901"/>
      <c r="UHV331" s="901"/>
      <c r="UHW331" s="901"/>
      <c r="UHX331" s="901"/>
      <c r="UHY331" s="901"/>
      <c r="UHZ331" s="901"/>
      <c r="UIA331" s="901"/>
      <c r="UIB331" s="901"/>
      <c r="UIC331" s="901"/>
      <c r="UID331" s="901"/>
      <c r="UIE331" s="901"/>
      <c r="UIF331" s="901"/>
      <c r="UIG331" s="901"/>
      <c r="UIH331" s="901"/>
      <c r="UII331" s="901"/>
      <c r="UIJ331" s="901"/>
      <c r="UIK331" s="901"/>
      <c r="UIL331" s="901"/>
      <c r="UIM331" s="901"/>
      <c r="UIN331" s="901"/>
      <c r="UIO331" s="901"/>
      <c r="UIP331" s="901"/>
      <c r="UIQ331" s="902"/>
      <c r="UIR331" s="901"/>
      <c r="UIS331" s="901"/>
      <c r="UIT331" s="901"/>
      <c r="UIU331" s="901"/>
      <c r="UIV331" s="901"/>
      <c r="UIW331" s="901"/>
      <c r="UIX331" s="901"/>
      <c r="UIY331" s="901"/>
      <c r="UIZ331" s="901"/>
      <c r="UJA331" s="901"/>
      <c r="UJB331" s="901"/>
      <c r="UJC331" s="901"/>
      <c r="UJD331" s="901"/>
      <c r="UJE331" s="901"/>
      <c r="UJF331" s="901"/>
      <c r="UJG331" s="901"/>
      <c r="UJH331" s="901"/>
      <c r="UJI331" s="901"/>
      <c r="UJJ331" s="901"/>
      <c r="UJK331" s="901"/>
      <c r="UJL331" s="901"/>
      <c r="UJM331" s="901"/>
      <c r="UJN331" s="901"/>
      <c r="UJO331" s="901"/>
      <c r="UJP331" s="901"/>
      <c r="UJQ331" s="901"/>
      <c r="UJR331" s="901"/>
      <c r="UJS331" s="901"/>
      <c r="UJT331" s="902"/>
      <c r="UJU331" s="901"/>
      <c r="UJV331" s="901"/>
      <c r="UJW331" s="901"/>
      <c r="UJX331" s="901"/>
      <c r="UJY331" s="901"/>
      <c r="UJZ331" s="901"/>
      <c r="UKA331" s="901"/>
      <c r="UKB331" s="901"/>
      <c r="UKC331" s="901"/>
      <c r="UKD331" s="901"/>
      <c r="UKE331" s="901"/>
      <c r="UKF331" s="901"/>
      <c r="UKG331" s="901"/>
      <c r="UKH331" s="901"/>
      <c r="UKI331" s="901"/>
      <c r="UKJ331" s="901"/>
      <c r="UKK331" s="901"/>
      <c r="UKL331" s="901"/>
      <c r="UKM331" s="901"/>
      <c r="UKN331" s="901"/>
      <c r="UKO331" s="901"/>
      <c r="UKP331" s="901"/>
      <c r="UKQ331" s="901"/>
      <c r="UKR331" s="901"/>
      <c r="UKS331" s="901"/>
      <c r="UKT331" s="901"/>
      <c r="UKU331" s="901"/>
      <c r="UKV331" s="901"/>
      <c r="UKW331" s="902"/>
      <c r="UKX331" s="901"/>
      <c r="UKY331" s="901"/>
      <c r="UKZ331" s="901"/>
      <c r="ULA331" s="901"/>
      <c r="ULB331" s="901"/>
      <c r="ULC331" s="901"/>
      <c r="ULD331" s="901"/>
      <c r="ULE331" s="901"/>
      <c r="ULF331" s="901"/>
      <c r="ULG331" s="901"/>
      <c r="ULH331" s="901"/>
      <c r="ULI331" s="901"/>
      <c r="ULJ331" s="901"/>
      <c r="ULK331" s="901"/>
      <c r="ULL331" s="901"/>
      <c r="ULM331" s="901"/>
      <c r="ULN331" s="901"/>
      <c r="ULO331" s="901"/>
      <c r="ULP331" s="901"/>
      <c r="ULQ331" s="901"/>
      <c r="ULR331" s="901"/>
      <c r="ULS331" s="901"/>
      <c r="ULT331" s="901"/>
      <c r="ULU331" s="901"/>
      <c r="ULV331" s="901"/>
      <c r="ULW331" s="901"/>
      <c r="ULX331" s="901"/>
      <c r="ULY331" s="901"/>
      <c r="ULZ331" s="902"/>
      <c r="UMA331" s="901"/>
      <c r="UMB331" s="901"/>
      <c r="UMC331" s="901"/>
      <c r="UMD331" s="901"/>
      <c r="UME331" s="901"/>
      <c r="UMF331" s="901"/>
      <c r="UMG331" s="901"/>
      <c r="UMH331" s="901"/>
      <c r="UMI331" s="901"/>
      <c r="UMJ331" s="901"/>
      <c r="UMK331" s="901"/>
      <c r="UML331" s="901"/>
      <c r="UMM331" s="901"/>
      <c r="UMN331" s="901"/>
      <c r="UMO331" s="901"/>
      <c r="UMP331" s="901"/>
      <c r="UMQ331" s="901"/>
      <c r="UMR331" s="901"/>
      <c r="UMS331" s="901"/>
      <c r="UMT331" s="901"/>
      <c r="UMU331" s="901"/>
      <c r="UMV331" s="901"/>
      <c r="UMW331" s="901"/>
      <c r="UMX331" s="901"/>
      <c r="UMY331" s="901"/>
      <c r="UMZ331" s="901"/>
      <c r="UNA331" s="901"/>
      <c r="UNB331" s="901"/>
      <c r="UNC331" s="902"/>
      <c r="UND331" s="901"/>
      <c r="UNE331" s="901"/>
      <c r="UNF331" s="901"/>
      <c r="UNG331" s="901"/>
      <c r="UNH331" s="901"/>
      <c r="UNI331" s="901"/>
      <c r="UNJ331" s="901"/>
      <c r="UNK331" s="901"/>
      <c r="UNL331" s="901"/>
      <c r="UNM331" s="901"/>
      <c r="UNN331" s="901"/>
      <c r="UNO331" s="901"/>
      <c r="UNP331" s="901"/>
      <c r="UNQ331" s="901"/>
      <c r="UNR331" s="901"/>
      <c r="UNS331" s="901"/>
      <c r="UNT331" s="901"/>
      <c r="UNU331" s="901"/>
      <c r="UNV331" s="901"/>
      <c r="UNW331" s="901"/>
      <c r="UNX331" s="901"/>
      <c r="UNY331" s="901"/>
      <c r="UNZ331" s="901"/>
      <c r="UOA331" s="901"/>
      <c r="UOB331" s="901"/>
      <c r="UOC331" s="901"/>
      <c r="UOD331" s="901"/>
      <c r="UOE331" s="901"/>
      <c r="UOF331" s="902"/>
      <c r="UOG331" s="901"/>
      <c r="UOH331" s="901"/>
      <c r="UOI331" s="901"/>
      <c r="UOJ331" s="901"/>
      <c r="UOK331" s="901"/>
      <c r="UOL331" s="901"/>
      <c r="UOM331" s="901"/>
      <c r="UON331" s="901"/>
      <c r="UOO331" s="901"/>
      <c r="UOP331" s="901"/>
      <c r="UOQ331" s="901"/>
      <c r="UOR331" s="901"/>
      <c r="UOS331" s="901"/>
      <c r="UOT331" s="901"/>
      <c r="UOU331" s="901"/>
      <c r="UOV331" s="901"/>
      <c r="UOW331" s="901"/>
      <c r="UOX331" s="901"/>
      <c r="UOY331" s="901"/>
      <c r="UOZ331" s="901"/>
      <c r="UPA331" s="901"/>
      <c r="UPB331" s="901"/>
      <c r="UPC331" s="901"/>
      <c r="UPD331" s="901"/>
      <c r="UPE331" s="901"/>
      <c r="UPF331" s="901"/>
      <c r="UPG331" s="901"/>
      <c r="UPH331" s="901"/>
      <c r="UPI331" s="902"/>
      <c r="UPJ331" s="901"/>
      <c r="UPK331" s="901"/>
      <c r="UPL331" s="901"/>
      <c r="UPM331" s="901"/>
      <c r="UPN331" s="901"/>
      <c r="UPO331" s="901"/>
      <c r="UPP331" s="901"/>
      <c r="UPQ331" s="901"/>
      <c r="UPR331" s="901"/>
      <c r="UPS331" s="901"/>
      <c r="UPT331" s="901"/>
      <c r="UPU331" s="901"/>
      <c r="UPV331" s="901"/>
      <c r="UPW331" s="901"/>
      <c r="UPX331" s="901"/>
      <c r="UPY331" s="901"/>
      <c r="UPZ331" s="901"/>
      <c r="UQA331" s="901"/>
      <c r="UQB331" s="901"/>
      <c r="UQC331" s="901"/>
      <c r="UQD331" s="901"/>
      <c r="UQE331" s="901"/>
      <c r="UQF331" s="901"/>
      <c r="UQG331" s="901"/>
      <c r="UQH331" s="901"/>
      <c r="UQI331" s="901"/>
      <c r="UQJ331" s="901"/>
      <c r="UQK331" s="901"/>
      <c r="UQL331" s="902"/>
      <c r="UQM331" s="901"/>
      <c r="UQN331" s="901"/>
      <c r="UQO331" s="901"/>
      <c r="UQP331" s="901"/>
      <c r="UQQ331" s="901"/>
      <c r="UQR331" s="901"/>
      <c r="UQS331" s="901"/>
      <c r="UQT331" s="901"/>
      <c r="UQU331" s="901"/>
      <c r="UQV331" s="901"/>
      <c r="UQW331" s="901"/>
      <c r="UQX331" s="901"/>
      <c r="UQY331" s="901"/>
      <c r="UQZ331" s="901"/>
      <c r="URA331" s="901"/>
      <c r="URB331" s="901"/>
      <c r="URC331" s="901"/>
      <c r="URD331" s="901"/>
      <c r="URE331" s="901"/>
      <c r="URF331" s="901"/>
      <c r="URG331" s="901"/>
      <c r="URH331" s="901"/>
      <c r="URI331" s="901"/>
      <c r="URJ331" s="901"/>
      <c r="URK331" s="901"/>
      <c r="URL331" s="901"/>
      <c r="URM331" s="901"/>
      <c r="URN331" s="901"/>
      <c r="URO331" s="902"/>
      <c r="URP331" s="901"/>
      <c r="URQ331" s="901"/>
      <c r="URR331" s="901"/>
      <c r="URS331" s="901"/>
      <c r="URT331" s="901"/>
      <c r="URU331" s="901"/>
      <c r="URV331" s="901"/>
      <c r="URW331" s="901"/>
      <c r="URX331" s="901"/>
      <c r="URY331" s="901"/>
      <c r="URZ331" s="901"/>
      <c r="USA331" s="901"/>
      <c r="USB331" s="901"/>
      <c r="USC331" s="901"/>
      <c r="USD331" s="901"/>
      <c r="USE331" s="901"/>
      <c r="USF331" s="901"/>
      <c r="USG331" s="901"/>
      <c r="USH331" s="901"/>
      <c r="USI331" s="901"/>
      <c r="USJ331" s="901"/>
      <c r="USK331" s="901"/>
      <c r="USL331" s="901"/>
      <c r="USM331" s="901"/>
      <c r="USN331" s="901"/>
      <c r="USO331" s="901"/>
      <c r="USP331" s="901"/>
      <c r="USQ331" s="901"/>
      <c r="USR331" s="902"/>
      <c r="USS331" s="901"/>
      <c r="UST331" s="901"/>
      <c r="USU331" s="901"/>
      <c r="USV331" s="901"/>
      <c r="USW331" s="901"/>
      <c r="USX331" s="901"/>
      <c r="USY331" s="901"/>
      <c r="USZ331" s="901"/>
      <c r="UTA331" s="901"/>
      <c r="UTB331" s="901"/>
      <c r="UTC331" s="901"/>
      <c r="UTD331" s="901"/>
      <c r="UTE331" s="901"/>
      <c r="UTF331" s="901"/>
      <c r="UTG331" s="901"/>
      <c r="UTH331" s="901"/>
      <c r="UTI331" s="901"/>
      <c r="UTJ331" s="901"/>
      <c r="UTK331" s="901"/>
      <c r="UTL331" s="901"/>
      <c r="UTM331" s="901"/>
      <c r="UTN331" s="901"/>
      <c r="UTO331" s="901"/>
      <c r="UTP331" s="901"/>
      <c r="UTQ331" s="901"/>
      <c r="UTR331" s="901"/>
      <c r="UTS331" s="901"/>
      <c r="UTT331" s="901"/>
      <c r="UTU331" s="902"/>
      <c r="UTV331" s="901"/>
      <c r="UTW331" s="901"/>
      <c r="UTX331" s="901"/>
      <c r="UTY331" s="901"/>
      <c r="UTZ331" s="901"/>
      <c r="UUA331" s="901"/>
      <c r="UUB331" s="901"/>
      <c r="UUC331" s="901"/>
      <c r="UUD331" s="901"/>
      <c r="UUE331" s="901"/>
      <c r="UUF331" s="901"/>
      <c r="UUG331" s="901"/>
      <c r="UUH331" s="901"/>
      <c r="UUI331" s="901"/>
      <c r="UUJ331" s="901"/>
      <c r="UUK331" s="901"/>
      <c r="UUL331" s="901"/>
      <c r="UUM331" s="901"/>
      <c r="UUN331" s="901"/>
      <c r="UUO331" s="901"/>
      <c r="UUP331" s="901"/>
      <c r="UUQ331" s="901"/>
      <c r="UUR331" s="901"/>
      <c r="UUS331" s="901"/>
      <c r="UUT331" s="901"/>
      <c r="UUU331" s="901"/>
      <c r="UUV331" s="901"/>
      <c r="UUW331" s="901"/>
      <c r="UUX331" s="902"/>
      <c r="UUY331" s="901"/>
      <c r="UUZ331" s="901"/>
      <c r="UVA331" s="901"/>
      <c r="UVB331" s="901"/>
      <c r="UVC331" s="901"/>
      <c r="UVD331" s="901"/>
      <c r="UVE331" s="901"/>
      <c r="UVF331" s="901"/>
      <c r="UVG331" s="901"/>
      <c r="UVH331" s="901"/>
      <c r="UVI331" s="901"/>
      <c r="UVJ331" s="901"/>
      <c r="UVK331" s="901"/>
      <c r="UVL331" s="901"/>
      <c r="UVM331" s="901"/>
      <c r="UVN331" s="901"/>
      <c r="UVO331" s="901"/>
      <c r="UVP331" s="901"/>
      <c r="UVQ331" s="901"/>
      <c r="UVR331" s="901"/>
      <c r="UVS331" s="901"/>
      <c r="UVT331" s="901"/>
      <c r="UVU331" s="901"/>
      <c r="UVV331" s="901"/>
      <c r="UVW331" s="901"/>
      <c r="UVX331" s="901"/>
      <c r="UVY331" s="901"/>
      <c r="UVZ331" s="901"/>
      <c r="UWA331" s="902"/>
      <c r="UWB331" s="901"/>
      <c r="UWC331" s="901"/>
      <c r="UWD331" s="901"/>
      <c r="UWE331" s="901"/>
      <c r="UWF331" s="901"/>
      <c r="UWG331" s="901"/>
      <c r="UWH331" s="901"/>
      <c r="UWI331" s="901"/>
      <c r="UWJ331" s="901"/>
      <c r="UWK331" s="901"/>
      <c r="UWL331" s="901"/>
      <c r="UWM331" s="901"/>
      <c r="UWN331" s="901"/>
      <c r="UWO331" s="901"/>
      <c r="UWP331" s="901"/>
      <c r="UWQ331" s="901"/>
      <c r="UWR331" s="901"/>
      <c r="UWS331" s="901"/>
      <c r="UWT331" s="901"/>
      <c r="UWU331" s="901"/>
      <c r="UWV331" s="901"/>
      <c r="UWW331" s="901"/>
      <c r="UWX331" s="901"/>
      <c r="UWY331" s="901"/>
      <c r="UWZ331" s="901"/>
      <c r="UXA331" s="901"/>
      <c r="UXB331" s="901"/>
      <c r="UXC331" s="901"/>
      <c r="UXD331" s="902"/>
      <c r="UXE331" s="901"/>
      <c r="UXF331" s="901"/>
      <c r="UXG331" s="901"/>
      <c r="UXH331" s="901"/>
      <c r="UXI331" s="901"/>
      <c r="UXJ331" s="901"/>
      <c r="UXK331" s="901"/>
      <c r="UXL331" s="901"/>
      <c r="UXM331" s="901"/>
      <c r="UXN331" s="901"/>
      <c r="UXO331" s="901"/>
      <c r="UXP331" s="901"/>
      <c r="UXQ331" s="901"/>
      <c r="UXR331" s="901"/>
      <c r="UXS331" s="901"/>
      <c r="UXT331" s="901"/>
      <c r="UXU331" s="901"/>
      <c r="UXV331" s="901"/>
      <c r="UXW331" s="901"/>
      <c r="UXX331" s="901"/>
      <c r="UXY331" s="901"/>
      <c r="UXZ331" s="901"/>
      <c r="UYA331" s="901"/>
      <c r="UYB331" s="901"/>
      <c r="UYC331" s="901"/>
      <c r="UYD331" s="901"/>
      <c r="UYE331" s="901"/>
      <c r="UYF331" s="901"/>
      <c r="UYG331" s="902"/>
      <c r="UYH331" s="901"/>
      <c r="UYI331" s="901"/>
      <c r="UYJ331" s="901"/>
      <c r="UYK331" s="901"/>
      <c r="UYL331" s="901"/>
      <c r="UYM331" s="901"/>
      <c r="UYN331" s="901"/>
      <c r="UYO331" s="901"/>
      <c r="UYP331" s="901"/>
      <c r="UYQ331" s="901"/>
      <c r="UYR331" s="901"/>
      <c r="UYS331" s="901"/>
      <c r="UYT331" s="901"/>
      <c r="UYU331" s="901"/>
      <c r="UYV331" s="901"/>
      <c r="UYW331" s="901"/>
      <c r="UYX331" s="901"/>
      <c r="UYY331" s="901"/>
      <c r="UYZ331" s="901"/>
      <c r="UZA331" s="901"/>
      <c r="UZB331" s="901"/>
      <c r="UZC331" s="901"/>
      <c r="UZD331" s="901"/>
      <c r="UZE331" s="901"/>
      <c r="UZF331" s="901"/>
      <c r="UZG331" s="901"/>
      <c r="UZH331" s="901"/>
      <c r="UZI331" s="901"/>
      <c r="UZJ331" s="902"/>
      <c r="UZK331" s="901"/>
      <c r="UZL331" s="901"/>
      <c r="UZM331" s="901"/>
      <c r="UZN331" s="901"/>
      <c r="UZO331" s="901"/>
      <c r="UZP331" s="901"/>
      <c r="UZQ331" s="901"/>
      <c r="UZR331" s="901"/>
      <c r="UZS331" s="901"/>
      <c r="UZT331" s="901"/>
      <c r="UZU331" s="901"/>
      <c r="UZV331" s="901"/>
      <c r="UZW331" s="901"/>
      <c r="UZX331" s="901"/>
      <c r="UZY331" s="901"/>
      <c r="UZZ331" s="901"/>
      <c r="VAA331" s="901"/>
      <c r="VAB331" s="901"/>
      <c r="VAC331" s="901"/>
      <c r="VAD331" s="901"/>
      <c r="VAE331" s="901"/>
      <c r="VAF331" s="901"/>
      <c r="VAG331" s="901"/>
      <c r="VAH331" s="901"/>
      <c r="VAI331" s="901"/>
      <c r="VAJ331" s="901"/>
      <c r="VAK331" s="901"/>
      <c r="VAL331" s="901"/>
      <c r="VAM331" s="902"/>
      <c r="VAN331" s="901"/>
      <c r="VAO331" s="901"/>
      <c r="VAP331" s="901"/>
      <c r="VAQ331" s="901"/>
      <c r="VAR331" s="901"/>
      <c r="VAS331" s="901"/>
      <c r="VAT331" s="901"/>
      <c r="VAU331" s="901"/>
      <c r="VAV331" s="901"/>
      <c r="VAW331" s="901"/>
      <c r="VAX331" s="901"/>
      <c r="VAY331" s="901"/>
      <c r="VAZ331" s="901"/>
      <c r="VBA331" s="901"/>
      <c r="VBB331" s="901"/>
      <c r="VBC331" s="901"/>
      <c r="VBD331" s="901"/>
      <c r="VBE331" s="901"/>
      <c r="VBF331" s="901"/>
      <c r="VBG331" s="901"/>
      <c r="VBH331" s="901"/>
      <c r="VBI331" s="901"/>
      <c r="VBJ331" s="901"/>
      <c r="VBK331" s="901"/>
      <c r="VBL331" s="901"/>
      <c r="VBM331" s="901"/>
      <c r="VBN331" s="901"/>
      <c r="VBO331" s="901"/>
      <c r="VBP331" s="902"/>
      <c r="VBQ331" s="901"/>
      <c r="VBR331" s="901"/>
      <c r="VBS331" s="901"/>
      <c r="VBT331" s="901"/>
      <c r="VBU331" s="901"/>
      <c r="VBV331" s="901"/>
      <c r="VBW331" s="901"/>
      <c r="VBX331" s="901"/>
      <c r="VBY331" s="901"/>
      <c r="VBZ331" s="901"/>
      <c r="VCA331" s="901"/>
      <c r="VCB331" s="901"/>
      <c r="VCC331" s="901"/>
      <c r="VCD331" s="901"/>
      <c r="VCE331" s="901"/>
      <c r="VCF331" s="901"/>
      <c r="VCG331" s="901"/>
      <c r="VCH331" s="901"/>
      <c r="VCI331" s="901"/>
      <c r="VCJ331" s="901"/>
      <c r="VCK331" s="901"/>
      <c r="VCL331" s="901"/>
      <c r="VCM331" s="901"/>
      <c r="VCN331" s="901"/>
      <c r="VCO331" s="901"/>
      <c r="VCP331" s="901"/>
      <c r="VCQ331" s="901"/>
      <c r="VCR331" s="901"/>
      <c r="VCS331" s="902"/>
      <c r="VCT331" s="901"/>
      <c r="VCU331" s="901"/>
      <c r="VCV331" s="901"/>
      <c r="VCW331" s="901"/>
      <c r="VCX331" s="901"/>
      <c r="VCY331" s="901"/>
      <c r="VCZ331" s="901"/>
      <c r="VDA331" s="901"/>
      <c r="VDB331" s="901"/>
      <c r="VDC331" s="901"/>
      <c r="VDD331" s="901"/>
      <c r="VDE331" s="901"/>
      <c r="VDF331" s="901"/>
      <c r="VDG331" s="901"/>
      <c r="VDH331" s="901"/>
      <c r="VDI331" s="901"/>
      <c r="VDJ331" s="901"/>
      <c r="VDK331" s="901"/>
      <c r="VDL331" s="901"/>
      <c r="VDM331" s="901"/>
      <c r="VDN331" s="901"/>
      <c r="VDO331" s="901"/>
      <c r="VDP331" s="901"/>
      <c r="VDQ331" s="901"/>
      <c r="VDR331" s="901"/>
      <c r="VDS331" s="901"/>
      <c r="VDT331" s="901"/>
      <c r="VDU331" s="901"/>
      <c r="VDV331" s="902"/>
      <c r="VDW331" s="901"/>
      <c r="VDX331" s="901"/>
      <c r="VDY331" s="901"/>
      <c r="VDZ331" s="901"/>
      <c r="VEA331" s="901"/>
      <c r="VEB331" s="901"/>
      <c r="VEC331" s="901"/>
      <c r="VED331" s="901"/>
      <c r="VEE331" s="901"/>
      <c r="VEF331" s="901"/>
      <c r="VEG331" s="901"/>
      <c r="VEH331" s="901"/>
      <c r="VEI331" s="901"/>
      <c r="VEJ331" s="901"/>
      <c r="VEK331" s="901"/>
      <c r="VEL331" s="901"/>
      <c r="VEM331" s="901"/>
      <c r="VEN331" s="901"/>
      <c r="VEO331" s="901"/>
      <c r="VEP331" s="901"/>
      <c r="VEQ331" s="901"/>
      <c r="VER331" s="901"/>
      <c r="VES331" s="901"/>
      <c r="VET331" s="901"/>
      <c r="VEU331" s="901"/>
      <c r="VEV331" s="901"/>
      <c r="VEW331" s="901"/>
      <c r="VEX331" s="901"/>
      <c r="VEY331" s="902"/>
      <c r="VEZ331" s="901"/>
      <c r="VFA331" s="901"/>
      <c r="VFB331" s="901"/>
      <c r="VFC331" s="901"/>
      <c r="VFD331" s="901"/>
      <c r="VFE331" s="901"/>
      <c r="VFF331" s="901"/>
      <c r="VFG331" s="901"/>
      <c r="VFH331" s="901"/>
      <c r="VFI331" s="901"/>
      <c r="VFJ331" s="901"/>
      <c r="VFK331" s="901"/>
      <c r="VFL331" s="901"/>
      <c r="VFM331" s="901"/>
      <c r="VFN331" s="901"/>
      <c r="VFO331" s="901"/>
      <c r="VFP331" s="901"/>
      <c r="VFQ331" s="901"/>
      <c r="VFR331" s="901"/>
      <c r="VFS331" s="901"/>
      <c r="VFT331" s="901"/>
      <c r="VFU331" s="901"/>
      <c r="VFV331" s="901"/>
      <c r="VFW331" s="901"/>
      <c r="VFX331" s="901"/>
      <c r="VFY331" s="901"/>
      <c r="VFZ331" s="901"/>
      <c r="VGA331" s="901"/>
      <c r="VGB331" s="902"/>
      <c r="VGC331" s="901"/>
      <c r="VGD331" s="901"/>
      <c r="VGE331" s="901"/>
      <c r="VGF331" s="901"/>
      <c r="VGG331" s="901"/>
      <c r="VGH331" s="901"/>
      <c r="VGI331" s="901"/>
      <c r="VGJ331" s="901"/>
      <c r="VGK331" s="901"/>
      <c r="VGL331" s="901"/>
      <c r="VGM331" s="901"/>
      <c r="VGN331" s="901"/>
      <c r="VGO331" s="901"/>
      <c r="VGP331" s="901"/>
      <c r="VGQ331" s="901"/>
      <c r="VGR331" s="901"/>
      <c r="VGS331" s="901"/>
      <c r="VGT331" s="901"/>
      <c r="VGU331" s="901"/>
      <c r="VGV331" s="901"/>
      <c r="VGW331" s="901"/>
      <c r="VGX331" s="901"/>
      <c r="VGY331" s="901"/>
      <c r="VGZ331" s="901"/>
      <c r="VHA331" s="901"/>
      <c r="VHB331" s="901"/>
      <c r="VHC331" s="901"/>
      <c r="VHD331" s="901"/>
      <c r="VHE331" s="902"/>
      <c r="VHF331" s="901"/>
      <c r="VHG331" s="901"/>
      <c r="VHH331" s="901"/>
      <c r="VHI331" s="901"/>
      <c r="VHJ331" s="901"/>
      <c r="VHK331" s="901"/>
      <c r="VHL331" s="901"/>
      <c r="VHM331" s="901"/>
      <c r="VHN331" s="901"/>
      <c r="VHO331" s="901"/>
      <c r="VHP331" s="901"/>
      <c r="VHQ331" s="901"/>
      <c r="VHR331" s="901"/>
      <c r="VHS331" s="901"/>
      <c r="VHT331" s="901"/>
      <c r="VHU331" s="901"/>
      <c r="VHV331" s="901"/>
      <c r="VHW331" s="901"/>
      <c r="VHX331" s="901"/>
      <c r="VHY331" s="901"/>
      <c r="VHZ331" s="901"/>
      <c r="VIA331" s="901"/>
      <c r="VIB331" s="901"/>
      <c r="VIC331" s="901"/>
      <c r="VID331" s="901"/>
      <c r="VIE331" s="901"/>
      <c r="VIF331" s="901"/>
      <c r="VIG331" s="901"/>
      <c r="VIH331" s="902"/>
      <c r="VII331" s="901"/>
      <c r="VIJ331" s="901"/>
      <c r="VIK331" s="901"/>
      <c r="VIL331" s="901"/>
      <c r="VIM331" s="901"/>
      <c r="VIN331" s="901"/>
      <c r="VIO331" s="901"/>
      <c r="VIP331" s="901"/>
      <c r="VIQ331" s="901"/>
      <c r="VIR331" s="901"/>
      <c r="VIS331" s="901"/>
      <c r="VIT331" s="901"/>
      <c r="VIU331" s="901"/>
      <c r="VIV331" s="901"/>
      <c r="VIW331" s="901"/>
      <c r="VIX331" s="901"/>
      <c r="VIY331" s="901"/>
      <c r="VIZ331" s="901"/>
      <c r="VJA331" s="901"/>
      <c r="VJB331" s="901"/>
      <c r="VJC331" s="901"/>
      <c r="VJD331" s="901"/>
      <c r="VJE331" s="901"/>
      <c r="VJF331" s="901"/>
      <c r="VJG331" s="901"/>
      <c r="VJH331" s="901"/>
      <c r="VJI331" s="901"/>
      <c r="VJJ331" s="901"/>
      <c r="VJK331" s="902"/>
      <c r="VJL331" s="901"/>
      <c r="VJM331" s="901"/>
      <c r="VJN331" s="901"/>
      <c r="VJO331" s="901"/>
      <c r="VJP331" s="901"/>
      <c r="VJQ331" s="901"/>
      <c r="VJR331" s="901"/>
      <c r="VJS331" s="901"/>
      <c r="VJT331" s="901"/>
      <c r="VJU331" s="901"/>
      <c r="VJV331" s="901"/>
      <c r="VJW331" s="901"/>
      <c r="VJX331" s="901"/>
      <c r="VJY331" s="901"/>
      <c r="VJZ331" s="901"/>
      <c r="VKA331" s="901"/>
      <c r="VKB331" s="901"/>
      <c r="VKC331" s="901"/>
      <c r="VKD331" s="901"/>
      <c r="VKE331" s="901"/>
      <c r="VKF331" s="901"/>
      <c r="VKG331" s="901"/>
      <c r="VKH331" s="901"/>
      <c r="VKI331" s="901"/>
      <c r="VKJ331" s="901"/>
      <c r="VKK331" s="901"/>
      <c r="VKL331" s="901"/>
      <c r="VKM331" s="901"/>
      <c r="VKN331" s="902"/>
      <c r="VKO331" s="901"/>
      <c r="VKP331" s="901"/>
      <c r="VKQ331" s="901"/>
      <c r="VKR331" s="901"/>
      <c r="VKS331" s="901"/>
      <c r="VKT331" s="901"/>
      <c r="VKU331" s="901"/>
      <c r="VKV331" s="901"/>
      <c r="VKW331" s="901"/>
      <c r="VKX331" s="901"/>
      <c r="VKY331" s="901"/>
      <c r="VKZ331" s="901"/>
      <c r="VLA331" s="901"/>
      <c r="VLB331" s="901"/>
      <c r="VLC331" s="901"/>
      <c r="VLD331" s="901"/>
      <c r="VLE331" s="901"/>
      <c r="VLF331" s="901"/>
      <c r="VLG331" s="901"/>
      <c r="VLH331" s="901"/>
      <c r="VLI331" s="901"/>
      <c r="VLJ331" s="901"/>
      <c r="VLK331" s="901"/>
      <c r="VLL331" s="901"/>
      <c r="VLM331" s="901"/>
      <c r="VLN331" s="901"/>
      <c r="VLO331" s="901"/>
      <c r="VLP331" s="901"/>
      <c r="VLQ331" s="902"/>
      <c r="VLR331" s="901"/>
      <c r="VLS331" s="901"/>
      <c r="VLT331" s="901"/>
      <c r="VLU331" s="901"/>
      <c r="VLV331" s="901"/>
      <c r="VLW331" s="901"/>
      <c r="VLX331" s="901"/>
      <c r="VLY331" s="901"/>
      <c r="VLZ331" s="901"/>
      <c r="VMA331" s="901"/>
      <c r="VMB331" s="901"/>
      <c r="VMC331" s="901"/>
      <c r="VMD331" s="901"/>
      <c r="VME331" s="901"/>
      <c r="VMF331" s="901"/>
      <c r="VMG331" s="901"/>
      <c r="VMH331" s="901"/>
      <c r="VMI331" s="901"/>
      <c r="VMJ331" s="901"/>
      <c r="VMK331" s="901"/>
      <c r="VML331" s="901"/>
      <c r="VMM331" s="901"/>
      <c r="VMN331" s="901"/>
      <c r="VMO331" s="901"/>
      <c r="VMP331" s="901"/>
      <c r="VMQ331" s="901"/>
      <c r="VMR331" s="901"/>
      <c r="VMS331" s="901"/>
      <c r="VMT331" s="902"/>
      <c r="VMU331" s="901"/>
      <c r="VMV331" s="901"/>
      <c r="VMW331" s="901"/>
      <c r="VMX331" s="901"/>
      <c r="VMY331" s="901"/>
      <c r="VMZ331" s="901"/>
      <c r="VNA331" s="901"/>
      <c r="VNB331" s="901"/>
      <c r="VNC331" s="901"/>
      <c r="VND331" s="901"/>
      <c r="VNE331" s="901"/>
      <c r="VNF331" s="901"/>
      <c r="VNG331" s="901"/>
      <c r="VNH331" s="901"/>
      <c r="VNI331" s="901"/>
      <c r="VNJ331" s="901"/>
      <c r="VNK331" s="901"/>
      <c r="VNL331" s="901"/>
      <c r="VNM331" s="901"/>
      <c r="VNN331" s="901"/>
      <c r="VNO331" s="901"/>
      <c r="VNP331" s="901"/>
      <c r="VNQ331" s="901"/>
      <c r="VNR331" s="901"/>
      <c r="VNS331" s="901"/>
      <c r="VNT331" s="901"/>
      <c r="VNU331" s="901"/>
      <c r="VNV331" s="901"/>
      <c r="VNW331" s="902"/>
      <c r="VNX331" s="901"/>
      <c r="VNY331" s="901"/>
      <c r="VNZ331" s="901"/>
      <c r="VOA331" s="901"/>
      <c r="VOB331" s="901"/>
      <c r="VOC331" s="901"/>
      <c r="VOD331" s="901"/>
      <c r="VOE331" s="901"/>
      <c r="VOF331" s="901"/>
      <c r="VOG331" s="901"/>
      <c r="VOH331" s="901"/>
      <c r="VOI331" s="901"/>
      <c r="VOJ331" s="901"/>
      <c r="VOK331" s="901"/>
      <c r="VOL331" s="901"/>
      <c r="VOM331" s="901"/>
      <c r="VON331" s="901"/>
      <c r="VOO331" s="901"/>
      <c r="VOP331" s="901"/>
      <c r="VOQ331" s="901"/>
      <c r="VOR331" s="901"/>
      <c r="VOS331" s="901"/>
      <c r="VOT331" s="901"/>
      <c r="VOU331" s="901"/>
      <c r="VOV331" s="901"/>
      <c r="VOW331" s="901"/>
      <c r="VOX331" s="901"/>
      <c r="VOY331" s="901"/>
      <c r="VOZ331" s="902"/>
      <c r="VPA331" s="901"/>
      <c r="VPB331" s="901"/>
      <c r="VPC331" s="901"/>
      <c r="VPD331" s="901"/>
      <c r="VPE331" s="901"/>
      <c r="VPF331" s="901"/>
      <c r="VPG331" s="901"/>
      <c r="VPH331" s="901"/>
      <c r="VPI331" s="901"/>
      <c r="VPJ331" s="901"/>
      <c r="VPK331" s="901"/>
      <c r="VPL331" s="901"/>
      <c r="VPM331" s="901"/>
      <c r="VPN331" s="901"/>
      <c r="VPO331" s="901"/>
      <c r="VPP331" s="901"/>
      <c r="VPQ331" s="901"/>
      <c r="VPR331" s="901"/>
      <c r="VPS331" s="901"/>
      <c r="VPT331" s="901"/>
      <c r="VPU331" s="901"/>
      <c r="VPV331" s="901"/>
      <c r="VPW331" s="901"/>
      <c r="VPX331" s="901"/>
      <c r="VPY331" s="901"/>
      <c r="VPZ331" s="901"/>
      <c r="VQA331" s="901"/>
      <c r="VQB331" s="901"/>
      <c r="VQC331" s="902"/>
      <c r="VQD331" s="901"/>
      <c r="VQE331" s="901"/>
      <c r="VQF331" s="901"/>
      <c r="VQG331" s="901"/>
      <c r="VQH331" s="901"/>
      <c r="VQI331" s="901"/>
      <c r="VQJ331" s="901"/>
      <c r="VQK331" s="901"/>
      <c r="VQL331" s="901"/>
      <c r="VQM331" s="901"/>
      <c r="VQN331" s="901"/>
      <c r="VQO331" s="901"/>
      <c r="VQP331" s="901"/>
      <c r="VQQ331" s="901"/>
      <c r="VQR331" s="901"/>
      <c r="VQS331" s="901"/>
      <c r="VQT331" s="901"/>
      <c r="VQU331" s="901"/>
      <c r="VQV331" s="901"/>
      <c r="VQW331" s="901"/>
      <c r="VQX331" s="901"/>
      <c r="VQY331" s="901"/>
      <c r="VQZ331" s="901"/>
      <c r="VRA331" s="901"/>
      <c r="VRB331" s="901"/>
      <c r="VRC331" s="901"/>
      <c r="VRD331" s="901"/>
      <c r="VRE331" s="901"/>
      <c r="VRF331" s="902"/>
      <c r="VRG331" s="901"/>
      <c r="VRH331" s="901"/>
      <c r="VRI331" s="901"/>
      <c r="VRJ331" s="901"/>
      <c r="VRK331" s="901"/>
      <c r="VRL331" s="901"/>
      <c r="VRM331" s="901"/>
      <c r="VRN331" s="901"/>
      <c r="VRO331" s="901"/>
      <c r="VRP331" s="901"/>
      <c r="VRQ331" s="901"/>
      <c r="VRR331" s="901"/>
      <c r="VRS331" s="901"/>
      <c r="VRT331" s="901"/>
      <c r="VRU331" s="901"/>
      <c r="VRV331" s="901"/>
      <c r="VRW331" s="901"/>
      <c r="VRX331" s="901"/>
      <c r="VRY331" s="901"/>
      <c r="VRZ331" s="901"/>
      <c r="VSA331" s="901"/>
      <c r="VSB331" s="901"/>
      <c r="VSC331" s="901"/>
      <c r="VSD331" s="901"/>
      <c r="VSE331" s="901"/>
      <c r="VSF331" s="901"/>
      <c r="VSG331" s="901"/>
      <c r="VSH331" s="901"/>
      <c r="VSI331" s="902"/>
      <c r="VSJ331" s="901"/>
      <c r="VSK331" s="901"/>
      <c r="VSL331" s="901"/>
      <c r="VSM331" s="901"/>
      <c r="VSN331" s="901"/>
      <c r="VSO331" s="901"/>
      <c r="VSP331" s="901"/>
      <c r="VSQ331" s="901"/>
      <c r="VSR331" s="901"/>
      <c r="VSS331" s="901"/>
      <c r="VST331" s="901"/>
      <c r="VSU331" s="901"/>
      <c r="VSV331" s="901"/>
      <c r="VSW331" s="901"/>
      <c r="VSX331" s="901"/>
      <c r="VSY331" s="901"/>
      <c r="VSZ331" s="901"/>
      <c r="VTA331" s="901"/>
      <c r="VTB331" s="901"/>
      <c r="VTC331" s="901"/>
      <c r="VTD331" s="901"/>
      <c r="VTE331" s="901"/>
      <c r="VTF331" s="901"/>
      <c r="VTG331" s="901"/>
      <c r="VTH331" s="901"/>
      <c r="VTI331" s="901"/>
      <c r="VTJ331" s="901"/>
      <c r="VTK331" s="901"/>
      <c r="VTL331" s="902"/>
      <c r="VTM331" s="901"/>
      <c r="VTN331" s="901"/>
      <c r="VTO331" s="901"/>
      <c r="VTP331" s="901"/>
      <c r="VTQ331" s="901"/>
      <c r="VTR331" s="901"/>
      <c r="VTS331" s="901"/>
      <c r="VTT331" s="901"/>
      <c r="VTU331" s="901"/>
      <c r="VTV331" s="901"/>
      <c r="VTW331" s="901"/>
      <c r="VTX331" s="901"/>
      <c r="VTY331" s="901"/>
      <c r="VTZ331" s="901"/>
      <c r="VUA331" s="901"/>
      <c r="VUB331" s="901"/>
      <c r="VUC331" s="901"/>
      <c r="VUD331" s="901"/>
      <c r="VUE331" s="901"/>
      <c r="VUF331" s="901"/>
      <c r="VUG331" s="901"/>
      <c r="VUH331" s="901"/>
      <c r="VUI331" s="901"/>
      <c r="VUJ331" s="901"/>
      <c r="VUK331" s="901"/>
      <c r="VUL331" s="901"/>
      <c r="VUM331" s="901"/>
      <c r="VUN331" s="901"/>
      <c r="VUO331" s="902"/>
      <c r="VUP331" s="901"/>
      <c r="VUQ331" s="901"/>
      <c r="VUR331" s="901"/>
      <c r="VUS331" s="901"/>
      <c r="VUT331" s="901"/>
      <c r="VUU331" s="901"/>
      <c r="VUV331" s="901"/>
      <c r="VUW331" s="901"/>
      <c r="VUX331" s="901"/>
      <c r="VUY331" s="901"/>
      <c r="VUZ331" s="901"/>
      <c r="VVA331" s="901"/>
      <c r="VVB331" s="901"/>
      <c r="VVC331" s="901"/>
      <c r="VVD331" s="901"/>
      <c r="VVE331" s="901"/>
      <c r="VVF331" s="901"/>
      <c r="VVG331" s="901"/>
      <c r="VVH331" s="901"/>
      <c r="VVI331" s="901"/>
      <c r="VVJ331" s="901"/>
      <c r="VVK331" s="901"/>
      <c r="VVL331" s="901"/>
      <c r="VVM331" s="901"/>
      <c r="VVN331" s="901"/>
      <c r="VVO331" s="901"/>
      <c r="VVP331" s="901"/>
      <c r="VVQ331" s="901"/>
      <c r="VVR331" s="902"/>
      <c r="VVS331" s="901"/>
      <c r="VVT331" s="901"/>
      <c r="VVU331" s="901"/>
      <c r="VVV331" s="901"/>
      <c r="VVW331" s="901"/>
      <c r="VVX331" s="901"/>
      <c r="VVY331" s="901"/>
      <c r="VVZ331" s="901"/>
      <c r="VWA331" s="901"/>
      <c r="VWB331" s="901"/>
      <c r="VWC331" s="901"/>
      <c r="VWD331" s="901"/>
      <c r="VWE331" s="901"/>
      <c r="VWF331" s="901"/>
      <c r="VWG331" s="901"/>
      <c r="VWH331" s="901"/>
      <c r="VWI331" s="901"/>
      <c r="VWJ331" s="901"/>
      <c r="VWK331" s="901"/>
      <c r="VWL331" s="901"/>
      <c r="VWM331" s="901"/>
      <c r="VWN331" s="901"/>
      <c r="VWO331" s="901"/>
      <c r="VWP331" s="901"/>
      <c r="VWQ331" s="901"/>
      <c r="VWR331" s="901"/>
      <c r="VWS331" s="901"/>
      <c r="VWT331" s="901"/>
      <c r="VWU331" s="902"/>
      <c r="VWV331" s="901"/>
      <c r="VWW331" s="901"/>
      <c r="VWX331" s="901"/>
      <c r="VWY331" s="901"/>
      <c r="VWZ331" s="901"/>
      <c r="VXA331" s="901"/>
      <c r="VXB331" s="901"/>
      <c r="VXC331" s="901"/>
      <c r="VXD331" s="901"/>
      <c r="VXE331" s="901"/>
      <c r="VXF331" s="901"/>
      <c r="VXG331" s="901"/>
      <c r="VXH331" s="901"/>
      <c r="VXI331" s="901"/>
      <c r="VXJ331" s="901"/>
      <c r="VXK331" s="901"/>
      <c r="VXL331" s="901"/>
      <c r="VXM331" s="901"/>
      <c r="VXN331" s="901"/>
      <c r="VXO331" s="901"/>
      <c r="VXP331" s="901"/>
      <c r="VXQ331" s="901"/>
      <c r="VXR331" s="901"/>
      <c r="VXS331" s="901"/>
      <c r="VXT331" s="901"/>
      <c r="VXU331" s="901"/>
      <c r="VXV331" s="901"/>
      <c r="VXW331" s="901"/>
      <c r="VXX331" s="902"/>
      <c r="VXY331" s="901"/>
      <c r="VXZ331" s="901"/>
      <c r="VYA331" s="901"/>
      <c r="VYB331" s="901"/>
      <c r="VYC331" s="901"/>
      <c r="VYD331" s="901"/>
      <c r="VYE331" s="901"/>
      <c r="VYF331" s="901"/>
      <c r="VYG331" s="901"/>
      <c r="VYH331" s="901"/>
      <c r="VYI331" s="901"/>
      <c r="VYJ331" s="901"/>
      <c r="VYK331" s="901"/>
      <c r="VYL331" s="901"/>
      <c r="VYM331" s="901"/>
      <c r="VYN331" s="901"/>
      <c r="VYO331" s="901"/>
      <c r="VYP331" s="901"/>
      <c r="VYQ331" s="901"/>
      <c r="VYR331" s="901"/>
      <c r="VYS331" s="901"/>
      <c r="VYT331" s="901"/>
      <c r="VYU331" s="901"/>
      <c r="VYV331" s="901"/>
      <c r="VYW331" s="901"/>
      <c r="VYX331" s="901"/>
      <c r="VYY331" s="901"/>
      <c r="VYZ331" s="901"/>
      <c r="VZA331" s="902"/>
      <c r="VZB331" s="901"/>
      <c r="VZC331" s="901"/>
      <c r="VZD331" s="901"/>
      <c r="VZE331" s="901"/>
      <c r="VZF331" s="901"/>
      <c r="VZG331" s="901"/>
      <c r="VZH331" s="901"/>
      <c r="VZI331" s="901"/>
      <c r="VZJ331" s="901"/>
      <c r="VZK331" s="901"/>
      <c r="VZL331" s="901"/>
      <c r="VZM331" s="901"/>
      <c r="VZN331" s="901"/>
      <c r="VZO331" s="901"/>
      <c r="VZP331" s="901"/>
      <c r="VZQ331" s="901"/>
      <c r="VZR331" s="901"/>
      <c r="VZS331" s="901"/>
      <c r="VZT331" s="901"/>
      <c r="VZU331" s="901"/>
      <c r="VZV331" s="901"/>
      <c r="VZW331" s="901"/>
      <c r="VZX331" s="901"/>
      <c r="VZY331" s="901"/>
      <c r="VZZ331" s="901"/>
      <c r="WAA331" s="901"/>
      <c r="WAB331" s="901"/>
      <c r="WAC331" s="901"/>
      <c r="WAD331" s="902"/>
      <c r="WAE331" s="901"/>
      <c r="WAF331" s="901"/>
      <c r="WAG331" s="901"/>
      <c r="WAH331" s="901"/>
      <c r="WAI331" s="901"/>
      <c r="WAJ331" s="901"/>
      <c r="WAK331" s="901"/>
      <c r="WAL331" s="901"/>
      <c r="WAM331" s="901"/>
      <c r="WAN331" s="901"/>
      <c r="WAO331" s="901"/>
      <c r="WAP331" s="901"/>
      <c r="WAQ331" s="901"/>
      <c r="WAR331" s="901"/>
      <c r="WAS331" s="901"/>
      <c r="WAT331" s="901"/>
      <c r="WAU331" s="901"/>
      <c r="WAV331" s="901"/>
      <c r="WAW331" s="901"/>
      <c r="WAX331" s="901"/>
      <c r="WAY331" s="901"/>
      <c r="WAZ331" s="901"/>
      <c r="WBA331" s="901"/>
      <c r="WBB331" s="901"/>
      <c r="WBC331" s="901"/>
      <c r="WBD331" s="901"/>
      <c r="WBE331" s="901"/>
      <c r="WBF331" s="901"/>
      <c r="WBG331" s="902"/>
      <c r="WBH331" s="901"/>
      <c r="WBI331" s="901"/>
      <c r="WBJ331" s="901"/>
      <c r="WBK331" s="901"/>
      <c r="WBL331" s="901"/>
      <c r="WBM331" s="901"/>
      <c r="WBN331" s="901"/>
      <c r="WBO331" s="901"/>
      <c r="WBP331" s="901"/>
      <c r="WBQ331" s="901"/>
      <c r="WBR331" s="901"/>
      <c r="WBS331" s="901"/>
      <c r="WBT331" s="901"/>
      <c r="WBU331" s="901"/>
      <c r="WBV331" s="901"/>
      <c r="WBW331" s="901"/>
      <c r="WBX331" s="901"/>
      <c r="WBY331" s="901"/>
      <c r="WBZ331" s="901"/>
      <c r="WCA331" s="901"/>
      <c r="WCB331" s="901"/>
      <c r="WCC331" s="901"/>
      <c r="WCD331" s="901"/>
      <c r="WCE331" s="901"/>
      <c r="WCF331" s="901"/>
      <c r="WCG331" s="901"/>
      <c r="WCH331" s="901"/>
      <c r="WCI331" s="901"/>
      <c r="WCJ331" s="902"/>
      <c r="WCK331" s="901"/>
      <c r="WCL331" s="901"/>
      <c r="WCM331" s="901"/>
      <c r="WCN331" s="901"/>
      <c r="WCO331" s="901"/>
      <c r="WCP331" s="901"/>
      <c r="WCQ331" s="901"/>
      <c r="WCR331" s="901"/>
      <c r="WCS331" s="901"/>
      <c r="WCT331" s="901"/>
      <c r="WCU331" s="901"/>
      <c r="WCV331" s="901"/>
      <c r="WCW331" s="901"/>
      <c r="WCX331" s="901"/>
      <c r="WCY331" s="901"/>
      <c r="WCZ331" s="901"/>
      <c r="WDA331" s="901"/>
      <c r="WDB331" s="901"/>
      <c r="WDC331" s="901"/>
      <c r="WDD331" s="901"/>
      <c r="WDE331" s="901"/>
      <c r="WDF331" s="901"/>
      <c r="WDG331" s="901"/>
      <c r="WDH331" s="901"/>
      <c r="WDI331" s="901"/>
      <c r="WDJ331" s="901"/>
      <c r="WDK331" s="901"/>
      <c r="WDL331" s="901"/>
      <c r="WDM331" s="902"/>
      <c r="WDN331" s="901"/>
      <c r="WDO331" s="901"/>
      <c r="WDP331" s="901"/>
      <c r="WDQ331" s="901"/>
      <c r="WDR331" s="901"/>
      <c r="WDS331" s="901"/>
      <c r="WDT331" s="901"/>
      <c r="WDU331" s="901"/>
      <c r="WDV331" s="901"/>
      <c r="WDW331" s="901"/>
      <c r="WDX331" s="901"/>
      <c r="WDY331" s="901"/>
      <c r="WDZ331" s="901"/>
      <c r="WEA331" s="901"/>
      <c r="WEB331" s="901"/>
      <c r="WEC331" s="901"/>
      <c r="WED331" s="901"/>
      <c r="WEE331" s="901"/>
      <c r="WEF331" s="901"/>
      <c r="WEG331" s="901"/>
      <c r="WEH331" s="901"/>
      <c r="WEI331" s="901"/>
      <c r="WEJ331" s="901"/>
      <c r="WEK331" s="901"/>
      <c r="WEL331" s="901"/>
      <c r="WEM331" s="901"/>
      <c r="WEN331" s="901"/>
      <c r="WEO331" s="901"/>
      <c r="WEP331" s="902"/>
      <c r="WEQ331" s="901"/>
      <c r="WER331" s="901"/>
      <c r="WES331" s="901"/>
      <c r="WET331" s="901"/>
      <c r="WEU331" s="901"/>
      <c r="WEV331" s="901"/>
      <c r="WEW331" s="901"/>
      <c r="WEX331" s="901"/>
      <c r="WEY331" s="901"/>
      <c r="WEZ331" s="901"/>
      <c r="WFA331" s="901"/>
      <c r="WFB331" s="901"/>
      <c r="WFC331" s="901"/>
      <c r="WFD331" s="901"/>
      <c r="WFE331" s="901"/>
      <c r="WFF331" s="901"/>
      <c r="WFG331" s="901"/>
      <c r="WFH331" s="901"/>
      <c r="WFI331" s="901"/>
      <c r="WFJ331" s="901"/>
      <c r="WFK331" s="901"/>
      <c r="WFL331" s="901"/>
      <c r="WFM331" s="901"/>
      <c r="WFN331" s="901"/>
      <c r="WFO331" s="901"/>
      <c r="WFP331" s="901"/>
      <c r="WFQ331" s="901"/>
      <c r="WFR331" s="901"/>
      <c r="WFS331" s="902"/>
      <c r="WFT331" s="901"/>
      <c r="WFU331" s="901"/>
      <c r="WFV331" s="901"/>
      <c r="WFW331" s="901"/>
      <c r="WFX331" s="901"/>
      <c r="WFY331" s="901"/>
      <c r="WFZ331" s="901"/>
      <c r="WGA331" s="901"/>
      <c r="WGB331" s="901"/>
      <c r="WGC331" s="901"/>
      <c r="WGD331" s="901"/>
      <c r="WGE331" s="901"/>
      <c r="WGF331" s="901"/>
      <c r="WGG331" s="901"/>
      <c r="WGH331" s="901"/>
      <c r="WGI331" s="901"/>
      <c r="WGJ331" s="901"/>
      <c r="WGK331" s="901"/>
      <c r="WGL331" s="901"/>
      <c r="WGM331" s="901"/>
      <c r="WGN331" s="901"/>
      <c r="WGO331" s="901"/>
      <c r="WGP331" s="901"/>
      <c r="WGQ331" s="901"/>
      <c r="WGR331" s="901"/>
      <c r="WGS331" s="901"/>
      <c r="WGT331" s="901"/>
      <c r="WGU331" s="901"/>
      <c r="WGV331" s="902"/>
      <c r="WGW331" s="901"/>
      <c r="WGX331" s="901"/>
      <c r="WGY331" s="901"/>
      <c r="WGZ331" s="901"/>
      <c r="WHA331" s="901"/>
      <c r="WHB331" s="901"/>
      <c r="WHC331" s="901"/>
      <c r="WHD331" s="901"/>
      <c r="WHE331" s="901"/>
      <c r="WHF331" s="901"/>
      <c r="WHG331" s="901"/>
      <c r="WHH331" s="901"/>
      <c r="WHI331" s="901"/>
      <c r="WHJ331" s="901"/>
      <c r="WHK331" s="901"/>
      <c r="WHL331" s="901"/>
      <c r="WHM331" s="901"/>
      <c r="WHN331" s="901"/>
      <c r="WHO331" s="901"/>
      <c r="WHP331" s="901"/>
      <c r="WHQ331" s="901"/>
      <c r="WHR331" s="901"/>
      <c r="WHS331" s="901"/>
      <c r="WHT331" s="901"/>
      <c r="WHU331" s="901"/>
      <c r="WHV331" s="901"/>
      <c r="WHW331" s="901"/>
      <c r="WHX331" s="901"/>
      <c r="WHY331" s="902"/>
      <c r="WHZ331" s="901"/>
      <c r="WIA331" s="901"/>
      <c r="WIB331" s="901"/>
      <c r="WIC331" s="901"/>
      <c r="WID331" s="901"/>
      <c r="WIE331" s="901"/>
      <c r="WIF331" s="901"/>
      <c r="WIG331" s="901"/>
      <c r="WIH331" s="901"/>
      <c r="WII331" s="901"/>
      <c r="WIJ331" s="901"/>
      <c r="WIK331" s="901"/>
      <c r="WIL331" s="901"/>
      <c r="WIM331" s="901"/>
      <c r="WIN331" s="901"/>
      <c r="WIO331" s="901"/>
      <c r="WIP331" s="901"/>
      <c r="WIQ331" s="901"/>
      <c r="WIR331" s="901"/>
      <c r="WIS331" s="901"/>
      <c r="WIT331" s="901"/>
      <c r="WIU331" s="901"/>
      <c r="WIV331" s="901"/>
      <c r="WIW331" s="901"/>
      <c r="WIX331" s="901"/>
      <c r="WIY331" s="901"/>
      <c r="WIZ331" s="901"/>
      <c r="WJA331" s="901"/>
      <c r="WJB331" s="902"/>
      <c r="WJC331" s="901"/>
      <c r="WJD331" s="901"/>
      <c r="WJE331" s="901"/>
      <c r="WJF331" s="901"/>
      <c r="WJG331" s="901"/>
      <c r="WJH331" s="901"/>
      <c r="WJI331" s="901"/>
      <c r="WJJ331" s="901"/>
      <c r="WJK331" s="901"/>
      <c r="WJL331" s="901"/>
      <c r="WJM331" s="901"/>
      <c r="WJN331" s="901"/>
      <c r="WJO331" s="901"/>
      <c r="WJP331" s="901"/>
      <c r="WJQ331" s="901"/>
      <c r="WJR331" s="901"/>
      <c r="WJS331" s="901"/>
      <c r="WJT331" s="901"/>
      <c r="WJU331" s="901"/>
      <c r="WJV331" s="901"/>
      <c r="WJW331" s="901"/>
      <c r="WJX331" s="901"/>
      <c r="WJY331" s="901"/>
      <c r="WJZ331" s="901"/>
      <c r="WKA331" s="901"/>
      <c r="WKB331" s="901"/>
      <c r="WKC331" s="901"/>
      <c r="WKD331" s="901"/>
      <c r="WKE331" s="902"/>
      <c r="WKF331" s="901"/>
      <c r="WKG331" s="901"/>
      <c r="WKH331" s="901"/>
      <c r="WKI331" s="901"/>
      <c r="WKJ331" s="901"/>
      <c r="WKK331" s="901"/>
      <c r="WKL331" s="901"/>
      <c r="WKM331" s="901"/>
      <c r="WKN331" s="901"/>
      <c r="WKO331" s="901"/>
      <c r="WKP331" s="901"/>
      <c r="WKQ331" s="901"/>
      <c r="WKR331" s="901"/>
      <c r="WKS331" s="901"/>
      <c r="WKT331" s="901"/>
      <c r="WKU331" s="901"/>
      <c r="WKV331" s="901"/>
      <c r="WKW331" s="901"/>
      <c r="WKX331" s="901"/>
      <c r="WKY331" s="901"/>
      <c r="WKZ331" s="901"/>
      <c r="WLA331" s="901"/>
      <c r="WLB331" s="901"/>
      <c r="WLC331" s="901"/>
      <c r="WLD331" s="901"/>
      <c r="WLE331" s="901"/>
      <c r="WLF331" s="901"/>
      <c r="WLG331" s="901"/>
      <c r="WLH331" s="902"/>
      <c r="WLI331" s="901"/>
      <c r="WLJ331" s="901"/>
      <c r="WLK331" s="901"/>
      <c r="WLL331" s="901"/>
      <c r="WLM331" s="901"/>
      <c r="WLN331" s="901"/>
      <c r="WLO331" s="901"/>
      <c r="WLP331" s="901"/>
      <c r="WLQ331" s="901"/>
      <c r="WLR331" s="901"/>
      <c r="WLS331" s="901"/>
      <c r="WLT331" s="901"/>
      <c r="WLU331" s="901"/>
      <c r="WLV331" s="901"/>
      <c r="WLW331" s="901"/>
      <c r="WLX331" s="901"/>
      <c r="WLY331" s="901"/>
      <c r="WLZ331" s="901"/>
      <c r="WMA331" s="901"/>
      <c r="WMB331" s="901"/>
      <c r="WMC331" s="901"/>
      <c r="WMD331" s="901"/>
      <c r="WME331" s="901"/>
      <c r="WMF331" s="901"/>
      <c r="WMG331" s="901"/>
      <c r="WMH331" s="901"/>
      <c r="WMI331" s="901"/>
      <c r="WMJ331" s="901"/>
      <c r="WMK331" s="902"/>
      <c r="WML331" s="901"/>
      <c r="WMM331" s="901"/>
      <c r="WMN331" s="901"/>
      <c r="WMO331" s="901"/>
      <c r="WMP331" s="901"/>
      <c r="WMQ331" s="901"/>
      <c r="WMR331" s="901"/>
      <c r="WMS331" s="901"/>
      <c r="WMT331" s="901"/>
      <c r="WMU331" s="901"/>
      <c r="WMV331" s="901"/>
      <c r="WMW331" s="901"/>
      <c r="WMX331" s="901"/>
      <c r="WMY331" s="901"/>
      <c r="WMZ331" s="901"/>
      <c r="WNA331" s="901"/>
      <c r="WNB331" s="901"/>
      <c r="WNC331" s="901"/>
      <c r="WND331" s="901"/>
      <c r="WNE331" s="901"/>
      <c r="WNF331" s="901"/>
      <c r="WNG331" s="901"/>
      <c r="WNH331" s="901"/>
      <c r="WNI331" s="901"/>
      <c r="WNJ331" s="901"/>
      <c r="WNK331" s="901"/>
      <c r="WNL331" s="901"/>
      <c r="WNM331" s="901"/>
      <c r="WNN331" s="902"/>
      <c r="WNO331" s="901"/>
      <c r="WNP331" s="901"/>
      <c r="WNQ331" s="901"/>
      <c r="WNR331" s="901"/>
      <c r="WNS331" s="901"/>
      <c r="WNT331" s="901"/>
      <c r="WNU331" s="901"/>
      <c r="WNV331" s="901"/>
      <c r="WNW331" s="901"/>
      <c r="WNX331" s="901"/>
      <c r="WNY331" s="901"/>
      <c r="WNZ331" s="901"/>
      <c r="WOA331" s="901"/>
      <c r="WOB331" s="901"/>
      <c r="WOC331" s="901"/>
      <c r="WOD331" s="901"/>
      <c r="WOE331" s="901"/>
      <c r="WOF331" s="901"/>
      <c r="WOG331" s="901"/>
      <c r="WOH331" s="901"/>
      <c r="WOI331" s="901"/>
      <c r="WOJ331" s="901"/>
      <c r="WOK331" s="901"/>
      <c r="WOL331" s="901"/>
      <c r="WOM331" s="901"/>
      <c r="WON331" s="901"/>
      <c r="WOO331" s="901"/>
      <c r="WOP331" s="901"/>
      <c r="WOQ331" s="902"/>
      <c r="WOR331" s="901"/>
      <c r="WOS331" s="901"/>
      <c r="WOT331" s="901"/>
      <c r="WOU331" s="901"/>
      <c r="WOV331" s="901"/>
      <c r="WOW331" s="901"/>
      <c r="WOX331" s="901"/>
      <c r="WOY331" s="901"/>
      <c r="WOZ331" s="901"/>
      <c r="WPA331" s="901"/>
      <c r="WPB331" s="901"/>
      <c r="WPC331" s="901"/>
      <c r="WPD331" s="901"/>
      <c r="WPE331" s="901"/>
      <c r="WPF331" s="901"/>
      <c r="WPG331" s="901"/>
      <c r="WPH331" s="901"/>
      <c r="WPI331" s="901"/>
      <c r="WPJ331" s="901"/>
      <c r="WPK331" s="901"/>
      <c r="WPL331" s="901"/>
      <c r="WPM331" s="901"/>
      <c r="WPN331" s="901"/>
      <c r="WPO331" s="901"/>
      <c r="WPP331" s="901"/>
      <c r="WPQ331" s="901"/>
      <c r="WPR331" s="901"/>
      <c r="WPS331" s="901"/>
      <c r="WPT331" s="902"/>
      <c r="WPU331" s="901"/>
      <c r="WPV331" s="901"/>
      <c r="WPW331" s="901"/>
      <c r="WPX331" s="901"/>
      <c r="WPY331" s="901"/>
      <c r="WPZ331" s="901"/>
      <c r="WQA331" s="901"/>
      <c r="WQB331" s="901"/>
      <c r="WQC331" s="901"/>
      <c r="WQD331" s="901"/>
      <c r="WQE331" s="901"/>
      <c r="WQF331" s="901"/>
      <c r="WQG331" s="901"/>
      <c r="WQH331" s="901"/>
      <c r="WQI331" s="901"/>
      <c r="WQJ331" s="901"/>
      <c r="WQK331" s="901"/>
      <c r="WQL331" s="901"/>
      <c r="WQM331" s="901"/>
      <c r="WQN331" s="901"/>
      <c r="WQO331" s="901"/>
      <c r="WQP331" s="901"/>
      <c r="WQQ331" s="901"/>
      <c r="WQR331" s="901"/>
      <c r="WQS331" s="901"/>
      <c r="WQT331" s="901"/>
      <c r="WQU331" s="901"/>
      <c r="WQV331" s="901"/>
      <c r="WQW331" s="902"/>
      <c r="WQX331" s="901"/>
      <c r="WQY331" s="901"/>
      <c r="WQZ331" s="901"/>
      <c r="WRA331" s="901"/>
      <c r="WRB331" s="901"/>
      <c r="WRC331" s="901"/>
      <c r="WRD331" s="901"/>
      <c r="WRE331" s="901"/>
      <c r="WRF331" s="901"/>
      <c r="WRG331" s="901"/>
      <c r="WRH331" s="901"/>
      <c r="WRI331" s="901"/>
      <c r="WRJ331" s="901"/>
      <c r="WRK331" s="901"/>
      <c r="WRL331" s="901"/>
      <c r="WRM331" s="901"/>
      <c r="WRN331" s="901"/>
      <c r="WRO331" s="901"/>
      <c r="WRP331" s="901"/>
      <c r="WRQ331" s="901"/>
      <c r="WRR331" s="901"/>
      <c r="WRS331" s="901"/>
      <c r="WRT331" s="901"/>
      <c r="WRU331" s="901"/>
      <c r="WRV331" s="901"/>
      <c r="WRW331" s="901"/>
      <c r="WRX331" s="901"/>
      <c r="WRY331" s="901"/>
      <c r="WRZ331" s="902"/>
      <c r="WSA331" s="901"/>
      <c r="WSB331" s="901"/>
      <c r="WSC331" s="901"/>
      <c r="WSD331" s="901"/>
      <c r="WSE331" s="901"/>
      <c r="WSF331" s="901"/>
      <c r="WSG331" s="901"/>
      <c r="WSH331" s="901"/>
      <c r="WSI331" s="901"/>
      <c r="WSJ331" s="901"/>
      <c r="WSK331" s="901"/>
      <c r="WSL331" s="901"/>
      <c r="WSM331" s="901"/>
      <c r="WSN331" s="901"/>
      <c r="WSO331" s="901"/>
      <c r="WSP331" s="901"/>
      <c r="WSQ331" s="901"/>
      <c r="WSR331" s="901"/>
      <c r="WSS331" s="901"/>
      <c r="WST331" s="901"/>
      <c r="WSU331" s="901"/>
      <c r="WSV331" s="901"/>
      <c r="WSW331" s="901"/>
      <c r="WSX331" s="901"/>
      <c r="WSY331" s="901"/>
      <c r="WSZ331" s="901"/>
      <c r="WTA331" s="901"/>
      <c r="WTB331" s="901"/>
      <c r="WTC331" s="902"/>
      <c r="WTD331" s="901"/>
      <c r="WTE331" s="901"/>
      <c r="WTF331" s="901"/>
      <c r="WTG331" s="901"/>
      <c r="WTH331" s="901"/>
      <c r="WTI331" s="901"/>
      <c r="WTJ331" s="901"/>
      <c r="WTK331" s="901"/>
      <c r="WTL331" s="901"/>
      <c r="WTM331" s="901"/>
      <c r="WTN331" s="901"/>
      <c r="WTO331" s="901"/>
      <c r="WTP331" s="901"/>
      <c r="WTQ331" s="901"/>
      <c r="WTR331" s="901"/>
      <c r="WTS331" s="901"/>
      <c r="WTT331" s="901"/>
      <c r="WTU331" s="901"/>
      <c r="WTV331" s="901"/>
      <c r="WTW331" s="901"/>
      <c r="WTX331" s="901"/>
      <c r="WTY331" s="901"/>
      <c r="WTZ331" s="901"/>
      <c r="WUA331" s="901"/>
      <c r="WUB331" s="901"/>
      <c r="WUC331" s="901"/>
      <c r="WUD331" s="901"/>
      <c r="WUE331" s="901"/>
      <c r="WUF331" s="902"/>
      <c r="WUG331" s="901"/>
      <c r="WUH331" s="901"/>
      <c r="WUI331" s="901"/>
      <c r="WUJ331" s="901"/>
      <c r="WUK331" s="901"/>
      <c r="WUL331" s="901"/>
      <c r="WUM331" s="901"/>
      <c r="WUN331" s="901"/>
      <c r="WUO331" s="901"/>
      <c r="WUP331" s="901"/>
      <c r="WUQ331" s="901"/>
      <c r="WUR331" s="901"/>
      <c r="WUS331" s="901"/>
      <c r="WUT331" s="901"/>
      <c r="WUU331" s="901"/>
      <c r="WUV331" s="901"/>
      <c r="WUW331" s="901"/>
      <c r="WUX331" s="901"/>
      <c r="WUY331" s="901"/>
      <c r="WUZ331" s="901"/>
      <c r="WVA331" s="901"/>
      <c r="WVB331" s="901"/>
      <c r="WVC331" s="901"/>
      <c r="WVD331" s="901"/>
      <c r="WVE331" s="901"/>
      <c r="WVF331" s="901"/>
      <c r="WVG331" s="901"/>
      <c r="WVH331" s="901"/>
      <c r="WVI331" s="902"/>
      <c r="WVJ331" s="901"/>
      <c r="WVK331" s="901"/>
      <c r="WVL331" s="901"/>
      <c r="WVM331" s="901"/>
      <c r="WVN331" s="901"/>
      <c r="WVO331" s="901"/>
      <c r="WVP331" s="901"/>
      <c r="WVQ331" s="901"/>
      <c r="WVR331" s="901"/>
      <c r="WVS331" s="901"/>
      <c r="WVT331" s="901"/>
      <c r="WVU331" s="901"/>
      <c r="WVV331" s="901"/>
      <c r="WVW331" s="901"/>
      <c r="WVX331" s="901"/>
      <c r="WVY331" s="901"/>
      <c r="WVZ331" s="901"/>
      <c r="WWA331" s="901"/>
      <c r="WWB331" s="901"/>
      <c r="WWC331" s="901"/>
      <c r="WWD331" s="901"/>
      <c r="WWE331" s="901"/>
      <c r="WWF331" s="901"/>
      <c r="WWG331" s="901"/>
      <c r="WWH331" s="901"/>
      <c r="WWI331" s="901"/>
      <c r="WWJ331" s="901"/>
      <c r="WWK331" s="901"/>
      <c r="WWL331" s="902"/>
      <c r="WWM331" s="901"/>
      <c r="WWN331" s="901"/>
      <c r="WWO331" s="901"/>
      <c r="WWP331" s="901"/>
      <c r="WWQ331" s="901"/>
      <c r="WWR331" s="901"/>
      <c r="WWS331" s="901"/>
      <c r="WWT331" s="901"/>
      <c r="WWU331" s="901"/>
      <c r="WWV331" s="901"/>
      <c r="WWW331" s="901"/>
      <c r="WWX331" s="901"/>
      <c r="WWY331" s="901"/>
      <c r="WWZ331" s="901"/>
      <c r="WXA331" s="901"/>
      <c r="WXB331" s="901"/>
      <c r="WXC331" s="901"/>
      <c r="WXD331" s="901"/>
      <c r="WXE331" s="901"/>
      <c r="WXF331" s="901"/>
      <c r="WXG331" s="901"/>
      <c r="WXH331" s="901"/>
      <c r="WXI331" s="901"/>
      <c r="WXJ331" s="901"/>
      <c r="WXK331" s="901"/>
      <c r="WXL331" s="901"/>
      <c r="WXM331" s="901"/>
      <c r="WXN331" s="901"/>
      <c r="WXO331" s="902"/>
      <c r="WXP331" s="901"/>
      <c r="WXQ331" s="901"/>
      <c r="WXR331" s="901"/>
      <c r="WXS331" s="901"/>
      <c r="WXT331" s="901"/>
      <c r="WXU331" s="901"/>
      <c r="WXV331" s="901"/>
      <c r="WXW331" s="901"/>
      <c r="WXX331" s="901"/>
      <c r="WXY331" s="901"/>
      <c r="WXZ331" s="901"/>
      <c r="WYA331" s="901"/>
      <c r="WYB331" s="901"/>
      <c r="WYC331" s="901"/>
      <c r="WYD331" s="901"/>
      <c r="WYE331" s="901"/>
      <c r="WYF331" s="901"/>
      <c r="WYG331" s="901"/>
      <c r="WYH331" s="901"/>
      <c r="WYI331" s="901"/>
      <c r="WYJ331" s="901"/>
      <c r="WYK331" s="901"/>
      <c r="WYL331" s="901"/>
      <c r="WYM331" s="901"/>
      <c r="WYN331" s="901"/>
      <c r="WYO331" s="901"/>
      <c r="WYP331" s="901"/>
      <c r="WYQ331" s="901"/>
      <c r="WYR331" s="902"/>
      <c r="WYS331" s="901"/>
      <c r="WYT331" s="901"/>
      <c r="WYU331" s="901"/>
      <c r="WYV331" s="901"/>
      <c r="WYW331" s="901"/>
      <c r="WYX331" s="901"/>
      <c r="WYY331" s="901"/>
      <c r="WYZ331" s="901"/>
      <c r="WZA331" s="901"/>
      <c r="WZB331" s="901"/>
      <c r="WZC331" s="901"/>
      <c r="WZD331" s="901"/>
      <c r="WZE331" s="901"/>
      <c r="WZF331" s="901"/>
      <c r="WZG331" s="901"/>
      <c r="WZH331" s="901"/>
      <c r="WZI331" s="901"/>
      <c r="WZJ331" s="901"/>
      <c r="WZK331" s="901"/>
      <c r="WZL331" s="901"/>
      <c r="WZM331" s="901"/>
      <c r="WZN331" s="901"/>
      <c r="WZO331" s="901"/>
      <c r="WZP331" s="901"/>
      <c r="WZQ331" s="901"/>
      <c r="WZR331" s="901"/>
      <c r="WZS331" s="901"/>
      <c r="WZT331" s="901"/>
      <c r="WZU331" s="902"/>
      <c r="WZV331" s="901"/>
      <c r="WZW331" s="901"/>
      <c r="WZX331" s="901"/>
      <c r="WZY331" s="901"/>
      <c r="WZZ331" s="901"/>
      <c r="XAA331" s="901"/>
      <c r="XAB331" s="901"/>
      <c r="XAC331" s="901"/>
      <c r="XAD331" s="901"/>
      <c r="XAE331" s="901"/>
      <c r="XAF331" s="901"/>
      <c r="XAG331" s="901"/>
      <c r="XAH331" s="901"/>
      <c r="XAI331" s="901"/>
      <c r="XAJ331" s="901"/>
      <c r="XAK331" s="901"/>
      <c r="XAL331" s="901"/>
      <c r="XAM331" s="901"/>
      <c r="XAN331" s="901"/>
      <c r="XAO331" s="901"/>
      <c r="XAP331" s="901"/>
      <c r="XAQ331" s="901"/>
      <c r="XAR331" s="901"/>
      <c r="XAS331" s="901"/>
      <c r="XAT331" s="901"/>
      <c r="XAU331" s="901"/>
      <c r="XAV331" s="901"/>
      <c r="XAW331" s="901"/>
      <c r="XAX331" s="902"/>
      <c r="XAY331" s="901"/>
      <c r="XAZ331" s="901"/>
      <c r="XBA331" s="901"/>
      <c r="XBB331" s="901"/>
      <c r="XBC331" s="901"/>
      <c r="XBD331" s="901"/>
      <c r="XBE331" s="901"/>
      <c r="XBF331" s="901"/>
      <c r="XBG331" s="901"/>
      <c r="XBH331" s="901"/>
      <c r="XBI331" s="901"/>
      <c r="XBJ331" s="901"/>
      <c r="XBK331" s="901"/>
      <c r="XBL331" s="901"/>
      <c r="XBM331" s="901"/>
      <c r="XBN331" s="901"/>
      <c r="XBO331" s="901"/>
      <c r="XBP331" s="901"/>
      <c r="XBQ331" s="901"/>
      <c r="XBR331" s="901"/>
      <c r="XBS331" s="901"/>
      <c r="XBT331" s="901"/>
      <c r="XBU331" s="901"/>
      <c r="XBV331" s="901"/>
      <c r="XBW331" s="901"/>
      <c r="XBX331" s="901"/>
      <c r="XBY331" s="901"/>
      <c r="XBZ331" s="901"/>
      <c r="XCA331" s="902"/>
      <c r="XCB331" s="901"/>
      <c r="XCC331" s="901"/>
      <c r="XCD331" s="901"/>
      <c r="XCE331" s="901"/>
      <c r="XCF331" s="901"/>
      <c r="XCG331" s="901"/>
      <c r="XCH331" s="901"/>
      <c r="XCI331" s="901"/>
      <c r="XCJ331" s="901"/>
      <c r="XCK331" s="901"/>
      <c r="XCL331" s="901"/>
      <c r="XCM331" s="901"/>
      <c r="XCN331" s="901"/>
      <c r="XCO331" s="901"/>
      <c r="XCP331" s="901"/>
      <c r="XCQ331" s="901"/>
      <c r="XCR331" s="901"/>
      <c r="XCS331" s="901"/>
      <c r="XCT331" s="901"/>
      <c r="XCU331" s="901"/>
      <c r="XCV331" s="901"/>
      <c r="XCW331" s="901"/>
      <c r="XCX331" s="901"/>
      <c r="XCY331" s="901"/>
      <c r="XCZ331" s="901"/>
      <c r="XDA331" s="901"/>
      <c r="XDB331" s="901"/>
      <c r="XDC331" s="901"/>
      <c r="XDD331" s="902"/>
      <c r="XDE331" s="901"/>
      <c r="XDF331" s="901"/>
      <c r="XDG331" s="901"/>
      <c r="XDH331" s="901"/>
      <c r="XDI331" s="901"/>
      <c r="XDJ331" s="901"/>
      <c r="XDK331" s="901"/>
      <c r="XDL331" s="901"/>
      <c r="XDM331" s="901"/>
      <c r="XDN331" s="901"/>
      <c r="XDO331" s="901"/>
      <c r="XDP331" s="901"/>
      <c r="XDQ331" s="901"/>
      <c r="XDR331" s="901"/>
      <c r="XDS331" s="901"/>
      <c r="XDT331" s="901"/>
      <c r="XDU331" s="901"/>
      <c r="XDV331" s="901"/>
      <c r="XDW331" s="901"/>
      <c r="XDX331" s="901"/>
      <c r="XDY331" s="901"/>
      <c r="XDZ331" s="901"/>
      <c r="XEA331" s="901"/>
      <c r="XEB331" s="901"/>
      <c r="XEC331" s="901"/>
      <c r="XED331" s="901"/>
      <c r="XEE331" s="901"/>
      <c r="XEF331" s="901"/>
      <c r="XEG331" s="902"/>
      <c r="XEH331" s="901"/>
      <c r="XEI331" s="901"/>
      <c r="XEJ331" s="901"/>
      <c r="XEK331" s="901"/>
      <c r="XEL331" s="901"/>
      <c r="XEM331" s="901"/>
      <c r="XEN331" s="901"/>
      <c r="XEO331" s="901"/>
      <c r="XEP331" s="901"/>
      <c r="XEQ331" s="901"/>
      <c r="XER331" s="901"/>
      <c r="XES331" s="901"/>
      <c r="XET331" s="901"/>
      <c r="XEU331" s="901"/>
      <c r="XEV331" s="901"/>
      <c r="XEW331" s="901"/>
      <c r="XEX331" s="901"/>
      <c r="XEY331" s="901"/>
      <c r="XEZ331" s="901"/>
      <c r="XFA331" s="901"/>
      <c r="XFB331" s="901"/>
      <c r="XFC331" s="901"/>
    </row>
    <row r="333" spans="1:16383" ht="26.4" customHeight="1" x14ac:dyDescent="0.25">
      <c r="A333" s="534" t="s">
        <v>755</v>
      </c>
      <c r="B333" s="534" t="s">
        <v>756</v>
      </c>
      <c r="C333" s="534" t="s">
        <v>757</v>
      </c>
      <c r="D333" s="534" t="s">
        <v>116</v>
      </c>
      <c r="E333" s="534" t="s">
        <v>132</v>
      </c>
      <c r="F333" s="534" t="s">
        <v>122</v>
      </c>
      <c r="G333" s="534" t="s">
        <v>102</v>
      </c>
      <c r="H333" s="579" t="s">
        <v>204</v>
      </c>
      <c r="I333" s="762" t="s">
        <v>758</v>
      </c>
      <c r="J333" s="762"/>
    </row>
    <row r="334" spans="1:16383" ht="13.2" x14ac:dyDescent="0.25">
      <c r="A334" s="534"/>
      <c r="B334" s="534"/>
      <c r="C334" s="534" t="s">
        <v>759</v>
      </c>
      <c r="D334" s="534" t="s">
        <v>759</v>
      </c>
      <c r="E334" s="534" t="s">
        <v>759</v>
      </c>
      <c r="F334" s="534" t="s">
        <v>759</v>
      </c>
      <c r="G334" s="534" t="s">
        <v>759</v>
      </c>
      <c r="H334" s="579" t="s">
        <v>759</v>
      </c>
      <c r="I334" s="616" t="s">
        <v>760</v>
      </c>
      <c r="J334" s="616" t="s">
        <v>761</v>
      </c>
    </row>
    <row r="335" spans="1:16383" ht="68.400000000000006" x14ac:dyDescent="0.3">
      <c r="A335" s="489" t="s">
        <v>762</v>
      </c>
      <c r="B335" s="489" t="s">
        <v>763</v>
      </c>
      <c r="C335" s="489" t="s">
        <v>764</v>
      </c>
      <c r="D335" s="489" t="s">
        <v>765</v>
      </c>
      <c r="E335" s="489" t="s">
        <v>766</v>
      </c>
      <c r="F335" s="489" t="s">
        <v>767</v>
      </c>
      <c r="G335" s="489" t="s">
        <v>768</v>
      </c>
      <c r="H335" s="580" t="s">
        <v>769</v>
      </c>
      <c r="I335" s="612" t="s">
        <v>770</v>
      </c>
      <c r="J335" s="612" t="s">
        <v>771</v>
      </c>
    </row>
    <row r="336" spans="1:16383" ht="79.2" x14ac:dyDescent="0.3">
      <c r="A336" s="489" t="s">
        <v>772</v>
      </c>
      <c r="B336" s="489" t="s">
        <v>773</v>
      </c>
      <c r="C336" s="489" t="s">
        <v>774</v>
      </c>
      <c r="D336" s="489" t="s">
        <v>775</v>
      </c>
      <c r="E336" s="489" t="s">
        <v>776</v>
      </c>
      <c r="F336" s="489" t="s">
        <v>777</v>
      </c>
      <c r="G336" s="489" t="s">
        <v>778</v>
      </c>
      <c r="H336" s="581" t="s">
        <v>779</v>
      </c>
      <c r="I336" s="612" t="s">
        <v>770</v>
      </c>
      <c r="J336" s="612" t="s">
        <v>771</v>
      </c>
    </row>
    <row r="337" spans="1:10" ht="79.2" x14ac:dyDescent="0.3">
      <c r="A337" s="489" t="s">
        <v>780</v>
      </c>
      <c r="B337" s="489" t="s">
        <v>781</v>
      </c>
      <c r="C337" s="489" t="s">
        <v>774</v>
      </c>
      <c r="D337" s="489" t="s">
        <v>775</v>
      </c>
      <c r="E337" s="489" t="s">
        <v>776</v>
      </c>
      <c r="F337" s="489" t="s">
        <v>777</v>
      </c>
      <c r="G337" s="489" t="s">
        <v>778</v>
      </c>
      <c r="H337" s="580" t="s">
        <v>782</v>
      </c>
      <c r="I337" s="612" t="s">
        <v>770</v>
      </c>
      <c r="J337" s="612" t="s">
        <v>771</v>
      </c>
    </row>
    <row r="338" spans="1:10" ht="79.2" x14ac:dyDescent="0.3">
      <c r="A338" s="489" t="s">
        <v>783</v>
      </c>
      <c r="B338" s="489" t="s">
        <v>784</v>
      </c>
      <c r="C338" s="489" t="s">
        <v>764</v>
      </c>
      <c r="D338" s="489" t="s">
        <v>765</v>
      </c>
      <c r="E338" s="489" t="s">
        <v>766</v>
      </c>
      <c r="F338" s="489" t="s">
        <v>767</v>
      </c>
      <c r="G338" s="489" t="s">
        <v>768</v>
      </c>
      <c r="H338" s="580" t="str">
        <f>H337</f>
        <v>GYMPractice WD-fall&amp;Spring for Monday through Wednesday 
GymGame-WD-Fall&amp;Spring for Thursday through Friday, 
GymAll-WE-Fall&amp;Spring for Saturday and Sunday</v>
      </c>
      <c r="I338" s="612" t="s">
        <v>770</v>
      </c>
      <c r="J338" s="612" t="s">
        <v>771</v>
      </c>
    </row>
    <row r="339" spans="1:10" ht="79.2" x14ac:dyDescent="0.3">
      <c r="A339" s="489" t="s">
        <v>780</v>
      </c>
      <c r="B339" s="489" t="s">
        <v>785</v>
      </c>
      <c r="C339" s="489" t="s">
        <v>774</v>
      </c>
      <c r="D339" s="489" t="s">
        <v>775</v>
      </c>
      <c r="E339" s="489" t="s">
        <v>776</v>
      </c>
      <c r="F339" s="489" t="s">
        <v>777</v>
      </c>
      <c r="G339" s="489" t="s">
        <v>778</v>
      </c>
      <c r="H339" s="580" t="str">
        <f>H337</f>
        <v>GYMPractice WD-fall&amp;Spring for Monday through Wednesday 
GymGame-WD-Fall&amp;Spring for Thursday through Friday, 
GymAll-WE-Fall&amp;Spring for Saturday and Sunday</v>
      </c>
      <c r="I339" s="612" t="s">
        <v>770</v>
      </c>
      <c r="J339" s="612" t="s">
        <v>771</v>
      </c>
    </row>
    <row r="340" spans="1:10" ht="68.400000000000006" x14ac:dyDescent="0.3">
      <c r="A340" s="489" t="s">
        <v>786</v>
      </c>
      <c r="B340" s="489" t="s">
        <v>787</v>
      </c>
      <c r="C340" s="489" t="s">
        <v>774</v>
      </c>
      <c r="D340" s="489" t="s">
        <v>775</v>
      </c>
      <c r="E340" s="489" t="s">
        <v>776</v>
      </c>
      <c r="F340" s="489" t="s">
        <v>777</v>
      </c>
      <c r="G340" s="489" t="s">
        <v>778</v>
      </c>
      <c r="H340" s="580" t="s">
        <v>769</v>
      </c>
      <c r="I340" s="612" t="s">
        <v>770</v>
      </c>
      <c r="J340" s="612" t="s">
        <v>771</v>
      </c>
    </row>
    <row r="341" spans="1:10" s="462" customFormat="1" ht="68.400000000000006" x14ac:dyDescent="0.3">
      <c r="A341" s="598" t="s">
        <v>788</v>
      </c>
      <c r="B341" s="598" t="s">
        <v>789</v>
      </c>
      <c r="C341" s="598" t="s">
        <v>790</v>
      </c>
      <c r="D341" s="598" t="s">
        <v>765</v>
      </c>
      <c r="E341" s="598" t="s">
        <v>791</v>
      </c>
      <c r="F341" s="598" t="s">
        <v>792</v>
      </c>
      <c r="G341" s="598" t="s">
        <v>793</v>
      </c>
      <c r="H341" s="600" t="s">
        <v>794</v>
      </c>
      <c r="I341" s="583" t="s">
        <v>770</v>
      </c>
      <c r="J341" s="583" t="s">
        <v>795</v>
      </c>
    </row>
    <row r="342" spans="1:10" ht="68.400000000000006" x14ac:dyDescent="0.3">
      <c r="A342" s="490" t="s">
        <v>715</v>
      </c>
      <c r="B342" s="490" t="s">
        <v>796</v>
      </c>
      <c r="C342" s="490" t="s">
        <v>797</v>
      </c>
      <c r="D342" s="490" t="s">
        <v>798</v>
      </c>
      <c r="E342" s="490" t="s">
        <v>799</v>
      </c>
      <c r="F342" s="490" t="s">
        <v>792</v>
      </c>
      <c r="G342" s="490" t="s">
        <v>793</v>
      </c>
      <c r="H342" s="490" t="s">
        <v>794</v>
      </c>
      <c r="I342" s="612" t="s">
        <v>770</v>
      </c>
      <c r="J342" s="583" t="s">
        <v>795</v>
      </c>
    </row>
    <row r="343" spans="1:10" ht="68.400000000000006" x14ac:dyDescent="0.3">
      <c r="A343" s="489" t="s">
        <v>788</v>
      </c>
      <c r="B343" s="489" t="s">
        <v>800</v>
      </c>
      <c r="C343" s="489" t="s">
        <v>790</v>
      </c>
      <c r="D343" s="489" t="s">
        <v>765</v>
      </c>
      <c r="E343" s="489" t="s">
        <v>791</v>
      </c>
      <c r="F343" s="489" t="s">
        <v>792</v>
      </c>
      <c r="G343" s="489" t="s">
        <v>793</v>
      </c>
      <c r="H343" s="580" t="s">
        <v>794</v>
      </c>
      <c r="I343" s="612" t="s">
        <v>770</v>
      </c>
      <c r="J343" s="583" t="s">
        <v>795</v>
      </c>
    </row>
    <row r="344" spans="1:10" ht="68.400000000000006" x14ac:dyDescent="0.3">
      <c r="A344" s="490" t="s">
        <v>715</v>
      </c>
      <c r="B344" s="490" t="s">
        <v>801</v>
      </c>
      <c r="C344" s="490" t="s">
        <v>797</v>
      </c>
      <c r="D344" s="490" t="s">
        <v>798</v>
      </c>
      <c r="E344" s="490" t="s">
        <v>799</v>
      </c>
      <c r="F344" s="490" t="s">
        <v>792</v>
      </c>
      <c r="G344" s="490" t="s">
        <v>793</v>
      </c>
      <c r="H344" s="490" t="s">
        <v>794</v>
      </c>
      <c r="I344" s="612" t="s">
        <v>770</v>
      </c>
      <c r="J344" s="583" t="s">
        <v>795</v>
      </c>
    </row>
    <row r="345" spans="1:10" ht="68.400000000000006" x14ac:dyDescent="0.3">
      <c r="A345" s="489" t="s">
        <v>788</v>
      </c>
      <c r="B345" s="489" t="s">
        <v>802</v>
      </c>
      <c r="C345" s="489" t="s">
        <v>790</v>
      </c>
      <c r="D345" s="489" t="s">
        <v>765</v>
      </c>
      <c r="E345" s="489" t="s">
        <v>766</v>
      </c>
      <c r="F345" s="489" t="s">
        <v>792</v>
      </c>
      <c r="G345" s="489" t="s">
        <v>793</v>
      </c>
      <c r="H345" s="580" t="s">
        <v>794</v>
      </c>
      <c r="I345" s="612" t="s">
        <v>770</v>
      </c>
      <c r="J345" s="583" t="s">
        <v>795</v>
      </c>
    </row>
    <row r="346" spans="1:10" ht="68.400000000000006" x14ac:dyDescent="0.3">
      <c r="A346" s="490" t="s">
        <v>715</v>
      </c>
      <c r="B346" s="490" t="s">
        <v>803</v>
      </c>
      <c r="C346" s="490" t="s">
        <v>797</v>
      </c>
      <c r="D346" s="490" t="s">
        <v>804</v>
      </c>
      <c r="E346" s="490" t="s">
        <v>799</v>
      </c>
      <c r="F346" s="490" t="s">
        <v>792</v>
      </c>
      <c r="G346" s="490" t="s">
        <v>793</v>
      </c>
      <c r="H346" s="490" t="s">
        <v>794</v>
      </c>
      <c r="I346" s="612" t="s">
        <v>770</v>
      </c>
      <c r="J346" s="583" t="s">
        <v>795</v>
      </c>
    </row>
    <row r="347" spans="1:10" s="462" customFormat="1" ht="68.400000000000006" x14ac:dyDescent="0.3">
      <c r="A347" s="598" t="s">
        <v>788</v>
      </c>
      <c r="B347" s="598" t="s">
        <v>805</v>
      </c>
      <c r="C347" s="598" t="s">
        <v>806</v>
      </c>
      <c r="D347" s="598" t="s">
        <v>765</v>
      </c>
      <c r="E347" s="598" t="s">
        <v>766</v>
      </c>
      <c r="F347" s="598" t="s">
        <v>792</v>
      </c>
      <c r="G347" s="598" t="s">
        <v>793</v>
      </c>
      <c r="H347" s="600" t="s">
        <v>794</v>
      </c>
      <c r="I347" s="583" t="s">
        <v>770</v>
      </c>
      <c r="J347" s="583" t="s">
        <v>795</v>
      </c>
    </row>
    <row r="348" spans="1:10" ht="68.400000000000006" x14ac:dyDescent="0.3">
      <c r="A348" s="489" t="s">
        <v>786</v>
      </c>
      <c r="B348" s="489" t="s">
        <v>807</v>
      </c>
      <c r="C348" s="489" t="s">
        <v>774</v>
      </c>
      <c r="D348" s="489" t="s">
        <v>775</v>
      </c>
      <c r="E348" s="489" t="s">
        <v>776</v>
      </c>
      <c r="F348" s="489" t="s">
        <v>777</v>
      </c>
      <c r="G348" s="489" t="s">
        <v>778</v>
      </c>
      <c r="H348" s="580" t="s">
        <v>769</v>
      </c>
      <c r="I348" s="612" t="s">
        <v>770</v>
      </c>
      <c r="J348" s="612" t="s">
        <v>771</v>
      </c>
    </row>
    <row r="349" spans="1:10" ht="79.2" x14ac:dyDescent="0.3">
      <c r="A349" s="489" t="s">
        <v>780</v>
      </c>
      <c r="B349" s="489" t="s">
        <v>808</v>
      </c>
      <c r="C349" s="489" t="s">
        <v>774</v>
      </c>
      <c r="D349" s="489" t="s">
        <v>775</v>
      </c>
      <c r="E349" s="489" t="s">
        <v>776</v>
      </c>
      <c r="F349" s="489" t="s">
        <v>777</v>
      </c>
      <c r="G349" s="489" t="s">
        <v>778</v>
      </c>
      <c r="H349" s="580" t="str">
        <f>H337</f>
        <v>GYMPractice WD-fall&amp;Spring for Monday through Wednesday 
GymGame-WD-Fall&amp;Spring for Thursday through Friday, 
GymAll-WE-Fall&amp;Spring for Saturday and Sunday</v>
      </c>
      <c r="I349" s="612" t="s">
        <v>770</v>
      </c>
      <c r="J349" s="612" t="s">
        <v>771</v>
      </c>
    </row>
    <row r="350" spans="1:10" ht="79.2" x14ac:dyDescent="0.3">
      <c r="A350" s="489" t="s">
        <v>772</v>
      </c>
      <c r="B350" s="489" t="s">
        <v>809</v>
      </c>
      <c r="C350" s="489" t="s">
        <v>774</v>
      </c>
      <c r="D350" s="489" t="s">
        <v>775</v>
      </c>
      <c r="E350" s="489" t="s">
        <v>776</v>
      </c>
      <c r="F350" s="489" t="s">
        <v>777</v>
      </c>
      <c r="G350" s="489" t="s">
        <v>778</v>
      </c>
      <c r="H350" s="581" t="str">
        <f>H336</f>
        <v>GYMPractice WD-Winter for Monday
GymGame-WD-Winter for Tuesday through Friday, 
GymAll-WE-Winter for Saturday and Sunday</v>
      </c>
      <c r="I350" s="612" t="s">
        <v>770</v>
      </c>
      <c r="J350" s="612" t="s">
        <v>771</v>
      </c>
    </row>
    <row r="351" spans="1:10" ht="68.400000000000006" x14ac:dyDescent="0.3">
      <c r="A351" s="489" t="s">
        <v>810</v>
      </c>
      <c r="B351" s="489" t="s">
        <v>811</v>
      </c>
      <c r="C351" s="489" t="s">
        <v>806</v>
      </c>
      <c r="D351" s="489" t="s">
        <v>765</v>
      </c>
      <c r="E351" s="489" t="s">
        <v>766</v>
      </c>
      <c r="F351" s="489" t="s">
        <v>767</v>
      </c>
      <c r="G351" s="489" t="s">
        <v>768</v>
      </c>
      <c r="H351" s="580" t="s">
        <v>769</v>
      </c>
      <c r="I351" s="612" t="s">
        <v>770</v>
      </c>
      <c r="J351" s="612" t="s">
        <v>771</v>
      </c>
    </row>
    <row r="352" spans="1:10" ht="79.2" x14ac:dyDescent="0.3">
      <c r="A352" s="489" t="s">
        <v>772</v>
      </c>
      <c r="B352" s="489" t="s">
        <v>812</v>
      </c>
      <c r="C352" s="489" t="s">
        <v>774</v>
      </c>
      <c r="D352" s="489" t="s">
        <v>775</v>
      </c>
      <c r="E352" s="489" t="s">
        <v>776</v>
      </c>
      <c r="F352" s="489" t="s">
        <v>777</v>
      </c>
      <c r="G352" s="489" t="s">
        <v>778</v>
      </c>
      <c r="H352" s="581" t="str">
        <f>H336</f>
        <v>GYMPractice WD-Winter for Monday
GymGame-WD-Winter for Tuesday through Friday, 
GymAll-WE-Winter for Saturday and Sunday</v>
      </c>
      <c r="I352" s="612" t="s">
        <v>770</v>
      </c>
      <c r="J352" s="612" t="s">
        <v>771</v>
      </c>
    </row>
    <row r="353" spans="1:10" ht="68.400000000000006" x14ac:dyDescent="0.3">
      <c r="A353" s="489" t="s">
        <v>762</v>
      </c>
      <c r="B353" s="489" t="s">
        <v>813</v>
      </c>
      <c r="C353" s="489" t="s">
        <v>806</v>
      </c>
      <c r="D353" s="489" t="s">
        <v>765</v>
      </c>
      <c r="E353" s="489" t="s">
        <v>766</v>
      </c>
      <c r="F353" s="489" t="s">
        <v>767</v>
      </c>
      <c r="G353" s="489" t="s">
        <v>768</v>
      </c>
      <c r="H353" s="580" t="s">
        <v>769</v>
      </c>
      <c r="I353" s="612" t="s">
        <v>770</v>
      </c>
      <c r="J353" s="612" t="s">
        <v>771</v>
      </c>
    </row>
  </sheetData>
  <mergeCells count="872">
    <mergeCell ref="XCZ331:XEB331"/>
    <mergeCell ref="XEC331:XFC331"/>
    <mergeCell ref="WSY331:WUA331"/>
    <mergeCell ref="WUB331:WVD331"/>
    <mergeCell ref="WVE331:WWG331"/>
    <mergeCell ref="WWH331:WXJ331"/>
    <mergeCell ref="WXK331:WYM331"/>
    <mergeCell ref="WYN331:WZP331"/>
    <mergeCell ref="WZQ331:XAS331"/>
    <mergeCell ref="XAT331:XBV331"/>
    <mergeCell ref="XBW331:XCY331"/>
    <mergeCell ref="WIX331:WJZ331"/>
    <mergeCell ref="WKA331:WLC331"/>
    <mergeCell ref="WLD331:WMF331"/>
    <mergeCell ref="WMG331:WNI331"/>
    <mergeCell ref="WNJ331:WOL331"/>
    <mergeCell ref="WOM331:WPO331"/>
    <mergeCell ref="WPP331:WQR331"/>
    <mergeCell ref="WQS331:WRU331"/>
    <mergeCell ref="WRV331:WSX331"/>
    <mergeCell ref="VYW331:VZY331"/>
    <mergeCell ref="VZZ331:WBB331"/>
    <mergeCell ref="WBC331:WCE331"/>
    <mergeCell ref="WCF331:WDH331"/>
    <mergeCell ref="WDI331:WEK331"/>
    <mergeCell ref="WEL331:WFN331"/>
    <mergeCell ref="WFO331:WGQ331"/>
    <mergeCell ref="WGR331:WHT331"/>
    <mergeCell ref="WHU331:WIW331"/>
    <mergeCell ref="VOV331:VPX331"/>
    <mergeCell ref="VPY331:VRA331"/>
    <mergeCell ref="VRB331:VSD331"/>
    <mergeCell ref="VSE331:VTG331"/>
    <mergeCell ref="VTH331:VUJ331"/>
    <mergeCell ref="VUK331:VVM331"/>
    <mergeCell ref="VVN331:VWP331"/>
    <mergeCell ref="VWQ331:VXS331"/>
    <mergeCell ref="VXT331:VYV331"/>
    <mergeCell ref="VEU331:VFW331"/>
    <mergeCell ref="VFX331:VGZ331"/>
    <mergeCell ref="VHA331:VIC331"/>
    <mergeCell ref="VID331:VJF331"/>
    <mergeCell ref="VJG331:VKI331"/>
    <mergeCell ref="VKJ331:VLL331"/>
    <mergeCell ref="VLM331:VMO331"/>
    <mergeCell ref="VMP331:VNR331"/>
    <mergeCell ref="VNS331:VOU331"/>
    <mergeCell ref="UUT331:UVV331"/>
    <mergeCell ref="UVW331:UWY331"/>
    <mergeCell ref="UWZ331:UYB331"/>
    <mergeCell ref="UYC331:UZE331"/>
    <mergeCell ref="UZF331:VAH331"/>
    <mergeCell ref="VAI331:VBK331"/>
    <mergeCell ref="VBL331:VCN331"/>
    <mergeCell ref="VCO331:VDQ331"/>
    <mergeCell ref="VDR331:VET331"/>
    <mergeCell ref="UKS331:ULU331"/>
    <mergeCell ref="ULV331:UMX331"/>
    <mergeCell ref="UMY331:UOA331"/>
    <mergeCell ref="UOB331:UPD331"/>
    <mergeCell ref="UPE331:UQG331"/>
    <mergeCell ref="UQH331:URJ331"/>
    <mergeCell ref="URK331:USM331"/>
    <mergeCell ref="USN331:UTP331"/>
    <mergeCell ref="UTQ331:UUS331"/>
    <mergeCell ref="UAR331:UBT331"/>
    <mergeCell ref="UBU331:UCW331"/>
    <mergeCell ref="UCX331:UDZ331"/>
    <mergeCell ref="UEA331:UFC331"/>
    <mergeCell ref="UFD331:UGF331"/>
    <mergeCell ref="UGG331:UHI331"/>
    <mergeCell ref="UHJ331:UIL331"/>
    <mergeCell ref="UIM331:UJO331"/>
    <mergeCell ref="UJP331:UKR331"/>
    <mergeCell ref="TQQ331:TRS331"/>
    <mergeCell ref="TRT331:TSV331"/>
    <mergeCell ref="TSW331:TTY331"/>
    <mergeCell ref="TTZ331:TVB331"/>
    <mergeCell ref="TVC331:TWE331"/>
    <mergeCell ref="TWF331:TXH331"/>
    <mergeCell ref="TXI331:TYK331"/>
    <mergeCell ref="TYL331:TZN331"/>
    <mergeCell ref="TZO331:UAQ331"/>
    <mergeCell ref="TGP331:THR331"/>
    <mergeCell ref="THS331:TIU331"/>
    <mergeCell ref="TIV331:TJX331"/>
    <mergeCell ref="TJY331:TLA331"/>
    <mergeCell ref="TLB331:TMD331"/>
    <mergeCell ref="TME331:TNG331"/>
    <mergeCell ref="TNH331:TOJ331"/>
    <mergeCell ref="TOK331:TPM331"/>
    <mergeCell ref="TPN331:TQP331"/>
    <mergeCell ref="SWO331:SXQ331"/>
    <mergeCell ref="SXR331:SYT331"/>
    <mergeCell ref="SYU331:SZW331"/>
    <mergeCell ref="SZX331:TAZ331"/>
    <mergeCell ref="TBA331:TCC331"/>
    <mergeCell ref="TCD331:TDF331"/>
    <mergeCell ref="TDG331:TEI331"/>
    <mergeCell ref="TEJ331:TFL331"/>
    <mergeCell ref="TFM331:TGO331"/>
    <mergeCell ref="SMN331:SNP331"/>
    <mergeCell ref="SNQ331:SOS331"/>
    <mergeCell ref="SOT331:SPV331"/>
    <mergeCell ref="SPW331:SQY331"/>
    <mergeCell ref="SQZ331:SSB331"/>
    <mergeCell ref="SSC331:STE331"/>
    <mergeCell ref="STF331:SUH331"/>
    <mergeCell ref="SUI331:SVK331"/>
    <mergeCell ref="SVL331:SWN331"/>
    <mergeCell ref="SCM331:SDO331"/>
    <mergeCell ref="SDP331:SER331"/>
    <mergeCell ref="SES331:SFU331"/>
    <mergeCell ref="SFV331:SGX331"/>
    <mergeCell ref="SGY331:SIA331"/>
    <mergeCell ref="SIB331:SJD331"/>
    <mergeCell ref="SJE331:SKG331"/>
    <mergeCell ref="SKH331:SLJ331"/>
    <mergeCell ref="SLK331:SMM331"/>
    <mergeCell ref="RSL331:RTN331"/>
    <mergeCell ref="RTO331:RUQ331"/>
    <mergeCell ref="RUR331:RVT331"/>
    <mergeCell ref="RVU331:RWW331"/>
    <mergeCell ref="RWX331:RXZ331"/>
    <mergeCell ref="RYA331:RZC331"/>
    <mergeCell ref="RZD331:SAF331"/>
    <mergeCell ref="SAG331:SBI331"/>
    <mergeCell ref="SBJ331:SCL331"/>
    <mergeCell ref="RIK331:RJM331"/>
    <mergeCell ref="RJN331:RKP331"/>
    <mergeCell ref="RKQ331:RLS331"/>
    <mergeCell ref="RLT331:RMV331"/>
    <mergeCell ref="RMW331:RNY331"/>
    <mergeCell ref="RNZ331:RPB331"/>
    <mergeCell ref="RPC331:RQE331"/>
    <mergeCell ref="RQF331:RRH331"/>
    <mergeCell ref="RRI331:RSK331"/>
    <mergeCell ref="QYJ331:QZL331"/>
    <mergeCell ref="QZM331:RAO331"/>
    <mergeCell ref="RAP331:RBR331"/>
    <mergeCell ref="RBS331:RCU331"/>
    <mergeCell ref="RCV331:RDX331"/>
    <mergeCell ref="RDY331:RFA331"/>
    <mergeCell ref="RFB331:RGD331"/>
    <mergeCell ref="RGE331:RHG331"/>
    <mergeCell ref="RHH331:RIJ331"/>
    <mergeCell ref="QOI331:QPK331"/>
    <mergeCell ref="QPL331:QQN331"/>
    <mergeCell ref="QQO331:QRQ331"/>
    <mergeCell ref="QRR331:QST331"/>
    <mergeCell ref="QSU331:QTW331"/>
    <mergeCell ref="QTX331:QUZ331"/>
    <mergeCell ref="QVA331:QWC331"/>
    <mergeCell ref="QWD331:QXF331"/>
    <mergeCell ref="QXG331:QYI331"/>
    <mergeCell ref="QEH331:QFJ331"/>
    <mergeCell ref="QFK331:QGM331"/>
    <mergeCell ref="QGN331:QHP331"/>
    <mergeCell ref="QHQ331:QIS331"/>
    <mergeCell ref="QIT331:QJV331"/>
    <mergeCell ref="QJW331:QKY331"/>
    <mergeCell ref="QKZ331:QMB331"/>
    <mergeCell ref="QMC331:QNE331"/>
    <mergeCell ref="QNF331:QOH331"/>
    <mergeCell ref="PUG331:PVI331"/>
    <mergeCell ref="PVJ331:PWL331"/>
    <mergeCell ref="PWM331:PXO331"/>
    <mergeCell ref="PXP331:PYR331"/>
    <mergeCell ref="PYS331:PZU331"/>
    <mergeCell ref="PZV331:QAX331"/>
    <mergeCell ref="QAY331:QCA331"/>
    <mergeCell ref="QCB331:QDD331"/>
    <mergeCell ref="QDE331:QEG331"/>
    <mergeCell ref="PKF331:PLH331"/>
    <mergeCell ref="PLI331:PMK331"/>
    <mergeCell ref="PML331:PNN331"/>
    <mergeCell ref="PNO331:POQ331"/>
    <mergeCell ref="POR331:PPT331"/>
    <mergeCell ref="PPU331:PQW331"/>
    <mergeCell ref="PQX331:PRZ331"/>
    <mergeCell ref="PSA331:PTC331"/>
    <mergeCell ref="PTD331:PUF331"/>
    <mergeCell ref="PAE331:PBG331"/>
    <mergeCell ref="PBH331:PCJ331"/>
    <mergeCell ref="PCK331:PDM331"/>
    <mergeCell ref="PDN331:PEP331"/>
    <mergeCell ref="PEQ331:PFS331"/>
    <mergeCell ref="PFT331:PGV331"/>
    <mergeCell ref="PGW331:PHY331"/>
    <mergeCell ref="PHZ331:PJB331"/>
    <mergeCell ref="PJC331:PKE331"/>
    <mergeCell ref="OQD331:ORF331"/>
    <mergeCell ref="ORG331:OSI331"/>
    <mergeCell ref="OSJ331:OTL331"/>
    <mergeCell ref="OTM331:OUO331"/>
    <mergeCell ref="OUP331:OVR331"/>
    <mergeCell ref="OVS331:OWU331"/>
    <mergeCell ref="OWV331:OXX331"/>
    <mergeCell ref="OXY331:OZA331"/>
    <mergeCell ref="OZB331:PAD331"/>
    <mergeCell ref="OGC331:OHE331"/>
    <mergeCell ref="OHF331:OIH331"/>
    <mergeCell ref="OII331:OJK331"/>
    <mergeCell ref="OJL331:OKN331"/>
    <mergeCell ref="OKO331:OLQ331"/>
    <mergeCell ref="OLR331:OMT331"/>
    <mergeCell ref="OMU331:ONW331"/>
    <mergeCell ref="ONX331:OOZ331"/>
    <mergeCell ref="OPA331:OQC331"/>
    <mergeCell ref="NWB331:NXD331"/>
    <mergeCell ref="NXE331:NYG331"/>
    <mergeCell ref="NYH331:NZJ331"/>
    <mergeCell ref="NZK331:OAM331"/>
    <mergeCell ref="OAN331:OBP331"/>
    <mergeCell ref="OBQ331:OCS331"/>
    <mergeCell ref="OCT331:ODV331"/>
    <mergeCell ref="ODW331:OEY331"/>
    <mergeCell ref="OEZ331:OGB331"/>
    <mergeCell ref="NMA331:NNC331"/>
    <mergeCell ref="NND331:NOF331"/>
    <mergeCell ref="NOG331:NPI331"/>
    <mergeCell ref="NPJ331:NQL331"/>
    <mergeCell ref="NQM331:NRO331"/>
    <mergeCell ref="NRP331:NSR331"/>
    <mergeCell ref="NSS331:NTU331"/>
    <mergeCell ref="NTV331:NUX331"/>
    <mergeCell ref="NUY331:NWA331"/>
    <mergeCell ref="NBZ331:NDB331"/>
    <mergeCell ref="NDC331:NEE331"/>
    <mergeCell ref="NEF331:NFH331"/>
    <mergeCell ref="NFI331:NGK331"/>
    <mergeCell ref="NGL331:NHN331"/>
    <mergeCell ref="NHO331:NIQ331"/>
    <mergeCell ref="NIR331:NJT331"/>
    <mergeCell ref="NJU331:NKW331"/>
    <mergeCell ref="NKX331:NLZ331"/>
    <mergeCell ref="MRY331:MTA331"/>
    <mergeCell ref="MTB331:MUD331"/>
    <mergeCell ref="MUE331:MVG331"/>
    <mergeCell ref="MVH331:MWJ331"/>
    <mergeCell ref="MWK331:MXM331"/>
    <mergeCell ref="MXN331:MYP331"/>
    <mergeCell ref="MYQ331:MZS331"/>
    <mergeCell ref="MZT331:NAV331"/>
    <mergeCell ref="NAW331:NBY331"/>
    <mergeCell ref="MHX331:MIZ331"/>
    <mergeCell ref="MJA331:MKC331"/>
    <mergeCell ref="MKD331:MLF331"/>
    <mergeCell ref="MLG331:MMI331"/>
    <mergeCell ref="MMJ331:MNL331"/>
    <mergeCell ref="MNM331:MOO331"/>
    <mergeCell ref="MOP331:MPR331"/>
    <mergeCell ref="MPS331:MQU331"/>
    <mergeCell ref="MQV331:MRX331"/>
    <mergeCell ref="LXW331:LYY331"/>
    <mergeCell ref="LYZ331:MAB331"/>
    <mergeCell ref="MAC331:MBE331"/>
    <mergeCell ref="MBF331:MCH331"/>
    <mergeCell ref="MCI331:MDK331"/>
    <mergeCell ref="MDL331:MEN331"/>
    <mergeCell ref="MEO331:MFQ331"/>
    <mergeCell ref="MFR331:MGT331"/>
    <mergeCell ref="MGU331:MHW331"/>
    <mergeCell ref="LNV331:LOX331"/>
    <mergeCell ref="LOY331:LQA331"/>
    <mergeCell ref="LQB331:LRD331"/>
    <mergeCell ref="LRE331:LSG331"/>
    <mergeCell ref="LSH331:LTJ331"/>
    <mergeCell ref="LTK331:LUM331"/>
    <mergeCell ref="LUN331:LVP331"/>
    <mergeCell ref="LVQ331:LWS331"/>
    <mergeCell ref="LWT331:LXV331"/>
    <mergeCell ref="LDU331:LEW331"/>
    <mergeCell ref="LEX331:LFZ331"/>
    <mergeCell ref="LGA331:LHC331"/>
    <mergeCell ref="LHD331:LIF331"/>
    <mergeCell ref="LIG331:LJI331"/>
    <mergeCell ref="LJJ331:LKL331"/>
    <mergeCell ref="LKM331:LLO331"/>
    <mergeCell ref="LLP331:LMR331"/>
    <mergeCell ref="LMS331:LNU331"/>
    <mergeCell ref="KTT331:KUV331"/>
    <mergeCell ref="KUW331:KVY331"/>
    <mergeCell ref="KVZ331:KXB331"/>
    <mergeCell ref="KXC331:KYE331"/>
    <mergeCell ref="KYF331:KZH331"/>
    <mergeCell ref="KZI331:LAK331"/>
    <mergeCell ref="LAL331:LBN331"/>
    <mergeCell ref="LBO331:LCQ331"/>
    <mergeCell ref="LCR331:LDT331"/>
    <mergeCell ref="KJS331:KKU331"/>
    <mergeCell ref="KKV331:KLX331"/>
    <mergeCell ref="KLY331:KNA331"/>
    <mergeCell ref="KNB331:KOD331"/>
    <mergeCell ref="KOE331:KPG331"/>
    <mergeCell ref="KPH331:KQJ331"/>
    <mergeCell ref="KQK331:KRM331"/>
    <mergeCell ref="KRN331:KSP331"/>
    <mergeCell ref="KSQ331:KTS331"/>
    <mergeCell ref="JZR331:KAT331"/>
    <mergeCell ref="KAU331:KBW331"/>
    <mergeCell ref="KBX331:KCZ331"/>
    <mergeCell ref="KDA331:KEC331"/>
    <mergeCell ref="KED331:KFF331"/>
    <mergeCell ref="KFG331:KGI331"/>
    <mergeCell ref="KGJ331:KHL331"/>
    <mergeCell ref="KHM331:KIO331"/>
    <mergeCell ref="KIP331:KJR331"/>
    <mergeCell ref="JPQ331:JQS331"/>
    <mergeCell ref="JQT331:JRV331"/>
    <mergeCell ref="JRW331:JSY331"/>
    <mergeCell ref="JSZ331:JUB331"/>
    <mergeCell ref="JUC331:JVE331"/>
    <mergeCell ref="JVF331:JWH331"/>
    <mergeCell ref="JWI331:JXK331"/>
    <mergeCell ref="JXL331:JYN331"/>
    <mergeCell ref="JYO331:JZQ331"/>
    <mergeCell ref="JFP331:JGR331"/>
    <mergeCell ref="JGS331:JHU331"/>
    <mergeCell ref="JHV331:JIX331"/>
    <mergeCell ref="JIY331:JKA331"/>
    <mergeCell ref="JKB331:JLD331"/>
    <mergeCell ref="JLE331:JMG331"/>
    <mergeCell ref="JMH331:JNJ331"/>
    <mergeCell ref="JNK331:JOM331"/>
    <mergeCell ref="JON331:JPP331"/>
    <mergeCell ref="IVO331:IWQ331"/>
    <mergeCell ref="IWR331:IXT331"/>
    <mergeCell ref="IXU331:IYW331"/>
    <mergeCell ref="IYX331:IZZ331"/>
    <mergeCell ref="JAA331:JBC331"/>
    <mergeCell ref="JBD331:JCF331"/>
    <mergeCell ref="JCG331:JDI331"/>
    <mergeCell ref="JDJ331:JEL331"/>
    <mergeCell ref="JEM331:JFO331"/>
    <mergeCell ref="ILN331:IMP331"/>
    <mergeCell ref="IMQ331:INS331"/>
    <mergeCell ref="INT331:IOV331"/>
    <mergeCell ref="IOW331:IPY331"/>
    <mergeCell ref="IPZ331:IRB331"/>
    <mergeCell ref="IRC331:ISE331"/>
    <mergeCell ref="ISF331:ITH331"/>
    <mergeCell ref="ITI331:IUK331"/>
    <mergeCell ref="IUL331:IVN331"/>
    <mergeCell ref="IBM331:ICO331"/>
    <mergeCell ref="ICP331:IDR331"/>
    <mergeCell ref="IDS331:IEU331"/>
    <mergeCell ref="IEV331:IFX331"/>
    <mergeCell ref="IFY331:IHA331"/>
    <mergeCell ref="IHB331:IID331"/>
    <mergeCell ref="IIE331:IJG331"/>
    <mergeCell ref="IJH331:IKJ331"/>
    <mergeCell ref="IKK331:ILM331"/>
    <mergeCell ref="HRL331:HSN331"/>
    <mergeCell ref="HSO331:HTQ331"/>
    <mergeCell ref="HTR331:HUT331"/>
    <mergeCell ref="HUU331:HVW331"/>
    <mergeCell ref="HVX331:HWZ331"/>
    <mergeCell ref="HXA331:HYC331"/>
    <mergeCell ref="HYD331:HZF331"/>
    <mergeCell ref="HZG331:IAI331"/>
    <mergeCell ref="IAJ331:IBL331"/>
    <mergeCell ref="HHK331:HIM331"/>
    <mergeCell ref="HIN331:HJP331"/>
    <mergeCell ref="HJQ331:HKS331"/>
    <mergeCell ref="HKT331:HLV331"/>
    <mergeCell ref="HLW331:HMY331"/>
    <mergeCell ref="HMZ331:HOB331"/>
    <mergeCell ref="HOC331:HPE331"/>
    <mergeCell ref="HPF331:HQH331"/>
    <mergeCell ref="HQI331:HRK331"/>
    <mergeCell ref="GXJ331:GYL331"/>
    <mergeCell ref="GYM331:GZO331"/>
    <mergeCell ref="GZP331:HAR331"/>
    <mergeCell ref="HAS331:HBU331"/>
    <mergeCell ref="HBV331:HCX331"/>
    <mergeCell ref="HCY331:HEA331"/>
    <mergeCell ref="HEB331:HFD331"/>
    <mergeCell ref="HFE331:HGG331"/>
    <mergeCell ref="HGH331:HHJ331"/>
    <mergeCell ref="GNI331:GOK331"/>
    <mergeCell ref="GOL331:GPN331"/>
    <mergeCell ref="GPO331:GQQ331"/>
    <mergeCell ref="GQR331:GRT331"/>
    <mergeCell ref="GRU331:GSW331"/>
    <mergeCell ref="GSX331:GTZ331"/>
    <mergeCell ref="GUA331:GVC331"/>
    <mergeCell ref="GVD331:GWF331"/>
    <mergeCell ref="GWG331:GXI331"/>
    <mergeCell ref="GDH331:GEJ331"/>
    <mergeCell ref="GEK331:GFM331"/>
    <mergeCell ref="GFN331:GGP331"/>
    <mergeCell ref="GGQ331:GHS331"/>
    <mergeCell ref="GHT331:GIV331"/>
    <mergeCell ref="GIW331:GJY331"/>
    <mergeCell ref="GJZ331:GLB331"/>
    <mergeCell ref="GLC331:GME331"/>
    <mergeCell ref="GMF331:GNH331"/>
    <mergeCell ref="FTG331:FUI331"/>
    <mergeCell ref="FUJ331:FVL331"/>
    <mergeCell ref="FVM331:FWO331"/>
    <mergeCell ref="FWP331:FXR331"/>
    <mergeCell ref="FXS331:FYU331"/>
    <mergeCell ref="FYV331:FZX331"/>
    <mergeCell ref="FZY331:GBA331"/>
    <mergeCell ref="GBB331:GCD331"/>
    <mergeCell ref="GCE331:GDG331"/>
    <mergeCell ref="FJF331:FKH331"/>
    <mergeCell ref="FKI331:FLK331"/>
    <mergeCell ref="FLL331:FMN331"/>
    <mergeCell ref="FMO331:FNQ331"/>
    <mergeCell ref="FNR331:FOT331"/>
    <mergeCell ref="FOU331:FPW331"/>
    <mergeCell ref="FPX331:FQZ331"/>
    <mergeCell ref="FRA331:FSC331"/>
    <mergeCell ref="FSD331:FTF331"/>
    <mergeCell ref="EZE331:FAG331"/>
    <mergeCell ref="FAH331:FBJ331"/>
    <mergeCell ref="FBK331:FCM331"/>
    <mergeCell ref="FCN331:FDP331"/>
    <mergeCell ref="FDQ331:FES331"/>
    <mergeCell ref="FET331:FFV331"/>
    <mergeCell ref="FFW331:FGY331"/>
    <mergeCell ref="FGZ331:FIB331"/>
    <mergeCell ref="FIC331:FJE331"/>
    <mergeCell ref="EPD331:EQF331"/>
    <mergeCell ref="EQG331:ERI331"/>
    <mergeCell ref="ERJ331:ESL331"/>
    <mergeCell ref="ESM331:ETO331"/>
    <mergeCell ref="ETP331:EUR331"/>
    <mergeCell ref="EUS331:EVU331"/>
    <mergeCell ref="EVV331:EWX331"/>
    <mergeCell ref="EWY331:EYA331"/>
    <mergeCell ref="EYB331:EZD331"/>
    <mergeCell ref="EFC331:EGE331"/>
    <mergeCell ref="EGF331:EHH331"/>
    <mergeCell ref="EHI331:EIK331"/>
    <mergeCell ref="EIL331:EJN331"/>
    <mergeCell ref="EJO331:EKQ331"/>
    <mergeCell ref="EKR331:ELT331"/>
    <mergeCell ref="ELU331:EMW331"/>
    <mergeCell ref="EMX331:ENZ331"/>
    <mergeCell ref="EOA331:EPC331"/>
    <mergeCell ref="DVB331:DWD331"/>
    <mergeCell ref="DWE331:DXG331"/>
    <mergeCell ref="DXH331:DYJ331"/>
    <mergeCell ref="DYK331:DZM331"/>
    <mergeCell ref="DZN331:EAP331"/>
    <mergeCell ref="EAQ331:EBS331"/>
    <mergeCell ref="EBT331:ECV331"/>
    <mergeCell ref="ECW331:EDY331"/>
    <mergeCell ref="EDZ331:EFB331"/>
    <mergeCell ref="DLA331:DMC331"/>
    <mergeCell ref="DMD331:DNF331"/>
    <mergeCell ref="DNG331:DOI331"/>
    <mergeCell ref="DOJ331:DPL331"/>
    <mergeCell ref="DPM331:DQO331"/>
    <mergeCell ref="DQP331:DRR331"/>
    <mergeCell ref="DRS331:DSU331"/>
    <mergeCell ref="DSV331:DTX331"/>
    <mergeCell ref="DTY331:DVA331"/>
    <mergeCell ref="DAZ331:DCB331"/>
    <mergeCell ref="DCC331:DDE331"/>
    <mergeCell ref="DDF331:DEH331"/>
    <mergeCell ref="DEI331:DFK331"/>
    <mergeCell ref="DFL331:DGN331"/>
    <mergeCell ref="DGO331:DHQ331"/>
    <mergeCell ref="DHR331:DIT331"/>
    <mergeCell ref="DIU331:DJW331"/>
    <mergeCell ref="DJX331:DKZ331"/>
    <mergeCell ref="CQY331:CSA331"/>
    <mergeCell ref="CSB331:CTD331"/>
    <mergeCell ref="CTE331:CUG331"/>
    <mergeCell ref="CUH331:CVJ331"/>
    <mergeCell ref="CVK331:CWM331"/>
    <mergeCell ref="CWN331:CXP331"/>
    <mergeCell ref="CXQ331:CYS331"/>
    <mergeCell ref="CYT331:CZV331"/>
    <mergeCell ref="CZW331:DAY331"/>
    <mergeCell ref="CGX331:CHZ331"/>
    <mergeCell ref="CIA331:CJC331"/>
    <mergeCell ref="CJD331:CKF331"/>
    <mergeCell ref="CKG331:CLI331"/>
    <mergeCell ref="CLJ331:CML331"/>
    <mergeCell ref="CMM331:CNO331"/>
    <mergeCell ref="CNP331:COR331"/>
    <mergeCell ref="COS331:CPU331"/>
    <mergeCell ref="CPV331:CQX331"/>
    <mergeCell ref="BWW331:BXY331"/>
    <mergeCell ref="BXZ331:BZB331"/>
    <mergeCell ref="BZC331:CAE331"/>
    <mergeCell ref="CAF331:CBH331"/>
    <mergeCell ref="CBI331:CCK331"/>
    <mergeCell ref="CCL331:CDN331"/>
    <mergeCell ref="CDO331:CEQ331"/>
    <mergeCell ref="CER331:CFT331"/>
    <mergeCell ref="CFU331:CGW331"/>
    <mergeCell ref="BMV331:BNX331"/>
    <mergeCell ref="BNY331:BPA331"/>
    <mergeCell ref="BPB331:BQD331"/>
    <mergeCell ref="BQE331:BRG331"/>
    <mergeCell ref="BRH331:BSJ331"/>
    <mergeCell ref="BSK331:BTM331"/>
    <mergeCell ref="BTN331:BUP331"/>
    <mergeCell ref="BUQ331:BVS331"/>
    <mergeCell ref="BVT331:BWV331"/>
    <mergeCell ref="BCU331:BDW331"/>
    <mergeCell ref="BDX331:BEZ331"/>
    <mergeCell ref="BFA331:BGC331"/>
    <mergeCell ref="BGD331:BHF331"/>
    <mergeCell ref="BHG331:BII331"/>
    <mergeCell ref="BIJ331:BJL331"/>
    <mergeCell ref="BJM331:BKO331"/>
    <mergeCell ref="BKP331:BLR331"/>
    <mergeCell ref="BLS331:BMU331"/>
    <mergeCell ref="AST331:ATV331"/>
    <mergeCell ref="ATW331:AUY331"/>
    <mergeCell ref="AUZ331:AWB331"/>
    <mergeCell ref="AWC331:AXE331"/>
    <mergeCell ref="AXF331:AYH331"/>
    <mergeCell ref="AYI331:AZK331"/>
    <mergeCell ref="AZL331:BAN331"/>
    <mergeCell ref="BAO331:BBQ331"/>
    <mergeCell ref="BBR331:BCT331"/>
    <mergeCell ref="AIS331:AJU331"/>
    <mergeCell ref="AJV331:AKX331"/>
    <mergeCell ref="AKY331:AMA331"/>
    <mergeCell ref="AMB331:AND331"/>
    <mergeCell ref="ANE331:AOG331"/>
    <mergeCell ref="AOH331:APJ331"/>
    <mergeCell ref="APK331:AQM331"/>
    <mergeCell ref="AQN331:ARP331"/>
    <mergeCell ref="ARQ331:ASS331"/>
    <mergeCell ref="YR331:ZT331"/>
    <mergeCell ref="ZU331:AAW331"/>
    <mergeCell ref="AAX331:ABZ331"/>
    <mergeCell ref="ACA331:ADC331"/>
    <mergeCell ref="ADD331:AEF331"/>
    <mergeCell ref="AEG331:AFI331"/>
    <mergeCell ref="AFJ331:AGL331"/>
    <mergeCell ref="AGM331:AHO331"/>
    <mergeCell ref="AHP331:AIR331"/>
    <mergeCell ref="OQ331:PS331"/>
    <mergeCell ref="PT331:QV331"/>
    <mergeCell ref="QW331:RY331"/>
    <mergeCell ref="RZ331:TB331"/>
    <mergeCell ref="TC331:UE331"/>
    <mergeCell ref="UF331:VH331"/>
    <mergeCell ref="VI331:WK331"/>
    <mergeCell ref="WL331:XN331"/>
    <mergeCell ref="XO331:YQ331"/>
    <mergeCell ref="EP331:FR331"/>
    <mergeCell ref="FS331:GU331"/>
    <mergeCell ref="GV331:HX331"/>
    <mergeCell ref="HY331:JA331"/>
    <mergeCell ref="JB331:KD331"/>
    <mergeCell ref="KE331:LG331"/>
    <mergeCell ref="LH331:MJ331"/>
    <mergeCell ref="MK331:NM331"/>
    <mergeCell ref="NN331:OP331"/>
    <mergeCell ref="A331:AC331"/>
    <mergeCell ref="AD331:BF331"/>
    <mergeCell ref="BG331:CI331"/>
    <mergeCell ref="CJ331:DL331"/>
    <mergeCell ref="DM331:EO331"/>
    <mergeCell ref="A326:A329"/>
    <mergeCell ref="B326:B329"/>
    <mergeCell ref="C326:C329"/>
    <mergeCell ref="D326:D329"/>
    <mergeCell ref="A322:A325"/>
    <mergeCell ref="B322:B325"/>
    <mergeCell ref="C322:C325"/>
    <mergeCell ref="D322:D325"/>
    <mergeCell ref="A318:A321"/>
    <mergeCell ref="B318:B321"/>
    <mergeCell ref="C318:C321"/>
    <mergeCell ref="D318:D321"/>
    <mergeCell ref="A314:A317"/>
    <mergeCell ref="B314:B317"/>
    <mergeCell ref="C314:C317"/>
    <mergeCell ref="D314:D317"/>
    <mergeCell ref="A310:A313"/>
    <mergeCell ref="B310:B313"/>
    <mergeCell ref="C310:C313"/>
    <mergeCell ref="D310:D313"/>
    <mergeCell ref="A306:A309"/>
    <mergeCell ref="B306:B309"/>
    <mergeCell ref="C306:C309"/>
    <mergeCell ref="D306:D309"/>
    <mergeCell ref="A297:AC297"/>
    <mergeCell ref="A302:A305"/>
    <mergeCell ref="B302:B305"/>
    <mergeCell ref="C302:C305"/>
    <mergeCell ref="D302:D305"/>
    <mergeCell ref="A298:A301"/>
    <mergeCell ref="B298:B301"/>
    <mergeCell ref="C298:C301"/>
    <mergeCell ref="D298:D301"/>
    <mergeCell ref="C265:C268"/>
    <mergeCell ref="A293:A296"/>
    <mergeCell ref="B293:B296"/>
    <mergeCell ref="C293:C296"/>
    <mergeCell ref="D293:D296"/>
    <mergeCell ref="A289:A292"/>
    <mergeCell ref="B289:B292"/>
    <mergeCell ref="C289:C292"/>
    <mergeCell ref="D289:D292"/>
    <mergeCell ref="A285:A288"/>
    <mergeCell ref="B285:B288"/>
    <mergeCell ref="C285:C288"/>
    <mergeCell ref="D285:D288"/>
    <mergeCell ref="D281:D284"/>
    <mergeCell ref="A277:A280"/>
    <mergeCell ref="B277:B280"/>
    <mergeCell ref="C277:C280"/>
    <mergeCell ref="D277:D280"/>
    <mergeCell ref="A273:A276"/>
    <mergeCell ref="B273:B276"/>
    <mergeCell ref="C273:C276"/>
    <mergeCell ref="D273:D276"/>
    <mergeCell ref="A249:A251"/>
    <mergeCell ref="B249:B251"/>
    <mergeCell ref="C249:C251"/>
    <mergeCell ref="D249:D251"/>
    <mergeCell ref="A242:AC242"/>
    <mergeCell ref="A243:A245"/>
    <mergeCell ref="B243:B245"/>
    <mergeCell ref="C243:C245"/>
    <mergeCell ref="D243:D245"/>
    <mergeCell ref="A246:A248"/>
    <mergeCell ref="B246:B248"/>
    <mergeCell ref="C246:C248"/>
    <mergeCell ref="D246:D248"/>
    <mergeCell ref="A179:A186"/>
    <mergeCell ref="B179:B186"/>
    <mergeCell ref="C179:C186"/>
    <mergeCell ref="D179:D186"/>
    <mergeCell ref="A171:A178"/>
    <mergeCell ref="B171:B178"/>
    <mergeCell ref="C171:C178"/>
    <mergeCell ref="D171:D178"/>
    <mergeCell ref="A163:A170"/>
    <mergeCell ref="B163:B170"/>
    <mergeCell ref="C163:C170"/>
    <mergeCell ref="D163:D170"/>
    <mergeCell ref="A203:A210"/>
    <mergeCell ref="B203:B210"/>
    <mergeCell ref="C203:C210"/>
    <mergeCell ref="D203:D210"/>
    <mergeCell ref="A195:A202"/>
    <mergeCell ref="B195:B202"/>
    <mergeCell ref="C195:C202"/>
    <mergeCell ref="D195:D202"/>
    <mergeCell ref="A187:A194"/>
    <mergeCell ref="B187:B194"/>
    <mergeCell ref="C187:C194"/>
    <mergeCell ref="D187:D194"/>
    <mergeCell ref="A236:A238"/>
    <mergeCell ref="B236:B238"/>
    <mergeCell ref="C236:C238"/>
    <mergeCell ref="D236:D238"/>
    <mergeCell ref="A221:A223"/>
    <mergeCell ref="B221:B223"/>
    <mergeCell ref="C221:C223"/>
    <mergeCell ref="D221:D223"/>
    <mergeCell ref="A224:A226"/>
    <mergeCell ref="B224:B226"/>
    <mergeCell ref="C224:C226"/>
    <mergeCell ref="D224:D226"/>
    <mergeCell ref="A227:A229"/>
    <mergeCell ref="B227:B229"/>
    <mergeCell ref="C227:C229"/>
    <mergeCell ref="D227:D229"/>
    <mergeCell ref="C233:C235"/>
    <mergeCell ref="D233:D235"/>
    <mergeCell ref="A230:A232"/>
    <mergeCell ref="B2:B3"/>
    <mergeCell ref="A1:AC1"/>
    <mergeCell ref="C2:C3"/>
    <mergeCell ref="F2:AC2"/>
    <mergeCell ref="E2:E3"/>
    <mergeCell ref="A2:A3"/>
    <mergeCell ref="D2:D3"/>
    <mergeCell ref="A12:A15"/>
    <mergeCell ref="B12:B15"/>
    <mergeCell ref="C12:C15"/>
    <mergeCell ref="D12:D15"/>
    <mergeCell ref="A8:A11"/>
    <mergeCell ref="B8:B11"/>
    <mergeCell ref="C8:C11"/>
    <mergeCell ref="D8:D11"/>
    <mergeCell ref="A4:A7"/>
    <mergeCell ref="B4:B7"/>
    <mergeCell ref="C4:C7"/>
    <mergeCell ref="D4:D7"/>
    <mergeCell ref="A239:A241"/>
    <mergeCell ref="B239:B241"/>
    <mergeCell ref="C239:C241"/>
    <mergeCell ref="D239:D241"/>
    <mergeCell ref="A233:A235"/>
    <mergeCell ref="B233:B235"/>
    <mergeCell ref="A89:AC89"/>
    <mergeCell ref="A211:AC211"/>
    <mergeCell ref="A44:AC44"/>
    <mergeCell ref="A215:A217"/>
    <mergeCell ref="B215:B217"/>
    <mergeCell ref="C215:C217"/>
    <mergeCell ref="D215:D217"/>
    <mergeCell ref="A218:A220"/>
    <mergeCell ref="B218:B220"/>
    <mergeCell ref="C218:C220"/>
    <mergeCell ref="D218:D220"/>
    <mergeCell ref="B230:B232"/>
    <mergeCell ref="C230:C232"/>
    <mergeCell ref="D230:D232"/>
    <mergeCell ref="A212:A214"/>
    <mergeCell ref="B212:B214"/>
    <mergeCell ref="C212:C214"/>
    <mergeCell ref="D212:D214"/>
    <mergeCell ref="A61:A64"/>
    <mergeCell ref="B61:B64"/>
    <mergeCell ref="C61:C64"/>
    <mergeCell ref="D61:D64"/>
    <mergeCell ref="A57:A60"/>
    <mergeCell ref="B57:B60"/>
    <mergeCell ref="C57:C60"/>
    <mergeCell ref="D57:D60"/>
    <mergeCell ref="A53:A56"/>
    <mergeCell ref="B53:B56"/>
    <mergeCell ref="C53:C56"/>
    <mergeCell ref="D53:D56"/>
    <mergeCell ref="A126:A129"/>
    <mergeCell ref="B126:B129"/>
    <mergeCell ref="C126:C129"/>
    <mergeCell ref="D126:D129"/>
    <mergeCell ref="A130:AC130"/>
    <mergeCell ref="A131:A138"/>
    <mergeCell ref="B131:B138"/>
    <mergeCell ref="C131:C138"/>
    <mergeCell ref="D131:D138"/>
    <mergeCell ref="A139:A146"/>
    <mergeCell ref="B139:B146"/>
    <mergeCell ref="C139:C146"/>
    <mergeCell ref="D139:D146"/>
    <mergeCell ref="A147:A154"/>
    <mergeCell ref="B147:B154"/>
    <mergeCell ref="C147:C154"/>
    <mergeCell ref="D147:D154"/>
    <mergeCell ref="A155:A162"/>
    <mergeCell ref="B155:B162"/>
    <mergeCell ref="C155:C162"/>
    <mergeCell ref="D155:D162"/>
    <mergeCell ref="A122:A125"/>
    <mergeCell ref="B122:B125"/>
    <mergeCell ref="C122:C125"/>
    <mergeCell ref="D122:D125"/>
    <mergeCell ref="A118:A121"/>
    <mergeCell ref="B118:B121"/>
    <mergeCell ref="C118:C121"/>
    <mergeCell ref="D118:D121"/>
    <mergeCell ref="A114:A117"/>
    <mergeCell ref="B114:B117"/>
    <mergeCell ref="C114:C117"/>
    <mergeCell ref="D114:D117"/>
    <mergeCell ref="A110:A113"/>
    <mergeCell ref="B110:B113"/>
    <mergeCell ref="C110:C113"/>
    <mergeCell ref="D110:D113"/>
    <mergeCell ref="A106:A109"/>
    <mergeCell ref="B106:B109"/>
    <mergeCell ref="C106:C109"/>
    <mergeCell ref="D106:D109"/>
    <mergeCell ref="A102:A105"/>
    <mergeCell ref="B102:B105"/>
    <mergeCell ref="C102:C105"/>
    <mergeCell ref="D102:D105"/>
    <mergeCell ref="A98:A101"/>
    <mergeCell ref="B98:B101"/>
    <mergeCell ref="C98:C101"/>
    <mergeCell ref="D98:D101"/>
    <mergeCell ref="A94:A97"/>
    <mergeCell ref="B94:B97"/>
    <mergeCell ref="C94:C97"/>
    <mergeCell ref="D94:D97"/>
    <mergeCell ref="A90:A93"/>
    <mergeCell ref="B90:B93"/>
    <mergeCell ref="C90:C93"/>
    <mergeCell ref="D90:D93"/>
    <mergeCell ref="A85:A88"/>
    <mergeCell ref="B85:B88"/>
    <mergeCell ref="C85:C88"/>
    <mergeCell ref="D85:D88"/>
    <mergeCell ref="A81:A84"/>
    <mergeCell ref="B81:B84"/>
    <mergeCell ref="C81:C84"/>
    <mergeCell ref="D81:D84"/>
    <mergeCell ref="A77:A80"/>
    <mergeCell ref="B77:B80"/>
    <mergeCell ref="C77:C80"/>
    <mergeCell ref="D77:D80"/>
    <mergeCell ref="D73:D76"/>
    <mergeCell ref="A69:A72"/>
    <mergeCell ref="B69:B72"/>
    <mergeCell ref="C69:C72"/>
    <mergeCell ref="D69:D72"/>
    <mergeCell ref="A65:A68"/>
    <mergeCell ref="B65:B68"/>
    <mergeCell ref="C65:C68"/>
    <mergeCell ref="D65:D68"/>
    <mergeCell ref="A73:A76"/>
    <mergeCell ref="B73:B76"/>
    <mergeCell ref="C73:C76"/>
    <mergeCell ref="A16:A19"/>
    <mergeCell ref="B16:B19"/>
    <mergeCell ref="C16:C19"/>
    <mergeCell ref="D16:D19"/>
    <mergeCell ref="A36:A39"/>
    <mergeCell ref="B36:B39"/>
    <mergeCell ref="C36:C39"/>
    <mergeCell ref="D36:D39"/>
    <mergeCell ref="A32:A35"/>
    <mergeCell ref="B32:B35"/>
    <mergeCell ref="C32:C35"/>
    <mergeCell ref="D32:D35"/>
    <mergeCell ref="A28:A31"/>
    <mergeCell ref="B28:B31"/>
    <mergeCell ref="C28:C31"/>
    <mergeCell ref="D28:D31"/>
    <mergeCell ref="A24:A27"/>
    <mergeCell ref="B24:B27"/>
    <mergeCell ref="C24:C27"/>
    <mergeCell ref="D24:D27"/>
    <mergeCell ref="A20:A23"/>
    <mergeCell ref="B20:B23"/>
    <mergeCell ref="C20:C23"/>
    <mergeCell ref="D20:D23"/>
    <mergeCell ref="B49:B52"/>
    <mergeCell ref="C49:C52"/>
    <mergeCell ref="D49:D52"/>
    <mergeCell ref="A45:A48"/>
    <mergeCell ref="B45:B48"/>
    <mergeCell ref="C45:C48"/>
    <mergeCell ref="D45:D48"/>
    <mergeCell ref="A40:A43"/>
    <mergeCell ref="B40:B43"/>
    <mergeCell ref="C40:C43"/>
    <mergeCell ref="D40:D43"/>
    <mergeCell ref="A49:A52"/>
    <mergeCell ref="I333:J333"/>
    <mergeCell ref="B252:B255"/>
    <mergeCell ref="C252:C255"/>
    <mergeCell ref="D252:D255"/>
    <mergeCell ref="A252:A255"/>
    <mergeCell ref="A256:A259"/>
    <mergeCell ref="B256:B259"/>
    <mergeCell ref="C256:C259"/>
    <mergeCell ref="D256:D259"/>
    <mergeCell ref="A260:A263"/>
    <mergeCell ref="B260:B263"/>
    <mergeCell ref="C260:C263"/>
    <mergeCell ref="D260:D263"/>
    <mergeCell ref="A264:AC264"/>
    <mergeCell ref="A269:A272"/>
    <mergeCell ref="B269:B272"/>
    <mergeCell ref="C269:C272"/>
    <mergeCell ref="D269:D272"/>
    <mergeCell ref="A265:A268"/>
    <mergeCell ref="B265:B268"/>
    <mergeCell ref="D265:D268"/>
    <mergeCell ref="A281:A284"/>
    <mergeCell ref="B281:B284"/>
    <mergeCell ref="C281:C284"/>
  </mergeCell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D48C-EFB6-440B-BE4F-FD4465FADBA0}">
  <sheetPr codeName="Sheet20"/>
  <dimension ref="A1:X268"/>
  <sheetViews>
    <sheetView zoomScaleNormal="100" workbookViewId="0">
      <selection sqref="A1:L1"/>
    </sheetView>
  </sheetViews>
  <sheetFormatPr defaultColWidth="8.6640625" defaultRowHeight="13.2" x14ac:dyDescent="0.25"/>
  <cols>
    <col min="1" max="1" width="17.33203125" style="4" bestFit="1" customWidth="1"/>
    <col min="2" max="2" width="15.44140625" style="4" customWidth="1"/>
    <col min="3" max="3" width="19.33203125" style="4" customWidth="1"/>
    <col min="4" max="5" width="18.33203125" style="4" customWidth="1"/>
    <col min="6" max="8" width="13.6640625" style="4" customWidth="1"/>
    <col min="9" max="9" width="10.6640625" style="4" customWidth="1"/>
    <col min="10" max="10" width="13" style="4" customWidth="1"/>
    <col min="11" max="11" width="11.109375" style="4" customWidth="1"/>
    <col min="12" max="12" width="13.6640625" style="4" customWidth="1"/>
    <col min="13" max="13" width="8.6640625" style="4"/>
    <col min="14" max="14" width="17.33203125" style="4" bestFit="1" customWidth="1"/>
    <col min="15" max="15" width="10.5546875" style="4" customWidth="1"/>
    <col min="16" max="16" width="11" style="4" customWidth="1"/>
    <col min="17" max="17" width="17.88671875" style="4" customWidth="1"/>
    <col min="18" max="19" width="10.5546875" style="4" bestFit="1" customWidth="1"/>
    <col min="20" max="21" width="11.44140625" style="4" bestFit="1" customWidth="1"/>
    <col min="22" max="22" width="14.88671875" style="4" bestFit="1" customWidth="1"/>
    <col min="23" max="16384" width="8.6640625" style="4"/>
  </cols>
  <sheetData>
    <row r="1" spans="1:24" ht="33" customHeight="1" x14ac:dyDescent="0.3">
      <c r="A1" s="904" t="str">
        <f>"CalBEM Energy Consumption - "&amp;Prototype!B4</f>
        <v>CalBEM Energy Consumption - High School</v>
      </c>
      <c r="B1" s="905"/>
      <c r="C1" s="905"/>
      <c r="D1" s="905"/>
      <c r="E1" s="905"/>
      <c r="F1" s="905"/>
      <c r="G1" s="905"/>
      <c r="H1" s="905"/>
      <c r="I1" s="905"/>
      <c r="J1" s="905"/>
      <c r="K1" s="905"/>
      <c r="L1" s="905"/>
      <c r="M1"/>
      <c r="N1" s="906" t="str">
        <f>"Energy Consumption - "&amp;Prototype!A2</f>
        <v>Energy Consumption - SchoolHigh</v>
      </c>
      <c r="O1" s="638"/>
      <c r="P1" s="638"/>
      <c r="Q1" s="638"/>
      <c r="R1" s="638"/>
      <c r="S1" s="638"/>
      <c r="T1" s="638"/>
      <c r="U1" s="638"/>
      <c r="V1" s="638"/>
      <c r="W1"/>
      <c r="X1"/>
    </row>
    <row r="2" spans="1:24" ht="62.25" customHeight="1" x14ac:dyDescent="0.3">
      <c r="A2" s="614" t="s">
        <v>5</v>
      </c>
      <c r="B2" s="614" t="s">
        <v>814</v>
      </c>
      <c r="C2" s="614" t="s">
        <v>815</v>
      </c>
      <c r="D2" s="614" t="s">
        <v>816</v>
      </c>
      <c r="E2" s="614" t="s">
        <v>817</v>
      </c>
      <c r="F2" s="614" t="s">
        <v>818</v>
      </c>
      <c r="G2" s="614" t="s">
        <v>819</v>
      </c>
      <c r="H2" s="614" t="s">
        <v>820</v>
      </c>
      <c r="I2" s="176" t="s">
        <v>821</v>
      </c>
      <c r="J2" s="176" t="s">
        <v>822</v>
      </c>
      <c r="K2" s="176" t="s">
        <v>823</v>
      </c>
      <c r="L2" s="176" t="s">
        <v>824</v>
      </c>
      <c r="N2" s="175" t="s">
        <v>5</v>
      </c>
      <c r="O2" s="614" t="s">
        <v>814</v>
      </c>
      <c r="P2" s="614" t="s">
        <v>825</v>
      </c>
      <c r="Q2" s="614" t="s">
        <v>826</v>
      </c>
      <c r="R2" s="614" t="s">
        <v>827</v>
      </c>
      <c r="S2" s="177" t="s">
        <v>828</v>
      </c>
      <c r="T2" s="177" t="s">
        <v>829</v>
      </c>
      <c r="U2" s="177" t="s">
        <v>830</v>
      </c>
      <c r="V2" s="177" t="s">
        <v>831</v>
      </c>
      <c r="W2"/>
      <c r="X2"/>
    </row>
    <row r="3" spans="1:24" ht="19.2" customHeight="1" x14ac:dyDescent="0.3">
      <c r="A3" s="903" t="str">
        <f>Prototype!B4</f>
        <v>High School</v>
      </c>
      <c r="B3" s="617">
        <v>1</v>
      </c>
      <c r="C3" s="173"/>
      <c r="D3" s="173"/>
      <c r="E3" s="173"/>
      <c r="F3" s="617"/>
      <c r="G3" s="617"/>
      <c r="H3" s="617"/>
      <c r="I3" s="617">
        <v>38.700000000000003</v>
      </c>
      <c r="J3" s="173">
        <f>I3*1.25</f>
        <v>48.375</v>
      </c>
      <c r="K3" s="173">
        <f>I3*0.75</f>
        <v>29.025000000000002</v>
      </c>
      <c r="L3" s="173">
        <f>J3-K3</f>
        <v>19.349999999999998</v>
      </c>
      <c r="N3" s="637" t="str">
        <f>Prototype!B4</f>
        <v>High School</v>
      </c>
      <c r="O3" s="178">
        <v>1</v>
      </c>
      <c r="P3" s="112">
        <v>7618.5336979987769</v>
      </c>
      <c r="Q3" s="179">
        <v>32.349175832782279</v>
      </c>
      <c r="R3" s="179">
        <v>12.848136512515758</v>
      </c>
      <c r="S3" s="180">
        <v>55.364803618873651</v>
      </c>
      <c r="T3" s="181">
        <f>S3*1.25</f>
        <v>69.206004523592071</v>
      </c>
      <c r="U3" s="181">
        <f>S3*0.75</f>
        <v>41.523602714155238</v>
      </c>
      <c r="V3" s="182">
        <f>T3-U3</f>
        <v>27.682401809436833</v>
      </c>
      <c r="W3"/>
      <c r="X3"/>
    </row>
    <row r="4" spans="1:24" ht="19.2" customHeight="1" x14ac:dyDescent="0.3">
      <c r="A4" s="903"/>
      <c r="B4" s="617">
        <v>2</v>
      </c>
      <c r="C4" s="173"/>
      <c r="D4" s="173"/>
      <c r="E4" s="173"/>
      <c r="F4" s="617"/>
      <c r="G4" s="617"/>
      <c r="H4" s="617"/>
      <c r="I4" s="617">
        <v>34.299999999999997</v>
      </c>
      <c r="J4" s="173">
        <f t="shared" ref="J4:J18" si="0">I4*1.25</f>
        <v>42.875</v>
      </c>
      <c r="K4" s="173">
        <f t="shared" ref="K4:K18" si="1">I4*0.75</f>
        <v>25.724999999999998</v>
      </c>
      <c r="L4" s="173">
        <f t="shared" ref="L4:L18" si="2">J4-K4</f>
        <v>17.150000000000002</v>
      </c>
      <c r="N4" s="637"/>
      <c r="O4" s="178">
        <v>2</v>
      </c>
      <c r="P4" s="112">
        <v>11477.670560957027</v>
      </c>
      <c r="Q4" s="179">
        <v>15.421598301121483</v>
      </c>
      <c r="R4" s="179">
        <v>12.913999186871132</v>
      </c>
      <c r="S4" s="180">
        <v>47.89328303362015</v>
      </c>
      <c r="T4" s="181">
        <f t="shared" ref="T4:T18" si="3">S4*1.25</f>
        <v>59.866603792025188</v>
      </c>
      <c r="U4" s="181">
        <f t="shared" ref="U4:U18" si="4">S4*0.75</f>
        <v>35.919962275215113</v>
      </c>
      <c r="V4" s="182">
        <f t="shared" ref="V4:V18" si="5">T4-U4</f>
        <v>23.946641516810075</v>
      </c>
      <c r="W4"/>
      <c r="X4"/>
    </row>
    <row r="5" spans="1:24" ht="19.2" customHeight="1" x14ac:dyDescent="0.3">
      <c r="A5" s="903"/>
      <c r="B5" s="617">
        <v>3</v>
      </c>
      <c r="C5" s="173"/>
      <c r="D5" s="173"/>
      <c r="E5" s="173"/>
      <c r="F5" s="617"/>
      <c r="G5" s="617"/>
      <c r="H5" s="617"/>
      <c r="I5" s="617">
        <v>30.8</v>
      </c>
      <c r="J5" s="173">
        <f t="shared" si="0"/>
        <v>38.5</v>
      </c>
      <c r="K5" s="173">
        <f t="shared" si="1"/>
        <v>23.1</v>
      </c>
      <c r="L5" s="173">
        <f t="shared" si="2"/>
        <v>15.399999999999999</v>
      </c>
      <c r="N5" s="637"/>
      <c r="O5" s="178">
        <v>3</v>
      </c>
      <c r="P5" s="112">
        <v>46411.860464613921</v>
      </c>
      <c r="Q5" s="179">
        <v>20.479594859366287</v>
      </c>
      <c r="R5" s="179">
        <v>12.79924807855271</v>
      </c>
      <c r="S5" s="180">
        <v>100.09497401574612</v>
      </c>
      <c r="T5" s="181">
        <f t="shared" si="3"/>
        <v>125.11871751968265</v>
      </c>
      <c r="U5" s="181">
        <f t="shared" si="4"/>
        <v>75.071230511809588</v>
      </c>
      <c r="V5" s="182">
        <f t="shared" si="5"/>
        <v>50.047487007873059</v>
      </c>
      <c r="W5"/>
      <c r="X5"/>
    </row>
    <row r="6" spans="1:24" ht="19.2" customHeight="1" x14ac:dyDescent="0.3">
      <c r="A6" s="903"/>
      <c r="B6" s="617">
        <v>4</v>
      </c>
      <c r="C6" s="173"/>
      <c r="D6" s="173"/>
      <c r="E6" s="173"/>
      <c r="F6" s="617"/>
      <c r="G6" s="617"/>
      <c r="H6" s="617"/>
      <c r="I6" s="617">
        <v>39.5</v>
      </c>
      <c r="J6" s="173">
        <f t="shared" si="0"/>
        <v>49.375</v>
      </c>
      <c r="K6" s="173">
        <f t="shared" si="1"/>
        <v>29.625</v>
      </c>
      <c r="L6" s="173">
        <f t="shared" si="2"/>
        <v>19.75</v>
      </c>
      <c r="N6" s="637"/>
      <c r="O6" s="178">
        <v>4</v>
      </c>
      <c r="P6" s="112">
        <v>23032.968012628033</v>
      </c>
      <c r="Q6" s="179">
        <v>21.493730276699399</v>
      </c>
      <c r="R6" s="179">
        <v>13.019766805689686</v>
      </c>
      <c r="S6" s="180">
        <v>106.62132635774194</v>
      </c>
      <c r="T6" s="181">
        <f t="shared" si="3"/>
        <v>133.27665794717743</v>
      </c>
      <c r="U6" s="181">
        <f t="shared" si="4"/>
        <v>79.965994768306444</v>
      </c>
      <c r="V6" s="182">
        <f t="shared" si="5"/>
        <v>53.310663178870982</v>
      </c>
      <c r="W6"/>
      <c r="X6"/>
    </row>
    <row r="7" spans="1:24" ht="19.2" customHeight="1" x14ac:dyDescent="0.3">
      <c r="A7" s="903"/>
      <c r="B7" s="617">
        <v>5</v>
      </c>
      <c r="C7" s="173"/>
      <c r="D7" s="173"/>
      <c r="E7" s="173"/>
      <c r="F7" s="617"/>
      <c r="G7" s="617"/>
      <c r="H7" s="617"/>
      <c r="I7" s="617">
        <v>29.7</v>
      </c>
      <c r="J7" s="173">
        <f t="shared" si="0"/>
        <v>37.125</v>
      </c>
      <c r="K7" s="173">
        <f t="shared" si="1"/>
        <v>22.274999999999999</v>
      </c>
      <c r="L7" s="173">
        <f t="shared" si="2"/>
        <v>14.850000000000001</v>
      </c>
      <c r="N7" s="637"/>
      <c r="O7" s="178">
        <v>5</v>
      </c>
      <c r="P7" s="112">
        <v>5978.4428422392912</v>
      </c>
      <c r="Q7" s="179">
        <v>11.998072326077015</v>
      </c>
      <c r="R7" s="179">
        <v>11.585185132606563</v>
      </c>
      <c r="S7" s="180">
        <v>59.149270516191649</v>
      </c>
      <c r="T7" s="181">
        <f t="shared" si="3"/>
        <v>73.936588145239568</v>
      </c>
      <c r="U7" s="181">
        <f t="shared" si="4"/>
        <v>44.361952887143737</v>
      </c>
      <c r="V7" s="182">
        <f t="shared" si="5"/>
        <v>29.574635258095832</v>
      </c>
      <c r="W7"/>
      <c r="X7"/>
    </row>
    <row r="8" spans="1:24" ht="19.2" customHeight="1" x14ac:dyDescent="0.3">
      <c r="A8" s="903"/>
      <c r="B8" s="617">
        <v>6</v>
      </c>
      <c r="C8" s="173"/>
      <c r="D8" s="173"/>
      <c r="E8" s="173"/>
      <c r="F8" s="617"/>
      <c r="G8" s="617"/>
      <c r="H8" s="617"/>
      <c r="I8" s="617">
        <v>31.8</v>
      </c>
      <c r="J8" s="173">
        <f t="shared" si="0"/>
        <v>39.75</v>
      </c>
      <c r="K8" s="173">
        <f t="shared" si="1"/>
        <v>23.85</v>
      </c>
      <c r="L8" s="173">
        <f t="shared" si="2"/>
        <v>15.899999999999999</v>
      </c>
      <c r="N8" s="637"/>
      <c r="O8" s="178">
        <v>6</v>
      </c>
      <c r="P8" s="112">
        <v>57755.958884938154</v>
      </c>
      <c r="Q8" s="179">
        <v>22.607348922099643</v>
      </c>
      <c r="R8" s="179">
        <v>9.9467421462334809</v>
      </c>
      <c r="S8" s="180">
        <v>82.347487870533669</v>
      </c>
      <c r="T8" s="181">
        <f t="shared" si="3"/>
        <v>102.93435983816708</v>
      </c>
      <c r="U8" s="181">
        <f t="shared" si="4"/>
        <v>61.760615902900255</v>
      </c>
      <c r="V8" s="182">
        <f t="shared" si="5"/>
        <v>41.173743935266828</v>
      </c>
      <c r="W8"/>
      <c r="X8"/>
    </row>
    <row r="9" spans="1:24" ht="19.2" customHeight="1" x14ac:dyDescent="0.3">
      <c r="A9" s="903"/>
      <c r="B9" s="617">
        <v>7</v>
      </c>
      <c r="C9" s="173"/>
      <c r="D9" s="173"/>
      <c r="E9" s="173"/>
      <c r="F9" s="617"/>
      <c r="G9" s="617"/>
      <c r="H9" s="617"/>
      <c r="I9" s="617">
        <v>32.799999999999997</v>
      </c>
      <c r="J9" s="173">
        <f t="shared" si="0"/>
        <v>41</v>
      </c>
      <c r="K9" s="173">
        <f t="shared" si="1"/>
        <v>24.599999999999998</v>
      </c>
      <c r="L9" s="173">
        <f t="shared" si="2"/>
        <v>16.400000000000002</v>
      </c>
      <c r="N9" s="637"/>
      <c r="O9" s="178">
        <v>7</v>
      </c>
      <c r="P9" s="112">
        <v>35149.992570854702</v>
      </c>
      <c r="Q9" s="179">
        <v>24.848388187104383</v>
      </c>
      <c r="R9" s="179">
        <v>6.9700357314851695</v>
      </c>
      <c r="S9" s="180">
        <v>88.553475966326303</v>
      </c>
      <c r="T9" s="181">
        <f t="shared" si="3"/>
        <v>110.69184495790788</v>
      </c>
      <c r="U9" s="181">
        <f t="shared" si="4"/>
        <v>66.415106974744731</v>
      </c>
      <c r="V9" s="182">
        <f t="shared" si="5"/>
        <v>44.276737983163144</v>
      </c>
      <c r="W9"/>
      <c r="X9"/>
    </row>
    <row r="10" spans="1:24" ht="19.2" customHeight="1" x14ac:dyDescent="0.3">
      <c r="A10" s="903"/>
      <c r="B10" s="617">
        <v>8</v>
      </c>
      <c r="C10" s="173"/>
      <c r="D10" s="173"/>
      <c r="E10" s="173"/>
      <c r="F10" s="617"/>
      <c r="G10" s="617"/>
      <c r="H10" s="617"/>
      <c r="I10" s="617">
        <v>38.6</v>
      </c>
      <c r="J10" s="173">
        <f t="shared" si="0"/>
        <v>48.25</v>
      </c>
      <c r="K10" s="173">
        <f t="shared" si="1"/>
        <v>28.950000000000003</v>
      </c>
      <c r="L10" s="173">
        <f t="shared" si="2"/>
        <v>19.299999999999997</v>
      </c>
      <c r="N10" s="637"/>
      <c r="O10" s="178">
        <v>8</v>
      </c>
      <c r="P10" s="112">
        <v>92353.411344595792</v>
      </c>
      <c r="Q10" s="179">
        <v>22.935329040550439</v>
      </c>
      <c r="R10" s="179">
        <v>8.842202966161631</v>
      </c>
      <c r="S10" s="180">
        <v>103.44180549732351</v>
      </c>
      <c r="T10" s="181">
        <f t="shared" si="3"/>
        <v>129.30225687165438</v>
      </c>
      <c r="U10" s="181">
        <f t="shared" si="4"/>
        <v>77.581354122992636</v>
      </c>
      <c r="V10" s="182">
        <f t="shared" si="5"/>
        <v>51.720902748661743</v>
      </c>
      <c r="W10"/>
      <c r="X10"/>
    </row>
    <row r="11" spans="1:24" ht="19.2" customHeight="1" x14ac:dyDescent="0.3">
      <c r="A11" s="903"/>
      <c r="B11" s="617">
        <v>9</v>
      </c>
      <c r="C11" s="173"/>
      <c r="D11" s="173"/>
      <c r="E11" s="173"/>
      <c r="F11" s="617"/>
      <c r="G11" s="617"/>
      <c r="H11" s="617"/>
      <c r="I11" s="617">
        <v>38.5</v>
      </c>
      <c r="J11" s="173">
        <f t="shared" si="0"/>
        <v>48.125</v>
      </c>
      <c r="K11" s="173">
        <f t="shared" si="1"/>
        <v>28.875</v>
      </c>
      <c r="L11" s="173">
        <f t="shared" si="2"/>
        <v>19.25</v>
      </c>
      <c r="N11" s="637"/>
      <c r="O11" s="178">
        <v>9</v>
      </c>
      <c r="P11" s="112">
        <v>141795.4505918849</v>
      </c>
      <c r="Q11" s="179">
        <v>26.79734320498693</v>
      </c>
      <c r="R11" s="179">
        <v>10.089066914098808</v>
      </c>
      <c r="S11" s="180">
        <v>119.15131578438451</v>
      </c>
      <c r="T11" s="181">
        <f t="shared" si="3"/>
        <v>148.93914473048062</v>
      </c>
      <c r="U11" s="181">
        <f t="shared" si="4"/>
        <v>89.363486838288381</v>
      </c>
      <c r="V11" s="182">
        <f t="shared" si="5"/>
        <v>59.57565789219224</v>
      </c>
      <c r="W11"/>
      <c r="X11"/>
    </row>
    <row r="12" spans="1:24" ht="19.2" customHeight="1" x14ac:dyDescent="0.3">
      <c r="A12" s="903"/>
      <c r="B12" s="617">
        <v>10</v>
      </c>
      <c r="C12" s="173"/>
      <c r="D12" s="173"/>
      <c r="E12" s="173"/>
      <c r="F12" s="617"/>
      <c r="G12" s="617"/>
      <c r="H12" s="617"/>
      <c r="I12" s="617">
        <v>42.2</v>
      </c>
      <c r="J12" s="173">
        <f t="shared" si="0"/>
        <v>52.75</v>
      </c>
      <c r="K12" s="173">
        <f t="shared" si="1"/>
        <v>31.650000000000002</v>
      </c>
      <c r="L12" s="173">
        <f t="shared" si="2"/>
        <v>21.099999999999998</v>
      </c>
      <c r="N12" s="637"/>
      <c r="O12" s="178">
        <v>10</v>
      </c>
      <c r="P12" s="112">
        <v>92589.866923099296</v>
      </c>
      <c r="Q12" s="179">
        <v>22.490400741547862</v>
      </c>
      <c r="R12" s="179">
        <v>10.108975274600024</v>
      </c>
      <c r="S12" s="180">
        <v>67.419104208774073</v>
      </c>
      <c r="T12" s="181">
        <f t="shared" si="3"/>
        <v>84.273880260967587</v>
      </c>
      <c r="U12" s="181">
        <f t="shared" si="4"/>
        <v>50.564328156580558</v>
      </c>
      <c r="V12" s="182">
        <f t="shared" si="5"/>
        <v>33.709552104387029</v>
      </c>
      <c r="W12"/>
      <c r="X12"/>
    </row>
    <row r="13" spans="1:24" ht="19.2" customHeight="1" x14ac:dyDescent="0.3">
      <c r="A13" s="903"/>
      <c r="B13" s="617">
        <v>11</v>
      </c>
      <c r="C13" s="173"/>
      <c r="D13" s="173"/>
      <c r="E13" s="173"/>
      <c r="F13" s="617"/>
      <c r="G13" s="617"/>
      <c r="H13" s="617"/>
      <c r="I13" s="617">
        <v>47.7</v>
      </c>
      <c r="J13" s="173">
        <f t="shared" si="0"/>
        <v>59.625</v>
      </c>
      <c r="K13" s="173">
        <f t="shared" si="1"/>
        <v>35.775000000000006</v>
      </c>
      <c r="L13" s="173">
        <f t="shared" si="2"/>
        <v>23.849999999999994</v>
      </c>
      <c r="N13" s="637"/>
      <c r="O13" s="178">
        <v>11</v>
      </c>
      <c r="P13" s="112">
        <v>33810.488428667806</v>
      </c>
      <c r="Q13" s="179">
        <v>26.928661316570114</v>
      </c>
      <c r="R13" s="179">
        <v>8.7604369989222359</v>
      </c>
      <c r="S13" s="180">
        <v>68.839252987034271</v>
      </c>
      <c r="T13" s="181">
        <f t="shared" si="3"/>
        <v>86.049066233792843</v>
      </c>
      <c r="U13" s="181">
        <f t="shared" si="4"/>
        <v>51.6294397402757</v>
      </c>
      <c r="V13" s="182">
        <f t="shared" si="5"/>
        <v>34.419626493517143</v>
      </c>
      <c r="W13"/>
      <c r="X13"/>
    </row>
    <row r="14" spans="1:24" ht="19.2" customHeight="1" x14ac:dyDescent="0.3">
      <c r="A14" s="903"/>
      <c r="B14" s="617">
        <v>12</v>
      </c>
      <c r="C14" s="173"/>
      <c r="D14" s="173"/>
      <c r="E14" s="173"/>
      <c r="F14" s="617"/>
      <c r="G14" s="617"/>
      <c r="H14" s="617"/>
      <c r="I14" s="617">
        <v>41.6</v>
      </c>
      <c r="J14" s="173">
        <f t="shared" si="0"/>
        <v>52</v>
      </c>
      <c r="K14" s="173">
        <f t="shared" si="1"/>
        <v>31.200000000000003</v>
      </c>
      <c r="L14" s="173">
        <f t="shared" si="2"/>
        <v>20.799999999999997</v>
      </c>
      <c r="N14" s="637"/>
      <c r="O14" s="178">
        <v>12</v>
      </c>
      <c r="P14" s="112">
        <v>108342.43412674296</v>
      </c>
      <c r="Q14" s="179">
        <v>31.799593721150607</v>
      </c>
      <c r="R14" s="179">
        <v>12.230299256797961</v>
      </c>
      <c r="S14" s="180">
        <v>85.58737128246608</v>
      </c>
      <c r="T14" s="181">
        <f t="shared" si="3"/>
        <v>106.98421410308259</v>
      </c>
      <c r="U14" s="181">
        <f t="shared" si="4"/>
        <v>64.190528461849567</v>
      </c>
      <c r="V14" s="182">
        <f t="shared" si="5"/>
        <v>42.793685641233026</v>
      </c>
      <c r="W14"/>
      <c r="X14"/>
    </row>
    <row r="15" spans="1:24" ht="19.2" customHeight="1" x14ac:dyDescent="0.3">
      <c r="A15" s="903"/>
      <c r="B15" s="617">
        <v>13</v>
      </c>
      <c r="C15" s="173"/>
      <c r="D15" s="173"/>
      <c r="E15" s="173"/>
      <c r="F15" s="617"/>
      <c r="G15" s="617"/>
      <c r="H15" s="617"/>
      <c r="I15" s="617">
        <v>49.6</v>
      </c>
      <c r="J15" s="173">
        <f t="shared" si="0"/>
        <v>62</v>
      </c>
      <c r="K15" s="173">
        <f t="shared" si="1"/>
        <v>37.200000000000003</v>
      </c>
      <c r="L15" s="173">
        <f t="shared" si="2"/>
        <v>24.799999999999997</v>
      </c>
      <c r="N15" s="637"/>
      <c r="O15" s="178">
        <v>13</v>
      </c>
      <c r="P15" s="112">
        <v>46676.807804914482</v>
      </c>
      <c r="Q15" s="179">
        <v>32.656044140076112</v>
      </c>
      <c r="R15" s="179">
        <v>15.473533802907214</v>
      </c>
      <c r="S15" s="180">
        <v>57.735690126779041</v>
      </c>
      <c r="T15" s="181">
        <f t="shared" si="3"/>
        <v>72.169612658473795</v>
      </c>
      <c r="U15" s="181">
        <f t="shared" si="4"/>
        <v>43.301767595084279</v>
      </c>
      <c r="V15" s="182">
        <f t="shared" si="5"/>
        <v>28.867845063389517</v>
      </c>
      <c r="W15"/>
      <c r="X15"/>
    </row>
    <row r="16" spans="1:24" ht="19.2" customHeight="1" x14ac:dyDescent="0.3">
      <c r="A16" s="903"/>
      <c r="B16" s="617">
        <v>14</v>
      </c>
      <c r="C16" s="173"/>
      <c r="D16" s="173"/>
      <c r="E16" s="173"/>
      <c r="F16" s="617"/>
      <c r="G16" s="617"/>
      <c r="H16" s="617"/>
      <c r="I16" s="617">
        <v>48.8</v>
      </c>
      <c r="J16" s="173">
        <f t="shared" si="0"/>
        <v>61</v>
      </c>
      <c r="K16" s="173">
        <f t="shared" si="1"/>
        <v>36.599999999999994</v>
      </c>
      <c r="L16" s="173">
        <f t="shared" si="2"/>
        <v>24.400000000000006</v>
      </c>
      <c r="N16" s="637"/>
      <c r="O16" s="178">
        <v>14</v>
      </c>
      <c r="P16" s="112">
        <v>22787.738910986311</v>
      </c>
      <c r="Q16" s="179">
        <v>21.807169831743543</v>
      </c>
      <c r="R16" s="179">
        <v>11.433166078385915</v>
      </c>
      <c r="S16" s="180">
        <v>68.502534470485045</v>
      </c>
      <c r="T16" s="181">
        <f t="shared" si="3"/>
        <v>85.628168088106307</v>
      </c>
      <c r="U16" s="181">
        <f t="shared" si="4"/>
        <v>51.376900852863784</v>
      </c>
      <c r="V16" s="182">
        <f t="shared" si="5"/>
        <v>34.251267235242523</v>
      </c>
      <c r="W16"/>
      <c r="X16"/>
    </row>
    <row r="17" spans="1:24" ht="19.2" customHeight="1" x14ac:dyDescent="0.3">
      <c r="A17" s="903"/>
      <c r="B17" s="617">
        <v>15</v>
      </c>
      <c r="C17" s="173"/>
      <c r="D17" s="173"/>
      <c r="E17" s="173"/>
      <c r="F17" s="617"/>
      <c r="G17" s="617"/>
      <c r="H17" s="617"/>
      <c r="I17" s="617">
        <v>65.8</v>
      </c>
      <c r="J17" s="173">
        <f t="shared" si="0"/>
        <v>82.25</v>
      </c>
      <c r="K17" s="173">
        <f t="shared" si="1"/>
        <v>49.349999999999994</v>
      </c>
      <c r="L17" s="173">
        <f t="shared" si="2"/>
        <v>32.900000000000006</v>
      </c>
      <c r="N17" s="637"/>
      <c r="O17" s="178">
        <v>15</v>
      </c>
      <c r="P17" s="112">
        <v>54746.00286987007</v>
      </c>
      <c r="Q17" s="179">
        <v>21.954275213561427</v>
      </c>
      <c r="R17" s="179">
        <v>10.439126469769764</v>
      </c>
      <c r="S17" s="180">
        <v>47.715256155256746</v>
      </c>
      <c r="T17" s="181">
        <f t="shared" si="3"/>
        <v>59.644070194070935</v>
      </c>
      <c r="U17" s="181">
        <f t="shared" si="4"/>
        <v>35.786442116442558</v>
      </c>
      <c r="V17" s="182">
        <f t="shared" si="5"/>
        <v>23.857628077628377</v>
      </c>
      <c r="W17"/>
      <c r="X17"/>
    </row>
    <row r="18" spans="1:24" ht="19.2" customHeight="1" x14ac:dyDescent="0.3">
      <c r="A18" s="903"/>
      <c r="B18" s="617">
        <v>16</v>
      </c>
      <c r="C18" s="173"/>
      <c r="D18" s="173"/>
      <c r="E18" s="173"/>
      <c r="F18" s="617"/>
      <c r="G18" s="617"/>
      <c r="H18" s="617"/>
      <c r="I18" s="617">
        <v>44</v>
      </c>
      <c r="J18" s="173">
        <f t="shared" si="0"/>
        <v>55</v>
      </c>
      <c r="K18" s="173">
        <f t="shared" si="1"/>
        <v>33</v>
      </c>
      <c r="L18" s="173">
        <f t="shared" si="2"/>
        <v>22</v>
      </c>
      <c r="N18" s="637"/>
      <c r="O18" s="178">
        <v>16</v>
      </c>
      <c r="P18" s="112">
        <v>85267.890424747078</v>
      </c>
      <c r="Q18" s="179">
        <v>27.026910677602114</v>
      </c>
      <c r="R18" s="179">
        <v>11.652926502476937</v>
      </c>
      <c r="S18" s="180">
        <v>67.576478394300892</v>
      </c>
      <c r="T18" s="181">
        <f t="shared" si="3"/>
        <v>84.470597992876122</v>
      </c>
      <c r="U18" s="181">
        <f t="shared" si="4"/>
        <v>50.682358795725669</v>
      </c>
      <c r="V18" s="182">
        <f t="shared" si="5"/>
        <v>33.788239197150453</v>
      </c>
      <c r="W18"/>
      <c r="X18"/>
    </row>
    <row r="19" spans="1:24" ht="12.75" customHeight="1" x14ac:dyDescent="0.25"/>
    <row r="20" spans="1:24" x14ac:dyDescent="0.25">
      <c r="Q20" s="4" t="s">
        <v>832</v>
      </c>
    </row>
    <row r="21" spans="1:24" ht="14.4" x14ac:dyDescent="0.3">
      <c r="A21"/>
      <c r="B21"/>
      <c r="Q21" s="4" t="s">
        <v>833</v>
      </c>
    </row>
    <row r="22" spans="1:24" ht="14.4" x14ac:dyDescent="0.3">
      <c r="A22"/>
      <c r="B22"/>
    </row>
    <row r="23" spans="1:24" ht="14.4" x14ac:dyDescent="0.3">
      <c r="A23"/>
      <c r="B23"/>
    </row>
    <row r="24" spans="1:24" ht="14.4" x14ac:dyDescent="0.3">
      <c r="A24"/>
      <c r="B24"/>
      <c r="O24"/>
      <c r="P24"/>
      <c r="Q24"/>
      <c r="R24"/>
      <c r="S24"/>
      <c r="T24"/>
      <c r="U24"/>
    </row>
    <row r="25" spans="1:24" customFormat="1" ht="14.4" x14ac:dyDescent="0.3"/>
    <row r="26" spans="1:24" ht="14.4" x14ac:dyDescent="0.3">
      <c r="A26"/>
      <c r="B26"/>
      <c r="O26"/>
      <c r="P26"/>
      <c r="Q26"/>
      <c r="R26"/>
      <c r="S26"/>
      <c r="T26"/>
      <c r="U26"/>
    </row>
    <row r="27" spans="1:24" ht="14.4" x14ac:dyDescent="0.3">
      <c r="A27"/>
      <c r="B27"/>
      <c r="O27"/>
      <c r="P27"/>
      <c r="Q27"/>
      <c r="R27"/>
      <c r="S27"/>
      <c r="T27"/>
      <c r="U27"/>
    </row>
    <row r="28" spans="1:24" ht="14.4" x14ac:dyDescent="0.3">
      <c r="A28"/>
      <c r="B28"/>
      <c r="O28"/>
      <c r="P28"/>
      <c r="Q28"/>
      <c r="R28"/>
      <c r="S28"/>
      <c r="T28"/>
      <c r="U28"/>
    </row>
    <row r="29" spans="1:24" ht="14.4" x14ac:dyDescent="0.3">
      <c r="A29"/>
      <c r="B29"/>
      <c r="O29"/>
      <c r="P29"/>
      <c r="Q29"/>
      <c r="R29"/>
      <c r="S29"/>
      <c r="T29"/>
      <c r="U29"/>
    </row>
    <row r="30" spans="1:24" ht="14.4" x14ac:dyDescent="0.3">
      <c r="A30"/>
      <c r="B30"/>
      <c r="O30"/>
      <c r="P30"/>
      <c r="Q30"/>
      <c r="R30"/>
      <c r="S30"/>
      <c r="T30"/>
      <c r="U30"/>
    </row>
    <row r="31" spans="1:24" ht="14.4" x14ac:dyDescent="0.3">
      <c r="A31"/>
      <c r="B31"/>
      <c r="O31"/>
      <c r="P31"/>
      <c r="Q31"/>
      <c r="R31"/>
      <c r="S31"/>
      <c r="T31"/>
      <c r="U31"/>
    </row>
    <row r="32" spans="1:24" ht="14.4" x14ac:dyDescent="0.3">
      <c r="A32"/>
      <c r="B32"/>
      <c r="O32"/>
      <c r="P32"/>
      <c r="Q32"/>
      <c r="R32"/>
      <c r="S32"/>
      <c r="T32"/>
      <c r="U32"/>
    </row>
    <row r="33" spans="1:21" ht="14.4" x14ac:dyDescent="0.3">
      <c r="A33"/>
      <c r="B33"/>
      <c r="O33"/>
      <c r="P33"/>
      <c r="Q33"/>
      <c r="R33"/>
      <c r="S33"/>
      <c r="T33"/>
      <c r="U33"/>
    </row>
    <row r="34" spans="1:21" ht="14.4" x14ac:dyDescent="0.3">
      <c r="A34"/>
      <c r="B34"/>
      <c r="O34"/>
      <c r="P34"/>
      <c r="Q34"/>
      <c r="R34"/>
      <c r="S34"/>
      <c r="T34"/>
      <c r="U34"/>
    </row>
    <row r="35" spans="1:21" ht="14.4" x14ac:dyDescent="0.3">
      <c r="A35"/>
      <c r="B35"/>
      <c r="O35"/>
      <c r="P35"/>
      <c r="Q35"/>
      <c r="R35"/>
      <c r="S35"/>
      <c r="T35"/>
      <c r="U35"/>
    </row>
    <row r="36" spans="1:21" ht="14.4" x14ac:dyDescent="0.3">
      <c r="A36"/>
      <c r="B36"/>
      <c r="O36"/>
      <c r="P36"/>
      <c r="Q36"/>
      <c r="R36"/>
      <c r="S36"/>
      <c r="T36"/>
      <c r="U36"/>
    </row>
    <row r="37" spans="1:21" ht="14.4" x14ac:dyDescent="0.3">
      <c r="A37"/>
      <c r="B37"/>
      <c r="O37"/>
      <c r="P37"/>
      <c r="Q37"/>
      <c r="R37"/>
      <c r="S37"/>
      <c r="T37"/>
      <c r="U37"/>
    </row>
    <row r="38" spans="1:21" ht="14.4" x14ac:dyDescent="0.3">
      <c r="O38"/>
      <c r="P38"/>
      <c r="Q38"/>
      <c r="R38"/>
      <c r="S38"/>
      <c r="T38"/>
      <c r="U38"/>
    </row>
    <row r="39" spans="1:21" ht="14.4" x14ac:dyDescent="0.3">
      <c r="O39"/>
      <c r="P39"/>
      <c r="Q39"/>
      <c r="R39"/>
      <c r="S39"/>
      <c r="T39"/>
      <c r="U39"/>
    </row>
    <row r="40" spans="1:21" ht="14.4" x14ac:dyDescent="0.3">
      <c r="O40"/>
      <c r="P40"/>
      <c r="Q40"/>
      <c r="R40"/>
      <c r="S40"/>
      <c r="T40"/>
      <c r="U40"/>
    </row>
    <row r="41" spans="1:21" ht="14.4" x14ac:dyDescent="0.3">
      <c r="O41"/>
      <c r="P41"/>
      <c r="Q41"/>
      <c r="R41"/>
      <c r="S41"/>
      <c r="T41"/>
      <c r="U41"/>
    </row>
    <row r="42" spans="1:21" ht="14.4" x14ac:dyDescent="0.3">
      <c r="O42"/>
      <c r="P42"/>
      <c r="Q42"/>
      <c r="R42"/>
      <c r="S42"/>
      <c r="T42"/>
      <c r="U42"/>
    </row>
    <row r="43" spans="1:21" ht="14.4" x14ac:dyDescent="0.3">
      <c r="O43"/>
      <c r="P43"/>
      <c r="Q43"/>
      <c r="R43"/>
      <c r="S43"/>
      <c r="T43"/>
      <c r="U43"/>
    </row>
    <row r="44" spans="1:21" ht="14.4" x14ac:dyDescent="0.3">
      <c r="O44"/>
      <c r="P44"/>
      <c r="Q44"/>
      <c r="R44"/>
      <c r="S44"/>
      <c r="T44"/>
      <c r="U44"/>
    </row>
    <row r="45" spans="1:21" ht="14.4" x14ac:dyDescent="0.3">
      <c r="O45"/>
      <c r="P45"/>
      <c r="Q45"/>
      <c r="R45"/>
      <c r="S45"/>
      <c r="T45"/>
      <c r="U45"/>
    </row>
    <row r="46" spans="1:21" ht="14.4" x14ac:dyDescent="0.3">
      <c r="O46"/>
      <c r="P46"/>
      <c r="Q46"/>
      <c r="R46"/>
      <c r="S46"/>
      <c r="T46"/>
      <c r="U46"/>
    </row>
    <row r="47" spans="1:21" ht="14.4" x14ac:dyDescent="0.3">
      <c r="O47"/>
      <c r="P47"/>
      <c r="Q47"/>
      <c r="R47"/>
      <c r="S47"/>
      <c r="T47"/>
      <c r="U47"/>
    </row>
    <row r="48" spans="1:21" ht="14.4" x14ac:dyDescent="0.3">
      <c r="O48"/>
      <c r="P48"/>
      <c r="Q48"/>
      <c r="R48"/>
      <c r="S48"/>
      <c r="T48"/>
      <c r="U48"/>
    </row>
    <row r="49" spans="15:21" ht="14.4" x14ac:dyDescent="0.3">
      <c r="O49"/>
      <c r="P49"/>
      <c r="Q49"/>
      <c r="R49"/>
      <c r="S49"/>
      <c r="T49"/>
      <c r="U49"/>
    </row>
    <row r="50" spans="15:21" ht="14.4" x14ac:dyDescent="0.3">
      <c r="O50"/>
      <c r="P50"/>
      <c r="Q50"/>
      <c r="R50"/>
      <c r="S50"/>
      <c r="T50"/>
      <c r="U50"/>
    </row>
    <row r="51" spans="15:21" ht="14.4" x14ac:dyDescent="0.3">
      <c r="O51"/>
      <c r="P51"/>
      <c r="Q51"/>
      <c r="R51"/>
      <c r="S51"/>
      <c r="T51"/>
      <c r="U51"/>
    </row>
    <row r="52" spans="15:21" ht="14.4" x14ac:dyDescent="0.3">
      <c r="O52"/>
      <c r="P52"/>
      <c r="Q52"/>
      <c r="R52"/>
      <c r="S52"/>
      <c r="T52"/>
      <c r="U52"/>
    </row>
    <row r="53" spans="15:21" ht="14.4" x14ac:dyDescent="0.3">
      <c r="O53"/>
      <c r="P53"/>
      <c r="Q53"/>
      <c r="R53"/>
      <c r="S53"/>
      <c r="T53"/>
      <c r="U53"/>
    </row>
    <row r="54" spans="15:21" ht="14.4" x14ac:dyDescent="0.3">
      <c r="O54"/>
      <c r="P54"/>
      <c r="Q54"/>
      <c r="R54"/>
      <c r="S54"/>
      <c r="T54"/>
      <c r="U54"/>
    </row>
    <row r="55" spans="15:21" ht="14.4" x14ac:dyDescent="0.3">
      <c r="O55"/>
      <c r="P55"/>
      <c r="Q55"/>
      <c r="R55"/>
      <c r="S55"/>
      <c r="T55"/>
      <c r="U55"/>
    </row>
    <row r="56" spans="15:21" ht="14.4" x14ac:dyDescent="0.3">
      <c r="O56"/>
      <c r="P56"/>
      <c r="Q56"/>
      <c r="R56"/>
      <c r="S56"/>
      <c r="T56"/>
      <c r="U56"/>
    </row>
    <row r="57" spans="15:21" ht="14.4" x14ac:dyDescent="0.3">
      <c r="O57"/>
      <c r="P57"/>
      <c r="Q57"/>
      <c r="R57"/>
      <c r="S57"/>
      <c r="T57"/>
      <c r="U57"/>
    </row>
    <row r="58" spans="15:21" ht="14.4" x14ac:dyDescent="0.3">
      <c r="O58"/>
      <c r="P58"/>
      <c r="Q58"/>
      <c r="R58"/>
      <c r="S58"/>
      <c r="T58"/>
      <c r="U58"/>
    </row>
    <row r="59" spans="15:21" ht="14.4" x14ac:dyDescent="0.3">
      <c r="O59"/>
      <c r="P59"/>
      <c r="Q59"/>
      <c r="R59"/>
      <c r="S59"/>
      <c r="T59"/>
      <c r="U59"/>
    </row>
    <row r="60" spans="15:21" ht="14.4" x14ac:dyDescent="0.3">
      <c r="O60"/>
      <c r="P60"/>
      <c r="Q60"/>
      <c r="R60"/>
      <c r="S60"/>
      <c r="T60"/>
      <c r="U60"/>
    </row>
    <row r="61" spans="15:21" ht="14.4" x14ac:dyDescent="0.3">
      <c r="O61"/>
      <c r="P61"/>
      <c r="Q61"/>
      <c r="R61"/>
      <c r="S61"/>
      <c r="T61"/>
      <c r="U61"/>
    </row>
    <row r="62" spans="15:21" ht="14.4" x14ac:dyDescent="0.3">
      <c r="O62"/>
      <c r="P62"/>
      <c r="Q62"/>
      <c r="R62"/>
      <c r="S62"/>
      <c r="T62"/>
      <c r="U62"/>
    </row>
    <row r="63" spans="15:21" ht="14.4" x14ac:dyDescent="0.3">
      <c r="O63"/>
      <c r="P63"/>
      <c r="Q63"/>
      <c r="R63"/>
      <c r="S63"/>
      <c r="T63"/>
      <c r="U63"/>
    </row>
    <row r="64" spans="15:21" ht="14.4" x14ac:dyDescent="0.3">
      <c r="O64"/>
      <c r="P64"/>
      <c r="Q64"/>
      <c r="R64"/>
      <c r="S64"/>
      <c r="T64"/>
      <c r="U64"/>
    </row>
    <row r="65" spans="15:21" ht="14.4" x14ac:dyDescent="0.3">
      <c r="O65"/>
      <c r="P65"/>
      <c r="Q65"/>
      <c r="R65"/>
      <c r="S65"/>
      <c r="T65"/>
      <c r="U65"/>
    </row>
    <row r="66" spans="15:21" ht="14.4" x14ac:dyDescent="0.3">
      <c r="O66"/>
      <c r="P66"/>
      <c r="Q66"/>
      <c r="R66"/>
      <c r="S66"/>
      <c r="T66"/>
      <c r="U66"/>
    </row>
    <row r="67" spans="15:21" ht="14.4" x14ac:dyDescent="0.3">
      <c r="O67"/>
      <c r="P67"/>
      <c r="Q67"/>
      <c r="R67"/>
      <c r="S67"/>
      <c r="T67"/>
      <c r="U67"/>
    </row>
    <row r="68" spans="15:21" ht="14.4" x14ac:dyDescent="0.3">
      <c r="O68"/>
      <c r="P68"/>
      <c r="Q68"/>
      <c r="R68"/>
      <c r="S68"/>
      <c r="T68"/>
      <c r="U68"/>
    </row>
    <row r="69" spans="15:21" ht="14.4" x14ac:dyDescent="0.3">
      <c r="O69"/>
      <c r="P69"/>
      <c r="Q69"/>
      <c r="R69"/>
      <c r="S69"/>
      <c r="T69"/>
      <c r="U69"/>
    </row>
    <row r="70" spans="15:21" ht="14.4" x14ac:dyDescent="0.3">
      <c r="O70"/>
      <c r="P70"/>
      <c r="Q70"/>
      <c r="R70"/>
      <c r="S70"/>
      <c r="T70"/>
      <c r="U70"/>
    </row>
    <row r="71" spans="15:21" ht="14.4" x14ac:dyDescent="0.3">
      <c r="O71"/>
      <c r="P71"/>
      <c r="Q71"/>
      <c r="R71"/>
      <c r="S71"/>
      <c r="T71"/>
      <c r="U71"/>
    </row>
    <row r="72" spans="15:21" ht="14.4" x14ac:dyDescent="0.3">
      <c r="O72"/>
      <c r="P72"/>
      <c r="Q72"/>
      <c r="R72"/>
      <c r="S72"/>
      <c r="T72"/>
      <c r="U72"/>
    </row>
    <row r="73" spans="15:21" ht="14.4" x14ac:dyDescent="0.3">
      <c r="O73"/>
      <c r="P73"/>
      <c r="Q73"/>
      <c r="R73"/>
      <c r="S73"/>
      <c r="T73"/>
      <c r="U73"/>
    </row>
    <row r="74" spans="15:21" ht="14.4" x14ac:dyDescent="0.3">
      <c r="O74"/>
      <c r="P74"/>
      <c r="Q74"/>
      <c r="R74"/>
      <c r="S74"/>
      <c r="T74"/>
      <c r="U74"/>
    </row>
    <row r="75" spans="15:21" ht="14.4" x14ac:dyDescent="0.3">
      <c r="O75"/>
      <c r="P75"/>
      <c r="Q75"/>
      <c r="R75"/>
      <c r="S75"/>
      <c r="T75"/>
      <c r="U75"/>
    </row>
    <row r="76" spans="15:21" ht="14.4" x14ac:dyDescent="0.3">
      <c r="O76"/>
      <c r="P76"/>
      <c r="Q76"/>
      <c r="R76"/>
      <c r="S76"/>
      <c r="T76"/>
      <c r="U76"/>
    </row>
    <row r="77" spans="15:21" ht="14.4" x14ac:dyDescent="0.3">
      <c r="O77"/>
      <c r="P77"/>
      <c r="Q77"/>
      <c r="R77"/>
      <c r="S77"/>
      <c r="T77"/>
      <c r="U77"/>
    </row>
    <row r="78" spans="15:21" ht="14.4" x14ac:dyDescent="0.3">
      <c r="O78"/>
      <c r="P78"/>
      <c r="Q78"/>
      <c r="R78"/>
      <c r="S78"/>
      <c r="T78"/>
      <c r="U78"/>
    </row>
    <row r="79" spans="15:21" ht="14.4" x14ac:dyDescent="0.3">
      <c r="O79"/>
      <c r="P79"/>
      <c r="Q79"/>
      <c r="R79"/>
      <c r="S79"/>
      <c r="T79"/>
      <c r="U79"/>
    </row>
    <row r="80" spans="15:21" ht="14.4" x14ac:dyDescent="0.3">
      <c r="O80"/>
      <c r="P80"/>
      <c r="Q80"/>
      <c r="R80"/>
      <c r="S80"/>
      <c r="T80"/>
      <c r="U80"/>
    </row>
    <row r="81" spans="15:21" ht="14.4" x14ac:dyDescent="0.3">
      <c r="O81"/>
      <c r="P81"/>
      <c r="Q81"/>
      <c r="R81"/>
      <c r="S81"/>
      <c r="T81"/>
      <c r="U81"/>
    </row>
    <row r="82" spans="15:21" ht="14.4" x14ac:dyDescent="0.3">
      <c r="O82"/>
      <c r="P82"/>
      <c r="Q82"/>
      <c r="R82"/>
      <c r="S82"/>
      <c r="T82"/>
      <c r="U82"/>
    </row>
    <row r="83" spans="15:21" ht="14.4" x14ac:dyDescent="0.3">
      <c r="O83"/>
      <c r="P83"/>
      <c r="Q83"/>
      <c r="R83"/>
      <c r="S83"/>
      <c r="T83"/>
      <c r="U83"/>
    </row>
    <row r="84" spans="15:21" ht="14.4" x14ac:dyDescent="0.3">
      <c r="O84"/>
      <c r="P84"/>
      <c r="Q84"/>
      <c r="R84"/>
      <c r="S84"/>
      <c r="T84"/>
      <c r="U84"/>
    </row>
    <row r="85" spans="15:21" ht="14.4" x14ac:dyDescent="0.3">
      <c r="O85"/>
      <c r="P85"/>
      <c r="Q85"/>
      <c r="R85"/>
      <c r="S85"/>
      <c r="T85"/>
      <c r="U85"/>
    </row>
    <row r="86" spans="15:21" ht="14.4" x14ac:dyDescent="0.3">
      <c r="O86"/>
      <c r="P86"/>
      <c r="Q86"/>
      <c r="R86"/>
      <c r="S86"/>
      <c r="T86"/>
      <c r="U86"/>
    </row>
    <row r="87" spans="15:21" ht="14.4" x14ac:dyDescent="0.3">
      <c r="O87"/>
      <c r="P87"/>
      <c r="Q87"/>
      <c r="R87"/>
      <c r="S87"/>
      <c r="T87"/>
      <c r="U87"/>
    </row>
    <row r="88" spans="15:21" ht="14.4" x14ac:dyDescent="0.3">
      <c r="O88"/>
      <c r="P88"/>
      <c r="Q88"/>
      <c r="R88"/>
      <c r="S88"/>
      <c r="T88"/>
      <c r="U88"/>
    </row>
    <row r="89" spans="15:21" ht="14.4" x14ac:dyDescent="0.3">
      <c r="O89"/>
      <c r="P89"/>
      <c r="Q89"/>
      <c r="R89"/>
      <c r="S89"/>
      <c r="T89"/>
      <c r="U89"/>
    </row>
    <row r="90" spans="15:21" ht="14.4" x14ac:dyDescent="0.3">
      <c r="O90"/>
      <c r="P90"/>
      <c r="Q90"/>
      <c r="R90"/>
      <c r="S90"/>
      <c r="T90"/>
      <c r="U90"/>
    </row>
    <row r="91" spans="15:21" ht="14.4" x14ac:dyDescent="0.3">
      <c r="O91"/>
      <c r="P91"/>
      <c r="Q91"/>
      <c r="R91"/>
      <c r="S91"/>
      <c r="T91"/>
      <c r="U91"/>
    </row>
    <row r="92" spans="15:21" ht="14.4" x14ac:dyDescent="0.3">
      <c r="O92"/>
      <c r="P92"/>
      <c r="Q92"/>
      <c r="R92"/>
      <c r="S92"/>
      <c r="T92"/>
      <c r="U92"/>
    </row>
    <row r="93" spans="15:21" ht="14.4" x14ac:dyDescent="0.3">
      <c r="O93"/>
      <c r="P93"/>
      <c r="Q93"/>
      <c r="R93"/>
      <c r="S93"/>
      <c r="T93"/>
      <c r="U93"/>
    </row>
    <row r="94" spans="15:21" ht="14.4" x14ac:dyDescent="0.3">
      <c r="O94"/>
      <c r="P94"/>
      <c r="Q94"/>
      <c r="R94"/>
      <c r="S94"/>
      <c r="T94"/>
      <c r="U94"/>
    </row>
    <row r="95" spans="15:21" ht="14.4" x14ac:dyDescent="0.3">
      <c r="O95"/>
      <c r="P95"/>
      <c r="Q95"/>
      <c r="R95"/>
      <c r="S95"/>
      <c r="T95"/>
      <c r="U95"/>
    </row>
    <row r="96" spans="15:21" ht="14.4" x14ac:dyDescent="0.3">
      <c r="O96"/>
      <c r="P96"/>
      <c r="Q96"/>
      <c r="R96"/>
      <c r="S96"/>
      <c r="T96"/>
      <c r="U96"/>
    </row>
    <row r="97" spans="15:21" ht="14.4" x14ac:dyDescent="0.3">
      <c r="O97"/>
      <c r="P97"/>
      <c r="Q97"/>
      <c r="R97"/>
      <c r="S97"/>
      <c r="T97"/>
      <c r="U97"/>
    </row>
    <row r="98" spans="15:21" ht="14.4" x14ac:dyDescent="0.3">
      <c r="O98"/>
      <c r="P98"/>
      <c r="Q98"/>
      <c r="R98"/>
      <c r="S98"/>
      <c r="T98"/>
      <c r="U98"/>
    </row>
    <row r="99" spans="15:21" ht="14.4" x14ac:dyDescent="0.3">
      <c r="O99"/>
      <c r="P99"/>
      <c r="Q99"/>
      <c r="R99"/>
      <c r="S99"/>
      <c r="T99"/>
      <c r="U99"/>
    </row>
    <row r="100" spans="15:21" ht="14.4" x14ac:dyDescent="0.3">
      <c r="O100"/>
      <c r="P100"/>
      <c r="Q100"/>
      <c r="R100"/>
      <c r="S100"/>
      <c r="T100"/>
      <c r="U100"/>
    </row>
    <row r="101" spans="15:21" ht="14.4" x14ac:dyDescent="0.3">
      <c r="O101"/>
      <c r="P101"/>
      <c r="Q101"/>
      <c r="R101"/>
      <c r="S101"/>
      <c r="T101"/>
      <c r="U101"/>
    </row>
    <row r="102" spans="15:21" ht="14.4" x14ac:dyDescent="0.3">
      <c r="O102"/>
      <c r="P102"/>
      <c r="Q102"/>
      <c r="R102"/>
      <c r="S102"/>
      <c r="T102"/>
      <c r="U102"/>
    </row>
    <row r="103" spans="15:21" ht="14.4" x14ac:dyDescent="0.3">
      <c r="O103"/>
      <c r="P103"/>
      <c r="Q103"/>
      <c r="R103"/>
      <c r="S103"/>
      <c r="T103"/>
      <c r="U103"/>
    </row>
    <row r="104" spans="15:21" ht="14.4" x14ac:dyDescent="0.3">
      <c r="O104"/>
      <c r="P104"/>
      <c r="Q104"/>
      <c r="R104"/>
      <c r="S104"/>
      <c r="T104"/>
      <c r="U104"/>
    </row>
    <row r="105" spans="15:21" ht="14.4" x14ac:dyDescent="0.3">
      <c r="O105"/>
      <c r="P105"/>
      <c r="Q105"/>
      <c r="R105"/>
      <c r="S105"/>
      <c r="T105"/>
      <c r="U105"/>
    </row>
    <row r="106" spans="15:21" ht="14.4" x14ac:dyDescent="0.3">
      <c r="O106"/>
      <c r="P106"/>
      <c r="Q106"/>
      <c r="R106"/>
      <c r="S106"/>
      <c r="T106"/>
      <c r="U106"/>
    </row>
    <row r="107" spans="15:21" ht="14.4" x14ac:dyDescent="0.3">
      <c r="O107"/>
      <c r="P107"/>
      <c r="Q107"/>
      <c r="R107"/>
      <c r="S107"/>
      <c r="T107"/>
      <c r="U107"/>
    </row>
    <row r="108" spans="15:21" ht="14.4" x14ac:dyDescent="0.3">
      <c r="O108"/>
      <c r="P108"/>
      <c r="Q108"/>
      <c r="R108"/>
      <c r="S108"/>
      <c r="T108"/>
      <c r="U108"/>
    </row>
    <row r="109" spans="15:21" ht="14.4" x14ac:dyDescent="0.3">
      <c r="O109"/>
      <c r="P109"/>
      <c r="Q109"/>
      <c r="R109"/>
      <c r="S109"/>
      <c r="T109"/>
      <c r="U109"/>
    </row>
    <row r="110" spans="15:21" ht="14.4" x14ac:dyDescent="0.3">
      <c r="O110"/>
      <c r="P110"/>
      <c r="Q110"/>
      <c r="R110"/>
      <c r="S110"/>
      <c r="T110"/>
      <c r="U110"/>
    </row>
    <row r="111" spans="15:21" ht="14.4" x14ac:dyDescent="0.3">
      <c r="O111"/>
      <c r="P111"/>
      <c r="Q111"/>
      <c r="R111"/>
      <c r="S111"/>
      <c r="T111"/>
      <c r="U111"/>
    </row>
    <row r="112" spans="15:21" ht="14.4" x14ac:dyDescent="0.3">
      <c r="O112"/>
      <c r="P112"/>
      <c r="Q112"/>
      <c r="R112"/>
      <c r="S112"/>
      <c r="T112"/>
      <c r="U112"/>
    </row>
    <row r="113" spans="15:21" ht="14.4" x14ac:dyDescent="0.3">
      <c r="O113"/>
      <c r="P113"/>
      <c r="Q113"/>
      <c r="R113"/>
      <c r="S113"/>
      <c r="T113"/>
      <c r="U113"/>
    </row>
    <row r="114" spans="15:21" ht="14.4" x14ac:dyDescent="0.3">
      <c r="O114"/>
      <c r="P114"/>
      <c r="Q114"/>
      <c r="R114"/>
      <c r="S114"/>
      <c r="T114"/>
      <c r="U114"/>
    </row>
    <row r="115" spans="15:21" ht="14.4" x14ac:dyDescent="0.3">
      <c r="O115"/>
      <c r="P115"/>
      <c r="Q115"/>
      <c r="R115"/>
      <c r="S115"/>
      <c r="T115"/>
      <c r="U115"/>
    </row>
    <row r="116" spans="15:21" ht="14.4" x14ac:dyDescent="0.3">
      <c r="O116"/>
      <c r="P116"/>
      <c r="Q116"/>
      <c r="R116"/>
      <c r="S116"/>
      <c r="T116"/>
      <c r="U116"/>
    </row>
    <row r="117" spans="15:21" ht="14.4" x14ac:dyDescent="0.3">
      <c r="O117"/>
      <c r="P117"/>
      <c r="Q117"/>
      <c r="R117"/>
      <c r="S117"/>
      <c r="T117"/>
      <c r="U117"/>
    </row>
    <row r="118" spans="15:21" ht="14.4" x14ac:dyDescent="0.3">
      <c r="O118"/>
      <c r="P118"/>
      <c r="Q118"/>
      <c r="R118"/>
      <c r="S118"/>
      <c r="T118"/>
      <c r="U118"/>
    </row>
    <row r="119" spans="15:21" ht="14.4" x14ac:dyDescent="0.3">
      <c r="O119"/>
      <c r="P119"/>
      <c r="Q119"/>
      <c r="R119"/>
      <c r="S119"/>
      <c r="T119"/>
      <c r="U119"/>
    </row>
    <row r="120" spans="15:21" ht="14.4" x14ac:dyDescent="0.3">
      <c r="O120"/>
      <c r="P120"/>
      <c r="Q120"/>
      <c r="R120"/>
      <c r="S120"/>
      <c r="T120"/>
      <c r="U120"/>
    </row>
    <row r="121" spans="15:21" ht="14.4" x14ac:dyDescent="0.3">
      <c r="O121"/>
      <c r="P121"/>
      <c r="Q121"/>
      <c r="R121"/>
      <c r="S121"/>
      <c r="T121"/>
      <c r="U121"/>
    </row>
    <row r="122" spans="15:21" ht="14.4" x14ac:dyDescent="0.3">
      <c r="O122"/>
      <c r="P122"/>
      <c r="Q122"/>
      <c r="R122"/>
      <c r="S122"/>
      <c r="T122"/>
      <c r="U122"/>
    </row>
    <row r="123" spans="15:21" ht="14.4" x14ac:dyDescent="0.3">
      <c r="O123"/>
      <c r="P123"/>
      <c r="Q123"/>
      <c r="R123"/>
      <c r="S123"/>
      <c r="T123"/>
      <c r="U123"/>
    </row>
    <row r="124" spans="15:21" ht="14.4" x14ac:dyDescent="0.3">
      <c r="O124"/>
      <c r="P124"/>
      <c r="Q124"/>
      <c r="R124"/>
      <c r="S124"/>
      <c r="T124"/>
      <c r="U124"/>
    </row>
    <row r="125" spans="15:21" ht="14.4" x14ac:dyDescent="0.3">
      <c r="O125"/>
      <c r="P125"/>
      <c r="Q125"/>
      <c r="R125"/>
      <c r="S125"/>
      <c r="T125"/>
      <c r="U125"/>
    </row>
    <row r="126" spans="15:21" ht="14.4" x14ac:dyDescent="0.3">
      <c r="O126"/>
      <c r="P126"/>
      <c r="Q126"/>
      <c r="R126"/>
      <c r="S126"/>
      <c r="T126"/>
      <c r="U126"/>
    </row>
    <row r="127" spans="15:21" ht="14.4" x14ac:dyDescent="0.3">
      <c r="O127"/>
      <c r="P127"/>
      <c r="Q127"/>
      <c r="R127"/>
      <c r="S127"/>
      <c r="T127"/>
      <c r="U127"/>
    </row>
    <row r="128" spans="15:21" ht="14.4" x14ac:dyDescent="0.3">
      <c r="O128"/>
      <c r="P128"/>
      <c r="Q128"/>
      <c r="R128"/>
      <c r="S128"/>
      <c r="T128"/>
      <c r="U128"/>
    </row>
    <row r="129" spans="15:21" ht="14.4" x14ac:dyDescent="0.3">
      <c r="O129"/>
      <c r="P129"/>
      <c r="Q129"/>
      <c r="R129"/>
      <c r="S129"/>
      <c r="T129"/>
      <c r="U129"/>
    </row>
    <row r="130" spans="15:21" ht="14.4" x14ac:dyDescent="0.3">
      <c r="O130"/>
      <c r="P130"/>
      <c r="Q130"/>
      <c r="R130"/>
      <c r="S130"/>
      <c r="T130"/>
      <c r="U130"/>
    </row>
    <row r="131" spans="15:21" ht="14.4" x14ac:dyDescent="0.3">
      <c r="O131"/>
      <c r="P131"/>
      <c r="Q131"/>
      <c r="R131"/>
      <c r="S131"/>
      <c r="T131"/>
      <c r="U131"/>
    </row>
    <row r="132" spans="15:21" ht="14.4" x14ac:dyDescent="0.3">
      <c r="O132"/>
      <c r="P132"/>
      <c r="Q132"/>
      <c r="R132"/>
      <c r="S132"/>
      <c r="T132"/>
      <c r="U132"/>
    </row>
    <row r="133" spans="15:21" ht="14.4" x14ac:dyDescent="0.3">
      <c r="O133"/>
      <c r="P133"/>
      <c r="Q133"/>
      <c r="R133"/>
      <c r="S133"/>
      <c r="T133"/>
      <c r="U133"/>
    </row>
    <row r="134" spans="15:21" ht="14.4" x14ac:dyDescent="0.3">
      <c r="O134"/>
      <c r="P134"/>
      <c r="Q134"/>
      <c r="R134"/>
      <c r="S134"/>
      <c r="T134"/>
      <c r="U134"/>
    </row>
    <row r="135" spans="15:21" ht="14.4" x14ac:dyDescent="0.3">
      <c r="O135"/>
      <c r="P135"/>
      <c r="Q135"/>
      <c r="R135"/>
      <c r="S135"/>
      <c r="T135"/>
      <c r="U135"/>
    </row>
    <row r="136" spans="15:21" ht="14.4" x14ac:dyDescent="0.3">
      <c r="O136"/>
      <c r="P136"/>
      <c r="Q136"/>
      <c r="R136"/>
      <c r="S136"/>
      <c r="T136"/>
      <c r="U136"/>
    </row>
    <row r="137" spans="15:21" ht="14.4" x14ac:dyDescent="0.3">
      <c r="O137"/>
      <c r="P137"/>
      <c r="Q137"/>
      <c r="R137"/>
      <c r="S137"/>
      <c r="T137"/>
      <c r="U137"/>
    </row>
    <row r="138" spans="15:21" ht="14.4" x14ac:dyDescent="0.3">
      <c r="O138"/>
      <c r="P138"/>
      <c r="Q138"/>
      <c r="R138"/>
      <c r="S138"/>
      <c r="T138"/>
      <c r="U138"/>
    </row>
    <row r="139" spans="15:21" ht="14.4" x14ac:dyDescent="0.3">
      <c r="O139"/>
      <c r="P139"/>
      <c r="Q139"/>
      <c r="R139"/>
      <c r="S139"/>
      <c r="T139"/>
      <c r="U139"/>
    </row>
    <row r="140" spans="15:21" ht="14.4" x14ac:dyDescent="0.3">
      <c r="O140"/>
      <c r="P140"/>
      <c r="Q140"/>
      <c r="R140"/>
      <c r="S140"/>
      <c r="T140"/>
      <c r="U140"/>
    </row>
    <row r="141" spans="15:21" ht="14.4" x14ac:dyDescent="0.3">
      <c r="O141"/>
      <c r="P141"/>
      <c r="Q141"/>
      <c r="R141"/>
      <c r="S141"/>
      <c r="T141"/>
      <c r="U141"/>
    </row>
    <row r="142" spans="15:21" ht="14.4" x14ac:dyDescent="0.3">
      <c r="O142"/>
      <c r="P142"/>
      <c r="Q142"/>
      <c r="R142"/>
      <c r="S142"/>
      <c r="T142"/>
      <c r="U142"/>
    </row>
    <row r="143" spans="15:21" ht="14.4" x14ac:dyDescent="0.3">
      <c r="O143"/>
      <c r="P143"/>
      <c r="Q143"/>
      <c r="R143"/>
      <c r="S143"/>
      <c r="T143"/>
      <c r="U143"/>
    </row>
    <row r="144" spans="15:21" ht="14.4" x14ac:dyDescent="0.3">
      <c r="O144"/>
      <c r="P144"/>
      <c r="Q144"/>
      <c r="R144"/>
      <c r="S144"/>
      <c r="T144"/>
      <c r="U144"/>
    </row>
    <row r="145" spans="15:21" ht="14.4" x14ac:dyDescent="0.3">
      <c r="O145"/>
      <c r="P145"/>
      <c r="Q145"/>
      <c r="R145"/>
      <c r="S145"/>
      <c r="T145"/>
      <c r="U145"/>
    </row>
    <row r="146" spans="15:21" ht="14.4" x14ac:dyDescent="0.3">
      <c r="O146"/>
      <c r="P146"/>
      <c r="Q146"/>
      <c r="R146"/>
      <c r="S146"/>
      <c r="T146"/>
      <c r="U146"/>
    </row>
    <row r="147" spans="15:21" ht="14.4" x14ac:dyDescent="0.3">
      <c r="O147"/>
      <c r="P147"/>
      <c r="Q147"/>
      <c r="R147"/>
      <c r="S147"/>
      <c r="T147"/>
      <c r="U147"/>
    </row>
    <row r="148" spans="15:21" ht="14.4" x14ac:dyDescent="0.3">
      <c r="O148"/>
      <c r="P148"/>
      <c r="Q148"/>
      <c r="R148"/>
      <c r="S148"/>
      <c r="T148"/>
      <c r="U148"/>
    </row>
    <row r="149" spans="15:21" ht="14.4" x14ac:dyDescent="0.3">
      <c r="O149"/>
      <c r="P149"/>
      <c r="Q149"/>
      <c r="R149"/>
      <c r="S149"/>
      <c r="T149"/>
      <c r="U149"/>
    </row>
    <row r="150" spans="15:21" ht="14.4" x14ac:dyDescent="0.3">
      <c r="O150"/>
      <c r="P150"/>
      <c r="Q150"/>
      <c r="R150"/>
      <c r="S150"/>
      <c r="T150"/>
      <c r="U150"/>
    </row>
    <row r="151" spans="15:21" ht="14.4" x14ac:dyDescent="0.3">
      <c r="O151"/>
      <c r="P151"/>
      <c r="Q151"/>
      <c r="R151"/>
      <c r="S151"/>
      <c r="T151"/>
      <c r="U151"/>
    </row>
    <row r="152" spans="15:21" ht="14.4" x14ac:dyDescent="0.3">
      <c r="O152"/>
      <c r="P152"/>
      <c r="Q152"/>
      <c r="R152"/>
      <c r="S152"/>
      <c r="T152"/>
      <c r="U152"/>
    </row>
    <row r="153" spans="15:21" ht="14.4" x14ac:dyDescent="0.3">
      <c r="O153"/>
      <c r="P153"/>
      <c r="Q153"/>
      <c r="R153"/>
      <c r="S153"/>
      <c r="T153"/>
      <c r="U153"/>
    </row>
    <row r="154" spans="15:21" ht="14.4" x14ac:dyDescent="0.3">
      <c r="O154"/>
      <c r="P154"/>
      <c r="Q154"/>
      <c r="R154"/>
      <c r="S154"/>
      <c r="T154"/>
      <c r="U154"/>
    </row>
    <row r="155" spans="15:21" ht="14.4" x14ac:dyDescent="0.3">
      <c r="O155"/>
      <c r="P155"/>
      <c r="Q155"/>
      <c r="R155"/>
      <c r="S155"/>
      <c r="T155"/>
      <c r="U155"/>
    </row>
    <row r="156" spans="15:21" ht="14.4" x14ac:dyDescent="0.3">
      <c r="O156"/>
      <c r="P156"/>
      <c r="Q156"/>
      <c r="R156"/>
      <c r="S156"/>
      <c r="T156"/>
      <c r="U156"/>
    </row>
    <row r="157" spans="15:21" ht="14.4" x14ac:dyDescent="0.3">
      <c r="O157"/>
      <c r="P157"/>
      <c r="Q157"/>
      <c r="R157"/>
      <c r="S157"/>
      <c r="T157"/>
      <c r="U157"/>
    </row>
    <row r="158" spans="15:21" ht="14.4" x14ac:dyDescent="0.3">
      <c r="O158"/>
      <c r="P158"/>
      <c r="Q158"/>
      <c r="R158"/>
      <c r="S158"/>
      <c r="T158"/>
      <c r="U158"/>
    </row>
    <row r="159" spans="15:21" ht="14.4" x14ac:dyDescent="0.3">
      <c r="O159"/>
      <c r="P159"/>
      <c r="Q159"/>
      <c r="R159"/>
      <c r="S159"/>
      <c r="T159"/>
      <c r="U159"/>
    </row>
    <row r="160" spans="15:21" ht="14.4" x14ac:dyDescent="0.3">
      <c r="O160"/>
      <c r="P160"/>
      <c r="Q160"/>
      <c r="R160"/>
      <c r="S160"/>
      <c r="T160"/>
      <c r="U160"/>
    </row>
    <row r="161" spans="15:21" ht="14.4" x14ac:dyDescent="0.3">
      <c r="O161"/>
      <c r="P161"/>
      <c r="Q161"/>
      <c r="R161"/>
      <c r="S161"/>
      <c r="T161"/>
      <c r="U161"/>
    </row>
    <row r="162" spans="15:21" ht="14.4" x14ac:dyDescent="0.3">
      <c r="O162"/>
      <c r="P162"/>
      <c r="Q162"/>
      <c r="R162"/>
      <c r="S162"/>
      <c r="T162"/>
      <c r="U162"/>
    </row>
    <row r="163" spans="15:21" ht="14.4" x14ac:dyDescent="0.3">
      <c r="O163"/>
      <c r="P163"/>
      <c r="Q163"/>
      <c r="R163"/>
      <c r="S163"/>
      <c r="T163"/>
      <c r="U163"/>
    </row>
    <row r="164" spans="15:21" ht="14.4" x14ac:dyDescent="0.3">
      <c r="O164"/>
      <c r="P164"/>
      <c r="Q164"/>
      <c r="R164"/>
      <c r="S164"/>
      <c r="T164"/>
      <c r="U164"/>
    </row>
    <row r="165" spans="15:21" ht="14.4" x14ac:dyDescent="0.3">
      <c r="O165"/>
      <c r="P165"/>
      <c r="Q165"/>
      <c r="R165"/>
      <c r="S165"/>
      <c r="T165"/>
      <c r="U165"/>
    </row>
    <row r="166" spans="15:21" ht="14.4" x14ac:dyDescent="0.3">
      <c r="O166"/>
      <c r="P166"/>
      <c r="Q166"/>
      <c r="R166"/>
      <c r="S166"/>
      <c r="T166"/>
      <c r="U166"/>
    </row>
    <row r="167" spans="15:21" ht="14.4" x14ac:dyDescent="0.3">
      <c r="O167"/>
      <c r="P167"/>
      <c r="Q167"/>
      <c r="R167"/>
      <c r="S167"/>
      <c r="T167"/>
      <c r="U167"/>
    </row>
    <row r="168" spans="15:21" ht="14.4" x14ac:dyDescent="0.3">
      <c r="O168"/>
      <c r="P168"/>
      <c r="Q168"/>
      <c r="R168"/>
      <c r="S168"/>
      <c r="T168"/>
      <c r="U168"/>
    </row>
    <row r="169" spans="15:21" ht="14.4" x14ac:dyDescent="0.3">
      <c r="O169"/>
      <c r="P169"/>
      <c r="Q169"/>
      <c r="R169"/>
      <c r="S169"/>
      <c r="T169"/>
      <c r="U169"/>
    </row>
    <row r="170" spans="15:21" ht="14.4" x14ac:dyDescent="0.3">
      <c r="O170"/>
      <c r="P170"/>
      <c r="Q170"/>
      <c r="R170"/>
      <c r="S170"/>
      <c r="T170"/>
      <c r="U170"/>
    </row>
    <row r="171" spans="15:21" ht="14.4" x14ac:dyDescent="0.3">
      <c r="O171"/>
      <c r="P171"/>
      <c r="Q171"/>
      <c r="R171"/>
      <c r="S171"/>
      <c r="T171"/>
      <c r="U171"/>
    </row>
    <row r="172" spans="15:21" ht="14.4" x14ac:dyDescent="0.3">
      <c r="O172"/>
      <c r="P172"/>
      <c r="Q172"/>
      <c r="R172"/>
      <c r="S172"/>
      <c r="T172"/>
      <c r="U172"/>
    </row>
    <row r="173" spans="15:21" ht="14.4" x14ac:dyDescent="0.3">
      <c r="O173"/>
      <c r="P173"/>
      <c r="Q173"/>
      <c r="R173"/>
      <c r="S173"/>
      <c r="T173"/>
      <c r="U173"/>
    </row>
    <row r="174" spans="15:21" ht="14.4" x14ac:dyDescent="0.3">
      <c r="O174"/>
      <c r="P174"/>
      <c r="Q174"/>
      <c r="R174"/>
      <c r="S174"/>
      <c r="T174"/>
      <c r="U174"/>
    </row>
    <row r="175" spans="15:21" ht="14.4" x14ac:dyDescent="0.3">
      <c r="O175"/>
      <c r="P175"/>
      <c r="Q175"/>
      <c r="R175"/>
      <c r="S175"/>
      <c r="T175"/>
      <c r="U175"/>
    </row>
    <row r="176" spans="15:21" ht="14.4" x14ac:dyDescent="0.3">
      <c r="O176"/>
      <c r="P176"/>
      <c r="Q176"/>
      <c r="R176"/>
      <c r="S176"/>
      <c r="T176"/>
      <c r="U176"/>
    </row>
    <row r="177" spans="15:21" ht="14.4" x14ac:dyDescent="0.3">
      <c r="O177"/>
      <c r="P177"/>
      <c r="Q177"/>
      <c r="R177"/>
      <c r="S177"/>
      <c r="T177"/>
      <c r="U177"/>
    </row>
    <row r="178" spans="15:21" ht="14.4" x14ac:dyDescent="0.3">
      <c r="O178"/>
      <c r="P178"/>
      <c r="Q178"/>
      <c r="R178"/>
      <c r="S178"/>
      <c r="T178"/>
      <c r="U178"/>
    </row>
    <row r="179" spans="15:21" ht="14.4" x14ac:dyDescent="0.3">
      <c r="O179"/>
      <c r="P179"/>
      <c r="Q179"/>
      <c r="R179"/>
      <c r="S179"/>
      <c r="T179"/>
      <c r="U179"/>
    </row>
    <row r="180" spans="15:21" ht="14.4" x14ac:dyDescent="0.3">
      <c r="O180"/>
      <c r="P180"/>
      <c r="Q180"/>
      <c r="R180"/>
      <c r="S180"/>
      <c r="T180"/>
      <c r="U180"/>
    </row>
    <row r="181" spans="15:21" ht="14.4" x14ac:dyDescent="0.3">
      <c r="O181"/>
      <c r="P181"/>
      <c r="Q181"/>
      <c r="R181"/>
      <c r="S181"/>
      <c r="T181"/>
      <c r="U181"/>
    </row>
    <row r="182" spans="15:21" ht="14.4" x14ac:dyDescent="0.3">
      <c r="O182"/>
      <c r="P182"/>
      <c r="Q182"/>
      <c r="R182"/>
      <c r="S182"/>
      <c r="T182"/>
      <c r="U182"/>
    </row>
    <row r="183" spans="15:21" ht="14.4" x14ac:dyDescent="0.3">
      <c r="O183"/>
      <c r="P183"/>
      <c r="Q183"/>
      <c r="R183"/>
      <c r="S183"/>
      <c r="T183"/>
      <c r="U183"/>
    </row>
    <row r="184" spans="15:21" ht="14.4" x14ac:dyDescent="0.3">
      <c r="O184"/>
      <c r="P184"/>
      <c r="Q184"/>
      <c r="R184"/>
      <c r="S184"/>
      <c r="T184"/>
      <c r="U184"/>
    </row>
    <row r="185" spans="15:21" ht="14.4" x14ac:dyDescent="0.3">
      <c r="O185"/>
      <c r="P185"/>
      <c r="Q185"/>
      <c r="R185"/>
      <c r="S185"/>
      <c r="T185"/>
      <c r="U185"/>
    </row>
    <row r="186" spans="15:21" ht="14.4" x14ac:dyDescent="0.3">
      <c r="O186"/>
      <c r="P186"/>
      <c r="Q186"/>
      <c r="R186"/>
      <c r="S186"/>
      <c r="T186"/>
      <c r="U186"/>
    </row>
    <row r="187" spans="15:21" ht="14.4" x14ac:dyDescent="0.3">
      <c r="O187"/>
      <c r="P187"/>
      <c r="Q187"/>
      <c r="R187"/>
      <c r="S187"/>
      <c r="T187"/>
      <c r="U187"/>
    </row>
    <row r="188" spans="15:21" ht="14.4" x14ac:dyDescent="0.3">
      <c r="O188"/>
      <c r="P188"/>
      <c r="Q188"/>
      <c r="R188"/>
      <c r="S188"/>
      <c r="T188"/>
      <c r="U188"/>
    </row>
    <row r="189" spans="15:21" ht="14.4" x14ac:dyDescent="0.3">
      <c r="O189"/>
      <c r="P189"/>
      <c r="Q189"/>
      <c r="R189"/>
      <c r="S189"/>
      <c r="T189"/>
      <c r="U189"/>
    </row>
    <row r="190" spans="15:21" ht="14.4" x14ac:dyDescent="0.3">
      <c r="O190"/>
      <c r="P190"/>
      <c r="Q190"/>
      <c r="R190"/>
      <c r="S190"/>
      <c r="T190"/>
      <c r="U190"/>
    </row>
    <row r="191" spans="15:21" ht="14.4" x14ac:dyDescent="0.3">
      <c r="O191"/>
      <c r="P191"/>
      <c r="Q191"/>
      <c r="R191"/>
      <c r="S191"/>
      <c r="T191"/>
      <c r="U191"/>
    </row>
    <row r="192" spans="15:21" ht="14.4" x14ac:dyDescent="0.3">
      <c r="O192"/>
      <c r="P192"/>
      <c r="Q192"/>
      <c r="R192"/>
      <c r="S192"/>
      <c r="T192"/>
      <c r="U192"/>
    </row>
    <row r="193" spans="15:21" ht="14.4" x14ac:dyDescent="0.3">
      <c r="O193"/>
      <c r="P193"/>
      <c r="Q193"/>
      <c r="R193"/>
      <c r="S193"/>
      <c r="T193"/>
      <c r="U193"/>
    </row>
    <row r="194" spans="15:21" ht="14.4" x14ac:dyDescent="0.3">
      <c r="O194"/>
      <c r="P194"/>
      <c r="Q194"/>
      <c r="R194"/>
      <c r="S194"/>
      <c r="T194"/>
      <c r="U194"/>
    </row>
    <row r="195" spans="15:21" ht="14.4" x14ac:dyDescent="0.3">
      <c r="O195"/>
      <c r="P195"/>
      <c r="Q195"/>
      <c r="R195"/>
      <c r="S195"/>
      <c r="T195"/>
      <c r="U195"/>
    </row>
    <row r="196" spans="15:21" ht="14.4" x14ac:dyDescent="0.3">
      <c r="O196"/>
      <c r="P196"/>
      <c r="Q196"/>
      <c r="R196"/>
      <c r="S196"/>
      <c r="T196"/>
      <c r="U196"/>
    </row>
    <row r="197" spans="15:21" ht="14.4" x14ac:dyDescent="0.3">
      <c r="O197"/>
      <c r="P197"/>
      <c r="Q197"/>
      <c r="R197"/>
      <c r="S197"/>
      <c r="T197"/>
      <c r="U197"/>
    </row>
    <row r="198" spans="15:21" ht="14.4" x14ac:dyDescent="0.3">
      <c r="O198"/>
      <c r="P198"/>
      <c r="Q198"/>
      <c r="R198"/>
      <c r="S198"/>
      <c r="T198"/>
      <c r="U198"/>
    </row>
    <row r="199" spans="15:21" ht="14.4" x14ac:dyDescent="0.3">
      <c r="O199"/>
      <c r="P199"/>
      <c r="Q199"/>
      <c r="R199"/>
      <c r="S199"/>
      <c r="T199"/>
      <c r="U199"/>
    </row>
    <row r="200" spans="15:21" ht="14.4" x14ac:dyDescent="0.3">
      <c r="O200"/>
      <c r="P200"/>
      <c r="Q200"/>
      <c r="R200"/>
      <c r="S200"/>
      <c r="T200"/>
      <c r="U200"/>
    </row>
    <row r="201" spans="15:21" ht="14.4" x14ac:dyDescent="0.3">
      <c r="O201"/>
      <c r="P201"/>
      <c r="Q201"/>
      <c r="R201"/>
      <c r="S201"/>
      <c r="T201"/>
      <c r="U201"/>
    </row>
    <row r="202" spans="15:21" ht="14.4" x14ac:dyDescent="0.3">
      <c r="O202"/>
      <c r="P202"/>
      <c r="Q202"/>
      <c r="R202"/>
      <c r="S202"/>
      <c r="T202"/>
      <c r="U202"/>
    </row>
    <row r="203" spans="15:21" ht="14.4" x14ac:dyDescent="0.3">
      <c r="O203"/>
      <c r="P203"/>
      <c r="Q203"/>
      <c r="R203"/>
      <c r="S203"/>
      <c r="T203"/>
      <c r="U203"/>
    </row>
    <row r="204" spans="15:21" ht="14.4" x14ac:dyDescent="0.3">
      <c r="O204"/>
      <c r="P204"/>
      <c r="Q204"/>
      <c r="R204"/>
      <c r="S204"/>
      <c r="T204"/>
      <c r="U204"/>
    </row>
    <row r="205" spans="15:21" ht="14.4" x14ac:dyDescent="0.3">
      <c r="O205"/>
      <c r="P205"/>
      <c r="Q205"/>
      <c r="R205"/>
      <c r="S205"/>
      <c r="T205"/>
      <c r="U205"/>
    </row>
    <row r="206" spans="15:21" ht="14.4" x14ac:dyDescent="0.3">
      <c r="O206"/>
      <c r="P206"/>
      <c r="Q206"/>
      <c r="R206"/>
      <c r="S206"/>
      <c r="T206"/>
      <c r="U206"/>
    </row>
    <row r="207" spans="15:21" ht="14.4" x14ac:dyDescent="0.3">
      <c r="O207"/>
      <c r="P207"/>
      <c r="Q207"/>
      <c r="R207"/>
      <c r="S207"/>
      <c r="T207"/>
      <c r="U207"/>
    </row>
    <row r="208" spans="15:21" ht="14.4" x14ac:dyDescent="0.3">
      <c r="O208"/>
      <c r="P208"/>
      <c r="Q208"/>
      <c r="R208"/>
      <c r="S208"/>
      <c r="T208"/>
      <c r="U208"/>
    </row>
    <row r="209" spans="15:21" ht="14.4" x14ac:dyDescent="0.3">
      <c r="O209"/>
      <c r="P209"/>
      <c r="Q209"/>
      <c r="R209"/>
      <c r="S209"/>
      <c r="T209"/>
      <c r="U209"/>
    </row>
    <row r="210" spans="15:21" ht="14.4" x14ac:dyDescent="0.3">
      <c r="O210"/>
      <c r="P210"/>
      <c r="Q210"/>
      <c r="R210"/>
      <c r="S210"/>
      <c r="T210"/>
      <c r="U210"/>
    </row>
    <row r="211" spans="15:21" ht="14.4" x14ac:dyDescent="0.3">
      <c r="O211"/>
      <c r="P211"/>
      <c r="Q211"/>
      <c r="R211"/>
      <c r="S211"/>
      <c r="T211"/>
      <c r="U211"/>
    </row>
    <row r="212" spans="15:21" ht="14.4" x14ac:dyDescent="0.3">
      <c r="O212"/>
      <c r="P212"/>
      <c r="Q212"/>
      <c r="R212"/>
      <c r="S212"/>
      <c r="T212"/>
      <c r="U212"/>
    </row>
    <row r="213" spans="15:21" ht="14.4" x14ac:dyDescent="0.3">
      <c r="O213"/>
      <c r="P213"/>
      <c r="Q213"/>
      <c r="R213"/>
      <c r="S213"/>
      <c r="T213"/>
      <c r="U213"/>
    </row>
    <row r="214" spans="15:21" ht="14.4" x14ac:dyDescent="0.3">
      <c r="O214"/>
      <c r="P214"/>
      <c r="Q214"/>
      <c r="R214"/>
      <c r="S214"/>
      <c r="T214"/>
      <c r="U214"/>
    </row>
    <row r="215" spans="15:21" ht="14.4" x14ac:dyDescent="0.3">
      <c r="O215"/>
      <c r="P215"/>
      <c r="Q215"/>
      <c r="R215"/>
      <c r="S215"/>
      <c r="T215"/>
      <c r="U215"/>
    </row>
    <row r="216" spans="15:21" ht="14.4" x14ac:dyDescent="0.3">
      <c r="O216"/>
      <c r="P216"/>
      <c r="Q216"/>
      <c r="R216"/>
      <c r="S216"/>
      <c r="T216"/>
      <c r="U216"/>
    </row>
    <row r="217" spans="15:21" ht="14.4" x14ac:dyDescent="0.3">
      <c r="O217"/>
      <c r="P217"/>
      <c r="Q217"/>
      <c r="R217"/>
      <c r="S217"/>
      <c r="T217"/>
      <c r="U217"/>
    </row>
    <row r="218" spans="15:21" ht="14.4" x14ac:dyDescent="0.3">
      <c r="O218"/>
      <c r="P218"/>
      <c r="Q218"/>
      <c r="R218"/>
      <c r="S218"/>
      <c r="T218"/>
      <c r="U218"/>
    </row>
    <row r="219" spans="15:21" ht="14.4" x14ac:dyDescent="0.3">
      <c r="O219"/>
      <c r="P219"/>
      <c r="Q219"/>
      <c r="R219"/>
      <c r="S219"/>
      <c r="T219"/>
      <c r="U219"/>
    </row>
    <row r="220" spans="15:21" ht="14.4" x14ac:dyDescent="0.3">
      <c r="O220"/>
      <c r="P220"/>
      <c r="Q220"/>
      <c r="R220"/>
      <c r="S220"/>
      <c r="T220"/>
      <c r="U220"/>
    </row>
    <row r="221" spans="15:21" ht="14.4" x14ac:dyDescent="0.3">
      <c r="O221"/>
      <c r="P221"/>
      <c r="Q221"/>
      <c r="R221"/>
      <c r="S221"/>
      <c r="T221"/>
      <c r="U221"/>
    </row>
    <row r="222" spans="15:21" ht="14.4" x14ac:dyDescent="0.3">
      <c r="O222"/>
      <c r="P222"/>
      <c r="Q222"/>
      <c r="R222"/>
      <c r="S222"/>
      <c r="T222"/>
      <c r="U222"/>
    </row>
    <row r="223" spans="15:21" ht="14.4" x14ac:dyDescent="0.3">
      <c r="O223"/>
      <c r="P223"/>
      <c r="Q223"/>
      <c r="R223"/>
      <c r="S223"/>
      <c r="T223"/>
      <c r="U223"/>
    </row>
    <row r="224" spans="15:21" ht="14.4" x14ac:dyDescent="0.3">
      <c r="O224"/>
      <c r="P224"/>
      <c r="Q224"/>
      <c r="R224"/>
      <c r="S224"/>
      <c r="T224"/>
      <c r="U224"/>
    </row>
    <row r="225" spans="15:21" ht="14.4" x14ac:dyDescent="0.3">
      <c r="O225"/>
      <c r="P225"/>
      <c r="Q225"/>
      <c r="R225"/>
      <c r="S225"/>
      <c r="T225"/>
      <c r="U225"/>
    </row>
    <row r="226" spans="15:21" ht="14.4" x14ac:dyDescent="0.3">
      <c r="O226"/>
      <c r="P226"/>
      <c r="Q226"/>
      <c r="R226"/>
      <c r="S226"/>
      <c r="T226"/>
      <c r="U226"/>
    </row>
    <row r="227" spans="15:21" ht="14.4" x14ac:dyDescent="0.3">
      <c r="O227"/>
      <c r="P227"/>
      <c r="Q227"/>
      <c r="R227"/>
      <c r="S227"/>
      <c r="T227"/>
      <c r="U227"/>
    </row>
    <row r="228" spans="15:21" ht="14.4" x14ac:dyDescent="0.3">
      <c r="O228"/>
      <c r="P228"/>
      <c r="Q228"/>
      <c r="R228"/>
      <c r="S228"/>
      <c r="T228"/>
      <c r="U228"/>
    </row>
    <row r="229" spans="15:21" ht="14.4" x14ac:dyDescent="0.3">
      <c r="O229"/>
      <c r="P229"/>
      <c r="Q229"/>
      <c r="R229"/>
      <c r="S229"/>
      <c r="T229"/>
      <c r="U229"/>
    </row>
    <row r="230" spans="15:21" ht="14.4" x14ac:dyDescent="0.3">
      <c r="O230"/>
      <c r="P230"/>
      <c r="Q230"/>
      <c r="R230"/>
      <c r="S230"/>
      <c r="T230"/>
      <c r="U230"/>
    </row>
    <row r="231" spans="15:21" ht="14.4" x14ac:dyDescent="0.3">
      <c r="O231"/>
      <c r="P231"/>
      <c r="Q231"/>
      <c r="R231"/>
      <c r="S231"/>
      <c r="T231"/>
      <c r="U231"/>
    </row>
    <row r="232" spans="15:21" ht="14.4" x14ac:dyDescent="0.3">
      <c r="O232"/>
      <c r="P232"/>
      <c r="Q232"/>
      <c r="R232"/>
      <c r="S232"/>
      <c r="T232"/>
      <c r="U232"/>
    </row>
    <row r="233" spans="15:21" ht="14.4" x14ac:dyDescent="0.3">
      <c r="O233"/>
      <c r="P233"/>
      <c r="Q233"/>
      <c r="R233"/>
      <c r="S233"/>
      <c r="T233"/>
      <c r="U233"/>
    </row>
    <row r="234" spans="15:21" ht="14.4" x14ac:dyDescent="0.3">
      <c r="O234"/>
      <c r="P234"/>
      <c r="Q234"/>
      <c r="R234"/>
      <c r="S234"/>
      <c r="T234"/>
      <c r="U234"/>
    </row>
    <row r="235" spans="15:21" ht="14.4" x14ac:dyDescent="0.3">
      <c r="O235"/>
      <c r="P235"/>
      <c r="Q235"/>
      <c r="R235"/>
      <c r="S235"/>
      <c r="T235"/>
      <c r="U235"/>
    </row>
    <row r="236" spans="15:21" ht="14.4" x14ac:dyDescent="0.3">
      <c r="O236"/>
      <c r="P236"/>
      <c r="Q236"/>
      <c r="R236"/>
      <c r="S236"/>
      <c r="T236"/>
      <c r="U236"/>
    </row>
    <row r="237" spans="15:21" ht="14.4" x14ac:dyDescent="0.3">
      <c r="O237"/>
      <c r="P237"/>
      <c r="Q237"/>
      <c r="R237"/>
      <c r="S237"/>
      <c r="T237"/>
      <c r="U237"/>
    </row>
    <row r="238" spans="15:21" ht="14.4" x14ac:dyDescent="0.3">
      <c r="O238"/>
      <c r="P238"/>
      <c r="Q238"/>
      <c r="R238"/>
      <c r="S238"/>
      <c r="T238"/>
      <c r="U238"/>
    </row>
    <row r="239" spans="15:21" ht="14.4" x14ac:dyDescent="0.3">
      <c r="O239"/>
      <c r="P239"/>
      <c r="Q239"/>
      <c r="R239"/>
      <c r="S239"/>
      <c r="T239"/>
      <c r="U239"/>
    </row>
    <row r="240" spans="15:21" ht="14.4" x14ac:dyDescent="0.3">
      <c r="O240"/>
      <c r="P240"/>
      <c r="Q240"/>
      <c r="R240"/>
      <c r="S240"/>
      <c r="T240"/>
      <c r="U240"/>
    </row>
    <row r="241" spans="15:21" ht="14.4" x14ac:dyDescent="0.3">
      <c r="O241"/>
      <c r="P241"/>
      <c r="Q241"/>
      <c r="R241"/>
      <c r="S241"/>
      <c r="T241"/>
      <c r="U241"/>
    </row>
    <row r="242" spans="15:21" ht="14.4" x14ac:dyDescent="0.3">
      <c r="O242"/>
      <c r="P242"/>
      <c r="Q242"/>
      <c r="R242"/>
      <c r="S242"/>
      <c r="T242"/>
      <c r="U242"/>
    </row>
    <row r="243" spans="15:21" ht="14.4" x14ac:dyDescent="0.3">
      <c r="O243"/>
      <c r="P243"/>
      <c r="Q243"/>
      <c r="R243"/>
      <c r="S243"/>
      <c r="T243"/>
      <c r="U243"/>
    </row>
    <row r="244" spans="15:21" ht="14.4" x14ac:dyDescent="0.3">
      <c r="O244"/>
      <c r="P244"/>
      <c r="Q244"/>
      <c r="R244"/>
      <c r="S244"/>
      <c r="T244"/>
      <c r="U244"/>
    </row>
    <row r="245" spans="15:21" ht="14.4" x14ac:dyDescent="0.3">
      <c r="O245"/>
      <c r="P245"/>
      <c r="Q245"/>
      <c r="R245"/>
      <c r="S245"/>
      <c r="T245"/>
      <c r="U245"/>
    </row>
    <row r="246" spans="15:21" ht="14.4" x14ac:dyDescent="0.3">
      <c r="O246"/>
      <c r="P246"/>
      <c r="Q246"/>
      <c r="R246"/>
      <c r="S246"/>
      <c r="T246"/>
      <c r="U246"/>
    </row>
    <row r="247" spans="15:21" ht="14.4" x14ac:dyDescent="0.3">
      <c r="O247"/>
      <c r="P247"/>
      <c r="Q247"/>
      <c r="R247"/>
      <c r="S247"/>
      <c r="T247"/>
      <c r="U247"/>
    </row>
    <row r="248" spans="15:21" ht="14.4" x14ac:dyDescent="0.3">
      <c r="O248"/>
      <c r="P248"/>
      <c r="Q248"/>
      <c r="R248"/>
      <c r="S248"/>
      <c r="T248"/>
      <c r="U248"/>
    </row>
    <row r="249" spans="15:21" ht="14.4" x14ac:dyDescent="0.3">
      <c r="O249"/>
      <c r="P249"/>
      <c r="Q249"/>
      <c r="R249"/>
      <c r="S249"/>
      <c r="T249"/>
      <c r="U249"/>
    </row>
    <row r="250" spans="15:21" ht="14.4" x14ac:dyDescent="0.3">
      <c r="O250"/>
      <c r="P250"/>
      <c r="Q250"/>
      <c r="R250"/>
      <c r="S250"/>
      <c r="T250"/>
      <c r="U250"/>
    </row>
    <row r="251" spans="15:21" ht="14.4" x14ac:dyDescent="0.3">
      <c r="O251"/>
      <c r="P251"/>
      <c r="Q251"/>
      <c r="R251"/>
      <c r="S251"/>
      <c r="T251"/>
      <c r="U251"/>
    </row>
    <row r="252" spans="15:21" ht="14.4" x14ac:dyDescent="0.3">
      <c r="O252"/>
      <c r="P252"/>
      <c r="Q252"/>
      <c r="R252"/>
      <c r="S252"/>
      <c r="T252"/>
      <c r="U252"/>
    </row>
    <row r="253" spans="15:21" ht="14.4" x14ac:dyDescent="0.3">
      <c r="O253"/>
      <c r="P253"/>
      <c r="Q253"/>
      <c r="R253"/>
      <c r="S253"/>
      <c r="T253"/>
      <c r="U253"/>
    </row>
    <row r="254" spans="15:21" ht="14.4" x14ac:dyDescent="0.3">
      <c r="O254"/>
      <c r="P254"/>
      <c r="Q254"/>
      <c r="R254"/>
      <c r="S254"/>
      <c r="T254"/>
      <c r="U254"/>
    </row>
    <row r="255" spans="15:21" ht="14.4" x14ac:dyDescent="0.3">
      <c r="O255"/>
      <c r="P255"/>
      <c r="Q255"/>
      <c r="R255"/>
      <c r="S255"/>
      <c r="T255"/>
      <c r="U255"/>
    </row>
    <row r="256" spans="15:21" ht="14.4" x14ac:dyDescent="0.3">
      <c r="O256"/>
      <c r="P256"/>
      <c r="Q256"/>
      <c r="R256"/>
      <c r="S256"/>
      <c r="T256"/>
      <c r="U256"/>
    </row>
    <row r="257" spans="15:21" ht="14.4" x14ac:dyDescent="0.3">
      <c r="O257"/>
      <c r="P257"/>
      <c r="Q257"/>
      <c r="R257"/>
      <c r="S257"/>
      <c r="T257"/>
      <c r="U257"/>
    </row>
    <row r="258" spans="15:21" ht="14.4" x14ac:dyDescent="0.3">
      <c r="O258"/>
      <c r="P258"/>
      <c r="Q258"/>
      <c r="R258"/>
      <c r="S258"/>
      <c r="T258"/>
      <c r="U258"/>
    </row>
    <row r="259" spans="15:21" ht="14.4" x14ac:dyDescent="0.3">
      <c r="O259"/>
      <c r="P259"/>
      <c r="Q259"/>
      <c r="R259"/>
      <c r="S259"/>
      <c r="T259"/>
      <c r="U259"/>
    </row>
    <row r="260" spans="15:21" ht="14.4" x14ac:dyDescent="0.3">
      <c r="O260"/>
      <c r="P260"/>
      <c r="Q260"/>
      <c r="R260"/>
      <c r="S260"/>
      <c r="T260"/>
      <c r="U260"/>
    </row>
    <row r="261" spans="15:21" ht="14.4" x14ac:dyDescent="0.3">
      <c r="O261"/>
      <c r="P261"/>
      <c r="Q261"/>
      <c r="R261"/>
      <c r="S261"/>
      <c r="T261"/>
      <c r="U261"/>
    </row>
    <row r="262" spans="15:21" ht="14.4" x14ac:dyDescent="0.3">
      <c r="O262"/>
      <c r="P262"/>
      <c r="Q262"/>
      <c r="R262"/>
      <c r="S262"/>
      <c r="T262"/>
      <c r="U262"/>
    </row>
    <row r="263" spans="15:21" ht="14.4" x14ac:dyDescent="0.3">
      <c r="O263"/>
      <c r="P263"/>
      <c r="Q263"/>
      <c r="R263"/>
      <c r="S263"/>
      <c r="T263"/>
      <c r="U263"/>
    </row>
    <row r="264" spans="15:21" ht="14.4" x14ac:dyDescent="0.3">
      <c r="O264"/>
      <c r="P264"/>
      <c r="Q264"/>
      <c r="R264"/>
      <c r="S264"/>
      <c r="T264"/>
      <c r="U264"/>
    </row>
    <row r="265" spans="15:21" ht="14.4" x14ac:dyDescent="0.3">
      <c r="O265"/>
      <c r="P265"/>
      <c r="Q265"/>
      <c r="R265"/>
      <c r="S265"/>
      <c r="T265"/>
      <c r="U265"/>
    </row>
    <row r="266" spans="15:21" ht="14.4" x14ac:dyDescent="0.3">
      <c r="O266"/>
      <c r="P266"/>
      <c r="Q266"/>
      <c r="R266"/>
      <c r="S266"/>
      <c r="T266"/>
      <c r="U266"/>
    </row>
    <row r="267" spans="15:21" ht="14.4" x14ac:dyDescent="0.3">
      <c r="O267"/>
      <c r="P267"/>
      <c r="Q267"/>
      <c r="R267"/>
      <c r="S267"/>
      <c r="T267"/>
      <c r="U267"/>
    </row>
    <row r="268" spans="15:21" ht="14.4" x14ac:dyDescent="0.3">
      <c r="O268"/>
      <c r="P268"/>
      <c r="Q268"/>
      <c r="R268"/>
      <c r="S268"/>
      <c r="T268"/>
      <c r="U268"/>
    </row>
  </sheetData>
  <mergeCells count="4">
    <mergeCell ref="A3:A18"/>
    <mergeCell ref="A1:L1"/>
    <mergeCell ref="N1:V1"/>
    <mergeCell ref="N3:N18"/>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638C3-9269-4523-B14B-D8D22DE74C86}">
  <sheetPr codeName="Sheet14"/>
  <dimension ref="A1:J2"/>
  <sheetViews>
    <sheetView workbookViewId="0">
      <selection activeCell="A2" sqref="A2"/>
    </sheetView>
  </sheetViews>
  <sheetFormatPr defaultRowHeight="14.4" x14ac:dyDescent="0.3"/>
  <sheetData>
    <row r="1" spans="1:10" ht="21.6" customHeight="1" x14ac:dyDescent="0.3">
      <c r="A1" s="907" t="str">
        <f>"PV - "&amp;Prototype!A2</f>
        <v>PV - SchoolHigh</v>
      </c>
      <c r="B1" s="907"/>
      <c r="C1" s="907"/>
      <c r="D1" s="907"/>
      <c r="E1" s="907"/>
      <c r="F1" s="907"/>
      <c r="G1" s="907"/>
      <c r="H1" s="907"/>
      <c r="I1" s="907"/>
      <c r="J1" s="907"/>
    </row>
    <row r="2" spans="1:10" x14ac:dyDescent="0.3">
      <c r="A2" t="s">
        <v>834</v>
      </c>
    </row>
  </sheetData>
  <mergeCells count="1">
    <mergeCell ref="A1:J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BB9E4-8E7A-41B8-B067-A47E2307C7E6}">
  <sheetPr codeName="Sheet22"/>
  <dimension ref="A1:H11"/>
  <sheetViews>
    <sheetView zoomScaleNormal="70" workbookViewId="0">
      <selection activeCell="A2" sqref="A2"/>
    </sheetView>
  </sheetViews>
  <sheetFormatPr defaultColWidth="8.6640625" defaultRowHeight="13.2" x14ac:dyDescent="0.25"/>
  <cols>
    <col min="1" max="1" width="21" style="4" customWidth="1"/>
    <col min="2" max="2" width="14.33203125" style="4" customWidth="1"/>
    <col min="3" max="3" width="14.5546875" style="4" customWidth="1"/>
    <col min="4" max="8" width="8.6640625" style="4"/>
    <col min="9" max="9" width="13.6640625" style="4" customWidth="1"/>
    <col min="10" max="10" width="14.44140625" style="4" customWidth="1"/>
    <col min="11" max="16384" width="8.6640625" style="4"/>
  </cols>
  <sheetData>
    <row r="1" spans="1:8" ht="20.399999999999999" customHeight="1" x14ac:dyDescent="0.25">
      <c r="A1" s="682" t="str">
        <f>"EV Charger - "&amp;Prototype!A2</f>
        <v>EV Charger - SchoolHigh</v>
      </c>
      <c r="B1" s="682"/>
      <c r="C1" s="682"/>
      <c r="D1" s="682"/>
      <c r="E1" s="682"/>
      <c r="F1" s="682"/>
      <c r="G1" s="682"/>
      <c r="H1" s="682"/>
    </row>
    <row r="2" spans="1:8" ht="14.4" x14ac:dyDescent="0.3">
      <c r="A2" t="s">
        <v>834</v>
      </c>
      <c r="B2" s="39"/>
      <c r="C2" s="40"/>
      <c r="D2" s="41"/>
      <c r="E2" s="41"/>
    </row>
    <row r="3" spans="1:8" x14ac:dyDescent="0.25">
      <c r="A3" s="589"/>
      <c r="B3" s="135"/>
      <c r="C3" s="205"/>
      <c r="D3" s="42"/>
      <c r="E3" s="42"/>
    </row>
    <row r="11" spans="1:8" s="18" customFormat="1" hidden="1" x14ac:dyDescent="0.25">
      <c r="A11" s="18" t="s">
        <v>222</v>
      </c>
      <c r="E11" s="19"/>
      <c r="F11" s="20"/>
      <c r="G11" s="21"/>
    </row>
  </sheetData>
  <mergeCells count="1">
    <mergeCell ref="A1:H1"/>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4BB304-56AE-48A9-ACB2-6F3F57726C56}">
  <sheetPr codeName="Sheet8"/>
  <dimension ref="A1:G83"/>
  <sheetViews>
    <sheetView topLeftCell="A55" workbookViewId="0">
      <selection activeCell="A83" sqref="A83"/>
    </sheetView>
  </sheetViews>
  <sheetFormatPr defaultRowHeight="14.4" x14ac:dyDescent="0.3"/>
  <cols>
    <col min="1" max="1" width="58.6640625" customWidth="1"/>
    <col min="2" max="2" width="30.88671875" customWidth="1"/>
    <col min="3" max="3" width="30.33203125" customWidth="1"/>
  </cols>
  <sheetData>
    <row r="1" spans="1:7" x14ac:dyDescent="0.3">
      <c r="A1" t="s">
        <v>835</v>
      </c>
      <c r="B1" t="s">
        <v>836</v>
      </c>
      <c r="C1" t="s">
        <v>836</v>
      </c>
      <c r="D1" s="908" t="s">
        <v>837</v>
      </c>
      <c r="E1" s="908"/>
      <c r="F1" s="908"/>
      <c r="G1" s="908"/>
    </row>
    <row r="2" spans="1:7" x14ac:dyDescent="0.3">
      <c r="A2" s="586" t="s">
        <v>838</v>
      </c>
      <c r="D2">
        <v>2013</v>
      </c>
      <c r="E2">
        <v>2016</v>
      </c>
      <c r="F2">
        <v>2019</v>
      </c>
      <c r="G2">
        <v>2025</v>
      </c>
    </row>
    <row r="3" spans="1:7" x14ac:dyDescent="0.3">
      <c r="A3" s="586" t="s">
        <v>839</v>
      </c>
    </row>
    <row r="4" spans="1:7" x14ac:dyDescent="0.3">
      <c r="A4" t="s">
        <v>840</v>
      </c>
    </row>
    <row r="5" spans="1:7" x14ac:dyDescent="0.3">
      <c r="A5" t="s">
        <v>841</v>
      </c>
    </row>
    <row r="6" spans="1:7" x14ac:dyDescent="0.3">
      <c r="A6" t="s">
        <v>842</v>
      </c>
    </row>
    <row r="7" spans="1:7" x14ac:dyDescent="0.3">
      <c r="A7" t="s">
        <v>843</v>
      </c>
    </row>
    <row r="8" spans="1:7" x14ac:dyDescent="0.3">
      <c r="A8" t="s">
        <v>844</v>
      </c>
    </row>
    <row r="9" spans="1:7" x14ac:dyDescent="0.3">
      <c r="A9" t="s">
        <v>845</v>
      </c>
    </row>
    <row r="10" spans="1:7" x14ac:dyDescent="0.3">
      <c r="A10" t="s">
        <v>846</v>
      </c>
    </row>
    <row r="11" spans="1:7" x14ac:dyDescent="0.3">
      <c r="A11" t="s">
        <v>847</v>
      </c>
    </row>
    <row r="12" spans="1:7" x14ac:dyDescent="0.3">
      <c r="A12" t="s">
        <v>848</v>
      </c>
    </row>
    <row r="13" spans="1:7" x14ac:dyDescent="0.3">
      <c r="A13" t="s">
        <v>849</v>
      </c>
    </row>
    <row r="14" spans="1:7" x14ac:dyDescent="0.3">
      <c r="A14" t="s">
        <v>850</v>
      </c>
    </row>
    <row r="15" spans="1:7" x14ac:dyDescent="0.3">
      <c r="A15" t="s">
        <v>159</v>
      </c>
    </row>
    <row r="16" spans="1:7" x14ac:dyDescent="0.3">
      <c r="A16" t="s">
        <v>851</v>
      </c>
    </row>
    <row r="17" spans="1:1" x14ac:dyDescent="0.3">
      <c r="A17" t="s">
        <v>108</v>
      </c>
    </row>
    <row r="18" spans="1:1" x14ac:dyDescent="0.3">
      <c r="A18" t="s">
        <v>852</v>
      </c>
    </row>
    <row r="19" spans="1:1" x14ac:dyDescent="0.3">
      <c r="A19" t="s">
        <v>111</v>
      </c>
    </row>
    <row r="20" spans="1:1" x14ac:dyDescent="0.3">
      <c r="A20" t="s">
        <v>853</v>
      </c>
    </row>
    <row r="21" spans="1:1" x14ac:dyDescent="0.3">
      <c r="A21" t="s">
        <v>105</v>
      </c>
    </row>
    <row r="22" spans="1:1" x14ac:dyDescent="0.3">
      <c r="A22" t="s">
        <v>854</v>
      </c>
    </row>
    <row r="23" spans="1:1" x14ac:dyDescent="0.3">
      <c r="A23" t="s">
        <v>114</v>
      </c>
    </row>
    <row r="24" spans="1:1" x14ac:dyDescent="0.3">
      <c r="A24" t="s">
        <v>202</v>
      </c>
    </row>
    <row r="25" spans="1:1" x14ac:dyDescent="0.3">
      <c r="A25" t="s">
        <v>855</v>
      </c>
    </row>
    <row r="26" spans="1:1" x14ac:dyDescent="0.3">
      <c r="A26" t="s">
        <v>856</v>
      </c>
    </row>
    <row r="27" spans="1:1" x14ac:dyDescent="0.3">
      <c r="A27" t="s">
        <v>857</v>
      </c>
    </row>
    <row r="28" spans="1:1" x14ac:dyDescent="0.3">
      <c r="A28" t="s">
        <v>858</v>
      </c>
    </row>
    <row r="29" spans="1:1" x14ac:dyDescent="0.3">
      <c r="A29" t="s">
        <v>859</v>
      </c>
    </row>
    <row r="30" spans="1:1" x14ac:dyDescent="0.3">
      <c r="A30" t="s">
        <v>860</v>
      </c>
    </row>
    <row r="31" spans="1:1" x14ac:dyDescent="0.3">
      <c r="A31" t="s">
        <v>861</v>
      </c>
    </row>
    <row r="32" spans="1:1" x14ac:dyDescent="0.3">
      <c r="A32" t="s">
        <v>862</v>
      </c>
    </row>
    <row r="33" spans="1:1" x14ac:dyDescent="0.3">
      <c r="A33" t="s">
        <v>863</v>
      </c>
    </row>
    <row r="34" spans="1:1" x14ac:dyDescent="0.3">
      <c r="A34" t="s">
        <v>864</v>
      </c>
    </row>
    <row r="35" spans="1:1" x14ac:dyDescent="0.3">
      <c r="A35" t="s">
        <v>865</v>
      </c>
    </row>
    <row r="36" spans="1:1" x14ac:dyDescent="0.3">
      <c r="A36" t="s">
        <v>120</v>
      </c>
    </row>
    <row r="37" spans="1:1" x14ac:dyDescent="0.3">
      <c r="A37" t="s">
        <v>866</v>
      </c>
    </row>
    <row r="38" spans="1:1" x14ac:dyDescent="0.3">
      <c r="A38" t="s">
        <v>148</v>
      </c>
    </row>
    <row r="39" spans="1:1" x14ac:dyDescent="0.3">
      <c r="A39" t="s">
        <v>867</v>
      </c>
    </row>
    <row r="40" spans="1:1" x14ac:dyDescent="0.3">
      <c r="A40" t="s">
        <v>152</v>
      </c>
    </row>
    <row r="41" spans="1:1" x14ac:dyDescent="0.3">
      <c r="A41" t="s">
        <v>868</v>
      </c>
    </row>
    <row r="42" spans="1:1" x14ac:dyDescent="0.3">
      <c r="A42" t="s">
        <v>124</v>
      </c>
    </row>
    <row r="43" spans="1:1" x14ac:dyDescent="0.3">
      <c r="A43" t="s">
        <v>208</v>
      </c>
    </row>
    <row r="44" spans="1:1" x14ac:dyDescent="0.3">
      <c r="A44" t="s">
        <v>100</v>
      </c>
    </row>
    <row r="45" spans="1:1" x14ac:dyDescent="0.3">
      <c r="A45" t="s">
        <v>869</v>
      </c>
    </row>
    <row r="46" spans="1:1" x14ac:dyDescent="0.3">
      <c r="A46" t="s">
        <v>870</v>
      </c>
    </row>
    <row r="47" spans="1:1" x14ac:dyDescent="0.3">
      <c r="A47" t="s">
        <v>871</v>
      </c>
    </row>
    <row r="48" spans="1:1" x14ac:dyDescent="0.3">
      <c r="A48" t="s">
        <v>872</v>
      </c>
    </row>
    <row r="49" spans="1:1" x14ac:dyDescent="0.3">
      <c r="A49" t="s">
        <v>873</v>
      </c>
    </row>
    <row r="50" spans="1:1" x14ac:dyDescent="0.3">
      <c r="A50" t="s">
        <v>874</v>
      </c>
    </row>
    <row r="51" spans="1:1" x14ac:dyDescent="0.3">
      <c r="A51" t="s">
        <v>127</v>
      </c>
    </row>
    <row r="52" spans="1:1" x14ac:dyDescent="0.3">
      <c r="A52" t="s">
        <v>875</v>
      </c>
    </row>
    <row r="53" spans="1:1" x14ac:dyDescent="0.3">
      <c r="A53" t="s">
        <v>876</v>
      </c>
    </row>
    <row r="54" spans="1:1" x14ac:dyDescent="0.3">
      <c r="A54" t="s">
        <v>877</v>
      </c>
    </row>
    <row r="55" spans="1:1" x14ac:dyDescent="0.3">
      <c r="A55" t="s">
        <v>878</v>
      </c>
    </row>
    <row r="56" spans="1:1" x14ac:dyDescent="0.3">
      <c r="A56" t="s">
        <v>879</v>
      </c>
    </row>
    <row r="57" spans="1:1" x14ac:dyDescent="0.3">
      <c r="A57" t="s">
        <v>880</v>
      </c>
    </row>
    <row r="58" spans="1:1" x14ac:dyDescent="0.3">
      <c r="A58" t="s">
        <v>881</v>
      </c>
    </row>
    <row r="59" spans="1:1" x14ac:dyDescent="0.3">
      <c r="A59" t="s">
        <v>130</v>
      </c>
    </row>
    <row r="60" spans="1:1" x14ac:dyDescent="0.3">
      <c r="A60" t="s">
        <v>882</v>
      </c>
    </row>
    <row r="61" spans="1:1" x14ac:dyDescent="0.3">
      <c r="A61" t="s">
        <v>883</v>
      </c>
    </row>
    <row r="62" spans="1:1" x14ac:dyDescent="0.3">
      <c r="A62" t="s">
        <v>137</v>
      </c>
    </row>
    <row r="63" spans="1:1" x14ac:dyDescent="0.3">
      <c r="A63" t="s">
        <v>884</v>
      </c>
    </row>
    <row r="64" spans="1:1" x14ac:dyDescent="0.3">
      <c r="A64" t="s">
        <v>134</v>
      </c>
    </row>
    <row r="65" spans="1:1" x14ac:dyDescent="0.3">
      <c r="A65" t="s">
        <v>885</v>
      </c>
    </row>
    <row r="66" spans="1:1" x14ac:dyDescent="0.3">
      <c r="A66" t="s">
        <v>886</v>
      </c>
    </row>
    <row r="67" spans="1:1" x14ac:dyDescent="0.3">
      <c r="A67" t="s">
        <v>887</v>
      </c>
    </row>
    <row r="68" spans="1:1" x14ac:dyDescent="0.3">
      <c r="A68" t="s">
        <v>888</v>
      </c>
    </row>
    <row r="69" spans="1:1" x14ac:dyDescent="0.3">
      <c r="A69" t="s">
        <v>889</v>
      </c>
    </row>
    <row r="70" spans="1:1" x14ac:dyDescent="0.3">
      <c r="A70" t="s">
        <v>140</v>
      </c>
    </row>
    <row r="71" spans="1:1" x14ac:dyDescent="0.3">
      <c r="A71" t="s">
        <v>890</v>
      </c>
    </row>
    <row r="72" spans="1:1" x14ac:dyDescent="0.3">
      <c r="A72" t="s">
        <v>891</v>
      </c>
    </row>
    <row r="73" spans="1:1" x14ac:dyDescent="0.3">
      <c r="A73" t="s">
        <v>892</v>
      </c>
    </row>
    <row r="74" spans="1:1" x14ac:dyDescent="0.3">
      <c r="A74" t="s">
        <v>893</v>
      </c>
    </row>
    <row r="75" spans="1:1" x14ac:dyDescent="0.3">
      <c r="A75" t="s">
        <v>894</v>
      </c>
    </row>
    <row r="76" spans="1:1" x14ac:dyDescent="0.3">
      <c r="A76" t="s">
        <v>895</v>
      </c>
    </row>
    <row r="77" spans="1:1" x14ac:dyDescent="0.3">
      <c r="A77" t="s">
        <v>896</v>
      </c>
    </row>
    <row r="78" spans="1:1" x14ac:dyDescent="0.3">
      <c r="A78" t="s">
        <v>897</v>
      </c>
    </row>
    <row r="79" spans="1:1" x14ac:dyDescent="0.3">
      <c r="A79" t="s">
        <v>576</v>
      </c>
    </row>
    <row r="80" spans="1:1" x14ac:dyDescent="0.3">
      <c r="A80" t="s">
        <v>898</v>
      </c>
    </row>
    <row r="81" spans="1:1" x14ac:dyDescent="0.3">
      <c r="A81" t="s">
        <v>899</v>
      </c>
    </row>
    <row r="82" spans="1:1" x14ac:dyDescent="0.3">
      <c r="A82" t="s">
        <v>900</v>
      </c>
    </row>
    <row r="83" spans="1:1" x14ac:dyDescent="0.3">
      <c r="A83" t="s">
        <v>194</v>
      </c>
    </row>
  </sheetData>
  <mergeCells count="1">
    <mergeCell ref="D1:G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C2528-244E-42F6-AB8E-307C68E3EB6B}">
  <sheetPr codeName="Sheet21"/>
  <dimension ref="A1:AG45"/>
  <sheetViews>
    <sheetView zoomScaleNormal="100" workbookViewId="0">
      <selection sqref="A1:G1"/>
    </sheetView>
  </sheetViews>
  <sheetFormatPr defaultColWidth="8.6640625" defaultRowHeight="13.2" x14ac:dyDescent="0.25"/>
  <cols>
    <col min="1" max="2" width="12" style="4" customWidth="1"/>
    <col min="3" max="6" width="13.6640625" style="4" customWidth="1"/>
    <col min="7" max="7" width="13.33203125" style="4" customWidth="1"/>
    <col min="8" max="8" width="12.6640625" style="4" bestFit="1" customWidth="1"/>
    <col min="9" max="9" width="8.6640625" style="4"/>
    <col min="10" max="10" width="12" style="4" customWidth="1"/>
    <col min="11" max="11" width="14.109375" style="4" customWidth="1"/>
    <col min="12" max="12" width="10.33203125" style="4" customWidth="1"/>
    <col min="13" max="27" width="5.6640625" style="4" customWidth="1"/>
    <col min="28" max="16384" width="8.6640625" style="4"/>
  </cols>
  <sheetData>
    <row r="1" spans="1:33" ht="28.95" customHeight="1" x14ac:dyDescent="0.3">
      <c r="A1" s="726" t="str">
        <f>"% of Floor Area per CZ and Vintage Bin - "&amp;Prototype!A2</f>
        <v>% of Floor Area per CZ and Vintage Bin - SchoolHigh</v>
      </c>
      <c r="B1" s="726"/>
      <c r="C1" s="726"/>
      <c r="D1" s="726"/>
      <c r="E1" s="726"/>
      <c r="F1" s="726"/>
      <c r="G1" s="726"/>
      <c r="I1"/>
      <c r="J1" s="909" t="str">
        <f>"% of floor area per CZ and vintage bin - "&amp; Prototype!A2</f>
        <v>% of floor area per CZ and vintage bin - SchoolHigh</v>
      </c>
      <c r="K1" s="909"/>
      <c r="L1" s="909"/>
      <c r="M1" s="909"/>
      <c r="N1" s="909"/>
      <c r="O1" s="909"/>
      <c r="P1" s="909"/>
      <c r="Q1" s="909"/>
      <c r="R1" s="909"/>
      <c r="S1" s="909"/>
      <c r="T1" s="909"/>
      <c r="U1" s="909"/>
      <c r="V1" s="909"/>
      <c r="W1" s="909"/>
      <c r="X1" s="909"/>
      <c r="Y1" s="909"/>
      <c r="Z1" s="909"/>
      <c r="AA1" s="909"/>
      <c r="AB1"/>
      <c r="AC1"/>
      <c r="AD1" s="476"/>
      <c r="AE1" s="476"/>
      <c r="AF1" s="476"/>
      <c r="AG1" s="476"/>
    </row>
    <row r="2" spans="1:33" ht="21" customHeight="1" x14ac:dyDescent="0.3">
      <c r="A2" s="923" t="s">
        <v>5</v>
      </c>
      <c r="B2" s="923" t="s">
        <v>814</v>
      </c>
      <c r="C2" s="920" t="s">
        <v>901</v>
      </c>
      <c r="D2" s="921"/>
      <c r="E2" s="921"/>
      <c r="F2" s="921"/>
      <c r="G2" s="922"/>
      <c r="I2"/>
      <c r="J2" s="910" t="s">
        <v>5</v>
      </c>
      <c r="K2" s="910" t="s">
        <v>901</v>
      </c>
      <c r="L2" s="912" t="s">
        <v>814</v>
      </c>
      <c r="M2" s="913"/>
      <c r="N2" s="913"/>
      <c r="O2" s="913"/>
      <c r="P2" s="913"/>
      <c r="Q2" s="913"/>
      <c r="R2" s="913"/>
      <c r="S2" s="913"/>
      <c r="T2" s="913"/>
      <c r="U2" s="913"/>
      <c r="V2" s="913"/>
      <c r="W2" s="913"/>
      <c r="X2" s="913"/>
      <c r="Y2" s="913"/>
      <c r="Z2" s="913"/>
      <c r="AA2" s="913"/>
      <c r="AB2"/>
      <c r="AC2"/>
      <c r="AD2" s="477"/>
      <c r="AE2" s="477"/>
      <c r="AF2" s="477"/>
      <c r="AG2" s="477"/>
    </row>
    <row r="3" spans="1:33" ht="21" customHeight="1" x14ac:dyDescent="0.3">
      <c r="A3" s="924"/>
      <c r="B3" s="924"/>
      <c r="C3" s="175" t="s">
        <v>902</v>
      </c>
      <c r="D3" s="175" t="s">
        <v>252</v>
      </c>
      <c r="E3" s="175" t="s">
        <v>254</v>
      </c>
      <c r="F3" s="175" t="s">
        <v>256</v>
      </c>
      <c r="G3" s="175"/>
      <c r="I3"/>
      <c r="J3" s="911"/>
      <c r="K3" s="911"/>
      <c r="L3" s="72">
        <v>1</v>
      </c>
      <c r="M3" s="72">
        <v>2</v>
      </c>
      <c r="N3" s="72">
        <v>3</v>
      </c>
      <c r="O3" s="72">
        <v>4</v>
      </c>
      <c r="P3" s="72">
        <v>5</v>
      </c>
      <c r="Q3" s="72">
        <v>6</v>
      </c>
      <c r="R3" s="72">
        <v>7</v>
      </c>
      <c r="S3" s="72">
        <v>8</v>
      </c>
      <c r="T3" s="72">
        <v>9</v>
      </c>
      <c r="U3" s="72">
        <v>10</v>
      </c>
      <c r="V3" s="72">
        <v>11</v>
      </c>
      <c r="W3" s="72">
        <v>12</v>
      </c>
      <c r="X3" s="72">
        <v>13</v>
      </c>
      <c r="Y3" s="72">
        <v>14</v>
      </c>
      <c r="Z3" s="72">
        <v>15</v>
      </c>
      <c r="AA3" s="72">
        <v>16</v>
      </c>
      <c r="AB3"/>
      <c r="AC3"/>
      <c r="AD3" s="24"/>
      <c r="AE3" s="24"/>
      <c r="AF3" s="24"/>
      <c r="AG3" s="24"/>
    </row>
    <row r="4" spans="1:33" ht="16.95" customHeight="1" x14ac:dyDescent="0.3">
      <c r="A4" s="917" t="s">
        <v>903</v>
      </c>
      <c r="B4" s="86">
        <v>1</v>
      </c>
      <c r="C4" s="174">
        <v>0.5614751</v>
      </c>
      <c r="D4" s="174">
        <v>0.31697930000000002</v>
      </c>
      <c r="E4" s="174">
        <v>8.7921799999999994E-2</v>
      </c>
      <c r="F4" s="174">
        <v>3.3623800000000002E-2</v>
      </c>
      <c r="G4" s="50"/>
      <c r="H4" s="58">
        <f>SUM(C4:F4)</f>
        <v>1</v>
      </c>
      <c r="I4"/>
      <c r="J4" s="914" t="s">
        <v>903</v>
      </c>
      <c r="K4" s="480" t="s">
        <v>902</v>
      </c>
      <c r="L4" s="473">
        <v>8.9770000000000006E-3</v>
      </c>
      <c r="M4" s="473">
        <v>2.1094000000000002E-2</v>
      </c>
      <c r="N4" s="473">
        <v>7.2234999999999994E-2</v>
      </c>
      <c r="O4" s="473">
        <v>3.7624999999999999E-2</v>
      </c>
      <c r="P4" s="473">
        <v>6.8019999999999999E-3</v>
      </c>
      <c r="Q4" s="473">
        <v>8.4541000000000005E-2</v>
      </c>
      <c r="R4" s="473">
        <v>2.215E-2</v>
      </c>
      <c r="S4" s="473">
        <v>0.138845</v>
      </c>
      <c r="T4" s="473">
        <v>0.21124399999999999</v>
      </c>
      <c r="U4" s="473">
        <v>6.6480999999999998E-2</v>
      </c>
      <c r="V4" s="473">
        <v>3.8748999999999999E-2</v>
      </c>
      <c r="W4" s="473">
        <v>0.115342</v>
      </c>
      <c r="X4" s="473">
        <v>3.6419E-2</v>
      </c>
      <c r="Y4" s="473">
        <v>2.6537999999999999E-2</v>
      </c>
      <c r="Z4" s="473">
        <v>2.4347000000000001E-2</v>
      </c>
      <c r="AA4" s="473">
        <v>8.8610999999999995E-2</v>
      </c>
      <c r="AB4" s="475">
        <f>SUM(L4:AA4)</f>
        <v>0.99999999999999989</v>
      </c>
      <c r="AC4"/>
      <c r="AD4" s="24"/>
      <c r="AE4" s="24"/>
      <c r="AF4" s="24"/>
      <c r="AG4" s="24"/>
    </row>
    <row r="5" spans="1:33" ht="16.95" customHeight="1" x14ac:dyDescent="0.3">
      <c r="A5" s="918"/>
      <c r="B5" s="32">
        <v>2</v>
      </c>
      <c r="C5" s="33">
        <v>0.87573939999999995</v>
      </c>
      <c r="D5" s="33">
        <v>7.1794999999999998E-2</v>
      </c>
      <c r="E5" s="33">
        <v>3.8399200000000001E-2</v>
      </c>
      <c r="F5" s="33">
        <v>1.40663E-2</v>
      </c>
      <c r="G5" s="43"/>
      <c r="H5" s="58">
        <f t="shared" ref="H5:H20" si="0">SUM(C5:F5)</f>
        <v>0.99999989999999983</v>
      </c>
      <c r="I5"/>
      <c r="J5" s="915"/>
      <c r="K5" s="480" t="s">
        <v>252</v>
      </c>
      <c r="L5" s="473">
        <v>1.1899E-2</v>
      </c>
      <c r="M5" s="473">
        <v>4.0600000000000002E-3</v>
      </c>
      <c r="N5" s="473">
        <v>5.3679999999999999E-2</v>
      </c>
      <c r="O5" s="473">
        <v>2.3209E-2</v>
      </c>
      <c r="P5" s="473">
        <v>1.2539E-2</v>
      </c>
      <c r="Q5" s="473">
        <v>4.1864999999999999E-2</v>
      </c>
      <c r="R5" s="473">
        <v>4.4692000000000003E-2</v>
      </c>
      <c r="S5" s="473">
        <v>6.1343000000000002E-2</v>
      </c>
      <c r="T5" s="473">
        <v>0.12493700000000001</v>
      </c>
      <c r="U5" s="473">
        <v>9.5931000000000002E-2</v>
      </c>
      <c r="V5" s="473">
        <v>5.8408000000000002E-2</v>
      </c>
      <c r="W5" s="473">
        <v>0.18781</v>
      </c>
      <c r="X5" s="473">
        <v>9.1875999999999999E-2</v>
      </c>
      <c r="Y5" s="473">
        <v>2.1377E-2</v>
      </c>
      <c r="Z5" s="473">
        <v>5.7022000000000003E-2</v>
      </c>
      <c r="AA5" s="473">
        <v>0.109352</v>
      </c>
      <c r="AB5" s="475">
        <f t="shared" ref="AB5:AB9" si="1">SUM(L5:AA5)</f>
        <v>1</v>
      </c>
      <c r="AC5"/>
      <c r="AD5" s="24"/>
      <c r="AE5" s="24"/>
      <c r="AF5" s="24"/>
      <c r="AG5" s="24"/>
    </row>
    <row r="6" spans="1:33" ht="16.95" customHeight="1" x14ac:dyDescent="0.3">
      <c r="A6" s="918"/>
      <c r="B6" s="32">
        <v>3</v>
      </c>
      <c r="C6" s="33">
        <v>0.74164269999999999</v>
      </c>
      <c r="D6" s="33">
        <v>0.23473820000000001</v>
      </c>
      <c r="E6" s="33">
        <v>1.64353E-2</v>
      </c>
      <c r="F6" s="33">
        <v>7.1837000000000003E-3</v>
      </c>
      <c r="G6" s="43"/>
      <c r="H6" s="58">
        <f t="shared" si="0"/>
        <v>0.99999990000000005</v>
      </c>
      <c r="I6"/>
      <c r="J6" s="915"/>
      <c r="K6" s="480" t="s">
        <v>254</v>
      </c>
      <c r="L6" s="473">
        <v>4.9569999999999996E-3</v>
      </c>
      <c r="M6" s="473">
        <v>3.2620000000000001E-3</v>
      </c>
      <c r="N6" s="473">
        <v>5.6449999999999998E-3</v>
      </c>
      <c r="O6" s="473">
        <v>1.7539999999999999E-3</v>
      </c>
      <c r="P6" s="473">
        <v>1.078E-3</v>
      </c>
      <c r="Q6" s="473">
        <v>4.6588999999999998E-2</v>
      </c>
      <c r="R6" s="473">
        <v>5.1164000000000001E-2</v>
      </c>
      <c r="S6" s="473">
        <v>7.5403999999999999E-2</v>
      </c>
      <c r="T6" s="473">
        <v>9.1660000000000005E-2</v>
      </c>
      <c r="U6" s="473">
        <v>0.22739899999999999</v>
      </c>
      <c r="V6" s="473">
        <v>2.0951000000000001E-2</v>
      </c>
      <c r="W6" s="473">
        <v>8.7443000000000007E-2</v>
      </c>
      <c r="X6" s="473">
        <v>5.4568999999999999E-2</v>
      </c>
      <c r="Y6" s="473">
        <v>2.5505E-2</v>
      </c>
      <c r="Z6" s="473">
        <v>0.21378</v>
      </c>
      <c r="AA6" s="473">
        <v>8.8840000000000002E-2</v>
      </c>
      <c r="AB6" s="475">
        <f t="shared" si="1"/>
        <v>1</v>
      </c>
      <c r="AC6"/>
      <c r="AD6" s="24"/>
      <c r="AE6" s="24"/>
      <c r="AF6" s="24"/>
      <c r="AG6" s="24"/>
    </row>
    <row r="7" spans="1:33" ht="16.95" customHeight="1" x14ac:dyDescent="0.3">
      <c r="A7" s="918"/>
      <c r="B7" s="32">
        <v>4</v>
      </c>
      <c r="C7" s="33">
        <v>0.77838629999999998</v>
      </c>
      <c r="D7" s="33">
        <v>0.2044994</v>
      </c>
      <c r="E7" s="33">
        <v>1.02904E-2</v>
      </c>
      <c r="F7" s="33">
        <v>6.8238999999999999E-3</v>
      </c>
      <c r="G7" s="43"/>
      <c r="H7" s="58">
        <f t="shared" si="0"/>
        <v>1</v>
      </c>
      <c r="I7"/>
      <c r="J7" s="915"/>
      <c r="K7" s="480" t="s">
        <v>256</v>
      </c>
      <c r="L7" s="473">
        <v>5.0029999999999996E-3</v>
      </c>
      <c r="M7" s="473">
        <v>3.153E-3</v>
      </c>
      <c r="N7" s="473">
        <v>6.5120000000000004E-3</v>
      </c>
      <c r="O7" s="473">
        <v>3.0699999999999998E-3</v>
      </c>
      <c r="P7" s="473">
        <v>9.1E-4</v>
      </c>
      <c r="Q7" s="473">
        <v>5.2359999999999997E-2</v>
      </c>
      <c r="R7" s="473">
        <v>0.16821</v>
      </c>
      <c r="S7" s="473">
        <v>6.9444000000000006E-2</v>
      </c>
      <c r="T7" s="473">
        <v>6.6328999999999999E-2</v>
      </c>
      <c r="U7" s="473">
        <v>0.20932799999999999</v>
      </c>
      <c r="V7" s="473">
        <v>1.2806E-2</v>
      </c>
      <c r="W7" s="473">
        <v>6.7005999999999996E-2</v>
      </c>
      <c r="X7" s="473">
        <v>6.4526E-2</v>
      </c>
      <c r="Y7" s="473">
        <v>4.6051000000000002E-2</v>
      </c>
      <c r="Z7" s="473">
        <v>5.2484000000000003E-2</v>
      </c>
      <c r="AA7" s="473">
        <v>0.17280699999999999</v>
      </c>
      <c r="AB7" s="475">
        <f t="shared" si="1"/>
        <v>0.99999899999999986</v>
      </c>
      <c r="AC7"/>
      <c r="AD7" s="57"/>
      <c r="AE7" s="57"/>
      <c r="AF7" s="57"/>
      <c r="AG7" s="57"/>
    </row>
    <row r="8" spans="1:33" ht="16.95" customHeight="1" x14ac:dyDescent="0.3">
      <c r="A8" s="918"/>
      <c r="B8" s="32">
        <v>5</v>
      </c>
      <c r="C8" s="33">
        <v>0.54217349999999997</v>
      </c>
      <c r="D8" s="33">
        <v>0.42567199999999999</v>
      </c>
      <c r="E8" s="33">
        <v>2.4365700000000001E-2</v>
      </c>
      <c r="F8" s="33">
        <v>7.7888000000000002E-3</v>
      </c>
      <c r="G8" s="43"/>
      <c r="H8" s="58">
        <f t="shared" si="0"/>
        <v>1</v>
      </c>
      <c r="I8"/>
      <c r="J8" s="915"/>
      <c r="K8" s="480"/>
      <c r="L8" s="474"/>
      <c r="M8" s="474"/>
      <c r="N8" s="474"/>
      <c r="O8" s="474"/>
      <c r="P8" s="474"/>
      <c r="Q8" s="474"/>
      <c r="R8" s="474"/>
      <c r="S8" s="474"/>
      <c r="T8" s="474"/>
      <c r="U8" s="474"/>
      <c r="V8" s="474"/>
      <c r="W8" s="474"/>
      <c r="X8" s="474"/>
      <c r="Y8" s="474"/>
      <c r="Z8" s="474"/>
      <c r="AA8" s="474"/>
      <c r="AB8" s="475"/>
      <c r="AC8"/>
      <c r="AD8" s="478"/>
      <c r="AE8" s="478"/>
      <c r="AF8" s="478"/>
      <c r="AG8" s="478"/>
    </row>
    <row r="9" spans="1:33" ht="16.95" customHeight="1" x14ac:dyDescent="0.3">
      <c r="A9" s="918"/>
      <c r="B9" s="32">
        <v>6</v>
      </c>
      <c r="C9" s="33">
        <v>0.69748379999999999</v>
      </c>
      <c r="D9" s="33">
        <v>0.14711109999999999</v>
      </c>
      <c r="E9" s="33">
        <v>0.1089907</v>
      </c>
      <c r="F9" s="33">
        <v>4.6414400000000001E-2</v>
      </c>
      <c r="G9" s="43"/>
      <c r="H9" s="58">
        <f t="shared" si="0"/>
        <v>0.99999999999999989</v>
      </c>
      <c r="I9"/>
      <c r="J9" s="916"/>
      <c r="K9" s="480" t="s">
        <v>221</v>
      </c>
      <c r="L9" s="473">
        <v>8.8000000000000005E-3</v>
      </c>
      <c r="M9" s="473">
        <v>1.3257E-2</v>
      </c>
      <c r="N9" s="473">
        <v>5.3607000000000002E-2</v>
      </c>
      <c r="O9" s="473">
        <v>2.6603999999999999E-2</v>
      </c>
      <c r="P9" s="473">
        <v>6.9049999999999997E-3</v>
      </c>
      <c r="Q9" s="473">
        <v>6.6711000000000006E-2</v>
      </c>
      <c r="R9" s="473">
        <v>4.0599999999999997E-2</v>
      </c>
      <c r="S9" s="473">
        <v>0.106672</v>
      </c>
      <c r="T9" s="473">
        <v>0.16378000000000001</v>
      </c>
      <c r="U9" s="473">
        <v>0.106945</v>
      </c>
      <c r="V9" s="473">
        <v>3.9045999999999997E-2</v>
      </c>
      <c r="W9" s="473">
        <v>0.12511700000000001</v>
      </c>
      <c r="X9" s="473">
        <v>5.3913999999999997E-2</v>
      </c>
      <c r="Y9" s="473">
        <v>2.6321000000000001E-2</v>
      </c>
      <c r="Z9" s="473">
        <v>6.3233999999999999E-2</v>
      </c>
      <c r="AA9" s="473">
        <v>9.8488000000000006E-2</v>
      </c>
      <c r="AB9" s="475">
        <f t="shared" si="1"/>
        <v>1.0000010000000001</v>
      </c>
      <c r="AC9"/>
      <c r="AD9" s="478"/>
      <c r="AE9" s="478"/>
      <c r="AF9" s="478"/>
      <c r="AG9" s="478"/>
    </row>
    <row r="10" spans="1:33" ht="16.95" customHeight="1" x14ac:dyDescent="0.3">
      <c r="A10" s="918"/>
      <c r="B10" s="32">
        <v>7</v>
      </c>
      <c r="C10" s="33">
        <v>0.30027799999999999</v>
      </c>
      <c r="D10" s="33">
        <v>0.25804440000000001</v>
      </c>
      <c r="E10" s="33">
        <v>0.1966736</v>
      </c>
      <c r="F10" s="33">
        <v>0.2450039</v>
      </c>
      <c r="G10" s="43"/>
      <c r="H10" s="58">
        <f t="shared" si="0"/>
        <v>0.99999989999999994</v>
      </c>
      <c r="I10"/>
      <c r="J10"/>
      <c r="K10" s="472"/>
      <c r="L10" s="472"/>
      <c r="M10" s="472"/>
      <c r="N10" s="472"/>
      <c r="O10" s="472"/>
      <c r="P10" s="472"/>
      <c r="Q10" s="472"/>
      <c r="R10" s="472"/>
      <c r="S10" s="472"/>
      <c r="T10" s="472"/>
      <c r="U10" s="472"/>
      <c r="V10" s="472"/>
      <c r="W10" s="472"/>
      <c r="X10" s="472"/>
      <c r="Y10" s="472"/>
      <c r="Z10" s="472"/>
      <c r="AA10"/>
      <c r="AB10"/>
      <c r="AC10"/>
      <c r="AD10" s="478"/>
      <c r="AE10" s="478"/>
      <c r="AF10" s="478"/>
      <c r="AG10" s="478"/>
    </row>
    <row r="11" spans="1:33" ht="16.95" customHeight="1" x14ac:dyDescent="0.3">
      <c r="A11" s="918"/>
      <c r="B11" s="32">
        <v>8</v>
      </c>
      <c r="C11" s="33">
        <v>0.71638029999999997</v>
      </c>
      <c r="D11" s="33">
        <v>0.13480400000000001</v>
      </c>
      <c r="E11" s="33">
        <v>0.11031870000000001</v>
      </c>
      <c r="F11" s="33">
        <v>3.8497000000000003E-2</v>
      </c>
      <c r="G11" s="43"/>
      <c r="H11" s="58">
        <f t="shared" si="0"/>
        <v>1</v>
      </c>
      <c r="J11" s="6"/>
      <c r="K11" s="472"/>
      <c r="L11" s="472"/>
      <c r="M11" s="472"/>
      <c r="N11" s="472"/>
      <c r="O11" s="472"/>
      <c r="P11" s="472"/>
      <c r="Q11" s="472"/>
      <c r="R11" s="472"/>
      <c r="S11" s="472"/>
      <c r="T11" s="472"/>
      <c r="U11" s="472"/>
      <c r="V11" s="472"/>
      <c r="W11" s="472"/>
      <c r="X11" s="472"/>
      <c r="Y11" s="472"/>
      <c r="Z11" s="472"/>
      <c r="AD11" s="478"/>
      <c r="AE11" s="478"/>
      <c r="AF11" s="478"/>
      <c r="AG11" s="478"/>
    </row>
    <row r="12" spans="1:33" ht="16.95" customHeight="1" x14ac:dyDescent="0.25">
      <c r="A12" s="918"/>
      <c r="B12" s="32">
        <v>9</v>
      </c>
      <c r="C12" s="33">
        <v>0.70988580000000001</v>
      </c>
      <c r="D12" s="33">
        <v>0.1788227</v>
      </c>
      <c r="E12" s="33">
        <v>8.7342600000000006E-2</v>
      </c>
      <c r="F12" s="33">
        <v>2.3948899999999999E-2</v>
      </c>
      <c r="G12" s="43"/>
      <c r="H12" s="58">
        <f t="shared" si="0"/>
        <v>1</v>
      </c>
      <c r="J12" s="476"/>
      <c r="K12" s="477"/>
      <c r="L12" s="24"/>
      <c r="M12" s="24"/>
      <c r="N12" s="24"/>
      <c r="O12" s="24"/>
      <c r="P12" s="57"/>
      <c r="Q12" s="478"/>
      <c r="R12" s="478"/>
      <c r="S12" s="478"/>
      <c r="T12" s="478"/>
      <c r="U12" s="478"/>
      <c r="V12" s="478"/>
      <c r="W12" s="478"/>
      <c r="X12" s="478"/>
      <c r="Y12" s="478"/>
      <c r="Z12" s="478"/>
      <c r="AD12" s="478"/>
      <c r="AE12" s="478"/>
      <c r="AF12" s="478"/>
      <c r="AG12" s="478"/>
    </row>
    <row r="13" spans="1:33" ht="16.95" customHeight="1" x14ac:dyDescent="0.25">
      <c r="A13" s="918"/>
      <c r="B13" s="32">
        <v>10</v>
      </c>
      <c r="C13" s="33">
        <v>0.3421363</v>
      </c>
      <c r="D13" s="33">
        <v>0.21027509999999999</v>
      </c>
      <c r="E13" s="33">
        <v>0.33184160000000001</v>
      </c>
      <c r="F13" s="33">
        <v>0.11574710000000001</v>
      </c>
      <c r="G13" s="43"/>
      <c r="H13" s="58">
        <f t="shared" si="0"/>
        <v>1.0000001000000001</v>
      </c>
      <c r="J13" s="476"/>
      <c r="K13" s="477"/>
      <c r="L13" s="24"/>
      <c r="M13" s="24"/>
      <c r="N13" s="24"/>
      <c r="O13" s="24"/>
      <c r="P13" s="57"/>
      <c r="Q13" s="478"/>
      <c r="R13" s="478"/>
      <c r="S13" s="478"/>
      <c r="T13" s="478"/>
      <c r="U13" s="478"/>
      <c r="V13" s="478"/>
      <c r="W13" s="478"/>
      <c r="X13" s="478"/>
      <c r="Y13" s="478"/>
      <c r="Z13" s="478"/>
      <c r="AD13" s="478"/>
      <c r="AE13" s="478"/>
      <c r="AF13" s="478"/>
      <c r="AG13" s="478"/>
    </row>
    <row r="14" spans="1:33" ht="16.95" customHeight="1" x14ac:dyDescent="0.25">
      <c r="A14" s="918"/>
      <c r="B14" s="32">
        <v>11</v>
      </c>
      <c r="C14" s="33">
        <v>0.54620089999999999</v>
      </c>
      <c r="D14" s="33">
        <v>0.35066219999999998</v>
      </c>
      <c r="E14" s="33">
        <v>8.3741599999999999E-2</v>
      </c>
      <c r="F14" s="33">
        <v>1.9395200000000001E-2</v>
      </c>
      <c r="G14" s="43"/>
      <c r="H14" s="58">
        <f t="shared" si="0"/>
        <v>0.99999989999999994</v>
      </c>
      <c r="J14" s="476"/>
      <c r="K14" s="477"/>
      <c r="L14" s="24"/>
      <c r="M14" s="24"/>
      <c r="N14" s="24"/>
      <c r="O14" s="24"/>
      <c r="P14" s="57"/>
      <c r="Q14" s="478"/>
      <c r="R14" s="478"/>
      <c r="S14" s="478"/>
      <c r="T14" s="478"/>
      <c r="U14" s="478"/>
      <c r="V14" s="478"/>
      <c r="W14" s="478"/>
      <c r="X14" s="478"/>
      <c r="Y14" s="478"/>
      <c r="Z14" s="478"/>
      <c r="AD14" s="478"/>
      <c r="AE14" s="478"/>
      <c r="AF14" s="478"/>
      <c r="AG14" s="478"/>
    </row>
    <row r="15" spans="1:33" ht="16.95" customHeight="1" x14ac:dyDescent="0.25">
      <c r="A15" s="918"/>
      <c r="B15" s="32">
        <v>12</v>
      </c>
      <c r="C15" s="33">
        <v>0.50738139999999998</v>
      </c>
      <c r="D15" s="33">
        <v>0.35187770000000002</v>
      </c>
      <c r="E15" s="33">
        <v>0.1090713</v>
      </c>
      <c r="F15" s="33">
        <v>3.1669599999999999E-2</v>
      </c>
      <c r="G15" s="43"/>
      <c r="H15" s="58">
        <f t="shared" si="0"/>
        <v>1</v>
      </c>
      <c r="J15" s="476"/>
      <c r="K15" s="477"/>
      <c r="L15" s="24"/>
      <c r="M15" s="24"/>
      <c r="N15" s="24"/>
      <c r="O15" s="24"/>
      <c r="P15" s="57"/>
      <c r="Q15" s="478"/>
      <c r="R15" s="478"/>
      <c r="S15" s="478"/>
      <c r="T15" s="478"/>
      <c r="U15" s="478"/>
      <c r="V15" s="478"/>
      <c r="W15" s="478"/>
      <c r="X15" s="478"/>
      <c r="Y15" s="478"/>
      <c r="Z15" s="478"/>
      <c r="AD15" s="478"/>
      <c r="AE15" s="478"/>
      <c r="AF15" s="478"/>
      <c r="AG15" s="478"/>
    </row>
    <row r="16" spans="1:33" ht="16.95" customHeight="1" x14ac:dyDescent="0.25">
      <c r="A16" s="918"/>
      <c r="B16" s="32">
        <v>13</v>
      </c>
      <c r="C16" s="33">
        <v>0.3717839</v>
      </c>
      <c r="D16" s="33">
        <v>0.39948040000000001</v>
      </c>
      <c r="E16" s="33">
        <v>0.15796060000000001</v>
      </c>
      <c r="F16" s="33">
        <v>7.0775099999999994E-2</v>
      </c>
      <c r="G16" s="43"/>
      <c r="H16" s="58">
        <f t="shared" si="0"/>
        <v>1</v>
      </c>
      <c r="J16" s="6"/>
      <c r="K16" s="56"/>
      <c r="L16" s="24"/>
      <c r="M16" s="24"/>
      <c r="N16" s="24"/>
      <c r="O16" s="24"/>
      <c r="P16" s="57"/>
      <c r="AD16" s="478"/>
      <c r="AE16" s="478"/>
      <c r="AF16" s="478"/>
      <c r="AG16" s="478"/>
    </row>
    <row r="17" spans="1:33" ht="16.95" customHeight="1" x14ac:dyDescent="0.25">
      <c r="A17" s="918"/>
      <c r="B17" s="32">
        <v>14</v>
      </c>
      <c r="C17" s="33">
        <v>0.55492209999999997</v>
      </c>
      <c r="D17" s="33">
        <v>0.19039139999999999</v>
      </c>
      <c r="E17" s="33">
        <v>0.15122469999999999</v>
      </c>
      <c r="F17" s="33">
        <v>0.10346180000000001</v>
      </c>
      <c r="G17" s="43"/>
      <c r="H17" s="58">
        <f t="shared" si="0"/>
        <v>1</v>
      </c>
      <c r="J17" s="6"/>
      <c r="K17" s="56"/>
      <c r="L17" s="24"/>
      <c r="M17" s="24"/>
      <c r="N17" s="24"/>
      <c r="O17" s="24"/>
      <c r="P17" s="57"/>
      <c r="AD17" s="478"/>
      <c r="AE17" s="478"/>
      <c r="AF17" s="478"/>
      <c r="AG17" s="478"/>
    </row>
    <row r="18" spans="1:33" ht="16.95" customHeight="1" x14ac:dyDescent="0.25">
      <c r="A18" s="918"/>
      <c r="B18" s="32">
        <v>15</v>
      </c>
      <c r="C18" s="33">
        <v>0.2119104</v>
      </c>
      <c r="D18" s="33">
        <v>0.21138850000000001</v>
      </c>
      <c r="E18" s="33">
        <v>0.52761959999999997</v>
      </c>
      <c r="F18" s="33">
        <v>4.9081399999999997E-2</v>
      </c>
      <c r="G18" s="43"/>
      <c r="H18" s="58">
        <f t="shared" si="0"/>
        <v>0.99999989999999994</v>
      </c>
      <c r="J18" s="6"/>
      <c r="K18" s="56"/>
      <c r="L18" s="24"/>
      <c r="M18" s="24"/>
      <c r="N18" s="24"/>
      <c r="O18" s="24"/>
      <c r="P18" s="57"/>
    </row>
    <row r="19" spans="1:33" ht="16.95" customHeight="1" x14ac:dyDescent="0.25">
      <c r="A19" s="918"/>
      <c r="B19" s="32">
        <v>16</v>
      </c>
      <c r="C19" s="43">
        <v>0.49518800000000002</v>
      </c>
      <c r="D19" s="43">
        <v>0.26027650000000002</v>
      </c>
      <c r="E19" s="43">
        <v>0.1407766</v>
      </c>
      <c r="F19" s="43">
        <v>0.1037589</v>
      </c>
      <c r="G19" s="43"/>
      <c r="H19" s="58">
        <f t="shared" si="0"/>
        <v>1</v>
      </c>
      <c r="J19" s="6"/>
      <c r="K19" s="56"/>
      <c r="L19" s="24"/>
      <c r="M19" s="24"/>
      <c r="N19" s="24"/>
      <c r="O19" s="24"/>
      <c r="P19" s="57"/>
    </row>
    <row r="20" spans="1:33" x14ac:dyDescent="0.25">
      <c r="A20" s="919"/>
      <c r="B20" s="43" t="s">
        <v>904</v>
      </c>
      <c r="C20" s="43">
        <v>0.55038240000000005</v>
      </c>
      <c r="D20" s="43">
        <v>0.23441790000000001</v>
      </c>
      <c r="E20" s="43">
        <v>0.1560647</v>
      </c>
      <c r="F20" s="43">
        <v>5.9135E-2</v>
      </c>
      <c r="G20" s="43"/>
      <c r="H20" s="58">
        <f t="shared" si="0"/>
        <v>1</v>
      </c>
    </row>
    <row r="22" spans="1:33" x14ac:dyDescent="0.25">
      <c r="A22" s="4" t="s">
        <v>905</v>
      </c>
    </row>
    <row r="27" spans="1:33" x14ac:dyDescent="0.25">
      <c r="B27" s="468"/>
      <c r="C27" s="468"/>
      <c r="D27" s="468"/>
      <c r="E27" s="468"/>
      <c r="F27" s="468"/>
      <c r="G27" s="468"/>
    </row>
    <row r="28" spans="1:33" x14ac:dyDescent="0.25">
      <c r="B28" s="468"/>
      <c r="C28" s="468"/>
      <c r="D28" s="468"/>
      <c r="E28" s="468"/>
      <c r="F28" s="468"/>
      <c r="G28" s="468"/>
    </row>
    <row r="29" spans="1:33" x14ac:dyDescent="0.25">
      <c r="B29" s="469"/>
      <c r="C29" s="470"/>
      <c r="D29" s="470"/>
      <c r="E29" s="470"/>
      <c r="F29" s="470"/>
      <c r="G29" s="471"/>
      <c r="H29" s="471"/>
      <c r="J29" s="471"/>
      <c r="K29" s="471"/>
      <c r="L29" s="471"/>
      <c r="M29" s="471"/>
    </row>
    <row r="30" spans="1:33" x14ac:dyDescent="0.25">
      <c r="B30" s="469"/>
      <c r="C30" s="470"/>
      <c r="D30" s="470"/>
      <c r="E30" s="470"/>
      <c r="F30" s="470"/>
      <c r="G30" s="471"/>
      <c r="H30" s="471"/>
      <c r="J30" s="471"/>
      <c r="K30" s="471"/>
      <c r="L30" s="471"/>
      <c r="M30" s="471"/>
    </row>
    <row r="31" spans="1:33" x14ac:dyDescent="0.25">
      <c r="B31" s="469"/>
      <c r="C31" s="470"/>
      <c r="D31" s="470"/>
      <c r="E31" s="470"/>
      <c r="F31" s="470"/>
      <c r="G31" s="471"/>
      <c r="H31" s="471"/>
      <c r="J31" s="471"/>
      <c r="K31" s="471"/>
      <c r="L31" s="471"/>
      <c r="M31" s="471"/>
    </row>
    <row r="32" spans="1:33" x14ac:dyDescent="0.25">
      <c r="B32" s="469"/>
      <c r="C32" s="470"/>
      <c r="D32" s="470"/>
      <c r="E32" s="470"/>
      <c r="F32" s="470"/>
      <c r="G32" s="471"/>
      <c r="H32" s="471"/>
      <c r="J32" s="471"/>
      <c r="K32" s="471"/>
      <c r="L32" s="471"/>
      <c r="M32" s="471"/>
    </row>
    <row r="33" spans="2:13" x14ac:dyDescent="0.25">
      <c r="B33" s="469"/>
      <c r="C33" s="470"/>
      <c r="D33" s="470"/>
      <c r="E33" s="470"/>
      <c r="F33" s="470"/>
      <c r="G33" s="471"/>
      <c r="H33" s="471"/>
      <c r="J33" s="471"/>
      <c r="K33" s="471"/>
      <c r="L33" s="471"/>
      <c r="M33" s="471"/>
    </row>
    <row r="34" spans="2:13" x14ac:dyDescent="0.25">
      <c r="B34" s="469"/>
      <c r="C34" s="470"/>
      <c r="D34" s="470"/>
      <c r="E34" s="470"/>
      <c r="F34" s="470"/>
      <c r="G34" s="471"/>
      <c r="H34" s="471"/>
      <c r="J34" s="471"/>
      <c r="K34" s="471"/>
      <c r="L34" s="471"/>
      <c r="M34" s="471"/>
    </row>
    <row r="35" spans="2:13" x14ac:dyDescent="0.25">
      <c r="B35" s="469"/>
      <c r="C35" s="470"/>
      <c r="D35" s="470"/>
      <c r="E35" s="470"/>
      <c r="F35" s="470"/>
      <c r="G35" s="471"/>
      <c r="H35" s="471"/>
      <c r="J35" s="471"/>
      <c r="K35" s="471"/>
      <c r="L35" s="471"/>
      <c r="M35" s="471"/>
    </row>
    <row r="36" spans="2:13" x14ac:dyDescent="0.25">
      <c r="B36" s="469"/>
      <c r="C36" s="470"/>
      <c r="D36" s="470"/>
      <c r="E36" s="470"/>
      <c r="F36" s="470"/>
      <c r="G36" s="471"/>
      <c r="H36" s="471"/>
      <c r="J36" s="471"/>
      <c r="K36" s="471"/>
      <c r="L36" s="471"/>
      <c r="M36" s="471"/>
    </row>
    <row r="37" spans="2:13" x14ac:dyDescent="0.25">
      <c r="B37" s="469"/>
      <c r="C37" s="470"/>
      <c r="D37" s="470"/>
      <c r="E37" s="470"/>
      <c r="F37" s="470"/>
      <c r="G37" s="471"/>
      <c r="H37" s="471"/>
      <c r="J37" s="471"/>
      <c r="K37" s="471"/>
      <c r="L37" s="471"/>
      <c r="M37" s="471"/>
    </row>
    <row r="38" spans="2:13" x14ac:dyDescent="0.25">
      <c r="B38" s="469"/>
      <c r="C38" s="470"/>
      <c r="D38" s="470"/>
      <c r="E38" s="470"/>
      <c r="F38" s="470"/>
      <c r="G38" s="471"/>
      <c r="H38" s="471"/>
      <c r="J38" s="471"/>
      <c r="K38" s="471"/>
      <c r="L38" s="471"/>
      <c r="M38" s="471"/>
    </row>
    <row r="39" spans="2:13" x14ac:dyDescent="0.25">
      <c r="B39" s="469"/>
      <c r="C39" s="470"/>
      <c r="D39" s="470"/>
      <c r="E39" s="470"/>
      <c r="F39" s="470"/>
      <c r="G39" s="471"/>
      <c r="H39" s="471"/>
      <c r="J39" s="471"/>
      <c r="K39" s="471"/>
      <c r="L39" s="471"/>
      <c r="M39" s="471"/>
    </row>
    <row r="40" spans="2:13" x14ac:dyDescent="0.25">
      <c r="B40" s="469"/>
      <c r="C40" s="470"/>
      <c r="D40" s="470"/>
      <c r="E40" s="470"/>
      <c r="F40" s="470"/>
      <c r="G40" s="471"/>
      <c r="H40" s="471"/>
      <c r="J40" s="471"/>
      <c r="K40" s="471"/>
      <c r="L40" s="471"/>
      <c r="M40" s="471"/>
    </row>
    <row r="41" spans="2:13" x14ac:dyDescent="0.25">
      <c r="B41" s="469"/>
      <c r="C41" s="470"/>
      <c r="D41" s="470"/>
      <c r="E41" s="470"/>
      <c r="F41" s="470"/>
      <c r="G41" s="471"/>
      <c r="H41" s="471"/>
      <c r="J41" s="471"/>
      <c r="K41" s="471"/>
      <c r="L41" s="471"/>
      <c r="M41" s="471"/>
    </row>
    <row r="42" spans="2:13" x14ac:dyDescent="0.25">
      <c r="B42" s="469"/>
      <c r="C42" s="470"/>
      <c r="D42" s="470"/>
      <c r="E42" s="470"/>
      <c r="F42" s="470"/>
      <c r="G42" s="471"/>
      <c r="H42" s="471"/>
      <c r="J42" s="471"/>
      <c r="K42" s="471"/>
      <c r="L42" s="471"/>
      <c r="M42" s="471"/>
    </row>
    <row r="43" spans="2:13" x14ac:dyDescent="0.25">
      <c r="B43" s="469"/>
      <c r="C43" s="470"/>
      <c r="D43" s="470"/>
      <c r="E43" s="470"/>
      <c r="F43" s="470"/>
      <c r="G43" s="471"/>
      <c r="H43" s="471"/>
      <c r="J43" s="471"/>
      <c r="K43" s="471"/>
      <c r="L43" s="471"/>
      <c r="M43" s="471"/>
    </row>
    <row r="44" spans="2:13" x14ac:dyDescent="0.25">
      <c r="B44" s="469"/>
      <c r="C44" s="471"/>
      <c r="D44" s="471"/>
      <c r="E44" s="471"/>
      <c r="F44" s="471"/>
      <c r="G44" s="471"/>
      <c r="H44" s="471"/>
      <c r="J44" s="471"/>
      <c r="K44" s="471"/>
      <c r="L44" s="471"/>
      <c r="M44" s="471"/>
    </row>
    <row r="45" spans="2:13" x14ac:dyDescent="0.25">
      <c r="B45" s="471"/>
      <c r="C45" s="471"/>
      <c r="D45" s="471"/>
      <c r="E45" s="471"/>
      <c r="F45" s="471"/>
      <c r="G45" s="471"/>
      <c r="J45" s="471"/>
      <c r="K45" s="471"/>
      <c r="L45" s="471"/>
      <c r="M45" s="471"/>
    </row>
  </sheetData>
  <mergeCells count="10">
    <mergeCell ref="A4:A20"/>
    <mergeCell ref="C2:G2"/>
    <mergeCell ref="A1:G1"/>
    <mergeCell ref="B2:B3"/>
    <mergeCell ref="A2:A3"/>
    <mergeCell ref="J1:AA1"/>
    <mergeCell ref="J2:J3"/>
    <mergeCell ref="K2:K3"/>
    <mergeCell ref="L2:AA2"/>
    <mergeCell ref="J4:J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3D1D6A7EB2452B4A86A9506D4E13D4C9" ma:contentTypeVersion="3" ma:contentTypeDescription="Create a new document." ma:contentTypeScope="" ma:versionID="7cd6ed0cd056f112062446d0d1c544ce">
  <xsd:schema xmlns:xsd="http://www.w3.org/2001/XMLSchema" xmlns:xs="http://www.w3.org/2001/XMLSchema" xmlns:p="http://schemas.microsoft.com/office/2006/metadata/properties" xmlns:ns2="41613948-0554-4f13-babe-277410c056ca" targetNamespace="http://schemas.microsoft.com/office/2006/metadata/properties" ma:root="true" ma:fieldsID="60ca449bf2be89171a15d05d28af00ea" ns2:_="">
    <xsd:import namespace="41613948-0554-4f13-babe-277410c056ca"/>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1613948-0554-4f13-babe-277410c056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0816333-575B-4274-8A3E-18699B071E90}">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D06672EC-C6F6-4A8E-B106-0E88BE2B5A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1613948-0554-4f13-babe-277410c056c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921AF10-0BF8-441A-BDBA-64AF3E09D45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Notes</vt:lpstr>
      <vt:lpstr>Prototype</vt:lpstr>
      <vt:lpstr>Zones</vt:lpstr>
      <vt:lpstr>Envelope</vt:lpstr>
      <vt:lpstr>HVAC System</vt:lpstr>
      <vt:lpstr>Thermostat</vt:lpstr>
      <vt:lpstr>Ventilation</vt:lpstr>
      <vt:lpstr>Water Heater</vt:lpstr>
      <vt:lpstr>Interior Lights</vt:lpstr>
      <vt:lpstr>Ext Lighting</vt:lpstr>
      <vt:lpstr>Equipment</vt:lpstr>
      <vt:lpstr>Schedules</vt:lpstr>
      <vt:lpstr>Energy Usage</vt:lpstr>
      <vt:lpstr>PV</vt:lpstr>
      <vt:lpstr>EV Charger</vt:lpstr>
      <vt:lpstr>Data</vt:lpstr>
      <vt:lpstr>Weights</vt:lpstr>
      <vt:lpstr>Space_Function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Yousefi, Fatemeh</dc:creator>
  <cp:keywords/>
  <dc:description/>
  <cp:lastModifiedBy>Yousefi, Fatemeh (Noresco EE)</cp:lastModifiedBy>
  <cp:revision/>
  <dcterms:created xsi:type="dcterms:W3CDTF">2024-06-21T17:19:36Z</dcterms:created>
  <dcterms:modified xsi:type="dcterms:W3CDTF">2026-10-28T01:02:20Z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7864bb8-b671-4bed-ba85-9478127ab5e9_Enabled">
    <vt:lpwstr>true</vt:lpwstr>
  </property>
  <property fmtid="{D5CDD505-2E9C-101B-9397-08002B2CF9AE}" pid="3" name="MSIP_Label_b7864bb8-b671-4bed-ba85-9478127ab5e9_SetDate">
    <vt:lpwstr>2024-06-21T17:19:48Z</vt:lpwstr>
  </property>
  <property fmtid="{D5CDD505-2E9C-101B-9397-08002B2CF9AE}" pid="4" name="MSIP_Label_b7864bb8-b671-4bed-ba85-9478127ab5e9_Method">
    <vt:lpwstr>Standard</vt:lpwstr>
  </property>
  <property fmtid="{D5CDD505-2E9C-101B-9397-08002B2CF9AE}" pid="5" name="MSIP_Label_b7864bb8-b671-4bed-ba85-9478127ab5e9_Name">
    <vt:lpwstr>Confidential – 2023</vt:lpwstr>
  </property>
  <property fmtid="{D5CDD505-2E9C-101B-9397-08002B2CF9AE}" pid="6" name="MSIP_Label_b7864bb8-b671-4bed-ba85-9478127ab5e9_SiteId">
    <vt:lpwstr>36839a65-7f3f-4bac-9ea4-f571f10a9a03</vt:lpwstr>
  </property>
  <property fmtid="{D5CDD505-2E9C-101B-9397-08002B2CF9AE}" pid="7" name="MSIP_Label_b7864bb8-b671-4bed-ba85-9478127ab5e9_ActionId">
    <vt:lpwstr>0e6e9a60-d2ab-4ce7-9a0a-ef72169e4f66</vt:lpwstr>
  </property>
  <property fmtid="{D5CDD505-2E9C-101B-9397-08002B2CF9AE}" pid="8" name="MSIP_Label_b7864bb8-b671-4bed-ba85-9478127ab5e9_ContentBits">
    <vt:lpwstr>0</vt:lpwstr>
  </property>
  <property fmtid="{D5CDD505-2E9C-101B-9397-08002B2CF9AE}" pid="9" name="MSIP_Label_aa7be39c-9e9f-446a-a199-286f73f56a3f_Enabled">
    <vt:lpwstr>true</vt:lpwstr>
  </property>
  <property fmtid="{D5CDD505-2E9C-101B-9397-08002B2CF9AE}" pid="10" name="MSIP_Label_aa7be39c-9e9f-446a-a199-286f73f56a3f_SetDate">
    <vt:lpwstr>2024-11-12T07:01:00Z</vt:lpwstr>
  </property>
  <property fmtid="{D5CDD505-2E9C-101B-9397-08002B2CF9AE}" pid="11" name="MSIP_Label_aa7be39c-9e9f-446a-a199-286f73f56a3f_Method">
    <vt:lpwstr>Standard</vt:lpwstr>
  </property>
  <property fmtid="{D5CDD505-2E9C-101B-9397-08002B2CF9AE}" pid="12" name="MSIP_Label_aa7be39c-9e9f-446a-a199-286f73f56a3f_Name">
    <vt:lpwstr>Confidential</vt:lpwstr>
  </property>
  <property fmtid="{D5CDD505-2E9C-101B-9397-08002B2CF9AE}" pid="13" name="MSIP_Label_aa7be39c-9e9f-446a-a199-286f73f56a3f_SiteId">
    <vt:lpwstr>85ad2a97-6942-4d5d-bc9c-35cd3905d69a</vt:lpwstr>
  </property>
  <property fmtid="{D5CDD505-2E9C-101B-9397-08002B2CF9AE}" pid="14" name="MSIP_Label_aa7be39c-9e9f-446a-a199-286f73f56a3f_ActionId">
    <vt:lpwstr>9aa52be7-e90f-4db3-9dfa-3134fb3d14a1</vt:lpwstr>
  </property>
  <property fmtid="{D5CDD505-2E9C-101B-9397-08002B2CF9AE}" pid="15" name="MSIP_Label_aa7be39c-9e9f-446a-a199-286f73f56a3f_ContentBits">
    <vt:lpwstr>0</vt:lpwstr>
  </property>
  <property fmtid="{D5CDD505-2E9C-101B-9397-08002B2CF9AE}" pid="16" name="ContentTypeId">
    <vt:lpwstr>0x0101003D1D6A7EB2452B4A86A9506D4E13D4C9</vt:lpwstr>
  </property>
  <property fmtid="{D5CDD505-2E9C-101B-9397-08002B2CF9AE}" pid="17" name="MediaServiceImageTags">
    <vt:lpwstr/>
  </property>
</Properties>
</file>